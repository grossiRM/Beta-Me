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heme/themeOverride8.xml" ContentType="application/vnd.openxmlformats-officedocument.themeOverrid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1.xml" ContentType="application/vnd.openxmlformats-officedocument.drawingml.chart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theme/themeOverride11.xml" ContentType="application/vnd.openxmlformats-officedocument.themeOverrid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5.xml" ContentType="application/vnd.openxmlformats-officedocument.drawingml.chart+xml"/>
  <Override PartName="/xl/theme/themeOverride12.xml" ContentType="application/vnd.openxmlformats-officedocument.themeOverride+xml"/>
  <Override PartName="/xl/charts/chart16.xml" ContentType="application/vnd.openxmlformats-officedocument.drawingml.chart+xml"/>
  <Override PartName="/xl/theme/themeOverride13.xml" ContentType="application/vnd.openxmlformats-officedocument.themeOverride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data\Beta\"/>
    </mc:Choice>
  </mc:AlternateContent>
  <xr:revisionPtr revIDLastSave="0" documentId="13_ncr:1_{81B20092-7274-4147-A3BA-0DEE1377DA21}" xr6:coauthVersionLast="47" xr6:coauthVersionMax="47" xr10:uidLastSave="{00000000-0000-0000-0000-000000000000}"/>
  <bookViews>
    <workbookView xWindow="-120" yWindow="-120" windowWidth="29040" windowHeight="16440" activeTab="2" xr2:uid="{8E201B97-4DAE-49B4-AC0C-7569C2F0BD4D}"/>
  </bookViews>
  <sheets>
    <sheet name="PDF" sheetId="3" r:id="rId1"/>
    <sheet name="5" sheetId="2" r:id="rId2"/>
    <sheet name="PDF (2)" sheetId="4" r:id="rId3"/>
    <sheet name="PDF (3)" sheetId="5" r:id="rId4"/>
    <sheet name="PDF (4)" sheetId="6" r:id="rId5"/>
  </sheets>
  <externalReferences>
    <externalReference r:id="rId6"/>
    <externalReference r:id="rId7"/>
    <externalReference r:id="rId8"/>
    <externalReference r:id="rId9"/>
  </externalReferences>
  <definedNames>
    <definedName name="a" localSheetId="1">[1]!Tab.744[#Headers]</definedName>
    <definedName name="a">[1]!Tab.711[#Headers]</definedName>
    <definedName name="aq" localSheetId="1">#REF!</definedName>
    <definedName name="aq">#REF!</definedName>
    <definedName name="AV" localSheetId="1">#REF!</definedName>
    <definedName name="AV">#REF!</definedName>
    <definedName name="Mean_A">'[2]Discrete distribution'!$B$30</definedName>
    <definedName name="mean_X" localSheetId="1">#REF!</definedName>
    <definedName name="mean_X" localSheetId="0">#REF!</definedName>
    <definedName name="mean_X" localSheetId="2">#REF!</definedName>
    <definedName name="mean_X" localSheetId="3">#REF!</definedName>
    <definedName name="mean_X" localSheetId="4">#REF!</definedName>
    <definedName name="mean_X">#REF!</definedName>
    <definedName name="mean_X.">#REF!</definedName>
    <definedName name="mean_Y" localSheetId="0">#REF!</definedName>
    <definedName name="mean_Y" localSheetId="2">#REF!</definedName>
    <definedName name="mean_Y" localSheetId="3">#REF!</definedName>
    <definedName name="mean_Y" localSheetId="4">#REF!</definedName>
    <definedName name="mean_Y">#REF!</definedName>
    <definedName name="mean_Y.">#REF!</definedName>
    <definedName name="mu">'[2]Normal distribution'!$B$8</definedName>
    <definedName name="mu_A">[2]portfolio!$C$3</definedName>
    <definedName name="mu_B">[2]portfolio!$C$4</definedName>
    <definedName name="P1_A">'[2]Discrete distribution'!$C$4</definedName>
    <definedName name="P2_A">'[2]Discrete distribution'!$C$5</definedName>
    <definedName name="P3_A">'[2]Discrete distribution'!$C$6</definedName>
    <definedName name="P4_A">'[2]Discrete distribution'!$C$7</definedName>
    <definedName name="P5_A">'[2]Discrete distribution'!$C$8</definedName>
    <definedName name="SD_A">'[2]Discrete distribution'!$B$32</definedName>
    <definedName name="SD_X" localSheetId="1">#REF!</definedName>
    <definedName name="SD_X" localSheetId="0">#REF!</definedName>
    <definedName name="SD_X" localSheetId="2">#REF!</definedName>
    <definedName name="SD_X" localSheetId="3">#REF!</definedName>
    <definedName name="SD_X" localSheetId="4">#REF!</definedName>
    <definedName name="SD_X">#REF!</definedName>
    <definedName name="SD_Y" localSheetId="0">#REF!</definedName>
    <definedName name="SD_Y" localSheetId="2">#REF!</definedName>
    <definedName name="SD_Y" localSheetId="3">#REF!</definedName>
    <definedName name="SD_Y" localSheetId="4">#REF!</definedName>
    <definedName name="SD_Y">#REF!</definedName>
    <definedName name="sigma">'[2]Normal distribution'!$C$8</definedName>
    <definedName name="sigma_AB">[2]portfolio!$F$3</definedName>
    <definedName name="sigma2_A">[2]portfolio!$D$3</definedName>
    <definedName name="sigma2_B">[2]portfolio!$D$4</definedName>
    <definedName name="Variance_A">'[2]Discrete distribution'!$B$31</definedName>
    <definedName name="x_A">[2]portfolio!$C$9</definedName>
    <definedName name="x_B">[2]portfolio!$C$10</definedName>
  </definedNames>
  <calcPr calcId="191029" iterate="1" iterateCount="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6" l="1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C9" i="6"/>
  <c r="C10" i="6" s="1"/>
  <c r="B9" i="5"/>
  <c r="B10" i="5" s="1"/>
  <c r="B11" i="5" s="1"/>
  <c r="AB44" i="5"/>
  <c r="AB43" i="5"/>
  <c r="AB42" i="5"/>
  <c r="Y42" i="5"/>
  <c r="AB41" i="5"/>
  <c r="Y41" i="5"/>
  <c r="AB40" i="5"/>
  <c r="Y40" i="5"/>
  <c r="AB39" i="5"/>
  <c r="Y39" i="5"/>
  <c r="AB38" i="5"/>
  <c r="Y38" i="5"/>
  <c r="AB37" i="5"/>
  <c r="G35" i="5"/>
  <c r="J35" i="5" s="1"/>
  <c r="L35" i="5" s="1"/>
  <c r="N35" i="5" s="1"/>
  <c r="F35" i="5"/>
  <c r="I35" i="5" s="1"/>
  <c r="K35" i="5" s="1"/>
  <c r="M35" i="5" s="1"/>
  <c r="G5" i="5"/>
  <c r="G4" i="5" s="1"/>
  <c r="F4" i="5"/>
  <c r="D15" i="4"/>
  <c r="M15" i="4" s="1"/>
  <c r="F35" i="4"/>
  <c r="I35" i="4" s="1"/>
  <c r="K35" i="4" s="1"/>
  <c r="M35" i="4" s="1"/>
  <c r="E35" i="4"/>
  <c r="H35" i="4" s="1"/>
  <c r="J35" i="4" s="1"/>
  <c r="L35" i="4" s="1"/>
  <c r="AA44" i="4"/>
  <c r="AA43" i="4"/>
  <c r="AA42" i="4"/>
  <c r="X42" i="4"/>
  <c r="AA41" i="4"/>
  <c r="X41" i="4"/>
  <c r="AA40" i="4"/>
  <c r="X40" i="4"/>
  <c r="AA39" i="4"/>
  <c r="X39" i="4"/>
  <c r="AA38" i="4"/>
  <c r="X38" i="4"/>
  <c r="AA37" i="4"/>
  <c r="D32" i="4"/>
  <c r="K32" i="4" s="1"/>
  <c r="C32" i="4"/>
  <c r="E32" i="4" s="1"/>
  <c r="D31" i="4"/>
  <c r="K31" i="4" s="1"/>
  <c r="C31" i="4"/>
  <c r="E31" i="4" s="1"/>
  <c r="D30" i="4"/>
  <c r="M30" i="4" s="1"/>
  <c r="C30" i="4"/>
  <c r="J30" i="4" s="1"/>
  <c r="D29" i="4"/>
  <c r="K29" i="4" s="1"/>
  <c r="C29" i="4"/>
  <c r="E29" i="4" s="1"/>
  <c r="D28" i="4"/>
  <c r="K28" i="4" s="1"/>
  <c r="C28" i="4"/>
  <c r="E28" i="4" s="1"/>
  <c r="D27" i="4"/>
  <c r="M27" i="4" s="1"/>
  <c r="C27" i="4"/>
  <c r="J27" i="4" s="1"/>
  <c r="D26" i="4"/>
  <c r="K26" i="4" s="1"/>
  <c r="C26" i="4"/>
  <c r="E26" i="4" s="1"/>
  <c r="D25" i="4"/>
  <c r="K25" i="4" s="1"/>
  <c r="C25" i="4"/>
  <c r="E25" i="4" s="1"/>
  <c r="D24" i="4"/>
  <c r="M24" i="4" s="1"/>
  <c r="C24" i="4"/>
  <c r="J24" i="4" s="1"/>
  <c r="D23" i="4"/>
  <c r="K23" i="4" s="1"/>
  <c r="C23" i="4"/>
  <c r="E23" i="4" s="1"/>
  <c r="D22" i="4"/>
  <c r="K22" i="4" s="1"/>
  <c r="C22" i="4"/>
  <c r="E22" i="4" s="1"/>
  <c r="D21" i="4"/>
  <c r="M21" i="4" s="1"/>
  <c r="C21" i="4"/>
  <c r="J21" i="4" s="1"/>
  <c r="D20" i="4"/>
  <c r="K20" i="4" s="1"/>
  <c r="C20" i="4"/>
  <c r="E20" i="4" s="1"/>
  <c r="D19" i="4"/>
  <c r="K19" i="4" s="1"/>
  <c r="C19" i="4"/>
  <c r="E19" i="4" s="1"/>
  <c r="D18" i="4"/>
  <c r="M18" i="4" s="1"/>
  <c r="C18" i="4"/>
  <c r="J18" i="4" s="1"/>
  <c r="D17" i="4"/>
  <c r="K17" i="4" s="1"/>
  <c r="C17" i="4"/>
  <c r="E17" i="4" s="1"/>
  <c r="D16" i="4"/>
  <c r="K16" i="4" s="1"/>
  <c r="C16" i="4"/>
  <c r="E16" i="4" s="1"/>
  <c r="C15" i="4"/>
  <c r="J15" i="4" s="1"/>
  <c r="D14" i="4"/>
  <c r="K14" i="4" s="1"/>
  <c r="C14" i="4"/>
  <c r="E14" i="4" s="1"/>
  <c r="D13" i="4"/>
  <c r="K13" i="4" s="1"/>
  <c r="C13" i="4"/>
  <c r="E13" i="4" s="1"/>
  <c r="D12" i="4"/>
  <c r="M12" i="4" s="1"/>
  <c r="C12" i="4"/>
  <c r="J12" i="4" s="1"/>
  <c r="D11" i="4"/>
  <c r="K11" i="4" s="1"/>
  <c r="C11" i="4"/>
  <c r="E11" i="4" s="1"/>
  <c r="D10" i="4"/>
  <c r="K10" i="4" s="1"/>
  <c r="C10" i="4"/>
  <c r="E10" i="4" s="1"/>
  <c r="D9" i="4"/>
  <c r="M9" i="4" s="1"/>
  <c r="C9" i="4"/>
  <c r="J9" i="4" s="1"/>
  <c r="D8" i="4"/>
  <c r="K8" i="4" s="1"/>
  <c r="C8" i="4"/>
  <c r="E8" i="4" s="1"/>
  <c r="F5" i="4"/>
  <c r="E4" i="4"/>
  <c r="D2" i="4"/>
  <c r="C2" i="4"/>
  <c r="M4" i="4" s="1"/>
  <c r="B2" i="4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N5" i="3"/>
  <c r="J2" i="3"/>
  <c r="L5" i="3"/>
  <c r="L4" i="3" s="1"/>
  <c r="K4" i="3"/>
  <c r="I2" i="3"/>
  <c r="AG40" i="3"/>
  <c r="AG41" i="3"/>
  <c r="AG39" i="3"/>
  <c r="R5" i="2"/>
  <c r="AJ44" i="3"/>
  <c r="AJ43" i="3"/>
  <c r="AJ42" i="3"/>
  <c r="AG42" i="3"/>
  <c r="AJ41" i="3"/>
  <c r="AJ40" i="3"/>
  <c r="AJ39" i="3"/>
  <c r="AJ38" i="3"/>
  <c r="AG38" i="3"/>
  <c r="AJ37" i="3"/>
  <c r="J32" i="3"/>
  <c r="V32" i="3" s="1"/>
  <c r="I32" i="3"/>
  <c r="Q32" i="3" s="1"/>
  <c r="J31" i="3"/>
  <c r="I31" i="3"/>
  <c r="Q31" i="3" s="1"/>
  <c r="J30" i="3"/>
  <c r="V30" i="3" s="1"/>
  <c r="I30" i="3"/>
  <c r="U30" i="3" s="1"/>
  <c r="J29" i="3"/>
  <c r="V29" i="3" s="1"/>
  <c r="I29" i="3"/>
  <c r="T29" i="3" s="1"/>
  <c r="J28" i="3"/>
  <c r="V28" i="3" s="1"/>
  <c r="I28" i="3"/>
  <c r="U28" i="3" s="1"/>
  <c r="J27" i="3"/>
  <c r="V27" i="3" s="1"/>
  <c r="I27" i="3"/>
  <c r="U27" i="3" s="1"/>
  <c r="J26" i="3"/>
  <c r="V26" i="3" s="1"/>
  <c r="I26" i="3"/>
  <c r="U26" i="3" s="1"/>
  <c r="J25" i="3"/>
  <c r="V25" i="3" s="1"/>
  <c r="I25" i="3"/>
  <c r="U25" i="3" s="1"/>
  <c r="J24" i="3"/>
  <c r="V24" i="3" s="1"/>
  <c r="I24" i="3"/>
  <c r="U24" i="3" s="1"/>
  <c r="J23" i="3"/>
  <c r="V23" i="3" s="1"/>
  <c r="I23" i="3"/>
  <c r="U23" i="3" s="1"/>
  <c r="J22" i="3"/>
  <c r="V22" i="3" s="1"/>
  <c r="I22" i="3"/>
  <c r="U22" i="3" s="1"/>
  <c r="J21" i="3"/>
  <c r="V21" i="3" s="1"/>
  <c r="I21" i="3"/>
  <c r="U21" i="3" s="1"/>
  <c r="J20" i="3"/>
  <c r="V20" i="3" s="1"/>
  <c r="I20" i="3"/>
  <c r="U20" i="3" s="1"/>
  <c r="J19" i="3"/>
  <c r="V19" i="3" s="1"/>
  <c r="I19" i="3"/>
  <c r="U19" i="3" s="1"/>
  <c r="J18" i="3"/>
  <c r="V18" i="3" s="1"/>
  <c r="I18" i="3"/>
  <c r="U18" i="3" s="1"/>
  <c r="J17" i="3"/>
  <c r="V17" i="3" s="1"/>
  <c r="I17" i="3"/>
  <c r="U17" i="3" s="1"/>
  <c r="J16" i="3"/>
  <c r="V16" i="3" s="1"/>
  <c r="I16" i="3"/>
  <c r="U16" i="3" s="1"/>
  <c r="J15" i="3"/>
  <c r="V15" i="3" s="1"/>
  <c r="I15" i="3"/>
  <c r="U15" i="3" s="1"/>
  <c r="J14" i="3"/>
  <c r="V14" i="3" s="1"/>
  <c r="I14" i="3"/>
  <c r="U14" i="3" s="1"/>
  <c r="J13" i="3"/>
  <c r="V13" i="3" s="1"/>
  <c r="I13" i="3"/>
  <c r="U13" i="3" s="1"/>
  <c r="J12" i="3"/>
  <c r="V12" i="3" s="1"/>
  <c r="I12" i="3"/>
  <c r="U12" i="3" s="1"/>
  <c r="J11" i="3"/>
  <c r="V11" i="3" s="1"/>
  <c r="I11" i="3"/>
  <c r="U11" i="3" s="1"/>
  <c r="J10" i="3"/>
  <c r="V10" i="3" s="1"/>
  <c r="I10" i="3"/>
  <c r="U10" i="3" s="1"/>
  <c r="J9" i="3"/>
  <c r="V9" i="3" s="1"/>
  <c r="I9" i="3"/>
  <c r="U9" i="3" s="1"/>
  <c r="J8" i="3"/>
  <c r="V8" i="3" s="1"/>
  <c r="I8" i="3"/>
  <c r="U8" i="3" s="1"/>
  <c r="H2" i="3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Q939" i="2"/>
  <c r="P805" i="2"/>
  <c r="P889" i="2"/>
  <c r="P925" i="2"/>
  <c r="P939" i="2"/>
  <c r="P940" i="2"/>
  <c r="P946" i="2"/>
  <c r="P952" i="2"/>
  <c r="P956" i="2"/>
  <c r="P964" i="2"/>
  <c r="P969" i="2"/>
  <c r="P971" i="2"/>
  <c r="P973" i="2"/>
  <c r="P980" i="2"/>
  <c r="P983" i="2"/>
  <c r="P984" i="2"/>
  <c r="CU998" i="2"/>
  <c r="CT998" i="2"/>
  <c r="CS998" i="2"/>
  <c r="CR998" i="2"/>
  <c r="CQ998" i="2"/>
  <c r="CP998" i="2"/>
  <c r="CT997" i="2"/>
  <c r="CS997" i="2"/>
  <c r="CR997" i="2"/>
  <c r="CQ997" i="2"/>
  <c r="CP997" i="2"/>
  <c r="A997" i="2"/>
  <c r="CU995" i="2"/>
  <c r="CT995" i="2"/>
  <c r="CS995" i="2"/>
  <c r="CR995" i="2"/>
  <c r="CQ995" i="2"/>
  <c r="CP995" i="2"/>
  <c r="CU994" i="2"/>
  <c r="CT994" i="2"/>
  <c r="CS994" i="2"/>
  <c r="CR994" i="2"/>
  <c r="CQ994" i="2"/>
  <c r="CP994" i="2"/>
  <c r="B989" i="2"/>
  <c r="A989" i="2"/>
  <c r="CW988" i="2"/>
  <c r="B988" i="2"/>
  <c r="B987" i="2"/>
  <c r="AF984" i="2"/>
  <c r="AD984" i="2"/>
  <c r="AC984" i="2"/>
  <c r="AB984" i="2"/>
  <c r="S984" i="2"/>
  <c r="K984" i="2"/>
  <c r="J984" i="2"/>
  <c r="G984" i="2"/>
  <c r="E984" i="2"/>
  <c r="B984" i="2"/>
  <c r="A984" i="2"/>
  <c r="N984" i="2" s="1"/>
  <c r="T983" i="2"/>
  <c r="S983" i="2"/>
  <c r="K983" i="2"/>
  <c r="H983" i="2"/>
  <c r="G983" i="2"/>
  <c r="E983" i="2"/>
  <c r="B983" i="2"/>
  <c r="A983" i="2"/>
  <c r="AD982" i="2"/>
  <c r="AC982" i="2"/>
  <c r="S982" i="2"/>
  <c r="J982" i="2"/>
  <c r="H982" i="2"/>
  <c r="G982" i="2"/>
  <c r="E982" i="2"/>
  <c r="B982" i="2"/>
  <c r="A982" i="2"/>
  <c r="V982" i="2" s="1"/>
  <c r="E981" i="2"/>
  <c r="B981" i="2"/>
  <c r="A981" i="2"/>
  <c r="AB980" i="2"/>
  <c r="Z980" i="2"/>
  <c r="E980" i="2"/>
  <c r="D980" i="2"/>
  <c r="C980" i="2"/>
  <c r="B980" i="2"/>
  <c r="A980" i="2"/>
  <c r="E979" i="2"/>
  <c r="B979" i="2"/>
  <c r="A979" i="2"/>
  <c r="P979" i="2" s="1"/>
  <c r="E978" i="2"/>
  <c r="B978" i="2"/>
  <c r="A978" i="2"/>
  <c r="E977" i="2"/>
  <c r="B977" i="2"/>
  <c r="A977" i="2"/>
  <c r="AB976" i="2"/>
  <c r="E976" i="2"/>
  <c r="B976" i="2"/>
  <c r="A976" i="2"/>
  <c r="P976" i="2" s="1"/>
  <c r="E975" i="2"/>
  <c r="C975" i="2"/>
  <c r="B975" i="2"/>
  <c r="A975" i="2"/>
  <c r="P975" i="2" s="1"/>
  <c r="E974" i="2"/>
  <c r="B974" i="2"/>
  <c r="A974" i="2"/>
  <c r="AF973" i="2"/>
  <c r="E973" i="2"/>
  <c r="B973" i="2"/>
  <c r="A973" i="2"/>
  <c r="AF972" i="2"/>
  <c r="AB972" i="2"/>
  <c r="U972" i="2"/>
  <c r="T972" i="2"/>
  <c r="S972" i="2"/>
  <c r="H972" i="2"/>
  <c r="G972" i="2"/>
  <c r="E972" i="2"/>
  <c r="D972" i="2"/>
  <c r="B972" i="2"/>
  <c r="A972" i="2"/>
  <c r="X972" i="2" s="1"/>
  <c r="AG971" i="2"/>
  <c r="E971" i="2"/>
  <c r="B971" i="2"/>
  <c r="A971" i="2"/>
  <c r="AG970" i="2"/>
  <c r="R970" i="2"/>
  <c r="E970" i="2"/>
  <c r="D970" i="2"/>
  <c r="B970" i="2"/>
  <c r="A970" i="2"/>
  <c r="P970" i="2" s="1"/>
  <c r="AB969" i="2"/>
  <c r="U969" i="2"/>
  <c r="E969" i="2"/>
  <c r="B969" i="2"/>
  <c r="A969" i="2"/>
  <c r="Q969" i="2" s="1"/>
  <c r="E968" i="2"/>
  <c r="B968" i="2"/>
  <c r="A968" i="2"/>
  <c r="Y967" i="2"/>
  <c r="E967" i="2"/>
  <c r="B967" i="2"/>
  <c r="A967" i="2"/>
  <c r="Q967" i="2" s="1"/>
  <c r="E966" i="2"/>
  <c r="B966" i="2"/>
  <c r="A966" i="2"/>
  <c r="E965" i="2"/>
  <c r="B965" i="2"/>
  <c r="A965" i="2"/>
  <c r="U964" i="2"/>
  <c r="T964" i="2"/>
  <c r="E964" i="2"/>
  <c r="B964" i="2"/>
  <c r="A964" i="2"/>
  <c r="AH963" i="2"/>
  <c r="S963" i="2"/>
  <c r="K963" i="2"/>
  <c r="E963" i="2"/>
  <c r="B963" i="2"/>
  <c r="A963" i="2"/>
  <c r="E962" i="2"/>
  <c r="B962" i="2"/>
  <c r="A962" i="2"/>
  <c r="E961" i="2"/>
  <c r="B961" i="2"/>
  <c r="A961" i="2"/>
  <c r="P961" i="2" s="1"/>
  <c r="AD960" i="2"/>
  <c r="E960" i="2"/>
  <c r="B960" i="2"/>
  <c r="A960" i="2"/>
  <c r="V959" i="2"/>
  <c r="E959" i="2"/>
  <c r="B959" i="2"/>
  <c r="A959" i="2"/>
  <c r="AB959" i="2" s="1"/>
  <c r="E958" i="2"/>
  <c r="B958" i="2"/>
  <c r="A958" i="2"/>
  <c r="H958" i="2" s="1"/>
  <c r="E957" i="2"/>
  <c r="B957" i="2"/>
  <c r="A957" i="2"/>
  <c r="AD956" i="2"/>
  <c r="Z956" i="2"/>
  <c r="T956" i="2"/>
  <c r="S956" i="2"/>
  <c r="R956" i="2"/>
  <c r="H956" i="2"/>
  <c r="E956" i="2"/>
  <c r="D956" i="2"/>
  <c r="B956" i="2"/>
  <c r="A956" i="2"/>
  <c r="X956" i="2" s="1"/>
  <c r="E955" i="2"/>
  <c r="B955" i="2"/>
  <c r="A955" i="2"/>
  <c r="E954" i="2"/>
  <c r="B954" i="2"/>
  <c r="A954" i="2"/>
  <c r="K954" i="2" s="1"/>
  <c r="W953" i="2"/>
  <c r="T953" i="2"/>
  <c r="E953" i="2"/>
  <c r="B953" i="2"/>
  <c r="A953" i="2"/>
  <c r="W952" i="2"/>
  <c r="V952" i="2"/>
  <c r="S952" i="2"/>
  <c r="E952" i="2"/>
  <c r="B952" i="2"/>
  <c r="A952" i="2"/>
  <c r="AG951" i="2"/>
  <c r="AF951" i="2"/>
  <c r="E951" i="2"/>
  <c r="B951" i="2"/>
  <c r="A951" i="2"/>
  <c r="P951" i="2" s="1"/>
  <c r="E950" i="2"/>
  <c r="B950" i="2"/>
  <c r="A950" i="2"/>
  <c r="E949" i="2"/>
  <c r="B949" i="2"/>
  <c r="A949" i="2"/>
  <c r="E948" i="2"/>
  <c r="B948" i="2"/>
  <c r="A948" i="2"/>
  <c r="AD947" i="2"/>
  <c r="E947" i="2"/>
  <c r="B947" i="2"/>
  <c r="A947" i="2"/>
  <c r="AB946" i="2"/>
  <c r="E946" i="2"/>
  <c r="B946" i="2"/>
  <c r="A946" i="2"/>
  <c r="AB945" i="2"/>
  <c r="K945" i="2"/>
  <c r="J945" i="2"/>
  <c r="E945" i="2"/>
  <c r="B945" i="2"/>
  <c r="A945" i="2"/>
  <c r="AH944" i="2"/>
  <c r="AG944" i="2"/>
  <c r="K944" i="2"/>
  <c r="E944" i="2"/>
  <c r="B944" i="2"/>
  <c r="A944" i="2"/>
  <c r="E943" i="2"/>
  <c r="B943" i="2"/>
  <c r="A943" i="2"/>
  <c r="E942" i="2"/>
  <c r="B942" i="2"/>
  <c r="A942" i="2"/>
  <c r="E941" i="2"/>
  <c r="B941" i="2"/>
  <c r="A941" i="2"/>
  <c r="E940" i="2"/>
  <c r="B940" i="2"/>
  <c r="A940" i="2"/>
  <c r="AK939" i="2"/>
  <c r="T939" i="2"/>
  <c r="E939" i="2"/>
  <c r="B939" i="2"/>
  <c r="A939" i="2"/>
  <c r="AF938" i="2"/>
  <c r="AC938" i="2"/>
  <c r="AB938" i="2"/>
  <c r="V938" i="2"/>
  <c r="U938" i="2"/>
  <c r="T938" i="2"/>
  <c r="K938" i="2"/>
  <c r="J938" i="2"/>
  <c r="H938" i="2"/>
  <c r="G938" i="2"/>
  <c r="E938" i="2"/>
  <c r="D938" i="2"/>
  <c r="C938" i="2"/>
  <c r="B938" i="2"/>
  <c r="A938" i="2"/>
  <c r="Q938" i="2" s="1"/>
  <c r="AB937" i="2"/>
  <c r="E937" i="2"/>
  <c r="B937" i="2"/>
  <c r="A937" i="2"/>
  <c r="AD937" i="2" s="1"/>
  <c r="Z936" i="2"/>
  <c r="Y936" i="2"/>
  <c r="G936" i="2"/>
  <c r="E936" i="2"/>
  <c r="C936" i="2"/>
  <c r="B936" i="2"/>
  <c r="A936" i="2"/>
  <c r="E935" i="2"/>
  <c r="B935" i="2"/>
  <c r="A935" i="2"/>
  <c r="R934" i="2"/>
  <c r="E934" i="2"/>
  <c r="B934" i="2"/>
  <c r="A934" i="2"/>
  <c r="P934" i="2" s="1"/>
  <c r="AC933" i="2"/>
  <c r="E933" i="2"/>
  <c r="B933" i="2"/>
  <c r="A933" i="2"/>
  <c r="AK932" i="2"/>
  <c r="Z932" i="2"/>
  <c r="V932" i="2"/>
  <c r="K932" i="2"/>
  <c r="J932" i="2"/>
  <c r="E932" i="2"/>
  <c r="C932" i="2"/>
  <c r="B932" i="2"/>
  <c r="A932" i="2"/>
  <c r="AH932" i="2" s="1"/>
  <c r="Y931" i="2"/>
  <c r="V931" i="2"/>
  <c r="E931" i="2"/>
  <c r="B931" i="2"/>
  <c r="A931" i="2"/>
  <c r="AK930" i="2"/>
  <c r="AG930" i="2"/>
  <c r="U930" i="2"/>
  <c r="T930" i="2"/>
  <c r="G930" i="2"/>
  <c r="E930" i="2"/>
  <c r="B930" i="2"/>
  <c r="A930" i="2"/>
  <c r="E929" i="2"/>
  <c r="B929" i="2"/>
  <c r="A929" i="2"/>
  <c r="E928" i="2"/>
  <c r="B928" i="2"/>
  <c r="A928" i="2"/>
  <c r="E927" i="2"/>
  <c r="B927" i="2"/>
  <c r="A927" i="2"/>
  <c r="T926" i="2"/>
  <c r="E926" i="2"/>
  <c r="D926" i="2"/>
  <c r="B926" i="2"/>
  <c r="A926" i="2"/>
  <c r="AH926" i="2" s="1"/>
  <c r="AD925" i="2"/>
  <c r="U925" i="2"/>
  <c r="R925" i="2"/>
  <c r="H925" i="2"/>
  <c r="E925" i="2"/>
  <c r="B925" i="2"/>
  <c r="A925" i="2"/>
  <c r="V924" i="2"/>
  <c r="E924" i="2"/>
  <c r="B924" i="2"/>
  <c r="A924" i="2"/>
  <c r="AD923" i="2"/>
  <c r="AC923" i="2"/>
  <c r="E923" i="2"/>
  <c r="B923" i="2"/>
  <c r="A923" i="2"/>
  <c r="P923" i="2" s="1"/>
  <c r="AK922" i="2"/>
  <c r="AH922" i="2"/>
  <c r="Z922" i="2"/>
  <c r="W922" i="2"/>
  <c r="H922" i="2"/>
  <c r="G922" i="2"/>
  <c r="E922" i="2"/>
  <c r="D922" i="2"/>
  <c r="B922" i="2"/>
  <c r="A922" i="2"/>
  <c r="U922" i="2" s="1"/>
  <c r="E921" i="2"/>
  <c r="B921" i="2"/>
  <c r="A921" i="2"/>
  <c r="E920" i="2"/>
  <c r="B920" i="2"/>
  <c r="A920" i="2"/>
  <c r="E919" i="2"/>
  <c r="B919" i="2"/>
  <c r="A919" i="2"/>
  <c r="E918" i="2"/>
  <c r="B918" i="2"/>
  <c r="A918" i="2"/>
  <c r="E917" i="2"/>
  <c r="B917" i="2"/>
  <c r="A917" i="2"/>
  <c r="K916" i="2"/>
  <c r="J916" i="2"/>
  <c r="E916" i="2"/>
  <c r="B916" i="2"/>
  <c r="A916" i="2"/>
  <c r="AG915" i="2"/>
  <c r="E915" i="2"/>
  <c r="B915" i="2"/>
  <c r="A915" i="2"/>
  <c r="AD914" i="2"/>
  <c r="X914" i="2"/>
  <c r="K914" i="2"/>
  <c r="J914" i="2"/>
  <c r="E914" i="2"/>
  <c r="B914" i="2"/>
  <c r="A914" i="2"/>
  <c r="AB914" i="2" s="1"/>
  <c r="W913" i="2"/>
  <c r="E913" i="2"/>
  <c r="B913" i="2"/>
  <c r="A913" i="2"/>
  <c r="AD913" i="2" s="1"/>
  <c r="E912" i="2"/>
  <c r="B912" i="2"/>
  <c r="A912" i="2"/>
  <c r="AB911" i="2"/>
  <c r="E911" i="2"/>
  <c r="B911" i="2"/>
  <c r="A911" i="2"/>
  <c r="E910" i="2"/>
  <c r="B910" i="2"/>
  <c r="A910" i="2"/>
  <c r="K909" i="2"/>
  <c r="G909" i="2"/>
  <c r="E909" i="2"/>
  <c r="D909" i="2"/>
  <c r="C909" i="2"/>
  <c r="B909" i="2"/>
  <c r="A909" i="2"/>
  <c r="P909" i="2" s="1"/>
  <c r="J908" i="2"/>
  <c r="E908" i="2"/>
  <c r="C908" i="2"/>
  <c r="B908" i="2"/>
  <c r="A908" i="2"/>
  <c r="Y907" i="2"/>
  <c r="E907" i="2"/>
  <c r="B907" i="2"/>
  <c r="A907" i="2"/>
  <c r="E906" i="2"/>
  <c r="B906" i="2"/>
  <c r="A906" i="2"/>
  <c r="AH905" i="2"/>
  <c r="AG905" i="2"/>
  <c r="AC905" i="2"/>
  <c r="Z905" i="2"/>
  <c r="X905" i="2"/>
  <c r="W905" i="2"/>
  <c r="V905" i="2"/>
  <c r="S905" i="2"/>
  <c r="R905" i="2"/>
  <c r="K905" i="2"/>
  <c r="G905" i="2"/>
  <c r="E905" i="2"/>
  <c r="C905" i="2"/>
  <c r="B905" i="2"/>
  <c r="A905" i="2"/>
  <c r="E904" i="2"/>
  <c r="B904" i="2"/>
  <c r="A904" i="2"/>
  <c r="E903" i="2"/>
  <c r="B903" i="2"/>
  <c r="A903" i="2"/>
  <c r="R902" i="2"/>
  <c r="E902" i="2"/>
  <c r="B902" i="2"/>
  <c r="A902" i="2"/>
  <c r="E901" i="2"/>
  <c r="B901" i="2"/>
  <c r="A901" i="2"/>
  <c r="Z900" i="2"/>
  <c r="Y900" i="2"/>
  <c r="X900" i="2"/>
  <c r="H900" i="2"/>
  <c r="E900" i="2"/>
  <c r="C900" i="2"/>
  <c r="B900" i="2"/>
  <c r="A900" i="2"/>
  <c r="U899" i="2"/>
  <c r="S899" i="2"/>
  <c r="K899" i="2"/>
  <c r="E899" i="2"/>
  <c r="B899" i="2"/>
  <c r="A899" i="2"/>
  <c r="AF898" i="2"/>
  <c r="AD898" i="2"/>
  <c r="T898" i="2"/>
  <c r="R898" i="2"/>
  <c r="J898" i="2"/>
  <c r="E898" i="2"/>
  <c r="B898" i="2"/>
  <c r="A898" i="2"/>
  <c r="U898" i="2" s="1"/>
  <c r="AK897" i="2"/>
  <c r="AH897" i="2"/>
  <c r="AF897" i="2"/>
  <c r="AC897" i="2"/>
  <c r="K897" i="2"/>
  <c r="J897" i="2"/>
  <c r="G897" i="2"/>
  <c r="E897" i="2"/>
  <c r="B897" i="2"/>
  <c r="A897" i="2"/>
  <c r="W897" i="2" s="1"/>
  <c r="U896" i="2"/>
  <c r="J896" i="2"/>
  <c r="G896" i="2"/>
  <c r="E896" i="2"/>
  <c r="B896" i="2"/>
  <c r="A896" i="2"/>
  <c r="AD896" i="2" s="1"/>
  <c r="AG895" i="2"/>
  <c r="AF895" i="2"/>
  <c r="AC895" i="2"/>
  <c r="AB895" i="2"/>
  <c r="V895" i="2"/>
  <c r="T895" i="2"/>
  <c r="S895" i="2"/>
  <c r="J895" i="2"/>
  <c r="G895" i="2"/>
  <c r="E895" i="2"/>
  <c r="C895" i="2"/>
  <c r="B895" i="2"/>
  <c r="A895" i="2"/>
  <c r="AC894" i="2"/>
  <c r="AB894" i="2"/>
  <c r="R894" i="2"/>
  <c r="K894" i="2"/>
  <c r="E894" i="2"/>
  <c r="B894" i="2"/>
  <c r="A894" i="2"/>
  <c r="AC893" i="2"/>
  <c r="E893" i="2"/>
  <c r="B893" i="2"/>
  <c r="A893" i="2"/>
  <c r="E892" i="2"/>
  <c r="B892" i="2"/>
  <c r="A892" i="2"/>
  <c r="E891" i="2"/>
  <c r="B891" i="2"/>
  <c r="A891" i="2"/>
  <c r="AH890" i="2"/>
  <c r="Z890" i="2"/>
  <c r="X890" i="2"/>
  <c r="K890" i="2"/>
  <c r="J890" i="2"/>
  <c r="E890" i="2"/>
  <c r="B890" i="2"/>
  <c r="A890" i="2"/>
  <c r="E889" i="2"/>
  <c r="B889" i="2"/>
  <c r="A889" i="2"/>
  <c r="AK888" i="2"/>
  <c r="AH888" i="2"/>
  <c r="J888" i="2"/>
  <c r="H888" i="2"/>
  <c r="E888" i="2"/>
  <c r="B888" i="2"/>
  <c r="A888" i="2"/>
  <c r="U887" i="2"/>
  <c r="E887" i="2"/>
  <c r="B887" i="2"/>
  <c r="A887" i="2"/>
  <c r="V886" i="2"/>
  <c r="T886" i="2"/>
  <c r="R886" i="2"/>
  <c r="H886" i="2"/>
  <c r="G886" i="2"/>
  <c r="E886" i="2"/>
  <c r="B886" i="2"/>
  <c r="A886" i="2"/>
  <c r="AD886" i="2" s="1"/>
  <c r="AC885" i="2"/>
  <c r="K885" i="2"/>
  <c r="E885" i="2"/>
  <c r="B885" i="2"/>
  <c r="A885" i="2"/>
  <c r="AD885" i="2" s="1"/>
  <c r="E884" i="2"/>
  <c r="B884" i="2"/>
  <c r="A884" i="2"/>
  <c r="E883" i="2"/>
  <c r="B883" i="2"/>
  <c r="A883" i="2"/>
  <c r="AC883" i="2" s="1"/>
  <c r="AH882" i="2"/>
  <c r="AG882" i="2"/>
  <c r="AB882" i="2"/>
  <c r="Z882" i="2"/>
  <c r="X882" i="2"/>
  <c r="W882" i="2"/>
  <c r="T882" i="2"/>
  <c r="R882" i="2"/>
  <c r="K882" i="2"/>
  <c r="J882" i="2"/>
  <c r="E882" i="2"/>
  <c r="D882" i="2"/>
  <c r="C882" i="2"/>
  <c r="B882" i="2"/>
  <c r="A882" i="2"/>
  <c r="AC881" i="2"/>
  <c r="E881" i="2"/>
  <c r="C881" i="2"/>
  <c r="B881" i="2"/>
  <c r="A881" i="2"/>
  <c r="E880" i="2"/>
  <c r="B880" i="2"/>
  <c r="A880" i="2"/>
  <c r="P880" i="2" s="1"/>
  <c r="E879" i="2"/>
  <c r="B879" i="2"/>
  <c r="A879" i="2"/>
  <c r="Z878" i="2"/>
  <c r="W878" i="2"/>
  <c r="E878" i="2"/>
  <c r="B878" i="2"/>
  <c r="A878" i="2"/>
  <c r="AH877" i="2"/>
  <c r="W877" i="2"/>
  <c r="K877" i="2"/>
  <c r="E877" i="2"/>
  <c r="B877" i="2"/>
  <c r="A877" i="2"/>
  <c r="AK877" i="2" s="1"/>
  <c r="X876" i="2"/>
  <c r="W876" i="2"/>
  <c r="H876" i="2"/>
  <c r="E876" i="2"/>
  <c r="C876" i="2"/>
  <c r="B876" i="2"/>
  <c r="A876" i="2"/>
  <c r="AF876" i="2" s="1"/>
  <c r="T875" i="2"/>
  <c r="S875" i="2"/>
  <c r="E875" i="2"/>
  <c r="B875" i="2"/>
  <c r="A875" i="2"/>
  <c r="AH874" i="2"/>
  <c r="AF874" i="2"/>
  <c r="J874" i="2"/>
  <c r="E874" i="2"/>
  <c r="B874" i="2"/>
  <c r="A874" i="2"/>
  <c r="AF873" i="2"/>
  <c r="T873" i="2"/>
  <c r="E873" i="2"/>
  <c r="B873" i="2"/>
  <c r="A873" i="2"/>
  <c r="P873" i="2" s="1"/>
  <c r="E872" i="2"/>
  <c r="B872" i="2"/>
  <c r="A872" i="2"/>
  <c r="Y871" i="2"/>
  <c r="X871" i="2"/>
  <c r="S871" i="2"/>
  <c r="E871" i="2"/>
  <c r="B871" i="2"/>
  <c r="A871" i="2"/>
  <c r="AF870" i="2"/>
  <c r="AC870" i="2"/>
  <c r="Z870" i="2"/>
  <c r="W870" i="2"/>
  <c r="V870" i="2"/>
  <c r="K870" i="2"/>
  <c r="J870" i="2"/>
  <c r="H870" i="2"/>
  <c r="E870" i="2"/>
  <c r="C870" i="2"/>
  <c r="B870" i="2"/>
  <c r="A870" i="2"/>
  <c r="T870" i="2" s="1"/>
  <c r="E869" i="2"/>
  <c r="B869" i="2"/>
  <c r="A869" i="2"/>
  <c r="E868" i="2"/>
  <c r="B868" i="2"/>
  <c r="A868" i="2"/>
  <c r="P868" i="2" s="1"/>
  <c r="E867" i="2"/>
  <c r="B867" i="2"/>
  <c r="A867" i="2"/>
  <c r="AH866" i="2"/>
  <c r="G866" i="2"/>
  <c r="E866" i="2"/>
  <c r="D866" i="2"/>
  <c r="B866" i="2"/>
  <c r="A866" i="2"/>
  <c r="AF866" i="2" s="1"/>
  <c r="E865" i="2"/>
  <c r="B865" i="2"/>
  <c r="A865" i="2"/>
  <c r="AK864" i="2"/>
  <c r="Y864" i="2"/>
  <c r="X864" i="2"/>
  <c r="E864" i="2"/>
  <c r="B864" i="2"/>
  <c r="A864" i="2"/>
  <c r="E863" i="2"/>
  <c r="B863" i="2"/>
  <c r="A863" i="2"/>
  <c r="E862" i="2"/>
  <c r="B862" i="2"/>
  <c r="A862" i="2"/>
  <c r="E861" i="2"/>
  <c r="B861" i="2"/>
  <c r="A861" i="2"/>
  <c r="AH860" i="2"/>
  <c r="K860" i="2"/>
  <c r="J860" i="2"/>
  <c r="E860" i="2"/>
  <c r="B860" i="2"/>
  <c r="A860" i="2"/>
  <c r="X860" i="2" s="1"/>
  <c r="E859" i="2"/>
  <c r="B859" i="2"/>
  <c r="A859" i="2"/>
  <c r="Q859" i="2" s="1"/>
  <c r="AH858" i="2"/>
  <c r="AG858" i="2"/>
  <c r="AF858" i="2"/>
  <c r="R858" i="2"/>
  <c r="H858" i="2"/>
  <c r="G858" i="2"/>
  <c r="E858" i="2"/>
  <c r="B858" i="2"/>
  <c r="A858" i="2"/>
  <c r="E857" i="2"/>
  <c r="B857" i="2"/>
  <c r="A857" i="2"/>
  <c r="AG856" i="2"/>
  <c r="AC856" i="2"/>
  <c r="AB856" i="2"/>
  <c r="S856" i="2"/>
  <c r="R856" i="2"/>
  <c r="J856" i="2"/>
  <c r="G856" i="2"/>
  <c r="E856" i="2"/>
  <c r="B856" i="2"/>
  <c r="A856" i="2"/>
  <c r="T856" i="2" s="1"/>
  <c r="E855" i="2"/>
  <c r="B855" i="2"/>
  <c r="A855" i="2"/>
  <c r="Z854" i="2"/>
  <c r="V854" i="2"/>
  <c r="U854" i="2"/>
  <c r="T854" i="2"/>
  <c r="E854" i="2"/>
  <c r="D854" i="2"/>
  <c r="C854" i="2"/>
  <c r="B854" i="2"/>
  <c r="A854" i="2"/>
  <c r="AC853" i="2"/>
  <c r="Z853" i="2"/>
  <c r="E853" i="2"/>
  <c r="B853" i="2"/>
  <c r="A853" i="2"/>
  <c r="E852" i="2"/>
  <c r="B852" i="2"/>
  <c r="A852" i="2"/>
  <c r="E851" i="2"/>
  <c r="B851" i="2"/>
  <c r="A851" i="2"/>
  <c r="AK850" i="2"/>
  <c r="X850" i="2"/>
  <c r="E850" i="2"/>
  <c r="B850" i="2"/>
  <c r="A850" i="2"/>
  <c r="W849" i="2"/>
  <c r="V849" i="2"/>
  <c r="J849" i="2"/>
  <c r="E849" i="2"/>
  <c r="B849" i="2"/>
  <c r="A849" i="2"/>
  <c r="X849" i="2" s="1"/>
  <c r="E848" i="2"/>
  <c r="B848" i="2"/>
  <c r="A848" i="2"/>
  <c r="W847" i="2"/>
  <c r="E847" i="2"/>
  <c r="B847" i="2"/>
  <c r="A847" i="2"/>
  <c r="AF847" i="2" s="1"/>
  <c r="E846" i="2"/>
  <c r="B846" i="2"/>
  <c r="A846" i="2"/>
  <c r="E845" i="2"/>
  <c r="B845" i="2"/>
  <c r="A845" i="2"/>
  <c r="E844" i="2"/>
  <c r="B844" i="2"/>
  <c r="A844" i="2"/>
  <c r="AG843" i="2"/>
  <c r="T843" i="2"/>
  <c r="E843" i="2"/>
  <c r="B843" i="2"/>
  <c r="A843" i="2"/>
  <c r="AK843" i="2" s="1"/>
  <c r="Z842" i="2"/>
  <c r="E842" i="2"/>
  <c r="B842" i="2"/>
  <c r="A842" i="2"/>
  <c r="AG841" i="2"/>
  <c r="Y841" i="2"/>
  <c r="W841" i="2"/>
  <c r="T841" i="2"/>
  <c r="K841" i="2"/>
  <c r="H841" i="2"/>
  <c r="E841" i="2"/>
  <c r="B841" i="2"/>
  <c r="A841" i="2"/>
  <c r="X841" i="2" s="1"/>
  <c r="AK840" i="2"/>
  <c r="AH840" i="2"/>
  <c r="AD840" i="2"/>
  <c r="V840" i="2"/>
  <c r="G840" i="2"/>
  <c r="E840" i="2"/>
  <c r="C840" i="2"/>
  <c r="B840" i="2"/>
  <c r="A840" i="2"/>
  <c r="T840" i="2" s="1"/>
  <c r="E839" i="2"/>
  <c r="B839" i="2"/>
  <c r="A839" i="2"/>
  <c r="E838" i="2"/>
  <c r="B838" i="2"/>
  <c r="A838" i="2"/>
  <c r="X837" i="2"/>
  <c r="E837" i="2"/>
  <c r="B837" i="2"/>
  <c r="A837" i="2"/>
  <c r="AG837" i="2" s="1"/>
  <c r="V836" i="2"/>
  <c r="T836" i="2"/>
  <c r="S836" i="2"/>
  <c r="J836" i="2"/>
  <c r="E836" i="2"/>
  <c r="B836" i="2"/>
  <c r="A836" i="2"/>
  <c r="AK836" i="2" s="1"/>
  <c r="AH835" i="2"/>
  <c r="AG835" i="2"/>
  <c r="AD835" i="2"/>
  <c r="R835" i="2"/>
  <c r="K835" i="2"/>
  <c r="J835" i="2"/>
  <c r="E835" i="2"/>
  <c r="B835" i="2"/>
  <c r="A835" i="2"/>
  <c r="AF835" i="2" s="1"/>
  <c r="AG834" i="2"/>
  <c r="AD834" i="2"/>
  <c r="E834" i="2"/>
  <c r="B834" i="2"/>
  <c r="A834" i="2"/>
  <c r="AF834" i="2" s="1"/>
  <c r="AF833" i="2"/>
  <c r="AC833" i="2"/>
  <c r="K833" i="2"/>
  <c r="J833" i="2"/>
  <c r="G833" i="2"/>
  <c r="E833" i="2"/>
  <c r="B833" i="2"/>
  <c r="A833" i="2"/>
  <c r="AD833" i="2" s="1"/>
  <c r="AF832" i="2"/>
  <c r="AD832" i="2"/>
  <c r="J832" i="2"/>
  <c r="E832" i="2"/>
  <c r="B832" i="2"/>
  <c r="A832" i="2"/>
  <c r="AG832" i="2" s="1"/>
  <c r="T831" i="2"/>
  <c r="S831" i="2"/>
  <c r="E831" i="2"/>
  <c r="B831" i="2"/>
  <c r="A831" i="2"/>
  <c r="Y830" i="2"/>
  <c r="E830" i="2"/>
  <c r="B830" i="2"/>
  <c r="A830" i="2"/>
  <c r="E829" i="2"/>
  <c r="B829" i="2"/>
  <c r="A829" i="2"/>
  <c r="E828" i="2"/>
  <c r="B828" i="2"/>
  <c r="A828" i="2"/>
  <c r="E827" i="2"/>
  <c r="B827" i="2"/>
  <c r="A827" i="2"/>
  <c r="AH826" i="2"/>
  <c r="AG826" i="2"/>
  <c r="V826" i="2"/>
  <c r="J826" i="2"/>
  <c r="E826" i="2"/>
  <c r="B826" i="2"/>
  <c r="A826" i="2"/>
  <c r="Q826" i="2" s="1"/>
  <c r="U825" i="2"/>
  <c r="T825" i="2"/>
  <c r="J825" i="2"/>
  <c r="E825" i="2"/>
  <c r="B825" i="2"/>
  <c r="A825" i="2"/>
  <c r="AK825" i="2" s="1"/>
  <c r="E824" i="2"/>
  <c r="B824" i="2"/>
  <c r="A824" i="2"/>
  <c r="AG823" i="2"/>
  <c r="S823" i="2"/>
  <c r="E823" i="2"/>
  <c r="B823" i="2"/>
  <c r="A823" i="2"/>
  <c r="T823" i="2" s="1"/>
  <c r="AF822" i="2"/>
  <c r="E822" i="2"/>
  <c r="B822" i="2"/>
  <c r="A822" i="2"/>
  <c r="E821" i="2"/>
  <c r="B821" i="2"/>
  <c r="A821" i="2"/>
  <c r="E820" i="2"/>
  <c r="B820" i="2"/>
  <c r="A820" i="2"/>
  <c r="AG819" i="2"/>
  <c r="AF819" i="2"/>
  <c r="AD819" i="2"/>
  <c r="W819" i="2"/>
  <c r="U819" i="2"/>
  <c r="S819" i="2"/>
  <c r="R819" i="2"/>
  <c r="J819" i="2"/>
  <c r="G819" i="2"/>
  <c r="E819" i="2"/>
  <c r="D819" i="2"/>
  <c r="C819" i="2"/>
  <c r="B819" i="2"/>
  <c r="A819" i="2"/>
  <c r="Z819" i="2" s="1"/>
  <c r="E818" i="2"/>
  <c r="B818" i="2"/>
  <c r="A818" i="2"/>
  <c r="E817" i="2"/>
  <c r="B817" i="2"/>
  <c r="A817" i="2"/>
  <c r="E816" i="2"/>
  <c r="B816" i="2"/>
  <c r="A816" i="2"/>
  <c r="X815" i="2"/>
  <c r="V815" i="2"/>
  <c r="K815" i="2"/>
  <c r="J815" i="2"/>
  <c r="E815" i="2"/>
  <c r="B815" i="2"/>
  <c r="A815" i="2"/>
  <c r="AK815" i="2" s="1"/>
  <c r="E814" i="2"/>
  <c r="B814" i="2"/>
  <c r="A814" i="2"/>
  <c r="E813" i="2"/>
  <c r="B813" i="2"/>
  <c r="A813" i="2"/>
  <c r="E812" i="2"/>
  <c r="B812" i="2"/>
  <c r="A812" i="2"/>
  <c r="X811" i="2"/>
  <c r="U811" i="2"/>
  <c r="T811" i="2"/>
  <c r="E811" i="2"/>
  <c r="B811" i="2"/>
  <c r="A811" i="2"/>
  <c r="S810" i="2"/>
  <c r="E810" i="2"/>
  <c r="B810" i="2"/>
  <c r="A810" i="2"/>
  <c r="E809" i="2"/>
  <c r="B809" i="2"/>
  <c r="A809" i="2"/>
  <c r="AF808" i="2"/>
  <c r="T808" i="2"/>
  <c r="E808" i="2"/>
  <c r="B808" i="2"/>
  <c r="A808" i="2"/>
  <c r="AG807" i="2"/>
  <c r="AD807" i="2"/>
  <c r="Z807" i="2"/>
  <c r="R807" i="2"/>
  <c r="K807" i="2"/>
  <c r="J807" i="2"/>
  <c r="E807" i="2"/>
  <c r="B807" i="2"/>
  <c r="A807" i="2"/>
  <c r="AK807" i="2" s="1"/>
  <c r="E806" i="2"/>
  <c r="B806" i="2"/>
  <c r="A806" i="2"/>
  <c r="AC805" i="2"/>
  <c r="V805" i="2"/>
  <c r="U805" i="2"/>
  <c r="E805" i="2"/>
  <c r="B805" i="2"/>
  <c r="A805" i="2"/>
  <c r="AH805" i="2" s="1"/>
  <c r="AK804" i="2"/>
  <c r="AF804" i="2"/>
  <c r="W804" i="2"/>
  <c r="T804" i="2"/>
  <c r="S804" i="2"/>
  <c r="H804" i="2"/>
  <c r="G804" i="2"/>
  <c r="E804" i="2"/>
  <c r="B804" i="2"/>
  <c r="A804" i="2"/>
  <c r="E803" i="2"/>
  <c r="B803" i="2"/>
  <c r="A803" i="2"/>
  <c r="AH802" i="2"/>
  <c r="AC802" i="2"/>
  <c r="E802" i="2"/>
  <c r="B802" i="2"/>
  <c r="A802" i="2"/>
  <c r="AG802" i="2" s="1"/>
  <c r="E801" i="2"/>
  <c r="B801" i="2"/>
  <c r="A801" i="2"/>
  <c r="E800" i="2"/>
  <c r="B800" i="2"/>
  <c r="A800" i="2"/>
  <c r="J799" i="2"/>
  <c r="G799" i="2"/>
  <c r="E799" i="2"/>
  <c r="C799" i="2"/>
  <c r="B799" i="2"/>
  <c r="A799" i="2"/>
  <c r="AG799" i="2" s="1"/>
  <c r="AD798" i="2"/>
  <c r="AC798" i="2"/>
  <c r="E798" i="2"/>
  <c r="B798" i="2"/>
  <c r="A798" i="2"/>
  <c r="E797" i="2"/>
  <c r="B797" i="2"/>
  <c r="A797" i="2"/>
  <c r="E796" i="2"/>
  <c r="B796" i="2"/>
  <c r="A796" i="2"/>
  <c r="AB795" i="2"/>
  <c r="Z795" i="2"/>
  <c r="W795" i="2"/>
  <c r="T795" i="2"/>
  <c r="S795" i="2"/>
  <c r="G795" i="2"/>
  <c r="E795" i="2"/>
  <c r="C795" i="2"/>
  <c r="B795" i="2"/>
  <c r="A795" i="2"/>
  <c r="AK795" i="2" s="1"/>
  <c r="E794" i="2"/>
  <c r="B794" i="2"/>
  <c r="A794" i="2"/>
  <c r="E793" i="2"/>
  <c r="B793" i="2"/>
  <c r="A793" i="2"/>
  <c r="P793" i="2" s="1"/>
  <c r="E792" i="2"/>
  <c r="B792" i="2"/>
  <c r="A792" i="2"/>
  <c r="E791" i="2"/>
  <c r="B791" i="2"/>
  <c r="A791" i="2"/>
  <c r="E790" i="2"/>
  <c r="B790" i="2"/>
  <c r="A790" i="2"/>
  <c r="V789" i="2"/>
  <c r="T789" i="2"/>
  <c r="E789" i="2"/>
  <c r="B789" i="2"/>
  <c r="A789" i="2"/>
  <c r="K788" i="2"/>
  <c r="J788" i="2"/>
  <c r="E788" i="2"/>
  <c r="B788" i="2"/>
  <c r="A788" i="2"/>
  <c r="AF788" i="2" s="1"/>
  <c r="AH787" i="2"/>
  <c r="AD787" i="2"/>
  <c r="J787" i="2"/>
  <c r="G787" i="2"/>
  <c r="E787" i="2"/>
  <c r="B787" i="2"/>
  <c r="A787" i="2"/>
  <c r="U786" i="2"/>
  <c r="S786" i="2"/>
  <c r="R786" i="2"/>
  <c r="E786" i="2"/>
  <c r="B786" i="2"/>
  <c r="A786" i="2"/>
  <c r="E785" i="2"/>
  <c r="B785" i="2"/>
  <c r="A785" i="2"/>
  <c r="E784" i="2"/>
  <c r="B784" i="2"/>
  <c r="A784" i="2"/>
  <c r="AH783" i="2"/>
  <c r="AG783" i="2"/>
  <c r="AC783" i="2"/>
  <c r="AB783" i="2"/>
  <c r="W783" i="2"/>
  <c r="U783" i="2"/>
  <c r="T783" i="2"/>
  <c r="R783" i="2"/>
  <c r="J783" i="2"/>
  <c r="H783" i="2"/>
  <c r="G783" i="2"/>
  <c r="E783" i="2"/>
  <c r="D783" i="2"/>
  <c r="B783" i="2"/>
  <c r="A783" i="2"/>
  <c r="K783" i="2" s="1"/>
  <c r="E782" i="2"/>
  <c r="B782" i="2"/>
  <c r="A782" i="2"/>
  <c r="E781" i="2"/>
  <c r="B781" i="2"/>
  <c r="A781" i="2"/>
  <c r="AF780" i="2"/>
  <c r="H780" i="2"/>
  <c r="G780" i="2"/>
  <c r="E780" i="2"/>
  <c r="D780" i="2"/>
  <c r="B780" i="2"/>
  <c r="A780" i="2"/>
  <c r="Y780" i="2" s="1"/>
  <c r="E779" i="2"/>
  <c r="B779" i="2"/>
  <c r="A779" i="2"/>
  <c r="E778" i="2"/>
  <c r="B778" i="2"/>
  <c r="A778" i="2"/>
  <c r="U777" i="2"/>
  <c r="S777" i="2"/>
  <c r="E777" i="2"/>
  <c r="B777" i="2"/>
  <c r="A777" i="2"/>
  <c r="AG776" i="2"/>
  <c r="AF776" i="2"/>
  <c r="E776" i="2"/>
  <c r="B776" i="2"/>
  <c r="A776" i="2"/>
  <c r="E775" i="2"/>
  <c r="B775" i="2"/>
  <c r="A775" i="2"/>
  <c r="R774" i="2"/>
  <c r="K774" i="2"/>
  <c r="E774" i="2"/>
  <c r="B774" i="2"/>
  <c r="A774" i="2"/>
  <c r="E773" i="2"/>
  <c r="B773" i="2"/>
  <c r="A773" i="2"/>
  <c r="E772" i="2"/>
  <c r="B772" i="2"/>
  <c r="A772" i="2"/>
  <c r="E771" i="2"/>
  <c r="B771" i="2"/>
  <c r="A771" i="2"/>
  <c r="E770" i="2"/>
  <c r="B770" i="2"/>
  <c r="A770" i="2"/>
  <c r="E769" i="2"/>
  <c r="B769" i="2"/>
  <c r="A769" i="2"/>
  <c r="P769" i="2" s="1"/>
  <c r="E768" i="2"/>
  <c r="B768" i="2"/>
  <c r="A768" i="2"/>
  <c r="V767" i="2"/>
  <c r="S767" i="2"/>
  <c r="K767" i="2"/>
  <c r="E767" i="2"/>
  <c r="B767" i="2"/>
  <c r="A767" i="2"/>
  <c r="AG766" i="2"/>
  <c r="AF766" i="2"/>
  <c r="K766" i="2"/>
  <c r="J766" i="2"/>
  <c r="E766" i="2"/>
  <c r="B766" i="2"/>
  <c r="A766" i="2"/>
  <c r="R765" i="2"/>
  <c r="K765" i="2"/>
  <c r="E765" i="2"/>
  <c r="B765" i="2"/>
  <c r="A765" i="2"/>
  <c r="AG765" i="2" s="1"/>
  <c r="AF764" i="2"/>
  <c r="E764" i="2"/>
  <c r="B764" i="2"/>
  <c r="A764" i="2"/>
  <c r="AC763" i="2"/>
  <c r="E763" i="2"/>
  <c r="B763" i="2"/>
  <c r="A763" i="2"/>
  <c r="AK762" i="2"/>
  <c r="AH762" i="2"/>
  <c r="AG762" i="2"/>
  <c r="X762" i="2"/>
  <c r="V762" i="2"/>
  <c r="H762" i="2"/>
  <c r="E762" i="2"/>
  <c r="D762" i="2"/>
  <c r="B762" i="2"/>
  <c r="A762" i="2"/>
  <c r="E761" i="2"/>
  <c r="B761" i="2"/>
  <c r="A761" i="2"/>
  <c r="E760" i="2"/>
  <c r="B760" i="2"/>
  <c r="A760" i="2"/>
  <c r="X759" i="2"/>
  <c r="K759" i="2"/>
  <c r="E759" i="2"/>
  <c r="B759" i="2"/>
  <c r="A759" i="2"/>
  <c r="AF758" i="2"/>
  <c r="Z758" i="2"/>
  <c r="X758" i="2"/>
  <c r="W758" i="2"/>
  <c r="E758" i="2"/>
  <c r="B758" i="2"/>
  <c r="A758" i="2"/>
  <c r="Z757" i="2"/>
  <c r="V757" i="2"/>
  <c r="J757" i="2"/>
  <c r="E757" i="2"/>
  <c r="B757" i="2"/>
  <c r="A757" i="2"/>
  <c r="P757" i="2" s="1"/>
  <c r="AH756" i="2"/>
  <c r="AG756" i="2"/>
  <c r="AD756" i="2"/>
  <c r="U756" i="2"/>
  <c r="T756" i="2"/>
  <c r="R756" i="2"/>
  <c r="J756" i="2"/>
  <c r="H756" i="2"/>
  <c r="E756" i="2"/>
  <c r="B756" i="2"/>
  <c r="A756" i="2"/>
  <c r="E755" i="2"/>
  <c r="B755" i="2"/>
  <c r="A755" i="2"/>
  <c r="E754" i="2"/>
  <c r="D754" i="2"/>
  <c r="B754" i="2"/>
  <c r="A754" i="2"/>
  <c r="AD753" i="2"/>
  <c r="V753" i="2"/>
  <c r="E753" i="2"/>
  <c r="B753" i="2"/>
  <c r="A753" i="2"/>
  <c r="W753" i="2" s="1"/>
  <c r="E752" i="2"/>
  <c r="B752" i="2"/>
  <c r="A752" i="2"/>
  <c r="E751" i="2"/>
  <c r="B751" i="2"/>
  <c r="A751" i="2"/>
  <c r="AD750" i="2"/>
  <c r="AC750" i="2"/>
  <c r="R750" i="2"/>
  <c r="E750" i="2"/>
  <c r="B750" i="2"/>
  <c r="A750" i="2"/>
  <c r="E749" i="2"/>
  <c r="B749" i="2"/>
  <c r="A749" i="2"/>
  <c r="E748" i="2"/>
  <c r="B748" i="2"/>
  <c r="A748" i="2"/>
  <c r="Y747" i="2"/>
  <c r="W747" i="2"/>
  <c r="K747" i="2"/>
  <c r="E747" i="2"/>
  <c r="B747" i="2"/>
  <c r="A747" i="2"/>
  <c r="T746" i="2"/>
  <c r="K746" i="2"/>
  <c r="J746" i="2"/>
  <c r="E746" i="2"/>
  <c r="D746" i="2"/>
  <c r="B746" i="2"/>
  <c r="A746" i="2"/>
  <c r="AF746" i="2" s="1"/>
  <c r="E745" i="2"/>
  <c r="B745" i="2"/>
  <c r="A745" i="2"/>
  <c r="P745" i="2" s="1"/>
  <c r="AH744" i="2"/>
  <c r="AG744" i="2"/>
  <c r="AD744" i="2"/>
  <c r="V744" i="2"/>
  <c r="T744" i="2"/>
  <c r="J744" i="2"/>
  <c r="H744" i="2"/>
  <c r="E744" i="2"/>
  <c r="B744" i="2"/>
  <c r="A744" i="2"/>
  <c r="U744" i="2" s="1"/>
  <c r="AF743" i="2"/>
  <c r="U743" i="2"/>
  <c r="T743" i="2"/>
  <c r="S743" i="2"/>
  <c r="G743" i="2"/>
  <c r="E743" i="2"/>
  <c r="B743" i="2"/>
  <c r="A743" i="2"/>
  <c r="AG743" i="2" s="1"/>
  <c r="V742" i="2"/>
  <c r="T742" i="2"/>
  <c r="E742" i="2"/>
  <c r="B742" i="2"/>
  <c r="A742" i="2"/>
  <c r="W742" i="2" s="1"/>
  <c r="AH741" i="2"/>
  <c r="AF741" i="2"/>
  <c r="AD741" i="2"/>
  <c r="R741" i="2"/>
  <c r="K741" i="2"/>
  <c r="J741" i="2"/>
  <c r="E741" i="2"/>
  <c r="B741" i="2"/>
  <c r="A741" i="2"/>
  <c r="AF740" i="2"/>
  <c r="S740" i="2"/>
  <c r="E740" i="2"/>
  <c r="B740" i="2"/>
  <c r="A740" i="2"/>
  <c r="E739" i="2"/>
  <c r="B739" i="2"/>
  <c r="A739" i="2"/>
  <c r="E738" i="2"/>
  <c r="B738" i="2"/>
  <c r="A738" i="2"/>
  <c r="E737" i="2"/>
  <c r="B737" i="2"/>
  <c r="A737" i="2"/>
  <c r="W737" i="2" s="1"/>
  <c r="E736" i="2"/>
  <c r="B736" i="2"/>
  <c r="A736" i="2"/>
  <c r="Y735" i="2"/>
  <c r="E735" i="2"/>
  <c r="C735" i="2"/>
  <c r="B735" i="2"/>
  <c r="A735" i="2"/>
  <c r="Z734" i="2"/>
  <c r="E734" i="2"/>
  <c r="B734" i="2"/>
  <c r="A734" i="2"/>
  <c r="Y733" i="2"/>
  <c r="V733" i="2"/>
  <c r="J733" i="2"/>
  <c r="G733" i="2"/>
  <c r="E733" i="2"/>
  <c r="B733" i="2"/>
  <c r="A733" i="2"/>
  <c r="X733" i="2" s="1"/>
  <c r="E732" i="2"/>
  <c r="B732" i="2"/>
  <c r="A732" i="2"/>
  <c r="U731" i="2"/>
  <c r="T731" i="2"/>
  <c r="E731" i="2"/>
  <c r="B731" i="2"/>
  <c r="A731" i="2"/>
  <c r="Z730" i="2"/>
  <c r="E730" i="2"/>
  <c r="B730" i="2"/>
  <c r="A730" i="2"/>
  <c r="U729" i="2"/>
  <c r="T729" i="2"/>
  <c r="S729" i="2"/>
  <c r="H729" i="2"/>
  <c r="E729" i="2"/>
  <c r="B729" i="2"/>
  <c r="A729" i="2"/>
  <c r="AG729" i="2" s="1"/>
  <c r="E728" i="2"/>
  <c r="B728" i="2"/>
  <c r="A728" i="2"/>
  <c r="AB727" i="2"/>
  <c r="Y727" i="2"/>
  <c r="X727" i="2"/>
  <c r="E727" i="2"/>
  <c r="B727" i="2"/>
  <c r="A727" i="2"/>
  <c r="E726" i="2"/>
  <c r="B726" i="2"/>
  <c r="A726" i="2"/>
  <c r="E725" i="2"/>
  <c r="B725" i="2"/>
  <c r="A725" i="2"/>
  <c r="E724" i="2"/>
  <c r="B724" i="2"/>
  <c r="A724" i="2"/>
  <c r="AK723" i="2"/>
  <c r="T723" i="2"/>
  <c r="R723" i="2"/>
  <c r="E723" i="2"/>
  <c r="B723" i="2"/>
  <c r="A723" i="2"/>
  <c r="AD722" i="2"/>
  <c r="E722" i="2"/>
  <c r="B722" i="2"/>
  <c r="A722" i="2"/>
  <c r="AC721" i="2"/>
  <c r="R721" i="2"/>
  <c r="H721" i="2"/>
  <c r="E721" i="2"/>
  <c r="B721" i="2"/>
  <c r="A721" i="2"/>
  <c r="P721" i="2" s="1"/>
  <c r="E720" i="2"/>
  <c r="B720" i="2"/>
  <c r="A720" i="2"/>
  <c r="E719" i="2"/>
  <c r="B719" i="2"/>
  <c r="A719" i="2"/>
  <c r="E718" i="2"/>
  <c r="B718" i="2"/>
  <c r="A718" i="2"/>
  <c r="E717" i="2"/>
  <c r="B717" i="2"/>
  <c r="A717" i="2"/>
  <c r="E716" i="2"/>
  <c r="B716" i="2"/>
  <c r="A716" i="2"/>
  <c r="E715" i="2"/>
  <c r="B715" i="2"/>
  <c r="A715" i="2"/>
  <c r="E714" i="2"/>
  <c r="B714" i="2"/>
  <c r="A714" i="2"/>
  <c r="E713" i="2"/>
  <c r="B713" i="2"/>
  <c r="A713" i="2"/>
  <c r="AD712" i="2"/>
  <c r="T712" i="2"/>
  <c r="E712" i="2"/>
  <c r="B712" i="2"/>
  <c r="A712" i="2"/>
  <c r="AF712" i="2" s="1"/>
  <c r="X711" i="2"/>
  <c r="V711" i="2"/>
  <c r="E711" i="2"/>
  <c r="B711" i="2"/>
  <c r="A711" i="2"/>
  <c r="U711" i="2" s="1"/>
  <c r="AC710" i="2"/>
  <c r="G710" i="2"/>
  <c r="E710" i="2"/>
  <c r="D710" i="2"/>
  <c r="B710" i="2"/>
  <c r="A710" i="2"/>
  <c r="X709" i="2"/>
  <c r="V709" i="2"/>
  <c r="E709" i="2"/>
  <c r="D709" i="2"/>
  <c r="C709" i="2"/>
  <c r="B709" i="2"/>
  <c r="A709" i="2"/>
  <c r="AB708" i="2"/>
  <c r="Z708" i="2"/>
  <c r="K708" i="2"/>
  <c r="J708" i="2"/>
  <c r="E708" i="2"/>
  <c r="B708" i="2"/>
  <c r="A708" i="2"/>
  <c r="E707" i="2"/>
  <c r="B707" i="2"/>
  <c r="A707" i="2"/>
  <c r="E706" i="2"/>
  <c r="B706" i="2"/>
  <c r="A706" i="2"/>
  <c r="W705" i="2"/>
  <c r="K705" i="2"/>
  <c r="E705" i="2"/>
  <c r="B705" i="2"/>
  <c r="A705" i="2"/>
  <c r="AH704" i="2"/>
  <c r="J704" i="2"/>
  <c r="E704" i="2"/>
  <c r="B704" i="2"/>
  <c r="A704" i="2"/>
  <c r="AG703" i="2"/>
  <c r="X703" i="2"/>
  <c r="W703" i="2"/>
  <c r="U703" i="2"/>
  <c r="E703" i="2"/>
  <c r="B703" i="2"/>
  <c r="A703" i="2"/>
  <c r="AH703" i="2" s="1"/>
  <c r="E702" i="2"/>
  <c r="B702" i="2"/>
  <c r="A702" i="2"/>
  <c r="V701" i="2"/>
  <c r="U701" i="2"/>
  <c r="T701" i="2"/>
  <c r="J701" i="2"/>
  <c r="G701" i="2"/>
  <c r="E701" i="2"/>
  <c r="D701" i="2"/>
  <c r="B701" i="2"/>
  <c r="A701" i="2"/>
  <c r="K701" i="2" s="1"/>
  <c r="AG700" i="2"/>
  <c r="AF700" i="2"/>
  <c r="T700" i="2"/>
  <c r="S700" i="2"/>
  <c r="R700" i="2"/>
  <c r="H700" i="2"/>
  <c r="G700" i="2"/>
  <c r="E700" i="2"/>
  <c r="C700" i="2"/>
  <c r="B700" i="2"/>
  <c r="A700" i="2"/>
  <c r="AC699" i="2"/>
  <c r="X699" i="2"/>
  <c r="V699" i="2"/>
  <c r="E699" i="2"/>
  <c r="B699" i="2"/>
  <c r="A699" i="2"/>
  <c r="AD698" i="2"/>
  <c r="E698" i="2"/>
  <c r="B698" i="2"/>
  <c r="A698" i="2"/>
  <c r="AH697" i="2"/>
  <c r="AF697" i="2"/>
  <c r="AD697" i="2"/>
  <c r="V697" i="2"/>
  <c r="T697" i="2"/>
  <c r="R697" i="2"/>
  <c r="J697" i="2"/>
  <c r="H697" i="2"/>
  <c r="G697" i="2"/>
  <c r="E697" i="2"/>
  <c r="D697" i="2"/>
  <c r="C697" i="2"/>
  <c r="B697" i="2"/>
  <c r="A697" i="2"/>
  <c r="X697" i="2" s="1"/>
  <c r="AB696" i="2"/>
  <c r="V696" i="2"/>
  <c r="E696" i="2"/>
  <c r="B696" i="2"/>
  <c r="A696" i="2"/>
  <c r="E695" i="2"/>
  <c r="B695" i="2"/>
  <c r="A695" i="2"/>
  <c r="E694" i="2"/>
  <c r="B694" i="2"/>
  <c r="A694" i="2"/>
  <c r="E693" i="2"/>
  <c r="B693" i="2"/>
  <c r="A693" i="2"/>
  <c r="E692" i="2"/>
  <c r="B692" i="2"/>
  <c r="A692" i="2"/>
  <c r="AK691" i="2"/>
  <c r="AG691" i="2"/>
  <c r="E691" i="2"/>
  <c r="B691" i="2"/>
  <c r="A691" i="2"/>
  <c r="E690" i="2"/>
  <c r="B690" i="2"/>
  <c r="A690" i="2"/>
  <c r="AC689" i="2"/>
  <c r="AB689" i="2"/>
  <c r="Z689" i="2"/>
  <c r="U689" i="2"/>
  <c r="T689" i="2"/>
  <c r="K689" i="2"/>
  <c r="J689" i="2"/>
  <c r="H689" i="2"/>
  <c r="G689" i="2"/>
  <c r="E689" i="2"/>
  <c r="D689" i="2"/>
  <c r="C689" i="2"/>
  <c r="B689" i="2"/>
  <c r="A689" i="2"/>
  <c r="V689" i="2" s="1"/>
  <c r="E688" i="2"/>
  <c r="B688" i="2"/>
  <c r="A688" i="2"/>
  <c r="AH687" i="2"/>
  <c r="Z687" i="2"/>
  <c r="E687" i="2"/>
  <c r="B687" i="2"/>
  <c r="A687" i="2"/>
  <c r="E686" i="2"/>
  <c r="B686" i="2"/>
  <c r="A686" i="2"/>
  <c r="AH685" i="2"/>
  <c r="J685" i="2"/>
  <c r="G685" i="2"/>
  <c r="E685" i="2"/>
  <c r="B685" i="2"/>
  <c r="A685" i="2"/>
  <c r="P685" i="2" s="1"/>
  <c r="E684" i="2"/>
  <c r="B684" i="2"/>
  <c r="A684" i="2"/>
  <c r="E683" i="2"/>
  <c r="B683" i="2"/>
  <c r="A683" i="2"/>
  <c r="E682" i="2"/>
  <c r="B682" i="2"/>
  <c r="A682" i="2"/>
  <c r="AK681" i="2"/>
  <c r="AF681" i="2"/>
  <c r="Z681" i="2"/>
  <c r="E681" i="2"/>
  <c r="B681" i="2"/>
  <c r="A681" i="2"/>
  <c r="J680" i="2"/>
  <c r="E680" i="2"/>
  <c r="B680" i="2"/>
  <c r="A680" i="2"/>
  <c r="AG679" i="2"/>
  <c r="X679" i="2"/>
  <c r="W679" i="2"/>
  <c r="V679" i="2"/>
  <c r="R679" i="2"/>
  <c r="J679" i="2"/>
  <c r="E679" i="2"/>
  <c r="B679" i="2"/>
  <c r="A679" i="2"/>
  <c r="E678" i="2"/>
  <c r="B678" i="2"/>
  <c r="A678" i="2"/>
  <c r="V677" i="2"/>
  <c r="E677" i="2"/>
  <c r="B677" i="2"/>
  <c r="A677" i="2"/>
  <c r="E676" i="2"/>
  <c r="B676" i="2"/>
  <c r="A676" i="2"/>
  <c r="E675" i="2"/>
  <c r="B675" i="2"/>
  <c r="A675" i="2"/>
  <c r="E674" i="2"/>
  <c r="B674" i="2"/>
  <c r="A674" i="2"/>
  <c r="E673" i="2"/>
  <c r="B673" i="2"/>
  <c r="A673" i="2"/>
  <c r="E672" i="2"/>
  <c r="B672" i="2"/>
  <c r="A672" i="2"/>
  <c r="H671" i="2"/>
  <c r="E671" i="2"/>
  <c r="D671" i="2"/>
  <c r="B671" i="2"/>
  <c r="A671" i="2"/>
  <c r="E670" i="2"/>
  <c r="B670" i="2"/>
  <c r="A670" i="2"/>
  <c r="E669" i="2"/>
  <c r="B669" i="2"/>
  <c r="A669" i="2"/>
  <c r="AC668" i="2"/>
  <c r="AB668" i="2"/>
  <c r="R668" i="2"/>
  <c r="E668" i="2"/>
  <c r="B668" i="2"/>
  <c r="A668" i="2"/>
  <c r="R667" i="2"/>
  <c r="E667" i="2"/>
  <c r="B667" i="2"/>
  <c r="A667" i="2"/>
  <c r="E666" i="2"/>
  <c r="B666" i="2"/>
  <c r="A666" i="2"/>
  <c r="AK665" i="2"/>
  <c r="AF665" i="2"/>
  <c r="V665" i="2"/>
  <c r="S665" i="2"/>
  <c r="K665" i="2"/>
  <c r="J665" i="2"/>
  <c r="H665" i="2"/>
  <c r="E665" i="2"/>
  <c r="C665" i="2"/>
  <c r="B665" i="2"/>
  <c r="A665" i="2"/>
  <c r="AD664" i="2"/>
  <c r="S664" i="2"/>
  <c r="R664" i="2"/>
  <c r="E664" i="2"/>
  <c r="B664" i="2"/>
  <c r="A664" i="2"/>
  <c r="AC663" i="2"/>
  <c r="X663" i="2"/>
  <c r="R663" i="2"/>
  <c r="E663" i="2"/>
  <c r="B663" i="2"/>
  <c r="A663" i="2"/>
  <c r="AD662" i="2"/>
  <c r="S662" i="2"/>
  <c r="K662" i="2"/>
  <c r="J662" i="2"/>
  <c r="G662" i="2"/>
  <c r="E662" i="2"/>
  <c r="D662" i="2"/>
  <c r="B662" i="2"/>
  <c r="A662" i="2"/>
  <c r="AF662" i="2" s="1"/>
  <c r="E661" i="2"/>
  <c r="B661" i="2"/>
  <c r="A661" i="2"/>
  <c r="AF660" i="2"/>
  <c r="AC660" i="2"/>
  <c r="AB660" i="2"/>
  <c r="U660" i="2"/>
  <c r="R660" i="2"/>
  <c r="H660" i="2"/>
  <c r="G660" i="2"/>
  <c r="E660" i="2"/>
  <c r="B660" i="2"/>
  <c r="A660" i="2"/>
  <c r="E659" i="2"/>
  <c r="B659" i="2"/>
  <c r="A659" i="2"/>
  <c r="E658" i="2"/>
  <c r="B658" i="2"/>
  <c r="A658" i="2"/>
  <c r="Z657" i="2"/>
  <c r="G657" i="2"/>
  <c r="E657" i="2"/>
  <c r="B657" i="2"/>
  <c r="A657" i="2"/>
  <c r="E656" i="2"/>
  <c r="B656" i="2"/>
  <c r="A656" i="2"/>
  <c r="AF655" i="2"/>
  <c r="Z655" i="2"/>
  <c r="V655" i="2"/>
  <c r="U655" i="2"/>
  <c r="T655" i="2"/>
  <c r="E655" i="2"/>
  <c r="B655" i="2"/>
  <c r="A655" i="2"/>
  <c r="W655" i="2" s="1"/>
  <c r="AK654" i="2"/>
  <c r="AG654" i="2"/>
  <c r="AF654" i="2"/>
  <c r="AC654" i="2"/>
  <c r="Z654" i="2"/>
  <c r="W654" i="2"/>
  <c r="V654" i="2"/>
  <c r="J654" i="2"/>
  <c r="H654" i="2"/>
  <c r="G654" i="2"/>
  <c r="E654" i="2"/>
  <c r="D654" i="2"/>
  <c r="B654" i="2"/>
  <c r="A654" i="2"/>
  <c r="T654" i="2" s="1"/>
  <c r="E653" i="2"/>
  <c r="B653" i="2"/>
  <c r="A653" i="2"/>
  <c r="AD652" i="2"/>
  <c r="S652" i="2"/>
  <c r="G652" i="2"/>
  <c r="E652" i="2"/>
  <c r="C652" i="2"/>
  <c r="B652" i="2"/>
  <c r="A652" i="2"/>
  <c r="E651" i="2"/>
  <c r="B651" i="2"/>
  <c r="A651" i="2"/>
  <c r="E650" i="2"/>
  <c r="B650" i="2"/>
  <c r="A650" i="2"/>
  <c r="X649" i="2"/>
  <c r="W649" i="2"/>
  <c r="U649" i="2"/>
  <c r="E649" i="2"/>
  <c r="B649" i="2"/>
  <c r="A649" i="2"/>
  <c r="E648" i="2"/>
  <c r="B648" i="2"/>
  <c r="A648" i="2"/>
  <c r="E647" i="2"/>
  <c r="B647" i="2"/>
  <c r="A647" i="2"/>
  <c r="S646" i="2"/>
  <c r="R646" i="2"/>
  <c r="G646" i="2"/>
  <c r="E646" i="2"/>
  <c r="C646" i="2"/>
  <c r="B646" i="2"/>
  <c r="A646" i="2"/>
  <c r="AG646" i="2" s="1"/>
  <c r="V645" i="2"/>
  <c r="E645" i="2"/>
  <c r="B645" i="2"/>
  <c r="A645" i="2"/>
  <c r="AC644" i="2"/>
  <c r="K644" i="2"/>
  <c r="J644" i="2"/>
  <c r="G644" i="2"/>
  <c r="E644" i="2"/>
  <c r="B644" i="2"/>
  <c r="A644" i="2"/>
  <c r="X643" i="2"/>
  <c r="W643" i="2"/>
  <c r="U643" i="2"/>
  <c r="E643" i="2"/>
  <c r="B643" i="2"/>
  <c r="A643" i="2"/>
  <c r="AC643" i="2" s="1"/>
  <c r="AB642" i="2"/>
  <c r="K642" i="2"/>
  <c r="J642" i="2"/>
  <c r="E642" i="2"/>
  <c r="B642" i="2"/>
  <c r="A642" i="2"/>
  <c r="AC642" i="2" s="1"/>
  <c r="Y641" i="2"/>
  <c r="E641" i="2"/>
  <c r="B641" i="2"/>
  <c r="A641" i="2"/>
  <c r="E640" i="2"/>
  <c r="B640" i="2"/>
  <c r="A640" i="2"/>
  <c r="E639" i="2"/>
  <c r="D639" i="2"/>
  <c r="B639" i="2"/>
  <c r="A639" i="2"/>
  <c r="AK639" i="2" s="1"/>
  <c r="AK638" i="2"/>
  <c r="S638" i="2"/>
  <c r="K638" i="2"/>
  <c r="E638" i="2"/>
  <c r="B638" i="2"/>
  <c r="A638" i="2"/>
  <c r="AC637" i="2"/>
  <c r="AB637" i="2"/>
  <c r="Z637" i="2"/>
  <c r="X637" i="2"/>
  <c r="U637" i="2"/>
  <c r="J637" i="2"/>
  <c r="E637" i="2"/>
  <c r="C637" i="2"/>
  <c r="B637" i="2"/>
  <c r="A637" i="2"/>
  <c r="AD637" i="2" s="1"/>
  <c r="E636" i="2"/>
  <c r="B636" i="2"/>
  <c r="A636" i="2"/>
  <c r="Z636" i="2" s="1"/>
  <c r="AF635" i="2"/>
  <c r="E635" i="2"/>
  <c r="B635" i="2"/>
  <c r="A635" i="2"/>
  <c r="R634" i="2"/>
  <c r="E634" i="2"/>
  <c r="B634" i="2"/>
  <c r="A634" i="2"/>
  <c r="Z633" i="2"/>
  <c r="X633" i="2"/>
  <c r="W633" i="2"/>
  <c r="J633" i="2"/>
  <c r="E633" i="2"/>
  <c r="B633" i="2"/>
  <c r="A633" i="2"/>
  <c r="E632" i="2"/>
  <c r="B632" i="2"/>
  <c r="A632" i="2"/>
  <c r="E631" i="2"/>
  <c r="B631" i="2"/>
  <c r="A631" i="2"/>
  <c r="AD631" i="2" s="1"/>
  <c r="AC630" i="2"/>
  <c r="E630" i="2"/>
  <c r="B630" i="2"/>
  <c r="A630" i="2"/>
  <c r="E629" i="2"/>
  <c r="B629" i="2"/>
  <c r="A629" i="2"/>
  <c r="X628" i="2"/>
  <c r="U628" i="2"/>
  <c r="S628" i="2"/>
  <c r="E628" i="2"/>
  <c r="B628" i="2"/>
  <c r="A628" i="2"/>
  <c r="Z627" i="2"/>
  <c r="Y627" i="2"/>
  <c r="W627" i="2"/>
  <c r="K627" i="2"/>
  <c r="H627" i="2"/>
  <c r="E627" i="2"/>
  <c r="B627" i="2"/>
  <c r="A627" i="2"/>
  <c r="E626" i="2"/>
  <c r="B626" i="2"/>
  <c r="A626" i="2"/>
  <c r="AC625" i="2"/>
  <c r="Z625" i="2"/>
  <c r="E625" i="2"/>
  <c r="B625" i="2"/>
  <c r="A625" i="2"/>
  <c r="E624" i="2"/>
  <c r="B624" i="2"/>
  <c r="A624" i="2"/>
  <c r="E623" i="2"/>
  <c r="B623" i="2"/>
  <c r="A623" i="2"/>
  <c r="AK622" i="2"/>
  <c r="X622" i="2"/>
  <c r="W622" i="2"/>
  <c r="K622" i="2"/>
  <c r="H622" i="2"/>
  <c r="E622" i="2"/>
  <c r="B622" i="2"/>
  <c r="A622" i="2"/>
  <c r="E621" i="2"/>
  <c r="B621" i="2"/>
  <c r="A621" i="2"/>
  <c r="J620" i="2"/>
  <c r="E620" i="2"/>
  <c r="B620" i="2"/>
  <c r="A620" i="2"/>
  <c r="AB619" i="2"/>
  <c r="Z619" i="2"/>
  <c r="K619" i="2"/>
  <c r="J619" i="2"/>
  <c r="E619" i="2"/>
  <c r="B619" i="2"/>
  <c r="A619" i="2"/>
  <c r="Q619" i="2" s="1"/>
  <c r="AF618" i="2"/>
  <c r="K618" i="2"/>
  <c r="E618" i="2"/>
  <c r="B618" i="2"/>
  <c r="A618" i="2"/>
  <c r="AH618" i="2" s="1"/>
  <c r="E617" i="2"/>
  <c r="B617" i="2"/>
  <c r="A617" i="2"/>
  <c r="AH617" i="2" s="1"/>
  <c r="E616" i="2"/>
  <c r="C616" i="2"/>
  <c r="B616" i="2"/>
  <c r="A616" i="2"/>
  <c r="AK616" i="2" s="1"/>
  <c r="E615" i="2"/>
  <c r="B615" i="2"/>
  <c r="A615" i="2"/>
  <c r="E614" i="2"/>
  <c r="B614" i="2"/>
  <c r="A614" i="2"/>
  <c r="AK613" i="2"/>
  <c r="AD613" i="2"/>
  <c r="W613" i="2"/>
  <c r="U613" i="2"/>
  <c r="K613" i="2"/>
  <c r="E613" i="2"/>
  <c r="C613" i="2"/>
  <c r="B613" i="2"/>
  <c r="A613" i="2"/>
  <c r="P613" i="2" s="1"/>
  <c r="E612" i="2"/>
  <c r="B612" i="2"/>
  <c r="A612" i="2"/>
  <c r="E611" i="2"/>
  <c r="B611" i="2"/>
  <c r="A611" i="2"/>
  <c r="T610" i="2"/>
  <c r="R610" i="2"/>
  <c r="E610" i="2"/>
  <c r="B610" i="2"/>
  <c r="A610" i="2"/>
  <c r="AK609" i="2"/>
  <c r="AH609" i="2"/>
  <c r="W609" i="2"/>
  <c r="K609" i="2"/>
  <c r="E609" i="2"/>
  <c r="B609" i="2"/>
  <c r="A609" i="2"/>
  <c r="AH608" i="2"/>
  <c r="AG608" i="2"/>
  <c r="E608" i="2"/>
  <c r="B608" i="2"/>
  <c r="A608" i="2"/>
  <c r="E607" i="2"/>
  <c r="B607" i="2"/>
  <c r="A607" i="2"/>
  <c r="AK606" i="2"/>
  <c r="AB606" i="2"/>
  <c r="W606" i="2"/>
  <c r="T606" i="2"/>
  <c r="K606" i="2"/>
  <c r="E606" i="2"/>
  <c r="B606" i="2"/>
  <c r="A606" i="2"/>
  <c r="S605" i="2"/>
  <c r="E605" i="2"/>
  <c r="B605" i="2"/>
  <c r="A605" i="2"/>
  <c r="U605" i="2" s="1"/>
  <c r="E604" i="2"/>
  <c r="B604" i="2"/>
  <c r="A604" i="2"/>
  <c r="AF603" i="2"/>
  <c r="AC603" i="2"/>
  <c r="S603" i="2"/>
  <c r="H603" i="2"/>
  <c r="G603" i="2"/>
  <c r="E603" i="2"/>
  <c r="D603" i="2"/>
  <c r="B603" i="2"/>
  <c r="A603" i="2"/>
  <c r="AB603" i="2" s="1"/>
  <c r="S602" i="2"/>
  <c r="J602" i="2"/>
  <c r="E602" i="2"/>
  <c r="B602" i="2"/>
  <c r="A602" i="2"/>
  <c r="AK601" i="2"/>
  <c r="AG601" i="2"/>
  <c r="AF601" i="2"/>
  <c r="AC601" i="2"/>
  <c r="Z601" i="2"/>
  <c r="X601" i="2"/>
  <c r="R601" i="2"/>
  <c r="K601" i="2"/>
  <c r="H601" i="2"/>
  <c r="E601" i="2"/>
  <c r="C601" i="2"/>
  <c r="B601" i="2"/>
  <c r="A601" i="2"/>
  <c r="U601" i="2" s="1"/>
  <c r="E600" i="2"/>
  <c r="B600" i="2"/>
  <c r="A600" i="2"/>
  <c r="E599" i="2"/>
  <c r="B599" i="2"/>
  <c r="A599" i="2"/>
  <c r="E598" i="2"/>
  <c r="B598" i="2"/>
  <c r="A598" i="2"/>
  <c r="E597" i="2"/>
  <c r="B597" i="2"/>
  <c r="A597" i="2"/>
  <c r="E596" i="2"/>
  <c r="B596" i="2"/>
  <c r="A596" i="2"/>
  <c r="U595" i="2"/>
  <c r="T595" i="2"/>
  <c r="E595" i="2"/>
  <c r="B595" i="2"/>
  <c r="A595" i="2"/>
  <c r="AK595" i="2" s="1"/>
  <c r="AC594" i="2"/>
  <c r="Y594" i="2"/>
  <c r="T594" i="2"/>
  <c r="E594" i="2"/>
  <c r="B594" i="2"/>
  <c r="A594" i="2"/>
  <c r="AD593" i="2"/>
  <c r="AB593" i="2"/>
  <c r="E593" i="2"/>
  <c r="B593" i="2"/>
  <c r="A593" i="2"/>
  <c r="AF592" i="2"/>
  <c r="E592" i="2"/>
  <c r="B592" i="2"/>
  <c r="A592" i="2"/>
  <c r="T591" i="2"/>
  <c r="K591" i="2"/>
  <c r="J591" i="2"/>
  <c r="E591" i="2"/>
  <c r="B591" i="2"/>
  <c r="A591" i="2"/>
  <c r="Z591" i="2" s="1"/>
  <c r="E590" i="2"/>
  <c r="B590" i="2"/>
  <c r="A590" i="2"/>
  <c r="E589" i="2"/>
  <c r="B589" i="2"/>
  <c r="A589" i="2"/>
  <c r="E588" i="2"/>
  <c r="B588" i="2"/>
  <c r="A588" i="2"/>
  <c r="E587" i="2"/>
  <c r="B587" i="2"/>
  <c r="A587" i="2"/>
  <c r="E586" i="2"/>
  <c r="B586" i="2"/>
  <c r="A586" i="2"/>
  <c r="AF585" i="2"/>
  <c r="E585" i="2"/>
  <c r="B585" i="2"/>
  <c r="A585" i="2"/>
  <c r="E584" i="2"/>
  <c r="B584" i="2"/>
  <c r="A584" i="2"/>
  <c r="Z583" i="2"/>
  <c r="E583" i="2"/>
  <c r="B583" i="2"/>
  <c r="A583" i="2"/>
  <c r="E582" i="2"/>
  <c r="B582" i="2"/>
  <c r="A582" i="2"/>
  <c r="R581" i="2"/>
  <c r="E581" i="2"/>
  <c r="B581" i="2"/>
  <c r="A581" i="2"/>
  <c r="AH581" i="2" s="1"/>
  <c r="E580" i="2"/>
  <c r="C580" i="2"/>
  <c r="B580" i="2"/>
  <c r="A580" i="2"/>
  <c r="AK580" i="2" s="1"/>
  <c r="E579" i="2"/>
  <c r="B579" i="2"/>
  <c r="A579" i="2"/>
  <c r="AH578" i="2"/>
  <c r="G578" i="2"/>
  <c r="E578" i="2"/>
  <c r="C578" i="2"/>
  <c r="B578" i="2"/>
  <c r="A578" i="2"/>
  <c r="AC578" i="2" s="1"/>
  <c r="AH577" i="2"/>
  <c r="X577" i="2"/>
  <c r="U577" i="2"/>
  <c r="H577" i="2"/>
  <c r="E577" i="2"/>
  <c r="B577" i="2"/>
  <c r="A577" i="2"/>
  <c r="AK577" i="2" s="1"/>
  <c r="E576" i="2"/>
  <c r="B576" i="2"/>
  <c r="A576" i="2"/>
  <c r="AH575" i="2"/>
  <c r="AD575" i="2"/>
  <c r="AC575" i="2"/>
  <c r="R575" i="2"/>
  <c r="G575" i="2"/>
  <c r="E575" i="2"/>
  <c r="D575" i="2"/>
  <c r="B575" i="2"/>
  <c r="A575" i="2"/>
  <c r="AH574" i="2"/>
  <c r="AB574" i="2"/>
  <c r="J574" i="2"/>
  <c r="E574" i="2"/>
  <c r="D574" i="2"/>
  <c r="B574" i="2"/>
  <c r="A574" i="2"/>
  <c r="AD574" i="2" s="1"/>
  <c r="E573" i="2"/>
  <c r="B573" i="2"/>
  <c r="A573" i="2"/>
  <c r="E572" i="2"/>
  <c r="B572" i="2"/>
  <c r="A572" i="2"/>
  <c r="E571" i="2"/>
  <c r="B571" i="2"/>
  <c r="A571" i="2"/>
  <c r="AK570" i="2"/>
  <c r="X570" i="2"/>
  <c r="E570" i="2"/>
  <c r="B570" i="2"/>
  <c r="A570" i="2"/>
  <c r="E569" i="2"/>
  <c r="B569" i="2"/>
  <c r="A569" i="2"/>
  <c r="AK568" i="2"/>
  <c r="AH568" i="2"/>
  <c r="AG568" i="2"/>
  <c r="AF568" i="2"/>
  <c r="T568" i="2"/>
  <c r="H568" i="2"/>
  <c r="E568" i="2"/>
  <c r="C568" i="2"/>
  <c r="B568" i="2"/>
  <c r="A568" i="2"/>
  <c r="X567" i="2"/>
  <c r="J567" i="2"/>
  <c r="H567" i="2"/>
  <c r="E567" i="2"/>
  <c r="B567" i="2"/>
  <c r="A567" i="2"/>
  <c r="AC567" i="2" s="1"/>
  <c r="H566" i="2"/>
  <c r="E566" i="2"/>
  <c r="B566" i="2"/>
  <c r="A566" i="2"/>
  <c r="AH565" i="2"/>
  <c r="AD565" i="2"/>
  <c r="AC565" i="2"/>
  <c r="X565" i="2"/>
  <c r="H565" i="2"/>
  <c r="G565" i="2"/>
  <c r="E565" i="2"/>
  <c r="B565" i="2"/>
  <c r="A565" i="2"/>
  <c r="AG565" i="2" s="1"/>
  <c r="AC564" i="2"/>
  <c r="Z564" i="2"/>
  <c r="X564" i="2"/>
  <c r="U564" i="2"/>
  <c r="E564" i="2"/>
  <c r="B564" i="2"/>
  <c r="A564" i="2"/>
  <c r="AB564" i="2" s="1"/>
  <c r="AD563" i="2"/>
  <c r="AC563" i="2"/>
  <c r="AB563" i="2"/>
  <c r="G563" i="2"/>
  <c r="E563" i="2"/>
  <c r="B563" i="2"/>
  <c r="A563" i="2"/>
  <c r="AF563" i="2" s="1"/>
  <c r="AC562" i="2"/>
  <c r="AB562" i="2"/>
  <c r="Z562" i="2"/>
  <c r="G562" i="2"/>
  <c r="E562" i="2"/>
  <c r="B562" i="2"/>
  <c r="A562" i="2"/>
  <c r="AD562" i="2" s="1"/>
  <c r="E561" i="2"/>
  <c r="B561" i="2"/>
  <c r="A561" i="2"/>
  <c r="E560" i="2"/>
  <c r="B560" i="2"/>
  <c r="A560" i="2"/>
  <c r="E559" i="2"/>
  <c r="B559" i="2"/>
  <c r="A559" i="2"/>
  <c r="E558" i="2"/>
  <c r="B558" i="2"/>
  <c r="A558" i="2"/>
  <c r="E557" i="2"/>
  <c r="B557" i="2"/>
  <c r="A557" i="2"/>
  <c r="AH557" i="2" s="1"/>
  <c r="U556" i="2"/>
  <c r="H556" i="2"/>
  <c r="E556" i="2"/>
  <c r="B556" i="2"/>
  <c r="A556" i="2"/>
  <c r="AF555" i="2"/>
  <c r="AD555" i="2"/>
  <c r="V555" i="2"/>
  <c r="K555" i="2"/>
  <c r="G555" i="2"/>
  <c r="E555" i="2"/>
  <c r="B555" i="2"/>
  <c r="A555" i="2"/>
  <c r="E554" i="2"/>
  <c r="B554" i="2"/>
  <c r="A554" i="2"/>
  <c r="T553" i="2"/>
  <c r="S553" i="2"/>
  <c r="J553" i="2"/>
  <c r="E553" i="2"/>
  <c r="C553" i="2"/>
  <c r="B553" i="2"/>
  <c r="A553" i="2"/>
  <c r="X553" i="2" s="1"/>
  <c r="AK552" i="2"/>
  <c r="AG552" i="2"/>
  <c r="Z552" i="2"/>
  <c r="U552" i="2"/>
  <c r="T552" i="2"/>
  <c r="S552" i="2"/>
  <c r="R552" i="2"/>
  <c r="E552" i="2"/>
  <c r="D552" i="2"/>
  <c r="B552" i="2"/>
  <c r="A552" i="2"/>
  <c r="V551" i="2"/>
  <c r="E551" i="2"/>
  <c r="B551" i="2"/>
  <c r="A551" i="2"/>
  <c r="AK550" i="2"/>
  <c r="AH550" i="2"/>
  <c r="Z550" i="2"/>
  <c r="R550" i="2"/>
  <c r="G550" i="2"/>
  <c r="E550" i="2"/>
  <c r="B550" i="2"/>
  <c r="A550" i="2"/>
  <c r="E549" i="2"/>
  <c r="B549" i="2"/>
  <c r="A549" i="2"/>
  <c r="E548" i="2"/>
  <c r="B548" i="2"/>
  <c r="A548" i="2"/>
  <c r="E547" i="2"/>
  <c r="B547" i="2"/>
  <c r="A547" i="2"/>
  <c r="E546" i="2"/>
  <c r="B546" i="2"/>
  <c r="A546" i="2"/>
  <c r="E545" i="2"/>
  <c r="B545" i="2"/>
  <c r="A545" i="2"/>
  <c r="E544" i="2"/>
  <c r="B544" i="2"/>
  <c r="A544" i="2"/>
  <c r="AK544" i="2" s="1"/>
  <c r="AH543" i="2"/>
  <c r="AD543" i="2"/>
  <c r="R543" i="2"/>
  <c r="E543" i="2"/>
  <c r="D543" i="2"/>
  <c r="C543" i="2"/>
  <c r="B543" i="2"/>
  <c r="A543" i="2"/>
  <c r="AG543" i="2" s="1"/>
  <c r="T542" i="2"/>
  <c r="J542" i="2"/>
  <c r="E542" i="2"/>
  <c r="B542" i="2"/>
  <c r="A542" i="2"/>
  <c r="U541" i="2"/>
  <c r="T541" i="2"/>
  <c r="S541" i="2"/>
  <c r="E541" i="2"/>
  <c r="C541" i="2"/>
  <c r="B541" i="2"/>
  <c r="A541" i="2"/>
  <c r="X541" i="2" s="1"/>
  <c r="W540" i="2"/>
  <c r="E540" i="2"/>
  <c r="B540" i="2"/>
  <c r="A540" i="2"/>
  <c r="E539" i="2"/>
  <c r="B539" i="2"/>
  <c r="A539" i="2"/>
  <c r="E538" i="2"/>
  <c r="B538" i="2"/>
  <c r="A538" i="2"/>
  <c r="AB537" i="2"/>
  <c r="E537" i="2"/>
  <c r="B537" i="2"/>
  <c r="A537" i="2"/>
  <c r="E536" i="2"/>
  <c r="D536" i="2"/>
  <c r="C536" i="2"/>
  <c r="B536" i="2"/>
  <c r="A536" i="2"/>
  <c r="E535" i="2"/>
  <c r="B535" i="2"/>
  <c r="A535" i="2"/>
  <c r="AD534" i="2"/>
  <c r="W534" i="2"/>
  <c r="R534" i="2"/>
  <c r="E534" i="2"/>
  <c r="C534" i="2"/>
  <c r="B534" i="2"/>
  <c r="A534" i="2"/>
  <c r="E533" i="2"/>
  <c r="B533" i="2"/>
  <c r="A533" i="2"/>
  <c r="E532" i="2"/>
  <c r="B532" i="2"/>
  <c r="A532" i="2"/>
  <c r="K531" i="2"/>
  <c r="J531" i="2"/>
  <c r="G531" i="2"/>
  <c r="E531" i="2"/>
  <c r="C531" i="2"/>
  <c r="B531" i="2"/>
  <c r="A531" i="2"/>
  <c r="AF531" i="2" s="1"/>
  <c r="R530" i="2"/>
  <c r="K530" i="2"/>
  <c r="J530" i="2"/>
  <c r="E530" i="2"/>
  <c r="B530" i="2"/>
  <c r="A530" i="2"/>
  <c r="AK530" i="2" s="1"/>
  <c r="E529" i="2"/>
  <c r="B529" i="2"/>
  <c r="A529" i="2"/>
  <c r="Z528" i="2"/>
  <c r="X528" i="2"/>
  <c r="E528" i="2"/>
  <c r="B528" i="2"/>
  <c r="A528" i="2"/>
  <c r="E527" i="2"/>
  <c r="B527" i="2"/>
  <c r="A527" i="2"/>
  <c r="AF527" i="2" s="1"/>
  <c r="E526" i="2"/>
  <c r="B526" i="2"/>
  <c r="A526" i="2"/>
  <c r="AH525" i="2"/>
  <c r="E525" i="2"/>
  <c r="B525" i="2"/>
  <c r="A525" i="2"/>
  <c r="AG524" i="2"/>
  <c r="K524" i="2"/>
  <c r="E524" i="2"/>
  <c r="B524" i="2"/>
  <c r="A524" i="2"/>
  <c r="AF523" i="2"/>
  <c r="AC523" i="2"/>
  <c r="W523" i="2"/>
  <c r="K523" i="2"/>
  <c r="H523" i="2"/>
  <c r="E523" i="2"/>
  <c r="C523" i="2"/>
  <c r="B523" i="2"/>
  <c r="A523" i="2"/>
  <c r="E522" i="2"/>
  <c r="B522" i="2"/>
  <c r="A522" i="2"/>
  <c r="E521" i="2"/>
  <c r="B521" i="2"/>
  <c r="A521" i="2"/>
  <c r="V520" i="2"/>
  <c r="T520" i="2"/>
  <c r="R520" i="2"/>
  <c r="E520" i="2"/>
  <c r="B520" i="2"/>
  <c r="A520" i="2"/>
  <c r="AK519" i="2"/>
  <c r="K519" i="2"/>
  <c r="E519" i="2"/>
  <c r="B519" i="2"/>
  <c r="A519" i="2"/>
  <c r="X518" i="2"/>
  <c r="E518" i="2"/>
  <c r="C518" i="2"/>
  <c r="B518" i="2"/>
  <c r="A518" i="2"/>
  <c r="E517" i="2"/>
  <c r="B517" i="2"/>
  <c r="A517" i="2"/>
  <c r="AF516" i="2"/>
  <c r="T516" i="2"/>
  <c r="J516" i="2"/>
  <c r="H516" i="2"/>
  <c r="E516" i="2"/>
  <c r="B516" i="2"/>
  <c r="A516" i="2"/>
  <c r="E515" i="2"/>
  <c r="B515" i="2"/>
  <c r="A515" i="2"/>
  <c r="AD514" i="2"/>
  <c r="AC514" i="2"/>
  <c r="V514" i="2"/>
  <c r="J514" i="2"/>
  <c r="E514" i="2"/>
  <c r="B514" i="2"/>
  <c r="A514" i="2"/>
  <c r="J513" i="2"/>
  <c r="E513" i="2"/>
  <c r="B513" i="2"/>
  <c r="A513" i="2"/>
  <c r="AC513" i="2" s="1"/>
  <c r="AD512" i="2"/>
  <c r="E512" i="2"/>
  <c r="B512" i="2"/>
  <c r="A512" i="2"/>
  <c r="H511" i="2"/>
  <c r="E511" i="2"/>
  <c r="B511" i="2"/>
  <c r="A511" i="2"/>
  <c r="AK511" i="2" s="1"/>
  <c r="Z510" i="2"/>
  <c r="G510" i="2"/>
  <c r="E510" i="2"/>
  <c r="D510" i="2"/>
  <c r="B510" i="2"/>
  <c r="A510" i="2"/>
  <c r="E509" i="2"/>
  <c r="B509" i="2"/>
  <c r="A509" i="2"/>
  <c r="Z508" i="2"/>
  <c r="E508" i="2"/>
  <c r="B508" i="2"/>
  <c r="A508" i="2"/>
  <c r="E507" i="2"/>
  <c r="B507" i="2"/>
  <c r="A507" i="2"/>
  <c r="AF506" i="2"/>
  <c r="AD506" i="2"/>
  <c r="T506" i="2"/>
  <c r="E506" i="2"/>
  <c r="B506" i="2"/>
  <c r="A506" i="2"/>
  <c r="E505" i="2"/>
  <c r="C505" i="2"/>
  <c r="B505" i="2"/>
  <c r="A505" i="2"/>
  <c r="Z505" i="2" s="1"/>
  <c r="T504" i="2"/>
  <c r="H504" i="2"/>
  <c r="E504" i="2"/>
  <c r="B504" i="2"/>
  <c r="A504" i="2"/>
  <c r="E503" i="2"/>
  <c r="B503" i="2"/>
  <c r="A503" i="2"/>
  <c r="AF502" i="2"/>
  <c r="E502" i="2"/>
  <c r="B502" i="2"/>
  <c r="A502" i="2"/>
  <c r="AK502" i="2" s="1"/>
  <c r="E501" i="2"/>
  <c r="B501" i="2"/>
  <c r="A501" i="2"/>
  <c r="X500" i="2"/>
  <c r="W500" i="2"/>
  <c r="V500" i="2"/>
  <c r="H500" i="2"/>
  <c r="E500" i="2"/>
  <c r="B500" i="2"/>
  <c r="A500" i="2"/>
  <c r="AK500" i="2" s="1"/>
  <c r="E499" i="2"/>
  <c r="B499" i="2"/>
  <c r="A499" i="2"/>
  <c r="Z499" i="2" s="1"/>
  <c r="Z498" i="2"/>
  <c r="E498" i="2"/>
  <c r="D498" i="2"/>
  <c r="B498" i="2"/>
  <c r="A498" i="2"/>
  <c r="E497" i="2"/>
  <c r="B497" i="2"/>
  <c r="A497" i="2"/>
  <c r="E496" i="2"/>
  <c r="B496" i="2"/>
  <c r="A496" i="2"/>
  <c r="AC496" i="2" s="1"/>
  <c r="W495" i="2"/>
  <c r="K495" i="2"/>
  <c r="E495" i="2"/>
  <c r="B495" i="2"/>
  <c r="A495" i="2"/>
  <c r="H494" i="2"/>
  <c r="E494" i="2"/>
  <c r="D494" i="2"/>
  <c r="B494" i="2"/>
  <c r="A494" i="2"/>
  <c r="AF494" i="2" s="1"/>
  <c r="E493" i="2"/>
  <c r="B493" i="2"/>
  <c r="A493" i="2"/>
  <c r="AF492" i="2"/>
  <c r="J492" i="2"/>
  <c r="H492" i="2"/>
  <c r="G492" i="2"/>
  <c r="E492" i="2"/>
  <c r="B492" i="2"/>
  <c r="A492" i="2"/>
  <c r="E491" i="2"/>
  <c r="B491" i="2"/>
  <c r="A491" i="2"/>
  <c r="E490" i="2"/>
  <c r="D490" i="2"/>
  <c r="B490" i="2"/>
  <c r="A490" i="2"/>
  <c r="AB490" i="2" s="1"/>
  <c r="E489" i="2"/>
  <c r="B489" i="2"/>
  <c r="A489" i="2"/>
  <c r="X488" i="2"/>
  <c r="E488" i="2"/>
  <c r="C488" i="2"/>
  <c r="B488" i="2"/>
  <c r="A488" i="2"/>
  <c r="T488" i="2" s="1"/>
  <c r="AC487" i="2"/>
  <c r="Z487" i="2"/>
  <c r="E487" i="2"/>
  <c r="B487" i="2"/>
  <c r="A487" i="2"/>
  <c r="Z486" i="2"/>
  <c r="E486" i="2"/>
  <c r="B486" i="2"/>
  <c r="A486" i="2"/>
  <c r="E485" i="2"/>
  <c r="B485" i="2"/>
  <c r="A485" i="2"/>
  <c r="E484" i="2"/>
  <c r="B484" i="2"/>
  <c r="A484" i="2"/>
  <c r="E483" i="2"/>
  <c r="B483" i="2"/>
  <c r="A483" i="2"/>
  <c r="AH482" i="2"/>
  <c r="R482" i="2"/>
  <c r="E482" i="2"/>
  <c r="B482" i="2"/>
  <c r="A482" i="2"/>
  <c r="AF481" i="2"/>
  <c r="T481" i="2"/>
  <c r="E481" i="2"/>
  <c r="B481" i="2"/>
  <c r="A481" i="2"/>
  <c r="AH481" i="2" s="1"/>
  <c r="S480" i="2"/>
  <c r="G480" i="2"/>
  <c r="E480" i="2"/>
  <c r="B480" i="2"/>
  <c r="A480" i="2"/>
  <c r="E479" i="2"/>
  <c r="B479" i="2"/>
  <c r="A479" i="2"/>
  <c r="AF478" i="2"/>
  <c r="K478" i="2"/>
  <c r="E478" i="2"/>
  <c r="B478" i="2"/>
  <c r="A478" i="2"/>
  <c r="AC477" i="2"/>
  <c r="E477" i="2"/>
  <c r="B477" i="2"/>
  <c r="A477" i="2"/>
  <c r="AH477" i="2" s="1"/>
  <c r="V476" i="2"/>
  <c r="E476" i="2"/>
  <c r="B476" i="2"/>
  <c r="A476" i="2"/>
  <c r="AG475" i="2"/>
  <c r="U475" i="2"/>
  <c r="E475" i="2"/>
  <c r="B475" i="2"/>
  <c r="A475" i="2"/>
  <c r="E474" i="2"/>
  <c r="D474" i="2"/>
  <c r="B474" i="2"/>
  <c r="A474" i="2"/>
  <c r="E473" i="2"/>
  <c r="B473" i="2"/>
  <c r="A473" i="2"/>
  <c r="E472" i="2"/>
  <c r="C472" i="2"/>
  <c r="B472" i="2"/>
  <c r="A472" i="2"/>
  <c r="W472" i="2" s="1"/>
  <c r="E471" i="2"/>
  <c r="B471" i="2"/>
  <c r="A471" i="2"/>
  <c r="AH470" i="2"/>
  <c r="E470" i="2"/>
  <c r="B470" i="2"/>
  <c r="A470" i="2"/>
  <c r="AK469" i="2"/>
  <c r="U469" i="2"/>
  <c r="E469" i="2"/>
  <c r="C469" i="2"/>
  <c r="B469" i="2"/>
  <c r="A469" i="2"/>
  <c r="E468" i="2"/>
  <c r="B468" i="2"/>
  <c r="A468" i="2"/>
  <c r="E467" i="2"/>
  <c r="B467" i="2"/>
  <c r="A467" i="2"/>
  <c r="AD467" i="2" s="1"/>
  <c r="X466" i="2"/>
  <c r="E466" i="2"/>
  <c r="B466" i="2"/>
  <c r="A466" i="2"/>
  <c r="AK465" i="2"/>
  <c r="AH465" i="2"/>
  <c r="V465" i="2"/>
  <c r="J465" i="2"/>
  <c r="G465" i="2"/>
  <c r="E465" i="2"/>
  <c r="D465" i="2"/>
  <c r="B465" i="2"/>
  <c r="A465" i="2"/>
  <c r="AH464" i="2"/>
  <c r="K464" i="2"/>
  <c r="J464" i="2"/>
  <c r="E464" i="2"/>
  <c r="D464" i="2"/>
  <c r="B464" i="2"/>
  <c r="A464" i="2"/>
  <c r="AC464" i="2" s="1"/>
  <c r="E463" i="2"/>
  <c r="B463" i="2"/>
  <c r="A463" i="2"/>
  <c r="T462" i="2"/>
  <c r="J462" i="2"/>
  <c r="E462" i="2"/>
  <c r="B462" i="2"/>
  <c r="A462" i="2"/>
  <c r="E461" i="2"/>
  <c r="B461" i="2"/>
  <c r="A461" i="2"/>
  <c r="AK460" i="2"/>
  <c r="AH460" i="2"/>
  <c r="Z460" i="2"/>
  <c r="R460" i="2"/>
  <c r="E460" i="2"/>
  <c r="B460" i="2"/>
  <c r="A460" i="2"/>
  <c r="Y459" i="2"/>
  <c r="V459" i="2"/>
  <c r="E459" i="2"/>
  <c r="B459" i="2"/>
  <c r="A459" i="2"/>
  <c r="U458" i="2"/>
  <c r="E458" i="2"/>
  <c r="B458" i="2"/>
  <c r="A458" i="2"/>
  <c r="AK457" i="2"/>
  <c r="X457" i="2"/>
  <c r="W457" i="2"/>
  <c r="V457" i="2"/>
  <c r="U457" i="2"/>
  <c r="G457" i="2"/>
  <c r="E457" i="2"/>
  <c r="D457" i="2"/>
  <c r="C457" i="2"/>
  <c r="B457" i="2"/>
  <c r="A457" i="2"/>
  <c r="E456" i="2"/>
  <c r="B456" i="2"/>
  <c r="A456" i="2"/>
  <c r="AH455" i="2"/>
  <c r="AG455" i="2"/>
  <c r="V455" i="2"/>
  <c r="G455" i="2"/>
  <c r="E455" i="2"/>
  <c r="B455" i="2"/>
  <c r="A455" i="2"/>
  <c r="E454" i="2"/>
  <c r="B454" i="2"/>
  <c r="A454" i="2"/>
  <c r="E453" i="2"/>
  <c r="B453" i="2"/>
  <c r="A453" i="2"/>
  <c r="AH452" i="2"/>
  <c r="AG452" i="2"/>
  <c r="AF452" i="2"/>
  <c r="AB452" i="2"/>
  <c r="Z452" i="2"/>
  <c r="W452" i="2"/>
  <c r="T452" i="2"/>
  <c r="S452" i="2"/>
  <c r="R452" i="2"/>
  <c r="K452" i="2"/>
  <c r="J452" i="2"/>
  <c r="H452" i="2"/>
  <c r="G452" i="2"/>
  <c r="E452" i="2"/>
  <c r="D452" i="2"/>
  <c r="B452" i="2"/>
  <c r="A452" i="2"/>
  <c r="E451" i="2"/>
  <c r="B451" i="2"/>
  <c r="A451" i="2"/>
  <c r="E450" i="2"/>
  <c r="B450" i="2"/>
  <c r="A450" i="2"/>
  <c r="E449" i="2"/>
  <c r="B449" i="2"/>
  <c r="A449" i="2"/>
  <c r="E448" i="2"/>
  <c r="B448" i="2"/>
  <c r="A448" i="2"/>
  <c r="AK447" i="2"/>
  <c r="AC447" i="2"/>
  <c r="Z447" i="2"/>
  <c r="G447" i="2"/>
  <c r="E447" i="2"/>
  <c r="D447" i="2"/>
  <c r="B447" i="2"/>
  <c r="A447" i="2"/>
  <c r="AB447" i="2" s="1"/>
  <c r="AH446" i="2"/>
  <c r="AC446" i="2"/>
  <c r="E446" i="2"/>
  <c r="D446" i="2"/>
  <c r="C446" i="2"/>
  <c r="B446" i="2"/>
  <c r="A446" i="2"/>
  <c r="AD446" i="2" s="1"/>
  <c r="AC445" i="2"/>
  <c r="E445" i="2"/>
  <c r="B445" i="2"/>
  <c r="A445" i="2"/>
  <c r="E444" i="2"/>
  <c r="B444" i="2"/>
  <c r="A444" i="2"/>
  <c r="E443" i="2"/>
  <c r="B443" i="2"/>
  <c r="A443" i="2"/>
  <c r="AB443" i="2" s="1"/>
  <c r="E442" i="2"/>
  <c r="B442" i="2"/>
  <c r="A442" i="2"/>
  <c r="E441" i="2"/>
  <c r="B441" i="2"/>
  <c r="A441" i="2"/>
  <c r="E440" i="2"/>
  <c r="B440" i="2"/>
  <c r="A440" i="2"/>
  <c r="W439" i="2"/>
  <c r="J439" i="2"/>
  <c r="E439" i="2"/>
  <c r="B439" i="2"/>
  <c r="A439" i="2"/>
  <c r="E438" i="2"/>
  <c r="B438" i="2"/>
  <c r="A438" i="2"/>
  <c r="V437" i="2"/>
  <c r="H437" i="2"/>
  <c r="E437" i="2"/>
  <c r="B437" i="2"/>
  <c r="A437" i="2"/>
  <c r="AF437" i="2" s="1"/>
  <c r="AD436" i="2"/>
  <c r="E436" i="2"/>
  <c r="B436" i="2"/>
  <c r="A436" i="2"/>
  <c r="E435" i="2"/>
  <c r="B435" i="2"/>
  <c r="A435" i="2"/>
  <c r="E434" i="2"/>
  <c r="B434" i="2"/>
  <c r="A434" i="2"/>
  <c r="AK433" i="2"/>
  <c r="AB433" i="2"/>
  <c r="E433" i="2"/>
  <c r="B433" i="2"/>
  <c r="A433" i="2"/>
  <c r="E432" i="2"/>
  <c r="D432" i="2"/>
  <c r="C432" i="2"/>
  <c r="B432" i="2"/>
  <c r="A432" i="2"/>
  <c r="AB431" i="2"/>
  <c r="E431" i="2"/>
  <c r="B431" i="2"/>
  <c r="A431" i="2"/>
  <c r="E430" i="2"/>
  <c r="B430" i="2"/>
  <c r="A430" i="2"/>
  <c r="E429" i="2"/>
  <c r="B429" i="2"/>
  <c r="A429" i="2"/>
  <c r="E428" i="2"/>
  <c r="B428" i="2"/>
  <c r="A428" i="2"/>
  <c r="AK427" i="2"/>
  <c r="AF427" i="2"/>
  <c r="AD427" i="2"/>
  <c r="AC427" i="2"/>
  <c r="U427" i="2"/>
  <c r="E427" i="2"/>
  <c r="D427" i="2"/>
  <c r="C427" i="2"/>
  <c r="B427" i="2"/>
  <c r="A427" i="2"/>
  <c r="W427" i="2" s="1"/>
  <c r="W426" i="2"/>
  <c r="E426" i="2"/>
  <c r="B426" i="2"/>
  <c r="A426" i="2"/>
  <c r="AH425" i="2"/>
  <c r="AF425" i="2"/>
  <c r="R425" i="2"/>
  <c r="E425" i="2"/>
  <c r="B425" i="2"/>
  <c r="A425" i="2"/>
  <c r="AF424" i="2"/>
  <c r="AD424" i="2"/>
  <c r="AC424" i="2"/>
  <c r="T424" i="2"/>
  <c r="R424" i="2"/>
  <c r="E424" i="2"/>
  <c r="B424" i="2"/>
  <c r="A424" i="2"/>
  <c r="AF423" i="2"/>
  <c r="W423" i="2"/>
  <c r="T423" i="2"/>
  <c r="K423" i="2"/>
  <c r="H423" i="2"/>
  <c r="G423" i="2"/>
  <c r="E423" i="2"/>
  <c r="B423" i="2"/>
  <c r="A423" i="2"/>
  <c r="AH422" i="2"/>
  <c r="E422" i="2"/>
  <c r="B422" i="2"/>
  <c r="A422" i="2"/>
  <c r="J421" i="2"/>
  <c r="E421" i="2"/>
  <c r="B421" i="2"/>
  <c r="A421" i="2"/>
  <c r="E420" i="2"/>
  <c r="D420" i="2"/>
  <c r="C420" i="2"/>
  <c r="B420" i="2"/>
  <c r="A420" i="2"/>
  <c r="E419" i="2"/>
  <c r="C419" i="2"/>
  <c r="B419" i="2"/>
  <c r="A419" i="2"/>
  <c r="E418" i="2"/>
  <c r="B418" i="2"/>
  <c r="A418" i="2"/>
  <c r="E417" i="2"/>
  <c r="B417" i="2"/>
  <c r="A417" i="2"/>
  <c r="K416" i="2"/>
  <c r="E416" i="2"/>
  <c r="B416" i="2"/>
  <c r="A416" i="2"/>
  <c r="AB415" i="2"/>
  <c r="X415" i="2"/>
  <c r="H415" i="2"/>
  <c r="E415" i="2"/>
  <c r="B415" i="2"/>
  <c r="A415" i="2"/>
  <c r="AF415" i="2" s="1"/>
  <c r="AB414" i="2"/>
  <c r="E414" i="2"/>
  <c r="B414" i="2"/>
  <c r="A414" i="2"/>
  <c r="AD413" i="2"/>
  <c r="V413" i="2"/>
  <c r="E413" i="2"/>
  <c r="B413" i="2"/>
  <c r="A413" i="2"/>
  <c r="E412" i="2"/>
  <c r="B412" i="2"/>
  <c r="A412" i="2"/>
  <c r="AK411" i="2"/>
  <c r="AF411" i="2"/>
  <c r="X411" i="2"/>
  <c r="E411" i="2"/>
  <c r="D411" i="2"/>
  <c r="B411" i="2"/>
  <c r="A411" i="2"/>
  <c r="E410" i="2"/>
  <c r="B410" i="2"/>
  <c r="A410" i="2"/>
  <c r="AB409" i="2"/>
  <c r="W409" i="2"/>
  <c r="V409" i="2"/>
  <c r="J409" i="2"/>
  <c r="E409" i="2"/>
  <c r="B409" i="2"/>
  <c r="A409" i="2"/>
  <c r="Y408" i="2"/>
  <c r="E408" i="2"/>
  <c r="B408" i="2"/>
  <c r="A408" i="2"/>
  <c r="G407" i="2"/>
  <c r="E407" i="2"/>
  <c r="B407" i="2"/>
  <c r="A407" i="2"/>
  <c r="E406" i="2"/>
  <c r="B406" i="2"/>
  <c r="A406" i="2"/>
  <c r="AC405" i="2"/>
  <c r="R405" i="2"/>
  <c r="E405" i="2"/>
  <c r="B405" i="2"/>
  <c r="A405" i="2"/>
  <c r="E404" i="2"/>
  <c r="B404" i="2"/>
  <c r="A404" i="2"/>
  <c r="AG403" i="2"/>
  <c r="E403" i="2"/>
  <c r="D403" i="2"/>
  <c r="B403" i="2"/>
  <c r="A403" i="2"/>
  <c r="E402" i="2"/>
  <c r="B402" i="2"/>
  <c r="A402" i="2"/>
  <c r="E401" i="2"/>
  <c r="D401" i="2"/>
  <c r="B401" i="2"/>
  <c r="A401" i="2"/>
  <c r="AG401" i="2" s="1"/>
  <c r="H400" i="2"/>
  <c r="E400" i="2"/>
  <c r="B400" i="2"/>
  <c r="A400" i="2"/>
  <c r="E399" i="2"/>
  <c r="D399" i="2"/>
  <c r="B399" i="2"/>
  <c r="A399" i="2"/>
  <c r="AF399" i="2" s="1"/>
  <c r="E398" i="2"/>
  <c r="B398" i="2"/>
  <c r="A398" i="2"/>
  <c r="E397" i="2"/>
  <c r="B397" i="2"/>
  <c r="A397" i="2"/>
  <c r="AK396" i="2"/>
  <c r="AG396" i="2"/>
  <c r="T396" i="2"/>
  <c r="E396" i="2"/>
  <c r="B396" i="2"/>
  <c r="A396" i="2"/>
  <c r="AH395" i="2"/>
  <c r="AF395" i="2"/>
  <c r="Y395" i="2"/>
  <c r="G395" i="2"/>
  <c r="E395" i="2"/>
  <c r="B395" i="2"/>
  <c r="A395" i="2"/>
  <c r="E394" i="2"/>
  <c r="B394" i="2"/>
  <c r="A394" i="2"/>
  <c r="K393" i="2"/>
  <c r="E393" i="2"/>
  <c r="B393" i="2"/>
  <c r="A393" i="2"/>
  <c r="AB392" i="2"/>
  <c r="K392" i="2"/>
  <c r="E392" i="2"/>
  <c r="B392" i="2"/>
  <c r="A392" i="2"/>
  <c r="S392" i="2" s="1"/>
  <c r="AB391" i="2"/>
  <c r="W391" i="2"/>
  <c r="V391" i="2"/>
  <c r="J391" i="2"/>
  <c r="E391" i="2"/>
  <c r="B391" i="2"/>
  <c r="A391" i="2"/>
  <c r="AG390" i="2"/>
  <c r="AF390" i="2"/>
  <c r="E390" i="2"/>
  <c r="B390" i="2"/>
  <c r="A390" i="2"/>
  <c r="AF389" i="2"/>
  <c r="E389" i="2"/>
  <c r="B389" i="2"/>
  <c r="A389" i="2"/>
  <c r="AF388" i="2"/>
  <c r="AD388" i="2"/>
  <c r="AC388" i="2"/>
  <c r="Z388" i="2"/>
  <c r="Y388" i="2"/>
  <c r="V388" i="2"/>
  <c r="T388" i="2"/>
  <c r="K388" i="2"/>
  <c r="J388" i="2"/>
  <c r="H388" i="2"/>
  <c r="G388" i="2"/>
  <c r="E388" i="2"/>
  <c r="D388" i="2"/>
  <c r="C388" i="2"/>
  <c r="B388" i="2"/>
  <c r="A388" i="2"/>
  <c r="U388" i="2" s="1"/>
  <c r="W387" i="2"/>
  <c r="E387" i="2"/>
  <c r="B387" i="2"/>
  <c r="A387" i="2"/>
  <c r="E386" i="2"/>
  <c r="B386" i="2"/>
  <c r="A386" i="2"/>
  <c r="E385" i="2"/>
  <c r="B385" i="2"/>
  <c r="A385" i="2"/>
  <c r="AD384" i="2"/>
  <c r="R384" i="2"/>
  <c r="K384" i="2"/>
  <c r="H384" i="2"/>
  <c r="E384" i="2"/>
  <c r="B384" i="2"/>
  <c r="A384" i="2"/>
  <c r="AK384" i="2" s="1"/>
  <c r="E383" i="2"/>
  <c r="B383" i="2"/>
  <c r="A383" i="2"/>
  <c r="E382" i="2"/>
  <c r="B382" i="2"/>
  <c r="A382" i="2"/>
  <c r="AD382" i="2" s="1"/>
  <c r="AK381" i="2"/>
  <c r="AG381" i="2"/>
  <c r="E381" i="2"/>
  <c r="B381" i="2"/>
  <c r="A381" i="2"/>
  <c r="H380" i="2"/>
  <c r="E380" i="2"/>
  <c r="B380" i="2"/>
  <c r="A380" i="2"/>
  <c r="E379" i="2"/>
  <c r="B379" i="2"/>
  <c r="A379" i="2"/>
  <c r="Z378" i="2"/>
  <c r="K378" i="2"/>
  <c r="J378" i="2"/>
  <c r="E378" i="2"/>
  <c r="B378" i="2"/>
  <c r="A378" i="2"/>
  <c r="AC378" i="2" s="1"/>
  <c r="S377" i="2"/>
  <c r="E377" i="2"/>
  <c r="B377" i="2"/>
  <c r="A377" i="2"/>
  <c r="AF376" i="2"/>
  <c r="W376" i="2"/>
  <c r="T376" i="2"/>
  <c r="S376" i="2"/>
  <c r="E376" i="2"/>
  <c r="D376" i="2"/>
  <c r="B376" i="2"/>
  <c r="A376" i="2"/>
  <c r="AG376" i="2" s="1"/>
  <c r="E375" i="2"/>
  <c r="B375" i="2"/>
  <c r="A375" i="2"/>
  <c r="E374" i="2"/>
  <c r="B374" i="2"/>
  <c r="A374" i="2"/>
  <c r="E373" i="2"/>
  <c r="B373" i="2"/>
  <c r="A373" i="2"/>
  <c r="AF372" i="2"/>
  <c r="AD372" i="2"/>
  <c r="Z372" i="2"/>
  <c r="X372" i="2"/>
  <c r="H372" i="2"/>
  <c r="E372" i="2"/>
  <c r="B372" i="2"/>
  <c r="A372" i="2"/>
  <c r="AK372" i="2" s="1"/>
  <c r="W371" i="2"/>
  <c r="K371" i="2"/>
  <c r="E371" i="2"/>
  <c r="B371" i="2"/>
  <c r="A371" i="2"/>
  <c r="AK371" i="2" s="1"/>
  <c r="AD370" i="2"/>
  <c r="V370" i="2"/>
  <c r="U370" i="2"/>
  <c r="K370" i="2"/>
  <c r="J370" i="2"/>
  <c r="E370" i="2"/>
  <c r="C370" i="2"/>
  <c r="B370" i="2"/>
  <c r="A370" i="2"/>
  <c r="X370" i="2" s="1"/>
  <c r="AC369" i="2"/>
  <c r="W369" i="2"/>
  <c r="U369" i="2"/>
  <c r="T369" i="2"/>
  <c r="E369" i="2"/>
  <c r="C369" i="2"/>
  <c r="B369" i="2"/>
  <c r="A369" i="2"/>
  <c r="AG369" i="2" s="1"/>
  <c r="T368" i="2"/>
  <c r="E368" i="2"/>
  <c r="B368" i="2"/>
  <c r="A368" i="2"/>
  <c r="E367" i="2"/>
  <c r="B367" i="2"/>
  <c r="A367" i="2"/>
  <c r="AC366" i="2"/>
  <c r="AB366" i="2"/>
  <c r="W366" i="2"/>
  <c r="K366" i="2"/>
  <c r="E366" i="2"/>
  <c r="B366" i="2"/>
  <c r="A366" i="2"/>
  <c r="AD366" i="2" s="1"/>
  <c r="AC365" i="2"/>
  <c r="AB365" i="2"/>
  <c r="S365" i="2"/>
  <c r="E365" i="2"/>
  <c r="B365" i="2"/>
  <c r="A365" i="2"/>
  <c r="AG364" i="2"/>
  <c r="W364" i="2"/>
  <c r="T364" i="2"/>
  <c r="S364" i="2"/>
  <c r="R364" i="2"/>
  <c r="G364" i="2"/>
  <c r="E364" i="2"/>
  <c r="D364" i="2"/>
  <c r="C364" i="2"/>
  <c r="B364" i="2"/>
  <c r="A364" i="2"/>
  <c r="AF364" i="2" s="1"/>
  <c r="E363" i="2"/>
  <c r="B363" i="2"/>
  <c r="A363" i="2"/>
  <c r="AB362" i="2"/>
  <c r="E362" i="2"/>
  <c r="D362" i="2"/>
  <c r="B362" i="2"/>
  <c r="A362" i="2"/>
  <c r="E361" i="2"/>
  <c r="B361" i="2"/>
  <c r="A361" i="2"/>
  <c r="AD360" i="2"/>
  <c r="X360" i="2"/>
  <c r="W360" i="2"/>
  <c r="T360" i="2"/>
  <c r="E360" i="2"/>
  <c r="B360" i="2"/>
  <c r="A360" i="2"/>
  <c r="AK360" i="2" s="1"/>
  <c r="K359" i="2"/>
  <c r="E359" i="2"/>
  <c r="B359" i="2"/>
  <c r="A359" i="2"/>
  <c r="E358" i="2"/>
  <c r="B358" i="2"/>
  <c r="A358" i="2"/>
  <c r="E357" i="2"/>
  <c r="B357" i="2"/>
  <c r="A357" i="2"/>
  <c r="V356" i="2"/>
  <c r="J356" i="2"/>
  <c r="E356" i="2"/>
  <c r="B356" i="2"/>
  <c r="A356" i="2"/>
  <c r="E355" i="2"/>
  <c r="B355" i="2"/>
  <c r="A355" i="2"/>
  <c r="AF354" i="2"/>
  <c r="E354" i="2"/>
  <c r="B354" i="2"/>
  <c r="A354" i="2"/>
  <c r="E353" i="2"/>
  <c r="B353" i="2"/>
  <c r="A353" i="2"/>
  <c r="E352" i="2"/>
  <c r="B352" i="2"/>
  <c r="A352" i="2"/>
  <c r="E351" i="2"/>
  <c r="B351" i="2"/>
  <c r="A351" i="2"/>
  <c r="E350" i="2"/>
  <c r="B350" i="2"/>
  <c r="A350" i="2"/>
  <c r="E349" i="2"/>
  <c r="B349" i="2"/>
  <c r="A349" i="2"/>
  <c r="AC348" i="2"/>
  <c r="J348" i="2"/>
  <c r="G348" i="2"/>
  <c r="E348" i="2"/>
  <c r="B348" i="2"/>
  <c r="A348" i="2"/>
  <c r="AF348" i="2" s="1"/>
  <c r="E347" i="2"/>
  <c r="B347" i="2"/>
  <c r="A347" i="2"/>
  <c r="E346" i="2"/>
  <c r="B346" i="2"/>
  <c r="A346" i="2"/>
  <c r="AG345" i="2"/>
  <c r="AB345" i="2"/>
  <c r="E345" i="2"/>
  <c r="B345" i="2"/>
  <c r="A345" i="2"/>
  <c r="E344" i="2"/>
  <c r="B344" i="2"/>
  <c r="A344" i="2"/>
  <c r="E343" i="2"/>
  <c r="B343" i="2"/>
  <c r="A343" i="2"/>
  <c r="R342" i="2"/>
  <c r="E342" i="2"/>
  <c r="B342" i="2"/>
  <c r="A342" i="2"/>
  <c r="E341" i="2"/>
  <c r="B341" i="2"/>
  <c r="A341" i="2"/>
  <c r="R340" i="2"/>
  <c r="E340" i="2"/>
  <c r="B340" i="2"/>
  <c r="A340" i="2"/>
  <c r="E339" i="2"/>
  <c r="B339" i="2"/>
  <c r="A339" i="2"/>
  <c r="E338" i="2"/>
  <c r="B338" i="2"/>
  <c r="A338" i="2"/>
  <c r="E337" i="2"/>
  <c r="B337" i="2"/>
  <c r="A337" i="2"/>
  <c r="AD336" i="2"/>
  <c r="AC336" i="2"/>
  <c r="R336" i="2"/>
  <c r="J336" i="2"/>
  <c r="E336" i="2"/>
  <c r="B336" i="2"/>
  <c r="A336" i="2"/>
  <c r="E335" i="2"/>
  <c r="B335" i="2"/>
  <c r="A335" i="2"/>
  <c r="AH334" i="2"/>
  <c r="U334" i="2"/>
  <c r="J334" i="2"/>
  <c r="E334" i="2"/>
  <c r="B334" i="2"/>
  <c r="A334" i="2"/>
  <c r="E333" i="2"/>
  <c r="B333" i="2"/>
  <c r="A333" i="2"/>
  <c r="E332" i="2"/>
  <c r="B332" i="2"/>
  <c r="A332" i="2"/>
  <c r="AG331" i="2"/>
  <c r="E331" i="2"/>
  <c r="B331" i="2"/>
  <c r="A331" i="2"/>
  <c r="AF330" i="2"/>
  <c r="Z330" i="2"/>
  <c r="X330" i="2"/>
  <c r="W330" i="2"/>
  <c r="T330" i="2"/>
  <c r="K330" i="2"/>
  <c r="H330" i="2"/>
  <c r="E330" i="2"/>
  <c r="B330" i="2"/>
  <c r="A330" i="2"/>
  <c r="AK330" i="2" s="1"/>
  <c r="E329" i="2"/>
  <c r="B329" i="2"/>
  <c r="A329" i="2"/>
  <c r="E328" i="2"/>
  <c r="B328" i="2"/>
  <c r="A328" i="2"/>
  <c r="Z328" i="2" s="1"/>
  <c r="AF327" i="2"/>
  <c r="E327" i="2"/>
  <c r="B327" i="2"/>
  <c r="A327" i="2"/>
  <c r="AF326" i="2"/>
  <c r="Y326" i="2"/>
  <c r="H326" i="2"/>
  <c r="E326" i="2"/>
  <c r="B326" i="2"/>
  <c r="A326" i="2"/>
  <c r="E325" i="2"/>
  <c r="B325" i="2"/>
  <c r="A325" i="2"/>
  <c r="AH324" i="2"/>
  <c r="AD324" i="2"/>
  <c r="W324" i="2"/>
  <c r="V324" i="2"/>
  <c r="T324" i="2"/>
  <c r="H324" i="2"/>
  <c r="G324" i="2"/>
  <c r="E324" i="2"/>
  <c r="D324" i="2"/>
  <c r="B324" i="2"/>
  <c r="A324" i="2"/>
  <c r="X324" i="2" s="1"/>
  <c r="AC323" i="2"/>
  <c r="E323" i="2"/>
  <c r="D323" i="2"/>
  <c r="B323" i="2"/>
  <c r="A323" i="2"/>
  <c r="AH323" i="2" s="1"/>
  <c r="E322" i="2"/>
  <c r="B322" i="2"/>
  <c r="A322" i="2"/>
  <c r="E321" i="2"/>
  <c r="B321" i="2"/>
  <c r="A321" i="2"/>
  <c r="Z320" i="2"/>
  <c r="S320" i="2"/>
  <c r="E320" i="2"/>
  <c r="B320" i="2"/>
  <c r="A320" i="2"/>
  <c r="E319" i="2"/>
  <c r="B319" i="2"/>
  <c r="A319" i="2"/>
  <c r="Z318" i="2"/>
  <c r="T318" i="2"/>
  <c r="R318" i="2"/>
  <c r="E318" i="2"/>
  <c r="B318" i="2"/>
  <c r="A318" i="2"/>
  <c r="AK317" i="2"/>
  <c r="V317" i="2"/>
  <c r="S317" i="2"/>
  <c r="E317" i="2"/>
  <c r="B317" i="2"/>
  <c r="A317" i="2"/>
  <c r="E316" i="2"/>
  <c r="B316" i="2"/>
  <c r="A316" i="2"/>
  <c r="R315" i="2"/>
  <c r="E315" i="2"/>
  <c r="B315" i="2"/>
  <c r="A315" i="2"/>
  <c r="AB314" i="2"/>
  <c r="H314" i="2"/>
  <c r="E314" i="2"/>
  <c r="B314" i="2"/>
  <c r="A314" i="2"/>
  <c r="AD313" i="2"/>
  <c r="X313" i="2"/>
  <c r="U313" i="2"/>
  <c r="E313" i="2"/>
  <c r="D313" i="2"/>
  <c r="B313" i="2"/>
  <c r="A313" i="2"/>
  <c r="AG313" i="2" s="1"/>
  <c r="AF312" i="2"/>
  <c r="Z312" i="2"/>
  <c r="X312" i="2"/>
  <c r="W312" i="2"/>
  <c r="V312" i="2"/>
  <c r="K312" i="2"/>
  <c r="J312" i="2"/>
  <c r="G312" i="2"/>
  <c r="E312" i="2"/>
  <c r="B312" i="2"/>
  <c r="A312" i="2"/>
  <c r="E311" i="2"/>
  <c r="B311" i="2"/>
  <c r="A311" i="2"/>
  <c r="E310" i="2"/>
  <c r="B310" i="2"/>
  <c r="A310" i="2"/>
  <c r="E309" i="2"/>
  <c r="B309" i="2"/>
  <c r="A309" i="2"/>
  <c r="AK308" i="2"/>
  <c r="E308" i="2"/>
  <c r="B308" i="2"/>
  <c r="A308" i="2"/>
  <c r="W307" i="2"/>
  <c r="V307" i="2"/>
  <c r="R307" i="2"/>
  <c r="E307" i="2"/>
  <c r="B307" i="2"/>
  <c r="A307" i="2"/>
  <c r="E306" i="2"/>
  <c r="B306" i="2"/>
  <c r="A306" i="2"/>
  <c r="AB305" i="2"/>
  <c r="W305" i="2"/>
  <c r="T305" i="2"/>
  <c r="J305" i="2"/>
  <c r="E305" i="2"/>
  <c r="B305" i="2"/>
  <c r="A305" i="2"/>
  <c r="AK305" i="2" s="1"/>
  <c r="AD304" i="2"/>
  <c r="AC304" i="2"/>
  <c r="AB304" i="2"/>
  <c r="U304" i="2"/>
  <c r="K304" i="2"/>
  <c r="J304" i="2"/>
  <c r="G304" i="2"/>
  <c r="E304" i="2"/>
  <c r="B304" i="2"/>
  <c r="A304" i="2"/>
  <c r="AD303" i="2"/>
  <c r="Z303" i="2"/>
  <c r="S303" i="2"/>
  <c r="R303" i="2"/>
  <c r="E303" i="2"/>
  <c r="B303" i="2"/>
  <c r="A303" i="2"/>
  <c r="E302" i="2"/>
  <c r="B302" i="2"/>
  <c r="A302" i="2"/>
  <c r="AB301" i="2"/>
  <c r="X301" i="2"/>
  <c r="G301" i="2"/>
  <c r="E301" i="2"/>
  <c r="B301" i="2"/>
  <c r="A301" i="2"/>
  <c r="AC301" i="2" s="1"/>
  <c r="X300" i="2"/>
  <c r="W300" i="2"/>
  <c r="R300" i="2"/>
  <c r="K300" i="2"/>
  <c r="G300" i="2"/>
  <c r="E300" i="2"/>
  <c r="B300" i="2"/>
  <c r="A300" i="2"/>
  <c r="Z300" i="2" s="1"/>
  <c r="AG299" i="2"/>
  <c r="AC299" i="2"/>
  <c r="E299" i="2"/>
  <c r="B299" i="2"/>
  <c r="A299" i="2"/>
  <c r="E298" i="2"/>
  <c r="B298" i="2"/>
  <c r="A298" i="2"/>
  <c r="E297" i="2"/>
  <c r="B297" i="2"/>
  <c r="A297" i="2"/>
  <c r="E296" i="2"/>
  <c r="B296" i="2"/>
  <c r="A296" i="2"/>
  <c r="E295" i="2"/>
  <c r="B295" i="2"/>
  <c r="A295" i="2"/>
  <c r="E294" i="2"/>
  <c r="B294" i="2"/>
  <c r="A294" i="2"/>
  <c r="V293" i="2"/>
  <c r="U293" i="2"/>
  <c r="T293" i="2"/>
  <c r="J293" i="2"/>
  <c r="E293" i="2"/>
  <c r="B293" i="2"/>
  <c r="A293" i="2"/>
  <c r="AK292" i="2"/>
  <c r="AH292" i="2"/>
  <c r="AG292" i="2"/>
  <c r="AC292" i="2"/>
  <c r="K292" i="2"/>
  <c r="J292" i="2"/>
  <c r="E292" i="2"/>
  <c r="D292" i="2"/>
  <c r="B292" i="2"/>
  <c r="A292" i="2"/>
  <c r="Z292" i="2" s="1"/>
  <c r="S291" i="2"/>
  <c r="E291" i="2"/>
  <c r="B291" i="2"/>
  <c r="A291" i="2"/>
  <c r="E290" i="2"/>
  <c r="B290" i="2"/>
  <c r="A290" i="2"/>
  <c r="AF289" i="2"/>
  <c r="K289" i="2"/>
  <c r="H289" i="2"/>
  <c r="E289" i="2"/>
  <c r="B289" i="2"/>
  <c r="A289" i="2"/>
  <c r="AK288" i="2"/>
  <c r="AH288" i="2"/>
  <c r="AB288" i="2"/>
  <c r="X288" i="2"/>
  <c r="W288" i="2"/>
  <c r="R288" i="2"/>
  <c r="K288" i="2"/>
  <c r="E288" i="2"/>
  <c r="D288" i="2"/>
  <c r="C288" i="2"/>
  <c r="B288" i="2"/>
  <c r="A288" i="2"/>
  <c r="AD287" i="2"/>
  <c r="Z287" i="2"/>
  <c r="W287" i="2"/>
  <c r="R287" i="2"/>
  <c r="E287" i="2"/>
  <c r="B287" i="2"/>
  <c r="A287" i="2"/>
  <c r="AG286" i="2"/>
  <c r="Z286" i="2"/>
  <c r="U286" i="2"/>
  <c r="E286" i="2"/>
  <c r="B286" i="2"/>
  <c r="A286" i="2"/>
  <c r="E285" i="2"/>
  <c r="B285" i="2"/>
  <c r="A285" i="2"/>
  <c r="X284" i="2"/>
  <c r="W284" i="2"/>
  <c r="S284" i="2"/>
  <c r="R284" i="2"/>
  <c r="G284" i="2"/>
  <c r="E284" i="2"/>
  <c r="C284" i="2"/>
  <c r="B284" i="2"/>
  <c r="A284" i="2"/>
  <c r="AK284" i="2" s="1"/>
  <c r="E283" i="2"/>
  <c r="B283" i="2"/>
  <c r="A283" i="2"/>
  <c r="AK283" i="2" s="1"/>
  <c r="AG282" i="2"/>
  <c r="E282" i="2"/>
  <c r="B282" i="2"/>
  <c r="A282" i="2"/>
  <c r="AK281" i="2"/>
  <c r="AH281" i="2"/>
  <c r="AG281" i="2"/>
  <c r="AF281" i="2"/>
  <c r="AC281" i="2"/>
  <c r="X281" i="2"/>
  <c r="K281" i="2"/>
  <c r="J281" i="2"/>
  <c r="H281" i="2"/>
  <c r="E281" i="2"/>
  <c r="D281" i="2"/>
  <c r="B281" i="2"/>
  <c r="A281" i="2"/>
  <c r="U281" i="2" s="1"/>
  <c r="E280" i="2"/>
  <c r="B280" i="2"/>
  <c r="A280" i="2"/>
  <c r="U280" i="2" s="1"/>
  <c r="AD279" i="2"/>
  <c r="R279" i="2"/>
  <c r="E279" i="2"/>
  <c r="B279" i="2"/>
  <c r="A279" i="2"/>
  <c r="E278" i="2"/>
  <c r="B278" i="2"/>
  <c r="A278" i="2"/>
  <c r="E277" i="2"/>
  <c r="B277" i="2"/>
  <c r="A277" i="2"/>
  <c r="AK276" i="2"/>
  <c r="AH276" i="2"/>
  <c r="AB276" i="2"/>
  <c r="W276" i="2"/>
  <c r="E276" i="2"/>
  <c r="B276" i="2"/>
  <c r="A276" i="2"/>
  <c r="AK275" i="2"/>
  <c r="E275" i="2"/>
  <c r="C275" i="2"/>
  <c r="B275" i="2"/>
  <c r="A275" i="2"/>
  <c r="AD275" i="2" s="1"/>
  <c r="U274" i="2"/>
  <c r="E274" i="2"/>
  <c r="B274" i="2"/>
  <c r="A274" i="2"/>
  <c r="E273" i="2"/>
  <c r="B273" i="2"/>
  <c r="A273" i="2"/>
  <c r="E272" i="2"/>
  <c r="B272" i="2"/>
  <c r="A272" i="2"/>
  <c r="AK271" i="2"/>
  <c r="V271" i="2"/>
  <c r="E271" i="2"/>
  <c r="B271" i="2"/>
  <c r="A271" i="2"/>
  <c r="AG270" i="2"/>
  <c r="AC270" i="2"/>
  <c r="V270" i="2"/>
  <c r="U270" i="2"/>
  <c r="E270" i="2"/>
  <c r="D270" i="2"/>
  <c r="B270" i="2"/>
  <c r="A270" i="2"/>
  <c r="E269" i="2"/>
  <c r="B269" i="2"/>
  <c r="A269" i="2"/>
  <c r="U269" i="2" s="1"/>
  <c r="AG268" i="2"/>
  <c r="U268" i="2"/>
  <c r="T268" i="2"/>
  <c r="S268" i="2"/>
  <c r="R268" i="2"/>
  <c r="K268" i="2"/>
  <c r="H268" i="2"/>
  <c r="E268" i="2"/>
  <c r="B268" i="2"/>
  <c r="A268" i="2"/>
  <c r="E267" i="2"/>
  <c r="B267" i="2"/>
  <c r="A267" i="2"/>
  <c r="E266" i="2"/>
  <c r="B266" i="2"/>
  <c r="A266" i="2"/>
  <c r="AK265" i="2"/>
  <c r="E265" i="2"/>
  <c r="B265" i="2"/>
  <c r="A265" i="2"/>
  <c r="E264" i="2"/>
  <c r="B264" i="2"/>
  <c r="A264" i="2"/>
  <c r="E263" i="2"/>
  <c r="B263" i="2"/>
  <c r="A263" i="2"/>
  <c r="E262" i="2"/>
  <c r="B262" i="2"/>
  <c r="A262" i="2"/>
  <c r="E261" i="2"/>
  <c r="B261" i="2"/>
  <c r="A261" i="2"/>
  <c r="AK260" i="2"/>
  <c r="AG260" i="2"/>
  <c r="AF260" i="2"/>
  <c r="AD260" i="2"/>
  <c r="X260" i="2"/>
  <c r="W260" i="2"/>
  <c r="U260" i="2"/>
  <c r="S260" i="2"/>
  <c r="R260" i="2"/>
  <c r="K260" i="2"/>
  <c r="H260" i="2"/>
  <c r="E260" i="2"/>
  <c r="C260" i="2"/>
  <c r="B260" i="2"/>
  <c r="A260" i="2"/>
  <c r="E259" i="2"/>
  <c r="B259" i="2"/>
  <c r="A259" i="2"/>
  <c r="AF258" i="2"/>
  <c r="S258" i="2"/>
  <c r="R258" i="2"/>
  <c r="K258" i="2"/>
  <c r="H258" i="2"/>
  <c r="G258" i="2"/>
  <c r="E258" i="2"/>
  <c r="B258" i="2"/>
  <c r="A258" i="2"/>
  <c r="Z258" i="2" s="1"/>
  <c r="E257" i="2"/>
  <c r="B257" i="2"/>
  <c r="A257" i="2"/>
  <c r="AH256" i="2"/>
  <c r="AG256" i="2"/>
  <c r="AF256" i="2"/>
  <c r="AC256" i="2"/>
  <c r="AB256" i="2"/>
  <c r="W256" i="2"/>
  <c r="K256" i="2"/>
  <c r="J256" i="2"/>
  <c r="G256" i="2"/>
  <c r="E256" i="2"/>
  <c r="D256" i="2"/>
  <c r="B256" i="2"/>
  <c r="A256" i="2"/>
  <c r="U256" i="2" s="1"/>
  <c r="V255" i="2"/>
  <c r="U255" i="2"/>
  <c r="R255" i="2"/>
  <c r="K255" i="2"/>
  <c r="H255" i="2"/>
  <c r="E255" i="2"/>
  <c r="C255" i="2"/>
  <c r="B255" i="2"/>
  <c r="A255" i="2"/>
  <c r="AH255" i="2" s="1"/>
  <c r="E254" i="2"/>
  <c r="B254" i="2"/>
  <c r="A254" i="2"/>
  <c r="E253" i="2"/>
  <c r="B253" i="2"/>
  <c r="A253" i="2"/>
  <c r="X252" i="2"/>
  <c r="E252" i="2"/>
  <c r="B252" i="2"/>
  <c r="A252" i="2"/>
  <c r="E251" i="2"/>
  <c r="B251" i="2"/>
  <c r="A251" i="2"/>
  <c r="E250" i="2"/>
  <c r="B250" i="2"/>
  <c r="A250" i="2"/>
  <c r="S249" i="2"/>
  <c r="H249" i="2"/>
  <c r="E249" i="2"/>
  <c r="C249" i="2"/>
  <c r="B249" i="2"/>
  <c r="A249" i="2"/>
  <c r="E248" i="2"/>
  <c r="B248" i="2"/>
  <c r="A248" i="2"/>
  <c r="G247" i="2"/>
  <c r="E247" i="2"/>
  <c r="C247" i="2"/>
  <c r="B247" i="2"/>
  <c r="A247" i="2"/>
  <c r="AB246" i="2"/>
  <c r="Z246" i="2"/>
  <c r="V246" i="2"/>
  <c r="K246" i="2"/>
  <c r="E246" i="2"/>
  <c r="B246" i="2"/>
  <c r="A246" i="2"/>
  <c r="E245" i="2"/>
  <c r="D245" i="2"/>
  <c r="B245" i="2"/>
  <c r="A245" i="2"/>
  <c r="AK244" i="2"/>
  <c r="V244" i="2"/>
  <c r="S244" i="2"/>
  <c r="R244" i="2"/>
  <c r="K244" i="2"/>
  <c r="H244" i="2"/>
  <c r="E244" i="2"/>
  <c r="B244" i="2"/>
  <c r="A244" i="2"/>
  <c r="X244" i="2" s="1"/>
  <c r="E243" i="2"/>
  <c r="B243" i="2"/>
  <c r="A243" i="2"/>
  <c r="E242" i="2"/>
  <c r="B242" i="2"/>
  <c r="A242" i="2"/>
  <c r="E241" i="2"/>
  <c r="B241" i="2"/>
  <c r="A241" i="2"/>
  <c r="Z240" i="2"/>
  <c r="X240" i="2"/>
  <c r="W240" i="2"/>
  <c r="S240" i="2"/>
  <c r="R240" i="2"/>
  <c r="H240" i="2"/>
  <c r="E240" i="2"/>
  <c r="B240" i="2"/>
  <c r="A240" i="2"/>
  <c r="E239" i="2"/>
  <c r="B239" i="2"/>
  <c r="A239" i="2"/>
  <c r="AH238" i="2"/>
  <c r="E238" i="2"/>
  <c r="B238" i="2"/>
  <c r="A238" i="2"/>
  <c r="AC237" i="2"/>
  <c r="U237" i="2"/>
  <c r="E237" i="2"/>
  <c r="B237" i="2"/>
  <c r="A237" i="2"/>
  <c r="AF236" i="2"/>
  <c r="S236" i="2"/>
  <c r="J236" i="2"/>
  <c r="H236" i="2"/>
  <c r="G236" i="2"/>
  <c r="E236" i="2"/>
  <c r="D236" i="2"/>
  <c r="B236" i="2"/>
  <c r="A236" i="2"/>
  <c r="E235" i="2"/>
  <c r="B235" i="2"/>
  <c r="A235" i="2"/>
  <c r="E234" i="2"/>
  <c r="B234" i="2"/>
  <c r="A234" i="2"/>
  <c r="E233" i="2"/>
  <c r="B233" i="2"/>
  <c r="A233" i="2"/>
  <c r="E232" i="2"/>
  <c r="B232" i="2"/>
  <c r="A232" i="2"/>
  <c r="E231" i="2"/>
  <c r="B231" i="2"/>
  <c r="A231" i="2"/>
  <c r="E230" i="2"/>
  <c r="B230" i="2"/>
  <c r="A230" i="2"/>
  <c r="E229" i="2"/>
  <c r="B229" i="2"/>
  <c r="A229" i="2"/>
  <c r="AD228" i="2"/>
  <c r="AC228" i="2"/>
  <c r="Z228" i="2"/>
  <c r="E228" i="2"/>
  <c r="B228" i="2"/>
  <c r="A228" i="2"/>
  <c r="W227" i="2"/>
  <c r="K227" i="2"/>
  <c r="E227" i="2"/>
  <c r="B227" i="2"/>
  <c r="A227" i="2"/>
  <c r="E226" i="2"/>
  <c r="B226" i="2"/>
  <c r="A226" i="2"/>
  <c r="Z225" i="2"/>
  <c r="W225" i="2"/>
  <c r="U225" i="2"/>
  <c r="K225" i="2"/>
  <c r="E225" i="2"/>
  <c r="B225" i="2"/>
  <c r="A225" i="2"/>
  <c r="V224" i="2"/>
  <c r="E224" i="2"/>
  <c r="D224" i="2"/>
  <c r="B224" i="2"/>
  <c r="A224" i="2"/>
  <c r="E223" i="2"/>
  <c r="B223" i="2"/>
  <c r="A223" i="2"/>
  <c r="E222" i="2"/>
  <c r="B222" i="2"/>
  <c r="A222" i="2"/>
  <c r="S221" i="2"/>
  <c r="E221" i="2"/>
  <c r="B221" i="2"/>
  <c r="A221" i="2"/>
  <c r="E220" i="2"/>
  <c r="B220" i="2"/>
  <c r="A220" i="2"/>
  <c r="AH219" i="2"/>
  <c r="AG219" i="2"/>
  <c r="V219" i="2"/>
  <c r="E219" i="2"/>
  <c r="B219" i="2"/>
  <c r="A219" i="2"/>
  <c r="E218" i="2"/>
  <c r="B218" i="2"/>
  <c r="A218" i="2"/>
  <c r="E217" i="2"/>
  <c r="B217" i="2"/>
  <c r="A217" i="2"/>
  <c r="AD216" i="2"/>
  <c r="E216" i="2"/>
  <c r="B216" i="2"/>
  <c r="A216" i="2"/>
  <c r="AK215" i="2"/>
  <c r="W215" i="2"/>
  <c r="E215" i="2"/>
  <c r="B215" i="2"/>
  <c r="A215" i="2"/>
  <c r="AC214" i="2"/>
  <c r="AB214" i="2"/>
  <c r="X214" i="2"/>
  <c r="V214" i="2"/>
  <c r="U214" i="2"/>
  <c r="H214" i="2"/>
  <c r="E214" i="2"/>
  <c r="D214" i="2"/>
  <c r="C214" i="2"/>
  <c r="B214" i="2"/>
  <c r="A214" i="2"/>
  <c r="E213" i="2"/>
  <c r="B213" i="2"/>
  <c r="A213" i="2"/>
  <c r="G212" i="2"/>
  <c r="E212" i="2"/>
  <c r="B212" i="2"/>
  <c r="A212" i="2"/>
  <c r="E211" i="2"/>
  <c r="B211" i="2"/>
  <c r="A211" i="2"/>
  <c r="AD210" i="2"/>
  <c r="Z210" i="2"/>
  <c r="X210" i="2"/>
  <c r="W210" i="2"/>
  <c r="T210" i="2"/>
  <c r="H210" i="2"/>
  <c r="E210" i="2"/>
  <c r="B210" i="2"/>
  <c r="A210" i="2"/>
  <c r="AK210" i="2" s="1"/>
  <c r="G209" i="2"/>
  <c r="E209" i="2"/>
  <c r="D209" i="2"/>
  <c r="B209" i="2"/>
  <c r="A209" i="2"/>
  <c r="AC209" i="2" s="1"/>
  <c r="H208" i="2"/>
  <c r="E208" i="2"/>
  <c r="B208" i="2"/>
  <c r="A208" i="2"/>
  <c r="E207" i="2"/>
  <c r="B207" i="2"/>
  <c r="A207" i="2"/>
  <c r="Z206" i="2"/>
  <c r="E206" i="2"/>
  <c r="D206" i="2"/>
  <c r="B206" i="2"/>
  <c r="A206" i="2"/>
  <c r="E205" i="2"/>
  <c r="B205" i="2"/>
  <c r="A205" i="2"/>
  <c r="E204" i="2"/>
  <c r="B204" i="2"/>
  <c r="A204" i="2"/>
  <c r="K203" i="2"/>
  <c r="E203" i="2"/>
  <c r="B203" i="2"/>
  <c r="A203" i="2"/>
  <c r="E202" i="2"/>
  <c r="B202" i="2"/>
  <c r="A202" i="2"/>
  <c r="AB201" i="2"/>
  <c r="Z201" i="2"/>
  <c r="U201" i="2"/>
  <c r="J201" i="2"/>
  <c r="E201" i="2"/>
  <c r="B201" i="2"/>
  <c r="A201" i="2"/>
  <c r="AC201" i="2" s="1"/>
  <c r="E200" i="2"/>
  <c r="B200" i="2"/>
  <c r="A200" i="2"/>
  <c r="E199" i="2"/>
  <c r="B199" i="2"/>
  <c r="A199" i="2"/>
  <c r="E198" i="2"/>
  <c r="B198" i="2"/>
  <c r="A198" i="2"/>
  <c r="E197" i="2"/>
  <c r="B197" i="2"/>
  <c r="A197" i="2"/>
  <c r="AK196" i="2"/>
  <c r="E196" i="2"/>
  <c r="B196" i="2"/>
  <c r="A196" i="2"/>
  <c r="AG195" i="2"/>
  <c r="AF195" i="2"/>
  <c r="Z195" i="2"/>
  <c r="E195" i="2"/>
  <c r="B195" i="2"/>
  <c r="A195" i="2"/>
  <c r="Z194" i="2"/>
  <c r="G194" i="2"/>
  <c r="E194" i="2"/>
  <c r="B194" i="2"/>
  <c r="A194" i="2"/>
  <c r="E193" i="2"/>
  <c r="B193" i="2"/>
  <c r="A193" i="2"/>
  <c r="E192" i="2"/>
  <c r="B192" i="2"/>
  <c r="A192" i="2"/>
  <c r="W191" i="2"/>
  <c r="K191" i="2"/>
  <c r="E191" i="2"/>
  <c r="B191" i="2"/>
  <c r="A191" i="2"/>
  <c r="E190" i="2"/>
  <c r="B190" i="2"/>
  <c r="A190" i="2"/>
  <c r="E189" i="2"/>
  <c r="B189" i="2"/>
  <c r="A189" i="2"/>
  <c r="H188" i="2"/>
  <c r="E188" i="2"/>
  <c r="B188" i="2"/>
  <c r="A188" i="2"/>
  <c r="E187" i="2"/>
  <c r="B187" i="2"/>
  <c r="A187" i="2"/>
  <c r="AK186" i="2"/>
  <c r="AF186" i="2"/>
  <c r="AD186" i="2"/>
  <c r="X186" i="2"/>
  <c r="E186" i="2"/>
  <c r="B186" i="2"/>
  <c r="A186" i="2"/>
  <c r="V185" i="2"/>
  <c r="S185" i="2"/>
  <c r="G185" i="2"/>
  <c r="E185" i="2"/>
  <c r="D185" i="2"/>
  <c r="B185" i="2"/>
  <c r="A185" i="2"/>
  <c r="W184" i="2"/>
  <c r="V184" i="2"/>
  <c r="S184" i="2"/>
  <c r="K184" i="2"/>
  <c r="E184" i="2"/>
  <c r="B184" i="2"/>
  <c r="A184" i="2"/>
  <c r="X184" i="2" s="1"/>
  <c r="AG183" i="2"/>
  <c r="E183" i="2"/>
  <c r="B183" i="2"/>
  <c r="A183" i="2"/>
  <c r="E182" i="2"/>
  <c r="B182" i="2"/>
  <c r="A182" i="2"/>
  <c r="E181" i="2"/>
  <c r="B181" i="2"/>
  <c r="A181" i="2"/>
  <c r="E180" i="2"/>
  <c r="B180" i="2"/>
  <c r="A180" i="2"/>
  <c r="E179" i="2"/>
  <c r="B179" i="2"/>
  <c r="A179" i="2"/>
  <c r="AG178" i="2"/>
  <c r="R178" i="2"/>
  <c r="J178" i="2"/>
  <c r="H178" i="2"/>
  <c r="E178" i="2"/>
  <c r="C178" i="2"/>
  <c r="B178" i="2"/>
  <c r="A178" i="2"/>
  <c r="AC178" i="2" s="1"/>
  <c r="E177" i="2"/>
  <c r="B177" i="2"/>
  <c r="A177" i="2"/>
  <c r="AF176" i="2"/>
  <c r="S176" i="2"/>
  <c r="E176" i="2"/>
  <c r="B176" i="2"/>
  <c r="A176" i="2"/>
  <c r="E175" i="2"/>
  <c r="B175" i="2"/>
  <c r="A175" i="2"/>
  <c r="E174" i="2"/>
  <c r="B174" i="2"/>
  <c r="A174" i="2"/>
  <c r="E173" i="2"/>
  <c r="B173" i="2"/>
  <c r="A173" i="2"/>
  <c r="AF172" i="2"/>
  <c r="V172" i="2"/>
  <c r="T172" i="2"/>
  <c r="S172" i="2"/>
  <c r="E172" i="2"/>
  <c r="D172" i="2"/>
  <c r="B172" i="2"/>
  <c r="A172" i="2"/>
  <c r="AK172" i="2" s="1"/>
  <c r="U171" i="2"/>
  <c r="T171" i="2"/>
  <c r="H171" i="2"/>
  <c r="E171" i="2"/>
  <c r="B171" i="2"/>
  <c r="A171" i="2"/>
  <c r="AG171" i="2" s="1"/>
  <c r="E170" i="2"/>
  <c r="D170" i="2"/>
  <c r="B170" i="2"/>
  <c r="A170" i="2"/>
  <c r="AD169" i="2"/>
  <c r="Y169" i="2"/>
  <c r="S169" i="2"/>
  <c r="R169" i="2"/>
  <c r="G169" i="2"/>
  <c r="E169" i="2"/>
  <c r="C169" i="2"/>
  <c r="B169" i="2"/>
  <c r="A169" i="2"/>
  <c r="Z168" i="2"/>
  <c r="X168" i="2"/>
  <c r="W168" i="2"/>
  <c r="E168" i="2"/>
  <c r="B168" i="2"/>
  <c r="A168" i="2"/>
  <c r="AH167" i="2"/>
  <c r="E167" i="2"/>
  <c r="B167" i="2"/>
  <c r="A167" i="2"/>
  <c r="AB166" i="2"/>
  <c r="E166" i="2"/>
  <c r="B166" i="2"/>
  <c r="A166" i="2"/>
  <c r="E165" i="2"/>
  <c r="B165" i="2"/>
  <c r="A165" i="2"/>
  <c r="E164" i="2"/>
  <c r="B164" i="2"/>
  <c r="A164" i="2"/>
  <c r="AD163" i="2"/>
  <c r="G163" i="2"/>
  <c r="E163" i="2"/>
  <c r="B163" i="2"/>
  <c r="A163" i="2"/>
  <c r="Z162" i="2"/>
  <c r="Y162" i="2"/>
  <c r="X162" i="2"/>
  <c r="K162" i="2"/>
  <c r="H162" i="2"/>
  <c r="E162" i="2"/>
  <c r="D162" i="2"/>
  <c r="B162" i="2"/>
  <c r="A162" i="2"/>
  <c r="AC162" i="2" s="1"/>
  <c r="G161" i="2"/>
  <c r="E161" i="2"/>
  <c r="D161" i="2"/>
  <c r="C161" i="2"/>
  <c r="B161" i="2"/>
  <c r="A161" i="2"/>
  <c r="Y161" i="2" s="1"/>
  <c r="E160" i="2"/>
  <c r="B160" i="2"/>
  <c r="A160" i="2"/>
  <c r="Y159" i="2"/>
  <c r="W159" i="2"/>
  <c r="V159" i="2"/>
  <c r="U159" i="2"/>
  <c r="H159" i="2"/>
  <c r="E159" i="2"/>
  <c r="B159" i="2"/>
  <c r="A159" i="2"/>
  <c r="E158" i="2"/>
  <c r="B158" i="2"/>
  <c r="A158" i="2"/>
  <c r="E157" i="2"/>
  <c r="B157" i="2"/>
  <c r="A157" i="2"/>
  <c r="E156" i="2"/>
  <c r="B156" i="2"/>
  <c r="A156" i="2"/>
  <c r="E155" i="2"/>
  <c r="B155" i="2"/>
  <c r="A155" i="2"/>
  <c r="AK154" i="2"/>
  <c r="E154" i="2"/>
  <c r="B154" i="2"/>
  <c r="A154" i="2"/>
  <c r="AF153" i="2"/>
  <c r="E153" i="2"/>
  <c r="B153" i="2"/>
  <c r="A153" i="2"/>
  <c r="E152" i="2"/>
  <c r="B152" i="2"/>
  <c r="A152" i="2"/>
  <c r="AH151" i="2"/>
  <c r="AC151" i="2"/>
  <c r="E151" i="2"/>
  <c r="B151" i="2"/>
  <c r="A151" i="2"/>
  <c r="E150" i="2"/>
  <c r="B150" i="2"/>
  <c r="A150" i="2"/>
  <c r="E149" i="2"/>
  <c r="B149" i="2"/>
  <c r="A149" i="2"/>
  <c r="E148" i="2"/>
  <c r="B148" i="2"/>
  <c r="A148" i="2"/>
  <c r="E147" i="2"/>
  <c r="B147" i="2"/>
  <c r="A147" i="2"/>
  <c r="AH146" i="2"/>
  <c r="X146" i="2"/>
  <c r="E146" i="2"/>
  <c r="B146" i="2"/>
  <c r="A146" i="2"/>
  <c r="AK145" i="2"/>
  <c r="AH145" i="2"/>
  <c r="AB145" i="2"/>
  <c r="V145" i="2"/>
  <c r="T145" i="2"/>
  <c r="R145" i="2"/>
  <c r="E145" i="2"/>
  <c r="D145" i="2"/>
  <c r="B145" i="2"/>
  <c r="A145" i="2"/>
  <c r="E144" i="2"/>
  <c r="B144" i="2"/>
  <c r="A144" i="2"/>
  <c r="E143" i="2"/>
  <c r="B143" i="2"/>
  <c r="A143" i="2"/>
  <c r="AF142" i="2"/>
  <c r="X142" i="2"/>
  <c r="T142" i="2"/>
  <c r="G142" i="2"/>
  <c r="E142" i="2"/>
  <c r="B142" i="2"/>
  <c r="A142" i="2"/>
  <c r="AD141" i="2"/>
  <c r="X141" i="2"/>
  <c r="W141" i="2"/>
  <c r="R141" i="2"/>
  <c r="K141" i="2"/>
  <c r="H141" i="2"/>
  <c r="G141" i="2"/>
  <c r="E141" i="2"/>
  <c r="B141" i="2"/>
  <c r="A141" i="2"/>
  <c r="AC141" i="2" s="1"/>
  <c r="E140" i="2"/>
  <c r="B140" i="2"/>
  <c r="A140" i="2"/>
  <c r="AK139" i="2"/>
  <c r="AF139" i="2"/>
  <c r="H139" i="2"/>
  <c r="G139" i="2"/>
  <c r="E139" i="2"/>
  <c r="C139" i="2"/>
  <c r="B139" i="2"/>
  <c r="A139" i="2"/>
  <c r="X139" i="2" s="1"/>
  <c r="E138" i="2"/>
  <c r="B138" i="2"/>
  <c r="A138" i="2"/>
  <c r="E137" i="2"/>
  <c r="B137" i="2"/>
  <c r="A137" i="2"/>
  <c r="E136" i="2"/>
  <c r="B136" i="2"/>
  <c r="A136" i="2"/>
  <c r="AK135" i="2"/>
  <c r="E135" i="2"/>
  <c r="B135" i="2"/>
  <c r="A135" i="2"/>
  <c r="AH134" i="2"/>
  <c r="AG134" i="2"/>
  <c r="W134" i="2"/>
  <c r="U134" i="2"/>
  <c r="E134" i="2"/>
  <c r="B134" i="2"/>
  <c r="A134" i="2"/>
  <c r="AF133" i="2"/>
  <c r="W133" i="2"/>
  <c r="K133" i="2"/>
  <c r="J133" i="2"/>
  <c r="E133" i="2"/>
  <c r="D133" i="2"/>
  <c r="B133" i="2"/>
  <c r="A133" i="2"/>
  <c r="AH133" i="2" s="1"/>
  <c r="AF132" i="2"/>
  <c r="V132" i="2"/>
  <c r="T132" i="2"/>
  <c r="S132" i="2"/>
  <c r="H132" i="2"/>
  <c r="E132" i="2"/>
  <c r="D132" i="2"/>
  <c r="B132" i="2"/>
  <c r="A132" i="2"/>
  <c r="AH132" i="2" s="1"/>
  <c r="E131" i="2"/>
  <c r="B131" i="2"/>
  <c r="A131" i="2"/>
  <c r="AF130" i="2"/>
  <c r="X130" i="2"/>
  <c r="T130" i="2"/>
  <c r="S130" i="2"/>
  <c r="H130" i="2"/>
  <c r="G130" i="2"/>
  <c r="E130" i="2"/>
  <c r="B130" i="2"/>
  <c r="A130" i="2"/>
  <c r="E129" i="2"/>
  <c r="B129" i="2"/>
  <c r="A129" i="2"/>
  <c r="E128" i="2"/>
  <c r="B128" i="2"/>
  <c r="A128" i="2"/>
  <c r="R127" i="2"/>
  <c r="E127" i="2"/>
  <c r="C127" i="2"/>
  <c r="B127" i="2"/>
  <c r="A127" i="2"/>
  <c r="Z127" i="2" s="1"/>
  <c r="E126" i="2"/>
  <c r="B126" i="2"/>
  <c r="A126" i="2"/>
  <c r="E125" i="2"/>
  <c r="B125" i="2"/>
  <c r="A125" i="2"/>
  <c r="E124" i="2"/>
  <c r="B124" i="2"/>
  <c r="A124" i="2"/>
  <c r="E123" i="2"/>
  <c r="B123" i="2"/>
  <c r="A123" i="2"/>
  <c r="AK122" i="2"/>
  <c r="X122" i="2"/>
  <c r="W122" i="2"/>
  <c r="V122" i="2"/>
  <c r="K122" i="2"/>
  <c r="J122" i="2"/>
  <c r="E122" i="2"/>
  <c r="D122" i="2"/>
  <c r="B122" i="2"/>
  <c r="A122" i="2"/>
  <c r="AK121" i="2"/>
  <c r="AH121" i="2"/>
  <c r="AD121" i="2"/>
  <c r="X121" i="2"/>
  <c r="W121" i="2"/>
  <c r="T121" i="2"/>
  <c r="R121" i="2"/>
  <c r="H121" i="2"/>
  <c r="E121" i="2"/>
  <c r="B121" i="2"/>
  <c r="A121" i="2"/>
  <c r="E120" i="2"/>
  <c r="B120" i="2"/>
  <c r="A120" i="2"/>
  <c r="E119" i="2"/>
  <c r="B119" i="2"/>
  <c r="A119" i="2"/>
  <c r="AD118" i="2"/>
  <c r="S118" i="2"/>
  <c r="H118" i="2"/>
  <c r="E118" i="2"/>
  <c r="B118" i="2"/>
  <c r="A118" i="2"/>
  <c r="R118" i="2" s="1"/>
  <c r="E117" i="2"/>
  <c r="B117" i="2"/>
  <c r="A117" i="2"/>
  <c r="E116" i="2"/>
  <c r="B116" i="2"/>
  <c r="A116" i="2"/>
  <c r="AD116" i="2" s="1"/>
  <c r="E115" i="2"/>
  <c r="B115" i="2"/>
  <c r="A115" i="2"/>
  <c r="AC115" i="2" s="1"/>
  <c r="E114" i="2"/>
  <c r="B114" i="2"/>
  <c r="A114" i="2"/>
  <c r="E113" i="2"/>
  <c r="B113" i="2"/>
  <c r="A113" i="2"/>
  <c r="E112" i="2"/>
  <c r="B112" i="2"/>
  <c r="A112" i="2"/>
  <c r="K111" i="2"/>
  <c r="E111" i="2"/>
  <c r="B111" i="2"/>
  <c r="A111" i="2"/>
  <c r="E110" i="2"/>
  <c r="B110" i="2"/>
  <c r="A110" i="2"/>
  <c r="AK109" i="2"/>
  <c r="AG109" i="2"/>
  <c r="AF109" i="2"/>
  <c r="AD109" i="2"/>
  <c r="AC109" i="2"/>
  <c r="W109" i="2"/>
  <c r="U109" i="2"/>
  <c r="T109" i="2"/>
  <c r="H109" i="2"/>
  <c r="E109" i="2"/>
  <c r="D109" i="2"/>
  <c r="C109" i="2"/>
  <c r="B109" i="2"/>
  <c r="A109" i="2"/>
  <c r="V109" i="2" s="1"/>
  <c r="W108" i="2"/>
  <c r="E108" i="2"/>
  <c r="B108" i="2"/>
  <c r="A108" i="2"/>
  <c r="E107" i="2"/>
  <c r="B107" i="2"/>
  <c r="A107" i="2"/>
  <c r="X106" i="2"/>
  <c r="E106" i="2"/>
  <c r="B106" i="2"/>
  <c r="A106" i="2"/>
  <c r="AF106" i="2" s="1"/>
  <c r="AK105" i="2"/>
  <c r="AD105" i="2"/>
  <c r="AC105" i="2"/>
  <c r="W105" i="2"/>
  <c r="H105" i="2"/>
  <c r="G105" i="2"/>
  <c r="E105" i="2"/>
  <c r="D105" i="2"/>
  <c r="B105" i="2"/>
  <c r="A105" i="2"/>
  <c r="AC104" i="2"/>
  <c r="AB104" i="2"/>
  <c r="W104" i="2"/>
  <c r="V104" i="2"/>
  <c r="R104" i="2"/>
  <c r="K104" i="2"/>
  <c r="G104" i="2"/>
  <c r="E104" i="2"/>
  <c r="D104" i="2"/>
  <c r="C104" i="2"/>
  <c r="B104" i="2"/>
  <c r="A104" i="2"/>
  <c r="AG103" i="2"/>
  <c r="AB103" i="2"/>
  <c r="X103" i="2"/>
  <c r="W103" i="2"/>
  <c r="R103" i="2"/>
  <c r="J103" i="2"/>
  <c r="G103" i="2"/>
  <c r="E103" i="2"/>
  <c r="C103" i="2"/>
  <c r="B103" i="2"/>
  <c r="A103" i="2"/>
  <c r="E102" i="2"/>
  <c r="B102" i="2"/>
  <c r="A102" i="2"/>
  <c r="E101" i="2"/>
  <c r="B101" i="2"/>
  <c r="A101" i="2"/>
  <c r="E100" i="2"/>
  <c r="B100" i="2"/>
  <c r="A100" i="2"/>
  <c r="E99" i="2"/>
  <c r="B99" i="2"/>
  <c r="A99" i="2"/>
  <c r="E98" i="2"/>
  <c r="B98" i="2"/>
  <c r="A98" i="2"/>
  <c r="AG97" i="2"/>
  <c r="AF97" i="2"/>
  <c r="H97" i="2"/>
  <c r="E97" i="2"/>
  <c r="C97" i="2"/>
  <c r="B97" i="2"/>
  <c r="A97" i="2"/>
  <c r="AK96" i="2"/>
  <c r="AH96" i="2"/>
  <c r="AC96" i="2"/>
  <c r="X96" i="2"/>
  <c r="U96" i="2"/>
  <c r="T96" i="2"/>
  <c r="H96" i="2"/>
  <c r="G96" i="2"/>
  <c r="E96" i="2"/>
  <c r="D96" i="2"/>
  <c r="B96" i="2"/>
  <c r="A96" i="2"/>
  <c r="AF95" i="2"/>
  <c r="S95" i="2"/>
  <c r="R95" i="2"/>
  <c r="H95" i="2"/>
  <c r="G95" i="2"/>
  <c r="E95" i="2"/>
  <c r="B95" i="2"/>
  <c r="A95" i="2"/>
  <c r="AF94" i="2"/>
  <c r="R94" i="2"/>
  <c r="H94" i="2"/>
  <c r="G94" i="2"/>
  <c r="E94" i="2"/>
  <c r="B94" i="2"/>
  <c r="A94" i="2"/>
  <c r="X94" i="2" s="1"/>
  <c r="E93" i="2"/>
  <c r="B93" i="2"/>
  <c r="A93" i="2"/>
  <c r="AD93" i="2" s="1"/>
  <c r="E92" i="2"/>
  <c r="B92" i="2"/>
  <c r="A92" i="2"/>
  <c r="AD92" i="2" s="1"/>
  <c r="W91" i="2"/>
  <c r="E91" i="2"/>
  <c r="B91" i="2"/>
  <c r="A91" i="2"/>
  <c r="E90" i="2"/>
  <c r="B90" i="2"/>
  <c r="A90" i="2"/>
  <c r="E89" i="2"/>
  <c r="B89" i="2"/>
  <c r="A89" i="2"/>
  <c r="Z89" i="2" s="1"/>
  <c r="E88" i="2"/>
  <c r="B88" i="2"/>
  <c r="A88" i="2"/>
  <c r="W87" i="2"/>
  <c r="V87" i="2"/>
  <c r="J87" i="2"/>
  <c r="E87" i="2"/>
  <c r="B87" i="2"/>
  <c r="A87" i="2"/>
  <c r="K87" i="2" s="1"/>
  <c r="AK86" i="2"/>
  <c r="AH86" i="2"/>
  <c r="AG86" i="2"/>
  <c r="X86" i="2"/>
  <c r="W86" i="2"/>
  <c r="V86" i="2"/>
  <c r="U86" i="2"/>
  <c r="K86" i="2"/>
  <c r="E86" i="2"/>
  <c r="D86" i="2"/>
  <c r="B86" i="2"/>
  <c r="A86" i="2"/>
  <c r="AD85" i="2"/>
  <c r="AC85" i="2"/>
  <c r="W85" i="2"/>
  <c r="K85" i="2"/>
  <c r="J85" i="2"/>
  <c r="E85" i="2"/>
  <c r="B85" i="2"/>
  <c r="A85" i="2"/>
  <c r="E84" i="2"/>
  <c r="B84" i="2"/>
  <c r="A84" i="2"/>
  <c r="AG84" i="2" s="1"/>
  <c r="E83" i="2"/>
  <c r="B83" i="2"/>
  <c r="A83" i="2"/>
  <c r="E82" i="2"/>
  <c r="B82" i="2"/>
  <c r="A82" i="2"/>
  <c r="AF82" i="2" s="1"/>
  <c r="W81" i="2"/>
  <c r="E81" i="2"/>
  <c r="B81" i="2"/>
  <c r="A81" i="2"/>
  <c r="AC80" i="2"/>
  <c r="E80" i="2"/>
  <c r="B80" i="2"/>
  <c r="A80" i="2"/>
  <c r="E79" i="2"/>
  <c r="B79" i="2"/>
  <c r="A79" i="2"/>
  <c r="AC78" i="2"/>
  <c r="E78" i="2"/>
  <c r="B78" i="2"/>
  <c r="A78" i="2"/>
  <c r="AG78" i="2" s="1"/>
  <c r="G77" i="2"/>
  <c r="E77" i="2"/>
  <c r="D77" i="2"/>
  <c r="B77" i="2"/>
  <c r="A77" i="2"/>
  <c r="X76" i="2"/>
  <c r="E76" i="2"/>
  <c r="C76" i="2"/>
  <c r="B76" i="2"/>
  <c r="A76" i="2"/>
  <c r="AK76" i="2" s="1"/>
  <c r="X75" i="2"/>
  <c r="W75" i="2"/>
  <c r="J75" i="2"/>
  <c r="E75" i="2"/>
  <c r="B75" i="2"/>
  <c r="A75" i="2"/>
  <c r="E74" i="2"/>
  <c r="B74" i="2"/>
  <c r="A74" i="2"/>
  <c r="AF73" i="2"/>
  <c r="W73" i="2"/>
  <c r="U73" i="2"/>
  <c r="E73" i="2"/>
  <c r="D73" i="2"/>
  <c r="C73" i="2"/>
  <c r="B73" i="2"/>
  <c r="A73" i="2"/>
  <c r="T72" i="2"/>
  <c r="S72" i="2"/>
  <c r="H72" i="2"/>
  <c r="E72" i="2"/>
  <c r="B72" i="2"/>
  <c r="A72" i="2"/>
  <c r="AB72" i="2" s="1"/>
  <c r="E71" i="2"/>
  <c r="D71" i="2"/>
  <c r="B71" i="2"/>
  <c r="A71" i="2"/>
  <c r="U71" i="2" s="1"/>
  <c r="S70" i="2"/>
  <c r="H70" i="2"/>
  <c r="E70" i="2"/>
  <c r="B70" i="2"/>
  <c r="A70" i="2"/>
  <c r="T69" i="2"/>
  <c r="R69" i="2"/>
  <c r="E69" i="2"/>
  <c r="B69" i="2"/>
  <c r="A69" i="2"/>
  <c r="AC68" i="2"/>
  <c r="R68" i="2"/>
  <c r="K68" i="2"/>
  <c r="J68" i="2"/>
  <c r="E68" i="2"/>
  <c r="D68" i="2"/>
  <c r="C68" i="2"/>
  <c r="B68" i="2"/>
  <c r="A68" i="2"/>
  <c r="AB68" i="2" s="1"/>
  <c r="E67" i="2"/>
  <c r="B67" i="2"/>
  <c r="A67" i="2"/>
  <c r="AH67" i="2" s="1"/>
  <c r="Y66" i="2"/>
  <c r="E66" i="2"/>
  <c r="B66" i="2"/>
  <c r="A66" i="2"/>
  <c r="Z65" i="2"/>
  <c r="J65" i="2"/>
  <c r="E65" i="2"/>
  <c r="B65" i="2"/>
  <c r="A65" i="2"/>
  <c r="U65" i="2" s="1"/>
  <c r="E64" i="2"/>
  <c r="B64" i="2"/>
  <c r="A64" i="2"/>
  <c r="T63" i="2"/>
  <c r="E63" i="2"/>
  <c r="B63" i="2"/>
  <c r="A63" i="2"/>
  <c r="AC62" i="2"/>
  <c r="E62" i="2"/>
  <c r="B62" i="2"/>
  <c r="A62" i="2"/>
  <c r="AF61" i="2"/>
  <c r="AB61" i="2"/>
  <c r="T61" i="2"/>
  <c r="H61" i="2"/>
  <c r="E61" i="2"/>
  <c r="B61" i="2"/>
  <c r="A61" i="2"/>
  <c r="AH60" i="2"/>
  <c r="T60" i="2"/>
  <c r="K60" i="2"/>
  <c r="E60" i="2"/>
  <c r="B60" i="2"/>
  <c r="A60" i="2"/>
  <c r="AC60" i="2" s="1"/>
  <c r="E59" i="2"/>
  <c r="B59" i="2"/>
  <c r="A59" i="2"/>
  <c r="E58" i="2"/>
  <c r="B58" i="2"/>
  <c r="A58" i="2"/>
  <c r="E57" i="2"/>
  <c r="B57" i="2"/>
  <c r="A57" i="2"/>
  <c r="X56" i="2"/>
  <c r="T56" i="2"/>
  <c r="E56" i="2"/>
  <c r="B56" i="2"/>
  <c r="A56" i="2"/>
  <c r="R55" i="2"/>
  <c r="K55" i="2"/>
  <c r="E55" i="2"/>
  <c r="B55" i="2"/>
  <c r="A55" i="2"/>
  <c r="AH55" i="2" s="1"/>
  <c r="AH54" i="2"/>
  <c r="W54" i="2"/>
  <c r="K54" i="2"/>
  <c r="E54" i="2"/>
  <c r="B54" i="2"/>
  <c r="A54" i="2"/>
  <c r="AK54" i="2" s="1"/>
  <c r="E53" i="2"/>
  <c r="D53" i="2"/>
  <c r="B53" i="2"/>
  <c r="A53" i="2"/>
  <c r="AK53" i="2" s="1"/>
  <c r="E52" i="2"/>
  <c r="B52" i="2"/>
  <c r="A52" i="2"/>
  <c r="C52" i="2" s="1"/>
  <c r="Z51" i="2"/>
  <c r="S51" i="2"/>
  <c r="G51" i="2"/>
  <c r="E51" i="2"/>
  <c r="C51" i="2"/>
  <c r="B51" i="2"/>
  <c r="A51" i="2"/>
  <c r="T51" i="2" s="1"/>
  <c r="E50" i="2"/>
  <c r="B50" i="2"/>
  <c r="A50" i="2"/>
  <c r="E49" i="2"/>
  <c r="B49" i="2"/>
  <c r="A49" i="2"/>
  <c r="E48" i="2"/>
  <c r="B48" i="2"/>
  <c r="A48" i="2"/>
  <c r="AK48" i="2" s="1"/>
  <c r="AH47" i="2"/>
  <c r="AB47" i="2"/>
  <c r="E47" i="2"/>
  <c r="B47" i="2"/>
  <c r="A47" i="2"/>
  <c r="J46" i="2"/>
  <c r="E46" i="2"/>
  <c r="B46" i="2"/>
  <c r="A46" i="2"/>
  <c r="AG46" i="2" s="1"/>
  <c r="AG45" i="2"/>
  <c r="E45" i="2"/>
  <c r="B45" i="2"/>
  <c r="A45" i="2"/>
  <c r="E44" i="2"/>
  <c r="B44" i="2"/>
  <c r="A44" i="2"/>
  <c r="G44" i="2" s="1"/>
  <c r="AK43" i="2"/>
  <c r="W43" i="2"/>
  <c r="R43" i="2"/>
  <c r="J43" i="2"/>
  <c r="G43" i="2"/>
  <c r="E43" i="2"/>
  <c r="B43" i="2"/>
  <c r="A43" i="2"/>
  <c r="AD42" i="2"/>
  <c r="AB42" i="2"/>
  <c r="X42" i="2"/>
  <c r="J42" i="2"/>
  <c r="E42" i="2"/>
  <c r="B42" i="2"/>
  <c r="A42" i="2"/>
  <c r="AB41" i="2"/>
  <c r="Z41" i="2"/>
  <c r="T41" i="2"/>
  <c r="H41" i="2"/>
  <c r="E41" i="2"/>
  <c r="B41" i="2"/>
  <c r="A41" i="2"/>
  <c r="AK41" i="2" s="1"/>
  <c r="E40" i="2"/>
  <c r="B40" i="2"/>
  <c r="A40" i="2"/>
  <c r="AF40" i="2" s="1"/>
  <c r="T39" i="2"/>
  <c r="H39" i="2"/>
  <c r="E39" i="2"/>
  <c r="B39" i="2"/>
  <c r="A39" i="2"/>
  <c r="Z39" i="2" s="1"/>
  <c r="R38" i="2"/>
  <c r="E38" i="2"/>
  <c r="B38" i="2"/>
  <c r="A38" i="2"/>
  <c r="AD38" i="2" s="1"/>
  <c r="E37" i="2"/>
  <c r="B37" i="2"/>
  <c r="A37" i="2"/>
  <c r="AH36" i="2"/>
  <c r="U36" i="2"/>
  <c r="R36" i="2"/>
  <c r="J36" i="2"/>
  <c r="E36" i="2"/>
  <c r="B36" i="2"/>
  <c r="A36" i="2"/>
  <c r="AD36" i="2" s="1"/>
  <c r="AK35" i="2"/>
  <c r="AC35" i="2"/>
  <c r="H35" i="2"/>
  <c r="E35" i="2"/>
  <c r="B35" i="2"/>
  <c r="A35" i="2"/>
  <c r="AG35" i="2" s="1"/>
  <c r="AH34" i="2"/>
  <c r="Z34" i="2"/>
  <c r="J34" i="2"/>
  <c r="E34" i="2"/>
  <c r="B34" i="2"/>
  <c r="A34" i="2"/>
  <c r="AG34" i="2" s="1"/>
  <c r="E33" i="2"/>
  <c r="B33" i="2"/>
  <c r="A33" i="2"/>
  <c r="E32" i="2"/>
  <c r="B32" i="2"/>
  <c r="A32" i="2"/>
  <c r="E31" i="2"/>
  <c r="B31" i="2"/>
  <c r="A31" i="2"/>
  <c r="E30" i="2"/>
  <c r="C30" i="2"/>
  <c r="B30" i="2"/>
  <c r="A30" i="2"/>
  <c r="AK30" i="2" s="1"/>
  <c r="AK29" i="2"/>
  <c r="AG29" i="2"/>
  <c r="AB29" i="2"/>
  <c r="T29" i="2"/>
  <c r="K29" i="2"/>
  <c r="H29" i="2"/>
  <c r="E29" i="2"/>
  <c r="D29" i="2"/>
  <c r="B29" i="2"/>
  <c r="A29" i="2"/>
  <c r="Z29" i="2" s="1"/>
  <c r="E28" i="2"/>
  <c r="D28" i="2"/>
  <c r="B28" i="2"/>
  <c r="A28" i="2"/>
  <c r="E27" i="2"/>
  <c r="B27" i="2"/>
  <c r="A27" i="2"/>
  <c r="E26" i="2"/>
  <c r="B26" i="2"/>
  <c r="A26" i="2"/>
  <c r="E25" i="2"/>
  <c r="B25" i="2"/>
  <c r="A25" i="2"/>
  <c r="AC24" i="2"/>
  <c r="U24" i="2"/>
  <c r="J24" i="2"/>
  <c r="E24" i="2"/>
  <c r="B24" i="2"/>
  <c r="A24" i="2"/>
  <c r="AH23" i="2"/>
  <c r="AC23" i="2"/>
  <c r="AB23" i="2"/>
  <c r="H23" i="2"/>
  <c r="E23" i="2"/>
  <c r="B23" i="2"/>
  <c r="A23" i="2"/>
  <c r="AF23" i="2" s="1"/>
  <c r="E22" i="2"/>
  <c r="A22" i="2"/>
  <c r="AK21" i="2"/>
  <c r="AG21" i="2"/>
  <c r="E21" i="2"/>
  <c r="A21" i="2"/>
  <c r="AH21" i="2" s="1"/>
  <c r="E20" i="2"/>
  <c r="A20" i="2"/>
  <c r="E19" i="2"/>
  <c r="A19" i="2"/>
  <c r="E18" i="2"/>
  <c r="A18" i="2"/>
  <c r="E17" i="2"/>
  <c r="A17" i="2"/>
  <c r="AK17" i="2" s="1"/>
  <c r="E16" i="2"/>
  <c r="A16" i="2"/>
  <c r="E15" i="2"/>
  <c r="A15" i="2"/>
  <c r="E14" i="2"/>
  <c r="A14" i="2"/>
  <c r="AK13" i="2"/>
  <c r="AH13" i="2"/>
  <c r="AG13" i="2"/>
  <c r="E13" i="2"/>
  <c r="A13" i="2"/>
  <c r="E12" i="2"/>
  <c r="A12" i="2"/>
  <c r="AK11" i="2"/>
  <c r="E11" i="2"/>
  <c r="A11" i="2"/>
  <c r="AH11" i="2" s="1"/>
  <c r="E10" i="2"/>
  <c r="A10" i="2"/>
  <c r="E9" i="2"/>
  <c r="A9" i="2"/>
  <c r="E8" i="2"/>
  <c r="A8" i="2"/>
  <c r="E7" i="2"/>
  <c r="A7" i="2"/>
  <c r="AO6" i="2"/>
  <c r="AO7" i="2" s="1"/>
  <c r="AO8" i="2" s="1"/>
  <c r="AO9" i="2" s="1"/>
  <c r="AN6" i="2"/>
  <c r="AN7" i="2" s="1"/>
  <c r="E6" i="2"/>
  <c r="A6" i="2"/>
  <c r="E5" i="2"/>
  <c r="B5" i="2"/>
  <c r="A5" i="2"/>
  <c r="AH3" i="2"/>
  <c r="V3" i="2"/>
  <c r="A988" i="2" s="1"/>
  <c r="F3" i="2"/>
  <c r="D3" i="2"/>
  <c r="AK2" i="2"/>
  <c r="AJ3" i="2" s="1"/>
  <c r="V2" i="2"/>
  <c r="A987" i="2" s="1"/>
  <c r="F2" i="2"/>
  <c r="AH1" i="2"/>
  <c r="AC1" i="2"/>
  <c r="AB1" i="2"/>
  <c r="C11" i="6" l="1"/>
  <c r="X13" i="3"/>
  <c r="M29" i="4"/>
  <c r="M32" i="4"/>
  <c r="M22" i="4"/>
  <c r="M10" i="4"/>
  <c r="M20" i="4"/>
  <c r="M8" i="4"/>
  <c r="M31" i="4"/>
  <c r="M19" i="4"/>
  <c r="M17" i="4"/>
  <c r="M28" i="4"/>
  <c r="M16" i="4"/>
  <c r="M26" i="4"/>
  <c r="M14" i="4"/>
  <c r="M25" i="4"/>
  <c r="M13" i="4"/>
  <c r="M23" i="4"/>
  <c r="M11" i="4"/>
  <c r="B12" i="5"/>
  <c r="H16" i="4"/>
  <c r="L18" i="4"/>
  <c r="G11" i="4"/>
  <c r="G10" i="4"/>
  <c r="G25" i="4"/>
  <c r="E21" i="4"/>
  <c r="H25" i="4"/>
  <c r="G22" i="4"/>
  <c r="G26" i="4"/>
  <c r="H22" i="4"/>
  <c r="G23" i="4"/>
  <c r="H13" i="4"/>
  <c r="G17" i="4"/>
  <c r="E27" i="4"/>
  <c r="L30" i="4"/>
  <c r="E30" i="4"/>
  <c r="E24" i="4"/>
  <c r="L27" i="4"/>
  <c r="L24" i="4"/>
  <c r="H10" i="4"/>
  <c r="G14" i="4"/>
  <c r="E18" i="4"/>
  <c r="L21" i="4"/>
  <c r="G31" i="4"/>
  <c r="G28" i="4"/>
  <c r="H31" i="4"/>
  <c r="G20" i="4"/>
  <c r="H28" i="4"/>
  <c r="G19" i="4"/>
  <c r="G32" i="4"/>
  <c r="G13" i="4"/>
  <c r="G8" i="4"/>
  <c r="G16" i="4"/>
  <c r="H19" i="4"/>
  <c r="G29" i="4"/>
  <c r="I13" i="4"/>
  <c r="I16" i="4"/>
  <c r="I19" i="4"/>
  <c r="I22" i="4"/>
  <c r="I25" i="4"/>
  <c r="I28" i="4"/>
  <c r="I31" i="4"/>
  <c r="F32" i="4"/>
  <c r="I10" i="4"/>
  <c r="C6" i="4"/>
  <c r="E9" i="4"/>
  <c r="L9" i="4"/>
  <c r="E12" i="4"/>
  <c r="L12" i="4"/>
  <c r="E15" i="4"/>
  <c r="L15" i="4"/>
  <c r="K15" i="4"/>
  <c r="K18" i="4"/>
  <c r="K24" i="4"/>
  <c r="D6" i="4"/>
  <c r="F9" i="4"/>
  <c r="F12" i="4"/>
  <c r="F15" i="4"/>
  <c r="F18" i="4"/>
  <c r="F21" i="4"/>
  <c r="F24" i="4"/>
  <c r="F27" i="4"/>
  <c r="F30" i="4"/>
  <c r="K21" i="4"/>
  <c r="H8" i="4"/>
  <c r="G9" i="4"/>
  <c r="J10" i="4"/>
  <c r="H11" i="4"/>
  <c r="G12" i="4"/>
  <c r="J13" i="4"/>
  <c r="H14" i="4"/>
  <c r="G15" i="4"/>
  <c r="J16" i="4"/>
  <c r="H17" i="4"/>
  <c r="G18" i="4"/>
  <c r="J19" i="4"/>
  <c r="H20" i="4"/>
  <c r="G21" i="4"/>
  <c r="J22" i="4"/>
  <c r="H23" i="4"/>
  <c r="G24" i="4"/>
  <c r="J25" i="4"/>
  <c r="H26" i="4"/>
  <c r="G27" i="4"/>
  <c r="J28" i="4"/>
  <c r="H29" i="4"/>
  <c r="G30" i="4"/>
  <c r="J31" i="4"/>
  <c r="H32" i="4"/>
  <c r="I8" i="4"/>
  <c r="I11" i="4"/>
  <c r="I14" i="4"/>
  <c r="I17" i="4"/>
  <c r="I20" i="4"/>
  <c r="I23" i="4"/>
  <c r="I26" i="4"/>
  <c r="I29" i="4"/>
  <c r="I32" i="4"/>
  <c r="L10" i="4"/>
  <c r="L13" i="4"/>
  <c r="L16" i="4"/>
  <c r="L19" i="4"/>
  <c r="L22" i="4"/>
  <c r="L25" i="4"/>
  <c r="L28" i="4"/>
  <c r="L31" i="4"/>
  <c r="K12" i="4"/>
  <c r="K30" i="4"/>
  <c r="F10" i="4"/>
  <c r="F13" i="4"/>
  <c r="F16" i="4"/>
  <c r="F19" i="4"/>
  <c r="F22" i="4"/>
  <c r="F25" i="4"/>
  <c r="F28" i="4"/>
  <c r="F31" i="4"/>
  <c r="J8" i="4"/>
  <c r="H9" i="4"/>
  <c r="J11" i="4"/>
  <c r="H12" i="4"/>
  <c r="J14" i="4"/>
  <c r="H15" i="4"/>
  <c r="J17" i="4"/>
  <c r="H18" i="4"/>
  <c r="J20" i="4"/>
  <c r="H21" i="4"/>
  <c r="J23" i="4"/>
  <c r="H24" i="4"/>
  <c r="J26" i="4"/>
  <c r="H27" i="4"/>
  <c r="J29" i="4"/>
  <c r="H30" i="4"/>
  <c r="J32" i="4"/>
  <c r="K27" i="4"/>
  <c r="F4" i="4"/>
  <c r="I9" i="4"/>
  <c r="I12" i="4"/>
  <c r="I15" i="4"/>
  <c r="I18" i="4"/>
  <c r="I21" i="4"/>
  <c r="I24" i="4"/>
  <c r="I27" i="4"/>
  <c r="I30" i="4"/>
  <c r="K9" i="4"/>
  <c r="L4" i="4"/>
  <c r="L8" i="4"/>
  <c r="L11" i="4"/>
  <c r="L14" i="4"/>
  <c r="L17" i="4"/>
  <c r="L20" i="4"/>
  <c r="L23" i="4"/>
  <c r="L26" i="4"/>
  <c r="L29" i="4"/>
  <c r="L32" i="4"/>
  <c r="F8" i="4"/>
  <c r="F11" i="4"/>
  <c r="F14" i="4"/>
  <c r="F17" i="4"/>
  <c r="F20" i="4"/>
  <c r="F23" i="4"/>
  <c r="F26" i="4"/>
  <c r="F29" i="4"/>
  <c r="X4" i="3"/>
  <c r="Q29" i="3"/>
  <c r="M24" i="3"/>
  <c r="M23" i="3"/>
  <c r="M12" i="3"/>
  <c r="M11" i="3"/>
  <c r="L31" i="3"/>
  <c r="M31" i="3"/>
  <c r="M19" i="3"/>
  <c r="M30" i="3"/>
  <c r="M18" i="3"/>
  <c r="M29" i="3"/>
  <c r="M17" i="3"/>
  <c r="M28" i="3"/>
  <c r="M16" i="3"/>
  <c r="M27" i="3"/>
  <c r="M15" i="3"/>
  <c r="M26" i="3"/>
  <c r="M14" i="3"/>
  <c r="M25" i="3"/>
  <c r="M13" i="3"/>
  <c r="Q17" i="3"/>
  <c r="M22" i="3"/>
  <c r="M10" i="3"/>
  <c r="M21" i="3"/>
  <c r="M9" i="3"/>
  <c r="M32" i="3"/>
  <c r="M20" i="3"/>
  <c r="M8" i="3"/>
  <c r="K23" i="3"/>
  <c r="R30" i="3"/>
  <c r="R17" i="3"/>
  <c r="K10" i="3"/>
  <c r="Q28" i="3"/>
  <c r="Q16" i="3"/>
  <c r="R29" i="3"/>
  <c r="R16" i="3"/>
  <c r="Q27" i="3"/>
  <c r="Q15" i="3"/>
  <c r="R28" i="3"/>
  <c r="R15" i="3"/>
  <c r="L26" i="3"/>
  <c r="Q26" i="3"/>
  <c r="Q14" i="3"/>
  <c r="R27" i="3"/>
  <c r="R14" i="3"/>
  <c r="L24" i="3"/>
  <c r="Q25" i="3"/>
  <c r="Q13" i="3"/>
  <c r="R26" i="3"/>
  <c r="R13" i="3"/>
  <c r="L23" i="3"/>
  <c r="Q24" i="3"/>
  <c r="Q12" i="3"/>
  <c r="R25" i="3"/>
  <c r="R12" i="3"/>
  <c r="L14" i="3"/>
  <c r="Q23" i="3"/>
  <c r="Q11" i="3"/>
  <c r="R24" i="3"/>
  <c r="R11" i="3"/>
  <c r="L12" i="3"/>
  <c r="Q22" i="3"/>
  <c r="Q10" i="3"/>
  <c r="R23" i="3"/>
  <c r="R10" i="3"/>
  <c r="L11" i="3"/>
  <c r="Q21" i="3"/>
  <c r="Q9" i="3"/>
  <c r="R22" i="3"/>
  <c r="R9" i="3"/>
  <c r="Q20" i="3"/>
  <c r="Q8" i="3"/>
  <c r="R21" i="3"/>
  <c r="R8" i="3"/>
  <c r="Q19" i="3"/>
  <c r="R32" i="3"/>
  <c r="R20" i="3"/>
  <c r="R19" i="3"/>
  <c r="Q30" i="3"/>
  <c r="Q18" i="3"/>
  <c r="R31" i="3"/>
  <c r="R18" i="3"/>
  <c r="L19" i="3"/>
  <c r="L30" i="3"/>
  <c r="L18" i="3"/>
  <c r="L29" i="3"/>
  <c r="L17" i="3"/>
  <c r="L28" i="3"/>
  <c r="L16" i="3"/>
  <c r="L27" i="3"/>
  <c r="L15" i="3"/>
  <c r="L25" i="3"/>
  <c r="L13" i="3"/>
  <c r="L22" i="3"/>
  <c r="L10" i="3"/>
  <c r="L21" i="3"/>
  <c r="L9" i="3"/>
  <c r="L32" i="3"/>
  <c r="L20" i="3"/>
  <c r="L8" i="3"/>
  <c r="K27" i="3"/>
  <c r="K15" i="3"/>
  <c r="K26" i="3"/>
  <c r="K14" i="3"/>
  <c r="K25" i="3"/>
  <c r="K13" i="3"/>
  <c r="K24" i="3"/>
  <c r="K12" i="3"/>
  <c r="K11" i="3"/>
  <c r="K21" i="3"/>
  <c r="K9" i="3"/>
  <c r="K32" i="3"/>
  <c r="K20" i="3"/>
  <c r="K8" i="3"/>
  <c r="K22" i="3"/>
  <c r="K31" i="3"/>
  <c r="K19" i="3"/>
  <c r="K30" i="3"/>
  <c r="K18" i="3"/>
  <c r="K29" i="3"/>
  <c r="K17" i="3"/>
  <c r="K28" i="3"/>
  <c r="K16" i="3"/>
  <c r="W17" i="3"/>
  <c r="W13" i="3"/>
  <c r="U29" i="3"/>
  <c r="W28" i="3"/>
  <c r="W25" i="3"/>
  <c r="W21" i="3"/>
  <c r="T28" i="3"/>
  <c r="W9" i="3"/>
  <c r="T31" i="3"/>
  <c r="U31" i="3"/>
  <c r="W14" i="3"/>
  <c r="W18" i="3"/>
  <c r="W22" i="3"/>
  <c r="T26" i="3"/>
  <c r="W31" i="3"/>
  <c r="W26" i="3"/>
  <c r="W10" i="3"/>
  <c r="W29" i="3"/>
  <c r="W4" i="3"/>
  <c r="W11" i="3"/>
  <c r="W15" i="3"/>
  <c r="W19" i="3"/>
  <c r="W23" i="3"/>
  <c r="T32" i="3"/>
  <c r="T27" i="3"/>
  <c r="U32" i="3"/>
  <c r="W27" i="3"/>
  <c r="T30" i="3"/>
  <c r="W32" i="3"/>
  <c r="W12" i="3"/>
  <c r="W16" i="3"/>
  <c r="W20" i="3"/>
  <c r="W24" i="3"/>
  <c r="W8" i="3"/>
  <c r="W30" i="3"/>
  <c r="AH2" i="2"/>
  <c r="S31" i="3"/>
  <c r="X32" i="3"/>
  <c r="V31" i="3"/>
  <c r="S32" i="3"/>
  <c r="X8" i="3"/>
  <c r="X9" i="3"/>
  <c r="X10" i="3"/>
  <c r="X11" i="3"/>
  <c r="X12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I6" i="3"/>
  <c r="J6" i="3"/>
  <c r="K53" i="2"/>
  <c r="AD62" i="2"/>
  <c r="I62" i="2"/>
  <c r="F62" i="2"/>
  <c r="AE62" i="2"/>
  <c r="Q62" i="2"/>
  <c r="P62" i="2"/>
  <c r="AH17" i="2"/>
  <c r="I25" i="2"/>
  <c r="F25" i="2"/>
  <c r="AE25" i="2"/>
  <c r="Q25" i="2"/>
  <c r="P25" i="2"/>
  <c r="AB35" i="2"/>
  <c r="C39" i="2"/>
  <c r="S40" i="2"/>
  <c r="S43" i="2"/>
  <c r="I43" i="2"/>
  <c r="F43" i="2"/>
  <c r="AE43" i="2"/>
  <c r="Q43" i="2"/>
  <c r="P43" i="2"/>
  <c r="AC48" i="2"/>
  <c r="AC53" i="2"/>
  <c r="AG54" i="2"/>
  <c r="AD55" i="2"/>
  <c r="W62" i="2"/>
  <c r="AD67" i="2"/>
  <c r="I70" i="2"/>
  <c r="F70" i="2"/>
  <c r="AE70" i="2"/>
  <c r="P70" i="2"/>
  <c r="Q70" i="2"/>
  <c r="AG73" i="2"/>
  <c r="I73" i="2"/>
  <c r="F73" i="2"/>
  <c r="AE73" i="2"/>
  <c r="Q73" i="2"/>
  <c r="P73" i="2"/>
  <c r="I75" i="2"/>
  <c r="F75" i="2"/>
  <c r="AE75" i="2"/>
  <c r="Q75" i="2"/>
  <c r="P75" i="2"/>
  <c r="W76" i="2"/>
  <c r="I80" i="2"/>
  <c r="F80" i="2"/>
  <c r="AE80" i="2"/>
  <c r="Q80" i="2"/>
  <c r="P80" i="2"/>
  <c r="H82" i="2"/>
  <c r="AF84" i="2"/>
  <c r="H93" i="2"/>
  <c r="G106" i="2"/>
  <c r="AF108" i="2"/>
  <c r="I108" i="2"/>
  <c r="F108" i="2"/>
  <c r="AE108" i="2"/>
  <c r="Q108" i="2"/>
  <c r="P108" i="2"/>
  <c r="J115" i="2"/>
  <c r="K116" i="2"/>
  <c r="R238" i="2"/>
  <c r="I238" i="2"/>
  <c r="F238" i="2"/>
  <c r="AE238" i="2"/>
  <c r="Q238" i="2"/>
  <c r="P238" i="2"/>
  <c r="AF238" i="2"/>
  <c r="AD238" i="2"/>
  <c r="AC238" i="2"/>
  <c r="AB238" i="2"/>
  <c r="V238" i="2"/>
  <c r="U238" i="2"/>
  <c r="J238" i="2"/>
  <c r="H238" i="2"/>
  <c r="C238" i="2"/>
  <c r="I31" i="2"/>
  <c r="F31" i="2"/>
  <c r="AE31" i="2"/>
  <c r="Q31" i="2"/>
  <c r="P31" i="2"/>
  <c r="AD48" i="2"/>
  <c r="X72" i="2"/>
  <c r="I72" i="2"/>
  <c r="F72" i="2"/>
  <c r="AE72" i="2"/>
  <c r="Q72" i="2"/>
  <c r="P72" i="2"/>
  <c r="H78" i="2"/>
  <c r="T82" i="2"/>
  <c r="I90" i="2"/>
  <c r="F90" i="2"/>
  <c r="AE90" i="2"/>
  <c r="P90" i="2"/>
  <c r="Q90" i="2"/>
  <c r="G92" i="2"/>
  <c r="W93" i="2"/>
  <c r="F100" i="2"/>
  <c r="I100" i="2"/>
  <c r="AE100" i="2"/>
  <c r="Q100" i="2"/>
  <c r="P100" i="2"/>
  <c r="H106" i="2"/>
  <c r="I111" i="2"/>
  <c r="F111" i="2"/>
  <c r="AE111" i="2"/>
  <c r="Q111" i="2"/>
  <c r="P111" i="2"/>
  <c r="K115" i="2"/>
  <c r="R116" i="2"/>
  <c r="AK123" i="2"/>
  <c r="I123" i="2"/>
  <c r="F123" i="2"/>
  <c r="AE123" i="2"/>
  <c r="Q123" i="2"/>
  <c r="P123" i="2"/>
  <c r="I127" i="2"/>
  <c r="F127" i="2"/>
  <c r="AE127" i="2"/>
  <c r="Q127" i="2"/>
  <c r="P127" i="2"/>
  <c r="AG127" i="2"/>
  <c r="I179" i="2"/>
  <c r="F179" i="2"/>
  <c r="AE179" i="2"/>
  <c r="Q179" i="2"/>
  <c r="P179" i="2"/>
  <c r="J179" i="2"/>
  <c r="AK183" i="2"/>
  <c r="I183" i="2"/>
  <c r="F183" i="2"/>
  <c r="AE183" i="2"/>
  <c r="Q183" i="2"/>
  <c r="P183" i="2"/>
  <c r="Z183" i="2"/>
  <c r="V183" i="2"/>
  <c r="U183" i="2"/>
  <c r="T183" i="2"/>
  <c r="J183" i="2"/>
  <c r="H183" i="2"/>
  <c r="C183" i="2"/>
  <c r="AH183" i="2"/>
  <c r="AF183" i="2"/>
  <c r="S259" i="2"/>
  <c r="I259" i="2"/>
  <c r="F259" i="2"/>
  <c r="AE259" i="2"/>
  <c r="Q259" i="2"/>
  <c r="P259" i="2"/>
  <c r="AK259" i="2"/>
  <c r="W259" i="2"/>
  <c r="J259" i="2"/>
  <c r="AG263" i="2"/>
  <c r="I263" i="2"/>
  <c r="F263" i="2"/>
  <c r="AE263" i="2"/>
  <c r="Q263" i="2"/>
  <c r="P263" i="2"/>
  <c r="AD263" i="2"/>
  <c r="AC263" i="2"/>
  <c r="AB263" i="2"/>
  <c r="Z263" i="2"/>
  <c r="W263" i="2"/>
  <c r="R263" i="2"/>
  <c r="J263" i="2"/>
  <c r="D263" i="2"/>
  <c r="C263" i="2"/>
  <c r="AK263" i="2"/>
  <c r="I27" i="2"/>
  <c r="F27" i="2"/>
  <c r="AE27" i="2"/>
  <c r="Q27" i="2"/>
  <c r="P27" i="2"/>
  <c r="AG42" i="2"/>
  <c r="I42" i="2"/>
  <c r="F42" i="2"/>
  <c r="AE42" i="2"/>
  <c r="P42" i="2"/>
  <c r="Q42" i="2"/>
  <c r="I45" i="2"/>
  <c r="F45" i="2"/>
  <c r="AE45" i="2"/>
  <c r="Q45" i="2"/>
  <c r="P45" i="2"/>
  <c r="AK47" i="2"/>
  <c r="I47" i="2"/>
  <c r="F47" i="2"/>
  <c r="AE47" i="2"/>
  <c r="Q47" i="2"/>
  <c r="P47" i="2"/>
  <c r="S52" i="2"/>
  <c r="AG53" i="2"/>
  <c r="I59" i="2"/>
  <c r="F59" i="2"/>
  <c r="AE59" i="2"/>
  <c r="P59" i="2"/>
  <c r="Q59" i="2"/>
  <c r="AF29" i="2"/>
  <c r="I29" i="2"/>
  <c r="F29" i="2"/>
  <c r="AE29" i="2"/>
  <c r="Q29" i="2"/>
  <c r="P29" i="2"/>
  <c r="AC29" i="2"/>
  <c r="U34" i="2"/>
  <c r="I37" i="2"/>
  <c r="F37" i="2"/>
  <c r="AE37" i="2"/>
  <c r="Q37" i="2"/>
  <c r="P37" i="2"/>
  <c r="G39" i="2"/>
  <c r="AG41" i="2"/>
  <c r="I41" i="2"/>
  <c r="F41" i="2"/>
  <c r="AE41" i="2"/>
  <c r="Q41" i="2"/>
  <c r="P41" i="2"/>
  <c r="U52" i="2"/>
  <c r="AH53" i="2"/>
  <c r="I56" i="2"/>
  <c r="F56" i="2"/>
  <c r="AE56" i="2"/>
  <c r="Q56" i="2"/>
  <c r="P56" i="2"/>
  <c r="AG61" i="2"/>
  <c r="I61" i="2"/>
  <c r="F61" i="2"/>
  <c r="AE61" i="2"/>
  <c r="Q61" i="2"/>
  <c r="P61" i="2"/>
  <c r="I63" i="2"/>
  <c r="F63" i="2"/>
  <c r="AE63" i="2"/>
  <c r="Q63" i="2"/>
  <c r="P63" i="2"/>
  <c r="I68" i="2"/>
  <c r="F68" i="2"/>
  <c r="AE68" i="2"/>
  <c r="Q68" i="2"/>
  <c r="P68" i="2"/>
  <c r="AD68" i="2"/>
  <c r="C70" i="2"/>
  <c r="W78" i="2"/>
  <c r="AG85" i="2"/>
  <c r="I85" i="2"/>
  <c r="F85" i="2"/>
  <c r="AE85" i="2"/>
  <c r="Q85" i="2"/>
  <c r="P85" i="2"/>
  <c r="K92" i="2"/>
  <c r="AC93" i="2"/>
  <c r="AD95" i="2"/>
  <c r="I95" i="2"/>
  <c r="F95" i="2"/>
  <c r="AE95" i="2"/>
  <c r="Q95" i="2"/>
  <c r="P95" i="2"/>
  <c r="R106" i="2"/>
  <c r="I113" i="2"/>
  <c r="F113" i="2"/>
  <c r="AE113" i="2"/>
  <c r="Q113" i="2"/>
  <c r="P113" i="2"/>
  <c r="W115" i="2"/>
  <c r="AB116" i="2"/>
  <c r="I121" i="2"/>
  <c r="F121" i="2"/>
  <c r="AE121" i="2"/>
  <c r="Q121" i="2"/>
  <c r="P121" i="2"/>
  <c r="U122" i="2"/>
  <c r="I122" i="2"/>
  <c r="F122" i="2"/>
  <c r="AE122" i="2"/>
  <c r="Q122" i="2"/>
  <c r="P122" i="2"/>
  <c r="AH127" i="2"/>
  <c r="I147" i="2"/>
  <c r="F147" i="2"/>
  <c r="AE147" i="2"/>
  <c r="Q147" i="2"/>
  <c r="P147" i="2"/>
  <c r="AK147" i="2"/>
  <c r="I151" i="2"/>
  <c r="F151" i="2"/>
  <c r="AE151" i="2"/>
  <c r="Q151" i="2"/>
  <c r="P151" i="2"/>
  <c r="Z151" i="2"/>
  <c r="X151" i="2"/>
  <c r="U151" i="2"/>
  <c r="S151" i="2"/>
  <c r="R151" i="2"/>
  <c r="H151" i="2"/>
  <c r="C151" i="2"/>
  <c r="AF151" i="2"/>
  <c r="S196" i="2"/>
  <c r="I196" i="2"/>
  <c r="F196" i="2"/>
  <c r="AE196" i="2"/>
  <c r="Q196" i="2"/>
  <c r="P196" i="2"/>
  <c r="AG196" i="2"/>
  <c r="AF196" i="2"/>
  <c r="AD196" i="2"/>
  <c r="V196" i="2"/>
  <c r="T196" i="2"/>
  <c r="D196" i="2"/>
  <c r="C196" i="2"/>
  <c r="I248" i="2"/>
  <c r="F248" i="2"/>
  <c r="AE248" i="2"/>
  <c r="Q248" i="2"/>
  <c r="P248" i="2"/>
  <c r="S248" i="2"/>
  <c r="D248" i="2"/>
  <c r="I251" i="2"/>
  <c r="F251" i="2"/>
  <c r="AE251" i="2"/>
  <c r="Q251" i="2"/>
  <c r="P251" i="2"/>
  <c r="J251" i="2"/>
  <c r="G251" i="2"/>
  <c r="AB77" i="2"/>
  <c r="I77" i="2"/>
  <c r="F77" i="2"/>
  <c r="AE77" i="2"/>
  <c r="Q77" i="2"/>
  <c r="P77" i="2"/>
  <c r="Y78" i="2"/>
  <c r="AD83" i="2"/>
  <c r="I83" i="2"/>
  <c r="F83" i="2"/>
  <c r="AE83" i="2"/>
  <c r="Q83" i="2"/>
  <c r="P83" i="2"/>
  <c r="R92" i="2"/>
  <c r="S106" i="2"/>
  <c r="AB115" i="2"/>
  <c r="AC116" i="2"/>
  <c r="I128" i="2"/>
  <c r="F128" i="2"/>
  <c r="AE128" i="2"/>
  <c r="Q128" i="2"/>
  <c r="P128" i="2"/>
  <c r="I158" i="2"/>
  <c r="F158" i="2"/>
  <c r="AE158" i="2"/>
  <c r="Q158" i="2"/>
  <c r="P158" i="2"/>
  <c r="AB158" i="2"/>
  <c r="Z158" i="2"/>
  <c r="Y158" i="2"/>
  <c r="X158" i="2"/>
  <c r="AK174" i="2"/>
  <c r="I174" i="2"/>
  <c r="F174" i="2"/>
  <c r="AE174" i="2"/>
  <c r="Q174" i="2"/>
  <c r="P174" i="2"/>
  <c r="AC174" i="2"/>
  <c r="Z174" i="2"/>
  <c r="T174" i="2"/>
  <c r="K174" i="2"/>
  <c r="I200" i="2"/>
  <c r="F200" i="2"/>
  <c r="AE200" i="2"/>
  <c r="Q200" i="2"/>
  <c r="P200" i="2"/>
  <c r="T200" i="2"/>
  <c r="I50" i="2"/>
  <c r="F50" i="2"/>
  <c r="AE50" i="2"/>
  <c r="Q50" i="2"/>
  <c r="P50" i="2"/>
  <c r="F26" i="2"/>
  <c r="I26" i="2"/>
  <c r="AE26" i="2"/>
  <c r="Q26" i="2"/>
  <c r="P26" i="2"/>
  <c r="I49" i="2"/>
  <c r="F49" i="2"/>
  <c r="AE49" i="2"/>
  <c r="Q49" i="2"/>
  <c r="P49" i="2"/>
  <c r="AB52" i="2"/>
  <c r="AK55" i="2"/>
  <c r="I55" i="2"/>
  <c r="F55" i="2"/>
  <c r="AE55" i="2"/>
  <c r="Q55" i="2"/>
  <c r="P55" i="2"/>
  <c r="I69" i="2"/>
  <c r="F69" i="2"/>
  <c r="AE69" i="2"/>
  <c r="Q69" i="2"/>
  <c r="P69" i="2"/>
  <c r="AK19" i="2"/>
  <c r="R24" i="2"/>
  <c r="F24" i="2"/>
  <c r="I24" i="2"/>
  <c r="AE24" i="2"/>
  <c r="Q24" i="2"/>
  <c r="P24" i="2"/>
  <c r="C29" i="2"/>
  <c r="AH29" i="2"/>
  <c r="S32" i="2"/>
  <c r="I32" i="2"/>
  <c r="F32" i="2"/>
  <c r="AE32" i="2"/>
  <c r="Q32" i="2"/>
  <c r="P32" i="2"/>
  <c r="AK36" i="2"/>
  <c r="F36" i="2"/>
  <c r="I36" i="2"/>
  <c r="AE36" i="2"/>
  <c r="Q36" i="2"/>
  <c r="P36" i="2"/>
  <c r="S39" i="2"/>
  <c r="G42" i="2"/>
  <c r="AF45" i="2"/>
  <c r="H47" i="2"/>
  <c r="H51" i="2"/>
  <c r="AF52" i="2"/>
  <c r="AD54" i="2"/>
  <c r="I54" i="2"/>
  <c r="F54" i="2"/>
  <c r="AE54" i="2"/>
  <c r="P54" i="2"/>
  <c r="Q54" i="2"/>
  <c r="AB60" i="2"/>
  <c r="I60" i="2"/>
  <c r="F60" i="2"/>
  <c r="AE60" i="2"/>
  <c r="Q60" i="2"/>
  <c r="P60" i="2"/>
  <c r="AF66" i="2"/>
  <c r="I66" i="2"/>
  <c r="F66" i="2"/>
  <c r="AE66" i="2"/>
  <c r="P66" i="2"/>
  <c r="Q66" i="2"/>
  <c r="G72" i="2"/>
  <c r="Z78" i="2"/>
  <c r="S81" i="2"/>
  <c r="I81" i="2"/>
  <c r="F81" i="2"/>
  <c r="AE81" i="2"/>
  <c r="Q81" i="2"/>
  <c r="P81" i="2"/>
  <c r="AD91" i="2"/>
  <c r="I91" i="2"/>
  <c r="F91" i="2"/>
  <c r="AE91" i="2"/>
  <c r="Q91" i="2"/>
  <c r="P91" i="2"/>
  <c r="V92" i="2"/>
  <c r="I94" i="2"/>
  <c r="F94" i="2"/>
  <c r="AE94" i="2"/>
  <c r="P94" i="2"/>
  <c r="Q94" i="2"/>
  <c r="I101" i="2"/>
  <c r="F101" i="2"/>
  <c r="AE101" i="2"/>
  <c r="Q101" i="2"/>
  <c r="P101" i="2"/>
  <c r="T106" i="2"/>
  <c r="AB109" i="2"/>
  <c r="I109" i="2"/>
  <c r="F109" i="2"/>
  <c r="AE109" i="2"/>
  <c r="P109" i="2"/>
  <c r="Q109" i="2"/>
  <c r="X109" i="2"/>
  <c r="J111" i="2"/>
  <c r="F124" i="2"/>
  <c r="I124" i="2"/>
  <c r="AE124" i="2"/>
  <c r="Q124" i="2"/>
  <c r="P124" i="2"/>
  <c r="D127" i="2"/>
  <c r="F136" i="2"/>
  <c r="I136" i="2"/>
  <c r="AE136" i="2"/>
  <c r="Q136" i="2"/>
  <c r="P136" i="2"/>
  <c r="AC183" i="2"/>
  <c r="I234" i="2"/>
  <c r="F234" i="2"/>
  <c r="AE234" i="2"/>
  <c r="P234" i="2"/>
  <c r="Q234" i="2"/>
  <c r="AK234" i="2"/>
  <c r="AF234" i="2"/>
  <c r="AD234" i="2"/>
  <c r="Z234" i="2"/>
  <c r="X234" i="2"/>
  <c r="W234" i="2"/>
  <c r="T234" i="2"/>
  <c r="R234" i="2"/>
  <c r="H234" i="2"/>
  <c r="AH263" i="2"/>
  <c r="I88" i="2"/>
  <c r="F88" i="2"/>
  <c r="AE88" i="2"/>
  <c r="Q88" i="2"/>
  <c r="P88" i="2"/>
  <c r="AB92" i="2"/>
  <c r="X98" i="2"/>
  <c r="I98" i="2"/>
  <c r="F98" i="2"/>
  <c r="AE98" i="2"/>
  <c r="Q98" i="2"/>
  <c r="P98" i="2"/>
  <c r="I114" i="2"/>
  <c r="F114" i="2"/>
  <c r="AE114" i="2"/>
  <c r="P114" i="2"/>
  <c r="Q114" i="2"/>
  <c r="I116" i="2"/>
  <c r="F116" i="2"/>
  <c r="AE116" i="2"/>
  <c r="Q116" i="2"/>
  <c r="P116" i="2"/>
  <c r="S117" i="2"/>
  <c r="I117" i="2"/>
  <c r="AE117" i="2"/>
  <c r="F117" i="2"/>
  <c r="Q117" i="2"/>
  <c r="P117" i="2"/>
  <c r="I119" i="2"/>
  <c r="F119" i="2"/>
  <c r="AE119" i="2"/>
  <c r="P119" i="2"/>
  <c r="Q119" i="2"/>
  <c r="B3" i="2"/>
  <c r="F38" i="2"/>
  <c r="I38" i="2"/>
  <c r="AE38" i="2"/>
  <c r="Q38" i="2"/>
  <c r="P38" i="2"/>
  <c r="AF53" i="2"/>
  <c r="I53" i="2"/>
  <c r="F53" i="2"/>
  <c r="AE53" i="2"/>
  <c r="Q53" i="2"/>
  <c r="P53" i="2"/>
  <c r="AK9" i="2"/>
  <c r="AG19" i="2"/>
  <c r="AK23" i="2"/>
  <c r="I23" i="2"/>
  <c r="F23" i="2"/>
  <c r="AE23" i="2"/>
  <c r="P23" i="2"/>
  <c r="Q23" i="2"/>
  <c r="Y26" i="2"/>
  <c r="AH30" i="2"/>
  <c r="I30" i="2"/>
  <c r="F30" i="2"/>
  <c r="AE30" i="2"/>
  <c r="Q30" i="2"/>
  <c r="P30" i="2"/>
  <c r="W35" i="2"/>
  <c r="I35" i="2"/>
  <c r="F35" i="2"/>
  <c r="AE35" i="2"/>
  <c r="Q35" i="2"/>
  <c r="P35" i="2"/>
  <c r="J41" i="2"/>
  <c r="R42" i="2"/>
  <c r="V43" i="2"/>
  <c r="AH46" i="2"/>
  <c r="I46" i="2"/>
  <c r="F46" i="2"/>
  <c r="AE46" i="2"/>
  <c r="P46" i="2"/>
  <c r="Q46" i="2"/>
  <c r="AC47" i="2"/>
  <c r="X49" i="2"/>
  <c r="D54" i="2"/>
  <c r="G55" i="2"/>
  <c r="C60" i="2"/>
  <c r="V63" i="2"/>
  <c r="G69" i="2"/>
  <c r="I71" i="2"/>
  <c r="F71" i="2"/>
  <c r="AE71" i="2"/>
  <c r="P71" i="2"/>
  <c r="Q71" i="2"/>
  <c r="J72" i="2"/>
  <c r="V73" i="2"/>
  <c r="I76" i="2"/>
  <c r="F76" i="2"/>
  <c r="AE76" i="2"/>
  <c r="Q76" i="2"/>
  <c r="P76" i="2"/>
  <c r="R83" i="2"/>
  <c r="AC92" i="2"/>
  <c r="AC106" i="2"/>
  <c r="W111" i="2"/>
  <c r="H127" i="2"/>
  <c r="J128" i="2"/>
  <c r="I40" i="2"/>
  <c r="F40" i="2"/>
  <c r="AE40" i="2"/>
  <c r="Q40" i="2"/>
  <c r="P40" i="2"/>
  <c r="I57" i="2"/>
  <c r="F57" i="2"/>
  <c r="AE57" i="2"/>
  <c r="Q57" i="2"/>
  <c r="P57" i="2"/>
  <c r="I64" i="2"/>
  <c r="F64" i="2"/>
  <c r="AE64" i="2"/>
  <c r="Q64" i="2"/>
  <c r="P64" i="2"/>
  <c r="I79" i="2"/>
  <c r="F79" i="2"/>
  <c r="AE79" i="2"/>
  <c r="Q79" i="2"/>
  <c r="P79" i="2"/>
  <c r="AF83" i="2"/>
  <c r="I102" i="2"/>
  <c r="F102" i="2"/>
  <c r="AE102" i="2"/>
  <c r="P102" i="2"/>
  <c r="Q102" i="2"/>
  <c r="X111" i="2"/>
  <c r="C114" i="2"/>
  <c r="C116" i="2"/>
  <c r="I125" i="2"/>
  <c r="F125" i="2"/>
  <c r="AE125" i="2"/>
  <c r="P125" i="2"/>
  <c r="Q125" i="2"/>
  <c r="J127" i="2"/>
  <c r="S128" i="2"/>
  <c r="I231" i="2"/>
  <c r="F231" i="2"/>
  <c r="AE231" i="2"/>
  <c r="Q231" i="2"/>
  <c r="P231" i="2"/>
  <c r="AK231" i="2"/>
  <c r="W231" i="2"/>
  <c r="S235" i="2"/>
  <c r="I235" i="2"/>
  <c r="F235" i="2"/>
  <c r="AE235" i="2"/>
  <c r="Q235" i="2"/>
  <c r="P235" i="2"/>
  <c r="AD235" i="2"/>
  <c r="U235" i="2"/>
  <c r="R235" i="2"/>
  <c r="G235" i="2"/>
  <c r="C235" i="2"/>
  <c r="I242" i="2"/>
  <c r="F242" i="2"/>
  <c r="AE242" i="2"/>
  <c r="Q242" i="2"/>
  <c r="P242" i="2"/>
  <c r="U78" i="2"/>
  <c r="I78" i="2"/>
  <c r="F78" i="2"/>
  <c r="AE78" i="2"/>
  <c r="Q78" i="2"/>
  <c r="P78" i="2"/>
  <c r="X82" i="2"/>
  <c r="I82" i="2"/>
  <c r="F82" i="2"/>
  <c r="AE82" i="2"/>
  <c r="Q82" i="2"/>
  <c r="P82" i="2"/>
  <c r="I84" i="2"/>
  <c r="F84" i="2"/>
  <c r="AE84" i="2"/>
  <c r="Q84" i="2"/>
  <c r="P84" i="2"/>
  <c r="I89" i="2"/>
  <c r="F89" i="2"/>
  <c r="AE89" i="2"/>
  <c r="Q89" i="2"/>
  <c r="P89" i="2"/>
  <c r="AH92" i="2"/>
  <c r="I92" i="2"/>
  <c r="F92" i="2"/>
  <c r="AE92" i="2"/>
  <c r="Q92" i="2"/>
  <c r="P92" i="2"/>
  <c r="S93" i="2"/>
  <c r="I93" i="2"/>
  <c r="AE93" i="2"/>
  <c r="F93" i="2"/>
  <c r="Q93" i="2"/>
  <c r="P93" i="2"/>
  <c r="U98" i="2"/>
  <c r="AF107" i="2"/>
  <c r="I107" i="2"/>
  <c r="F107" i="2"/>
  <c r="AE107" i="2"/>
  <c r="P107" i="2"/>
  <c r="Q107" i="2"/>
  <c r="AC111" i="2"/>
  <c r="D116" i="2"/>
  <c r="W117" i="2"/>
  <c r="S119" i="2"/>
  <c r="Z129" i="2"/>
  <c r="I129" i="2"/>
  <c r="AE129" i="2"/>
  <c r="F129" i="2"/>
  <c r="Q129" i="2"/>
  <c r="P129" i="2"/>
  <c r="I144" i="2"/>
  <c r="F144" i="2"/>
  <c r="AE144" i="2"/>
  <c r="Q144" i="2"/>
  <c r="P144" i="2"/>
  <c r="V144" i="2"/>
  <c r="U144" i="2"/>
  <c r="I204" i="2"/>
  <c r="F204" i="2"/>
  <c r="AE204" i="2"/>
  <c r="Q204" i="2"/>
  <c r="P204" i="2"/>
  <c r="T204" i="2"/>
  <c r="J204" i="2"/>
  <c r="I74" i="2"/>
  <c r="F74" i="2"/>
  <c r="AE74" i="2"/>
  <c r="Q74" i="2"/>
  <c r="P74" i="2"/>
  <c r="V98" i="2"/>
  <c r="C102" i="2"/>
  <c r="I106" i="2"/>
  <c r="F106" i="2"/>
  <c r="AE106" i="2"/>
  <c r="P106" i="2"/>
  <c r="Q106" i="2"/>
  <c r="AH111" i="2"/>
  <c r="AG115" i="2"/>
  <c r="I115" i="2"/>
  <c r="F115" i="2"/>
  <c r="AE115" i="2"/>
  <c r="Q115" i="2"/>
  <c r="P115" i="2"/>
  <c r="AK117" i="2"/>
  <c r="T119" i="2"/>
  <c r="S127" i="2"/>
  <c r="I131" i="2"/>
  <c r="F131" i="2"/>
  <c r="AE131" i="2"/>
  <c r="Q131" i="2"/>
  <c r="P131" i="2"/>
  <c r="AF131" i="2"/>
  <c r="R131" i="2"/>
  <c r="I140" i="2"/>
  <c r="F140" i="2"/>
  <c r="AE140" i="2"/>
  <c r="Q140" i="2"/>
  <c r="P140" i="2"/>
  <c r="AD140" i="2"/>
  <c r="AB140" i="2"/>
  <c r="AF192" i="2"/>
  <c r="I192" i="2"/>
  <c r="F192" i="2"/>
  <c r="AE192" i="2"/>
  <c r="Q192" i="2"/>
  <c r="P192" i="2"/>
  <c r="AD192" i="2"/>
  <c r="Z192" i="2"/>
  <c r="T192" i="2"/>
  <c r="J192" i="2"/>
  <c r="I253" i="2"/>
  <c r="F253" i="2"/>
  <c r="AE253" i="2"/>
  <c r="Q253" i="2"/>
  <c r="P253" i="2"/>
  <c r="I33" i="2"/>
  <c r="F33" i="2"/>
  <c r="AE33" i="2"/>
  <c r="Q33" i="2"/>
  <c r="P33" i="2"/>
  <c r="R48" i="2"/>
  <c r="I48" i="2"/>
  <c r="F48" i="2"/>
  <c r="AE48" i="2"/>
  <c r="Q48" i="2"/>
  <c r="P48" i="2"/>
  <c r="C40" i="2"/>
  <c r="S55" i="2"/>
  <c r="W69" i="2"/>
  <c r="J23" i="2"/>
  <c r="AD24" i="2"/>
  <c r="AF28" i="2"/>
  <c r="I28" i="2"/>
  <c r="F28" i="2"/>
  <c r="AE28" i="2"/>
  <c r="Q28" i="2"/>
  <c r="P28" i="2"/>
  <c r="V29" i="2"/>
  <c r="R30" i="2"/>
  <c r="I34" i="2"/>
  <c r="F34" i="2"/>
  <c r="AE34" i="2"/>
  <c r="Q34" i="2"/>
  <c r="P34" i="2"/>
  <c r="K35" i="2"/>
  <c r="AB36" i="2"/>
  <c r="R39" i="2"/>
  <c r="I39" i="2"/>
  <c r="F39" i="2"/>
  <c r="AE39" i="2"/>
  <c r="Q39" i="2"/>
  <c r="P39" i="2"/>
  <c r="D40" i="2"/>
  <c r="AF41" i="2"/>
  <c r="AH42" i="2"/>
  <c r="U46" i="2"/>
  <c r="AD50" i="2"/>
  <c r="W53" i="2"/>
  <c r="X54" i="2"/>
  <c r="AB55" i="2"/>
  <c r="I58" i="2"/>
  <c r="F58" i="2"/>
  <c r="AE58" i="2"/>
  <c r="P58" i="2"/>
  <c r="Q58" i="2"/>
  <c r="V60" i="2"/>
  <c r="V65" i="2"/>
  <c r="I65" i="2"/>
  <c r="F65" i="2"/>
  <c r="AE65" i="2"/>
  <c r="Q65" i="2"/>
  <c r="P65" i="2"/>
  <c r="S68" i="2"/>
  <c r="AF69" i="2"/>
  <c r="J71" i="2"/>
  <c r="AC72" i="2"/>
  <c r="G76" i="2"/>
  <c r="C78" i="2"/>
  <c r="R79" i="2"/>
  <c r="I86" i="2"/>
  <c r="F86" i="2"/>
  <c r="AE86" i="2"/>
  <c r="Q86" i="2"/>
  <c r="P86" i="2"/>
  <c r="AK87" i="2"/>
  <c r="I87" i="2"/>
  <c r="F87" i="2"/>
  <c r="AE87" i="2"/>
  <c r="Q87" i="2"/>
  <c r="P87" i="2"/>
  <c r="C92" i="2"/>
  <c r="S94" i="2"/>
  <c r="AB96" i="2"/>
  <c r="I96" i="2"/>
  <c r="F96" i="2"/>
  <c r="AE96" i="2"/>
  <c r="Q96" i="2"/>
  <c r="P96" i="2"/>
  <c r="AD97" i="2"/>
  <c r="I97" i="2"/>
  <c r="F97" i="2"/>
  <c r="AE97" i="2"/>
  <c r="Q97" i="2"/>
  <c r="P97" i="2"/>
  <c r="AK99" i="2"/>
  <c r="I99" i="2"/>
  <c r="F99" i="2"/>
  <c r="AE99" i="2"/>
  <c r="Q99" i="2"/>
  <c r="P99" i="2"/>
  <c r="AH104" i="2"/>
  <c r="I104" i="2"/>
  <c r="F104" i="2"/>
  <c r="AE104" i="2"/>
  <c r="Q104" i="2"/>
  <c r="P104" i="2"/>
  <c r="AD104" i="2"/>
  <c r="J109" i="2"/>
  <c r="X110" i="2"/>
  <c r="I110" i="2"/>
  <c r="F110" i="2"/>
  <c r="AE110" i="2"/>
  <c r="Q110" i="2"/>
  <c r="P110" i="2"/>
  <c r="AK111" i="2"/>
  <c r="G116" i="2"/>
  <c r="AC118" i="2"/>
  <c r="I118" i="2"/>
  <c r="F118" i="2"/>
  <c r="AE118" i="2"/>
  <c r="P118" i="2"/>
  <c r="Q118" i="2"/>
  <c r="AF119" i="2"/>
  <c r="I126" i="2"/>
  <c r="F126" i="2"/>
  <c r="AE126" i="2"/>
  <c r="Q126" i="2"/>
  <c r="P126" i="2"/>
  <c r="V127" i="2"/>
  <c r="I52" i="2"/>
  <c r="F52" i="2"/>
  <c r="AE52" i="2"/>
  <c r="Q52" i="2"/>
  <c r="P52" i="2"/>
  <c r="S67" i="2"/>
  <c r="I67" i="2"/>
  <c r="F67" i="2"/>
  <c r="AE67" i="2"/>
  <c r="Q67" i="2"/>
  <c r="P67" i="2"/>
  <c r="AF44" i="2"/>
  <c r="I44" i="2"/>
  <c r="F44" i="2"/>
  <c r="AE44" i="2"/>
  <c r="Q44" i="2"/>
  <c r="P44" i="2"/>
  <c r="AG17" i="2"/>
  <c r="T23" i="2"/>
  <c r="AK24" i="2"/>
  <c r="W29" i="2"/>
  <c r="W30" i="2"/>
  <c r="T35" i="2"/>
  <c r="AC36" i="2"/>
  <c r="AH41" i="2"/>
  <c r="AK42" i="2"/>
  <c r="V46" i="2"/>
  <c r="J48" i="2"/>
  <c r="R51" i="2"/>
  <c r="I51" i="2"/>
  <c r="F51" i="2"/>
  <c r="Q51" i="2"/>
  <c r="AE51" i="2"/>
  <c r="P51" i="2"/>
  <c r="D52" i="2"/>
  <c r="Z53" i="2"/>
  <c r="AC54" i="2"/>
  <c r="AC55" i="2"/>
  <c r="W60" i="2"/>
  <c r="G67" i="2"/>
  <c r="V68" i="2"/>
  <c r="AK69" i="2"/>
  <c r="S71" i="2"/>
  <c r="AK72" i="2"/>
  <c r="U76" i="2"/>
  <c r="D78" i="2"/>
  <c r="AH79" i="2"/>
  <c r="G82" i="2"/>
  <c r="H84" i="2"/>
  <c r="X89" i="2"/>
  <c r="D92" i="2"/>
  <c r="G93" i="2"/>
  <c r="T94" i="2"/>
  <c r="AD103" i="2"/>
  <c r="I103" i="2"/>
  <c r="F103" i="2"/>
  <c r="AE103" i="2"/>
  <c r="Q103" i="2"/>
  <c r="P103" i="2"/>
  <c r="S105" i="2"/>
  <c r="I105" i="2"/>
  <c r="AE105" i="2"/>
  <c r="F105" i="2"/>
  <c r="Q105" i="2"/>
  <c r="P105" i="2"/>
  <c r="H107" i="2"/>
  <c r="K109" i="2"/>
  <c r="F112" i="2"/>
  <c r="I112" i="2"/>
  <c r="AE112" i="2"/>
  <c r="Q112" i="2"/>
  <c r="P112" i="2"/>
  <c r="J116" i="2"/>
  <c r="U120" i="2"/>
  <c r="I120" i="2"/>
  <c r="F120" i="2"/>
  <c r="AE120" i="2"/>
  <c r="Q120" i="2"/>
  <c r="P120" i="2"/>
  <c r="AG121" i="2"/>
  <c r="AH122" i="2"/>
  <c r="X127" i="2"/>
  <c r="W129" i="2"/>
  <c r="R250" i="2"/>
  <c r="I250" i="2"/>
  <c r="F250" i="2"/>
  <c r="AE250" i="2"/>
  <c r="Q250" i="2"/>
  <c r="P250" i="2"/>
  <c r="AH250" i="2"/>
  <c r="AF250" i="2"/>
  <c r="AD250" i="2"/>
  <c r="AB250" i="2"/>
  <c r="V250" i="2"/>
  <c r="U250" i="2"/>
  <c r="J250" i="2"/>
  <c r="H250" i="2"/>
  <c r="C250" i="2"/>
  <c r="I155" i="2"/>
  <c r="F155" i="2"/>
  <c r="AE155" i="2"/>
  <c r="P155" i="2"/>
  <c r="Q155" i="2"/>
  <c r="I164" i="2"/>
  <c r="F164" i="2"/>
  <c r="AE164" i="2"/>
  <c r="Q164" i="2"/>
  <c r="P164" i="2"/>
  <c r="AB190" i="2"/>
  <c r="I190" i="2"/>
  <c r="F190" i="2"/>
  <c r="AE190" i="2"/>
  <c r="P190" i="2"/>
  <c r="Q190" i="2"/>
  <c r="I197" i="2"/>
  <c r="F197" i="2"/>
  <c r="AE197" i="2"/>
  <c r="Q197" i="2"/>
  <c r="P197" i="2"/>
  <c r="I217" i="2"/>
  <c r="F217" i="2"/>
  <c r="AE217" i="2"/>
  <c r="Q217" i="2"/>
  <c r="P217" i="2"/>
  <c r="I222" i="2"/>
  <c r="F222" i="2"/>
  <c r="AE222" i="2"/>
  <c r="Q222" i="2"/>
  <c r="P222" i="2"/>
  <c r="I239" i="2"/>
  <c r="F239" i="2"/>
  <c r="AE239" i="2"/>
  <c r="Q239" i="2"/>
  <c r="P239" i="2"/>
  <c r="AB269" i="2"/>
  <c r="I272" i="2"/>
  <c r="F272" i="2"/>
  <c r="AE272" i="2"/>
  <c r="Q272" i="2"/>
  <c r="P272" i="2"/>
  <c r="AH275" i="2"/>
  <c r="I290" i="2"/>
  <c r="F290" i="2"/>
  <c r="AE290" i="2"/>
  <c r="Q290" i="2"/>
  <c r="P290" i="2"/>
  <c r="R299" i="2"/>
  <c r="I299" i="2"/>
  <c r="F299" i="2"/>
  <c r="AE299" i="2"/>
  <c r="P299" i="2"/>
  <c r="Q299" i="2"/>
  <c r="AD299" i="2"/>
  <c r="AC311" i="2"/>
  <c r="I311" i="2"/>
  <c r="F311" i="2"/>
  <c r="AE311" i="2"/>
  <c r="Q311" i="2"/>
  <c r="P311" i="2"/>
  <c r="AF316" i="2"/>
  <c r="I316" i="2"/>
  <c r="AE316" i="2"/>
  <c r="F316" i="2"/>
  <c r="Q316" i="2"/>
  <c r="P316" i="2"/>
  <c r="AC341" i="2"/>
  <c r="I341" i="2"/>
  <c r="F341" i="2"/>
  <c r="AE341" i="2"/>
  <c r="Q341" i="2"/>
  <c r="P341" i="2"/>
  <c r="T344" i="2"/>
  <c r="I344" i="2"/>
  <c r="F344" i="2"/>
  <c r="AE344" i="2"/>
  <c r="Q344" i="2"/>
  <c r="P344" i="2"/>
  <c r="AF344" i="2"/>
  <c r="V346" i="2"/>
  <c r="I346" i="2"/>
  <c r="F346" i="2"/>
  <c r="AE346" i="2"/>
  <c r="Q346" i="2"/>
  <c r="P346" i="2"/>
  <c r="J346" i="2"/>
  <c r="R354" i="2"/>
  <c r="I354" i="2"/>
  <c r="F354" i="2"/>
  <c r="AE354" i="2"/>
  <c r="P354" i="2"/>
  <c r="Q354" i="2"/>
  <c r="Z354" i="2"/>
  <c r="W354" i="2"/>
  <c r="AK354" i="2"/>
  <c r="T357" i="2"/>
  <c r="I357" i="2"/>
  <c r="AE357" i="2"/>
  <c r="F357" i="2"/>
  <c r="Q357" i="2"/>
  <c r="P357" i="2"/>
  <c r="AK357" i="2"/>
  <c r="K357" i="2"/>
  <c r="J357" i="2"/>
  <c r="X397" i="2"/>
  <c r="I397" i="2"/>
  <c r="F397" i="2"/>
  <c r="AE397" i="2"/>
  <c r="Q397" i="2"/>
  <c r="P397" i="2"/>
  <c r="S397" i="2"/>
  <c r="K397" i="2"/>
  <c r="J397" i="2"/>
  <c r="AH397" i="2"/>
  <c r="G397" i="2"/>
  <c r="AC397" i="2"/>
  <c r="AB397" i="2"/>
  <c r="D397" i="2"/>
  <c r="Z397" i="2"/>
  <c r="C397" i="2"/>
  <c r="W397" i="2"/>
  <c r="I503" i="2"/>
  <c r="F503" i="2"/>
  <c r="AE503" i="2"/>
  <c r="Q503" i="2"/>
  <c r="P503" i="2"/>
  <c r="X503" i="2"/>
  <c r="U503" i="2"/>
  <c r="I651" i="2"/>
  <c r="F651" i="2"/>
  <c r="AE651" i="2"/>
  <c r="Q651" i="2"/>
  <c r="P651" i="2"/>
  <c r="T651" i="2"/>
  <c r="R651" i="2"/>
  <c r="W651" i="2"/>
  <c r="I213" i="2"/>
  <c r="F213" i="2"/>
  <c r="AE213" i="2"/>
  <c r="Q213" i="2"/>
  <c r="P213" i="2"/>
  <c r="I216" i="2"/>
  <c r="F216" i="2"/>
  <c r="AE216" i="2"/>
  <c r="Q216" i="2"/>
  <c r="P216" i="2"/>
  <c r="AB262" i="2"/>
  <c r="I262" i="2"/>
  <c r="F262" i="2"/>
  <c r="AE262" i="2"/>
  <c r="P262" i="2"/>
  <c r="Q262" i="2"/>
  <c r="S264" i="2"/>
  <c r="I264" i="2"/>
  <c r="F264" i="2"/>
  <c r="AE264" i="2"/>
  <c r="Q264" i="2"/>
  <c r="P264" i="2"/>
  <c r="I267" i="2"/>
  <c r="F267" i="2"/>
  <c r="AE267" i="2"/>
  <c r="Q267" i="2"/>
  <c r="P267" i="2"/>
  <c r="C269" i="2"/>
  <c r="AC269" i="2"/>
  <c r="I280" i="2"/>
  <c r="AE280" i="2"/>
  <c r="F280" i="2"/>
  <c r="Q280" i="2"/>
  <c r="P280" i="2"/>
  <c r="X280" i="2"/>
  <c r="I310" i="2"/>
  <c r="F310" i="2"/>
  <c r="AE310" i="2"/>
  <c r="P310" i="2"/>
  <c r="Q310" i="2"/>
  <c r="AF333" i="2"/>
  <c r="I333" i="2"/>
  <c r="AE333" i="2"/>
  <c r="F333" i="2"/>
  <c r="Q333" i="2"/>
  <c r="P333" i="2"/>
  <c r="AB333" i="2"/>
  <c r="AB352" i="2"/>
  <c r="I352" i="2"/>
  <c r="AE352" i="2"/>
  <c r="F352" i="2"/>
  <c r="Q352" i="2"/>
  <c r="P352" i="2"/>
  <c r="AC352" i="2"/>
  <c r="U355" i="2"/>
  <c r="I355" i="2"/>
  <c r="F355" i="2"/>
  <c r="AE355" i="2"/>
  <c r="Q355" i="2"/>
  <c r="P355" i="2"/>
  <c r="AG355" i="2"/>
  <c r="W363" i="2"/>
  <c r="I363" i="2"/>
  <c r="F363" i="2"/>
  <c r="AE363" i="2"/>
  <c r="Q363" i="2"/>
  <c r="P363" i="2"/>
  <c r="T363" i="2"/>
  <c r="K363" i="2"/>
  <c r="C363" i="2"/>
  <c r="W375" i="2"/>
  <c r="I375" i="2"/>
  <c r="F375" i="2"/>
  <c r="AE375" i="2"/>
  <c r="Q375" i="2"/>
  <c r="P375" i="2"/>
  <c r="T375" i="2"/>
  <c r="I404" i="2"/>
  <c r="F404" i="2"/>
  <c r="AE404" i="2"/>
  <c r="Q404" i="2"/>
  <c r="P404" i="2"/>
  <c r="AB404" i="2"/>
  <c r="Y404" i="2"/>
  <c r="V404" i="2"/>
  <c r="D404" i="2"/>
  <c r="I417" i="2"/>
  <c r="AE417" i="2"/>
  <c r="F417" i="2"/>
  <c r="Q417" i="2"/>
  <c r="P417" i="2"/>
  <c r="I440" i="2"/>
  <c r="F440" i="2"/>
  <c r="AE440" i="2"/>
  <c r="Q440" i="2"/>
  <c r="P440" i="2"/>
  <c r="K440" i="2"/>
  <c r="I571" i="2"/>
  <c r="F571" i="2"/>
  <c r="AE571" i="2"/>
  <c r="P571" i="2"/>
  <c r="Q571" i="2"/>
  <c r="S143" i="2"/>
  <c r="I143" i="2"/>
  <c r="F143" i="2"/>
  <c r="AE143" i="2"/>
  <c r="Q143" i="2"/>
  <c r="P143" i="2"/>
  <c r="S152" i="2"/>
  <c r="I152" i="2"/>
  <c r="F152" i="2"/>
  <c r="AE152" i="2"/>
  <c r="Q152" i="2"/>
  <c r="P152" i="2"/>
  <c r="T154" i="2"/>
  <c r="I154" i="2"/>
  <c r="F154" i="2"/>
  <c r="AE154" i="2"/>
  <c r="P154" i="2"/>
  <c r="Q154" i="2"/>
  <c r="I168" i="2"/>
  <c r="F168" i="2"/>
  <c r="AE168" i="2"/>
  <c r="Q168" i="2"/>
  <c r="P168" i="2"/>
  <c r="AC168" i="2"/>
  <c r="I177" i="2"/>
  <c r="F177" i="2"/>
  <c r="AE177" i="2"/>
  <c r="Q177" i="2"/>
  <c r="P177" i="2"/>
  <c r="R186" i="2"/>
  <c r="I186" i="2"/>
  <c r="F186" i="2"/>
  <c r="AE186" i="2"/>
  <c r="P186" i="2"/>
  <c r="Q186" i="2"/>
  <c r="I187" i="2"/>
  <c r="F187" i="2"/>
  <c r="AE187" i="2"/>
  <c r="Q187" i="2"/>
  <c r="P187" i="2"/>
  <c r="D190" i="2"/>
  <c r="I195" i="2"/>
  <c r="F195" i="2"/>
  <c r="AE195" i="2"/>
  <c r="Q195" i="2"/>
  <c r="P195" i="2"/>
  <c r="AH207" i="2"/>
  <c r="I207" i="2"/>
  <c r="F207" i="2"/>
  <c r="AE207" i="2"/>
  <c r="Q207" i="2"/>
  <c r="P207" i="2"/>
  <c r="J209" i="2"/>
  <c r="I220" i="2"/>
  <c r="F220" i="2"/>
  <c r="AE220" i="2"/>
  <c r="Q220" i="2"/>
  <c r="P220" i="2"/>
  <c r="AF225" i="2"/>
  <c r="I225" i="2"/>
  <c r="F225" i="2"/>
  <c r="AE225" i="2"/>
  <c r="Q225" i="2"/>
  <c r="P225" i="2"/>
  <c r="AB225" i="2"/>
  <c r="I228" i="2"/>
  <c r="F228" i="2"/>
  <c r="AE228" i="2"/>
  <c r="Q228" i="2"/>
  <c r="P228" i="2"/>
  <c r="AH228" i="2"/>
  <c r="Z243" i="2"/>
  <c r="I243" i="2"/>
  <c r="F243" i="2"/>
  <c r="AE243" i="2"/>
  <c r="Q243" i="2"/>
  <c r="P243" i="2"/>
  <c r="AK246" i="2"/>
  <c r="I246" i="2"/>
  <c r="F246" i="2"/>
  <c r="AE246" i="2"/>
  <c r="P246" i="2"/>
  <c r="Q246" i="2"/>
  <c r="AC246" i="2"/>
  <c r="I254" i="2"/>
  <c r="F254" i="2"/>
  <c r="AE254" i="2"/>
  <c r="Q254" i="2"/>
  <c r="P254" i="2"/>
  <c r="D269" i="2"/>
  <c r="AF269" i="2"/>
  <c r="D275" i="2"/>
  <c r="I276" i="2"/>
  <c r="F276" i="2"/>
  <c r="AE276" i="2"/>
  <c r="Q276" i="2"/>
  <c r="P276" i="2"/>
  <c r="I277" i="2"/>
  <c r="F277" i="2"/>
  <c r="AE277" i="2"/>
  <c r="Q277" i="2"/>
  <c r="P277" i="2"/>
  <c r="Z280" i="2"/>
  <c r="J283" i="2"/>
  <c r="I287" i="2"/>
  <c r="F287" i="2"/>
  <c r="AE287" i="2"/>
  <c r="P287" i="2"/>
  <c r="Q287" i="2"/>
  <c r="AG287" i="2"/>
  <c r="I293" i="2"/>
  <c r="F293" i="2"/>
  <c r="AE293" i="2"/>
  <c r="Q293" i="2"/>
  <c r="P293" i="2"/>
  <c r="W293" i="2"/>
  <c r="I296" i="2"/>
  <c r="F296" i="2"/>
  <c r="AE296" i="2"/>
  <c r="Q296" i="2"/>
  <c r="P296" i="2"/>
  <c r="C299" i="2"/>
  <c r="AH299" i="2"/>
  <c r="AF305" i="2"/>
  <c r="I308" i="2"/>
  <c r="F308" i="2"/>
  <c r="AE308" i="2"/>
  <c r="Q308" i="2"/>
  <c r="P308" i="2"/>
  <c r="I321" i="2"/>
  <c r="F321" i="2"/>
  <c r="AE321" i="2"/>
  <c r="Q321" i="2"/>
  <c r="P321" i="2"/>
  <c r="H328" i="2"/>
  <c r="S336" i="2"/>
  <c r="I336" i="2"/>
  <c r="F336" i="2"/>
  <c r="AE336" i="2"/>
  <c r="Q336" i="2"/>
  <c r="P336" i="2"/>
  <c r="H336" i="2"/>
  <c r="I338" i="2"/>
  <c r="F338" i="2"/>
  <c r="AE338" i="2"/>
  <c r="Q338" i="2"/>
  <c r="P338" i="2"/>
  <c r="Z338" i="2"/>
  <c r="AD348" i="2"/>
  <c r="D354" i="2"/>
  <c r="AH380" i="2"/>
  <c r="I380" i="2"/>
  <c r="F380" i="2"/>
  <c r="AE380" i="2"/>
  <c r="Q380" i="2"/>
  <c r="P380" i="2"/>
  <c r="S380" i="2"/>
  <c r="J380" i="2"/>
  <c r="K382" i="2"/>
  <c r="S412" i="2"/>
  <c r="I412" i="2"/>
  <c r="AE412" i="2"/>
  <c r="F412" i="2"/>
  <c r="Q412" i="2"/>
  <c r="P412" i="2"/>
  <c r="AG412" i="2"/>
  <c r="AF412" i="2"/>
  <c r="R412" i="2"/>
  <c r="H412" i="2"/>
  <c r="G412" i="2"/>
  <c r="I461" i="2"/>
  <c r="F461" i="2"/>
  <c r="AE461" i="2"/>
  <c r="Q461" i="2"/>
  <c r="P461" i="2"/>
  <c r="I546" i="2"/>
  <c r="F546" i="2"/>
  <c r="AE546" i="2"/>
  <c r="Q546" i="2"/>
  <c r="P546" i="2"/>
  <c r="X546" i="2"/>
  <c r="W546" i="2"/>
  <c r="K546" i="2"/>
  <c r="X135" i="2"/>
  <c r="I135" i="2"/>
  <c r="F135" i="2"/>
  <c r="AE135" i="2"/>
  <c r="Q135" i="2"/>
  <c r="P135" i="2"/>
  <c r="I137" i="2"/>
  <c r="F137" i="2"/>
  <c r="AE137" i="2"/>
  <c r="Q137" i="2"/>
  <c r="P137" i="2"/>
  <c r="K139" i="2"/>
  <c r="I146" i="2"/>
  <c r="F146" i="2"/>
  <c r="AE146" i="2"/>
  <c r="Q146" i="2"/>
  <c r="P146" i="2"/>
  <c r="K155" i="2"/>
  <c r="J161" i="2"/>
  <c r="AB165" i="2"/>
  <c r="I165" i="2"/>
  <c r="F165" i="2"/>
  <c r="AE165" i="2"/>
  <c r="Q165" i="2"/>
  <c r="P165" i="2"/>
  <c r="AD168" i="2"/>
  <c r="V171" i="2"/>
  <c r="U178" i="2"/>
  <c r="AH180" i="2"/>
  <c r="I180" i="2"/>
  <c r="F180" i="2"/>
  <c r="AE180" i="2"/>
  <c r="Q180" i="2"/>
  <c r="P180" i="2"/>
  <c r="AC184" i="2"/>
  <c r="I184" i="2"/>
  <c r="F184" i="2"/>
  <c r="AE184" i="2"/>
  <c r="Q184" i="2"/>
  <c r="P184" i="2"/>
  <c r="Z184" i="2"/>
  <c r="G197" i="2"/>
  <c r="AG201" i="2"/>
  <c r="I201" i="2"/>
  <c r="F201" i="2"/>
  <c r="AE201" i="2"/>
  <c r="Q201" i="2"/>
  <c r="P201" i="2"/>
  <c r="AF201" i="2"/>
  <c r="K209" i="2"/>
  <c r="I218" i="2"/>
  <c r="F218" i="2"/>
  <c r="AE218" i="2"/>
  <c r="Q218" i="2"/>
  <c r="P218" i="2"/>
  <c r="S223" i="2"/>
  <c r="I223" i="2"/>
  <c r="F223" i="2"/>
  <c r="AE223" i="2"/>
  <c r="Q223" i="2"/>
  <c r="P223" i="2"/>
  <c r="AC225" i="2"/>
  <c r="AK228" i="2"/>
  <c r="K239" i="2"/>
  <c r="AD246" i="2"/>
  <c r="D262" i="2"/>
  <c r="AG269" i="2"/>
  <c r="AD271" i="2"/>
  <c r="I271" i="2"/>
  <c r="F271" i="2"/>
  <c r="AE271" i="2"/>
  <c r="Q271" i="2"/>
  <c r="P271" i="2"/>
  <c r="I273" i="2"/>
  <c r="F273" i="2"/>
  <c r="AE273" i="2"/>
  <c r="Q273" i="2"/>
  <c r="P273" i="2"/>
  <c r="C280" i="2"/>
  <c r="AB280" i="2"/>
  <c r="K283" i="2"/>
  <c r="AH287" i="2"/>
  <c r="R290" i="2"/>
  <c r="S292" i="2"/>
  <c r="X293" i="2"/>
  <c r="D299" i="2"/>
  <c r="AK299" i="2"/>
  <c r="AK304" i="2"/>
  <c r="I304" i="2"/>
  <c r="AE304" i="2"/>
  <c r="F304" i="2"/>
  <c r="Q304" i="2"/>
  <c r="P304" i="2"/>
  <c r="AH304" i="2"/>
  <c r="C310" i="2"/>
  <c r="AK312" i="2"/>
  <c r="I312" i="2"/>
  <c r="F312" i="2"/>
  <c r="AE312" i="2"/>
  <c r="Q312" i="2"/>
  <c r="P312" i="2"/>
  <c r="AD312" i="2"/>
  <c r="I314" i="2"/>
  <c r="F314" i="2"/>
  <c r="AE314" i="2"/>
  <c r="P314" i="2"/>
  <c r="Q314" i="2"/>
  <c r="AH317" i="2"/>
  <c r="I317" i="2"/>
  <c r="F317" i="2"/>
  <c r="AE317" i="2"/>
  <c r="Q317" i="2"/>
  <c r="P317" i="2"/>
  <c r="I324" i="2"/>
  <c r="F324" i="2"/>
  <c r="AE324" i="2"/>
  <c r="Q324" i="2"/>
  <c r="P324" i="2"/>
  <c r="R324" i="2"/>
  <c r="J324" i="2"/>
  <c r="AC324" i="2"/>
  <c r="X328" i="2"/>
  <c r="S341" i="2"/>
  <c r="H344" i="2"/>
  <c r="U346" i="2"/>
  <c r="I358" i="2"/>
  <c r="F358" i="2"/>
  <c r="AE358" i="2"/>
  <c r="Q358" i="2"/>
  <c r="P358" i="2"/>
  <c r="U358" i="2"/>
  <c r="X382" i="2"/>
  <c r="H397" i="2"/>
  <c r="S399" i="2"/>
  <c r="Y401" i="2"/>
  <c r="I517" i="2"/>
  <c r="F517" i="2"/>
  <c r="AE517" i="2"/>
  <c r="Q517" i="2"/>
  <c r="P517" i="2"/>
  <c r="U517" i="2"/>
  <c r="T517" i="2"/>
  <c r="S517" i="2"/>
  <c r="H517" i="2"/>
  <c r="G517" i="2"/>
  <c r="Z132" i="2"/>
  <c r="R139" i="2"/>
  <c r="I145" i="2"/>
  <c r="F145" i="2"/>
  <c r="AE145" i="2"/>
  <c r="Q145" i="2"/>
  <c r="P145" i="2"/>
  <c r="F148" i="2"/>
  <c r="I148" i="2"/>
  <c r="AE148" i="2"/>
  <c r="Q148" i="2"/>
  <c r="P148" i="2"/>
  <c r="C152" i="2"/>
  <c r="Y155" i="2"/>
  <c r="X160" i="2"/>
  <c r="I160" i="2"/>
  <c r="F160" i="2"/>
  <c r="AE160" i="2"/>
  <c r="Q160" i="2"/>
  <c r="P160" i="2"/>
  <c r="W161" i="2"/>
  <c r="C168" i="2"/>
  <c r="AF168" i="2"/>
  <c r="I170" i="2"/>
  <c r="F170" i="2"/>
  <c r="AE170" i="2"/>
  <c r="Q170" i="2"/>
  <c r="P170" i="2"/>
  <c r="Z171" i="2"/>
  <c r="AD172" i="2"/>
  <c r="V178" i="2"/>
  <c r="AB184" i="2"/>
  <c r="V190" i="2"/>
  <c r="AK198" i="2"/>
  <c r="I198" i="2"/>
  <c r="F198" i="2"/>
  <c r="AE198" i="2"/>
  <c r="P198" i="2"/>
  <c r="Q198" i="2"/>
  <c r="AC202" i="2"/>
  <c r="I202" i="2"/>
  <c r="F202" i="2"/>
  <c r="AE202" i="2"/>
  <c r="P202" i="2"/>
  <c r="Q202" i="2"/>
  <c r="S209" i="2"/>
  <c r="AF210" i="2"/>
  <c r="AD214" i="2"/>
  <c r="I214" i="2"/>
  <c r="F214" i="2"/>
  <c r="AE214" i="2"/>
  <c r="P214" i="2"/>
  <c r="Q214" i="2"/>
  <c r="AF214" i="2"/>
  <c r="G216" i="2"/>
  <c r="C225" i="2"/>
  <c r="AG225" i="2"/>
  <c r="I229" i="2"/>
  <c r="F229" i="2"/>
  <c r="AE229" i="2"/>
  <c r="Q229" i="2"/>
  <c r="P229" i="2"/>
  <c r="V232" i="2"/>
  <c r="I232" i="2"/>
  <c r="F232" i="2"/>
  <c r="AE232" i="2"/>
  <c r="Q232" i="2"/>
  <c r="P232" i="2"/>
  <c r="S237" i="2"/>
  <c r="I237" i="2"/>
  <c r="AE237" i="2"/>
  <c r="F237" i="2"/>
  <c r="Q237" i="2"/>
  <c r="P237" i="2"/>
  <c r="AH240" i="2"/>
  <c r="I240" i="2"/>
  <c r="F240" i="2"/>
  <c r="AE240" i="2"/>
  <c r="Q240" i="2"/>
  <c r="P240" i="2"/>
  <c r="AC240" i="2"/>
  <c r="W244" i="2"/>
  <c r="D246" i="2"/>
  <c r="AH246" i="2"/>
  <c r="I249" i="2"/>
  <c r="AE249" i="2"/>
  <c r="F249" i="2"/>
  <c r="P249" i="2"/>
  <c r="Q249" i="2"/>
  <c r="I252" i="2"/>
  <c r="F252" i="2"/>
  <c r="AE252" i="2"/>
  <c r="Q252" i="2"/>
  <c r="P252" i="2"/>
  <c r="D254" i="2"/>
  <c r="Y255" i="2"/>
  <c r="R256" i="2"/>
  <c r="AK256" i="2"/>
  <c r="T258" i="2"/>
  <c r="I265" i="2"/>
  <c r="F265" i="2"/>
  <c r="AE265" i="2"/>
  <c r="Q265" i="2"/>
  <c r="P265" i="2"/>
  <c r="AC268" i="2"/>
  <c r="F268" i="2"/>
  <c r="I268" i="2"/>
  <c r="AE268" i="2"/>
  <c r="Q268" i="2"/>
  <c r="P268" i="2"/>
  <c r="V268" i="2"/>
  <c r="H269" i="2"/>
  <c r="AH269" i="2"/>
  <c r="J275" i="2"/>
  <c r="C276" i="2"/>
  <c r="D280" i="2"/>
  <c r="AC280" i="2"/>
  <c r="R281" i="2"/>
  <c r="I282" i="2"/>
  <c r="F282" i="2"/>
  <c r="AE282" i="2"/>
  <c r="P282" i="2"/>
  <c r="Q282" i="2"/>
  <c r="AD283" i="2"/>
  <c r="C287" i="2"/>
  <c r="AK287" i="2"/>
  <c r="I291" i="2"/>
  <c r="F291" i="2"/>
  <c r="Q291" i="2"/>
  <c r="AE291" i="2"/>
  <c r="P291" i="2"/>
  <c r="T292" i="2"/>
  <c r="C293" i="2"/>
  <c r="AB293" i="2"/>
  <c r="AC300" i="2"/>
  <c r="I300" i="2"/>
  <c r="F300" i="2"/>
  <c r="AE300" i="2"/>
  <c r="Q300" i="2"/>
  <c r="P300" i="2"/>
  <c r="AB300" i="2"/>
  <c r="I302" i="2"/>
  <c r="F302" i="2"/>
  <c r="AE302" i="2"/>
  <c r="Q302" i="2"/>
  <c r="P302" i="2"/>
  <c r="U305" i="2"/>
  <c r="I305" i="2"/>
  <c r="F305" i="2"/>
  <c r="AE305" i="2"/>
  <c r="Q305" i="2"/>
  <c r="P305" i="2"/>
  <c r="I306" i="2"/>
  <c r="F306" i="2"/>
  <c r="AE306" i="2"/>
  <c r="P306" i="2"/>
  <c r="Q306" i="2"/>
  <c r="C308" i="2"/>
  <c r="D310" i="2"/>
  <c r="X319" i="2"/>
  <c r="I319" i="2"/>
  <c r="F319" i="2"/>
  <c r="AE319" i="2"/>
  <c r="Q319" i="2"/>
  <c r="P319" i="2"/>
  <c r="AK327" i="2"/>
  <c r="I327" i="2"/>
  <c r="F327" i="2"/>
  <c r="AE327" i="2"/>
  <c r="Q327" i="2"/>
  <c r="P327" i="2"/>
  <c r="AD327" i="2"/>
  <c r="K327" i="2"/>
  <c r="J333" i="2"/>
  <c r="AF345" i="2"/>
  <c r="I345" i="2"/>
  <c r="F345" i="2"/>
  <c r="AE345" i="2"/>
  <c r="Q345" i="2"/>
  <c r="P345" i="2"/>
  <c r="AH346" i="2"/>
  <c r="I349" i="2"/>
  <c r="F349" i="2"/>
  <c r="AE349" i="2"/>
  <c r="Q349" i="2"/>
  <c r="P349" i="2"/>
  <c r="G352" i="2"/>
  <c r="G354" i="2"/>
  <c r="G355" i="2"/>
  <c r="Z363" i="2"/>
  <c r="K375" i="2"/>
  <c r="Z382" i="2"/>
  <c r="T397" i="2"/>
  <c r="AC399" i="2"/>
  <c r="I405" i="2"/>
  <c r="F405" i="2"/>
  <c r="AE405" i="2"/>
  <c r="Q405" i="2"/>
  <c r="P405" i="2"/>
  <c r="J405" i="2"/>
  <c r="AF405" i="2"/>
  <c r="X435" i="2"/>
  <c r="I435" i="2"/>
  <c r="F435" i="2"/>
  <c r="AE435" i="2"/>
  <c r="Q435" i="2"/>
  <c r="P435" i="2"/>
  <c r="T435" i="2"/>
  <c r="AF435" i="2"/>
  <c r="W440" i="2"/>
  <c r="X134" i="2"/>
  <c r="I134" i="2"/>
  <c r="F134" i="2"/>
  <c r="AE134" i="2"/>
  <c r="Q134" i="2"/>
  <c r="P134" i="2"/>
  <c r="S139" i="2"/>
  <c r="G143" i="2"/>
  <c r="H154" i="2"/>
  <c r="Z155" i="2"/>
  <c r="X161" i="2"/>
  <c r="R163" i="2"/>
  <c r="I163" i="2"/>
  <c r="F163" i="2"/>
  <c r="AE163" i="2"/>
  <c r="Q163" i="2"/>
  <c r="P163" i="2"/>
  <c r="AH168" i="2"/>
  <c r="AC171" i="2"/>
  <c r="K177" i="2"/>
  <c r="X178" i="2"/>
  <c r="C184" i="2"/>
  <c r="AF184" i="2"/>
  <c r="H186" i="2"/>
  <c r="I188" i="2"/>
  <c r="F188" i="2"/>
  <c r="AE188" i="2"/>
  <c r="Q188" i="2"/>
  <c r="P188" i="2"/>
  <c r="I191" i="2"/>
  <c r="F191" i="2"/>
  <c r="AE191" i="2"/>
  <c r="Q191" i="2"/>
  <c r="P191" i="2"/>
  <c r="H195" i="2"/>
  <c r="C201" i="2"/>
  <c r="I208" i="2"/>
  <c r="F208" i="2"/>
  <c r="AE208" i="2"/>
  <c r="Q208" i="2"/>
  <c r="P208" i="2"/>
  <c r="AG214" i="2"/>
  <c r="H216" i="2"/>
  <c r="D218" i="2"/>
  <c r="X220" i="2"/>
  <c r="C223" i="2"/>
  <c r="D225" i="2"/>
  <c r="AK225" i="2"/>
  <c r="G228" i="2"/>
  <c r="AD240" i="2"/>
  <c r="AG243" i="2"/>
  <c r="I247" i="2"/>
  <c r="F247" i="2"/>
  <c r="AE247" i="2"/>
  <c r="Q247" i="2"/>
  <c r="P247" i="2"/>
  <c r="AC255" i="2"/>
  <c r="S256" i="2"/>
  <c r="X257" i="2"/>
  <c r="I257" i="2"/>
  <c r="F257" i="2"/>
  <c r="AE257" i="2"/>
  <c r="Q257" i="2"/>
  <c r="P257" i="2"/>
  <c r="X258" i="2"/>
  <c r="I260" i="2"/>
  <c r="F260" i="2"/>
  <c r="AE260" i="2"/>
  <c r="Q260" i="2"/>
  <c r="P260" i="2"/>
  <c r="Y260" i="2"/>
  <c r="J262" i="2"/>
  <c r="X268" i="2"/>
  <c r="J269" i="2"/>
  <c r="AK269" i="2"/>
  <c r="K275" i="2"/>
  <c r="D276" i="2"/>
  <c r="I278" i="2"/>
  <c r="F278" i="2"/>
  <c r="AE278" i="2"/>
  <c r="Q278" i="2"/>
  <c r="P278" i="2"/>
  <c r="AF280" i="2"/>
  <c r="S281" i="2"/>
  <c r="AH283" i="2"/>
  <c r="I285" i="2"/>
  <c r="F285" i="2"/>
  <c r="AE285" i="2"/>
  <c r="Q285" i="2"/>
  <c r="P285" i="2"/>
  <c r="D287" i="2"/>
  <c r="I288" i="2"/>
  <c r="F288" i="2"/>
  <c r="AE288" i="2"/>
  <c r="Q288" i="2"/>
  <c r="P288" i="2"/>
  <c r="AC289" i="2"/>
  <c r="I289" i="2"/>
  <c r="F289" i="2"/>
  <c r="AE289" i="2"/>
  <c r="Q289" i="2"/>
  <c r="P289" i="2"/>
  <c r="U292" i="2"/>
  <c r="D293" i="2"/>
  <c r="AC293" i="2"/>
  <c r="H296" i="2"/>
  <c r="J299" i="2"/>
  <c r="AD300" i="2"/>
  <c r="D304" i="2"/>
  <c r="C312" i="2"/>
  <c r="AH312" i="2"/>
  <c r="D317" i="2"/>
  <c r="AC321" i="2"/>
  <c r="C324" i="2"/>
  <c r="AF324" i="2"/>
  <c r="I329" i="2"/>
  <c r="F329" i="2"/>
  <c r="AE329" i="2"/>
  <c r="Q329" i="2"/>
  <c r="P329" i="2"/>
  <c r="V334" i="2"/>
  <c r="I334" i="2"/>
  <c r="F334" i="2"/>
  <c r="AE334" i="2"/>
  <c r="Q334" i="2"/>
  <c r="P334" i="2"/>
  <c r="G336" i="2"/>
  <c r="I339" i="2"/>
  <c r="F339" i="2"/>
  <c r="Q339" i="2"/>
  <c r="AE339" i="2"/>
  <c r="P339" i="2"/>
  <c r="I347" i="2"/>
  <c r="F347" i="2"/>
  <c r="AE347" i="2"/>
  <c r="Q347" i="2"/>
  <c r="P347" i="2"/>
  <c r="H352" i="2"/>
  <c r="K354" i="2"/>
  <c r="S355" i="2"/>
  <c r="U397" i="2"/>
  <c r="AD399" i="2"/>
  <c r="I402" i="2"/>
  <c r="F402" i="2"/>
  <c r="AE402" i="2"/>
  <c r="P402" i="2"/>
  <c r="Q402" i="2"/>
  <c r="AK402" i="2"/>
  <c r="T402" i="2"/>
  <c r="T412" i="2"/>
  <c r="I515" i="2"/>
  <c r="F515" i="2"/>
  <c r="AE515" i="2"/>
  <c r="Q515" i="2"/>
  <c r="P515" i="2"/>
  <c r="S515" i="2"/>
  <c r="G515" i="2"/>
  <c r="I611" i="2"/>
  <c r="F611" i="2"/>
  <c r="AE611" i="2"/>
  <c r="Q611" i="2"/>
  <c r="P611" i="2"/>
  <c r="R130" i="2"/>
  <c r="I130" i="2"/>
  <c r="F130" i="2"/>
  <c r="AE130" i="2"/>
  <c r="Q130" i="2"/>
  <c r="P130" i="2"/>
  <c r="AG132" i="2"/>
  <c r="J135" i="2"/>
  <c r="I138" i="2"/>
  <c r="F138" i="2"/>
  <c r="AE138" i="2"/>
  <c r="P138" i="2"/>
  <c r="Q138" i="2"/>
  <c r="V139" i="2"/>
  <c r="S141" i="2"/>
  <c r="I141" i="2"/>
  <c r="AE141" i="2"/>
  <c r="F141" i="2"/>
  <c r="Q141" i="2"/>
  <c r="P141" i="2"/>
  <c r="AF141" i="2"/>
  <c r="H143" i="2"/>
  <c r="J146" i="2"/>
  <c r="G152" i="2"/>
  <c r="J154" i="2"/>
  <c r="I156" i="2"/>
  <c r="F156" i="2"/>
  <c r="AE156" i="2"/>
  <c r="Q156" i="2"/>
  <c r="P156" i="2"/>
  <c r="I166" i="2"/>
  <c r="F166" i="2"/>
  <c r="AE166" i="2"/>
  <c r="P166" i="2"/>
  <c r="Q166" i="2"/>
  <c r="G168" i="2"/>
  <c r="AK168" i="2"/>
  <c r="AF171" i="2"/>
  <c r="AG172" i="2"/>
  <c r="I175" i="2"/>
  <c r="F175" i="2"/>
  <c r="AE175" i="2"/>
  <c r="Q175" i="2"/>
  <c r="P175" i="2"/>
  <c r="X177" i="2"/>
  <c r="J180" i="2"/>
  <c r="AK184" i="2"/>
  <c r="K186" i="2"/>
  <c r="I193" i="2"/>
  <c r="F193" i="2"/>
  <c r="AE193" i="2"/>
  <c r="Q193" i="2"/>
  <c r="P193" i="2"/>
  <c r="T195" i="2"/>
  <c r="I205" i="2"/>
  <c r="F205" i="2"/>
  <c r="AE205" i="2"/>
  <c r="Q205" i="2"/>
  <c r="P205" i="2"/>
  <c r="R210" i="2"/>
  <c r="I210" i="2"/>
  <c r="F210" i="2"/>
  <c r="AE210" i="2"/>
  <c r="P210" i="2"/>
  <c r="Q210" i="2"/>
  <c r="S211" i="2"/>
  <c r="I211" i="2"/>
  <c r="F211" i="2"/>
  <c r="AE211" i="2"/>
  <c r="Q211" i="2"/>
  <c r="P211" i="2"/>
  <c r="AH214" i="2"/>
  <c r="R216" i="2"/>
  <c r="AC221" i="2"/>
  <c r="I221" i="2"/>
  <c r="F221" i="2"/>
  <c r="AE221" i="2"/>
  <c r="Q221" i="2"/>
  <c r="P221" i="2"/>
  <c r="Z226" i="2"/>
  <c r="I226" i="2"/>
  <c r="F226" i="2"/>
  <c r="AE226" i="2"/>
  <c r="Q226" i="2"/>
  <c r="P226" i="2"/>
  <c r="H228" i="2"/>
  <c r="D240" i="2"/>
  <c r="AF240" i="2"/>
  <c r="AC244" i="2"/>
  <c r="F244" i="2"/>
  <c r="I244" i="2"/>
  <c r="AE244" i="2"/>
  <c r="Q244" i="2"/>
  <c r="P244" i="2"/>
  <c r="Z244" i="2"/>
  <c r="G246" i="2"/>
  <c r="D252" i="2"/>
  <c r="R254" i="2"/>
  <c r="T256" i="2"/>
  <c r="Y258" i="2"/>
  <c r="T262" i="2"/>
  <c r="C268" i="2"/>
  <c r="Z268" i="2"/>
  <c r="K269" i="2"/>
  <c r="I270" i="2"/>
  <c r="F270" i="2"/>
  <c r="AE270" i="2"/>
  <c r="P270" i="2"/>
  <c r="Q270" i="2"/>
  <c r="G271" i="2"/>
  <c r="I274" i="2"/>
  <c r="F274" i="2"/>
  <c r="AE274" i="2"/>
  <c r="P274" i="2"/>
  <c r="Q274" i="2"/>
  <c r="R275" i="2"/>
  <c r="H280" i="2"/>
  <c r="AG280" i="2"/>
  <c r="T281" i="2"/>
  <c r="V292" i="2"/>
  <c r="AF293" i="2"/>
  <c r="I297" i="2"/>
  <c r="F297" i="2"/>
  <c r="AE297" i="2"/>
  <c r="Q297" i="2"/>
  <c r="P297" i="2"/>
  <c r="K299" i="2"/>
  <c r="C300" i="2"/>
  <c r="AH300" i="2"/>
  <c r="D305" i="2"/>
  <c r="K308" i="2"/>
  <c r="H310" i="2"/>
  <c r="H313" i="2"/>
  <c r="I313" i="2"/>
  <c r="F313" i="2"/>
  <c r="AE313" i="2"/>
  <c r="Q313" i="2"/>
  <c r="P313" i="2"/>
  <c r="I322" i="2"/>
  <c r="F322" i="2"/>
  <c r="AE322" i="2"/>
  <c r="Q322" i="2"/>
  <c r="P322" i="2"/>
  <c r="I331" i="2"/>
  <c r="F331" i="2"/>
  <c r="AE331" i="2"/>
  <c r="Q331" i="2"/>
  <c r="P331" i="2"/>
  <c r="W352" i="2"/>
  <c r="T354" i="2"/>
  <c r="AH356" i="2"/>
  <c r="I356" i="2"/>
  <c r="F356" i="2"/>
  <c r="AE356" i="2"/>
  <c r="Q356" i="2"/>
  <c r="P356" i="2"/>
  <c r="I359" i="2"/>
  <c r="F359" i="2"/>
  <c r="AE359" i="2"/>
  <c r="Q359" i="2"/>
  <c r="P359" i="2"/>
  <c r="AK359" i="2"/>
  <c r="W359" i="2"/>
  <c r="V397" i="2"/>
  <c r="S484" i="2"/>
  <c r="I484" i="2"/>
  <c r="AE484" i="2"/>
  <c r="F484" i="2"/>
  <c r="Q484" i="2"/>
  <c r="P484" i="2"/>
  <c r="AF484" i="2"/>
  <c r="AD484" i="2"/>
  <c r="AC484" i="2"/>
  <c r="Z484" i="2"/>
  <c r="J484" i="2"/>
  <c r="H484" i="2"/>
  <c r="G484" i="2"/>
  <c r="I507" i="2"/>
  <c r="F507" i="2"/>
  <c r="AE507" i="2"/>
  <c r="Q507" i="2"/>
  <c r="P507" i="2"/>
  <c r="AK507" i="2"/>
  <c r="K507" i="2"/>
  <c r="D507" i="2"/>
  <c r="D134" i="2"/>
  <c r="K135" i="2"/>
  <c r="W139" i="2"/>
  <c r="I142" i="2"/>
  <c r="F142" i="2"/>
  <c r="AE142" i="2"/>
  <c r="P142" i="2"/>
  <c r="Q142" i="2"/>
  <c r="R143" i="2"/>
  <c r="K146" i="2"/>
  <c r="I149" i="2"/>
  <c r="F149" i="2"/>
  <c r="AE149" i="2"/>
  <c r="Q149" i="2"/>
  <c r="P149" i="2"/>
  <c r="J152" i="2"/>
  <c r="R154" i="2"/>
  <c r="J160" i="2"/>
  <c r="W162" i="2"/>
  <c r="I162" i="2"/>
  <c r="F162" i="2"/>
  <c r="AE162" i="2"/>
  <c r="P162" i="2"/>
  <c r="Q162" i="2"/>
  <c r="C163" i="2"/>
  <c r="H168" i="2"/>
  <c r="X169" i="2"/>
  <c r="I169" i="2"/>
  <c r="F169" i="2"/>
  <c r="AE169" i="2"/>
  <c r="Q169" i="2"/>
  <c r="P169" i="2"/>
  <c r="I178" i="2"/>
  <c r="F178" i="2"/>
  <c r="AE178" i="2"/>
  <c r="Q178" i="2"/>
  <c r="P178" i="2"/>
  <c r="AD178" i="2"/>
  <c r="I181" i="2"/>
  <c r="F181" i="2"/>
  <c r="AE181" i="2"/>
  <c r="Q181" i="2"/>
  <c r="P181" i="2"/>
  <c r="G184" i="2"/>
  <c r="I185" i="2"/>
  <c r="F185" i="2"/>
  <c r="AE185" i="2"/>
  <c r="Q185" i="2"/>
  <c r="P185" i="2"/>
  <c r="T186" i="2"/>
  <c r="U195" i="2"/>
  <c r="I199" i="2"/>
  <c r="F199" i="2"/>
  <c r="AE199" i="2"/>
  <c r="Q199" i="2"/>
  <c r="P199" i="2"/>
  <c r="G201" i="2"/>
  <c r="H202" i="2"/>
  <c r="I215" i="2"/>
  <c r="F215" i="2"/>
  <c r="AE215" i="2"/>
  <c r="P215" i="2"/>
  <c r="Q215" i="2"/>
  <c r="S216" i="2"/>
  <c r="Z218" i="2"/>
  <c r="G223" i="2"/>
  <c r="G225" i="2"/>
  <c r="R228" i="2"/>
  <c r="I230" i="2"/>
  <c r="F230" i="2"/>
  <c r="AE230" i="2"/>
  <c r="Q230" i="2"/>
  <c r="P230" i="2"/>
  <c r="W232" i="2"/>
  <c r="T236" i="2"/>
  <c r="I236" i="2"/>
  <c r="F236" i="2"/>
  <c r="AE236" i="2"/>
  <c r="Q236" i="2"/>
  <c r="P236" i="2"/>
  <c r="H237" i="2"/>
  <c r="AK240" i="2"/>
  <c r="AB244" i="2"/>
  <c r="H246" i="2"/>
  <c r="I255" i="2"/>
  <c r="F255" i="2"/>
  <c r="AE255" i="2"/>
  <c r="Q255" i="2"/>
  <c r="P255" i="2"/>
  <c r="AK255" i="2"/>
  <c r="V262" i="2"/>
  <c r="AC265" i="2"/>
  <c r="D268" i="2"/>
  <c r="AB268" i="2"/>
  <c r="R269" i="2"/>
  <c r="J271" i="2"/>
  <c r="V275" i="2"/>
  <c r="K276" i="2"/>
  <c r="J280" i="2"/>
  <c r="AH280" i="2"/>
  <c r="J282" i="2"/>
  <c r="I284" i="2"/>
  <c r="F284" i="2"/>
  <c r="AE284" i="2"/>
  <c r="Q284" i="2"/>
  <c r="P284" i="2"/>
  <c r="J287" i="2"/>
  <c r="G293" i="2"/>
  <c r="AK293" i="2"/>
  <c r="V299" i="2"/>
  <c r="D300" i="2"/>
  <c r="AK300" i="2"/>
  <c r="I303" i="2"/>
  <c r="F303" i="2"/>
  <c r="AE303" i="2"/>
  <c r="Q303" i="2"/>
  <c r="P303" i="2"/>
  <c r="AK307" i="2"/>
  <c r="I307" i="2"/>
  <c r="F307" i="2"/>
  <c r="AE307" i="2"/>
  <c r="Q307" i="2"/>
  <c r="P307" i="2"/>
  <c r="S308" i="2"/>
  <c r="R310" i="2"/>
  <c r="G319" i="2"/>
  <c r="I325" i="2"/>
  <c r="F325" i="2"/>
  <c r="AE325" i="2"/>
  <c r="Q325" i="2"/>
  <c r="P325" i="2"/>
  <c r="J327" i="2"/>
  <c r="H345" i="2"/>
  <c r="I350" i="2"/>
  <c r="F350" i="2"/>
  <c r="AE350" i="2"/>
  <c r="Q350" i="2"/>
  <c r="P350" i="2"/>
  <c r="Z350" i="2"/>
  <c r="X352" i="2"/>
  <c r="U354" i="2"/>
  <c r="I386" i="2"/>
  <c r="F386" i="2"/>
  <c r="AE386" i="2"/>
  <c r="Q386" i="2"/>
  <c r="P386" i="2"/>
  <c r="AK397" i="2"/>
  <c r="K405" i="2"/>
  <c r="S411" i="2"/>
  <c r="I411" i="2"/>
  <c r="F411" i="2"/>
  <c r="Q411" i="2"/>
  <c r="AE411" i="2"/>
  <c r="P411" i="2"/>
  <c r="AC411" i="2"/>
  <c r="AB411" i="2"/>
  <c r="Z411" i="2"/>
  <c r="W411" i="2"/>
  <c r="R411" i="2"/>
  <c r="K411" i="2"/>
  <c r="G411" i="2"/>
  <c r="Z435" i="2"/>
  <c r="I450" i="2"/>
  <c r="F450" i="2"/>
  <c r="AE450" i="2"/>
  <c r="P450" i="2"/>
  <c r="Q450" i="2"/>
  <c r="S450" i="2"/>
  <c r="AH493" i="2"/>
  <c r="I493" i="2"/>
  <c r="F493" i="2"/>
  <c r="AE493" i="2"/>
  <c r="Q493" i="2"/>
  <c r="P493" i="2"/>
  <c r="AC493" i="2"/>
  <c r="Z493" i="2"/>
  <c r="X493" i="2"/>
  <c r="H493" i="2"/>
  <c r="G493" i="2"/>
  <c r="S590" i="2"/>
  <c r="I590" i="2"/>
  <c r="F590" i="2"/>
  <c r="AE590" i="2"/>
  <c r="Q590" i="2"/>
  <c r="P590" i="2"/>
  <c r="Y590" i="2"/>
  <c r="X590" i="2"/>
  <c r="V590" i="2"/>
  <c r="D590" i="2"/>
  <c r="C590" i="2"/>
  <c r="I132" i="2"/>
  <c r="F132" i="2"/>
  <c r="AE132" i="2"/>
  <c r="Q132" i="2"/>
  <c r="P132" i="2"/>
  <c r="AB133" i="2"/>
  <c r="I133" i="2"/>
  <c r="F133" i="2"/>
  <c r="AE133" i="2"/>
  <c r="Q133" i="2"/>
  <c r="P133" i="2"/>
  <c r="V135" i="2"/>
  <c r="D141" i="2"/>
  <c r="T143" i="2"/>
  <c r="H145" i="2"/>
  <c r="W146" i="2"/>
  <c r="R152" i="2"/>
  <c r="U154" i="2"/>
  <c r="C156" i="2"/>
  <c r="I159" i="2"/>
  <c r="F159" i="2"/>
  <c r="AE159" i="2"/>
  <c r="Q159" i="2"/>
  <c r="P159" i="2"/>
  <c r="AD160" i="2"/>
  <c r="J168" i="2"/>
  <c r="G170" i="2"/>
  <c r="J172" i="2"/>
  <c r="I172" i="2"/>
  <c r="F172" i="2"/>
  <c r="AE172" i="2"/>
  <c r="Q172" i="2"/>
  <c r="P172" i="2"/>
  <c r="I173" i="2"/>
  <c r="F173" i="2"/>
  <c r="AE173" i="2"/>
  <c r="Q173" i="2"/>
  <c r="P173" i="2"/>
  <c r="AF178" i="2"/>
  <c r="H184" i="2"/>
  <c r="W186" i="2"/>
  <c r="V195" i="2"/>
  <c r="H201" i="2"/>
  <c r="AF202" i="2"/>
  <c r="T216" i="2"/>
  <c r="I219" i="2"/>
  <c r="F219" i="2"/>
  <c r="AE219" i="2"/>
  <c r="Q219" i="2"/>
  <c r="P219" i="2"/>
  <c r="D221" i="2"/>
  <c r="U223" i="2"/>
  <c r="H225" i="2"/>
  <c r="S228" i="2"/>
  <c r="I233" i="2"/>
  <c r="F233" i="2"/>
  <c r="AE233" i="2"/>
  <c r="Q233" i="2"/>
  <c r="P233" i="2"/>
  <c r="G240" i="2"/>
  <c r="I241" i="2"/>
  <c r="F241" i="2"/>
  <c r="AE241" i="2"/>
  <c r="Q241" i="2"/>
  <c r="P241" i="2"/>
  <c r="C244" i="2"/>
  <c r="AF244" i="2"/>
  <c r="J246" i="2"/>
  <c r="H252" i="2"/>
  <c r="X256" i="2"/>
  <c r="F256" i="2"/>
  <c r="I256" i="2"/>
  <c r="AE256" i="2"/>
  <c r="Q256" i="2"/>
  <c r="P256" i="2"/>
  <c r="V256" i="2"/>
  <c r="AG258" i="2"/>
  <c r="I258" i="2"/>
  <c r="F258" i="2"/>
  <c r="AE258" i="2"/>
  <c r="P258" i="2"/>
  <c r="Q258" i="2"/>
  <c r="AC258" i="2"/>
  <c r="Z262" i="2"/>
  <c r="AF265" i="2"/>
  <c r="AF268" i="2"/>
  <c r="S269" i="2"/>
  <c r="R271" i="2"/>
  <c r="W275" i="2"/>
  <c r="R276" i="2"/>
  <c r="I279" i="2"/>
  <c r="F279" i="2"/>
  <c r="AE279" i="2"/>
  <c r="Q279" i="2"/>
  <c r="P279" i="2"/>
  <c r="K280" i="2"/>
  <c r="AD281" i="2"/>
  <c r="I281" i="2"/>
  <c r="F281" i="2"/>
  <c r="AE281" i="2"/>
  <c r="Q281" i="2"/>
  <c r="P281" i="2"/>
  <c r="V281" i="2"/>
  <c r="AC282" i="2"/>
  <c r="I286" i="2"/>
  <c r="F286" i="2"/>
  <c r="AE286" i="2"/>
  <c r="P286" i="2"/>
  <c r="Q286" i="2"/>
  <c r="K287" i="2"/>
  <c r="AE292" i="2"/>
  <c r="I292" i="2"/>
  <c r="F292" i="2"/>
  <c r="Q292" i="2"/>
  <c r="P292" i="2"/>
  <c r="AB292" i="2"/>
  <c r="H293" i="2"/>
  <c r="AH294" i="2"/>
  <c r="I294" i="2"/>
  <c r="AE294" i="2"/>
  <c r="F294" i="2"/>
  <c r="P294" i="2"/>
  <c r="Q294" i="2"/>
  <c r="W299" i="2"/>
  <c r="I301" i="2"/>
  <c r="F301" i="2"/>
  <c r="AE301" i="2"/>
  <c r="P301" i="2"/>
  <c r="Q301" i="2"/>
  <c r="G305" i="2"/>
  <c r="W308" i="2"/>
  <c r="T310" i="2"/>
  <c r="C313" i="2"/>
  <c r="I315" i="2"/>
  <c r="F315" i="2"/>
  <c r="AE315" i="2"/>
  <c r="Q315" i="2"/>
  <c r="P315" i="2"/>
  <c r="R319" i="2"/>
  <c r="T327" i="2"/>
  <c r="I340" i="2"/>
  <c r="AE340" i="2"/>
  <c r="F340" i="2"/>
  <c r="Q340" i="2"/>
  <c r="P340" i="2"/>
  <c r="AG343" i="2"/>
  <c r="I343" i="2"/>
  <c r="F343" i="2"/>
  <c r="AE343" i="2"/>
  <c r="Q343" i="2"/>
  <c r="P343" i="2"/>
  <c r="J345" i="2"/>
  <c r="T348" i="2"/>
  <c r="I348" i="2"/>
  <c r="F348" i="2"/>
  <c r="AE348" i="2"/>
  <c r="Q348" i="2"/>
  <c r="P348" i="2"/>
  <c r="R348" i="2"/>
  <c r="H348" i="2"/>
  <c r="Z352" i="2"/>
  <c r="X354" i="2"/>
  <c r="I394" i="2"/>
  <c r="F394" i="2"/>
  <c r="AE394" i="2"/>
  <c r="Q394" i="2"/>
  <c r="P394" i="2"/>
  <c r="T394" i="2"/>
  <c r="R394" i="2"/>
  <c r="I422" i="2"/>
  <c r="F422" i="2"/>
  <c r="AE422" i="2"/>
  <c r="Q422" i="2"/>
  <c r="P422" i="2"/>
  <c r="AC422" i="2"/>
  <c r="V422" i="2"/>
  <c r="S422" i="2"/>
  <c r="D422" i="2"/>
  <c r="AG433" i="2"/>
  <c r="I433" i="2"/>
  <c r="F433" i="2"/>
  <c r="AE433" i="2"/>
  <c r="Q433" i="2"/>
  <c r="P433" i="2"/>
  <c r="AH433" i="2"/>
  <c r="AD433" i="2"/>
  <c r="AC433" i="2"/>
  <c r="S433" i="2"/>
  <c r="J433" i="2"/>
  <c r="G433" i="2"/>
  <c r="U436" i="2"/>
  <c r="AE436" i="2"/>
  <c r="I436" i="2"/>
  <c r="F436" i="2"/>
  <c r="Q436" i="2"/>
  <c r="P436" i="2"/>
  <c r="AG436" i="2"/>
  <c r="AF436" i="2"/>
  <c r="T436" i="2"/>
  <c r="H436" i="2"/>
  <c r="G436" i="2"/>
  <c r="I439" i="2"/>
  <c r="F439" i="2"/>
  <c r="AE439" i="2"/>
  <c r="Q439" i="2"/>
  <c r="P439" i="2"/>
  <c r="H439" i="2"/>
  <c r="AG439" i="2"/>
  <c r="AF439" i="2"/>
  <c r="AD439" i="2"/>
  <c r="AC439" i="2"/>
  <c r="X439" i="2"/>
  <c r="K439" i="2"/>
  <c r="X476" i="2"/>
  <c r="I476" i="2"/>
  <c r="F476" i="2"/>
  <c r="AE476" i="2"/>
  <c r="Q476" i="2"/>
  <c r="P476" i="2"/>
  <c r="T476" i="2"/>
  <c r="S476" i="2"/>
  <c r="AK476" i="2"/>
  <c r="R476" i="2"/>
  <c r="AH476" i="2"/>
  <c r="K476" i="2"/>
  <c r="AG476" i="2"/>
  <c r="J476" i="2"/>
  <c r="AF476" i="2"/>
  <c r="G476" i="2"/>
  <c r="AC476" i="2"/>
  <c r="AB476" i="2"/>
  <c r="D476" i="2"/>
  <c r="Z476" i="2"/>
  <c r="C476" i="2"/>
  <c r="W476" i="2"/>
  <c r="U476" i="2"/>
  <c r="J134" i="2"/>
  <c r="W135" i="2"/>
  <c r="AC139" i="2"/>
  <c r="I139" i="2"/>
  <c r="F139" i="2"/>
  <c r="AE139" i="2"/>
  <c r="Q139" i="2"/>
  <c r="P139" i="2"/>
  <c r="Z139" i="2"/>
  <c r="U143" i="2"/>
  <c r="AB152" i="2"/>
  <c r="V154" i="2"/>
  <c r="V161" i="2"/>
  <c r="I161" i="2"/>
  <c r="F161" i="2"/>
  <c r="AE161" i="2"/>
  <c r="Q161" i="2"/>
  <c r="P161" i="2"/>
  <c r="R168" i="2"/>
  <c r="I171" i="2"/>
  <c r="F171" i="2"/>
  <c r="AE171" i="2"/>
  <c r="Q171" i="2"/>
  <c r="P171" i="2"/>
  <c r="I176" i="2"/>
  <c r="F176" i="2"/>
  <c r="AE176" i="2"/>
  <c r="Q176" i="2"/>
  <c r="P176" i="2"/>
  <c r="X189" i="2"/>
  <c r="I189" i="2"/>
  <c r="F189" i="2"/>
  <c r="AE189" i="2"/>
  <c r="Q189" i="2"/>
  <c r="P189" i="2"/>
  <c r="I194" i="2"/>
  <c r="F194" i="2"/>
  <c r="AE194" i="2"/>
  <c r="Q194" i="2"/>
  <c r="P194" i="2"/>
  <c r="I203" i="2"/>
  <c r="F203" i="2"/>
  <c r="AE203" i="2"/>
  <c r="P203" i="2"/>
  <c r="Q203" i="2"/>
  <c r="I206" i="2"/>
  <c r="F206" i="2"/>
  <c r="AE206" i="2"/>
  <c r="Q206" i="2"/>
  <c r="P206" i="2"/>
  <c r="I209" i="2"/>
  <c r="F209" i="2"/>
  <c r="AE209" i="2"/>
  <c r="Q209" i="2"/>
  <c r="P209" i="2"/>
  <c r="I212" i="2"/>
  <c r="F212" i="2"/>
  <c r="AE212" i="2"/>
  <c r="Q212" i="2"/>
  <c r="P212" i="2"/>
  <c r="X216" i="2"/>
  <c r="I224" i="2"/>
  <c r="F224" i="2"/>
  <c r="AE224" i="2"/>
  <c r="Q224" i="2"/>
  <c r="P224" i="2"/>
  <c r="I227" i="2"/>
  <c r="F227" i="2"/>
  <c r="AE227" i="2"/>
  <c r="Q227" i="2"/>
  <c r="P227" i="2"/>
  <c r="T228" i="2"/>
  <c r="AG262" i="2"/>
  <c r="T269" i="2"/>
  <c r="Z275" i="2"/>
  <c r="R280" i="2"/>
  <c r="I298" i="2"/>
  <c r="F298" i="2"/>
  <c r="AE298" i="2"/>
  <c r="P298" i="2"/>
  <c r="Q298" i="2"/>
  <c r="Z299" i="2"/>
  <c r="V310" i="2"/>
  <c r="AH320" i="2"/>
  <c r="I320" i="2"/>
  <c r="F320" i="2"/>
  <c r="AE320" i="2"/>
  <c r="Q320" i="2"/>
  <c r="P320" i="2"/>
  <c r="Y320" i="2"/>
  <c r="I323" i="2"/>
  <c r="F323" i="2"/>
  <c r="AE323" i="2"/>
  <c r="Q323" i="2"/>
  <c r="P323" i="2"/>
  <c r="I353" i="2"/>
  <c r="F353" i="2"/>
  <c r="AE353" i="2"/>
  <c r="Q353" i="2"/>
  <c r="P353" i="2"/>
  <c r="AC354" i="2"/>
  <c r="AH368" i="2"/>
  <c r="I368" i="2"/>
  <c r="F368" i="2"/>
  <c r="AE368" i="2"/>
  <c r="Q368" i="2"/>
  <c r="P368" i="2"/>
  <c r="AF368" i="2"/>
  <c r="V368" i="2"/>
  <c r="I491" i="2"/>
  <c r="F491" i="2"/>
  <c r="AE491" i="2"/>
  <c r="Q491" i="2"/>
  <c r="P491" i="2"/>
  <c r="R491" i="2"/>
  <c r="G491" i="2"/>
  <c r="I529" i="2"/>
  <c r="F529" i="2"/>
  <c r="AE529" i="2"/>
  <c r="Q529" i="2"/>
  <c r="P529" i="2"/>
  <c r="Y529" i="2"/>
  <c r="X529" i="2"/>
  <c r="R529" i="2"/>
  <c r="I607" i="2"/>
  <c r="F607" i="2"/>
  <c r="AE607" i="2"/>
  <c r="P607" i="2"/>
  <c r="Q607" i="2"/>
  <c r="AC607" i="2"/>
  <c r="AB607" i="2"/>
  <c r="K607" i="2"/>
  <c r="K134" i="2"/>
  <c r="AH135" i="2"/>
  <c r="AB139" i="2"/>
  <c r="AD143" i="2"/>
  <c r="AG146" i="2"/>
  <c r="I150" i="2"/>
  <c r="F150" i="2"/>
  <c r="AE150" i="2"/>
  <c r="P150" i="2"/>
  <c r="Q150" i="2"/>
  <c r="AC153" i="2"/>
  <c r="I153" i="2"/>
  <c r="AE153" i="2"/>
  <c r="F153" i="2"/>
  <c r="Q153" i="2"/>
  <c r="P153" i="2"/>
  <c r="AF154" i="2"/>
  <c r="AG157" i="2"/>
  <c r="I157" i="2"/>
  <c r="F157" i="2"/>
  <c r="AE157" i="2"/>
  <c r="Q157" i="2"/>
  <c r="P157" i="2"/>
  <c r="Z163" i="2"/>
  <c r="I167" i="2"/>
  <c r="F167" i="2"/>
  <c r="AE167" i="2"/>
  <c r="P167" i="2"/>
  <c r="Q167" i="2"/>
  <c r="S168" i="2"/>
  <c r="C172" i="2"/>
  <c r="D178" i="2"/>
  <c r="AH178" i="2"/>
  <c r="I182" i="2"/>
  <c r="F182" i="2"/>
  <c r="AE182" i="2"/>
  <c r="Q182" i="2"/>
  <c r="P182" i="2"/>
  <c r="R184" i="2"/>
  <c r="Z186" i="2"/>
  <c r="AK191" i="2"/>
  <c r="AC195" i="2"/>
  <c r="G199" i="2"/>
  <c r="T201" i="2"/>
  <c r="K210" i="2"/>
  <c r="K214" i="2"/>
  <c r="K215" i="2"/>
  <c r="AC216" i="2"/>
  <c r="G221" i="2"/>
  <c r="S225" i="2"/>
  <c r="W228" i="2"/>
  <c r="Z230" i="2"/>
  <c r="AG237" i="2"/>
  <c r="J240" i="2"/>
  <c r="G244" i="2"/>
  <c r="I245" i="2"/>
  <c r="F245" i="2"/>
  <c r="AE245" i="2"/>
  <c r="Q245" i="2"/>
  <c r="P245" i="2"/>
  <c r="T246" i="2"/>
  <c r="S247" i="2"/>
  <c r="AG249" i="2"/>
  <c r="AD252" i="2"/>
  <c r="C256" i="2"/>
  <c r="Z256" i="2"/>
  <c r="AK258" i="2"/>
  <c r="J260" i="2"/>
  <c r="I261" i="2"/>
  <c r="AE261" i="2"/>
  <c r="F261" i="2"/>
  <c r="Q261" i="2"/>
  <c r="P261" i="2"/>
  <c r="AH262" i="2"/>
  <c r="I266" i="2"/>
  <c r="F266" i="2"/>
  <c r="AE266" i="2"/>
  <c r="Q266" i="2"/>
  <c r="P266" i="2"/>
  <c r="J268" i="2"/>
  <c r="AH268" i="2"/>
  <c r="J270" i="2"/>
  <c r="W271" i="2"/>
  <c r="Z274" i="2"/>
  <c r="X276" i="2"/>
  <c r="S280" i="2"/>
  <c r="C281" i="2"/>
  <c r="AB281" i="2"/>
  <c r="AH282" i="2"/>
  <c r="V287" i="2"/>
  <c r="X289" i="2"/>
  <c r="C292" i="2"/>
  <c r="AF292" i="2"/>
  <c r="K293" i="2"/>
  <c r="AB299" i="2"/>
  <c r="J300" i="2"/>
  <c r="D301" i="2"/>
  <c r="G303" i="2"/>
  <c r="T304" i="2"/>
  <c r="K305" i="2"/>
  <c r="K307" i="2"/>
  <c r="I309" i="2"/>
  <c r="AE309" i="2"/>
  <c r="F309" i="2"/>
  <c r="Q309" i="2"/>
  <c r="P309" i="2"/>
  <c r="AF310" i="2"/>
  <c r="R312" i="2"/>
  <c r="X318" i="2"/>
  <c r="I318" i="2"/>
  <c r="F318" i="2"/>
  <c r="AE318" i="2"/>
  <c r="P318" i="2"/>
  <c r="Q318" i="2"/>
  <c r="K324" i="2"/>
  <c r="AG327" i="2"/>
  <c r="I332" i="2"/>
  <c r="F332" i="2"/>
  <c r="AE332" i="2"/>
  <c r="Q332" i="2"/>
  <c r="P332" i="2"/>
  <c r="AK336" i="2"/>
  <c r="C343" i="2"/>
  <c r="AC345" i="2"/>
  <c r="I351" i="2"/>
  <c r="F351" i="2"/>
  <c r="AE351" i="2"/>
  <c r="Q351" i="2"/>
  <c r="P351" i="2"/>
  <c r="AD354" i="2"/>
  <c r="T356" i="2"/>
  <c r="I366" i="2"/>
  <c r="F366" i="2"/>
  <c r="AE366" i="2"/>
  <c r="P366" i="2"/>
  <c r="Q366" i="2"/>
  <c r="V366" i="2"/>
  <c r="T366" i="2"/>
  <c r="S366" i="2"/>
  <c r="J366" i="2"/>
  <c r="AK366" i="2"/>
  <c r="D366" i="2"/>
  <c r="AF366" i="2"/>
  <c r="Z374" i="2"/>
  <c r="I374" i="2"/>
  <c r="F374" i="2"/>
  <c r="AE374" i="2"/>
  <c r="Q374" i="2"/>
  <c r="P374" i="2"/>
  <c r="D374" i="2"/>
  <c r="X392" i="2"/>
  <c r="I392" i="2"/>
  <c r="F392" i="2"/>
  <c r="AE392" i="2"/>
  <c r="Q392" i="2"/>
  <c r="P392" i="2"/>
  <c r="D392" i="2"/>
  <c r="C422" i="2"/>
  <c r="V450" i="2"/>
  <c r="V463" i="2"/>
  <c r="I463" i="2"/>
  <c r="F463" i="2"/>
  <c r="AE463" i="2"/>
  <c r="Q463" i="2"/>
  <c r="P463" i="2"/>
  <c r="AK463" i="2"/>
  <c r="AH463" i="2"/>
  <c r="AG463" i="2"/>
  <c r="AF463" i="2"/>
  <c r="K463" i="2"/>
  <c r="J463" i="2"/>
  <c r="H463" i="2"/>
  <c r="I587" i="2"/>
  <c r="F587" i="2"/>
  <c r="AE587" i="2"/>
  <c r="Q587" i="2"/>
  <c r="P587" i="2"/>
  <c r="AK587" i="2"/>
  <c r="AG587" i="2"/>
  <c r="S587" i="2"/>
  <c r="AD269" i="2"/>
  <c r="I269" i="2"/>
  <c r="F269" i="2"/>
  <c r="AE269" i="2"/>
  <c r="Q269" i="2"/>
  <c r="P269" i="2"/>
  <c r="X269" i="2"/>
  <c r="I275" i="2"/>
  <c r="F275" i="2"/>
  <c r="AE275" i="2"/>
  <c r="P275" i="2"/>
  <c r="Q275" i="2"/>
  <c r="AG275" i="2"/>
  <c r="T280" i="2"/>
  <c r="I283" i="2"/>
  <c r="F283" i="2"/>
  <c r="AE283" i="2"/>
  <c r="Q283" i="2"/>
  <c r="P283" i="2"/>
  <c r="I295" i="2"/>
  <c r="F295" i="2"/>
  <c r="AE295" i="2"/>
  <c r="Q295" i="2"/>
  <c r="P295" i="2"/>
  <c r="AG310" i="2"/>
  <c r="AC328" i="2"/>
  <c r="I328" i="2"/>
  <c r="AE328" i="2"/>
  <c r="F328" i="2"/>
  <c r="Q328" i="2"/>
  <c r="P328" i="2"/>
  <c r="I335" i="2"/>
  <c r="F335" i="2"/>
  <c r="AE335" i="2"/>
  <c r="Q335" i="2"/>
  <c r="P335" i="2"/>
  <c r="I337" i="2"/>
  <c r="F337" i="2"/>
  <c r="AE337" i="2"/>
  <c r="Q337" i="2"/>
  <c r="P337" i="2"/>
  <c r="I382" i="2"/>
  <c r="F382" i="2"/>
  <c r="AE382" i="2"/>
  <c r="Q382" i="2"/>
  <c r="P382" i="2"/>
  <c r="W382" i="2"/>
  <c r="V382" i="2"/>
  <c r="R382" i="2"/>
  <c r="J382" i="2"/>
  <c r="AH382" i="2"/>
  <c r="D382" i="2"/>
  <c r="AG382" i="2"/>
  <c r="C382" i="2"/>
  <c r="AF382" i="2"/>
  <c r="I399" i="2"/>
  <c r="F399" i="2"/>
  <c r="AE399" i="2"/>
  <c r="Q399" i="2"/>
  <c r="P399" i="2"/>
  <c r="AB399" i="2"/>
  <c r="Z399" i="2"/>
  <c r="X399" i="2"/>
  <c r="R399" i="2"/>
  <c r="K399" i="2"/>
  <c r="H399" i="2"/>
  <c r="G399" i="2"/>
  <c r="AK399" i="2"/>
  <c r="I401" i="2"/>
  <c r="F401" i="2"/>
  <c r="AE401" i="2"/>
  <c r="Q401" i="2"/>
  <c r="P401" i="2"/>
  <c r="AD401" i="2"/>
  <c r="AB401" i="2"/>
  <c r="Z401" i="2"/>
  <c r="T401" i="2"/>
  <c r="S401" i="2"/>
  <c r="J401" i="2"/>
  <c r="G401" i="2"/>
  <c r="I443" i="2"/>
  <c r="F443" i="2"/>
  <c r="AE443" i="2"/>
  <c r="Q443" i="2"/>
  <c r="P443" i="2"/>
  <c r="D443" i="2"/>
  <c r="C443" i="2"/>
  <c r="Z443" i="2"/>
  <c r="AC549" i="2"/>
  <c r="I549" i="2"/>
  <c r="F549" i="2"/>
  <c r="AE549" i="2"/>
  <c r="Q549" i="2"/>
  <c r="P549" i="2"/>
  <c r="H549" i="2"/>
  <c r="D549" i="2"/>
  <c r="AB626" i="2"/>
  <c r="I626" i="2"/>
  <c r="F626" i="2"/>
  <c r="AE626" i="2"/>
  <c r="Q626" i="2"/>
  <c r="P626" i="2"/>
  <c r="R626" i="2"/>
  <c r="J626" i="2"/>
  <c r="I631" i="2"/>
  <c r="F631" i="2"/>
  <c r="AE631" i="2"/>
  <c r="Q631" i="2"/>
  <c r="P631" i="2"/>
  <c r="AC631" i="2"/>
  <c r="D631" i="2"/>
  <c r="W631" i="2"/>
  <c r="V631" i="2"/>
  <c r="Z631" i="2"/>
  <c r="X631" i="2"/>
  <c r="U631" i="2"/>
  <c r="T631" i="2"/>
  <c r="K631" i="2"/>
  <c r="J631" i="2"/>
  <c r="H631" i="2"/>
  <c r="AK631" i="2"/>
  <c r="AH631" i="2"/>
  <c r="C631" i="2"/>
  <c r="AF631" i="2"/>
  <c r="AB631" i="2"/>
  <c r="I426" i="2"/>
  <c r="F426" i="2"/>
  <c r="AE426" i="2"/>
  <c r="P426" i="2"/>
  <c r="Q426" i="2"/>
  <c r="I431" i="2"/>
  <c r="F431" i="2"/>
  <c r="AE431" i="2"/>
  <c r="Q431" i="2"/>
  <c r="P431" i="2"/>
  <c r="R434" i="2"/>
  <c r="I434" i="2"/>
  <c r="F434" i="2"/>
  <c r="AE434" i="2"/>
  <c r="Q434" i="2"/>
  <c r="P434" i="2"/>
  <c r="I441" i="2"/>
  <c r="F441" i="2"/>
  <c r="AE441" i="2"/>
  <c r="Q441" i="2"/>
  <c r="P441" i="2"/>
  <c r="I448" i="2"/>
  <c r="AE448" i="2"/>
  <c r="F448" i="2"/>
  <c r="Q448" i="2"/>
  <c r="P448" i="2"/>
  <c r="I451" i="2"/>
  <c r="F451" i="2"/>
  <c r="AE451" i="2"/>
  <c r="Q451" i="2"/>
  <c r="P451" i="2"/>
  <c r="I475" i="2"/>
  <c r="F475" i="2"/>
  <c r="AE475" i="2"/>
  <c r="Q475" i="2"/>
  <c r="P475" i="2"/>
  <c r="AK475" i="2"/>
  <c r="W488" i="2"/>
  <c r="AK490" i="2"/>
  <c r="I509" i="2"/>
  <c r="F509" i="2"/>
  <c r="AE509" i="2"/>
  <c r="Q509" i="2"/>
  <c r="P509" i="2"/>
  <c r="I525" i="2"/>
  <c r="F525" i="2"/>
  <c r="AE525" i="2"/>
  <c r="Q525" i="2"/>
  <c r="P525" i="2"/>
  <c r="I538" i="2"/>
  <c r="F538" i="2"/>
  <c r="AE538" i="2"/>
  <c r="Q538" i="2"/>
  <c r="P538" i="2"/>
  <c r="I561" i="2"/>
  <c r="F561" i="2"/>
  <c r="AE561" i="2"/>
  <c r="Q561" i="2"/>
  <c r="P561" i="2"/>
  <c r="T584" i="2"/>
  <c r="I584" i="2"/>
  <c r="F584" i="2"/>
  <c r="AE584" i="2"/>
  <c r="Q584" i="2"/>
  <c r="P584" i="2"/>
  <c r="C584" i="2"/>
  <c r="AK598" i="2"/>
  <c r="I598" i="2"/>
  <c r="F598" i="2"/>
  <c r="AE598" i="2"/>
  <c r="Q598" i="2"/>
  <c r="P598" i="2"/>
  <c r="I630" i="2"/>
  <c r="F630" i="2"/>
  <c r="AE630" i="2"/>
  <c r="Q630" i="2"/>
  <c r="P630" i="2"/>
  <c r="T630" i="2"/>
  <c r="AK630" i="2"/>
  <c r="G630" i="2"/>
  <c r="AG630" i="2"/>
  <c r="AF630" i="2"/>
  <c r="I648" i="2"/>
  <c r="F648" i="2"/>
  <c r="AE648" i="2"/>
  <c r="Q648" i="2"/>
  <c r="P648" i="2"/>
  <c r="Z648" i="2"/>
  <c r="W648" i="2"/>
  <c r="I653" i="2"/>
  <c r="F653" i="2"/>
  <c r="AE653" i="2"/>
  <c r="Q653" i="2"/>
  <c r="P653" i="2"/>
  <c r="AF653" i="2"/>
  <c r="T653" i="2"/>
  <c r="H653" i="2"/>
  <c r="G653" i="2"/>
  <c r="D653" i="2"/>
  <c r="I678" i="2"/>
  <c r="F678" i="2"/>
  <c r="AE678" i="2"/>
  <c r="Q678" i="2"/>
  <c r="P678" i="2"/>
  <c r="H678" i="2"/>
  <c r="AK678" i="2"/>
  <c r="AG678" i="2"/>
  <c r="AF678" i="2"/>
  <c r="W678" i="2"/>
  <c r="I389" i="2"/>
  <c r="F389" i="2"/>
  <c r="AE389" i="2"/>
  <c r="Q389" i="2"/>
  <c r="P389" i="2"/>
  <c r="I391" i="2"/>
  <c r="F391" i="2"/>
  <c r="AE391" i="2"/>
  <c r="Q391" i="2"/>
  <c r="P391" i="2"/>
  <c r="AC391" i="2"/>
  <c r="V393" i="2"/>
  <c r="I393" i="2"/>
  <c r="AE393" i="2"/>
  <c r="F393" i="2"/>
  <c r="Q393" i="2"/>
  <c r="P393" i="2"/>
  <c r="I396" i="2"/>
  <c r="F396" i="2"/>
  <c r="AE396" i="2"/>
  <c r="Q396" i="2"/>
  <c r="P396" i="2"/>
  <c r="I409" i="2"/>
  <c r="F409" i="2"/>
  <c r="AE409" i="2"/>
  <c r="Q409" i="2"/>
  <c r="P409" i="2"/>
  <c r="AC409" i="2"/>
  <c r="I418" i="2"/>
  <c r="F418" i="2"/>
  <c r="AE418" i="2"/>
  <c r="Q418" i="2"/>
  <c r="P418" i="2"/>
  <c r="C431" i="2"/>
  <c r="I444" i="2"/>
  <c r="F444" i="2"/>
  <c r="AE444" i="2"/>
  <c r="Q444" i="2"/>
  <c r="P444" i="2"/>
  <c r="D451" i="2"/>
  <c r="I453" i="2"/>
  <c r="AE453" i="2"/>
  <c r="F453" i="2"/>
  <c r="Q453" i="2"/>
  <c r="P453" i="2"/>
  <c r="X467" i="2"/>
  <c r="C475" i="2"/>
  <c r="I480" i="2"/>
  <c r="F480" i="2"/>
  <c r="AE480" i="2"/>
  <c r="Q480" i="2"/>
  <c r="P480" i="2"/>
  <c r="I486" i="2"/>
  <c r="F486" i="2"/>
  <c r="AE486" i="2"/>
  <c r="Q486" i="2"/>
  <c r="P486" i="2"/>
  <c r="D488" i="2"/>
  <c r="Z488" i="2"/>
  <c r="T494" i="2"/>
  <c r="U499" i="2"/>
  <c r="AH500" i="2"/>
  <c r="K511" i="2"/>
  <c r="S513" i="2"/>
  <c r="I519" i="2"/>
  <c r="F519" i="2"/>
  <c r="AE519" i="2"/>
  <c r="Q519" i="2"/>
  <c r="P519" i="2"/>
  <c r="I521" i="2"/>
  <c r="F521" i="2"/>
  <c r="AE521" i="2"/>
  <c r="Q521" i="2"/>
  <c r="P521" i="2"/>
  <c r="H527" i="2"/>
  <c r="S530" i="2"/>
  <c r="R531" i="2"/>
  <c r="Z534" i="2"/>
  <c r="I534" i="2"/>
  <c r="F534" i="2"/>
  <c r="AE534" i="2"/>
  <c r="Q534" i="2"/>
  <c r="P534" i="2"/>
  <c r="AC536" i="2"/>
  <c r="I536" i="2"/>
  <c r="F536" i="2"/>
  <c r="AE536" i="2"/>
  <c r="Q536" i="2"/>
  <c r="P536" i="2"/>
  <c r="C538" i="2"/>
  <c r="I540" i="2"/>
  <c r="F540" i="2"/>
  <c r="AE540" i="2"/>
  <c r="Q540" i="2"/>
  <c r="P540" i="2"/>
  <c r="J544" i="2"/>
  <c r="U553" i="2"/>
  <c r="K567" i="2"/>
  <c r="G574" i="2"/>
  <c r="J577" i="2"/>
  <c r="J578" i="2"/>
  <c r="AG581" i="2"/>
  <c r="W591" i="2"/>
  <c r="V595" i="2"/>
  <c r="G617" i="2"/>
  <c r="I621" i="2"/>
  <c r="AE621" i="2"/>
  <c r="F621" i="2"/>
  <c r="Q621" i="2"/>
  <c r="P621" i="2"/>
  <c r="D630" i="2"/>
  <c r="W636" i="2"/>
  <c r="AC661" i="2"/>
  <c r="I661" i="2"/>
  <c r="F661" i="2"/>
  <c r="AE661" i="2"/>
  <c r="Q661" i="2"/>
  <c r="T661" i="2"/>
  <c r="P661" i="2"/>
  <c r="I676" i="2"/>
  <c r="F676" i="2"/>
  <c r="AE676" i="2"/>
  <c r="Q676" i="2"/>
  <c r="P676" i="2"/>
  <c r="W676" i="2"/>
  <c r="AD688" i="2"/>
  <c r="I688" i="2"/>
  <c r="F688" i="2"/>
  <c r="AE688" i="2"/>
  <c r="Q688" i="2"/>
  <c r="P688" i="2"/>
  <c r="S688" i="2"/>
  <c r="R688" i="2"/>
  <c r="G688" i="2"/>
  <c r="I797" i="2"/>
  <c r="F797" i="2"/>
  <c r="AE797" i="2"/>
  <c r="Q797" i="2"/>
  <c r="P797" i="2"/>
  <c r="AB797" i="2"/>
  <c r="AF360" i="2"/>
  <c r="AF369" i="2"/>
  <c r="W370" i="2"/>
  <c r="AB378" i="2"/>
  <c r="AD391" i="2"/>
  <c r="U400" i="2"/>
  <c r="I400" i="2"/>
  <c r="F400" i="2"/>
  <c r="AE400" i="2"/>
  <c r="Q400" i="2"/>
  <c r="P400" i="2"/>
  <c r="I406" i="2"/>
  <c r="F406" i="2"/>
  <c r="AE406" i="2"/>
  <c r="Q406" i="2"/>
  <c r="P406" i="2"/>
  <c r="AD409" i="2"/>
  <c r="AG414" i="2"/>
  <c r="I414" i="2"/>
  <c r="F414" i="2"/>
  <c r="AE414" i="2"/>
  <c r="P414" i="2"/>
  <c r="Q414" i="2"/>
  <c r="S421" i="2"/>
  <c r="I421" i="2"/>
  <c r="F421" i="2"/>
  <c r="AE421" i="2"/>
  <c r="Q421" i="2"/>
  <c r="P421" i="2"/>
  <c r="I425" i="2"/>
  <c r="F425" i="2"/>
  <c r="AE425" i="2"/>
  <c r="Q425" i="2"/>
  <c r="P425" i="2"/>
  <c r="G426" i="2"/>
  <c r="H427" i="2"/>
  <c r="I428" i="2"/>
  <c r="F428" i="2"/>
  <c r="AE428" i="2"/>
  <c r="Q428" i="2"/>
  <c r="P428" i="2"/>
  <c r="D431" i="2"/>
  <c r="G434" i="2"/>
  <c r="X441" i="2"/>
  <c r="G446" i="2"/>
  <c r="K447" i="2"/>
  <c r="AG448" i="2"/>
  <c r="I456" i="2"/>
  <c r="F456" i="2"/>
  <c r="AE456" i="2"/>
  <c r="Q456" i="2"/>
  <c r="P456" i="2"/>
  <c r="I460" i="2"/>
  <c r="AE460" i="2"/>
  <c r="F460" i="2"/>
  <c r="Q460" i="2"/>
  <c r="P460" i="2"/>
  <c r="U464" i="2"/>
  <c r="Y467" i="2"/>
  <c r="I470" i="2"/>
  <c r="F470" i="2"/>
  <c r="AE470" i="2"/>
  <c r="Q470" i="2"/>
  <c r="P470" i="2"/>
  <c r="Z478" i="2"/>
  <c r="I478" i="2"/>
  <c r="F478" i="2"/>
  <c r="AE478" i="2"/>
  <c r="Q478" i="2"/>
  <c r="P478" i="2"/>
  <c r="I482" i="2"/>
  <c r="F482" i="2"/>
  <c r="AE482" i="2"/>
  <c r="Q482" i="2"/>
  <c r="P482" i="2"/>
  <c r="AB488" i="2"/>
  <c r="G490" i="2"/>
  <c r="AB494" i="2"/>
  <c r="I497" i="2"/>
  <c r="F497" i="2"/>
  <c r="AE497" i="2"/>
  <c r="Q497" i="2"/>
  <c r="P497" i="2"/>
  <c r="W499" i="2"/>
  <c r="S510" i="2"/>
  <c r="I510" i="2"/>
  <c r="F510" i="2"/>
  <c r="AE510" i="2"/>
  <c r="P510" i="2"/>
  <c r="Q510" i="2"/>
  <c r="Z511" i="2"/>
  <c r="H525" i="2"/>
  <c r="J527" i="2"/>
  <c r="Z530" i="2"/>
  <c r="Z531" i="2"/>
  <c r="D538" i="2"/>
  <c r="AH542" i="2"/>
  <c r="I542" i="2"/>
  <c r="F542" i="2"/>
  <c r="AE542" i="2"/>
  <c r="Q542" i="2"/>
  <c r="P542" i="2"/>
  <c r="K544" i="2"/>
  <c r="I551" i="2"/>
  <c r="F551" i="2"/>
  <c r="AE551" i="2"/>
  <c r="Q551" i="2"/>
  <c r="P551" i="2"/>
  <c r="V553" i="2"/>
  <c r="I558" i="2"/>
  <c r="F558" i="2"/>
  <c r="AE558" i="2"/>
  <c r="Q558" i="2"/>
  <c r="P558" i="2"/>
  <c r="AH562" i="2"/>
  <c r="I562" i="2"/>
  <c r="F562" i="2"/>
  <c r="AE562" i="2"/>
  <c r="Q562" i="2"/>
  <c r="P562" i="2"/>
  <c r="R563" i="2"/>
  <c r="I563" i="2"/>
  <c r="F563" i="2"/>
  <c r="AE563" i="2"/>
  <c r="Q563" i="2"/>
  <c r="P563" i="2"/>
  <c r="AH563" i="2"/>
  <c r="K578" i="2"/>
  <c r="H580" i="2"/>
  <c r="V584" i="2"/>
  <c r="AH595" i="2"/>
  <c r="K598" i="2"/>
  <c r="I602" i="2"/>
  <c r="F602" i="2"/>
  <c r="AE602" i="2"/>
  <c r="Q602" i="2"/>
  <c r="P602" i="2"/>
  <c r="G602" i="2"/>
  <c r="I606" i="2"/>
  <c r="F606" i="2"/>
  <c r="AE606" i="2"/>
  <c r="Q606" i="2"/>
  <c r="P606" i="2"/>
  <c r="H606" i="2"/>
  <c r="AH606" i="2"/>
  <c r="AF606" i="2"/>
  <c r="G616" i="2"/>
  <c r="J617" i="2"/>
  <c r="I628" i="2"/>
  <c r="AE628" i="2"/>
  <c r="F628" i="2"/>
  <c r="Q628" i="2"/>
  <c r="P628" i="2"/>
  <c r="AG628" i="2"/>
  <c r="R628" i="2"/>
  <c r="G628" i="2"/>
  <c r="I634" i="2"/>
  <c r="F634" i="2"/>
  <c r="AE634" i="2"/>
  <c r="Q634" i="2"/>
  <c r="P634" i="2"/>
  <c r="H639" i="2"/>
  <c r="I644" i="2"/>
  <c r="F644" i="2"/>
  <c r="AE644" i="2"/>
  <c r="Q644" i="2"/>
  <c r="P644" i="2"/>
  <c r="D644" i="2"/>
  <c r="AK644" i="2"/>
  <c r="AB644" i="2"/>
  <c r="Y644" i="2"/>
  <c r="AF649" i="2"/>
  <c r="I649" i="2"/>
  <c r="F649" i="2"/>
  <c r="AE649" i="2"/>
  <c r="Q649" i="2"/>
  <c r="K649" i="2"/>
  <c r="J649" i="2"/>
  <c r="H649" i="2"/>
  <c r="AK649" i="2"/>
  <c r="C649" i="2"/>
  <c r="AD649" i="2"/>
  <c r="AB649" i="2"/>
  <c r="Z649" i="2"/>
  <c r="P649" i="2"/>
  <c r="S653" i="2"/>
  <c r="J678" i="2"/>
  <c r="I683" i="2"/>
  <c r="F683" i="2"/>
  <c r="AE683" i="2"/>
  <c r="Q683" i="2"/>
  <c r="P683" i="2"/>
  <c r="Y683" i="2"/>
  <c r="W714" i="2"/>
  <c r="I714" i="2"/>
  <c r="F714" i="2"/>
  <c r="AE714" i="2"/>
  <c r="Q714" i="2"/>
  <c r="P714" i="2"/>
  <c r="U714" i="2"/>
  <c r="T714" i="2"/>
  <c r="I372" i="2"/>
  <c r="F372" i="2"/>
  <c r="AE372" i="2"/>
  <c r="Q372" i="2"/>
  <c r="P372" i="2"/>
  <c r="I373" i="2"/>
  <c r="F373" i="2"/>
  <c r="AE373" i="2"/>
  <c r="Q373" i="2"/>
  <c r="P373" i="2"/>
  <c r="AC376" i="2"/>
  <c r="I376" i="2"/>
  <c r="AE376" i="2"/>
  <c r="F376" i="2"/>
  <c r="Q376" i="2"/>
  <c r="P376" i="2"/>
  <c r="I377" i="2"/>
  <c r="AE377" i="2"/>
  <c r="F377" i="2"/>
  <c r="Q377" i="2"/>
  <c r="P377" i="2"/>
  <c r="T384" i="2"/>
  <c r="I387" i="2"/>
  <c r="F387" i="2"/>
  <c r="AE387" i="2"/>
  <c r="Q387" i="2"/>
  <c r="P387" i="2"/>
  <c r="C389" i="2"/>
  <c r="C391" i="2"/>
  <c r="AF391" i="2"/>
  <c r="I395" i="2"/>
  <c r="F395" i="2"/>
  <c r="AE395" i="2"/>
  <c r="Q395" i="2"/>
  <c r="P395" i="2"/>
  <c r="C409" i="2"/>
  <c r="AK409" i="2"/>
  <c r="I416" i="2"/>
  <c r="F416" i="2"/>
  <c r="AE416" i="2"/>
  <c r="Q416" i="2"/>
  <c r="P416" i="2"/>
  <c r="H426" i="2"/>
  <c r="J427" i="2"/>
  <c r="K434" i="2"/>
  <c r="I438" i="2"/>
  <c r="AE438" i="2"/>
  <c r="F438" i="2"/>
  <c r="P438" i="2"/>
  <c r="Q438" i="2"/>
  <c r="I442" i="2"/>
  <c r="F442" i="2"/>
  <c r="AE442" i="2"/>
  <c r="Q442" i="2"/>
  <c r="P442" i="2"/>
  <c r="J446" i="2"/>
  <c r="R447" i="2"/>
  <c r="I449" i="2"/>
  <c r="F449" i="2"/>
  <c r="AE449" i="2"/>
  <c r="Q449" i="2"/>
  <c r="P449" i="2"/>
  <c r="AB451" i="2"/>
  <c r="AF462" i="2"/>
  <c r="I462" i="2"/>
  <c r="F462" i="2"/>
  <c r="AE462" i="2"/>
  <c r="P462" i="2"/>
  <c r="Q462" i="2"/>
  <c r="Z464" i="2"/>
  <c r="AG473" i="2"/>
  <c r="I473" i="2"/>
  <c r="F473" i="2"/>
  <c r="AE473" i="2"/>
  <c r="Q473" i="2"/>
  <c r="P473" i="2"/>
  <c r="H475" i="2"/>
  <c r="G488" i="2"/>
  <c r="AF488" i="2"/>
  <c r="H490" i="2"/>
  <c r="AD494" i="2"/>
  <c r="I501" i="2"/>
  <c r="F501" i="2"/>
  <c r="AE501" i="2"/>
  <c r="Q501" i="2"/>
  <c r="P501" i="2"/>
  <c r="R506" i="2"/>
  <c r="I506" i="2"/>
  <c r="F506" i="2"/>
  <c r="AE506" i="2"/>
  <c r="Q506" i="2"/>
  <c r="P506" i="2"/>
  <c r="AG511" i="2"/>
  <c r="I514" i="2"/>
  <c r="F514" i="2"/>
  <c r="AE514" i="2"/>
  <c r="Q514" i="2"/>
  <c r="P514" i="2"/>
  <c r="J525" i="2"/>
  <c r="R527" i="2"/>
  <c r="AD530" i="2"/>
  <c r="AB531" i="2"/>
  <c r="S543" i="2"/>
  <c r="T544" i="2"/>
  <c r="AH556" i="2"/>
  <c r="I556" i="2"/>
  <c r="AE556" i="2"/>
  <c r="F556" i="2"/>
  <c r="Q556" i="2"/>
  <c r="P556" i="2"/>
  <c r="I564" i="2"/>
  <c r="F564" i="2"/>
  <c r="AE564" i="2"/>
  <c r="Q564" i="2"/>
  <c r="P564" i="2"/>
  <c r="AD564" i="2"/>
  <c r="I566" i="2"/>
  <c r="F566" i="2"/>
  <c r="AE566" i="2"/>
  <c r="Q566" i="2"/>
  <c r="P566" i="2"/>
  <c r="T566" i="2"/>
  <c r="S566" i="2"/>
  <c r="Z567" i="2"/>
  <c r="I569" i="2"/>
  <c r="F569" i="2"/>
  <c r="AE569" i="2"/>
  <c r="Q569" i="2"/>
  <c r="P569" i="2"/>
  <c r="R578" i="2"/>
  <c r="K580" i="2"/>
  <c r="W584" i="2"/>
  <c r="I592" i="2"/>
  <c r="AE592" i="2"/>
  <c r="F592" i="2"/>
  <c r="Q592" i="2"/>
  <c r="P592" i="2"/>
  <c r="AD592" i="2"/>
  <c r="R598" i="2"/>
  <c r="I612" i="2"/>
  <c r="F612" i="2"/>
  <c r="AE612" i="2"/>
  <c r="Q612" i="2"/>
  <c r="P612" i="2"/>
  <c r="I614" i="2"/>
  <c r="F614" i="2"/>
  <c r="AE614" i="2"/>
  <c r="Q614" i="2"/>
  <c r="P614" i="2"/>
  <c r="X614" i="2"/>
  <c r="T616" i="2"/>
  <c r="S617" i="2"/>
  <c r="I624" i="2"/>
  <c r="F624" i="2"/>
  <c r="AE624" i="2"/>
  <c r="Q624" i="2"/>
  <c r="P624" i="2"/>
  <c r="H630" i="2"/>
  <c r="AF637" i="2"/>
  <c r="I637" i="2"/>
  <c r="F637" i="2"/>
  <c r="AE637" i="2"/>
  <c r="Q637" i="2"/>
  <c r="W637" i="2"/>
  <c r="H637" i="2"/>
  <c r="P637" i="2"/>
  <c r="AK637" i="2"/>
  <c r="T639" i="2"/>
  <c r="I660" i="2"/>
  <c r="F660" i="2"/>
  <c r="AE660" i="2"/>
  <c r="Q660" i="2"/>
  <c r="P660" i="2"/>
  <c r="Z660" i="2"/>
  <c r="D660" i="2"/>
  <c r="X660" i="2"/>
  <c r="C660" i="2"/>
  <c r="W660" i="2"/>
  <c r="T660" i="2"/>
  <c r="S660" i="2"/>
  <c r="AH660" i="2"/>
  <c r="K660" i="2"/>
  <c r="AG660" i="2"/>
  <c r="J660" i="2"/>
  <c r="K678" i="2"/>
  <c r="I702" i="2"/>
  <c r="F702" i="2"/>
  <c r="AE702" i="2"/>
  <c r="Q702" i="2"/>
  <c r="P702" i="2"/>
  <c r="AK702" i="2"/>
  <c r="AH702" i="2"/>
  <c r="AG702" i="2"/>
  <c r="AF702" i="2"/>
  <c r="V702" i="2"/>
  <c r="U702" i="2"/>
  <c r="I812" i="2"/>
  <c r="F812" i="2"/>
  <c r="AE812" i="2"/>
  <c r="Q812" i="2"/>
  <c r="P812" i="2"/>
  <c r="V812" i="2"/>
  <c r="I360" i="2"/>
  <c r="F360" i="2"/>
  <c r="AE360" i="2"/>
  <c r="Q360" i="2"/>
  <c r="P360" i="2"/>
  <c r="I361" i="2"/>
  <c r="F361" i="2"/>
  <c r="AE361" i="2"/>
  <c r="Q361" i="2"/>
  <c r="P361" i="2"/>
  <c r="AG367" i="2"/>
  <c r="I367" i="2"/>
  <c r="F367" i="2"/>
  <c r="AE367" i="2"/>
  <c r="Q367" i="2"/>
  <c r="P367" i="2"/>
  <c r="I369" i="2"/>
  <c r="AE369" i="2"/>
  <c r="F369" i="2"/>
  <c r="Q369" i="2"/>
  <c r="P369" i="2"/>
  <c r="AH370" i="2"/>
  <c r="I370" i="2"/>
  <c r="F370" i="2"/>
  <c r="AE370" i="2"/>
  <c r="Q370" i="2"/>
  <c r="P370" i="2"/>
  <c r="Z370" i="2"/>
  <c r="AG379" i="2"/>
  <c r="I379" i="2"/>
  <c r="F379" i="2"/>
  <c r="AE379" i="2"/>
  <c r="Q379" i="2"/>
  <c r="P379" i="2"/>
  <c r="U381" i="2"/>
  <c r="I381" i="2"/>
  <c r="F381" i="2"/>
  <c r="AE381" i="2"/>
  <c r="Q381" i="2"/>
  <c r="P381" i="2"/>
  <c r="I383" i="2"/>
  <c r="F383" i="2"/>
  <c r="AE383" i="2"/>
  <c r="Q383" i="2"/>
  <c r="P383" i="2"/>
  <c r="W384" i="2"/>
  <c r="D391" i="2"/>
  <c r="AG391" i="2"/>
  <c r="H393" i="2"/>
  <c r="H396" i="2"/>
  <c r="I403" i="2"/>
  <c r="F403" i="2"/>
  <c r="AE403" i="2"/>
  <c r="Q403" i="2"/>
  <c r="P403" i="2"/>
  <c r="D409" i="2"/>
  <c r="S410" i="2"/>
  <c r="I410" i="2"/>
  <c r="F410" i="2"/>
  <c r="AE410" i="2"/>
  <c r="Q410" i="2"/>
  <c r="P410" i="2"/>
  <c r="AB419" i="2"/>
  <c r="I419" i="2"/>
  <c r="AE419" i="2"/>
  <c r="F419" i="2"/>
  <c r="P419" i="2"/>
  <c r="Q419" i="2"/>
  <c r="U424" i="2"/>
  <c r="I424" i="2"/>
  <c r="AE424" i="2"/>
  <c r="F424" i="2"/>
  <c r="Q424" i="2"/>
  <c r="P424" i="2"/>
  <c r="S426" i="2"/>
  <c r="K427" i="2"/>
  <c r="X431" i="2"/>
  <c r="S434" i="2"/>
  <c r="I445" i="2"/>
  <c r="F445" i="2"/>
  <c r="AE445" i="2"/>
  <c r="P445" i="2"/>
  <c r="Q445" i="2"/>
  <c r="K446" i="2"/>
  <c r="S447" i="2"/>
  <c r="AD451" i="2"/>
  <c r="I454" i="2"/>
  <c r="F454" i="2"/>
  <c r="AE454" i="2"/>
  <c r="Q454" i="2"/>
  <c r="P454" i="2"/>
  <c r="I458" i="2"/>
  <c r="F458" i="2"/>
  <c r="AE458" i="2"/>
  <c r="P458" i="2"/>
  <c r="Q458" i="2"/>
  <c r="AB464" i="2"/>
  <c r="I466" i="2"/>
  <c r="F466" i="2"/>
  <c r="AE466" i="2"/>
  <c r="Q466" i="2"/>
  <c r="P466" i="2"/>
  <c r="I468" i="2"/>
  <c r="F468" i="2"/>
  <c r="AE468" i="2"/>
  <c r="Q468" i="2"/>
  <c r="P468" i="2"/>
  <c r="K475" i="2"/>
  <c r="H488" i="2"/>
  <c r="AG488" i="2"/>
  <c r="K490" i="2"/>
  <c r="AC500" i="2"/>
  <c r="I500" i="2"/>
  <c r="F500" i="2"/>
  <c r="AE500" i="2"/>
  <c r="Q500" i="2"/>
  <c r="P500" i="2"/>
  <c r="I522" i="2"/>
  <c r="F522" i="2"/>
  <c r="AE522" i="2"/>
  <c r="P522" i="2"/>
  <c r="Q522" i="2"/>
  <c r="W524" i="2"/>
  <c r="I524" i="2"/>
  <c r="F524" i="2"/>
  <c r="AE524" i="2"/>
  <c r="Q524" i="2"/>
  <c r="P524" i="2"/>
  <c r="U525" i="2"/>
  <c r="V527" i="2"/>
  <c r="AH530" i="2"/>
  <c r="AC531" i="2"/>
  <c r="R538" i="2"/>
  <c r="V543" i="2"/>
  <c r="U544" i="2"/>
  <c r="I554" i="2"/>
  <c r="F554" i="2"/>
  <c r="AE554" i="2"/>
  <c r="Q554" i="2"/>
  <c r="P554" i="2"/>
  <c r="D562" i="2"/>
  <c r="D563" i="2"/>
  <c r="AF564" i="2"/>
  <c r="AC574" i="2"/>
  <c r="AD576" i="2"/>
  <c r="I576" i="2"/>
  <c r="F576" i="2"/>
  <c r="AE576" i="2"/>
  <c r="Q576" i="2"/>
  <c r="P576" i="2"/>
  <c r="AC576" i="2"/>
  <c r="AB576" i="2"/>
  <c r="AC577" i="2"/>
  <c r="AB578" i="2"/>
  <c r="U580" i="2"/>
  <c r="X584" i="2"/>
  <c r="I596" i="2"/>
  <c r="F596" i="2"/>
  <c r="AE596" i="2"/>
  <c r="Q596" i="2"/>
  <c r="P596" i="2"/>
  <c r="AF598" i="2"/>
  <c r="C602" i="2"/>
  <c r="W616" i="2"/>
  <c r="U617" i="2"/>
  <c r="I622" i="2"/>
  <c r="F622" i="2"/>
  <c r="AE622" i="2"/>
  <c r="Q622" i="2"/>
  <c r="P622" i="2"/>
  <c r="T622" i="2"/>
  <c r="R622" i="2"/>
  <c r="J630" i="2"/>
  <c r="I632" i="2"/>
  <c r="F632" i="2"/>
  <c r="AE632" i="2"/>
  <c r="Q632" i="2"/>
  <c r="P632" i="2"/>
  <c r="T657" i="2"/>
  <c r="I657" i="2"/>
  <c r="F657" i="2"/>
  <c r="AE657" i="2"/>
  <c r="Q657" i="2"/>
  <c r="P657" i="2"/>
  <c r="AF657" i="2"/>
  <c r="AD657" i="2"/>
  <c r="AC657" i="2"/>
  <c r="J657" i="2"/>
  <c r="H657" i="2"/>
  <c r="G661" i="2"/>
  <c r="Y676" i="2"/>
  <c r="AD752" i="2"/>
  <c r="I752" i="2"/>
  <c r="AE752" i="2"/>
  <c r="F752" i="2"/>
  <c r="Q752" i="2"/>
  <c r="P752" i="2"/>
  <c r="AC752" i="2"/>
  <c r="AB752" i="2"/>
  <c r="Z752" i="2"/>
  <c r="K752" i="2"/>
  <c r="J752" i="2"/>
  <c r="I755" i="2"/>
  <c r="F755" i="2"/>
  <c r="AE755" i="2"/>
  <c r="Q755" i="2"/>
  <c r="P755" i="2"/>
  <c r="X755" i="2"/>
  <c r="W755" i="2"/>
  <c r="V755" i="2"/>
  <c r="I784" i="2"/>
  <c r="F784" i="2"/>
  <c r="AE784" i="2"/>
  <c r="P784" i="2"/>
  <c r="Q784" i="2"/>
  <c r="I828" i="2"/>
  <c r="F828" i="2"/>
  <c r="AE828" i="2"/>
  <c r="Q828" i="2"/>
  <c r="P828" i="2"/>
  <c r="AK828" i="2"/>
  <c r="X828" i="2"/>
  <c r="K828" i="2"/>
  <c r="AB370" i="2"/>
  <c r="C376" i="2"/>
  <c r="X384" i="2"/>
  <c r="K389" i="2"/>
  <c r="AK391" i="2"/>
  <c r="J393" i="2"/>
  <c r="K396" i="2"/>
  <c r="G400" i="2"/>
  <c r="AB407" i="2"/>
  <c r="I407" i="2"/>
  <c r="F407" i="2"/>
  <c r="AE407" i="2"/>
  <c r="Q407" i="2"/>
  <c r="P407" i="2"/>
  <c r="J414" i="2"/>
  <c r="G421" i="2"/>
  <c r="H425" i="2"/>
  <c r="T426" i="2"/>
  <c r="T427" i="2"/>
  <c r="I429" i="2"/>
  <c r="F429" i="2"/>
  <c r="AE429" i="2"/>
  <c r="Q429" i="2"/>
  <c r="P429" i="2"/>
  <c r="Z431" i="2"/>
  <c r="AC434" i="2"/>
  <c r="V446" i="2"/>
  <c r="X447" i="2"/>
  <c r="AC452" i="2"/>
  <c r="I452" i="2"/>
  <c r="F452" i="2"/>
  <c r="AE452" i="2"/>
  <c r="Q452" i="2"/>
  <c r="P452" i="2"/>
  <c r="U452" i="2"/>
  <c r="AF457" i="2"/>
  <c r="I457" i="2"/>
  <c r="F457" i="2"/>
  <c r="AE457" i="2"/>
  <c r="Q457" i="2"/>
  <c r="P457" i="2"/>
  <c r="K460" i="2"/>
  <c r="R470" i="2"/>
  <c r="C473" i="2"/>
  <c r="T475" i="2"/>
  <c r="H478" i="2"/>
  <c r="H480" i="2"/>
  <c r="J482" i="2"/>
  <c r="I487" i="2"/>
  <c r="F487" i="2"/>
  <c r="AE487" i="2"/>
  <c r="Q487" i="2"/>
  <c r="P487" i="2"/>
  <c r="J488" i="2"/>
  <c r="AH488" i="2"/>
  <c r="R490" i="2"/>
  <c r="T492" i="2"/>
  <c r="I492" i="2"/>
  <c r="F492" i="2"/>
  <c r="AE492" i="2"/>
  <c r="Q492" i="2"/>
  <c r="P492" i="2"/>
  <c r="I495" i="2"/>
  <c r="F495" i="2"/>
  <c r="AE495" i="2"/>
  <c r="Q495" i="2"/>
  <c r="P495" i="2"/>
  <c r="I498" i="2"/>
  <c r="F498" i="2"/>
  <c r="AE498" i="2"/>
  <c r="P498" i="2"/>
  <c r="Q498" i="2"/>
  <c r="I504" i="2"/>
  <c r="F504" i="2"/>
  <c r="AE504" i="2"/>
  <c r="Q504" i="2"/>
  <c r="P504" i="2"/>
  <c r="D506" i="2"/>
  <c r="I512" i="2"/>
  <c r="F512" i="2"/>
  <c r="AE512" i="2"/>
  <c r="Q512" i="2"/>
  <c r="P512" i="2"/>
  <c r="I516" i="2"/>
  <c r="F516" i="2"/>
  <c r="AE516" i="2"/>
  <c r="Q516" i="2"/>
  <c r="P516" i="2"/>
  <c r="W519" i="2"/>
  <c r="W525" i="2"/>
  <c r="W527" i="2"/>
  <c r="K534" i="2"/>
  <c r="S538" i="2"/>
  <c r="Z540" i="2"/>
  <c r="G542" i="2"/>
  <c r="AC543" i="2"/>
  <c r="V544" i="2"/>
  <c r="V550" i="2"/>
  <c r="I550" i="2"/>
  <c r="F550" i="2"/>
  <c r="AE550" i="2"/>
  <c r="Q550" i="2"/>
  <c r="P550" i="2"/>
  <c r="T551" i="2"/>
  <c r="I559" i="2"/>
  <c r="F559" i="2"/>
  <c r="AE559" i="2"/>
  <c r="P559" i="2"/>
  <c r="Q559" i="2"/>
  <c r="D564" i="2"/>
  <c r="S565" i="2"/>
  <c r="I565" i="2"/>
  <c r="F565" i="2"/>
  <c r="AE565" i="2"/>
  <c r="Q565" i="2"/>
  <c r="AF565" i="2"/>
  <c r="P565" i="2"/>
  <c r="U565" i="2"/>
  <c r="J565" i="2"/>
  <c r="AD577" i="2"/>
  <c r="AD580" i="2"/>
  <c r="I585" i="2"/>
  <c r="F585" i="2"/>
  <c r="AE585" i="2"/>
  <c r="Q585" i="2"/>
  <c r="P585" i="2"/>
  <c r="AC585" i="2"/>
  <c r="AG598" i="2"/>
  <c r="J606" i="2"/>
  <c r="X616" i="2"/>
  <c r="AD617" i="2"/>
  <c r="I627" i="2"/>
  <c r="F627" i="2"/>
  <c r="AE627" i="2"/>
  <c r="Q627" i="2"/>
  <c r="P627" i="2"/>
  <c r="V627" i="2"/>
  <c r="K630" i="2"/>
  <c r="I640" i="2"/>
  <c r="F640" i="2"/>
  <c r="AE640" i="2"/>
  <c r="Q640" i="2"/>
  <c r="P640" i="2"/>
  <c r="I677" i="2"/>
  <c r="F677" i="2"/>
  <c r="AE677" i="2"/>
  <c r="Q677" i="2"/>
  <c r="P677" i="2"/>
  <c r="U677" i="2"/>
  <c r="T677" i="2"/>
  <c r="K677" i="2"/>
  <c r="AK677" i="2"/>
  <c r="H677" i="2"/>
  <c r="AH677" i="2"/>
  <c r="G677" i="2"/>
  <c r="AF677" i="2"/>
  <c r="AC677" i="2"/>
  <c r="D677" i="2"/>
  <c r="AB677" i="2"/>
  <c r="C677" i="2"/>
  <c r="Z677" i="2"/>
  <c r="T684" i="2"/>
  <c r="I684" i="2"/>
  <c r="F684" i="2"/>
  <c r="AE684" i="2"/>
  <c r="Q684" i="2"/>
  <c r="P684" i="2"/>
  <c r="AC684" i="2"/>
  <c r="X684" i="2"/>
  <c r="V684" i="2"/>
  <c r="S684" i="2"/>
  <c r="G684" i="2"/>
  <c r="D684" i="2"/>
  <c r="C684" i="2"/>
  <c r="I719" i="2"/>
  <c r="F719" i="2"/>
  <c r="AE719" i="2"/>
  <c r="Q719" i="2"/>
  <c r="P719" i="2"/>
  <c r="Y719" i="2"/>
  <c r="AD775" i="2"/>
  <c r="I775" i="2"/>
  <c r="F775" i="2"/>
  <c r="AE775" i="2"/>
  <c r="P775" i="2"/>
  <c r="Q775" i="2"/>
  <c r="AK775" i="2"/>
  <c r="AH775" i="2"/>
  <c r="X775" i="2"/>
  <c r="V775" i="2"/>
  <c r="U775" i="2"/>
  <c r="T775" i="2"/>
  <c r="H775" i="2"/>
  <c r="D775" i="2"/>
  <c r="K488" i="2"/>
  <c r="AC489" i="2"/>
  <c r="I489" i="2"/>
  <c r="F489" i="2"/>
  <c r="AE489" i="2"/>
  <c r="Q489" i="2"/>
  <c r="P489" i="2"/>
  <c r="W490" i="2"/>
  <c r="I502" i="2"/>
  <c r="F502" i="2"/>
  <c r="AE502" i="2"/>
  <c r="Q502" i="2"/>
  <c r="P502" i="2"/>
  <c r="I508" i="2"/>
  <c r="AE508" i="2"/>
  <c r="F508" i="2"/>
  <c r="Q508" i="2"/>
  <c r="P508" i="2"/>
  <c r="V530" i="2"/>
  <c r="I530" i="2"/>
  <c r="F530" i="2"/>
  <c r="AE530" i="2"/>
  <c r="Q530" i="2"/>
  <c r="P530" i="2"/>
  <c r="S531" i="2"/>
  <c r="I531" i="2"/>
  <c r="F531" i="2"/>
  <c r="AE531" i="2"/>
  <c r="Q531" i="2"/>
  <c r="P531" i="2"/>
  <c r="I532" i="2"/>
  <c r="AE532" i="2"/>
  <c r="F532" i="2"/>
  <c r="Q532" i="2"/>
  <c r="P532" i="2"/>
  <c r="I537" i="2"/>
  <c r="F537" i="2"/>
  <c r="AE537" i="2"/>
  <c r="Q537" i="2"/>
  <c r="P537" i="2"/>
  <c r="U538" i="2"/>
  <c r="AC541" i="2"/>
  <c r="I541" i="2"/>
  <c r="F541" i="2"/>
  <c r="AE541" i="2"/>
  <c r="Q541" i="2"/>
  <c r="P541" i="2"/>
  <c r="W544" i="2"/>
  <c r="I547" i="2"/>
  <c r="F547" i="2"/>
  <c r="AE547" i="2"/>
  <c r="Q547" i="2"/>
  <c r="P547" i="2"/>
  <c r="R553" i="2"/>
  <c r="I553" i="2"/>
  <c r="F553" i="2"/>
  <c r="AE553" i="2"/>
  <c r="Q553" i="2"/>
  <c r="P553" i="2"/>
  <c r="I570" i="2"/>
  <c r="F570" i="2"/>
  <c r="AE570" i="2"/>
  <c r="Q570" i="2"/>
  <c r="P570" i="2"/>
  <c r="K570" i="2"/>
  <c r="I573" i="2"/>
  <c r="F573" i="2"/>
  <c r="AE573" i="2"/>
  <c r="Q573" i="2"/>
  <c r="P573" i="2"/>
  <c r="AF580" i="2"/>
  <c r="AC583" i="2"/>
  <c r="I583" i="2"/>
  <c r="F583" i="2"/>
  <c r="AE583" i="2"/>
  <c r="P583" i="2"/>
  <c r="Q583" i="2"/>
  <c r="X583" i="2"/>
  <c r="J583" i="2"/>
  <c r="V591" i="2"/>
  <c r="I591" i="2"/>
  <c r="F591" i="2"/>
  <c r="AE591" i="2"/>
  <c r="Q591" i="2"/>
  <c r="P591" i="2"/>
  <c r="G591" i="2"/>
  <c r="AK591" i="2"/>
  <c r="AF591" i="2"/>
  <c r="AC595" i="2"/>
  <c r="I595" i="2"/>
  <c r="F595" i="2"/>
  <c r="AE595" i="2"/>
  <c r="P595" i="2"/>
  <c r="Q595" i="2"/>
  <c r="AG595" i="2"/>
  <c r="H595" i="2"/>
  <c r="AH598" i="2"/>
  <c r="I604" i="2"/>
  <c r="AE604" i="2"/>
  <c r="F604" i="2"/>
  <c r="Q604" i="2"/>
  <c r="P604" i="2"/>
  <c r="I608" i="2"/>
  <c r="F608" i="2"/>
  <c r="AE608" i="2"/>
  <c r="Q608" i="2"/>
  <c r="P608" i="2"/>
  <c r="U608" i="2"/>
  <c r="J608" i="2"/>
  <c r="AC615" i="2"/>
  <c r="I615" i="2"/>
  <c r="F615" i="2"/>
  <c r="AE615" i="2"/>
  <c r="Q615" i="2"/>
  <c r="P615" i="2"/>
  <c r="S615" i="2"/>
  <c r="AB616" i="2"/>
  <c r="AG617" i="2"/>
  <c r="I625" i="2"/>
  <c r="F625" i="2"/>
  <c r="AE625" i="2"/>
  <c r="Q625" i="2"/>
  <c r="AD625" i="2"/>
  <c r="P625" i="2"/>
  <c r="V630" i="2"/>
  <c r="AD687" i="2"/>
  <c r="I687" i="2"/>
  <c r="F687" i="2"/>
  <c r="AE687" i="2"/>
  <c r="Q687" i="2"/>
  <c r="P687" i="2"/>
  <c r="AG687" i="2"/>
  <c r="AF687" i="2"/>
  <c r="C687" i="2"/>
  <c r="AC687" i="2"/>
  <c r="X687" i="2"/>
  <c r="V687" i="2"/>
  <c r="U687" i="2"/>
  <c r="S687" i="2"/>
  <c r="R687" i="2"/>
  <c r="J687" i="2"/>
  <c r="AF690" i="2"/>
  <c r="I690" i="2"/>
  <c r="F690" i="2"/>
  <c r="AE690" i="2"/>
  <c r="Q690" i="2"/>
  <c r="P690" i="2"/>
  <c r="J690" i="2"/>
  <c r="H690" i="2"/>
  <c r="C690" i="2"/>
  <c r="W801" i="2"/>
  <c r="I801" i="2"/>
  <c r="F801" i="2"/>
  <c r="AE801" i="2"/>
  <c r="Q801" i="2"/>
  <c r="P801" i="2"/>
  <c r="AK801" i="2"/>
  <c r="AH801" i="2"/>
  <c r="AG801" i="2"/>
  <c r="K801" i="2"/>
  <c r="H801" i="2"/>
  <c r="C801" i="2"/>
  <c r="I820" i="2"/>
  <c r="F820" i="2"/>
  <c r="AE820" i="2"/>
  <c r="P820" i="2"/>
  <c r="Q820" i="2"/>
  <c r="AD820" i="2"/>
  <c r="AC820" i="2"/>
  <c r="X820" i="2"/>
  <c r="K820" i="2"/>
  <c r="J820" i="2"/>
  <c r="H820" i="2"/>
  <c r="G820" i="2"/>
  <c r="D820" i="2"/>
  <c r="C820" i="2"/>
  <c r="AB326" i="2"/>
  <c r="I326" i="2"/>
  <c r="F326" i="2"/>
  <c r="AE326" i="2"/>
  <c r="Q326" i="2"/>
  <c r="P326" i="2"/>
  <c r="I330" i="2"/>
  <c r="F330" i="2"/>
  <c r="AE330" i="2"/>
  <c r="P330" i="2"/>
  <c r="Q330" i="2"/>
  <c r="W342" i="2"/>
  <c r="I342" i="2"/>
  <c r="F342" i="2"/>
  <c r="AE342" i="2"/>
  <c r="Q342" i="2"/>
  <c r="P342" i="2"/>
  <c r="H360" i="2"/>
  <c r="Z362" i="2"/>
  <c r="I362" i="2"/>
  <c r="F362" i="2"/>
  <c r="AE362" i="2"/>
  <c r="Q362" i="2"/>
  <c r="P362" i="2"/>
  <c r="AC364" i="2"/>
  <c r="I364" i="2"/>
  <c r="AE364" i="2"/>
  <c r="F364" i="2"/>
  <c r="Q364" i="2"/>
  <c r="P364" i="2"/>
  <c r="I365" i="2"/>
  <c r="F365" i="2"/>
  <c r="AE365" i="2"/>
  <c r="Q365" i="2"/>
  <c r="P365" i="2"/>
  <c r="R367" i="2"/>
  <c r="D370" i="2"/>
  <c r="AF370" i="2"/>
  <c r="R372" i="2"/>
  <c r="AB377" i="2"/>
  <c r="G379" i="2"/>
  <c r="G381" i="2"/>
  <c r="K383" i="2"/>
  <c r="AF384" i="2"/>
  <c r="I388" i="2"/>
  <c r="AE388" i="2"/>
  <c r="F388" i="2"/>
  <c r="Q388" i="2"/>
  <c r="P388" i="2"/>
  <c r="X388" i="2"/>
  <c r="AH389" i="2"/>
  <c r="K391" i="2"/>
  <c r="T393" i="2"/>
  <c r="J395" i="2"/>
  <c r="Y396" i="2"/>
  <c r="I398" i="2"/>
  <c r="F398" i="2"/>
  <c r="AE398" i="2"/>
  <c r="Q398" i="2"/>
  <c r="P398" i="2"/>
  <c r="T400" i="2"/>
  <c r="K409" i="2"/>
  <c r="G410" i="2"/>
  <c r="AC414" i="2"/>
  <c r="W416" i="2"/>
  <c r="D419" i="2"/>
  <c r="AC421" i="2"/>
  <c r="S423" i="2"/>
  <c r="I423" i="2"/>
  <c r="F423" i="2"/>
  <c r="AE423" i="2"/>
  <c r="Q423" i="2"/>
  <c r="P423" i="2"/>
  <c r="G424" i="2"/>
  <c r="V425" i="2"/>
  <c r="AC426" i="2"/>
  <c r="V427" i="2"/>
  <c r="I432" i="2"/>
  <c r="F432" i="2"/>
  <c r="AE432" i="2"/>
  <c r="P432" i="2"/>
  <c r="Q432" i="2"/>
  <c r="S445" i="2"/>
  <c r="C452" i="2"/>
  <c r="X452" i="2"/>
  <c r="I455" i="2"/>
  <c r="F455" i="2"/>
  <c r="AE455" i="2"/>
  <c r="Q455" i="2"/>
  <c r="P455" i="2"/>
  <c r="R458" i="2"/>
  <c r="S460" i="2"/>
  <c r="S462" i="2"/>
  <c r="Y465" i="2"/>
  <c r="I465" i="2"/>
  <c r="F465" i="2"/>
  <c r="AE465" i="2"/>
  <c r="Q465" i="2"/>
  <c r="P465" i="2"/>
  <c r="W466" i="2"/>
  <c r="J468" i="2"/>
  <c r="I471" i="2"/>
  <c r="F471" i="2"/>
  <c r="AE471" i="2"/>
  <c r="Q471" i="2"/>
  <c r="P471" i="2"/>
  <c r="AB474" i="2"/>
  <c r="I474" i="2"/>
  <c r="F474" i="2"/>
  <c r="AE474" i="2"/>
  <c r="P474" i="2"/>
  <c r="Q474" i="2"/>
  <c r="W475" i="2"/>
  <c r="X478" i="2"/>
  <c r="AF480" i="2"/>
  <c r="AG482" i="2"/>
  <c r="R488" i="2"/>
  <c r="X490" i="2"/>
  <c r="G500" i="2"/>
  <c r="H506" i="2"/>
  <c r="J510" i="2"/>
  <c r="K514" i="2"/>
  <c r="I520" i="2"/>
  <c r="AE520" i="2"/>
  <c r="F520" i="2"/>
  <c r="Q520" i="2"/>
  <c r="P520" i="2"/>
  <c r="AG523" i="2"/>
  <c r="I523" i="2"/>
  <c r="F523" i="2"/>
  <c r="AE523" i="2"/>
  <c r="Q523" i="2"/>
  <c r="P523" i="2"/>
  <c r="J524" i="2"/>
  <c r="I526" i="2"/>
  <c r="F526" i="2"/>
  <c r="AE526" i="2"/>
  <c r="Q526" i="2"/>
  <c r="P526" i="2"/>
  <c r="I528" i="2"/>
  <c r="F528" i="2"/>
  <c r="AE528" i="2"/>
  <c r="Q528" i="2"/>
  <c r="P528" i="2"/>
  <c r="T534" i="2"/>
  <c r="AC538" i="2"/>
  <c r="S542" i="2"/>
  <c r="AG544" i="2"/>
  <c r="C550" i="2"/>
  <c r="W552" i="2"/>
  <c r="I552" i="2"/>
  <c r="F552" i="2"/>
  <c r="AE552" i="2"/>
  <c r="Q552" i="2"/>
  <c r="P552" i="2"/>
  <c r="T555" i="2"/>
  <c r="I555" i="2"/>
  <c r="F555" i="2"/>
  <c r="AE555" i="2"/>
  <c r="Q555" i="2"/>
  <c r="P555" i="2"/>
  <c r="T556" i="2"/>
  <c r="J562" i="2"/>
  <c r="H563" i="2"/>
  <c r="G564" i="2"/>
  <c r="AF566" i="2"/>
  <c r="I575" i="2"/>
  <c r="F575" i="2"/>
  <c r="AE575" i="2"/>
  <c r="Q575" i="2"/>
  <c r="P575" i="2"/>
  <c r="AF575" i="2"/>
  <c r="J575" i="2"/>
  <c r="H575" i="2"/>
  <c r="J576" i="2"/>
  <c r="I579" i="2"/>
  <c r="F579" i="2"/>
  <c r="AE579" i="2"/>
  <c r="Q579" i="2"/>
  <c r="P579" i="2"/>
  <c r="AG580" i="2"/>
  <c r="I593" i="2"/>
  <c r="F593" i="2"/>
  <c r="AE593" i="2"/>
  <c r="Q593" i="2"/>
  <c r="P593" i="2"/>
  <c r="AG593" i="2"/>
  <c r="AH596" i="2"/>
  <c r="I599" i="2"/>
  <c r="F599" i="2"/>
  <c r="AE599" i="2"/>
  <c r="Q599" i="2"/>
  <c r="P599" i="2"/>
  <c r="R602" i="2"/>
  <c r="S606" i="2"/>
  <c r="AC616" i="2"/>
  <c r="W630" i="2"/>
  <c r="AF643" i="2"/>
  <c r="I643" i="2"/>
  <c r="F643" i="2"/>
  <c r="AE643" i="2"/>
  <c r="Q643" i="2"/>
  <c r="P643" i="2"/>
  <c r="K643" i="2"/>
  <c r="J643" i="2"/>
  <c r="H643" i="2"/>
  <c r="AK643" i="2"/>
  <c r="C643" i="2"/>
  <c r="AD643" i="2"/>
  <c r="AB643" i="2"/>
  <c r="Z643" i="2"/>
  <c r="I781" i="2"/>
  <c r="F781" i="2"/>
  <c r="AE781" i="2"/>
  <c r="Q781" i="2"/>
  <c r="P781" i="2"/>
  <c r="J360" i="2"/>
  <c r="S367" i="2"/>
  <c r="G369" i="2"/>
  <c r="AG370" i="2"/>
  <c r="T372" i="2"/>
  <c r="G376" i="2"/>
  <c r="I378" i="2"/>
  <c r="F378" i="2"/>
  <c r="AE378" i="2"/>
  <c r="P378" i="2"/>
  <c r="Q378" i="2"/>
  <c r="R379" i="2"/>
  <c r="H381" i="2"/>
  <c r="W383" i="2"/>
  <c r="I390" i="2"/>
  <c r="F390" i="2"/>
  <c r="AE390" i="2"/>
  <c r="P390" i="2"/>
  <c r="Q390" i="2"/>
  <c r="T391" i="2"/>
  <c r="AD393" i="2"/>
  <c r="S395" i="2"/>
  <c r="Z396" i="2"/>
  <c r="AF400" i="2"/>
  <c r="V403" i="2"/>
  <c r="T409" i="2"/>
  <c r="J410" i="2"/>
  <c r="AG415" i="2"/>
  <c r="I415" i="2"/>
  <c r="F415" i="2"/>
  <c r="AE415" i="2"/>
  <c r="Q415" i="2"/>
  <c r="P415" i="2"/>
  <c r="X416" i="2"/>
  <c r="AD421" i="2"/>
  <c r="AF426" i="2"/>
  <c r="I430" i="2"/>
  <c r="F430" i="2"/>
  <c r="AE430" i="2"/>
  <c r="Q430" i="2"/>
  <c r="P430" i="2"/>
  <c r="I464" i="2"/>
  <c r="F464" i="2"/>
  <c r="AE464" i="2"/>
  <c r="Q464" i="2"/>
  <c r="P464" i="2"/>
  <c r="AF469" i="2"/>
  <c r="I469" i="2"/>
  <c r="F469" i="2"/>
  <c r="AE469" i="2"/>
  <c r="Q469" i="2"/>
  <c r="P469" i="2"/>
  <c r="AC475" i="2"/>
  <c r="I481" i="2"/>
  <c r="F481" i="2"/>
  <c r="AE481" i="2"/>
  <c r="Q481" i="2"/>
  <c r="P481" i="2"/>
  <c r="S488" i="2"/>
  <c r="D489" i="2"/>
  <c r="Z490" i="2"/>
  <c r="R494" i="2"/>
  <c r="I494" i="2"/>
  <c r="F494" i="2"/>
  <c r="AE494" i="2"/>
  <c r="Q494" i="2"/>
  <c r="P494" i="2"/>
  <c r="T518" i="2"/>
  <c r="I518" i="2"/>
  <c r="F518" i="2"/>
  <c r="AE518" i="2"/>
  <c r="Q518" i="2"/>
  <c r="P518" i="2"/>
  <c r="AD538" i="2"/>
  <c r="I560" i="2"/>
  <c r="F560" i="2"/>
  <c r="AE560" i="2"/>
  <c r="Q560" i="2"/>
  <c r="P560" i="2"/>
  <c r="U562" i="2"/>
  <c r="J563" i="2"/>
  <c r="H564" i="2"/>
  <c r="AD567" i="2"/>
  <c r="I567" i="2"/>
  <c r="F567" i="2"/>
  <c r="AE567" i="2"/>
  <c r="Q567" i="2"/>
  <c r="P567" i="2"/>
  <c r="K576" i="2"/>
  <c r="I578" i="2"/>
  <c r="F578" i="2"/>
  <c r="AE578" i="2"/>
  <c r="Q578" i="2"/>
  <c r="P578" i="2"/>
  <c r="AK578" i="2"/>
  <c r="Y578" i="2"/>
  <c r="U578" i="2"/>
  <c r="C595" i="2"/>
  <c r="AD616" i="2"/>
  <c r="I618" i="2"/>
  <c r="F618" i="2"/>
  <c r="AE618" i="2"/>
  <c r="Q618" i="2"/>
  <c r="P618" i="2"/>
  <c r="G627" i="2"/>
  <c r="I629" i="2"/>
  <c r="F629" i="2"/>
  <c r="AE629" i="2"/>
  <c r="Q629" i="2"/>
  <c r="P629" i="2"/>
  <c r="Z630" i="2"/>
  <c r="K637" i="2"/>
  <c r="AG640" i="2"/>
  <c r="I647" i="2"/>
  <c r="F647" i="2"/>
  <c r="AE647" i="2"/>
  <c r="Q647" i="2"/>
  <c r="P647" i="2"/>
  <c r="Y647" i="2"/>
  <c r="AC649" i="2"/>
  <c r="AF664" i="2"/>
  <c r="I664" i="2"/>
  <c r="F664" i="2"/>
  <c r="AE664" i="2"/>
  <c r="Q664" i="2"/>
  <c r="P664" i="2"/>
  <c r="K664" i="2"/>
  <c r="H664" i="2"/>
  <c r="G664" i="2"/>
  <c r="D664" i="2"/>
  <c r="AH664" i="2"/>
  <c r="Y664" i="2"/>
  <c r="X664" i="2"/>
  <c r="U664" i="2"/>
  <c r="I668" i="2"/>
  <c r="F668" i="2"/>
  <c r="AE668" i="2"/>
  <c r="Q668" i="2"/>
  <c r="P668" i="2"/>
  <c r="W668" i="2"/>
  <c r="V668" i="2"/>
  <c r="T668" i="2"/>
  <c r="J668" i="2"/>
  <c r="H668" i="2"/>
  <c r="G668" i="2"/>
  <c r="AK668" i="2"/>
  <c r="C668" i="2"/>
  <c r="AH668" i="2"/>
  <c r="J677" i="2"/>
  <c r="W684" i="2"/>
  <c r="I694" i="2"/>
  <c r="F694" i="2"/>
  <c r="AE694" i="2"/>
  <c r="Q694" i="2"/>
  <c r="P694" i="2"/>
  <c r="R360" i="2"/>
  <c r="U367" i="2"/>
  <c r="K369" i="2"/>
  <c r="H370" i="2"/>
  <c r="I371" i="2"/>
  <c r="F371" i="2"/>
  <c r="AE371" i="2"/>
  <c r="Q371" i="2"/>
  <c r="P371" i="2"/>
  <c r="W372" i="2"/>
  <c r="R376" i="2"/>
  <c r="AD379" i="2"/>
  <c r="AF381" i="2"/>
  <c r="Z384" i="2"/>
  <c r="I384" i="2"/>
  <c r="F384" i="2"/>
  <c r="AE384" i="2"/>
  <c r="Q384" i="2"/>
  <c r="P384" i="2"/>
  <c r="I385" i="2"/>
  <c r="F385" i="2"/>
  <c r="AE385" i="2"/>
  <c r="Q385" i="2"/>
  <c r="P385" i="2"/>
  <c r="U391" i="2"/>
  <c r="AF393" i="2"/>
  <c r="X395" i="2"/>
  <c r="AB396" i="2"/>
  <c r="AG400" i="2"/>
  <c r="AF403" i="2"/>
  <c r="I408" i="2"/>
  <c r="F408" i="2"/>
  <c r="AE408" i="2"/>
  <c r="Q408" i="2"/>
  <c r="P408" i="2"/>
  <c r="U409" i="2"/>
  <c r="V410" i="2"/>
  <c r="I413" i="2"/>
  <c r="F413" i="2"/>
  <c r="AE413" i="2"/>
  <c r="Q413" i="2"/>
  <c r="P413" i="2"/>
  <c r="AK416" i="2"/>
  <c r="AB420" i="2"/>
  <c r="I420" i="2"/>
  <c r="F420" i="2"/>
  <c r="AE420" i="2"/>
  <c r="Q420" i="2"/>
  <c r="P420" i="2"/>
  <c r="AG421" i="2"/>
  <c r="S424" i="2"/>
  <c r="AG425" i="2"/>
  <c r="AG427" i="2"/>
  <c r="I427" i="2"/>
  <c r="F427" i="2"/>
  <c r="AE427" i="2"/>
  <c r="Q427" i="2"/>
  <c r="P427" i="2"/>
  <c r="AB427" i="2"/>
  <c r="I437" i="2"/>
  <c r="F437" i="2"/>
  <c r="AE437" i="2"/>
  <c r="Q437" i="2"/>
  <c r="P437" i="2"/>
  <c r="R446" i="2"/>
  <c r="I446" i="2"/>
  <c r="F446" i="2"/>
  <c r="AE446" i="2"/>
  <c r="Q446" i="2"/>
  <c r="P446" i="2"/>
  <c r="I447" i="2"/>
  <c r="F447" i="2"/>
  <c r="AE447" i="2"/>
  <c r="Q447" i="2"/>
  <c r="P447" i="2"/>
  <c r="AF447" i="2"/>
  <c r="I459" i="2"/>
  <c r="F459" i="2"/>
  <c r="AE459" i="2"/>
  <c r="Q459" i="2"/>
  <c r="P459" i="2"/>
  <c r="AF460" i="2"/>
  <c r="Y462" i="2"/>
  <c r="Z466" i="2"/>
  <c r="AF475" i="2"/>
  <c r="I477" i="2"/>
  <c r="AE477" i="2"/>
  <c r="F477" i="2"/>
  <c r="Q477" i="2"/>
  <c r="P477" i="2"/>
  <c r="AK478" i="2"/>
  <c r="I483" i="2"/>
  <c r="F483" i="2"/>
  <c r="Q483" i="2"/>
  <c r="AE483" i="2"/>
  <c r="P483" i="2"/>
  <c r="U500" i="2"/>
  <c r="S502" i="2"/>
  <c r="AB506" i="2"/>
  <c r="W508" i="2"/>
  <c r="W511" i="2"/>
  <c r="I511" i="2"/>
  <c r="F511" i="2"/>
  <c r="AE511" i="2"/>
  <c r="Q511" i="2"/>
  <c r="P511" i="2"/>
  <c r="I513" i="2"/>
  <c r="F513" i="2"/>
  <c r="AE513" i="2"/>
  <c r="Q513" i="2"/>
  <c r="P513" i="2"/>
  <c r="AB514" i="2"/>
  <c r="AF524" i="2"/>
  <c r="G530" i="2"/>
  <c r="AG532" i="2"/>
  <c r="Z537" i="2"/>
  <c r="AG538" i="2"/>
  <c r="T543" i="2"/>
  <c r="I543" i="2"/>
  <c r="F543" i="2"/>
  <c r="AE543" i="2"/>
  <c r="Q543" i="2"/>
  <c r="P543" i="2"/>
  <c r="AK543" i="2"/>
  <c r="I545" i="2"/>
  <c r="F545" i="2"/>
  <c r="AE545" i="2"/>
  <c r="Q545" i="2"/>
  <c r="P545" i="2"/>
  <c r="I548" i="2"/>
  <c r="F548" i="2"/>
  <c r="AE548" i="2"/>
  <c r="Q548" i="2"/>
  <c r="P548" i="2"/>
  <c r="V556" i="2"/>
  <c r="X562" i="2"/>
  <c r="T563" i="2"/>
  <c r="K564" i="2"/>
  <c r="W570" i="2"/>
  <c r="I574" i="2"/>
  <c r="F574" i="2"/>
  <c r="AE574" i="2"/>
  <c r="Q574" i="2"/>
  <c r="P574" i="2"/>
  <c r="AG574" i="2"/>
  <c r="X574" i="2"/>
  <c r="R574" i="2"/>
  <c r="S577" i="2"/>
  <c r="I577" i="2"/>
  <c r="F577" i="2"/>
  <c r="AE577" i="2"/>
  <c r="Q577" i="2"/>
  <c r="G577" i="2"/>
  <c r="P577" i="2"/>
  <c r="AG577" i="2"/>
  <c r="AF577" i="2"/>
  <c r="U581" i="2"/>
  <c r="I581" i="2"/>
  <c r="F581" i="2"/>
  <c r="AE581" i="2"/>
  <c r="Q581" i="2"/>
  <c r="P581" i="2"/>
  <c r="J581" i="2"/>
  <c r="H583" i="2"/>
  <c r="I586" i="2"/>
  <c r="F586" i="2"/>
  <c r="AE586" i="2"/>
  <c r="Q586" i="2"/>
  <c r="P586" i="2"/>
  <c r="I589" i="2"/>
  <c r="F589" i="2"/>
  <c r="AE589" i="2"/>
  <c r="Q589" i="2"/>
  <c r="P589" i="2"/>
  <c r="H591" i="2"/>
  <c r="D595" i="2"/>
  <c r="I605" i="2"/>
  <c r="F605" i="2"/>
  <c r="AE605" i="2"/>
  <c r="Q605" i="2"/>
  <c r="P605" i="2"/>
  <c r="AD605" i="2"/>
  <c r="V605" i="2"/>
  <c r="V608" i="2"/>
  <c r="T615" i="2"/>
  <c r="R625" i="2"/>
  <c r="AB630" i="2"/>
  <c r="I641" i="2"/>
  <c r="F641" i="2"/>
  <c r="AE641" i="2"/>
  <c r="Q641" i="2"/>
  <c r="P641" i="2"/>
  <c r="Z641" i="2"/>
  <c r="I650" i="2"/>
  <c r="F650" i="2"/>
  <c r="AE650" i="2"/>
  <c r="Q650" i="2"/>
  <c r="P650" i="2"/>
  <c r="AC650" i="2"/>
  <c r="I658" i="2"/>
  <c r="F658" i="2"/>
  <c r="AE658" i="2"/>
  <c r="Q658" i="2"/>
  <c r="P658" i="2"/>
  <c r="G687" i="2"/>
  <c r="AC726" i="2"/>
  <c r="I726" i="2"/>
  <c r="F726" i="2"/>
  <c r="AE726" i="2"/>
  <c r="Q726" i="2"/>
  <c r="P726" i="2"/>
  <c r="AH726" i="2"/>
  <c r="AG726" i="2"/>
  <c r="AF726" i="2"/>
  <c r="U726" i="2"/>
  <c r="T726" i="2"/>
  <c r="S726" i="2"/>
  <c r="D726" i="2"/>
  <c r="C726" i="2"/>
  <c r="I773" i="2"/>
  <c r="F773" i="2"/>
  <c r="AE773" i="2"/>
  <c r="Q773" i="2"/>
  <c r="P773" i="2"/>
  <c r="Z773" i="2"/>
  <c r="I821" i="2"/>
  <c r="F821" i="2"/>
  <c r="AE821" i="2"/>
  <c r="Q821" i="2"/>
  <c r="P821" i="2"/>
  <c r="AF821" i="2"/>
  <c r="I467" i="2"/>
  <c r="F467" i="2"/>
  <c r="AE467" i="2"/>
  <c r="Q467" i="2"/>
  <c r="P467" i="2"/>
  <c r="AK472" i="2"/>
  <c r="I472" i="2"/>
  <c r="AE472" i="2"/>
  <c r="F472" i="2"/>
  <c r="P472" i="2"/>
  <c r="Q472" i="2"/>
  <c r="I479" i="2"/>
  <c r="F479" i="2"/>
  <c r="AE479" i="2"/>
  <c r="Q479" i="2"/>
  <c r="P479" i="2"/>
  <c r="I485" i="2"/>
  <c r="F485" i="2"/>
  <c r="AE485" i="2"/>
  <c r="Q485" i="2"/>
  <c r="P485" i="2"/>
  <c r="AC488" i="2"/>
  <c r="I488" i="2"/>
  <c r="F488" i="2"/>
  <c r="AE488" i="2"/>
  <c r="Q488" i="2"/>
  <c r="P488" i="2"/>
  <c r="U488" i="2"/>
  <c r="AF490" i="2"/>
  <c r="I490" i="2"/>
  <c r="F490" i="2"/>
  <c r="AE490" i="2"/>
  <c r="Q490" i="2"/>
  <c r="P490" i="2"/>
  <c r="AC490" i="2"/>
  <c r="W496" i="2"/>
  <c r="I496" i="2"/>
  <c r="AE496" i="2"/>
  <c r="F496" i="2"/>
  <c r="Q496" i="2"/>
  <c r="P496" i="2"/>
  <c r="I499" i="2"/>
  <c r="F499" i="2"/>
  <c r="AE499" i="2"/>
  <c r="Q499" i="2"/>
  <c r="P499" i="2"/>
  <c r="T505" i="2"/>
  <c r="I505" i="2"/>
  <c r="F505" i="2"/>
  <c r="AE505" i="2"/>
  <c r="Q505" i="2"/>
  <c r="P505" i="2"/>
  <c r="AC527" i="2"/>
  <c r="I527" i="2"/>
  <c r="F527" i="2"/>
  <c r="AE527" i="2"/>
  <c r="Q527" i="2"/>
  <c r="P527" i="2"/>
  <c r="I533" i="2"/>
  <c r="F533" i="2"/>
  <c r="AE533" i="2"/>
  <c r="Q533" i="2"/>
  <c r="P533" i="2"/>
  <c r="I535" i="2"/>
  <c r="F535" i="2"/>
  <c r="AE535" i="2"/>
  <c r="Q535" i="2"/>
  <c r="P535" i="2"/>
  <c r="AD539" i="2"/>
  <c r="I539" i="2"/>
  <c r="F539" i="2"/>
  <c r="AE539" i="2"/>
  <c r="Q539" i="2"/>
  <c r="P539" i="2"/>
  <c r="I544" i="2"/>
  <c r="F544" i="2"/>
  <c r="AE544" i="2"/>
  <c r="Q544" i="2"/>
  <c r="P544" i="2"/>
  <c r="I557" i="2"/>
  <c r="F557" i="2"/>
  <c r="AE557" i="2"/>
  <c r="Q557" i="2"/>
  <c r="P557" i="2"/>
  <c r="R580" i="2"/>
  <c r="AE580" i="2"/>
  <c r="I580" i="2"/>
  <c r="F580" i="2"/>
  <c r="Q580" i="2"/>
  <c r="P580" i="2"/>
  <c r="AC580" i="2"/>
  <c r="G580" i="2"/>
  <c r="I600" i="2"/>
  <c r="F600" i="2"/>
  <c r="AE600" i="2"/>
  <c r="Q600" i="2"/>
  <c r="P600" i="2"/>
  <c r="I616" i="2"/>
  <c r="AE616" i="2"/>
  <c r="F616" i="2"/>
  <c r="Q616" i="2"/>
  <c r="P616" i="2"/>
  <c r="Z616" i="2"/>
  <c r="K616" i="2"/>
  <c r="H616" i="2"/>
  <c r="I617" i="2"/>
  <c r="F617" i="2"/>
  <c r="AE617" i="2"/>
  <c r="Q617" i="2"/>
  <c r="P617" i="2"/>
  <c r="R617" i="2"/>
  <c r="D617" i="2"/>
  <c r="C617" i="2"/>
  <c r="I636" i="2"/>
  <c r="F636" i="2"/>
  <c r="AE636" i="2"/>
  <c r="Q636" i="2"/>
  <c r="P636" i="2"/>
  <c r="W639" i="2"/>
  <c r="I639" i="2"/>
  <c r="F639" i="2"/>
  <c r="AE639" i="2"/>
  <c r="Q639" i="2"/>
  <c r="P639" i="2"/>
  <c r="AF639" i="2"/>
  <c r="AD639" i="2"/>
  <c r="AB639" i="2"/>
  <c r="R639" i="2"/>
  <c r="K639" i="2"/>
  <c r="X675" i="2"/>
  <c r="I675" i="2"/>
  <c r="F675" i="2"/>
  <c r="AE675" i="2"/>
  <c r="Q675" i="2"/>
  <c r="P675" i="2"/>
  <c r="AG675" i="2"/>
  <c r="AF675" i="2"/>
  <c r="V675" i="2"/>
  <c r="J675" i="2"/>
  <c r="W677" i="2"/>
  <c r="H687" i="2"/>
  <c r="I817" i="2"/>
  <c r="F817" i="2"/>
  <c r="AE817" i="2"/>
  <c r="Q817" i="2"/>
  <c r="P817" i="2"/>
  <c r="S863" i="2"/>
  <c r="I863" i="2"/>
  <c r="F863" i="2"/>
  <c r="AE863" i="2"/>
  <c r="Q863" i="2"/>
  <c r="P863" i="2"/>
  <c r="AH863" i="2"/>
  <c r="AG863" i="2"/>
  <c r="AC863" i="2"/>
  <c r="T863" i="2"/>
  <c r="K863" i="2"/>
  <c r="H863" i="2"/>
  <c r="G863" i="2"/>
  <c r="C863" i="2"/>
  <c r="Y869" i="2"/>
  <c r="I869" i="2"/>
  <c r="F869" i="2"/>
  <c r="AE869" i="2"/>
  <c r="Q869" i="2"/>
  <c r="P869" i="2"/>
  <c r="T869" i="2"/>
  <c r="K869" i="2"/>
  <c r="J869" i="2"/>
  <c r="H869" i="2"/>
  <c r="G869" i="2"/>
  <c r="I879" i="2"/>
  <c r="F879" i="2"/>
  <c r="AE879" i="2"/>
  <c r="P879" i="2"/>
  <c r="Q879" i="2"/>
  <c r="I891" i="2"/>
  <c r="F891" i="2"/>
  <c r="AE891" i="2"/>
  <c r="Q891" i="2"/>
  <c r="P891" i="2"/>
  <c r="N901" i="2"/>
  <c r="I901" i="2"/>
  <c r="F901" i="2"/>
  <c r="AE901" i="2"/>
  <c r="Q901" i="2"/>
  <c r="W901" i="2"/>
  <c r="I903" i="2"/>
  <c r="F903" i="2"/>
  <c r="AE903" i="2"/>
  <c r="P903" i="2"/>
  <c r="Q903" i="2"/>
  <c r="I906" i="2"/>
  <c r="F906" i="2"/>
  <c r="AE906" i="2"/>
  <c r="Q906" i="2"/>
  <c r="P906" i="2"/>
  <c r="R912" i="2"/>
  <c r="I912" i="2"/>
  <c r="F912" i="2"/>
  <c r="AE912" i="2"/>
  <c r="Q912" i="2"/>
  <c r="P912" i="2"/>
  <c r="F918" i="2"/>
  <c r="I918" i="2"/>
  <c r="AE918" i="2"/>
  <c r="Q918" i="2"/>
  <c r="P918" i="2"/>
  <c r="I921" i="2"/>
  <c r="F921" i="2"/>
  <c r="AE921" i="2"/>
  <c r="Q921" i="2"/>
  <c r="V929" i="2"/>
  <c r="I929" i="2"/>
  <c r="F929" i="2"/>
  <c r="AE929" i="2"/>
  <c r="P929" i="2"/>
  <c r="Q929" i="2"/>
  <c r="N949" i="2"/>
  <c r="I949" i="2"/>
  <c r="F949" i="2"/>
  <c r="AE949" i="2"/>
  <c r="Q949" i="2"/>
  <c r="S949" i="2"/>
  <c r="V703" i="2"/>
  <c r="AB710" i="2"/>
  <c r="I710" i="2"/>
  <c r="F710" i="2"/>
  <c r="AE710" i="2"/>
  <c r="Q710" i="2"/>
  <c r="P710" i="2"/>
  <c r="U712" i="2"/>
  <c r="C721" i="2"/>
  <c r="R729" i="2"/>
  <c r="I731" i="2"/>
  <c r="F731" i="2"/>
  <c r="AE731" i="2"/>
  <c r="Q731" i="2"/>
  <c r="P731" i="2"/>
  <c r="C733" i="2"/>
  <c r="I735" i="2"/>
  <c r="F735" i="2"/>
  <c r="AE735" i="2"/>
  <c r="Q735" i="2"/>
  <c r="P735" i="2"/>
  <c r="I740" i="2"/>
  <c r="F740" i="2"/>
  <c r="AE740" i="2"/>
  <c r="Q740" i="2"/>
  <c r="P740" i="2"/>
  <c r="U742" i="2"/>
  <c r="K743" i="2"/>
  <c r="W757" i="2"/>
  <c r="I759" i="2"/>
  <c r="F759" i="2"/>
  <c r="AE759" i="2"/>
  <c r="Q759" i="2"/>
  <c r="P759" i="2"/>
  <c r="AC762" i="2"/>
  <c r="I762" i="2"/>
  <c r="F762" i="2"/>
  <c r="AE762" i="2"/>
  <c r="Q762" i="2"/>
  <c r="P762" i="2"/>
  <c r="I763" i="2"/>
  <c r="F763" i="2"/>
  <c r="AE763" i="2"/>
  <c r="Q763" i="2"/>
  <c r="P763" i="2"/>
  <c r="J765" i="2"/>
  <c r="U767" i="2"/>
  <c r="I767" i="2"/>
  <c r="F767" i="2"/>
  <c r="AE767" i="2"/>
  <c r="Q767" i="2"/>
  <c r="P767" i="2"/>
  <c r="T787" i="2"/>
  <c r="I787" i="2"/>
  <c r="F787" i="2"/>
  <c r="AE787" i="2"/>
  <c r="P787" i="2"/>
  <c r="Q787" i="2"/>
  <c r="H788" i="2"/>
  <c r="D795" i="2"/>
  <c r="X795" i="2"/>
  <c r="AC807" i="2"/>
  <c r="I810" i="2"/>
  <c r="F810" i="2"/>
  <c r="AE810" i="2"/>
  <c r="Q810" i="2"/>
  <c r="P810" i="2"/>
  <c r="K825" i="2"/>
  <c r="AF831" i="2"/>
  <c r="I831" i="2"/>
  <c r="F831" i="2"/>
  <c r="AE831" i="2"/>
  <c r="Q831" i="2"/>
  <c r="P831" i="2"/>
  <c r="AB832" i="2"/>
  <c r="D840" i="2"/>
  <c r="AF840" i="2"/>
  <c r="R843" i="2"/>
  <c r="K849" i="2"/>
  <c r="I854" i="2"/>
  <c r="F854" i="2"/>
  <c r="AE854" i="2"/>
  <c r="Q854" i="2"/>
  <c r="P854" i="2"/>
  <c r="AH854" i="2"/>
  <c r="K856" i="2"/>
  <c r="AH856" i="2"/>
  <c r="H860" i="2"/>
  <c r="AK860" i="2"/>
  <c r="G870" i="2"/>
  <c r="AB870" i="2"/>
  <c r="R873" i="2"/>
  <c r="I875" i="2"/>
  <c r="F875" i="2"/>
  <c r="AE875" i="2"/>
  <c r="Q875" i="2"/>
  <c r="P875" i="2"/>
  <c r="J876" i="2"/>
  <c r="V877" i="2"/>
  <c r="I882" i="2"/>
  <c r="F882" i="2"/>
  <c r="AE882" i="2"/>
  <c r="Q882" i="2"/>
  <c r="P882" i="2"/>
  <c r="U882" i="2"/>
  <c r="J885" i="2"/>
  <c r="S886" i="2"/>
  <c r="W888" i="2"/>
  <c r="I888" i="2"/>
  <c r="F888" i="2"/>
  <c r="AE888" i="2"/>
  <c r="Q888" i="2"/>
  <c r="P888" i="2"/>
  <c r="I890" i="2"/>
  <c r="F890" i="2"/>
  <c r="AE890" i="2"/>
  <c r="Q890" i="2"/>
  <c r="P890" i="2"/>
  <c r="H896" i="2"/>
  <c r="H897" i="2"/>
  <c r="AG897" i="2"/>
  <c r="I900" i="2"/>
  <c r="F900" i="2"/>
  <c r="AE900" i="2"/>
  <c r="Q900" i="2"/>
  <c r="P900" i="2"/>
  <c r="Y901" i="2"/>
  <c r="I908" i="2"/>
  <c r="F908" i="2"/>
  <c r="AE908" i="2"/>
  <c r="Q908" i="2"/>
  <c r="P908" i="2"/>
  <c r="AC913" i="2"/>
  <c r="V916" i="2"/>
  <c r="I916" i="2"/>
  <c r="F916" i="2"/>
  <c r="AE916" i="2"/>
  <c r="AF922" i="2"/>
  <c r="I925" i="2"/>
  <c r="F925" i="2"/>
  <c r="AE925" i="2"/>
  <c r="Q925" i="2"/>
  <c r="G958" i="2"/>
  <c r="W959" i="2"/>
  <c r="R961" i="2"/>
  <c r="P922" i="2"/>
  <c r="P885" i="2"/>
  <c r="Q916" i="2"/>
  <c r="I693" i="2"/>
  <c r="F693" i="2"/>
  <c r="AE693" i="2"/>
  <c r="Q693" i="2"/>
  <c r="P693" i="2"/>
  <c r="I696" i="2"/>
  <c r="F696" i="2"/>
  <c r="AE696" i="2"/>
  <c r="Q696" i="2"/>
  <c r="P696" i="2"/>
  <c r="AD696" i="2"/>
  <c r="I717" i="2"/>
  <c r="F717" i="2"/>
  <c r="AE717" i="2"/>
  <c r="Q717" i="2"/>
  <c r="P717" i="2"/>
  <c r="I738" i="2"/>
  <c r="F738" i="2"/>
  <c r="AE738" i="2"/>
  <c r="Q738" i="2"/>
  <c r="P738" i="2"/>
  <c r="I770" i="2"/>
  <c r="F770" i="2"/>
  <c r="AE770" i="2"/>
  <c r="Q770" i="2"/>
  <c r="P770" i="2"/>
  <c r="I779" i="2"/>
  <c r="F779" i="2"/>
  <c r="AE779" i="2"/>
  <c r="Q779" i="2"/>
  <c r="P779" i="2"/>
  <c r="I793" i="2"/>
  <c r="F793" i="2"/>
  <c r="AE793" i="2"/>
  <c r="Q793" i="2"/>
  <c r="I806" i="2"/>
  <c r="F806" i="2"/>
  <c r="AE806" i="2"/>
  <c r="Q806" i="2"/>
  <c r="P806" i="2"/>
  <c r="I837" i="2"/>
  <c r="F837" i="2"/>
  <c r="AE837" i="2"/>
  <c r="Q837" i="2"/>
  <c r="P837" i="2"/>
  <c r="AH837" i="2"/>
  <c r="I847" i="2"/>
  <c r="F847" i="2"/>
  <c r="AE847" i="2"/>
  <c r="P847" i="2"/>
  <c r="Q847" i="2"/>
  <c r="AG847" i="2"/>
  <c r="I852" i="2"/>
  <c r="F852" i="2"/>
  <c r="AE852" i="2"/>
  <c r="Q852" i="2"/>
  <c r="P852" i="2"/>
  <c r="I855" i="2"/>
  <c r="AE855" i="2"/>
  <c r="F855" i="2"/>
  <c r="P855" i="2"/>
  <c r="Q855" i="2"/>
  <c r="I857" i="2"/>
  <c r="F857" i="2"/>
  <c r="AE857" i="2"/>
  <c r="Q857" i="2"/>
  <c r="P857" i="2"/>
  <c r="I861" i="2"/>
  <c r="F861" i="2"/>
  <c r="AE861" i="2"/>
  <c r="Q861" i="2"/>
  <c r="P861" i="2"/>
  <c r="I872" i="2"/>
  <c r="F872" i="2"/>
  <c r="AE872" i="2"/>
  <c r="Q872" i="2"/>
  <c r="P872" i="2"/>
  <c r="I884" i="2"/>
  <c r="F884" i="2"/>
  <c r="Q884" i="2"/>
  <c r="AE884" i="2"/>
  <c r="P884" i="2"/>
  <c r="C901" i="2"/>
  <c r="Z901" i="2"/>
  <c r="I910" i="2"/>
  <c r="F910" i="2"/>
  <c r="AE910" i="2"/>
  <c r="Q910" i="2"/>
  <c r="C921" i="2"/>
  <c r="H926" i="2"/>
  <c r="D929" i="2"/>
  <c r="AG937" i="2"/>
  <c r="I937" i="2"/>
  <c r="F937" i="2"/>
  <c r="AE937" i="2"/>
  <c r="Q937" i="2"/>
  <c r="J937" i="2"/>
  <c r="D937" i="2"/>
  <c r="AF937" i="2"/>
  <c r="I955" i="2"/>
  <c r="F955" i="2"/>
  <c r="AE955" i="2"/>
  <c r="X955" i="2"/>
  <c r="P955" i="2"/>
  <c r="K955" i="2"/>
  <c r="Q955" i="2"/>
  <c r="I962" i="2"/>
  <c r="F962" i="2"/>
  <c r="AE962" i="2"/>
  <c r="Q962" i="2"/>
  <c r="P962" i="2"/>
  <c r="I968" i="2"/>
  <c r="F968" i="2"/>
  <c r="AE968" i="2"/>
  <c r="Q968" i="2"/>
  <c r="AB968" i="2"/>
  <c r="P968" i="2"/>
  <c r="I977" i="2"/>
  <c r="F977" i="2"/>
  <c r="AE977" i="2"/>
  <c r="P977" i="2"/>
  <c r="Q977" i="2"/>
  <c r="P921" i="2"/>
  <c r="Q886" i="2"/>
  <c r="AK659" i="2"/>
  <c r="I659" i="2"/>
  <c r="F659" i="2"/>
  <c r="AE659" i="2"/>
  <c r="Q659" i="2"/>
  <c r="P659" i="2"/>
  <c r="I672" i="2"/>
  <c r="AE672" i="2"/>
  <c r="F672" i="2"/>
  <c r="Q672" i="2"/>
  <c r="P672" i="2"/>
  <c r="AF696" i="2"/>
  <c r="AH699" i="2"/>
  <c r="I699" i="2"/>
  <c r="F699" i="2"/>
  <c r="AE699" i="2"/>
  <c r="Q699" i="2"/>
  <c r="P699" i="2"/>
  <c r="AD699" i="2"/>
  <c r="AG754" i="2"/>
  <c r="I754" i="2"/>
  <c r="F754" i="2"/>
  <c r="AE754" i="2"/>
  <c r="Q754" i="2"/>
  <c r="P754" i="2"/>
  <c r="AG757" i="2"/>
  <c r="I782" i="2"/>
  <c r="F782" i="2"/>
  <c r="AE782" i="2"/>
  <c r="Q782" i="2"/>
  <c r="P782" i="2"/>
  <c r="I785" i="2"/>
  <c r="F785" i="2"/>
  <c r="AE785" i="2"/>
  <c r="Q785" i="2"/>
  <c r="P785" i="2"/>
  <c r="I803" i="2"/>
  <c r="F803" i="2"/>
  <c r="AE803" i="2"/>
  <c r="Q803" i="2"/>
  <c r="P803" i="2"/>
  <c r="I818" i="2"/>
  <c r="F818" i="2"/>
  <c r="AE818" i="2"/>
  <c r="Q818" i="2"/>
  <c r="P818" i="2"/>
  <c r="I824" i="2"/>
  <c r="F824" i="2"/>
  <c r="AE824" i="2"/>
  <c r="Q824" i="2"/>
  <c r="P824" i="2"/>
  <c r="AK827" i="2"/>
  <c r="I827" i="2"/>
  <c r="F827" i="2"/>
  <c r="AE827" i="2"/>
  <c r="Q827" i="2"/>
  <c r="P827" i="2"/>
  <c r="AK834" i="2"/>
  <c r="I834" i="2"/>
  <c r="F834" i="2"/>
  <c r="AE834" i="2"/>
  <c r="Q834" i="2"/>
  <c r="P834" i="2"/>
  <c r="AH834" i="2"/>
  <c r="AK837" i="2"/>
  <c r="AK847" i="2"/>
  <c r="I867" i="2"/>
  <c r="F867" i="2"/>
  <c r="AE867" i="2"/>
  <c r="P867" i="2"/>
  <c r="Q867" i="2"/>
  <c r="I880" i="2"/>
  <c r="F880" i="2"/>
  <c r="AE880" i="2"/>
  <c r="Q880" i="2"/>
  <c r="X891" i="2"/>
  <c r="AC901" i="2"/>
  <c r="I904" i="2"/>
  <c r="F904" i="2"/>
  <c r="AE904" i="2"/>
  <c r="Q904" i="2"/>
  <c r="J906" i="2"/>
  <c r="I913" i="2"/>
  <c r="F913" i="2"/>
  <c r="AE913" i="2"/>
  <c r="Q913" i="2"/>
  <c r="AF913" i="2"/>
  <c r="I915" i="2"/>
  <c r="F915" i="2"/>
  <c r="AE915" i="2"/>
  <c r="P915" i="2"/>
  <c r="Q915" i="2"/>
  <c r="X918" i="2"/>
  <c r="D921" i="2"/>
  <c r="I935" i="2"/>
  <c r="F935" i="2"/>
  <c r="AE935" i="2"/>
  <c r="Q935" i="2"/>
  <c r="P935" i="2"/>
  <c r="I950" i="2"/>
  <c r="F950" i="2"/>
  <c r="AE950" i="2"/>
  <c r="P950" i="2"/>
  <c r="Q950" i="2"/>
  <c r="I959" i="2"/>
  <c r="F959" i="2"/>
  <c r="AE959" i="2"/>
  <c r="Q959" i="2"/>
  <c r="AC959" i="2"/>
  <c r="D959" i="2"/>
  <c r="U959" i="2"/>
  <c r="T959" i="2"/>
  <c r="P959" i="2"/>
  <c r="AD959" i="2"/>
  <c r="I974" i="2"/>
  <c r="F974" i="2"/>
  <c r="AE974" i="2"/>
  <c r="P974" i="2"/>
  <c r="Q974" i="2"/>
  <c r="P949" i="2"/>
  <c r="P916" i="2"/>
  <c r="P877" i="2"/>
  <c r="AD655" i="2"/>
  <c r="I655" i="2"/>
  <c r="F655" i="2"/>
  <c r="AE655" i="2"/>
  <c r="Q655" i="2"/>
  <c r="P655" i="2"/>
  <c r="X655" i="2"/>
  <c r="I669" i="2"/>
  <c r="F669" i="2"/>
  <c r="AE669" i="2"/>
  <c r="Q669" i="2"/>
  <c r="P669" i="2"/>
  <c r="I680" i="2"/>
  <c r="F680" i="2"/>
  <c r="AE680" i="2"/>
  <c r="Q680" i="2"/>
  <c r="P680" i="2"/>
  <c r="C696" i="2"/>
  <c r="AG696" i="2"/>
  <c r="AF699" i="2"/>
  <c r="I706" i="2"/>
  <c r="F706" i="2"/>
  <c r="AE706" i="2"/>
  <c r="Q706" i="2"/>
  <c r="P706" i="2"/>
  <c r="I712" i="2"/>
  <c r="F712" i="2"/>
  <c r="AE712" i="2"/>
  <c r="Q712" i="2"/>
  <c r="P712" i="2"/>
  <c r="AG712" i="2"/>
  <c r="I720" i="2"/>
  <c r="F720" i="2"/>
  <c r="AE720" i="2"/>
  <c r="Q720" i="2"/>
  <c r="P720" i="2"/>
  <c r="I742" i="2"/>
  <c r="F742" i="2"/>
  <c r="AE742" i="2"/>
  <c r="Q742" i="2"/>
  <c r="P742" i="2"/>
  <c r="AB742" i="2"/>
  <c r="AH757" i="2"/>
  <c r="AF765" i="2"/>
  <c r="I774" i="2"/>
  <c r="F774" i="2"/>
  <c r="AE774" i="2"/>
  <c r="Q774" i="2"/>
  <c r="P774" i="2"/>
  <c r="I777" i="2"/>
  <c r="F777" i="2"/>
  <c r="AE777" i="2"/>
  <c r="Q777" i="2"/>
  <c r="P777" i="2"/>
  <c r="C779" i="2"/>
  <c r="K780" i="2"/>
  <c r="S788" i="2"/>
  <c r="I790" i="2"/>
  <c r="F790" i="2"/>
  <c r="AE790" i="2"/>
  <c r="P790" i="2"/>
  <c r="H795" i="2"/>
  <c r="AC795" i="2"/>
  <c r="I798" i="2"/>
  <c r="F798" i="2"/>
  <c r="AE798" i="2"/>
  <c r="Q798" i="2"/>
  <c r="P798" i="2"/>
  <c r="R799" i="2"/>
  <c r="I813" i="2"/>
  <c r="F813" i="2"/>
  <c r="AE813" i="2"/>
  <c r="Q813" i="2"/>
  <c r="P813" i="2"/>
  <c r="I822" i="2"/>
  <c r="F822" i="2"/>
  <c r="AE822" i="2"/>
  <c r="Q822" i="2"/>
  <c r="P822" i="2"/>
  <c r="V825" i="2"/>
  <c r="T835" i="2"/>
  <c r="I835" i="2"/>
  <c r="F835" i="2"/>
  <c r="AE835" i="2"/>
  <c r="Q835" i="2"/>
  <c r="P835" i="2"/>
  <c r="AK835" i="2"/>
  <c r="I838" i="2"/>
  <c r="F838" i="2"/>
  <c r="AE838" i="2"/>
  <c r="Q838" i="2"/>
  <c r="P838" i="2"/>
  <c r="H840" i="2"/>
  <c r="I841" i="2"/>
  <c r="F841" i="2"/>
  <c r="AE841" i="2"/>
  <c r="Q841" i="2"/>
  <c r="AK841" i="2"/>
  <c r="I848" i="2"/>
  <c r="F848" i="2"/>
  <c r="AE848" i="2"/>
  <c r="Q848" i="2"/>
  <c r="P848" i="2"/>
  <c r="U859" i="2"/>
  <c r="I859" i="2"/>
  <c r="F859" i="2"/>
  <c r="AE859" i="2"/>
  <c r="P859" i="2"/>
  <c r="R860" i="2"/>
  <c r="AG870" i="2"/>
  <c r="AH873" i="2"/>
  <c r="Z876" i="2"/>
  <c r="I892" i="2"/>
  <c r="F892" i="2"/>
  <c r="AE892" i="2"/>
  <c r="Q892" i="2"/>
  <c r="V896" i="2"/>
  <c r="R897" i="2"/>
  <c r="I898" i="2"/>
  <c r="F898" i="2"/>
  <c r="AE898" i="2"/>
  <c r="Q898" i="2"/>
  <c r="AG898" i="2"/>
  <c r="G901" i="2"/>
  <c r="AF901" i="2"/>
  <c r="K906" i="2"/>
  <c r="AK913" i="2"/>
  <c r="AK918" i="2"/>
  <c r="J922" i="2"/>
  <c r="J929" i="2"/>
  <c r="I931" i="2"/>
  <c r="F931" i="2"/>
  <c r="AE931" i="2"/>
  <c r="H931" i="2"/>
  <c r="P931" i="2"/>
  <c r="Q931" i="2"/>
  <c r="C937" i="2"/>
  <c r="I947" i="2"/>
  <c r="F947" i="2"/>
  <c r="AE947" i="2"/>
  <c r="Q947" i="2"/>
  <c r="P947" i="2"/>
  <c r="AH959" i="2"/>
  <c r="I965" i="2"/>
  <c r="F965" i="2"/>
  <c r="AE965" i="2"/>
  <c r="Q965" i="2"/>
  <c r="P965" i="2"/>
  <c r="P913" i="2"/>
  <c r="I682" i="2"/>
  <c r="F682" i="2"/>
  <c r="AE682" i="2"/>
  <c r="Q682" i="2"/>
  <c r="P682" i="2"/>
  <c r="I686" i="2"/>
  <c r="F686" i="2"/>
  <c r="AE686" i="2"/>
  <c r="Q686" i="2"/>
  <c r="P686" i="2"/>
  <c r="W693" i="2"/>
  <c r="D696" i="2"/>
  <c r="AH696" i="2"/>
  <c r="C699" i="2"/>
  <c r="AG699" i="2"/>
  <c r="AB701" i="2"/>
  <c r="I701" i="2"/>
  <c r="F701" i="2"/>
  <c r="AE701" i="2"/>
  <c r="Q701" i="2"/>
  <c r="P701" i="2"/>
  <c r="W701" i="2"/>
  <c r="AH713" i="2"/>
  <c r="I713" i="2"/>
  <c r="F713" i="2"/>
  <c r="AE713" i="2"/>
  <c r="Q713" i="2"/>
  <c r="P713" i="2"/>
  <c r="X715" i="2"/>
  <c r="I715" i="2"/>
  <c r="F715" i="2"/>
  <c r="AE715" i="2"/>
  <c r="P715" i="2"/>
  <c r="Q715" i="2"/>
  <c r="K717" i="2"/>
  <c r="F724" i="2"/>
  <c r="I724" i="2"/>
  <c r="AE724" i="2"/>
  <c r="Q724" i="2"/>
  <c r="P724" i="2"/>
  <c r="I728" i="2"/>
  <c r="F728" i="2"/>
  <c r="AE728" i="2"/>
  <c r="Q728" i="2"/>
  <c r="P728" i="2"/>
  <c r="W729" i="2"/>
  <c r="J738" i="2"/>
  <c r="AD742" i="2"/>
  <c r="V746" i="2"/>
  <c r="I748" i="2"/>
  <c r="F748" i="2"/>
  <c r="AE748" i="2"/>
  <c r="P748" i="2"/>
  <c r="I751" i="2"/>
  <c r="F751" i="2"/>
  <c r="AE751" i="2"/>
  <c r="Q751" i="2"/>
  <c r="P751" i="2"/>
  <c r="S757" i="2"/>
  <c r="I757" i="2"/>
  <c r="F757" i="2"/>
  <c r="AE757" i="2"/>
  <c r="Q757" i="2"/>
  <c r="AK757" i="2"/>
  <c r="I764" i="2"/>
  <c r="F764" i="2"/>
  <c r="AE764" i="2"/>
  <c r="Q764" i="2"/>
  <c r="P764" i="2"/>
  <c r="AK770" i="2"/>
  <c r="R780" i="2"/>
  <c r="V788" i="2"/>
  <c r="AF793" i="2"/>
  <c r="J795" i="2"/>
  <c r="AF795" i="2"/>
  <c r="S799" i="2"/>
  <c r="I805" i="2"/>
  <c r="F805" i="2"/>
  <c r="AE805" i="2"/>
  <c r="Q805" i="2"/>
  <c r="I807" i="2"/>
  <c r="F807" i="2"/>
  <c r="AE807" i="2"/>
  <c r="P807" i="2"/>
  <c r="Q807" i="2"/>
  <c r="I808" i="2"/>
  <c r="F808" i="2"/>
  <c r="AE808" i="2"/>
  <c r="P808" i="2"/>
  <c r="Q808" i="2"/>
  <c r="I811" i="2"/>
  <c r="F811" i="2"/>
  <c r="AE811" i="2"/>
  <c r="P811" i="2"/>
  <c r="Q811" i="2"/>
  <c r="D824" i="2"/>
  <c r="W825" i="2"/>
  <c r="AG833" i="2"/>
  <c r="I833" i="2"/>
  <c r="F833" i="2"/>
  <c r="AE833" i="2"/>
  <c r="Q833" i="2"/>
  <c r="P833" i="2"/>
  <c r="I836" i="2"/>
  <c r="F836" i="2"/>
  <c r="AE836" i="2"/>
  <c r="Q836" i="2"/>
  <c r="P836" i="2"/>
  <c r="H837" i="2"/>
  <c r="J840" i="2"/>
  <c r="I842" i="2"/>
  <c r="F842" i="2"/>
  <c r="AE842" i="2"/>
  <c r="Q842" i="2"/>
  <c r="P842" i="2"/>
  <c r="F844" i="2"/>
  <c r="I844" i="2"/>
  <c r="AE844" i="2"/>
  <c r="P844" i="2"/>
  <c r="Q844" i="2"/>
  <c r="G847" i="2"/>
  <c r="I850" i="2"/>
  <c r="F850" i="2"/>
  <c r="AE850" i="2"/>
  <c r="Q850" i="2"/>
  <c r="P850" i="2"/>
  <c r="N853" i="2"/>
  <c r="I853" i="2"/>
  <c r="F853" i="2"/>
  <c r="AE853" i="2"/>
  <c r="Q853" i="2"/>
  <c r="I856" i="2"/>
  <c r="F856" i="2"/>
  <c r="AE856" i="2"/>
  <c r="Q856" i="2"/>
  <c r="U856" i="2"/>
  <c r="U857" i="2"/>
  <c r="T860" i="2"/>
  <c r="K861" i="2"/>
  <c r="I865" i="2"/>
  <c r="F865" i="2"/>
  <c r="AE865" i="2"/>
  <c r="Q865" i="2"/>
  <c r="R870" i="2"/>
  <c r="AH870" i="2"/>
  <c r="J872" i="2"/>
  <c r="R874" i="2"/>
  <c r="I874" i="2"/>
  <c r="F874" i="2"/>
  <c r="AE874" i="2"/>
  <c r="Q874" i="2"/>
  <c r="P874" i="2"/>
  <c r="AC876" i="2"/>
  <c r="I878" i="2"/>
  <c r="F878" i="2"/>
  <c r="AE878" i="2"/>
  <c r="Q878" i="2"/>
  <c r="P878" i="2"/>
  <c r="J884" i="2"/>
  <c r="I886" i="2"/>
  <c r="F886" i="2"/>
  <c r="AE886" i="2"/>
  <c r="P886" i="2"/>
  <c r="AF886" i="2"/>
  <c r="W896" i="2"/>
  <c r="S897" i="2"/>
  <c r="AH898" i="2"/>
  <c r="H901" i="2"/>
  <c r="AG901" i="2"/>
  <c r="Z906" i="2"/>
  <c r="S910" i="2"/>
  <c r="C913" i="2"/>
  <c r="I914" i="2"/>
  <c r="F914" i="2"/>
  <c r="AE914" i="2"/>
  <c r="Q914" i="2"/>
  <c r="P914" i="2"/>
  <c r="I919" i="2"/>
  <c r="F919" i="2"/>
  <c r="AE919" i="2"/>
  <c r="Q919" i="2"/>
  <c r="P919" i="2"/>
  <c r="G921" i="2"/>
  <c r="K922" i="2"/>
  <c r="I927" i="2"/>
  <c r="F927" i="2"/>
  <c r="AE927" i="2"/>
  <c r="P927" i="2"/>
  <c r="Q927" i="2"/>
  <c r="K929" i="2"/>
  <c r="I942" i="2"/>
  <c r="F942" i="2"/>
  <c r="AE942" i="2"/>
  <c r="Q942" i="2"/>
  <c r="P942" i="2"/>
  <c r="I945" i="2"/>
  <c r="F945" i="2"/>
  <c r="AE945" i="2"/>
  <c r="Q945" i="2"/>
  <c r="Z953" i="2"/>
  <c r="I953" i="2"/>
  <c r="F953" i="2"/>
  <c r="AE953" i="2"/>
  <c r="P953" i="2"/>
  <c r="R953" i="2"/>
  <c r="Q953" i="2"/>
  <c r="G955" i="2"/>
  <c r="C959" i="2"/>
  <c r="AK959" i="2"/>
  <c r="U963" i="2"/>
  <c r="I963" i="2"/>
  <c r="F963" i="2"/>
  <c r="AE963" i="2"/>
  <c r="AK963" i="2"/>
  <c r="Q963" i="2"/>
  <c r="J963" i="2"/>
  <c r="W972" i="2"/>
  <c r="I978" i="2"/>
  <c r="F978" i="2"/>
  <c r="AE978" i="2"/>
  <c r="P978" i="2"/>
  <c r="U982" i="2"/>
  <c r="P945" i="2"/>
  <c r="P910" i="2"/>
  <c r="P601" i="2"/>
  <c r="Q790" i="2"/>
  <c r="W568" i="2"/>
  <c r="I568" i="2"/>
  <c r="AE568" i="2"/>
  <c r="F568" i="2"/>
  <c r="Q568" i="2"/>
  <c r="P568" i="2"/>
  <c r="I572" i="2"/>
  <c r="F572" i="2"/>
  <c r="AE572" i="2"/>
  <c r="Q572" i="2"/>
  <c r="P572" i="2"/>
  <c r="I588" i="2"/>
  <c r="F588" i="2"/>
  <c r="AE588" i="2"/>
  <c r="Q588" i="2"/>
  <c r="P588" i="2"/>
  <c r="I597" i="2"/>
  <c r="F597" i="2"/>
  <c r="AE597" i="2"/>
  <c r="Q597" i="2"/>
  <c r="P597" i="2"/>
  <c r="T601" i="2"/>
  <c r="T603" i="2"/>
  <c r="I610" i="2"/>
  <c r="F610" i="2"/>
  <c r="AE610" i="2"/>
  <c r="Q610" i="2"/>
  <c r="P610" i="2"/>
  <c r="Z613" i="2"/>
  <c r="I613" i="2"/>
  <c r="F613" i="2"/>
  <c r="AE613" i="2"/>
  <c r="Q613" i="2"/>
  <c r="I620" i="2"/>
  <c r="F620" i="2"/>
  <c r="AE620" i="2"/>
  <c r="Q620" i="2"/>
  <c r="P620" i="2"/>
  <c r="I635" i="2"/>
  <c r="F635" i="2"/>
  <c r="AE635" i="2"/>
  <c r="Q635" i="2"/>
  <c r="P635" i="2"/>
  <c r="I638" i="2"/>
  <c r="F638" i="2"/>
  <c r="AE638" i="2"/>
  <c r="Q638" i="2"/>
  <c r="P638" i="2"/>
  <c r="Y646" i="2"/>
  <c r="I652" i="2"/>
  <c r="F652" i="2"/>
  <c r="AE652" i="2"/>
  <c r="Q652" i="2"/>
  <c r="P652" i="2"/>
  <c r="K654" i="2"/>
  <c r="C655" i="2"/>
  <c r="AB655" i="2"/>
  <c r="G659" i="2"/>
  <c r="X662" i="2"/>
  <c r="I666" i="2"/>
  <c r="F666" i="2"/>
  <c r="AE666" i="2"/>
  <c r="Q666" i="2"/>
  <c r="P666" i="2"/>
  <c r="R672" i="2"/>
  <c r="I679" i="2"/>
  <c r="F679" i="2"/>
  <c r="AE679" i="2"/>
  <c r="Q679" i="2"/>
  <c r="P679" i="2"/>
  <c r="I691" i="2"/>
  <c r="F691" i="2"/>
  <c r="AE691" i="2"/>
  <c r="Q691" i="2"/>
  <c r="P691" i="2"/>
  <c r="X693" i="2"/>
  <c r="AK696" i="2"/>
  <c r="U700" i="2"/>
  <c r="I700" i="2"/>
  <c r="F700" i="2"/>
  <c r="AE700" i="2"/>
  <c r="Q700" i="2"/>
  <c r="P700" i="2"/>
  <c r="X701" i="2"/>
  <c r="I704" i="2"/>
  <c r="F704" i="2"/>
  <c r="AE704" i="2"/>
  <c r="Q704" i="2"/>
  <c r="P704" i="2"/>
  <c r="C706" i="2"/>
  <c r="R709" i="2"/>
  <c r="I709" i="2"/>
  <c r="F709" i="2"/>
  <c r="AE709" i="2"/>
  <c r="Q709" i="2"/>
  <c r="R710" i="2"/>
  <c r="C712" i="2"/>
  <c r="W717" i="2"/>
  <c r="AD721" i="2"/>
  <c r="AF729" i="2"/>
  <c r="V731" i="2"/>
  <c r="W733" i="2"/>
  <c r="Z735" i="2"/>
  <c r="K738" i="2"/>
  <c r="AG740" i="2"/>
  <c r="D742" i="2"/>
  <c r="AF742" i="2"/>
  <c r="I745" i="2"/>
  <c r="F745" i="2"/>
  <c r="AE745" i="2"/>
  <c r="Q745" i="2"/>
  <c r="W746" i="2"/>
  <c r="V756" i="2"/>
  <c r="I756" i="2"/>
  <c r="F756" i="2"/>
  <c r="AE756" i="2"/>
  <c r="Q756" i="2"/>
  <c r="P756" i="2"/>
  <c r="I758" i="2"/>
  <c r="F758" i="2"/>
  <c r="AE758" i="2"/>
  <c r="Q758" i="2"/>
  <c r="P758" i="2"/>
  <c r="AK759" i="2"/>
  <c r="T762" i="2"/>
  <c r="AH766" i="2"/>
  <c r="I766" i="2"/>
  <c r="F766" i="2"/>
  <c r="AE766" i="2"/>
  <c r="Q766" i="2"/>
  <c r="P766" i="2"/>
  <c r="T767" i="2"/>
  <c r="I771" i="2"/>
  <c r="F771" i="2"/>
  <c r="AE771" i="2"/>
  <c r="P771" i="2"/>
  <c r="Q771" i="2"/>
  <c r="K779" i="2"/>
  <c r="S780" i="2"/>
  <c r="I783" i="2"/>
  <c r="F783" i="2"/>
  <c r="AE783" i="2"/>
  <c r="P783" i="2"/>
  <c r="Q783" i="2"/>
  <c r="X783" i="2"/>
  <c r="R785" i="2"/>
  <c r="Z788" i="2"/>
  <c r="AG793" i="2"/>
  <c r="K795" i="2"/>
  <c r="AG795" i="2"/>
  <c r="T799" i="2"/>
  <c r="AH803" i="2"/>
  <c r="AH815" i="2"/>
  <c r="Z818" i="2"/>
  <c r="K827" i="2"/>
  <c r="I829" i="2"/>
  <c r="F829" i="2"/>
  <c r="AE829" i="2"/>
  <c r="Q829" i="2"/>
  <c r="V831" i="2"/>
  <c r="H834" i="2"/>
  <c r="J837" i="2"/>
  <c r="K840" i="2"/>
  <c r="H847" i="2"/>
  <c r="G854" i="2"/>
  <c r="W856" i="2"/>
  <c r="U858" i="2"/>
  <c r="I858" i="2"/>
  <c r="F858" i="2"/>
  <c r="AE858" i="2"/>
  <c r="Q858" i="2"/>
  <c r="P858" i="2"/>
  <c r="U860" i="2"/>
  <c r="W861" i="2"/>
  <c r="X867" i="2"/>
  <c r="S870" i="2"/>
  <c r="AK870" i="2"/>
  <c r="R872" i="2"/>
  <c r="U875" i="2"/>
  <c r="AD876" i="2"/>
  <c r="Y880" i="2"/>
  <c r="G882" i="2"/>
  <c r="AC882" i="2"/>
  <c r="K884" i="2"/>
  <c r="AG886" i="2"/>
  <c r="K888" i="2"/>
  <c r="V890" i="2"/>
  <c r="I895" i="2"/>
  <c r="F895" i="2"/>
  <c r="AE895" i="2"/>
  <c r="Q895" i="2"/>
  <c r="P895" i="2"/>
  <c r="AD895" i="2"/>
  <c r="AB896" i="2"/>
  <c r="U897" i="2"/>
  <c r="V899" i="2"/>
  <c r="I899" i="2"/>
  <c r="F899" i="2"/>
  <c r="AE899" i="2"/>
  <c r="Q899" i="2"/>
  <c r="P899" i="2"/>
  <c r="J900" i="2"/>
  <c r="J901" i="2"/>
  <c r="AK901" i="2"/>
  <c r="I905" i="2"/>
  <c r="F905" i="2"/>
  <c r="AE905" i="2"/>
  <c r="Q905" i="2"/>
  <c r="P905" i="2"/>
  <c r="Y905" i="2"/>
  <c r="AB906" i="2"/>
  <c r="Z908" i="2"/>
  <c r="AH910" i="2"/>
  <c r="H915" i="2"/>
  <c r="AD916" i="2"/>
  <c r="S921" i="2"/>
  <c r="S922" i="2"/>
  <c r="S925" i="2"/>
  <c r="R929" i="2"/>
  <c r="AF936" i="2"/>
  <c r="I936" i="2"/>
  <c r="F936" i="2"/>
  <c r="AE936" i="2"/>
  <c r="Q936" i="2"/>
  <c r="P936" i="2"/>
  <c r="G937" i="2"/>
  <c r="N951" i="2"/>
  <c r="I951" i="2"/>
  <c r="F951" i="2"/>
  <c r="AE951" i="2"/>
  <c r="AD951" i="2"/>
  <c r="K951" i="2"/>
  <c r="Q951" i="2"/>
  <c r="Z955" i="2"/>
  <c r="I960" i="2"/>
  <c r="F960" i="2"/>
  <c r="Q960" i="2"/>
  <c r="AE960" i="2"/>
  <c r="AC960" i="2"/>
  <c r="K960" i="2"/>
  <c r="P960" i="2"/>
  <c r="I975" i="2"/>
  <c r="F975" i="2"/>
  <c r="AE975" i="2"/>
  <c r="AG975" i="2"/>
  <c r="Q975" i="2"/>
  <c r="I981" i="2"/>
  <c r="F981" i="2"/>
  <c r="AE981" i="2"/>
  <c r="Q981" i="2"/>
  <c r="P865" i="2"/>
  <c r="P733" i="2"/>
  <c r="Q748" i="2"/>
  <c r="I594" i="2"/>
  <c r="F594" i="2"/>
  <c r="AE594" i="2"/>
  <c r="Q594" i="2"/>
  <c r="P594" i="2"/>
  <c r="T633" i="2"/>
  <c r="I633" i="2"/>
  <c r="F633" i="2"/>
  <c r="AE633" i="2"/>
  <c r="Q633" i="2"/>
  <c r="P633" i="2"/>
  <c r="I645" i="2"/>
  <c r="F645" i="2"/>
  <c r="AE645" i="2"/>
  <c r="Q645" i="2"/>
  <c r="P645" i="2"/>
  <c r="D655" i="2"/>
  <c r="AC655" i="2"/>
  <c r="J659" i="2"/>
  <c r="AC662" i="2"/>
  <c r="W665" i="2"/>
  <c r="I665" i="2"/>
  <c r="F665" i="2"/>
  <c r="AE665" i="2"/>
  <c r="Q665" i="2"/>
  <c r="P665" i="2"/>
  <c r="I670" i="2"/>
  <c r="F670" i="2"/>
  <c r="AE670" i="2"/>
  <c r="Q670" i="2"/>
  <c r="P670" i="2"/>
  <c r="I673" i="2"/>
  <c r="F673" i="2"/>
  <c r="AE673" i="2"/>
  <c r="Q673" i="2"/>
  <c r="G680" i="2"/>
  <c r="AF689" i="2"/>
  <c r="I689" i="2"/>
  <c r="F689" i="2"/>
  <c r="AE689" i="2"/>
  <c r="Q689" i="2"/>
  <c r="P689" i="2"/>
  <c r="X689" i="2"/>
  <c r="AK693" i="2"/>
  <c r="J696" i="2"/>
  <c r="I697" i="2"/>
  <c r="F697" i="2"/>
  <c r="AE697" i="2"/>
  <c r="Q697" i="2"/>
  <c r="AC697" i="2"/>
  <c r="G699" i="2"/>
  <c r="C701" i="2"/>
  <c r="Z701" i="2"/>
  <c r="S710" i="2"/>
  <c r="AK717" i="2"/>
  <c r="K720" i="2"/>
  <c r="I722" i="2"/>
  <c r="F722" i="2"/>
  <c r="AE722" i="2"/>
  <c r="Q722" i="2"/>
  <c r="P722" i="2"/>
  <c r="AK731" i="2"/>
  <c r="I736" i="2"/>
  <c r="F736" i="2"/>
  <c r="AE736" i="2"/>
  <c r="Q736" i="2"/>
  <c r="P736" i="2"/>
  <c r="R738" i="2"/>
  <c r="AG741" i="2"/>
  <c r="I741" i="2"/>
  <c r="F741" i="2"/>
  <c r="AE741" i="2"/>
  <c r="Q741" i="2"/>
  <c r="P741" i="2"/>
  <c r="AG742" i="2"/>
  <c r="R744" i="2"/>
  <c r="I744" i="2"/>
  <c r="F744" i="2"/>
  <c r="AE744" i="2"/>
  <c r="Q744" i="2"/>
  <c r="P744" i="2"/>
  <c r="X746" i="2"/>
  <c r="C751" i="2"/>
  <c r="H754" i="2"/>
  <c r="I760" i="2"/>
  <c r="F760" i="2"/>
  <c r="AE760" i="2"/>
  <c r="Q760" i="2"/>
  <c r="P760" i="2"/>
  <c r="U762" i="2"/>
  <c r="J774" i="2"/>
  <c r="R777" i="2"/>
  <c r="Y779" i="2"/>
  <c r="X780" i="2"/>
  <c r="Z783" i="2"/>
  <c r="Y786" i="2"/>
  <c r="I786" i="2"/>
  <c r="F786" i="2"/>
  <c r="AE786" i="2"/>
  <c r="Q786" i="2"/>
  <c r="P786" i="2"/>
  <c r="AF787" i="2"/>
  <c r="AB788" i="2"/>
  <c r="R790" i="2"/>
  <c r="I794" i="2"/>
  <c r="F794" i="2"/>
  <c r="AE794" i="2"/>
  <c r="Q794" i="2"/>
  <c r="P794" i="2"/>
  <c r="R795" i="2"/>
  <c r="AH795" i="2"/>
  <c r="Z798" i="2"/>
  <c r="I804" i="2"/>
  <c r="F804" i="2"/>
  <c r="AE804" i="2"/>
  <c r="Q804" i="2"/>
  <c r="P804" i="2"/>
  <c r="D805" i="2"/>
  <c r="AC813" i="2"/>
  <c r="I819" i="2"/>
  <c r="F819" i="2"/>
  <c r="AE819" i="2"/>
  <c r="P819" i="2"/>
  <c r="Q819" i="2"/>
  <c r="AC819" i="2"/>
  <c r="AD822" i="2"/>
  <c r="AF824" i="2"/>
  <c r="I826" i="2"/>
  <c r="F826" i="2"/>
  <c r="AE826" i="2"/>
  <c r="P826" i="2"/>
  <c r="V827" i="2"/>
  <c r="AD831" i="2"/>
  <c r="J834" i="2"/>
  <c r="H835" i="2"/>
  <c r="K837" i="2"/>
  <c r="I839" i="2"/>
  <c r="F839" i="2"/>
  <c r="AE839" i="2"/>
  <c r="Q839" i="2"/>
  <c r="P839" i="2"/>
  <c r="S840" i="2"/>
  <c r="G841" i="2"/>
  <c r="J847" i="2"/>
  <c r="U848" i="2"/>
  <c r="C853" i="2"/>
  <c r="H854" i="2"/>
  <c r="C856" i="2"/>
  <c r="X856" i="2"/>
  <c r="S859" i="2"/>
  <c r="W860" i="2"/>
  <c r="X861" i="2"/>
  <c r="Y867" i="2"/>
  <c r="I871" i="2"/>
  <c r="F871" i="2"/>
  <c r="AE871" i="2"/>
  <c r="Q871" i="2"/>
  <c r="P871" i="2"/>
  <c r="S872" i="2"/>
  <c r="V875" i="2"/>
  <c r="I881" i="2"/>
  <c r="F881" i="2"/>
  <c r="AE881" i="2"/>
  <c r="Q881" i="2"/>
  <c r="P881" i="2"/>
  <c r="H882" i="2"/>
  <c r="AF882" i="2"/>
  <c r="AD884" i="2"/>
  <c r="D886" i="2"/>
  <c r="AH886" i="2"/>
  <c r="T888" i="2"/>
  <c r="W890" i="2"/>
  <c r="I893" i="2"/>
  <c r="F893" i="2"/>
  <c r="AE893" i="2"/>
  <c r="Q893" i="2"/>
  <c r="P893" i="2"/>
  <c r="AC896" i="2"/>
  <c r="V897" i="2"/>
  <c r="G898" i="2"/>
  <c r="V900" i="2"/>
  <c r="K901" i="2"/>
  <c r="I902" i="2"/>
  <c r="F902" i="2"/>
  <c r="AE902" i="2"/>
  <c r="Q902" i="2"/>
  <c r="P902" i="2"/>
  <c r="AF906" i="2"/>
  <c r="I909" i="2"/>
  <c r="F909" i="2"/>
  <c r="AE909" i="2"/>
  <c r="Q909" i="2"/>
  <c r="AD911" i="2"/>
  <c r="I911" i="2"/>
  <c r="F911" i="2"/>
  <c r="AE911" i="2"/>
  <c r="Q911" i="2"/>
  <c r="P911" i="2"/>
  <c r="G913" i="2"/>
  <c r="J915" i="2"/>
  <c r="AF916" i="2"/>
  <c r="Z921" i="2"/>
  <c r="T922" i="2"/>
  <c r="T925" i="2"/>
  <c r="X930" i="2"/>
  <c r="I930" i="2"/>
  <c r="F930" i="2"/>
  <c r="AE930" i="2"/>
  <c r="Q930" i="2"/>
  <c r="K930" i="2"/>
  <c r="P930" i="2"/>
  <c r="C930" i="2"/>
  <c r="U931" i="2"/>
  <c r="AB933" i="2"/>
  <c r="I933" i="2"/>
  <c r="F933" i="2"/>
  <c r="AE933" i="2"/>
  <c r="Q933" i="2"/>
  <c r="H937" i="2"/>
  <c r="AC947" i="2"/>
  <c r="AC955" i="2"/>
  <c r="I957" i="2"/>
  <c r="F957" i="2"/>
  <c r="AE957" i="2"/>
  <c r="Q957" i="2"/>
  <c r="G959" i="2"/>
  <c r="I966" i="2"/>
  <c r="F966" i="2"/>
  <c r="AE966" i="2"/>
  <c r="Q966" i="2"/>
  <c r="P966" i="2"/>
  <c r="P904" i="2"/>
  <c r="P856" i="2"/>
  <c r="K696" i="2"/>
  <c r="H699" i="2"/>
  <c r="AC701" i="2"/>
  <c r="I707" i="2"/>
  <c r="F707" i="2"/>
  <c r="AE707" i="2"/>
  <c r="Q707" i="2"/>
  <c r="P707" i="2"/>
  <c r="G712" i="2"/>
  <c r="H713" i="2"/>
  <c r="AG715" i="2"/>
  <c r="I718" i="2"/>
  <c r="F718" i="2"/>
  <c r="AE718" i="2"/>
  <c r="Q718" i="2"/>
  <c r="P718" i="2"/>
  <c r="AB720" i="2"/>
  <c r="U725" i="2"/>
  <c r="I725" i="2"/>
  <c r="F725" i="2"/>
  <c r="AE725" i="2"/>
  <c r="Q725" i="2"/>
  <c r="P725" i="2"/>
  <c r="J729" i="2"/>
  <c r="I729" i="2"/>
  <c r="F729" i="2"/>
  <c r="AE729" i="2"/>
  <c r="Q729" i="2"/>
  <c r="P729" i="2"/>
  <c r="AH729" i="2"/>
  <c r="I732" i="2"/>
  <c r="F732" i="2"/>
  <c r="AE732" i="2"/>
  <c r="Q732" i="2"/>
  <c r="P732" i="2"/>
  <c r="AB738" i="2"/>
  <c r="H742" i="2"/>
  <c r="AH742" i="2"/>
  <c r="I749" i="2"/>
  <c r="F749" i="2"/>
  <c r="AE749" i="2"/>
  <c r="Q749" i="2"/>
  <c r="P749" i="2"/>
  <c r="D751" i="2"/>
  <c r="AH753" i="2"/>
  <c r="I753" i="2"/>
  <c r="F753" i="2"/>
  <c r="AE753" i="2"/>
  <c r="Q753" i="2"/>
  <c r="P753" i="2"/>
  <c r="U754" i="2"/>
  <c r="G757" i="2"/>
  <c r="S764" i="2"/>
  <c r="I768" i="2"/>
  <c r="F768" i="2"/>
  <c r="AE768" i="2"/>
  <c r="Q768" i="2"/>
  <c r="P768" i="2"/>
  <c r="Z779" i="2"/>
  <c r="I791" i="2"/>
  <c r="F791" i="2"/>
  <c r="AE791" i="2"/>
  <c r="Q791" i="2"/>
  <c r="P791" i="2"/>
  <c r="I800" i="2"/>
  <c r="F800" i="2"/>
  <c r="Q800" i="2"/>
  <c r="AE800" i="2"/>
  <c r="P800" i="2"/>
  <c r="I814" i="2"/>
  <c r="F814" i="2"/>
  <c r="AE814" i="2"/>
  <c r="Q814" i="2"/>
  <c r="P814" i="2"/>
  <c r="I816" i="2"/>
  <c r="F816" i="2"/>
  <c r="AE816" i="2"/>
  <c r="Q816" i="2"/>
  <c r="P816" i="2"/>
  <c r="X825" i="2"/>
  <c r="I825" i="2"/>
  <c r="F825" i="2"/>
  <c r="AE825" i="2"/>
  <c r="Q825" i="2"/>
  <c r="P825" i="2"/>
  <c r="W827" i="2"/>
  <c r="I832" i="2"/>
  <c r="F832" i="2"/>
  <c r="AE832" i="2"/>
  <c r="Q832" i="2"/>
  <c r="P832" i="2"/>
  <c r="K834" i="2"/>
  <c r="T837" i="2"/>
  <c r="Y842" i="2"/>
  <c r="I845" i="2"/>
  <c r="F845" i="2"/>
  <c r="AE845" i="2"/>
  <c r="Q845" i="2"/>
  <c r="P845" i="2"/>
  <c r="K847" i="2"/>
  <c r="V848" i="2"/>
  <c r="W850" i="2"/>
  <c r="D853" i="2"/>
  <c r="D856" i="2"/>
  <c r="Z856" i="2"/>
  <c r="T859" i="2"/>
  <c r="Y861" i="2"/>
  <c r="T866" i="2"/>
  <c r="I866" i="2"/>
  <c r="F866" i="2"/>
  <c r="AE866" i="2"/>
  <c r="Q866" i="2"/>
  <c r="P866" i="2"/>
  <c r="AK867" i="2"/>
  <c r="F870" i="2"/>
  <c r="I870" i="2"/>
  <c r="AE870" i="2"/>
  <c r="Q870" i="2"/>
  <c r="P870" i="2"/>
  <c r="U870" i="2"/>
  <c r="AF872" i="2"/>
  <c r="H874" i="2"/>
  <c r="T876" i="2"/>
  <c r="I876" i="2"/>
  <c r="F876" i="2"/>
  <c r="AE876" i="2"/>
  <c r="Q876" i="2"/>
  <c r="P876" i="2"/>
  <c r="I877" i="2"/>
  <c r="F877" i="2"/>
  <c r="AE877" i="2"/>
  <c r="Q877" i="2"/>
  <c r="K878" i="2"/>
  <c r="AF884" i="2"/>
  <c r="V887" i="2"/>
  <c r="I887" i="2"/>
  <c r="F887" i="2"/>
  <c r="AE887" i="2"/>
  <c r="Q887" i="2"/>
  <c r="P887" i="2"/>
  <c r="H898" i="2"/>
  <c r="R901" i="2"/>
  <c r="I907" i="2"/>
  <c r="F907" i="2"/>
  <c r="AE907" i="2"/>
  <c r="P907" i="2"/>
  <c r="Q907" i="2"/>
  <c r="H913" i="2"/>
  <c r="G914" i="2"/>
  <c r="T915" i="2"/>
  <c r="I917" i="2"/>
  <c r="F917" i="2"/>
  <c r="AE917" i="2"/>
  <c r="Q917" i="2"/>
  <c r="P917" i="2"/>
  <c r="X919" i="2"/>
  <c r="AB921" i="2"/>
  <c r="I928" i="2"/>
  <c r="F928" i="2"/>
  <c r="AE928" i="2"/>
  <c r="D928" i="2"/>
  <c r="Q928" i="2"/>
  <c r="U937" i="2"/>
  <c r="I943" i="2"/>
  <c r="F943" i="2"/>
  <c r="AE943" i="2"/>
  <c r="Q943" i="2"/>
  <c r="P943" i="2"/>
  <c r="AD955" i="2"/>
  <c r="H959" i="2"/>
  <c r="I972" i="2"/>
  <c r="F972" i="2"/>
  <c r="AE972" i="2"/>
  <c r="Q972" i="2"/>
  <c r="V972" i="2"/>
  <c r="N972" i="2"/>
  <c r="K972" i="2"/>
  <c r="AH972" i="2"/>
  <c r="J972" i="2"/>
  <c r="P972" i="2"/>
  <c r="AC972" i="2"/>
  <c r="P963" i="2"/>
  <c r="P937" i="2"/>
  <c r="P901" i="2"/>
  <c r="P853" i="2"/>
  <c r="P709" i="2"/>
  <c r="H655" i="2"/>
  <c r="AH655" i="2"/>
  <c r="I667" i="2"/>
  <c r="F667" i="2"/>
  <c r="AE667" i="2"/>
  <c r="Q667" i="2"/>
  <c r="P667" i="2"/>
  <c r="K680" i="2"/>
  <c r="R696" i="2"/>
  <c r="J699" i="2"/>
  <c r="AF701" i="2"/>
  <c r="I703" i="2"/>
  <c r="F703" i="2"/>
  <c r="AE703" i="2"/>
  <c r="P703" i="2"/>
  <c r="Q703" i="2"/>
  <c r="AG711" i="2"/>
  <c r="I711" i="2"/>
  <c r="F711" i="2"/>
  <c r="AE711" i="2"/>
  <c r="Q711" i="2"/>
  <c r="P711" i="2"/>
  <c r="H712" i="2"/>
  <c r="K713" i="2"/>
  <c r="AH715" i="2"/>
  <c r="AC720" i="2"/>
  <c r="I730" i="2"/>
  <c r="F730" i="2"/>
  <c r="AE730" i="2"/>
  <c r="Q730" i="2"/>
  <c r="P730" i="2"/>
  <c r="I734" i="2"/>
  <c r="F734" i="2"/>
  <c r="AE734" i="2"/>
  <c r="Q734" i="2"/>
  <c r="P734" i="2"/>
  <c r="AC738" i="2"/>
  <c r="J742" i="2"/>
  <c r="X743" i="2"/>
  <c r="I743" i="2"/>
  <c r="F743" i="2"/>
  <c r="AE743" i="2"/>
  <c r="Q743" i="2"/>
  <c r="P743" i="2"/>
  <c r="I746" i="2"/>
  <c r="F746" i="2"/>
  <c r="AE746" i="2"/>
  <c r="Q746" i="2"/>
  <c r="P746" i="2"/>
  <c r="AH746" i="2"/>
  <c r="V754" i="2"/>
  <c r="I772" i="2"/>
  <c r="F772" i="2"/>
  <c r="AE772" i="2"/>
  <c r="P772" i="2"/>
  <c r="Q772" i="2"/>
  <c r="AD779" i="2"/>
  <c r="I788" i="2"/>
  <c r="F788" i="2"/>
  <c r="AE788" i="2"/>
  <c r="Q788" i="2"/>
  <c r="P788" i="2"/>
  <c r="AG788" i="2"/>
  <c r="I796" i="2"/>
  <c r="F796" i="2"/>
  <c r="AE796" i="2"/>
  <c r="Q796" i="2"/>
  <c r="P796" i="2"/>
  <c r="I802" i="2"/>
  <c r="F802" i="2"/>
  <c r="AE802" i="2"/>
  <c r="Q802" i="2"/>
  <c r="P802" i="2"/>
  <c r="I823" i="2"/>
  <c r="F823" i="2"/>
  <c r="AE823" i="2"/>
  <c r="P823" i="2"/>
  <c r="Q823" i="2"/>
  <c r="X827" i="2"/>
  <c r="I830" i="2"/>
  <c r="F830" i="2"/>
  <c r="AE830" i="2"/>
  <c r="Q830" i="2"/>
  <c r="P830" i="2"/>
  <c r="R834" i="2"/>
  <c r="U837" i="2"/>
  <c r="S847" i="2"/>
  <c r="AK849" i="2"/>
  <c r="I849" i="2"/>
  <c r="F849" i="2"/>
  <c r="AE849" i="2"/>
  <c r="Q849" i="2"/>
  <c r="P849" i="2"/>
  <c r="I860" i="2"/>
  <c r="F860" i="2"/>
  <c r="AE860" i="2"/>
  <c r="Q860" i="2"/>
  <c r="P860" i="2"/>
  <c r="AD860" i="2"/>
  <c r="I862" i="2"/>
  <c r="F862" i="2"/>
  <c r="AE862" i="2"/>
  <c r="Q862" i="2"/>
  <c r="P862" i="2"/>
  <c r="I868" i="2"/>
  <c r="AE868" i="2"/>
  <c r="F868" i="2"/>
  <c r="Q868" i="2"/>
  <c r="AH872" i="2"/>
  <c r="AG884" i="2"/>
  <c r="AG896" i="2"/>
  <c r="I896" i="2"/>
  <c r="F896" i="2"/>
  <c r="AE896" i="2"/>
  <c r="Q896" i="2"/>
  <c r="P896" i="2"/>
  <c r="I897" i="2"/>
  <c r="F897" i="2"/>
  <c r="AE897" i="2"/>
  <c r="Q897" i="2"/>
  <c r="X897" i="2"/>
  <c r="T901" i="2"/>
  <c r="K913" i="2"/>
  <c r="U915" i="2"/>
  <c r="I920" i="2"/>
  <c r="F920" i="2"/>
  <c r="AE920" i="2"/>
  <c r="Q920" i="2"/>
  <c r="P920" i="2"/>
  <c r="AC922" i="2"/>
  <c r="I922" i="2"/>
  <c r="F922" i="2"/>
  <c r="AE922" i="2"/>
  <c r="Q922" i="2"/>
  <c r="AB922" i="2"/>
  <c r="V922" i="2"/>
  <c r="Z924" i="2"/>
  <c r="I924" i="2"/>
  <c r="F924" i="2"/>
  <c r="Q924" i="2"/>
  <c r="AE924" i="2"/>
  <c r="T924" i="2"/>
  <c r="P924" i="2"/>
  <c r="V937" i="2"/>
  <c r="I948" i="2"/>
  <c r="F948" i="2"/>
  <c r="AE948" i="2"/>
  <c r="Q948" i="2"/>
  <c r="P948" i="2"/>
  <c r="J959" i="2"/>
  <c r="AD972" i="2"/>
  <c r="N982" i="2"/>
  <c r="I982" i="2"/>
  <c r="F982" i="2"/>
  <c r="AE982" i="2"/>
  <c r="Q982" i="2"/>
  <c r="M982" i="2"/>
  <c r="AB982" i="2"/>
  <c r="Z982" i="2"/>
  <c r="AG982" i="2"/>
  <c r="P898" i="2"/>
  <c r="P841" i="2"/>
  <c r="P697" i="2"/>
  <c r="AG642" i="2"/>
  <c r="I642" i="2"/>
  <c r="F642" i="2"/>
  <c r="AE642" i="2"/>
  <c r="Q642" i="2"/>
  <c r="P642" i="2"/>
  <c r="J655" i="2"/>
  <c r="AK655" i="2"/>
  <c r="T662" i="2"/>
  <c r="I662" i="2"/>
  <c r="F662" i="2"/>
  <c r="AE662" i="2"/>
  <c r="Q662" i="2"/>
  <c r="P662" i="2"/>
  <c r="AK662" i="2"/>
  <c r="I671" i="2"/>
  <c r="F671" i="2"/>
  <c r="AE671" i="2"/>
  <c r="Q671" i="2"/>
  <c r="P671" i="2"/>
  <c r="I674" i="2"/>
  <c r="F674" i="2"/>
  <c r="AE674" i="2"/>
  <c r="Q674" i="2"/>
  <c r="P674" i="2"/>
  <c r="Y680" i="2"/>
  <c r="S696" i="2"/>
  <c r="R699" i="2"/>
  <c r="AG701" i="2"/>
  <c r="R712" i="2"/>
  <c r="AF713" i="2"/>
  <c r="AK715" i="2"/>
  <c r="C718" i="2"/>
  <c r="AD720" i="2"/>
  <c r="I737" i="2"/>
  <c r="F737" i="2"/>
  <c r="AE737" i="2"/>
  <c r="Q737" i="2"/>
  <c r="P737" i="2"/>
  <c r="I739" i="2"/>
  <c r="F739" i="2"/>
  <c r="AE739" i="2"/>
  <c r="P739" i="2"/>
  <c r="Q739" i="2"/>
  <c r="K742" i="2"/>
  <c r="AK746" i="2"/>
  <c r="AB751" i="2"/>
  <c r="W754" i="2"/>
  <c r="K757" i="2"/>
  <c r="I761" i="2"/>
  <c r="F761" i="2"/>
  <c r="AE761" i="2"/>
  <c r="Q761" i="2"/>
  <c r="P761" i="2"/>
  <c r="AH765" i="2"/>
  <c r="I765" i="2"/>
  <c r="F765" i="2"/>
  <c r="AE765" i="2"/>
  <c r="Q765" i="2"/>
  <c r="P765" i="2"/>
  <c r="AB774" i="2"/>
  <c r="AH777" i="2"/>
  <c r="T780" i="2"/>
  <c r="I780" i="2"/>
  <c r="F780" i="2"/>
  <c r="AE780" i="2"/>
  <c r="Q780" i="2"/>
  <c r="P780" i="2"/>
  <c r="AG780" i="2"/>
  <c r="AH788" i="2"/>
  <c r="I795" i="2"/>
  <c r="F795" i="2"/>
  <c r="AE795" i="2"/>
  <c r="Q795" i="2"/>
  <c r="P795" i="2"/>
  <c r="U795" i="2"/>
  <c r="U799" i="2"/>
  <c r="I799" i="2"/>
  <c r="F799" i="2"/>
  <c r="AE799" i="2"/>
  <c r="Q799" i="2"/>
  <c r="P799" i="2"/>
  <c r="I809" i="2"/>
  <c r="F809" i="2"/>
  <c r="AE809" i="2"/>
  <c r="Q809" i="2"/>
  <c r="P809" i="2"/>
  <c r="Z827" i="2"/>
  <c r="W834" i="2"/>
  <c r="V837" i="2"/>
  <c r="I840" i="2"/>
  <c r="F840" i="2"/>
  <c r="AE840" i="2"/>
  <c r="Q840" i="2"/>
  <c r="P840" i="2"/>
  <c r="W840" i="2"/>
  <c r="I843" i="2"/>
  <c r="F843" i="2"/>
  <c r="AE843" i="2"/>
  <c r="P843" i="2"/>
  <c r="Q843" i="2"/>
  <c r="T847" i="2"/>
  <c r="AF860" i="2"/>
  <c r="I873" i="2"/>
  <c r="F873" i="2"/>
  <c r="AE873" i="2"/>
  <c r="Q873" i="2"/>
  <c r="I883" i="2"/>
  <c r="F883" i="2"/>
  <c r="AE883" i="2"/>
  <c r="P883" i="2"/>
  <c r="Q883" i="2"/>
  <c r="AF885" i="2"/>
  <c r="I885" i="2"/>
  <c r="F885" i="2"/>
  <c r="AE885" i="2"/>
  <c r="Q885" i="2"/>
  <c r="I889" i="2"/>
  <c r="F889" i="2"/>
  <c r="AE889" i="2"/>
  <c r="Q889" i="2"/>
  <c r="U901" i="2"/>
  <c r="R913" i="2"/>
  <c r="V915" i="2"/>
  <c r="Z926" i="2"/>
  <c r="I926" i="2"/>
  <c r="F926" i="2"/>
  <c r="AE926" i="2"/>
  <c r="P926" i="2"/>
  <c r="R926" i="2"/>
  <c r="Q926" i="2"/>
  <c r="X937" i="2"/>
  <c r="I954" i="2"/>
  <c r="F954" i="2"/>
  <c r="AE954" i="2"/>
  <c r="Q954" i="2"/>
  <c r="P954" i="2"/>
  <c r="I958" i="2"/>
  <c r="F958" i="2"/>
  <c r="AE958" i="2"/>
  <c r="Z958" i="2"/>
  <c r="X958" i="2"/>
  <c r="K959" i="2"/>
  <c r="F961" i="2"/>
  <c r="I961" i="2"/>
  <c r="AE961" i="2"/>
  <c r="Q961" i="2"/>
  <c r="S970" i="2"/>
  <c r="I970" i="2"/>
  <c r="F970" i="2"/>
  <c r="AE970" i="2"/>
  <c r="AH970" i="2"/>
  <c r="Q970" i="2"/>
  <c r="I976" i="2"/>
  <c r="F976" i="2"/>
  <c r="AE976" i="2"/>
  <c r="W976" i="2"/>
  <c r="Q976" i="2"/>
  <c r="P982" i="2"/>
  <c r="P958" i="2"/>
  <c r="P933" i="2"/>
  <c r="P897" i="2"/>
  <c r="P829" i="2"/>
  <c r="Q978" i="2"/>
  <c r="K568" i="2"/>
  <c r="I582" i="2"/>
  <c r="AE582" i="2"/>
  <c r="F582" i="2"/>
  <c r="Q582" i="2"/>
  <c r="P582" i="2"/>
  <c r="V594" i="2"/>
  <c r="I601" i="2"/>
  <c r="F601" i="2"/>
  <c r="AE601" i="2"/>
  <c r="Q601" i="2"/>
  <c r="AD601" i="2"/>
  <c r="I603" i="2"/>
  <c r="F603" i="2"/>
  <c r="AE603" i="2"/>
  <c r="Q603" i="2"/>
  <c r="P603" i="2"/>
  <c r="I609" i="2"/>
  <c r="F609" i="2"/>
  <c r="AE609" i="2"/>
  <c r="Q609" i="2"/>
  <c r="P609" i="2"/>
  <c r="AK610" i="2"/>
  <c r="R613" i="2"/>
  <c r="AC619" i="2"/>
  <c r="I619" i="2"/>
  <c r="F619" i="2"/>
  <c r="AE619" i="2"/>
  <c r="P619" i="2"/>
  <c r="I623" i="2"/>
  <c r="F623" i="2"/>
  <c r="AE623" i="2"/>
  <c r="Q623" i="2"/>
  <c r="P623" i="2"/>
  <c r="Y638" i="2"/>
  <c r="I646" i="2"/>
  <c r="F646" i="2"/>
  <c r="AE646" i="2"/>
  <c r="Q646" i="2"/>
  <c r="P646" i="2"/>
  <c r="R652" i="2"/>
  <c r="I654" i="2"/>
  <c r="F654" i="2"/>
  <c r="AE654" i="2"/>
  <c r="Q654" i="2"/>
  <c r="P654" i="2"/>
  <c r="AB654" i="2"/>
  <c r="K655" i="2"/>
  <c r="I656" i="2"/>
  <c r="AE656" i="2"/>
  <c r="F656" i="2"/>
  <c r="Q656" i="2"/>
  <c r="P656" i="2"/>
  <c r="I663" i="2"/>
  <c r="F663" i="2"/>
  <c r="AE663" i="2"/>
  <c r="Q663" i="2"/>
  <c r="P663" i="2"/>
  <c r="U679" i="2"/>
  <c r="I681" i="2"/>
  <c r="F681" i="2"/>
  <c r="AE681" i="2"/>
  <c r="Q681" i="2"/>
  <c r="P681" i="2"/>
  <c r="AB685" i="2"/>
  <c r="I685" i="2"/>
  <c r="F685" i="2"/>
  <c r="AE685" i="2"/>
  <c r="Q685" i="2"/>
  <c r="AK689" i="2"/>
  <c r="I692" i="2"/>
  <c r="F692" i="2"/>
  <c r="AE692" i="2"/>
  <c r="Q692" i="2"/>
  <c r="P692" i="2"/>
  <c r="I695" i="2"/>
  <c r="F695" i="2"/>
  <c r="AE695" i="2"/>
  <c r="Q695" i="2"/>
  <c r="P695" i="2"/>
  <c r="T696" i="2"/>
  <c r="I698" i="2"/>
  <c r="F698" i="2"/>
  <c r="AE698" i="2"/>
  <c r="Q698" i="2"/>
  <c r="P698" i="2"/>
  <c r="U699" i="2"/>
  <c r="H701" i="2"/>
  <c r="AK701" i="2"/>
  <c r="I705" i="2"/>
  <c r="F705" i="2"/>
  <c r="AE705" i="2"/>
  <c r="Q705" i="2"/>
  <c r="P705" i="2"/>
  <c r="AC708" i="2"/>
  <c r="I708" i="2"/>
  <c r="F708" i="2"/>
  <c r="AE708" i="2"/>
  <c r="Q708" i="2"/>
  <c r="P708" i="2"/>
  <c r="C711" i="2"/>
  <c r="S712" i="2"/>
  <c r="AG713" i="2"/>
  <c r="I716" i="2"/>
  <c r="F716" i="2"/>
  <c r="AE716" i="2"/>
  <c r="Q716" i="2"/>
  <c r="P716" i="2"/>
  <c r="T721" i="2"/>
  <c r="I721" i="2"/>
  <c r="F721" i="2"/>
  <c r="AE721" i="2"/>
  <c r="Q721" i="2"/>
  <c r="U723" i="2"/>
  <c r="I723" i="2"/>
  <c r="F723" i="2"/>
  <c r="AE723" i="2"/>
  <c r="Q723" i="2"/>
  <c r="P723" i="2"/>
  <c r="R725" i="2"/>
  <c r="AK727" i="2"/>
  <c r="I727" i="2"/>
  <c r="F727" i="2"/>
  <c r="AE727" i="2"/>
  <c r="P727" i="2"/>
  <c r="Q727" i="2"/>
  <c r="G729" i="2"/>
  <c r="K733" i="2"/>
  <c r="I733" i="2"/>
  <c r="F733" i="2"/>
  <c r="AE733" i="2"/>
  <c r="Q733" i="2"/>
  <c r="R742" i="2"/>
  <c r="C746" i="2"/>
  <c r="X747" i="2"/>
  <c r="I747" i="2"/>
  <c r="F747" i="2"/>
  <c r="AE747" i="2"/>
  <c r="P747" i="2"/>
  <c r="Q747" i="2"/>
  <c r="I750" i="2"/>
  <c r="F750" i="2"/>
  <c r="AE750" i="2"/>
  <c r="Q750" i="2"/>
  <c r="P750" i="2"/>
  <c r="AC751" i="2"/>
  <c r="G753" i="2"/>
  <c r="Z754" i="2"/>
  <c r="U757" i="2"/>
  <c r="I769" i="2"/>
  <c r="F769" i="2"/>
  <c r="AE769" i="2"/>
  <c r="Q769" i="2"/>
  <c r="AC774" i="2"/>
  <c r="I776" i="2"/>
  <c r="F776" i="2"/>
  <c r="AE776" i="2"/>
  <c r="Q776" i="2"/>
  <c r="P776" i="2"/>
  <c r="I778" i="2"/>
  <c r="F778" i="2"/>
  <c r="AE778" i="2"/>
  <c r="Q778" i="2"/>
  <c r="P778" i="2"/>
  <c r="AK780" i="2"/>
  <c r="D788" i="2"/>
  <c r="X789" i="2"/>
  <c r="I789" i="2"/>
  <c r="F789" i="2"/>
  <c r="AE789" i="2"/>
  <c r="Q789" i="2"/>
  <c r="P789" i="2"/>
  <c r="I792" i="2"/>
  <c r="F792" i="2"/>
  <c r="AE792" i="2"/>
  <c r="Q792" i="2"/>
  <c r="P792" i="2"/>
  <c r="V795" i="2"/>
  <c r="V800" i="2"/>
  <c r="Z805" i="2"/>
  <c r="V807" i="2"/>
  <c r="AK811" i="2"/>
  <c r="I815" i="2"/>
  <c r="AE815" i="2"/>
  <c r="F815" i="2"/>
  <c r="Q815" i="2"/>
  <c r="P815" i="2"/>
  <c r="X816" i="2"/>
  <c r="AH819" i="2"/>
  <c r="H825" i="2"/>
  <c r="U826" i="2"/>
  <c r="AH827" i="2"/>
  <c r="G832" i="2"/>
  <c r="W833" i="2"/>
  <c r="AC834" i="2"/>
  <c r="S835" i="2"/>
  <c r="U836" i="2"/>
  <c r="W837" i="2"/>
  <c r="AC840" i="2"/>
  <c r="U841" i="2"/>
  <c r="I846" i="2"/>
  <c r="F846" i="2"/>
  <c r="AE846" i="2"/>
  <c r="Q846" i="2"/>
  <c r="P846" i="2"/>
  <c r="U847" i="2"/>
  <c r="I851" i="2"/>
  <c r="F851" i="2"/>
  <c r="AE851" i="2"/>
  <c r="Q851" i="2"/>
  <c r="P851" i="2"/>
  <c r="AB853" i="2"/>
  <c r="X854" i="2"/>
  <c r="H856" i="2"/>
  <c r="AF856" i="2"/>
  <c r="J858" i="2"/>
  <c r="C860" i="2"/>
  <c r="AG860" i="2"/>
  <c r="I864" i="2"/>
  <c r="F864" i="2"/>
  <c r="Q864" i="2"/>
  <c r="AE864" i="2"/>
  <c r="P864" i="2"/>
  <c r="D870" i="2"/>
  <c r="X870" i="2"/>
  <c r="U871" i="2"/>
  <c r="AG874" i="2"/>
  <c r="J877" i="2"/>
  <c r="AK878" i="2"/>
  <c r="Z881" i="2"/>
  <c r="S882" i="2"/>
  <c r="J886" i="2"/>
  <c r="T887" i="2"/>
  <c r="AK890" i="2"/>
  <c r="F894" i="2"/>
  <c r="I894" i="2"/>
  <c r="AE894" i="2"/>
  <c r="Q894" i="2"/>
  <c r="P894" i="2"/>
  <c r="H895" i="2"/>
  <c r="AD897" i="2"/>
  <c r="S898" i="2"/>
  <c r="T899" i="2"/>
  <c r="AB900" i="2"/>
  <c r="V901" i="2"/>
  <c r="AF902" i="2"/>
  <c r="J905" i="2"/>
  <c r="AK905" i="2"/>
  <c r="X907" i="2"/>
  <c r="AC911" i="2"/>
  <c r="S913" i="2"/>
  <c r="W914" i="2"/>
  <c r="AF915" i="2"/>
  <c r="X917" i="2"/>
  <c r="C922" i="2"/>
  <c r="X922" i="2"/>
  <c r="AC928" i="2"/>
  <c r="H930" i="2"/>
  <c r="AK934" i="2"/>
  <c r="I934" i="2"/>
  <c r="F934" i="2"/>
  <c r="AE934" i="2"/>
  <c r="Q934" i="2"/>
  <c r="U936" i="2"/>
  <c r="Z937" i="2"/>
  <c r="I940" i="2"/>
  <c r="F940" i="2"/>
  <c r="AE940" i="2"/>
  <c r="Q940" i="2"/>
  <c r="V944" i="2"/>
  <c r="I944" i="2"/>
  <c r="F944" i="2"/>
  <c r="AE944" i="2"/>
  <c r="Q944" i="2"/>
  <c r="AK944" i="2"/>
  <c r="J944" i="2"/>
  <c r="P944" i="2"/>
  <c r="AC945" i="2"/>
  <c r="AK952" i="2"/>
  <c r="I952" i="2"/>
  <c r="F952" i="2"/>
  <c r="AE952" i="2"/>
  <c r="Q952" i="2"/>
  <c r="S959" i="2"/>
  <c r="I964" i="2"/>
  <c r="F964" i="2"/>
  <c r="AE964" i="2"/>
  <c r="Q964" i="2"/>
  <c r="N980" i="2"/>
  <c r="I980" i="2"/>
  <c r="F980" i="2"/>
  <c r="AE980" i="2"/>
  <c r="Q980" i="2"/>
  <c r="D982" i="2"/>
  <c r="P981" i="2"/>
  <c r="P957" i="2"/>
  <c r="P928" i="2"/>
  <c r="P892" i="2"/>
  <c r="P673" i="2"/>
  <c r="Q958" i="2"/>
  <c r="P932" i="2"/>
  <c r="P967" i="2"/>
  <c r="AH938" i="2"/>
  <c r="I938" i="2"/>
  <c r="F938" i="2"/>
  <c r="AE938" i="2"/>
  <c r="W938" i="2"/>
  <c r="I941" i="2"/>
  <c r="F941" i="2"/>
  <c r="AE941" i="2"/>
  <c r="I946" i="2"/>
  <c r="F946" i="2"/>
  <c r="AE946" i="2"/>
  <c r="I969" i="2"/>
  <c r="F969" i="2"/>
  <c r="AE969" i="2"/>
  <c r="I971" i="2"/>
  <c r="F971" i="2"/>
  <c r="AE971" i="2"/>
  <c r="Q971" i="2"/>
  <c r="I973" i="2"/>
  <c r="F973" i="2"/>
  <c r="AE973" i="2"/>
  <c r="Q973" i="2"/>
  <c r="I979" i="2"/>
  <c r="F979" i="2"/>
  <c r="AE979" i="2"/>
  <c r="I984" i="2"/>
  <c r="F984" i="2"/>
  <c r="AE984" i="2"/>
  <c r="Q984" i="2"/>
  <c r="Q946" i="2"/>
  <c r="P941" i="2"/>
  <c r="Q941" i="2"/>
  <c r="AG923" i="2"/>
  <c r="I923" i="2"/>
  <c r="F923" i="2"/>
  <c r="AE923" i="2"/>
  <c r="Q923" i="2"/>
  <c r="U932" i="2"/>
  <c r="I932" i="2"/>
  <c r="F932" i="2"/>
  <c r="AE932" i="2"/>
  <c r="Q932" i="2"/>
  <c r="I939" i="2"/>
  <c r="F939" i="2"/>
  <c r="AE939" i="2"/>
  <c r="AC946" i="2"/>
  <c r="I956" i="2"/>
  <c r="F956" i="2"/>
  <c r="AE956" i="2"/>
  <c r="Q956" i="2"/>
  <c r="I967" i="2"/>
  <c r="F967" i="2"/>
  <c r="AE967" i="2"/>
  <c r="AH971" i="2"/>
  <c r="AG973" i="2"/>
  <c r="I983" i="2"/>
  <c r="F983" i="2"/>
  <c r="AE983" i="2"/>
  <c r="Q983" i="2"/>
  <c r="H984" i="2"/>
  <c r="P938" i="2"/>
  <c r="Q979" i="2"/>
  <c r="AF32" i="2"/>
  <c r="Y57" i="2"/>
  <c r="O57" i="2"/>
  <c r="L57" i="2"/>
  <c r="M57" i="2"/>
  <c r="N57" i="2"/>
  <c r="AD59" i="2"/>
  <c r="O59" i="2"/>
  <c r="L59" i="2"/>
  <c r="M59" i="2"/>
  <c r="N59" i="2"/>
  <c r="AK74" i="2"/>
  <c r="O74" i="2"/>
  <c r="L74" i="2"/>
  <c r="M74" i="2"/>
  <c r="N74" i="2"/>
  <c r="AH74" i="2"/>
  <c r="D74" i="2"/>
  <c r="AC74" i="2"/>
  <c r="X74" i="2"/>
  <c r="W74" i="2"/>
  <c r="U74" i="2"/>
  <c r="K74" i="2"/>
  <c r="G74" i="2"/>
  <c r="AH19" i="2"/>
  <c r="O25" i="2"/>
  <c r="L25" i="2"/>
  <c r="M25" i="2"/>
  <c r="N25" i="2"/>
  <c r="D30" i="2"/>
  <c r="X30" i="2"/>
  <c r="G31" i="2"/>
  <c r="AK32" i="2"/>
  <c r="AH35" i="2"/>
  <c r="Y40" i="2"/>
  <c r="O40" i="2"/>
  <c r="L40" i="2"/>
  <c r="M40" i="2"/>
  <c r="N40" i="2"/>
  <c r="AB40" i="2"/>
  <c r="K41" i="2"/>
  <c r="K42" i="2"/>
  <c r="H44" i="2"/>
  <c r="O49" i="2"/>
  <c r="L49" i="2"/>
  <c r="M49" i="2"/>
  <c r="N49" i="2"/>
  <c r="Y52" i="2"/>
  <c r="O52" i="2"/>
  <c r="L52" i="2"/>
  <c r="M52" i="2"/>
  <c r="N52" i="2"/>
  <c r="J53" i="2"/>
  <c r="J54" i="2"/>
  <c r="D60" i="2"/>
  <c r="U60" i="2"/>
  <c r="AK60" i="2"/>
  <c r="Z66" i="2"/>
  <c r="R67" i="2"/>
  <c r="AK67" i="2"/>
  <c r="K72" i="2"/>
  <c r="O37" i="2"/>
  <c r="L37" i="2"/>
  <c r="M37" i="2"/>
  <c r="N37" i="2"/>
  <c r="K44" i="2"/>
  <c r="O47" i="2"/>
  <c r="L47" i="2"/>
  <c r="M47" i="2"/>
  <c r="N47" i="2"/>
  <c r="T47" i="2"/>
  <c r="AF48" i="2"/>
  <c r="O48" i="2"/>
  <c r="L48" i="2"/>
  <c r="M48" i="2"/>
  <c r="N48" i="2"/>
  <c r="U48" i="2"/>
  <c r="AC56" i="2"/>
  <c r="O56" i="2"/>
  <c r="L56" i="2"/>
  <c r="M56" i="2"/>
  <c r="N56" i="2"/>
  <c r="C59" i="2"/>
  <c r="O61" i="2"/>
  <c r="L61" i="2"/>
  <c r="M61" i="2"/>
  <c r="N61" i="2"/>
  <c r="R61" i="2"/>
  <c r="AH61" i="2"/>
  <c r="AF63" i="2"/>
  <c r="O63" i="2"/>
  <c r="M63" i="2"/>
  <c r="L63" i="2"/>
  <c r="N63" i="2"/>
  <c r="O65" i="2"/>
  <c r="L65" i="2"/>
  <c r="M65" i="2"/>
  <c r="N65" i="2"/>
  <c r="X65" i="2"/>
  <c r="C65" i="2"/>
  <c r="AH65" i="2"/>
  <c r="Y65" i="2"/>
  <c r="J31" i="2"/>
  <c r="O23" i="2"/>
  <c r="L23" i="2"/>
  <c r="M23" i="2"/>
  <c r="N23" i="2"/>
  <c r="H57" i="2"/>
  <c r="AK61" i="2"/>
  <c r="Y67" i="2"/>
  <c r="O67" i="2"/>
  <c r="L67" i="2"/>
  <c r="M67" i="2"/>
  <c r="N67" i="2"/>
  <c r="AB67" i="2"/>
  <c r="J67" i="2"/>
  <c r="V67" i="2"/>
  <c r="D67" i="2"/>
  <c r="U67" i="2"/>
  <c r="V74" i="2"/>
  <c r="Y79" i="2"/>
  <c r="O79" i="2"/>
  <c r="L79" i="2"/>
  <c r="M79" i="2"/>
  <c r="N79" i="2"/>
  <c r="AK79" i="2"/>
  <c r="S79" i="2"/>
  <c r="AG79" i="2"/>
  <c r="AD79" i="2"/>
  <c r="AC79" i="2"/>
  <c r="K79" i="2"/>
  <c r="AB79" i="2"/>
  <c r="J79" i="2"/>
  <c r="Z79" i="2"/>
  <c r="G79" i="2"/>
  <c r="X79" i="2"/>
  <c r="W79" i="2"/>
  <c r="V79" i="2"/>
  <c r="D79" i="2"/>
  <c r="U79" i="2"/>
  <c r="C79" i="2"/>
  <c r="AF24" i="2"/>
  <c r="O24" i="2"/>
  <c r="L24" i="2"/>
  <c r="M24" i="2"/>
  <c r="N24" i="2"/>
  <c r="AH9" i="2"/>
  <c r="AK5" i="2"/>
  <c r="G28" i="2"/>
  <c r="V24" i="2"/>
  <c r="K31" i="2"/>
  <c r="AF36" i="2"/>
  <c r="O36" i="2"/>
  <c r="L36" i="2"/>
  <c r="M36" i="2"/>
  <c r="N36" i="2"/>
  <c r="U47" i="2"/>
  <c r="C24" i="2"/>
  <c r="L26" i="2"/>
  <c r="O26" i="2"/>
  <c r="M26" i="2"/>
  <c r="N26" i="2"/>
  <c r="AC30" i="2"/>
  <c r="V36" i="2"/>
  <c r="Y41" i="2"/>
  <c r="O41" i="2"/>
  <c r="L41" i="2"/>
  <c r="M41" i="2"/>
  <c r="N41" i="2"/>
  <c r="Z42" i="2"/>
  <c r="O42" i="2"/>
  <c r="L42" i="2"/>
  <c r="M42" i="2"/>
  <c r="N42" i="2"/>
  <c r="AB43" i="2"/>
  <c r="O43" i="2"/>
  <c r="L43" i="2"/>
  <c r="M43" i="2"/>
  <c r="N43" i="2"/>
  <c r="O46" i="2"/>
  <c r="L46" i="2"/>
  <c r="M46" i="2"/>
  <c r="N46" i="2"/>
  <c r="C48" i="2"/>
  <c r="X60" i="2"/>
  <c r="O62" i="2"/>
  <c r="L62" i="2"/>
  <c r="M62" i="2"/>
  <c r="N62" i="2"/>
  <c r="A3" i="2"/>
  <c r="AK10" i="2"/>
  <c r="AG15" i="2"/>
  <c r="C23" i="2"/>
  <c r="W23" i="2"/>
  <c r="D24" i="2"/>
  <c r="X24" i="2"/>
  <c r="Z27" i="2"/>
  <c r="S28" i="2"/>
  <c r="J30" i="2"/>
  <c r="AD30" i="2"/>
  <c r="S31" i="2"/>
  <c r="H32" i="2"/>
  <c r="O34" i="2"/>
  <c r="L34" i="2"/>
  <c r="M34" i="2"/>
  <c r="N34" i="2"/>
  <c r="C35" i="2"/>
  <c r="V35" i="2"/>
  <c r="C36" i="2"/>
  <c r="W36" i="2"/>
  <c r="Z38" i="2"/>
  <c r="L38" i="2"/>
  <c r="O38" i="2"/>
  <c r="M38" i="2"/>
  <c r="N38" i="2"/>
  <c r="U41" i="2"/>
  <c r="U42" i="2"/>
  <c r="AD43" i="2"/>
  <c r="W44" i="2"/>
  <c r="D47" i="2"/>
  <c r="W47" i="2"/>
  <c r="D48" i="2"/>
  <c r="X48" i="2"/>
  <c r="Y49" i="2"/>
  <c r="Y53" i="2"/>
  <c r="O53" i="2"/>
  <c r="L53" i="2"/>
  <c r="M53" i="2"/>
  <c r="N53" i="2"/>
  <c r="T53" i="2"/>
  <c r="Z54" i="2"/>
  <c r="O54" i="2"/>
  <c r="L54" i="2"/>
  <c r="M54" i="2"/>
  <c r="N54" i="2"/>
  <c r="R54" i="2"/>
  <c r="O55" i="2"/>
  <c r="L55" i="2"/>
  <c r="M55" i="2"/>
  <c r="N55" i="2"/>
  <c r="V55" i="2"/>
  <c r="G56" i="2"/>
  <c r="T57" i="2"/>
  <c r="J59" i="2"/>
  <c r="H60" i="2"/>
  <c r="Z60" i="2"/>
  <c r="D61" i="2"/>
  <c r="V61" i="2"/>
  <c r="AB65" i="2"/>
  <c r="C67" i="2"/>
  <c r="X67" i="2"/>
  <c r="O69" i="2"/>
  <c r="L69" i="2"/>
  <c r="M69" i="2"/>
  <c r="N69" i="2"/>
  <c r="S69" i="2"/>
  <c r="AD69" i="2"/>
  <c r="H69" i="2"/>
  <c r="AC69" i="2"/>
  <c r="X69" i="2"/>
  <c r="V72" i="2"/>
  <c r="AG74" i="2"/>
  <c r="AG33" i="2"/>
  <c r="O33" i="2"/>
  <c r="L33" i="2"/>
  <c r="M33" i="2"/>
  <c r="N33" i="2"/>
  <c r="U23" i="2"/>
  <c r="H28" i="2"/>
  <c r="AB30" i="2"/>
  <c r="W24" i="2"/>
  <c r="G32" i="2"/>
  <c r="U35" i="2"/>
  <c r="X43" i="2"/>
  <c r="C47" i="2"/>
  <c r="W48" i="2"/>
  <c r="C61" i="2"/>
  <c r="U72" i="2"/>
  <c r="B6" i="2"/>
  <c r="AH7" i="2"/>
  <c r="AH15" i="2"/>
  <c r="D23" i="2"/>
  <c r="Z23" i="2"/>
  <c r="T28" i="2"/>
  <c r="J29" i="2"/>
  <c r="K30" i="2"/>
  <c r="AG30" i="2"/>
  <c r="V31" i="2"/>
  <c r="K32" i="2"/>
  <c r="D35" i="2"/>
  <c r="D36" i="2"/>
  <c r="X36" i="2"/>
  <c r="G40" i="2"/>
  <c r="C41" i="2"/>
  <c r="V41" i="2"/>
  <c r="C42" i="2"/>
  <c r="V42" i="2"/>
  <c r="D43" i="2"/>
  <c r="X44" i="2"/>
  <c r="Z47" i="2"/>
  <c r="AC49" i="2"/>
  <c r="G52" i="2"/>
  <c r="U53" i="2"/>
  <c r="U54" i="2"/>
  <c r="W55" i="2"/>
  <c r="H56" i="2"/>
  <c r="U57" i="2"/>
  <c r="W61" i="2"/>
  <c r="J63" i="2"/>
  <c r="G65" i="2"/>
  <c r="Z67" i="2"/>
  <c r="Z69" i="2"/>
  <c r="C72" i="2"/>
  <c r="AG9" i="2"/>
  <c r="G27" i="2"/>
  <c r="R27" i="2"/>
  <c r="O35" i="2"/>
  <c r="L35" i="2"/>
  <c r="M35" i="2"/>
  <c r="N35" i="2"/>
  <c r="S44" i="2"/>
  <c r="V48" i="2"/>
  <c r="V23" i="2"/>
  <c r="S27" i="2"/>
  <c r="R31" i="2"/>
  <c r="T44" i="2"/>
  <c r="V47" i="2"/>
  <c r="G60" i="2"/>
  <c r="U61" i="2"/>
  <c r="D65" i="2"/>
  <c r="W67" i="2"/>
  <c r="AD72" i="2"/>
  <c r="O72" i="2"/>
  <c r="L72" i="2"/>
  <c r="M72" i="2"/>
  <c r="N72" i="2"/>
  <c r="W72" i="2"/>
  <c r="AG72" i="2"/>
  <c r="AF72" i="2"/>
  <c r="AG7" i="2"/>
  <c r="AK7" i="2"/>
  <c r="AK15" i="2"/>
  <c r="AB24" i="2"/>
  <c r="AD27" i="2"/>
  <c r="W31" i="2"/>
  <c r="Z35" i="2"/>
  <c r="H40" i="2"/>
  <c r="D41" i="2"/>
  <c r="W41" i="2"/>
  <c r="D42" i="2"/>
  <c r="W42" i="2"/>
  <c r="AH43" i="2"/>
  <c r="AB48" i="2"/>
  <c r="O50" i="2"/>
  <c r="L50" i="2"/>
  <c r="M50" i="2"/>
  <c r="N50" i="2"/>
  <c r="H52" i="2"/>
  <c r="C53" i="2"/>
  <c r="V53" i="2"/>
  <c r="C54" i="2"/>
  <c r="V54" i="2"/>
  <c r="D55" i="2"/>
  <c r="X55" i="2"/>
  <c r="S56" i="2"/>
  <c r="AK57" i="2"/>
  <c r="Z59" i="2"/>
  <c r="J60" i="2"/>
  <c r="X61" i="2"/>
  <c r="G62" i="2"/>
  <c r="K63" i="2"/>
  <c r="H65" i="2"/>
  <c r="AG65" i="2"/>
  <c r="D69" i="2"/>
  <c r="AB69" i="2"/>
  <c r="AG71" i="2"/>
  <c r="O71" i="2"/>
  <c r="L71" i="2"/>
  <c r="M71" i="2"/>
  <c r="N71" i="2"/>
  <c r="AD71" i="2"/>
  <c r="D72" i="2"/>
  <c r="Z72" i="2"/>
  <c r="AC32" i="2"/>
  <c r="O32" i="2"/>
  <c r="L32" i="2"/>
  <c r="M32" i="2"/>
  <c r="N32" i="2"/>
  <c r="AB28" i="2"/>
  <c r="AD31" i="2"/>
  <c r="T32" i="2"/>
  <c r="AC58" i="2"/>
  <c r="O58" i="2"/>
  <c r="L58" i="2"/>
  <c r="M58" i="2"/>
  <c r="N58" i="2"/>
  <c r="AC66" i="2"/>
  <c r="O66" i="2"/>
  <c r="L66" i="2"/>
  <c r="M66" i="2"/>
  <c r="N66" i="2"/>
  <c r="J66" i="2"/>
  <c r="AC67" i="2"/>
  <c r="X27" i="2"/>
  <c r="O27" i="2"/>
  <c r="L27" i="2"/>
  <c r="M27" i="2"/>
  <c r="N27" i="2"/>
  <c r="AC44" i="2"/>
  <c r="O44" i="2"/>
  <c r="L44" i="2"/>
  <c r="M44" i="2"/>
  <c r="N44" i="2"/>
  <c r="AK44" i="2"/>
  <c r="AF59" i="2"/>
  <c r="AB31" i="2"/>
  <c r="O31" i="2"/>
  <c r="L31" i="2"/>
  <c r="M31" i="2"/>
  <c r="N31" i="2"/>
  <c r="W32" i="2"/>
  <c r="K24" i="2"/>
  <c r="Z30" i="2"/>
  <c r="O30" i="2"/>
  <c r="L30" i="2"/>
  <c r="M30" i="2"/>
  <c r="N30" i="2"/>
  <c r="AH31" i="2"/>
  <c r="K48" i="2"/>
  <c r="AD60" i="2"/>
  <c r="O60" i="2"/>
  <c r="L60" i="2"/>
  <c r="M60" i="2"/>
  <c r="N60" i="2"/>
  <c r="Y28" i="2"/>
  <c r="O28" i="2"/>
  <c r="L28" i="2"/>
  <c r="M28" i="2"/>
  <c r="N28" i="2"/>
  <c r="AG24" i="2"/>
  <c r="U30" i="2"/>
  <c r="X32" i="2"/>
  <c r="O45" i="2"/>
  <c r="L45" i="2"/>
  <c r="M45" i="2"/>
  <c r="N45" i="2"/>
  <c r="J47" i="2"/>
  <c r="AF47" i="2"/>
  <c r="AG48" i="2"/>
  <c r="AF60" i="2"/>
  <c r="J61" i="2"/>
  <c r="AC61" i="2"/>
  <c r="Z63" i="2"/>
  <c r="S65" i="2"/>
  <c r="K67" i="2"/>
  <c r="AG11" i="2"/>
  <c r="K23" i="2"/>
  <c r="AG23" i="2"/>
  <c r="AH24" i="2"/>
  <c r="C27" i="2"/>
  <c r="C28" i="2"/>
  <c r="Y29" i="2"/>
  <c r="O29" i="2"/>
  <c r="L29" i="2"/>
  <c r="M29" i="2"/>
  <c r="N29" i="2"/>
  <c r="U29" i="2"/>
  <c r="V30" i="2"/>
  <c r="AK31" i="2"/>
  <c r="V34" i="2"/>
  <c r="J35" i="2"/>
  <c r="AF35" i="2"/>
  <c r="K36" i="2"/>
  <c r="AG36" i="2"/>
  <c r="X39" i="2"/>
  <c r="O39" i="2"/>
  <c r="M39" i="2"/>
  <c r="L39" i="2"/>
  <c r="N39" i="2"/>
  <c r="AD39" i="2"/>
  <c r="T40" i="2"/>
  <c r="AC41" i="2"/>
  <c r="AC42" i="2"/>
  <c r="K43" i="2"/>
  <c r="Z46" i="2"/>
  <c r="K47" i="2"/>
  <c r="AG47" i="2"/>
  <c r="AH48" i="2"/>
  <c r="X51" i="2"/>
  <c r="O51" i="2"/>
  <c r="M51" i="2"/>
  <c r="L51" i="2"/>
  <c r="N51" i="2"/>
  <c r="AD51" i="2"/>
  <c r="T52" i="2"/>
  <c r="H53" i="2"/>
  <c r="AB53" i="2"/>
  <c r="G54" i="2"/>
  <c r="AB54" i="2"/>
  <c r="J55" i="2"/>
  <c r="AF56" i="2"/>
  <c r="AD58" i="2"/>
  <c r="S60" i="2"/>
  <c r="AG60" i="2"/>
  <c r="K61" i="2"/>
  <c r="AD61" i="2"/>
  <c r="X62" i="2"/>
  <c r="O64" i="2"/>
  <c r="L64" i="2"/>
  <c r="M64" i="2"/>
  <c r="N64" i="2"/>
  <c r="T65" i="2"/>
  <c r="AG67" i="2"/>
  <c r="K69" i="2"/>
  <c r="AG70" i="2"/>
  <c r="O70" i="2"/>
  <c r="L70" i="2"/>
  <c r="M70" i="2"/>
  <c r="N70" i="2"/>
  <c r="AD70" i="2"/>
  <c r="U70" i="2"/>
  <c r="H71" i="2"/>
  <c r="AH72" i="2"/>
  <c r="X73" i="2"/>
  <c r="O75" i="2"/>
  <c r="M75" i="2"/>
  <c r="L75" i="2"/>
  <c r="N75" i="2"/>
  <c r="AD75" i="2"/>
  <c r="T77" i="2"/>
  <c r="Z80" i="2"/>
  <c r="O80" i="2"/>
  <c r="L80" i="2"/>
  <c r="M80" i="2"/>
  <c r="N80" i="2"/>
  <c r="S80" i="2"/>
  <c r="Z81" i="2"/>
  <c r="T84" i="2"/>
  <c r="AK84" i="2"/>
  <c r="H91" i="2"/>
  <c r="Z91" i="2"/>
  <c r="AF93" i="2"/>
  <c r="W96" i="2"/>
  <c r="T97" i="2"/>
  <c r="AK97" i="2"/>
  <c r="W99" i="2"/>
  <c r="AF105" i="2"/>
  <c r="S107" i="2"/>
  <c r="H108" i="2"/>
  <c r="D110" i="2"/>
  <c r="AH110" i="2"/>
  <c r="Z117" i="2"/>
  <c r="K120" i="2"/>
  <c r="AG120" i="2"/>
  <c r="J123" i="2"/>
  <c r="X126" i="2"/>
  <c r="O126" i="2"/>
  <c r="L126" i="2"/>
  <c r="M126" i="2"/>
  <c r="N126" i="2"/>
  <c r="C126" i="2"/>
  <c r="Z128" i="2"/>
  <c r="O128" i="2"/>
  <c r="L128" i="2"/>
  <c r="M128" i="2"/>
  <c r="N128" i="2"/>
  <c r="AH128" i="2"/>
  <c r="G128" i="2"/>
  <c r="AD128" i="2"/>
  <c r="V128" i="2"/>
  <c r="R128" i="2"/>
  <c r="AC128" i="2"/>
  <c r="Z140" i="2"/>
  <c r="O140" i="2"/>
  <c r="L140" i="2"/>
  <c r="M140" i="2"/>
  <c r="N140" i="2"/>
  <c r="R140" i="2"/>
  <c r="G140" i="2"/>
  <c r="AH140" i="2"/>
  <c r="AC140" i="2"/>
  <c r="D140" i="2"/>
  <c r="AD144" i="2"/>
  <c r="O144" i="2"/>
  <c r="L144" i="2"/>
  <c r="M144" i="2"/>
  <c r="N144" i="2"/>
  <c r="AG144" i="2"/>
  <c r="AF144" i="2"/>
  <c r="AB144" i="2"/>
  <c r="H144" i="2"/>
  <c r="W144" i="2"/>
  <c r="AK144" i="2"/>
  <c r="T144" i="2"/>
  <c r="AC144" i="2"/>
  <c r="O164" i="2"/>
  <c r="L164" i="2"/>
  <c r="M164" i="2"/>
  <c r="N164" i="2"/>
  <c r="Z164" i="2"/>
  <c r="J164" i="2"/>
  <c r="AF164" i="2"/>
  <c r="C165" i="2"/>
  <c r="O166" i="2"/>
  <c r="L166" i="2"/>
  <c r="M166" i="2"/>
  <c r="N166" i="2"/>
  <c r="AF166" i="2"/>
  <c r="J166" i="2"/>
  <c r="AD166" i="2"/>
  <c r="X166" i="2"/>
  <c r="D166" i="2"/>
  <c r="U166" i="2"/>
  <c r="AH166" i="2"/>
  <c r="AG166" i="2"/>
  <c r="V179" i="2"/>
  <c r="O179" i="2"/>
  <c r="L179" i="2"/>
  <c r="M179" i="2"/>
  <c r="N179" i="2"/>
  <c r="AC179" i="2"/>
  <c r="S179" i="2"/>
  <c r="AH179" i="2"/>
  <c r="T180" i="2"/>
  <c r="C187" i="2"/>
  <c r="AF189" i="2"/>
  <c r="T198" i="2"/>
  <c r="K202" i="2"/>
  <c r="AG204" i="2"/>
  <c r="O204" i="2"/>
  <c r="L204" i="2"/>
  <c r="M204" i="2"/>
  <c r="N204" i="2"/>
  <c r="AK204" i="2"/>
  <c r="AF204" i="2"/>
  <c r="K204" i="2"/>
  <c r="AC204" i="2"/>
  <c r="G204" i="2"/>
  <c r="Z204" i="2"/>
  <c r="W204" i="2"/>
  <c r="S204" i="2"/>
  <c r="K208" i="2"/>
  <c r="D213" i="2"/>
  <c r="AK213" i="2"/>
  <c r="Y220" i="2"/>
  <c r="O220" i="2"/>
  <c r="L220" i="2"/>
  <c r="M220" i="2"/>
  <c r="N220" i="2"/>
  <c r="W220" i="2"/>
  <c r="G220" i="2"/>
  <c r="AK220" i="2"/>
  <c r="V220" i="2"/>
  <c r="AF220" i="2"/>
  <c r="S220" i="2"/>
  <c r="C220" i="2"/>
  <c r="R220" i="2"/>
  <c r="AC220" i="2"/>
  <c r="Z220" i="2"/>
  <c r="AB220" i="2"/>
  <c r="O222" i="2"/>
  <c r="L222" i="2"/>
  <c r="M222" i="2"/>
  <c r="N222" i="2"/>
  <c r="AK222" i="2"/>
  <c r="AF222" i="2"/>
  <c r="Z222" i="2"/>
  <c r="X222" i="2"/>
  <c r="T222" i="2"/>
  <c r="K222" i="2"/>
  <c r="J226" i="2"/>
  <c r="AC232" i="2"/>
  <c r="H73" i="2"/>
  <c r="AF75" i="2"/>
  <c r="Y76" i="2"/>
  <c r="V77" i="2"/>
  <c r="V80" i="2"/>
  <c r="AB81" i="2"/>
  <c r="C84" i="2"/>
  <c r="U84" i="2"/>
  <c r="O85" i="2"/>
  <c r="L85" i="2"/>
  <c r="M85" i="2"/>
  <c r="N85" i="2"/>
  <c r="R85" i="2"/>
  <c r="AH85" i="2"/>
  <c r="X90" i="2"/>
  <c r="O90" i="2"/>
  <c r="L90" i="2"/>
  <c r="M90" i="2"/>
  <c r="N90" i="2"/>
  <c r="AK93" i="2"/>
  <c r="U97" i="2"/>
  <c r="AF98" i="2"/>
  <c r="O98" i="2"/>
  <c r="L98" i="2"/>
  <c r="M98" i="2"/>
  <c r="N98" i="2"/>
  <c r="AB98" i="2"/>
  <c r="X99" i="2"/>
  <c r="T107" i="2"/>
  <c r="AB108" i="2"/>
  <c r="AK110" i="2"/>
  <c r="Y115" i="2"/>
  <c r="O115" i="2"/>
  <c r="L115" i="2"/>
  <c r="M115" i="2"/>
  <c r="N115" i="2"/>
  <c r="R115" i="2"/>
  <c r="AH115" i="2"/>
  <c r="AB117" i="2"/>
  <c r="AK120" i="2"/>
  <c r="O129" i="2"/>
  <c r="L129" i="2"/>
  <c r="M129" i="2"/>
  <c r="N129" i="2"/>
  <c r="S129" i="2"/>
  <c r="R129" i="2"/>
  <c r="AD129" i="2"/>
  <c r="H129" i="2"/>
  <c r="AB129" i="2"/>
  <c r="AC129" i="2"/>
  <c r="X138" i="2"/>
  <c r="O138" i="2"/>
  <c r="L138" i="2"/>
  <c r="M138" i="2"/>
  <c r="N138" i="2"/>
  <c r="D153" i="2"/>
  <c r="H157" i="2"/>
  <c r="D160" i="2"/>
  <c r="AG160" i="2"/>
  <c r="V167" i="2"/>
  <c r="O167" i="2"/>
  <c r="L167" i="2"/>
  <c r="M167" i="2"/>
  <c r="N167" i="2"/>
  <c r="K167" i="2"/>
  <c r="AD177" i="2"/>
  <c r="O177" i="2"/>
  <c r="L177" i="2"/>
  <c r="M177" i="2"/>
  <c r="N177" i="2"/>
  <c r="H177" i="2"/>
  <c r="Z177" i="2"/>
  <c r="G177" i="2"/>
  <c r="U177" i="2"/>
  <c r="C177" i="2"/>
  <c r="T177" i="2"/>
  <c r="AG177" i="2"/>
  <c r="AC177" i="2"/>
  <c r="J177" i="2"/>
  <c r="AF177" i="2"/>
  <c r="V180" i="2"/>
  <c r="C189" i="2"/>
  <c r="O190" i="2"/>
  <c r="L190" i="2"/>
  <c r="M190" i="2"/>
  <c r="N190" i="2"/>
  <c r="R190" i="2"/>
  <c r="AH190" i="2"/>
  <c r="AD190" i="2"/>
  <c r="AC190" i="2"/>
  <c r="H190" i="2"/>
  <c r="U190" i="2"/>
  <c r="AF190" i="2"/>
  <c r="AK194" i="2"/>
  <c r="O194" i="2"/>
  <c r="L194" i="2"/>
  <c r="M194" i="2"/>
  <c r="N194" i="2"/>
  <c r="D194" i="2"/>
  <c r="J194" i="2"/>
  <c r="W198" i="2"/>
  <c r="R202" i="2"/>
  <c r="V207" i="2"/>
  <c r="X219" i="2"/>
  <c r="O219" i="2"/>
  <c r="M219" i="2"/>
  <c r="L219" i="2"/>
  <c r="N219" i="2"/>
  <c r="C219" i="2"/>
  <c r="Z219" i="2"/>
  <c r="U219" i="2"/>
  <c r="T219" i="2"/>
  <c r="AK219" i="2"/>
  <c r="K219" i="2"/>
  <c r="AF219" i="2"/>
  <c r="H219" i="2"/>
  <c r="AD220" i="2"/>
  <c r="X231" i="2"/>
  <c r="O231" i="2"/>
  <c r="M231" i="2"/>
  <c r="N231" i="2"/>
  <c r="L231" i="2"/>
  <c r="AC231" i="2"/>
  <c r="C231" i="2"/>
  <c r="U231" i="2"/>
  <c r="T231" i="2"/>
  <c r="K231" i="2"/>
  <c r="AG231" i="2"/>
  <c r="H231" i="2"/>
  <c r="C232" i="2"/>
  <c r="AD232" i="2"/>
  <c r="AB73" i="2"/>
  <c r="AH75" i="2"/>
  <c r="AD76" i="2"/>
  <c r="X77" i="2"/>
  <c r="C80" i="2"/>
  <c r="W80" i="2"/>
  <c r="G81" i="2"/>
  <c r="AC81" i="2"/>
  <c r="D84" i="2"/>
  <c r="V84" i="2"/>
  <c r="T85" i="2"/>
  <c r="AK85" i="2"/>
  <c r="X87" i="2"/>
  <c r="J91" i="2"/>
  <c r="AB91" i="2"/>
  <c r="R93" i="2"/>
  <c r="AB94" i="2"/>
  <c r="O94" i="2"/>
  <c r="L94" i="2"/>
  <c r="M94" i="2"/>
  <c r="N94" i="2"/>
  <c r="AC94" i="2"/>
  <c r="T95" i="2"/>
  <c r="Z96" i="2"/>
  <c r="D97" i="2"/>
  <c r="V97" i="2"/>
  <c r="AG98" i="2"/>
  <c r="AC99" i="2"/>
  <c r="K103" i="2"/>
  <c r="AC103" i="2"/>
  <c r="R105" i="2"/>
  <c r="AB106" i="2"/>
  <c r="O106" i="2"/>
  <c r="L106" i="2"/>
  <c r="M106" i="2"/>
  <c r="N106" i="2"/>
  <c r="AD106" i="2"/>
  <c r="AD107" i="2"/>
  <c r="J108" i="2"/>
  <c r="AC108" i="2"/>
  <c r="AG111" i="2"/>
  <c r="O111" i="2"/>
  <c r="M111" i="2"/>
  <c r="L111" i="2"/>
  <c r="N111" i="2"/>
  <c r="AH112" i="2"/>
  <c r="O112" i="2"/>
  <c r="L112" i="2"/>
  <c r="M112" i="2"/>
  <c r="N112" i="2"/>
  <c r="S115" i="2"/>
  <c r="AK115" i="2"/>
  <c r="G117" i="2"/>
  <c r="AC117" i="2"/>
  <c r="X118" i="2"/>
  <c r="AD119" i="2"/>
  <c r="O121" i="2"/>
  <c r="L121" i="2"/>
  <c r="M121" i="2"/>
  <c r="N121" i="2"/>
  <c r="V121" i="2"/>
  <c r="D121" i="2"/>
  <c r="U121" i="2"/>
  <c r="C121" i="2"/>
  <c r="AF121" i="2"/>
  <c r="AC121" i="2"/>
  <c r="J121" i="2"/>
  <c r="V123" i="2"/>
  <c r="C128" i="2"/>
  <c r="AD132" i="2"/>
  <c r="O132" i="2"/>
  <c r="L132" i="2"/>
  <c r="M132" i="2"/>
  <c r="N132" i="2"/>
  <c r="AC132" i="2"/>
  <c r="K132" i="2"/>
  <c r="AB132" i="2"/>
  <c r="J132" i="2"/>
  <c r="X132" i="2"/>
  <c r="G132" i="2"/>
  <c r="W132" i="2"/>
  <c r="AK132" i="2"/>
  <c r="U132" i="2"/>
  <c r="C132" i="2"/>
  <c r="C140" i="2"/>
  <c r="AB142" i="2"/>
  <c r="O142" i="2"/>
  <c r="L142" i="2"/>
  <c r="M142" i="2"/>
  <c r="N142" i="2"/>
  <c r="H142" i="2"/>
  <c r="AD142" i="2"/>
  <c r="AC142" i="2"/>
  <c r="U142" i="2"/>
  <c r="R142" i="2"/>
  <c r="C144" i="2"/>
  <c r="AH144" i="2"/>
  <c r="AH160" i="2"/>
  <c r="C164" i="2"/>
  <c r="G165" i="2"/>
  <c r="C166" i="2"/>
  <c r="AK177" i="2"/>
  <c r="X180" i="2"/>
  <c r="G187" i="2"/>
  <c r="D189" i="2"/>
  <c r="AG190" i="2"/>
  <c r="AC198" i="2"/>
  <c r="T202" i="2"/>
  <c r="AK206" i="2"/>
  <c r="O206" i="2"/>
  <c r="L206" i="2"/>
  <c r="M206" i="2"/>
  <c r="N206" i="2"/>
  <c r="G206" i="2"/>
  <c r="W207" i="2"/>
  <c r="T208" i="2"/>
  <c r="G213" i="2"/>
  <c r="D220" i="2"/>
  <c r="AG220" i="2"/>
  <c r="R226" i="2"/>
  <c r="AF232" i="2"/>
  <c r="O68" i="2"/>
  <c r="L68" i="2"/>
  <c r="M68" i="2"/>
  <c r="N68" i="2"/>
  <c r="W68" i="2"/>
  <c r="J73" i="2"/>
  <c r="AC73" i="2"/>
  <c r="AK75" i="2"/>
  <c r="Y77" i="2"/>
  <c r="D80" i="2"/>
  <c r="H81" i="2"/>
  <c r="AD81" i="2"/>
  <c r="R82" i="2"/>
  <c r="G83" i="2"/>
  <c r="W84" i="2"/>
  <c r="C85" i="2"/>
  <c r="U85" i="2"/>
  <c r="AF86" i="2"/>
  <c r="O86" i="2"/>
  <c r="L86" i="2"/>
  <c r="M86" i="2"/>
  <c r="N86" i="2"/>
  <c r="AB86" i="2"/>
  <c r="AH87" i="2"/>
  <c r="C90" i="2"/>
  <c r="K91" i="2"/>
  <c r="AC91" i="2"/>
  <c r="J92" i="2"/>
  <c r="AD94" i="2"/>
  <c r="J96" i="2"/>
  <c r="W97" i="2"/>
  <c r="D98" i="2"/>
  <c r="AH98" i="2"/>
  <c r="AH99" i="2"/>
  <c r="J104" i="2"/>
  <c r="K108" i="2"/>
  <c r="J110" i="2"/>
  <c r="C115" i="2"/>
  <c r="U115" i="2"/>
  <c r="Z116" i="2"/>
  <c r="O116" i="2"/>
  <c r="L116" i="2"/>
  <c r="M116" i="2"/>
  <c r="N116" i="2"/>
  <c r="V116" i="2"/>
  <c r="H117" i="2"/>
  <c r="AD117" i="2"/>
  <c r="S120" i="2"/>
  <c r="AB121" i="2"/>
  <c r="W123" i="2"/>
  <c r="Y127" i="2"/>
  <c r="O127" i="2"/>
  <c r="L127" i="2"/>
  <c r="M127" i="2"/>
  <c r="N127" i="2"/>
  <c r="AC127" i="2"/>
  <c r="AB127" i="2"/>
  <c r="K127" i="2"/>
  <c r="W127" i="2"/>
  <c r="G127" i="2"/>
  <c r="AK127" i="2"/>
  <c r="U127" i="2"/>
  <c r="T127" i="2"/>
  <c r="D128" i="2"/>
  <c r="D129" i="2"/>
  <c r="AF129" i="2"/>
  <c r="R133" i="2"/>
  <c r="C138" i="2"/>
  <c r="D144" i="2"/>
  <c r="O145" i="2"/>
  <c r="L145" i="2"/>
  <c r="M145" i="2"/>
  <c r="N145" i="2"/>
  <c r="AD145" i="2"/>
  <c r="K145" i="2"/>
  <c r="AC145" i="2"/>
  <c r="J145" i="2"/>
  <c r="X145" i="2"/>
  <c r="W145" i="2"/>
  <c r="U145" i="2"/>
  <c r="C145" i="2"/>
  <c r="AG145" i="2"/>
  <c r="AF145" i="2"/>
  <c r="G153" i="2"/>
  <c r="T157" i="2"/>
  <c r="H160" i="2"/>
  <c r="D164" i="2"/>
  <c r="H165" i="2"/>
  <c r="D177" i="2"/>
  <c r="G179" i="2"/>
  <c r="AC180" i="2"/>
  <c r="C190" i="2"/>
  <c r="R192" i="2"/>
  <c r="J196" i="2"/>
  <c r="AF198" i="2"/>
  <c r="X202" i="2"/>
  <c r="H204" i="2"/>
  <c r="AC207" i="2"/>
  <c r="U208" i="2"/>
  <c r="H213" i="2"/>
  <c r="AH220" i="2"/>
  <c r="H222" i="2"/>
  <c r="V226" i="2"/>
  <c r="AK232" i="2"/>
  <c r="K73" i="2"/>
  <c r="AD73" i="2"/>
  <c r="H75" i="2"/>
  <c r="O76" i="2"/>
  <c r="L76" i="2"/>
  <c r="M76" i="2"/>
  <c r="N76" i="2"/>
  <c r="AG76" i="2"/>
  <c r="AB80" i="2"/>
  <c r="K81" i="2"/>
  <c r="S82" i="2"/>
  <c r="H83" i="2"/>
  <c r="G84" i="2"/>
  <c r="Z84" i="2"/>
  <c r="D85" i="2"/>
  <c r="V85" i="2"/>
  <c r="O93" i="2"/>
  <c r="L93" i="2"/>
  <c r="M93" i="2"/>
  <c r="N93" i="2"/>
  <c r="T93" i="2"/>
  <c r="K96" i="2"/>
  <c r="X97" i="2"/>
  <c r="AK98" i="2"/>
  <c r="Y103" i="2"/>
  <c r="O103" i="2"/>
  <c r="L103" i="2"/>
  <c r="M103" i="2"/>
  <c r="N103" i="2"/>
  <c r="O105" i="2"/>
  <c r="L105" i="2"/>
  <c r="M105" i="2"/>
  <c r="N105" i="2"/>
  <c r="T105" i="2"/>
  <c r="K110" i="2"/>
  <c r="D115" i="2"/>
  <c r="V115" i="2"/>
  <c r="K117" i="2"/>
  <c r="AF117" i="2"/>
  <c r="AH123" i="2"/>
  <c r="AK129" i="2"/>
  <c r="V133" i="2"/>
  <c r="J140" i="2"/>
  <c r="AG147" i="2"/>
  <c r="O147" i="2"/>
  <c r="M147" i="2"/>
  <c r="L147" i="2"/>
  <c r="N147" i="2"/>
  <c r="W147" i="2"/>
  <c r="V147" i="2"/>
  <c r="AH147" i="2"/>
  <c r="W157" i="2"/>
  <c r="J167" i="2"/>
  <c r="AD180" i="2"/>
  <c r="U187" i="2"/>
  <c r="G189" i="2"/>
  <c r="AB202" i="2"/>
  <c r="AG207" i="2"/>
  <c r="X208" i="2"/>
  <c r="AC212" i="2"/>
  <c r="O212" i="2"/>
  <c r="L212" i="2"/>
  <c r="M212" i="2"/>
  <c r="N212" i="2"/>
  <c r="V212" i="2"/>
  <c r="T212" i="2"/>
  <c r="H212" i="2"/>
  <c r="J213" i="2"/>
  <c r="H220" i="2"/>
  <c r="AC224" i="2"/>
  <c r="O224" i="2"/>
  <c r="L224" i="2"/>
  <c r="M224" i="2"/>
  <c r="N224" i="2"/>
  <c r="AF224" i="2"/>
  <c r="S224" i="2"/>
  <c r="J224" i="2"/>
  <c r="G224" i="2"/>
  <c r="X226" i="2"/>
  <c r="G232" i="2"/>
  <c r="Z233" i="2"/>
  <c r="O233" i="2"/>
  <c r="L233" i="2"/>
  <c r="M233" i="2"/>
  <c r="N233" i="2"/>
  <c r="D233" i="2"/>
  <c r="S233" i="2"/>
  <c r="G233" i="2"/>
  <c r="AF81" i="2"/>
  <c r="AH88" i="2"/>
  <c r="O88" i="2"/>
  <c r="L88" i="2"/>
  <c r="M88" i="2"/>
  <c r="N88" i="2"/>
  <c r="Y91" i="2"/>
  <c r="O91" i="2"/>
  <c r="L91" i="2"/>
  <c r="M91" i="2"/>
  <c r="N91" i="2"/>
  <c r="AG91" i="2"/>
  <c r="AG99" i="2"/>
  <c r="O99" i="2"/>
  <c r="M99" i="2"/>
  <c r="L99" i="2"/>
  <c r="N99" i="2"/>
  <c r="AH100" i="2"/>
  <c r="O100" i="2"/>
  <c r="L100" i="2"/>
  <c r="M100" i="2"/>
  <c r="N100" i="2"/>
  <c r="AC107" i="2"/>
  <c r="O107" i="2"/>
  <c r="L107" i="2"/>
  <c r="M107" i="2"/>
  <c r="N107" i="2"/>
  <c r="AD108" i="2"/>
  <c r="O108" i="2"/>
  <c r="L108" i="2"/>
  <c r="M108" i="2"/>
  <c r="N108" i="2"/>
  <c r="AG108" i="2"/>
  <c r="AK113" i="2"/>
  <c r="O113" i="2"/>
  <c r="L113" i="2"/>
  <c r="M113" i="2"/>
  <c r="N113" i="2"/>
  <c r="AD120" i="2"/>
  <c r="O120" i="2"/>
  <c r="L120" i="2"/>
  <c r="M120" i="2"/>
  <c r="N120" i="2"/>
  <c r="Z120" i="2"/>
  <c r="H120" i="2"/>
  <c r="X120" i="2"/>
  <c r="G120" i="2"/>
  <c r="AH120" i="2"/>
  <c r="T120" i="2"/>
  <c r="V120" i="2"/>
  <c r="G129" i="2"/>
  <c r="G144" i="2"/>
  <c r="X150" i="2"/>
  <c r="O150" i="2"/>
  <c r="L150" i="2"/>
  <c r="M150" i="2"/>
  <c r="N150" i="2"/>
  <c r="C150" i="2"/>
  <c r="K160" i="2"/>
  <c r="G164" i="2"/>
  <c r="S165" i="2"/>
  <c r="H166" i="2"/>
  <c r="O174" i="2"/>
  <c r="L174" i="2"/>
  <c r="M174" i="2"/>
  <c r="N174" i="2"/>
  <c r="AF174" i="2"/>
  <c r="AD174" i="2"/>
  <c r="X174" i="2"/>
  <c r="W174" i="2"/>
  <c r="R174" i="2"/>
  <c r="H174" i="2"/>
  <c r="K189" i="2"/>
  <c r="X192" i="2"/>
  <c r="R204" i="2"/>
  <c r="AH217" i="2"/>
  <c r="O217" i="2"/>
  <c r="L217" i="2"/>
  <c r="M217" i="2"/>
  <c r="N217" i="2"/>
  <c r="J219" i="2"/>
  <c r="J220" i="2"/>
  <c r="R222" i="2"/>
  <c r="J231" i="2"/>
  <c r="J232" i="2"/>
  <c r="O77" i="2"/>
  <c r="L77" i="2"/>
  <c r="M77" i="2"/>
  <c r="N77" i="2"/>
  <c r="AF77" i="2"/>
  <c r="G80" i="2"/>
  <c r="AD80" i="2"/>
  <c r="AK81" i="2"/>
  <c r="S83" i="2"/>
  <c r="AB84" i="2"/>
  <c r="X85" i="2"/>
  <c r="R91" i="2"/>
  <c r="AH91" i="2"/>
  <c r="D93" i="2"/>
  <c r="X93" i="2"/>
  <c r="AC95" i="2"/>
  <c r="O95" i="2"/>
  <c r="L95" i="2"/>
  <c r="M95" i="2"/>
  <c r="N95" i="2"/>
  <c r="AD96" i="2"/>
  <c r="O96" i="2"/>
  <c r="L96" i="2"/>
  <c r="M96" i="2"/>
  <c r="N96" i="2"/>
  <c r="AB97" i="2"/>
  <c r="J98" i="2"/>
  <c r="S103" i="2"/>
  <c r="AH103" i="2"/>
  <c r="X105" i="2"/>
  <c r="S108" i="2"/>
  <c r="AH108" i="2"/>
  <c r="U110" i="2"/>
  <c r="X115" i="2"/>
  <c r="AB118" i="2"/>
  <c r="O118" i="2"/>
  <c r="L118" i="2"/>
  <c r="M118" i="2"/>
  <c r="N118" i="2"/>
  <c r="T118" i="2"/>
  <c r="G118" i="2"/>
  <c r="AF118" i="2"/>
  <c r="W120" i="2"/>
  <c r="AH124" i="2"/>
  <c r="O124" i="2"/>
  <c r="L124" i="2"/>
  <c r="M124" i="2"/>
  <c r="N124" i="2"/>
  <c r="K128" i="2"/>
  <c r="K129" i="2"/>
  <c r="AC131" i="2"/>
  <c r="O131" i="2"/>
  <c r="L131" i="2"/>
  <c r="M131" i="2"/>
  <c r="N131" i="2"/>
  <c r="AD131" i="2"/>
  <c r="T131" i="2"/>
  <c r="H131" i="2"/>
  <c r="G131" i="2"/>
  <c r="S140" i="2"/>
  <c r="J144" i="2"/>
  <c r="T153" i="2"/>
  <c r="V164" i="2"/>
  <c r="T165" i="2"/>
  <c r="T176" i="2"/>
  <c r="O176" i="2"/>
  <c r="L176" i="2"/>
  <c r="M176" i="2"/>
  <c r="N176" i="2"/>
  <c r="J176" i="2"/>
  <c r="H176" i="2"/>
  <c r="D176" i="2"/>
  <c r="AH176" i="2"/>
  <c r="AB176" i="2"/>
  <c r="AG180" i="2"/>
  <c r="O180" i="2"/>
  <c r="L180" i="2"/>
  <c r="M180" i="2"/>
  <c r="N180" i="2"/>
  <c r="AF180" i="2"/>
  <c r="K180" i="2"/>
  <c r="G180" i="2"/>
  <c r="Z180" i="2"/>
  <c r="W180" i="2"/>
  <c r="C180" i="2"/>
  <c r="AK180" i="2"/>
  <c r="S180" i="2"/>
  <c r="S181" i="2"/>
  <c r="O181" i="2"/>
  <c r="L181" i="2"/>
  <c r="M181" i="2"/>
  <c r="N181" i="2"/>
  <c r="Y208" i="2"/>
  <c r="O208" i="2"/>
  <c r="L208" i="2"/>
  <c r="M208" i="2"/>
  <c r="N208" i="2"/>
  <c r="W208" i="2"/>
  <c r="G208" i="2"/>
  <c r="AK208" i="2"/>
  <c r="V208" i="2"/>
  <c r="AF208" i="2"/>
  <c r="S208" i="2"/>
  <c r="C208" i="2"/>
  <c r="R208" i="2"/>
  <c r="AC208" i="2"/>
  <c r="Z208" i="2"/>
  <c r="AB208" i="2"/>
  <c r="S213" i="2"/>
  <c r="K220" i="2"/>
  <c r="W222" i="2"/>
  <c r="O226" i="2"/>
  <c r="L226" i="2"/>
  <c r="M226" i="2"/>
  <c r="N226" i="2"/>
  <c r="U226" i="2"/>
  <c r="C226" i="2"/>
  <c r="AH226" i="2"/>
  <c r="T226" i="2"/>
  <c r="AD226" i="2"/>
  <c r="AC226" i="2"/>
  <c r="K226" i="2"/>
  <c r="W226" i="2"/>
  <c r="AB226" i="2"/>
  <c r="AH229" i="2"/>
  <c r="O229" i="2"/>
  <c r="L229" i="2"/>
  <c r="M229" i="2"/>
  <c r="N229" i="2"/>
  <c r="O73" i="2"/>
  <c r="L73" i="2"/>
  <c r="M73" i="2"/>
  <c r="N73" i="2"/>
  <c r="R73" i="2"/>
  <c r="AH73" i="2"/>
  <c r="R75" i="2"/>
  <c r="AH77" i="2"/>
  <c r="J80" i="2"/>
  <c r="R81" i="2"/>
  <c r="AB82" i="2"/>
  <c r="O82" i="2"/>
  <c r="L82" i="2"/>
  <c r="M82" i="2"/>
  <c r="N82" i="2"/>
  <c r="AC82" i="2"/>
  <c r="T83" i="2"/>
  <c r="J84" i="2"/>
  <c r="AC84" i="2"/>
  <c r="H85" i="2"/>
  <c r="AG87" i="2"/>
  <c r="O87" i="2"/>
  <c r="M87" i="2"/>
  <c r="N87" i="2"/>
  <c r="L87" i="2"/>
  <c r="C91" i="2"/>
  <c r="S91" i="2"/>
  <c r="AK91" i="2"/>
  <c r="Z93" i="2"/>
  <c r="R96" i="2"/>
  <c r="AF96" i="2"/>
  <c r="J97" i="2"/>
  <c r="AC97" i="2"/>
  <c r="K98" i="2"/>
  <c r="D103" i="2"/>
  <c r="U103" i="2"/>
  <c r="AK103" i="2"/>
  <c r="Z105" i="2"/>
  <c r="C108" i="2"/>
  <c r="T108" i="2"/>
  <c r="AK108" i="2"/>
  <c r="V110" i="2"/>
  <c r="G115" i="2"/>
  <c r="Z115" i="2"/>
  <c r="R117" i="2"/>
  <c r="AC119" i="2"/>
  <c r="O119" i="2"/>
  <c r="L119" i="2"/>
  <c r="M119" i="2"/>
  <c r="N119" i="2"/>
  <c r="R119" i="2"/>
  <c r="H119" i="2"/>
  <c r="C120" i="2"/>
  <c r="O133" i="2"/>
  <c r="L133" i="2"/>
  <c r="M133" i="2"/>
  <c r="N133" i="2"/>
  <c r="H133" i="2"/>
  <c r="X133" i="2"/>
  <c r="U133" i="2"/>
  <c r="C133" i="2"/>
  <c r="AK133" i="2"/>
  <c r="T133" i="2"/>
  <c r="AG133" i="2"/>
  <c r="AC133" i="2"/>
  <c r="AH136" i="2"/>
  <c r="O136" i="2"/>
  <c r="L136" i="2"/>
  <c r="M136" i="2"/>
  <c r="N136" i="2"/>
  <c r="V140" i="2"/>
  <c r="K144" i="2"/>
  <c r="J147" i="2"/>
  <c r="X153" i="2"/>
  <c r="T160" i="2"/>
  <c r="Y164" i="2"/>
  <c r="W165" i="2"/>
  <c r="R166" i="2"/>
  <c r="AC188" i="2"/>
  <c r="O188" i="2"/>
  <c r="L188" i="2"/>
  <c r="M188" i="2"/>
  <c r="N188" i="2"/>
  <c r="AF188" i="2"/>
  <c r="T188" i="2"/>
  <c r="D188" i="2"/>
  <c r="T189" i="2"/>
  <c r="J190" i="2"/>
  <c r="O198" i="2"/>
  <c r="L198" i="2"/>
  <c r="M198" i="2"/>
  <c r="N198" i="2"/>
  <c r="Z198" i="2"/>
  <c r="X198" i="2"/>
  <c r="R198" i="2"/>
  <c r="H198" i="2"/>
  <c r="AD198" i="2"/>
  <c r="O202" i="2"/>
  <c r="L202" i="2"/>
  <c r="M202" i="2"/>
  <c r="N202" i="2"/>
  <c r="V202" i="2"/>
  <c r="D202" i="2"/>
  <c r="U202" i="2"/>
  <c r="C202" i="2"/>
  <c r="AH202" i="2"/>
  <c r="AG202" i="2"/>
  <c r="AD202" i="2"/>
  <c r="J202" i="2"/>
  <c r="AF203" i="2"/>
  <c r="O203" i="2"/>
  <c r="L203" i="2"/>
  <c r="M203" i="2"/>
  <c r="N203" i="2"/>
  <c r="D203" i="2"/>
  <c r="W203" i="2"/>
  <c r="V204" i="2"/>
  <c r="X207" i="2"/>
  <c r="O207" i="2"/>
  <c r="M207" i="2"/>
  <c r="L207" i="2"/>
  <c r="N207" i="2"/>
  <c r="C207" i="2"/>
  <c r="Z207" i="2"/>
  <c r="U207" i="2"/>
  <c r="T207" i="2"/>
  <c r="AK207" i="2"/>
  <c r="K207" i="2"/>
  <c r="AF207" i="2"/>
  <c r="H207" i="2"/>
  <c r="AD208" i="2"/>
  <c r="V213" i="2"/>
  <c r="AC222" i="2"/>
  <c r="AF226" i="2"/>
  <c r="AH68" i="2"/>
  <c r="T73" i="2"/>
  <c r="AK73" i="2"/>
  <c r="V75" i="2"/>
  <c r="C77" i="2"/>
  <c r="O78" i="2"/>
  <c r="L78" i="2"/>
  <c r="M78" i="2"/>
  <c r="N78" i="2"/>
  <c r="AF78" i="2"/>
  <c r="K80" i="2"/>
  <c r="AH80" i="2"/>
  <c r="AD82" i="2"/>
  <c r="K84" i="2"/>
  <c r="AB85" i="2"/>
  <c r="J86" i="2"/>
  <c r="AK89" i="2"/>
  <c r="O89" i="2"/>
  <c r="L89" i="2"/>
  <c r="M89" i="2"/>
  <c r="N89" i="2"/>
  <c r="D91" i="2"/>
  <c r="U91" i="2"/>
  <c r="Z92" i="2"/>
  <c r="O92" i="2"/>
  <c r="L92" i="2"/>
  <c r="M92" i="2"/>
  <c r="N92" i="2"/>
  <c r="S92" i="2"/>
  <c r="AB93" i="2"/>
  <c r="C96" i="2"/>
  <c r="S96" i="2"/>
  <c r="AG96" i="2"/>
  <c r="K97" i="2"/>
  <c r="J99" i="2"/>
  <c r="AK101" i="2"/>
  <c r="O101" i="2"/>
  <c r="L101" i="2"/>
  <c r="M101" i="2"/>
  <c r="N101" i="2"/>
  <c r="V103" i="2"/>
  <c r="Z104" i="2"/>
  <c r="O104" i="2"/>
  <c r="L104" i="2"/>
  <c r="M104" i="2"/>
  <c r="N104" i="2"/>
  <c r="S104" i="2"/>
  <c r="AB105" i="2"/>
  <c r="D108" i="2"/>
  <c r="U108" i="2"/>
  <c r="O109" i="2"/>
  <c r="L109" i="2"/>
  <c r="M109" i="2"/>
  <c r="N109" i="2"/>
  <c r="R109" i="2"/>
  <c r="AH109" i="2"/>
  <c r="W110" i="2"/>
  <c r="V111" i="2"/>
  <c r="X114" i="2"/>
  <c r="O114" i="2"/>
  <c r="L114" i="2"/>
  <c r="M114" i="2"/>
  <c r="N114" i="2"/>
  <c r="AH116" i="2"/>
  <c r="D120" i="2"/>
  <c r="AB120" i="2"/>
  <c r="K121" i="2"/>
  <c r="AD127" i="2"/>
  <c r="AD133" i="2"/>
  <c r="S142" i="2"/>
  <c r="S144" i="2"/>
  <c r="K147" i="2"/>
  <c r="Z153" i="2"/>
  <c r="U160" i="2"/>
  <c r="T166" i="2"/>
  <c r="Y172" i="2"/>
  <c r="O172" i="2"/>
  <c r="L172" i="2"/>
  <c r="M172" i="2"/>
  <c r="N172" i="2"/>
  <c r="AC172" i="2"/>
  <c r="AB172" i="2"/>
  <c r="K172" i="2"/>
  <c r="X172" i="2"/>
  <c r="H172" i="2"/>
  <c r="W172" i="2"/>
  <c r="G172" i="2"/>
  <c r="AH172" i="2"/>
  <c r="U172" i="2"/>
  <c r="R172" i="2"/>
  <c r="Z172" i="2"/>
  <c r="S177" i="2"/>
  <c r="W189" i="2"/>
  <c r="Y196" i="2"/>
  <c r="O196" i="2"/>
  <c r="L196" i="2"/>
  <c r="M196" i="2"/>
  <c r="N196" i="2"/>
  <c r="AC196" i="2"/>
  <c r="AB196" i="2"/>
  <c r="K196" i="2"/>
  <c r="X196" i="2"/>
  <c r="H196" i="2"/>
  <c r="W196" i="2"/>
  <c r="G196" i="2"/>
  <c r="AH196" i="2"/>
  <c r="U196" i="2"/>
  <c r="R196" i="2"/>
  <c r="Z196" i="2"/>
  <c r="X204" i="2"/>
  <c r="D208" i="2"/>
  <c r="AG208" i="2"/>
  <c r="J212" i="2"/>
  <c r="Z213" i="2"/>
  <c r="AK218" i="2"/>
  <c r="O218" i="2"/>
  <c r="L218" i="2"/>
  <c r="M218" i="2"/>
  <c r="N218" i="2"/>
  <c r="W219" i="2"/>
  <c r="T220" i="2"/>
  <c r="AD222" i="2"/>
  <c r="H224" i="2"/>
  <c r="D226" i="2"/>
  <c r="AG226" i="2"/>
  <c r="Z231" i="2"/>
  <c r="S232" i="2"/>
  <c r="O81" i="2"/>
  <c r="L81" i="2"/>
  <c r="M81" i="2"/>
  <c r="N81" i="2"/>
  <c r="T81" i="2"/>
  <c r="V91" i="2"/>
  <c r="K99" i="2"/>
  <c r="G107" i="2"/>
  <c r="V108" i="2"/>
  <c r="O117" i="2"/>
  <c r="L117" i="2"/>
  <c r="M117" i="2"/>
  <c r="N117" i="2"/>
  <c r="T117" i="2"/>
  <c r="AC120" i="2"/>
  <c r="AG123" i="2"/>
  <c r="O123" i="2"/>
  <c r="M123" i="2"/>
  <c r="L123" i="2"/>
  <c r="N123" i="2"/>
  <c r="AC123" i="2"/>
  <c r="X123" i="2"/>
  <c r="K123" i="2"/>
  <c r="AK125" i="2"/>
  <c r="O125" i="2"/>
  <c r="L125" i="2"/>
  <c r="M125" i="2"/>
  <c r="N125" i="2"/>
  <c r="T129" i="2"/>
  <c r="X147" i="2"/>
  <c r="AH164" i="2"/>
  <c r="V166" i="2"/>
  <c r="G176" i="2"/>
  <c r="W177" i="2"/>
  <c r="H180" i="2"/>
  <c r="G181" i="2"/>
  <c r="T190" i="2"/>
  <c r="AG192" i="2"/>
  <c r="O192" i="2"/>
  <c r="L192" i="2"/>
  <c r="M192" i="2"/>
  <c r="N192" i="2"/>
  <c r="AC192" i="2"/>
  <c r="H192" i="2"/>
  <c r="G192" i="2"/>
  <c r="W192" i="2"/>
  <c r="C192" i="2"/>
  <c r="V192" i="2"/>
  <c r="AK192" i="2"/>
  <c r="S192" i="2"/>
  <c r="K192" i="2"/>
  <c r="AH192" i="2"/>
  <c r="AD204" i="2"/>
  <c r="AH208" i="2"/>
  <c r="AF212" i="2"/>
  <c r="AC219" i="2"/>
  <c r="U220" i="2"/>
  <c r="AB223" i="2"/>
  <c r="O223" i="2"/>
  <c r="L223" i="2"/>
  <c r="M223" i="2"/>
  <c r="N223" i="2"/>
  <c r="AD223" i="2"/>
  <c r="R223" i="2"/>
  <c r="T224" i="2"/>
  <c r="AK230" i="2"/>
  <c r="O230" i="2"/>
  <c r="L230" i="2"/>
  <c r="M230" i="2"/>
  <c r="N230" i="2"/>
  <c r="AF231" i="2"/>
  <c r="AC233" i="2"/>
  <c r="AF110" i="2"/>
  <c r="O110" i="2"/>
  <c r="L110" i="2"/>
  <c r="M110" i="2"/>
  <c r="N110" i="2"/>
  <c r="AB110" i="2"/>
  <c r="AK137" i="2"/>
  <c r="O137" i="2"/>
  <c r="L137" i="2"/>
  <c r="M137" i="2"/>
  <c r="N137" i="2"/>
  <c r="Z157" i="2"/>
  <c r="O157" i="2"/>
  <c r="L157" i="2"/>
  <c r="M157" i="2"/>
  <c r="N157" i="2"/>
  <c r="S157" i="2"/>
  <c r="R157" i="2"/>
  <c r="G157" i="2"/>
  <c r="AK157" i="2"/>
  <c r="AF157" i="2"/>
  <c r="C157" i="2"/>
  <c r="U157" i="2"/>
  <c r="AD165" i="2"/>
  <c r="O165" i="2"/>
  <c r="L165" i="2"/>
  <c r="M165" i="2"/>
  <c r="N165" i="2"/>
  <c r="K165" i="2"/>
  <c r="AC165" i="2"/>
  <c r="Z165" i="2"/>
  <c r="X165" i="2"/>
  <c r="D165" i="2"/>
  <c r="U165" i="2"/>
  <c r="AG165" i="2"/>
  <c r="AF165" i="2"/>
  <c r="AB187" i="2"/>
  <c r="O187" i="2"/>
  <c r="L187" i="2"/>
  <c r="M187" i="2"/>
  <c r="N187" i="2"/>
  <c r="S187" i="2"/>
  <c r="R187" i="2"/>
  <c r="AG187" i="2"/>
  <c r="X187" i="2"/>
  <c r="AH193" i="2"/>
  <c r="O193" i="2"/>
  <c r="L193" i="2"/>
  <c r="M193" i="2"/>
  <c r="N193" i="2"/>
  <c r="AD213" i="2"/>
  <c r="O213" i="2"/>
  <c r="L213" i="2"/>
  <c r="M213" i="2"/>
  <c r="N213" i="2"/>
  <c r="U213" i="2"/>
  <c r="C213" i="2"/>
  <c r="T213" i="2"/>
  <c r="AF213" i="2"/>
  <c r="K213" i="2"/>
  <c r="AB213" i="2"/>
  <c r="W213" i="2"/>
  <c r="AC213" i="2"/>
  <c r="Y75" i="2"/>
  <c r="R80" i="2"/>
  <c r="D81" i="2"/>
  <c r="X81" i="2"/>
  <c r="AC83" i="2"/>
  <c r="O83" i="2"/>
  <c r="L83" i="2"/>
  <c r="M83" i="2"/>
  <c r="N83" i="2"/>
  <c r="AD84" i="2"/>
  <c r="O84" i="2"/>
  <c r="L84" i="2"/>
  <c r="M84" i="2"/>
  <c r="N84" i="2"/>
  <c r="S84" i="2"/>
  <c r="AH84" i="2"/>
  <c r="AF85" i="2"/>
  <c r="G91" i="2"/>
  <c r="X91" i="2"/>
  <c r="K93" i="2"/>
  <c r="V96" i="2"/>
  <c r="O97" i="2"/>
  <c r="L97" i="2"/>
  <c r="M97" i="2"/>
  <c r="N97" i="2"/>
  <c r="R97" i="2"/>
  <c r="AH97" i="2"/>
  <c r="W98" i="2"/>
  <c r="V99" i="2"/>
  <c r="X102" i="2"/>
  <c r="O102" i="2"/>
  <c r="L102" i="2"/>
  <c r="M102" i="2"/>
  <c r="N102" i="2"/>
  <c r="H103" i="2"/>
  <c r="Z103" i="2"/>
  <c r="K105" i="2"/>
  <c r="R107" i="2"/>
  <c r="G108" i="2"/>
  <c r="Z108" i="2"/>
  <c r="AG110" i="2"/>
  <c r="AD115" i="2"/>
  <c r="D117" i="2"/>
  <c r="X117" i="2"/>
  <c r="G119" i="2"/>
  <c r="J120" i="2"/>
  <c r="AF120" i="2"/>
  <c r="AB128" i="2"/>
  <c r="X129" i="2"/>
  <c r="S131" i="2"/>
  <c r="Z144" i="2"/>
  <c r="AH148" i="2"/>
  <c r="O148" i="2"/>
  <c r="L148" i="2"/>
  <c r="M148" i="2"/>
  <c r="N148" i="2"/>
  <c r="O153" i="2"/>
  <c r="L153" i="2"/>
  <c r="M153" i="2"/>
  <c r="N153" i="2"/>
  <c r="S153" i="2"/>
  <c r="R153" i="2"/>
  <c r="K153" i="2"/>
  <c r="AD153" i="2"/>
  <c r="H153" i="2"/>
  <c r="AB153" i="2"/>
  <c r="W153" i="2"/>
  <c r="AK153" i="2"/>
  <c r="Y160" i="2"/>
  <c r="O160" i="2"/>
  <c r="L160" i="2"/>
  <c r="M160" i="2"/>
  <c r="N160" i="2"/>
  <c r="W160" i="2"/>
  <c r="G160" i="2"/>
  <c r="AK160" i="2"/>
  <c r="V160" i="2"/>
  <c r="AF160" i="2"/>
  <c r="S160" i="2"/>
  <c r="C160" i="2"/>
  <c r="R160" i="2"/>
  <c r="AC160" i="2"/>
  <c r="Z160" i="2"/>
  <c r="AB160" i="2"/>
  <c r="AK165" i="2"/>
  <c r="AC166" i="2"/>
  <c r="AB177" i="2"/>
  <c r="R180" i="2"/>
  <c r="AD189" i="2"/>
  <c r="O189" i="2"/>
  <c r="L189" i="2"/>
  <c r="M189" i="2"/>
  <c r="N189" i="2"/>
  <c r="AK189" i="2"/>
  <c r="S189" i="2"/>
  <c r="AG189" i="2"/>
  <c r="AC189" i="2"/>
  <c r="AB189" i="2"/>
  <c r="H189" i="2"/>
  <c r="Z189" i="2"/>
  <c r="U189" i="2"/>
  <c r="X190" i="2"/>
  <c r="K198" i="2"/>
  <c r="AK203" i="2"/>
  <c r="AH205" i="2"/>
  <c r="O205" i="2"/>
  <c r="L205" i="2"/>
  <c r="M205" i="2"/>
  <c r="N205" i="2"/>
  <c r="J207" i="2"/>
  <c r="J208" i="2"/>
  <c r="AB211" i="2"/>
  <c r="O211" i="2"/>
  <c r="L211" i="2"/>
  <c r="M211" i="2"/>
  <c r="N211" i="2"/>
  <c r="U211" i="2"/>
  <c r="G211" i="2"/>
  <c r="AG213" i="2"/>
  <c r="H226" i="2"/>
  <c r="Y232" i="2"/>
  <c r="O232" i="2"/>
  <c r="L232" i="2"/>
  <c r="M232" i="2"/>
  <c r="N232" i="2"/>
  <c r="Z232" i="2"/>
  <c r="X232" i="2"/>
  <c r="H232" i="2"/>
  <c r="AH232" i="2"/>
  <c r="U232" i="2"/>
  <c r="AG232" i="2"/>
  <c r="T232" i="2"/>
  <c r="D232" i="2"/>
  <c r="R232" i="2"/>
  <c r="AB232" i="2"/>
  <c r="K232" i="2"/>
  <c r="W243" i="2"/>
  <c r="AD249" i="2"/>
  <c r="O249" i="2"/>
  <c r="L249" i="2"/>
  <c r="M249" i="2"/>
  <c r="N249" i="2"/>
  <c r="W249" i="2"/>
  <c r="AG252" i="2"/>
  <c r="O252" i="2"/>
  <c r="L252" i="2"/>
  <c r="M252" i="2"/>
  <c r="N252" i="2"/>
  <c r="V252" i="2"/>
  <c r="Z254" i="2"/>
  <c r="O254" i="2"/>
  <c r="L254" i="2"/>
  <c r="M254" i="2"/>
  <c r="N254" i="2"/>
  <c r="Z259" i="2"/>
  <c r="U261" i="2"/>
  <c r="D264" i="2"/>
  <c r="AB264" i="2"/>
  <c r="R272" i="2"/>
  <c r="U294" i="2"/>
  <c r="AG296" i="2"/>
  <c r="O296" i="2"/>
  <c r="L296" i="2"/>
  <c r="M296" i="2"/>
  <c r="N296" i="2"/>
  <c r="S296" i="2"/>
  <c r="R296" i="2"/>
  <c r="C296" i="2"/>
  <c r="G311" i="2"/>
  <c r="O322" i="2"/>
  <c r="L322" i="2"/>
  <c r="M322" i="2"/>
  <c r="N322" i="2"/>
  <c r="AH322" i="2"/>
  <c r="AG322" i="2"/>
  <c r="AD322" i="2"/>
  <c r="AB322" i="2"/>
  <c r="D322" i="2"/>
  <c r="C322" i="2"/>
  <c r="X322" i="2"/>
  <c r="U322" i="2"/>
  <c r="R322" i="2"/>
  <c r="Y151" i="2"/>
  <c r="O151" i="2"/>
  <c r="L151" i="2"/>
  <c r="M151" i="2"/>
  <c r="N151" i="2"/>
  <c r="AD151" i="2"/>
  <c r="O155" i="2"/>
  <c r="L155" i="2"/>
  <c r="M155" i="2"/>
  <c r="N155" i="2"/>
  <c r="R175" i="2"/>
  <c r="O175" i="2"/>
  <c r="L175" i="2"/>
  <c r="M175" i="2"/>
  <c r="N175" i="2"/>
  <c r="O185" i="2"/>
  <c r="L185" i="2"/>
  <c r="M185" i="2"/>
  <c r="N185" i="2"/>
  <c r="AC200" i="2"/>
  <c r="O200" i="2"/>
  <c r="L200" i="2"/>
  <c r="M200" i="2"/>
  <c r="N200" i="2"/>
  <c r="G237" i="2"/>
  <c r="AB237" i="2"/>
  <c r="Z245" i="2"/>
  <c r="O245" i="2"/>
  <c r="L245" i="2"/>
  <c r="M245" i="2"/>
  <c r="N245" i="2"/>
  <c r="Z249" i="2"/>
  <c r="W252" i="2"/>
  <c r="R257" i="2"/>
  <c r="G259" i="2"/>
  <c r="AC259" i="2"/>
  <c r="X261" i="2"/>
  <c r="AC264" i="2"/>
  <c r="W272" i="2"/>
  <c r="AB279" i="2"/>
  <c r="O279" i="2"/>
  <c r="M279" i="2"/>
  <c r="L279" i="2"/>
  <c r="N279" i="2"/>
  <c r="J279" i="2"/>
  <c r="G279" i="2"/>
  <c r="AB291" i="2"/>
  <c r="O291" i="2"/>
  <c r="M291" i="2"/>
  <c r="L291" i="2"/>
  <c r="N291" i="2"/>
  <c r="AG294" i="2"/>
  <c r="V311" i="2"/>
  <c r="AH430" i="2"/>
  <c r="O430" i="2"/>
  <c r="L430" i="2"/>
  <c r="M430" i="2"/>
  <c r="N430" i="2"/>
  <c r="Y817" i="2"/>
  <c r="O817" i="2"/>
  <c r="L817" i="2"/>
  <c r="M817" i="2"/>
  <c r="N817" i="2"/>
  <c r="X817" i="2"/>
  <c r="AB817" i="2"/>
  <c r="X243" i="2"/>
  <c r="O243" i="2"/>
  <c r="M243" i="2"/>
  <c r="L243" i="2"/>
  <c r="N243" i="2"/>
  <c r="U257" i="2"/>
  <c r="Y261" i="2"/>
  <c r="AD264" i="2"/>
  <c r="X272" i="2"/>
  <c r="AH285" i="2"/>
  <c r="O285" i="2"/>
  <c r="L285" i="2"/>
  <c r="M285" i="2"/>
  <c r="N285" i="2"/>
  <c r="AK298" i="2"/>
  <c r="O298" i="2"/>
  <c r="L298" i="2"/>
  <c r="M298" i="2"/>
  <c r="N298" i="2"/>
  <c r="O306" i="2"/>
  <c r="L306" i="2"/>
  <c r="M306" i="2"/>
  <c r="N306" i="2"/>
  <c r="AG306" i="2"/>
  <c r="AC306" i="2"/>
  <c r="W311" i="2"/>
  <c r="X315" i="2"/>
  <c r="O315" i="2"/>
  <c r="M315" i="2"/>
  <c r="L315" i="2"/>
  <c r="N315" i="2"/>
  <c r="AK315" i="2"/>
  <c r="AH315" i="2"/>
  <c r="K315" i="2"/>
  <c r="AG315" i="2"/>
  <c r="J315" i="2"/>
  <c r="AF315" i="2"/>
  <c r="AC315" i="2"/>
  <c r="H315" i="2"/>
  <c r="W315" i="2"/>
  <c r="C315" i="2"/>
  <c r="V315" i="2"/>
  <c r="AD321" i="2"/>
  <c r="O321" i="2"/>
  <c r="L321" i="2"/>
  <c r="M321" i="2"/>
  <c r="N321" i="2"/>
  <c r="AB321" i="2"/>
  <c r="H321" i="2"/>
  <c r="G321" i="2"/>
  <c r="Z321" i="2"/>
  <c r="X321" i="2"/>
  <c r="D321" i="2"/>
  <c r="W321" i="2"/>
  <c r="C321" i="2"/>
  <c r="U321" i="2"/>
  <c r="AK321" i="2"/>
  <c r="S321" i="2"/>
  <c r="AG321" i="2"/>
  <c r="X339" i="2"/>
  <c r="O339" i="2"/>
  <c r="M339" i="2"/>
  <c r="L339" i="2"/>
  <c r="N339" i="2"/>
  <c r="AK339" i="2"/>
  <c r="R339" i="2"/>
  <c r="AH339" i="2"/>
  <c r="AG339" i="2"/>
  <c r="K339" i="2"/>
  <c r="AF339" i="2"/>
  <c r="J339" i="2"/>
  <c r="AD339" i="2"/>
  <c r="AC339" i="2"/>
  <c r="H339" i="2"/>
  <c r="Z339" i="2"/>
  <c r="W339" i="2"/>
  <c r="C339" i="2"/>
  <c r="V339" i="2"/>
  <c r="T339" i="2"/>
  <c r="O406" i="2"/>
  <c r="L406" i="2"/>
  <c r="M406" i="2"/>
  <c r="N406" i="2"/>
  <c r="AD406" i="2"/>
  <c r="K406" i="2"/>
  <c r="AC243" i="2"/>
  <c r="AC248" i="2"/>
  <c r="O248" i="2"/>
  <c r="L248" i="2"/>
  <c r="M248" i="2"/>
  <c r="N248" i="2"/>
  <c r="AC249" i="2"/>
  <c r="Z252" i="2"/>
  <c r="V257" i="2"/>
  <c r="AF259" i="2"/>
  <c r="G264" i="2"/>
  <c r="AK264" i="2"/>
  <c r="R266" i="2"/>
  <c r="O266" i="2"/>
  <c r="L266" i="2"/>
  <c r="M266" i="2"/>
  <c r="N266" i="2"/>
  <c r="Z272" i="2"/>
  <c r="Z277" i="2"/>
  <c r="O277" i="2"/>
  <c r="L277" i="2"/>
  <c r="M277" i="2"/>
  <c r="N277" i="2"/>
  <c r="AB277" i="2"/>
  <c r="X277" i="2"/>
  <c r="D277" i="2"/>
  <c r="AF295" i="2"/>
  <c r="O295" i="2"/>
  <c r="L295" i="2"/>
  <c r="M295" i="2"/>
  <c r="N295" i="2"/>
  <c r="AD295" i="2"/>
  <c r="W295" i="2"/>
  <c r="R316" i="2"/>
  <c r="J322" i="2"/>
  <c r="AF347" i="2"/>
  <c r="O347" i="2"/>
  <c r="L347" i="2"/>
  <c r="M347" i="2"/>
  <c r="N347" i="2"/>
  <c r="AK347" i="2"/>
  <c r="W347" i="2"/>
  <c r="K347" i="2"/>
  <c r="V134" i="2"/>
  <c r="J139" i="2"/>
  <c r="AK141" i="2"/>
  <c r="AF146" i="2"/>
  <c r="O146" i="2"/>
  <c r="L146" i="2"/>
  <c r="M146" i="2"/>
  <c r="N146" i="2"/>
  <c r="AK146" i="2"/>
  <c r="D151" i="2"/>
  <c r="T151" i="2"/>
  <c r="AG151" i="2"/>
  <c r="J155" i="2"/>
  <c r="AF159" i="2"/>
  <c r="O159" i="2"/>
  <c r="M159" i="2"/>
  <c r="N159" i="2"/>
  <c r="L159" i="2"/>
  <c r="AK159" i="2"/>
  <c r="X171" i="2"/>
  <c r="O171" i="2"/>
  <c r="M171" i="2"/>
  <c r="L171" i="2"/>
  <c r="N171" i="2"/>
  <c r="W171" i="2"/>
  <c r="S175" i="2"/>
  <c r="J184" i="2"/>
  <c r="X195" i="2"/>
  <c r="O195" i="2"/>
  <c r="M195" i="2"/>
  <c r="L195" i="2"/>
  <c r="N195" i="2"/>
  <c r="W195" i="2"/>
  <c r="AB199" i="2"/>
  <c r="O199" i="2"/>
  <c r="L199" i="2"/>
  <c r="M199" i="2"/>
  <c r="N199" i="2"/>
  <c r="H200" i="2"/>
  <c r="K201" i="2"/>
  <c r="AG216" i="2"/>
  <c r="O216" i="2"/>
  <c r="L216" i="2"/>
  <c r="M216" i="2"/>
  <c r="N216" i="2"/>
  <c r="W216" i="2"/>
  <c r="AG228" i="2"/>
  <c r="O228" i="2"/>
  <c r="L228" i="2"/>
  <c r="M228" i="2"/>
  <c r="N228" i="2"/>
  <c r="V228" i="2"/>
  <c r="K237" i="2"/>
  <c r="AF237" i="2"/>
  <c r="AG238" i="2"/>
  <c r="C243" i="2"/>
  <c r="AF243" i="2"/>
  <c r="J244" i="2"/>
  <c r="AF246" i="2"/>
  <c r="G249" i="2"/>
  <c r="AF249" i="2"/>
  <c r="K250" i="2"/>
  <c r="AG250" i="2"/>
  <c r="AC252" i="2"/>
  <c r="G254" i="2"/>
  <c r="K259" i="2"/>
  <c r="AG259" i="2"/>
  <c r="Y262" i="2"/>
  <c r="J264" i="2"/>
  <c r="O265" i="2"/>
  <c r="L265" i="2"/>
  <c r="M265" i="2"/>
  <c r="N265" i="2"/>
  <c r="Y265" i="2"/>
  <c r="X265" i="2"/>
  <c r="H265" i="2"/>
  <c r="AF283" i="2"/>
  <c r="O283" i="2"/>
  <c r="L283" i="2"/>
  <c r="M283" i="2"/>
  <c r="N283" i="2"/>
  <c r="W283" i="2"/>
  <c r="V283" i="2"/>
  <c r="G291" i="2"/>
  <c r="G296" i="2"/>
  <c r="AG304" i="2"/>
  <c r="D306" i="2"/>
  <c r="Z309" i="2"/>
  <c r="O309" i="2"/>
  <c r="L309" i="2"/>
  <c r="M309" i="2"/>
  <c r="N309" i="2"/>
  <c r="S316" i="2"/>
  <c r="O257" i="2"/>
  <c r="L257" i="2"/>
  <c r="M257" i="2"/>
  <c r="N257" i="2"/>
  <c r="AB257" i="2"/>
  <c r="O261" i="2"/>
  <c r="L261" i="2"/>
  <c r="M261" i="2"/>
  <c r="N261" i="2"/>
  <c r="AF261" i="2"/>
  <c r="K264" i="2"/>
  <c r="AG272" i="2"/>
  <c r="O272" i="2"/>
  <c r="L272" i="2"/>
  <c r="M272" i="2"/>
  <c r="N272" i="2"/>
  <c r="T272" i="2"/>
  <c r="S272" i="2"/>
  <c r="AD272" i="2"/>
  <c r="AF272" i="2"/>
  <c r="O294" i="2"/>
  <c r="L294" i="2"/>
  <c r="M294" i="2"/>
  <c r="N294" i="2"/>
  <c r="AC294" i="2"/>
  <c r="V294" i="2"/>
  <c r="V316" i="2"/>
  <c r="AF335" i="2"/>
  <c r="O335" i="2"/>
  <c r="L335" i="2"/>
  <c r="M335" i="2"/>
  <c r="N335" i="2"/>
  <c r="AK335" i="2"/>
  <c r="W335" i="2"/>
  <c r="K335" i="2"/>
  <c r="U339" i="2"/>
  <c r="AK149" i="2"/>
  <c r="O149" i="2"/>
  <c r="L149" i="2"/>
  <c r="M149" i="2"/>
  <c r="N149" i="2"/>
  <c r="V151" i="2"/>
  <c r="AK151" i="2"/>
  <c r="W155" i="2"/>
  <c r="C159" i="2"/>
  <c r="K168" i="2"/>
  <c r="C171" i="2"/>
  <c r="V173" i="2"/>
  <c r="O173" i="2"/>
  <c r="L173" i="2"/>
  <c r="M173" i="2"/>
  <c r="N173" i="2"/>
  <c r="O178" i="2"/>
  <c r="L178" i="2"/>
  <c r="M178" i="2"/>
  <c r="N178" i="2"/>
  <c r="T178" i="2"/>
  <c r="K183" i="2"/>
  <c r="C195" i="2"/>
  <c r="Z197" i="2"/>
  <c r="O197" i="2"/>
  <c r="L197" i="2"/>
  <c r="M197" i="2"/>
  <c r="N197" i="2"/>
  <c r="C199" i="2"/>
  <c r="AF200" i="2"/>
  <c r="J214" i="2"/>
  <c r="Z216" i="2"/>
  <c r="X228" i="2"/>
  <c r="O234" i="2"/>
  <c r="L234" i="2"/>
  <c r="M234" i="2"/>
  <c r="N234" i="2"/>
  <c r="AC234" i="2"/>
  <c r="AK237" i="2"/>
  <c r="AF239" i="2"/>
  <c r="O239" i="2"/>
  <c r="L239" i="2"/>
  <c r="M239" i="2"/>
  <c r="N239" i="2"/>
  <c r="K240" i="2"/>
  <c r="H243" i="2"/>
  <c r="AK243" i="2"/>
  <c r="AC245" i="2"/>
  <c r="R246" i="2"/>
  <c r="AK249" i="2"/>
  <c r="AF251" i="2"/>
  <c r="O251" i="2"/>
  <c r="L251" i="2"/>
  <c r="M251" i="2"/>
  <c r="N251" i="2"/>
  <c r="J252" i="2"/>
  <c r="AF252" i="2"/>
  <c r="Z255" i="2"/>
  <c r="O255" i="2"/>
  <c r="M255" i="2"/>
  <c r="L255" i="2"/>
  <c r="N255" i="2"/>
  <c r="AB255" i="2"/>
  <c r="H256" i="2"/>
  <c r="AC257" i="2"/>
  <c r="R259" i="2"/>
  <c r="O260" i="2"/>
  <c r="L260" i="2"/>
  <c r="M260" i="2"/>
  <c r="N260" i="2"/>
  <c r="T260" i="2"/>
  <c r="AG261" i="2"/>
  <c r="K263" i="2"/>
  <c r="D265" i="2"/>
  <c r="T266" i="2"/>
  <c r="AK272" i="2"/>
  <c r="H277" i="2"/>
  <c r="S279" i="2"/>
  <c r="Z291" i="2"/>
  <c r="J295" i="2"/>
  <c r="K296" i="2"/>
  <c r="J306" i="2"/>
  <c r="T315" i="2"/>
  <c r="AD316" i="2"/>
  <c r="K321" i="2"/>
  <c r="V322" i="2"/>
  <c r="AF134" i="2"/>
  <c r="O134" i="2"/>
  <c r="L134" i="2"/>
  <c r="M134" i="2"/>
  <c r="N134" i="2"/>
  <c r="AB134" i="2"/>
  <c r="Y139" i="2"/>
  <c r="O139" i="2"/>
  <c r="L139" i="2"/>
  <c r="M139" i="2"/>
  <c r="N139" i="2"/>
  <c r="AD139" i="2"/>
  <c r="O141" i="2"/>
  <c r="L141" i="2"/>
  <c r="M141" i="2"/>
  <c r="N141" i="2"/>
  <c r="T141" i="2"/>
  <c r="G151" i="2"/>
  <c r="W151" i="2"/>
  <c r="Z152" i="2"/>
  <c r="O152" i="2"/>
  <c r="L152" i="2"/>
  <c r="M152" i="2"/>
  <c r="N152" i="2"/>
  <c r="V152" i="2"/>
  <c r="X155" i="2"/>
  <c r="O158" i="2"/>
  <c r="M158" i="2"/>
  <c r="L158" i="2"/>
  <c r="N158" i="2"/>
  <c r="T182" i="2"/>
  <c r="O182" i="2"/>
  <c r="L182" i="2"/>
  <c r="M182" i="2"/>
  <c r="N182" i="2"/>
  <c r="Y184" i="2"/>
  <c r="O184" i="2"/>
  <c r="L184" i="2"/>
  <c r="M184" i="2"/>
  <c r="N184" i="2"/>
  <c r="AD184" i="2"/>
  <c r="AD201" i="2"/>
  <c r="O201" i="2"/>
  <c r="L201" i="2"/>
  <c r="M201" i="2"/>
  <c r="N201" i="2"/>
  <c r="S201" i="2"/>
  <c r="AK201" i="2"/>
  <c r="O238" i="2"/>
  <c r="L238" i="2"/>
  <c r="M238" i="2"/>
  <c r="N238" i="2"/>
  <c r="T238" i="2"/>
  <c r="Y244" i="2"/>
  <c r="O244" i="2"/>
  <c r="L244" i="2"/>
  <c r="M244" i="2"/>
  <c r="N244" i="2"/>
  <c r="AD244" i="2"/>
  <c r="O246" i="2"/>
  <c r="L246" i="2"/>
  <c r="M246" i="2"/>
  <c r="N246" i="2"/>
  <c r="S246" i="2"/>
  <c r="AB247" i="2"/>
  <c r="O247" i="2"/>
  <c r="L247" i="2"/>
  <c r="M247" i="2"/>
  <c r="N247" i="2"/>
  <c r="G248" i="2"/>
  <c r="K249" i="2"/>
  <c r="O250" i="2"/>
  <c r="L250" i="2"/>
  <c r="M250" i="2"/>
  <c r="N250" i="2"/>
  <c r="T250" i="2"/>
  <c r="K252" i="2"/>
  <c r="AH252" i="2"/>
  <c r="C257" i="2"/>
  <c r="D261" i="2"/>
  <c r="O262" i="2"/>
  <c r="L262" i="2"/>
  <c r="M262" i="2"/>
  <c r="N262" i="2"/>
  <c r="AF262" i="2"/>
  <c r="R264" i="2"/>
  <c r="O267" i="2"/>
  <c r="M267" i="2"/>
  <c r="L267" i="2"/>
  <c r="N267" i="2"/>
  <c r="G267" i="2"/>
  <c r="C272" i="2"/>
  <c r="AH273" i="2"/>
  <c r="O273" i="2"/>
  <c r="L273" i="2"/>
  <c r="M273" i="2"/>
  <c r="N273" i="2"/>
  <c r="Z279" i="2"/>
  <c r="D294" i="2"/>
  <c r="K295" i="2"/>
  <c r="W296" i="2"/>
  <c r="AD305" i="2"/>
  <c r="O305" i="2"/>
  <c r="L305" i="2"/>
  <c r="M305" i="2"/>
  <c r="N305" i="2"/>
  <c r="X305" i="2"/>
  <c r="H305" i="2"/>
  <c r="AH305" i="2"/>
  <c r="S305" i="2"/>
  <c r="C305" i="2"/>
  <c r="AG305" i="2"/>
  <c r="R305" i="2"/>
  <c r="V305" i="2"/>
  <c r="AG308" i="2"/>
  <c r="O308" i="2"/>
  <c r="L308" i="2"/>
  <c r="M308" i="2"/>
  <c r="N308" i="2"/>
  <c r="X308" i="2"/>
  <c r="U315" i="2"/>
  <c r="O323" i="2"/>
  <c r="L323" i="2"/>
  <c r="M323" i="2"/>
  <c r="N323" i="2"/>
  <c r="AB323" i="2"/>
  <c r="V323" i="2"/>
  <c r="S323" i="2"/>
  <c r="K323" i="2"/>
  <c r="G323" i="2"/>
  <c r="AK323" i="2"/>
  <c r="AD237" i="2"/>
  <c r="O237" i="2"/>
  <c r="L237" i="2"/>
  <c r="M237" i="2"/>
  <c r="N237" i="2"/>
  <c r="T237" i="2"/>
  <c r="AH241" i="2"/>
  <c r="O241" i="2"/>
  <c r="L241" i="2"/>
  <c r="N241" i="2"/>
  <c r="M241" i="2"/>
  <c r="K243" i="2"/>
  <c r="H248" i="2"/>
  <c r="AK252" i="2"/>
  <c r="AH257" i="2"/>
  <c r="O259" i="2"/>
  <c r="L259" i="2"/>
  <c r="M259" i="2"/>
  <c r="N259" i="2"/>
  <c r="U259" i="2"/>
  <c r="O290" i="2"/>
  <c r="L290" i="2"/>
  <c r="N290" i="2"/>
  <c r="M290" i="2"/>
  <c r="R295" i="2"/>
  <c r="X296" i="2"/>
  <c r="U306" i="2"/>
  <c r="Z315" i="2"/>
  <c r="T321" i="2"/>
  <c r="AH398" i="2"/>
  <c r="O398" i="2"/>
  <c r="L398" i="2"/>
  <c r="M398" i="2"/>
  <c r="N398" i="2"/>
  <c r="W398" i="2"/>
  <c r="V398" i="2"/>
  <c r="G398" i="2"/>
  <c r="D398" i="2"/>
  <c r="AD438" i="2"/>
  <c r="O438" i="2"/>
  <c r="L438" i="2"/>
  <c r="M438" i="2"/>
  <c r="N438" i="2"/>
  <c r="K438" i="2"/>
  <c r="AC438" i="2"/>
  <c r="J438" i="2"/>
  <c r="AB438" i="2"/>
  <c r="Z438" i="2"/>
  <c r="G438" i="2"/>
  <c r="W438" i="2"/>
  <c r="V438" i="2"/>
  <c r="D438" i="2"/>
  <c r="U438" i="2"/>
  <c r="C438" i="2"/>
  <c r="AG438" i="2"/>
  <c r="AF438" i="2"/>
  <c r="T438" i="2"/>
  <c r="S438" i="2"/>
  <c r="H438" i="2"/>
  <c r="AH438" i="2"/>
  <c r="Z253" i="2"/>
  <c r="O253" i="2"/>
  <c r="L253" i="2"/>
  <c r="M253" i="2"/>
  <c r="N253" i="2"/>
  <c r="H257" i="2"/>
  <c r="AK257" i="2"/>
  <c r="G261" i="2"/>
  <c r="Y264" i="2"/>
  <c r="O264" i="2"/>
  <c r="L264" i="2"/>
  <c r="M264" i="2"/>
  <c r="N264" i="2"/>
  <c r="AH264" i="2"/>
  <c r="X264" i="2"/>
  <c r="V264" i="2"/>
  <c r="G272" i="2"/>
  <c r="AC277" i="2"/>
  <c r="V295" i="2"/>
  <c r="O302" i="2"/>
  <c r="M302" i="2"/>
  <c r="L302" i="2"/>
  <c r="N302" i="2"/>
  <c r="V306" i="2"/>
  <c r="O311" i="2"/>
  <c r="L311" i="2"/>
  <c r="M311" i="2"/>
  <c r="N311" i="2"/>
  <c r="AD311" i="2"/>
  <c r="Y316" i="2"/>
  <c r="O316" i="2"/>
  <c r="L316" i="2"/>
  <c r="M316" i="2"/>
  <c r="N316" i="2"/>
  <c r="AC316" i="2"/>
  <c r="AB316" i="2"/>
  <c r="K316" i="2"/>
  <c r="J316" i="2"/>
  <c r="Z316" i="2"/>
  <c r="X316" i="2"/>
  <c r="H316" i="2"/>
  <c r="W316" i="2"/>
  <c r="G316" i="2"/>
  <c r="AH316" i="2"/>
  <c r="U316" i="2"/>
  <c r="AG316" i="2"/>
  <c r="T316" i="2"/>
  <c r="D316" i="2"/>
  <c r="AK316" i="2"/>
  <c r="AF122" i="2"/>
  <c r="O122" i="2"/>
  <c r="L122" i="2"/>
  <c r="M122" i="2"/>
  <c r="N122" i="2"/>
  <c r="AB122" i="2"/>
  <c r="AB130" i="2"/>
  <c r="O130" i="2"/>
  <c r="L130" i="2"/>
  <c r="M130" i="2"/>
  <c r="N130" i="2"/>
  <c r="AC130" i="2"/>
  <c r="AK134" i="2"/>
  <c r="D139" i="2"/>
  <c r="T139" i="2"/>
  <c r="AG139" i="2"/>
  <c r="Z141" i="2"/>
  <c r="AC143" i="2"/>
  <c r="O143" i="2"/>
  <c r="L143" i="2"/>
  <c r="M143" i="2"/>
  <c r="N143" i="2"/>
  <c r="U146" i="2"/>
  <c r="J151" i="2"/>
  <c r="D152" i="2"/>
  <c r="AC152" i="2"/>
  <c r="Z154" i="2"/>
  <c r="O154" i="2"/>
  <c r="L154" i="2"/>
  <c r="M154" i="2"/>
  <c r="N154" i="2"/>
  <c r="AG154" i="2"/>
  <c r="O156" i="2"/>
  <c r="L156" i="2"/>
  <c r="M156" i="2"/>
  <c r="N156" i="2"/>
  <c r="AG168" i="2"/>
  <c r="O168" i="2"/>
  <c r="L168" i="2"/>
  <c r="M168" i="2"/>
  <c r="N168" i="2"/>
  <c r="T168" i="2"/>
  <c r="O169" i="2"/>
  <c r="L169" i="2"/>
  <c r="M169" i="2"/>
  <c r="N169" i="2"/>
  <c r="J171" i="2"/>
  <c r="AH171" i="2"/>
  <c r="S182" i="2"/>
  <c r="D184" i="2"/>
  <c r="T184" i="2"/>
  <c r="AG184" i="2"/>
  <c r="AC185" i="2"/>
  <c r="J195" i="2"/>
  <c r="AH195" i="2"/>
  <c r="D201" i="2"/>
  <c r="V201" i="2"/>
  <c r="O214" i="2"/>
  <c r="L214" i="2"/>
  <c r="M214" i="2"/>
  <c r="N214" i="2"/>
  <c r="R214" i="2"/>
  <c r="AF215" i="2"/>
  <c r="O215" i="2"/>
  <c r="L215" i="2"/>
  <c r="M215" i="2"/>
  <c r="N215" i="2"/>
  <c r="J216" i="2"/>
  <c r="AF216" i="2"/>
  <c r="J228" i="2"/>
  <c r="AB235" i="2"/>
  <c r="O235" i="2"/>
  <c r="L235" i="2"/>
  <c r="M235" i="2"/>
  <c r="N235" i="2"/>
  <c r="AC236" i="2"/>
  <c r="O236" i="2"/>
  <c r="L236" i="2"/>
  <c r="M236" i="2"/>
  <c r="N236" i="2"/>
  <c r="C237" i="2"/>
  <c r="W237" i="2"/>
  <c r="D238" i="2"/>
  <c r="X238" i="2"/>
  <c r="AG240" i="2"/>
  <c r="O240" i="2"/>
  <c r="L240" i="2"/>
  <c r="M240" i="2"/>
  <c r="N240" i="2"/>
  <c r="T240" i="2"/>
  <c r="T243" i="2"/>
  <c r="D244" i="2"/>
  <c r="T244" i="2"/>
  <c r="AG244" i="2"/>
  <c r="W246" i="2"/>
  <c r="T248" i="2"/>
  <c r="T249" i="2"/>
  <c r="D250" i="2"/>
  <c r="X250" i="2"/>
  <c r="R252" i="2"/>
  <c r="W258" i="2"/>
  <c r="O258" i="2"/>
  <c r="L258" i="2"/>
  <c r="M258" i="2"/>
  <c r="N258" i="2"/>
  <c r="U258" i="2"/>
  <c r="C259" i="2"/>
  <c r="X259" i="2"/>
  <c r="X263" i="2"/>
  <c r="O263" i="2"/>
  <c r="L263" i="2"/>
  <c r="M263" i="2"/>
  <c r="N263" i="2"/>
  <c r="U263" i="2"/>
  <c r="W264" i="2"/>
  <c r="S265" i="2"/>
  <c r="H272" i="2"/>
  <c r="O278" i="2"/>
  <c r="L278" i="2"/>
  <c r="M278" i="2"/>
  <c r="N278" i="2"/>
  <c r="R278" i="2"/>
  <c r="R283" i="2"/>
  <c r="J294" i="2"/>
  <c r="AH295" i="2"/>
  <c r="AK296" i="2"/>
  <c r="Y304" i="2"/>
  <c r="O304" i="2"/>
  <c r="L304" i="2"/>
  <c r="M304" i="2"/>
  <c r="N304" i="2"/>
  <c r="AF304" i="2"/>
  <c r="S304" i="2"/>
  <c r="C304" i="2"/>
  <c r="R304" i="2"/>
  <c r="Z304" i="2"/>
  <c r="X304" i="2"/>
  <c r="H304" i="2"/>
  <c r="V304" i="2"/>
  <c r="AC305" i="2"/>
  <c r="AH306" i="2"/>
  <c r="O358" i="2"/>
  <c r="L358" i="2"/>
  <c r="M358" i="2"/>
  <c r="N358" i="2"/>
  <c r="R358" i="2"/>
  <c r="J358" i="2"/>
  <c r="AH358" i="2"/>
  <c r="AG358" i="2"/>
  <c r="H358" i="2"/>
  <c r="AD358" i="2"/>
  <c r="AB358" i="2"/>
  <c r="D358" i="2"/>
  <c r="X358" i="2"/>
  <c r="C358" i="2"/>
  <c r="V358" i="2"/>
  <c r="T358" i="2"/>
  <c r="AG122" i="2"/>
  <c r="AD130" i="2"/>
  <c r="AG135" i="2"/>
  <c r="O135" i="2"/>
  <c r="M135" i="2"/>
  <c r="L135" i="2"/>
  <c r="N135" i="2"/>
  <c r="U139" i="2"/>
  <c r="AH139" i="2"/>
  <c r="AB141" i="2"/>
  <c r="AF143" i="2"/>
  <c r="V146" i="2"/>
  <c r="K151" i="2"/>
  <c r="AB151" i="2"/>
  <c r="AD152" i="2"/>
  <c r="AH154" i="2"/>
  <c r="J158" i="2"/>
  <c r="T159" i="2"/>
  <c r="AK161" i="2"/>
  <c r="O161" i="2"/>
  <c r="L161" i="2"/>
  <c r="M161" i="2"/>
  <c r="N161" i="2"/>
  <c r="O162" i="2"/>
  <c r="L162" i="2"/>
  <c r="M162" i="2"/>
  <c r="N162" i="2"/>
  <c r="O163" i="2"/>
  <c r="L163" i="2"/>
  <c r="M163" i="2"/>
  <c r="N163" i="2"/>
  <c r="AG163" i="2"/>
  <c r="V168" i="2"/>
  <c r="O170" i="2"/>
  <c r="L170" i="2"/>
  <c r="M170" i="2"/>
  <c r="N170" i="2"/>
  <c r="K171" i="2"/>
  <c r="AK171" i="2"/>
  <c r="AB178" i="2"/>
  <c r="X183" i="2"/>
  <c r="O183" i="2"/>
  <c r="M183" i="2"/>
  <c r="L183" i="2"/>
  <c r="N183" i="2"/>
  <c r="W183" i="2"/>
  <c r="U184" i="2"/>
  <c r="AH184" i="2"/>
  <c r="O186" i="2"/>
  <c r="L186" i="2"/>
  <c r="M186" i="2"/>
  <c r="N186" i="2"/>
  <c r="AC186" i="2"/>
  <c r="AF191" i="2"/>
  <c r="O191" i="2"/>
  <c r="L191" i="2"/>
  <c r="M191" i="2"/>
  <c r="N191" i="2"/>
  <c r="K195" i="2"/>
  <c r="AK195" i="2"/>
  <c r="AC197" i="2"/>
  <c r="S199" i="2"/>
  <c r="W201" i="2"/>
  <c r="Z209" i="2"/>
  <c r="O209" i="2"/>
  <c r="L209" i="2"/>
  <c r="M209" i="2"/>
  <c r="N209" i="2"/>
  <c r="O210" i="2"/>
  <c r="L210" i="2"/>
  <c r="M210" i="2"/>
  <c r="N210" i="2"/>
  <c r="AC210" i="2"/>
  <c r="T214" i="2"/>
  <c r="K216" i="2"/>
  <c r="AK216" i="2"/>
  <c r="Z221" i="2"/>
  <c r="O221" i="2"/>
  <c r="L221" i="2"/>
  <c r="M221" i="2"/>
  <c r="N221" i="2"/>
  <c r="AD225" i="2"/>
  <c r="O225" i="2"/>
  <c r="L225" i="2"/>
  <c r="M225" i="2"/>
  <c r="N225" i="2"/>
  <c r="T225" i="2"/>
  <c r="AF227" i="2"/>
  <c r="O227" i="2"/>
  <c r="L227" i="2"/>
  <c r="M227" i="2"/>
  <c r="N227" i="2"/>
  <c r="K228" i="2"/>
  <c r="AF228" i="2"/>
  <c r="K234" i="2"/>
  <c r="D237" i="2"/>
  <c r="Z237" i="2"/>
  <c r="V240" i="2"/>
  <c r="AK242" i="2"/>
  <c r="O242" i="2"/>
  <c r="L242" i="2"/>
  <c r="N242" i="2"/>
  <c r="M242" i="2"/>
  <c r="U243" i="2"/>
  <c r="U244" i="2"/>
  <c r="AH244" i="2"/>
  <c r="X246" i="2"/>
  <c r="AF248" i="2"/>
  <c r="U249" i="2"/>
  <c r="Z250" i="2"/>
  <c r="K251" i="2"/>
  <c r="T252" i="2"/>
  <c r="Y256" i="2"/>
  <c r="O256" i="2"/>
  <c r="L256" i="2"/>
  <c r="M256" i="2"/>
  <c r="N256" i="2"/>
  <c r="AD256" i="2"/>
  <c r="K257" i="2"/>
  <c r="V258" i="2"/>
  <c r="Y259" i="2"/>
  <c r="G260" i="2"/>
  <c r="Z260" i="2"/>
  <c r="S261" i="2"/>
  <c r="H262" i="2"/>
  <c r="V263" i="2"/>
  <c r="C264" i="2"/>
  <c r="W265" i="2"/>
  <c r="K272" i="2"/>
  <c r="Z283" i="2"/>
  <c r="Z289" i="2"/>
  <c r="O289" i="2"/>
  <c r="L289" i="2"/>
  <c r="N289" i="2"/>
  <c r="M289" i="2"/>
  <c r="T289" i="2"/>
  <c r="D289" i="2"/>
  <c r="AK295" i="2"/>
  <c r="W304" i="2"/>
  <c r="AF307" i="2"/>
  <c r="O307" i="2"/>
  <c r="L307" i="2"/>
  <c r="M307" i="2"/>
  <c r="N307" i="2"/>
  <c r="J307" i="2"/>
  <c r="AH307" i="2"/>
  <c r="AD307" i="2"/>
  <c r="G308" i="2"/>
  <c r="C316" i="2"/>
  <c r="AF321" i="2"/>
  <c r="J323" i="2"/>
  <c r="X351" i="2"/>
  <c r="O351" i="2"/>
  <c r="M351" i="2"/>
  <c r="L351" i="2"/>
  <c r="N351" i="2"/>
  <c r="W351" i="2"/>
  <c r="U351" i="2"/>
  <c r="T351" i="2"/>
  <c r="K351" i="2"/>
  <c r="AK351" i="2"/>
  <c r="H351" i="2"/>
  <c r="AG351" i="2"/>
  <c r="AF351" i="2"/>
  <c r="C351" i="2"/>
  <c r="AC351" i="2"/>
  <c r="Z351" i="2"/>
  <c r="AK438" i="2"/>
  <c r="X444" i="2"/>
  <c r="O444" i="2"/>
  <c r="L444" i="2"/>
  <c r="M444" i="2"/>
  <c r="N444" i="2"/>
  <c r="H444" i="2"/>
  <c r="D444" i="2"/>
  <c r="C444" i="2"/>
  <c r="AC444" i="2"/>
  <c r="Y340" i="2"/>
  <c r="O340" i="2"/>
  <c r="L340" i="2"/>
  <c r="M340" i="2"/>
  <c r="N340" i="2"/>
  <c r="AD340" i="2"/>
  <c r="Z353" i="2"/>
  <c r="O353" i="2"/>
  <c r="L353" i="2"/>
  <c r="M353" i="2"/>
  <c r="N353" i="2"/>
  <c r="X387" i="2"/>
  <c r="O387" i="2"/>
  <c r="M387" i="2"/>
  <c r="L387" i="2"/>
  <c r="N387" i="2"/>
  <c r="U387" i="2"/>
  <c r="AD402" i="2"/>
  <c r="O402" i="2"/>
  <c r="L402" i="2"/>
  <c r="M402" i="2"/>
  <c r="N402" i="2"/>
  <c r="S402" i="2"/>
  <c r="AH402" i="2"/>
  <c r="Y604" i="2"/>
  <c r="O604" i="2"/>
  <c r="L604" i="2"/>
  <c r="M604" i="2"/>
  <c r="N604" i="2"/>
  <c r="AD604" i="2"/>
  <c r="AC604" i="2"/>
  <c r="K604" i="2"/>
  <c r="AB604" i="2"/>
  <c r="H604" i="2"/>
  <c r="Z604" i="2"/>
  <c r="G604" i="2"/>
  <c r="X604" i="2"/>
  <c r="W604" i="2"/>
  <c r="U604" i="2"/>
  <c r="D604" i="2"/>
  <c r="AK604" i="2"/>
  <c r="AG604" i="2"/>
  <c r="AF604" i="2"/>
  <c r="T604" i="2"/>
  <c r="S604" i="2"/>
  <c r="R604" i="2"/>
  <c r="C604" i="2"/>
  <c r="J328" i="2"/>
  <c r="T332" i="2"/>
  <c r="O332" i="2"/>
  <c r="L332" i="2"/>
  <c r="M332" i="2"/>
  <c r="N332" i="2"/>
  <c r="K333" i="2"/>
  <c r="AC333" i="2"/>
  <c r="C340" i="2"/>
  <c r="S340" i="2"/>
  <c r="AF340" i="2"/>
  <c r="T342" i="2"/>
  <c r="D353" i="2"/>
  <c r="AH385" i="2"/>
  <c r="O385" i="2"/>
  <c r="L385" i="2"/>
  <c r="M385" i="2"/>
  <c r="N385" i="2"/>
  <c r="C387" i="2"/>
  <c r="Z387" i="2"/>
  <c r="AD390" i="2"/>
  <c r="O390" i="2"/>
  <c r="L390" i="2"/>
  <c r="M390" i="2"/>
  <c r="N390" i="2"/>
  <c r="S390" i="2"/>
  <c r="AH390" i="2"/>
  <c r="C402" i="2"/>
  <c r="U402" i="2"/>
  <c r="O403" i="2"/>
  <c r="L403" i="2"/>
  <c r="M403" i="2"/>
  <c r="N403" i="2"/>
  <c r="R403" i="2"/>
  <c r="AH403" i="2"/>
  <c r="AC413" i="2"/>
  <c r="O413" i="2"/>
  <c r="L413" i="2"/>
  <c r="M413" i="2"/>
  <c r="N413" i="2"/>
  <c r="AF413" i="2"/>
  <c r="K414" i="2"/>
  <c r="AH442" i="2"/>
  <c r="O442" i="2"/>
  <c r="L442" i="2"/>
  <c r="M442" i="2"/>
  <c r="N442" i="2"/>
  <c r="AD445" i="2"/>
  <c r="O588" i="2"/>
  <c r="L588" i="2"/>
  <c r="M588" i="2"/>
  <c r="N588" i="2"/>
  <c r="AF588" i="2"/>
  <c r="AC588" i="2"/>
  <c r="AB588" i="2"/>
  <c r="Z588" i="2"/>
  <c r="K588" i="2"/>
  <c r="AK268" i="2"/>
  <c r="Y276" i="2"/>
  <c r="O276" i="2"/>
  <c r="L276" i="2"/>
  <c r="M276" i="2"/>
  <c r="N276" i="2"/>
  <c r="S276" i="2"/>
  <c r="O282" i="2"/>
  <c r="L282" i="2"/>
  <c r="M282" i="2"/>
  <c r="N282" i="2"/>
  <c r="AG284" i="2"/>
  <c r="O284" i="2"/>
  <c r="L284" i="2"/>
  <c r="M284" i="2"/>
  <c r="N284" i="2"/>
  <c r="Y288" i="2"/>
  <c r="O288" i="2"/>
  <c r="L288" i="2"/>
  <c r="M288" i="2"/>
  <c r="N288" i="2"/>
  <c r="S288" i="2"/>
  <c r="Y292" i="2"/>
  <c r="O292" i="2"/>
  <c r="L292" i="2"/>
  <c r="M292" i="2"/>
  <c r="N292" i="2"/>
  <c r="AD292" i="2"/>
  <c r="AH297" i="2"/>
  <c r="O297" i="2"/>
  <c r="L297" i="2"/>
  <c r="M297" i="2"/>
  <c r="N297" i="2"/>
  <c r="AB317" i="2"/>
  <c r="W318" i="2"/>
  <c r="AB320" i="2"/>
  <c r="Z326" i="2"/>
  <c r="AH327" i="2"/>
  <c r="K328" i="2"/>
  <c r="AB328" i="2"/>
  <c r="O330" i="2"/>
  <c r="L330" i="2"/>
  <c r="M330" i="2"/>
  <c r="N330" i="2"/>
  <c r="AC330" i="2"/>
  <c r="K336" i="2"/>
  <c r="D340" i="2"/>
  <c r="T340" i="2"/>
  <c r="AG340" i="2"/>
  <c r="V341" i="2"/>
  <c r="U342" i="2"/>
  <c r="J344" i="2"/>
  <c r="K345" i="2"/>
  <c r="K348" i="2"/>
  <c r="AK348" i="2"/>
  <c r="J352" i="2"/>
  <c r="AF356" i="2"/>
  <c r="S357" i="2"/>
  <c r="AG360" i="2"/>
  <c r="O360" i="2"/>
  <c r="L360" i="2"/>
  <c r="M360" i="2"/>
  <c r="N360" i="2"/>
  <c r="Z360" i="2"/>
  <c r="U363" i="2"/>
  <c r="U364" i="2"/>
  <c r="AH364" i="2"/>
  <c r="U375" i="2"/>
  <c r="U376" i="2"/>
  <c r="AH376" i="2"/>
  <c r="AC377" i="2"/>
  <c r="AD378" i="2"/>
  <c r="S379" i="2"/>
  <c r="T380" i="2"/>
  <c r="J381" i="2"/>
  <c r="O382" i="2"/>
  <c r="L382" i="2"/>
  <c r="M382" i="2"/>
  <c r="N382" i="2"/>
  <c r="T382" i="2"/>
  <c r="AK382" i="2"/>
  <c r="D387" i="2"/>
  <c r="H389" i="2"/>
  <c r="T390" i="2"/>
  <c r="AK390" i="2"/>
  <c r="W392" i="2"/>
  <c r="AK393" i="2"/>
  <c r="O401" i="2"/>
  <c r="L401" i="2"/>
  <c r="M401" i="2"/>
  <c r="N401" i="2"/>
  <c r="U401" i="2"/>
  <c r="D402" i="2"/>
  <c r="V402" i="2"/>
  <c r="T403" i="2"/>
  <c r="AK403" i="2"/>
  <c r="AK405" i="2"/>
  <c r="O405" i="2"/>
  <c r="L405" i="2"/>
  <c r="M405" i="2"/>
  <c r="N405" i="2"/>
  <c r="X407" i="2"/>
  <c r="Y409" i="2"/>
  <c r="O409" i="2"/>
  <c r="L409" i="2"/>
  <c r="M409" i="2"/>
  <c r="N409" i="2"/>
  <c r="AG409" i="2"/>
  <c r="R410" i="2"/>
  <c r="AG413" i="2"/>
  <c r="AF414" i="2"/>
  <c r="J415" i="2"/>
  <c r="AC415" i="2"/>
  <c r="K421" i="2"/>
  <c r="AK421" i="2"/>
  <c r="AC425" i="2"/>
  <c r="O425" i="2"/>
  <c r="L425" i="2"/>
  <c r="M425" i="2"/>
  <c r="N425" i="2"/>
  <c r="AD425" i="2"/>
  <c r="J425" i="2"/>
  <c r="AD426" i="2"/>
  <c r="O426" i="2"/>
  <c r="L426" i="2"/>
  <c r="M426" i="2"/>
  <c r="N426" i="2"/>
  <c r="AB426" i="2"/>
  <c r="J426" i="2"/>
  <c r="V426" i="2"/>
  <c r="D426" i="2"/>
  <c r="AK426" i="2"/>
  <c r="U426" i="2"/>
  <c r="C426" i="2"/>
  <c r="X426" i="2"/>
  <c r="K433" i="2"/>
  <c r="AF433" i="2"/>
  <c r="W435" i="2"/>
  <c r="Y512" i="2"/>
  <c r="O512" i="2"/>
  <c r="L512" i="2"/>
  <c r="M512" i="2"/>
  <c r="N512" i="2"/>
  <c r="AB512" i="2"/>
  <c r="K512" i="2"/>
  <c r="J512" i="2"/>
  <c r="Z512" i="2"/>
  <c r="X512" i="2"/>
  <c r="H512" i="2"/>
  <c r="W512" i="2"/>
  <c r="G512" i="2"/>
  <c r="AK512" i="2"/>
  <c r="V512" i="2"/>
  <c r="AH512" i="2"/>
  <c r="U512" i="2"/>
  <c r="AG512" i="2"/>
  <c r="T512" i="2"/>
  <c r="D512" i="2"/>
  <c r="AF512" i="2"/>
  <c r="S512" i="2"/>
  <c r="C512" i="2"/>
  <c r="R512" i="2"/>
  <c r="AC512" i="2"/>
  <c r="G268" i="2"/>
  <c r="W268" i="2"/>
  <c r="Z269" i="2"/>
  <c r="O269" i="2"/>
  <c r="L269" i="2"/>
  <c r="M269" i="2"/>
  <c r="N269" i="2"/>
  <c r="K271" i="2"/>
  <c r="X275" i="2"/>
  <c r="O275" i="2"/>
  <c r="L275" i="2"/>
  <c r="M275" i="2"/>
  <c r="N275" i="2"/>
  <c r="U275" i="2"/>
  <c r="V276" i="2"/>
  <c r="Y280" i="2"/>
  <c r="O280" i="2"/>
  <c r="L280" i="2"/>
  <c r="M280" i="2"/>
  <c r="N280" i="2"/>
  <c r="AD280" i="2"/>
  <c r="G281" i="2"/>
  <c r="W281" i="2"/>
  <c r="X287" i="2"/>
  <c r="O287" i="2"/>
  <c r="L287" i="2"/>
  <c r="M287" i="2"/>
  <c r="N287" i="2"/>
  <c r="U287" i="2"/>
  <c r="V288" i="2"/>
  <c r="R292" i="2"/>
  <c r="H312" i="2"/>
  <c r="AC312" i="2"/>
  <c r="AG324" i="2"/>
  <c r="O324" i="2"/>
  <c r="L324" i="2"/>
  <c r="M324" i="2"/>
  <c r="N324" i="2"/>
  <c r="S324" i="2"/>
  <c r="AK324" i="2"/>
  <c r="R327" i="2"/>
  <c r="AD330" i="2"/>
  <c r="R334" i="2"/>
  <c r="AF336" i="2"/>
  <c r="U340" i="2"/>
  <c r="AH340" i="2"/>
  <c r="G343" i="2"/>
  <c r="R346" i="2"/>
  <c r="AH349" i="2"/>
  <c r="O349" i="2"/>
  <c r="L349" i="2"/>
  <c r="M349" i="2"/>
  <c r="N349" i="2"/>
  <c r="K352" i="2"/>
  <c r="G353" i="2"/>
  <c r="H354" i="2"/>
  <c r="AB354" i="2"/>
  <c r="AC360" i="2"/>
  <c r="V364" i="2"/>
  <c r="AK364" i="2"/>
  <c r="O366" i="2"/>
  <c r="L366" i="2"/>
  <c r="M366" i="2"/>
  <c r="N366" i="2"/>
  <c r="R366" i="2"/>
  <c r="AH366" i="2"/>
  <c r="AD369" i="2"/>
  <c r="O369" i="2"/>
  <c r="L369" i="2"/>
  <c r="M369" i="2"/>
  <c r="N369" i="2"/>
  <c r="Z369" i="2"/>
  <c r="AG372" i="2"/>
  <c r="O372" i="2"/>
  <c r="L372" i="2"/>
  <c r="M372" i="2"/>
  <c r="N372" i="2"/>
  <c r="AC372" i="2"/>
  <c r="V376" i="2"/>
  <c r="AK376" i="2"/>
  <c r="U379" i="2"/>
  <c r="V380" i="2"/>
  <c r="K381" i="2"/>
  <c r="U382" i="2"/>
  <c r="AF383" i="2"/>
  <c r="O383" i="2"/>
  <c r="L383" i="2"/>
  <c r="M383" i="2"/>
  <c r="N383" i="2"/>
  <c r="AB387" i="2"/>
  <c r="C390" i="2"/>
  <c r="U390" i="2"/>
  <c r="O391" i="2"/>
  <c r="L391" i="2"/>
  <c r="M391" i="2"/>
  <c r="N391" i="2"/>
  <c r="R391" i="2"/>
  <c r="AH391" i="2"/>
  <c r="S393" i="2"/>
  <c r="O394" i="2"/>
  <c r="L394" i="2"/>
  <c r="M394" i="2"/>
  <c r="N394" i="2"/>
  <c r="S400" i="2"/>
  <c r="V401" i="2"/>
  <c r="W402" i="2"/>
  <c r="C403" i="2"/>
  <c r="U403" i="2"/>
  <c r="AK404" i="2"/>
  <c r="O404" i="2"/>
  <c r="L404" i="2"/>
  <c r="M404" i="2"/>
  <c r="N404" i="2"/>
  <c r="Z407" i="2"/>
  <c r="R409" i="2"/>
  <c r="AH409" i="2"/>
  <c r="H411" i="2"/>
  <c r="AD411" i="2"/>
  <c r="AH413" i="2"/>
  <c r="K415" i="2"/>
  <c r="AD415" i="2"/>
  <c r="G419" i="2"/>
  <c r="Z422" i="2"/>
  <c r="O422" i="2"/>
  <c r="L422" i="2"/>
  <c r="M422" i="2"/>
  <c r="N422" i="2"/>
  <c r="R422" i="2"/>
  <c r="AD422" i="2"/>
  <c r="AB422" i="2"/>
  <c r="Z426" i="2"/>
  <c r="S325" i="2"/>
  <c r="O325" i="2"/>
  <c r="L325" i="2"/>
  <c r="M325" i="2"/>
  <c r="N325" i="2"/>
  <c r="Y328" i="2"/>
  <c r="O328" i="2"/>
  <c r="L328" i="2"/>
  <c r="M328" i="2"/>
  <c r="N328" i="2"/>
  <c r="AD328" i="2"/>
  <c r="AD333" i="2"/>
  <c r="O333" i="2"/>
  <c r="L333" i="2"/>
  <c r="M333" i="2"/>
  <c r="N333" i="2"/>
  <c r="S333" i="2"/>
  <c r="AG333" i="2"/>
  <c r="V340" i="2"/>
  <c r="AK340" i="2"/>
  <c r="O342" i="2"/>
  <c r="L342" i="2"/>
  <c r="M342" i="2"/>
  <c r="N342" i="2"/>
  <c r="X342" i="2"/>
  <c r="AD357" i="2"/>
  <c r="O357" i="2"/>
  <c r="L357" i="2"/>
  <c r="M357" i="2"/>
  <c r="N357" i="2"/>
  <c r="U357" i="2"/>
  <c r="Z365" i="2"/>
  <c r="O365" i="2"/>
  <c r="L365" i="2"/>
  <c r="M365" i="2"/>
  <c r="N365" i="2"/>
  <c r="AC368" i="2"/>
  <c r="O368" i="2"/>
  <c r="L368" i="2"/>
  <c r="M368" i="2"/>
  <c r="N368" i="2"/>
  <c r="X375" i="2"/>
  <c r="O375" i="2"/>
  <c r="M375" i="2"/>
  <c r="L375" i="2"/>
  <c r="N375" i="2"/>
  <c r="Z375" i="2"/>
  <c r="Z377" i="2"/>
  <c r="O377" i="2"/>
  <c r="L377" i="2"/>
  <c r="M377" i="2"/>
  <c r="N377" i="2"/>
  <c r="O378" i="2"/>
  <c r="L378" i="2"/>
  <c r="M378" i="2"/>
  <c r="N378" i="2"/>
  <c r="R378" i="2"/>
  <c r="AF378" i="2"/>
  <c r="AK386" i="2"/>
  <c r="O386" i="2"/>
  <c r="L386" i="2"/>
  <c r="M386" i="2"/>
  <c r="N386" i="2"/>
  <c r="G387" i="2"/>
  <c r="AC387" i="2"/>
  <c r="D390" i="2"/>
  <c r="V390" i="2"/>
  <c r="G402" i="2"/>
  <c r="Z402" i="2"/>
  <c r="AD414" i="2"/>
  <c r="O414" i="2"/>
  <c r="L414" i="2"/>
  <c r="M414" i="2"/>
  <c r="N414" i="2"/>
  <c r="S414" i="2"/>
  <c r="AH414" i="2"/>
  <c r="AG417" i="2"/>
  <c r="O417" i="2"/>
  <c r="L417" i="2"/>
  <c r="M417" i="2"/>
  <c r="N417" i="2"/>
  <c r="Y445" i="2"/>
  <c r="O445" i="2"/>
  <c r="L445" i="2"/>
  <c r="M445" i="2"/>
  <c r="N445" i="2"/>
  <c r="AB445" i="2"/>
  <c r="K445" i="2"/>
  <c r="J445" i="2"/>
  <c r="Z445" i="2"/>
  <c r="X445" i="2"/>
  <c r="H445" i="2"/>
  <c r="W445" i="2"/>
  <c r="G445" i="2"/>
  <c r="AK445" i="2"/>
  <c r="V445" i="2"/>
  <c r="AH445" i="2"/>
  <c r="U445" i="2"/>
  <c r="AG445" i="2"/>
  <c r="T445" i="2"/>
  <c r="D445" i="2"/>
  <c r="AF445" i="2"/>
  <c r="AH449" i="2"/>
  <c r="O449" i="2"/>
  <c r="L449" i="2"/>
  <c r="M449" i="2"/>
  <c r="N449" i="2"/>
  <c r="AK449" i="2"/>
  <c r="AF449" i="2"/>
  <c r="V449" i="2"/>
  <c r="T449" i="2"/>
  <c r="J449" i="2"/>
  <c r="H449" i="2"/>
  <c r="G449" i="2"/>
  <c r="AB479" i="2"/>
  <c r="O479" i="2"/>
  <c r="L479" i="2"/>
  <c r="M479" i="2"/>
  <c r="N479" i="2"/>
  <c r="X479" i="2"/>
  <c r="U479" i="2"/>
  <c r="S479" i="2"/>
  <c r="R479" i="2"/>
  <c r="G479" i="2"/>
  <c r="AG479" i="2"/>
  <c r="C479" i="2"/>
  <c r="AC586" i="2"/>
  <c r="O586" i="2"/>
  <c r="L586" i="2"/>
  <c r="M586" i="2"/>
  <c r="N586" i="2"/>
  <c r="U586" i="2"/>
  <c r="R586" i="2"/>
  <c r="K586" i="2"/>
  <c r="J586" i="2"/>
  <c r="H586" i="2"/>
  <c r="AK586" i="2"/>
  <c r="Y586" i="2"/>
  <c r="C586" i="2"/>
  <c r="X586" i="2"/>
  <c r="W586" i="2"/>
  <c r="V586" i="2"/>
  <c r="O317" i="2"/>
  <c r="L317" i="2"/>
  <c r="M317" i="2"/>
  <c r="N317" i="2"/>
  <c r="O318" i="2"/>
  <c r="L318" i="2"/>
  <c r="M318" i="2"/>
  <c r="N318" i="2"/>
  <c r="AC318" i="2"/>
  <c r="T320" i="2"/>
  <c r="O320" i="2"/>
  <c r="L320" i="2"/>
  <c r="M320" i="2"/>
  <c r="N320" i="2"/>
  <c r="X327" i="2"/>
  <c r="O327" i="2"/>
  <c r="M327" i="2"/>
  <c r="L327" i="2"/>
  <c r="N327" i="2"/>
  <c r="U327" i="2"/>
  <c r="R328" i="2"/>
  <c r="T333" i="2"/>
  <c r="AK333" i="2"/>
  <c r="O337" i="2"/>
  <c r="L337" i="2"/>
  <c r="M337" i="2"/>
  <c r="N337" i="2"/>
  <c r="G340" i="2"/>
  <c r="W340" i="2"/>
  <c r="Z341" i="2"/>
  <c r="O341" i="2"/>
  <c r="L341" i="2"/>
  <c r="M341" i="2"/>
  <c r="N341" i="2"/>
  <c r="Z342" i="2"/>
  <c r="R343" i="2"/>
  <c r="AD345" i="2"/>
  <c r="O345" i="2"/>
  <c r="L345" i="2"/>
  <c r="M345" i="2"/>
  <c r="N345" i="2"/>
  <c r="S345" i="2"/>
  <c r="AK345" i="2"/>
  <c r="Y352" i="2"/>
  <c r="O352" i="2"/>
  <c r="L352" i="2"/>
  <c r="M352" i="2"/>
  <c r="N352" i="2"/>
  <c r="AD352" i="2"/>
  <c r="W357" i="2"/>
  <c r="X363" i="2"/>
  <c r="O363" i="2"/>
  <c r="M363" i="2"/>
  <c r="L363" i="2"/>
  <c r="N363" i="2"/>
  <c r="H364" i="2"/>
  <c r="X364" i="2"/>
  <c r="AB367" i="2"/>
  <c r="O367" i="2"/>
  <c r="L367" i="2"/>
  <c r="M367" i="2"/>
  <c r="N367" i="2"/>
  <c r="H376" i="2"/>
  <c r="X376" i="2"/>
  <c r="S378" i="2"/>
  <c r="AH378" i="2"/>
  <c r="AF380" i="2"/>
  <c r="T381" i="2"/>
  <c r="H387" i="2"/>
  <c r="AF387" i="2"/>
  <c r="W390" i="2"/>
  <c r="O392" i="2"/>
  <c r="L392" i="2"/>
  <c r="M392" i="2"/>
  <c r="N392" i="2"/>
  <c r="AK392" i="2"/>
  <c r="H402" i="2"/>
  <c r="W403" i="2"/>
  <c r="Z410" i="2"/>
  <c r="O410" i="2"/>
  <c r="L410" i="2"/>
  <c r="M410" i="2"/>
  <c r="N410" i="2"/>
  <c r="H413" i="2"/>
  <c r="T414" i="2"/>
  <c r="AK414" i="2"/>
  <c r="S419" i="2"/>
  <c r="Z501" i="2"/>
  <c r="O501" i="2"/>
  <c r="L501" i="2"/>
  <c r="M501" i="2"/>
  <c r="N501" i="2"/>
  <c r="AC501" i="2"/>
  <c r="V501" i="2"/>
  <c r="S501" i="2"/>
  <c r="J501" i="2"/>
  <c r="G501" i="2"/>
  <c r="D501" i="2"/>
  <c r="AD318" i="2"/>
  <c r="V327" i="2"/>
  <c r="C328" i="2"/>
  <c r="S328" i="2"/>
  <c r="AF328" i="2"/>
  <c r="R331" i="2"/>
  <c r="O331" i="2"/>
  <c r="L331" i="2"/>
  <c r="M331" i="2"/>
  <c r="N331" i="2"/>
  <c r="C333" i="2"/>
  <c r="U333" i="2"/>
  <c r="O334" i="2"/>
  <c r="L334" i="2"/>
  <c r="M334" i="2"/>
  <c r="N334" i="2"/>
  <c r="X334" i="2"/>
  <c r="AG336" i="2"/>
  <c r="O336" i="2"/>
  <c r="L336" i="2"/>
  <c r="M336" i="2"/>
  <c r="N336" i="2"/>
  <c r="T336" i="2"/>
  <c r="H340" i="2"/>
  <c r="X340" i="2"/>
  <c r="AC342" i="2"/>
  <c r="S343" i="2"/>
  <c r="T345" i="2"/>
  <c r="O346" i="2"/>
  <c r="L346" i="2"/>
  <c r="M346" i="2"/>
  <c r="N346" i="2"/>
  <c r="X346" i="2"/>
  <c r="AG348" i="2"/>
  <c r="O348" i="2"/>
  <c r="L348" i="2"/>
  <c r="M348" i="2"/>
  <c r="N348" i="2"/>
  <c r="V348" i="2"/>
  <c r="AK350" i="2"/>
  <c r="O350" i="2"/>
  <c r="L350" i="2"/>
  <c r="M350" i="2"/>
  <c r="N350" i="2"/>
  <c r="R352" i="2"/>
  <c r="S353" i="2"/>
  <c r="AC356" i="2"/>
  <c r="O356" i="2"/>
  <c r="L356" i="2"/>
  <c r="M356" i="2"/>
  <c r="N356" i="2"/>
  <c r="C357" i="2"/>
  <c r="Z357" i="2"/>
  <c r="AC363" i="2"/>
  <c r="Z364" i="2"/>
  <c r="D365" i="2"/>
  <c r="C375" i="2"/>
  <c r="AC375" i="2"/>
  <c r="Z376" i="2"/>
  <c r="D377" i="2"/>
  <c r="D378" i="2"/>
  <c r="T378" i="2"/>
  <c r="AK378" i="2"/>
  <c r="D386" i="2"/>
  <c r="AG387" i="2"/>
  <c r="S389" i="2"/>
  <c r="G390" i="2"/>
  <c r="Z390" i="2"/>
  <c r="O393" i="2"/>
  <c r="L393" i="2"/>
  <c r="M393" i="2"/>
  <c r="N393" i="2"/>
  <c r="W393" i="2"/>
  <c r="O400" i="2"/>
  <c r="L400" i="2"/>
  <c r="M400" i="2"/>
  <c r="N400" i="2"/>
  <c r="X400" i="2"/>
  <c r="AB402" i="2"/>
  <c r="X403" i="2"/>
  <c r="AB408" i="2"/>
  <c r="O408" i="2"/>
  <c r="L408" i="2"/>
  <c r="M408" i="2"/>
  <c r="N408" i="2"/>
  <c r="AC410" i="2"/>
  <c r="C414" i="2"/>
  <c r="U414" i="2"/>
  <c r="O415" i="2"/>
  <c r="L415" i="2"/>
  <c r="M415" i="2"/>
  <c r="N415" i="2"/>
  <c r="R415" i="2"/>
  <c r="AH415" i="2"/>
  <c r="X419" i="2"/>
  <c r="Y421" i="2"/>
  <c r="O421" i="2"/>
  <c r="L421" i="2"/>
  <c r="M421" i="2"/>
  <c r="N421" i="2"/>
  <c r="AH421" i="2"/>
  <c r="R421" i="2"/>
  <c r="Z421" i="2"/>
  <c r="H421" i="2"/>
  <c r="U421" i="2"/>
  <c r="O423" i="2"/>
  <c r="M423" i="2"/>
  <c r="L423" i="2"/>
  <c r="N423" i="2"/>
  <c r="Z423" i="2"/>
  <c r="R423" i="2"/>
  <c r="AK423" i="2"/>
  <c r="X423" i="2"/>
  <c r="AF428" i="2"/>
  <c r="O428" i="2"/>
  <c r="L428" i="2"/>
  <c r="M428" i="2"/>
  <c r="N428" i="2"/>
  <c r="K428" i="2"/>
  <c r="Y433" i="2"/>
  <c r="O433" i="2"/>
  <c r="L433" i="2"/>
  <c r="N433" i="2"/>
  <c r="M433" i="2"/>
  <c r="R433" i="2"/>
  <c r="Z433" i="2"/>
  <c r="X433" i="2"/>
  <c r="H433" i="2"/>
  <c r="T433" i="2"/>
  <c r="Z434" i="2"/>
  <c r="O434" i="2"/>
  <c r="L434" i="2"/>
  <c r="N434" i="2"/>
  <c r="M434" i="2"/>
  <c r="AH434" i="2"/>
  <c r="J434" i="2"/>
  <c r="AB434" i="2"/>
  <c r="C434" i="2"/>
  <c r="V434" i="2"/>
  <c r="AD434" i="2"/>
  <c r="C445" i="2"/>
  <c r="AF318" i="2"/>
  <c r="D320" i="2"/>
  <c r="O326" i="2"/>
  <c r="L326" i="2"/>
  <c r="M326" i="2"/>
  <c r="N326" i="2"/>
  <c r="C327" i="2"/>
  <c r="W327" i="2"/>
  <c r="D328" i="2"/>
  <c r="T328" i="2"/>
  <c r="AG328" i="2"/>
  <c r="D333" i="2"/>
  <c r="V333" i="2"/>
  <c r="V336" i="2"/>
  <c r="Z340" i="2"/>
  <c r="D341" i="2"/>
  <c r="AD342" i="2"/>
  <c r="U343" i="2"/>
  <c r="C345" i="2"/>
  <c r="U345" i="2"/>
  <c r="W348" i="2"/>
  <c r="C352" i="2"/>
  <c r="S352" i="2"/>
  <c r="AF352" i="2"/>
  <c r="AC353" i="2"/>
  <c r="AH361" i="2"/>
  <c r="O361" i="2"/>
  <c r="L361" i="2"/>
  <c r="M361" i="2"/>
  <c r="N361" i="2"/>
  <c r="AF363" i="2"/>
  <c r="J364" i="2"/>
  <c r="G368" i="2"/>
  <c r="AH373" i="2"/>
  <c r="O373" i="2"/>
  <c r="L373" i="2"/>
  <c r="M373" i="2"/>
  <c r="N373" i="2"/>
  <c r="D375" i="2"/>
  <c r="AF375" i="2"/>
  <c r="J376" i="2"/>
  <c r="U378" i="2"/>
  <c r="AB379" i="2"/>
  <c r="O379" i="2"/>
  <c r="L379" i="2"/>
  <c r="M379" i="2"/>
  <c r="N379" i="2"/>
  <c r="AC380" i="2"/>
  <c r="O380" i="2"/>
  <c r="L380" i="2"/>
  <c r="M380" i="2"/>
  <c r="N380" i="2"/>
  <c r="AD381" i="2"/>
  <c r="O381" i="2"/>
  <c r="L381" i="2"/>
  <c r="M381" i="2"/>
  <c r="N381" i="2"/>
  <c r="W381" i="2"/>
  <c r="K387" i="2"/>
  <c r="AK387" i="2"/>
  <c r="V389" i="2"/>
  <c r="H390" i="2"/>
  <c r="X393" i="2"/>
  <c r="Y400" i="2"/>
  <c r="J402" i="2"/>
  <c r="AC402" i="2"/>
  <c r="H403" i="2"/>
  <c r="AK407" i="2"/>
  <c r="O407" i="2"/>
  <c r="L407" i="2"/>
  <c r="M407" i="2"/>
  <c r="N407" i="2"/>
  <c r="C410" i="2"/>
  <c r="AD410" i="2"/>
  <c r="AB412" i="2"/>
  <c r="O412" i="2"/>
  <c r="L412" i="2"/>
  <c r="M412" i="2"/>
  <c r="N412" i="2"/>
  <c r="U412" i="2"/>
  <c r="J413" i="2"/>
  <c r="D414" i="2"/>
  <c r="V414" i="2"/>
  <c r="T415" i="2"/>
  <c r="AK415" i="2"/>
  <c r="AH418" i="2"/>
  <c r="O418" i="2"/>
  <c r="L418" i="2"/>
  <c r="M418" i="2"/>
  <c r="N418" i="2"/>
  <c r="Z419" i="2"/>
  <c r="V421" i="2"/>
  <c r="AB423" i="2"/>
  <c r="U433" i="2"/>
  <c r="O435" i="2"/>
  <c r="M435" i="2"/>
  <c r="L435" i="2"/>
  <c r="N435" i="2"/>
  <c r="S435" i="2"/>
  <c r="R435" i="2"/>
  <c r="AK435" i="2"/>
  <c r="K435" i="2"/>
  <c r="AD435" i="2"/>
  <c r="H435" i="2"/>
  <c r="AC435" i="2"/>
  <c r="G435" i="2"/>
  <c r="AB435" i="2"/>
  <c r="O450" i="2"/>
  <c r="L450" i="2"/>
  <c r="M450" i="2"/>
  <c r="N450" i="2"/>
  <c r="R450" i="2"/>
  <c r="AH450" i="2"/>
  <c r="AF450" i="2"/>
  <c r="J450" i="2"/>
  <c r="AD450" i="2"/>
  <c r="AC450" i="2"/>
  <c r="H450" i="2"/>
  <c r="Z450" i="2"/>
  <c r="Y450" i="2"/>
  <c r="X450" i="2"/>
  <c r="D450" i="2"/>
  <c r="U450" i="2"/>
  <c r="Y453" i="2"/>
  <c r="O453" i="2"/>
  <c r="L453" i="2"/>
  <c r="M453" i="2"/>
  <c r="N453" i="2"/>
  <c r="AG453" i="2"/>
  <c r="W453" i="2"/>
  <c r="U453" i="2"/>
  <c r="T453" i="2"/>
  <c r="J453" i="2"/>
  <c r="H453" i="2"/>
  <c r="G453" i="2"/>
  <c r="AD479" i="2"/>
  <c r="AD532" i="2"/>
  <c r="O532" i="2"/>
  <c r="L532" i="2"/>
  <c r="M532" i="2"/>
  <c r="N532" i="2"/>
  <c r="Y532" i="2"/>
  <c r="W532" i="2"/>
  <c r="U532" i="2"/>
  <c r="R532" i="2"/>
  <c r="X532" i="2"/>
  <c r="K532" i="2"/>
  <c r="J532" i="2"/>
  <c r="H532" i="2"/>
  <c r="C532" i="2"/>
  <c r="AH532" i="2"/>
  <c r="AB532" i="2"/>
  <c r="V269" i="2"/>
  <c r="O270" i="2"/>
  <c r="L270" i="2"/>
  <c r="M270" i="2"/>
  <c r="N270" i="2"/>
  <c r="AH270" i="2"/>
  <c r="AB275" i="2"/>
  <c r="G276" i="2"/>
  <c r="AC276" i="2"/>
  <c r="V280" i="2"/>
  <c r="AK280" i="2"/>
  <c r="U282" i="2"/>
  <c r="H284" i="2"/>
  <c r="AK286" i="2"/>
  <c r="O286" i="2"/>
  <c r="L286" i="2"/>
  <c r="M286" i="2"/>
  <c r="N286" i="2"/>
  <c r="AB287" i="2"/>
  <c r="G288" i="2"/>
  <c r="AC288" i="2"/>
  <c r="G292" i="2"/>
  <c r="W292" i="2"/>
  <c r="AD293" i="2"/>
  <c r="O293" i="2"/>
  <c r="L293" i="2"/>
  <c r="M293" i="2"/>
  <c r="N293" i="2"/>
  <c r="AG293" i="2"/>
  <c r="Y300" i="2"/>
  <c r="O300" i="2"/>
  <c r="L300" i="2"/>
  <c r="M300" i="2"/>
  <c r="N300" i="2"/>
  <c r="S300" i="2"/>
  <c r="Z301" i="2"/>
  <c r="O301" i="2"/>
  <c r="L301" i="2"/>
  <c r="M301" i="2"/>
  <c r="N301" i="2"/>
  <c r="Y310" i="2"/>
  <c r="O310" i="2"/>
  <c r="L310" i="2"/>
  <c r="M310" i="2"/>
  <c r="N310" i="2"/>
  <c r="Z310" i="2"/>
  <c r="S312" i="2"/>
  <c r="S314" i="2"/>
  <c r="O314" i="2"/>
  <c r="L314" i="2"/>
  <c r="M314" i="2"/>
  <c r="N314" i="2"/>
  <c r="AK318" i="2"/>
  <c r="Z324" i="2"/>
  <c r="Z327" i="2"/>
  <c r="U328" i="2"/>
  <c r="AH328" i="2"/>
  <c r="W333" i="2"/>
  <c r="C334" i="2"/>
  <c r="AB334" i="2"/>
  <c r="C336" i="2"/>
  <c r="W336" i="2"/>
  <c r="AK338" i="2"/>
  <c r="O338" i="2"/>
  <c r="L338" i="2"/>
  <c r="M338" i="2"/>
  <c r="N338" i="2"/>
  <c r="J340" i="2"/>
  <c r="H342" i="2"/>
  <c r="AF342" i="2"/>
  <c r="D345" i="2"/>
  <c r="W345" i="2"/>
  <c r="C346" i="2"/>
  <c r="AB346" i="2"/>
  <c r="C348" i="2"/>
  <c r="X348" i="2"/>
  <c r="D350" i="2"/>
  <c r="D352" i="2"/>
  <c r="T352" i="2"/>
  <c r="AG352" i="2"/>
  <c r="AB355" i="2"/>
  <c r="O355" i="2"/>
  <c r="L355" i="2"/>
  <c r="M355" i="2"/>
  <c r="N355" i="2"/>
  <c r="G357" i="2"/>
  <c r="AC357" i="2"/>
  <c r="AF359" i="2"/>
  <c r="O359" i="2"/>
  <c r="L359" i="2"/>
  <c r="M359" i="2"/>
  <c r="N359" i="2"/>
  <c r="K360" i="2"/>
  <c r="AG363" i="2"/>
  <c r="K364" i="2"/>
  <c r="AB364" i="2"/>
  <c r="G365" i="2"/>
  <c r="G366" i="2"/>
  <c r="X366" i="2"/>
  <c r="H368" i="2"/>
  <c r="H369" i="2"/>
  <c r="AK369" i="2"/>
  <c r="R370" i="2"/>
  <c r="K372" i="2"/>
  <c r="AG375" i="2"/>
  <c r="K376" i="2"/>
  <c r="AB376" i="2"/>
  <c r="G377" i="2"/>
  <c r="V378" i="2"/>
  <c r="Z381" i="2"/>
  <c r="H382" i="2"/>
  <c r="AK383" i="2"/>
  <c r="O388" i="2"/>
  <c r="L388" i="2"/>
  <c r="M388" i="2"/>
  <c r="N388" i="2"/>
  <c r="R388" i="2"/>
  <c r="AG388" i="2"/>
  <c r="Y389" i="2"/>
  <c r="AB390" i="2"/>
  <c r="X391" i="2"/>
  <c r="Y393" i="2"/>
  <c r="AK394" i="2"/>
  <c r="AF396" i="2"/>
  <c r="O396" i="2"/>
  <c r="L396" i="2"/>
  <c r="M396" i="2"/>
  <c r="N396" i="2"/>
  <c r="Y397" i="2"/>
  <c r="O397" i="2"/>
  <c r="L397" i="2"/>
  <c r="M397" i="2"/>
  <c r="N397" i="2"/>
  <c r="AD397" i="2"/>
  <c r="O399" i="2"/>
  <c r="M399" i="2"/>
  <c r="L399" i="2"/>
  <c r="N399" i="2"/>
  <c r="T399" i="2"/>
  <c r="C400" i="2"/>
  <c r="H401" i="2"/>
  <c r="K402" i="2"/>
  <c r="AB403" i="2"/>
  <c r="J404" i="2"/>
  <c r="W405" i="2"/>
  <c r="C408" i="2"/>
  <c r="G409" i="2"/>
  <c r="X409" i="2"/>
  <c r="D410" i="2"/>
  <c r="X412" i="2"/>
  <c r="R413" i="2"/>
  <c r="W414" i="2"/>
  <c r="C415" i="2"/>
  <c r="U415" i="2"/>
  <c r="AF416" i="2"/>
  <c r="O416" i="2"/>
  <c r="L416" i="2"/>
  <c r="M416" i="2"/>
  <c r="N416" i="2"/>
  <c r="C421" i="2"/>
  <c r="W421" i="2"/>
  <c r="G422" i="2"/>
  <c r="D423" i="2"/>
  <c r="AC423" i="2"/>
  <c r="T425" i="2"/>
  <c r="K426" i="2"/>
  <c r="AG426" i="2"/>
  <c r="C433" i="2"/>
  <c r="V433" i="2"/>
  <c r="D434" i="2"/>
  <c r="AF483" i="2"/>
  <c r="O483" i="2"/>
  <c r="M483" i="2"/>
  <c r="L483" i="2"/>
  <c r="N483" i="2"/>
  <c r="AK483" i="2"/>
  <c r="W483" i="2"/>
  <c r="K483" i="2"/>
  <c r="Y268" i="2"/>
  <c r="O268" i="2"/>
  <c r="L268" i="2"/>
  <c r="M268" i="2"/>
  <c r="N268" i="2"/>
  <c r="AD268" i="2"/>
  <c r="G269" i="2"/>
  <c r="W269" i="2"/>
  <c r="AF271" i="2"/>
  <c r="O271" i="2"/>
  <c r="L271" i="2"/>
  <c r="M271" i="2"/>
  <c r="N271" i="2"/>
  <c r="AH271" i="2"/>
  <c r="AK274" i="2"/>
  <c r="O274" i="2"/>
  <c r="L274" i="2"/>
  <c r="M274" i="2"/>
  <c r="N274" i="2"/>
  <c r="AC275" i="2"/>
  <c r="J276" i="2"/>
  <c r="AD276" i="2"/>
  <c r="G280" i="2"/>
  <c r="W280" i="2"/>
  <c r="Z281" i="2"/>
  <c r="O281" i="2"/>
  <c r="L281" i="2"/>
  <c r="M281" i="2"/>
  <c r="N281" i="2"/>
  <c r="V282" i="2"/>
  <c r="K284" i="2"/>
  <c r="AC287" i="2"/>
  <c r="J288" i="2"/>
  <c r="AD288" i="2"/>
  <c r="H292" i="2"/>
  <c r="X292" i="2"/>
  <c r="S293" i="2"/>
  <c r="AH293" i="2"/>
  <c r="X299" i="2"/>
  <c r="O299" i="2"/>
  <c r="L299" i="2"/>
  <c r="M299" i="2"/>
  <c r="N299" i="2"/>
  <c r="U299" i="2"/>
  <c r="V300" i="2"/>
  <c r="AB303" i="2"/>
  <c r="O303" i="2"/>
  <c r="M303" i="2"/>
  <c r="N303" i="2"/>
  <c r="L303" i="2"/>
  <c r="AG312" i="2"/>
  <c r="O312" i="2"/>
  <c r="L312" i="2"/>
  <c r="M312" i="2"/>
  <c r="N312" i="2"/>
  <c r="T312" i="2"/>
  <c r="AF313" i="2"/>
  <c r="O313" i="2"/>
  <c r="L313" i="2"/>
  <c r="M313" i="2"/>
  <c r="N313" i="2"/>
  <c r="J317" i="2"/>
  <c r="H318" i="2"/>
  <c r="S319" i="2"/>
  <c r="O319" i="2"/>
  <c r="L319" i="2"/>
  <c r="M319" i="2"/>
  <c r="N319" i="2"/>
  <c r="J320" i="2"/>
  <c r="D326" i="2"/>
  <c r="V328" i="2"/>
  <c r="AK328" i="2"/>
  <c r="R330" i="2"/>
  <c r="G333" i="2"/>
  <c r="X333" i="2"/>
  <c r="D334" i="2"/>
  <c r="AD334" i="2"/>
  <c r="X336" i="2"/>
  <c r="K340" i="2"/>
  <c r="AB340" i="2"/>
  <c r="G341" i="2"/>
  <c r="AK342" i="2"/>
  <c r="X345" i="2"/>
  <c r="D346" i="2"/>
  <c r="AD346" i="2"/>
  <c r="Z348" i="2"/>
  <c r="U352" i="2"/>
  <c r="AH352" i="2"/>
  <c r="O354" i="2"/>
  <c r="L354" i="2"/>
  <c r="M354" i="2"/>
  <c r="N354" i="2"/>
  <c r="S354" i="2"/>
  <c r="G356" i="2"/>
  <c r="H357" i="2"/>
  <c r="AF357" i="2"/>
  <c r="H363" i="2"/>
  <c r="AK363" i="2"/>
  <c r="H366" i="2"/>
  <c r="Z366" i="2"/>
  <c r="G367" i="2"/>
  <c r="J368" i="2"/>
  <c r="O370" i="2"/>
  <c r="L370" i="2"/>
  <c r="M370" i="2"/>
  <c r="N370" i="2"/>
  <c r="T370" i="2"/>
  <c r="AF371" i="2"/>
  <c r="O371" i="2"/>
  <c r="L371" i="2"/>
  <c r="M371" i="2"/>
  <c r="N371" i="2"/>
  <c r="H375" i="2"/>
  <c r="AK375" i="2"/>
  <c r="K377" i="2"/>
  <c r="G378" i="2"/>
  <c r="W378" i="2"/>
  <c r="C381" i="2"/>
  <c r="AB382" i="2"/>
  <c r="AG384" i="2"/>
  <c r="O384" i="2"/>
  <c r="L384" i="2"/>
  <c r="M384" i="2"/>
  <c r="N384" i="2"/>
  <c r="AC384" i="2"/>
  <c r="Z386" i="2"/>
  <c r="S388" i="2"/>
  <c r="AH388" i="2"/>
  <c r="J390" i="2"/>
  <c r="AC390" i="2"/>
  <c r="H391" i="2"/>
  <c r="G392" i="2"/>
  <c r="Z393" i="2"/>
  <c r="O395" i="2"/>
  <c r="L395" i="2"/>
  <c r="M395" i="2"/>
  <c r="N395" i="2"/>
  <c r="R397" i="2"/>
  <c r="AG397" i="2"/>
  <c r="W399" i="2"/>
  <c r="AC400" i="2"/>
  <c r="AF401" i="2"/>
  <c r="AF402" i="2"/>
  <c r="J403" i="2"/>
  <c r="AC403" i="2"/>
  <c r="Z405" i="2"/>
  <c r="C407" i="2"/>
  <c r="H409" i="2"/>
  <c r="Z409" i="2"/>
  <c r="O411" i="2"/>
  <c r="M411" i="2"/>
  <c r="L411" i="2"/>
  <c r="N411" i="2"/>
  <c r="T411" i="2"/>
  <c r="C412" i="2"/>
  <c r="AC412" i="2"/>
  <c r="T413" i="2"/>
  <c r="G414" i="2"/>
  <c r="Z414" i="2"/>
  <c r="D415" i="2"/>
  <c r="V415" i="2"/>
  <c r="D421" i="2"/>
  <c r="X421" i="2"/>
  <c r="J422" i="2"/>
  <c r="AD423" i="2"/>
  <c r="U425" i="2"/>
  <c r="AH426" i="2"/>
  <c r="AG429" i="2"/>
  <c r="O429" i="2"/>
  <c r="L429" i="2"/>
  <c r="M429" i="2"/>
  <c r="N429" i="2"/>
  <c r="D433" i="2"/>
  <c r="W433" i="2"/>
  <c r="D435" i="2"/>
  <c r="C450" i="2"/>
  <c r="K317" i="2"/>
  <c r="K318" i="2"/>
  <c r="H327" i="2"/>
  <c r="AC327" i="2"/>
  <c r="G328" i="2"/>
  <c r="W328" i="2"/>
  <c r="V329" i="2"/>
  <c r="O329" i="2"/>
  <c r="L329" i="2"/>
  <c r="M329" i="2"/>
  <c r="N329" i="2"/>
  <c r="S331" i="2"/>
  <c r="H333" i="2"/>
  <c r="Z333" i="2"/>
  <c r="AG334" i="2"/>
  <c r="Z336" i="2"/>
  <c r="AC340" i="2"/>
  <c r="J341" i="2"/>
  <c r="K342" i="2"/>
  <c r="AB343" i="2"/>
  <c r="O343" i="2"/>
  <c r="L343" i="2"/>
  <c r="M343" i="2"/>
  <c r="N343" i="2"/>
  <c r="AC344" i="2"/>
  <c r="O344" i="2"/>
  <c r="L344" i="2"/>
  <c r="M344" i="2"/>
  <c r="N344" i="2"/>
  <c r="G345" i="2"/>
  <c r="Z345" i="2"/>
  <c r="AG346" i="2"/>
  <c r="V352" i="2"/>
  <c r="AK352" i="2"/>
  <c r="H356" i="2"/>
  <c r="AG357" i="2"/>
  <c r="AK362" i="2"/>
  <c r="O362" i="2"/>
  <c r="L362" i="2"/>
  <c r="M362" i="2"/>
  <c r="N362" i="2"/>
  <c r="Y364" i="2"/>
  <c r="O364" i="2"/>
  <c r="L364" i="2"/>
  <c r="M364" i="2"/>
  <c r="N364" i="2"/>
  <c r="AD364" i="2"/>
  <c r="S368" i="2"/>
  <c r="AK374" i="2"/>
  <c r="O374" i="2"/>
  <c r="L374" i="2"/>
  <c r="M374" i="2"/>
  <c r="N374" i="2"/>
  <c r="Y376" i="2"/>
  <c r="O376" i="2"/>
  <c r="L376" i="2"/>
  <c r="M376" i="2"/>
  <c r="N376" i="2"/>
  <c r="AD376" i="2"/>
  <c r="H378" i="2"/>
  <c r="X378" i="2"/>
  <c r="G380" i="2"/>
  <c r="AC381" i="2"/>
  <c r="AB386" i="2"/>
  <c r="T387" i="2"/>
  <c r="AB389" i="2"/>
  <c r="O389" i="2"/>
  <c r="L389" i="2"/>
  <c r="M389" i="2"/>
  <c r="N389" i="2"/>
  <c r="K390" i="2"/>
  <c r="G393" i="2"/>
  <c r="AC393" i="2"/>
  <c r="AD400" i="2"/>
  <c r="AG402" i="2"/>
  <c r="K403" i="2"/>
  <c r="AD403" i="2"/>
  <c r="D407" i="2"/>
  <c r="U413" i="2"/>
  <c r="H414" i="2"/>
  <c r="W415" i="2"/>
  <c r="AK419" i="2"/>
  <c r="O419" i="2"/>
  <c r="L419" i="2"/>
  <c r="M419" i="2"/>
  <c r="N419" i="2"/>
  <c r="X420" i="2"/>
  <c r="O420" i="2"/>
  <c r="L420" i="2"/>
  <c r="M420" i="2"/>
  <c r="N420" i="2"/>
  <c r="AB421" i="2"/>
  <c r="R445" i="2"/>
  <c r="AH453" i="2"/>
  <c r="AB454" i="2"/>
  <c r="O454" i="2"/>
  <c r="L454" i="2"/>
  <c r="M454" i="2"/>
  <c r="N454" i="2"/>
  <c r="O458" i="2"/>
  <c r="L458" i="2"/>
  <c r="M458" i="2"/>
  <c r="N458" i="2"/>
  <c r="T458" i="2"/>
  <c r="T469" i="2"/>
  <c r="AH469" i="2"/>
  <c r="V471" i="2"/>
  <c r="O471" i="2"/>
  <c r="M471" i="2"/>
  <c r="L471" i="2"/>
  <c r="N471" i="2"/>
  <c r="V472" i="2"/>
  <c r="AD481" i="2"/>
  <c r="O481" i="2"/>
  <c r="L481" i="2"/>
  <c r="M481" i="2"/>
  <c r="N481" i="2"/>
  <c r="S481" i="2"/>
  <c r="AG481" i="2"/>
  <c r="X487" i="2"/>
  <c r="O487" i="2"/>
  <c r="L487" i="2"/>
  <c r="M487" i="2"/>
  <c r="N487" i="2"/>
  <c r="Z496" i="2"/>
  <c r="O502" i="2"/>
  <c r="L502" i="2"/>
  <c r="M502" i="2"/>
  <c r="N502" i="2"/>
  <c r="R502" i="2"/>
  <c r="AG502" i="2"/>
  <c r="W505" i="2"/>
  <c r="AG508" i="2"/>
  <c r="O508" i="2"/>
  <c r="L508" i="2"/>
  <c r="M508" i="2"/>
  <c r="N508" i="2"/>
  <c r="X508" i="2"/>
  <c r="V518" i="2"/>
  <c r="AK522" i="2"/>
  <c r="O522" i="2"/>
  <c r="L522" i="2"/>
  <c r="M522" i="2"/>
  <c r="N522" i="2"/>
  <c r="AB522" i="2"/>
  <c r="J522" i="2"/>
  <c r="G522" i="2"/>
  <c r="O540" i="2"/>
  <c r="L540" i="2"/>
  <c r="M540" i="2"/>
  <c r="N540" i="2"/>
  <c r="AF540" i="2"/>
  <c r="AD540" i="2"/>
  <c r="K540" i="2"/>
  <c r="AC540" i="2"/>
  <c r="AB540" i="2"/>
  <c r="H540" i="2"/>
  <c r="X540" i="2"/>
  <c r="AC554" i="2"/>
  <c r="O554" i="2"/>
  <c r="L554" i="2"/>
  <c r="N554" i="2"/>
  <c r="M554" i="2"/>
  <c r="AG554" i="2"/>
  <c r="U554" i="2"/>
  <c r="T554" i="2"/>
  <c r="X561" i="2"/>
  <c r="O561" i="2"/>
  <c r="L561" i="2"/>
  <c r="M561" i="2"/>
  <c r="N561" i="2"/>
  <c r="Z561" i="2"/>
  <c r="Z582" i="2"/>
  <c r="O582" i="2"/>
  <c r="L582" i="2"/>
  <c r="M582" i="2"/>
  <c r="N582" i="2"/>
  <c r="AD673" i="2"/>
  <c r="O673" i="2"/>
  <c r="L673" i="2"/>
  <c r="M673" i="2"/>
  <c r="N673" i="2"/>
  <c r="R673" i="2"/>
  <c r="H673" i="2"/>
  <c r="X673" i="2"/>
  <c r="D673" i="2"/>
  <c r="AB448" i="2"/>
  <c r="O448" i="2"/>
  <c r="L448" i="2"/>
  <c r="M448" i="2"/>
  <c r="N448" i="2"/>
  <c r="O456" i="2"/>
  <c r="L456" i="2"/>
  <c r="M456" i="2"/>
  <c r="N456" i="2"/>
  <c r="C458" i="2"/>
  <c r="V458" i="2"/>
  <c r="O466" i="2"/>
  <c r="L466" i="2"/>
  <c r="M466" i="2"/>
  <c r="N466" i="2"/>
  <c r="AC466" i="2"/>
  <c r="D469" i="2"/>
  <c r="V469" i="2"/>
  <c r="O470" i="2"/>
  <c r="L470" i="2"/>
  <c r="M470" i="2"/>
  <c r="N470" i="2"/>
  <c r="T470" i="2"/>
  <c r="D471" i="2"/>
  <c r="X472" i="2"/>
  <c r="C481" i="2"/>
  <c r="U481" i="2"/>
  <c r="AK481" i="2"/>
  <c r="C487" i="2"/>
  <c r="AF487" i="2"/>
  <c r="AD496" i="2"/>
  <c r="X499" i="2"/>
  <c r="O499" i="2"/>
  <c r="L499" i="2"/>
  <c r="M499" i="2"/>
  <c r="N499" i="2"/>
  <c r="D502" i="2"/>
  <c r="T502" i="2"/>
  <c r="AB503" i="2"/>
  <c r="O503" i="2"/>
  <c r="L503" i="2"/>
  <c r="M503" i="2"/>
  <c r="N503" i="2"/>
  <c r="AD503" i="2"/>
  <c r="AC508" i="2"/>
  <c r="D518" i="2"/>
  <c r="AG520" i="2"/>
  <c r="O520" i="2"/>
  <c r="L520" i="2"/>
  <c r="M520" i="2"/>
  <c r="N520" i="2"/>
  <c r="AF520" i="2"/>
  <c r="W520" i="2"/>
  <c r="D522" i="2"/>
  <c r="D540" i="2"/>
  <c r="Z551" i="2"/>
  <c r="O551" i="2"/>
  <c r="L551" i="2"/>
  <c r="M551" i="2"/>
  <c r="N551" i="2"/>
  <c r="AF551" i="2"/>
  <c r="J551" i="2"/>
  <c r="AD551" i="2"/>
  <c r="G551" i="2"/>
  <c r="AC551" i="2"/>
  <c r="AB551" i="2"/>
  <c r="AG558" i="2"/>
  <c r="O558" i="2"/>
  <c r="L558" i="2"/>
  <c r="M558" i="2"/>
  <c r="N558" i="2"/>
  <c r="C561" i="2"/>
  <c r="AH611" i="2"/>
  <c r="O611" i="2"/>
  <c r="L611" i="2"/>
  <c r="M611" i="2"/>
  <c r="N611" i="2"/>
  <c r="AC437" i="2"/>
  <c r="O437" i="2"/>
  <c r="L437" i="2"/>
  <c r="M437" i="2"/>
  <c r="N437" i="2"/>
  <c r="O439" i="2"/>
  <c r="L439" i="2"/>
  <c r="M439" i="2"/>
  <c r="N439" i="2"/>
  <c r="R439" i="2"/>
  <c r="AH439" i="2"/>
  <c r="AK446" i="2"/>
  <c r="AC455" i="2"/>
  <c r="O455" i="2"/>
  <c r="L455" i="2"/>
  <c r="M455" i="2"/>
  <c r="N455" i="2"/>
  <c r="H457" i="2"/>
  <c r="Z457" i="2"/>
  <c r="D458" i="2"/>
  <c r="X458" i="2"/>
  <c r="AG460" i="2"/>
  <c r="O460" i="2"/>
  <c r="L460" i="2"/>
  <c r="M460" i="2"/>
  <c r="N460" i="2"/>
  <c r="T460" i="2"/>
  <c r="S461" i="2"/>
  <c r="O461" i="2"/>
  <c r="L461" i="2"/>
  <c r="M461" i="2"/>
  <c r="N461" i="2"/>
  <c r="AB462" i="2"/>
  <c r="Y464" i="2"/>
  <c r="O464" i="2"/>
  <c r="L464" i="2"/>
  <c r="M464" i="2"/>
  <c r="N464" i="2"/>
  <c r="AD464" i="2"/>
  <c r="K465" i="2"/>
  <c r="AD466" i="2"/>
  <c r="T468" i="2"/>
  <c r="O468" i="2"/>
  <c r="L468" i="2"/>
  <c r="M468" i="2"/>
  <c r="N468" i="2"/>
  <c r="W469" i="2"/>
  <c r="U470" i="2"/>
  <c r="Z472" i="2"/>
  <c r="D481" i="2"/>
  <c r="V481" i="2"/>
  <c r="O482" i="2"/>
  <c r="L482" i="2"/>
  <c r="M482" i="2"/>
  <c r="N482" i="2"/>
  <c r="T482" i="2"/>
  <c r="K484" i="2"/>
  <c r="AH484" i="2"/>
  <c r="AG487" i="2"/>
  <c r="G489" i="2"/>
  <c r="S491" i="2"/>
  <c r="J493" i="2"/>
  <c r="AG494" i="2"/>
  <c r="H496" i="2"/>
  <c r="AF496" i="2"/>
  <c r="AC499" i="2"/>
  <c r="Z500" i="2"/>
  <c r="U502" i="2"/>
  <c r="G505" i="2"/>
  <c r="AC505" i="2"/>
  <c r="AG506" i="2"/>
  <c r="AD508" i="2"/>
  <c r="O514" i="2"/>
  <c r="L514" i="2"/>
  <c r="M514" i="2"/>
  <c r="N514" i="2"/>
  <c r="R514" i="2"/>
  <c r="AF514" i="2"/>
  <c r="U515" i="2"/>
  <c r="AD517" i="2"/>
  <c r="O517" i="2"/>
  <c r="L517" i="2"/>
  <c r="M517" i="2"/>
  <c r="N517" i="2"/>
  <c r="W517" i="2"/>
  <c r="AB518" i="2"/>
  <c r="X520" i="2"/>
  <c r="AG533" i="2"/>
  <c r="O533" i="2"/>
  <c r="L533" i="2"/>
  <c r="M533" i="2"/>
  <c r="N533" i="2"/>
  <c r="W533" i="2"/>
  <c r="J533" i="2"/>
  <c r="G533" i="2"/>
  <c r="T536" i="2"/>
  <c r="H539" i="2"/>
  <c r="AG540" i="2"/>
  <c r="AF542" i="2"/>
  <c r="AF545" i="2"/>
  <c r="O545" i="2"/>
  <c r="L545" i="2"/>
  <c r="M545" i="2"/>
  <c r="N545" i="2"/>
  <c r="AK545" i="2"/>
  <c r="AH545" i="2"/>
  <c r="W545" i="2"/>
  <c r="AH547" i="2"/>
  <c r="O547" i="2"/>
  <c r="L547" i="2"/>
  <c r="M547" i="2"/>
  <c r="N547" i="2"/>
  <c r="G554" i="2"/>
  <c r="AG555" i="2"/>
  <c r="W556" i="2"/>
  <c r="D561" i="2"/>
  <c r="AG645" i="2"/>
  <c r="O645" i="2"/>
  <c r="L645" i="2"/>
  <c r="M645" i="2"/>
  <c r="N645" i="2"/>
  <c r="T645" i="2"/>
  <c r="S645" i="2"/>
  <c r="AK645" i="2"/>
  <c r="R645" i="2"/>
  <c r="AH645" i="2"/>
  <c r="AF645" i="2"/>
  <c r="K645" i="2"/>
  <c r="J645" i="2"/>
  <c r="AD645" i="2"/>
  <c r="H645" i="2"/>
  <c r="AC645" i="2"/>
  <c r="G645" i="2"/>
  <c r="Z645" i="2"/>
  <c r="X645" i="2"/>
  <c r="AF745" i="2"/>
  <c r="O745" i="2"/>
  <c r="L745" i="2"/>
  <c r="M745" i="2"/>
  <c r="N745" i="2"/>
  <c r="V745" i="2"/>
  <c r="U745" i="2"/>
  <c r="S745" i="2"/>
  <c r="K745" i="2"/>
  <c r="J745" i="2"/>
  <c r="AK745" i="2"/>
  <c r="G745" i="2"/>
  <c r="AH745" i="2"/>
  <c r="AG745" i="2"/>
  <c r="Z745" i="2"/>
  <c r="W745" i="2"/>
  <c r="X432" i="2"/>
  <c r="O432" i="2"/>
  <c r="L432" i="2"/>
  <c r="M432" i="2"/>
  <c r="N432" i="2"/>
  <c r="T439" i="2"/>
  <c r="AK439" i="2"/>
  <c r="O447" i="2"/>
  <c r="M447" i="2"/>
  <c r="L447" i="2"/>
  <c r="N447" i="2"/>
  <c r="T447" i="2"/>
  <c r="V460" i="2"/>
  <c r="T463" i="2"/>
  <c r="R464" i="2"/>
  <c r="AF466" i="2"/>
  <c r="G469" i="2"/>
  <c r="X469" i="2"/>
  <c r="C470" i="2"/>
  <c r="V470" i="2"/>
  <c r="G471" i="2"/>
  <c r="G472" i="2"/>
  <c r="X475" i="2"/>
  <c r="O475" i="2"/>
  <c r="L475" i="2"/>
  <c r="M475" i="2"/>
  <c r="N475" i="2"/>
  <c r="Z475" i="2"/>
  <c r="Y477" i="2"/>
  <c r="O477" i="2"/>
  <c r="L477" i="2"/>
  <c r="M477" i="2"/>
  <c r="N477" i="2"/>
  <c r="R478" i="2"/>
  <c r="AC480" i="2"/>
  <c r="O480" i="2"/>
  <c r="L480" i="2"/>
  <c r="M480" i="2"/>
  <c r="N480" i="2"/>
  <c r="W481" i="2"/>
  <c r="U482" i="2"/>
  <c r="AK484" i="2"/>
  <c r="H487" i="2"/>
  <c r="AK487" i="2"/>
  <c r="J489" i="2"/>
  <c r="AD490" i="2"/>
  <c r="U491" i="2"/>
  <c r="S492" i="2"/>
  <c r="K493" i="2"/>
  <c r="AF493" i="2"/>
  <c r="J494" i="2"/>
  <c r="AH494" i="2"/>
  <c r="J496" i="2"/>
  <c r="AH496" i="2"/>
  <c r="C499" i="2"/>
  <c r="AF499" i="2"/>
  <c r="J500" i="2"/>
  <c r="W502" i="2"/>
  <c r="C503" i="2"/>
  <c r="AG503" i="2"/>
  <c r="H505" i="2"/>
  <c r="J506" i="2"/>
  <c r="AH506" i="2"/>
  <c r="H508" i="2"/>
  <c r="AF508" i="2"/>
  <c r="T511" i="2"/>
  <c r="S514" i="2"/>
  <c r="AG514" i="2"/>
  <c r="X515" i="2"/>
  <c r="Z517" i="2"/>
  <c r="AD518" i="2"/>
  <c r="C520" i="2"/>
  <c r="Z520" i="2"/>
  <c r="Z522" i="2"/>
  <c r="S524" i="2"/>
  <c r="O529" i="2"/>
  <c r="L529" i="2"/>
  <c r="N529" i="2"/>
  <c r="M529" i="2"/>
  <c r="J529" i="2"/>
  <c r="AH529" i="2"/>
  <c r="AF529" i="2"/>
  <c r="C529" i="2"/>
  <c r="X536" i="2"/>
  <c r="Y538" i="2"/>
  <c r="O538" i="2"/>
  <c r="L538" i="2"/>
  <c r="M538" i="2"/>
  <c r="N538" i="2"/>
  <c r="AB538" i="2"/>
  <c r="J538" i="2"/>
  <c r="Z538" i="2"/>
  <c r="G538" i="2"/>
  <c r="X538" i="2"/>
  <c r="W538" i="2"/>
  <c r="V538" i="2"/>
  <c r="J539" i="2"/>
  <c r="AK540" i="2"/>
  <c r="S550" i="2"/>
  <c r="C551" i="2"/>
  <c r="AH551" i="2"/>
  <c r="H554" i="2"/>
  <c r="AH555" i="2"/>
  <c r="X556" i="2"/>
  <c r="AF589" i="2"/>
  <c r="O589" i="2"/>
  <c r="L589" i="2"/>
  <c r="M589" i="2"/>
  <c r="N589" i="2"/>
  <c r="AC589" i="2"/>
  <c r="Z589" i="2"/>
  <c r="Y589" i="2"/>
  <c r="X589" i="2"/>
  <c r="K589" i="2"/>
  <c r="H589" i="2"/>
  <c r="O632" i="2"/>
  <c r="L632" i="2"/>
  <c r="M632" i="2"/>
  <c r="N632" i="2"/>
  <c r="AH632" i="2"/>
  <c r="AG632" i="2"/>
  <c r="U632" i="2"/>
  <c r="S632" i="2"/>
  <c r="D632" i="2"/>
  <c r="O686" i="2"/>
  <c r="M686" i="2"/>
  <c r="L686" i="2"/>
  <c r="N686" i="2"/>
  <c r="G686" i="2"/>
  <c r="AB686" i="2"/>
  <c r="D686" i="2"/>
  <c r="AF691" i="2"/>
  <c r="O691" i="2"/>
  <c r="L691" i="2"/>
  <c r="M691" i="2"/>
  <c r="N691" i="2"/>
  <c r="AH691" i="2"/>
  <c r="J691" i="2"/>
  <c r="AB691" i="2"/>
  <c r="Z691" i="2"/>
  <c r="D691" i="2"/>
  <c r="X691" i="2"/>
  <c r="AD691" i="2"/>
  <c r="W691" i="2"/>
  <c r="V691" i="2"/>
  <c r="U691" i="2"/>
  <c r="R691" i="2"/>
  <c r="K691" i="2"/>
  <c r="AB424" i="2"/>
  <c r="O424" i="2"/>
  <c r="L424" i="2"/>
  <c r="M424" i="2"/>
  <c r="N424" i="2"/>
  <c r="X424" i="2"/>
  <c r="O427" i="2"/>
  <c r="L427" i="2"/>
  <c r="M427" i="2"/>
  <c r="N427" i="2"/>
  <c r="R427" i="2"/>
  <c r="AH427" i="2"/>
  <c r="AK431" i="2"/>
  <c r="O431" i="2"/>
  <c r="L431" i="2"/>
  <c r="M431" i="2"/>
  <c r="N431" i="2"/>
  <c r="R436" i="2"/>
  <c r="C439" i="2"/>
  <c r="U439" i="2"/>
  <c r="AF440" i="2"/>
  <c r="O440" i="2"/>
  <c r="L440" i="2"/>
  <c r="M440" i="2"/>
  <c r="N440" i="2"/>
  <c r="AK443" i="2"/>
  <c r="O443" i="2"/>
  <c r="L443" i="2"/>
  <c r="M443" i="2"/>
  <c r="N443" i="2"/>
  <c r="W447" i="2"/>
  <c r="Y452" i="2"/>
  <c r="O452" i="2"/>
  <c r="L452" i="2"/>
  <c r="M452" i="2"/>
  <c r="N452" i="2"/>
  <c r="AD452" i="2"/>
  <c r="J457" i="2"/>
  <c r="AB457" i="2"/>
  <c r="AB458" i="2"/>
  <c r="C460" i="2"/>
  <c r="W460" i="2"/>
  <c r="U463" i="2"/>
  <c r="C464" i="2"/>
  <c r="S464" i="2"/>
  <c r="AF464" i="2"/>
  <c r="AK466" i="2"/>
  <c r="H469" i="2"/>
  <c r="Z469" i="2"/>
  <c r="D470" i="2"/>
  <c r="X470" i="2"/>
  <c r="J471" i="2"/>
  <c r="H472" i="2"/>
  <c r="AC472" i="2"/>
  <c r="R473" i="2"/>
  <c r="H476" i="2"/>
  <c r="T478" i="2"/>
  <c r="G481" i="2"/>
  <c r="X481" i="2"/>
  <c r="C482" i="2"/>
  <c r="V482" i="2"/>
  <c r="R484" i="2"/>
  <c r="AH485" i="2"/>
  <c r="O485" i="2"/>
  <c r="L485" i="2"/>
  <c r="M485" i="2"/>
  <c r="N485" i="2"/>
  <c r="Y488" i="2"/>
  <c r="O488" i="2"/>
  <c r="L488" i="2"/>
  <c r="M488" i="2"/>
  <c r="N488" i="2"/>
  <c r="AD488" i="2"/>
  <c r="X491" i="2"/>
  <c r="AG493" i="2"/>
  <c r="AF495" i="2"/>
  <c r="O495" i="2"/>
  <c r="M495" i="2"/>
  <c r="L495" i="2"/>
  <c r="N495" i="2"/>
  <c r="K496" i="2"/>
  <c r="AK496" i="2"/>
  <c r="AG499" i="2"/>
  <c r="K500" i="2"/>
  <c r="AB500" i="2"/>
  <c r="G502" i="2"/>
  <c r="X502" i="2"/>
  <c r="AC504" i="2"/>
  <c r="O504" i="2"/>
  <c r="L504" i="2"/>
  <c r="M504" i="2"/>
  <c r="N504" i="2"/>
  <c r="AF505" i="2"/>
  <c r="AF507" i="2"/>
  <c r="O507" i="2"/>
  <c r="M507" i="2"/>
  <c r="L507" i="2"/>
  <c r="N507" i="2"/>
  <c r="J508" i="2"/>
  <c r="AH508" i="2"/>
  <c r="U511" i="2"/>
  <c r="D514" i="2"/>
  <c r="T514" i="2"/>
  <c r="AH514" i="2"/>
  <c r="C517" i="2"/>
  <c r="H518" i="2"/>
  <c r="AF518" i="2"/>
  <c r="AC520" i="2"/>
  <c r="X523" i="2"/>
  <c r="O523" i="2"/>
  <c r="L523" i="2"/>
  <c r="M523" i="2"/>
  <c r="N523" i="2"/>
  <c r="Z523" i="2"/>
  <c r="U523" i="2"/>
  <c r="T523" i="2"/>
  <c r="AK523" i="2"/>
  <c r="Y531" i="2"/>
  <c r="O531" i="2"/>
  <c r="M531" i="2"/>
  <c r="L531" i="2"/>
  <c r="N531" i="2"/>
  <c r="X531" i="2"/>
  <c r="H531" i="2"/>
  <c r="AK531" i="2"/>
  <c r="V531" i="2"/>
  <c r="AH531" i="2"/>
  <c r="U531" i="2"/>
  <c r="AG531" i="2"/>
  <c r="T531" i="2"/>
  <c r="D531" i="2"/>
  <c r="W531" i="2"/>
  <c r="Z536" i="2"/>
  <c r="G540" i="2"/>
  <c r="AB541" i="2"/>
  <c r="O541" i="2"/>
  <c r="L541" i="2"/>
  <c r="M541" i="2"/>
  <c r="N541" i="2"/>
  <c r="AG541" i="2"/>
  <c r="AF541" i="2"/>
  <c r="H541" i="2"/>
  <c r="G541" i="2"/>
  <c r="AD541" i="2"/>
  <c r="Y543" i="2"/>
  <c r="O543" i="2"/>
  <c r="M543" i="2"/>
  <c r="L543" i="2"/>
  <c r="N543" i="2"/>
  <c r="AB543" i="2"/>
  <c r="K543" i="2"/>
  <c r="Z543" i="2"/>
  <c r="X543" i="2"/>
  <c r="H543" i="2"/>
  <c r="W543" i="2"/>
  <c r="G543" i="2"/>
  <c r="U543" i="2"/>
  <c r="T549" i="2"/>
  <c r="U550" i="2"/>
  <c r="D551" i="2"/>
  <c r="O552" i="2"/>
  <c r="L552" i="2"/>
  <c r="M552" i="2"/>
  <c r="N552" i="2"/>
  <c r="AF552" i="2"/>
  <c r="AD552" i="2"/>
  <c r="K552" i="2"/>
  <c r="AC552" i="2"/>
  <c r="AB552" i="2"/>
  <c r="H552" i="2"/>
  <c r="X552" i="2"/>
  <c r="R555" i="2"/>
  <c r="AK555" i="2"/>
  <c r="K558" i="2"/>
  <c r="H561" i="2"/>
  <c r="S436" i="2"/>
  <c r="D439" i="2"/>
  <c r="V439" i="2"/>
  <c r="Z446" i="2"/>
  <c r="O446" i="2"/>
  <c r="L446" i="2"/>
  <c r="M446" i="2"/>
  <c r="N446" i="2"/>
  <c r="S446" i="2"/>
  <c r="G448" i="2"/>
  <c r="AB456" i="2"/>
  <c r="K457" i="2"/>
  <c r="AC457" i="2"/>
  <c r="H458" i="2"/>
  <c r="AC458" i="2"/>
  <c r="X460" i="2"/>
  <c r="O462" i="2"/>
  <c r="L462" i="2"/>
  <c r="M462" i="2"/>
  <c r="N462" i="2"/>
  <c r="AH462" i="2"/>
  <c r="T464" i="2"/>
  <c r="AG464" i="2"/>
  <c r="S465" i="2"/>
  <c r="H466" i="2"/>
  <c r="O467" i="2"/>
  <c r="L467" i="2"/>
  <c r="M467" i="2"/>
  <c r="N467" i="2"/>
  <c r="H468" i="2"/>
  <c r="K471" i="2"/>
  <c r="J472" i="2"/>
  <c r="AD472" i="2"/>
  <c r="S473" i="2"/>
  <c r="W478" i="2"/>
  <c r="H481" i="2"/>
  <c r="Z481" i="2"/>
  <c r="D482" i="2"/>
  <c r="X482" i="2"/>
  <c r="K487" i="2"/>
  <c r="S493" i="2"/>
  <c r="AH497" i="2"/>
  <c r="O497" i="2"/>
  <c r="L497" i="2"/>
  <c r="M497" i="2"/>
  <c r="N497" i="2"/>
  <c r="H499" i="2"/>
  <c r="AK499" i="2"/>
  <c r="H502" i="2"/>
  <c r="Z502" i="2"/>
  <c r="J505" i="2"/>
  <c r="AG505" i="2"/>
  <c r="K508" i="2"/>
  <c r="AK508" i="2"/>
  <c r="U514" i="2"/>
  <c r="AK514" i="2"/>
  <c r="AC517" i="2"/>
  <c r="AG518" i="2"/>
  <c r="AD520" i="2"/>
  <c r="O524" i="2"/>
  <c r="L524" i="2"/>
  <c r="M524" i="2"/>
  <c r="N524" i="2"/>
  <c r="X524" i="2"/>
  <c r="G524" i="2"/>
  <c r="V524" i="2"/>
  <c r="AK524" i="2"/>
  <c r="U524" i="2"/>
  <c r="D524" i="2"/>
  <c r="AH524" i="2"/>
  <c r="T524" i="2"/>
  <c r="C524" i="2"/>
  <c r="Y524" i="2"/>
  <c r="Y533" i="2"/>
  <c r="AD535" i="2"/>
  <c r="O535" i="2"/>
  <c r="L535" i="2"/>
  <c r="M535" i="2"/>
  <c r="N535" i="2"/>
  <c r="O542" i="2"/>
  <c r="L542" i="2"/>
  <c r="M542" i="2"/>
  <c r="N542" i="2"/>
  <c r="AG542" i="2"/>
  <c r="V542" i="2"/>
  <c r="U542" i="2"/>
  <c r="J545" i="2"/>
  <c r="S554" i="2"/>
  <c r="S555" i="2"/>
  <c r="O556" i="2"/>
  <c r="L556" i="2"/>
  <c r="M556" i="2"/>
  <c r="N556" i="2"/>
  <c r="AK556" i="2"/>
  <c r="AG556" i="2"/>
  <c r="AF556" i="2"/>
  <c r="C556" i="2"/>
  <c r="AF557" i="2"/>
  <c r="O557" i="2"/>
  <c r="L557" i="2"/>
  <c r="M557" i="2"/>
  <c r="N557" i="2"/>
  <c r="AK557" i="2"/>
  <c r="X557" i="2"/>
  <c r="W557" i="2"/>
  <c r="V557" i="2"/>
  <c r="AH559" i="2"/>
  <c r="O559" i="2"/>
  <c r="L559" i="2"/>
  <c r="M559" i="2"/>
  <c r="N559" i="2"/>
  <c r="Y592" i="2"/>
  <c r="O592" i="2"/>
  <c r="L592" i="2"/>
  <c r="M592" i="2"/>
  <c r="N592" i="2"/>
  <c r="AC592" i="2"/>
  <c r="K592" i="2"/>
  <c r="AB592" i="2"/>
  <c r="H592" i="2"/>
  <c r="Z592" i="2"/>
  <c r="G592" i="2"/>
  <c r="X592" i="2"/>
  <c r="W592" i="2"/>
  <c r="U592" i="2"/>
  <c r="D592" i="2"/>
  <c r="AK592" i="2"/>
  <c r="T592" i="2"/>
  <c r="C592" i="2"/>
  <c r="AG592" i="2"/>
  <c r="S592" i="2"/>
  <c r="AF656" i="2"/>
  <c r="O656" i="2"/>
  <c r="L656" i="2"/>
  <c r="M656" i="2"/>
  <c r="N656" i="2"/>
  <c r="AK656" i="2"/>
  <c r="W656" i="2"/>
  <c r="S656" i="2"/>
  <c r="K656" i="2"/>
  <c r="G656" i="2"/>
  <c r="Z666" i="2"/>
  <c r="O666" i="2"/>
  <c r="L666" i="2"/>
  <c r="M666" i="2"/>
  <c r="N666" i="2"/>
  <c r="Z669" i="2"/>
  <c r="O669" i="2"/>
  <c r="L669" i="2"/>
  <c r="M669" i="2"/>
  <c r="N669" i="2"/>
  <c r="Y672" i="2"/>
  <c r="O672" i="2"/>
  <c r="L672" i="2"/>
  <c r="M672" i="2"/>
  <c r="N672" i="2"/>
  <c r="AG672" i="2"/>
  <c r="T672" i="2"/>
  <c r="D672" i="2"/>
  <c r="AC672" i="2"/>
  <c r="AB672" i="2"/>
  <c r="K672" i="2"/>
  <c r="AH672" i="2"/>
  <c r="AF672" i="2"/>
  <c r="J672" i="2"/>
  <c r="AD672" i="2"/>
  <c r="H672" i="2"/>
  <c r="Z672" i="2"/>
  <c r="G672" i="2"/>
  <c r="X672" i="2"/>
  <c r="W672" i="2"/>
  <c r="V672" i="2"/>
  <c r="C672" i="2"/>
  <c r="U672" i="2"/>
  <c r="AD456" i="2"/>
  <c r="AD458" i="2"/>
  <c r="X463" i="2"/>
  <c r="O463" i="2"/>
  <c r="L463" i="2"/>
  <c r="M463" i="2"/>
  <c r="N463" i="2"/>
  <c r="W463" i="2"/>
  <c r="K466" i="2"/>
  <c r="J469" i="2"/>
  <c r="AB469" i="2"/>
  <c r="AB470" i="2"/>
  <c r="K472" i="2"/>
  <c r="X473" i="2"/>
  <c r="AG484" i="2"/>
  <c r="O484" i="2"/>
  <c r="L484" i="2"/>
  <c r="M484" i="2"/>
  <c r="N484" i="2"/>
  <c r="T484" i="2"/>
  <c r="S489" i="2"/>
  <c r="AB491" i="2"/>
  <c r="O491" i="2"/>
  <c r="L491" i="2"/>
  <c r="M491" i="2"/>
  <c r="N491" i="2"/>
  <c r="AD491" i="2"/>
  <c r="AD493" i="2"/>
  <c r="O493" i="2"/>
  <c r="L493" i="2"/>
  <c r="M493" i="2"/>
  <c r="N493" i="2"/>
  <c r="T493" i="2"/>
  <c r="AK493" i="2"/>
  <c r="R496" i="2"/>
  <c r="Y500" i="2"/>
  <c r="O500" i="2"/>
  <c r="L500" i="2"/>
  <c r="M500" i="2"/>
  <c r="N500" i="2"/>
  <c r="AD500" i="2"/>
  <c r="AB502" i="2"/>
  <c r="G503" i="2"/>
  <c r="K505" i="2"/>
  <c r="AK505" i="2"/>
  <c r="AH509" i="2"/>
  <c r="O509" i="2"/>
  <c r="L509" i="2"/>
  <c r="M509" i="2"/>
  <c r="N509" i="2"/>
  <c r="Z513" i="2"/>
  <c r="O513" i="2"/>
  <c r="L513" i="2"/>
  <c r="M513" i="2"/>
  <c r="N513" i="2"/>
  <c r="AB515" i="2"/>
  <c r="O515" i="2"/>
  <c r="L515" i="2"/>
  <c r="M515" i="2"/>
  <c r="N515" i="2"/>
  <c r="AG515" i="2"/>
  <c r="J518" i="2"/>
  <c r="AH518" i="2"/>
  <c r="H520" i="2"/>
  <c r="AH520" i="2"/>
  <c r="AB536" i="2"/>
  <c r="R539" i="2"/>
  <c r="R540" i="2"/>
  <c r="K545" i="2"/>
  <c r="Y550" i="2"/>
  <c r="O550" i="2"/>
  <c r="L550" i="2"/>
  <c r="M550" i="2"/>
  <c r="N550" i="2"/>
  <c r="AC550" i="2"/>
  <c r="K550" i="2"/>
  <c r="AB550" i="2"/>
  <c r="J550" i="2"/>
  <c r="W550" i="2"/>
  <c r="H551" i="2"/>
  <c r="AF554" i="2"/>
  <c r="T635" i="2"/>
  <c r="O635" i="2"/>
  <c r="L635" i="2"/>
  <c r="M635" i="2"/>
  <c r="N635" i="2"/>
  <c r="AB635" i="2"/>
  <c r="Z635" i="2"/>
  <c r="J635" i="2"/>
  <c r="H635" i="2"/>
  <c r="G635" i="2"/>
  <c r="D635" i="2"/>
  <c r="W645" i="2"/>
  <c r="W446" i="2"/>
  <c r="R448" i="2"/>
  <c r="H455" i="2"/>
  <c r="AF456" i="2"/>
  <c r="J458" i="2"/>
  <c r="AG458" i="2"/>
  <c r="G460" i="2"/>
  <c r="Z463" i="2"/>
  <c r="V464" i="2"/>
  <c r="AK464" i="2"/>
  <c r="C467" i="2"/>
  <c r="K469" i="2"/>
  <c r="AC469" i="2"/>
  <c r="H470" i="2"/>
  <c r="AC470" i="2"/>
  <c r="AF472" i="2"/>
  <c r="Y473" i="2"/>
  <c r="J481" i="2"/>
  <c r="AB481" i="2"/>
  <c r="AB482" i="2"/>
  <c r="V484" i="2"/>
  <c r="AK486" i="2"/>
  <c r="O486" i="2"/>
  <c r="L486" i="2"/>
  <c r="M486" i="2"/>
  <c r="N486" i="2"/>
  <c r="T487" i="2"/>
  <c r="AB489" i="2"/>
  <c r="U493" i="2"/>
  <c r="O494" i="2"/>
  <c r="L494" i="2"/>
  <c r="M494" i="2"/>
  <c r="N494" i="2"/>
  <c r="U494" i="2"/>
  <c r="T496" i="2"/>
  <c r="K499" i="2"/>
  <c r="R500" i="2"/>
  <c r="J502" i="2"/>
  <c r="AC502" i="2"/>
  <c r="O506" i="2"/>
  <c r="L506" i="2"/>
  <c r="M506" i="2"/>
  <c r="N506" i="2"/>
  <c r="U506" i="2"/>
  <c r="R508" i="2"/>
  <c r="X511" i="2"/>
  <c r="O511" i="2"/>
  <c r="L511" i="2"/>
  <c r="M511" i="2"/>
  <c r="N511" i="2"/>
  <c r="G514" i="2"/>
  <c r="W514" i="2"/>
  <c r="AC516" i="2"/>
  <c r="O516" i="2"/>
  <c r="L516" i="2"/>
  <c r="M516" i="2"/>
  <c r="N516" i="2"/>
  <c r="AF517" i="2"/>
  <c r="AF519" i="2"/>
  <c r="O519" i="2"/>
  <c r="M519" i="2"/>
  <c r="L519" i="2"/>
  <c r="N519" i="2"/>
  <c r="J520" i="2"/>
  <c r="AK520" i="2"/>
  <c r="AB524" i="2"/>
  <c r="S539" i="2"/>
  <c r="S540" i="2"/>
  <c r="V545" i="2"/>
  <c r="X550" i="2"/>
  <c r="Y555" i="2"/>
  <c r="O555" i="2"/>
  <c r="M555" i="2"/>
  <c r="L555" i="2"/>
  <c r="N555" i="2"/>
  <c r="AC555" i="2"/>
  <c r="J555" i="2"/>
  <c r="Z555" i="2"/>
  <c r="X555" i="2"/>
  <c r="H555" i="2"/>
  <c r="U555" i="2"/>
  <c r="D557" i="2"/>
  <c r="T561" i="2"/>
  <c r="X573" i="2"/>
  <c r="O573" i="2"/>
  <c r="L573" i="2"/>
  <c r="M573" i="2"/>
  <c r="N573" i="2"/>
  <c r="Z573" i="2"/>
  <c r="AH782" i="2"/>
  <c r="O782" i="2"/>
  <c r="L782" i="2"/>
  <c r="M782" i="2"/>
  <c r="N782" i="2"/>
  <c r="AG782" i="2"/>
  <c r="AD782" i="2"/>
  <c r="AC782" i="2"/>
  <c r="AB436" i="2"/>
  <c r="O436" i="2"/>
  <c r="L436" i="2"/>
  <c r="M436" i="2"/>
  <c r="N436" i="2"/>
  <c r="X436" i="2"/>
  <c r="J437" i="2"/>
  <c r="S448" i="2"/>
  <c r="S455" i="2"/>
  <c r="AD457" i="2"/>
  <c r="O457" i="2"/>
  <c r="L457" i="2"/>
  <c r="M457" i="2"/>
  <c r="N457" i="2"/>
  <c r="S457" i="2"/>
  <c r="AG457" i="2"/>
  <c r="AH458" i="2"/>
  <c r="H460" i="2"/>
  <c r="AC460" i="2"/>
  <c r="G462" i="2"/>
  <c r="C463" i="2"/>
  <c r="G464" i="2"/>
  <c r="W464" i="2"/>
  <c r="O465" i="2"/>
  <c r="L465" i="2"/>
  <c r="M465" i="2"/>
  <c r="N465" i="2"/>
  <c r="AB465" i="2"/>
  <c r="R466" i="2"/>
  <c r="AF468" i="2"/>
  <c r="AD470" i="2"/>
  <c r="AH471" i="2"/>
  <c r="R472" i="2"/>
  <c r="AH472" i="2"/>
  <c r="AD473" i="2"/>
  <c r="O478" i="2"/>
  <c r="L478" i="2"/>
  <c r="M478" i="2"/>
  <c r="N478" i="2"/>
  <c r="AC478" i="2"/>
  <c r="K481" i="2"/>
  <c r="AC481" i="2"/>
  <c r="H482" i="2"/>
  <c r="AD482" i="2"/>
  <c r="C484" i="2"/>
  <c r="W484" i="2"/>
  <c r="U487" i="2"/>
  <c r="C491" i="2"/>
  <c r="AG491" i="2"/>
  <c r="C493" i="2"/>
  <c r="V493" i="2"/>
  <c r="V494" i="2"/>
  <c r="V496" i="2"/>
  <c r="AK498" i="2"/>
  <c r="O498" i="2"/>
  <c r="L498" i="2"/>
  <c r="M498" i="2"/>
  <c r="N498" i="2"/>
  <c r="C500" i="2"/>
  <c r="S500" i="2"/>
  <c r="AF500" i="2"/>
  <c r="K502" i="2"/>
  <c r="AD502" i="2"/>
  <c r="R503" i="2"/>
  <c r="S505" i="2"/>
  <c r="V506" i="2"/>
  <c r="T508" i="2"/>
  <c r="AC511" i="2"/>
  <c r="H514" i="2"/>
  <c r="X514" i="2"/>
  <c r="C515" i="2"/>
  <c r="AG517" i="2"/>
  <c r="R518" i="2"/>
  <c r="K520" i="2"/>
  <c r="AH521" i="2"/>
  <c r="O521" i="2"/>
  <c r="L521" i="2"/>
  <c r="M521" i="2"/>
  <c r="N521" i="2"/>
  <c r="AC524" i="2"/>
  <c r="Z526" i="2"/>
  <c r="O526" i="2"/>
  <c r="L526" i="2"/>
  <c r="M526" i="2"/>
  <c r="N526" i="2"/>
  <c r="Y526" i="2"/>
  <c r="O536" i="2"/>
  <c r="L536" i="2"/>
  <c r="M536" i="2"/>
  <c r="N536" i="2"/>
  <c r="S536" i="2"/>
  <c r="J536" i="2"/>
  <c r="G536" i="2"/>
  <c r="AH536" i="2"/>
  <c r="V539" i="2"/>
  <c r="T540" i="2"/>
  <c r="AG546" i="2"/>
  <c r="O546" i="2"/>
  <c r="L546" i="2"/>
  <c r="M546" i="2"/>
  <c r="N546" i="2"/>
  <c r="X549" i="2"/>
  <c r="O549" i="2"/>
  <c r="L549" i="2"/>
  <c r="M549" i="2"/>
  <c r="N549" i="2"/>
  <c r="AF549" i="2"/>
  <c r="AB549" i="2"/>
  <c r="Z549" i="2"/>
  <c r="Y614" i="2"/>
  <c r="O614" i="2"/>
  <c r="L614" i="2"/>
  <c r="M614" i="2"/>
  <c r="N614" i="2"/>
  <c r="V614" i="2"/>
  <c r="S614" i="2"/>
  <c r="R614" i="2"/>
  <c r="J614" i="2"/>
  <c r="G614" i="2"/>
  <c r="AD614" i="2"/>
  <c r="D614" i="2"/>
  <c r="AB614" i="2"/>
  <c r="C614" i="2"/>
  <c r="H424" i="2"/>
  <c r="AG424" i="2"/>
  <c r="X427" i="2"/>
  <c r="G431" i="2"/>
  <c r="AC436" i="2"/>
  <c r="T437" i="2"/>
  <c r="AB439" i="2"/>
  <c r="AG441" i="2"/>
  <c r="O441" i="2"/>
  <c r="L441" i="2"/>
  <c r="M441" i="2"/>
  <c r="N441" i="2"/>
  <c r="G443" i="2"/>
  <c r="AB446" i="2"/>
  <c r="H447" i="2"/>
  <c r="AD447" i="2"/>
  <c r="U448" i="2"/>
  <c r="Z451" i="2"/>
  <c r="O451" i="2"/>
  <c r="L451" i="2"/>
  <c r="M451" i="2"/>
  <c r="N451" i="2"/>
  <c r="V452" i="2"/>
  <c r="AK452" i="2"/>
  <c r="T455" i="2"/>
  <c r="T457" i="2"/>
  <c r="AH457" i="2"/>
  <c r="R459" i="2"/>
  <c r="O459" i="2"/>
  <c r="M459" i="2"/>
  <c r="L459" i="2"/>
  <c r="N459" i="2"/>
  <c r="J460" i="2"/>
  <c r="AD460" i="2"/>
  <c r="H462" i="2"/>
  <c r="AC463" i="2"/>
  <c r="H464" i="2"/>
  <c r="X464" i="2"/>
  <c r="AC465" i="2"/>
  <c r="T466" i="2"/>
  <c r="AH468" i="2"/>
  <c r="J470" i="2"/>
  <c r="AG470" i="2"/>
  <c r="AK471" i="2"/>
  <c r="S472" i="2"/>
  <c r="J475" i="2"/>
  <c r="Y476" i="2"/>
  <c r="O476" i="2"/>
  <c r="L476" i="2"/>
  <c r="M476" i="2"/>
  <c r="N476" i="2"/>
  <c r="AD476" i="2"/>
  <c r="AD478" i="2"/>
  <c r="T480" i="2"/>
  <c r="AF482" i="2"/>
  <c r="X484" i="2"/>
  <c r="W487" i="2"/>
  <c r="V488" i="2"/>
  <c r="AK488" i="2"/>
  <c r="O490" i="2"/>
  <c r="L490" i="2"/>
  <c r="M490" i="2"/>
  <c r="N490" i="2"/>
  <c r="T490" i="2"/>
  <c r="AC492" i="2"/>
  <c r="O492" i="2"/>
  <c r="L492" i="2"/>
  <c r="M492" i="2"/>
  <c r="N492" i="2"/>
  <c r="D493" i="2"/>
  <c r="W493" i="2"/>
  <c r="C494" i="2"/>
  <c r="X494" i="2"/>
  <c r="AK495" i="2"/>
  <c r="T499" i="2"/>
  <c r="D500" i="2"/>
  <c r="T500" i="2"/>
  <c r="AG500" i="2"/>
  <c r="S503" i="2"/>
  <c r="AF504" i="2"/>
  <c r="C506" i="2"/>
  <c r="X506" i="2"/>
  <c r="W507" i="2"/>
  <c r="V508" i="2"/>
  <c r="AK510" i="2"/>
  <c r="O510" i="2"/>
  <c r="L510" i="2"/>
  <c r="M510" i="2"/>
  <c r="N510" i="2"/>
  <c r="C511" i="2"/>
  <c r="AF511" i="2"/>
  <c r="G513" i="2"/>
  <c r="Z514" i="2"/>
  <c r="K517" i="2"/>
  <c r="AK517" i="2"/>
  <c r="H524" i="2"/>
  <c r="T529" i="2"/>
  <c r="AD531" i="2"/>
  <c r="K538" i="2"/>
  <c r="AH538" i="2"/>
  <c r="U540" i="2"/>
  <c r="J541" i="2"/>
  <c r="H542" i="2"/>
  <c r="D550" i="2"/>
  <c r="AD550" i="2"/>
  <c r="R551" i="2"/>
  <c r="G552" i="2"/>
  <c r="AB553" i="2"/>
  <c r="O553" i="2"/>
  <c r="L553" i="2"/>
  <c r="M553" i="2"/>
  <c r="N553" i="2"/>
  <c r="AH553" i="2"/>
  <c r="AF553" i="2"/>
  <c r="H553" i="2"/>
  <c r="AD553" i="2"/>
  <c r="G553" i="2"/>
  <c r="AC553" i="2"/>
  <c r="C555" i="2"/>
  <c r="W555" i="2"/>
  <c r="J556" i="2"/>
  <c r="J557" i="2"/>
  <c r="C573" i="2"/>
  <c r="AH623" i="2"/>
  <c r="O623" i="2"/>
  <c r="L623" i="2"/>
  <c r="M623" i="2"/>
  <c r="N623" i="2"/>
  <c r="S672" i="2"/>
  <c r="AD469" i="2"/>
  <c r="O469" i="2"/>
  <c r="L469" i="2"/>
  <c r="M469" i="2"/>
  <c r="N469" i="2"/>
  <c r="S469" i="2"/>
  <c r="AG469" i="2"/>
  <c r="AG472" i="2"/>
  <c r="O472" i="2"/>
  <c r="L472" i="2"/>
  <c r="M472" i="2"/>
  <c r="N472" i="2"/>
  <c r="T472" i="2"/>
  <c r="O473" i="2"/>
  <c r="L473" i="2"/>
  <c r="M473" i="2"/>
  <c r="N473" i="2"/>
  <c r="T474" i="2"/>
  <c r="O474" i="2"/>
  <c r="L474" i="2"/>
  <c r="M474" i="2"/>
  <c r="N474" i="2"/>
  <c r="Z489" i="2"/>
  <c r="O489" i="2"/>
  <c r="L489" i="2"/>
  <c r="M489" i="2"/>
  <c r="N489" i="2"/>
  <c r="AG496" i="2"/>
  <c r="O496" i="2"/>
  <c r="L496" i="2"/>
  <c r="M496" i="2"/>
  <c r="N496" i="2"/>
  <c r="X496" i="2"/>
  <c r="AD505" i="2"/>
  <c r="O505" i="2"/>
  <c r="L505" i="2"/>
  <c r="M505" i="2"/>
  <c r="N505" i="2"/>
  <c r="U505" i="2"/>
  <c r="O518" i="2"/>
  <c r="L518" i="2"/>
  <c r="M518" i="2"/>
  <c r="N518" i="2"/>
  <c r="U518" i="2"/>
  <c r="Z539" i="2"/>
  <c r="O539" i="2"/>
  <c r="L539" i="2"/>
  <c r="M539" i="2"/>
  <c r="N539" i="2"/>
  <c r="G539" i="2"/>
  <c r="AC539" i="2"/>
  <c r="AB539" i="2"/>
  <c r="D539" i="2"/>
  <c r="C539" i="2"/>
  <c r="AH539" i="2"/>
  <c r="R541" i="2"/>
  <c r="J543" i="2"/>
  <c r="AF543" i="2"/>
  <c r="C549" i="2"/>
  <c r="AG550" i="2"/>
  <c r="S551" i="2"/>
  <c r="AG553" i="2"/>
  <c r="D555" i="2"/>
  <c r="AB555" i="2"/>
  <c r="K556" i="2"/>
  <c r="K557" i="2"/>
  <c r="R592" i="2"/>
  <c r="O597" i="2"/>
  <c r="L597" i="2"/>
  <c r="M597" i="2"/>
  <c r="N597" i="2"/>
  <c r="AH635" i="2"/>
  <c r="AK672" i="2"/>
  <c r="Y607" i="2"/>
  <c r="O607" i="2"/>
  <c r="L607" i="2"/>
  <c r="M607" i="2"/>
  <c r="N607" i="2"/>
  <c r="AD607" i="2"/>
  <c r="O610" i="2"/>
  <c r="L610" i="2"/>
  <c r="M610" i="2"/>
  <c r="N610" i="2"/>
  <c r="U610" i="2"/>
  <c r="X636" i="2"/>
  <c r="O636" i="2"/>
  <c r="L636" i="2"/>
  <c r="M636" i="2"/>
  <c r="N636" i="2"/>
  <c r="S640" i="2"/>
  <c r="O640" i="2"/>
  <c r="L640" i="2"/>
  <c r="M640" i="2"/>
  <c r="N640" i="2"/>
  <c r="O641" i="2"/>
  <c r="L641" i="2"/>
  <c r="M641" i="2"/>
  <c r="N641" i="2"/>
  <c r="X648" i="2"/>
  <c r="O648" i="2"/>
  <c r="L648" i="2"/>
  <c r="M648" i="2"/>
  <c r="N648" i="2"/>
  <c r="AG692" i="2"/>
  <c r="O692" i="2"/>
  <c r="L692" i="2"/>
  <c r="M692" i="2"/>
  <c r="N692" i="2"/>
  <c r="AH692" i="2"/>
  <c r="W692" i="2"/>
  <c r="V692" i="2"/>
  <c r="AK694" i="2"/>
  <c r="O694" i="2"/>
  <c r="L694" i="2"/>
  <c r="M694" i="2"/>
  <c r="N694" i="2"/>
  <c r="X694" i="2"/>
  <c r="O698" i="2"/>
  <c r="L698" i="2"/>
  <c r="M698" i="2"/>
  <c r="N698" i="2"/>
  <c r="D698" i="2"/>
  <c r="Z784" i="2"/>
  <c r="O784" i="2"/>
  <c r="L784" i="2"/>
  <c r="M784" i="2"/>
  <c r="N784" i="2"/>
  <c r="R784" i="2"/>
  <c r="AK784" i="2"/>
  <c r="AF784" i="2"/>
  <c r="K784" i="2"/>
  <c r="AD784" i="2"/>
  <c r="H784" i="2"/>
  <c r="AC784" i="2"/>
  <c r="G784" i="2"/>
  <c r="AB784" i="2"/>
  <c r="X784" i="2"/>
  <c r="D784" i="2"/>
  <c r="W784" i="2"/>
  <c r="C784" i="2"/>
  <c r="Y981" i="2"/>
  <c r="O981" i="2"/>
  <c r="L981" i="2"/>
  <c r="D981" i="2"/>
  <c r="N981" i="2"/>
  <c r="AB981" i="2"/>
  <c r="AC981" i="2"/>
  <c r="Z981" i="2"/>
  <c r="T981" i="2"/>
  <c r="H981" i="2"/>
  <c r="C981" i="2"/>
  <c r="M981" i="2"/>
  <c r="J568" i="2"/>
  <c r="AF569" i="2"/>
  <c r="O569" i="2"/>
  <c r="L569" i="2"/>
  <c r="M569" i="2"/>
  <c r="N569" i="2"/>
  <c r="T581" i="2"/>
  <c r="K583" i="2"/>
  <c r="AB583" i="2"/>
  <c r="O594" i="2"/>
  <c r="L594" i="2"/>
  <c r="M594" i="2"/>
  <c r="N594" i="2"/>
  <c r="AB594" i="2"/>
  <c r="G595" i="2"/>
  <c r="W595" i="2"/>
  <c r="O596" i="2"/>
  <c r="L596" i="2"/>
  <c r="M596" i="2"/>
  <c r="N596" i="2"/>
  <c r="T598" i="2"/>
  <c r="AB605" i="2"/>
  <c r="O605" i="2"/>
  <c r="L605" i="2"/>
  <c r="M605" i="2"/>
  <c r="N605" i="2"/>
  <c r="R607" i="2"/>
  <c r="V610" i="2"/>
  <c r="AB615" i="2"/>
  <c r="O618" i="2"/>
  <c r="L618" i="2"/>
  <c r="M618" i="2"/>
  <c r="N618" i="2"/>
  <c r="R618" i="2"/>
  <c r="AK618" i="2"/>
  <c r="AF621" i="2"/>
  <c r="O621" i="2"/>
  <c r="L621" i="2"/>
  <c r="M621" i="2"/>
  <c r="N621" i="2"/>
  <c r="AK624" i="2"/>
  <c r="O624" i="2"/>
  <c r="L624" i="2"/>
  <c r="M624" i="2"/>
  <c r="N624" i="2"/>
  <c r="S626" i="2"/>
  <c r="G633" i="2"/>
  <c r="AC633" i="2"/>
  <c r="AC636" i="2"/>
  <c r="AF641" i="2"/>
  <c r="AF642" i="2"/>
  <c r="AC648" i="2"/>
  <c r="O651" i="2"/>
  <c r="M651" i="2"/>
  <c r="L651" i="2"/>
  <c r="N651" i="2"/>
  <c r="X651" i="2"/>
  <c r="O670" i="2"/>
  <c r="L670" i="2"/>
  <c r="M670" i="2"/>
  <c r="N670" i="2"/>
  <c r="S670" i="2"/>
  <c r="AD676" i="2"/>
  <c r="O676" i="2"/>
  <c r="L676" i="2"/>
  <c r="M676" i="2"/>
  <c r="N676" i="2"/>
  <c r="U676" i="2"/>
  <c r="H676" i="2"/>
  <c r="AK682" i="2"/>
  <c r="O682" i="2"/>
  <c r="L682" i="2"/>
  <c r="M682" i="2"/>
  <c r="N682" i="2"/>
  <c r="AH771" i="2"/>
  <c r="O771" i="2"/>
  <c r="L771" i="2"/>
  <c r="M771" i="2"/>
  <c r="N771" i="2"/>
  <c r="AK771" i="2"/>
  <c r="X771" i="2"/>
  <c r="W771" i="2"/>
  <c r="K771" i="2"/>
  <c r="O778" i="2"/>
  <c r="L778" i="2"/>
  <c r="M778" i="2"/>
  <c r="N778" i="2"/>
  <c r="V778" i="2"/>
  <c r="U778" i="2"/>
  <c r="S778" i="2"/>
  <c r="K778" i="2"/>
  <c r="AK778" i="2"/>
  <c r="J778" i="2"/>
  <c r="AH778" i="2"/>
  <c r="AG778" i="2"/>
  <c r="G778" i="2"/>
  <c r="AB778" i="2"/>
  <c r="Z778" i="2"/>
  <c r="Y778" i="2"/>
  <c r="AB567" i="2"/>
  <c r="O567" i="2"/>
  <c r="M567" i="2"/>
  <c r="L567" i="2"/>
  <c r="N567" i="2"/>
  <c r="Y576" i="2"/>
  <c r="O576" i="2"/>
  <c r="L576" i="2"/>
  <c r="M576" i="2"/>
  <c r="N576" i="2"/>
  <c r="Z579" i="2"/>
  <c r="O579" i="2"/>
  <c r="M579" i="2"/>
  <c r="L579" i="2"/>
  <c r="N579" i="2"/>
  <c r="G584" i="2"/>
  <c r="AG584" i="2"/>
  <c r="AB590" i="2"/>
  <c r="X595" i="2"/>
  <c r="O598" i="2"/>
  <c r="L598" i="2"/>
  <c r="M598" i="2"/>
  <c r="N598" i="2"/>
  <c r="U598" i="2"/>
  <c r="AH599" i="2"/>
  <c r="O599" i="2"/>
  <c r="L599" i="2"/>
  <c r="M599" i="2"/>
  <c r="N599" i="2"/>
  <c r="AG605" i="2"/>
  <c r="C607" i="2"/>
  <c r="S607" i="2"/>
  <c r="AF607" i="2"/>
  <c r="C610" i="2"/>
  <c r="W610" i="2"/>
  <c r="AK612" i="2"/>
  <c r="O612" i="2"/>
  <c r="L612" i="2"/>
  <c r="M612" i="2"/>
  <c r="N612" i="2"/>
  <c r="S618" i="2"/>
  <c r="Y619" i="2"/>
  <c r="O619" i="2"/>
  <c r="L619" i="2"/>
  <c r="M619" i="2"/>
  <c r="N619" i="2"/>
  <c r="AD619" i="2"/>
  <c r="H633" i="2"/>
  <c r="AD633" i="2"/>
  <c r="C636" i="2"/>
  <c r="AF636" i="2"/>
  <c r="C640" i="2"/>
  <c r="D641" i="2"/>
  <c r="AH641" i="2"/>
  <c r="C648" i="2"/>
  <c r="AF648" i="2"/>
  <c r="Z651" i="2"/>
  <c r="K657" i="2"/>
  <c r="AH657" i="2"/>
  <c r="S659" i="2"/>
  <c r="V661" i="2"/>
  <c r="Z663" i="2"/>
  <c r="O663" i="2"/>
  <c r="M663" i="2"/>
  <c r="L663" i="2"/>
  <c r="N663" i="2"/>
  <c r="K663" i="2"/>
  <c r="AF676" i="2"/>
  <c r="AD684" i="2"/>
  <c r="K690" i="2"/>
  <c r="O732" i="2"/>
  <c r="L732" i="2"/>
  <c r="M732" i="2"/>
  <c r="N732" i="2"/>
  <c r="AD732" i="2"/>
  <c r="Z732" i="2"/>
  <c r="Y732" i="2"/>
  <c r="X732" i="2"/>
  <c r="K732" i="2"/>
  <c r="J732" i="2"/>
  <c r="R567" i="2"/>
  <c r="AF567" i="2"/>
  <c r="R576" i="2"/>
  <c r="AF576" i="2"/>
  <c r="O581" i="2"/>
  <c r="L581" i="2"/>
  <c r="M581" i="2"/>
  <c r="N581" i="2"/>
  <c r="V581" i="2"/>
  <c r="Y583" i="2"/>
  <c r="O583" i="2"/>
  <c r="L583" i="2"/>
  <c r="M583" i="2"/>
  <c r="N583" i="2"/>
  <c r="AD583" i="2"/>
  <c r="H584" i="2"/>
  <c r="AH584" i="2"/>
  <c r="AD587" i="2"/>
  <c r="O587" i="2"/>
  <c r="L587" i="2"/>
  <c r="M587" i="2"/>
  <c r="N587" i="2"/>
  <c r="G590" i="2"/>
  <c r="AD590" i="2"/>
  <c r="O593" i="2"/>
  <c r="L593" i="2"/>
  <c r="M593" i="2"/>
  <c r="N593" i="2"/>
  <c r="D594" i="2"/>
  <c r="Z595" i="2"/>
  <c r="V598" i="2"/>
  <c r="AH605" i="2"/>
  <c r="D607" i="2"/>
  <c r="T607" i="2"/>
  <c r="AG607" i="2"/>
  <c r="AF609" i="2"/>
  <c r="O609" i="2"/>
  <c r="L609" i="2"/>
  <c r="M609" i="2"/>
  <c r="N609" i="2"/>
  <c r="X610" i="2"/>
  <c r="Z615" i="2"/>
  <c r="O615" i="2"/>
  <c r="M615" i="2"/>
  <c r="L615" i="2"/>
  <c r="N615" i="2"/>
  <c r="D618" i="2"/>
  <c r="T618" i="2"/>
  <c r="R619" i="2"/>
  <c r="X626" i="2"/>
  <c r="O626" i="2"/>
  <c r="L626" i="2"/>
  <c r="M626" i="2"/>
  <c r="N626" i="2"/>
  <c r="AC626" i="2"/>
  <c r="AD629" i="2"/>
  <c r="O629" i="2"/>
  <c r="L629" i="2"/>
  <c r="M629" i="2"/>
  <c r="N629" i="2"/>
  <c r="AG636" i="2"/>
  <c r="AD642" i="2"/>
  <c r="O642" i="2"/>
  <c r="L642" i="2"/>
  <c r="M642" i="2"/>
  <c r="N642" i="2"/>
  <c r="S642" i="2"/>
  <c r="AH642" i="2"/>
  <c r="AG648" i="2"/>
  <c r="D651" i="2"/>
  <c r="AB651" i="2"/>
  <c r="AK657" i="2"/>
  <c r="V659" i="2"/>
  <c r="Y661" i="2"/>
  <c r="C676" i="2"/>
  <c r="AG676" i="2"/>
  <c r="AH681" i="2"/>
  <c r="O681" i="2"/>
  <c r="L681" i="2"/>
  <c r="M681" i="2"/>
  <c r="N681" i="2"/>
  <c r="AD681" i="2"/>
  <c r="W681" i="2"/>
  <c r="T681" i="2"/>
  <c r="R681" i="2"/>
  <c r="AF684" i="2"/>
  <c r="R685" i="2"/>
  <c r="V690" i="2"/>
  <c r="J692" i="2"/>
  <c r="O768" i="2"/>
  <c r="L768" i="2"/>
  <c r="M768" i="2"/>
  <c r="N768" i="2"/>
  <c r="AH768" i="2"/>
  <c r="AG768" i="2"/>
  <c r="AF768" i="2"/>
  <c r="V768" i="2"/>
  <c r="U768" i="2"/>
  <c r="T768" i="2"/>
  <c r="J768" i="2"/>
  <c r="H768" i="2"/>
  <c r="S784" i="2"/>
  <c r="Z796" i="2"/>
  <c r="O796" i="2"/>
  <c r="L796" i="2"/>
  <c r="M796" i="2"/>
  <c r="N796" i="2"/>
  <c r="G796" i="2"/>
  <c r="V796" i="2"/>
  <c r="D796" i="2"/>
  <c r="AK796" i="2"/>
  <c r="S796" i="2"/>
  <c r="R796" i="2"/>
  <c r="AH796" i="2"/>
  <c r="K796" i="2"/>
  <c r="AF796" i="2"/>
  <c r="J796" i="2"/>
  <c r="H796" i="2"/>
  <c r="AD796" i="2"/>
  <c r="AC796" i="2"/>
  <c r="AB796" i="2"/>
  <c r="C796" i="2"/>
  <c r="X796" i="2"/>
  <c r="Y527" i="2"/>
  <c r="T530" i="2"/>
  <c r="O544" i="2"/>
  <c r="L544" i="2"/>
  <c r="M544" i="2"/>
  <c r="N544" i="2"/>
  <c r="X544" i="2"/>
  <c r="AK548" i="2"/>
  <c r="O548" i="2"/>
  <c r="L548" i="2"/>
  <c r="M548" i="2"/>
  <c r="N548" i="2"/>
  <c r="AK560" i="2"/>
  <c r="O560" i="2"/>
  <c r="L560" i="2"/>
  <c r="M560" i="2"/>
  <c r="N560" i="2"/>
  <c r="AG562" i="2"/>
  <c r="O564" i="2"/>
  <c r="L564" i="2"/>
  <c r="M564" i="2"/>
  <c r="N564" i="2"/>
  <c r="R564" i="2"/>
  <c r="AG564" i="2"/>
  <c r="R565" i="2"/>
  <c r="AC566" i="2"/>
  <c r="O566" i="2"/>
  <c r="L566" i="2"/>
  <c r="M566" i="2"/>
  <c r="N566" i="2"/>
  <c r="C567" i="2"/>
  <c r="S567" i="2"/>
  <c r="AG567" i="2"/>
  <c r="U568" i="2"/>
  <c r="J569" i="2"/>
  <c r="AH571" i="2"/>
  <c r="O571" i="2"/>
  <c r="L571" i="2"/>
  <c r="M571" i="2"/>
  <c r="N571" i="2"/>
  <c r="Y574" i="2"/>
  <c r="O574" i="2"/>
  <c r="L574" i="2"/>
  <c r="M574" i="2"/>
  <c r="N574" i="2"/>
  <c r="S574" i="2"/>
  <c r="Z575" i="2"/>
  <c r="O575" i="2"/>
  <c r="L575" i="2"/>
  <c r="M575" i="2"/>
  <c r="N575" i="2"/>
  <c r="S575" i="2"/>
  <c r="C576" i="2"/>
  <c r="S576" i="2"/>
  <c r="AG576" i="2"/>
  <c r="R577" i="2"/>
  <c r="O578" i="2"/>
  <c r="L578" i="2"/>
  <c r="M578" i="2"/>
  <c r="N578" i="2"/>
  <c r="V578" i="2"/>
  <c r="X581" i="2"/>
  <c r="R583" i="2"/>
  <c r="AK584" i="2"/>
  <c r="AF594" i="2"/>
  <c r="J595" i="2"/>
  <c r="C598" i="2"/>
  <c r="W598" i="2"/>
  <c r="AC606" i="2"/>
  <c r="O606" i="2"/>
  <c r="L606" i="2"/>
  <c r="M606" i="2"/>
  <c r="N606" i="2"/>
  <c r="V606" i="2"/>
  <c r="U607" i="2"/>
  <c r="AH607" i="2"/>
  <c r="Z610" i="2"/>
  <c r="AF615" i="2"/>
  <c r="V618" i="2"/>
  <c r="C619" i="2"/>
  <c r="S619" i="2"/>
  <c r="AF619" i="2"/>
  <c r="J621" i="2"/>
  <c r="X625" i="2"/>
  <c r="O625" i="2"/>
  <c r="L625" i="2"/>
  <c r="M625" i="2"/>
  <c r="N625" i="2"/>
  <c r="O628" i="2"/>
  <c r="L628" i="2"/>
  <c r="M628" i="2"/>
  <c r="N628" i="2"/>
  <c r="K633" i="2"/>
  <c r="AF633" i="2"/>
  <c r="H636" i="2"/>
  <c r="AK636" i="2"/>
  <c r="G641" i="2"/>
  <c r="T642" i="2"/>
  <c r="AK642" i="2"/>
  <c r="H648" i="2"/>
  <c r="AK648" i="2"/>
  <c r="AC651" i="2"/>
  <c r="R657" i="2"/>
  <c r="AH658" i="2"/>
  <c r="O658" i="2"/>
  <c r="L658" i="2"/>
  <c r="M658" i="2"/>
  <c r="N658" i="2"/>
  <c r="AG670" i="2"/>
  <c r="AG674" i="2"/>
  <c r="O674" i="2"/>
  <c r="L674" i="2"/>
  <c r="M674" i="2"/>
  <c r="N674" i="2"/>
  <c r="S675" i="2"/>
  <c r="O678" i="2"/>
  <c r="L678" i="2"/>
  <c r="M678" i="2"/>
  <c r="N678" i="2"/>
  <c r="AC678" i="2"/>
  <c r="C678" i="2"/>
  <c r="V678" i="2"/>
  <c r="U678" i="2"/>
  <c r="T678" i="2"/>
  <c r="AH678" i="2"/>
  <c r="X682" i="2"/>
  <c r="H684" i="2"/>
  <c r="AG684" i="2"/>
  <c r="S685" i="2"/>
  <c r="W690" i="2"/>
  <c r="K692" i="2"/>
  <c r="G698" i="2"/>
  <c r="AF703" i="2"/>
  <c r="O703" i="2"/>
  <c r="L703" i="2"/>
  <c r="M703" i="2"/>
  <c r="N703" i="2"/>
  <c r="K703" i="2"/>
  <c r="AK703" i="2"/>
  <c r="D703" i="2"/>
  <c r="Y722" i="2"/>
  <c r="O722" i="2"/>
  <c r="L722" i="2"/>
  <c r="M722" i="2"/>
  <c r="N722" i="2"/>
  <c r="V722" i="2"/>
  <c r="S722" i="2"/>
  <c r="R722" i="2"/>
  <c r="G722" i="2"/>
  <c r="AF722" i="2"/>
  <c r="O740" i="2"/>
  <c r="L740" i="2"/>
  <c r="N740" i="2"/>
  <c r="M740" i="2"/>
  <c r="AD740" i="2"/>
  <c r="AC740" i="2"/>
  <c r="K740" i="2"/>
  <c r="AB740" i="2"/>
  <c r="J740" i="2"/>
  <c r="Z740" i="2"/>
  <c r="X740" i="2"/>
  <c r="H740" i="2"/>
  <c r="W740" i="2"/>
  <c r="G740" i="2"/>
  <c r="V740" i="2"/>
  <c r="AK740" i="2"/>
  <c r="U740" i="2"/>
  <c r="AH740" i="2"/>
  <c r="T740" i="2"/>
  <c r="D740" i="2"/>
  <c r="W778" i="2"/>
  <c r="T784" i="2"/>
  <c r="AD537" i="2"/>
  <c r="O537" i="2"/>
  <c r="L537" i="2"/>
  <c r="M537" i="2"/>
  <c r="N537" i="2"/>
  <c r="R562" i="2"/>
  <c r="S564" i="2"/>
  <c r="AK564" i="2"/>
  <c r="D567" i="2"/>
  <c r="T567" i="2"/>
  <c r="AH567" i="2"/>
  <c r="V568" i="2"/>
  <c r="K569" i="2"/>
  <c r="U574" i="2"/>
  <c r="T575" i="2"/>
  <c r="D576" i="2"/>
  <c r="T576" i="2"/>
  <c r="AK576" i="2"/>
  <c r="W578" i="2"/>
  <c r="Z580" i="2"/>
  <c r="O580" i="2"/>
  <c r="L580" i="2"/>
  <c r="M580" i="2"/>
  <c r="N580" i="2"/>
  <c r="S580" i="2"/>
  <c r="C581" i="2"/>
  <c r="Y581" i="2"/>
  <c r="C583" i="2"/>
  <c r="S583" i="2"/>
  <c r="AF583" i="2"/>
  <c r="J584" i="2"/>
  <c r="AB585" i="2"/>
  <c r="O585" i="2"/>
  <c r="L585" i="2"/>
  <c r="M585" i="2"/>
  <c r="N585" i="2"/>
  <c r="C587" i="2"/>
  <c r="J590" i="2"/>
  <c r="AH590" i="2"/>
  <c r="G594" i="2"/>
  <c r="AH594" i="2"/>
  <c r="K595" i="2"/>
  <c r="AB595" i="2"/>
  <c r="J596" i="2"/>
  <c r="X598" i="2"/>
  <c r="AK600" i="2"/>
  <c r="O600" i="2"/>
  <c r="L600" i="2"/>
  <c r="M600" i="2"/>
  <c r="N600" i="2"/>
  <c r="Y602" i="2"/>
  <c r="O602" i="2"/>
  <c r="L602" i="2"/>
  <c r="M602" i="2"/>
  <c r="N602" i="2"/>
  <c r="AB602" i="2"/>
  <c r="G605" i="2"/>
  <c r="V607" i="2"/>
  <c r="AK607" i="2"/>
  <c r="H610" i="2"/>
  <c r="X613" i="2"/>
  <c r="O613" i="2"/>
  <c r="L613" i="2"/>
  <c r="M613" i="2"/>
  <c r="N613" i="2"/>
  <c r="D615" i="2"/>
  <c r="Y616" i="2"/>
  <c r="O616" i="2"/>
  <c r="L616" i="2"/>
  <c r="N616" i="2"/>
  <c r="M616" i="2"/>
  <c r="R616" i="2"/>
  <c r="AF616" i="2"/>
  <c r="W618" i="2"/>
  <c r="D619" i="2"/>
  <c r="T619" i="2"/>
  <c r="AG619" i="2"/>
  <c r="K621" i="2"/>
  <c r="C626" i="2"/>
  <c r="AG626" i="2"/>
  <c r="AH633" i="2"/>
  <c r="Y637" i="2"/>
  <c r="O637" i="2"/>
  <c r="L637" i="2"/>
  <c r="M637" i="2"/>
  <c r="N637" i="2"/>
  <c r="R637" i="2"/>
  <c r="AG637" i="2"/>
  <c r="O639" i="2"/>
  <c r="M639" i="2"/>
  <c r="L639" i="2"/>
  <c r="N639" i="2"/>
  <c r="X639" i="2"/>
  <c r="G640" i="2"/>
  <c r="H641" i="2"/>
  <c r="C642" i="2"/>
  <c r="U642" i="2"/>
  <c r="O643" i="2"/>
  <c r="L643" i="2"/>
  <c r="M643" i="2"/>
  <c r="N643" i="2"/>
  <c r="R643" i="2"/>
  <c r="AG643" i="2"/>
  <c r="Y649" i="2"/>
  <c r="O649" i="2"/>
  <c r="L649" i="2"/>
  <c r="N649" i="2"/>
  <c r="M649" i="2"/>
  <c r="R649" i="2"/>
  <c r="AG649" i="2"/>
  <c r="AD651" i="2"/>
  <c r="S657" i="2"/>
  <c r="O662" i="2"/>
  <c r="L662" i="2"/>
  <c r="M662" i="2"/>
  <c r="N662" i="2"/>
  <c r="AG662" i="2"/>
  <c r="R662" i="2"/>
  <c r="Z662" i="2"/>
  <c r="V662" i="2"/>
  <c r="H663" i="2"/>
  <c r="Z665" i="2"/>
  <c r="O665" i="2"/>
  <c r="L665" i="2"/>
  <c r="N665" i="2"/>
  <c r="M665" i="2"/>
  <c r="AC665" i="2"/>
  <c r="U665" i="2"/>
  <c r="Y665" i="2"/>
  <c r="AB671" i="2"/>
  <c r="O671" i="2"/>
  <c r="L671" i="2"/>
  <c r="M671" i="2"/>
  <c r="N671" i="2"/>
  <c r="V671" i="2"/>
  <c r="T675" i="2"/>
  <c r="AH684" i="2"/>
  <c r="T685" i="2"/>
  <c r="AC690" i="2"/>
  <c r="AH693" i="2"/>
  <c r="O693" i="2"/>
  <c r="L693" i="2"/>
  <c r="M693" i="2"/>
  <c r="N693" i="2"/>
  <c r="O702" i="2"/>
  <c r="L702" i="2"/>
  <c r="M702" i="2"/>
  <c r="N702" i="2"/>
  <c r="W702" i="2"/>
  <c r="T702" i="2"/>
  <c r="K702" i="2"/>
  <c r="J702" i="2"/>
  <c r="O707" i="2"/>
  <c r="L707" i="2"/>
  <c r="M707" i="2"/>
  <c r="N707" i="2"/>
  <c r="Y707" i="2"/>
  <c r="AK734" i="2"/>
  <c r="O734" i="2"/>
  <c r="L734" i="2"/>
  <c r="M734" i="2"/>
  <c r="N734" i="2"/>
  <c r="X734" i="2"/>
  <c r="W734" i="2"/>
  <c r="V734" i="2"/>
  <c r="K734" i="2"/>
  <c r="J734" i="2"/>
  <c r="H734" i="2"/>
  <c r="D734" i="2"/>
  <c r="C734" i="2"/>
  <c r="O764" i="2"/>
  <c r="L764" i="2"/>
  <c r="M764" i="2"/>
  <c r="N764" i="2"/>
  <c r="AD764" i="2"/>
  <c r="AC764" i="2"/>
  <c r="K764" i="2"/>
  <c r="AB764" i="2"/>
  <c r="J764" i="2"/>
  <c r="Z764" i="2"/>
  <c r="X764" i="2"/>
  <c r="H764" i="2"/>
  <c r="W764" i="2"/>
  <c r="G764" i="2"/>
  <c r="V764" i="2"/>
  <c r="AK764" i="2"/>
  <c r="U764" i="2"/>
  <c r="AH764" i="2"/>
  <c r="T764" i="2"/>
  <c r="D764" i="2"/>
  <c r="AG764" i="2"/>
  <c r="X778" i="2"/>
  <c r="O791" i="2"/>
  <c r="L791" i="2"/>
  <c r="M791" i="2"/>
  <c r="N791" i="2"/>
  <c r="Y791" i="2"/>
  <c r="W791" i="2"/>
  <c r="Z791" i="2"/>
  <c r="X791" i="2"/>
  <c r="S791" i="2"/>
  <c r="R791" i="2"/>
  <c r="K791" i="2"/>
  <c r="J791" i="2"/>
  <c r="G791" i="2"/>
  <c r="AK791" i="2"/>
  <c r="Z806" i="2"/>
  <c r="O806" i="2"/>
  <c r="L806" i="2"/>
  <c r="M806" i="2"/>
  <c r="N806" i="2"/>
  <c r="AD806" i="2"/>
  <c r="D806" i="2"/>
  <c r="Z525" i="2"/>
  <c r="O525" i="2"/>
  <c r="L525" i="2"/>
  <c r="M525" i="2"/>
  <c r="N525" i="2"/>
  <c r="O527" i="2"/>
  <c r="L527" i="2"/>
  <c r="M527" i="2"/>
  <c r="N527" i="2"/>
  <c r="AD527" i="2"/>
  <c r="O530" i="2"/>
  <c r="L530" i="2"/>
  <c r="M530" i="2"/>
  <c r="N530" i="2"/>
  <c r="Y530" i="2"/>
  <c r="C544" i="2"/>
  <c r="AF544" i="2"/>
  <c r="Y562" i="2"/>
  <c r="O562" i="2"/>
  <c r="L562" i="2"/>
  <c r="N562" i="2"/>
  <c r="M562" i="2"/>
  <c r="S562" i="2"/>
  <c r="Z563" i="2"/>
  <c r="O563" i="2"/>
  <c r="L563" i="2"/>
  <c r="M563" i="2"/>
  <c r="N563" i="2"/>
  <c r="S563" i="2"/>
  <c r="C564" i="2"/>
  <c r="T564" i="2"/>
  <c r="AB565" i="2"/>
  <c r="O565" i="2"/>
  <c r="L565" i="2"/>
  <c r="M565" i="2"/>
  <c r="N565" i="2"/>
  <c r="T565" i="2"/>
  <c r="U567" i="2"/>
  <c r="AK567" i="2"/>
  <c r="V569" i="2"/>
  <c r="C574" i="2"/>
  <c r="V574" i="2"/>
  <c r="C575" i="2"/>
  <c r="V575" i="2"/>
  <c r="U576" i="2"/>
  <c r="O577" i="2"/>
  <c r="L577" i="2"/>
  <c r="M577" i="2"/>
  <c r="N577" i="2"/>
  <c r="T577" i="2"/>
  <c r="X578" i="2"/>
  <c r="T580" i="2"/>
  <c r="Z581" i="2"/>
  <c r="D583" i="2"/>
  <c r="T583" i="2"/>
  <c r="AG583" i="2"/>
  <c r="D587" i="2"/>
  <c r="AH591" i="2"/>
  <c r="O591" i="2"/>
  <c r="M591" i="2"/>
  <c r="L591" i="2"/>
  <c r="N591" i="2"/>
  <c r="Y591" i="2"/>
  <c r="J594" i="2"/>
  <c r="AK594" i="2"/>
  <c r="U596" i="2"/>
  <c r="Z598" i="2"/>
  <c r="AD602" i="2"/>
  <c r="D606" i="2"/>
  <c r="Z606" i="2"/>
  <c r="G607" i="2"/>
  <c r="W607" i="2"/>
  <c r="O608" i="2"/>
  <c r="L608" i="2"/>
  <c r="M608" i="2"/>
  <c r="N608" i="2"/>
  <c r="J609" i="2"/>
  <c r="AC610" i="2"/>
  <c r="AC613" i="2"/>
  <c r="S616" i="2"/>
  <c r="AG616" i="2"/>
  <c r="G618" i="2"/>
  <c r="Z618" i="2"/>
  <c r="U619" i="2"/>
  <c r="AH619" i="2"/>
  <c r="AG622" i="2"/>
  <c r="O622" i="2"/>
  <c r="L622" i="2"/>
  <c r="M622" i="2"/>
  <c r="N622" i="2"/>
  <c r="Z622" i="2"/>
  <c r="C625" i="2"/>
  <c r="D626" i="2"/>
  <c r="AC627" i="2"/>
  <c r="O627" i="2"/>
  <c r="M627" i="2"/>
  <c r="L627" i="2"/>
  <c r="N627" i="2"/>
  <c r="C628" i="2"/>
  <c r="AD630" i="2"/>
  <c r="O630" i="2"/>
  <c r="L630" i="2"/>
  <c r="M630" i="2"/>
  <c r="N630" i="2"/>
  <c r="S630" i="2"/>
  <c r="AH630" i="2"/>
  <c r="R633" i="2"/>
  <c r="AK633" i="2"/>
  <c r="K636" i="2"/>
  <c r="T637" i="2"/>
  <c r="AH637" i="2"/>
  <c r="Z639" i="2"/>
  <c r="J641" i="2"/>
  <c r="D642" i="2"/>
  <c r="V642" i="2"/>
  <c r="T643" i="2"/>
  <c r="AH643" i="2"/>
  <c r="K648" i="2"/>
  <c r="T649" i="2"/>
  <c r="AH649" i="2"/>
  <c r="H651" i="2"/>
  <c r="AF651" i="2"/>
  <c r="AD654" i="2"/>
  <c r="O654" i="2"/>
  <c r="L654" i="2"/>
  <c r="M654" i="2"/>
  <c r="N654" i="2"/>
  <c r="S654" i="2"/>
  <c r="AH654" i="2"/>
  <c r="W662" i="2"/>
  <c r="AB665" i="2"/>
  <c r="U675" i="2"/>
  <c r="G676" i="2"/>
  <c r="AF679" i="2"/>
  <c r="O679" i="2"/>
  <c r="L679" i="2"/>
  <c r="M679" i="2"/>
  <c r="N679" i="2"/>
  <c r="AK679" i="2"/>
  <c r="K679" i="2"/>
  <c r="AD679" i="2"/>
  <c r="AB679" i="2"/>
  <c r="Z679" i="2"/>
  <c r="D679" i="2"/>
  <c r="AH679" i="2"/>
  <c r="AK684" i="2"/>
  <c r="Y696" i="2"/>
  <c r="O696" i="2"/>
  <c r="L696" i="2"/>
  <c r="M696" i="2"/>
  <c r="N696" i="2"/>
  <c r="AC696" i="2"/>
  <c r="Z696" i="2"/>
  <c r="X696" i="2"/>
  <c r="H696" i="2"/>
  <c r="W696" i="2"/>
  <c r="G696" i="2"/>
  <c r="U696" i="2"/>
  <c r="R698" i="2"/>
  <c r="D722" i="2"/>
  <c r="Z724" i="2"/>
  <c r="O724" i="2"/>
  <c r="L724" i="2"/>
  <c r="M724" i="2"/>
  <c r="N724" i="2"/>
  <c r="Y724" i="2"/>
  <c r="O760" i="2"/>
  <c r="L760" i="2"/>
  <c r="M760" i="2"/>
  <c r="N760" i="2"/>
  <c r="AF769" i="2"/>
  <c r="O769" i="2"/>
  <c r="L769" i="2"/>
  <c r="M769" i="2"/>
  <c r="N769" i="2"/>
  <c r="AK769" i="2"/>
  <c r="AH769" i="2"/>
  <c r="AG769" i="2"/>
  <c r="W769" i="2"/>
  <c r="V769" i="2"/>
  <c r="U769" i="2"/>
  <c r="K769" i="2"/>
  <c r="J769" i="2"/>
  <c r="T796" i="2"/>
  <c r="AD800" i="2"/>
  <c r="O800" i="2"/>
  <c r="L800" i="2"/>
  <c r="N800" i="2"/>
  <c r="M800" i="2"/>
  <c r="AC800" i="2"/>
  <c r="K800" i="2"/>
  <c r="Z800" i="2"/>
  <c r="H800" i="2"/>
  <c r="W800" i="2"/>
  <c r="T800" i="2"/>
  <c r="S800" i="2"/>
  <c r="AK800" i="2"/>
  <c r="AH800" i="2"/>
  <c r="AG800" i="2"/>
  <c r="J800" i="2"/>
  <c r="AF800" i="2"/>
  <c r="G800" i="2"/>
  <c r="AB800" i="2"/>
  <c r="D800" i="2"/>
  <c r="X800" i="2"/>
  <c r="C800" i="2"/>
  <c r="V567" i="2"/>
  <c r="O568" i="2"/>
  <c r="L568" i="2"/>
  <c r="M568" i="2"/>
  <c r="N568" i="2"/>
  <c r="X568" i="2"/>
  <c r="W569" i="2"/>
  <c r="AK572" i="2"/>
  <c r="O572" i="2"/>
  <c r="L572" i="2"/>
  <c r="M572" i="2"/>
  <c r="N572" i="2"/>
  <c r="W576" i="2"/>
  <c r="G581" i="2"/>
  <c r="AB581" i="2"/>
  <c r="U583" i="2"/>
  <c r="AH583" i="2"/>
  <c r="S584" i="2"/>
  <c r="R590" i="2"/>
  <c r="J593" i="2"/>
  <c r="K594" i="2"/>
  <c r="Y595" i="2"/>
  <c r="O595" i="2"/>
  <c r="L595" i="2"/>
  <c r="M595" i="2"/>
  <c r="N595" i="2"/>
  <c r="AD595" i="2"/>
  <c r="V596" i="2"/>
  <c r="H598" i="2"/>
  <c r="J605" i="2"/>
  <c r="H607" i="2"/>
  <c r="X607" i="2"/>
  <c r="J610" i="2"/>
  <c r="AD610" i="2"/>
  <c r="G615" i="2"/>
  <c r="H618" i="2"/>
  <c r="AB618" i="2"/>
  <c r="V619" i="2"/>
  <c r="AK619" i="2"/>
  <c r="S633" i="2"/>
  <c r="S634" i="2"/>
  <c r="O634" i="2"/>
  <c r="L634" i="2"/>
  <c r="M634" i="2"/>
  <c r="N634" i="2"/>
  <c r="Y640" i="2"/>
  <c r="W642" i="2"/>
  <c r="K651" i="2"/>
  <c r="AK651" i="2"/>
  <c r="AG657" i="2"/>
  <c r="O657" i="2"/>
  <c r="L657" i="2"/>
  <c r="M657" i="2"/>
  <c r="N657" i="2"/>
  <c r="V657" i="2"/>
  <c r="X659" i="2"/>
  <c r="O659" i="2"/>
  <c r="L659" i="2"/>
  <c r="M659" i="2"/>
  <c r="N659" i="2"/>
  <c r="X661" i="2"/>
  <c r="O661" i="2"/>
  <c r="L661" i="2"/>
  <c r="M661" i="2"/>
  <c r="N661" i="2"/>
  <c r="AG661" i="2"/>
  <c r="K676" i="2"/>
  <c r="S680" i="2"/>
  <c r="O680" i="2"/>
  <c r="L680" i="2"/>
  <c r="M680" i="2"/>
  <c r="N680" i="2"/>
  <c r="AK680" i="2"/>
  <c r="W680" i="2"/>
  <c r="V680" i="2"/>
  <c r="H681" i="2"/>
  <c r="Z685" i="2"/>
  <c r="O685" i="2"/>
  <c r="L685" i="2"/>
  <c r="M685" i="2"/>
  <c r="N685" i="2"/>
  <c r="AD685" i="2"/>
  <c r="H685" i="2"/>
  <c r="X685" i="2"/>
  <c r="D685" i="2"/>
  <c r="V685" i="2"/>
  <c r="C685" i="2"/>
  <c r="AC685" i="2"/>
  <c r="O690" i="2"/>
  <c r="L690" i="2"/>
  <c r="M690" i="2"/>
  <c r="N690" i="2"/>
  <c r="U690" i="2"/>
  <c r="T690" i="2"/>
  <c r="AG690" i="2"/>
  <c r="S698" i="2"/>
  <c r="Y720" i="2"/>
  <c r="O720" i="2"/>
  <c r="L720" i="2"/>
  <c r="M720" i="2"/>
  <c r="N720" i="2"/>
  <c r="J720" i="2"/>
  <c r="Z720" i="2"/>
  <c r="X720" i="2"/>
  <c r="H720" i="2"/>
  <c r="W720" i="2"/>
  <c r="G720" i="2"/>
  <c r="AK720" i="2"/>
  <c r="V720" i="2"/>
  <c r="AH720" i="2"/>
  <c r="U720" i="2"/>
  <c r="AG720" i="2"/>
  <c r="T720" i="2"/>
  <c r="D720" i="2"/>
  <c r="AF720" i="2"/>
  <c r="S720" i="2"/>
  <c r="C720" i="2"/>
  <c r="R720" i="2"/>
  <c r="O731" i="2"/>
  <c r="L731" i="2"/>
  <c r="M731" i="2"/>
  <c r="N731" i="2"/>
  <c r="AH731" i="2"/>
  <c r="S731" i="2"/>
  <c r="AG731" i="2"/>
  <c r="AF731" i="2"/>
  <c r="K731" i="2"/>
  <c r="AC731" i="2"/>
  <c r="J731" i="2"/>
  <c r="Z731" i="2"/>
  <c r="H731" i="2"/>
  <c r="Y731" i="2"/>
  <c r="G731" i="2"/>
  <c r="X731" i="2"/>
  <c r="W731" i="2"/>
  <c r="C731" i="2"/>
  <c r="Y750" i="2"/>
  <c r="O750" i="2"/>
  <c r="L750" i="2"/>
  <c r="M750" i="2"/>
  <c r="N750" i="2"/>
  <c r="AB750" i="2"/>
  <c r="K750" i="2"/>
  <c r="J750" i="2"/>
  <c r="Z750" i="2"/>
  <c r="X750" i="2"/>
  <c r="H750" i="2"/>
  <c r="W750" i="2"/>
  <c r="G750" i="2"/>
  <c r="AK750" i="2"/>
  <c r="V750" i="2"/>
  <c r="AH750" i="2"/>
  <c r="U750" i="2"/>
  <c r="AG750" i="2"/>
  <c r="T750" i="2"/>
  <c r="D750" i="2"/>
  <c r="AF750" i="2"/>
  <c r="S750" i="2"/>
  <c r="C750" i="2"/>
  <c r="W796" i="2"/>
  <c r="C527" i="2"/>
  <c r="AC528" i="2"/>
  <c r="O528" i="2"/>
  <c r="L528" i="2"/>
  <c r="M528" i="2"/>
  <c r="N528" i="2"/>
  <c r="D530" i="2"/>
  <c r="AB530" i="2"/>
  <c r="O534" i="2"/>
  <c r="L534" i="2"/>
  <c r="M534" i="2"/>
  <c r="N534" i="2"/>
  <c r="AK534" i="2"/>
  <c r="H537" i="2"/>
  <c r="H544" i="2"/>
  <c r="AH544" i="2"/>
  <c r="C562" i="2"/>
  <c r="V562" i="2"/>
  <c r="C563" i="2"/>
  <c r="V563" i="2"/>
  <c r="W564" i="2"/>
  <c r="C565" i="2"/>
  <c r="V565" i="2"/>
  <c r="G566" i="2"/>
  <c r="G567" i="2"/>
  <c r="W567" i="2"/>
  <c r="AG570" i="2"/>
  <c r="O570" i="2"/>
  <c r="L570" i="2"/>
  <c r="M570" i="2"/>
  <c r="N570" i="2"/>
  <c r="Z574" i="2"/>
  <c r="AB575" i="2"/>
  <c r="G576" i="2"/>
  <c r="X576" i="2"/>
  <c r="C577" i="2"/>
  <c r="V577" i="2"/>
  <c r="Z578" i="2"/>
  <c r="D580" i="2"/>
  <c r="X580" i="2"/>
  <c r="H581" i="2"/>
  <c r="AC581" i="2"/>
  <c r="V583" i="2"/>
  <c r="AK583" i="2"/>
  <c r="D591" i="2"/>
  <c r="AB591" i="2"/>
  <c r="R595" i="2"/>
  <c r="X596" i="2"/>
  <c r="AC598" i="2"/>
  <c r="AH601" i="2"/>
  <c r="O601" i="2"/>
  <c r="L601" i="2"/>
  <c r="M601" i="2"/>
  <c r="N601" i="2"/>
  <c r="W601" i="2"/>
  <c r="D602" i="2"/>
  <c r="Z603" i="2"/>
  <c r="O603" i="2"/>
  <c r="M603" i="2"/>
  <c r="L603" i="2"/>
  <c r="N603" i="2"/>
  <c r="R605" i="2"/>
  <c r="G606" i="2"/>
  <c r="Z607" i="2"/>
  <c r="V609" i="2"/>
  <c r="K610" i="2"/>
  <c r="AF610" i="2"/>
  <c r="AG613" i="2"/>
  <c r="H615" i="2"/>
  <c r="D616" i="2"/>
  <c r="U616" i="2"/>
  <c r="AB617" i="2"/>
  <c r="O617" i="2"/>
  <c r="L617" i="2"/>
  <c r="N617" i="2"/>
  <c r="M617" i="2"/>
  <c r="V617" i="2"/>
  <c r="AC618" i="2"/>
  <c r="G619" i="2"/>
  <c r="W619" i="2"/>
  <c r="O620" i="2"/>
  <c r="L620" i="2"/>
  <c r="M620" i="2"/>
  <c r="N620" i="2"/>
  <c r="C622" i="2"/>
  <c r="AF622" i="2"/>
  <c r="C630" i="2"/>
  <c r="U630" i="2"/>
  <c r="O631" i="2"/>
  <c r="L631" i="2"/>
  <c r="M631" i="2"/>
  <c r="N631" i="2"/>
  <c r="R631" i="2"/>
  <c r="AG631" i="2"/>
  <c r="T636" i="2"/>
  <c r="D637" i="2"/>
  <c r="V637" i="2"/>
  <c r="V638" i="2"/>
  <c r="O638" i="2"/>
  <c r="M638" i="2"/>
  <c r="L638" i="2"/>
  <c r="N638" i="2"/>
  <c r="AC639" i="2"/>
  <c r="S641" i="2"/>
  <c r="G642" i="2"/>
  <c r="Z642" i="2"/>
  <c r="D643" i="2"/>
  <c r="V643" i="2"/>
  <c r="V644" i="2"/>
  <c r="O644" i="2"/>
  <c r="L644" i="2"/>
  <c r="M644" i="2"/>
  <c r="N644" i="2"/>
  <c r="AH644" i="2"/>
  <c r="O646" i="2"/>
  <c r="L646" i="2"/>
  <c r="M646" i="2"/>
  <c r="N646" i="2"/>
  <c r="T647" i="2"/>
  <c r="O647" i="2"/>
  <c r="L647" i="2"/>
  <c r="M647" i="2"/>
  <c r="N647" i="2"/>
  <c r="T648" i="2"/>
  <c r="D649" i="2"/>
  <c r="V649" i="2"/>
  <c r="Z650" i="2"/>
  <c r="O650" i="2"/>
  <c r="L650" i="2"/>
  <c r="M650" i="2"/>
  <c r="N650" i="2"/>
  <c r="AB652" i="2"/>
  <c r="O652" i="2"/>
  <c r="L652" i="2"/>
  <c r="M652" i="2"/>
  <c r="N652" i="2"/>
  <c r="AC653" i="2"/>
  <c r="O653" i="2"/>
  <c r="L653" i="2"/>
  <c r="M653" i="2"/>
  <c r="N653" i="2"/>
  <c r="C654" i="2"/>
  <c r="U654" i="2"/>
  <c r="O655" i="2"/>
  <c r="L655" i="2"/>
  <c r="M655" i="2"/>
  <c r="N655" i="2"/>
  <c r="R655" i="2"/>
  <c r="AG655" i="2"/>
  <c r="W657" i="2"/>
  <c r="Y662" i="2"/>
  <c r="U663" i="2"/>
  <c r="AH665" i="2"/>
  <c r="W674" i="2"/>
  <c r="R676" i="2"/>
  <c r="K681" i="2"/>
  <c r="AH690" i="2"/>
  <c r="K693" i="2"/>
  <c r="AB698" i="2"/>
  <c r="H702" i="2"/>
  <c r="J703" i="2"/>
  <c r="AH705" i="2"/>
  <c r="O705" i="2"/>
  <c r="L705" i="2"/>
  <c r="M705" i="2"/>
  <c r="N705" i="2"/>
  <c r="AK705" i="2"/>
  <c r="AC722" i="2"/>
  <c r="Y734" i="2"/>
  <c r="R740" i="2"/>
  <c r="AD791" i="2"/>
  <c r="O839" i="2"/>
  <c r="L839" i="2"/>
  <c r="M839" i="2"/>
  <c r="N839" i="2"/>
  <c r="Z839" i="2"/>
  <c r="Y839" i="2"/>
  <c r="H576" i="2"/>
  <c r="Z576" i="2"/>
  <c r="G583" i="2"/>
  <c r="W583" i="2"/>
  <c r="Y584" i="2"/>
  <c r="O584" i="2"/>
  <c r="L584" i="2"/>
  <c r="M584" i="2"/>
  <c r="N584" i="2"/>
  <c r="U584" i="2"/>
  <c r="O590" i="2"/>
  <c r="M590" i="2"/>
  <c r="L590" i="2"/>
  <c r="N590" i="2"/>
  <c r="U590" i="2"/>
  <c r="S595" i="2"/>
  <c r="AF595" i="2"/>
  <c r="AG596" i="2"/>
  <c r="J598" i="2"/>
  <c r="AD598" i="2"/>
  <c r="J607" i="2"/>
  <c r="AG610" i="2"/>
  <c r="J618" i="2"/>
  <c r="AD618" i="2"/>
  <c r="H619" i="2"/>
  <c r="X619" i="2"/>
  <c r="G626" i="2"/>
  <c r="AG633" i="2"/>
  <c r="O633" i="2"/>
  <c r="L633" i="2"/>
  <c r="M633" i="2"/>
  <c r="N633" i="2"/>
  <c r="V633" i="2"/>
  <c r="U636" i="2"/>
  <c r="AD640" i="2"/>
  <c r="T641" i="2"/>
  <c r="H642" i="2"/>
  <c r="U648" i="2"/>
  <c r="X657" i="2"/>
  <c r="D659" i="2"/>
  <c r="C661" i="2"/>
  <c r="AB675" i="2"/>
  <c r="O675" i="2"/>
  <c r="M675" i="2"/>
  <c r="L675" i="2"/>
  <c r="N675" i="2"/>
  <c r="AH675" i="2"/>
  <c r="R675" i="2"/>
  <c r="AD675" i="2"/>
  <c r="H675" i="2"/>
  <c r="AC675" i="2"/>
  <c r="G675" i="2"/>
  <c r="Z675" i="2"/>
  <c r="T676" i="2"/>
  <c r="X681" i="2"/>
  <c r="Y684" i="2"/>
  <c r="O684" i="2"/>
  <c r="L684" i="2"/>
  <c r="M684" i="2"/>
  <c r="N684" i="2"/>
  <c r="R684" i="2"/>
  <c r="AB684" i="2"/>
  <c r="K684" i="2"/>
  <c r="J684" i="2"/>
  <c r="Z684" i="2"/>
  <c r="U684" i="2"/>
  <c r="AF685" i="2"/>
  <c r="AK690" i="2"/>
  <c r="AC698" i="2"/>
  <c r="AD755" i="2"/>
  <c r="O755" i="2"/>
  <c r="L755" i="2"/>
  <c r="M755" i="2"/>
  <c r="N755" i="2"/>
  <c r="U755" i="2"/>
  <c r="T755" i="2"/>
  <c r="S755" i="2"/>
  <c r="AK755" i="2"/>
  <c r="K755" i="2"/>
  <c r="AG755" i="2"/>
  <c r="J755" i="2"/>
  <c r="AF755" i="2"/>
  <c r="H755" i="2"/>
  <c r="AC755" i="2"/>
  <c r="G755" i="2"/>
  <c r="R764" i="2"/>
  <c r="AG770" i="2"/>
  <c r="O770" i="2"/>
  <c r="L770" i="2"/>
  <c r="M770" i="2"/>
  <c r="N770" i="2"/>
  <c r="AH770" i="2"/>
  <c r="Z770" i="2"/>
  <c r="X770" i="2"/>
  <c r="W770" i="2"/>
  <c r="V770" i="2"/>
  <c r="K770" i="2"/>
  <c r="J770" i="2"/>
  <c r="C770" i="2"/>
  <c r="AH791" i="2"/>
  <c r="U800" i="2"/>
  <c r="O776" i="2"/>
  <c r="L776" i="2"/>
  <c r="M776" i="2"/>
  <c r="N776" i="2"/>
  <c r="R776" i="2"/>
  <c r="AH776" i="2"/>
  <c r="AG803" i="2"/>
  <c r="O803" i="2"/>
  <c r="L803" i="2"/>
  <c r="M803" i="2"/>
  <c r="N803" i="2"/>
  <c r="K803" i="2"/>
  <c r="O809" i="2"/>
  <c r="L809" i="2"/>
  <c r="M809" i="2"/>
  <c r="N809" i="2"/>
  <c r="O821" i="2"/>
  <c r="L821" i="2"/>
  <c r="M821" i="2"/>
  <c r="N821" i="2"/>
  <c r="AC821" i="2"/>
  <c r="T821" i="2"/>
  <c r="S821" i="2"/>
  <c r="R821" i="2"/>
  <c r="AB822" i="2"/>
  <c r="O822" i="2"/>
  <c r="L822" i="2"/>
  <c r="M822" i="2"/>
  <c r="N822" i="2"/>
  <c r="K822" i="2"/>
  <c r="AC822" i="2"/>
  <c r="Z822" i="2"/>
  <c r="H822" i="2"/>
  <c r="X822" i="2"/>
  <c r="G822" i="2"/>
  <c r="W822" i="2"/>
  <c r="AG822" i="2"/>
  <c r="Z855" i="2"/>
  <c r="O855" i="2"/>
  <c r="L855" i="2"/>
  <c r="M855" i="2"/>
  <c r="N855" i="2"/>
  <c r="R855" i="2"/>
  <c r="J855" i="2"/>
  <c r="G855" i="2"/>
  <c r="AD855" i="2"/>
  <c r="D855" i="2"/>
  <c r="AC855" i="2"/>
  <c r="C855" i="2"/>
  <c r="AB855" i="2"/>
  <c r="AB709" i="2"/>
  <c r="G711" i="2"/>
  <c r="Z711" i="2"/>
  <c r="S713" i="2"/>
  <c r="V714" i="2"/>
  <c r="J715" i="2"/>
  <c r="AG716" i="2"/>
  <c r="O716" i="2"/>
  <c r="L716" i="2"/>
  <c r="M716" i="2"/>
  <c r="N716" i="2"/>
  <c r="AK718" i="2"/>
  <c r="O718" i="2"/>
  <c r="L718" i="2"/>
  <c r="M718" i="2"/>
  <c r="N718" i="2"/>
  <c r="S725" i="2"/>
  <c r="V726" i="2"/>
  <c r="AK726" i="2"/>
  <c r="O735" i="2"/>
  <c r="L735" i="2"/>
  <c r="M735" i="2"/>
  <c r="N735" i="2"/>
  <c r="AB735" i="2"/>
  <c r="Y738" i="2"/>
  <c r="O738" i="2"/>
  <c r="L738" i="2"/>
  <c r="M738" i="2"/>
  <c r="N738" i="2"/>
  <c r="AD738" i="2"/>
  <c r="H753" i="2"/>
  <c r="AC753" i="2"/>
  <c r="G754" i="2"/>
  <c r="X754" i="2"/>
  <c r="AG758" i="2"/>
  <c r="O758" i="2"/>
  <c r="L758" i="2"/>
  <c r="M758" i="2"/>
  <c r="N758" i="2"/>
  <c r="G762" i="2"/>
  <c r="W762" i="2"/>
  <c r="Z763" i="2"/>
  <c r="O763" i="2"/>
  <c r="L763" i="2"/>
  <c r="M763" i="2"/>
  <c r="N763" i="2"/>
  <c r="R766" i="2"/>
  <c r="Y774" i="2"/>
  <c r="O774" i="2"/>
  <c r="L774" i="2"/>
  <c r="M774" i="2"/>
  <c r="N774" i="2"/>
  <c r="AD774" i="2"/>
  <c r="G775" i="2"/>
  <c r="W775" i="2"/>
  <c r="S776" i="2"/>
  <c r="AB777" i="2"/>
  <c r="O777" i="2"/>
  <c r="L777" i="2"/>
  <c r="M777" i="2"/>
  <c r="N777" i="2"/>
  <c r="T777" i="2"/>
  <c r="O781" i="2"/>
  <c r="L781" i="2"/>
  <c r="M781" i="2"/>
  <c r="N781" i="2"/>
  <c r="H787" i="2"/>
  <c r="AG787" i="2"/>
  <c r="S792" i="2"/>
  <c r="O792" i="2"/>
  <c r="L792" i="2"/>
  <c r="M792" i="2"/>
  <c r="N792" i="2"/>
  <c r="AF792" i="2"/>
  <c r="Z792" i="2"/>
  <c r="H792" i="2"/>
  <c r="J801" i="2"/>
  <c r="AF802" i="2"/>
  <c r="O802" i="2"/>
  <c r="L802" i="2"/>
  <c r="M802" i="2"/>
  <c r="N802" i="2"/>
  <c r="U802" i="2"/>
  <c r="J802" i="2"/>
  <c r="O814" i="2"/>
  <c r="L814" i="2"/>
  <c r="M814" i="2"/>
  <c r="N814" i="2"/>
  <c r="AH814" i="2"/>
  <c r="V814" i="2"/>
  <c r="R814" i="2"/>
  <c r="AH822" i="2"/>
  <c r="AD824" i="2"/>
  <c r="O824" i="2"/>
  <c r="L824" i="2"/>
  <c r="M824" i="2"/>
  <c r="N824" i="2"/>
  <c r="U824" i="2"/>
  <c r="S824" i="2"/>
  <c r="K824" i="2"/>
  <c r="J824" i="2"/>
  <c r="AK824" i="2"/>
  <c r="AH824" i="2"/>
  <c r="H824" i="2"/>
  <c r="AG824" i="2"/>
  <c r="Y844" i="2"/>
  <c r="O844" i="2"/>
  <c r="L844" i="2"/>
  <c r="M844" i="2"/>
  <c r="N844" i="2"/>
  <c r="AB844" i="2"/>
  <c r="K844" i="2"/>
  <c r="Z844" i="2"/>
  <c r="X844" i="2"/>
  <c r="H844" i="2"/>
  <c r="W844" i="2"/>
  <c r="G844" i="2"/>
  <c r="AK844" i="2"/>
  <c r="V844" i="2"/>
  <c r="AH844" i="2"/>
  <c r="U844" i="2"/>
  <c r="AG844" i="2"/>
  <c r="T844" i="2"/>
  <c r="D844" i="2"/>
  <c r="AF844" i="2"/>
  <c r="S844" i="2"/>
  <c r="C844" i="2"/>
  <c r="R844" i="2"/>
  <c r="Y708" i="2"/>
  <c r="O708" i="2"/>
  <c r="L708" i="2"/>
  <c r="M708" i="2"/>
  <c r="N708" i="2"/>
  <c r="AD708" i="2"/>
  <c r="G709" i="2"/>
  <c r="AC709" i="2"/>
  <c r="H711" i="2"/>
  <c r="AD713" i="2"/>
  <c r="O713" i="2"/>
  <c r="L713" i="2"/>
  <c r="N713" i="2"/>
  <c r="M713" i="2"/>
  <c r="T713" i="2"/>
  <c r="AK713" i="2"/>
  <c r="K715" i="2"/>
  <c r="O723" i="2"/>
  <c r="M723" i="2"/>
  <c r="L723" i="2"/>
  <c r="N723" i="2"/>
  <c r="W723" i="2"/>
  <c r="G726" i="2"/>
  <c r="W726" i="2"/>
  <c r="O727" i="2"/>
  <c r="L727" i="2"/>
  <c r="M727" i="2"/>
  <c r="N727" i="2"/>
  <c r="O728" i="2"/>
  <c r="L728" i="2"/>
  <c r="M728" i="2"/>
  <c r="N728" i="2"/>
  <c r="V736" i="2"/>
  <c r="O736" i="2"/>
  <c r="L736" i="2"/>
  <c r="M736" i="2"/>
  <c r="N736" i="2"/>
  <c r="AC766" i="2"/>
  <c r="O766" i="2"/>
  <c r="L766" i="2"/>
  <c r="M766" i="2"/>
  <c r="N766" i="2"/>
  <c r="S766" i="2"/>
  <c r="AK766" i="2"/>
  <c r="D776" i="2"/>
  <c r="T776" i="2"/>
  <c r="O786" i="2"/>
  <c r="L786" i="2"/>
  <c r="M786" i="2"/>
  <c r="N786" i="2"/>
  <c r="AC786" i="2"/>
  <c r="Z786" i="2"/>
  <c r="O789" i="2"/>
  <c r="L789" i="2"/>
  <c r="N789" i="2"/>
  <c r="M789" i="2"/>
  <c r="AC789" i="2"/>
  <c r="H789" i="2"/>
  <c r="W789" i="2"/>
  <c r="U789" i="2"/>
  <c r="AB789" i="2"/>
  <c r="D821" i="2"/>
  <c r="AK822" i="2"/>
  <c r="O846" i="2"/>
  <c r="L846" i="2"/>
  <c r="M846" i="2"/>
  <c r="N846" i="2"/>
  <c r="T846" i="2"/>
  <c r="R846" i="2"/>
  <c r="AD950" i="2"/>
  <c r="O950" i="2"/>
  <c r="L950" i="2"/>
  <c r="M950" i="2"/>
  <c r="N950" i="2"/>
  <c r="AF950" i="2"/>
  <c r="K950" i="2"/>
  <c r="AC950" i="2"/>
  <c r="J950" i="2"/>
  <c r="AB950" i="2"/>
  <c r="H950" i="2"/>
  <c r="Z950" i="2"/>
  <c r="G950" i="2"/>
  <c r="W950" i="2"/>
  <c r="V950" i="2"/>
  <c r="D950" i="2"/>
  <c r="U950" i="2"/>
  <c r="C950" i="2"/>
  <c r="AK950" i="2"/>
  <c r="T950" i="2"/>
  <c r="AG950" i="2"/>
  <c r="AH950" i="2"/>
  <c r="S950" i="2"/>
  <c r="R708" i="2"/>
  <c r="H709" i="2"/>
  <c r="AD709" i="2"/>
  <c r="AC711" i="2"/>
  <c r="U713" i="2"/>
  <c r="O714" i="2"/>
  <c r="L714" i="2"/>
  <c r="M714" i="2"/>
  <c r="N714" i="2"/>
  <c r="AC714" i="2"/>
  <c r="R715" i="2"/>
  <c r="X723" i="2"/>
  <c r="Z725" i="2"/>
  <c r="O725" i="2"/>
  <c r="L725" i="2"/>
  <c r="M725" i="2"/>
  <c r="N725" i="2"/>
  <c r="AC725" i="2"/>
  <c r="H726" i="2"/>
  <c r="X726" i="2"/>
  <c r="AB730" i="2"/>
  <c r="O730" i="2"/>
  <c r="L730" i="2"/>
  <c r="M730" i="2"/>
  <c r="N730" i="2"/>
  <c r="C738" i="2"/>
  <c r="S738" i="2"/>
  <c r="AF738" i="2"/>
  <c r="AB741" i="2"/>
  <c r="O741" i="2"/>
  <c r="L741" i="2"/>
  <c r="N741" i="2"/>
  <c r="M741" i="2"/>
  <c r="S741" i="2"/>
  <c r="AK741" i="2"/>
  <c r="O748" i="2"/>
  <c r="L748" i="2"/>
  <c r="M748" i="2"/>
  <c r="N748" i="2"/>
  <c r="O752" i="2"/>
  <c r="L752" i="2"/>
  <c r="N752" i="2"/>
  <c r="M752" i="2"/>
  <c r="R752" i="2"/>
  <c r="AF752" i="2"/>
  <c r="J753" i="2"/>
  <c r="AB754" i="2"/>
  <c r="C758" i="2"/>
  <c r="AH758" i="2"/>
  <c r="X761" i="2"/>
  <c r="O761" i="2"/>
  <c r="L761" i="2"/>
  <c r="M761" i="2"/>
  <c r="N761" i="2"/>
  <c r="Z762" i="2"/>
  <c r="C763" i="2"/>
  <c r="AB765" i="2"/>
  <c r="O765" i="2"/>
  <c r="L765" i="2"/>
  <c r="M765" i="2"/>
  <c r="N765" i="2"/>
  <c r="S765" i="2"/>
  <c r="T766" i="2"/>
  <c r="AD767" i="2"/>
  <c r="O767" i="2"/>
  <c r="L767" i="2"/>
  <c r="M767" i="2"/>
  <c r="N767" i="2"/>
  <c r="W767" i="2"/>
  <c r="C774" i="2"/>
  <c r="S774" i="2"/>
  <c r="AF774" i="2"/>
  <c r="U776" i="2"/>
  <c r="V777" i="2"/>
  <c r="C781" i="2"/>
  <c r="AD786" i="2"/>
  <c r="K787" i="2"/>
  <c r="AK787" i="2"/>
  <c r="AF789" i="2"/>
  <c r="G803" i="2"/>
  <c r="Y808" i="2"/>
  <c r="O808" i="2"/>
  <c r="L808" i="2"/>
  <c r="M808" i="2"/>
  <c r="N808" i="2"/>
  <c r="AG808" i="2"/>
  <c r="W808" i="2"/>
  <c r="AB809" i="2"/>
  <c r="J822" i="2"/>
  <c r="AC823" i="2"/>
  <c r="O823" i="2"/>
  <c r="L823" i="2"/>
  <c r="M823" i="2"/>
  <c r="N823" i="2"/>
  <c r="AH823" i="2"/>
  <c r="AF823" i="2"/>
  <c r="G823" i="2"/>
  <c r="AD823" i="2"/>
  <c r="V823" i="2"/>
  <c r="C823" i="2"/>
  <c r="U823" i="2"/>
  <c r="S855" i="2"/>
  <c r="Y660" i="2"/>
  <c r="O660" i="2"/>
  <c r="L660" i="2"/>
  <c r="M660" i="2"/>
  <c r="N660" i="2"/>
  <c r="AD660" i="2"/>
  <c r="J664" i="2"/>
  <c r="Z667" i="2"/>
  <c r="O667" i="2"/>
  <c r="L667" i="2"/>
  <c r="M667" i="2"/>
  <c r="N667" i="2"/>
  <c r="AD677" i="2"/>
  <c r="O677" i="2"/>
  <c r="L677" i="2"/>
  <c r="M677" i="2"/>
  <c r="N677" i="2"/>
  <c r="S677" i="2"/>
  <c r="AG677" i="2"/>
  <c r="O683" i="2"/>
  <c r="L683" i="2"/>
  <c r="M683" i="2"/>
  <c r="N683" i="2"/>
  <c r="Z697" i="2"/>
  <c r="O697" i="2"/>
  <c r="L697" i="2"/>
  <c r="M697" i="2"/>
  <c r="N697" i="2"/>
  <c r="S697" i="2"/>
  <c r="S699" i="2"/>
  <c r="C708" i="2"/>
  <c r="S708" i="2"/>
  <c r="AF708" i="2"/>
  <c r="J709" i="2"/>
  <c r="AF709" i="2"/>
  <c r="J711" i="2"/>
  <c r="AD711" i="2"/>
  <c r="D713" i="2"/>
  <c r="V713" i="2"/>
  <c r="AF714" i="2"/>
  <c r="U715" i="2"/>
  <c r="J716" i="2"/>
  <c r="D723" i="2"/>
  <c r="Y723" i="2"/>
  <c r="AD725" i="2"/>
  <c r="Z726" i="2"/>
  <c r="D728" i="2"/>
  <c r="D735" i="2"/>
  <c r="D738" i="2"/>
  <c r="T738" i="2"/>
  <c r="AG738" i="2"/>
  <c r="T741" i="2"/>
  <c r="AC742" i="2"/>
  <c r="O742" i="2"/>
  <c r="L742" i="2"/>
  <c r="N742" i="2"/>
  <c r="M742" i="2"/>
  <c r="S742" i="2"/>
  <c r="AK742" i="2"/>
  <c r="AG746" i="2"/>
  <c r="O746" i="2"/>
  <c r="L746" i="2"/>
  <c r="M746" i="2"/>
  <c r="N746" i="2"/>
  <c r="S752" i="2"/>
  <c r="AG752" i="2"/>
  <c r="K753" i="2"/>
  <c r="AF753" i="2"/>
  <c r="J754" i="2"/>
  <c r="AD754" i="2"/>
  <c r="AK758" i="2"/>
  <c r="J762" i="2"/>
  <c r="D763" i="2"/>
  <c r="T765" i="2"/>
  <c r="D766" i="2"/>
  <c r="U766" i="2"/>
  <c r="X767" i="2"/>
  <c r="D774" i="2"/>
  <c r="T774" i="2"/>
  <c r="AG774" i="2"/>
  <c r="J775" i="2"/>
  <c r="AB775" i="2"/>
  <c r="V776" i="2"/>
  <c r="W777" i="2"/>
  <c r="Y783" i="2"/>
  <c r="O783" i="2"/>
  <c r="L783" i="2"/>
  <c r="M783" i="2"/>
  <c r="N783" i="2"/>
  <c r="AD783" i="2"/>
  <c r="R787" i="2"/>
  <c r="AD788" i="2"/>
  <c r="O788" i="2"/>
  <c r="L788" i="2"/>
  <c r="N788" i="2"/>
  <c r="M788" i="2"/>
  <c r="W788" i="2"/>
  <c r="AK788" i="2"/>
  <c r="U788" i="2"/>
  <c r="T788" i="2"/>
  <c r="D789" i="2"/>
  <c r="AG789" i="2"/>
  <c r="G792" i="2"/>
  <c r="J803" i="2"/>
  <c r="Y807" i="2"/>
  <c r="O807" i="2"/>
  <c r="L807" i="2"/>
  <c r="M807" i="2"/>
  <c r="N807" i="2"/>
  <c r="X807" i="2"/>
  <c r="H807" i="2"/>
  <c r="AH807" i="2"/>
  <c r="U807" i="2"/>
  <c r="AF807" i="2"/>
  <c r="S807" i="2"/>
  <c r="C807" i="2"/>
  <c r="T807" i="2"/>
  <c r="Z810" i="2"/>
  <c r="O810" i="2"/>
  <c r="L810" i="2"/>
  <c r="M810" i="2"/>
  <c r="N810" i="2"/>
  <c r="AF810" i="2"/>
  <c r="J844" i="2"/>
  <c r="AD689" i="2"/>
  <c r="O689" i="2"/>
  <c r="L689" i="2"/>
  <c r="M689" i="2"/>
  <c r="N689" i="2"/>
  <c r="S689" i="2"/>
  <c r="AG689" i="2"/>
  <c r="AB699" i="2"/>
  <c r="O699" i="2"/>
  <c r="M699" i="2"/>
  <c r="L699" i="2"/>
  <c r="N699" i="2"/>
  <c r="T699" i="2"/>
  <c r="AC700" i="2"/>
  <c r="O700" i="2"/>
  <c r="L700" i="2"/>
  <c r="M700" i="2"/>
  <c r="N700" i="2"/>
  <c r="AD700" i="2"/>
  <c r="AG704" i="2"/>
  <c r="O704" i="2"/>
  <c r="L704" i="2"/>
  <c r="M704" i="2"/>
  <c r="N704" i="2"/>
  <c r="AK706" i="2"/>
  <c r="O706" i="2"/>
  <c r="L706" i="2"/>
  <c r="M706" i="2"/>
  <c r="N706" i="2"/>
  <c r="D708" i="2"/>
  <c r="T708" i="2"/>
  <c r="AG708" i="2"/>
  <c r="AH709" i="2"/>
  <c r="K711" i="2"/>
  <c r="W713" i="2"/>
  <c r="AG714" i="2"/>
  <c r="V715" i="2"/>
  <c r="V716" i="2"/>
  <c r="X718" i="2"/>
  <c r="Z723" i="2"/>
  <c r="C725" i="2"/>
  <c r="J726" i="2"/>
  <c r="U738" i="2"/>
  <c r="AH738" i="2"/>
  <c r="C741" i="2"/>
  <c r="U741" i="2"/>
  <c r="AD743" i="2"/>
  <c r="O743" i="2"/>
  <c r="L743" i="2"/>
  <c r="M743" i="2"/>
  <c r="N743" i="2"/>
  <c r="AC743" i="2"/>
  <c r="Z751" i="2"/>
  <c r="O751" i="2"/>
  <c r="L751" i="2"/>
  <c r="M751" i="2"/>
  <c r="N751" i="2"/>
  <c r="D752" i="2"/>
  <c r="T752" i="2"/>
  <c r="AH752" i="2"/>
  <c r="AG753" i="2"/>
  <c r="K754" i="2"/>
  <c r="H758" i="2"/>
  <c r="AH759" i="2"/>
  <c r="O759" i="2"/>
  <c r="L759" i="2"/>
  <c r="M759" i="2"/>
  <c r="N759" i="2"/>
  <c r="K762" i="2"/>
  <c r="AB762" i="2"/>
  <c r="C765" i="2"/>
  <c r="U765" i="2"/>
  <c r="V766" i="2"/>
  <c r="U774" i="2"/>
  <c r="AH774" i="2"/>
  <c r="K775" i="2"/>
  <c r="AC775" i="2"/>
  <c r="G776" i="2"/>
  <c r="X776" i="2"/>
  <c r="G777" i="2"/>
  <c r="AC777" i="2"/>
  <c r="Z780" i="2"/>
  <c r="O780" i="2"/>
  <c r="L780" i="2"/>
  <c r="M780" i="2"/>
  <c r="N780" i="2"/>
  <c r="U780" i="2"/>
  <c r="AF786" i="2"/>
  <c r="S787" i="2"/>
  <c r="AH789" i="2"/>
  <c r="K792" i="2"/>
  <c r="AC799" i="2"/>
  <c r="O799" i="2"/>
  <c r="L799" i="2"/>
  <c r="M799" i="2"/>
  <c r="N799" i="2"/>
  <c r="AF799" i="2"/>
  <c r="H799" i="2"/>
  <c r="V799" i="2"/>
  <c r="Z799" i="2"/>
  <c r="T801" i="2"/>
  <c r="R803" i="2"/>
  <c r="AK812" i="2"/>
  <c r="O812" i="2"/>
  <c r="L812" i="2"/>
  <c r="M812" i="2"/>
  <c r="N812" i="2"/>
  <c r="Z820" i="2"/>
  <c r="O820" i="2"/>
  <c r="L820" i="2"/>
  <c r="M820" i="2"/>
  <c r="N820" i="2"/>
  <c r="U820" i="2"/>
  <c r="AH820" i="2"/>
  <c r="S820" i="2"/>
  <c r="AG820" i="2"/>
  <c r="R820" i="2"/>
  <c r="AF820" i="2"/>
  <c r="T820" i="2"/>
  <c r="G821" i="2"/>
  <c r="R822" i="2"/>
  <c r="G824" i="2"/>
  <c r="Y831" i="2"/>
  <c r="O831" i="2"/>
  <c r="M831" i="2"/>
  <c r="L831" i="2"/>
  <c r="N831" i="2"/>
  <c r="R831" i="2"/>
  <c r="AC831" i="2"/>
  <c r="AB831" i="2"/>
  <c r="K831" i="2"/>
  <c r="J831" i="2"/>
  <c r="Z831" i="2"/>
  <c r="X831" i="2"/>
  <c r="H831" i="2"/>
  <c r="W831" i="2"/>
  <c r="G831" i="2"/>
  <c r="AH831" i="2"/>
  <c r="U831" i="2"/>
  <c r="AG831" i="2"/>
  <c r="O838" i="2"/>
  <c r="L838" i="2"/>
  <c r="N838" i="2"/>
  <c r="M838" i="2"/>
  <c r="AH838" i="2"/>
  <c r="U838" i="2"/>
  <c r="K838" i="2"/>
  <c r="J838" i="2"/>
  <c r="AH689" i="2"/>
  <c r="O695" i="2"/>
  <c r="L695" i="2"/>
  <c r="M695" i="2"/>
  <c r="N695" i="2"/>
  <c r="U708" i="2"/>
  <c r="AH708" i="2"/>
  <c r="O710" i="2"/>
  <c r="L710" i="2"/>
  <c r="M710" i="2"/>
  <c r="N710" i="2"/>
  <c r="AD710" i="2"/>
  <c r="AF711" i="2"/>
  <c r="G713" i="2"/>
  <c r="X713" i="2"/>
  <c r="H714" i="2"/>
  <c r="AH714" i="2"/>
  <c r="W715" i="2"/>
  <c r="AH716" i="2"/>
  <c r="Z718" i="2"/>
  <c r="Z721" i="2"/>
  <c r="O721" i="2"/>
  <c r="L721" i="2"/>
  <c r="M721" i="2"/>
  <c r="N721" i="2"/>
  <c r="AB721" i="2"/>
  <c r="G723" i="2"/>
  <c r="AB723" i="2"/>
  <c r="D725" i="2"/>
  <c r="AF725" i="2"/>
  <c r="K726" i="2"/>
  <c r="AB726" i="2"/>
  <c r="J727" i="2"/>
  <c r="J736" i="2"/>
  <c r="V738" i="2"/>
  <c r="AK738" i="2"/>
  <c r="V741" i="2"/>
  <c r="X748" i="2"/>
  <c r="U752" i="2"/>
  <c r="AK752" i="2"/>
  <c r="R753" i="2"/>
  <c r="AF754" i="2"/>
  <c r="O756" i="2"/>
  <c r="L756" i="2"/>
  <c r="M756" i="2"/>
  <c r="N756" i="2"/>
  <c r="AF756" i="2"/>
  <c r="J758" i="2"/>
  <c r="Z761" i="2"/>
  <c r="V765" i="2"/>
  <c r="W766" i="2"/>
  <c r="G767" i="2"/>
  <c r="AF767" i="2"/>
  <c r="O772" i="2"/>
  <c r="L772" i="2"/>
  <c r="M772" i="2"/>
  <c r="N772" i="2"/>
  <c r="V774" i="2"/>
  <c r="AK774" i="2"/>
  <c r="H776" i="2"/>
  <c r="AB776" i="2"/>
  <c r="H777" i="2"/>
  <c r="AD777" i="2"/>
  <c r="O779" i="2"/>
  <c r="L779" i="2"/>
  <c r="M779" i="2"/>
  <c r="N779" i="2"/>
  <c r="W780" i="2"/>
  <c r="C783" i="2"/>
  <c r="S783" i="2"/>
  <c r="AF783" i="2"/>
  <c r="G786" i="2"/>
  <c r="AG786" i="2"/>
  <c r="C788" i="2"/>
  <c r="X788" i="2"/>
  <c r="AK789" i="2"/>
  <c r="AD799" i="2"/>
  <c r="U801" i="2"/>
  <c r="R802" i="2"/>
  <c r="S803" i="2"/>
  <c r="D807" i="2"/>
  <c r="W807" i="2"/>
  <c r="U814" i="2"/>
  <c r="Y819" i="2"/>
  <c r="O819" i="2"/>
  <c r="L819" i="2"/>
  <c r="M819" i="2"/>
  <c r="N819" i="2"/>
  <c r="AB819" i="2"/>
  <c r="K819" i="2"/>
  <c r="X819" i="2"/>
  <c r="H819" i="2"/>
  <c r="AK819" i="2"/>
  <c r="V819" i="2"/>
  <c r="T819" i="2"/>
  <c r="V820" i="2"/>
  <c r="H821" i="2"/>
  <c r="S822" i="2"/>
  <c r="H823" i="2"/>
  <c r="T824" i="2"/>
  <c r="AK831" i="2"/>
  <c r="AB857" i="2"/>
  <c r="O857" i="2"/>
  <c r="L857" i="2"/>
  <c r="M857" i="2"/>
  <c r="N857" i="2"/>
  <c r="S857" i="2"/>
  <c r="R857" i="2"/>
  <c r="AG857" i="2"/>
  <c r="K857" i="2"/>
  <c r="AF857" i="2"/>
  <c r="H857" i="2"/>
  <c r="AD857" i="2"/>
  <c r="G857" i="2"/>
  <c r="AC857" i="2"/>
  <c r="X857" i="2"/>
  <c r="C857" i="2"/>
  <c r="V708" i="2"/>
  <c r="AK708" i="2"/>
  <c r="R711" i="2"/>
  <c r="Z713" i="2"/>
  <c r="AK714" i="2"/>
  <c r="AH717" i="2"/>
  <c r="O717" i="2"/>
  <c r="L717" i="2"/>
  <c r="M717" i="2"/>
  <c r="N717" i="2"/>
  <c r="H723" i="2"/>
  <c r="AD723" i="2"/>
  <c r="AH725" i="2"/>
  <c r="K727" i="2"/>
  <c r="Z728" i="2"/>
  <c r="K730" i="2"/>
  <c r="K735" i="2"/>
  <c r="AC736" i="2"/>
  <c r="G738" i="2"/>
  <c r="W738" i="2"/>
  <c r="AB739" i="2"/>
  <c r="O739" i="2"/>
  <c r="L739" i="2"/>
  <c r="M739" i="2"/>
  <c r="N739" i="2"/>
  <c r="W741" i="2"/>
  <c r="Y748" i="2"/>
  <c r="V752" i="2"/>
  <c r="AB753" i="2"/>
  <c r="O753" i="2"/>
  <c r="L753" i="2"/>
  <c r="M753" i="2"/>
  <c r="N753" i="2"/>
  <c r="S753" i="2"/>
  <c r="AK753" i="2"/>
  <c r="R754" i="2"/>
  <c r="K758" i="2"/>
  <c r="Y762" i="2"/>
  <c r="O762" i="2"/>
  <c r="L762" i="2"/>
  <c r="M762" i="2"/>
  <c r="N762" i="2"/>
  <c r="AD762" i="2"/>
  <c r="G766" i="2"/>
  <c r="X766" i="2"/>
  <c r="H767" i="2"/>
  <c r="AG767" i="2"/>
  <c r="G774" i="2"/>
  <c r="W774" i="2"/>
  <c r="Z775" i="2"/>
  <c r="O775" i="2"/>
  <c r="L775" i="2"/>
  <c r="M775" i="2"/>
  <c r="N775" i="2"/>
  <c r="AC776" i="2"/>
  <c r="AB781" i="2"/>
  <c r="H786" i="2"/>
  <c r="AC787" i="2"/>
  <c r="O787" i="2"/>
  <c r="L787" i="2"/>
  <c r="M787" i="2"/>
  <c r="N787" i="2"/>
  <c r="Z787" i="2"/>
  <c r="U787" i="2"/>
  <c r="J789" i="2"/>
  <c r="O790" i="2"/>
  <c r="L790" i="2"/>
  <c r="N790" i="2"/>
  <c r="M790" i="2"/>
  <c r="U790" i="2"/>
  <c r="O797" i="2"/>
  <c r="L797" i="2"/>
  <c r="M797" i="2"/>
  <c r="N797" i="2"/>
  <c r="V802" i="2"/>
  <c r="V803" i="2"/>
  <c r="G808" i="2"/>
  <c r="Y814" i="2"/>
  <c r="T822" i="2"/>
  <c r="J823" i="2"/>
  <c r="V824" i="2"/>
  <c r="C831" i="2"/>
  <c r="G708" i="2"/>
  <c r="W708" i="2"/>
  <c r="Z709" i="2"/>
  <c r="O709" i="2"/>
  <c r="L709" i="2"/>
  <c r="M709" i="2"/>
  <c r="N709" i="2"/>
  <c r="S709" i="2"/>
  <c r="AB711" i="2"/>
  <c r="O711" i="2"/>
  <c r="M711" i="2"/>
  <c r="L711" i="2"/>
  <c r="N711" i="2"/>
  <c r="S711" i="2"/>
  <c r="AH711" i="2"/>
  <c r="AB713" i="2"/>
  <c r="J714" i="2"/>
  <c r="AF715" i="2"/>
  <c r="O715" i="2"/>
  <c r="L715" i="2"/>
  <c r="M715" i="2"/>
  <c r="N715" i="2"/>
  <c r="Z715" i="2"/>
  <c r="O719" i="2"/>
  <c r="L719" i="2"/>
  <c r="M719" i="2"/>
  <c r="N719" i="2"/>
  <c r="Y726" i="2"/>
  <c r="O726" i="2"/>
  <c r="L726" i="2"/>
  <c r="M726" i="2"/>
  <c r="N726" i="2"/>
  <c r="AD726" i="2"/>
  <c r="V727" i="2"/>
  <c r="AC728" i="2"/>
  <c r="W730" i="2"/>
  <c r="W735" i="2"/>
  <c r="AH736" i="2"/>
  <c r="H738" i="2"/>
  <c r="X738" i="2"/>
  <c r="G741" i="2"/>
  <c r="AK747" i="2"/>
  <c r="O747" i="2"/>
  <c r="L747" i="2"/>
  <c r="M747" i="2"/>
  <c r="N747" i="2"/>
  <c r="O749" i="2"/>
  <c r="L749" i="2"/>
  <c r="M749" i="2"/>
  <c r="N749" i="2"/>
  <c r="G752" i="2"/>
  <c r="W752" i="2"/>
  <c r="T753" i="2"/>
  <c r="AC754" i="2"/>
  <c r="O754" i="2"/>
  <c r="L754" i="2"/>
  <c r="M754" i="2"/>
  <c r="N754" i="2"/>
  <c r="S754" i="2"/>
  <c r="AH754" i="2"/>
  <c r="T758" i="2"/>
  <c r="R762" i="2"/>
  <c r="G765" i="2"/>
  <c r="AC765" i="2"/>
  <c r="H766" i="2"/>
  <c r="AB766" i="2"/>
  <c r="AH767" i="2"/>
  <c r="H774" i="2"/>
  <c r="X774" i="2"/>
  <c r="R775" i="2"/>
  <c r="AF775" i="2"/>
  <c r="J776" i="2"/>
  <c r="AD776" i="2"/>
  <c r="J777" i="2"/>
  <c r="AF777" i="2"/>
  <c r="AC781" i="2"/>
  <c r="V787" i="2"/>
  <c r="K789" i="2"/>
  <c r="AK792" i="2"/>
  <c r="O801" i="2"/>
  <c r="L801" i="2"/>
  <c r="M801" i="2"/>
  <c r="N801" i="2"/>
  <c r="AF801" i="2"/>
  <c r="X801" i="2"/>
  <c r="D801" i="2"/>
  <c r="V801" i="2"/>
  <c r="AB801" i="2"/>
  <c r="AD803" i="2"/>
  <c r="J808" i="2"/>
  <c r="AG814" i="2"/>
  <c r="AB821" i="2"/>
  <c r="U822" i="2"/>
  <c r="K823" i="2"/>
  <c r="W824" i="2"/>
  <c r="D831" i="2"/>
  <c r="V838" i="2"/>
  <c r="AC844" i="2"/>
  <c r="V660" i="2"/>
  <c r="AK660" i="2"/>
  <c r="W664" i="2"/>
  <c r="O664" i="2"/>
  <c r="L664" i="2"/>
  <c r="N664" i="2"/>
  <c r="M664" i="2"/>
  <c r="T664" i="2"/>
  <c r="Z668" i="2"/>
  <c r="O668" i="2"/>
  <c r="L668" i="2"/>
  <c r="M668" i="2"/>
  <c r="N668" i="2"/>
  <c r="Y668" i="2"/>
  <c r="X677" i="2"/>
  <c r="AB687" i="2"/>
  <c r="O687" i="2"/>
  <c r="M687" i="2"/>
  <c r="N687" i="2"/>
  <c r="L687" i="2"/>
  <c r="T687" i="2"/>
  <c r="AC688" i="2"/>
  <c r="O688" i="2"/>
  <c r="L688" i="2"/>
  <c r="M688" i="2"/>
  <c r="N688" i="2"/>
  <c r="W689" i="2"/>
  <c r="Y695" i="2"/>
  <c r="AB697" i="2"/>
  <c r="Z699" i="2"/>
  <c r="AD701" i="2"/>
  <c r="O701" i="2"/>
  <c r="L701" i="2"/>
  <c r="M701" i="2"/>
  <c r="N701" i="2"/>
  <c r="S701" i="2"/>
  <c r="AH701" i="2"/>
  <c r="V704" i="2"/>
  <c r="X706" i="2"/>
  <c r="H708" i="2"/>
  <c r="X708" i="2"/>
  <c r="T709" i="2"/>
  <c r="T711" i="2"/>
  <c r="AC712" i="2"/>
  <c r="O712" i="2"/>
  <c r="L712" i="2"/>
  <c r="N712" i="2"/>
  <c r="M712" i="2"/>
  <c r="J713" i="2"/>
  <c r="AC713" i="2"/>
  <c r="K714" i="2"/>
  <c r="AD715" i="2"/>
  <c r="D721" i="2"/>
  <c r="AF721" i="2"/>
  <c r="K723" i="2"/>
  <c r="AG723" i="2"/>
  <c r="H725" i="2"/>
  <c r="R726" i="2"/>
  <c r="W727" i="2"/>
  <c r="Z729" i="2"/>
  <c r="O729" i="2"/>
  <c r="L729" i="2"/>
  <c r="M729" i="2"/>
  <c r="N729" i="2"/>
  <c r="V729" i="2"/>
  <c r="Y730" i="2"/>
  <c r="AK733" i="2"/>
  <c r="O733" i="2"/>
  <c r="L733" i="2"/>
  <c r="M733" i="2"/>
  <c r="N733" i="2"/>
  <c r="Z733" i="2"/>
  <c r="X735" i="2"/>
  <c r="Y737" i="2"/>
  <c r="O737" i="2"/>
  <c r="L737" i="2"/>
  <c r="M737" i="2"/>
  <c r="N737" i="2"/>
  <c r="Z738" i="2"/>
  <c r="H741" i="2"/>
  <c r="AC741" i="2"/>
  <c r="G742" i="2"/>
  <c r="X742" i="2"/>
  <c r="H743" i="2"/>
  <c r="O744" i="2"/>
  <c r="L744" i="2"/>
  <c r="M744" i="2"/>
  <c r="N744" i="2"/>
  <c r="AF744" i="2"/>
  <c r="H746" i="2"/>
  <c r="H752" i="2"/>
  <c r="X752" i="2"/>
  <c r="C753" i="2"/>
  <c r="U753" i="2"/>
  <c r="T754" i="2"/>
  <c r="AK754" i="2"/>
  <c r="AF757" i="2"/>
  <c r="O757" i="2"/>
  <c r="L757" i="2"/>
  <c r="M757" i="2"/>
  <c r="N757" i="2"/>
  <c r="V758" i="2"/>
  <c r="W759" i="2"/>
  <c r="C762" i="2"/>
  <c r="S762" i="2"/>
  <c r="AF762" i="2"/>
  <c r="AB763" i="2"/>
  <c r="H765" i="2"/>
  <c r="AD765" i="2"/>
  <c r="AD766" i="2"/>
  <c r="J767" i="2"/>
  <c r="AK767" i="2"/>
  <c r="X773" i="2"/>
  <c r="O773" i="2"/>
  <c r="L773" i="2"/>
  <c r="M773" i="2"/>
  <c r="N773" i="2"/>
  <c r="Z774" i="2"/>
  <c r="C775" i="2"/>
  <c r="S775" i="2"/>
  <c r="AG775" i="2"/>
  <c r="K776" i="2"/>
  <c r="K777" i="2"/>
  <c r="AG777" i="2"/>
  <c r="AF781" i="2"/>
  <c r="V783" i="2"/>
  <c r="AK783" i="2"/>
  <c r="O785" i="2"/>
  <c r="L785" i="2"/>
  <c r="M785" i="2"/>
  <c r="N785" i="2"/>
  <c r="C787" i="2"/>
  <c r="W787" i="2"/>
  <c r="G788" i="2"/>
  <c r="AC788" i="2"/>
  <c r="O793" i="2"/>
  <c r="L793" i="2"/>
  <c r="M793" i="2"/>
  <c r="N793" i="2"/>
  <c r="AH799" i="2"/>
  <c r="AC801" i="2"/>
  <c r="AD802" i="2"/>
  <c r="G807" i="2"/>
  <c r="AB807" i="2"/>
  <c r="S808" i="2"/>
  <c r="AD811" i="2"/>
  <c r="O811" i="2"/>
  <c r="L811" i="2"/>
  <c r="M811" i="2"/>
  <c r="N811" i="2"/>
  <c r="O815" i="2"/>
  <c r="L815" i="2"/>
  <c r="M815" i="2"/>
  <c r="N815" i="2"/>
  <c r="Y815" i="2"/>
  <c r="W815" i="2"/>
  <c r="AB820" i="2"/>
  <c r="AD821" i="2"/>
  <c r="V822" i="2"/>
  <c r="R823" i="2"/>
  <c r="AK838" i="2"/>
  <c r="AD844" i="2"/>
  <c r="O848" i="2"/>
  <c r="L848" i="2"/>
  <c r="N848" i="2"/>
  <c r="M848" i="2"/>
  <c r="T848" i="2"/>
  <c r="R848" i="2"/>
  <c r="AK848" i="2"/>
  <c r="K848" i="2"/>
  <c r="AH848" i="2"/>
  <c r="J848" i="2"/>
  <c r="AG848" i="2"/>
  <c r="AF848" i="2"/>
  <c r="H848" i="2"/>
  <c r="AD848" i="2"/>
  <c r="X848" i="2"/>
  <c r="C848" i="2"/>
  <c r="W848" i="2"/>
  <c r="T857" i="2"/>
  <c r="AC902" i="2"/>
  <c r="O902" i="2"/>
  <c r="L902" i="2"/>
  <c r="M902" i="2"/>
  <c r="N902" i="2"/>
  <c r="AD902" i="2"/>
  <c r="K902" i="2"/>
  <c r="AB902" i="2"/>
  <c r="J902" i="2"/>
  <c r="Z902" i="2"/>
  <c r="H902" i="2"/>
  <c r="X902" i="2"/>
  <c r="G902" i="2"/>
  <c r="W902" i="2"/>
  <c r="V902" i="2"/>
  <c r="AK902" i="2"/>
  <c r="U902" i="2"/>
  <c r="D902" i="2"/>
  <c r="AH902" i="2"/>
  <c r="T902" i="2"/>
  <c r="C902" i="2"/>
  <c r="AG902" i="2"/>
  <c r="S902" i="2"/>
  <c r="Z883" i="2"/>
  <c r="O883" i="2"/>
  <c r="L883" i="2"/>
  <c r="M883" i="2"/>
  <c r="N883" i="2"/>
  <c r="AB883" i="2"/>
  <c r="AC904" i="2"/>
  <c r="O904" i="2"/>
  <c r="L904" i="2"/>
  <c r="M904" i="2"/>
  <c r="N904" i="2"/>
  <c r="Y910" i="2"/>
  <c r="O910" i="2"/>
  <c r="L910" i="2"/>
  <c r="M910" i="2"/>
  <c r="N910" i="2"/>
  <c r="R910" i="2"/>
  <c r="AF910" i="2"/>
  <c r="AK829" i="2"/>
  <c r="O829" i="2"/>
  <c r="L829" i="2"/>
  <c r="M829" i="2"/>
  <c r="N829" i="2"/>
  <c r="AB843" i="2"/>
  <c r="O843" i="2"/>
  <c r="L843" i="2"/>
  <c r="M843" i="2"/>
  <c r="N843" i="2"/>
  <c r="S843" i="2"/>
  <c r="Z864" i="2"/>
  <c r="O864" i="2"/>
  <c r="L864" i="2"/>
  <c r="M864" i="2"/>
  <c r="N864" i="2"/>
  <c r="AH864" i="2"/>
  <c r="Z867" i="2"/>
  <c r="O867" i="2"/>
  <c r="L867" i="2"/>
  <c r="M867" i="2"/>
  <c r="N867" i="2"/>
  <c r="AG867" i="2"/>
  <c r="AB873" i="2"/>
  <c r="O873" i="2"/>
  <c r="L873" i="2"/>
  <c r="M873" i="2"/>
  <c r="N873" i="2"/>
  <c r="S873" i="2"/>
  <c r="AG873" i="2"/>
  <c r="AH879" i="2"/>
  <c r="O879" i="2"/>
  <c r="L879" i="2"/>
  <c r="M879" i="2"/>
  <c r="N879" i="2"/>
  <c r="C883" i="2"/>
  <c r="AD883" i="2"/>
  <c r="AF889" i="2"/>
  <c r="O889" i="2"/>
  <c r="L889" i="2"/>
  <c r="M889" i="2"/>
  <c r="N889" i="2"/>
  <c r="O892" i="2"/>
  <c r="L892" i="2"/>
  <c r="M892" i="2"/>
  <c r="N892" i="2"/>
  <c r="Y894" i="2"/>
  <c r="O894" i="2"/>
  <c r="L894" i="2"/>
  <c r="M894" i="2"/>
  <c r="N894" i="2"/>
  <c r="AD894" i="2"/>
  <c r="O908" i="2"/>
  <c r="L908" i="2"/>
  <c r="M908" i="2"/>
  <c r="N908" i="2"/>
  <c r="C910" i="2"/>
  <c r="T910" i="2"/>
  <c r="AK910" i="2"/>
  <c r="H914" i="2"/>
  <c r="Z914" i="2"/>
  <c r="H916" i="2"/>
  <c r="AK916" i="2"/>
  <c r="AH851" i="2"/>
  <c r="O851" i="2"/>
  <c r="L851" i="2"/>
  <c r="M851" i="2"/>
  <c r="N851" i="2"/>
  <c r="AD859" i="2"/>
  <c r="O859" i="2"/>
  <c r="L859" i="2"/>
  <c r="M859" i="2"/>
  <c r="N859" i="2"/>
  <c r="V859" i="2"/>
  <c r="D883" i="2"/>
  <c r="AD887" i="2"/>
  <c r="O887" i="2"/>
  <c r="M887" i="2"/>
  <c r="N887" i="2"/>
  <c r="L887" i="2"/>
  <c r="W887" i="2"/>
  <c r="D910" i="2"/>
  <c r="V910" i="2"/>
  <c r="Z911" i="2"/>
  <c r="O911" i="2"/>
  <c r="L911" i="2"/>
  <c r="M911" i="2"/>
  <c r="N911" i="2"/>
  <c r="O912" i="2"/>
  <c r="L912" i="2"/>
  <c r="M912" i="2"/>
  <c r="N912" i="2"/>
  <c r="S912" i="2"/>
  <c r="AF917" i="2"/>
  <c r="O917" i="2"/>
  <c r="L917" i="2"/>
  <c r="M917" i="2"/>
  <c r="N917" i="2"/>
  <c r="V917" i="2"/>
  <c r="U917" i="2"/>
  <c r="S917" i="2"/>
  <c r="AG917" i="2"/>
  <c r="O920" i="2"/>
  <c r="L920" i="2"/>
  <c r="M920" i="2"/>
  <c r="N920" i="2"/>
  <c r="Y920" i="2"/>
  <c r="O924" i="2"/>
  <c r="L924" i="2"/>
  <c r="M924" i="2"/>
  <c r="H924" i="2"/>
  <c r="AD924" i="2"/>
  <c r="G924" i="2"/>
  <c r="AC924" i="2"/>
  <c r="N924" i="2"/>
  <c r="AB924" i="2"/>
  <c r="Z832" i="2"/>
  <c r="O832" i="2"/>
  <c r="L832" i="2"/>
  <c r="M832" i="2"/>
  <c r="N832" i="2"/>
  <c r="R832" i="2"/>
  <c r="AH832" i="2"/>
  <c r="AD836" i="2"/>
  <c r="O836" i="2"/>
  <c r="L836" i="2"/>
  <c r="N836" i="2"/>
  <c r="M836" i="2"/>
  <c r="W836" i="2"/>
  <c r="C843" i="2"/>
  <c r="U843" i="2"/>
  <c r="W859" i="2"/>
  <c r="O862" i="2"/>
  <c r="L862" i="2"/>
  <c r="M862" i="2"/>
  <c r="N862" i="2"/>
  <c r="Y865" i="2"/>
  <c r="O865" i="2"/>
  <c r="M865" i="2"/>
  <c r="L865" i="2"/>
  <c r="N865" i="2"/>
  <c r="O868" i="2"/>
  <c r="L868" i="2"/>
  <c r="M868" i="2"/>
  <c r="N868" i="2"/>
  <c r="C873" i="2"/>
  <c r="U873" i="2"/>
  <c r="AK873" i="2"/>
  <c r="AD875" i="2"/>
  <c r="O875" i="2"/>
  <c r="L875" i="2"/>
  <c r="M875" i="2"/>
  <c r="N875" i="2"/>
  <c r="W875" i="2"/>
  <c r="O884" i="2"/>
  <c r="L884" i="2"/>
  <c r="N884" i="2"/>
  <c r="M884" i="2"/>
  <c r="R884" i="2"/>
  <c r="AH884" i="2"/>
  <c r="R885" i="2"/>
  <c r="C894" i="2"/>
  <c r="S894" i="2"/>
  <c r="AF894" i="2"/>
  <c r="J904" i="2"/>
  <c r="W910" i="2"/>
  <c r="V912" i="2"/>
  <c r="AH917" i="2"/>
  <c r="Z923" i="2"/>
  <c r="O923" i="2"/>
  <c r="L923" i="2"/>
  <c r="M923" i="2"/>
  <c r="N923" i="2"/>
  <c r="R923" i="2"/>
  <c r="AF924" i="2"/>
  <c r="X829" i="2"/>
  <c r="S832" i="2"/>
  <c r="O833" i="2"/>
  <c r="L833" i="2"/>
  <c r="M833" i="2"/>
  <c r="N833" i="2"/>
  <c r="R833" i="2"/>
  <c r="AH833" i="2"/>
  <c r="X836" i="2"/>
  <c r="D843" i="2"/>
  <c r="V843" i="2"/>
  <c r="Z859" i="2"/>
  <c r="H864" i="2"/>
  <c r="G867" i="2"/>
  <c r="AG871" i="2"/>
  <c r="O871" i="2"/>
  <c r="L871" i="2"/>
  <c r="M871" i="2"/>
  <c r="N871" i="2"/>
  <c r="O872" i="2"/>
  <c r="L872" i="2"/>
  <c r="M872" i="2"/>
  <c r="N872" i="2"/>
  <c r="T872" i="2"/>
  <c r="V873" i="2"/>
  <c r="AC874" i="2"/>
  <c r="O874" i="2"/>
  <c r="L874" i="2"/>
  <c r="M874" i="2"/>
  <c r="N874" i="2"/>
  <c r="S874" i="2"/>
  <c r="X879" i="2"/>
  <c r="S884" i="2"/>
  <c r="AB885" i="2"/>
  <c r="O885" i="2"/>
  <c r="N885" i="2"/>
  <c r="L885" i="2"/>
  <c r="M885" i="2"/>
  <c r="S885" i="2"/>
  <c r="AG885" i="2"/>
  <c r="AF887" i="2"/>
  <c r="J889" i="2"/>
  <c r="Y892" i="2"/>
  <c r="D894" i="2"/>
  <c r="T894" i="2"/>
  <c r="AG894" i="2"/>
  <c r="AD899" i="2"/>
  <c r="O899" i="2"/>
  <c r="L899" i="2"/>
  <c r="M899" i="2"/>
  <c r="N899" i="2"/>
  <c r="W899" i="2"/>
  <c r="O903" i="2"/>
  <c r="L903" i="2"/>
  <c r="M903" i="2"/>
  <c r="N903" i="2"/>
  <c r="K904" i="2"/>
  <c r="X910" i="2"/>
  <c r="D911" i="2"/>
  <c r="D912" i="2"/>
  <c r="Z912" i="2"/>
  <c r="C917" i="2"/>
  <c r="AK917" i="2"/>
  <c r="D924" i="2"/>
  <c r="AH924" i="2"/>
  <c r="O794" i="2"/>
  <c r="M794" i="2"/>
  <c r="L794" i="2"/>
  <c r="N794" i="2"/>
  <c r="AH804" i="2"/>
  <c r="O804" i="2"/>
  <c r="L804" i="2"/>
  <c r="M804" i="2"/>
  <c r="N804" i="2"/>
  <c r="O805" i="2"/>
  <c r="L805" i="2"/>
  <c r="M805" i="2"/>
  <c r="AB805" i="2"/>
  <c r="O830" i="2"/>
  <c r="M830" i="2"/>
  <c r="L830" i="2"/>
  <c r="N830" i="2"/>
  <c r="C832" i="2"/>
  <c r="T832" i="2"/>
  <c r="S833" i="2"/>
  <c r="AK833" i="2"/>
  <c r="S834" i="2"/>
  <c r="Z840" i="2"/>
  <c r="O840" i="2"/>
  <c r="L840" i="2"/>
  <c r="M840" i="2"/>
  <c r="N840" i="2"/>
  <c r="R840" i="2"/>
  <c r="O841" i="2"/>
  <c r="L841" i="2"/>
  <c r="M841" i="2"/>
  <c r="N841" i="2"/>
  <c r="Z841" i="2"/>
  <c r="W843" i="2"/>
  <c r="AD847" i="2"/>
  <c r="O847" i="2"/>
  <c r="L847" i="2"/>
  <c r="M847" i="2"/>
  <c r="N847" i="2"/>
  <c r="V847" i="2"/>
  <c r="AH849" i="2"/>
  <c r="X851" i="2"/>
  <c r="AB854" i="2"/>
  <c r="Y856" i="2"/>
  <c r="O856" i="2"/>
  <c r="L856" i="2"/>
  <c r="M856" i="2"/>
  <c r="N856" i="2"/>
  <c r="AD856" i="2"/>
  <c r="S858" i="2"/>
  <c r="G859" i="2"/>
  <c r="R866" i="2"/>
  <c r="H867" i="2"/>
  <c r="V869" i="2"/>
  <c r="V872" i="2"/>
  <c r="W873" i="2"/>
  <c r="T874" i="2"/>
  <c r="AF875" i="2"/>
  <c r="K876" i="2"/>
  <c r="AG876" i="2"/>
  <c r="AG878" i="2"/>
  <c r="O878" i="2"/>
  <c r="L878" i="2"/>
  <c r="M878" i="2"/>
  <c r="N878" i="2"/>
  <c r="O880" i="2"/>
  <c r="L880" i="2"/>
  <c r="M880" i="2"/>
  <c r="N880" i="2"/>
  <c r="Y882" i="2"/>
  <c r="O882" i="2"/>
  <c r="L882" i="2"/>
  <c r="M882" i="2"/>
  <c r="N882" i="2"/>
  <c r="AD882" i="2"/>
  <c r="G883" i="2"/>
  <c r="D884" i="2"/>
  <c r="T884" i="2"/>
  <c r="T885" i="2"/>
  <c r="AH885" i="2"/>
  <c r="G887" i="2"/>
  <c r="AG887" i="2"/>
  <c r="U888" i="2"/>
  <c r="K889" i="2"/>
  <c r="X893" i="2"/>
  <c r="O893" i="2"/>
  <c r="L893" i="2"/>
  <c r="M893" i="2"/>
  <c r="N893" i="2"/>
  <c r="U894" i="2"/>
  <c r="AH894" i="2"/>
  <c r="K896" i="2"/>
  <c r="W904" i="2"/>
  <c r="S909" i="2"/>
  <c r="G910" i="2"/>
  <c r="Z910" i="2"/>
  <c r="AB912" i="2"/>
  <c r="R916" i="2"/>
  <c r="AG918" i="2"/>
  <c r="O918" i="2"/>
  <c r="L918" i="2"/>
  <c r="M918" i="2"/>
  <c r="N918" i="2"/>
  <c r="W918" i="2"/>
  <c r="K918" i="2"/>
  <c r="D923" i="2"/>
  <c r="AB925" i="2"/>
  <c r="O925" i="2"/>
  <c r="L925" i="2"/>
  <c r="M925" i="2"/>
  <c r="AK925" i="2"/>
  <c r="AG925" i="2"/>
  <c r="K925" i="2"/>
  <c r="AF925" i="2"/>
  <c r="N925" i="2"/>
  <c r="W925" i="2"/>
  <c r="AC925" i="2"/>
  <c r="S926" i="2"/>
  <c r="O825" i="2"/>
  <c r="L825" i="2"/>
  <c r="M825" i="2"/>
  <c r="N825" i="2"/>
  <c r="AF825" i="2"/>
  <c r="AH828" i="2"/>
  <c r="O828" i="2"/>
  <c r="L828" i="2"/>
  <c r="M828" i="2"/>
  <c r="N828" i="2"/>
  <c r="D832" i="2"/>
  <c r="U832" i="2"/>
  <c r="D833" i="2"/>
  <c r="T833" i="2"/>
  <c r="AB834" i="2"/>
  <c r="O834" i="2"/>
  <c r="L834" i="2"/>
  <c r="M834" i="2"/>
  <c r="N834" i="2"/>
  <c r="T834" i="2"/>
  <c r="AC835" i="2"/>
  <c r="O835" i="2"/>
  <c r="L835" i="2"/>
  <c r="M835" i="2"/>
  <c r="N835" i="2"/>
  <c r="U835" i="2"/>
  <c r="G836" i="2"/>
  <c r="AF836" i="2"/>
  <c r="Y843" i="2"/>
  <c r="O845" i="2"/>
  <c r="L845" i="2"/>
  <c r="M845" i="2"/>
  <c r="N845" i="2"/>
  <c r="O852" i="2"/>
  <c r="L852" i="2"/>
  <c r="M852" i="2"/>
  <c r="N852" i="2"/>
  <c r="J854" i="2"/>
  <c r="AC854" i="2"/>
  <c r="T858" i="2"/>
  <c r="H859" i="2"/>
  <c r="AF859" i="2"/>
  <c r="Z862" i="2"/>
  <c r="J864" i="2"/>
  <c r="Z865" i="2"/>
  <c r="S866" i="2"/>
  <c r="W869" i="2"/>
  <c r="C871" i="2"/>
  <c r="D872" i="2"/>
  <c r="Z872" i="2"/>
  <c r="G873" i="2"/>
  <c r="X873" i="2"/>
  <c r="C874" i="2"/>
  <c r="U874" i="2"/>
  <c r="G875" i="2"/>
  <c r="AG875" i="2"/>
  <c r="AH876" i="2"/>
  <c r="U884" i="2"/>
  <c r="C885" i="2"/>
  <c r="U885" i="2"/>
  <c r="AK885" i="2"/>
  <c r="H887" i="2"/>
  <c r="AH887" i="2"/>
  <c r="V888" i="2"/>
  <c r="V889" i="2"/>
  <c r="V894" i="2"/>
  <c r="AK894" i="2"/>
  <c r="AF896" i="2"/>
  <c r="AF899" i="2"/>
  <c r="C903" i="2"/>
  <c r="X904" i="2"/>
  <c r="O907" i="2"/>
  <c r="L907" i="2"/>
  <c r="M907" i="2"/>
  <c r="N907" i="2"/>
  <c r="W909" i="2"/>
  <c r="H910" i="2"/>
  <c r="AC912" i="2"/>
  <c r="AC914" i="2"/>
  <c r="O914" i="2"/>
  <c r="L914" i="2"/>
  <c r="M914" i="2"/>
  <c r="N914" i="2"/>
  <c r="R914" i="2"/>
  <c r="AF914" i="2"/>
  <c r="T916" i="2"/>
  <c r="G917" i="2"/>
  <c r="J924" i="2"/>
  <c r="C805" i="2"/>
  <c r="AD805" i="2"/>
  <c r="U813" i="2"/>
  <c r="O813" i="2"/>
  <c r="L813" i="2"/>
  <c r="M813" i="2"/>
  <c r="N813" i="2"/>
  <c r="O818" i="2"/>
  <c r="L818" i="2"/>
  <c r="M818" i="2"/>
  <c r="N818" i="2"/>
  <c r="AG825" i="2"/>
  <c r="AG827" i="2"/>
  <c r="O827" i="2"/>
  <c r="L827" i="2"/>
  <c r="M827" i="2"/>
  <c r="N827" i="2"/>
  <c r="V832" i="2"/>
  <c r="U833" i="2"/>
  <c r="U834" i="2"/>
  <c r="V835" i="2"/>
  <c r="H836" i="2"/>
  <c r="AG836" i="2"/>
  <c r="G843" i="2"/>
  <c r="AG850" i="2"/>
  <c r="O850" i="2"/>
  <c r="L850" i="2"/>
  <c r="M850" i="2"/>
  <c r="N850" i="2"/>
  <c r="AD854" i="2"/>
  <c r="AG859" i="2"/>
  <c r="AK861" i="2"/>
  <c r="O861" i="2"/>
  <c r="L861" i="2"/>
  <c r="M861" i="2"/>
  <c r="N861" i="2"/>
  <c r="Z863" i="2"/>
  <c r="O863" i="2"/>
  <c r="M863" i="2"/>
  <c r="L863" i="2"/>
  <c r="N863" i="2"/>
  <c r="U863" i="2"/>
  <c r="K864" i="2"/>
  <c r="AB865" i="2"/>
  <c r="K867" i="2"/>
  <c r="AB868" i="2"/>
  <c r="D871" i="2"/>
  <c r="AB872" i="2"/>
  <c r="H873" i="2"/>
  <c r="Z873" i="2"/>
  <c r="D874" i="2"/>
  <c r="V874" i="2"/>
  <c r="H875" i="2"/>
  <c r="AH875" i="2"/>
  <c r="R876" i="2"/>
  <c r="AK876" i="2"/>
  <c r="V884" i="2"/>
  <c r="V885" i="2"/>
  <c r="AC886" i="2"/>
  <c r="O886" i="2"/>
  <c r="L886" i="2"/>
  <c r="N886" i="2"/>
  <c r="M886" i="2"/>
  <c r="U886" i="2"/>
  <c r="AK887" i="2"/>
  <c r="W889" i="2"/>
  <c r="C893" i="2"/>
  <c r="G894" i="2"/>
  <c r="W894" i="2"/>
  <c r="Z895" i="2"/>
  <c r="O895" i="2"/>
  <c r="L895" i="2"/>
  <c r="M895" i="2"/>
  <c r="N895" i="2"/>
  <c r="R895" i="2"/>
  <c r="AH895" i="2"/>
  <c r="G899" i="2"/>
  <c r="AG899" i="2"/>
  <c r="Y904" i="2"/>
  <c r="Y908" i="2"/>
  <c r="Z909" i="2"/>
  <c r="J910" i="2"/>
  <c r="AB910" i="2"/>
  <c r="G912" i="2"/>
  <c r="AD912" i="2"/>
  <c r="S914" i="2"/>
  <c r="AG914" i="2"/>
  <c r="U916" i="2"/>
  <c r="C925" i="2"/>
  <c r="AD957" i="2"/>
  <c r="O957" i="2"/>
  <c r="L957" i="2"/>
  <c r="M957" i="2"/>
  <c r="N957" i="2"/>
  <c r="R957" i="2"/>
  <c r="H957" i="2"/>
  <c r="G957" i="2"/>
  <c r="AG957" i="2"/>
  <c r="AF957" i="2"/>
  <c r="AB957" i="2"/>
  <c r="D957" i="2"/>
  <c r="C957" i="2"/>
  <c r="Z957" i="2"/>
  <c r="S957" i="2"/>
  <c r="AH825" i="2"/>
  <c r="V833" i="2"/>
  <c r="V834" i="2"/>
  <c r="W835" i="2"/>
  <c r="AH836" i="2"/>
  <c r="O842" i="2"/>
  <c r="L842" i="2"/>
  <c r="M842" i="2"/>
  <c r="N842" i="2"/>
  <c r="H843" i="2"/>
  <c r="AF843" i="2"/>
  <c r="AC858" i="2"/>
  <c r="O858" i="2"/>
  <c r="L858" i="2"/>
  <c r="M858" i="2"/>
  <c r="N858" i="2"/>
  <c r="V858" i="2"/>
  <c r="J859" i="2"/>
  <c r="AH859" i="2"/>
  <c r="U864" i="2"/>
  <c r="Z866" i="2"/>
  <c r="O866" i="2"/>
  <c r="L866" i="2"/>
  <c r="M866" i="2"/>
  <c r="N866" i="2"/>
  <c r="AC866" i="2"/>
  <c r="T867" i="2"/>
  <c r="AB869" i="2"/>
  <c r="O869" i="2"/>
  <c r="L869" i="2"/>
  <c r="M869" i="2"/>
  <c r="N869" i="2"/>
  <c r="Z869" i="2"/>
  <c r="AC872" i="2"/>
  <c r="X874" i="2"/>
  <c r="AK875" i="2"/>
  <c r="AF877" i="2"/>
  <c r="O877" i="2"/>
  <c r="L877" i="2"/>
  <c r="M877" i="2"/>
  <c r="N877" i="2"/>
  <c r="R883" i="2"/>
  <c r="G884" i="2"/>
  <c r="Z884" i="2"/>
  <c r="W885" i="2"/>
  <c r="J887" i="2"/>
  <c r="O888" i="2"/>
  <c r="L888" i="2"/>
  <c r="M888" i="2"/>
  <c r="N888" i="2"/>
  <c r="X888" i="2"/>
  <c r="AH889" i="2"/>
  <c r="H894" i="2"/>
  <c r="X894" i="2"/>
  <c r="O896" i="2"/>
  <c r="L896" i="2"/>
  <c r="N896" i="2"/>
  <c r="M896" i="2"/>
  <c r="R896" i="2"/>
  <c r="AH896" i="2"/>
  <c r="H899" i="2"/>
  <c r="AH899" i="2"/>
  <c r="Z904" i="2"/>
  <c r="K910" i="2"/>
  <c r="AC910" i="2"/>
  <c r="H912" i="2"/>
  <c r="C914" i="2"/>
  <c r="T914" i="2"/>
  <c r="AH914" i="2"/>
  <c r="J917" i="2"/>
  <c r="AC926" i="2"/>
  <c r="O926" i="2"/>
  <c r="L926" i="2"/>
  <c r="M926" i="2"/>
  <c r="N926" i="2"/>
  <c r="AD926" i="2"/>
  <c r="K926" i="2"/>
  <c r="AB926" i="2"/>
  <c r="J926" i="2"/>
  <c r="X926" i="2"/>
  <c r="G926" i="2"/>
  <c r="W926" i="2"/>
  <c r="V926" i="2"/>
  <c r="U926" i="2"/>
  <c r="AC949" i="2"/>
  <c r="O949" i="2"/>
  <c r="L949" i="2"/>
  <c r="M949" i="2"/>
  <c r="AG949" i="2"/>
  <c r="AF949" i="2"/>
  <c r="J949" i="2"/>
  <c r="AD949" i="2"/>
  <c r="H949" i="2"/>
  <c r="AB949" i="2"/>
  <c r="G949" i="2"/>
  <c r="Z949" i="2"/>
  <c r="V949" i="2"/>
  <c r="D949" i="2"/>
  <c r="U949" i="2"/>
  <c r="C949" i="2"/>
  <c r="T949" i="2"/>
  <c r="AH949" i="2"/>
  <c r="R949" i="2"/>
  <c r="N805" i="2"/>
  <c r="AF849" i="2"/>
  <c r="O849" i="2"/>
  <c r="L849" i="2"/>
  <c r="M849" i="2"/>
  <c r="N849" i="2"/>
  <c r="Y852" i="2"/>
  <c r="Y854" i="2"/>
  <c r="O854" i="2"/>
  <c r="L854" i="2"/>
  <c r="M854" i="2"/>
  <c r="N854" i="2"/>
  <c r="R854" i="2"/>
  <c r="AF854" i="2"/>
  <c r="AD858" i="2"/>
  <c r="K859" i="2"/>
  <c r="AK859" i="2"/>
  <c r="V864" i="2"/>
  <c r="AD866" i="2"/>
  <c r="U867" i="2"/>
  <c r="AK869" i="2"/>
  <c r="G872" i="2"/>
  <c r="AD872" i="2"/>
  <c r="J873" i="2"/>
  <c r="AC873" i="2"/>
  <c r="AB874" i="2"/>
  <c r="J875" i="2"/>
  <c r="O876" i="2"/>
  <c r="L876" i="2"/>
  <c r="M876" i="2"/>
  <c r="N876" i="2"/>
  <c r="U876" i="2"/>
  <c r="X881" i="2"/>
  <c r="O881" i="2"/>
  <c r="L881" i="2"/>
  <c r="M881" i="2"/>
  <c r="N881" i="2"/>
  <c r="S883" i="2"/>
  <c r="H884" i="2"/>
  <c r="AB884" i="2"/>
  <c r="G885" i="2"/>
  <c r="X885" i="2"/>
  <c r="K887" i="2"/>
  <c r="AF888" i="2"/>
  <c r="AK889" i="2"/>
  <c r="AH891" i="2"/>
  <c r="O891" i="2"/>
  <c r="L891" i="2"/>
  <c r="M891" i="2"/>
  <c r="N891" i="2"/>
  <c r="Z894" i="2"/>
  <c r="S896" i="2"/>
  <c r="AK896" i="2"/>
  <c r="AK899" i="2"/>
  <c r="AB904" i="2"/>
  <c r="X909" i="2"/>
  <c r="O909" i="2"/>
  <c r="L909" i="2"/>
  <c r="M909" i="2"/>
  <c r="N909" i="2"/>
  <c r="AB909" i="2"/>
  <c r="AD910" i="2"/>
  <c r="AH912" i="2"/>
  <c r="D914" i="2"/>
  <c r="U914" i="2"/>
  <c r="AK914" i="2"/>
  <c r="O916" i="2"/>
  <c r="L916" i="2"/>
  <c r="M916" i="2"/>
  <c r="N916" i="2"/>
  <c r="AH916" i="2"/>
  <c r="AG916" i="2"/>
  <c r="W916" i="2"/>
  <c r="K917" i="2"/>
  <c r="U923" i="2"/>
  <c r="R924" i="2"/>
  <c r="AF926" i="2"/>
  <c r="Y795" i="2"/>
  <c r="O795" i="2"/>
  <c r="M795" i="2"/>
  <c r="L795" i="2"/>
  <c r="N795" i="2"/>
  <c r="AD795" i="2"/>
  <c r="O798" i="2"/>
  <c r="L798" i="2"/>
  <c r="M798" i="2"/>
  <c r="N798" i="2"/>
  <c r="K804" i="2"/>
  <c r="H805" i="2"/>
  <c r="H813" i="2"/>
  <c r="Y816" i="2"/>
  <c r="O816" i="2"/>
  <c r="L816" i="2"/>
  <c r="M816" i="2"/>
  <c r="N816" i="2"/>
  <c r="Y818" i="2"/>
  <c r="AF826" i="2"/>
  <c r="O826" i="2"/>
  <c r="L826" i="2"/>
  <c r="M826" i="2"/>
  <c r="N826" i="2"/>
  <c r="J827" i="2"/>
  <c r="W828" i="2"/>
  <c r="H832" i="2"/>
  <c r="AC832" i="2"/>
  <c r="H833" i="2"/>
  <c r="AB833" i="2"/>
  <c r="G834" i="2"/>
  <c r="X834" i="2"/>
  <c r="G835" i="2"/>
  <c r="K836" i="2"/>
  <c r="O837" i="2"/>
  <c r="L837" i="2"/>
  <c r="N837" i="2"/>
  <c r="M837" i="2"/>
  <c r="AF837" i="2"/>
  <c r="X840" i="2"/>
  <c r="J843" i="2"/>
  <c r="AH843" i="2"/>
  <c r="AF845" i="2"/>
  <c r="AH847" i="2"/>
  <c r="K850" i="2"/>
  <c r="X853" i="2"/>
  <c r="O853" i="2"/>
  <c r="L853" i="2"/>
  <c r="M853" i="2"/>
  <c r="S854" i="2"/>
  <c r="AG854" i="2"/>
  <c r="V856" i="2"/>
  <c r="AK856" i="2"/>
  <c r="O860" i="2"/>
  <c r="L860" i="2"/>
  <c r="M860" i="2"/>
  <c r="N860" i="2"/>
  <c r="V860" i="2"/>
  <c r="J861" i="2"/>
  <c r="D863" i="2"/>
  <c r="AF863" i="2"/>
  <c r="W864" i="2"/>
  <c r="C866" i="2"/>
  <c r="W867" i="2"/>
  <c r="Y870" i="2"/>
  <c r="O870" i="2"/>
  <c r="L870" i="2"/>
  <c r="M870" i="2"/>
  <c r="N870" i="2"/>
  <c r="AD870" i="2"/>
  <c r="G871" i="2"/>
  <c r="H872" i="2"/>
  <c r="K873" i="2"/>
  <c r="AD873" i="2"/>
  <c r="G874" i="2"/>
  <c r="AD874" i="2"/>
  <c r="K875" i="2"/>
  <c r="V876" i="2"/>
  <c r="X878" i="2"/>
  <c r="V882" i="2"/>
  <c r="AK882" i="2"/>
  <c r="AC884" i="2"/>
  <c r="H885" i="2"/>
  <c r="Z885" i="2"/>
  <c r="S887" i="2"/>
  <c r="C888" i="2"/>
  <c r="AG888" i="2"/>
  <c r="AG890" i="2"/>
  <c r="O890" i="2"/>
  <c r="L890" i="2"/>
  <c r="M890" i="2"/>
  <c r="N890" i="2"/>
  <c r="Z893" i="2"/>
  <c r="J894" i="2"/>
  <c r="D895" i="2"/>
  <c r="U895" i="2"/>
  <c r="D896" i="2"/>
  <c r="T896" i="2"/>
  <c r="AB897" i="2"/>
  <c r="O897" i="2"/>
  <c r="L897" i="2"/>
  <c r="M897" i="2"/>
  <c r="N897" i="2"/>
  <c r="T897" i="2"/>
  <c r="AC898" i="2"/>
  <c r="O898" i="2"/>
  <c r="L898" i="2"/>
  <c r="M898" i="2"/>
  <c r="N898" i="2"/>
  <c r="V898" i="2"/>
  <c r="J899" i="2"/>
  <c r="O900" i="2"/>
  <c r="L900" i="2"/>
  <c r="M900" i="2"/>
  <c r="N900" i="2"/>
  <c r="O901" i="2"/>
  <c r="L901" i="2"/>
  <c r="M901" i="2"/>
  <c r="S901" i="2"/>
  <c r="AH901" i="2"/>
  <c r="O905" i="2"/>
  <c r="L905" i="2"/>
  <c r="M905" i="2"/>
  <c r="N905" i="2"/>
  <c r="U905" i="2"/>
  <c r="AH906" i="2"/>
  <c r="O906" i="2"/>
  <c r="L906" i="2"/>
  <c r="M906" i="2"/>
  <c r="N906" i="2"/>
  <c r="U907" i="2"/>
  <c r="R911" i="2"/>
  <c r="J912" i="2"/>
  <c r="AB913" i="2"/>
  <c r="O913" i="2"/>
  <c r="L913" i="2"/>
  <c r="M913" i="2"/>
  <c r="N913" i="2"/>
  <c r="T913" i="2"/>
  <c r="V914" i="2"/>
  <c r="AD915" i="2"/>
  <c r="O915" i="2"/>
  <c r="L915" i="2"/>
  <c r="M915" i="2"/>
  <c r="N915" i="2"/>
  <c r="Z916" i="2"/>
  <c r="W917" i="2"/>
  <c r="AH919" i="2"/>
  <c r="O919" i="2"/>
  <c r="L919" i="2"/>
  <c r="M919" i="2"/>
  <c r="N919" i="2"/>
  <c r="AB923" i="2"/>
  <c r="S924" i="2"/>
  <c r="G925" i="2"/>
  <c r="C926" i="2"/>
  <c r="AG926" i="2"/>
  <c r="Y957" i="2"/>
  <c r="K933" i="2"/>
  <c r="O939" i="2"/>
  <c r="L939" i="2"/>
  <c r="M939" i="2"/>
  <c r="R939" i="2"/>
  <c r="AH939" i="2"/>
  <c r="AG941" i="2"/>
  <c r="O941" i="2"/>
  <c r="L941" i="2"/>
  <c r="M941" i="2"/>
  <c r="N941" i="2"/>
  <c r="O942" i="2"/>
  <c r="L942" i="2"/>
  <c r="M942" i="2"/>
  <c r="N942" i="2"/>
  <c r="AD975" i="2"/>
  <c r="O975" i="2"/>
  <c r="L975" i="2"/>
  <c r="M975" i="2"/>
  <c r="AH975" i="2"/>
  <c r="J975" i="2"/>
  <c r="AF975" i="2"/>
  <c r="H975" i="2"/>
  <c r="U975" i="2"/>
  <c r="Y979" i="2"/>
  <c r="O979" i="2"/>
  <c r="L979" i="2"/>
  <c r="M979" i="2"/>
  <c r="N979" i="2"/>
  <c r="Z979" i="2"/>
  <c r="C979" i="2"/>
  <c r="Y933" i="2"/>
  <c r="O933" i="2"/>
  <c r="L933" i="2"/>
  <c r="N933" i="2"/>
  <c r="AD933" i="2"/>
  <c r="C939" i="2"/>
  <c r="U939" i="2"/>
  <c r="AF940" i="2"/>
  <c r="O940" i="2"/>
  <c r="L940" i="2"/>
  <c r="M940" i="2"/>
  <c r="N940" i="2"/>
  <c r="AB948" i="2"/>
  <c r="O948" i="2"/>
  <c r="L948" i="2"/>
  <c r="M948" i="2"/>
  <c r="O960" i="2"/>
  <c r="L960" i="2"/>
  <c r="M960" i="2"/>
  <c r="O962" i="2"/>
  <c r="L962" i="2"/>
  <c r="M962" i="2"/>
  <c r="N962" i="2"/>
  <c r="O964" i="2"/>
  <c r="L964" i="2"/>
  <c r="M964" i="2"/>
  <c r="N964" i="2"/>
  <c r="V964" i="2"/>
  <c r="O966" i="2"/>
  <c r="L966" i="2"/>
  <c r="M966" i="2"/>
  <c r="N966" i="2"/>
  <c r="Y968" i="2"/>
  <c r="O968" i="2"/>
  <c r="L968" i="2"/>
  <c r="M968" i="2"/>
  <c r="N968" i="2"/>
  <c r="Z968" i="2"/>
  <c r="AF968" i="2"/>
  <c r="Z971" i="2"/>
  <c r="O971" i="2"/>
  <c r="L971" i="2"/>
  <c r="M971" i="2"/>
  <c r="W971" i="2"/>
  <c r="G971" i="2"/>
  <c r="U971" i="2"/>
  <c r="N971" i="2"/>
  <c r="R971" i="2"/>
  <c r="AK971" i="2"/>
  <c r="O974" i="2"/>
  <c r="L974" i="2"/>
  <c r="M974" i="2"/>
  <c r="U974" i="2"/>
  <c r="S974" i="2"/>
  <c r="N974" i="2"/>
  <c r="AH974" i="2"/>
  <c r="AK975" i="2"/>
  <c r="N948" i="2"/>
  <c r="M934" i="2"/>
  <c r="Y927" i="2"/>
  <c r="O927" i="2"/>
  <c r="L927" i="2"/>
  <c r="M927" i="2"/>
  <c r="S929" i="2"/>
  <c r="AG931" i="2"/>
  <c r="O931" i="2"/>
  <c r="L931" i="2"/>
  <c r="M931" i="2"/>
  <c r="N931" i="2"/>
  <c r="Z931" i="2"/>
  <c r="R933" i="2"/>
  <c r="W934" i="2"/>
  <c r="D939" i="2"/>
  <c r="V939" i="2"/>
  <c r="O943" i="2"/>
  <c r="L943" i="2"/>
  <c r="M943" i="2"/>
  <c r="N943" i="2"/>
  <c r="Y945" i="2"/>
  <c r="O945" i="2"/>
  <c r="L945" i="2"/>
  <c r="M945" i="2"/>
  <c r="N945" i="2"/>
  <c r="AD945" i="2"/>
  <c r="O951" i="2"/>
  <c r="L951" i="2"/>
  <c r="M951" i="2"/>
  <c r="R951" i="2"/>
  <c r="AH951" i="2"/>
  <c r="AH952" i="2"/>
  <c r="X953" i="2"/>
  <c r="R954" i="2"/>
  <c r="AB958" i="2"/>
  <c r="R960" i="2"/>
  <c r="AF960" i="2"/>
  <c r="T963" i="2"/>
  <c r="W964" i="2"/>
  <c r="Z969" i="2"/>
  <c r="O969" i="2"/>
  <c r="M969" i="2"/>
  <c r="N969" i="2"/>
  <c r="AC969" i="2"/>
  <c r="S971" i="2"/>
  <c r="AD973" i="2"/>
  <c r="O973" i="2"/>
  <c r="L973" i="2"/>
  <c r="M973" i="2"/>
  <c r="T973" i="2"/>
  <c r="O976" i="2"/>
  <c r="L976" i="2"/>
  <c r="M976" i="2"/>
  <c r="N976" i="2"/>
  <c r="T976" i="2"/>
  <c r="AK976" i="2"/>
  <c r="K976" i="2"/>
  <c r="AG976" i="2"/>
  <c r="X976" i="2"/>
  <c r="C976" i="2"/>
  <c r="AF976" i="2"/>
  <c r="N939" i="2"/>
  <c r="M933" i="2"/>
  <c r="AB931" i="2"/>
  <c r="C933" i="2"/>
  <c r="S933" i="2"/>
  <c r="AF933" i="2"/>
  <c r="AC934" i="2"/>
  <c r="W939" i="2"/>
  <c r="G941" i="2"/>
  <c r="R945" i="2"/>
  <c r="C948" i="2"/>
  <c r="T951" i="2"/>
  <c r="AK951" i="2"/>
  <c r="V954" i="2"/>
  <c r="J958" i="2"/>
  <c r="AC958" i="2"/>
  <c r="C960" i="2"/>
  <c r="S960" i="2"/>
  <c r="AG960" i="2"/>
  <c r="C964" i="2"/>
  <c r="X964" i="2"/>
  <c r="C968" i="2"/>
  <c r="Y970" i="2"/>
  <c r="O970" i="2"/>
  <c r="AC970" i="2"/>
  <c r="G970" i="2"/>
  <c r="M970" i="2"/>
  <c r="N970" i="2"/>
  <c r="L970" i="2"/>
  <c r="T970" i="2"/>
  <c r="C971" i="2"/>
  <c r="T971" i="2"/>
  <c r="G975" i="2"/>
  <c r="AH976" i="2"/>
  <c r="N937" i="2"/>
  <c r="O929" i="2"/>
  <c r="L929" i="2"/>
  <c r="M929" i="2"/>
  <c r="N929" i="2"/>
  <c r="W929" i="2"/>
  <c r="C931" i="2"/>
  <c r="AH931" i="2"/>
  <c r="D933" i="2"/>
  <c r="T933" i="2"/>
  <c r="AG933" i="2"/>
  <c r="X939" i="2"/>
  <c r="G940" i="2"/>
  <c r="H941" i="2"/>
  <c r="U944" i="2"/>
  <c r="C945" i="2"/>
  <c r="S945" i="2"/>
  <c r="AF945" i="2"/>
  <c r="L947" i="2"/>
  <c r="O947" i="2"/>
  <c r="M947" i="2"/>
  <c r="N947" i="2"/>
  <c r="C951" i="2"/>
  <c r="U951" i="2"/>
  <c r="AF952" i="2"/>
  <c r="O952" i="2"/>
  <c r="L952" i="2"/>
  <c r="M952" i="2"/>
  <c r="N952" i="2"/>
  <c r="V953" i="2"/>
  <c r="O953" i="2"/>
  <c r="L953" i="2"/>
  <c r="M953" i="2"/>
  <c r="N953" i="2"/>
  <c r="Z954" i="2"/>
  <c r="AD958" i="2"/>
  <c r="D960" i="2"/>
  <c r="T960" i="2"/>
  <c r="AH960" i="2"/>
  <c r="AD963" i="2"/>
  <c r="O963" i="2"/>
  <c r="L963" i="2"/>
  <c r="M963" i="2"/>
  <c r="V963" i="2"/>
  <c r="D964" i="2"/>
  <c r="X966" i="2"/>
  <c r="D968" i="2"/>
  <c r="C969" i="2"/>
  <c r="U970" i="2"/>
  <c r="D971" i="2"/>
  <c r="V971" i="2"/>
  <c r="G974" i="2"/>
  <c r="D976" i="2"/>
  <c r="O977" i="2"/>
  <c r="L977" i="2"/>
  <c r="M977" i="2"/>
  <c r="N977" i="2"/>
  <c r="N936" i="2"/>
  <c r="H927" i="2"/>
  <c r="X929" i="2"/>
  <c r="D931" i="2"/>
  <c r="X932" i="2"/>
  <c r="O932" i="2"/>
  <c r="L932" i="2"/>
  <c r="N932" i="2"/>
  <c r="M932" i="2"/>
  <c r="W932" i="2"/>
  <c r="U933" i="2"/>
  <c r="AH933" i="2"/>
  <c r="H939" i="2"/>
  <c r="Z939" i="2"/>
  <c r="J940" i="2"/>
  <c r="K941" i="2"/>
  <c r="Z943" i="2"/>
  <c r="D945" i="2"/>
  <c r="T945" i="2"/>
  <c r="AG945" i="2"/>
  <c r="D951" i="2"/>
  <c r="V951" i="2"/>
  <c r="AH953" i="2"/>
  <c r="U960" i="2"/>
  <c r="AK960" i="2"/>
  <c r="W963" i="2"/>
  <c r="AB964" i="2"/>
  <c r="Y966" i="2"/>
  <c r="D969" i="2"/>
  <c r="C970" i="2"/>
  <c r="V970" i="2"/>
  <c r="G973" i="2"/>
  <c r="H974" i="2"/>
  <c r="K975" i="2"/>
  <c r="N975" i="2"/>
  <c r="N927" i="2"/>
  <c r="L969" i="2"/>
  <c r="Y929" i="2"/>
  <c r="V933" i="2"/>
  <c r="AK933" i="2"/>
  <c r="R935" i="2"/>
  <c r="O935" i="2"/>
  <c r="L935" i="2"/>
  <c r="M935" i="2"/>
  <c r="N935" i="2"/>
  <c r="AB939" i="2"/>
  <c r="K940" i="2"/>
  <c r="R941" i="2"/>
  <c r="X944" i="2"/>
  <c r="O944" i="2"/>
  <c r="L944" i="2"/>
  <c r="N944" i="2"/>
  <c r="M944" i="2"/>
  <c r="W944" i="2"/>
  <c r="U945" i="2"/>
  <c r="AH945" i="2"/>
  <c r="G948" i="2"/>
  <c r="W951" i="2"/>
  <c r="O954" i="2"/>
  <c r="L954" i="2"/>
  <c r="M954" i="2"/>
  <c r="N954" i="2"/>
  <c r="AB954" i="2"/>
  <c r="Y958" i="2"/>
  <c r="O958" i="2"/>
  <c r="L958" i="2"/>
  <c r="M958" i="2"/>
  <c r="N958" i="2"/>
  <c r="R958" i="2"/>
  <c r="AF958" i="2"/>
  <c r="V960" i="2"/>
  <c r="S961" i="2"/>
  <c r="O961" i="2"/>
  <c r="L961" i="2"/>
  <c r="M961" i="2"/>
  <c r="C963" i="2"/>
  <c r="Z963" i="2"/>
  <c r="H964" i="2"/>
  <c r="AF964" i="2"/>
  <c r="Z966" i="2"/>
  <c r="G968" i="2"/>
  <c r="Z970" i="2"/>
  <c r="AB971" i="2"/>
  <c r="H973" i="2"/>
  <c r="J974" i="2"/>
  <c r="S975" i="2"/>
  <c r="H976" i="2"/>
  <c r="N973" i="2"/>
  <c r="U927" i="2"/>
  <c r="Z929" i="2"/>
  <c r="G933" i="2"/>
  <c r="W933" i="2"/>
  <c r="O934" i="2"/>
  <c r="L934" i="2"/>
  <c r="N934" i="2"/>
  <c r="J939" i="2"/>
  <c r="AC939" i="2"/>
  <c r="V940" i="2"/>
  <c r="T941" i="2"/>
  <c r="Z944" i="2"/>
  <c r="V945" i="2"/>
  <c r="AK945" i="2"/>
  <c r="R948" i="2"/>
  <c r="X951" i="2"/>
  <c r="G952" i="2"/>
  <c r="AH954" i="2"/>
  <c r="S958" i="2"/>
  <c r="AG958" i="2"/>
  <c r="G960" i="2"/>
  <c r="W960" i="2"/>
  <c r="AG964" i="2"/>
  <c r="O967" i="2"/>
  <c r="L967" i="2"/>
  <c r="M967" i="2"/>
  <c r="N967" i="2"/>
  <c r="Z967" i="2"/>
  <c r="H968" i="2"/>
  <c r="H969" i="2"/>
  <c r="AB970" i="2"/>
  <c r="H971" i="2"/>
  <c r="AC971" i="2"/>
  <c r="T974" i="2"/>
  <c r="T975" i="2"/>
  <c r="J976" i="2"/>
  <c r="Y978" i="2"/>
  <c r="O978" i="2"/>
  <c r="L978" i="2"/>
  <c r="M978" i="2"/>
  <c r="N978" i="2"/>
  <c r="Z983" i="2"/>
  <c r="O983" i="2"/>
  <c r="L983" i="2"/>
  <c r="M983" i="2"/>
  <c r="R983" i="2"/>
  <c r="AH983" i="2"/>
  <c r="J983" i="2"/>
  <c r="N983" i="2"/>
  <c r="V983" i="2"/>
  <c r="V927" i="2"/>
  <c r="AD929" i="2"/>
  <c r="W930" i="2"/>
  <c r="D932" i="2"/>
  <c r="AB932" i="2"/>
  <c r="H933" i="2"/>
  <c r="X933" i="2"/>
  <c r="R937" i="2"/>
  <c r="AG938" i="2"/>
  <c r="K939" i="2"/>
  <c r="AD939" i="2"/>
  <c r="W940" i="2"/>
  <c r="W941" i="2"/>
  <c r="C944" i="2"/>
  <c r="G945" i="2"/>
  <c r="W945" i="2"/>
  <c r="Z946" i="2"/>
  <c r="O946" i="2"/>
  <c r="L946" i="2"/>
  <c r="M946" i="2"/>
  <c r="N946" i="2"/>
  <c r="S948" i="2"/>
  <c r="H951" i="2"/>
  <c r="J952" i="2"/>
  <c r="G953" i="2"/>
  <c r="C954" i="2"/>
  <c r="AK954" i="2"/>
  <c r="O956" i="2"/>
  <c r="L956" i="2"/>
  <c r="M956" i="2"/>
  <c r="N956" i="2"/>
  <c r="C958" i="2"/>
  <c r="T958" i="2"/>
  <c r="AH958" i="2"/>
  <c r="H960" i="2"/>
  <c r="X960" i="2"/>
  <c r="G963" i="2"/>
  <c r="J964" i="2"/>
  <c r="AH964" i="2"/>
  <c r="AD970" i="2"/>
  <c r="AD971" i="2"/>
  <c r="R973" i="2"/>
  <c r="V974" i="2"/>
  <c r="V975" i="2"/>
  <c r="AB983" i="2"/>
  <c r="N963" i="2"/>
  <c r="X921" i="2"/>
  <c r="O921" i="2"/>
  <c r="L921" i="2"/>
  <c r="M921" i="2"/>
  <c r="N921" i="2"/>
  <c r="Y922" i="2"/>
  <c r="O922" i="2"/>
  <c r="L922" i="2"/>
  <c r="M922" i="2"/>
  <c r="N922" i="2"/>
  <c r="AD922" i="2"/>
  <c r="AH927" i="2"/>
  <c r="G929" i="2"/>
  <c r="AK929" i="2"/>
  <c r="J931" i="2"/>
  <c r="AC932" i="2"/>
  <c r="Z933" i="2"/>
  <c r="S935" i="2"/>
  <c r="AC937" i="2"/>
  <c r="O937" i="2"/>
  <c r="L937" i="2"/>
  <c r="M937" i="2"/>
  <c r="S937" i="2"/>
  <c r="AH937" i="2"/>
  <c r="AF939" i="2"/>
  <c r="AH940" i="2"/>
  <c r="X941" i="2"/>
  <c r="D944" i="2"/>
  <c r="AB944" i="2"/>
  <c r="H945" i="2"/>
  <c r="X945" i="2"/>
  <c r="R947" i="2"/>
  <c r="AB951" i="2"/>
  <c r="K952" i="2"/>
  <c r="H953" i="2"/>
  <c r="D954" i="2"/>
  <c r="AB955" i="2"/>
  <c r="O955" i="2"/>
  <c r="L955" i="2"/>
  <c r="M955" i="2"/>
  <c r="N955" i="2"/>
  <c r="AB956" i="2"/>
  <c r="D958" i="2"/>
  <c r="U958" i="2"/>
  <c r="Z959" i="2"/>
  <c r="O959" i="2"/>
  <c r="L959" i="2"/>
  <c r="M959" i="2"/>
  <c r="N959" i="2"/>
  <c r="AF959" i="2"/>
  <c r="Z960" i="2"/>
  <c r="H963" i="2"/>
  <c r="AF963" i="2"/>
  <c r="K964" i="2"/>
  <c r="AK964" i="2"/>
  <c r="C967" i="2"/>
  <c r="S968" i="2"/>
  <c r="H970" i="2"/>
  <c r="J971" i="2"/>
  <c r="S973" i="2"/>
  <c r="AF974" i="2"/>
  <c r="W975" i="2"/>
  <c r="U976" i="2"/>
  <c r="C983" i="2"/>
  <c r="AC983" i="2"/>
  <c r="N961" i="2"/>
  <c r="R922" i="2"/>
  <c r="Y928" i="2"/>
  <c r="O928" i="2"/>
  <c r="L928" i="2"/>
  <c r="M928" i="2"/>
  <c r="N928" i="2"/>
  <c r="H929" i="2"/>
  <c r="AF930" i="2"/>
  <c r="O930" i="2"/>
  <c r="L930" i="2"/>
  <c r="M930" i="2"/>
  <c r="N930" i="2"/>
  <c r="Y930" i="2"/>
  <c r="T931" i="2"/>
  <c r="AG932" i="2"/>
  <c r="J933" i="2"/>
  <c r="G934" i="2"/>
  <c r="R936" i="2"/>
  <c r="O936" i="2"/>
  <c r="L936" i="2"/>
  <c r="M936" i="2"/>
  <c r="T937" i="2"/>
  <c r="AD938" i="2"/>
  <c r="O938" i="2"/>
  <c r="L938" i="2"/>
  <c r="M938" i="2"/>
  <c r="N938" i="2"/>
  <c r="S938" i="2"/>
  <c r="AK938" i="2"/>
  <c r="AG939" i="2"/>
  <c r="AK940" i="2"/>
  <c r="AK941" i="2"/>
  <c r="AC944" i="2"/>
  <c r="Z945" i="2"/>
  <c r="D946" i="2"/>
  <c r="Z947" i="2"/>
  <c r="AD948" i="2"/>
  <c r="J951" i="2"/>
  <c r="AC951" i="2"/>
  <c r="K953" i="2"/>
  <c r="C956" i="2"/>
  <c r="AC956" i="2"/>
  <c r="V958" i="2"/>
  <c r="R959" i="2"/>
  <c r="AG959" i="2"/>
  <c r="J960" i="2"/>
  <c r="AB960" i="2"/>
  <c r="AG963" i="2"/>
  <c r="AK965" i="2"/>
  <c r="O965" i="2"/>
  <c r="L965" i="2"/>
  <c r="M965" i="2"/>
  <c r="N965" i="2"/>
  <c r="K965" i="2"/>
  <c r="T968" i="2"/>
  <c r="T969" i="2"/>
  <c r="J970" i="2"/>
  <c r="AF970" i="2"/>
  <c r="K971" i="2"/>
  <c r="AF971" i="2"/>
  <c r="U973" i="2"/>
  <c r="AG974" i="2"/>
  <c r="Z975" i="2"/>
  <c r="V976" i="2"/>
  <c r="Z978" i="2"/>
  <c r="D983" i="2"/>
  <c r="AD983" i="2"/>
  <c r="N960" i="2"/>
  <c r="M980" i="2"/>
  <c r="O972" i="2"/>
  <c r="L972" i="2"/>
  <c r="M972" i="2"/>
  <c r="R972" i="2"/>
  <c r="AG972" i="2"/>
  <c r="Y982" i="2"/>
  <c r="O982" i="2"/>
  <c r="L982" i="2"/>
  <c r="R982" i="2"/>
  <c r="AH982" i="2"/>
  <c r="O984" i="2"/>
  <c r="L984" i="2"/>
  <c r="M984" i="2"/>
  <c r="R984" i="2"/>
  <c r="AK972" i="2"/>
  <c r="Y980" i="2"/>
  <c r="O980" i="2"/>
  <c r="L980" i="2"/>
  <c r="C982" i="2"/>
  <c r="T982" i="2"/>
  <c r="D984" i="2"/>
  <c r="T984" i="2"/>
  <c r="AN8" i="2"/>
  <c r="B7" i="2"/>
  <c r="AO10" i="2"/>
  <c r="AO11" i="2" s="1"/>
  <c r="D9" i="2"/>
  <c r="H9" i="2" s="1"/>
  <c r="AK26" i="2"/>
  <c r="W26" i="2"/>
  <c r="K26" i="2"/>
  <c r="AH26" i="2"/>
  <c r="V26" i="2"/>
  <c r="J26" i="2"/>
  <c r="AG26" i="2"/>
  <c r="U26" i="2"/>
  <c r="AF26" i="2"/>
  <c r="T26" i="2"/>
  <c r="H26" i="2"/>
  <c r="S26" i="2"/>
  <c r="G26" i="2"/>
  <c r="AC26" i="2"/>
  <c r="AB26" i="2"/>
  <c r="D26" i="2"/>
  <c r="C26" i="2"/>
  <c r="X26" i="2"/>
  <c r="AH37" i="2"/>
  <c r="V37" i="2"/>
  <c r="J37" i="2"/>
  <c r="AG37" i="2"/>
  <c r="U37" i="2"/>
  <c r="AF37" i="2"/>
  <c r="T37" i="2"/>
  <c r="H37" i="2"/>
  <c r="S37" i="2"/>
  <c r="G37" i="2"/>
  <c r="AD37" i="2"/>
  <c r="R37" i="2"/>
  <c r="AB37" i="2"/>
  <c r="D37" i="2"/>
  <c r="C37" i="2"/>
  <c r="Z37" i="2"/>
  <c r="AK37" i="2"/>
  <c r="W37" i="2"/>
  <c r="K37" i="2"/>
  <c r="AG5" i="2"/>
  <c r="H33" i="2"/>
  <c r="AK50" i="2"/>
  <c r="W50" i="2"/>
  <c r="K50" i="2"/>
  <c r="AH50" i="2"/>
  <c r="V50" i="2"/>
  <c r="J50" i="2"/>
  <c r="AG50" i="2"/>
  <c r="U50" i="2"/>
  <c r="AF50" i="2"/>
  <c r="T50" i="2"/>
  <c r="H50" i="2"/>
  <c r="S50" i="2"/>
  <c r="G50" i="2"/>
  <c r="AC50" i="2"/>
  <c r="AB50" i="2"/>
  <c r="D50" i="2"/>
  <c r="C50" i="2"/>
  <c r="X50" i="2"/>
  <c r="AH25" i="2"/>
  <c r="V25" i="2"/>
  <c r="J25" i="2"/>
  <c r="AG25" i="2"/>
  <c r="U25" i="2"/>
  <c r="AF25" i="2"/>
  <c r="T25" i="2"/>
  <c r="H25" i="2"/>
  <c r="S25" i="2"/>
  <c r="G25" i="2"/>
  <c r="AD25" i="2"/>
  <c r="R25" i="2"/>
  <c r="AB25" i="2"/>
  <c r="D25" i="2"/>
  <c r="C25" i="2"/>
  <c r="Z25" i="2"/>
  <c r="AK25" i="2"/>
  <c r="W25" i="2"/>
  <c r="K25" i="2"/>
  <c r="AD45" i="2"/>
  <c r="R45" i="2"/>
  <c r="AC45" i="2"/>
  <c r="AB45" i="2"/>
  <c r="D45" i="2"/>
  <c r="C45" i="2"/>
  <c r="Z45" i="2"/>
  <c r="X45" i="2"/>
  <c r="AK45" i="2"/>
  <c r="W45" i="2"/>
  <c r="K45" i="2"/>
  <c r="AH45" i="2"/>
  <c r="V45" i="2"/>
  <c r="J45" i="2"/>
  <c r="S45" i="2"/>
  <c r="G45" i="2"/>
  <c r="D7" i="2"/>
  <c r="H7" i="2" s="1"/>
  <c r="Y38" i="2"/>
  <c r="D5" i="2"/>
  <c r="I5" i="2" s="1"/>
  <c r="AH5" i="2"/>
  <c r="T33" i="2"/>
  <c r="AH49" i="2"/>
  <c r="V49" i="2"/>
  <c r="J49" i="2"/>
  <c r="AG49" i="2"/>
  <c r="U49" i="2"/>
  <c r="AF49" i="2"/>
  <c r="T49" i="2"/>
  <c r="H49" i="2"/>
  <c r="S49" i="2"/>
  <c r="G49" i="2"/>
  <c r="AD49" i="2"/>
  <c r="R49" i="2"/>
  <c r="AB49" i="2"/>
  <c r="D49" i="2"/>
  <c r="C49" i="2"/>
  <c r="Z49" i="2"/>
  <c r="AK49" i="2"/>
  <c r="W49" i="2"/>
  <c r="K49" i="2"/>
  <c r="AH10" i="2"/>
  <c r="AG10" i="2"/>
  <c r="AK12" i="2"/>
  <c r="R26" i="2"/>
  <c r="U33" i="2"/>
  <c r="X37" i="2"/>
  <c r="H45" i="2"/>
  <c r="AH64" i="2"/>
  <c r="V64" i="2"/>
  <c r="J64" i="2"/>
  <c r="AC64" i="2"/>
  <c r="AB64" i="2"/>
  <c r="D64" i="2"/>
  <c r="AD64" i="2"/>
  <c r="Z64" i="2"/>
  <c r="K64" i="2"/>
  <c r="Y64" i="2"/>
  <c r="X64" i="2"/>
  <c r="H64" i="2"/>
  <c r="W64" i="2"/>
  <c r="G64" i="2"/>
  <c r="U64" i="2"/>
  <c r="T64" i="2"/>
  <c r="AK64" i="2"/>
  <c r="S64" i="2"/>
  <c r="C64" i="2"/>
  <c r="AG64" i="2"/>
  <c r="R64" i="2"/>
  <c r="AH6" i="2"/>
  <c r="AG6" i="2"/>
  <c r="D6" i="2"/>
  <c r="H6" i="2" s="1"/>
  <c r="D8" i="2"/>
  <c r="H8" i="2" s="1"/>
  <c r="AH8" i="2"/>
  <c r="AG8" i="2"/>
  <c r="Y33" i="2"/>
  <c r="Y37" i="2"/>
  <c r="AK6" i="2"/>
  <c r="AK8" i="2"/>
  <c r="Z26" i="2"/>
  <c r="AF33" i="2"/>
  <c r="AC37" i="2"/>
  <c r="R50" i="2"/>
  <c r="AK22" i="2"/>
  <c r="AH22" i="2"/>
  <c r="AG22" i="2"/>
  <c r="X25" i="2"/>
  <c r="AD26" i="2"/>
  <c r="AK38" i="2"/>
  <c r="W38" i="2"/>
  <c r="K38" i="2"/>
  <c r="AH38" i="2"/>
  <c r="V38" i="2"/>
  <c r="J38" i="2"/>
  <c r="AG38" i="2"/>
  <c r="U38" i="2"/>
  <c r="AF38" i="2"/>
  <c r="T38" i="2"/>
  <c r="H38" i="2"/>
  <c r="S38" i="2"/>
  <c r="G38" i="2"/>
  <c r="AC38" i="2"/>
  <c r="AB38" i="2"/>
  <c r="D38" i="2"/>
  <c r="C38" i="2"/>
  <c r="X38" i="2"/>
  <c r="T45" i="2"/>
  <c r="Y50" i="2"/>
  <c r="AK14" i="2"/>
  <c r="AH14" i="2"/>
  <c r="AG14" i="2"/>
  <c r="AK18" i="2"/>
  <c r="AH18" i="2"/>
  <c r="AG18" i="2"/>
  <c r="Y25" i="2"/>
  <c r="U45" i="2"/>
  <c r="Z50" i="2"/>
  <c r="AF64" i="2"/>
  <c r="AH12" i="2"/>
  <c r="AG12" i="2"/>
  <c r="AC25" i="2"/>
  <c r="AD33" i="2"/>
  <c r="R33" i="2"/>
  <c r="AC33" i="2"/>
  <c r="AB33" i="2"/>
  <c r="D33" i="2"/>
  <c r="C33" i="2"/>
  <c r="Z33" i="2"/>
  <c r="X33" i="2"/>
  <c r="AK33" i="2"/>
  <c r="W33" i="2"/>
  <c r="K33" i="2"/>
  <c r="AH33" i="2"/>
  <c r="V33" i="2"/>
  <c r="J33" i="2"/>
  <c r="S33" i="2"/>
  <c r="G33" i="2"/>
  <c r="Y45" i="2"/>
  <c r="Y27" i="2"/>
  <c r="Z28" i="2"/>
  <c r="AC31" i="2"/>
  <c r="R32" i="2"/>
  <c r="AD32" i="2"/>
  <c r="H34" i="2"/>
  <c r="T34" i="2"/>
  <c r="AF34" i="2"/>
  <c r="Y39" i="2"/>
  <c r="Z40" i="2"/>
  <c r="AC43" i="2"/>
  <c r="R44" i="2"/>
  <c r="AD44" i="2"/>
  <c r="H46" i="2"/>
  <c r="T46" i="2"/>
  <c r="AF46" i="2"/>
  <c r="Y51" i="2"/>
  <c r="Z52" i="2"/>
  <c r="R56" i="2"/>
  <c r="AD56" i="2"/>
  <c r="G57" i="2"/>
  <c r="S57" i="2"/>
  <c r="AG57" i="2"/>
  <c r="H59" i="2"/>
  <c r="Y59" i="2"/>
  <c r="V62" i="2"/>
  <c r="S63" i="2"/>
  <c r="AK63" i="2"/>
  <c r="H66" i="2"/>
  <c r="W66" i="2"/>
  <c r="AC70" i="2"/>
  <c r="AB71" i="2"/>
  <c r="AB58" i="2"/>
  <c r="D58" i="2"/>
  <c r="AK58" i="2"/>
  <c r="W58" i="2"/>
  <c r="K58" i="2"/>
  <c r="AH58" i="2"/>
  <c r="V58" i="2"/>
  <c r="AG16" i="2"/>
  <c r="AG20" i="2"/>
  <c r="X23" i="2"/>
  <c r="Y24" i="2"/>
  <c r="D27" i="2"/>
  <c r="AB27" i="2"/>
  <c r="AC28" i="2"/>
  <c r="R29" i="2"/>
  <c r="AD29" i="2"/>
  <c r="G30" i="2"/>
  <c r="S30" i="2"/>
  <c r="H31" i="2"/>
  <c r="T31" i="2"/>
  <c r="AF31" i="2"/>
  <c r="U32" i="2"/>
  <c r="AG32" i="2"/>
  <c r="K34" i="2"/>
  <c r="W34" i="2"/>
  <c r="AK34" i="2"/>
  <c r="X35" i="2"/>
  <c r="Y36" i="2"/>
  <c r="D39" i="2"/>
  <c r="AB39" i="2"/>
  <c r="AC40" i="2"/>
  <c r="R41" i="2"/>
  <c r="AD41" i="2"/>
  <c r="S42" i="2"/>
  <c r="H43" i="2"/>
  <c r="T43" i="2"/>
  <c r="AF43" i="2"/>
  <c r="U44" i="2"/>
  <c r="AG44" i="2"/>
  <c r="K46" i="2"/>
  <c r="W46" i="2"/>
  <c r="AK46" i="2"/>
  <c r="X47" i="2"/>
  <c r="Y48" i="2"/>
  <c r="D51" i="2"/>
  <c r="AB51" i="2"/>
  <c r="AC52" i="2"/>
  <c r="R53" i="2"/>
  <c r="AD53" i="2"/>
  <c r="S54" i="2"/>
  <c r="H55" i="2"/>
  <c r="T55" i="2"/>
  <c r="AF55" i="2"/>
  <c r="U56" i="2"/>
  <c r="AG56" i="2"/>
  <c r="J57" i="2"/>
  <c r="W57" i="2"/>
  <c r="AF58" i="2"/>
  <c r="AB59" i="2"/>
  <c r="J62" i="2"/>
  <c r="Y62" i="2"/>
  <c r="G63" i="2"/>
  <c r="W63" i="2"/>
  <c r="K66" i="2"/>
  <c r="AF70" i="2"/>
  <c r="AF71" i="2"/>
  <c r="AH76" i="2"/>
  <c r="V76" i="2"/>
  <c r="J76" i="2"/>
  <c r="AF76" i="2"/>
  <c r="T76" i="2"/>
  <c r="H76" i="2"/>
  <c r="AC76" i="2"/>
  <c r="AB76" i="2"/>
  <c r="D76" i="2"/>
  <c r="R76" i="2"/>
  <c r="AK77" i="2"/>
  <c r="W77" i="2"/>
  <c r="K77" i="2"/>
  <c r="AG77" i="2"/>
  <c r="U77" i="2"/>
  <c r="AD77" i="2"/>
  <c r="R77" i="2"/>
  <c r="AC77" i="2"/>
  <c r="X78" i="2"/>
  <c r="AK78" i="2"/>
  <c r="AH78" i="2"/>
  <c r="V78" i="2"/>
  <c r="J78" i="2"/>
  <c r="S78" i="2"/>
  <c r="G78" i="2"/>
  <c r="AD78" i="2"/>
  <c r="R78" i="2"/>
  <c r="AH16" i="2"/>
  <c r="AH20" i="2"/>
  <c r="Y23" i="2"/>
  <c r="Z24" i="2"/>
  <c r="AC27" i="2"/>
  <c r="R28" i="2"/>
  <c r="AD28" i="2"/>
  <c r="G29" i="2"/>
  <c r="S29" i="2"/>
  <c r="H30" i="2"/>
  <c r="T30" i="2"/>
  <c r="AF30" i="2"/>
  <c r="U31" i="2"/>
  <c r="AG31" i="2"/>
  <c r="J32" i="2"/>
  <c r="V32" i="2"/>
  <c r="AH32" i="2"/>
  <c r="X34" i="2"/>
  <c r="Y35" i="2"/>
  <c r="Z36" i="2"/>
  <c r="AC39" i="2"/>
  <c r="R40" i="2"/>
  <c r="AD40" i="2"/>
  <c r="G41" i="2"/>
  <c r="S41" i="2"/>
  <c r="H42" i="2"/>
  <c r="T42" i="2"/>
  <c r="AF42" i="2"/>
  <c r="U43" i="2"/>
  <c r="AG43" i="2"/>
  <c r="J44" i="2"/>
  <c r="V44" i="2"/>
  <c r="AH44" i="2"/>
  <c r="X46" i="2"/>
  <c r="Y47" i="2"/>
  <c r="Z48" i="2"/>
  <c r="AC51" i="2"/>
  <c r="R52" i="2"/>
  <c r="AD52" i="2"/>
  <c r="G53" i="2"/>
  <c r="S53" i="2"/>
  <c r="H54" i="2"/>
  <c r="T54" i="2"/>
  <c r="AF54" i="2"/>
  <c r="U55" i="2"/>
  <c r="AG55" i="2"/>
  <c r="J56" i="2"/>
  <c r="V56" i="2"/>
  <c r="AH56" i="2"/>
  <c r="K57" i="2"/>
  <c r="X57" i="2"/>
  <c r="C58" i="2"/>
  <c r="R58" i="2"/>
  <c r="AG58" i="2"/>
  <c r="K62" i="2"/>
  <c r="AB62" i="2"/>
  <c r="H63" i="2"/>
  <c r="X63" i="2"/>
  <c r="AK65" i="2"/>
  <c r="W65" i="2"/>
  <c r="K65" i="2"/>
  <c r="AD65" i="2"/>
  <c r="R65" i="2"/>
  <c r="AC65" i="2"/>
  <c r="AF65" i="2"/>
  <c r="AB66" i="2"/>
  <c r="Z68" i="2"/>
  <c r="X68" i="2"/>
  <c r="AG68" i="2"/>
  <c r="U68" i="2"/>
  <c r="AF68" i="2"/>
  <c r="T68" i="2"/>
  <c r="H68" i="2"/>
  <c r="AK68" i="2"/>
  <c r="AF74" i="2"/>
  <c r="T74" i="2"/>
  <c r="H74" i="2"/>
  <c r="AD74" i="2"/>
  <c r="R74" i="2"/>
  <c r="C74" i="2"/>
  <c r="Z74" i="2"/>
  <c r="S74" i="2"/>
  <c r="AG75" i="2"/>
  <c r="U75" i="2"/>
  <c r="S75" i="2"/>
  <c r="G75" i="2"/>
  <c r="AB75" i="2"/>
  <c r="D75" i="2"/>
  <c r="C75" i="2"/>
  <c r="T75" i="2"/>
  <c r="S76" i="2"/>
  <c r="S77" i="2"/>
  <c r="T78" i="2"/>
  <c r="AK16" i="2"/>
  <c r="AK20" i="2"/>
  <c r="Y34" i="2"/>
  <c r="Y46" i="2"/>
  <c r="K56" i="2"/>
  <c r="W56" i="2"/>
  <c r="AK56" i="2"/>
  <c r="S58" i="2"/>
  <c r="AC59" i="2"/>
  <c r="X59" i="2"/>
  <c r="AK59" i="2"/>
  <c r="W59" i="2"/>
  <c r="K59" i="2"/>
  <c r="Y63" i="2"/>
  <c r="AB70" i="2"/>
  <c r="D70" i="2"/>
  <c r="Z70" i="2"/>
  <c r="AK70" i="2"/>
  <c r="W70" i="2"/>
  <c r="K70" i="2"/>
  <c r="AH70" i="2"/>
  <c r="V70" i="2"/>
  <c r="J70" i="2"/>
  <c r="R70" i="2"/>
  <c r="AC71" i="2"/>
  <c r="C71" i="2"/>
  <c r="X71" i="2"/>
  <c r="AK71" i="2"/>
  <c r="W71" i="2"/>
  <c r="K71" i="2"/>
  <c r="R71" i="2"/>
  <c r="AH71" i="2"/>
  <c r="AH57" i="2"/>
  <c r="V57" i="2"/>
  <c r="Z57" i="2"/>
  <c r="T58" i="2"/>
  <c r="H27" i="2"/>
  <c r="T27" i="2"/>
  <c r="AF27" i="2"/>
  <c r="U28" i="2"/>
  <c r="AG28" i="2"/>
  <c r="X31" i="2"/>
  <c r="Y32" i="2"/>
  <c r="C34" i="2"/>
  <c r="AF39" i="2"/>
  <c r="U40" i="2"/>
  <c r="AG40" i="2"/>
  <c r="Y44" i="2"/>
  <c r="C46" i="2"/>
  <c r="AF51" i="2"/>
  <c r="AG52" i="2"/>
  <c r="Y56" i="2"/>
  <c r="AB57" i="2"/>
  <c r="G58" i="2"/>
  <c r="U58" i="2"/>
  <c r="R59" i="2"/>
  <c r="AG59" i="2"/>
  <c r="AC63" i="2"/>
  <c r="X66" i="2"/>
  <c r="S66" i="2"/>
  <c r="G66" i="2"/>
  <c r="AD66" i="2"/>
  <c r="R66" i="2"/>
  <c r="AG66" i="2"/>
  <c r="T70" i="2"/>
  <c r="T71" i="2"/>
  <c r="U27" i="2"/>
  <c r="AG27" i="2"/>
  <c r="J28" i="2"/>
  <c r="V28" i="2"/>
  <c r="AH28" i="2"/>
  <c r="Y31" i="2"/>
  <c r="Z32" i="2"/>
  <c r="D34" i="2"/>
  <c r="AB34" i="2"/>
  <c r="U39" i="2"/>
  <c r="AG39" i="2"/>
  <c r="J40" i="2"/>
  <c r="V40" i="2"/>
  <c r="AH40" i="2"/>
  <c r="Y43" i="2"/>
  <c r="Z44" i="2"/>
  <c r="D46" i="2"/>
  <c r="AB46" i="2"/>
  <c r="U51" i="2"/>
  <c r="AG51" i="2"/>
  <c r="J52" i="2"/>
  <c r="V52" i="2"/>
  <c r="AH52" i="2"/>
  <c r="Y55" i="2"/>
  <c r="Z56" i="2"/>
  <c r="C57" i="2"/>
  <c r="AC57" i="2"/>
  <c r="H58" i="2"/>
  <c r="X58" i="2"/>
  <c r="D59" i="2"/>
  <c r="S59" i="2"/>
  <c r="AH59" i="2"/>
  <c r="AF62" i="2"/>
  <c r="T62" i="2"/>
  <c r="H62" i="2"/>
  <c r="C62" i="2"/>
  <c r="Z62" i="2"/>
  <c r="AG62" i="2"/>
  <c r="AD63" i="2"/>
  <c r="AH66" i="2"/>
  <c r="R23" i="2"/>
  <c r="AD23" i="2"/>
  <c r="G24" i="2"/>
  <c r="S24" i="2"/>
  <c r="J27" i="2"/>
  <c r="V27" i="2"/>
  <c r="AH27" i="2"/>
  <c r="K28" i="2"/>
  <c r="W28" i="2"/>
  <c r="AK28" i="2"/>
  <c r="X29" i="2"/>
  <c r="Y30" i="2"/>
  <c r="Z31" i="2"/>
  <c r="C32" i="2"/>
  <c r="AC34" i="2"/>
  <c r="R35" i="2"/>
  <c r="AD35" i="2"/>
  <c r="G36" i="2"/>
  <c r="S36" i="2"/>
  <c r="J39" i="2"/>
  <c r="V39" i="2"/>
  <c r="AH39" i="2"/>
  <c r="K40" i="2"/>
  <c r="W40" i="2"/>
  <c r="AK40" i="2"/>
  <c r="X41" i="2"/>
  <c r="Y42" i="2"/>
  <c r="Z43" i="2"/>
  <c r="C44" i="2"/>
  <c r="AC46" i="2"/>
  <c r="R47" i="2"/>
  <c r="AD47" i="2"/>
  <c r="G48" i="2"/>
  <c r="S48" i="2"/>
  <c r="J51" i="2"/>
  <c r="V51" i="2"/>
  <c r="AH51" i="2"/>
  <c r="K52" i="2"/>
  <c r="W52" i="2"/>
  <c r="AK52" i="2"/>
  <c r="X53" i="2"/>
  <c r="Y54" i="2"/>
  <c r="Z55" i="2"/>
  <c r="C56" i="2"/>
  <c r="D57" i="2"/>
  <c r="AD57" i="2"/>
  <c r="Y58" i="2"/>
  <c r="T59" i="2"/>
  <c r="R62" i="2"/>
  <c r="AH62" i="2"/>
  <c r="C66" i="2"/>
  <c r="T66" i="2"/>
  <c r="AK66" i="2"/>
  <c r="Y68" i="2"/>
  <c r="X70" i="2"/>
  <c r="V71" i="2"/>
  <c r="Y74" i="2"/>
  <c r="Z75" i="2"/>
  <c r="Z76" i="2"/>
  <c r="H77" i="2"/>
  <c r="Z77" i="2"/>
  <c r="G23" i="2"/>
  <c r="S23" i="2"/>
  <c r="H24" i="2"/>
  <c r="T24" i="2"/>
  <c r="K27" i="2"/>
  <c r="W27" i="2"/>
  <c r="AK27" i="2"/>
  <c r="X28" i="2"/>
  <c r="C31" i="2"/>
  <c r="D32" i="2"/>
  <c r="AB32" i="2"/>
  <c r="R34" i="2"/>
  <c r="AD34" i="2"/>
  <c r="G35" i="2"/>
  <c r="S35" i="2"/>
  <c r="H36" i="2"/>
  <c r="T36" i="2"/>
  <c r="K39" i="2"/>
  <c r="W39" i="2"/>
  <c r="AK39" i="2"/>
  <c r="X40" i="2"/>
  <c r="C43" i="2"/>
  <c r="D44" i="2"/>
  <c r="AB44" i="2"/>
  <c r="R46" i="2"/>
  <c r="AD46" i="2"/>
  <c r="G47" i="2"/>
  <c r="S47" i="2"/>
  <c r="H48" i="2"/>
  <c r="T48" i="2"/>
  <c r="K51" i="2"/>
  <c r="W51" i="2"/>
  <c r="AK51" i="2"/>
  <c r="X52" i="2"/>
  <c r="C55" i="2"/>
  <c r="D56" i="2"/>
  <c r="AB56" i="2"/>
  <c r="J58" i="2"/>
  <c r="Z58" i="2"/>
  <c r="U59" i="2"/>
  <c r="D62" i="2"/>
  <c r="S62" i="2"/>
  <c r="AK62" i="2"/>
  <c r="D66" i="2"/>
  <c r="U66" i="2"/>
  <c r="G68" i="2"/>
  <c r="G70" i="2"/>
  <c r="Y70" i="2"/>
  <c r="G71" i="2"/>
  <c r="Y71" i="2"/>
  <c r="J74" i="2"/>
  <c r="AB74" i="2"/>
  <c r="K75" i="2"/>
  <c r="AC75" i="2"/>
  <c r="K76" i="2"/>
  <c r="J77" i="2"/>
  <c r="K78" i="2"/>
  <c r="AB78" i="2"/>
  <c r="D31" i="2"/>
  <c r="G34" i="2"/>
  <c r="S34" i="2"/>
  <c r="G46" i="2"/>
  <c r="S46" i="2"/>
  <c r="R57" i="2"/>
  <c r="AF57" i="2"/>
  <c r="G59" i="2"/>
  <c r="V59" i="2"/>
  <c r="U62" i="2"/>
  <c r="AG63" i="2"/>
  <c r="U63" i="2"/>
  <c r="AB63" i="2"/>
  <c r="D63" i="2"/>
  <c r="C63" i="2"/>
  <c r="R63" i="2"/>
  <c r="AH63" i="2"/>
  <c r="V66" i="2"/>
  <c r="Z71" i="2"/>
  <c r="K88" i="2"/>
  <c r="W88" i="2"/>
  <c r="AK88" i="2"/>
  <c r="Y90" i="2"/>
  <c r="K100" i="2"/>
  <c r="W100" i="2"/>
  <c r="AK100" i="2"/>
  <c r="X101" i="2"/>
  <c r="Y102" i="2"/>
  <c r="K112" i="2"/>
  <c r="W112" i="2"/>
  <c r="AK112" i="2"/>
  <c r="X113" i="2"/>
  <c r="Y114" i="2"/>
  <c r="K124" i="2"/>
  <c r="W124" i="2"/>
  <c r="AK124" i="2"/>
  <c r="X125" i="2"/>
  <c r="Y126" i="2"/>
  <c r="K136" i="2"/>
  <c r="W136" i="2"/>
  <c r="AK136" i="2"/>
  <c r="X137" i="2"/>
  <c r="Y138" i="2"/>
  <c r="K148" i="2"/>
  <c r="W148" i="2"/>
  <c r="AK148" i="2"/>
  <c r="X149" i="2"/>
  <c r="Y150" i="2"/>
  <c r="AG156" i="2"/>
  <c r="U156" i="2"/>
  <c r="AK170" i="2"/>
  <c r="W170" i="2"/>
  <c r="K170" i="2"/>
  <c r="AG170" i="2"/>
  <c r="U170" i="2"/>
  <c r="AD170" i="2"/>
  <c r="R170" i="2"/>
  <c r="AC170" i="2"/>
  <c r="C170" i="2"/>
  <c r="X170" i="2"/>
  <c r="V170" i="2"/>
  <c r="S173" i="2"/>
  <c r="Z176" i="2"/>
  <c r="D179" i="2"/>
  <c r="AB179" i="2"/>
  <c r="AD181" i="2"/>
  <c r="X88" i="2"/>
  <c r="Y89" i="2"/>
  <c r="Z90" i="2"/>
  <c r="X100" i="2"/>
  <c r="Y101" i="2"/>
  <c r="Z102" i="2"/>
  <c r="X112" i="2"/>
  <c r="Y113" i="2"/>
  <c r="Z114" i="2"/>
  <c r="X124" i="2"/>
  <c r="Y125" i="2"/>
  <c r="Z126" i="2"/>
  <c r="X136" i="2"/>
  <c r="Y137" i="2"/>
  <c r="Z138" i="2"/>
  <c r="X148" i="2"/>
  <c r="Y149" i="2"/>
  <c r="Z150" i="2"/>
  <c r="AB156" i="2"/>
  <c r="AK167" i="2"/>
  <c r="Y170" i="2"/>
  <c r="Y88" i="2"/>
  <c r="Y100" i="2"/>
  <c r="Z101" i="2"/>
  <c r="Y112" i="2"/>
  <c r="Z113" i="2"/>
  <c r="Y124" i="2"/>
  <c r="Z125" i="2"/>
  <c r="Y136" i="2"/>
  <c r="Z137" i="2"/>
  <c r="Y148" i="2"/>
  <c r="Z149" i="2"/>
  <c r="AC156" i="2"/>
  <c r="Z170" i="2"/>
  <c r="Z173" i="2"/>
  <c r="X173" i="2"/>
  <c r="AG173" i="2"/>
  <c r="U173" i="2"/>
  <c r="AF173" i="2"/>
  <c r="T173" i="2"/>
  <c r="H173" i="2"/>
  <c r="AD173" i="2"/>
  <c r="R173" i="2"/>
  <c r="C173" i="2"/>
  <c r="W173" i="2"/>
  <c r="AG181" i="2"/>
  <c r="U83" i="2"/>
  <c r="AG83" i="2"/>
  <c r="Y87" i="2"/>
  <c r="Z88" i="2"/>
  <c r="C89" i="2"/>
  <c r="D90" i="2"/>
  <c r="AB90" i="2"/>
  <c r="U95" i="2"/>
  <c r="AG95" i="2"/>
  <c r="Y99" i="2"/>
  <c r="Z100" i="2"/>
  <c r="C101" i="2"/>
  <c r="D102" i="2"/>
  <c r="AB102" i="2"/>
  <c r="U107" i="2"/>
  <c r="AG107" i="2"/>
  <c r="Y111" i="2"/>
  <c r="Z112" i="2"/>
  <c r="C113" i="2"/>
  <c r="D114" i="2"/>
  <c r="AB114" i="2"/>
  <c r="U119" i="2"/>
  <c r="AG119" i="2"/>
  <c r="Y123" i="2"/>
  <c r="Z124" i="2"/>
  <c r="C125" i="2"/>
  <c r="D126" i="2"/>
  <c r="AB126" i="2"/>
  <c r="U131" i="2"/>
  <c r="AG131" i="2"/>
  <c r="Y135" i="2"/>
  <c r="Z136" i="2"/>
  <c r="C137" i="2"/>
  <c r="D138" i="2"/>
  <c r="AB138" i="2"/>
  <c r="AG143" i="2"/>
  <c r="Y147" i="2"/>
  <c r="Z148" i="2"/>
  <c r="C149" i="2"/>
  <c r="D150" i="2"/>
  <c r="AB150" i="2"/>
  <c r="D156" i="2"/>
  <c r="AD156" i="2"/>
  <c r="AB170" i="2"/>
  <c r="Y173" i="2"/>
  <c r="AB175" i="2"/>
  <c r="D175" i="2"/>
  <c r="Z175" i="2"/>
  <c r="AK175" i="2"/>
  <c r="W175" i="2"/>
  <c r="K175" i="2"/>
  <c r="AH175" i="2"/>
  <c r="V175" i="2"/>
  <c r="J175" i="2"/>
  <c r="AF175" i="2"/>
  <c r="T175" i="2"/>
  <c r="H175" i="2"/>
  <c r="AC175" i="2"/>
  <c r="U175" i="2"/>
  <c r="AK182" i="2"/>
  <c r="W182" i="2"/>
  <c r="K182" i="2"/>
  <c r="AG182" i="2"/>
  <c r="U182" i="2"/>
  <c r="AD182" i="2"/>
  <c r="R182" i="2"/>
  <c r="AC182" i="2"/>
  <c r="C182" i="2"/>
  <c r="X182" i="2"/>
  <c r="V182" i="2"/>
  <c r="U82" i="2"/>
  <c r="AG82" i="2"/>
  <c r="J83" i="2"/>
  <c r="V83" i="2"/>
  <c r="AH83" i="2"/>
  <c r="Y86" i="2"/>
  <c r="Z87" i="2"/>
  <c r="C88" i="2"/>
  <c r="D89" i="2"/>
  <c r="AB89" i="2"/>
  <c r="AC90" i="2"/>
  <c r="U94" i="2"/>
  <c r="AG94" i="2"/>
  <c r="J95" i="2"/>
  <c r="V95" i="2"/>
  <c r="AH95" i="2"/>
  <c r="Y98" i="2"/>
  <c r="Z99" i="2"/>
  <c r="C100" i="2"/>
  <c r="D101" i="2"/>
  <c r="AB101" i="2"/>
  <c r="AC102" i="2"/>
  <c r="U106" i="2"/>
  <c r="AG106" i="2"/>
  <c r="J107" i="2"/>
  <c r="V107" i="2"/>
  <c r="AH107" i="2"/>
  <c r="Y110" i="2"/>
  <c r="Z111" i="2"/>
  <c r="C112" i="2"/>
  <c r="D113" i="2"/>
  <c r="AB113" i="2"/>
  <c r="AC114" i="2"/>
  <c r="S116" i="2"/>
  <c r="U118" i="2"/>
  <c r="AG118" i="2"/>
  <c r="J119" i="2"/>
  <c r="V119" i="2"/>
  <c r="AH119" i="2"/>
  <c r="Y122" i="2"/>
  <c r="Z123" i="2"/>
  <c r="C124" i="2"/>
  <c r="D125" i="2"/>
  <c r="AB125" i="2"/>
  <c r="AC126" i="2"/>
  <c r="U130" i="2"/>
  <c r="AG130" i="2"/>
  <c r="J131" i="2"/>
  <c r="V131" i="2"/>
  <c r="AH131" i="2"/>
  <c r="Y134" i="2"/>
  <c r="Z135" i="2"/>
  <c r="C136" i="2"/>
  <c r="D137" i="2"/>
  <c r="AB137" i="2"/>
  <c r="AC138" i="2"/>
  <c r="AG142" i="2"/>
  <c r="J143" i="2"/>
  <c r="V143" i="2"/>
  <c r="AH143" i="2"/>
  <c r="Y146" i="2"/>
  <c r="Z147" i="2"/>
  <c r="C148" i="2"/>
  <c r="D149" i="2"/>
  <c r="AB149" i="2"/>
  <c r="AC150" i="2"/>
  <c r="W154" i="2"/>
  <c r="AF155" i="2"/>
  <c r="T155" i="2"/>
  <c r="H155" i="2"/>
  <c r="R156" i="2"/>
  <c r="AK158" i="2"/>
  <c r="W158" i="2"/>
  <c r="K158" i="2"/>
  <c r="AC158" i="2"/>
  <c r="D173" i="2"/>
  <c r="AB173" i="2"/>
  <c r="X175" i="2"/>
  <c r="K179" i="2"/>
  <c r="AK179" i="2"/>
  <c r="Y182" i="2"/>
  <c r="Y61" i="2"/>
  <c r="U69" i="2"/>
  <c r="AG69" i="2"/>
  <c r="Y73" i="2"/>
  <c r="H80" i="2"/>
  <c r="T80" i="2"/>
  <c r="AF80" i="2"/>
  <c r="U81" i="2"/>
  <c r="AG81" i="2"/>
  <c r="J82" i="2"/>
  <c r="V82" i="2"/>
  <c r="AH82" i="2"/>
  <c r="K83" i="2"/>
  <c r="W83" i="2"/>
  <c r="AK83" i="2"/>
  <c r="X84" i="2"/>
  <c r="Y85" i="2"/>
  <c r="Z86" i="2"/>
  <c r="C87" i="2"/>
  <c r="D88" i="2"/>
  <c r="AB88" i="2"/>
  <c r="AC89" i="2"/>
  <c r="R90" i="2"/>
  <c r="AD90" i="2"/>
  <c r="H92" i="2"/>
  <c r="T92" i="2"/>
  <c r="AF92" i="2"/>
  <c r="U93" i="2"/>
  <c r="AG93" i="2"/>
  <c r="J94" i="2"/>
  <c r="V94" i="2"/>
  <c r="AH94" i="2"/>
  <c r="K95" i="2"/>
  <c r="W95" i="2"/>
  <c r="AK95" i="2"/>
  <c r="Y97" i="2"/>
  <c r="Z98" i="2"/>
  <c r="C99" i="2"/>
  <c r="D100" i="2"/>
  <c r="AB100" i="2"/>
  <c r="AC101" i="2"/>
  <c r="R102" i="2"/>
  <c r="AD102" i="2"/>
  <c r="H104" i="2"/>
  <c r="T104" i="2"/>
  <c r="AF104" i="2"/>
  <c r="U105" i="2"/>
  <c r="AG105" i="2"/>
  <c r="J106" i="2"/>
  <c r="V106" i="2"/>
  <c r="AH106" i="2"/>
  <c r="K107" i="2"/>
  <c r="W107" i="2"/>
  <c r="AK107" i="2"/>
  <c r="X108" i="2"/>
  <c r="Y109" i="2"/>
  <c r="Z110" i="2"/>
  <c r="C111" i="2"/>
  <c r="D112" i="2"/>
  <c r="AB112" i="2"/>
  <c r="AC113" i="2"/>
  <c r="R114" i="2"/>
  <c r="AD114" i="2"/>
  <c r="H116" i="2"/>
  <c r="T116" i="2"/>
  <c r="AF116" i="2"/>
  <c r="U117" i="2"/>
  <c r="AG117" i="2"/>
  <c r="J118" i="2"/>
  <c r="V118" i="2"/>
  <c r="AH118" i="2"/>
  <c r="K119" i="2"/>
  <c r="W119" i="2"/>
  <c r="AK119" i="2"/>
  <c r="Y121" i="2"/>
  <c r="Z122" i="2"/>
  <c r="C123" i="2"/>
  <c r="D124" i="2"/>
  <c r="AB124" i="2"/>
  <c r="AC125" i="2"/>
  <c r="R126" i="2"/>
  <c r="AD126" i="2"/>
  <c r="H128" i="2"/>
  <c r="T128" i="2"/>
  <c r="AF128" i="2"/>
  <c r="U129" i="2"/>
  <c r="AG129" i="2"/>
  <c r="J130" i="2"/>
  <c r="V130" i="2"/>
  <c r="AH130" i="2"/>
  <c r="K131" i="2"/>
  <c r="W131" i="2"/>
  <c r="AK131" i="2"/>
  <c r="Y133" i="2"/>
  <c r="Z134" i="2"/>
  <c r="C135" i="2"/>
  <c r="D136" i="2"/>
  <c r="AB136" i="2"/>
  <c r="AC137" i="2"/>
  <c r="R138" i="2"/>
  <c r="AD138" i="2"/>
  <c r="H140" i="2"/>
  <c r="T140" i="2"/>
  <c r="AF140" i="2"/>
  <c r="U141" i="2"/>
  <c r="AG141" i="2"/>
  <c r="J142" i="2"/>
  <c r="V142" i="2"/>
  <c r="AH142" i="2"/>
  <c r="K143" i="2"/>
  <c r="W143" i="2"/>
  <c r="AK143" i="2"/>
  <c r="X144" i="2"/>
  <c r="Y145" i="2"/>
  <c r="Z146" i="2"/>
  <c r="C147" i="2"/>
  <c r="D148" i="2"/>
  <c r="AB148" i="2"/>
  <c r="AC149" i="2"/>
  <c r="R150" i="2"/>
  <c r="AD150" i="2"/>
  <c r="H152" i="2"/>
  <c r="T152" i="2"/>
  <c r="AF152" i="2"/>
  <c r="U153" i="2"/>
  <c r="AG153" i="2"/>
  <c r="K154" i="2"/>
  <c r="X154" i="2"/>
  <c r="AB155" i="2"/>
  <c r="S156" i="2"/>
  <c r="AF156" i="2"/>
  <c r="K157" i="2"/>
  <c r="X157" i="2"/>
  <c r="AD158" i="2"/>
  <c r="J159" i="2"/>
  <c r="Z159" i="2"/>
  <c r="K161" i="2"/>
  <c r="AB161" i="2"/>
  <c r="AD162" i="2"/>
  <c r="AC164" i="2"/>
  <c r="X164" i="2"/>
  <c r="AK164" i="2"/>
  <c r="W164" i="2"/>
  <c r="K164" i="2"/>
  <c r="AG164" i="2"/>
  <c r="U164" i="2"/>
  <c r="AD164" i="2"/>
  <c r="R164" i="2"/>
  <c r="S164" i="2"/>
  <c r="S167" i="2"/>
  <c r="AH169" i="2"/>
  <c r="V169" i="2"/>
  <c r="J169" i="2"/>
  <c r="AF169" i="2"/>
  <c r="T169" i="2"/>
  <c r="H169" i="2"/>
  <c r="AC169" i="2"/>
  <c r="AB169" i="2"/>
  <c r="D169" i="2"/>
  <c r="Z169" i="2"/>
  <c r="AK169" i="2"/>
  <c r="W169" i="2"/>
  <c r="K169" i="2"/>
  <c r="U169" i="2"/>
  <c r="H170" i="2"/>
  <c r="AF170" i="2"/>
  <c r="AC173" i="2"/>
  <c r="C175" i="2"/>
  <c r="Y175" i="2"/>
  <c r="D182" i="2"/>
  <c r="Z182" i="2"/>
  <c r="Z185" i="2"/>
  <c r="X185" i="2"/>
  <c r="AK185" i="2"/>
  <c r="AG185" i="2"/>
  <c r="U185" i="2"/>
  <c r="AF185" i="2"/>
  <c r="T185" i="2"/>
  <c r="H185" i="2"/>
  <c r="AD185" i="2"/>
  <c r="R185" i="2"/>
  <c r="C185" i="2"/>
  <c r="W185" i="2"/>
  <c r="Y60" i="2"/>
  <c r="Z61" i="2"/>
  <c r="H67" i="2"/>
  <c r="T67" i="2"/>
  <c r="AF67" i="2"/>
  <c r="J69" i="2"/>
  <c r="V69" i="2"/>
  <c r="AH69" i="2"/>
  <c r="Y72" i="2"/>
  <c r="Z73" i="2"/>
  <c r="H79" i="2"/>
  <c r="T79" i="2"/>
  <c r="AF79" i="2"/>
  <c r="U80" i="2"/>
  <c r="AG80" i="2"/>
  <c r="J81" i="2"/>
  <c r="V81" i="2"/>
  <c r="AH81" i="2"/>
  <c r="K82" i="2"/>
  <c r="W82" i="2"/>
  <c r="AK82" i="2"/>
  <c r="X83" i="2"/>
  <c r="Y84" i="2"/>
  <c r="Z85" i="2"/>
  <c r="C86" i="2"/>
  <c r="D87" i="2"/>
  <c r="AB87" i="2"/>
  <c r="AC88" i="2"/>
  <c r="R89" i="2"/>
  <c r="AD89" i="2"/>
  <c r="G90" i="2"/>
  <c r="S90" i="2"/>
  <c r="T91" i="2"/>
  <c r="AF91" i="2"/>
  <c r="U92" i="2"/>
  <c r="AG92" i="2"/>
  <c r="J93" i="2"/>
  <c r="V93" i="2"/>
  <c r="AH93" i="2"/>
  <c r="K94" i="2"/>
  <c r="W94" i="2"/>
  <c r="AK94" i="2"/>
  <c r="X95" i="2"/>
  <c r="Y96" i="2"/>
  <c r="Z97" i="2"/>
  <c r="C98" i="2"/>
  <c r="D99" i="2"/>
  <c r="AB99" i="2"/>
  <c r="AC100" i="2"/>
  <c r="R101" i="2"/>
  <c r="AD101" i="2"/>
  <c r="G102" i="2"/>
  <c r="S102" i="2"/>
  <c r="T103" i="2"/>
  <c r="AF103" i="2"/>
  <c r="U104" i="2"/>
  <c r="AG104" i="2"/>
  <c r="J105" i="2"/>
  <c r="V105" i="2"/>
  <c r="AH105" i="2"/>
  <c r="K106" i="2"/>
  <c r="W106" i="2"/>
  <c r="AK106" i="2"/>
  <c r="X107" i="2"/>
  <c r="Y108" i="2"/>
  <c r="Z109" i="2"/>
  <c r="C110" i="2"/>
  <c r="D111" i="2"/>
  <c r="AB111" i="2"/>
  <c r="AC112" i="2"/>
  <c r="R113" i="2"/>
  <c r="AD113" i="2"/>
  <c r="G114" i="2"/>
  <c r="S114" i="2"/>
  <c r="H115" i="2"/>
  <c r="T115" i="2"/>
  <c r="AF115" i="2"/>
  <c r="U116" i="2"/>
  <c r="AG116" i="2"/>
  <c r="J117" i="2"/>
  <c r="V117" i="2"/>
  <c r="AH117" i="2"/>
  <c r="K118" i="2"/>
  <c r="W118" i="2"/>
  <c r="AK118" i="2"/>
  <c r="X119" i="2"/>
  <c r="Y120" i="2"/>
  <c r="Z121" i="2"/>
  <c r="C122" i="2"/>
  <c r="D123" i="2"/>
  <c r="AB123" i="2"/>
  <c r="AC124" i="2"/>
  <c r="R125" i="2"/>
  <c r="AD125" i="2"/>
  <c r="G126" i="2"/>
  <c r="S126" i="2"/>
  <c r="AF127" i="2"/>
  <c r="U128" i="2"/>
  <c r="AG128" i="2"/>
  <c r="J129" i="2"/>
  <c r="V129" i="2"/>
  <c r="AH129" i="2"/>
  <c r="K130" i="2"/>
  <c r="W130" i="2"/>
  <c r="AK130" i="2"/>
  <c r="X131" i="2"/>
  <c r="Y132" i="2"/>
  <c r="Z133" i="2"/>
  <c r="C134" i="2"/>
  <c r="D135" i="2"/>
  <c r="AB135" i="2"/>
  <c r="AC136" i="2"/>
  <c r="R137" i="2"/>
  <c r="AD137" i="2"/>
  <c r="G138" i="2"/>
  <c r="S138" i="2"/>
  <c r="U140" i="2"/>
  <c r="AG140" i="2"/>
  <c r="J141" i="2"/>
  <c r="V141" i="2"/>
  <c r="AH141" i="2"/>
  <c r="K142" i="2"/>
  <c r="W142" i="2"/>
  <c r="AK142" i="2"/>
  <c r="X143" i="2"/>
  <c r="Y144" i="2"/>
  <c r="Z145" i="2"/>
  <c r="C146" i="2"/>
  <c r="D147" i="2"/>
  <c r="AB147" i="2"/>
  <c r="AC148" i="2"/>
  <c r="R149" i="2"/>
  <c r="AD149" i="2"/>
  <c r="G150" i="2"/>
  <c r="S150" i="2"/>
  <c r="U152" i="2"/>
  <c r="AG152" i="2"/>
  <c r="J153" i="2"/>
  <c r="V153" i="2"/>
  <c r="AH153" i="2"/>
  <c r="Y154" i="2"/>
  <c r="C155" i="2"/>
  <c r="AC155" i="2"/>
  <c r="G156" i="2"/>
  <c r="T156" i="2"/>
  <c r="AH156" i="2"/>
  <c r="Y157" i="2"/>
  <c r="C158" i="2"/>
  <c r="K159" i="2"/>
  <c r="AC161" i="2"/>
  <c r="AF162" i="2"/>
  <c r="T164" i="2"/>
  <c r="J170" i="2"/>
  <c r="AH170" i="2"/>
  <c r="G173" i="2"/>
  <c r="R181" i="2"/>
  <c r="AB182" i="2"/>
  <c r="Y185" i="2"/>
  <c r="Y83" i="2"/>
  <c r="AC87" i="2"/>
  <c r="R88" i="2"/>
  <c r="AD88" i="2"/>
  <c r="G89" i="2"/>
  <c r="S89" i="2"/>
  <c r="H90" i="2"/>
  <c r="T90" i="2"/>
  <c r="AF90" i="2"/>
  <c r="Y95" i="2"/>
  <c r="R100" i="2"/>
  <c r="AD100" i="2"/>
  <c r="G101" i="2"/>
  <c r="S101" i="2"/>
  <c r="H102" i="2"/>
  <c r="T102" i="2"/>
  <c r="AF102" i="2"/>
  <c r="Y107" i="2"/>
  <c r="R112" i="2"/>
  <c r="AD112" i="2"/>
  <c r="G113" i="2"/>
  <c r="S113" i="2"/>
  <c r="H114" i="2"/>
  <c r="T114" i="2"/>
  <c r="AF114" i="2"/>
  <c r="Y119" i="2"/>
  <c r="R124" i="2"/>
  <c r="AD124" i="2"/>
  <c r="G125" i="2"/>
  <c r="S125" i="2"/>
  <c r="H126" i="2"/>
  <c r="T126" i="2"/>
  <c r="AF126" i="2"/>
  <c r="Y131" i="2"/>
  <c r="AC135" i="2"/>
  <c r="R136" i="2"/>
  <c r="AD136" i="2"/>
  <c r="G137" i="2"/>
  <c r="S137" i="2"/>
  <c r="H138" i="2"/>
  <c r="T138" i="2"/>
  <c r="AF138" i="2"/>
  <c r="Y143" i="2"/>
  <c r="D146" i="2"/>
  <c r="AB146" i="2"/>
  <c r="AC147" i="2"/>
  <c r="R148" i="2"/>
  <c r="AD148" i="2"/>
  <c r="G149" i="2"/>
  <c r="S149" i="2"/>
  <c r="H150" i="2"/>
  <c r="T150" i="2"/>
  <c r="AF150" i="2"/>
  <c r="AH152" i="2"/>
  <c r="D155" i="2"/>
  <c r="AD155" i="2"/>
  <c r="H156" i="2"/>
  <c r="V156" i="2"/>
  <c r="AK156" i="2"/>
  <c r="D158" i="2"/>
  <c r="R158" i="2"/>
  <c r="AF158" i="2"/>
  <c r="AC159" i="2"/>
  <c r="AK162" i="2"/>
  <c r="AF167" i="2"/>
  <c r="T167" i="2"/>
  <c r="H167" i="2"/>
  <c r="AD167" i="2"/>
  <c r="R167" i="2"/>
  <c r="C167" i="2"/>
  <c r="Z167" i="2"/>
  <c r="X167" i="2"/>
  <c r="AG167" i="2"/>
  <c r="U167" i="2"/>
  <c r="W167" i="2"/>
  <c r="J173" i="2"/>
  <c r="AH173" i="2"/>
  <c r="AD175" i="2"/>
  <c r="G182" i="2"/>
  <c r="AB185" i="2"/>
  <c r="AK80" i="2"/>
  <c r="Y82" i="2"/>
  <c r="Z83" i="2"/>
  <c r="AC86" i="2"/>
  <c r="R87" i="2"/>
  <c r="AD87" i="2"/>
  <c r="G88" i="2"/>
  <c r="S88" i="2"/>
  <c r="H89" i="2"/>
  <c r="T89" i="2"/>
  <c r="AF89" i="2"/>
  <c r="U90" i="2"/>
  <c r="AG90" i="2"/>
  <c r="W92" i="2"/>
  <c r="AK92" i="2"/>
  <c r="Y94" i="2"/>
  <c r="Z95" i="2"/>
  <c r="AC98" i="2"/>
  <c r="R99" i="2"/>
  <c r="AD99" i="2"/>
  <c r="G100" i="2"/>
  <c r="S100" i="2"/>
  <c r="H101" i="2"/>
  <c r="T101" i="2"/>
  <c r="AF101" i="2"/>
  <c r="U102" i="2"/>
  <c r="AG102" i="2"/>
  <c r="AK104" i="2"/>
  <c r="Y106" i="2"/>
  <c r="Z107" i="2"/>
  <c r="AC110" i="2"/>
  <c r="R111" i="2"/>
  <c r="AD111" i="2"/>
  <c r="G112" i="2"/>
  <c r="S112" i="2"/>
  <c r="H113" i="2"/>
  <c r="T113" i="2"/>
  <c r="AF113" i="2"/>
  <c r="U114" i="2"/>
  <c r="AG114" i="2"/>
  <c r="W116" i="2"/>
  <c r="AK116" i="2"/>
  <c r="Y118" i="2"/>
  <c r="Z119" i="2"/>
  <c r="AC122" i="2"/>
  <c r="R123" i="2"/>
  <c r="AD123" i="2"/>
  <c r="G124" i="2"/>
  <c r="S124" i="2"/>
  <c r="H125" i="2"/>
  <c r="T125" i="2"/>
  <c r="AF125" i="2"/>
  <c r="U126" i="2"/>
  <c r="AG126" i="2"/>
  <c r="W128" i="2"/>
  <c r="AK128" i="2"/>
  <c r="Y130" i="2"/>
  <c r="Z131" i="2"/>
  <c r="AC134" i="2"/>
  <c r="R135" i="2"/>
  <c r="AD135" i="2"/>
  <c r="G136" i="2"/>
  <c r="S136" i="2"/>
  <c r="H137" i="2"/>
  <c r="T137" i="2"/>
  <c r="AF137" i="2"/>
  <c r="U138" i="2"/>
  <c r="AG138" i="2"/>
  <c r="K140" i="2"/>
  <c r="W140" i="2"/>
  <c r="AK140" i="2"/>
  <c r="Y142" i="2"/>
  <c r="Z143" i="2"/>
  <c r="AC146" i="2"/>
  <c r="R147" i="2"/>
  <c r="AD147" i="2"/>
  <c r="G148" i="2"/>
  <c r="S148" i="2"/>
  <c r="H149" i="2"/>
  <c r="T149" i="2"/>
  <c r="AF149" i="2"/>
  <c r="U150" i="2"/>
  <c r="AG150" i="2"/>
  <c r="K152" i="2"/>
  <c r="W152" i="2"/>
  <c r="AK152" i="2"/>
  <c r="S154" i="2"/>
  <c r="G154" i="2"/>
  <c r="R155" i="2"/>
  <c r="J156" i="2"/>
  <c r="W156" i="2"/>
  <c r="AH157" i="2"/>
  <c r="V157" i="2"/>
  <c r="J157" i="2"/>
  <c r="S158" i="2"/>
  <c r="AG158" i="2"/>
  <c r="AD159" i="2"/>
  <c r="AH161" i="2"/>
  <c r="AB163" i="2"/>
  <c r="D163" i="2"/>
  <c r="AK163" i="2"/>
  <c r="W163" i="2"/>
  <c r="K163" i="2"/>
  <c r="AH163" i="2"/>
  <c r="V163" i="2"/>
  <c r="J163" i="2"/>
  <c r="AF163" i="2"/>
  <c r="T163" i="2"/>
  <c r="H163" i="2"/>
  <c r="AC163" i="2"/>
  <c r="S163" i="2"/>
  <c r="Y167" i="2"/>
  <c r="K173" i="2"/>
  <c r="AK173" i="2"/>
  <c r="G175" i="2"/>
  <c r="AH181" i="2"/>
  <c r="V181" i="2"/>
  <c r="J181" i="2"/>
  <c r="AF181" i="2"/>
  <c r="T181" i="2"/>
  <c r="H181" i="2"/>
  <c r="AC181" i="2"/>
  <c r="AB181" i="2"/>
  <c r="D181" i="2"/>
  <c r="Z181" i="2"/>
  <c r="AK181" i="2"/>
  <c r="W181" i="2"/>
  <c r="K181" i="2"/>
  <c r="U181" i="2"/>
  <c r="H182" i="2"/>
  <c r="AF182" i="2"/>
  <c r="Y69" i="2"/>
  <c r="X80" i="2"/>
  <c r="Y81" i="2"/>
  <c r="Z82" i="2"/>
  <c r="C83" i="2"/>
  <c r="R86" i="2"/>
  <c r="AD86" i="2"/>
  <c r="G87" i="2"/>
  <c r="S87" i="2"/>
  <c r="H88" i="2"/>
  <c r="T88" i="2"/>
  <c r="AF88" i="2"/>
  <c r="U89" i="2"/>
  <c r="AG89" i="2"/>
  <c r="J90" i="2"/>
  <c r="V90" i="2"/>
  <c r="AH90" i="2"/>
  <c r="X92" i="2"/>
  <c r="Y93" i="2"/>
  <c r="Z94" i="2"/>
  <c r="C95" i="2"/>
  <c r="R98" i="2"/>
  <c r="AD98" i="2"/>
  <c r="G99" i="2"/>
  <c r="S99" i="2"/>
  <c r="H100" i="2"/>
  <c r="T100" i="2"/>
  <c r="AF100" i="2"/>
  <c r="U101" i="2"/>
  <c r="AG101" i="2"/>
  <c r="J102" i="2"/>
  <c r="V102" i="2"/>
  <c r="AH102" i="2"/>
  <c r="X104" i="2"/>
  <c r="Y105" i="2"/>
  <c r="Z106" i="2"/>
  <c r="C107" i="2"/>
  <c r="R110" i="2"/>
  <c r="AD110" i="2"/>
  <c r="G111" i="2"/>
  <c r="S111" i="2"/>
  <c r="H112" i="2"/>
  <c r="T112" i="2"/>
  <c r="AF112" i="2"/>
  <c r="U113" i="2"/>
  <c r="AG113" i="2"/>
  <c r="J114" i="2"/>
  <c r="V114" i="2"/>
  <c r="AH114" i="2"/>
  <c r="X116" i="2"/>
  <c r="Y117" i="2"/>
  <c r="Z118" i="2"/>
  <c r="C119" i="2"/>
  <c r="R122" i="2"/>
  <c r="AD122" i="2"/>
  <c r="G123" i="2"/>
  <c r="S123" i="2"/>
  <c r="H124" i="2"/>
  <c r="T124" i="2"/>
  <c r="AF124" i="2"/>
  <c r="U125" i="2"/>
  <c r="AG125" i="2"/>
  <c r="J126" i="2"/>
  <c r="V126" i="2"/>
  <c r="AH126" i="2"/>
  <c r="X128" i="2"/>
  <c r="Y129" i="2"/>
  <c r="Z130" i="2"/>
  <c r="C131" i="2"/>
  <c r="R134" i="2"/>
  <c r="AD134" i="2"/>
  <c r="G135" i="2"/>
  <c r="S135" i="2"/>
  <c r="H136" i="2"/>
  <c r="T136" i="2"/>
  <c r="AF136" i="2"/>
  <c r="U137" i="2"/>
  <c r="AG137" i="2"/>
  <c r="J138" i="2"/>
  <c r="V138" i="2"/>
  <c r="AH138" i="2"/>
  <c r="X140" i="2"/>
  <c r="Y141" i="2"/>
  <c r="Z142" i="2"/>
  <c r="C143" i="2"/>
  <c r="R146" i="2"/>
  <c r="AD146" i="2"/>
  <c r="G147" i="2"/>
  <c r="S147" i="2"/>
  <c r="H148" i="2"/>
  <c r="T148" i="2"/>
  <c r="AF148" i="2"/>
  <c r="U149" i="2"/>
  <c r="AG149" i="2"/>
  <c r="J150" i="2"/>
  <c r="V150" i="2"/>
  <c r="AH150" i="2"/>
  <c r="X152" i="2"/>
  <c r="Y153" i="2"/>
  <c r="AB154" i="2"/>
  <c r="S155" i="2"/>
  <c r="AG155" i="2"/>
  <c r="K156" i="2"/>
  <c r="X156" i="2"/>
  <c r="AB157" i="2"/>
  <c r="T158" i="2"/>
  <c r="AH158" i="2"/>
  <c r="U163" i="2"/>
  <c r="D167" i="2"/>
  <c r="AB167" i="2"/>
  <c r="AG175" i="2"/>
  <c r="X181" i="2"/>
  <c r="J182" i="2"/>
  <c r="AH182" i="2"/>
  <c r="Y80" i="2"/>
  <c r="C82" i="2"/>
  <c r="D83" i="2"/>
  <c r="AB83" i="2"/>
  <c r="G86" i="2"/>
  <c r="S86" i="2"/>
  <c r="H87" i="2"/>
  <c r="T87" i="2"/>
  <c r="AF87" i="2"/>
  <c r="U88" i="2"/>
  <c r="AG88" i="2"/>
  <c r="J89" i="2"/>
  <c r="V89" i="2"/>
  <c r="AH89" i="2"/>
  <c r="K90" i="2"/>
  <c r="W90" i="2"/>
  <c r="AK90" i="2"/>
  <c r="Y92" i="2"/>
  <c r="C94" i="2"/>
  <c r="D95" i="2"/>
  <c r="AB95" i="2"/>
  <c r="G98" i="2"/>
  <c r="S98" i="2"/>
  <c r="H99" i="2"/>
  <c r="T99" i="2"/>
  <c r="AF99" i="2"/>
  <c r="U100" i="2"/>
  <c r="AG100" i="2"/>
  <c r="J101" i="2"/>
  <c r="V101" i="2"/>
  <c r="AH101" i="2"/>
  <c r="K102" i="2"/>
  <c r="W102" i="2"/>
  <c r="AK102" i="2"/>
  <c r="Y104" i="2"/>
  <c r="C106" i="2"/>
  <c r="D107" i="2"/>
  <c r="AB107" i="2"/>
  <c r="G110" i="2"/>
  <c r="S110" i="2"/>
  <c r="H111" i="2"/>
  <c r="T111" i="2"/>
  <c r="AF111" i="2"/>
  <c r="U112" i="2"/>
  <c r="AG112" i="2"/>
  <c r="J113" i="2"/>
  <c r="V113" i="2"/>
  <c r="AH113" i="2"/>
  <c r="K114" i="2"/>
  <c r="W114" i="2"/>
  <c r="AK114" i="2"/>
  <c r="Y116" i="2"/>
  <c r="C118" i="2"/>
  <c r="D119" i="2"/>
  <c r="AB119" i="2"/>
  <c r="G122" i="2"/>
  <c r="S122" i="2"/>
  <c r="H123" i="2"/>
  <c r="T123" i="2"/>
  <c r="AF123" i="2"/>
  <c r="U124" i="2"/>
  <c r="AG124" i="2"/>
  <c r="J125" i="2"/>
  <c r="V125" i="2"/>
  <c r="AH125" i="2"/>
  <c r="K126" i="2"/>
  <c r="W126" i="2"/>
  <c r="AK126" i="2"/>
  <c r="Y128" i="2"/>
  <c r="C130" i="2"/>
  <c r="D131" i="2"/>
  <c r="AB131" i="2"/>
  <c r="G134" i="2"/>
  <c r="S134" i="2"/>
  <c r="H135" i="2"/>
  <c r="T135" i="2"/>
  <c r="AF135" i="2"/>
  <c r="U136" i="2"/>
  <c r="AG136" i="2"/>
  <c r="J137" i="2"/>
  <c r="V137" i="2"/>
  <c r="AH137" i="2"/>
  <c r="K138" i="2"/>
  <c r="W138" i="2"/>
  <c r="AK138" i="2"/>
  <c r="Y140" i="2"/>
  <c r="C142" i="2"/>
  <c r="D143" i="2"/>
  <c r="AB143" i="2"/>
  <c r="G146" i="2"/>
  <c r="S146" i="2"/>
  <c r="H147" i="2"/>
  <c r="T147" i="2"/>
  <c r="AF147" i="2"/>
  <c r="U148" i="2"/>
  <c r="AG148" i="2"/>
  <c r="J149" i="2"/>
  <c r="V149" i="2"/>
  <c r="AH149" i="2"/>
  <c r="K150" i="2"/>
  <c r="W150" i="2"/>
  <c r="AK150" i="2"/>
  <c r="Y152" i="2"/>
  <c r="C154" i="2"/>
  <c r="AC154" i="2"/>
  <c r="G155" i="2"/>
  <c r="U155" i="2"/>
  <c r="AH155" i="2"/>
  <c r="Y156" i="2"/>
  <c r="AC157" i="2"/>
  <c r="G158" i="2"/>
  <c r="U158" i="2"/>
  <c r="X159" i="2"/>
  <c r="S159" i="2"/>
  <c r="G159" i="2"/>
  <c r="AB159" i="2"/>
  <c r="D159" i="2"/>
  <c r="AG159" i="2"/>
  <c r="Z161" i="2"/>
  <c r="AG161" i="2"/>
  <c r="U161" i="2"/>
  <c r="AF161" i="2"/>
  <c r="T161" i="2"/>
  <c r="H161" i="2"/>
  <c r="AD161" i="2"/>
  <c r="R161" i="2"/>
  <c r="C162" i="2"/>
  <c r="AH162" i="2"/>
  <c r="V162" i="2"/>
  <c r="J162" i="2"/>
  <c r="AG162" i="2"/>
  <c r="U162" i="2"/>
  <c r="S162" i="2"/>
  <c r="G162" i="2"/>
  <c r="AB162" i="2"/>
  <c r="R162" i="2"/>
  <c r="X163" i="2"/>
  <c r="AC167" i="2"/>
  <c r="S170" i="2"/>
  <c r="AC176" i="2"/>
  <c r="C176" i="2"/>
  <c r="X176" i="2"/>
  <c r="AK176" i="2"/>
  <c r="W176" i="2"/>
  <c r="K176" i="2"/>
  <c r="AG176" i="2"/>
  <c r="U176" i="2"/>
  <c r="AD176" i="2"/>
  <c r="R176" i="2"/>
  <c r="V176" i="2"/>
  <c r="AF179" i="2"/>
  <c r="T179" i="2"/>
  <c r="H179" i="2"/>
  <c r="AD179" i="2"/>
  <c r="R179" i="2"/>
  <c r="C179" i="2"/>
  <c r="Z179" i="2"/>
  <c r="X179" i="2"/>
  <c r="AG179" i="2"/>
  <c r="U179" i="2"/>
  <c r="W179" i="2"/>
  <c r="C181" i="2"/>
  <c r="Y181" i="2"/>
  <c r="J185" i="2"/>
  <c r="AH185" i="2"/>
  <c r="R60" i="2"/>
  <c r="G61" i="2"/>
  <c r="S61" i="2"/>
  <c r="C69" i="2"/>
  <c r="R72" i="2"/>
  <c r="G73" i="2"/>
  <c r="S73" i="2"/>
  <c r="C81" i="2"/>
  <c r="D82" i="2"/>
  <c r="R84" i="2"/>
  <c r="G85" i="2"/>
  <c r="S85" i="2"/>
  <c r="H86" i="2"/>
  <c r="T86" i="2"/>
  <c r="U87" i="2"/>
  <c r="J88" i="2"/>
  <c r="V88" i="2"/>
  <c r="K89" i="2"/>
  <c r="W89" i="2"/>
  <c r="C93" i="2"/>
  <c r="D94" i="2"/>
  <c r="G97" i="2"/>
  <c r="S97" i="2"/>
  <c r="H98" i="2"/>
  <c r="T98" i="2"/>
  <c r="U99" i="2"/>
  <c r="J100" i="2"/>
  <c r="V100" i="2"/>
  <c r="K101" i="2"/>
  <c r="W101" i="2"/>
  <c r="C105" i="2"/>
  <c r="D106" i="2"/>
  <c r="R108" i="2"/>
  <c r="G109" i="2"/>
  <c r="S109" i="2"/>
  <c r="H110" i="2"/>
  <c r="T110" i="2"/>
  <c r="U111" i="2"/>
  <c r="J112" i="2"/>
  <c r="V112" i="2"/>
  <c r="K113" i="2"/>
  <c r="W113" i="2"/>
  <c r="C117" i="2"/>
  <c r="D118" i="2"/>
  <c r="R120" i="2"/>
  <c r="G121" i="2"/>
  <c r="S121" i="2"/>
  <c r="H122" i="2"/>
  <c r="T122" i="2"/>
  <c r="U123" i="2"/>
  <c r="J124" i="2"/>
  <c r="V124" i="2"/>
  <c r="K125" i="2"/>
  <c r="W125" i="2"/>
  <c r="C129" i="2"/>
  <c r="D130" i="2"/>
  <c r="R132" i="2"/>
  <c r="G133" i="2"/>
  <c r="S133" i="2"/>
  <c r="H134" i="2"/>
  <c r="T134" i="2"/>
  <c r="U135" i="2"/>
  <c r="J136" i="2"/>
  <c r="V136" i="2"/>
  <c r="K137" i="2"/>
  <c r="W137" i="2"/>
  <c r="C141" i="2"/>
  <c r="D142" i="2"/>
  <c r="R144" i="2"/>
  <c r="G145" i="2"/>
  <c r="S145" i="2"/>
  <c r="H146" i="2"/>
  <c r="T146" i="2"/>
  <c r="U147" i="2"/>
  <c r="J148" i="2"/>
  <c r="V148" i="2"/>
  <c r="K149" i="2"/>
  <c r="W149" i="2"/>
  <c r="C153" i="2"/>
  <c r="D154" i="2"/>
  <c r="AD154" i="2"/>
  <c r="V155" i="2"/>
  <c r="AK155" i="2"/>
  <c r="Z156" i="2"/>
  <c r="D157" i="2"/>
  <c r="AD157" i="2"/>
  <c r="H158" i="2"/>
  <c r="V158" i="2"/>
  <c r="R159" i="2"/>
  <c r="AH159" i="2"/>
  <c r="S161" i="2"/>
  <c r="T162" i="2"/>
  <c r="Y163" i="2"/>
  <c r="H164" i="2"/>
  <c r="AB164" i="2"/>
  <c r="G167" i="2"/>
  <c r="AG169" i="2"/>
  <c r="T170" i="2"/>
  <c r="Y176" i="2"/>
  <c r="Y179" i="2"/>
  <c r="K185" i="2"/>
  <c r="Y171" i="2"/>
  <c r="D174" i="2"/>
  <c r="AB174" i="2"/>
  <c r="Y183" i="2"/>
  <c r="D186" i="2"/>
  <c r="AB186" i="2"/>
  <c r="AC187" i="2"/>
  <c r="R188" i="2"/>
  <c r="AD188" i="2"/>
  <c r="U191" i="2"/>
  <c r="AG191" i="2"/>
  <c r="K193" i="2"/>
  <c r="W193" i="2"/>
  <c r="AK193" i="2"/>
  <c r="X194" i="2"/>
  <c r="Y195" i="2"/>
  <c r="C197" i="2"/>
  <c r="D198" i="2"/>
  <c r="AB198" i="2"/>
  <c r="AC199" i="2"/>
  <c r="R200" i="2"/>
  <c r="AD200" i="2"/>
  <c r="U203" i="2"/>
  <c r="AG203" i="2"/>
  <c r="AH204" i="2"/>
  <c r="K205" i="2"/>
  <c r="W205" i="2"/>
  <c r="AK205" i="2"/>
  <c r="X206" i="2"/>
  <c r="Y207" i="2"/>
  <c r="C209" i="2"/>
  <c r="D210" i="2"/>
  <c r="AB210" i="2"/>
  <c r="AC211" i="2"/>
  <c r="R212" i="2"/>
  <c r="AD212" i="2"/>
  <c r="U215" i="2"/>
  <c r="AG215" i="2"/>
  <c r="V216" i="2"/>
  <c r="AH216" i="2"/>
  <c r="K217" i="2"/>
  <c r="W217" i="2"/>
  <c r="AK217" i="2"/>
  <c r="X218" i="2"/>
  <c r="Y219" i="2"/>
  <c r="C221" i="2"/>
  <c r="D222" i="2"/>
  <c r="AB222" i="2"/>
  <c r="AC223" i="2"/>
  <c r="R224" i="2"/>
  <c r="AD224" i="2"/>
  <c r="U227" i="2"/>
  <c r="AG227" i="2"/>
  <c r="K229" i="2"/>
  <c r="W229" i="2"/>
  <c r="AK229" i="2"/>
  <c r="X230" i="2"/>
  <c r="Y231" i="2"/>
  <c r="C233" i="2"/>
  <c r="D234" i="2"/>
  <c r="AB234" i="2"/>
  <c r="AC235" i="2"/>
  <c r="R236" i="2"/>
  <c r="AD236" i="2"/>
  <c r="U239" i="2"/>
  <c r="AG239" i="2"/>
  <c r="K241" i="2"/>
  <c r="W241" i="2"/>
  <c r="AK241" i="2"/>
  <c r="X242" i="2"/>
  <c r="Y243" i="2"/>
  <c r="C245" i="2"/>
  <c r="AC247" i="2"/>
  <c r="R248" i="2"/>
  <c r="AD248" i="2"/>
  <c r="U251" i="2"/>
  <c r="AG251" i="2"/>
  <c r="Y253" i="2"/>
  <c r="C254" i="2"/>
  <c r="AC254" i="2"/>
  <c r="G255" i="2"/>
  <c r="T255" i="2"/>
  <c r="AG255" i="2"/>
  <c r="Z257" i="2"/>
  <c r="AD187" i="2"/>
  <c r="G188" i="2"/>
  <c r="S188" i="2"/>
  <c r="J191" i="2"/>
  <c r="V191" i="2"/>
  <c r="AH191" i="2"/>
  <c r="X193" i="2"/>
  <c r="Y194" i="2"/>
  <c r="D197" i="2"/>
  <c r="AB197" i="2"/>
  <c r="R199" i="2"/>
  <c r="AD199" i="2"/>
  <c r="G200" i="2"/>
  <c r="S200" i="2"/>
  <c r="J203" i="2"/>
  <c r="V203" i="2"/>
  <c r="AH203" i="2"/>
  <c r="X205" i="2"/>
  <c r="Y206" i="2"/>
  <c r="AB209" i="2"/>
  <c r="R211" i="2"/>
  <c r="AD211" i="2"/>
  <c r="S212" i="2"/>
  <c r="J215" i="2"/>
  <c r="V215" i="2"/>
  <c r="AH215" i="2"/>
  <c r="X217" i="2"/>
  <c r="Y218" i="2"/>
  <c r="AB221" i="2"/>
  <c r="J227" i="2"/>
  <c r="V227" i="2"/>
  <c r="AH227" i="2"/>
  <c r="X229" i="2"/>
  <c r="Y230" i="2"/>
  <c r="AB233" i="2"/>
  <c r="J239" i="2"/>
  <c r="V239" i="2"/>
  <c r="AH239" i="2"/>
  <c r="X241" i="2"/>
  <c r="Y242" i="2"/>
  <c r="AB245" i="2"/>
  <c r="R247" i="2"/>
  <c r="AD247" i="2"/>
  <c r="V251" i="2"/>
  <c r="AH251" i="2"/>
  <c r="AD254" i="2"/>
  <c r="Y193" i="2"/>
  <c r="Y205" i="2"/>
  <c r="Y217" i="2"/>
  <c r="AK227" i="2"/>
  <c r="Y229" i="2"/>
  <c r="W239" i="2"/>
  <c r="AK239" i="2"/>
  <c r="Y241" i="2"/>
  <c r="Z242" i="2"/>
  <c r="W251" i="2"/>
  <c r="AK251" i="2"/>
  <c r="AH253" i="2"/>
  <c r="V253" i="2"/>
  <c r="J253" i="2"/>
  <c r="C266" i="2"/>
  <c r="AK266" i="2"/>
  <c r="W266" i="2"/>
  <c r="K266" i="2"/>
  <c r="AH266" i="2"/>
  <c r="V266" i="2"/>
  <c r="J266" i="2"/>
  <c r="AG266" i="2"/>
  <c r="AF266" i="2"/>
  <c r="S266" i="2"/>
  <c r="G266" i="2"/>
  <c r="AB266" i="2"/>
  <c r="D266" i="2"/>
  <c r="U266" i="2"/>
  <c r="J165" i="2"/>
  <c r="V165" i="2"/>
  <c r="AH165" i="2"/>
  <c r="K166" i="2"/>
  <c r="W166" i="2"/>
  <c r="AK166" i="2"/>
  <c r="Y168" i="2"/>
  <c r="D171" i="2"/>
  <c r="AB171" i="2"/>
  <c r="G174" i="2"/>
  <c r="S174" i="2"/>
  <c r="V177" i="2"/>
  <c r="AH177" i="2"/>
  <c r="K178" i="2"/>
  <c r="W178" i="2"/>
  <c r="AK178" i="2"/>
  <c r="Y180" i="2"/>
  <c r="D183" i="2"/>
  <c r="AB183" i="2"/>
  <c r="G186" i="2"/>
  <c r="S186" i="2"/>
  <c r="H187" i="2"/>
  <c r="T187" i="2"/>
  <c r="AF187" i="2"/>
  <c r="U188" i="2"/>
  <c r="AG188" i="2"/>
  <c r="J189" i="2"/>
  <c r="V189" i="2"/>
  <c r="AH189" i="2"/>
  <c r="K190" i="2"/>
  <c r="W190" i="2"/>
  <c r="AK190" i="2"/>
  <c r="X191" i="2"/>
  <c r="Y192" i="2"/>
  <c r="Z193" i="2"/>
  <c r="C194" i="2"/>
  <c r="D195" i="2"/>
  <c r="AB195" i="2"/>
  <c r="R197" i="2"/>
  <c r="AD197" i="2"/>
  <c r="G198" i="2"/>
  <c r="S198" i="2"/>
  <c r="H199" i="2"/>
  <c r="T199" i="2"/>
  <c r="AF199" i="2"/>
  <c r="U200" i="2"/>
  <c r="AG200" i="2"/>
  <c r="AH201" i="2"/>
  <c r="W202" i="2"/>
  <c r="AK202" i="2"/>
  <c r="X203" i="2"/>
  <c r="Y204" i="2"/>
  <c r="Z205" i="2"/>
  <c r="C206" i="2"/>
  <c r="D207" i="2"/>
  <c r="AB207" i="2"/>
  <c r="R209" i="2"/>
  <c r="AD209" i="2"/>
  <c r="G210" i="2"/>
  <c r="S210" i="2"/>
  <c r="H211" i="2"/>
  <c r="T211" i="2"/>
  <c r="AF211" i="2"/>
  <c r="U212" i="2"/>
  <c r="AG212" i="2"/>
  <c r="AH213" i="2"/>
  <c r="W214" i="2"/>
  <c r="AK214" i="2"/>
  <c r="X215" i="2"/>
  <c r="Y216" i="2"/>
  <c r="Z217" i="2"/>
  <c r="C218" i="2"/>
  <c r="D219" i="2"/>
  <c r="AB219" i="2"/>
  <c r="R221" i="2"/>
  <c r="AD221" i="2"/>
  <c r="G222" i="2"/>
  <c r="S222" i="2"/>
  <c r="H223" i="2"/>
  <c r="T223" i="2"/>
  <c r="AF223" i="2"/>
  <c r="U224" i="2"/>
  <c r="AG224" i="2"/>
  <c r="J225" i="2"/>
  <c r="V225" i="2"/>
  <c r="AH225" i="2"/>
  <c r="AK226" i="2"/>
  <c r="X227" i="2"/>
  <c r="Y228" i="2"/>
  <c r="Z229" i="2"/>
  <c r="C230" i="2"/>
  <c r="D231" i="2"/>
  <c r="AB231" i="2"/>
  <c r="R233" i="2"/>
  <c r="AD233" i="2"/>
  <c r="G234" i="2"/>
  <c r="S234" i="2"/>
  <c r="H235" i="2"/>
  <c r="T235" i="2"/>
  <c r="AF235" i="2"/>
  <c r="U236" i="2"/>
  <c r="AG236" i="2"/>
  <c r="J237" i="2"/>
  <c r="V237" i="2"/>
  <c r="AH237" i="2"/>
  <c r="K238" i="2"/>
  <c r="W238" i="2"/>
  <c r="AK238" i="2"/>
  <c r="X239" i="2"/>
  <c r="Y240" i="2"/>
  <c r="Z241" i="2"/>
  <c r="C242" i="2"/>
  <c r="D243" i="2"/>
  <c r="AB243" i="2"/>
  <c r="R245" i="2"/>
  <c r="AD245" i="2"/>
  <c r="H247" i="2"/>
  <c r="T247" i="2"/>
  <c r="AF247" i="2"/>
  <c r="U248" i="2"/>
  <c r="AG248" i="2"/>
  <c r="J249" i="2"/>
  <c r="V249" i="2"/>
  <c r="AH249" i="2"/>
  <c r="W250" i="2"/>
  <c r="AK250" i="2"/>
  <c r="X251" i="2"/>
  <c r="Y252" i="2"/>
  <c r="AB253" i="2"/>
  <c r="S254" i="2"/>
  <c r="AF254" i="2"/>
  <c r="J255" i="2"/>
  <c r="W255" i="2"/>
  <c r="D257" i="2"/>
  <c r="AD257" i="2"/>
  <c r="AH258" i="2"/>
  <c r="AH261" i="2"/>
  <c r="V261" i="2"/>
  <c r="J261" i="2"/>
  <c r="AD261" i="2"/>
  <c r="R261" i="2"/>
  <c r="AC261" i="2"/>
  <c r="AK261" i="2"/>
  <c r="W261" i="2"/>
  <c r="K261" i="2"/>
  <c r="AK262" i="2"/>
  <c r="W262" i="2"/>
  <c r="K262" i="2"/>
  <c r="S262" i="2"/>
  <c r="G262" i="2"/>
  <c r="AD262" i="2"/>
  <c r="R262" i="2"/>
  <c r="X262" i="2"/>
  <c r="X266" i="2"/>
  <c r="R267" i="2"/>
  <c r="J188" i="2"/>
  <c r="V188" i="2"/>
  <c r="AH188" i="2"/>
  <c r="Y191" i="2"/>
  <c r="C193" i="2"/>
  <c r="AB194" i="2"/>
  <c r="S197" i="2"/>
  <c r="U199" i="2"/>
  <c r="AG199" i="2"/>
  <c r="J200" i="2"/>
  <c r="V200" i="2"/>
  <c r="AH200" i="2"/>
  <c r="Y203" i="2"/>
  <c r="C205" i="2"/>
  <c r="AB206" i="2"/>
  <c r="AG211" i="2"/>
  <c r="AH212" i="2"/>
  <c r="Y215" i="2"/>
  <c r="C217" i="2"/>
  <c r="AB218" i="2"/>
  <c r="AG223" i="2"/>
  <c r="AH224" i="2"/>
  <c r="Y227" i="2"/>
  <c r="C229" i="2"/>
  <c r="D230" i="2"/>
  <c r="AB230" i="2"/>
  <c r="AG235" i="2"/>
  <c r="V236" i="2"/>
  <c r="AH236" i="2"/>
  <c r="Y239" i="2"/>
  <c r="C241" i="2"/>
  <c r="D242" i="2"/>
  <c r="AB242" i="2"/>
  <c r="G245" i="2"/>
  <c r="S245" i="2"/>
  <c r="U247" i="2"/>
  <c r="AG247" i="2"/>
  <c r="J248" i="2"/>
  <c r="V248" i="2"/>
  <c r="AH248" i="2"/>
  <c r="Y251" i="2"/>
  <c r="C253" i="2"/>
  <c r="AC253" i="2"/>
  <c r="T254" i="2"/>
  <c r="AG254" i="2"/>
  <c r="Y266" i="2"/>
  <c r="S267" i="2"/>
  <c r="Y166" i="2"/>
  <c r="R171" i="2"/>
  <c r="AD171" i="2"/>
  <c r="U174" i="2"/>
  <c r="AG174" i="2"/>
  <c r="Y178" i="2"/>
  <c r="R183" i="2"/>
  <c r="AD183" i="2"/>
  <c r="U186" i="2"/>
  <c r="AG186" i="2"/>
  <c r="J187" i="2"/>
  <c r="V187" i="2"/>
  <c r="AH187" i="2"/>
  <c r="K188" i="2"/>
  <c r="W188" i="2"/>
  <c r="AK188" i="2"/>
  <c r="Y190" i="2"/>
  <c r="Z191" i="2"/>
  <c r="D193" i="2"/>
  <c r="AB193" i="2"/>
  <c r="AC194" i="2"/>
  <c r="R195" i="2"/>
  <c r="AD195" i="2"/>
  <c r="H197" i="2"/>
  <c r="T197" i="2"/>
  <c r="AF197" i="2"/>
  <c r="U198" i="2"/>
  <c r="AG198" i="2"/>
  <c r="J199" i="2"/>
  <c r="V199" i="2"/>
  <c r="AH199" i="2"/>
  <c r="K200" i="2"/>
  <c r="W200" i="2"/>
  <c r="AK200" i="2"/>
  <c r="X201" i="2"/>
  <c r="Y202" i="2"/>
  <c r="Z203" i="2"/>
  <c r="C204" i="2"/>
  <c r="D205" i="2"/>
  <c r="AB205" i="2"/>
  <c r="AC206" i="2"/>
  <c r="R207" i="2"/>
  <c r="AD207" i="2"/>
  <c r="H209" i="2"/>
  <c r="T209" i="2"/>
  <c r="AF209" i="2"/>
  <c r="U210" i="2"/>
  <c r="AG210" i="2"/>
  <c r="J211" i="2"/>
  <c r="V211" i="2"/>
  <c r="AH211" i="2"/>
  <c r="K212" i="2"/>
  <c r="W212" i="2"/>
  <c r="AK212" i="2"/>
  <c r="X213" i="2"/>
  <c r="Y214" i="2"/>
  <c r="Z215" i="2"/>
  <c r="C216" i="2"/>
  <c r="D217" i="2"/>
  <c r="AB217" i="2"/>
  <c r="AC218" i="2"/>
  <c r="R219" i="2"/>
  <c r="AD219" i="2"/>
  <c r="H221" i="2"/>
  <c r="T221" i="2"/>
  <c r="AF221" i="2"/>
  <c r="U222" i="2"/>
  <c r="AG222" i="2"/>
  <c r="J223" i="2"/>
  <c r="V223" i="2"/>
  <c r="AH223" i="2"/>
  <c r="K224" i="2"/>
  <c r="W224" i="2"/>
  <c r="AK224" i="2"/>
  <c r="X225" i="2"/>
  <c r="Y226" i="2"/>
  <c r="Z227" i="2"/>
  <c r="C228" i="2"/>
  <c r="D229" i="2"/>
  <c r="AB229" i="2"/>
  <c r="AC230" i="2"/>
  <c r="R231" i="2"/>
  <c r="AD231" i="2"/>
  <c r="H233" i="2"/>
  <c r="T233" i="2"/>
  <c r="AF233" i="2"/>
  <c r="U234" i="2"/>
  <c r="AG234" i="2"/>
  <c r="J235" i="2"/>
  <c r="V235" i="2"/>
  <c r="AH235" i="2"/>
  <c r="K236" i="2"/>
  <c r="W236" i="2"/>
  <c r="AK236" i="2"/>
  <c r="X237" i="2"/>
  <c r="Y238" i="2"/>
  <c r="Z239" i="2"/>
  <c r="C240" i="2"/>
  <c r="D241" i="2"/>
  <c r="AB241" i="2"/>
  <c r="AC242" i="2"/>
  <c r="R243" i="2"/>
  <c r="AD243" i="2"/>
  <c r="H245" i="2"/>
  <c r="T245" i="2"/>
  <c r="AF245" i="2"/>
  <c r="U246" i="2"/>
  <c r="AG246" i="2"/>
  <c r="J247" i="2"/>
  <c r="V247" i="2"/>
  <c r="AH247" i="2"/>
  <c r="K248" i="2"/>
  <c r="W248" i="2"/>
  <c r="AK248" i="2"/>
  <c r="X249" i="2"/>
  <c r="Y250" i="2"/>
  <c r="Z251" i="2"/>
  <c r="C252" i="2"/>
  <c r="D253" i="2"/>
  <c r="AD253" i="2"/>
  <c r="H254" i="2"/>
  <c r="U254" i="2"/>
  <c r="AH254" i="2"/>
  <c r="S257" i="2"/>
  <c r="AF257" i="2"/>
  <c r="J258" i="2"/>
  <c r="AB259" i="2"/>
  <c r="D259" i="2"/>
  <c r="AD259" i="2"/>
  <c r="C261" i="2"/>
  <c r="T261" i="2"/>
  <c r="C262" i="2"/>
  <c r="U262" i="2"/>
  <c r="Z265" i="2"/>
  <c r="AH265" i="2"/>
  <c r="V265" i="2"/>
  <c r="J265" i="2"/>
  <c r="AG265" i="2"/>
  <c r="U265" i="2"/>
  <c r="AD265" i="2"/>
  <c r="R265" i="2"/>
  <c r="C265" i="2"/>
  <c r="T265" i="2"/>
  <c r="Z266" i="2"/>
  <c r="Z267" i="2"/>
  <c r="Y165" i="2"/>
  <c r="Z166" i="2"/>
  <c r="D168" i="2"/>
  <c r="AB168" i="2"/>
  <c r="G171" i="2"/>
  <c r="S171" i="2"/>
  <c r="J174" i="2"/>
  <c r="V174" i="2"/>
  <c r="AH174" i="2"/>
  <c r="Y177" i="2"/>
  <c r="Z178" i="2"/>
  <c r="D180" i="2"/>
  <c r="AB180" i="2"/>
  <c r="G183" i="2"/>
  <c r="S183" i="2"/>
  <c r="J186" i="2"/>
  <c r="V186" i="2"/>
  <c r="AH186" i="2"/>
  <c r="K187" i="2"/>
  <c r="W187" i="2"/>
  <c r="AK187" i="2"/>
  <c r="X188" i="2"/>
  <c r="Y189" i="2"/>
  <c r="Z190" i="2"/>
  <c r="C191" i="2"/>
  <c r="D192" i="2"/>
  <c r="AB192" i="2"/>
  <c r="AC193" i="2"/>
  <c r="R194" i="2"/>
  <c r="AD194" i="2"/>
  <c r="G195" i="2"/>
  <c r="S195" i="2"/>
  <c r="U197" i="2"/>
  <c r="AG197" i="2"/>
  <c r="J198" i="2"/>
  <c r="V198" i="2"/>
  <c r="AH198" i="2"/>
  <c r="K199" i="2"/>
  <c r="W199" i="2"/>
  <c r="AK199" i="2"/>
  <c r="X200" i="2"/>
  <c r="Y201" i="2"/>
  <c r="Z202" i="2"/>
  <c r="C203" i="2"/>
  <c r="D204" i="2"/>
  <c r="AB204" i="2"/>
  <c r="AC205" i="2"/>
  <c r="R206" i="2"/>
  <c r="AD206" i="2"/>
  <c r="G207" i="2"/>
  <c r="S207" i="2"/>
  <c r="U209" i="2"/>
  <c r="AG209" i="2"/>
  <c r="J210" i="2"/>
  <c r="V210" i="2"/>
  <c r="AH210" i="2"/>
  <c r="K211" i="2"/>
  <c r="W211" i="2"/>
  <c r="AK211" i="2"/>
  <c r="X212" i="2"/>
  <c r="Y213" i="2"/>
  <c r="Z214" i="2"/>
  <c r="C215" i="2"/>
  <c r="D216" i="2"/>
  <c r="AB216" i="2"/>
  <c r="AC217" i="2"/>
  <c r="R218" i="2"/>
  <c r="AD218" i="2"/>
  <c r="G219" i="2"/>
  <c r="S219" i="2"/>
  <c r="U221" i="2"/>
  <c r="AG221" i="2"/>
  <c r="J222" i="2"/>
  <c r="V222" i="2"/>
  <c r="AH222" i="2"/>
  <c r="K223" i="2"/>
  <c r="W223" i="2"/>
  <c r="AK223" i="2"/>
  <c r="X224" i="2"/>
  <c r="Y225" i="2"/>
  <c r="C227" i="2"/>
  <c r="D228" i="2"/>
  <c r="AB228" i="2"/>
  <c r="AC229" i="2"/>
  <c r="R230" i="2"/>
  <c r="AD230" i="2"/>
  <c r="G231" i="2"/>
  <c r="S231" i="2"/>
  <c r="U233" i="2"/>
  <c r="AG233" i="2"/>
  <c r="J234" i="2"/>
  <c r="V234" i="2"/>
  <c r="AH234" i="2"/>
  <c r="K235" i="2"/>
  <c r="W235" i="2"/>
  <c r="AK235" i="2"/>
  <c r="X236" i="2"/>
  <c r="Y237" i="2"/>
  <c r="Z238" i="2"/>
  <c r="C239" i="2"/>
  <c r="AB240" i="2"/>
  <c r="AC241" i="2"/>
  <c r="R242" i="2"/>
  <c r="AD242" i="2"/>
  <c r="G243" i="2"/>
  <c r="S243" i="2"/>
  <c r="U245" i="2"/>
  <c r="AG245" i="2"/>
  <c r="K247" i="2"/>
  <c r="W247" i="2"/>
  <c r="AK247" i="2"/>
  <c r="X248" i="2"/>
  <c r="Y249" i="2"/>
  <c r="C251" i="2"/>
  <c r="AB252" i="2"/>
  <c r="R253" i="2"/>
  <c r="V254" i="2"/>
  <c r="X255" i="2"/>
  <c r="G257" i="2"/>
  <c r="T257" i="2"/>
  <c r="AG257" i="2"/>
  <c r="H266" i="2"/>
  <c r="AC266" i="2"/>
  <c r="AD267" i="2"/>
  <c r="Y188" i="2"/>
  <c r="D191" i="2"/>
  <c r="AB191" i="2"/>
  <c r="R193" i="2"/>
  <c r="AD193" i="2"/>
  <c r="S194" i="2"/>
  <c r="J197" i="2"/>
  <c r="V197" i="2"/>
  <c r="AH197" i="2"/>
  <c r="X199" i="2"/>
  <c r="Y200" i="2"/>
  <c r="AB203" i="2"/>
  <c r="R205" i="2"/>
  <c r="AD205" i="2"/>
  <c r="S206" i="2"/>
  <c r="V209" i="2"/>
  <c r="AH209" i="2"/>
  <c r="X211" i="2"/>
  <c r="Y212" i="2"/>
  <c r="D215" i="2"/>
  <c r="AB215" i="2"/>
  <c r="R217" i="2"/>
  <c r="AD217" i="2"/>
  <c r="G218" i="2"/>
  <c r="S218" i="2"/>
  <c r="J221" i="2"/>
  <c r="V221" i="2"/>
  <c r="AH221" i="2"/>
  <c r="X223" i="2"/>
  <c r="Y224" i="2"/>
  <c r="D227" i="2"/>
  <c r="AB227" i="2"/>
  <c r="R229" i="2"/>
  <c r="AD229" i="2"/>
  <c r="G230" i="2"/>
  <c r="S230" i="2"/>
  <c r="J233" i="2"/>
  <c r="V233" i="2"/>
  <c r="AH233" i="2"/>
  <c r="X235" i="2"/>
  <c r="Y236" i="2"/>
  <c r="D239" i="2"/>
  <c r="AB239" i="2"/>
  <c r="R241" i="2"/>
  <c r="AD241" i="2"/>
  <c r="G242" i="2"/>
  <c r="S242" i="2"/>
  <c r="J245" i="2"/>
  <c r="V245" i="2"/>
  <c r="AH245" i="2"/>
  <c r="X247" i="2"/>
  <c r="Y248" i="2"/>
  <c r="D251" i="2"/>
  <c r="AB251" i="2"/>
  <c r="S253" i="2"/>
  <c r="AF253" i="2"/>
  <c r="J254" i="2"/>
  <c r="X254" i="2"/>
  <c r="AD266" i="2"/>
  <c r="Y187" i="2"/>
  <c r="Z188" i="2"/>
  <c r="AC191" i="2"/>
  <c r="G193" i="2"/>
  <c r="S193" i="2"/>
  <c r="H194" i="2"/>
  <c r="T194" i="2"/>
  <c r="AF194" i="2"/>
  <c r="K197" i="2"/>
  <c r="W197" i="2"/>
  <c r="AK197" i="2"/>
  <c r="Y199" i="2"/>
  <c r="Z200" i="2"/>
  <c r="AC203" i="2"/>
  <c r="G205" i="2"/>
  <c r="S205" i="2"/>
  <c r="H206" i="2"/>
  <c r="T206" i="2"/>
  <c r="AF206" i="2"/>
  <c r="W209" i="2"/>
  <c r="AK209" i="2"/>
  <c r="Y211" i="2"/>
  <c r="Z212" i="2"/>
  <c r="AC215" i="2"/>
  <c r="G217" i="2"/>
  <c r="S217" i="2"/>
  <c r="H218" i="2"/>
  <c r="T218" i="2"/>
  <c r="AF218" i="2"/>
  <c r="K221" i="2"/>
  <c r="W221" i="2"/>
  <c r="AK221" i="2"/>
  <c r="Y223" i="2"/>
  <c r="Z224" i="2"/>
  <c r="AC227" i="2"/>
  <c r="G229" i="2"/>
  <c r="S229" i="2"/>
  <c r="H230" i="2"/>
  <c r="T230" i="2"/>
  <c r="AF230" i="2"/>
  <c r="K233" i="2"/>
  <c r="W233" i="2"/>
  <c r="AK233" i="2"/>
  <c r="Y235" i="2"/>
  <c r="Z236" i="2"/>
  <c r="AC239" i="2"/>
  <c r="G241" i="2"/>
  <c r="S241" i="2"/>
  <c r="H242" i="2"/>
  <c r="T242" i="2"/>
  <c r="AF242" i="2"/>
  <c r="K245" i="2"/>
  <c r="W245" i="2"/>
  <c r="AK245" i="2"/>
  <c r="Y247" i="2"/>
  <c r="Z248" i="2"/>
  <c r="AC251" i="2"/>
  <c r="G253" i="2"/>
  <c r="T253" i="2"/>
  <c r="AG253" i="2"/>
  <c r="Y254" i="2"/>
  <c r="AB267" i="2"/>
  <c r="D267" i="2"/>
  <c r="Y267" i="2"/>
  <c r="X267" i="2"/>
  <c r="AK267" i="2"/>
  <c r="W267" i="2"/>
  <c r="K267" i="2"/>
  <c r="AH267" i="2"/>
  <c r="V267" i="2"/>
  <c r="J267" i="2"/>
  <c r="AG267" i="2"/>
  <c r="U267" i="2"/>
  <c r="AF267" i="2"/>
  <c r="T267" i="2"/>
  <c r="H267" i="2"/>
  <c r="AC267" i="2"/>
  <c r="Y174" i="2"/>
  <c r="Y186" i="2"/>
  <c r="Z187" i="2"/>
  <c r="C188" i="2"/>
  <c r="R191" i="2"/>
  <c r="AD191" i="2"/>
  <c r="H193" i="2"/>
  <c r="T193" i="2"/>
  <c r="AF193" i="2"/>
  <c r="U194" i="2"/>
  <c r="AG194" i="2"/>
  <c r="X197" i="2"/>
  <c r="Y198" i="2"/>
  <c r="Z199" i="2"/>
  <c r="C200" i="2"/>
  <c r="R203" i="2"/>
  <c r="AD203" i="2"/>
  <c r="H205" i="2"/>
  <c r="T205" i="2"/>
  <c r="AF205" i="2"/>
  <c r="U206" i="2"/>
  <c r="AG206" i="2"/>
  <c r="X209" i="2"/>
  <c r="Y210" i="2"/>
  <c r="Z211" i="2"/>
  <c r="C212" i="2"/>
  <c r="R215" i="2"/>
  <c r="AD215" i="2"/>
  <c r="H217" i="2"/>
  <c r="T217" i="2"/>
  <c r="AF217" i="2"/>
  <c r="U218" i="2"/>
  <c r="AG218" i="2"/>
  <c r="X221" i="2"/>
  <c r="Y222" i="2"/>
  <c r="Z223" i="2"/>
  <c r="C224" i="2"/>
  <c r="R227" i="2"/>
  <c r="AD227" i="2"/>
  <c r="H229" i="2"/>
  <c r="T229" i="2"/>
  <c r="AF229" i="2"/>
  <c r="U230" i="2"/>
  <c r="AG230" i="2"/>
  <c r="V231" i="2"/>
  <c r="AH231" i="2"/>
  <c r="X233" i="2"/>
  <c r="Y234" i="2"/>
  <c r="Z235" i="2"/>
  <c r="C236" i="2"/>
  <c r="R239" i="2"/>
  <c r="AD239" i="2"/>
  <c r="H241" i="2"/>
  <c r="T241" i="2"/>
  <c r="AF241" i="2"/>
  <c r="U242" i="2"/>
  <c r="AG242" i="2"/>
  <c r="J243" i="2"/>
  <c r="V243" i="2"/>
  <c r="AH243" i="2"/>
  <c r="X245" i="2"/>
  <c r="Y246" i="2"/>
  <c r="Z247" i="2"/>
  <c r="C248" i="2"/>
  <c r="D249" i="2"/>
  <c r="AB249" i="2"/>
  <c r="AC250" i="2"/>
  <c r="R251" i="2"/>
  <c r="AD251" i="2"/>
  <c r="G252" i="2"/>
  <c r="S252" i="2"/>
  <c r="H253" i="2"/>
  <c r="U253" i="2"/>
  <c r="AK253" i="2"/>
  <c r="D255" i="2"/>
  <c r="AD255" i="2"/>
  <c r="J257" i="2"/>
  <c r="W257" i="2"/>
  <c r="C258" i="2"/>
  <c r="AB258" i="2"/>
  <c r="T259" i="2"/>
  <c r="AH259" i="2"/>
  <c r="H261" i="2"/>
  <c r="Z261" i="2"/>
  <c r="G265" i="2"/>
  <c r="AB265" i="2"/>
  <c r="AB188" i="2"/>
  <c r="G191" i="2"/>
  <c r="S191" i="2"/>
  <c r="U193" i="2"/>
  <c r="AG193" i="2"/>
  <c r="V194" i="2"/>
  <c r="AH194" i="2"/>
  <c r="Y197" i="2"/>
  <c r="D200" i="2"/>
  <c r="AB200" i="2"/>
  <c r="G203" i="2"/>
  <c r="S203" i="2"/>
  <c r="U205" i="2"/>
  <c r="AG205" i="2"/>
  <c r="J206" i="2"/>
  <c r="V206" i="2"/>
  <c r="AH206" i="2"/>
  <c r="Y209" i="2"/>
  <c r="C211" i="2"/>
  <c r="D212" i="2"/>
  <c r="AB212" i="2"/>
  <c r="G215" i="2"/>
  <c r="S215" i="2"/>
  <c r="U217" i="2"/>
  <c r="AG217" i="2"/>
  <c r="J218" i="2"/>
  <c r="V218" i="2"/>
  <c r="AH218" i="2"/>
  <c r="Y221" i="2"/>
  <c r="AB224" i="2"/>
  <c r="G227" i="2"/>
  <c r="S227" i="2"/>
  <c r="U229" i="2"/>
  <c r="AG229" i="2"/>
  <c r="J230" i="2"/>
  <c r="V230" i="2"/>
  <c r="AH230" i="2"/>
  <c r="Y233" i="2"/>
  <c r="AB236" i="2"/>
  <c r="G239" i="2"/>
  <c r="S239" i="2"/>
  <c r="U241" i="2"/>
  <c r="AG241" i="2"/>
  <c r="J242" i="2"/>
  <c r="V242" i="2"/>
  <c r="AH242" i="2"/>
  <c r="Y245" i="2"/>
  <c r="AB248" i="2"/>
  <c r="S251" i="2"/>
  <c r="W253" i="2"/>
  <c r="AK254" i="2"/>
  <c r="W254" i="2"/>
  <c r="K254" i="2"/>
  <c r="C267" i="2"/>
  <c r="R165" i="2"/>
  <c r="G166" i="2"/>
  <c r="S166" i="2"/>
  <c r="U168" i="2"/>
  <c r="C174" i="2"/>
  <c r="R177" i="2"/>
  <c r="G178" i="2"/>
  <c r="S178" i="2"/>
  <c r="U180" i="2"/>
  <c r="C186" i="2"/>
  <c r="D187" i="2"/>
  <c r="R189" i="2"/>
  <c r="G190" i="2"/>
  <c r="S190" i="2"/>
  <c r="H191" i="2"/>
  <c r="T191" i="2"/>
  <c r="U192" i="2"/>
  <c r="J193" i="2"/>
  <c r="V193" i="2"/>
  <c r="K194" i="2"/>
  <c r="W194" i="2"/>
  <c r="C198" i="2"/>
  <c r="D199" i="2"/>
  <c r="R201" i="2"/>
  <c r="G202" i="2"/>
  <c r="S202" i="2"/>
  <c r="H203" i="2"/>
  <c r="T203" i="2"/>
  <c r="U204" i="2"/>
  <c r="J205" i="2"/>
  <c r="V205" i="2"/>
  <c r="K206" i="2"/>
  <c r="W206" i="2"/>
  <c r="C210" i="2"/>
  <c r="D211" i="2"/>
  <c r="R213" i="2"/>
  <c r="G214" i="2"/>
  <c r="S214" i="2"/>
  <c r="H215" i="2"/>
  <c r="T215" i="2"/>
  <c r="U216" i="2"/>
  <c r="J217" i="2"/>
  <c r="V217" i="2"/>
  <c r="K218" i="2"/>
  <c r="W218" i="2"/>
  <c r="C222" i="2"/>
  <c r="D223" i="2"/>
  <c r="R225" i="2"/>
  <c r="G226" i="2"/>
  <c r="S226" i="2"/>
  <c r="H227" i="2"/>
  <c r="T227" i="2"/>
  <c r="U228" i="2"/>
  <c r="J229" i="2"/>
  <c r="V229" i="2"/>
  <c r="K230" i="2"/>
  <c r="W230" i="2"/>
  <c r="C234" i="2"/>
  <c r="D235" i="2"/>
  <c r="R237" i="2"/>
  <c r="G238" i="2"/>
  <c r="S238" i="2"/>
  <c r="H239" i="2"/>
  <c r="T239" i="2"/>
  <c r="U240" i="2"/>
  <c r="J241" i="2"/>
  <c r="V241" i="2"/>
  <c r="K242" i="2"/>
  <c r="W242" i="2"/>
  <c r="C246" i="2"/>
  <c r="D247" i="2"/>
  <c r="R249" i="2"/>
  <c r="G250" i="2"/>
  <c r="S250" i="2"/>
  <c r="H251" i="2"/>
  <c r="T251" i="2"/>
  <c r="U252" i="2"/>
  <c r="K253" i="2"/>
  <c r="X253" i="2"/>
  <c r="AB254" i="2"/>
  <c r="S255" i="2"/>
  <c r="AF255" i="2"/>
  <c r="Y257" i="2"/>
  <c r="D258" i="2"/>
  <c r="AD258" i="2"/>
  <c r="H259" i="2"/>
  <c r="V259" i="2"/>
  <c r="AC260" i="2"/>
  <c r="AB260" i="2"/>
  <c r="D260" i="2"/>
  <c r="AH260" i="2"/>
  <c r="V260" i="2"/>
  <c r="AB261" i="2"/>
  <c r="AC262" i="2"/>
  <c r="K265" i="2"/>
  <c r="Y263" i="2"/>
  <c r="Z264" i="2"/>
  <c r="H270" i="2"/>
  <c r="T270" i="2"/>
  <c r="AF270" i="2"/>
  <c r="U271" i="2"/>
  <c r="AG271" i="2"/>
  <c r="J272" i="2"/>
  <c r="V272" i="2"/>
  <c r="AH272" i="2"/>
  <c r="K273" i="2"/>
  <c r="W273" i="2"/>
  <c r="AK273" i="2"/>
  <c r="X274" i="2"/>
  <c r="Y275" i="2"/>
  <c r="Z276" i="2"/>
  <c r="C277" i="2"/>
  <c r="D278" i="2"/>
  <c r="AB278" i="2"/>
  <c r="AC279" i="2"/>
  <c r="H282" i="2"/>
  <c r="T282" i="2"/>
  <c r="AF282" i="2"/>
  <c r="U283" i="2"/>
  <c r="AG283" i="2"/>
  <c r="J284" i="2"/>
  <c r="V284" i="2"/>
  <c r="AH284" i="2"/>
  <c r="K285" i="2"/>
  <c r="W285" i="2"/>
  <c r="AK285" i="2"/>
  <c r="X286" i="2"/>
  <c r="Y287" i="2"/>
  <c r="Z288" i="2"/>
  <c r="C289" i="2"/>
  <c r="D290" i="2"/>
  <c r="AB290" i="2"/>
  <c r="AC291" i="2"/>
  <c r="H294" i="2"/>
  <c r="T294" i="2"/>
  <c r="AF294" i="2"/>
  <c r="U295" i="2"/>
  <c r="AG295" i="2"/>
  <c r="J296" i="2"/>
  <c r="V296" i="2"/>
  <c r="AH296" i="2"/>
  <c r="K297" i="2"/>
  <c r="W297" i="2"/>
  <c r="AK297" i="2"/>
  <c r="X298" i="2"/>
  <c r="Y299" i="2"/>
  <c r="C301" i="2"/>
  <c r="D302" i="2"/>
  <c r="AB302" i="2"/>
  <c r="AC303" i="2"/>
  <c r="H306" i="2"/>
  <c r="T306" i="2"/>
  <c r="AF306" i="2"/>
  <c r="U307" i="2"/>
  <c r="AG307" i="2"/>
  <c r="J308" i="2"/>
  <c r="V308" i="2"/>
  <c r="AH308" i="2"/>
  <c r="Y309" i="2"/>
  <c r="AD310" i="2"/>
  <c r="K311" i="2"/>
  <c r="AB311" i="2"/>
  <c r="T313" i="2"/>
  <c r="Y314" i="2"/>
  <c r="AK326" i="2"/>
  <c r="W326" i="2"/>
  <c r="K326" i="2"/>
  <c r="AG326" i="2"/>
  <c r="U326" i="2"/>
  <c r="AD326" i="2"/>
  <c r="R326" i="2"/>
  <c r="AC326" i="2"/>
  <c r="C326" i="2"/>
  <c r="X326" i="2"/>
  <c r="V326" i="2"/>
  <c r="X273" i="2"/>
  <c r="Y274" i="2"/>
  <c r="AC278" i="2"/>
  <c r="X285" i="2"/>
  <c r="Y286" i="2"/>
  <c r="AB289" i="2"/>
  <c r="AC290" i="2"/>
  <c r="R291" i="2"/>
  <c r="AD291" i="2"/>
  <c r="X297" i="2"/>
  <c r="Y298" i="2"/>
  <c r="AC302" i="2"/>
  <c r="G314" i="2"/>
  <c r="Z314" i="2"/>
  <c r="AC332" i="2"/>
  <c r="C332" i="2"/>
  <c r="X332" i="2"/>
  <c r="AK332" i="2"/>
  <c r="W332" i="2"/>
  <c r="K332" i="2"/>
  <c r="AG332" i="2"/>
  <c r="U332" i="2"/>
  <c r="AD332" i="2"/>
  <c r="R332" i="2"/>
  <c r="V332" i="2"/>
  <c r="Y273" i="2"/>
  <c r="AD278" i="2"/>
  <c r="Y285" i="2"/>
  <c r="AD290" i="2"/>
  <c r="Y297" i="2"/>
  <c r="Z298" i="2"/>
  <c r="R302" i="2"/>
  <c r="AD302" i="2"/>
  <c r="AD309" i="2"/>
  <c r="R309" i="2"/>
  <c r="Y332" i="2"/>
  <c r="K270" i="2"/>
  <c r="W270" i="2"/>
  <c r="AK270" i="2"/>
  <c r="X271" i="2"/>
  <c r="Y272" i="2"/>
  <c r="Z273" i="2"/>
  <c r="C274" i="2"/>
  <c r="R277" i="2"/>
  <c r="AD277" i="2"/>
  <c r="G278" i="2"/>
  <c r="S278" i="2"/>
  <c r="H279" i="2"/>
  <c r="T279" i="2"/>
  <c r="AF279" i="2"/>
  <c r="K282" i="2"/>
  <c r="W282" i="2"/>
  <c r="AK282" i="2"/>
  <c r="X283" i="2"/>
  <c r="Y284" i="2"/>
  <c r="Z285" i="2"/>
  <c r="C286" i="2"/>
  <c r="R289" i="2"/>
  <c r="AD289" i="2"/>
  <c r="G290" i="2"/>
  <c r="S290" i="2"/>
  <c r="H291" i="2"/>
  <c r="T291" i="2"/>
  <c r="AF291" i="2"/>
  <c r="K294" i="2"/>
  <c r="W294" i="2"/>
  <c r="AK294" i="2"/>
  <c r="X295" i="2"/>
  <c r="Y296" i="2"/>
  <c r="Z297" i="2"/>
  <c r="C298" i="2"/>
  <c r="R301" i="2"/>
  <c r="AD301" i="2"/>
  <c r="G302" i="2"/>
  <c r="S302" i="2"/>
  <c r="H303" i="2"/>
  <c r="T303" i="2"/>
  <c r="AF303" i="2"/>
  <c r="K306" i="2"/>
  <c r="W306" i="2"/>
  <c r="AK306" i="2"/>
  <c r="X307" i="2"/>
  <c r="Y308" i="2"/>
  <c r="AB309" i="2"/>
  <c r="AH310" i="2"/>
  <c r="Y313" i="2"/>
  <c r="Z317" i="2"/>
  <c r="X317" i="2"/>
  <c r="AG317" i="2"/>
  <c r="U317" i="2"/>
  <c r="AF317" i="2"/>
  <c r="T317" i="2"/>
  <c r="H317" i="2"/>
  <c r="AD317" i="2"/>
  <c r="R317" i="2"/>
  <c r="C317" i="2"/>
  <c r="W317" i="2"/>
  <c r="G320" i="2"/>
  <c r="R325" i="2"/>
  <c r="S329" i="2"/>
  <c r="D332" i="2"/>
  <c r="Z332" i="2"/>
  <c r="X270" i="2"/>
  <c r="Y271" i="2"/>
  <c r="C273" i="2"/>
  <c r="D274" i="2"/>
  <c r="AB274" i="2"/>
  <c r="G277" i="2"/>
  <c r="S277" i="2"/>
  <c r="H278" i="2"/>
  <c r="T278" i="2"/>
  <c r="AF278" i="2"/>
  <c r="U279" i="2"/>
  <c r="AG279" i="2"/>
  <c r="X282" i="2"/>
  <c r="Y283" i="2"/>
  <c r="Z284" i="2"/>
  <c r="C285" i="2"/>
  <c r="D286" i="2"/>
  <c r="AB286" i="2"/>
  <c r="G289" i="2"/>
  <c r="S289" i="2"/>
  <c r="H290" i="2"/>
  <c r="T290" i="2"/>
  <c r="AF290" i="2"/>
  <c r="U291" i="2"/>
  <c r="AG291" i="2"/>
  <c r="X294" i="2"/>
  <c r="Y295" i="2"/>
  <c r="Z296" i="2"/>
  <c r="C297" i="2"/>
  <c r="D298" i="2"/>
  <c r="AB298" i="2"/>
  <c r="S301" i="2"/>
  <c r="H302" i="2"/>
  <c r="T302" i="2"/>
  <c r="AF302" i="2"/>
  <c r="U303" i="2"/>
  <c r="AG303" i="2"/>
  <c r="X306" i="2"/>
  <c r="Y307" i="2"/>
  <c r="Z308" i="2"/>
  <c r="C309" i="2"/>
  <c r="AC309" i="2"/>
  <c r="U310" i="2"/>
  <c r="AF311" i="2"/>
  <c r="T311" i="2"/>
  <c r="H311" i="2"/>
  <c r="C311" i="2"/>
  <c r="X311" i="2"/>
  <c r="AG311" i="2"/>
  <c r="G313" i="2"/>
  <c r="J314" i="2"/>
  <c r="AF314" i="2"/>
  <c r="Y317" i="2"/>
  <c r="AB319" i="2"/>
  <c r="D319" i="2"/>
  <c r="Z319" i="2"/>
  <c r="AK319" i="2"/>
  <c r="W319" i="2"/>
  <c r="K319" i="2"/>
  <c r="AH319" i="2"/>
  <c r="V319" i="2"/>
  <c r="J319" i="2"/>
  <c r="AF319" i="2"/>
  <c r="T319" i="2"/>
  <c r="H319" i="2"/>
  <c r="AC319" i="2"/>
  <c r="U319" i="2"/>
  <c r="H320" i="2"/>
  <c r="AF320" i="2"/>
  <c r="G326" i="2"/>
  <c r="AB332" i="2"/>
  <c r="Y270" i="2"/>
  <c r="Z271" i="2"/>
  <c r="D273" i="2"/>
  <c r="AB273" i="2"/>
  <c r="AC274" i="2"/>
  <c r="T277" i="2"/>
  <c r="AF277" i="2"/>
  <c r="U278" i="2"/>
  <c r="AG278" i="2"/>
  <c r="V279" i="2"/>
  <c r="AH279" i="2"/>
  <c r="Y282" i="2"/>
  <c r="D285" i="2"/>
  <c r="AB285" i="2"/>
  <c r="AC286" i="2"/>
  <c r="U290" i="2"/>
  <c r="AG290" i="2"/>
  <c r="J291" i="2"/>
  <c r="V291" i="2"/>
  <c r="AH291" i="2"/>
  <c r="Y294" i="2"/>
  <c r="Z295" i="2"/>
  <c r="D297" i="2"/>
  <c r="AB297" i="2"/>
  <c r="AC298" i="2"/>
  <c r="H301" i="2"/>
  <c r="T301" i="2"/>
  <c r="AF301" i="2"/>
  <c r="U302" i="2"/>
  <c r="AG302" i="2"/>
  <c r="J303" i="2"/>
  <c r="V303" i="2"/>
  <c r="AH303" i="2"/>
  <c r="Y306" i="2"/>
  <c r="Z307" i="2"/>
  <c r="D309" i="2"/>
  <c r="R311" i="2"/>
  <c r="AH311" i="2"/>
  <c r="AH314" i="2"/>
  <c r="AH325" i="2"/>
  <c r="V325" i="2"/>
  <c r="J325" i="2"/>
  <c r="AF325" i="2"/>
  <c r="T325" i="2"/>
  <c r="H325" i="2"/>
  <c r="AC325" i="2"/>
  <c r="AB325" i="2"/>
  <c r="D325" i="2"/>
  <c r="Z325" i="2"/>
  <c r="AK325" i="2"/>
  <c r="W325" i="2"/>
  <c r="K325" i="2"/>
  <c r="U325" i="2"/>
  <c r="Z329" i="2"/>
  <c r="X329" i="2"/>
  <c r="AG329" i="2"/>
  <c r="U329" i="2"/>
  <c r="AF329" i="2"/>
  <c r="T329" i="2"/>
  <c r="H329" i="2"/>
  <c r="AD329" i="2"/>
  <c r="R329" i="2"/>
  <c r="C329" i="2"/>
  <c r="W329" i="2"/>
  <c r="G332" i="2"/>
  <c r="AH337" i="2"/>
  <c r="V337" i="2"/>
  <c r="J337" i="2"/>
  <c r="AG337" i="2"/>
  <c r="U337" i="2"/>
  <c r="AF337" i="2"/>
  <c r="T337" i="2"/>
  <c r="H337" i="2"/>
  <c r="S337" i="2"/>
  <c r="G337" i="2"/>
  <c r="AD337" i="2"/>
  <c r="R337" i="2"/>
  <c r="AC337" i="2"/>
  <c r="AB337" i="2"/>
  <c r="D337" i="2"/>
  <c r="C337" i="2"/>
  <c r="Z337" i="2"/>
  <c r="X337" i="2"/>
  <c r="AK337" i="2"/>
  <c r="W337" i="2"/>
  <c r="K337" i="2"/>
  <c r="G263" i="2"/>
  <c r="S263" i="2"/>
  <c r="H264" i="2"/>
  <c r="T264" i="2"/>
  <c r="AF264" i="2"/>
  <c r="Y269" i="2"/>
  <c r="Z270" i="2"/>
  <c r="C271" i="2"/>
  <c r="D272" i="2"/>
  <c r="AB272" i="2"/>
  <c r="AC273" i="2"/>
  <c r="R274" i="2"/>
  <c r="AD274" i="2"/>
  <c r="G275" i="2"/>
  <c r="S275" i="2"/>
  <c r="H276" i="2"/>
  <c r="T276" i="2"/>
  <c r="AF276" i="2"/>
  <c r="U277" i="2"/>
  <c r="AG277" i="2"/>
  <c r="J278" i="2"/>
  <c r="V278" i="2"/>
  <c r="AH278" i="2"/>
  <c r="K279" i="2"/>
  <c r="W279" i="2"/>
  <c r="AK279" i="2"/>
  <c r="Y281" i="2"/>
  <c r="Z282" i="2"/>
  <c r="C283" i="2"/>
  <c r="D284" i="2"/>
  <c r="AB284" i="2"/>
  <c r="AC285" i="2"/>
  <c r="R286" i="2"/>
  <c r="AD286" i="2"/>
  <c r="G287" i="2"/>
  <c r="S287" i="2"/>
  <c r="H288" i="2"/>
  <c r="T288" i="2"/>
  <c r="AF288" i="2"/>
  <c r="U289" i="2"/>
  <c r="AG289" i="2"/>
  <c r="J290" i="2"/>
  <c r="V290" i="2"/>
  <c r="AH290" i="2"/>
  <c r="K291" i="2"/>
  <c r="W291" i="2"/>
  <c r="AK291" i="2"/>
  <c r="Y293" i="2"/>
  <c r="Z294" i="2"/>
  <c r="C295" i="2"/>
  <c r="D296" i="2"/>
  <c r="AB296" i="2"/>
  <c r="AC297" i="2"/>
  <c r="R298" i="2"/>
  <c r="AD298" i="2"/>
  <c r="G299" i="2"/>
  <c r="S299" i="2"/>
  <c r="H300" i="2"/>
  <c r="T300" i="2"/>
  <c r="AF300" i="2"/>
  <c r="U301" i="2"/>
  <c r="AG301" i="2"/>
  <c r="J302" i="2"/>
  <c r="V302" i="2"/>
  <c r="AH302" i="2"/>
  <c r="K303" i="2"/>
  <c r="W303" i="2"/>
  <c r="AK303" i="2"/>
  <c r="Y305" i="2"/>
  <c r="Z306" i="2"/>
  <c r="C307" i="2"/>
  <c r="D308" i="2"/>
  <c r="AB308" i="2"/>
  <c r="S309" i="2"/>
  <c r="AF309" i="2"/>
  <c r="J310" i="2"/>
  <c r="X310" i="2"/>
  <c r="D311" i="2"/>
  <c r="S311" i="2"/>
  <c r="AK311" i="2"/>
  <c r="AC317" i="2"/>
  <c r="C319" i="2"/>
  <c r="Y319" i="2"/>
  <c r="AF323" i="2"/>
  <c r="T323" i="2"/>
  <c r="H323" i="2"/>
  <c r="AD323" i="2"/>
  <c r="R323" i="2"/>
  <c r="C323" i="2"/>
  <c r="Z323" i="2"/>
  <c r="X323" i="2"/>
  <c r="AG323" i="2"/>
  <c r="U323" i="2"/>
  <c r="W323" i="2"/>
  <c r="X325" i="2"/>
  <c r="J326" i="2"/>
  <c r="AH326" i="2"/>
  <c r="Y329" i="2"/>
  <c r="AB331" i="2"/>
  <c r="D331" i="2"/>
  <c r="Z331" i="2"/>
  <c r="AK331" i="2"/>
  <c r="W331" i="2"/>
  <c r="K331" i="2"/>
  <c r="AH331" i="2"/>
  <c r="V331" i="2"/>
  <c r="J331" i="2"/>
  <c r="AF331" i="2"/>
  <c r="T331" i="2"/>
  <c r="H331" i="2"/>
  <c r="AC331" i="2"/>
  <c r="U331" i="2"/>
  <c r="H332" i="2"/>
  <c r="AF332" i="2"/>
  <c r="H263" i="2"/>
  <c r="T263" i="2"/>
  <c r="AF263" i="2"/>
  <c r="U264" i="2"/>
  <c r="AG264" i="2"/>
  <c r="C270" i="2"/>
  <c r="D271" i="2"/>
  <c r="AB271" i="2"/>
  <c r="AC272" i="2"/>
  <c r="R273" i="2"/>
  <c r="AD273" i="2"/>
  <c r="G274" i="2"/>
  <c r="S274" i="2"/>
  <c r="H275" i="2"/>
  <c r="T275" i="2"/>
  <c r="AF275" i="2"/>
  <c r="U276" i="2"/>
  <c r="AG276" i="2"/>
  <c r="J277" i="2"/>
  <c r="V277" i="2"/>
  <c r="AH277" i="2"/>
  <c r="K278" i="2"/>
  <c r="W278" i="2"/>
  <c r="AK278" i="2"/>
  <c r="X279" i="2"/>
  <c r="C282" i="2"/>
  <c r="D283" i="2"/>
  <c r="AB283" i="2"/>
  <c r="AC284" i="2"/>
  <c r="R285" i="2"/>
  <c r="AD285" i="2"/>
  <c r="G286" i="2"/>
  <c r="S286" i="2"/>
  <c r="H287" i="2"/>
  <c r="T287" i="2"/>
  <c r="AF287" i="2"/>
  <c r="U288" i="2"/>
  <c r="AG288" i="2"/>
  <c r="J289" i="2"/>
  <c r="V289" i="2"/>
  <c r="AH289" i="2"/>
  <c r="K290" i="2"/>
  <c r="W290" i="2"/>
  <c r="AK290" i="2"/>
  <c r="X291" i="2"/>
  <c r="Z293" i="2"/>
  <c r="C294" i="2"/>
  <c r="D295" i="2"/>
  <c r="AB295" i="2"/>
  <c r="AC296" i="2"/>
  <c r="R297" i="2"/>
  <c r="AD297" i="2"/>
  <c r="G298" i="2"/>
  <c r="S298" i="2"/>
  <c r="H299" i="2"/>
  <c r="T299" i="2"/>
  <c r="AF299" i="2"/>
  <c r="U300" i="2"/>
  <c r="AG300" i="2"/>
  <c r="J301" i="2"/>
  <c r="V301" i="2"/>
  <c r="AH301" i="2"/>
  <c r="K302" i="2"/>
  <c r="W302" i="2"/>
  <c r="AK302" i="2"/>
  <c r="X303" i="2"/>
  <c r="Z305" i="2"/>
  <c r="C306" i="2"/>
  <c r="D307" i="2"/>
  <c r="AB307" i="2"/>
  <c r="AC308" i="2"/>
  <c r="G309" i="2"/>
  <c r="T309" i="2"/>
  <c r="AG309" i="2"/>
  <c r="K310" i="2"/>
  <c r="U311" i="2"/>
  <c r="G317" i="2"/>
  <c r="Y323" i="2"/>
  <c r="C325" i="2"/>
  <c r="Y325" i="2"/>
  <c r="D329" i="2"/>
  <c r="AB329" i="2"/>
  <c r="X331" i="2"/>
  <c r="J332" i="2"/>
  <c r="AH332" i="2"/>
  <c r="AB270" i="2"/>
  <c r="AC271" i="2"/>
  <c r="G273" i="2"/>
  <c r="S273" i="2"/>
  <c r="H274" i="2"/>
  <c r="T274" i="2"/>
  <c r="AF274" i="2"/>
  <c r="K277" i="2"/>
  <c r="W277" i="2"/>
  <c r="AK277" i="2"/>
  <c r="X278" i="2"/>
  <c r="Y279" i="2"/>
  <c r="D282" i="2"/>
  <c r="AB282" i="2"/>
  <c r="AC283" i="2"/>
  <c r="AD284" i="2"/>
  <c r="G285" i="2"/>
  <c r="S285" i="2"/>
  <c r="H286" i="2"/>
  <c r="T286" i="2"/>
  <c r="AF286" i="2"/>
  <c r="W289" i="2"/>
  <c r="AK289" i="2"/>
  <c r="X290" i="2"/>
  <c r="Y291" i="2"/>
  <c r="AB294" i="2"/>
  <c r="AC295" i="2"/>
  <c r="AD296" i="2"/>
  <c r="G297" i="2"/>
  <c r="S297" i="2"/>
  <c r="H298" i="2"/>
  <c r="T298" i="2"/>
  <c r="AF298" i="2"/>
  <c r="K301" i="2"/>
  <c r="W301" i="2"/>
  <c r="AK301" i="2"/>
  <c r="X302" i="2"/>
  <c r="Y303" i="2"/>
  <c r="AB306" i="2"/>
  <c r="AC307" i="2"/>
  <c r="R308" i="2"/>
  <c r="AD308" i="2"/>
  <c r="H309" i="2"/>
  <c r="U309" i="2"/>
  <c r="AH309" i="2"/>
  <c r="AD319" i="2"/>
  <c r="AC329" i="2"/>
  <c r="C331" i="2"/>
  <c r="Y331" i="2"/>
  <c r="H273" i="2"/>
  <c r="T273" i="2"/>
  <c r="AF273" i="2"/>
  <c r="AG274" i="2"/>
  <c r="Y278" i="2"/>
  <c r="H285" i="2"/>
  <c r="T285" i="2"/>
  <c r="AF285" i="2"/>
  <c r="Y290" i="2"/>
  <c r="H297" i="2"/>
  <c r="T297" i="2"/>
  <c r="AF297" i="2"/>
  <c r="U298" i="2"/>
  <c r="AG298" i="2"/>
  <c r="Y302" i="2"/>
  <c r="V309" i="2"/>
  <c r="AK309" i="2"/>
  <c r="AK314" i="2"/>
  <c r="W314" i="2"/>
  <c r="K314" i="2"/>
  <c r="AG314" i="2"/>
  <c r="AD314" i="2"/>
  <c r="R314" i="2"/>
  <c r="AC314" i="2"/>
  <c r="C314" i="2"/>
  <c r="X314" i="2"/>
  <c r="T314" i="2"/>
  <c r="AD325" i="2"/>
  <c r="G329" i="2"/>
  <c r="Y337" i="2"/>
  <c r="R270" i="2"/>
  <c r="AD270" i="2"/>
  <c r="S271" i="2"/>
  <c r="U273" i="2"/>
  <c r="AG273" i="2"/>
  <c r="J274" i="2"/>
  <c r="V274" i="2"/>
  <c r="AH274" i="2"/>
  <c r="Y277" i="2"/>
  <c r="Z278" i="2"/>
  <c r="C279" i="2"/>
  <c r="R282" i="2"/>
  <c r="AD282" i="2"/>
  <c r="G283" i="2"/>
  <c r="S283" i="2"/>
  <c r="T284" i="2"/>
  <c r="AF284" i="2"/>
  <c r="U285" i="2"/>
  <c r="AG285" i="2"/>
  <c r="J286" i="2"/>
  <c r="V286" i="2"/>
  <c r="AH286" i="2"/>
  <c r="Y289" i="2"/>
  <c r="Z290" i="2"/>
  <c r="C291" i="2"/>
  <c r="R294" i="2"/>
  <c r="AD294" i="2"/>
  <c r="G295" i="2"/>
  <c r="S295" i="2"/>
  <c r="T296" i="2"/>
  <c r="AF296" i="2"/>
  <c r="U297" i="2"/>
  <c r="AG297" i="2"/>
  <c r="J298" i="2"/>
  <c r="V298" i="2"/>
  <c r="AH298" i="2"/>
  <c r="Y301" i="2"/>
  <c r="Z302" i="2"/>
  <c r="C303" i="2"/>
  <c r="R306" i="2"/>
  <c r="AD306" i="2"/>
  <c r="G307" i="2"/>
  <c r="S307" i="2"/>
  <c r="H308" i="2"/>
  <c r="T308" i="2"/>
  <c r="AF308" i="2"/>
  <c r="J309" i="2"/>
  <c r="W309" i="2"/>
  <c r="S310" i="2"/>
  <c r="G310" i="2"/>
  <c r="AK310" i="2"/>
  <c r="W310" i="2"/>
  <c r="AB310" i="2"/>
  <c r="Y311" i="2"/>
  <c r="AH313" i="2"/>
  <c r="V313" i="2"/>
  <c r="J313" i="2"/>
  <c r="AC313" i="2"/>
  <c r="AB313" i="2"/>
  <c r="Z313" i="2"/>
  <c r="AK313" i="2"/>
  <c r="W313" i="2"/>
  <c r="K313" i="2"/>
  <c r="R313" i="2"/>
  <c r="U314" i="2"/>
  <c r="AG319" i="2"/>
  <c r="G325" i="2"/>
  <c r="S326" i="2"/>
  <c r="J329" i="2"/>
  <c r="AH329" i="2"/>
  <c r="AD331" i="2"/>
  <c r="G270" i="2"/>
  <c r="S270" i="2"/>
  <c r="H271" i="2"/>
  <c r="T271" i="2"/>
  <c r="U272" i="2"/>
  <c r="J273" i="2"/>
  <c r="V273" i="2"/>
  <c r="K274" i="2"/>
  <c r="W274" i="2"/>
  <c r="C278" i="2"/>
  <c r="D279" i="2"/>
  <c r="G282" i="2"/>
  <c r="S282" i="2"/>
  <c r="H283" i="2"/>
  <c r="T283" i="2"/>
  <c r="U284" i="2"/>
  <c r="J285" i="2"/>
  <c r="V285" i="2"/>
  <c r="K286" i="2"/>
  <c r="W286" i="2"/>
  <c r="C290" i="2"/>
  <c r="D291" i="2"/>
  <c r="R293" i="2"/>
  <c r="G294" i="2"/>
  <c r="S294" i="2"/>
  <c r="H295" i="2"/>
  <c r="T295" i="2"/>
  <c r="U296" i="2"/>
  <c r="J297" i="2"/>
  <c r="V297" i="2"/>
  <c r="K298" i="2"/>
  <c r="W298" i="2"/>
  <c r="C302" i="2"/>
  <c r="D303" i="2"/>
  <c r="G306" i="2"/>
  <c r="S306" i="2"/>
  <c r="H307" i="2"/>
  <c r="T307" i="2"/>
  <c r="U308" i="2"/>
  <c r="K309" i="2"/>
  <c r="X309" i="2"/>
  <c r="AC310" i="2"/>
  <c r="J311" i="2"/>
  <c r="Z311" i="2"/>
  <c r="S313" i="2"/>
  <c r="D314" i="2"/>
  <c r="V314" i="2"/>
  <c r="AC320" i="2"/>
  <c r="C320" i="2"/>
  <c r="X320" i="2"/>
  <c r="AK320" i="2"/>
  <c r="W320" i="2"/>
  <c r="K320" i="2"/>
  <c r="AG320" i="2"/>
  <c r="U320" i="2"/>
  <c r="AD320" i="2"/>
  <c r="R320" i="2"/>
  <c r="V320" i="2"/>
  <c r="AG325" i="2"/>
  <c r="T326" i="2"/>
  <c r="K329" i="2"/>
  <c r="AK329" i="2"/>
  <c r="G331" i="2"/>
  <c r="S332" i="2"/>
  <c r="Y315" i="2"/>
  <c r="D318" i="2"/>
  <c r="AB318" i="2"/>
  <c r="H322" i="2"/>
  <c r="T322" i="2"/>
  <c r="AF322" i="2"/>
  <c r="Y327" i="2"/>
  <c r="D330" i="2"/>
  <c r="AB330" i="2"/>
  <c r="H334" i="2"/>
  <c r="T334" i="2"/>
  <c r="AF334" i="2"/>
  <c r="U335" i="2"/>
  <c r="AG335" i="2"/>
  <c r="AH336" i="2"/>
  <c r="X338" i="2"/>
  <c r="Y339" i="2"/>
  <c r="C341" i="2"/>
  <c r="D342" i="2"/>
  <c r="AB342" i="2"/>
  <c r="AC343" i="2"/>
  <c r="R344" i="2"/>
  <c r="AD344" i="2"/>
  <c r="H346" i="2"/>
  <c r="T346" i="2"/>
  <c r="AF346" i="2"/>
  <c r="U347" i="2"/>
  <c r="AG347" i="2"/>
  <c r="AH348" i="2"/>
  <c r="K349" i="2"/>
  <c r="W349" i="2"/>
  <c r="AK349" i="2"/>
  <c r="X350" i="2"/>
  <c r="Y351" i="2"/>
  <c r="C353" i="2"/>
  <c r="AC355" i="2"/>
  <c r="R356" i="2"/>
  <c r="AD356" i="2"/>
  <c r="AF358" i="2"/>
  <c r="U359" i="2"/>
  <c r="AG359" i="2"/>
  <c r="V360" i="2"/>
  <c r="AH360" i="2"/>
  <c r="K361" i="2"/>
  <c r="W361" i="2"/>
  <c r="AK361" i="2"/>
  <c r="X362" i="2"/>
  <c r="Y363" i="2"/>
  <c r="C365" i="2"/>
  <c r="AC367" i="2"/>
  <c r="R368" i="2"/>
  <c r="AD368" i="2"/>
  <c r="S369" i="2"/>
  <c r="U371" i="2"/>
  <c r="AG371" i="2"/>
  <c r="J372" i="2"/>
  <c r="V372" i="2"/>
  <c r="AH372" i="2"/>
  <c r="K373" i="2"/>
  <c r="W373" i="2"/>
  <c r="AK373" i="2"/>
  <c r="X374" i="2"/>
  <c r="Y375" i="2"/>
  <c r="C377" i="2"/>
  <c r="AC379" i="2"/>
  <c r="R380" i="2"/>
  <c r="AD380" i="2"/>
  <c r="S381" i="2"/>
  <c r="U383" i="2"/>
  <c r="AG383" i="2"/>
  <c r="J384" i="2"/>
  <c r="V384" i="2"/>
  <c r="AH384" i="2"/>
  <c r="K385" i="2"/>
  <c r="W385" i="2"/>
  <c r="AK385" i="2"/>
  <c r="X386" i="2"/>
  <c r="Y387" i="2"/>
  <c r="G389" i="2"/>
  <c r="U389" i="2"/>
  <c r="V392" i="2"/>
  <c r="C398" i="2"/>
  <c r="S398" i="2"/>
  <c r="G404" i="2"/>
  <c r="X404" i="2"/>
  <c r="H405" i="2"/>
  <c r="Y405" i="2"/>
  <c r="G406" i="2"/>
  <c r="Z406" i="2"/>
  <c r="J335" i="2"/>
  <c r="V335" i="2"/>
  <c r="AH335" i="2"/>
  <c r="Y338" i="2"/>
  <c r="AB341" i="2"/>
  <c r="AD343" i="2"/>
  <c r="G344" i="2"/>
  <c r="S344" i="2"/>
  <c r="J347" i="2"/>
  <c r="V347" i="2"/>
  <c r="AH347" i="2"/>
  <c r="X349" i="2"/>
  <c r="Y350" i="2"/>
  <c r="AB353" i="2"/>
  <c r="R355" i="2"/>
  <c r="AD355" i="2"/>
  <c r="S356" i="2"/>
  <c r="J359" i="2"/>
  <c r="V359" i="2"/>
  <c r="AH359" i="2"/>
  <c r="X361" i="2"/>
  <c r="Y362" i="2"/>
  <c r="AD367" i="2"/>
  <c r="J371" i="2"/>
  <c r="V371" i="2"/>
  <c r="AH371" i="2"/>
  <c r="X373" i="2"/>
  <c r="Y374" i="2"/>
  <c r="J383" i="2"/>
  <c r="V383" i="2"/>
  <c r="AH383" i="2"/>
  <c r="X385" i="2"/>
  <c r="Y386" i="2"/>
  <c r="AH394" i="2"/>
  <c r="V394" i="2"/>
  <c r="J394" i="2"/>
  <c r="AF394" i="2"/>
  <c r="AC394" i="2"/>
  <c r="AB394" i="2"/>
  <c r="D394" i="2"/>
  <c r="AG394" i="2"/>
  <c r="Y349" i="2"/>
  <c r="Y361" i="2"/>
  <c r="Y373" i="2"/>
  <c r="Y385" i="2"/>
  <c r="Y312" i="2"/>
  <c r="D315" i="2"/>
  <c r="AB315" i="2"/>
  <c r="G318" i="2"/>
  <c r="S318" i="2"/>
  <c r="J321" i="2"/>
  <c r="V321" i="2"/>
  <c r="AH321" i="2"/>
  <c r="K322" i="2"/>
  <c r="W322" i="2"/>
  <c r="AK322" i="2"/>
  <c r="Y324" i="2"/>
  <c r="D327" i="2"/>
  <c r="AB327" i="2"/>
  <c r="G330" i="2"/>
  <c r="S330" i="2"/>
  <c r="AH333" i="2"/>
  <c r="K334" i="2"/>
  <c r="W334" i="2"/>
  <c r="AK334" i="2"/>
  <c r="X335" i="2"/>
  <c r="Y336" i="2"/>
  <c r="C338" i="2"/>
  <c r="D339" i="2"/>
  <c r="AB339" i="2"/>
  <c r="R341" i="2"/>
  <c r="AD341" i="2"/>
  <c r="G342" i="2"/>
  <c r="S342" i="2"/>
  <c r="H343" i="2"/>
  <c r="T343" i="2"/>
  <c r="AF343" i="2"/>
  <c r="U344" i="2"/>
  <c r="AG344" i="2"/>
  <c r="V345" i="2"/>
  <c r="AH345" i="2"/>
  <c r="K346" i="2"/>
  <c r="W346" i="2"/>
  <c r="AK346" i="2"/>
  <c r="X347" i="2"/>
  <c r="Y348" i="2"/>
  <c r="Z349" i="2"/>
  <c r="C350" i="2"/>
  <c r="D351" i="2"/>
  <c r="AB351" i="2"/>
  <c r="R353" i="2"/>
  <c r="AD353" i="2"/>
  <c r="H355" i="2"/>
  <c r="T355" i="2"/>
  <c r="AF355" i="2"/>
  <c r="U356" i="2"/>
  <c r="AG356" i="2"/>
  <c r="V357" i="2"/>
  <c r="AH357" i="2"/>
  <c r="K358" i="2"/>
  <c r="W358" i="2"/>
  <c r="AK358" i="2"/>
  <c r="X359" i="2"/>
  <c r="Y360" i="2"/>
  <c r="Z361" i="2"/>
  <c r="C362" i="2"/>
  <c r="D363" i="2"/>
  <c r="AB363" i="2"/>
  <c r="R365" i="2"/>
  <c r="AD365" i="2"/>
  <c r="H367" i="2"/>
  <c r="T367" i="2"/>
  <c r="AF367" i="2"/>
  <c r="U368" i="2"/>
  <c r="AG368" i="2"/>
  <c r="J369" i="2"/>
  <c r="V369" i="2"/>
  <c r="AH369" i="2"/>
  <c r="AK370" i="2"/>
  <c r="X371" i="2"/>
  <c r="Y372" i="2"/>
  <c r="Z373" i="2"/>
  <c r="C374" i="2"/>
  <c r="AB375" i="2"/>
  <c r="R377" i="2"/>
  <c r="AD377" i="2"/>
  <c r="H379" i="2"/>
  <c r="T379" i="2"/>
  <c r="AF379" i="2"/>
  <c r="U380" i="2"/>
  <c r="AG380" i="2"/>
  <c r="V381" i="2"/>
  <c r="AH381" i="2"/>
  <c r="X383" i="2"/>
  <c r="Y384" i="2"/>
  <c r="Z385" i="2"/>
  <c r="C386" i="2"/>
  <c r="J389" i="2"/>
  <c r="Z389" i="2"/>
  <c r="J392" i="2"/>
  <c r="Y392" i="2"/>
  <c r="C394" i="2"/>
  <c r="S394" i="2"/>
  <c r="AK395" i="2"/>
  <c r="W395" i="2"/>
  <c r="K395" i="2"/>
  <c r="AG395" i="2"/>
  <c r="U395" i="2"/>
  <c r="AD395" i="2"/>
  <c r="R395" i="2"/>
  <c r="AC395" i="2"/>
  <c r="X396" i="2"/>
  <c r="AH396" i="2"/>
  <c r="V396" i="2"/>
  <c r="J396" i="2"/>
  <c r="S396" i="2"/>
  <c r="G396" i="2"/>
  <c r="AD396" i="2"/>
  <c r="R396" i="2"/>
  <c r="Y398" i="2"/>
  <c r="K404" i="2"/>
  <c r="AC404" i="2"/>
  <c r="AD405" i="2"/>
  <c r="AK406" i="2"/>
  <c r="Y335" i="2"/>
  <c r="D338" i="2"/>
  <c r="AB338" i="2"/>
  <c r="V344" i="2"/>
  <c r="AH344" i="2"/>
  <c r="Y347" i="2"/>
  <c r="C349" i="2"/>
  <c r="AB350" i="2"/>
  <c r="Y359" i="2"/>
  <c r="C361" i="2"/>
  <c r="Y371" i="2"/>
  <c r="C373" i="2"/>
  <c r="AB374" i="2"/>
  <c r="Y383" i="2"/>
  <c r="C385" i="2"/>
  <c r="AD315" i="2"/>
  <c r="U318" i="2"/>
  <c r="AG318" i="2"/>
  <c r="Y322" i="2"/>
  <c r="U330" i="2"/>
  <c r="AG330" i="2"/>
  <c r="Y334" i="2"/>
  <c r="Z335" i="2"/>
  <c r="AC338" i="2"/>
  <c r="H341" i="2"/>
  <c r="T341" i="2"/>
  <c r="AF341" i="2"/>
  <c r="AG342" i="2"/>
  <c r="J343" i="2"/>
  <c r="V343" i="2"/>
  <c r="AH343" i="2"/>
  <c r="K344" i="2"/>
  <c r="W344" i="2"/>
  <c r="AK344" i="2"/>
  <c r="Y346" i="2"/>
  <c r="Z347" i="2"/>
  <c r="D349" i="2"/>
  <c r="AB349" i="2"/>
  <c r="AC350" i="2"/>
  <c r="R351" i="2"/>
  <c r="AD351" i="2"/>
  <c r="H353" i="2"/>
  <c r="T353" i="2"/>
  <c r="AF353" i="2"/>
  <c r="AG354" i="2"/>
  <c r="J355" i="2"/>
  <c r="V355" i="2"/>
  <c r="AH355" i="2"/>
  <c r="K356" i="2"/>
  <c r="W356" i="2"/>
  <c r="AK356" i="2"/>
  <c r="X357" i="2"/>
  <c r="Y358" i="2"/>
  <c r="Z359" i="2"/>
  <c r="C360" i="2"/>
  <c r="D361" i="2"/>
  <c r="AB361" i="2"/>
  <c r="AC362" i="2"/>
  <c r="R363" i="2"/>
  <c r="AD363" i="2"/>
  <c r="H365" i="2"/>
  <c r="T365" i="2"/>
  <c r="AF365" i="2"/>
  <c r="U366" i="2"/>
  <c r="AG366" i="2"/>
  <c r="J367" i="2"/>
  <c r="V367" i="2"/>
  <c r="AH367" i="2"/>
  <c r="K368" i="2"/>
  <c r="W368" i="2"/>
  <c r="AK368" i="2"/>
  <c r="X369" i="2"/>
  <c r="Y370" i="2"/>
  <c r="Z371" i="2"/>
  <c r="C372" i="2"/>
  <c r="D373" i="2"/>
  <c r="AB373" i="2"/>
  <c r="AC374" i="2"/>
  <c r="R375" i="2"/>
  <c r="AD375" i="2"/>
  <c r="H377" i="2"/>
  <c r="T377" i="2"/>
  <c r="AF377" i="2"/>
  <c r="AG378" i="2"/>
  <c r="J379" i="2"/>
  <c r="V379" i="2"/>
  <c r="AH379" i="2"/>
  <c r="K380" i="2"/>
  <c r="W380" i="2"/>
  <c r="AK380" i="2"/>
  <c r="X381" i="2"/>
  <c r="Y382" i="2"/>
  <c r="Z383" i="2"/>
  <c r="C384" i="2"/>
  <c r="D385" i="2"/>
  <c r="AB385" i="2"/>
  <c r="AC386" i="2"/>
  <c r="R387" i="2"/>
  <c r="AD387" i="2"/>
  <c r="AC392" i="2"/>
  <c r="U394" i="2"/>
  <c r="C395" i="2"/>
  <c r="T395" i="2"/>
  <c r="C396" i="2"/>
  <c r="U396" i="2"/>
  <c r="J398" i="2"/>
  <c r="AB398" i="2"/>
  <c r="AG404" i="2"/>
  <c r="AH405" i="2"/>
  <c r="D312" i="2"/>
  <c r="AB312" i="2"/>
  <c r="G315" i="2"/>
  <c r="S315" i="2"/>
  <c r="J318" i="2"/>
  <c r="V318" i="2"/>
  <c r="AH318" i="2"/>
  <c r="Y321" i="2"/>
  <c r="Z322" i="2"/>
  <c r="AB324" i="2"/>
  <c r="G327" i="2"/>
  <c r="S327" i="2"/>
  <c r="J330" i="2"/>
  <c r="V330" i="2"/>
  <c r="AH330" i="2"/>
  <c r="Y333" i="2"/>
  <c r="Z334" i="2"/>
  <c r="C335" i="2"/>
  <c r="D336" i="2"/>
  <c r="AB336" i="2"/>
  <c r="R338" i="2"/>
  <c r="AD338" i="2"/>
  <c r="G339" i="2"/>
  <c r="S339" i="2"/>
  <c r="U341" i="2"/>
  <c r="AG341" i="2"/>
  <c r="J342" i="2"/>
  <c r="V342" i="2"/>
  <c r="AH342" i="2"/>
  <c r="K343" i="2"/>
  <c r="W343" i="2"/>
  <c r="AK343" i="2"/>
  <c r="X344" i="2"/>
  <c r="Y345" i="2"/>
  <c r="Z346" i="2"/>
  <c r="C347" i="2"/>
  <c r="D348" i="2"/>
  <c r="AB348" i="2"/>
  <c r="AC349" i="2"/>
  <c r="R350" i="2"/>
  <c r="AD350" i="2"/>
  <c r="G351" i="2"/>
  <c r="S351" i="2"/>
  <c r="U353" i="2"/>
  <c r="AG353" i="2"/>
  <c r="J354" i="2"/>
  <c r="V354" i="2"/>
  <c r="AH354" i="2"/>
  <c r="K355" i="2"/>
  <c r="W355" i="2"/>
  <c r="AK355" i="2"/>
  <c r="X356" i="2"/>
  <c r="Y357" i="2"/>
  <c r="Z358" i="2"/>
  <c r="C359" i="2"/>
  <c r="D360" i="2"/>
  <c r="AB360" i="2"/>
  <c r="AC361" i="2"/>
  <c r="R362" i="2"/>
  <c r="AD362" i="2"/>
  <c r="G363" i="2"/>
  <c r="S363" i="2"/>
  <c r="U365" i="2"/>
  <c r="AG365" i="2"/>
  <c r="K367" i="2"/>
  <c r="W367" i="2"/>
  <c r="AK367" i="2"/>
  <c r="X368" i="2"/>
  <c r="Y369" i="2"/>
  <c r="C371" i="2"/>
  <c r="D372" i="2"/>
  <c r="AB372" i="2"/>
  <c r="AC373" i="2"/>
  <c r="R374" i="2"/>
  <c r="AD374" i="2"/>
  <c r="G375" i="2"/>
  <c r="S375" i="2"/>
  <c r="U377" i="2"/>
  <c r="AG377" i="2"/>
  <c r="K379" i="2"/>
  <c r="W379" i="2"/>
  <c r="AK379" i="2"/>
  <c r="X380" i="2"/>
  <c r="Y381" i="2"/>
  <c r="C383" i="2"/>
  <c r="D384" i="2"/>
  <c r="AB384" i="2"/>
  <c r="AC385" i="2"/>
  <c r="R386" i="2"/>
  <c r="AD386" i="2"/>
  <c r="S387" i="2"/>
  <c r="AC389" i="2"/>
  <c r="X389" i="2"/>
  <c r="AK389" i="2"/>
  <c r="W389" i="2"/>
  <c r="AD389" i="2"/>
  <c r="AD392" i="2"/>
  <c r="G394" i="2"/>
  <c r="W394" i="2"/>
  <c r="D395" i="2"/>
  <c r="V395" i="2"/>
  <c r="D396" i="2"/>
  <c r="W396" i="2"/>
  <c r="K398" i="2"/>
  <c r="AC398" i="2"/>
  <c r="AH404" i="2"/>
  <c r="X408" i="2"/>
  <c r="AK408" i="2"/>
  <c r="W408" i="2"/>
  <c r="K408" i="2"/>
  <c r="AH408" i="2"/>
  <c r="V408" i="2"/>
  <c r="J408" i="2"/>
  <c r="AG408" i="2"/>
  <c r="U408" i="2"/>
  <c r="AF408" i="2"/>
  <c r="T408" i="2"/>
  <c r="H408" i="2"/>
  <c r="S408" i="2"/>
  <c r="G408" i="2"/>
  <c r="AD408" i="2"/>
  <c r="R408" i="2"/>
  <c r="Z408" i="2"/>
  <c r="AC408" i="2"/>
  <c r="D335" i="2"/>
  <c r="AB335" i="2"/>
  <c r="G338" i="2"/>
  <c r="S338" i="2"/>
  <c r="AH341" i="2"/>
  <c r="X343" i="2"/>
  <c r="Y344" i="2"/>
  <c r="D347" i="2"/>
  <c r="AB347" i="2"/>
  <c r="R349" i="2"/>
  <c r="AD349" i="2"/>
  <c r="G350" i="2"/>
  <c r="S350" i="2"/>
  <c r="J353" i="2"/>
  <c r="V353" i="2"/>
  <c r="AH353" i="2"/>
  <c r="X355" i="2"/>
  <c r="Y356" i="2"/>
  <c r="D359" i="2"/>
  <c r="AB359" i="2"/>
  <c r="R361" i="2"/>
  <c r="AD361" i="2"/>
  <c r="G362" i="2"/>
  <c r="S362" i="2"/>
  <c r="J365" i="2"/>
  <c r="V365" i="2"/>
  <c r="AH365" i="2"/>
  <c r="X367" i="2"/>
  <c r="Y368" i="2"/>
  <c r="D371" i="2"/>
  <c r="AB371" i="2"/>
  <c r="R373" i="2"/>
  <c r="AD373" i="2"/>
  <c r="G374" i="2"/>
  <c r="S374" i="2"/>
  <c r="J377" i="2"/>
  <c r="V377" i="2"/>
  <c r="AH377" i="2"/>
  <c r="X379" i="2"/>
  <c r="Y380" i="2"/>
  <c r="D383" i="2"/>
  <c r="AB383" i="2"/>
  <c r="R385" i="2"/>
  <c r="AD385" i="2"/>
  <c r="G386" i="2"/>
  <c r="S386" i="2"/>
  <c r="H394" i="2"/>
  <c r="X394" i="2"/>
  <c r="AD398" i="2"/>
  <c r="AH406" i="2"/>
  <c r="V406" i="2"/>
  <c r="J406" i="2"/>
  <c r="AG406" i="2"/>
  <c r="AF406" i="2"/>
  <c r="T406" i="2"/>
  <c r="H406" i="2"/>
  <c r="S406" i="2"/>
  <c r="AC406" i="2"/>
  <c r="AB406" i="2"/>
  <c r="D406" i="2"/>
  <c r="R406" i="2"/>
  <c r="AC335" i="2"/>
  <c r="H338" i="2"/>
  <c r="T338" i="2"/>
  <c r="AF338" i="2"/>
  <c r="K341" i="2"/>
  <c r="W341" i="2"/>
  <c r="AK341" i="2"/>
  <c r="Y343" i="2"/>
  <c r="Z344" i="2"/>
  <c r="AC347" i="2"/>
  <c r="G349" i="2"/>
  <c r="S349" i="2"/>
  <c r="H350" i="2"/>
  <c r="T350" i="2"/>
  <c r="AF350" i="2"/>
  <c r="K353" i="2"/>
  <c r="W353" i="2"/>
  <c r="AK353" i="2"/>
  <c r="Y355" i="2"/>
  <c r="Z356" i="2"/>
  <c r="AC359" i="2"/>
  <c r="G361" i="2"/>
  <c r="S361" i="2"/>
  <c r="H362" i="2"/>
  <c r="T362" i="2"/>
  <c r="AF362" i="2"/>
  <c r="K365" i="2"/>
  <c r="W365" i="2"/>
  <c r="AK365" i="2"/>
  <c r="Y367" i="2"/>
  <c r="Z368" i="2"/>
  <c r="AC371" i="2"/>
  <c r="G373" i="2"/>
  <c r="S373" i="2"/>
  <c r="H374" i="2"/>
  <c r="T374" i="2"/>
  <c r="AF374" i="2"/>
  <c r="W377" i="2"/>
  <c r="AK377" i="2"/>
  <c r="Y379" i="2"/>
  <c r="Z380" i="2"/>
  <c r="AC383" i="2"/>
  <c r="G385" i="2"/>
  <c r="S385" i="2"/>
  <c r="H386" i="2"/>
  <c r="T386" i="2"/>
  <c r="AF386" i="2"/>
  <c r="AF392" i="2"/>
  <c r="T392" i="2"/>
  <c r="H392" i="2"/>
  <c r="C392" i="2"/>
  <c r="Z392" i="2"/>
  <c r="AG392" i="2"/>
  <c r="Y394" i="2"/>
  <c r="AF404" i="2"/>
  <c r="T404" i="2"/>
  <c r="H404" i="2"/>
  <c r="AD404" i="2"/>
  <c r="R404" i="2"/>
  <c r="C404" i="2"/>
  <c r="Z404" i="2"/>
  <c r="S404" i="2"/>
  <c r="AG405" i="2"/>
  <c r="U405" i="2"/>
  <c r="S405" i="2"/>
  <c r="G405" i="2"/>
  <c r="AB405" i="2"/>
  <c r="D405" i="2"/>
  <c r="C405" i="2"/>
  <c r="T405" i="2"/>
  <c r="U406" i="2"/>
  <c r="Y318" i="2"/>
  <c r="AC322" i="2"/>
  <c r="Y330" i="2"/>
  <c r="AC334" i="2"/>
  <c r="R335" i="2"/>
  <c r="AD335" i="2"/>
  <c r="U338" i="2"/>
  <c r="AG338" i="2"/>
  <c r="X341" i="2"/>
  <c r="Y342" i="2"/>
  <c r="Z343" i="2"/>
  <c r="C344" i="2"/>
  <c r="AC346" i="2"/>
  <c r="R347" i="2"/>
  <c r="AD347" i="2"/>
  <c r="S348" i="2"/>
  <c r="H349" i="2"/>
  <c r="T349" i="2"/>
  <c r="AF349" i="2"/>
  <c r="U350" i="2"/>
  <c r="AG350" i="2"/>
  <c r="J351" i="2"/>
  <c r="V351" i="2"/>
  <c r="AH351" i="2"/>
  <c r="X353" i="2"/>
  <c r="Y354" i="2"/>
  <c r="Z355" i="2"/>
  <c r="C356" i="2"/>
  <c r="D357" i="2"/>
  <c r="AB357" i="2"/>
  <c r="AC358" i="2"/>
  <c r="R359" i="2"/>
  <c r="AD359" i="2"/>
  <c r="G360" i="2"/>
  <c r="S360" i="2"/>
  <c r="H361" i="2"/>
  <c r="T361" i="2"/>
  <c r="AF361" i="2"/>
  <c r="U362" i="2"/>
  <c r="AG362" i="2"/>
  <c r="J363" i="2"/>
  <c r="V363" i="2"/>
  <c r="AH363" i="2"/>
  <c r="X365" i="2"/>
  <c r="Y366" i="2"/>
  <c r="Z367" i="2"/>
  <c r="C368" i="2"/>
  <c r="D369" i="2"/>
  <c r="AB369" i="2"/>
  <c r="AC370" i="2"/>
  <c r="R371" i="2"/>
  <c r="AD371" i="2"/>
  <c r="G372" i="2"/>
  <c r="S372" i="2"/>
  <c r="H373" i="2"/>
  <c r="T373" i="2"/>
  <c r="AF373" i="2"/>
  <c r="U374" i="2"/>
  <c r="AG374" i="2"/>
  <c r="J375" i="2"/>
  <c r="V375" i="2"/>
  <c r="AH375" i="2"/>
  <c r="X377" i="2"/>
  <c r="Y378" i="2"/>
  <c r="Z379" i="2"/>
  <c r="C380" i="2"/>
  <c r="D381" i="2"/>
  <c r="AB381" i="2"/>
  <c r="AC382" i="2"/>
  <c r="R383" i="2"/>
  <c r="AD383" i="2"/>
  <c r="G384" i="2"/>
  <c r="S384" i="2"/>
  <c r="H385" i="2"/>
  <c r="T385" i="2"/>
  <c r="AF385" i="2"/>
  <c r="U386" i="2"/>
  <c r="AG386" i="2"/>
  <c r="J387" i="2"/>
  <c r="V387" i="2"/>
  <c r="AH387" i="2"/>
  <c r="D389" i="2"/>
  <c r="R389" i="2"/>
  <c r="AG389" i="2"/>
  <c r="R392" i="2"/>
  <c r="AH392" i="2"/>
  <c r="K394" i="2"/>
  <c r="Z394" i="2"/>
  <c r="H395" i="2"/>
  <c r="Z395" i="2"/>
  <c r="U404" i="2"/>
  <c r="V405" i="2"/>
  <c r="C406" i="2"/>
  <c r="W406" i="2"/>
  <c r="D408" i="2"/>
  <c r="G335" i="2"/>
  <c r="S335" i="2"/>
  <c r="J338" i="2"/>
  <c r="V338" i="2"/>
  <c r="AH338" i="2"/>
  <c r="Y341" i="2"/>
  <c r="D344" i="2"/>
  <c r="AB344" i="2"/>
  <c r="G347" i="2"/>
  <c r="S347" i="2"/>
  <c r="U349" i="2"/>
  <c r="AG349" i="2"/>
  <c r="J350" i="2"/>
  <c r="V350" i="2"/>
  <c r="AH350" i="2"/>
  <c r="Y353" i="2"/>
  <c r="C355" i="2"/>
  <c r="D356" i="2"/>
  <c r="AB356" i="2"/>
  <c r="G359" i="2"/>
  <c r="S359" i="2"/>
  <c r="U361" i="2"/>
  <c r="AG361" i="2"/>
  <c r="J362" i="2"/>
  <c r="V362" i="2"/>
  <c r="AH362" i="2"/>
  <c r="Y365" i="2"/>
  <c r="C367" i="2"/>
  <c r="D368" i="2"/>
  <c r="AB368" i="2"/>
  <c r="G371" i="2"/>
  <c r="S371" i="2"/>
  <c r="U373" i="2"/>
  <c r="AG373" i="2"/>
  <c r="J374" i="2"/>
  <c r="V374" i="2"/>
  <c r="AH374" i="2"/>
  <c r="Y377" i="2"/>
  <c r="C379" i="2"/>
  <c r="D380" i="2"/>
  <c r="AB380" i="2"/>
  <c r="G383" i="2"/>
  <c r="S383" i="2"/>
  <c r="U385" i="2"/>
  <c r="AG385" i="2"/>
  <c r="J386" i="2"/>
  <c r="V386" i="2"/>
  <c r="AH386" i="2"/>
  <c r="Z398" i="2"/>
  <c r="X398" i="2"/>
  <c r="AG398" i="2"/>
  <c r="U398" i="2"/>
  <c r="AF398" i="2"/>
  <c r="T398" i="2"/>
  <c r="H398" i="2"/>
  <c r="AK398" i="2"/>
  <c r="X406" i="2"/>
  <c r="U312" i="2"/>
  <c r="C318" i="2"/>
  <c r="R321" i="2"/>
  <c r="G322" i="2"/>
  <c r="S322" i="2"/>
  <c r="U324" i="2"/>
  <c r="C330" i="2"/>
  <c r="R333" i="2"/>
  <c r="G334" i="2"/>
  <c r="S334" i="2"/>
  <c r="H335" i="2"/>
  <c r="T335" i="2"/>
  <c r="U336" i="2"/>
  <c r="K338" i="2"/>
  <c r="W338" i="2"/>
  <c r="C342" i="2"/>
  <c r="D343" i="2"/>
  <c r="R345" i="2"/>
  <c r="G346" i="2"/>
  <c r="S346" i="2"/>
  <c r="H347" i="2"/>
  <c r="T347" i="2"/>
  <c r="U348" i="2"/>
  <c r="J349" i="2"/>
  <c r="V349" i="2"/>
  <c r="K350" i="2"/>
  <c r="W350" i="2"/>
  <c r="C354" i="2"/>
  <c r="D355" i="2"/>
  <c r="R357" i="2"/>
  <c r="G358" i="2"/>
  <c r="S358" i="2"/>
  <c r="H359" i="2"/>
  <c r="T359" i="2"/>
  <c r="U360" i="2"/>
  <c r="J361" i="2"/>
  <c r="V361" i="2"/>
  <c r="K362" i="2"/>
  <c r="W362" i="2"/>
  <c r="C366" i="2"/>
  <c r="D367" i="2"/>
  <c r="R369" i="2"/>
  <c r="G370" i="2"/>
  <c r="S370" i="2"/>
  <c r="H371" i="2"/>
  <c r="T371" i="2"/>
  <c r="U372" i="2"/>
  <c r="J373" i="2"/>
  <c r="V373" i="2"/>
  <c r="K374" i="2"/>
  <c r="W374" i="2"/>
  <c r="C378" i="2"/>
  <c r="D379" i="2"/>
  <c r="R381" i="2"/>
  <c r="G382" i="2"/>
  <c r="S382" i="2"/>
  <c r="H383" i="2"/>
  <c r="T383" i="2"/>
  <c r="U384" i="2"/>
  <c r="J385" i="2"/>
  <c r="V385" i="2"/>
  <c r="K386" i="2"/>
  <c r="W386" i="2"/>
  <c r="AB388" i="2"/>
  <c r="AK388" i="2"/>
  <c r="W388" i="2"/>
  <c r="T389" i="2"/>
  <c r="U392" i="2"/>
  <c r="AG393" i="2"/>
  <c r="U393" i="2"/>
  <c r="AB393" i="2"/>
  <c r="D393" i="2"/>
  <c r="C393" i="2"/>
  <c r="R393" i="2"/>
  <c r="AH393" i="2"/>
  <c r="AD394" i="2"/>
  <c r="AB395" i="2"/>
  <c r="AC396" i="2"/>
  <c r="R398" i="2"/>
  <c r="AB400" i="2"/>
  <c r="D400" i="2"/>
  <c r="Z400" i="2"/>
  <c r="AK400" i="2"/>
  <c r="W400" i="2"/>
  <c r="K400" i="2"/>
  <c r="AH400" i="2"/>
  <c r="V400" i="2"/>
  <c r="J400" i="2"/>
  <c r="R400" i="2"/>
  <c r="AC401" i="2"/>
  <c r="C401" i="2"/>
  <c r="X401" i="2"/>
  <c r="AK401" i="2"/>
  <c r="W401" i="2"/>
  <c r="K401" i="2"/>
  <c r="R401" i="2"/>
  <c r="AH401" i="2"/>
  <c r="W404" i="2"/>
  <c r="X405" i="2"/>
  <c r="Y406" i="2"/>
  <c r="U416" i="2"/>
  <c r="AG416" i="2"/>
  <c r="J417" i="2"/>
  <c r="V417" i="2"/>
  <c r="AH417" i="2"/>
  <c r="K418" i="2"/>
  <c r="W418" i="2"/>
  <c r="AK418" i="2"/>
  <c r="Y420" i="2"/>
  <c r="U428" i="2"/>
  <c r="AG428" i="2"/>
  <c r="J429" i="2"/>
  <c r="V429" i="2"/>
  <c r="AH429" i="2"/>
  <c r="K430" i="2"/>
  <c r="W430" i="2"/>
  <c r="AK430" i="2"/>
  <c r="Y432" i="2"/>
  <c r="R437" i="2"/>
  <c r="AD437" i="2"/>
  <c r="U440" i="2"/>
  <c r="AG440" i="2"/>
  <c r="J441" i="2"/>
  <c r="V441" i="2"/>
  <c r="AH441" i="2"/>
  <c r="K442" i="2"/>
  <c r="W442" i="2"/>
  <c r="AK442" i="2"/>
  <c r="X443" i="2"/>
  <c r="Y444" i="2"/>
  <c r="AC448" i="2"/>
  <c r="R449" i="2"/>
  <c r="AD449" i="2"/>
  <c r="S453" i="2"/>
  <c r="AF453" i="2"/>
  <c r="J454" i="2"/>
  <c r="X454" i="2"/>
  <c r="C455" i="2"/>
  <c r="R455" i="2"/>
  <c r="AF455" i="2"/>
  <c r="K456" i="2"/>
  <c r="R461" i="2"/>
  <c r="AB467" i="2"/>
  <c r="D467" i="2"/>
  <c r="Z467" i="2"/>
  <c r="AK467" i="2"/>
  <c r="W467" i="2"/>
  <c r="K467" i="2"/>
  <c r="AH467" i="2"/>
  <c r="V467" i="2"/>
  <c r="J467" i="2"/>
  <c r="AF467" i="2"/>
  <c r="T467" i="2"/>
  <c r="H467" i="2"/>
  <c r="AC467" i="2"/>
  <c r="U467" i="2"/>
  <c r="Y407" i="2"/>
  <c r="AB410" i="2"/>
  <c r="AD412" i="2"/>
  <c r="G413" i="2"/>
  <c r="S413" i="2"/>
  <c r="J416" i="2"/>
  <c r="V416" i="2"/>
  <c r="AH416" i="2"/>
  <c r="K417" i="2"/>
  <c r="W417" i="2"/>
  <c r="AK417" i="2"/>
  <c r="X418" i="2"/>
  <c r="Y419" i="2"/>
  <c r="Z420" i="2"/>
  <c r="G425" i="2"/>
  <c r="S425" i="2"/>
  <c r="J428" i="2"/>
  <c r="V428" i="2"/>
  <c r="AH428" i="2"/>
  <c r="K429" i="2"/>
  <c r="W429" i="2"/>
  <c r="AK429" i="2"/>
  <c r="X430" i="2"/>
  <c r="Y431" i="2"/>
  <c r="Z432" i="2"/>
  <c r="G437" i="2"/>
  <c r="S437" i="2"/>
  <c r="J440" i="2"/>
  <c r="V440" i="2"/>
  <c r="AH440" i="2"/>
  <c r="K441" i="2"/>
  <c r="W441" i="2"/>
  <c r="AK441" i="2"/>
  <c r="X442" i="2"/>
  <c r="Y443" i="2"/>
  <c r="Z444" i="2"/>
  <c r="AD448" i="2"/>
  <c r="S449" i="2"/>
  <c r="X451" i="2"/>
  <c r="K454" i="2"/>
  <c r="Y454" i="2"/>
  <c r="AF459" i="2"/>
  <c r="T459" i="2"/>
  <c r="H459" i="2"/>
  <c r="C459" i="2"/>
  <c r="Z459" i="2"/>
  <c r="X459" i="2"/>
  <c r="AG459" i="2"/>
  <c r="U459" i="2"/>
  <c r="S459" i="2"/>
  <c r="AK474" i="2"/>
  <c r="W474" i="2"/>
  <c r="K474" i="2"/>
  <c r="AG474" i="2"/>
  <c r="U474" i="2"/>
  <c r="AD474" i="2"/>
  <c r="R474" i="2"/>
  <c r="AC474" i="2"/>
  <c r="C474" i="2"/>
  <c r="X474" i="2"/>
  <c r="V474" i="2"/>
  <c r="Z477" i="2"/>
  <c r="X477" i="2"/>
  <c r="AK477" i="2"/>
  <c r="W477" i="2"/>
  <c r="K477" i="2"/>
  <c r="AG477" i="2"/>
  <c r="U477" i="2"/>
  <c r="AF477" i="2"/>
  <c r="T477" i="2"/>
  <c r="H477" i="2"/>
  <c r="AD477" i="2"/>
  <c r="R477" i="2"/>
  <c r="C477" i="2"/>
  <c r="AB477" i="2"/>
  <c r="X417" i="2"/>
  <c r="Y418" i="2"/>
  <c r="W428" i="2"/>
  <c r="AK428" i="2"/>
  <c r="X429" i="2"/>
  <c r="Y430" i="2"/>
  <c r="AK440" i="2"/>
  <c r="Y442" i="2"/>
  <c r="Z454" i="2"/>
  <c r="AH461" i="2"/>
  <c r="V461" i="2"/>
  <c r="J461" i="2"/>
  <c r="AF461" i="2"/>
  <c r="T461" i="2"/>
  <c r="H461" i="2"/>
  <c r="AC461" i="2"/>
  <c r="AB461" i="2"/>
  <c r="D461" i="2"/>
  <c r="Z461" i="2"/>
  <c r="AK461" i="2"/>
  <c r="W461" i="2"/>
  <c r="K461" i="2"/>
  <c r="U461" i="2"/>
  <c r="Y474" i="2"/>
  <c r="Y417" i="2"/>
  <c r="Z418" i="2"/>
  <c r="X428" i="2"/>
  <c r="Y429" i="2"/>
  <c r="Z430" i="2"/>
  <c r="AB432" i="2"/>
  <c r="U437" i="2"/>
  <c r="AG437" i="2"/>
  <c r="X440" i="2"/>
  <c r="Y441" i="2"/>
  <c r="Z442" i="2"/>
  <c r="AB444" i="2"/>
  <c r="H448" i="2"/>
  <c r="T448" i="2"/>
  <c r="AF448" i="2"/>
  <c r="U449" i="2"/>
  <c r="AG449" i="2"/>
  <c r="C451" i="2"/>
  <c r="AC451" i="2"/>
  <c r="V453" i="2"/>
  <c r="AK453" i="2"/>
  <c r="U455" i="2"/>
  <c r="AC456" i="2"/>
  <c r="X456" i="2"/>
  <c r="AG456" i="2"/>
  <c r="U456" i="2"/>
  <c r="D459" i="2"/>
  <c r="W459" i="2"/>
  <c r="X461" i="2"/>
  <c r="Z474" i="2"/>
  <c r="D477" i="2"/>
  <c r="Y416" i="2"/>
  <c r="Z417" i="2"/>
  <c r="C418" i="2"/>
  <c r="AC420" i="2"/>
  <c r="Y428" i="2"/>
  <c r="Z429" i="2"/>
  <c r="C430" i="2"/>
  <c r="AC432" i="2"/>
  <c r="AH437" i="2"/>
  <c r="Y440" i="2"/>
  <c r="Z441" i="2"/>
  <c r="C442" i="2"/>
  <c r="C454" i="2"/>
  <c r="AH454" i="2"/>
  <c r="V454" i="2"/>
  <c r="AC454" i="2"/>
  <c r="C461" i="2"/>
  <c r="Y461" i="2"/>
  <c r="X390" i="2"/>
  <c r="Y391" i="2"/>
  <c r="U399" i="2"/>
  <c r="AG399" i="2"/>
  <c r="X402" i="2"/>
  <c r="Y403" i="2"/>
  <c r="AC407" i="2"/>
  <c r="S409" i="2"/>
  <c r="H410" i="2"/>
  <c r="T410" i="2"/>
  <c r="AF410" i="2"/>
  <c r="U411" i="2"/>
  <c r="AG411" i="2"/>
  <c r="J412" i="2"/>
  <c r="V412" i="2"/>
  <c r="AH412" i="2"/>
  <c r="K413" i="2"/>
  <c r="W413" i="2"/>
  <c r="AK413" i="2"/>
  <c r="X414" i="2"/>
  <c r="Y415" i="2"/>
  <c r="Z416" i="2"/>
  <c r="C417" i="2"/>
  <c r="D418" i="2"/>
  <c r="AB418" i="2"/>
  <c r="AC419" i="2"/>
  <c r="R420" i="2"/>
  <c r="AD420" i="2"/>
  <c r="H422" i="2"/>
  <c r="T422" i="2"/>
  <c r="AF422" i="2"/>
  <c r="U423" i="2"/>
  <c r="AG423" i="2"/>
  <c r="J424" i="2"/>
  <c r="V424" i="2"/>
  <c r="AH424" i="2"/>
  <c r="K425" i="2"/>
  <c r="W425" i="2"/>
  <c r="AK425" i="2"/>
  <c r="Y427" i="2"/>
  <c r="Z428" i="2"/>
  <c r="C429" i="2"/>
  <c r="D430" i="2"/>
  <c r="AB430" i="2"/>
  <c r="AC431" i="2"/>
  <c r="R432" i="2"/>
  <c r="AD432" i="2"/>
  <c r="H434" i="2"/>
  <c r="T434" i="2"/>
  <c r="AF434" i="2"/>
  <c r="U435" i="2"/>
  <c r="AG435" i="2"/>
  <c r="J436" i="2"/>
  <c r="V436" i="2"/>
  <c r="AH436" i="2"/>
  <c r="K437" i="2"/>
  <c r="W437" i="2"/>
  <c r="AK437" i="2"/>
  <c r="X438" i="2"/>
  <c r="Y439" i="2"/>
  <c r="Z440" i="2"/>
  <c r="C441" i="2"/>
  <c r="D442" i="2"/>
  <c r="AB442" i="2"/>
  <c r="AC443" i="2"/>
  <c r="R444" i="2"/>
  <c r="AD444" i="2"/>
  <c r="H446" i="2"/>
  <c r="T446" i="2"/>
  <c r="AF446" i="2"/>
  <c r="U447" i="2"/>
  <c r="AG447" i="2"/>
  <c r="J448" i="2"/>
  <c r="V448" i="2"/>
  <c r="AH448" i="2"/>
  <c r="K449" i="2"/>
  <c r="W449" i="2"/>
  <c r="AK450" i="2"/>
  <c r="W450" i="2"/>
  <c r="K450" i="2"/>
  <c r="R451" i="2"/>
  <c r="K453" i="2"/>
  <c r="X453" i="2"/>
  <c r="AD454" i="2"/>
  <c r="X455" i="2"/>
  <c r="C456" i="2"/>
  <c r="R456" i="2"/>
  <c r="AH456" i="2"/>
  <c r="AB459" i="2"/>
  <c r="G467" i="2"/>
  <c r="S468" i="2"/>
  <c r="G474" i="2"/>
  <c r="G477" i="2"/>
  <c r="Y390" i="2"/>
  <c r="Z391" i="2"/>
  <c r="AF397" i="2"/>
  <c r="J399" i="2"/>
  <c r="V399" i="2"/>
  <c r="AH399" i="2"/>
  <c r="Y402" i="2"/>
  <c r="Z403" i="2"/>
  <c r="R407" i="2"/>
  <c r="AD407" i="2"/>
  <c r="AF409" i="2"/>
  <c r="U410" i="2"/>
  <c r="AG410" i="2"/>
  <c r="J411" i="2"/>
  <c r="V411" i="2"/>
  <c r="AH411" i="2"/>
  <c r="K412" i="2"/>
  <c r="W412" i="2"/>
  <c r="AK412" i="2"/>
  <c r="X413" i="2"/>
  <c r="Y414" i="2"/>
  <c r="Z415" i="2"/>
  <c r="C416" i="2"/>
  <c r="D417" i="2"/>
  <c r="AB417" i="2"/>
  <c r="AC418" i="2"/>
  <c r="R419" i="2"/>
  <c r="AD419" i="2"/>
  <c r="G420" i="2"/>
  <c r="S420" i="2"/>
  <c r="T421" i="2"/>
  <c r="AF421" i="2"/>
  <c r="U422" i="2"/>
  <c r="AG422" i="2"/>
  <c r="J423" i="2"/>
  <c r="V423" i="2"/>
  <c r="AH423" i="2"/>
  <c r="K424" i="2"/>
  <c r="W424" i="2"/>
  <c r="AK424" i="2"/>
  <c r="X425" i="2"/>
  <c r="Y426" i="2"/>
  <c r="Z427" i="2"/>
  <c r="C428" i="2"/>
  <c r="D429" i="2"/>
  <c r="AB429" i="2"/>
  <c r="AC430" i="2"/>
  <c r="R431" i="2"/>
  <c r="AD431" i="2"/>
  <c r="G432" i="2"/>
  <c r="S432" i="2"/>
  <c r="U434" i="2"/>
  <c r="AG434" i="2"/>
  <c r="J435" i="2"/>
  <c r="V435" i="2"/>
  <c r="AH435" i="2"/>
  <c r="K436" i="2"/>
  <c r="W436" i="2"/>
  <c r="AK436" i="2"/>
  <c r="X437" i="2"/>
  <c r="Y438" i="2"/>
  <c r="Z439" i="2"/>
  <c r="C440" i="2"/>
  <c r="D441" i="2"/>
  <c r="AB441" i="2"/>
  <c r="AC442" i="2"/>
  <c r="R443" i="2"/>
  <c r="AD443" i="2"/>
  <c r="G444" i="2"/>
  <c r="S444" i="2"/>
  <c r="U446" i="2"/>
  <c r="AG446" i="2"/>
  <c r="J447" i="2"/>
  <c r="V447" i="2"/>
  <c r="AH447" i="2"/>
  <c r="K448" i="2"/>
  <c r="W448" i="2"/>
  <c r="AK448" i="2"/>
  <c r="X449" i="2"/>
  <c r="AB450" i="2"/>
  <c r="S451" i="2"/>
  <c r="AF451" i="2"/>
  <c r="D454" i="2"/>
  <c r="J455" i="2"/>
  <c r="Y455" i="2"/>
  <c r="D456" i="2"/>
  <c r="S456" i="2"/>
  <c r="AK456" i="2"/>
  <c r="G459" i="2"/>
  <c r="AC459" i="2"/>
  <c r="AD461" i="2"/>
  <c r="AG467" i="2"/>
  <c r="S471" i="2"/>
  <c r="AH473" i="2"/>
  <c r="V473" i="2"/>
  <c r="J473" i="2"/>
  <c r="AF473" i="2"/>
  <c r="T473" i="2"/>
  <c r="H473" i="2"/>
  <c r="AC473" i="2"/>
  <c r="AB473" i="2"/>
  <c r="D473" i="2"/>
  <c r="Z473" i="2"/>
  <c r="AK473" i="2"/>
  <c r="W473" i="2"/>
  <c r="K473" i="2"/>
  <c r="U473" i="2"/>
  <c r="H474" i="2"/>
  <c r="AF474" i="2"/>
  <c r="J477" i="2"/>
  <c r="S407" i="2"/>
  <c r="AH410" i="2"/>
  <c r="Y413" i="2"/>
  <c r="D416" i="2"/>
  <c r="AB416" i="2"/>
  <c r="AC417" i="2"/>
  <c r="R418" i="2"/>
  <c r="AD418" i="2"/>
  <c r="H420" i="2"/>
  <c r="T420" i="2"/>
  <c r="AF420" i="2"/>
  <c r="Y425" i="2"/>
  <c r="D428" i="2"/>
  <c r="AB428" i="2"/>
  <c r="AC429" i="2"/>
  <c r="R430" i="2"/>
  <c r="AD430" i="2"/>
  <c r="S431" i="2"/>
  <c r="H432" i="2"/>
  <c r="T432" i="2"/>
  <c r="AF432" i="2"/>
  <c r="Y437" i="2"/>
  <c r="D440" i="2"/>
  <c r="AB440" i="2"/>
  <c r="AC441" i="2"/>
  <c r="R442" i="2"/>
  <c r="AD442" i="2"/>
  <c r="S443" i="2"/>
  <c r="T444" i="2"/>
  <c r="AF444" i="2"/>
  <c r="X448" i="2"/>
  <c r="Y449" i="2"/>
  <c r="G451" i="2"/>
  <c r="T451" i="2"/>
  <c r="AG451" i="2"/>
  <c r="Z453" i="2"/>
  <c r="R454" i="2"/>
  <c r="AF454" i="2"/>
  <c r="Z455" i="2"/>
  <c r="T456" i="2"/>
  <c r="J459" i="2"/>
  <c r="AD459" i="2"/>
  <c r="G461" i="2"/>
  <c r="AC468" i="2"/>
  <c r="C468" i="2"/>
  <c r="X468" i="2"/>
  <c r="AK468" i="2"/>
  <c r="W468" i="2"/>
  <c r="K468" i="2"/>
  <c r="AG468" i="2"/>
  <c r="U468" i="2"/>
  <c r="AD468" i="2"/>
  <c r="R468" i="2"/>
  <c r="V468" i="2"/>
  <c r="J474" i="2"/>
  <c r="AH474" i="2"/>
  <c r="H407" i="2"/>
  <c r="T407" i="2"/>
  <c r="AF407" i="2"/>
  <c r="K410" i="2"/>
  <c r="W410" i="2"/>
  <c r="AK410" i="2"/>
  <c r="Y412" i="2"/>
  <c r="Z413" i="2"/>
  <c r="AC416" i="2"/>
  <c r="R417" i="2"/>
  <c r="AD417" i="2"/>
  <c r="G418" i="2"/>
  <c r="S418" i="2"/>
  <c r="H419" i="2"/>
  <c r="T419" i="2"/>
  <c r="AF419" i="2"/>
  <c r="U420" i="2"/>
  <c r="AG420" i="2"/>
  <c r="K422" i="2"/>
  <c r="W422" i="2"/>
  <c r="AK422" i="2"/>
  <c r="Y424" i="2"/>
  <c r="Z425" i="2"/>
  <c r="AC428" i="2"/>
  <c r="R429" i="2"/>
  <c r="AD429" i="2"/>
  <c r="G430" i="2"/>
  <c r="S430" i="2"/>
  <c r="H431" i="2"/>
  <c r="T431" i="2"/>
  <c r="AF431" i="2"/>
  <c r="U432" i="2"/>
  <c r="AG432" i="2"/>
  <c r="W434" i="2"/>
  <c r="AK434" i="2"/>
  <c r="Y436" i="2"/>
  <c r="Z437" i="2"/>
  <c r="AC440" i="2"/>
  <c r="R441" i="2"/>
  <c r="AD441" i="2"/>
  <c r="G442" i="2"/>
  <c r="S442" i="2"/>
  <c r="H443" i="2"/>
  <c r="T443" i="2"/>
  <c r="AF443" i="2"/>
  <c r="U444" i="2"/>
  <c r="AG444" i="2"/>
  <c r="Y448" i="2"/>
  <c r="Z449" i="2"/>
  <c r="H451" i="2"/>
  <c r="U451" i="2"/>
  <c r="AH451" i="2"/>
  <c r="AB453" i="2"/>
  <c r="S454" i="2"/>
  <c r="AG454" i="2"/>
  <c r="V456" i="2"/>
  <c r="K459" i="2"/>
  <c r="AG461" i="2"/>
  <c r="Y468" i="2"/>
  <c r="AF471" i="2"/>
  <c r="T471" i="2"/>
  <c r="H471" i="2"/>
  <c r="AD471" i="2"/>
  <c r="R471" i="2"/>
  <c r="C471" i="2"/>
  <c r="Z471" i="2"/>
  <c r="X471" i="2"/>
  <c r="AG471" i="2"/>
  <c r="U471" i="2"/>
  <c r="W471" i="2"/>
  <c r="Y399" i="2"/>
  <c r="U407" i="2"/>
  <c r="AG407" i="2"/>
  <c r="X410" i="2"/>
  <c r="Y411" i="2"/>
  <c r="Z412" i="2"/>
  <c r="C413" i="2"/>
  <c r="R416" i="2"/>
  <c r="AD416" i="2"/>
  <c r="G417" i="2"/>
  <c r="S417" i="2"/>
  <c r="H418" i="2"/>
  <c r="T418" i="2"/>
  <c r="AF418" i="2"/>
  <c r="U419" i="2"/>
  <c r="AG419" i="2"/>
  <c r="J420" i="2"/>
  <c r="V420" i="2"/>
  <c r="AH420" i="2"/>
  <c r="X422" i="2"/>
  <c r="Y423" i="2"/>
  <c r="Z424" i="2"/>
  <c r="C425" i="2"/>
  <c r="R428" i="2"/>
  <c r="AD428" i="2"/>
  <c r="G429" i="2"/>
  <c r="S429" i="2"/>
  <c r="H430" i="2"/>
  <c r="T430" i="2"/>
  <c r="AF430" i="2"/>
  <c r="U431" i="2"/>
  <c r="AG431" i="2"/>
  <c r="J432" i="2"/>
  <c r="V432" i="2"/>
  <c r="AH432" i="2"/>
  <c r="X434" i="2"/>
  <c r="Y435" i="2"/>
  <c r="Z436" i="2"/>
  <c r="C437" i="2"/>
  <c r="R440" i="2"/>
  <c r="AD440" i="2"/>
  <c r="G441" i="2"/>
  <c r="S441" i="2"/>
  <c r="H442" i="2"/>
  <c r="T442" i="2"/>
  <c r="AF442" i="2"/>
  <c r="U443" i="2"/>
  <c r="AG443" i="2"/>
  <c r="J444" i="2"/>
  <c r="V444" i="2"/>
  <c r="AH444" i="2"/>
  <c r="X446" i="2"/>
  <c r="Y447" i="2"/>
  <c r="Z448" i="2"/>
  <c r="C449" i="2"/>
  <c r="V451" i="2"/>
  <c r="AK451" i="2"/>
  <c r="C453" i="2"/>
  <c r="AC453" i="2"/>
  <c r="G454" i="2"/>
  <c r="T454" i="2"/>
  <c r="AK454" i="2"/>
  <c r="G456" i="2"/>
  <c r="W456" i="2"/>
  <c r="AH459" i="2"/>
  <c r="AK462" i="2"/>
  <c r="W462" i="2"/>
  <c r="K462" i="2"/>
  <c r="AG462" i="2"/>
  <c r="U462" i="2"/>
  <c r="AD462" i="2"/>
  <c r="R462" i="2"/>
  <c r="AC462" i="2"/>
  <c r="C462" i="2"/>
  <c r="X462" i="2"/>
  <c r="V462" i="2"/>
  <c r="D468" i="2"/>
  <c r="Z468" i="2"/>
  <c r="Y471" i="2"/>
  <c r="J407" i="2"/>
  <c r="V407" i="2"/>
  <c r="AH407" i="2"/>
  <c r="Y410" i="2"/>
  <c r="D413" i="2"/>
  <c r="AB413" i="2"/>
  <c r="G416" i="2"/>
  <c r="S416" i="2"/>
  <c r="H417" i="2"/>
  <c r="T417" i="2"/>
  <c r="AF417" i="2"/>
  <c r="U418" i="2"/>
  <c r="AG418" i="2"/>
  <c r="J419" i="2"/>
  <c r="V419" i="2"/>
  <c r="AH419" i="2"/>
  <c r="K420" i="2"/>
  <c r="W420" i="2"/>
  <c r="AK420" i="2"/>
  <c r="Y422" i="2"/>
  <c r="C424" i="2"/>
  <c r="D425" i="2"/>
  <c r="AB425" i="2"/>
  <c r="G428" i="2"/>
  <c r="S428" i="2"/>
  <c r="H429" i="2"/>
  <c r="T429" i="2"/>
  <c r="AF429" i="2"/>
  <c r="U430" i="2"/>
  <c r="AG430" i="2"/>
  <c r="J431" i="2"/>
  <c r="V431" i="2"/>
  <c r="AH431" i="2"/>
  <c r="K432" i="2"/>
  <c r="W432" i="2"/>
  <c r="AK432" i="2"/>
  <c r="Y434" i="2"/>
  <c r="C436" i="2"/>
  <c r="D437" i="2"/>
  <c r="AB437" i="2"/>
  <c r="G440" i="2"/>
  <c r="S440" i="2"/>
  <c r="H441" i="2"/>
  <c r="T441" i="2"/>
  <c r="AF441" i="2"/>
  <c r="U442" i="2"/>
  <c r="AG442" i="2"/>
  <c r="J443" i="2"/>
  <c r="V443" i="2"/>
  <c r="AH443" i="2"/>
  <c r="K444" i="2"/>
  <c r="W444" i="2"/>
  <c r="AK444" i="2"/>
  <c r="Y446" i="2"/>
  <c r="C448" i="2"/>
  <c r="D449" i="2"/>
  <c r="AB449" i="2"/>
  <c r="J451" i="2"/>
  <c r="W451" i="2"/>
  <c r="D453" i="2"/>
  <c r="AD453" i="2"/>
  <c r="H454" i="2"/>
  <c r="U454" i="2"/>
  <c r="AB455" i="2"/>
  <c r="D455" i="2"/>
  <c r="AK455" i="2"/>
  <c r="W455" i="2"/>
  <c r="K455" i="2"/>
  <c r="AD455" i="2"/>
  <c r="H456" i="2"/>
  <c r="Y456" i="2"/>
  <c r="AK459" i="2"/>
  <c r="R467" i="2"/>
  <c r="AB468" i="2"/>
  <c r="AB471" i="2"/>
  <c r="S477" i="2"/>
  <c r="R390" i="2"/>
  <c r="G391" i="2"/>
  <c r="S391" i="2"/>
  <c r="C399" i="2"/>
  <c r="R402" i="2"/>
  <c r="G403" i="2"/>
  <c r="S403" i="2"/>
  <c r="K407" i="2"/>
  <c r="W407" i="2"/>
  <c r="C411" i="2"/>
  <c r="D412" i="2"/>
  <c r="R414" i="2"/>
  <c r="G415" i="2"/>
  <c r="S415" i="2"/>
  <c r="H416" i="2"/>
  <c r="T416" i="2"/>
  <c r="U417" i="2"/>
  <c r="J418" i="2"/>
  <c r="V418" i="2"/>
  <c r="K419" i="2"/>
  <c r="W419" i="2"/>
  <c r="C423" i="2"/>
  <c r="D424" i="2"/>
  <c r="R426" i="2"/>
  <c r="G427" i="2"/>
  <c r="S427" i="2"/>
  <c r="H428" i="2"/>
  <c r="T428" i="2"/>
  <c r="U429" i="2"/>
  <c r="J430" i="2"/>
  <c r="V430" i="2"/>
  <c r="K431" i="2"/>
  <c r="W431" i="2"/>
  <c r="C435" i="2"/>
  <c r="D436" i="2"/>
  <c r="R438" i="2"/>
  <c r="G439" i="2"/>
  <c r="S439" i="2"/>
  <c r="H440" i="2"/>
  <c r="T440" i="2"/>
  <c r="U441" i="2"/>
  <c r="J442" i="2"/>
  <c r="V442" i="2"/>
  <c r="K443" i="2"/>
  <c r="W443" i="2"/>
  <c r="C447" i="2"/>
  <c r="D448" i="2"/>
  <c r="AC449" i="2"/>
  <c r="G450" i="2"/>
  <c r="T450" i="2"/>
  <c r="AG450" i="2"/>
  <c r="K451" i="2"/>
  <c r="Y451" i="2"/>
  <c r="R453" i="2"/>
  <c r="W454" i="2"/>
  <c r="J456" i="2"/>
  <c r="Z456" i="2"/>
  <c r="D462" i="2"/>
  <c r="Z462" i="2"/>
  <c r="Z465" i="2"/>
  <c r="X465" i="2"/>
  <c r="AG465" i="2"/>
  <c r="U465" i="2"/>
  <c r="AF465" i="2"/>
  <c r="T465" i="2"/>
  <c r="H465" i="2"/>
  <c r="AD465" i="2"/>
  <c r="R465" i="2"/>
  <c r="C465" i="2"/>
  <c r="W465" i="2"/>
  <c r="S467" i="2"/>
  <c r="G468" i="2"/>
  <c r="AC471" i="2"/>
  <c r="G473" i="2"/>
  <c r="S474" i="2"/>
  <c r="V477" i="2"/>
  <c r="AF458" i="2"/>
  <c r="Y463" i="2"/>
  <c r="D466" i="2"/>
  <c r="AB466" i="2"/>
  <c r="AF470" i="2"/>
  <c r="Y475" i="2"/>
  <c r="D478" i="2"/>
  <c r="AB478" i="2"/>
  <c r="AC479" i="2"/>
  <c r="R480" i="2"/>
  <c r="AD480" i="2"/>
  <c r="U483" i="2"/>
  <c r="AG483" i="2"/>
  <c r="K485" i="2"/>
  <c r="W485" i="2"/>
  <c r="AK485" i="2"/>
  <c r="X486" i="2"/>
  <c r="Y487" i="2"/>
  <c r="C489" i="2"/>
  <c r="AC491" i="2"/>
  <c r="R492" i="2"/>
  <c r="AD492" i="2"/>
  <c r="U495" i="2"/>
  <c r="AG495" i="2"/>
  <c r="K497" i="2"/>
  <c r="W497" i="2"/>
  <c r="AK497" i="2"/>
  <c r="X498" i="2"/>
  <c r="Y499" i="2"/>
  <c r="C501" i="2"/>
  <c r="AC503" i="2"/>
  <c r="R504" i="2"/>
  <c r="AD504" i="2"/>
  <c r="U507" i="2"/>
  <c r="AG507" i="2"/>
  <c r="K509" i="2"/>
  <c r="W509" i="2"/>
  <c r="AK509" i="2"/>
  <c r="X510" i="2"/>
  <c r="Y511" i="2"/>
  <c r="C513" i="2"/>
  <c r="AC515" i="2"/>
  <c r="R516" i="2"/>
  <c r="AD516" i="2"/>
  <c r="U519" i="2"/>
  <c r="AG519" i="2"/>
  <c r="K521" i="2"/>
  <c r="W521" i="2"/>
  <c r="AK521" i="2"/>
  <c r="X522" i="2"/>
  <c r="Y523" i="2"/>
  <c r="R525" i="2"/>
  <c r="AF525" i="2"/>
  <c r="J526" i="2"/>
  <c r="W526" i="2"/>
  <c r="Z527" i="2"/>
  <c r="AG527" i="2"/>
  <c r="U527" i="2"/>
  <c r="AB527" i="2"/>
  <c r="G528" i="2"/>
  <c r="U528" i="2"/>
  <c r="AB529" i="2"/>
  <c r="D529" i="2"/>
  <c r="AK529" i="2"/>
  <c r="W529" i="2"/>
  <c r="K529" i="2"/>
  <c r="AD529" i="2"/>
  <c r="D533" i="2"/>
  <c r="U533" i="2"/>
  <c r="AG534" i="2"/>
  <c r="U534" i="2"/>
  <c r="S534" i="2"/>
  <c r="G534" i="2"/>
  <c r="AB534" i="2"/>
  <c r="D534" i="2"/>
  <c r="AH534" i="2"/>
  <c r="AB535" i="2"/>
  <c r="W537" i="2"/>
  <c r="J483" i="2"/>
  <c r="V483" i="2"/>
  <c r="AH483" i="2"/>
  <c r="X485" i="2"/>
  <c r="Y486" i="2"/>
  <c r="J495" i="2"/>
  <c r="V495" i="2"/>
  <c r="AH495" i="2"/>
  <c r="X497" i="2"/>
  <c r="Y498" i="2"/>
  <c r="AB501" i="2"/>
  <c r="G504" i="2"/>
  <c r="S504" i="2"/>
  <c r="J507" i="2"/>
  <c r="V507" i="2"/>
  <c r="AH507" i="2"/>
  <c r="X509" i="2"/>
  <c r="Y510" i="2"/>
  <c r="D513" i="2"/>
  <c r="AB513" i="2"/>
  <c r="R515" i="2"/>
  <c r="AD515" i="2"/>
  <c r="G516" i="2"/>
  <c r="S516" i="2"/>
  <c r="J519" i="2"/>
  <c r="V519" i="2"/>
  <c r="AH519" i="2"/>
  <c r="X521" i="2"/>
  <c r="Y522" i="2"/>
  <c r="T525" i="2"/>
  <c r="AG525" i="2"/>
  <c r="K526" i="2"/>
  <c r="X526" i="2"/>
  <c r="H528" i="2"/>
  <c r="W528" i="2"/>
  <c r="V533" i="2"/>
  <c r="Y537" i="2"/>
  <c r="Y485" i="2"/>
  <c r="Y497" i="2"/>
  <c r="Y509" i="2"/>
  <c r="Y521" i="2"/>
  <c r="AH535" i="2"/>
  <c r="V535" i="2"/>
  <c r="J535" i="2"/>
  <c r="AF535" i="2"/>
  <c r="T535" i="2"/>
  <c r="H535" i="2"/>
  <c r="AC535" i="2"/>
  <c r="K458" i="2"/>
  <c r="W458" i="2"/>
  <c r="AK458" i="2"/>
  <c r="Y460" i="2"/>
  <c r="D463" i="2"/>
  <c r="AB463" i="2"/>
  <c r="G466" i="2"/>
  <c r="S466" i="2"/>
  <c r="K470" i="2"/>
  <c r="W470" i="2"/>
  <c r="AK470" i="2"/>
  <c r="Y472" i="2"/>
  <c r="D475" i="2"/>
  <c r="AB475" i="2"/>
  <c r="G478" i="2"/>
  <c r="S478" i="2"/>
  <c r="H479" i="2"/>
  <c r="T479" i="2"/>
  <c r="AF479" i="2"/>
  <c r="U480" i="2"/>
  <c r="AG480" i="2"/>
  <c r="K482" i="2"/>
  <c r="W482" i="2"/>
  <c r="AK482" i="2"/>
  <c r="X483" i="2"/>
  <c r="Y484" i="2"/>
  <c r="Z485" i="2"/>
  <c r="C486" i="2"/>
  <c r="D487" i="2"/>
  <c r="AB487" i="2"/>
  <c r="R489" i="2"/>
  <c r="AD489" i="2"/>
  <c r="S490" i="2"/>
  <c r="H491" i="2"/>
  <c r="T491" i="2"/>
  <c r="AF491" i="2"/>
  <c r="U492" i="2"/>
  <c r="AG492" i="2"/>
  <c r="K494" i="2"/>
  <c r="W494" i="2"/>
  <c r="AK494" i="2"/>
  <c r="X495" i="2"/>
  <c r="Y496" i="2"/>
  <c r="Z497" i="2"/>
  <c r="C498" i="2"/>
  <c r="D499" i="2"/>
  <c r="AB499" i="2"/>
  <c r="R501" i="2"/>
  <c r="AD501" i="2"/>
  <c r="H503" i="2"/>
  <c r="T503" i="2"/>
  <c r="AF503" i="2"/>
  <c r="U504" i="2"/>
  <c r="AG504" i="2"/>
  <c r="V505" i="2"/>
  <c r="AH505" i="2"/>
  <c r="K506" i="2"/>
  <c r="W506" i="2"/>
  <c r="AK506" i="2"/>
  <c r="X507" i="2"/>
  <c r="Y508" i="2"/>
  <c r="Z509" i="2"/>
  <c r="C510" i="2"/>
  <c r="D511" i="2"/>
  <c r="AB511" i="2"/>
  <c r="R513" i="2"/>
  <c r="AD513" i="2"/>
  <c r="H515" i="2"/>
  <c r="T515" i="2"/>
  <c r="AF515" i="2"/>
  <c r="U516" i="2"/>
  <c r="AG516" i="2"/>
  <c r="J517" i="2"/>
  <c r="V517" i="2"/>
  <c r="AH517" i="2"/>
  <c r="K518" i="2"/>
  <c r="W518" i="2"/>
  <c r="AK518" i="2"/>
  <c r="X519" i="2"/>
  <c r="Y520" i="2"/>
  <c r="Z521" i="2"/>
  <c r="C522" i="2"/>
  <c r="D523" i="2"/>
  <c r="AB523" i="2"/>
  <c r="V525" i="2"/>
  <c r="AK525" i="2"/>
  <c r="D527" i="2"/>
  <c r="K528" i="2"/>
  <c r="Y528" i="2"/>
  <c r="S529" i="2"/>
  <c r="AG529" i="2"/>
  <c r="X533" i="2"/>
  <c r="V534" i="2"/>
  <c r="AG535" i="2"/>
  <c r="K537" i="2"/>
  <c r="J480" i="2"/>
  <c r="V480" i="2"/>
  <c r="AH480" i="2"/>
  <c r="Y483" i="2"/>
  <c r="C485" i="2"/>
  <c r="D486" i="2"/>
  <c r="AB486" i="2"/>
  <c r="V492" i="2"/>
  <c r="AH492" i="2"/>
  <c r="Y495" i="2"/>
  <c r="C497" i="2"/>
  <c r="AB498" i="2"/>
  <c r="J504" i="2"/>
  <c r="V504" i="2"/>
  <c r="AH504" i="2"/>
  <c r="Y507" i="2"/>
  <c r="C509" i="2"/>
  <c r="AB510" i="2"/>
  <c r="V516" i="2"/>
  <c r="AH516" i="2"/>
  <c r="Y519" i="2"/>
  <c r="C521" i="2"/>
  <c r="AF526" i="2"/>
  <c r="T526" i="2"/>
  <c r="H526" i="2"/>
  <c r="C535" i="2"/>
  <c r="R535" i="2"/>
  <c r="AK535" i="2"/>
  <c r="Y458" i="2"/>
  <c r="R463" i="2"/>
  <c r="AD463" i="2"/>
  <c r="U466" i="2"/>
  <c r="AG466" i="2"/>
  <c r="Y470" i="2"/>
  <c r="R475" i="2"/>
  <c r="AD475" i="2"/>
  <c r="U478" i="2"/>
  <c r="AG478" i="2"/>
  <c r="J479" i="2"/>
  <c r="V479" i="2"/>
  <c r="AH479" i="2"/>
  <c r="K480" i="2"/>
  <c r="W480" i="2"/>
  <c r="AK480" i="2"/>
  <c r="Y482" i="2"/>
  <c r="Z483" i="2"/>
  <c r="D485" i="2"/>
  <c r="AB485" i="2"/>
  <c r="AC486" i="2"/>
  <c r="R487" i="2"/>
  <c r="AD487" i="2"/>
  <c r="H489" i="2"/>
  <c r="T489" i="2"/>
  <c r="AF489" i="2"/>
  <c r="U490" i="2"/>
  <c r="AG490" i="2"/>
  <c r="J491" i="2"/>
  <c r="V491" i="2"/>
  <c r="AH491" i="2"/>
  <c r="K492" i="2"/>
  <c r="W492" i="2"/>
  <c r="AK492" i="2"/>
  <c r="Y494" i="2"/>
  <c r="Z495" i="2"/>
  <c r="C496" i="2"/>
  <c r="D497" i="2"/>
  <c r="AB497" i="2"/>
  <c r="AC498" i="2"/>
  <c r="R499" i="2"/>
  <c r="AD499" i="2"/>
  <c r="H501" i="2"/>
  <c r="T501" i="2"/>
  <c r="AF501" i="2"/>
  <c r="J503" i="2"/>
  <c r="V503" i="2"/>
  <c r="AH503" i="2"/>
  <c r="K504" i="2"/>
  <c r="W504" i="2"/>
  <c r="AK504" i="2"/>
  <c r="X505" i="2"/>
  <c r="Y506" i="2"/>
  <c r="Z507" i="2"/>
  <c r="C508" i="2"/>
  <c r="D509" i="2"/>
  <c r="AB509" i="2"/>
  <c r="AC510" i="2"/>
  <c r="R511" i="2"/>
  <c r="AD511" i="2"/>
  <c r="H513" i="2"/>
  <c r="T513" i="2"/>
  <c r="AF513" i="2"/>
  <c r="J515" i="2"/>
  <c r="V515" i="2"/>
  <c r="AH515" i="2"/>
  <c r="K516" i="2"/>
  <c r="W516" i="2"/>
  <c r="AK516" i="2"/>
  <c r="X517" i="2"/>
  <c r="Y518" i="2"/>
  <c r="Z519" i="2"/>
  <c r="D521" i="2"/>
  <c r="AB521" i="2"/>
  <c r="AC522" i="2"/>
  <c r="R523" i="2"/>
  <c r="AD523" i="2"/>
  <c r="K525" i="2"/>
  <c r="X525" i="2"/>
  <c r="AB526" i="2"/>
  <c r="S527" i="2"/>
  <c r="AH527" i="2"/>
  <c r="AB528" i="2"/>
  <c r="G529" i="2"/>
  <c r="U529" i="2"/>
  <c r="AC530" i="2"/>
  <c r="C530" i="2"/>
  <c r="X530" i="2"/>
  <c r="AF530" i="2"/>
  <c r="K533" i="2"/>
  <c r="Z533" i="2"/>
  <c r="H534" i="2"/>
  <c r="X534" i="2"/>
  <c r="D535" i="2"/>
  <c r="S535" i="2"/>
  <c r="AK536" i="2"/>
  <c r="W536" i="2"/>
  <c r="K536" i="2"/>
  <c r="AG536" i="2"/>
  <c r="U536" i="2"/>
  <c r="AD536" i="2"/>
  <c r="R536" i="2"/>
  <c r="AF536" i="2"/>
  <c r="AC537" i="2"/>
  <c r="Y457" i="2"/>
  <c r="Z458" i="2"/>
  <c r="D460" i="2"/>
  <c r="AB460" i="2"/>
  <c r="G463" i="2"/>
  <c r="S463" i="2"/>
  <c r="J466" i="2"/>
  <c r="V466" i="2"/>
  <c r="AH466" i="2"/>
  <c r="Y469" i="2"/>
  <c r="Z470" i="2"/>
  <c r="D472" i="2"/>
  <c r="AB472" i="2"/>
  <c r="G475" i="2"/>
  <c r="S475" i="2"/>
  <c r="J478" i="2"/>
  <c r="V478" i="2"/>
  <c r="AH478" i="2"/>
  <c r="K479" i="2"/>
  <c r="W479" i="2"/>
  <c r="AK479" i="2"/>
  <c r="X480" i="2"/>
  <c r="Y481" i="2"/>
  <c r="Z482" i="2"/>
  <c r="C483" i="2"/>
  <c r="D484" i="2"/>
  <c r="AB484" i="2"/>
  <c r="AC485" i="2"/>
  <c r="R486" i="2"/>
  <c r="AD486" i="2"/>
  <c r="G487" i="2"/>
  <c r="S487" i="2"/>
  <c r="U489" i="2"/>
  <c r="AG489" i="2"/>
  <c r="J490" i="2"/>
  <c r="V490" i="2"/>
  <c r="AH490" i="2"/>
  <c r="K491" i="2"/>
  <c r="W491" i="2"/>
  <c r="AK491" i="2"/>
  <c r="X492" i="2"/>
  <c r="Y493" i="2"/>
  <c r="Z494" i="2"/>
  <c r="C495" i="2"/>
  <c r="D496" i="2"/>
  <c r="AB496" i="2"/>
  <c r="AC497" i="2"/>
  <c r="R498" i="2"/>
  <c r="AD498" i="2"/>
  <c r="G499" i="2"/>
  <c r="S499" i="2"/>
  <c r="U501" i="2"/>
  <c r="AG501" i="2"/>
  <c r="V502" i="2"/>
  <c r="AH502" i="2"/>
  <c r="K503" i="2"/>
  <c r="W503" i="2"/>
  <c r="AK503" i="2"/>
  <c r="X504" i="2"/>
  <c r="Y505" i="2"/>
  <c r="Z506" i="2"/>
  <c r="C507" i="2"/>
  <c r="D508" i="2"/>
  <c r="AB508" i="2"/>
  <c r="AC509" i="2"/>
  <c r="R510" i="2"/>
  <c r="AD510" i="2"/>
  <c r="G511" i="2"/>
  <c r="S511" i="2"/>
  <c r="U513" i="2"/>
  <c r="AG513" i="2"/>
  <c r="K515" i="2"/>
  <c r="W515" i="2"/>
  <c r="AK515" i="2"/>
  <c r="X516" i="2"/>
  <c r="Y517" i="2"/>
  <c r="Z518" i="2"/>
  <c r="C519" i="2"/>
  <c r="D520" i="2"/>
  <c r="AB520" i="2"/>
  <c r="AC521" i="2"/>
  <c r="R522" i="2"/>
  <c r="AD522" i="2"/>
  <c r="G523" i="2"/>
  <c r="S523" i="2"/>
  <c r="Y525" i="2"/>
  <c r="C526" i="2"/>
  <c r="AC526" i="2"/>
  <c r="G527" i="2"/>
  <c r="T527" i="2"/>
  <c r="AK527" i="2"/>
  <c r="H529" i="2"/>
  <c r="V529" i="2"/>
  <c r="AG530" i="2"/>
  <c r="S532" i="2"/>
  <c r="G532" i="2"/>
  <c r="AC532" i="2"/>
  <c r="Z532" i="2"/>
  <c r="AF532" i="2"/>
  <c r="AB533" i="2"/>
  <c r="J534" i="2"/>
  <c r="Y534" i="2"/>
  <c r="U535" i="2"/>
  <c r="Y480" i="2"/>
  <c r="D483" i="2"/>
  <c r="AB483" i="2"/>
  <c r="R485" i="2"/>
  <c r="AD485" i="2"/>
  <c r="G486" i="2"/>
  <c r="S486" i="2"/>
  <c r="V489" i="2"/>
  <c r="AH489" i="2"/>
  <c r="Y492" i="2"/>
  <c r="D495" i="2"/>
  <c r="AB495" i="2"/>
  <c r="R497" i="2"/>
  <c r="AD497" i="2"/>
  <c r="G498" i="2"/>
  <c r="S498" i="2"/>
  <c r="AH501" i="2"/>
  <c r="Y504" i="2"/>
  <c r="AB507" i="2"/>
  <c r="R509" i="2"/>
  <c r="AD509" i="2"/>
  <c r="V513" i="2"/>
  <c r="AH513" i="2"/>
  <c r="Y516" i="2"/>
  <c r="D519" i="2"/>
  <c r="AB519" i="2"/>
  <c r="R521" i="2"/>
  <c r="AD521" i="2"/>
  <c r="S522" i="2"/>
  <c r="D526" i="2"/>
  <c r="AD526" i="2"/>
  <c r="C528" i="2"/>
  <c r="AH528" i="2"/>
  <c r="V528" i="2"/>
  <c r="J528" i="2"/>
  <c r="AD528" i="2"/>
  <c r="AC533" i="2"/>
  <c r="W535" i="2"/>
  <c r="X537" i="2"/>
  <c r="AK537" i="2"/>
  <c r="AH537" i="2"/>
  <c r="V537" i="2"/>
  <c r="J537" i="2"/>
  <c r="S537" i="2"/>
  <c r="G537" i="2"/>
  <c r="AF537" i="2"/>
  <c r="Y479" i="2"/>
  <c r="Z480" i="2"/>
  <c r="AC483" i="2"/>
  <c r="G485" i="2"/>
  <c r="S485" i="2"/>
  <c r="H486" i="2"/>
  <c r="T486" i="2"/>
  <c r="AF486" i="2"/>
  <c r="K489" i="2"/>
  <c r="W489" i="2"/>
  <c r="AK489" i="2"/>
  <c r="Y491" i="2"/>
  <c r="Z492" i="2"/>
  <c r="AC495" i="2"/>
  <c r="G497" i="2"/>
  <c r="S497" i="2"/>
  <c r="H498" i="2"/>
  <c r="T498" i="2"/>
  <c r="AF498" i="2"/>
  <c r="K501" i="2"/>
  <c r="W501" i="2"/>
  <c r="AK501" i="2"/>
  <c r="Y503" i="2"/>
  <c r="Z504" i="2"/>
  <c r="AC507" i="2"/>
  <c r="G509" i="2"/>
  <c r="S509" i="2"/>
  <c r="H510" i="2"/>
  <c r="T510" i="2"/>
  <c r="AF510" i="2"/>
  <c r="K513" i="2"/>
  <c r="W513" i="2"/>
  <c r="AK513" i="2"/>
  <c r="Y515" i="2"/>
  <c r="Z516" i="2"/>
  <c r="AC519" i="2"/>
  <c r="G521" i="2"/>
  <c r="S521" i="2"/>
  <c r="H522" i="2"/>
  <c r="T522" i="2"/>
  <c r="AF522" i="2"/>
  <c r="S525" i="2"/>
  <c r="G525" i="2"/>
  <c r="R526" i="2"/>
  <c r="G535" i="2"/>
  <c r="X535" i="2"/>
  <c r="AG537" i="2"/>
  <c r="Y466" i="2"/>
  <c r="V475" i="2"/>
  <c r="AH475" i="2"/>
  <c r="Y478" i="2"/>
  <c r="Z479" i="2"/>
  <c r="C480" i="2"/>
  <c r="AC482" i="2"/>
  <c r="R483" i="2"/>
  <c r="AD483" i="2"/>
  <c r="H485" i="2"/>
  <c r="T485" i="2"/>
  <c r="AF485" i="2"/>
  <c r="U486" i="2"/>
  <c r="AG486" i="2"/>
  <c r="J487" i="2"/>
  <c r="V487" i="2"/>
  <c r="AH487" i="2"/>
  <c r="X489" i="2"/>
  <c r="Y490" i="2"/>
  <c r="Z491" i="2"/>
  <c r="C492" i="2"/>
  <c r="AB493" i="2"/>
  <c r="AC494" i="2"/>
  <c r="R495" i="2"/>
  <c r="AD495" i="2"/>
  <c r="G496" i="2"/>
  <c r="S496" i="2"/>
  <c r="H497" i="2"/>
  <c r="T497" i="2"/>
  <c r="AF497" i="2"/>
  <c r="U498" i="2"/>
  <c r="AG498" i="2"/>
  <c r="J499" i="2"/>
  <c r="V499" i="2"/>
  <c r="AH499" i="2"/>
  <c r="X501" i="2"/>
  <c r="Y502" i="2"/>
  <c r="Z503" i="2"/>
  <c r="C504" i="2"/>
  <c r="D505" i="2"/>
  <c r="AB505" i="2"/>
  <c r="AC506" i="2"/>
  <c r="R507" i="2"/>
  <c r="AD507" i="2"/>
  <c r="G508" i="2"/>
  <c r="S508" i="2"/>
  <c r="H509" i="2"/>
  <c r="T509" i="2"/>
  <c r="AF509" i="2"/>
  <c r="U510" i="2"/>
  <c r="AG510" i="2"/>
  <c r="J511" i="2"/>
  <c r="V511" i="2"/>
  <c r="AH511" i="2"/>
  <c r="X513" i="2"/>
  <c r="Y514" i="2"/>
  <c r="Z515" i="2"/>
  <c r="C516" i="2"/>
  <c r="D517" i="2"/>
  <c r="AB517" i="2"/>
  <c r="AC518" i="2"/>
  <c r="R519" i="2"/>
  <c r="AD519" i="2"/>
  <c r="G520" i="2"/>
  <c r="S520" i="2"/>
  <c r="H521" i="2"/>
  <c r="T521" i="2"/>
  <c r="AF521" i="2"/>
  <c r="U522" i="2"/>
  <c r="AG522" i="2"/>
  <c r="J523" i="2"/>
  <c r="V523" i="2"/>
  <c r="AH523" i="2"/>
  <c r="AB525" i="2"/>
  <c r="S526" i="2"/>
  <c r="AG526" i="2"/>
  <c r="K527" i="2"/>
  <c r="X527" i="2"/>
  <c r="D528" i="2"/>
  <c r="R528" i="2"/>
  <c r="AF528" i="2"/>
  <c r="Z529" i="2"/>
  <c r="U530" i="2"/>
  <c r="D532" i="2"/>
  <c r="T532" i="2"/>
  <c r="AK532" i="2"/>
  <c r="AC534" i="2"/>
  <c r="Y535" i="2"/>
  <c r="V536" i="2"/>
  <c r="C537" i="2"/>
  <c r="R537" i="2"/>
  <c r="D480" i="2"/>
  <c r="AB480" i="2"/>
  <c r="G483" i="2"/>
  <c r="S483" i="2"/>
  <c r="U485" i="2"/>
  <c r="AG485" i="2"/>
  <c r="J486" i="2"/>
  <c r="V486" i="2"/>
  <c r="AH486" i="2"/>
  <c r="Y489" i="2"/>
  <c r="D492" i="2"/>
  <c r="AB492" i="2"/>
  <c r="G495" i="2"/>
  <c r="S495" i="2"/>
  <c r="U497" i="2"/>
  <c r="AG497" i="2"/>
  <c r="J498" i="2"/>
  <c r="V498" i="2"/>
  <c r="AH498" i="2"/>
  <c r="Y501" i="2"/>
  <c r="D504" i="2"/>
  <c r="AB504" i="2"/>
  <c r="G507" i="2"/>
  <c r="S507" i="2"/>
  <c r="U509" i="2"/>
  <c r="AG509" i="2"/>
  <c r="V510" i="2"/>
  <c r="AH510" i="2"/>
  <c r="Y513" i="2"/>
  <c r="D516" i="2"/>
  <c r="AB516" i="2"/>
  <c r="G519" i="2"/>
  <c r="S519" i="2"/>
  <c r="U521" i="2"/>
  <c r="AG521" i="2"/>
  <c r="V522" i="2"/>
  <c r="AH522" i="2"/>
  <c r="C525" i="2"/>
  <c r="AC525" i="2"/>
  <c r="G526" i="2"/>
  <c r="U526" i="2"/>
  <c r="AH526" i="2"/>
  <c r="S528" i="2"/>
  <c r="AG528" i="2"/>
  <c r="AF533" i="2"/>
  <c r="T533" i="2"/>
  <c r="H533" i="2"/>
  <c r="AD533" i="2"/>
  <c r="R533" i="2"/>
  <c r="C533" i="2"/>
  <c r="AH533" i="2"/>
  <c r="K535" i="2"/>
  <c r="Z535" i="2"/>
  <c r="D537" i="2"/>
  <c r="T537" i="2"/>
  <c r="R457" i="2"/>
  <c r="G458" i="2"/>
  <c r="S458" i="2"/>
  <c r="U460" i="2"/>
  <c r="C466" i="2"/>
  <c r="R469" i="2"/>
  <c r="G470" i="2"/>
  <c r="S470" i="2"/>
  <c r="U472" i="2"/>
  <c r="C478" i="2"/>
  <c r="D479" i="2"/>
  <c r="R481" i="2"/>
  <c r="G482" i="2"/>
  <c r="S482" i="2"/>
  <c r="H483" i="2"/>
  <c r="T483" i="2"/>
  <c r="U484" i="2"/>
  <c r="J485" i="2"/>
  <c r="V485" i="2"/>
  <c r="K486" i="2"/>
  <c r="W486" i="2"/>
  <c r="C490" i="2"/>
  <c r="D491" i="2"/>
  <c r="R493" i="2"/>
  <c r="G494" i="2"/>
  <c r="S494" i="2"/>
  <c r="H495" i="2"/>
  <c r="T495" i="2"/>
  <c r="U496" i="2"/>
  <c r="J497" i="2"/>
  <c r="V497" i="2"/>
  <c r="K498" i="2"/>
  <c r="W498" i="2"/>
  <c r="C502" i="2"/>
  <c r="D503" i="2"/>
  <c r="R505" i="2"/>
  <c r="G506" i="2"/>
  <c r="S506" i="2"/>
  <c r="H507" i="2"/>
  <c r="T507" i="2"/>
  <c r="U508" i="2"/>
  <c r="J509" i="2"/>
  <c r="V509" i="2"/>
  <c r="K510" i="2"/>
  <c r="W510" i="2"/>
  <c r="C514" i="2"/>
  <c r="D515" i="2"/>
  <c r="R517" i="2"/>
  <c r="G518" i="2"/>
  <c r="S518" i="2"/>
  <c r="H519" i="2"/>
  <c r="T519" i="2"/>
  <c r="U520" i="2"/>
  <c r="J521" i="2"/>
  <c r="V521" i="2"/>
  <c r="K522" i="2"/>
  <c r="W522" i="2"/>
  <c r="AD524" i="2"/>
  <c r="R524" i="2"/>
  <c r="Z524" i="2"/>
  <c r="D525" i="2"/>
  <c r="AD525" i="2"/>
  <c r="V526" i="2"/>
  <c r="AK526" i="2"/>
  <c r="T528" i="2"/>
  <c r="AK528" i="2"/>
  <c r="AC529" i="2"/>
  <c r="H530" i="2"/>
  <c r="W530" i="2"/>
  <c r="V532" i="2"/>
  <c r="S533" i="2"/>
  <c r="AK533" i="2"/>
  <c r="AF534" i="2"/>
  <c r="H536" i="2"/>
  <c r="Y536" i="2"/>
  <c r="U537" i="2"/>
  <c r="AC542" i="2"/>
  <c r="AB542" i="2"/>
  <c r="D542" i="2"/>
  <c r="C542" i="2"/>
  <c r="Z542" i="2"/>
  <c r="X542" i="2"/>
  <c r="AK542" i="2"/>
  <c r="W542" i="2"/>
  <c r="K542" i="2"/>
  <c r="AD542" i="2"/>
  <c r="R542" i="2"/>
  <c r="Y542" i="2"/>
  <c r="U545" i="2"/>
  <c r="AG545" i="2"/>
  <c r="J546" i="2"/>
  <c r="V546" i="2"/>
  <c r="AH546" i="2"/>
  <c r="K547" i="2"/>
  <c r="W547" i="2"/>
  <c r="AK547" i="2"/>
  <c r="X548" i="2"/>
  <c r="Y549" i="2"/>
  <c r="R554" i="2"/>
  <c r="AD554" i="2"/>
  <c r="U557" i="2"/>
  <c r="AG557" i="2"/>
  <c r="J558" i="2"/>
  <c r="V558" i="2"/>
  <c r="AH558" i="2"/>
  <c r="K559" i="2"/>
  <c r="W559" i="2"/>
  <c r="AK559" i="2"/>
  <c r="X560" i="2"/>
  <c r="Y561" i="2"/>
  <c r="R566" i="2"/>
  <c r="AD566" i="2"/>
  <c r="U569" i="2"/>
  <c r="AG569" i="2"/>
  <c r="J570" i="2"/>
  <c r="V570" i="2"/>
  <c r="AH570" i="2"/>
  <c r="K571" i="2"/>
  <c r="W571" i="2"/>
  <c r="AK571" i="2"/>
  <c r="X572" i="2"/>
  <c r="Y573" i="2"/>
  <c r="Y579" i="2"/>
  <c r="K582" i="2"/>
  <c r="Y582" i="2"/>
  <c r="Z585" i="2"/>
  <c r="AK546" i="2"/>
  <c r="X547" i="2"/>
  <c r="Y548" i="2"/>
  <c r="W558" i="2"/>
  <c r="AK558" i="2"/>
  <c r="X559" i="2"/>
  <c r="Y560" i="2"/>
  <c r="AH569" i="2"/>
  <c r="X571" i="2"/>
  <c r="Y572" i="2"/>
  <c r="AF587" i="2"/>
  <c r="T587" i="2"/>
  <c r="H587" i="2"/>
  <c r="AC587" i="2"/>
  <c r="Z587" i="2"/>
  <c r="Y547" i="2"/>
  <c r="Z548" i="2"/>
  <c r="X558" i="2"/>
  <c r="Y559" i="2"/>
  <c r="Z560" i="2"/>
  <c r="AK569" i="2"/>
  <c r="Y571" i="2"/>
  <c r="Z572" i="2"/>
  <c r="AG579" i="2"/>
  <c r="U579" i="2"/>
  <c r="X582" i="2"/>
  <c r="AF597" i="2"/>
  <c r="T597" i="2"/>
  <c r="H597" i="2"/>
  <c r="S597" i="2"/>
  <c r="G597" i="2"/>
  <c r="AD597" i="2"/>
  <c r="R597" i="2"/>
  <c r="AC597" i="2"/>
  <c r="AB597" i="2"/>
  <c r="D597" i="2"/>
  <c r="C597" i="2"/>
  <c r="Z597" i="2"/>
  <c r="Y597" i="2"/>
  <c r="X597" i="2"/>
  <c r="AG597" i="2"/>
  <c r="U597" i="2"/>
  <c r="X545" i="2"/>
  <c r="Y546" i="2"/>
  <c r="Z547" i="2"/>
  <c r="C548" i="2"/>
  <c r="Y558" i="2"/>
  <c r="Z559" i="2"/>
  <c r="C560" i="2"/>
  <c r="AB561" i="2"/>
  <c r="U566" i="2"/>
  <c r="AG566" i="2"/>
  <c r="X569" i="2"/>
  <c r="Y570" i="2"/>
  <c r="Z571" i="2"/>
  <c r="C572" i="2"/>
  <c r="D573" i="2"/>
  <c r="AB573" i="2"/>
  <c r="AB579" i="2"/>
  <c r="AB582" i="2"/>
  <c r="AD585" i="2"/>
  <c r="R585" i="2"/>
  <c r="C585" i="2"/>
  <c r="R587" i="2"/>
  <c r="AH587" i="2"/>
  <c r="Y545" i="2"/>
  <c r="Z546" i="2"/>
  <c r="C547" i="2"/>
  <c r="D548" i="2"/>
  <c r="AB548" i="2"/>
  <c r="J554" i="2"/>
  <c r="V554" i="2"/>
  <c r="AH554" i="2"/>
  <c r="Y557" i="2"/>
  <c r="Z558" i="2"/>
  <c r="C559" i="2"/>
  <c r="D560" i="2"/>
  <c r="AB560" i="2"/>
  <c r="AC561" i="2"/>
  <c r="J566" i="2"/>
  <c r="V566" i="2"/>
  <c r="AH566" i="2"/>
  <c r="Y569" i="2"/>
  <c r="Z570" i="2"/>
  <c r="C571" i="2"/>
  <c r="D572" i="2"/>
  <c r="AB572" i="2"/>
  <c r="AC573" i="2"/>
  <c r="C579" i="2"/>
  <c r="AC579" i="2"/>
  <c r="C582" i="2"/>
  <c r="AC582" i="2"/>
  <c r="T539" i="2"/>
  <c r="AF539" i="2"/>
  <c r="V541" i="2"/>
  <c r="AH541" i="2"/>
  <c r="Y544" i="2"/>
  <c r="Z545" i="2"/>
  <c r="C546" i="2"/>
  <c r="D547" i="2"/>
  <c r="AB547" i="2"/>
  <c r="AC548" i="2"/>
  <c r="R549" i="2"/>
  <c r="AD549" i="2"/>
  <c r="K554" i="2"/>
  <c r="W554" i="2"/>
  <c r="AK554" i="2"/>
  <c r="Y556" i="2"/>
  <c r="Z557" i="2"/>
  <c r="C558" i="2"/>
  <c r="D559" i="2"/>
  <c r="AB559" i="2"/>
  <c r="AC560" i="2"/>
  <c r="R561" i="2"/>
  <c r="AD561" i="2"/>
  <c r="K566" i="2"/>
  <c r="W566" i="2"/>
  <c r="AK566" i="2"/>
  <c r="Y568" i="2"/>
  <c r="Z569" i="2"/>
  <c r="C570" i="2"/>
  <c r="D571" i="2"/>
  <c r="AB571" i="2"/>
  <c r="AC572" i="2"/>
  <c r="R573" i="2"/>
  <c r="AD573" i="2"/>
  <c r="D579" i="2"/>
  <c r="AD579" i="2"/>
  <c r="D582" i="2"/>
  <c r="AD582" i="2"/>
  <c r="D585" i="2"/>
  <c r="S585" i="2"/>
  <c r="AG585" i="2"/>
  <c r="Z586" i="2"/>
  <c r="U587" i="2"/>
  <c r="AG588" i="2"/>
  <c r="U588" i="2"/>
  <c r="AD588" i="2"/>
  <c r="R588" i="2"/>
  <c r="C588" i="2"/>
  <c r="AH588" i="2"/>
  <c r="AD589" i="2"/>
  <c r="Z593" i="2"/>
  <c r="AK593" i="2"/>
  <c r="W593" i="2"/>
  <c r="K593" i="2"/>
  <c r="AF593" i="2"/>
  <c r="T593" i="2"/>
  <c r="H593" i="2"/>
  <c r="AC593" i="2"/>
  <c r="AH593" i="2"/>
  <c r="J597" i="2"/>
  <c r="H538" i="2"/>
  <c r="T538" i="2"/>
  <c r="AF538" i="2"/>
  <c r="U539" i="2"/>
  <c r="AG539" i="2"/>
  <c r="J540" i="2"/>
  <c r="V540" i="2"/>
  <c r="AH540" i="2"/>
  <c r="K541" i="2"/>
  <c r="W541" i="2"/>
  <c r="AK541" i="2"/>
  <c r="Z544" i="2"/>
  <c r="C545" i="2"/>
  <c r="D546" i="2"/>
  <c r="AB546" i="2"/>
  <c r="AC547" i="2"/>
  <c r="R548" i="2"/>
  <c r="AD548" i="2"/>
  <c r="G549" i="2"/>
  <c r="S549" i="2"/>
  <c r="H550" i="2"/>
  <c r="T550" i="2"/>
  <c r="AF550" i="2"/>
  <c r="U551" i="2"/>
  <c r="AG551" i="2"/>
  <c r="J552" i="2"/>
  <c r="V552" i="2"/>
  <c r="AH552" i="2"/>
  <c r="K553" i="2"/>
  <c r="W553" i="2"/>
  <c r="AK553" i="2"/>
  <c r="X554" i="2"/>
  <c r="Z556" i="2"/>
  <c r="C557" i="2"/>
  <c r="D558" i="2"/>
  <c r="AB558" i="2"/>
  <c r="AC559" i="2"/>
  <c r="R560" i="2"/>
  <c r="AD560" i="2"/>
  <c r="G561" i="2"/>
  <c r="S561" i="2"/>
  <c r="H562" i="2"/>
  <c r="T562" i="2"/>
  <c r="AF562" i="2"/>
  <c r="U563" i="2"/>
  <c r="AG563" i="2"/>
  <c r="J564" i="2"/>
  <c r="V564" i="2"/>
  <c r="AH564" i="2"/>
  <c r="K565" i="2"/>
  <c r="W565" i="2"/>
  <c r="AK565" i="2"/>
  <c r="X566" i="2"/>
  <c r="Y567" i="2"/>
  <c r="Z568" i="2"/>
  <c r="C569" i="2"/>
  <c r="D570" i="2"/>
  <c r="AB570" i="2"/>
  <c r="AC571" i="2"/>
  <c r="R572" i="2"/>
  <c r="AD572" i="2"/>
  <c r="G573" i="2"/>
  <c r="S573" i="2"/>
  <c r="H574" i="2"/>
  <c r="T574" i="2"/>
  <c r="AF574" i="2"/>
  <c r="U575" i="2"/>
  <c r="AG575" i="2"/>
  <c r="V576" i="2"/>
  <c r="AH576" i="2"/>
  <c r="K577" i="2"/>
  <c r="W577" i="2"/>
  <c r="AF578" i="2"/>
  <c r="T578" i="2"/>
  <c r="H578" i="2"/>
  <c r="R579" i="2"/>
  <c r="W580" i="2"/>
  <c r="AK581" i="2"/>
  <c r="W581" i="2"/>
  <c r="K581" i="2"/>
  <c r="R582" i="2"/>
  <c r="K584" i="2"/>
  <c r="T585" i="2"/>
  <c r="AH585" i="2"/>
  <c r="V587" i="2"/>
  <c r="S588" i="2"/>
  <c r="AK588" i="2"/>
  <c r="AC591" i="2"/>
  <c r="R593" i="2"/>
  <c r="C594" i="2"/>
  <c r="X594" i="2"/>
  <c r="AG594" i="2"/>
  <c r="U594" i="2"/>
  <c r="AD594" i="2"/>
  <c r="R594" i="2"/>
  <c r="S594" i="2"/>
  <c r="K597" i="2"/>
  <c r="D545" i="2"/>
  <c r="AB545" i="2"/>
  <c r="AC546" i="2"/>
  <c r="R547" i="2"/>
  <c r="AD547" i="2"/>
  <c r="G548" i="2"/>
  <c r="S548" i="2"/>
  <c r="Y554" i="2"/>
  <c r="AB557" i="2"/>
  <c r="AC558" i="2"/>
  <c r="R559" i="2"/>
  <c r="AD559" i="2"/>
  <c r="G560" i="2"/>
  <c r="S560" i="2"/>
  <c r="AF561" i="2"/>
  <c r="Y566" i="2"/>
  <c r="D569" i="2"/>
  <c r="AB569" i="2"/>
  <c r="AC570" i="2"/>
  <c r="R571" i="2"/>
  <c r="AD571" i="2"/>
  <c r="G572" i="2"/>
  <c r="S572" i="2"/>
  <c r="H573" i="2"/>
  <c r="T573" i="2"/>
  <c r="AF573" i="2"/>
  <c r="S579" i="2"/>
  <c r="AF579" i="2"/>
  <c r="S582" i="2"/>
  <c r="AF582" i="2"/>
  <c r="G585" i="2"/>
  <c r="U585" i="2"/>
  <c r="AK585" i="2"/>
  <c r="G587" i="2"/>
  <c r="W587" i="2"/>
  <c r="D588" i="2"/>
  <c r="T588" i="2"/>
  <c r="AH589" i="2"/>
  <c r="V589" i="2"/>
  <c r="J589" i="2"/>
  <c r="S589" i="2"/>
  <c r="G589" i="2"/>
  <c r="AB589" i="2"/>
  <c r="D589" i="2"/>
  <c r="AG589" i="2"/>
  <c r="C593" i="2"/>
  <c r="S593" i="2"/>
  <c r="K539" i="2"/>
  <c r="W539" i="2"/>
  <c r="AK539" i="2"/>
  <c r="Y541" i="2"/>
  <c r="D544" i="2"/>
  <c r="AB544" i="2"/>
  <c r="AC545" i="2"/>
  <c r="R546" i="2"/>
  <c r="AD546" i="2"/>
  <c r="G547" i="2"/>
  <c r="S547" i="2"/>
  <c r="H548" i="2"/>
  <c r="T548" i="2"/>
  <c r="AF548" i="2"/>
  <c r="U549" i="2"/>
  <c r="AG549" i="2"/>
  <c r="K551" i="2"/>
  <c r="W551" i="2"/>
  <c r="AK551" i="2"/>
  <c r="Y553" i="2"/>
  <c r="Z554" i="2"/>
  <c r="D556" i="2"/>
  <c r="AB556" i="2"/>
  <c r="AC557" i="2"/>
  <c r="R558" i="2"/>
  <c r="AD558" i="2"/>
  <c r="G559" i="2"/>
  <c r="S559" i="2"/>
  <c r="H560" i="2"/>
  <c r="T560" i="2"/>
  <c r="AF560" i="2"/>
  <c r="U561" i="2"/>
  <c r="AG561" i="2"/>
  <c r="K563" i="2"/>
  <c r="W563" i="2"/>
  <c r="AK563" i="2"/>
  <c r="Y565" i="2"/>
  <c r="Z566" i="2"/>
  <c r="D568" i="2"/>
  <c r="AB568" i="2"/>
  <c r="AC569" i="2"/>
  <c r="R570" i="2"/>
  <c r="AD570" i="2"/>
  <c r="G571" i="2"/>
  <c r="S571" i="2"/>
  <c r="H572" i="2"/>
  <c r="T572" i="2"/>
  <c r="AF572" i="2"/>
  <c r="U573" i="2"/>
  <c r="AG573" i="2"/>
  <c r="K575" i="2"/>
  <c r="W575" i="2"/>
  <c r="AK575" i="2"/>
  <c r="Y577" i="2"/>
  <c r="G579" i="2"/>
  <c r="T579" i="2"/>
  <c r="AH579" i="2"/>
  <c r="Y580" i="2"/>
  <c r="G582" i="2"/>
  <c r="T582" i="2"/>
  <c r="AG582" i="2"/>
  <c r="AC584" i="2"/>
  <c r="Z584" i="2"/>
  <c r="AB584" i="2"/>
  <c r="H585" i="2"/>
  <c r="V585" i="2"/>
  <c r="S586" i="2"/>
  <c r="G586" i="2"/>
  <c r="AB586" i="2"/>
  <c r="D586" i="2"/>
  <c r="AD586" i="2"/>
  <c r="X587" i="2"/>
  <c r="V588" i="2"/>
  <c r="R589" i="2"/>
  <c r="AK589" i="2"/>
  <c r="D593" i="2"/>
  <c r="U593" i="2"/>
  <c r="V597" i="2"/>
  <c r="AK538" i="2"/>
  <c r="X539" i="2"/>
  <c r="Y540" i="2"/>
  <c r="Z541" i="2"/>
  <c r="AC544" i="2"/>
  <c r="R545" i="2"/>
  <c r="AD545" i="2"/>
  <c r="G546" i="2"/>
  <c r="S546" i="2"/>
  <c r="H547" i="2"/>
  <c r="T547" i="2"/>
  <c r="AF547" i="2"/>
  <c r="U548" i="2"/>
  <c r="AG548" i="2"/>
  <c r="J549" i="2"/>
  <c r="V549" i="2"/>
  <c r="AH549" i="2"/>
  <c r="X551" i="2"/>
  <c r="Y552" i="2"/>
  <c r="Z553" i="2"/>
  <c r="C554" i="2"/>
  <c r="AC556" i="2"/>
  <c r="R557" i="2"/>
  <c r="AD557" i="2"/>
  <c r="G558" i="2"/>
  <c r="S558" i="2"/>
  <c r="H559" i="2"/>
  <c r="T559" i="2"/>
  <c r="AF559" i="2"/>
  <c r="U560" i="2"/>
  <c r="AG560" i="2"/>
  <c r="J561" i="2"/>
  <c r="V561" i="2"/>
  <c r="AH561" i="2"/>
  <c r="K562" i="2"/>
  <c r="W562" i="2"/>
  <c r="AK562" i="2"/>
  <c r="X563" i="2"/>
  <c r="Y564" i="2"/>
  <c r="Z565" i="2"/>
  <c r="C566" i="2"/>
  <c r="AC568" i="2"/>
  <c r="R569" i="2"/>
  <c r="AD569" i="2"/>
  <c r="G570" i="2"/>
  <c r="S570" i="2"/>
  <c r="H571" i="2"/>
  <c r="T571" i="2"/>
  <c r="AF571" i="2"/>
  <c r="U572" i="2"/>
  <c r="AG572" i="2"/>
  <c r="J573" i="2"/>
  <c r="V573" i="2"/>
  <c r="AH573" i="2"/>
  <c r="K574" i="2"/>
  <c r="W574" i="2"/>
  <c r="AK574" i="2"/>
  <c r="X575" i="2"/>
  <c r="Z577" i="2"/>
  <c r="D578" i="2"/>
  <c r="AD578" i="2"/>
  <c r="H579" i="2"/>
  <c r="V579" i="2"/>
  <c r="AK579" i="2"/>
  <c r="D581" i="2"/>
  <c r="AD581" i="2"/>
  <c r="H582" i="2"/>
  <c r="U582" i="2"/>
  <c r="AH582" i="2"/>
  <c r="AD584" i="2"/>
  <c r="W585" i="2"/>
  <c r="AF586" i="2"/>
  <c r="J587" i="2"/>
  <c r="Y587" i="2"/>
  <c r="G588" i="2"/>
  <c r="W588" i="2"/>
  <c r="C589" i="2"/>
  <c r="T589" i="2"/>
  <c r="AK590" i="2"/>
  <c r="W590" i="2"/>
  <c r="K590" i="2"/>
  <c r="AF590" i="2"/>
  <c r="T590" i="2"/>
  <c r="H590" i="2"/>
  <c r="AC590" i="2"/>
  <c r="Z590" i="2"/>
  <c r="AG590" i="2"/>
  <c r="V593" i="2"/>
  <c r="W594" i="2"/>
  <c r="W597" i="2"/>
  <c r="Y539" i="2"/>
  <c r="R544" i="2"/>
  <c r="AD544" i="2"/>
  <c r="G545" i="2"/>
  <c r="S545" i="2"/>
  <c r="H546" i="2"/>
  <c r="T546" i="2"/>
  <c r="AF546" i="2"/>
  <c r="U547" i="2"/>
  <c r="AG547" i="2"/>
  <c r="J548" i="2"/>
  <c r="V548" i="2"/>
  <c r="AH548" i="2"/>
  <c r="K549" i="2"/>
  <c r="W549" i="2"/>
  <c r="AK549" i="2"/>
  <c r="Y551" i="2"/>
  <c r="D554" i="2"/>
  <c r="AB554" i="2"/>
  <c r="R556" i="2"/>
  <c r="AD556" i="2"/>
  <c r="G557" i="2"/>
  <c r="S557" i="2"/>
  <c r="H558" i="2"/>
  <c r="T558" i="2"/>
  <c r="AF558" i="2"/>
  <c r="U559" i="2"/>
  <c r="AG559" i="2"/>
  <c r="J560" i="2"/>
  <c r="V560" i="2"/>
  <c r="AH560" i="2"/>
  <c r="K561" i="2"/>
  <c r="W561" i="2"/>
  <c r="AK561" i="2"/>
  <c r="Y563" i="2"/>
  <c r="D566" i="2"/>
  <c r="AB566" i="2"/>
  <c r="R568" i="2"/>
  <c r="AD568" i="2"/>
  <c r="G569" i="2"/>
  <c r="S569" i="2"/>
  <c r="H570" i="2"/>
  <c r="T570" i="2"/>
  <c r="AF570" i="2"/>
  <c r="U571" i="2"/>
  <c r="AG571" i="2"/>
  <c r="J572" i="2"/>
  <c r="V572" i="2"/>
  <c r="AH572" i="2"/>
  <c r="K573" i="2"/>
  <c r="W573" i="2"/>
  <c r="AK573" i="2"/>
  <c r="Y575" i="2"/>
  <c r="J579" i="2"/>
  <c r="W579" i="2"/>
  <c r="AH580" i="2"/>
  <c r="V580" i="2"/>
  <c r="J580" i="2"/>
  <c r="V582" i="2"/>
  <c r="AK582" i="2"/>
  <c r="J585" i="2"/>
  <c r="X585" i="2"/>
  <c r="AG586" i="2"/>
  <c r="K587" i="2"/>
  <c r="H588" i="2"/>
  <c r="X588" i="2"/>
  <c r="U589" i="2"/>
  <c r="X593" i="2"/>
  <c r="AH597" i="2"/>
  <c r="C540" i="2"/>
  <c r="D541" i="2"/>
  <c r="G544" i="2"/>
  <c r="S544" i="2"/>
  <c r="H545" i="2"/>
  <c r="T545" i="2"/>
  <c r="U546" i="2"/>
  <c r="J547" i="2"/>
  <c r="V547" i="2"/>
  <c r="K548" i="2"/>
  <c r="W548" i="2"/>
  <c r="C552" i="2"/>
  <c r="D553" i="2"/>
  <c r="G556" i="2"/>
  <c r="S556" i="2"/>
  <c r="H557" i="2"/>
  <c r="T557" i="2"/>
  <c r="U558" i="2"/>
  <c r="J559" i="2"/>
  <c r="V559" i="2"/>
  <c r="K560" i="2"/>
  <c r="W560" i="2"/>
  <c r="D565" i="2"/>
  <c r="G568" i="2"/>
  <c r="S568" i="2"/>
  <c r="H569" i="2"/>
  <c r="T569" i="2"/>
  <c r="U570" i="2"/>
  <c r="J571" i="2"/>
  <c r="V571" i="2"/>
  <c r="K572" i="2"/>
  <c r="W572" i="2"/>
  <c r="D577" i="2"/>
  <c r="AB577" i="2"/>
  <c r="S578" i="2"/>
  <c r="AG578" i="2"/>
  <c r="K579" i="2"/>
  <c r="X579" i="2"/>
  <c r="AB580" i="2"/>
  <c r="S581" i="2"/>
  <c r="AF581" i="2"/>
  <c r="J582" i="2"/>
  <c r="W582" i="2"/>
  <c r="D584" i="2"/>
  <c r="R584" i="2"/>
  <c r="AF584" i="2"/>
  <c r="K585" i="2"/>
  <c r="Y585" i="2"/>
  <c r="T586" i="2"/>
  <c r="AH586" i="2"/>
  <c r="AB587" i="2"/>
  <c r="J588" i="2"/>
  <c r="Y588" i="2"/>
  <c r="W589" i="2"/>
  <c r="X591" i="2"/>
  <c r="AG591" i="2"/>
  <c r="U591" i="2"/>
  <c r="AD591" i="2"/>
  <c r="R591" i="2"/>
  <c r="C591" i="2"/>
  <c r="S591" i="2"/>
  <c r="G593" i="2"/>
  <c r="Y593" i="2"/>
  <c r="H594" i="2"/>
  <c r="Z594" i="2"/>
  <c r="AK597" i="2"/>
  <c r="H596" i="2"/>
  <c r="T596" i="2"/>
  <c r="AF596" i="2"/>
  <c r="K599" i="2"/>
  <c r="W599" i="2"/>
  <c r="AK599" i="2"/>
  <c r="X600" i="2"/>
  <c r="Y601" i="2"/>
  <c r="Z602" i="2"/>
  <c r="C603" i="2"/>
  <c r="AC605" i="2"/>
  <c r="R606" i="2"/>
  <c r="AD606" i="2"/>
  <c r="H608" i="2"/>
  <c r="T608" i="2"/>
  <c r="AF608" i="2"/>
  <c r="U609" i="2"/>
  <c r="AG609" i="2"/>
  <c r="AH610" i="2"/>
  <c r="K611" i="2"/>
  <c r="W611" i="2"/>
  <c r="AK611" i="2"/>
  <c r="X612" i="2"/>
  <c r="Y613" i="2"/>
  <c r="Z614" i="2"/>
  <c r="C615" i="2"/>
  <c r="AC617" i="2"/>
  <c r="H620" i="2"/>
  <c r="T620" i="2"/>
  <c r="AF620" i="2"/>
  <c r="U621" i="2"/>
  <c r="AG621" i="2"/>
  <c r="J622" i="2"/>
  <c r="V622" i="2"/>
  <c r="AH622" i="2"/>
  <c r="K623" i="2"/>
  <c r="W623" i="2"/>
  <c r="AK623" i="2"/>
  <c r="X624" i="2"/>
  <c r="Y625" i="2"/>
  <c r="T627" i="2"/>
  <c r="AB628" i="2"/>
  <c r="D628" i="2"/>
  <c r="AK628" i="2"/>
  <c r="W628" i="2"/>
  <c r="K628" i="2"/>
  <c r="AH628" i="2"/>
  <c r="V628" i="2"/>
  <c r="J628" i="2"/>
  <c r="AF628" i="2"/>
  <c r="AB629" i="2"/>
  <c r="Y635" i="2"/>
  <c r="J638" i="2"/>
  <c r="AH638" i="2"/>
  <c r="X640" i="2"/>
  <c r="X599" i="2"/>
  <c r="Y600" i="2"/>
  <c r="X611" i="2"/>
  <c r="Y612" i="2"/>
  <c r="U620" i="2"/>
  <c r="AG620" i="2"/>
  <c r="V621" i="2"/>
  <c r="AH621" i="2"/>
  <c r="X623" i="2"/>
  <c r="Y624" i="2"/>
  <c r="AK647" i="2"/>
  <c r="W647" i="2"/>
  <c r="K647" i="2"/>
  <c r="AG647" i="2"/>
  <c r="U647" i="2"/>
  <c r="AD647" i="2"/>
  <c r="R647" i="2"/>
  <c r="AC647" i="2"/>
  <c r="C647" i="2"/>
  <c r="X647" i="2"/>
  <c r="V647" i="2"/>
  <c r="Y599" i="2"/>
  <c r="Z600" i="2"/>
  <c r="Y611" i="2"/>
  <c r="Z612" i="2"/>
  <c r="V620" i="2"/>
  <c r="AH620" i="2"/>
  <c r="W621" i="2"/>
  <c r="AK621" i="2"/>
  <c r="Y623" i="2"/>
  <c r="Z624" i="2"/>
  <c r="AC629" i="2"/>
  <c r="X629" i="2"/>
  <c r="AK629" i="2"/>
  <c r="W629" i="2"/>
  <c r="K629" i="2"/>
  <c r="AG629" i="2"/>
  <c r="K596" i="2"/>
  <c r="W596" i="2"/>
  <c r="AK596" i="2"/>
  <c r="Y598" i="2"/>
  <c r="Z599" i="2"/>
  <c r="C600" i="2"/>
  <c r="D601" i="2"/>
  <c r="AB601" i="2"/>
  <c r="AC602" i="2"/>
  <c r="R603" i="2"/>
  <c r="AD603" i="2"/>
  <c r="H605" i="2"/>
  <c r="T605" i="2"/>
  <c r="AF605" i="2"/>
  <c r="U606" i="2"/>
  <c r="AG606" i="2"/>
  <c r="K608" i="2"/>
  <c r="W608" i="2"/>
  <c r="AK608" i="2"/>
  <c r="X609" i="2"/>
  <c r="Y610" i="2"/>
  <c r="Z611" i="2"/>
  <c r="C612" i="2"/>
  <c r="D613" i="2"/>
  <c r="AB613" i="2"/>
  <c r="AC614" i="2"/>
  <c r="R615" i="2"/>
  <c r="AD615" i="2"/>
  <c r="H617" i="2"/>
  <c r="T617" i="2"/>
  <c r="AF617" i="2"/>
  <c r="U618" i="2"/>
  <c r="AG618" i="2"/>
  <c r="K620" i="2"/>
  <c r="W620" i="2"/>
  <c r="AK620" i="2"/>
  <c r="X621" i="2"/>
  <c r="Y622" i="2"/>
  <c r="Z623" i="2"/>
  <c r="C624" i="2"/>
  <c r="D625" i="2"/>
  <c r="AB625" i="2"/>
  <c r="AD626" i="2"/>
  <c r="J627" i="2"/>
  <c r="X627" i="2"/>
  <c r="T628" i="2"/>
  <c r="AF629" i="2"/>
  <c r="AF632" i="2"/>
  <c r="T632" i="2"/>
  <c r="H632" i="2"/>
  <c r="C632" i="2"/>
  <c r="Z632" i="2"/>
  <c r="X632" i="2"/>
  <c r="R632" i="2"/>
  <c r="AK632" i="2"/>
  <c r="D647" i="2"/>
  <c r="Z647" i="2"/>
  <c r="C599" i="2"/>
  <c r="D600" i="2"/>
  <c r="AB600" i="2"/>
  <c r="X608" i="2"/>
  <c r="Y609" i="2"/>
  <c r="C611" i="2"/>
  <c r="D612" i="2"/>
  <c r="AB612" i="2"/>
  <c r="X620" i="2"/>
  <c r="Y621" i="2"/>
  <c r="C623" i="2"/>
  <c r="D624" i="2"/>
  <c r="AB624" i="2"/>
  <c r="C629" i="2"/>
  <c r="R629" i="2"/>
  <c r="AH629" i="2"/>
  <c r="AH634" i="2"/>
  <c r="V634" i="2"/>
  <c r="J634" i="2"/>
  <c r="AF634" i="2"/>
  <c r="T634" i="2"/>
  <c r="H634" i="2"/>
  <c r="AC634" i="2"/>
  <c r="AB634" i="2"/>
  <c r="D634" i="2"/>
  <c r="Z634" i="2"/>
  <c r="AK634" i="2"/>
  <c r="W634" i="2"/>
  <c r="K634" i="2"/>
  <c r="U634" i="2"/>
  <c r="AB647" i="2"/>
  <c r="Y596" i="2"/>
  <c r="D599" i="2"/>
  <c r="AB599" i="2"/>
  <c r="AC600" i="2"/>
  <c r="Y608" i="2"/>
  <c r="Z609" i="2"/>
  <c r="D611" i="2"/>
  <c r="AB611" i="2"/>
  <c r="AC612" i="2"/>
  <c r="Y620" i="2"/>
  <c r="Z621" i="2"/>
  <c r="D623" i="2"/>
  <c r="AB623" i="2"/>
  <c r="AC624" i="2"/>
  <c r="D629" i="2"/>
  <c r="S629" i="2"/>
  <c r="X634" i="2"/>
  <c r="G647" i="2"/>
  <c r="J592" i="2"/>
  <c r="V592" i="2"/>
  <c r="AH592" i="2"/>
  <c r="Z596" i="2"/>
  <c r="D598" i="2"/>
  <c r="AB598" i="2"/>
  <c r="AC599" i="2"/>
  <c r="R600" i="2"/>
  <c r="AD600" i="2"/>
  <c r="G601" i="2"/>
  <c r="S601" i="2"/>
  <c r="H602" i="2"/>
  <c r="T602" i="2"/>
  <c r="AF602" i="2"/>
  <c r="U603" i="2"/>
  <c r="AG603" i="2"/>
  <c r="J604" i="2"/>
  <c r="V604" i="2"/>
  <c r="AH604" i="2"/>
  <c r="K605" i="2"/>
  <c r="W605" i="2"/>
  <c r="AK605" i="2"/>
  <c r="X606" i="2"/>
  <c r="Z608" i="2"/>
  <c r="C609" i="2"/>
  <c r="D610" i="2"/>
  <c r="AB610" i="2"/>
  <c r="AC611" i="2"/>
  <c r="R612" i="2"/>
  <c r="AD612" i="2"/>
  <c r="G613" i="2"/>
  <c r="S613" i="2"/>
  <c r="H614" i="2"/>
  <c r="T614" i="2"/>
  <c r="AF614" i="2"/>
  <c r="U615" i="2"/>
  <c r="AG615" i="2"/>
  <c r="J616" i="2"/>
  <c r="V616" i="2"/>
  <c r="AH616" i="2"/>
  <c r="K617" i="2"/>
  <c r="W617" i="2"/>
  <c r="AK617" i="2"/>
  <c r="X618" i="2"/>
  <c r="Z620" i="2"/>
  <c r="C621" i="2"/>
  <c r="D622" i="2"/>
  <c r="AB622" i="2"/>
  <c r="AC623" i="2"/>
  <c r="R624" i="2"/>
  <c r="AD624" i="2"/>
  <c r="G625" i="2"/>
  <c r="S625" i="2"/>
  <c r="H626" i="2"/>
  <c r="T626" i="2"/>
  <c r="AH626" i="2"/>
  <c r="AB627" i="2"/>
  <c r="H628" i="2"/>
  <c r="Y628" i="2"/>
  <c r="T629" i="2"/>
  <c r="V632" i="2"/>
  <c r="C634" i="2"/>
  <c r="Y634" i="2"/>
  <c r="AC641" i="2"/>
  <c r="C641" i="2"/>
  <c r="X641" i="2"/>
  <c r="AK641" i="2"/>
  <c r="W641" i="2"/>
  <c r="K641" i="2"/>
  <c r="AG641" i="2"/>
  <c r="U641" i="2"/>
  <c r="AD641" i="2"/>
  <c r="R641" i="2"/>
  <c r="V641" i="2"/>
  <c r="AH646" i="2"/>
  <c r="V646" i="2"/>
  <c r="J646" i="2"/>
  <c r="AF646" i="2"/>
  <c r="T646" i="2"/>
  <c r="H646" i="2"/>
  <c r="AC646" i="2"/>
  <c r="AB646" i="2"/>
  <c r="D646" i="2"/>
  <c r="Z646" i="2"/>
  <c r="AK646" i="2"/>
  <c r="W646" i="2"/>
  <c r="K646" i="2"/>
  <c r="U646" i="2"/>
  <c r="H647" i="2"/>
  <c r="AF647" i="2"/>
  <c r="C596" i="2"/>
  <c r="R599" i="2"/>
  <c r="AD599" i="2"/>
  <c r="G600" i="2"/>
  <c r="S600" i="2"/>
  <c r="U602" i="2"/>
  <c r="AG602" i="2"/>
  <c r="J603" i="2"/>
  <c r="V603" i="2"/>
  <c r="AH603" i="2"/>
  <c r="X605" i="2"/>
  <c r="Y606" i="2"/>
  <c r="C608" i="2"/>
  <c r="D609" i="2"/>
  <c r="AB609" i="2"/>
  <c r="R611" i="2"/>
  <c r="AD611" i="2"/>
  <c r="G612" i="2"/>
  <c r="S612" i="2"/>
  <c r="H613" i="2"/>
  <c r="T613" i="2"/>
  <c r="AF613" i="2"/>
  <c r="U614" i="2"/>
  <c r="AG614" i="2"/>
  <c r="J615" i="2"/>
  <c r="V615" i="2"/>
  <c r="AH615" i="2"/>
  <c r="X617" i="2"/>
  <c r="Y618" i="2"/>
  <c r="C620" i="2"/>
  <c r="D621" i="2"/>
  <c r="AB621" i="2"/>
  <c r="AC622" i="2"/>
  <c r="R623" i="2"/>
  <c r="AD623" i="2"/>
  <c r="G624" i="2"/>
  <c r="S624" i="2"/>
  <c r="H625" i="2"/>
  <c r="T625" i="2"/>
  <c r="AF625" i="2"/>
  <c r="U626" i="2"/>
  <c r="AK626" i="2"/>
  <c r="Z628" i="2"/>
  <c r="U629" i="2"/>
  <c r="W632" i="2"/>
  <c r="Z638" i="2"/>
  <c r="X638" i="2"/>
  <c r="AG638" i="2"/>
  <c r="U638" i="2"/>
  <c r="AF638" i="2"/>
  <c r="T638" i="2"/>
  <c r="H638" i="2"/>
  <c r="AD638" i="2"/>
  <c r="R638" i="2"/>
  <c r="C638" i="2"/>
  <c r="W638" i="2"/>
  <c r="X646" i="2"/>
  <c r="J647" i="2"/>
  <c r="AH647" i="2"/>
  <c r="D596" i="2"/>
  <c r="AB596" i="2"/>
  <c r="G599" i="2"/>
  <c r="S599" i="2"/>
  <c r="H600" i="2"/>
  <c r="T600" i="2"/>
  <c r="AF600" i="2"/>
  <c r="V602" i="2"/>
  <c r="AH602" i="2"/>
  <c r="K603" i="2"/>
  <c r="W603" i="2"/>
  <c r="AK603" i="2"/>
  <c r="Y605" i="2"/>
  <c r="D608" i="2"/>
  <c r="AB608" i="2"/>
  <c r="AC609" i="2"/>
  <c r="G611" i="2"/>
  <c r="S611" i="2"/>
  <c r="H612" i="2"/>
  <c r="T612" i="2"/>
  <c r="AF612" i="2"/>
  <c r="AH614" i="2"/>
  <c r="K615" i="2"/>
  <c r="W615" i="2"/>
  <c r="AK615" i="2"/>
  <c r="Y617" i="2"/>
  <c r="D620" i="2"/>
  <c r="AB620" i="2"/>
  <c r="AC621" i="2"/>
  <c r="AD622" i="2"/>
  <c r="G623" i="2"/>
  <c r="S623" i="2"/>
  <c r="H624" i="2"/>
  <c r="T624" i="2"/>
  <c r="AF624" i="2"/>
  <c r="U625" i="2"/>
  <c r="AG625" i="2"/>
  <c r="V626" i="2"/>
  <c r="C627" i="2"/>
  <c r="AH627" i="2"/>
  <c r="AG627" i="2"/>
  <c r="U627" i="2"/>
  <c r="AD627" i="2"/>
  <c r="G629" i="2"/>
  <c r="V629" i="2"/>
  <c r="G632" i="2"/>
  <c r="Y632" i="2"/>
  <c r="AD634" i="2"/>
  <c r="AC596" i="2"/>
  <c r="G598" i="2"/>
  <c r="S598" i="2"/>
  <c r="H599" i="2"/>
  <c r="T599" i="2"/>
  <c r="AF599" i="2"/>
  <c r="U600" i="2"/>
  <c r="AG600" i="2"/>
  <c r="J601" i="2"/>
  <c r="V601" i="2"/>
  <c r="K602" i="2"/>
  <c r="W602" i="2"/>
  <c r="AK602" i="2"/>
  <c r="X603" i="2"/>
  <c r="Z605" i="2"/>
  <c r="C606" i="2"/>
  <c r="AC608" i="2"/>
  <c r="R609" i="2"/>
  <c r="AD609" i="2"/>
  <c r="G610" i="2"/>
  <c r="S610" i="2"/>
  <c r="H611" i="2"/>
  <c r="T611" i="2"/>
  <c r="AF611" i="2"/>
  <c r="U612" i="2"/>
  <c r="AG612" i="2"/>
  <c r="J613" i="2"/>
  <c r="V613" i="2"/>
  <c r="AH613" i="2"/>
  <c r="K614" i="2"/>
  <c r="W614" i="2"/>
  <c r="AK614" i="2"/>
  <c r="X615" i="2"/>
  <c r="Z617" i="2"/>
  <c r="C618" i="2"/>
  <c r="AC620" i="2"/>
  <c r="R621" i="2"/>
  <c r="AD621" i="2"/>
  <c r="G622" i="2"/>
  <c r="S622" i="2"/>
  <c r="H623" i="2"/>
  <c r="T623" i="2"/>
  <c r="AF623" i="2"/>
  <c r="U624" i="2"/>
  <c r="AG624" i="2"/>
  <c r="J625" i="2"/>
  <c r="V625" i="2"/>
  <c r="AH625" i="2"/>
  <c r="K626" i="2"/>
  <c r="W626" i="2"/>
  <c r="AC628" i="2"/>
  <c r="H629" i="2"/>
  <c r="Y629" i="2"/>
  <c r="AB632" i="2"/>
  <c r="G634" i="2"/>
  <c r="S635" i="2"/>
  <c r="D638" i="2"/>
  <c r="AB638" i="2"/>
  <c r="R640" i="2"/>
  <c r="AB641" i="2"/>
  <c r="S644" i="2"/>
  <c r="R596" i="2"/>
  <c r="AD596" i="2"/>
  <c r="U599" i="2"/>
  <c r="AG599" i="2"/>
  <c r="J600" i="2"/>
  <c r="V600" i="2"/>
  <c r="AH600" i="2"/>
  <c r="X602" i="2"/>
  <c r="Y603" i="2"/>
  <c r="C605" i="2"/>
  <c r="R608" i="2"/>
  <c r="AD608" i="2"/>
  <c r="G609" i="2"/>
  <c r="S609" i="2"/>
  <c r="U611" i="2"/>
  <c r="AG611" i="2"/>
  <c r="J612" i="2"/>
  <c r="V612" i="2"/>
  <c r="AH612" i="2"/>
  <c r="Y615" i="2"/>
  <c r="R620" i="2"/>
  <c r="AD620" i="2"/>
  <c r="G621" i="2"/>
  <c r="S621" i="2"/>
  <c r="U623" i="2"/>
  <c r="AG623" i="2"/>
  <c r="J624" i="2"/>
  <c r="V624" i="2"/>
  <c r="AH624" i="2"/>
  <c r="K625" i="2"/>
  <c r="W625" i="2"/>
  <c r="AK625" i="2"/>
  <c r="D627" i="2"/>
  <c r="R627" i="2"/>
  <c r="AF627" i="2"/>
  <c r="AD628" i="2"/>
  <c r="Z629" i="2"/>
  <c r="J632" i="2"/>
  <c r="AC632" i="2"/>
  <c r="AG634" i="2"/>
  <c r="AC638" i="2"/>
  <c r="AD646" i="2"/>
  <c r="G596" i="2"/>
  <c r="S596" i="2"/>
  <c r="J599" i="2"/>
  <c r="V599" i="2"/>
  <c r="K600" i="2"/>
  <c r="W600" i="2"/>
  <c r="D605" i="2"/>
  <c r="G608" i="2"/>
  <c r="S608" i="2"/>
  <c r="H609" i="2"/>
  <c r="T609" i="2"/>
  <c r="J611" i="2"/>
  <c r="V611" i="2"/>
  <c r="K612" i="2"/>
  <c r="W612" i="2"/>
  <c r="G620" i="2"/>
  <c r="S620" i="2"/>
  <c r="H621" i="2"/>
  <c r="T621" i="2"/>
  <c r="U622" i="2"/>
  <c r="J623" i="2"/>
  <c r="V623" i="2"/>
  <c r="K624" i="2"/>
  <c r="W624" i="2"/>
  <c r="Z626" i="2"/>
  <c r="AF626" i="2"/>
  <c r="Y626" i="2"/>
  <c r="S627" i="2"/>
  <c r="AK627" i="2"/>
  <c r="J629" i="2"/>
  <c r="K632" i="2"/>
  <c r="AD632" i="2"/>
  <c r="AK635" i="2"/>
  <c r="W635" i="2"/>
  <c r="K635" i="2"/>
  <c r="AG635" i="2"/>
  <c r="U635" i="2"/>
  <c r="AD635" i="2"/>
  <c r="R635" i="2"/>
  <c r="AC635" i="2"/>
  <c r="C635" i="2"/>
  <c r="X635" i="2"/>
  <c r="V635" i="2"/>
  <c r="G638" i="2"/>
  <c r="AB640" i="2"/>
  <c r="D640" i="2"/>
  <c r="Z640" i="2"/>
  <c r="AK640" i="2"/>
  <c r="W640" i="2"/>
  <c r="K640" i="2"/>
  <c r="AH640" i="2"/>
  <c r="V640" i="2"/>
  <c r="J640" i="2"/>
  <c r="AF640" i="2"/>
  <c r="T640" i="2"/>
  <c r="H640" i="2"/>
  <c r="AC640" i="2"/>
  <c r="U640" i="2"/>
  <c r="AF644" i="2"/>
  <c r="T644" i="2"/>
  <c r="H644" i="2"/>
  <c r="AD644" i="2"/>
  <c r="R644" i="2"/>
  <c r="C644" i="2"/>
  <c r="Z644" i="2"/>
  <c r="X644" i="2"/>
  <c r="AG644" i="2"/>
  <c r="U644" i="2"/>
  <c r="W644" i="2"/>
  <c r="S647" i="2"/>
  <c r="Y636" i="2"/>
  <c r="Y648" i="2"/>
  <c r="C650" i="2"/>
  <c r="AC652" i="2"/>
  <c r="R653" i="2"/>
  <c r="AD653" i="2"/>
  <c r="U656" i="2"/>
  <c r="AG656" i="2"/>
  <c r="K658" i="2"/>
  <c r="W658" i="2"/>
  <c r="AK658" i="2"/>
  <c r="Y659" i="2"/>
  <c r="R661" i="2"/>
  <c r="Y666" i="2"/>
  <c r="C667" i="2"/>
  <c r="AC667" i="2"/>
  <c r="Y669" i="2"/>
  <c r="C670" i="2"/>
  <c r="J671" i="2"/>
  <c r="Y671" i="2"/>
  <c r="T673" i="2"/>
  <c r="D674" i="2"/>
  <c r="T674" i="2"/>
  <c r="X707" i="2"/>
  <c r="AK707" i="2"/>
  <c r="W707" i="2"/>
  <c r="K707" i="2"/>
  <c r="AH707" i="2"/>
  <c r="V707" i="2"/>
  <c r="J707" i="2"/>
  <c r="AG707" i="2"/>
  <c r="U707" i="2"/>
  <c r="AF707" i="2"/>
  <c r="T707" i="2"/>
  <c r="H707" i="2"/>
  <c r="S707" i="2"/>
  <c r="G707" i="2"/>
  <c r="AD707" i="2"/>
  <c r="R707" i="2"/>
  <c r="AC707" i="2"/>
  <c r="AB707" i="2"/>
  <c r="D707" i="2"/>
  <c r="C707" i="2"/>
  <c r="Z707" i="2"/>
  <c r="D650" i="2"/>
  <c r="AB650" i="2"/>
  <c r="J656" i="2"/>
  <c r="V656" i="2"/>
  <c r="AH656" i="2"/>
  <c r="X658" i="2"/>
  <c r="Z659" i="2"/>
  <c r="S661" i="2"/>
  <c r="AF661" i="2"/>
  <c r="AB663" i="2"/>
  <c r="D663" i="2"/>
  <c r="D667" i="2"/>
  <c r="AD667" i="2"/>
  <c r="D670" i="2"/>
  <c r="AF670" i="2"/>
  <c r="K671" i="2"/>
  <c r="Z671" i="2"/>
  <c r="G673" i="2"/>
  <c r="V673" i="2"/>
  <c r="U674" i="2"/>
  <c r="Y658" i="2"/>
  <c r="S666" i="2"/>
  <c r="G666" i="2"/>
  <c r="AH669" i="2"/>
  <c r="V669" i="2"/>
  <c r="J669" i="2"/>
  <c r="AK772" i="2"/>
  <c r="W772" i="2"/>
  <c r="K772" i="2"/>
  <c r="AH772" i="2"/>
  <c r="V772" i="2"/>
  <c r="J772" i="2"/>
  <c r="AG772" i="2"/>
  <c r="U772" i="2"/>
  <c r="AF772" i="2"/>
  <c r="T772" i="2"/>
  <c r="H772" i="2"/>
  <c r="S772" i="2"/>
  <c r="G772" i="2"/>
  <c r="AD772" i="2"/>
  <c r="R772" i="2"/>
  <c r="AC772" i="2"/>
  <c r="AB772" i="2"/>
  <c r="D772" i="2"/>
  <c r="C772" i="2"/>
  <c r="Z772" i="2"/>
  <c r="X772" i="2"/>
  <c r="Y772" i="2"/>
  <c r="Y633" i="2"/>
  <c r="D636" i="2"/>
  <c r="AB636" i="2"/>
  <c r="G639" i="2"/>
  <c r="S639" i="2"/>
  <c r="Y645" i="2"/>
  <c r="D648" i="2"/>
  <c r="AB648" i="2"/>
  <c r="R650" i="2"/>
  <c r="AD650" i="2"/>
  <c r="G651" i="2"/>
  <c r="S651" i="2"/>
  <c r="H652" i="2"/>
  <c r="T652" i="2"/>
  <c r="AF652" i="2"/>
  <c r="U653" i="2"/>
  <c r="AG653" i="2"/>
  <c r="X656" i="2"/>
  <c r="Y657" i="2"/>
  <c r="Z658" i="2"/>
  <c r="C659" i="2"/>
  <c r="AB659" i="2"/>
  <c r="H661" i="2"/>
  <c r="U661" i="2"/>
  <c r="AH661" i="2"/>
  <c r="C663" i="2"/>
  <c r="AD663" i="2"/>
  <c r="AG664" i="2"/>
  <c r="X665" i="2"/>
  <c r="AB666" i="2"/>
  <c r="S667" i="2"/>
  <c r="AG667" i="2"/>
  <c r="K668" i="2"/>
  <c r="X668" i="2"/>
  <c r="AB669" i="2"/>
  <c r="T670" i="2"/>
  <c r="AH670" i="2"/>
  <c r="J673" i="2"/>
  <c r="G674" i="2"/>
  <c r="Y674" i="2"/>
  <c r="G650" i="2"/>
  <c r="S650" i="2"/>
  <c r="U652" i="2"/>
  <c r="AG652" i="2"/>
  <c r="J653" i="2"/>
  <c r="V653" i="2"/>
  <c r="AH653" i="2"/>
  <c r="Y656" i="2"/>
  <c r="C658" i="2"/>
  <c r="AC659" i="2"/>
  <c r="AK661" i="2"/>
  <c r="C666" i="2"/>
  <c r="AC666" i="2"/>
  <c r="G667" i="2"/>
  <c r="U667" i="2"/>
  <c r="AH667" i="2"/>
  <c r="C669" i="2"/>
  <c r="AC669" i="2"/>
  <c r="G670" i="2"/>
  <c r="U670" i="2"/>
  <c r="X671" i="2"/>
  <c r="S671" i="2"/>
  <c r="G671" i="2"/>
  <c r="AC671" i="2"/>
  <c r="K673" i="2"/>
  <c r="AB673" i="2"/>
  <c r="H674" i="2"/>
  <c r="AB674" i="2"/>
  <c r="X719" i="2"/>
  <c r="AK719" i="2"/>
  <c r="W719" i="2"/>
  <c r="K719" i="2"/>
  <c r="AH719" i="2"/>
  <c r="V719" i="2"/>
  <c r="J719" i="2"/>
  <c r="AG719" i="2"/>
  <c r="U719" i="2"/>
  <c r="AF719" i="2"/>
  <c r="T719" i="2"/>
  <c r="H719" i="2"/>
  <c r="S719" i="2"/>
  <c r="G719" i="2"/>
  <c r="AD719" i="2"/>
  <c r="R719" i="2"/>
  <c r="AC719" i="2"/>
  <c r="AB719" i="2"/>
  <c r="D719" i="2"/>
  <c r="C719" i="2"/>
  <c r="Z719" i="2"/>
  <c r="X630" i="2"/>
  <c r="Y631" i="2"/>
  <c r="C633" i="2"/>
  <c r="R636" i="2"/>
  <c r="AD636" i="2"/>
  <c r="G637" i="2"/>
  <c r="S637" i="2"/>
  <c r="U639" i="2"/>
  <c r="AG639" i="2"/>
  <c r="X642" i="2"/>
  <c r="Y643" i="2"/>
  <c r="C645" i="2"/>
  <c r="R648" i="2"/>
  <c r="AD648" i="2"/>
  <c r="G649" i="2"/>
  <c r="S649" i="2"/>
  <c r="H650" i="2"/>
  <c r="T650" i="2"/>
  <c r="AF650" i="2"/>
  <c r="U651" i="2"/>
  <c r="AG651" i="2"/>
  <c r="J652" i="2"/>
  <c r="V652" i="2"/>
  <c r="AH652" i="2"/>
  <c r="K653" i="2"/>
  <c r="W653" i="2"/>
  <c r="AK653" i="2"/>
  <c r="X654" i="2"/>
  <c r="Y655" i="2"/>
  <c r="Z656" i="2"/>
  <c r="C657" i="2"/>
  <c r="D658" i="2"/>
  <c r="AB658" i="2"/>
  <c r="AD659" i="2"/>
  <c r="J661" i="2"/>
  <c r="W661" i="2"/>
  <c r="C662" i="2"/>
  <c r="AB662" i="2"/>
  <c r="S663" i="2"/>
  <c r="AF663" i="2"/>
  <c r="V664" i="2"/>
  <c r="AK664" i="2"/>
  <c r="D666" i="2"/>
  <c r="AD666" i="2"/>
  <c r="V667" i="2"/>
  <c r="AK667" i="2"/>
  <c r="D669" i="2"/>
  <c r="AD669" i="2"/>
  <c r="H670" i="2"/>
  <c r="V670" i="2"/>
  <c r="AD671" i="2"/>
  <c r="AC673" i="2"/>
  <c r="AC674" i="2"/>
  <c r="Y630" i="2"/>
  <c r="D633" i="2"/>
  <c r="AB633" i="2"/>
  <c r="G636" i="2"/>
  <c r="S636" i="2"/>
  <c r="J639" i="2"/>
  <c r="V639" i="2"/>
  <c r="AH639" i="2"/>
  <c r="Y642" i="2"/>
  <c r="D645" i="2"/>
  <c r="AB645" i="2"/>
  <c r="G648" i="2"/>
  <c r="S648" i="2"/>
  <c r="U650" i="2"/>
  <c r="AG650" i="2"/>
  <c r="J651" i="2"/>
  <c r="V651" i="2"/>
  <c r="AH651" i="2"/>
  <c r="K652" i="2"/>
  <c r="W652" i="2"/>
  <c r="AK652" i="2"/>
  <c r="X653" i="2"/>
  <c r="Y654" i="2"/>
  <c r="C656" i="2"/>
  <c r="D657" i="2"/>
  <c r="AB657" i="2"/>
  <c r="AC658" i="2"/>
  <c r="R659" i="2"/>
  <c r="K661" i="2"/>
  <c r="G663" i="2"/>
  <c r="T663" i="2"/>
  <c r="AG663" i="2"/>
  <c r="AD665" i="2"/>
  <c r="R665" i="2"/>
  <c r="R666" i="2"/>
  <c r="AF666" i="2"/>
  <c r="J667" i="2"/>
  <c r="W667" i="2"/>
  <c r="AG668" i="2"/>
  <c r="U668" i="2"/>
  <c r="R669" i="2"/>
  <c r="X670" i="2"/>
  <c r="C671" i="2"/>
  <c r="AF671" i="2"/>
  <c r="K674" i="2"/>
  <c r="AD674" i="2"/>
  <c r="X695" i="2"/>
  <c r="AK695" i="2"/>
  <c r="W695" i="2"/>
  <c r="K695" i="2"/>
  <c r="AH695" i="2"/>
  <c r="V695" i="2"/>
  <c r="J695" i="2"/>
  <c r="AG695" i="2"/>
  <c r="U695" i="2"/>
  <c r="AF695" i="2"/>
  <c r="T695" i="2"/>
  <c r="H695" i="2"/>
  <c r="S695" i="2"/>
  <c r="G695" i="2"/>
  <c r="AD695" i="2"/>
  <c r="R695" i="2"/>
  <c r="AC695" i="2"/>
  <c r="AB695" i="2"/>
  <c r="D695" i="2"/>
  <c r="C695" i="2"/>
  <c r="Z695" i="2"/>
  <c r="J650" i="2"/>
  <c r="V650" i="2"/>
  <c r="AH650" i="2"/>
  <c r="X652" i="2"/>
  <c r="Y653" i="2"/>
  <c r="D656" i="2"/>
  <c r="AB656" i="2"/>
  <c r="R658" i="2"/>
  <c r="AD658" i="2"/>
  <c r="AF659" i="2"/>
  <c r="AH663" i="2"/>
  <c r="T666" i="2"/>
  <c r="AG666" i="2"/>
  <c r="K667" i="2"/>
  <c r="X667" i="2"/>
  <c r="S669" i="2"/>
  <c r="AF669" i="2"/>
  <c r="J670" i="2"/>
  <c r="Y670" i="2"/>
  <c r="R671" i="2"/>
  <c r="AG671" i="2"/>
  <c r="Z673" i="2"/>
  <c r="Y673" i="2"/>
  <c r="AK673" i="2"/>
  <c r="W673" i="2"/>
  <c r="AG673" i="2"/>
  <c r="U673" i="2"/>
  <c r="K650" i="2"/>
  <c r="W650" i="2"/>
  <c r="AK650" i="2"/>
  <c r="Y652" i="2"/>
  <c r="Z653" i="2"/>
  <c r="AC656" i="2"/>
  <c r="G658" i="2"/>
  <c r="S658" i="2"/>
  <c r="H659" i="2"/>
  <c r="T659" i="2"/>
  <c r="AG659" i="2"/>
  <c r="Z661" i="2"/>
  <c r="V663" i="2"/>
  <c r="AK663" i="2"/>
  <c r="H666" i="2"/>
  <c r="U666" i="2"/>
  <c r="AH666" i="2"/>
  <c r="Y667" i="2"/>
  <c r="G669" i="2"/>
  <c r="T669" i="2"/>
  <c r="AG669" i="2"/>
  <c r="Z670" i="2"/>
  <c r="T671" i="2"/>
  <c r="AH671" i="2"/>
  <c r="AF673" i="2"/>
  <c r="AF674" i="2"/>
  <c r="J636" i="2"/>
  <c r="V636" i="2"/>
  <c r="AH636" i="2"/>
  <c r="Y639" i="2"/>
  <c r="J648" i="2"/>
  <c r="V648" i="2"/>
  <c r="AH648" i="2"/>
  <c r="X650" i="2"/>
  <c r="Y651" i="2"/>
  <c r="Z652" i="2"/>
  <c r="C653" i="2"/>
  <c r="R656" i="2"/>
  <c r="AD656" i="2"/>
  <c r="H658" i="2"/>
  <c r="T658" i="2"/>
  <c r="AF658" i="2"/>
  <c r="U659" i="2"/>
  <c r="AH659" i="2"/>
  <c r="AB661" i="2"/>
  <c r="J663" i="2"/>
  <c r="W663" i="2"/>
  <c r="AC664" i="2"/>
  <c r="Z664" i="2"/>
  <c r="D665" i="2"/>
  <c r="V666" i="2"/>
  <c r="AK666" i="2"/>
  <c r="D668" i="2"/>
  <c r="AD668" i="2"/>
  <c r="H669" i="2"/>
  <c r="U669" i="2"/>
  <c r="AK669" i="2"/>
  <c r="U671" i="2"/>
  <c r="AK671" i="2"/>
  <c r="C673" i="2"/>
  <c r="AH673" i="2"/>
  <c r="AG680" i="2"/>
  <c r="U680" i="2"/>
  <c r="AF680" i="2"/>
  <c r="T680" i="2"/>
  <c r="H680" i="2"/>
  <c r="AD680" i="2"/>
  <c r="R680" i="2"/>
  <c r="AB680" i="2"/>
  <c r="D680" i="2"/>
  <c r="C680" i="2"/>
  <c r="Z680" i="2"/>
  <c r="X680" i="2"/>
  <c r="AC680" i="2"/>
  <c r="Y650" i="2"/>
  <c r="AB653" i="2"/>
  <c r="U658" i="2"/>
  <c r="AG658" i="2"/>
  <c r="J666" i="2"/>
  <c r="W666" i="2"/>
  <c r="AF667" i="2"/>
  <c r="T667" i="2"/>
  <c r="H667" i="2"/>
  <c r="W669" i="2"/>
  <c r="AK670" i="2"/>
  <c r="W670" i="2"/>
  <c r="K670" i="2"/>
  <c r="AD670" i="2"/>
  <c r="R670" i="2"/>
  <c r="AB670" i="2"/>
  <c r="C674" i="2"/>
  <c r="Z674" i="2"/>
  <c r="X674" i="2"/>
  <c r="AH674" i="2"/>
  <c r="V674" i="2"/>
  <c r="J674" i="2"/>
  <c r="R674" i="2"/>
  <c r="AK674" i="2"/>
  <c r="X683" i="2"/>
  <c r="AK683" i="2"/>
  <c r="W683" i="2"/>
  <c r="K683" i="2"/>
  <c r="AH683" i="2"/>
  <c r="V683" i="2"/>
  <c r="J683" i="2"/>
  <c r="AG683" i="2"/>
  <c r="U683" i="2"/>
  <c r="AF683" i="2"/>
  <c r="T683" i="2"/>
  <c r="H683" i="2"/>
  <c r="S683" i="2"/>
  <c r="G683" i="2"/>
  <c r="AD683" i="2"/>
  <c r="R683" i="2"/>
  <c r="AC683" i="2"/>
  <c r="AB683" i="2"/>
  <c r="D683" i="2"/>
  <c r="C683" i="2"/>
  <c r="Z683" i="2"/>
  <c r="R630" i="2"/>
  <c r="G631" i="2"/>
  <c r="S631" i="2"/>
  <c r="U633" i="2"/>
  <c r="C639" i="2"/>
  <c r="R642" i="2"/>
  <c r="G643" i="2"/>
  <c r="S643" i="2"/>
  <c r="U645" i="2"/>
  <c r="C651" i="2"/>
  <c r="D652" i="2"/>
  <c r="R654" i="2"/>
  <c r="G655" i="2"/>
  <c r="S655" i="2"/>
  <c r="H656" i="2"/>
  <c r="T656" i="2"/>
  <c r="U657" i="2"/>
  <c r="J658" i="2"/>
  <c r="V658" i="2"/>
  <c r="K659" i="2"/>
  <c r="W659" i="2"/>
  <c r="D661" i="2"/>
  <c r="AD661" i="2"/>
  <c r="H662" i="2"/>
  <c r="U662" i="2"/>
  <c r="AH662" i="2"/>
  <c r="Y663" i="2"/>
  <c r="C664" i="2"/>
  <c r="AB664" i="2"/>
  <c r="G665" i="2"/>
  <c r="T665" i="2"/>
  <c r="AG665" i="2"/>
  <c r="K666" i="2"/>
  <c r="X666" i="2"/>
  <c r="AB667" i="2"/>
  <c r="S668" i="2"/>
  <c r="AF668" i="2"/>
  <c r="K669" i="2"/>
  <c r="X669" i="2"/>
  <c r="AC670" i="2"/>
  <c r="W671" i="2"/>
  <c r="S673" i="2"/>
  <c r="S674" i="2"/>
  <c r="AC676" i="2"/>
  <c r="AB676" i="2"/>
  <c r="D676" i="2"/>
  <c r="Z676" i="2"/>
  <c r="X676" i="2"/>
  <c r="AK676" i="2"/>
  <c r="AH676" i="2"/>
  <c r="V676" i="2"/>
  <c r="J676" i="2"/>
  <c r="S676" i="2"/>
  <c r="AH680" i="2"/>
  <c r="Y682" i="2"/>
  <c r="AC686" i="2"/>
  <c r="AK692" i="2"/>
  <c r="Y694" i="2"/>
  <c r="K704" i="2"/>
  <c r="W704" i="2"/>
  <c r="AK704" i="2"/>
  <c r="X705" i="2"/>
  <c r="Y706" i="2"/>
  <c r="K716" i="2"/>
  <c r="W716" i="2"/>
  <c r="AK716" i="2"/>
  <c r="X717" i="2"/>
  <c r="Y718" i="2"/>
  <c r="C728" i="2"/>
  <c r="AB728" i="2"/>
  <c r="J730" i="2"/>
  <c r="X730" i="2"/>
  <c r="AK760" i="2"/>
  <c r="W760" i="2"/>
  <c r="K760" i="2"/>
  <c r="AH760" i="2"/>
  <c r="V760" i="2"/>
  <c r="J760" i="2"/>
  <c r="AG760" i="2"/>
  <c r="U760" i="2"/>
  <c r="AF760" i="2"/>
  <c r="T760" i="2"/>
  <c r="H760" i="2"/>
  <c r="S760" i="2"/>
  <c r="G760" i="2"/>
  <c r="AD760" i="2"/>
  <c r="R760" i="2"/>
  <c r="AC760" i="2"/>
  <c r="AB760" i="2"/>
  <c r="D760" i="2"/>
  <c r="C760" i="2"/>
  <c r="Z760" i="2"/>
  <c r="X760" i="2"/>
  <c r="Y681" i="2"/>
  <c r="Z682" i="2"/>
  <c r="R686" i="2"/>
  <c r="AD686" i="2"/>
  <c r="H688" i="2"/>
  <c r="T688" i="2"/>
  <c r="AF688" i="2"/>
  <c r="X692" i="2"/>
  <c r="Y693" i="2"/>
  <c r="Z694" i="2"/>
  <c r="X704" i="2"/>
  <c r="Y705" i="2"/>
  <c r="Z706" i="2"/>
  <c r="X716" i="2"/>
  <c r="Y717" i="2"/>
  <c r="AK724" i="2"/>
  <c r="W724" i="2"/>
  <c r="K724" i="2"/>
  <c r="X737" i="2"/>
  <c r="AH737" i="2"/>
  <c r="V737" i="2"/>
  <c r="J737" i="2"/>
  <c r="AG737" i="2"/>
  <c r="U737" i="2"/>
  <c r="AF737" i="2"/>
  <c r="T737" i="2"/>
  <c r="H737" i="2"/>
  <c r="S737" i="2"/>
  <c r="G737" i="2"/>
  <c r="AD737" i="2"/>
  <c r="AC737" i="2"/>
  <c r="AB737" i="2"/>
  <c r="D737" i="2"/>
  <c r="Z737" i="2"/>
  <c r="Z739" i="2"/>
  <c r="X739" i="2"/>
  <c r="AK739" i="2"/>
  <c r="W739" i="2"/>
  <c r="K739" i="2"/>
  <c r="AH739" i="2"/>
  <c r="V739" i="2"/>
  <c r="J739" i="2"/>
  <c r="AG739" i="2"/>
  <c r="U739" i="2"/>
  <c r="AF739" i="2"/>
  <c r="T739" i="2"/>
  <c r="H739" i="2"/>
  <c r="S739" i="2"/>
  <c r="G739" i="2"/>
  <c r="AD739" i="2"/>
  <c r="R739" i="2"/>
  <c r="AC739" i="2"/>
  <c r="X749" i="2"/>
  <c r="AK749" i="2"/>
  <c r="W749" i="2"/>
  <c r="K749" i="2"/>
  <c r="AH749" i="2"/>
  <c r="V749" i="2"/>
  <c r="J749" i="2"/>
  <c r="AG749" i="2"/>
  <c r="U749" i="2"/>
  <c r="AF749" i="2"/>
  <c r="T749" i="2"/>
  <c r="H749" i="2"/>
  <c r="S749" i="2"/>
  <c r="G749" i="2"/>
  <c r="AD749" i="2"/>
  <c r="R749" i="2"/>
  <c r="AC749" i="2"/>
  <c r="AB749" i="2"/>
  <c r="D749" i="2"/>
  <c r="C749" i="2"/>
  <c r="C682" i="2"/>
  <c r="S686" i="2"/>
  <c r="U688" i="2"/>
  <c r="AG688" i="2"/>
  <c r="Y692" i="2"/>
  <c r="Z693" i="2"/>
  <c r="C694" i="2"/>
  <c r="Y704" i="2"/>
  <c r="Z705" i="2"/>
  <c r="Y716" i="2"/>
  <c r="Z717" i="2"/>
  <c r="AB724" i="2"/>
  <c r="AD728" i="2"/>
  <c r="X678" i="2"/>
  <c r="Y679" i="2"/>
  <c r="C681" i="2"/>
  <c r="D682" i="2"/>
  <c r="AB682" i="2"/>
  <c r="H686" i="2"/>
  <c r="T686" i="2"/>
  <c r="AF686" i="2"/>
  <c r="J688" i="2"/>
  <c r="V688" i="2"/>
  <c r="AH688" i="2"/>
  <c r="X690" i="2"/>
  <c r="Y691" i="2"/>
  <c r="Z692" i="2"/>
  <c r="C693" i="2"/>
  <c r="D694" i="2"/>
  <c r="AB694" i="2"/>
  <c r="H698" i="2"/>
  <c r="T698" i="2"/>
  <c r="AF698" i="2"/>
  <c r="J700" i="2"/>
  <c r="V700" i="2"/>
  <c r="AH700" i="2"/>
  <c r="X702" i="2"/>
  <c r="Y703" i="2"/>
  <c r="Z704" i="2"/>
  <c r="C705" i="2"/>
  <c r="D706" i="2"/>
  <c r="AB706" i="2"/>
  <c r="H710" i="2"/>
  <c r="T710" i="2"/>
  <c r="AF710" i="2"/>
  <c r="J712" i="2"/>
  <c r="V712" i="2"/>
  <c r="AH712" i="2"/>
  <c r="X714" i="2"/>
  <c r="Y715" i="2"/>
  <c r="Z716" i="2"/>
  <c r="C717" i="2"/>
  <c r="D718" i="2"/>
  <c r="AB718" i="2"/>
  <c r="G721" i="2"/>
  <c r="S721" i="2"/>
  <c r="H722" i="2"/>
  <c r="T722" i="2"/>
  <c r="AH722" i="2"/>
  <c r="C724" i="2"/>
  <c r="AC724" i="2"/>
  <c r="G725" i="2"/>
  <c r="T725" i="2"/>
  <c r="AG725" i="2"/>
  <c r="Z727" i="2"/>
  <c r="R728" i="2"/>
  <c r="AK729" i="2"/>
  <c r="S732" i="2"/>
  <c r="G732" i="2"/>
  <c r="AC732" i="2"/>
  <c r="AB732" i="2"/>
  <c r="C737" i="2"/>
  <c r="AK737" i="2"/>
  <c r="C739" i="2"/>
  <c r="Y678" i="2"/>
  <c r="D681" i="2"/>
  <c r="AB681" i="2"/>
  <c r="AC682" i="2"/>
  <c r="U686" i="2"/>
  <c r="AG686" i="2"/>
  <c r="K688" i="2"/>
  <c r="W688" i="2"/>
  <c r="AK688" i="2"/>
  <c r="Y690" i="2"/>
  <c r="C692" i="2"/>
  <c r="D693" i="2"/>
  <c r="AB693" i="2"/>
  <c r="AC694" i="2"/>
  <c r="U698" i="2"/>
  <c r="AG698" i="2"/>
  <c r="K700" i="2"/>
  <c r="W700" i="2"/>
  <c r="AK700" i="2"/>
  <c r="Y702" i="2"/>
  <c r="Z703" i="2"/>
  <c r="C704" i="2"/>
  <c r="D705" i="2"/>
  <c r="AB705" i="2"/>
  <c r="AC706" i="2"/>
  <c r="U710" i="2"/>
  <c r="AG710" i="2"/>
  <c r="K712" i="2"/>
  <c r="W712" i="2"/>
  <c r="AK712" i="2"/>
  <c r="Y714" i="2"/>
  <c r="C716" i="2"/>
  <c r="D717" i="2"/>
  <c r="AB717" i="2"/>
  <c r="AC718" i="2"/>
  <c r="AK722" i="2"/>
  <c r="D724" i="2"/>
  <c r="AD724" i="2"/>
  <c r="S728" i="2"/>
  <c r="AF728" i="2"/>
  <c r="AC730" i="2"/>
  <c r="C730" i="2"/>
  <c r="AD730" i="2"/>
  <c r="D739" i="2"/>
  <c r="Y760" i="2"/>
  <c r="K675" i="2"/>
  <c r="W675" i="2"/>
  <c r="AK675" i="2"/>
  <c r="Y677" i="2"/>
  <c r="Z678" i="2"/>
  <c r="C679" i="2"/>
  <c r="AC681" i="2"/>
  <c r="R682" i="2"/>
  <c r="AD682" i="2"/>
  <c r="U685" i="2"/>
  <c r="AG685" i="2"/>
  <c r="J686" i="2"/>
  <c r="V686" i="2"/>
  <c r="AH686" i="2"/>
  <c r="K687" i="2"/>
  <c r="W687" i="2"/>
  <c r="AK687" i="2"/>
  <c r="X688" i="2"/>
  <c r="Y689" i="2"/>
  <c r="Z690" i="2"/>
  <c r="C691" i="2"/>
  <c r="D692" i="2"/>
  <c r="AB692" i="2"/>
  <c r="AC693" i="2"/>
  <c r="R694" i="2"/>
  <c r="AD694" i="2"/>
  <c r="U697" i="2"/>
  <c r="AG697" i="2"/>
  <c r="J698" i="2"/>
  <c r="V698" i="2"/>
  <c r="AH698" i="2"/>
  <c r="K699" i="2"/>
  <c r="W699" i="2"/>
  <c r="AK699" i="2"/>
  <c r="X700" i="2"/>
  <c r="Y701" i="2"/>
  <c r="Z702" i="2"/>
  <c r="C703" i="2"/>
  <c r="D704" i="2"/>
  <c r="AB704" i="2"/>
  <c r="AC705" i="2"/>
  <c r="R706" i="2"/>
  <c r="AD706" i="2"/>
  <c r="U709" i="2"/>
  <c r="AG709" i="2"/>
  <c r="J710" i="2"/>
  <c r="V710" i="2"/>
  <c r="AH710" i="2"/>
  <c r="W711" i="2"/>
  <c r="AK711" i="2"/>
  <c r="X712" i="2"/>
  <c r="Y713" i="2"/>
  <c r="Z714" i="2"/>
  <c r="C715" i="2"/>
  <c r="D716" i="2"/>
  <c r="AB716" i="2"/>
  <c r="AC717" i="2"/>
  <c r="R718" i="2"/>
  <c r="AD718" i="2"/>
  <c r="U721" i="2"/>
  <c r="AG721" i="2"/>
  <c r="J722" i="2"/>
  <c r="W722" i="2"/>
  <c r="AH723" i="2"/>
  <c r="V723" i="2"/>
  <c r="J723" i="2"/>
  <c r="R724" i="2"/>
  <c r="V725" i="2"/>
  <c r="AK725" i="2"/>
  <c r="C727" i="2"/>
  <c r="AC727" i="2"/>
  <c r="G728" i="2"/>
  <c r="T728" i="2"/>
  <c r="AG728" i="2"/>
  <c r="K729" i="2"/>
  <c r="X729" i="2"/>
  <c r="C732" i="2"/>
  <c r="AF732" i="2"/>
  <c r="AB734" i="2"/>
  <c r="AC735" i="2"/>
  <c r="G682" i="2"/>
  <c r="S682" i="2"/>
  <c r="K686" i="2"/>
  <c r="W686" i="2"/>
  <c r="AK686" i="2"/>
  <c r="Y688" i="2"/>
  <c r="AC692" i="2"/>
  <c r="R693" i="2"/>
  <c r="AD693" i="2"/>
  <c r="G694" i="2"/>
  <c r="S694" i="2"/>
  <c r="K698" i="2"/>
  <c r="W698" i="2"/>
  <c r="AK698" i="2"/>
  <c r="Y700" i="2"/>
  <c r="C702" i="2"/>
  <c r="AB703" i="2"/>
  <c r="AC704" i="2"/>
  <c r="R705" i="2"/>
  <c r="AD705" i="2"/>
  <c r="G706" i="2"/>
  <c r="S706" i="2"/>
  <c r="K710" i="2"/>
  <c r="W710" i="2"/>
  <c r="AK710" i="2"/>
  <c r="Y712" i="2"/>
  <c r="C714" i="2"/>
  <c r="D715" i="2"/>
  <c r="AB715" i="2"/>
  <c r="AC716" i="2"/>
  <c r="R717" i="2"/>
  <c r="AD717" i="2"/>
  <c r="G718" i="2"/>
  <c r="S718" i="2"/>
  <c r="J721" i="2"/>
  <c r="V721" i="2"/>
  <c r="AH721" i="2"/>
  <c r="K722" i="2"/>
  <c r="X722" i="2"/>
  <c r="S724" i="2"/>
  <c r="AF724" i="2"/>
  <c r="J725" i="2"/>
  <c r="W725" i="2"/>
  <c r="D727" i="2"/>
  <c r="AD727" i="2"/>
  <c r="H728" i="2"/>
  <c r="U728" i="2"/>
  <c r="AH728" i="2"/>
  <c r="Y729" i="2"/>
  <c r="D730" i="2"/>
  <c r="R730" i="2"/>
  <c r="AF730" i="2"/>
  <c r="D732" i="2"/>
  <c r="R732" i="2"/>
  <c r="AG732" i="2"/>
  <c r="AG733" i="2"/>
  <c r="AF734" i="2"/>
  <c r="AG735" i="2"/>
  <c r="R736" i="2"/>
  <c r="K737" i="2"/>
  <c r="AK748" i="2"/>
  <c r="W748" i="2"/>
  <c r="K748" i="2"/>
  <c r="AH748" i="2"/>
  <c r="V748" i="2"/>
  <c r="J748" i="2"/>
  <c r="AG748" i="2"/>
  <c r="U748" i="2"/>
  <c r="AF748" i="2"/>
  <c r="T748" i="2"/>
  <c r="H748" i="2"/>
  <c r="S748" i="2"/>
  <c r="G748" i="2"/>
  <c r="AD748" i="2"/>
  <c r="R748" i="2"/>
  <c r="AC748" i="2"/>
  <c r="AB748" i="2"/>
  <c r="D748" i="2"/>
  <c r="C748" i="2"/>
  <c r="Z748" i="2"/>
  <c r="Y749" i="2"/>
  <c r="Y675" i="2"/>
  <c r="D678" i="2"/>
  <c r="AB678" i="2"/>
  <c r="AC679" i="2"/>
  <c r="G681" i="2"/>
  <c r="S681" i="2"/>
  <c r="H682" i="2"/>
  <c r="T682" i="2"/>
  <c r="AF682" i="2"/>
  <c r="K685" i="2"/>
  <c r="W685" i="2"/>
  <c r="AK685" i="2"/>
  <c r="X686" i="2"/>
  <c r="Y687" i="2"/>
  <c r="Z688" i="2"/>
  <c r="D690" i="2"/>
  <c r="AB690" i="2"/>
  <c r="AC691" i="2"/>
  <c r="R692" i="2"/>
  <c r="AD692" i="2"/>
  <c r="G693" i="2"/>
  <c r="S693" i="2"/>
  <c r="H694" i="2"/>
  <c r="T694" i="2"/>
  <c r="AF694" i="2"/>
  <c r="K697" i="2"/>
  <c r="W697" i="2"/>
  <c r="AK697" i="2"/>
  <c r="X698" i="2"/>
  <c r="Y699" i="2"/>
  <c r="Z700" i="2"/>
  <c r="D702" i="2"/>
  <c r="AB702" i="2"/>
  <c r="AC703" i="2"/>
  <c r="R704" i="2"/>
  <c r="AD704" i="2"/>
  <c r="G705" i="2"/>
  <c r="S705" i="2"/>
  <c r="H706" i="2"/>
  <c r="T706" i="2"/>
  <c r="AF706" i="2"/>
  <c r="K709" i="2"/>
  <c r="W709" i="2"/>
  <c r="AK709" i="2"/>
  <c r="X710" i="2"/>
  <c r="Y711" i="2"/>
  <c r="Z712" i="2"/>
  <c r="C713" i="2"/>
  <c r="D714" i="2"/>
  <c r="AB714" i="2"/>
  <c r="AC715" i="2"/>
  <c r="R716" i="2"/>
  <c r="AD716" i="2"/>
  <c r="G717" i="2"/>
  <c r="S717" i="2"/>
  <c r="H718" i="2"/>
  <c r="T718" i="2"/>
  <c r="AF718" i="2"/>
  <c r="K721" i="2"/>
  <c r="W721" i="2"/>
  <c r="AK721" i="2"/>
  <c r="C723" i="2"/>
  <c r="AC723" i="2"/>
  <c r="G724" i="2"/>
  <c r="T724" i="2"/>
  <c r="AG724" i="2"/>
  <c r="K725" i="2"/>
  <c r="Y725" i="2"/>
  <c r="R727" i="2"/>
  <c r="V728" i="2"/>
  <c r="AK728" i="2"/>
  <c r="S730" i="2"/>
  <c r="AG730" i="2"/>
  <c r="T732" i="2"/>
  <c r="AH732" i="2"/>
  <c r="AH733" i="2"/>
  <c r="AH734" i="2"/>
  <c r="AK735" i="2"/>
  <c r="Z749" i="2"/>
  <c r="U682" i="2"/>
  <c r="AG682" i="2"/>
  <c r="Y686" i="2"/>
  <c r="C688" i="2"/>
  <c r="G692" i="2"/>
  <c r="S692" i="2"/>
  <c r="H693" i="2"/>
  <c r="T693" i="2"/>
  <c r="AF693" i="2"/>
  <c r="U694" i="2"/>
  <c r="AG694" i="2"/>
  <c r="Y698" i="2"/>
  <c r="AC702" i="2"/>
  <c r="R703" i="2"/>
  <c r="AD703" i="2"/>
  <c r="G704" i="2"/>
  <c r="S704" i="2"/>
  <c r="H705" i="2"/>
  <c r="T705" i="2"/>
  <c r="AF705" i="2"/>
  <c r="U706" i="2"/>
  <c r="AG706" i="2"/>
  <c r="Y710" i="2"/>
  <c r="G716" i="2"/>
  <c r="S716" i="2"/>
  <c r="H717" i="2"/>
  <c r="T717" i="2"/>
  <c r="AF717" i="2"/>
  <c r="U718" i="2"/>
  <c r="AG718" i="2"/>
  <c r="X721" i="2"/>
  <c r="AG722" i="2"/>
  <c r="U722" i="2"/>
  <c r="Z722" i="2"/>
  <c r="H724" i="2"/>
  <c r="U724" i="2"/>
  <c r="AH724" i="2"/>
  <c r="S727" i="2"/>
  <c r="AF727" i="2"/>
  <c r="J728" i="2"/>
  <c r="W728" i="2"/>
  <c r="AB729" i="2"/>
  <c r="D729" i="2"/>
  <c r="T730" i="2"/>
  <c r="AH730" i="2"/>
  <c r="U732" i="2"/>
  <c r="AK732" i="2"/>
  <c r="AK736" i="2"/>
  <c r="W736" i="2"/>
  <c r="K736" i="2"/>
  <c r="AG736" i="2"/>
  <c r="U736" i="2"/>
  <c r="AF736" i="2"/>
  <c r="T736" i="2"/>
  <c r="H736" i="2"/>
  <c r="S736" i="2"/>
  <c r="G736" i="2"/>
  <c r="AD736" i="2"/>
  <c r="AB736" i="2"/>
  <c r="C736" i="2"/>
  <c r="X736" i="2"/>
  <c r="AH747" i="2"/>
  <c r="V747" i="2"/>
  <c r="J747" i="2"/>
  <c r="AG747" i="2"/>
  <c r="U747" i="2"/>
  <c r="AF747" i="2"/>
  <c r="T747" i="2"/>
  <c r="H747" i="2"/>
  <c r="S747" i="2"/>
  <c r="G747" i="2"/>
  <c r="AD747" i="2"/>
  <c r="R747" i="2"/>
  <c r="AC747" i="2"/>
  <c r="AB747" i="2"/>
  <c r="D747" i="2"/>
  <c r="C747" i="2"/>
  <c r="Z747" i="2"/>
  <c r="C675" i="2"/>
  <c r="R678" i="2"/>
  <c r="AD678" i="2"/>
  <c r="G679" i="2"/>
  <c r="S679" i="2"/>
  <c r="U681" i="2"/>
  <c r="AG681" i="2"/>
  <c r="J682" i="2"/>
  <c r="V682" i="2"/>
  <c r="AH682" i="2"/>
  <c r="Y685" i="2"/>
  <c r="Z686" i="2"/>
  <c r="D688" i="2"/>
  <c r="AB688" i="2"/>
  <c r="R690" i="2"/>
  <c r="AD690" i="2"/>
  <c r="G691" i="2"/>
  <c r="S691" i="2"/>
  <c r="H692" i="2"/>
  <c r="T692" i="2"/>
  <c r="AF692" i="2"/>
  <c r="U693" i="2"/>
  <c r="AG693" i="2"/>
  <c r="J694" i="2"/>
  <c r="V694" i="2"/>
  <c r="AH694" i="2"/>
  <c r="Y697" i="2"/>
  <c r="Z698" i="2"/>
  <c r="D700" i="2"/>
  <c r="AB700" i="2"/>
  <c r="R702" i="2"/>
  <c r="AD702" i="2"/>
  <c r="G703" i="2"/>
  <c r="S703" i="2"/>
  <c r="H704" i="2"/>
  <c r="T704" i="2"/>
  <c r="AF704" i="2"/>
  <c r="U705" i="2"/>
  <c r="AG705" i="2"/>
  <c r="J706" i="2"/>
  <c r="V706" i="2"/>
  <c r="AH706" i="2"/>
  <c r="Y709" i="2"/>
  <c r="Z710" i="2"/>
  <c r="D712" i="2"/>
  <c r="AB712" i="2"/>
  <c r="R714" i="2"/>
  <c r="AD714" i="2"/>
  <c r="G715" i="2"/>
  <c r="S715" i="2"/>
  <c r="H716" i="2"/>
  <c r="T716" i="2"/>
  <c r="AF716" i="2"/>
  <c r="U717" i="2"/>
  <c r="AG717" i="2"/>
  <c r="J718" i="2"/>
  <c r="V718" i="2"/>
  <c r="AH718" i="2"/>
  <c r="Y721" i="2"/>
  <c r="V724" i="2"/>
  <c r="X725" i="2"/>
  <c r="G727" i="2"/>
  <c r="T727" i="2"/>
  <c r="AG727" i="2"/>
  <c r="K728" i="2"/>
  <c r="X728" i="2"/>
  <c r="AC729" i="2"/>
  <c r="G730" i="2"/>
  <c r="U730" i="2"/>
  <c r="AK730" i="2"/>
  <c r="H732" i="2"/>
  <c r="V732" i="2"/>
  <c r="AF733" i="2"/>
  <c r="T733" i="2"/>
  <c r="H733" i="2"/>
  <c r="AD733" i="2"/>
  <c r="R733" i="2"/>
  <c r="AC733" i="2"/>
  <c r="AB733" i="2"/>
  <c r="D733" i="2"/>
  <c r="S733" i="2"/>
  <c r="AG734" i="2"/>
  <c r="U734" i="2"/>
  <c r="S734" i="2"/>
  <c r="G734" i="2"/>
  <c r="AD734" i="2"/>
  <c r="R734" i="2"/>
  <c r="AC734" i="2"/>
  <c r="AH735" i="2"/>
  <c r="V735" i="2"/>
  <c r="J735" i="2"/>
  <c r="AF735" i="2"/>
  <c r="T735" i="2"/>
  <c r="H735" i="2"/>
  <c r="S735" i="2"/>
  <c r="G735" i="2"/>
  <c r="AD735" i="2"/>
  <c r="R735" i="2"/>
  <c r="Y736" i="2"/>
  <c r="D675" i="2"/>
  <c r="R677" i="2"/>
  <c r="G678" i="2"/>
  <c r="S678" i="2"/>
  <c r="H679" i="2"/>
  <c r="T679" i="2"/>
  <c r="J681" i="2"/>
  <c r="V681" i="2"/>
  <c r="K682" i="2"/>
  <c r="W682" i="2"/>
  <c r="C686" i="2"/>
  <c r="D687" i="2"/>
  <c r="R689" i="2"/>
  <c r="G690" i="2"/>
  <c r="S690" i="2"/>
  <c r="H691" i="2"/>
  <c r="T691" i="2"/>
  <c r="U692" i="2"/>
  <c r="J693" i="2"/>
  <c r="V693" i="2"/>
  <c r="K694" i="2"/>
  <c r="W694" i="2"/>
  <c r="C698" i="2"/>
  <c r="D699" i="2"/>
  <c r="R701" i="2"/>
  <c r="G702" i="2"/>
  <c r="S702" i="2"/>
  <c r="H703" i="2"/>
  <c r="T703" i="2"/>
  <c r="U704" i="2"/>
  <c r="J705" i="2"/>
  <c r="V705" i="2"/>
  <c r="K706" i="2"/>
  <c r="W706" i="2"/>
  <c r="C710" i="2"/>
  <c r="D711" i="2"/>
  <c r="R713" i="2"/>
  <c r="G714" i="2"/>
  <c r="S714" i="2"/>
  <c r="H715" i="2"/>
  <c r="T715" i="2"/>
  <c r="U716" i="2"/>
  <c r="J717" i="2"/>
  <c r="V717" i="2"/>
  <c r="K718" i="2"/>
  <c r="W718" i="2"/>
  <c r="C722" i="2"/>
  <c r="AB722" i="2"/>
  <c r="S723" i="2"/>
  <c r="AF723" i="2"/>
  <c r="J724" i="2"/>
  <c r="X724" i="2"/>
  <c r="AB725" i="2"/>
  <c r="H727" i="2"/>
  <c r="U727" i="2"/>
  <c r="AH727" i="2"/>
  <c r="Y728" i="2"/>
  <c r="C729" i="2"/>
  <c r="AD729" i="2"/>
  <c r="H730" i="2"/>
  <c r="V730" i="2"/>
  <c r="AD731" i="2"/>
  <c r="R731" i="2"/>
  <c r="AB731" i="2"/>
  <c r="D731" i="2"/>
  <c r="W732" i="2"/>
  <c r="U733" i="2"/>
  <c r="T734" i="2"/>
  <c r="U735" i="2"/>
  <c r="D736" i="2"/>
  <c r="Z736" i="2"/>
  <c r="R737" i="2"/>
  <c r="Y739" i="2"/>
  <c r="Y761" i="2"/>
  <c r="Y773" i="2"/>
  <c r="C797" i="2"/>
  <c r="Z797" i="2"/>
  <c r="AK797" i="2"/>
  <c r="W797" i="2"/>
  <c r="K797" i="2"/>
  <c r="AH797" i="2"/>
  <c r="V797" i="2"/>
  <c r="J797" i="2"/>
  <c r="AG797" i="2"/>
  <c r="U797" i="2"/>
  <c r="AF797" i="2"/>
  <c r="T797" i="2"/>
  <c r="H797" i="2"/>
  <c r="S797" i="2"/>
  <c r="AD797" i="2"/>
  <c r="Y797" i="2"/>
  <c r="Y759" i="2"/>
  <c r="C761" i="2"/>
  <c r="Y771" i="2"/>
  <c r="C773" i="2"/>
  <c r="C785" i="2"/>
  <c r="Z785" i="2"/>
  <c r="AK785" i="2"/>
  <c r="W785" i="2"/>
  <c r="K785" i="2"/>
  <c r="AH785" i="2"/>
  <c r="V785" i="2"/>
  <c r="J785" i="2"/>
  <c r="AG785" i="2"/>
  <c r="U785" i="2"/>
  <c r="S785" i="2"/>
  <c r="AF790" i="2"/>
  <c r="T790" i="2"/>
  <c r="H790" i="2"/>
  <c r="S790" i="2"/>
  <c r="G790" i="2"/>
  <c r="AB790" i="2"/>
  <c r="D790" i="2"/>
  <c r="C790" i="2"/>
  <c r="Z790" i="2"/>
  <c r="V790" i="2"/>
  <c r="X794" i="2"/>
  <c r="AK794" i="2"/>
  <c r="W794" i="2"/>
  <c r="K794" i="2"/>
  <c r="AF794" i="2"/>
  <c r="T794" i="2"/>
  <c r="H794" i="2"/>
  <c r="S794" i="2"/>
  <c r="G794" i="2"/>
  <c r="AD794" i="2"/>
  <c r="R794" i="2"/>
  <c r="U794" i="2"/>
  <c r="D797" i="2"/>
  <c r="AC797" i="2"/>
  <c r="J743" i="2"/>
  <c r="V743" i="2"/>
  <c r="AH743" i="2"/>
  <c r="K744" i="2"/>
  <c r="W744" i="2"/>
  <c r="AK744" i="2"/>
  <c r="X745" i="2"/>
  <c r="Y746" i="2"/>
  <c r="R751" i="2"/>
  <c r="AD751" i="2"/>
  <c r="AH755" i="2"/>
  <c r="K756" i="2"/>
  <c r="W756" i="2"/>
  <c r="AK756" i="2"/>
  <c r="X757" i="2"/>
  <c r="Y758" i="2"/>
  <c r="Z759" i="2"/>
  <c r="D761" i="2"/>
  <c r="AB761" i="2"/>
  <c r="R763" i="2"/>
  <c r="AD763" i="2"/>
  <c r="K768" i="2"/>
  <c r="W768" i="2"/>
  <c r="AK768" i="2"/>
  <c r="X769" i="2"/>
  <c r="Y770" i="2"/>
  <c r="Z771" i="2"/>
  <c r="D773" i="2"/>
  <c r="AB773" i="2"/>
  <c r="AG779" i="2"/>
  <c r="U779" i="2"/>
  <c r="AB779" i="2"/>
  <c r="AC779" i="2"/>
  <c r="AK781" i="2"/>
  <c r="W781" i="2"/>
  <c r="K781" i="2"/>
  <c r="AH781" i="2"/>
  <c r="V781" i="2"/>
  <c r="S781" i="2"/>
  <c r="AD781" i="2"/>
  <c r="R781" i="2"/>
  <c r="AG781" i="2"/>
  <c r="T785" i="2"/>
  <c r="W790" i="2"/>
  <c r="V794" i="2"/>
  <c r="AB798" i="2"/>
  <c r="D798" i="2"/>
  <c r="C798" i="2"/>
  <c r="X798" i="2"/>
  <c r="AK798" i="2"/>
  <c r="W798" i="2"/>
  <c r="K798" i="2"/>
  <c r="AH798" i="2"/>
  <c r="V798" i="2"/>
  <c r="J798" i="2"/>
  <c r="AG798" i="2"/>
  <c r="U798" i="2"/>
  <c r="AF798" i="2"/>
  <c r="T798" i="2"/>
  <c r="H798" i="2"/>
  <c r="S798" i="2"/>
  <c r="G798" i="2"/>
  <c r="W743" i="2"/>
  <c r="AK743" i="2"/>
  <c r="X744" i="2"/>
  <c r="Y745" i="2"/>
  <c r="Z746" i="2"/>
  <c r="G751" i="2"/>
  <c r="S751" i="2"/>
  <c r="X756" i="2"/>
  <c r="Y757" i="2"/>
  <c r="C759" i="2"/>
  <c r="AC761" i="2"/>
  <c r="G763" i="2"/>
  <c r="S763" i="2"/>
  <c r="X768" i="2"/>
  <c r="Y769" i="2"/>
  <c r="C771" i="2"/>
  <c r="AC773" i="2"/>
  <c r="X782" i="2"/>
  <c r="AK782" i="2"/>
  <c r="W782" i="2"/>
  <c r="K782" i="2"/>
  <c r="AF782" i="2"/>
  <c r="T782" i="2"/>
  <c r="H782" i="2"/>
  <c r="S782" i="2"/>
  <c r="G782" i="2"/>
  <c r="D785" i="2"/>
  <c r="X785" i="2"/>
  <c r="X790" i="2"/>
  <c r="C794" i="2"/>
  <c r="Y794" i="2"/>
  <c r="Y744" i="2"/>
  <c r="H751" i="2"/>
  <c r="T751" i="2"/>
  <c r="AF751" i="2"/>
  <c r="Y756" i="2"/>
  <c r="D759" i="2"/>
  <c r="AB759" i="2"/>
  <c r="R761" i="2"/>
  <c r="AD761" i="2"/>
  <c r="H763" i="2"/>
  <c r="T763" i="2"/>
  <c r="AF763" i="2"/>
  <c r="Y768" i="2"/>
  <c r="Z769" i="2"/>
  <c r="D771" i="2"/>
  <c r="AB771" i="2"/>
  <c r="R773" i="2"/>
  <c r="AD773" i="2"/>
  <c r="R782" i="2"/>
  <c r="Y785" i="2"/>
  <c r="Y790" i="2"/>
  <c r="AK793" i="2"/>
  <c r="W793" i="2"/>
  <c r="K793" i="2"/>
  <c r="AH793" i="2"/>
  <c r="V793" i="2"/>
  <c r="J793" i="2"/>
  <c r="S793" i="2"/>
  <c r="G793" i="2"/>
  <c r="AD793" i="2"/>
  <c r="R793" i="2"/>
  <c r="AC793" i="2"/>
  <c r="T793" i="2"/>
  <c r="D794" i="2"/>
  <c r="Z794" i="2"/>
  <c r="G797" i="2"/>
  <c r="Y743" i="2"/>
  <c r="Z744" i="2"/>
  <c r="C745" i="2"/>
  <c r="AB746" i="2"/>
  <c r="U751" i="2"/>
  <c r="AG751" i="2"/>
  <c r="Y755" i="2"/>
  <c r="Z756" i="2"/>
  <c r="C757" i="2"/>
  <c r="D758" i="2"/>
  <c r="AB758" i="2"/>
  <c r="AC759" i="2"/>
  <c r="G761" i="2"/>
  <c r="S761" i="2"/>
  <c r="U763" i="2"/>
  <c r="AG763" i="2"/>
  <c r="W765" i="2"/>
  <c r="AK765" i="2"/>
  <c r="Y767" i="2"/>
  <c r="Z768" i="2"/>
  <c r="C769" i="2"/>
  <c r="D770" i="2"/>
  <c r="AB770" i="2"/>
  <c r="AC771" i="2"/>
  <c r="G773" i="2"/>
  <c r="S773" i="2"/>
  <c r="AK777" i="2"/>
  <c r="D779" i="2"/>
  <c r="R779" i="2"/>
  <c r="AF779" i="2"/>
  <c r="D781" i="2"/>
  <c r="T781" i="2"/>
  <c r="C782" i="2"/>
  <c r="U782" i="2"/>
  <c r="AB785" i="2"/>
  <c r="AC790" i="2"/>
  <c r="U793" i="2"/>
  <c r="X741" i="2"/>
  <c r="Y742" i="2"/>
  <c r="Z743" i="2"/>
  <c r="C744" i="2"/>
  <c r="D745" i="2"/>
  <c r="AB745" i="2"/>
  <c r="AC746" i="2"/>
  <c r="J751" i="2"/>
  <c r="V751" i="2"/>
  <c r="AH751" i="2"/>
  <c r="X753" i="2"/>
  <c r="Y754" i="2"/>
  <c r="Z755" i="2"/>
  <c r="C756" i="2"/>
  <c r="D757" i="2"/>
  <c r="AB757" i="2"/>
  <c r="AC758" i="2"/>
  <c r="R759" i="2"/>
  <c r="AD759" i="2"/>
  <c r="H761" i="2"/>
  <c r="T761" i="2"/>
  <c r="AF761" i="2"/>
  <c r="J763" i="2"/>
  <c r="V763" i="2"/>
  <c r="AH763" i="2"/>
  <c r="X765" i="2"/>
  <c r="Y766" i="2"/>
  <c r="Z767" i="2"/>
  <c r="C768" i="2"/>
  <c r="D769" i="2"/>
  <c r="AB769" i="2"/>
  <c r="AC770" i="2"/>
  <c r="R771" i="2"/>
  <c r="AD771" i="2"/>
  <c r="H773" i="2"/>
  <c r="T773" i="2"/>
  <c r="AF773" i="2"/>
  <c r="W776" i="2"/>
  <c r="AK776" i="2"/>
  <c r="X777" i="2"/>
  <c r="AF778" i="2"/>
  <c r="T778" i="2"/>
  <c r="H778" i="2"/>
  <c r="S779" i="2"/>
  <c r="AH779" i="2"/>
  <c r="U781" i="2"/>
  <c r="D782" i="2"/>
  <c r="V782" i="2"/>
  <c r="G785" i="2"/>
  <c r="AC785" i="2"/>
  <c r="J790" i="2"/>
  <c r="AD790" i="2"/>
  <c r="C793" i="2"/>
  <c r="X793" i="2"/>
  <c r="AB794" i="2"/>
  <c r="Y741" i="2"/>
  <c r="Z742" i="2"/>
  <c r="C743" i="2"/>
  <c r="D744" i="2"/>
  <c r="AB744" i="2"/>
  <c r="AC745" i="2"/>
  <c r="R746" i="2"/>
  <c r="AD746" i="2"/>
  <c r="K751" i="2"/>
  <c r="W751" i="2"/>
  <c r="AK751" i="2"/>
  <c r="Y753" i="2"/>
  <c r="C755" i="2"/>
  <c r="D756" i="2"/>
  <c r="AB756" i="2"/>
  <c r="AC757" i="2"/>
  <c r="R758" i="2"/>
  <c r="AD758" i="2"/>
  <c r="G759" i="2"/>
  <c r="S759" i="2"/>
  <c r="U761" i="2"/>
  <c r="AG761" i="2"/>
  <c r="K763" i="2"/>
  <c r="W763" i="2"/>
  <c r="AK763" i="2"/>
  <c r="Y765" i="2"/>
  <c r="Z766" i="2"/>
  <c r="C767" i="2"/>
  <c r="D768" i="2"/>
  <c r="AB768" i="2"/>
  <c r="AC769" i="2"/>
  <c r="R770" i="2"/>
  <c r="AD770" i="2"/>
  <c r="G771" i="2"/>
  <c r="S771" i="2"/>
  <c r="U773" i="2"/>
  <c r="AG773" i="2"/>
  <c r="Y777" i="2"/>
  <c r="T779" i="2"/>
  <c r="AK779" i="2"/>
  <c r="G781" i="2"/>
  <c r="X781" i="2"/>
  <c r="Y782" i="2"/>
  <c r="H785" i="2"/>
  <c r="AD785" i="2"/>
  <c r="K790" i="2"/>
  <c r="AG790" i="2"/>
  <c r="AH792" i="2"/>
  <c r="V792" i="2"/>
  <c r="J792" i="2"/>
  <c r="AG792" i="2"/>
  <c r="U792" i="2"/>
  <c r="AD792" i="2"/>
  <c r="R792" i="2"/>
  <c r="AC792" i="2"/>
  <c r="AB792" i="2"/>
  <c r="D792" i="2"/>
  <c r="T792" i="2"/>
  <c r="D793" i="2"/>
  <c r="Y793" i="2"/>
  <c r="J794" i="2"/>
  <c r="AC794" i="2"/>
  <c r="C809" i="2"/>
  <c r="Z809" i="2"/>
  <c r="Y809" i="2"/>
  <c r="X809" i="2"/>
  <c r="K809" i="2"/>
  <c r="W809" i="2"/>
  <c r="J809" i="2"/>
  <c r="AK809" i="2"/>
  <c r="V809" i="2"/>
  <c r="AH809" i="2"/>
  <c r="U809" i="2"/>
  <c r="H809" i="2"/>
  <c r="AG809" i="2"/>
  <c r="T809" i="2"/>
  <c r="G809" i="2"/>
  <c r="AF809" i="2"/>
  <c r="S809" i="2"/>
  <c r="R809" i="2"/>
  <c r="AD809" i="2"/>
  <c r="D809" i="2"/>
  <c r="AC809" i="2"/>
  <c r="Y740" i="2"/>
  <c r="Z741" i="2"/>
  <c r="C742" i="2"/>
  <c r="D743" i="2"/>
  <c r="AB743" i="2"/>
  <c r="AC744" i="2"/>
  <c r="R745" i="2"/>
  <c r="AD745" i="2"/>
  <c r="G746" i="2"/>
  <c r="S746" i="2"/>
  <c r="X751" i="2"/>
  <c r="Y752" i="2"/>
  <c r="Z753" i="2"/>
  <c r="C754" i="2"/>
  <c r="D755" i="2"/>
  <c r="AB755" i="2"/>
  <c r="AC756" i="2"/>
  <c r="R757" i="2"/>
  <c r="AD757" i="2"/>
  <c r="G758" i="2"/>
  <c r="S758" i="2"/>
  <c r="H759" i="2"/>
  <c r="T759" i="2"/>
  <c r="AF759" i="2"/>
  <c r="J761" i="2"/>
  <c r="V761" i="2"/>
  <c r="AH761" i="2"/>
  <c r="X763" i="2"/>
  <c r="Y764" i="2"/>
  <c r="Z765" i="2"/>
  <c r="C766" i="2"/>
  <c r="D767" i="2"/>
  <c r="AB767" i="2"/>
  <c r="AC768" i="2"/>
  <c r="R769" i="2"/>
  <c r="AD769" i="2"/>
  <c r="G770" i="2"/>
  <c r="S770" i="2"/>
  <c r="H771" i="2"/>
  <c r="T771" i="2"/>
  <c r="AF771" i="2"/>
  <c r="J773" i="2"/>
  <c r="V773" i="2"/>
  <c r="AH773" i="2"/>
  <c r="Y776" i="2"/>
  <c r="Z777" i="2"/>
  <c r="C778" i="2"/>
  <c r="AC778" i="2"/>
  <c r="G779" i="2"/>
  <c r="V779" i="2"/>
  <c r="AH780" i="2"/>
  <c r="V780" i="2"/>
  <c r="J780" i="2"/>
  <c r="AC780" i="2"/>
  <c r="AB780" i="2"/>
  <c r="H781" i="2"/>
  <c r="Y781" i="2"/>
  <c r="Z782" i="2"/>
  <c r="AH790" i="2"/>
  <c r="W792" i="2"/>
  <c r="Z793" i="2"/>
  <c r="AG794" i="2"/>
  <c r="Y751" i="2"/>
  <c r="U759" i="2"/>
  <c r="AG759" i="2"/>
  <c r="K761" i="2"/>
  <c r="W761" i="2"/>
  <c r="AK761" i="2"/>
  <c r="Y763" i="2"/>
  <c r="AC767" i="2"/>
  <c r="R768" i="2"/>
  <c r="AD768" i="2"/>
  <c r="G769" i="2"/>
  <c r="S769" i="2"/>
  <c r="H770" i="2"/>
  <c r="T770" i="2"/>
  <c r="AF770" i="2"/>
  <c r="U771" i="2"/>
  <c r="AG771" i="2"/>
  <c r="K773" i="2"/>
  <c r="W773" i="2"/>
  <c r="AK773" i="2"/>
  <c r="Y775" i="2"/>
  <c r="Z776" i="2"/>
  <c r="C777" i="2"/>
  <c r="D778" i="2"/>
  <c r="AD778" i="2"/>
  <c r="H779" i="2"/>
  <c r="W779" i="2"/>
  <c r="AD780" i="2"/>
  <c r="Z781" i="2"/>
  <c r="AF785" i="2"/>
  <c r="AK790" i="2"/>
  <c r="C792" i="2"/>
  <c r="X792" i="2"/>
  <c r="H793" i="2"/>
  <c r="AH794" i="2"/>
  <c r="R797" i="2"/>
  <c r="R798" i="2"/>
  <c r="C740" i="2"/>
  <c r="D741" i="2"/>
  <c r="R743" i="2"/>
  <c r="G744" i="2"/>
  <c r="S744" i="2"/>
  <c r="H745" i="2"/>
  <c r="T745" i="2"/>
  <c r="U746" i="2"/>
  <c r="C752" i="2"/>
  <c r="D753" i="2"/>
  <c r="R755" i="2"/>
  <c r="G756" i="2"/>
  <c r="S756" i="2"/>
  <c r="H757" i="2"/>
  <c r="T757" i="2"/>
  <c r="U758" i="2"/>
  <c r="J759" i="2"/>
  <c r="V759" i="2"/>
  <c r="C764" i="2"/>
  <c r="D765" i="2"/>
  <c r="R767" i="2"/>
  <c r="G768" i="2"/>
  <c r="S768" i="2"/>
  <c r="H769" i="2"/>
  <c r="T769" i="2"/>
  <c r="U770" i="2"/>
  <c r="J771" i="2"/>
  <c r="V771" i="2"/>
  <c r="C776" i="2"/>
  <c r="D777" i="2"/>
  <c r="R778" i="2"/>
  <c r="J779" i="2"/>
  <c r="X779" i="2"/>
  <c r="C780" i="2"/>
  <c r="J781" i="2"/>
  <c r="J782" i="2"/>
  <c r="AB782" i="2"/>
  <c r="AB786" i="2"/>
  <c r="D786" i="2"/>
  <c r="C786" i="2"/>
  <c r="X786" i="2"/>
  <c r="AK786" i="2"/>
  <c r="W786" i="2"/>
  <c r="K786" i="2"/>
  <c r="AH786" i="2"/>
  <c r="V786" i="2"/>
  <c r="J786" i="2"/>
  <c r="T786" i="2"/>
  <c r="AG791" i="2"/>
  <c r="U791" i="2"/>
  <c r="AF791" i="2"/>
  <c r="T791" i="2"/>
  <c r="H791" i="2"/>
  <c r="AC791" i="2"/>
  <c r="AB791" i="2"/>
  <c r="D791" i="2"/>
  <c r="C791" i="2"/>
  <c r="V791" i="2"/>
  <c r="Y792" i="2"/>
  <c r="AB793" i="2"/>
  <c r="X797" i="2"/>
  <c r="Y798" i="2"/>
  <c r="W803" i="2"/>
  <c r="AK803" i="2"/>
  <c r="X804" i="2"/>
  <c r="AK805" i="2"/>
  <c r="W805" i="2"/>
  <c r="K805" i="2"/>
  <c r="R806" i="2"/>
  <c r="K808" i="2"/>
  <c r="X808" i="2"/>
  <c r="G810" i="2"/>
  <c r="T810" i="2"/>
  <c r="AG810" i="2"/>
  <c r="J811" i="2"/>
  <c r="Y811" i="2"/>
  <c r="G812" i="2"/>
  <c r="W812" i="2"/>
  <c r="AF813" i="2"/>
  <c r="K802" i="2"/>
  <c r="W802" i="2"/>
  <c r="AK802" i="2"/>
  <c r="X803" i="2"/>
  <c r="Y804" i="2"/>
  <c r="S806" i="2"/>
  <c r="AF806" i="2"/>
  <c r="H810" i="2"/>
  <c r="U810" i="2"/>
  <c r="AH810" i="2"/>
  <c r="K811" i="2"/>
  <c r="H812" i="2"/>
  <c r="X812" i="2"/>
  <c r="J813" i="2"/>
  <c r="AG813" i="2"/>
  <c r="AH816" i="2"/>
  <c r="V816" i="2"/>
  <c r="J816" i="2"/>
  <c r="AG816" i="2"/>
  <c r="U816" i="2"/>
  <c r="AF816" i="2"/>
  <c r="T816" i="2"/>
  <c r="H816" i="2"/>
  <c r="S816" i="2"/>
  <c r="G816" i="2"/>
  <c r="AD816" i="2"/>
  <c r="R816" i="2"/>
  <c r="AC816" i="2"/>
  <c r="AB816" i="2"/>
  <c r="D816" i="2"/>
  <c r="Z816" i="2"/>
  <c r="X802" i="2"/>
  <c r="Y803" i="2"/>
  <c r="Z804" i="2"/>
  <c r="G806" i="2"/>
  <c r="T806" i="2"/>
  <c r="AG806" i="2"/>
  <c r="Z808" i="2"/>
  <c r="V810" i="2"/>
  <c r="AK810" i="2"/>
  <c r="AB812" i="2"/>
  <c r="K813" i="2"/>
  <c r="AH813" i="2"/>
  <c r="AK816" i="2"/>
  <c r="X818" i="2"/>
  <c r="AK818" i="2"/>
  <c r="W818" i="2"/>
  <c r="K818" i="2"/>
  <c r="AH818" i="2"/>
  <c r="V818" i="2"/>
  <c r="J818" i="2"/>
  <c r="AG818" i="2"/>
  <c r="U818" i="2"/>
  <c r="AF818" i="2"/>
  <c r="T818" i="2"/>
  <c r="H818" i="2"/>
  <c r="S818" i="2"/>
  <c r="G818" i="2"/>
  <c r="AD818" i="2"/>
  <c r="R818" i="2"/>
  <c r="AC818" i="2"/>
  <c r="AB818" i="2"/>
  <c r="D818" i="2"/>
  <c r="C818" i="2"/>
  <c r="Y802" i="2"/>
  <c r="Z803" i="2"/>
  <c r="C804" i="2"/>
  <c r="H806" i="2"/>
  <c r="U806" i="2"/>
  <c r="AH806" i="2"/>
  <c r="AB808" i="2"/>
  <c r="J810" i="2"/>
  <c r="W810" i="2"/>
  <c r="AC811" i="2"/>
  <c r="AB811" i="2"/>
  <c r="Z811" i="2"/>
  <c r="J812" i="2"/>
  <c r="AK813" i="2"/>
  <c r="C816" i="2"/>
  <c r="AK817" i="2"/>
  <c r="W817" i="2"/>
  <c r="K817" i="2"/>
  <c r="AH817" i="2"/>
  <c r="V817" i="2"/>
  <c r="J817" i="2"/>
  <c r="AG817" i="2"/>
  <c r="U817" i="2"/>
  <c r="AF817" i="2"/>
  <c r="T817" i="2"/>
  <c r="H817" i="2"/>
  <c r="S817" i="2"/>
  <c r="G817" i="2"/>
  <c r="AD817" i="2"/>
  <c r="R817" i="2"/>
  <c r="AC817" i="2"/>
  <c r="C817" i="2"/>
  <c r="Z817" i="2"/>
  <c r="X830" i="2"/>
  <c r="AK830" i="2"/>
  <c r="W830" i="2"/>
  <c r="K830" i="2"/>
  <c r="AH830" i="2"/>
  <c r="V830" i="2"/>
  <c r="J830" i="2"/>
  <c r="AG830" i="2"/>
  <c r="U830" i="2"/>
  <c r="AF830" i="2"/>
  <c r="T830" i="2"/>
  <c r="H830" i="2"/>
  <c r="S830" i="2"/>
  <c r="G830" i="2"/>
  <c r="AD830" i="2"/>
  <c r="R830" i="2"/>
  <c r="AC830" i="2"/>
  <c r="AB830" i="2"/>
  <c r="D830" i="2"/>
  <c r="C830" i="2"/>
  <c r="Z830" i="2"/>
  <c r="Y789" i="2"/>
  <c r="K799" i="2"/>
  <c r="W799" i="2"/>
  <c r="AK799" i="2"/>
  <c r="Y801" i="2"/>
  <c r="Z802" i="2"/>
  <c r="C803" i="2"/>
  <c r="D804" i="2"/>
  <c r="AB804" i="2"/>
  <c r="R805" i="2"/>
  <c r="V806" i="2"/>
  <c r="AK806" i="2"/>
  <c r="C808" i="2"/>
  <c r="AC808" i="2"/>
  <c r="K810" i="2"/>
  <c r="X810" i="2"/>
  <c r="AF811" i="2"/>
  <c r="K812" i="2"/>
  <c r="AF812" i="2"/>
  <c r="AF814" i="2"/>
  <c r="T814" i="2"/>
  <c r="H814" i="2"/>
  <c r="S814" i="2"/>
  <c r="G814" i="2"/>
  <c r="AD814" i="2"/>
  <c r="AC814" i="2"/>
  <c r="AB814" i="2"/>
  <c r="D814" i="2"/>
  <c r="C814" i="2"/>
  <c r="Z814" i="2"/>
  <c r="W814" i="2"/>
  <c r="U784" i="2"/>
  <c r="AG784" i="2"/>
  <c r="X787" i="2"/>
  <c r="Y788" i="2"/>
  <c r="Z789" i="2"/>
  <c r="U796" i="2"/>
  <c r="AG796" i="2"/>
  <c r="X799" i="2"/>
  <c r="Y800" i="2"/>
  <c r="Z801" i="2"/>
  <c r="C802" i="2"/>
  <c r="D803" i="2"/>
  <c r="AB803" i="2"/>
  <c r="AC804" i="2"/>
  <c r="S805" i="2"/>
  <c r="AF805" i="2"/>
  <c r="J806" i="2"/>
  <c r="W806" i="2"/>
  <c r="D808" i="2"/>
  <c r="AD808" i="2"/>
  <c r="Y810" i="2"/>
  <c r="C811" i="2"/>
  <c r="R811" i="2"/>
  <c r="AG811" i="2"/>
  <c r="AG812" i="2"/>
  <c r="X814" i="2"/>
  <c r="K816" i="2"/>
  <c r="D817" i="2"/>
  <c r="J784" i="2"/>
  <c r="V784" i="2"/>
  <c r="AH784" i="2"/>
  <c r="Y787" i="2"/>
  <c r="C789" i="2"/>
  <c r="Y799" i="2"/>
  <c r="D802" i="2"/>
  <c r="AB802" i="2"/>
  <c r="AC803" i="2"/>
  <c r="R804" i="2"/>
  <c r="AD804" i="2"/>
  <c r="G805" i="2"/>
  <c r="T805" i="2"/>
  <c r="AG805" i="2"/>
  <c r="K806" i="2"/>
  <c r="Y806" i="2"/>
  <c r="R808" i="2"/>
  <c r="D811" i="2"/>
  <c r="S811" i="2"/>
  <c r="AH811" i="2"/>
  <c r="AH812" i="2"/>
  <c r="T813" i="2"/>
  <c r="AB810" i="2"/>
  <c r="D810" i="2"/>
  <c r="X806" i="2"/>
  <c r="AC810" i="2"/>
  <c r="AD812" i="2"/>
  <c r="R812" i="2"/>
  <c r="AC812" i="2"/>
  <c r="C812" i="2"/>
  <c r="Z812" i="2"/>
  <c r="Y812" i="2"/>
  <c r="S812" i="2"/>
  <c r="S813" i="2"/>
  <c r="G813" i="2"/>
  <c r="AD813" i="2"/>
  <c r="R813" i="2"/>
  <c r="AB813" i="2"/>
  <c r="D813" i="2"/>
  <c r="C813" i="2"/>
  <c r="Z813" i="2"/>
  <c r="Y813" i="2"/>
  <c r="V813" i="2"/>
  <c r="Y784" i="2"/>
  <c r="D787" i="2"/>
  <c r="AB787" i="2"/>
  <c r="R789" i="2"/>
  <c r="AD789" i="2"/>
  <c r="Y796" i="2"/>
  <c r="D799" i="2"/>
  <c r="AB799" i="2"/>
  <c r="R801" i="2"/>
  <c r="AD801" i="2"/>
  <c r="G802" i="2"/>
  <c r="S802" i="2"/>
  <c r="H803" i="2"/>
  <c r="T803" i="2"/>
  <c r="AF803" i="2"/>
  <c r="U804" i="2"/>
  <c r="AG804" i="2"/>
  <c r="J805" i="2"/>
  <c r="X805" i="2"/>
  <c r="AB806" i="2"/>
  <c r="H808" i="2"/>
  <c r="U808" i="2"/>
  <c r="AH808" i="2"/>
  <c r="C810" i="2"/>
  <c r="AD810" i="2"/>
  <c r="G811" i="2"/>
  <c r="V811" i="2"/>
  <c r="T812" i="2"/>
  <c r="W813" i="2"/>
  <c r="J814" i="2"/>
  <c r="AK814" i="2"/>
  <c r="R788" i="2"/>
  <c r="G789" i="2"/>
  <c r="S789" i="2"/>
  <c r="R800" i="2"/>
  <c r="G801" i="2"/>
  <c r="S801" i="2"/>
  <c r="H802" i="2"/>
  <c r="T802" i="2"/>
  <c r="U803" i="2"/>
  <c r="J804" i="2"/>
  <c r="V804" i="2"/>
  <c r="Y805" i="2"/>
  <c r="C806" i="2"/>
  <c r="AC806" i="2"/>
  <c r="V808" i="2"/>
  <c r="AK808" i="2"/>
  <c r="R810" i="2"/>
  <c r="H811" i="2"/>
  <c r="W811" i="2"/>
  <c r="D812" i="2"/>
  <c r="U812" i="2"/>
  <c r="X813" i="2"/>
  <c r="K814" i="2"/>
  <c r="AG815" i="2"/>
  <c r="U815" i="2"/>
  <c r="AF815" i="2"/>
  <c r="T815" i="2"/>
  <c r="H815" i="2"/>
  <c r="S815" i="2"/>
  <c r="G815" i="2"/>
  <c r="AD815" i="2"/>
  <c r="R815" i="2"/>
  <c r="AC815" i="2"/>
  <c r="AB815" i="2"/>
  <c r="D815" i="2"/>
  <c r="C815" i="2"/>
  <c r="Z815" i="2"/>
  <c r="W816" i="2"/>
  <c r="Y829" i="2"/>
  <c r="K826" i="2"/>
  <c r="W826" i="2"/>
  <c r="AK826" i="2"/>
  <c r="Y828" i="2"/>
  <c r="Z829" i="2"/>
  <c r="W838" i="2"/>
  <c r="AF839" i="2"/>
  <c r="T839" i="2"/>
  <c r="H839" i="2"/>
  <c r="AK842" i="2"/>
  <c r="W842" i="2"/>
  <c r="K842" i="2"/>
  <c r="AB845" i="2"/>
  <c r="D845" i="2"/>
  <c r="Z845" i="2"/>
  <c r="Y845" i="2"/>
  <c r="AK845" i="2"/>
  <c r="AH845" i="2"/>
  <c r="V845" i="2"/>
  <c r="AG845" i="2"/>
  <c r="X826" i="2"/>
  <c r="Y827" i="2"/>
  <c r="Z828" i="2"/>
  <c r="C829" i="2"/>
  <c r="X838" i="2"/>
  <c r="AB839" i="2"/>
  <c r="AB842" i="2"/>
  <c r="R845" i="2"/>
  <c r="AC846" i="2"/>
  <c r="AB846" i="2"/>
  <c r="C846" i="2"/>
  <c r="Z846" i="2"/>
  <c r="Y846" i="2"/>
  <c r="X846" i="2"/>
  <c r="AK846" i="2"/>
  <c r="W846" i="2"/>
  <c r="K846" i="2"/>
  <c r="S846" i="2"/>
  <c r="Y826" i="2"/>
  <c r="C828" i="2"/>
  <c r="D829" i="2"/>
  <c r="AB829" i="2"/>
  <c r="Y838" i="2"/>
  <c r="C839" i="2"/>
  <c r="AC839" i="2"/>
  <c r="C842" i="2"/>
  <c r="AC842" i="2"/>
  <c r="C845" i="2"/>
  <c r="S845" i="2"/>
  <c r="U821" i="2"/>
  <c r="AG821" i="2"/>
  <c r="W823" i="2"/>
  <c r="AK823" i="2"/>
  <c r="X824" i="2"/>
  <c r="Y825" i="2"/>
  <c r="Z826" i="2"/>
  <c r="C827" i="2"/>
  <c r="D828" i="2"/>
  <c r="AB828" i="2"/>
  <c r="AC829" i="2"/>
  <c r="Y837" i="2"/>
  <c r="Z838" i="2"/>
  <c r="D839" i="2"/>
  <c r="AD839" i="2"/>
  <c r="D842" i="2"/>
  <c r="AD842" i="2"/>
  <c r="T845" i="2"/>
  <c r="D846" i="2"/>
  <c r="U846" i="2"/>
  <c r="J821" i="2"/>
  <c r="V821" i="2"/>
  <c r="AH821" i="2"/>
  <c r="X823" i="2"/>
  <c r="Y824" i="2"/>
  <c r="Z825" i="2"/>
  <c r="C826" i="2"/>
  <c r="D827" i="2"/>
  <c r="AB827" i="2"/>
  <c r="AC828" i="2"/>
  <c r="R829" i="2"/>
  <c r="AD829" i="2"/>
  <c r="X835" i="2"/>
  <c r="Y836" i="2"/>
  <c r="Z837" i="2"/>
  <c r="C838" i="2"/>
  <c r="R839" i="2"/>
  <c r="AH841" i="2"/>
  <c r="V841" i="2"/>
  <c r="J841" i="2"/>
  <c r="R842" i="2"/>
  <c r="U845" i="2"/>
  <c r="V846" i="2"/>
  <c r="K821" i="2"/>
  <c r="W821" i="2"/>
  <c r="AK821" i="2"/>
  <c r="Y823" i="2"/>
  <c r="Z824" i="2"/>
  <c r="C825" i="2"/>
  <c r="D826" i="2"/>
  <c r="AB826" i="2"/>
  <c r="AC827" i="2"/>
  <c r="R828" i="2"/>
  <c r="AD828" i="2"/>
  <c r="G829" i="2"/>
  <c r="S829" i="2"/>
  <c r="Y835" i="2"/>
  <c r="Z836" i="2"/>
  <c r="C837" i="2"/>
  <c r="D838" i="2"/>
  <c r="AB838" i="2"/>
  <c r="S839" i="2"/>
  <c r="AG839" i="2"/>
  <c r="AB841" i="2"/>
  <c r="S842" i="2"/>
  <c r="AF842" i="2"/>
  <c r="G845" i="2"/>
  <c r="W845" i="2"/>
  <c r="AD846" i="2"/>
  <c r="W820" i="2"/>
  <c r="AK820" i="2"/>
  <c r="X821" i="2"/>
  <c r="Y822" i="2"/>
  <c r="Z823" i="2"/>
  <c r="C824" i="2"/>
  <c r="D825" i="2"/>
  <c r="AB825" i="2"/>
  <c r="AC826" i="2"/>
  <c r="R827" i="2"/>
  <c r="AD827" i="2"/>
  <c r="G828" i="2"/>
  <c r="S828" i="2"/>
  <c r="H829" i="2"/>
  <c r="T829" i="2"/>
  <c r="AF829" i="2"/>
  <c r="K832" i="2"/>
  <c r="W832" i="2"/>
  <c r="AK832" i="2"/>
  <c r="X833" i="2"/>
  <c r="Y834" i="2"/>
  <c r="Z835" i="2"/>
  <c r="C836" i="2"/>
  <c r="D837" i="2"/>
  <c r="AB837" i="2"/>
  <c r="AC838" i="2"/>
  <c r="G839" i="2"/>
  <c r="U839" i="2"/>
  <c r="AH839" i="2"/>
  <c r="Y840" i="2"/>
  <c r="C841" i="2"/>
  <c r="AC841" i="2"/>
  <c r="G842" i="2"/>
  <c r="T842" i="2"/>
  <c r="AG842" i="2"/>
  <c r="K843" i="2"/>
  <c r="H845" i="2"/>
  <c r="X845" i="2"/>
  <c r="G846" i="2"/>
  <c r="AK852" i="2"/>
  <c r="W852" i="2"/>
  <c r="K852" i="2"/>
  <c r="AH852" i="2"/>
  <c r="V852" i="2"/>
  <c r="J852" i="2"/>
  <c r="AG852" i="2"/>
  <c r="U852" i="2"/>
  <c r="AF852" i="2"/>
  <c r="T852" i="2"/>
  <c r="H852" i="2"/>
  <c r="S852" i="2"/>
  <c r="G852" i="2"/>
  <c r="AD852" i="2"/>
  <c r="R852" i="2"/>
  <c r="AC852" i="2"/>
  <c r="AB852" i="2"/>
  <c r="D852" i="2"/>
  <c r="C852" i="2"/>
  <c r="Z852" i="2"/>
  <c r="X852" i="2"/>
  <c r="Y821" i="2"/>
  <c r="AB824" i="2"/>
  <c r="AC825" i="2"/>
  <c r="R826" i="2"/>
  <c r="AD826" i="2"/>
  <c r="G827" i="2"/>
  <c r="S827" i="2"/>
  <c r="H828" i="2"/>
  <c r="T828" i="2"/>
  <c r="AF828" i="2"/>
  <c r="U829" i="2"/>
  <c r="AG829" i="2"/>
  <c r="X832" i="2"/>
  <c r="Y833" i="2"/>
  <c r="Z834" i="2"/>
  <c r="C835" i="2"/>
  <c r="D836" i="2"/>
  <c r="AB836" i="2"/>
  <c r="AC837" i="2"/>
  <c r="R838" i="2"/>
  <c r="AD838" i="2"/>
  <c r="V839" i="2"/>
  <c r="AK839" i="2"/>
  <c r="D841" i="2"/>
  <c r="AD841" i="2"/>
  <c r="H842" i="2"/>
  <c r="U842" i="2"/>
  <c r="AH842" i="2"/>
  <c r="H846" i="2"/>
  <c r="AF846" i="2"/>
  <c r="AC862" i="2"/>
  <c r="X862" i="2"/>
  <c r="K862" i="2"/>
  <c r="W862" i="2"/>
  <c r="J862" i="2"/>
  <c r="AK862" i="2"/>
  <c r="V862" i="2"/>
  <c r="AH862" i="2"/>
  <c r="U862" i="2"/>
  <c r="H862" i="2"/>
  <c r="AG862" i="2"/>
  <c r="T862" i="2"/>
  <c r="G862" i="2"/>
  <c r="AF862" i="2"/>
  <c r="S862" i="2"/>
  <c r="R862" i="2"/>
  <c r="AD862" i="2"/>
  <c r="D862" i="2"/>
  <c r="AB862" i="2"/>
  <c r="C862" i="2"/>
  <c r="Y862" i="2"/>
  <c r="Y820" i="2"/>
  <c r="Z821" i="2"/>
  <c r="C822" i="2"/>
  <c r="D823" i="2"/>
  <c r="AB823" i="2"/>
  <c r="AC824" i="2"/>
  <c r="R825" i="2"/>
  <c r="AD825" i="2"/>
  <c r="G826" i="2"/>
  <c r="S826" i="2"/>
  <c r="H827" i="2"/>
  <c r="T827" i="2"/>
  <c r="AF827" i="2"/>
  <c r="U828" i="2"/>
  <c r="AG828" i="2"/>
  <c r="J829" i="2"/>
  <c r="V829" i="2"/>
  <c r="AH829" i="2"/>
  <c r="Y832" i="2"/>
  <c r="Z833" i="2"/>
  <c r="C834" i="2"/>
  <c r="D835" i="2"/>
  <c r="AB835" i="2"/>
  <c r="AC836" i="2"/>
  <c r="R837" i="2"/>
  <c r="AD837" i="2"/>
  <c r="G838" i="2"/>
  <c r="S838" i="2"/>
  <c r="AF838" i="2"/>
  <c r="J839" i="2"/>
  <c r="W839" i="2"/>
  <c r="AG840" i="2"/>
  <c r="U840" i="2"/>
  <c r="R841" i="2"/>
  <c r="V842" i="2"/>
  <c r="Z843" i="2"/>
  <c r="X843" i="2"/>
  <c r="AC843" i="2"/>
  <c r="J845" i="2"/>
  <c r="AC845" i="2"/>
  <c r="AG846" i="2"/>
  <c r="C821" i="2"/>
  <c r="D822" i="2"/>
  <c r="R824" i="2"/>
  <c r="G825" i="2"/>
  <c r="S825" i="2"/>
  <c r="H826" i="2"/>
  <c r="T826" i="2"/>
  <c r="U827" i="2"/>
  <c r="J828" i="2"/>
  <c r="V828" i="2"/>
  <c r="K829" i="2"/>
  <c r="W829" i="2"/>
  <c r="C833" i="2"/>
  <c r="D834" i="2"/>
  <c r="R836" i="2"/>
  <c r="G837" i="2"/>
  <c r="S837" i="2"/>
  <c r="H838" i="2"/>
  <c r="T838" i="2"/>
  <c r="AG838" i="2"/>
  <c r="K839" i="2"/>
  <c r="X839" i="2"/>
  <c r="AB840" i="2"/>
  <c r="S841" i="2"/>
  <c r="AF841" i="2"/>
  <c r="J842" i="2"/>
  <c r="X842" i="2"/>
  <c r="AD843" i="2"/>
  <c r="K845" i="2"/>
  <c r="AD845" i="2"/>
  <c r="J846" i="2"/>
  <c r="AH846" i="2"/>
  <c r="U849" i="2"/>
  <c r="AG849" i="2"/>
  <c r="J850" i="2"/>
  <c r="V850" i="2"/>
  <c r="AH850" i="2"/>
  <c r="K851" i="2"/>
  <c r="W851" i="2"/>
  <c r="AK851" i="2"/>
  <c r="Y853" i="2"/>
  <c r="V861" i="2"/>
  <c r="Y851" i="2"/>
  <c r="AF865" i="2"/>
  <c r="T865" i="2"/>
  <c r="H865" i="2"/>
  <c r="AK868" i="2"/>
  <c r="W868" i="2"/>
  <c r="K868" i="2"/>
  <c r="AF868" i="2"/>
  <c r="T868" i="2"/>
  <c r="H868" i="2"/>
  <c r="AC868" i="2"/>
  <c r="Y850" i="2"/>
  <c r="Z851" i="2"/>
  <c r="AD868" i="2"/>
  <c r="Y849" i="2"/>
  <c r="Z850" i="2"/>
  <c r="C851" i="2"/>
  <c r="AB861" i="2"/>
  <c r="Z861" i="2"/>
  <c r="C865" i="2"/>
  <c r="AC865" i="2"/>
  <c r="C868" i="2"/>
  <c r="X847" i="2"/>
  <c r="Y848" i="2"/>
  <c r="Z849" i="2"/>
  <c r="C850" i="2"/>
  <c r="D851" i="2"/>
  <c r="AB851" i="2"/>
  <c r="R853" i="2"/>
  <c r="AD853" i="2"/>
  <c r="H855" i="2"/>
  <c r="T855" i="2"/>
  <c r="AF855" i="2"/>
  <c r="J857" i="2"/>
  <c r="V857" i="2"/>
  <c r="AH857" i="2"/>
  <c r="K858" i="2"/>
  <c r="W858" i="2"/>
  <c r="AK858" i="2"/>
  <c r="X859" i="2"/>
  <c r="Y860" i="2"/>
  <c r="V863" i="2"/>
  <c r="AK863" i="2"/>
  <c r="D865" i="2"/>
  <c r="AD865" i="2"/>
  <c r="H866" i="2"/>
  <c r="V866" i="2"/>
  <c r="AK866" i="2"/>
  <c r="D868" i="2"/>
  <c r="R868" i="2"/>
  <c r="AG868" i="2"/>
  <c r="AB871" i="2"/>
  <c r="Y847" i="2"/>
  <c r="Z848" i="2"/>
  <c r="C849" i="2"/>
  <c r="D850" i="2"/>
  <c r="AB850" i="2"/>
  <c r="AC851" i="2"/>
  <c r="G853" i="2"/>
  <c r="S853" i="2"/>
  <c r="U855" i="2"/>
  <c r="AG855" i="2"/>
  <c r="W857" i="2"/>
  <c r="AK857" i="2"/>
  <c r="X858" i="2"/>
  <c r="Y859" i="2"/>
  <c r="Z860" i="2"/>
  <c r="C861" i="2"/>
  <c r="AC861" i="2"/>
  <c r="J863" i="2"/>
  <c r="W863" i="2"/>
  <c r="S864" i="2"/>
  <c r="G864" i="2"/>
  <c r="R865" i="2"/>
  <c r="J866" i="2"/>
  <c r="W866" i="2"/>
  <c r="AH867" i="2"/>
  <c r="V867" i="2"/>
  <c r="J867" i="2"/>
  <c r="S868" i="2"/>
  <c r="AH868" i="2"/>
  <c r="AC871" i="2"/>
  <c r="Z847" i="2"/>
  <c r="D849" i="2"/>
  <c r="AB849" i="2"/>
  <c r="AC850" i="2"/>
  <c r="R851" i="2"/>
  <c r="AD851" i="2"/>
  <c r="H853" i="2"/>
  <c r="T853" i="2"/>
  <c r="AF853" i="2"/>
  <c r="V855" i="2"/>
  <c r="AH855" i="2"/>
  <c r="Y858" i="2"/>
  <c r="D861" i="2"/>
  <c r="AD861" i="2"/>
  <c r="X863" i="2"/>
  <c r="AB864" i="2"/>
  <c r="S865" i="2"/>
  <c r="AG865" i="2"/>
  <c r="K866" i="2"/>
  <c r="X866" i="2"/>
  <c r="AB867" i="2"/>
  <c r="U868" i="2"/>
  <c r="X869" i="2"/>
  <c r="AG869" i="2"/>
  <c r="U869" i="2"/>
  <c r="AC869" i="2"/>
  <c r="AD871" i="2"/>
  <c r="C847" i="2"/>
  <c r="D848" i="2"/>
  <c r="AB848" i="2"/>
  <c r="AC849" i="2"/>
  <c r="R850" i="2"/>
  <c r="AD850" i="2"/>
  <c r="G851" i="2"/>
  <c r="S851" i="2"/>
  <c r="U853" i="2"/>
  <c r="AG853" i="2"/>
  <c r="K855" i="2"/>
  <c r="W855" i="2"/>
  <c r="AK855" i="2"/>
  <c r="Y857" i="2"/>
  <c r="Z858" i="2"/>
  <c r="C859" i="2"/>
  <c r="D860" i="2"/>
  <c r="AB860" i="2"/>
  <c r="R861" i="2"/>
  <c r="Y863" i="2"/>
  <c r="C864" i="2"/>
  <c r="AC864" i="2"/>
  <c r="G865" i="2"/>
  <c r="U865" i="2"/>
  <c r="AH865" i="2"/>
  <c r="Y866" i="2"/>
  <c r="C867" i="2"/>
  <c r="AC867" i="2"/>
  <c r="G868" i="2"/>
  <c r="V868" i="2"/>
  <c r="AD869" i="2"/>
  <c r="D847" i="2"/>
  <c r="AB847" i="2"/>
  <c r="AC848" i="2"/>
  <c r="R849" i="2"/>
  <c r="AD849" i="2"/>
  <c r="G850" i="2"/>
  <c r="S850" i="2"/>
  <c r="H851" i="2"/>
  <c r="T851" i="2"/>
  <c r="AF851" i="2"/>
  <c r="J853" i="2"/>
  <c r="V853" i="2"/>
  <c r="AH853" i="2"/>
  <c r="K854" i="2"/>
  <c r="W854" i="2"/>
  <c r="AK854" i="2"/>
  <c r="X855" i="2"/>
  <c r="Z857" i="2"/>
  <c r="C858" i="2"/>
  <c r="D859" i="2"/>
  <c r="AB859" i="2"/>
  <c r="AC860" i="2"/>
  <c r="S861" i="2"/>
  <c r="AF861" i="2"/>
  <c r="D864" i="2"/>
  <c r="AD864" i="2"/>
  <c r="V865" i="2"/>
  <c r="AK865" i="2"/>
  <c r="D867" i="2"/>
  <c r="AD867" i="2"/>
  <c r="X868" i="2"/>
  <c r="C869" i="2"/>
  <c r="AC847" i="2"/>
  <c r="G849" i="2"/>
  <c r="S849" i="2"/>
  <c r="H850" i="2"/>
  <c r="T850" i="2"/>
  <c r="AF850" i="2"/>
  <c r="U851" i="2"/>
  <c r="AG851" i="2"/>
  <c r="K853" i="2"/>
  <c r="W853" i="2"/>
  <c r="AK853" i="2"/>
  <c r="Y855" i="2"/>
  <c r="D858" i="2"/>
  <c r="AB858" i="2"/>
  <c r="AC859" i="2"/>
  <c r="G861" i="2"/>
  <c r="T861" i="2"/>
  <c r="AG861" i="2"/>
  <c r="AD863" i="2"/>
  <c r="R863" i="2"/>
  <c r="R864" i="2"/>
  <c r="AF864" i="2"/>
  <c r="J865" i="2"/>
  <c r="W865" i="2"/>
  <c r="AG866" i="2"/>
  <c r="U866" i="2"/>
  <c r="R867" i="2"/>
  <c r="J868" i="2"/>
  <c r="Y868" i="2"/>
  <c r="D869" i="2"/>
  <c r="R869" i="2"/>
  <c r="AF869" i="2"/>
  <c r="Z871" i="2"/>
  <c r="AK871" i="2"/>
  <c r="W871" i="2"/>
  <c r="K871" i="2"/>
  <c r="AH871" i="2"/>
  <c r="V871" i="2"/>
  <c r="J871" i="2"/>
  <c r="AF871" i="2"/>
  <c r="T871" i="2"/>
  <c r="H871" i="2"/>
  <c r="AK880" i="2"/>
  <c r="W880" i="2"/>
  <c r="K880" i="2"/>
  <c r="AH880" i="2"/>
  <c r="V880" i="2"/>
  <c r="J880" i="2"/>
  <c r="AG880" i="2"/>
  <c r="U880" i="2"/>
  <c r="AF880" i="2"/>
  <c r="T880" i="2"/>
  <c r="H880" i="2"/>
  <c r="S880" i="2"/>
  <c r="G880" i="2"/>
  <c r="AD880" i="2"/>
  <c r="R880" i="2"/>
  <c r="AC880" i="2"/>
  <c r="AB880" i="2"/>
  <c r="D880" i="2"/>
  <c r="C880" i="2"/>
  <c r="Z880" i="2"/>
  <c r="X880" i="2"/>
  <c r="AK892" i="2"/>
  <c r="W892" i="2"/>
  <c r="K892" i="2"/>
  <c r="AH892" i="2"/>
  <c r="V892" i="2"/>
  <c r="J892" i="2"/>
  <c r="AG892" i="2"/>
  <c r="U892" i="2"/>
  <c r="AF892" i="2"/>
  <c r="T892" i="2"/>
  <c r="H892" i="2"/>
  <c r="S892" i="2"/>
  <c r="G892" i="2"/>
  <c r="AD892" i="2"/>
  <c r="R892" i="2"/>
  <c r="AC892" i="2"/>
  <c r="AB892" i="2"/>
  <c r="D892" i="2"/>
  <c r="C892" i="2"/>
  <c r="Z892" i="2"/>
  <c r="X892" i="2"/>
  <c r="R847" i="2"/>
  <c r="G848" i="2"/>
  <c r="S848" i="2"/>
  <c r="H849" i="2"/>
  <c r="T849" i="2"/>
  <c r="U850" i="2"/>
  <c r="J851" i="2"/>
  <c r="V851" i="2"/>
  <c r="D857" i="2"/>
  <c r="R859" i="2"/>
  <c r="G860" i="2"/>
  <c r="S860" i="2"/>
  <c r="H861" i="2"/>
  <c r="U861" i="2"/>
  <c r="AH861" i="2"/>
  <c r="AB863" i="2"/>
  <c r="T864" i="2"/>
  <c r="AG864" i="2"/>
  <c r="K865" i="2"/>
  <c r="X865" i="2"/>
  <c r="AB866" i="2"/>
  <c r="S867" i="2"/>
  <c r="AF867" i="2"/>
  <c r="Z868" i="2"/>
  <c r="S869" i="2"/>
  <c r="AH869" i="2"/>
  <c r="R871" i="2"/>
  <c r="U877" i="2"/>
  <c r="AG877" i="2"/>
  <c r="J878" i="2"/>
  <c r="V878" i="2"/>
  <c r="AH878" i="2"/>
  <c r="K879" i="2"/>
  <c r="W879" i="2"/>
  <c r="AK879" i="2"/>
  <c r="Y881" i="2"/>
  <c r="U889" i="2"/>
  <c r="AG889" i="2"/>
  <c r="K891" i="2"/>
  <c r="W891" i="2"/>
  <c r="AK891" i="2"/>
  <c r="Y893" i="2"/>
  <c r="AD903" i="2"/>
  <c r="R903" i="2"/>
  <c r="Z903" i="2"/>
  <c r="AC903" i="2"/>
  <c r="Y879" i="2"/>
  <c r="Y891" i="2"/>
  <c r="AF903" i="2"/>
  <c r="X877" i="2"/>
  <c r="Y878" i="2"/>
  <c r="Z879" i="2"/>
  <c r="D881" i="2"/>
  <c r="AB881" i="2"/>
  <c r="X889" i="2"/>
  <c r="Y890" i="2"/>
  <c r="Z891" i="2"/>
  <c r="D893" i="2"/>
  <c r="AB893" i="2"/>
  <c r="D903" i="2"/>
  <c r="S903" i="2"/>
  <c r="AG903" i="2"/>
  <c r="Y877" i="2"/>
  <c r="C879" i="2"/>
  <c r="Y889" i="2"/>
  <c r="C891" i="2"/>
  <c r="T903" i="2"/>
  <c r="AH903" i="2"/>
  <c r="AG906" i="2"/>
  <c r="U906" i="2"/>
  <c r="S906" i="2"/>
  <c r="AD906" i="2"/>
  <c r="R906" i="2"/>
  <c r="AC906" i="2"/>
  <c r="AK906" i="2"/>
  <c r="U872" i="2"/>
  <c r="AG872" i="2"/>
  <c r="K874" i="2"/>
  <c r="W874" i="2"/>
  <c r="AK874" i="2"/>
  <c r="X875" i="2"/>
  <c r="Y876" i="2"/>
  <c r="Z877" i="2"/>
  <c r="C878" i="2"/>
  <c r="D879" i="2"/>
  <c r="AB879" i="2"/>
  <c r="R881" i="2"/>
  <c r="AD881" i="2"/>
  <c r="H883" i="2"/>
  <c r="T883" i="2"/>
  <c r="AF883" i="2"/>
  <c r="K886" i="2"/>
  <c r="W886" i="2"/>
  <c r="AK886" i="2"/>
  <c r="X887" i="2"/>
  <c r="Y888" i="2"/>
  <c r="Z889" i="2"/>
  <c r="C890" i="2"/>
  <c r="D891" i="2"/>
  <c r="AB891" i="2"/>
  <c r="R893" i="2"/>
  <c r="AD893" i="2"/>
  <c r="K898" i="2"/>
  <c r="W898" i="2"/>
  <c r="AK898" i="2"/>
  <c r="X899" i="2"/>
  <c r="AK900" i="2"/>
  <c r="W900" i="2"/>
  <c r="K900" i="2"/>
  <c r="AC900" i="2"/>
  <c r="G903" i="2"/>
  <c r="U903" i="2"/>
  <c r="AK903" i="2"/>
  <c r="AH907" i="2"/>
  <c r="V907" i="2"/>
  <c r="J907" i="2"/>
  <c r="AF907" i="2"/>
  <c r="T907" i="2"/>
  <c r="H907" i="2"/>
  <c r="S907" i="2"/>
  <c r="G907" i="2"/>
  <c r="AD907" i="2"/>
  <c r="R907" i="2"/>
  <c r="AB907" i="2"/>
  <c r="D907" i="2"/>
  <c r="AK907" i="2"/>
  <c r="W907" i="2"/>
  <c r="K907" i="2"/>
  <c r="Z907" i="2"/>
  <c r="Y875" i="2"/>
  <c r="C877" i="2"/>
  <c r="D878" i="2"/>
  <c r="AB878" i="2"/>
  <c r="AC879" i="2"/>
  <c r="G881" i="2"/>
  <c r="S881" i="2"/>
  <c r="U883" i="2"/>
  <c r="AG883" i="2"/>
  <c r="X886" i="2"/>
  <c r="Y887" i="2"/>
  <c r="Z888" i="2"/>
  <c r="C889" i="2"/>
  <c r="D890" i="2"/>
  <c r="AB890" i="2"/>
  <c r="AC891" i="2"/>
  <c r="G893" i="2"/>
  <c r="S893" i="2"/>
  <c r="X898" i="2"/>
  <c r="Y899" i="2"/>
  <c r="AD900" i="2"/>
  <c r="H903" i="2"/>
  <c r="V903" i="2"/>
  <c r="S904" i="2"/>
  <c r="G904" i="2"/>
  <c r="C904" i="2"/>
  <c r="AD904" i="2"/>
  <c r="C906" i="2"/>
  <c r="AC907" i="2"/>
  <c r="K872" i="2"/>
  <c r="W872" i="2"/>
  <c r="AK872" i="2"/>
  <c r="Y874" i="2"/>
  <c r="Z875" i="2"/>
  <c r="D877" i="2"/>
  <c r="AB877" i="2"/>
  <c r="AC878" i="2"/>
  <c r="R879" i="2"/>
  <c r="AD879" i="2"/>
  <c r="H881" i="2"/>
  <c r="T881" i="2"/>
  <c r="AF881" i="2"/>
  <c r="J883" i="2"/>
  <c r="V883" i="2"/>
  <c r="AH883" i="2"/>
  <c r="W884" i="2"/>
  <c r="AK884" i="2"/>
  <c r="Y886" i="2"/>
  <c r="Z887" i="2"/>
  <c r="D889" i="2"/>
  <c r="AB889" i="2"/>
  <c r="AC890" i="2"/>
  <c r="R891" i="2"/>
  <c r="AD891" i="2"/>
  <c r="H893" i="2"/>
  <c r="T893" i="2"/>
  <c r="AF893" i="2"/>
  <c r="Y898" i="2"/>
  <c r="Z899" i="2"/>
  <c r="W903" i="2"/>
  <c r="AF904" i="2"/>
  <c r="D906" i="2"/>
  <c r="T906" i="2"/>
  <c r="C907" i="2"/>
  <c r="AG907" i="2"/>
  <c r="X872" i="2"/>
  <c r="Y873" i="2"/>
  <c r="Z874" i="2"/>
  <c r="C875" i="2"/>
  <c r="D876" i="2"/>
  <c r="AB876" i="2"/>
  <c r="AC877" i="2"/>
  <c r="R878" i="2"/>
  <c r="AD878" i="2"/>
  <c r="G879" i="2"/>
  <c r="S879" i="2"/>
  <c r="U881" i="2"/>
  <c r="AG881" i="2"/>
  <c r="K883" i="2"/>
  <c r="W883" i="2"/>
  <c r="AK883" i="2"/>
  <c r="X884" i="2"/>
  <c r="Y885" i="2"/>
  <c r="Z886" i="2"/>
  <c r="C887" i="2"/>
  <c r="D888" i="2"/>
  <c r="AB888" i="2"/>
  <c r="AC889" i="2"/>
  <c r="R890" i="2"/>
  <c r="AD890" i="2"/>
  <c r="G891" i="2"/>
  <c r="S891" i="2"/>
  <c r="U893" i="2"/>
  <c r="AG893" i="2"/>
  <c r="K895" i="2"/>
  <c r="W895" i="2"/>
  <c r="AK895" i="2"/>
  <c r="X896" i="2"/>
  <c r="Y897" i="2"/>
  <c r="Z898" i="2"/>
  <c r="C899" i="2"/>
  <c r="D900" i="2"/>
  <c r="R900" i="2"/>
  <c r="AF900" i="2"/>
  <c r="J903" i="2"/>
  <c r="X903" i="2"/>
  <c r="D904" i="2"/>
  <c r="R904" i="2"/>
  <c r="AG904" i="2"/>
  <c r="V906" i="2"/>
  <c r="AK908" i="2"/>
  <c r="W908" i="2"/>
  <c r="K908" i="2"/>
  <c r="AH908" i="2"/>
  <c r="V908" i="2"/>
  <c r="AG908" i="2"/>
  <c r="U908" i="2"/>
  <c r="AF908" i="2"/>
  <c r="T908" i="2"/>
  <c r="H908" i="2"/>
  <c r="S908" i="2"/>
  <c r="G908" i="2"/>
  <c r="AD908" i="2"/>
  <c r="R908" i="2"/>
  <c r="AC908" i="2"/>
  <c r="AB908" i="2"/>
  <c r="D908" i="2"/>
  <c r="X908" i="2"/>
  <c r="Y872" i="2"/>
  <c r="D875" i="2"/>
  <c r="AB875" i="2"/>
  <c r="R877" i="2"/>
  <c r="AD877" i="2"/>
  <c r="G878" i="2"/>
  <c r="S878" i="2"/>
  <c r="H879" i="2"/>
  <c r="T879" i="2"/>
  <c r="AF879" i="2"/>
  <c r="J881" i="2"/>
  <c r="V881" i="2"/>
  <c r="AH881" i="2"/>
  <c r="X883" i="2"/>
  <c r="Y884" i="2"/>
  <c r="C886" i="2"/>
  <c r="D887" i="2"/>
  <c r="AB887" i="2"/>
  <c r="AC888" i="2"/>
  <c r="R889" i="2"/>
  <c r="AD889" i="2"/>
  <c r="G890" i="2"/>
  <c r="S890" i="2"/>
  <c r="H891" i="2"/>
  <c r="T891" i="2"/>
  <c r="AF891" i="2"/>
  <c r="J893" i="2"/>
  <c r="V893" i="2"/>
  <c r="AH893" i="2"/>
  <c r="X895" i="2"/>
  <c r="Y896" i="2"/>
  <c r="Z897" i="2"/>
  <c r="C898" i="2"/>
  <c r="D899" i="2"/>
  <c r="AB899" i="2"/>
  <c r="S900" i="2"/>
  <c r="AG900" i="2"/>
  <c r="K903" i="2"/>
  <c r="Y903" i="2"/>
  <c r="T904" i="2"/>
  <c r="AH904" i="2"/>
  <c r="W906" i="2"/>
  <c r="AK920" i="2"/>
  <c r="W920" i="2"/>
  <c r="K920" i="2"/>
  <c r="AH920" i="2"/>
  <c r="V920" i="2"/>
  <c r="J920" i="2"/>
  <c r="AG920" i="2"/>
  <c r="U920" i="2"/>
  <c r="AF920" i="2"/>
  <c r="T920" i="2"/>
  <c r="H920" i="2"/>
  <c r="S920" i="2"/>
  <c r="G920" i="2"/>
  <c r="AD920" i="2"/>
  <c r="R920" i="2"/>
  <c r="AC920" i="2"/>
  <c r="AB920" i="2"/>
  <c r="D920" i="2"/>
  <c r="C920" i="2"/>
  <c r="Z920" i="2"/>
  <c r="X920" i="2"/>
  <c r="AC875" i="2"/>
  <c r="G877" i="2"/>
  <c r="S877" i="2"/>
  <c r="H878" i="2"/>
  <c r="T878" i="2"/>
  <c r="AF878" i="2"/>
  <c r="U879" i="2"/>
  <c r="AG879" i="2"/>
  <c r="K881" i="2"/>
  <c r="W881" i="2"/>
  <c r="AK881" i="2"/>
  <c r="Y883" i="2"/>
  <c r="AB886" i="2"/>
  <c r="AC887" i="2"/>
  <c r="R888" i="2"/>
  <c r="AD888" i="2"/>
  <c r="G889" i="2"/>
  <c r="S889" i="2"/>
  <c r="H890" i="2"/>
  <c r="T890" i="2"/>
  <c r="AF890" i="2"/>
  <c r="U891" i="2"/>
  <c r="AG891" i="2"/>
  <c r="K893" i="2"/>
  <c r="W893" i="2"/>
  <c r="AK893" i="2"/>
  <c r="Y895" i="2"/>
  <c r="Z896" i="2"/>
  <c r="C897" i="2"/>
  <c r="D898" i="2"/>
  <c r="AB898" i="2"/>
  <c r="AC899" i="2"/>
  <c r="T900" i="2"/>
  <c r="AH900" i="2"/>
  <c r="U904" i="2"/>
  <c r="AK904" i="2"/>
  <c r="G906" i="2"/>
  <c r="X906" i="2"/>
  <c r="C872" i="2"/>
  <c r="D873" i="2"/>
  <c r="R875" i="2"/>
  <c r="G876" i="2"/>
  <c r="S876" i="2"/>
  <c r="H877" i="2"/>
  <c r="T877" i="2"/>
  <c r="U878" i="2"/>
  <c r="J879" i="2"/>
  <c r="V879" i="2"/>
  <c r="C884" i="2"/>
  <c r="D885" i="2"/>
  <c r="R887" i="2"/>
  <c r="G888" i="2"/>
  <c r="S888" i="2"/>
  <c r="H889" i="2"/>
  <c r="T889" i="2"/>
  <c r="U890" i="2"/>
  <c r="J891" i="2"/>
  <c r="V891" i="2"/>
  <c r="C896" i="2"/>
  <c r="D897" i="2"/>
  <c r="R899" i="2"/>
  <c r="G900" i="2"/>
  <c r="U900" i="2"/>
  <c r="AB901" i="2"/>
  <c r="D901" i="2"/>
  <c r="X901" i="2"/>
  <c r="AD901" i="2"/>
  <c r="AB903" i="2"/>
  <c r="H904" i="2"/>
  <c r="V904" i="2"/>
  <c r="AF905" i="2"/>
  <c r="T905" i="2"/>
  <c r="H905" i="2"/>
  <c r="AB905" i="2"/>
  <c r="D905" i="2"/>
  <c r="AD905" i="2"/>
  <c r="H906" i="2"/>
  <c r="Y906" i="2"/>
  <c r="Y909" i="2"/>
  <c r="C911" i="2"/>
  <c r="G915" i="2"/>
  <c r="S915" i="2"/>
  <c r="J918" i="2"/>
  <c r="V918" i="2"/>
  <c r="AH918" i="2"/>
  <c r="K919" i="2"/>
  <c r="W919" i="2"/>
  <c r="AK919" i="2"/>
  <c r="Y921" i="2"/>
  <c r="C923" i="2"/>
  <c r="G927" i="2"/>
  <c r="T927" i="2"/>
  <c r="AG927" i="2"/>
  <c r="K928" i="2"/>
  <c r="AK943" i="2"/>
  <c r="W943" i="2"/>
  <c r="K943" i="2"/>
  <c r="AH943" i="2"/>
  <c r="V943" i="2"/>
  <c r="J943" i="2"/>
  <c r="AG943" i="2"/>
  <c r="U943" i="2"/>
  <c r="AF943" i="2"/>
  <c r="T943" i="2"/>
  <c r="H943" i="2"/>
  <c r="S943" i="2"/>
  <c r="G943" i="2"/>
  <c r="AD943" i="2"/>
  <c r="R943" i="2"/>
  <c r="AC943" i="2"/>
  <c r="AB943" i="2"/>
  <c r="D943" i="2"/>
  <c r="C943" i="2"/>
  <c r="X943" i="2"/>
  <c r="Y919" i="2"/>
  <c r="AK927" i="2"/>
  <c r="C935" i="2"/>
  <c r="AK935" i="2"/>
  <c r="W935" i="2"/>
  <c r="K935" i="2"/>
  <c r="AH935" i="2"/>
  <c r="V935" i="2"/>
  <c r="J935" i="2"/>
  <c r="AG935" i="2"/>
  <c r="U935" i="2"/>
  <c r="AB935" i="2"/>
  <c r="D935" i="2"/>
  <c r="T935" i="2"/>
  <c r="AH915" i="2"/>
  <c r="Y918" i="2"/>
  <c r="Z919" i="2"/>
  <c r="J927" i="2"/>
  <c r="W927" i="2"/>
  <c r="AF928" i="2"/>
  <c r="T928" i="2"/>
  <c r="H928" i="2"/>
  <c r="AB928" i="2"/>
  <c r="Z928" i="2"/>
  <c r="AD928" i="2"/>
  <c r="X935" i="2"/>
  <c r="AC909" i="2"/>
  <c r="G911" i="2"/>
  <c r="S911" i="2"/>
  <c r="T912" i="2"/>
  <c r="AF912" i="2"/>
  <c r="U913" i="2"/>
  <c r="AG913" i="2"/>
  <c r="K915" i="2"/>
  <c r="W915" i="2"/>
  <c r="AK915" i="2"/>
  <c r="X916" i="2"/>
  <c r="Y917" i="2"/>
  <c r="Z918" i="2"/>
  <c r="C919" i="2"/>
  <c r="AC921" i="2"/>
  <c r="G923" i="2"/>
  <c r="S923" i="2"/>
  <c r="K927" i="2"/>
  <c r="X927" i="2"/>
  <c r="Y935" i="2"/>
  <c r="H936" i="2"/>
  <c r="AD936" i="2"/>
  <c r="R909" i="2"/>
  <c r="AD909" i="2"/>
  <c r="H911" i="2"/>
  <c r="T911" i="2"/>
  <c r="AF911" i="2"/>
  <c r="U912" i="2"/>
  <c r="AG912" i="2"/>
  <c r="J913" i="2"/>
  <c r="V913" i="2"/>
  <c r="AH913" i="2"/>
  <c r="X915" i="2"/>
  <c r="Y916" i="2"/>
  <c r="Z917" i="2"/>
  <c r="C918" i="2"/>
  <c r="D919" i="2"/>
  <c r="AB919" i="2"/>
  <c r="R921" i="2"/>
  <c r="AD921" i="2"/>
  <c r="H923" i="2"/>
  <c r="T923" i="2"/>
  <c r="AF923" i="2"/>
  <c r="U924" i="2"/>
  <c r="AG924" i="2"/>
  <c r="J925" i="2"/>
  <c r="V925" i="2"/>
  <c r="AH925" i="2"/>
  <c r="AK926" i="2"/>
  <c r="C928" i="2"/>
  <c r="AG928" i="2"/>
  <c r="AB929" i="2"/>
  <c r="Z930" i="2"/>
  <c r="Z934" i="2"/>
  <c r="AH934" i="2"/>
  <c r="V934" i="2"/>
  <c r="J934" i="2"/>
  <c r="AG934" i="2"/>
  <c r="U934" i="2"/>
  <c r="AF934" i="2"/>
  <c r="T934" i="2"/>
  <c r="H934" i="2"/>
  <c r="C934" i="2"/>
  <c r="S934" i="2"/>
  <c r="Z935" i="2"/>
  <c r="AH942" i="2"/>
  <c r="V942" i="2"/>
  <c r="J942" i="2"/>
  <c r="AG942" i="2"/>
  <c r="U942" i="2"/>
  <c r="AF942" i="2"/>
  <c r="T942" i="2"/>
  <c r="H942" i="2"/>
  <c r="S942" i="2"/>
  <c r="G942" i="2"/>
  <c r="AD942" i="2"/>
  <c r="R942" i="2"/>
  <c r="AC942" i="2"/>
  <c r="AB942" i="2"/>
  <c r="D942" i="2"/>
  <c r="C942" i="2"/>
  <c r="Z942" i="2"/>
  <c r="AK942" i="2"/>
  <c r="W942" i="2"/>
  <c r="K942" i="2"/>
  <c r="Y943" i="2"/>
  <c r="U911" i="2"/>
  <c r="AG911" i="2"/>
  <c r="Y915" i="2"/>
  <c r="D918" i="2"/>
  <c r="AB918" i="2"/>
  <c r="AC919" i="2"/>
  <c r="S927" i="2"/>
  <c r="Z927" i="2"/>
  <c r="R928" i="2"/>
  <c r="AH928" i="2"/>
  <c r="G935" i="2"/>
  <c r="AC935" i="2"/>
  <c r="X977" i="2"/>
  <c r="AK977" i="2"/>
  <c r="W977" i="2"/>
  <c r="K977" i="2"/>
  <c r="AH977" i="2"/>
  <c r="V977" i="2"/>
  <c r="J977" i="2"/>
  <c r="AG977" i="2"/>
  <c r="U977" i="2"/>
  <c r="AF977" i="2"/>
  <c r="T977" i="2"/>
  <c r="H977" i="2"/>
  <c r="S977" i="2"/>
  <c r="G977" i="2"/>
  <c r="AD977" i="2"/>
  <c r="R977" i="2"/>
  <c r="AC977" i="2"/>
  <c r="AB977" i="2"/>
  <c r="D977" i="2"/>
  <c r="C977" i="2"/>
  <c r="Z977" i="2"/>
  <c r="Y977" i="2"/>
  <c r="Y902" i="2"/>
  <c r="H909" i="2"/>
  <c r="T909" i="2"/>
  <c r="AF909" i="2"/>
  <c r="U910" i="2"/>
  <c r="AG910" i="2"/>
  <c r="J911" i="2"/>
  <c r="V911" i="2"/>
  <c r="AH911" i="2"/>
  <c r="K912" i="2"/>
  <c r="W912" i="2"/>
  <c r="AK912" i="2"/>
  <c r="X913" i="2"/>
  <c r="Y914" i="2"/>
  <c r="Z915" i="2"/>
  <c r="C916" i="2"/>
  <c r="D917" i="2"/>
  <c r="AB917" i="2"/>
  <c r="AC918" i="2"/>
  <c r="R919" i="2"/>
  <c r="AD919" i="2"/>
  <c r="H921" i="2"/>
  <c r="T921" i="2"/>
  <c r="AF921" i="2"/>
  <c r="AG922" i="2"/>
  <c r="J923" i="2"/>
  <c r="V923" i="2"/>
  <c r="AH923" i="2"/>
  <c r="K924" i="2"/>
  <c r="W924" i="2"/>
  <c r="AK924" i="2"/>
  <c r="X925" i="2"/>
  <c r="Y926" i="2"/>
  <c r="S928" i="2"/>
  <c r="AK928" i="2"/>
  <c r="AF931" i="2"/>
  <c r="D934" i="2"/>
  <c r="X934" i="2"/>
  <c r="H935" i="2"/>
  <c r="AD935" i="2"/>
  <c r="AG936" i="2"/>
  <c r="U909" i="2"/>
  <c r="AG909" i="2"/>
  <c r="K911" i="2"/>
  <c r="W911" i="2"/>
  <c r="AK911" i="2"/>
  <c r="X912" i="2"/>
  <c r="Y913" i="2"/>
  <c r="C915" i="2"/>
  <c r="D916" i="2"/>
  <c r="AB916" i="2"/>
  <c r="AC917" i="2"/>
  <c r="R918" i="2"/>
  <c r="AD918" i="2"/>
  <c r="G919" i="2"/>
  <c r="S919" i="2"/>
  <c r="U921" i="2"/>
  <c r="AG921" i="2"/>
  <c r="K923" i="2"/>
  <c r="W923" i="2"/>
  <c r="AK923" i="2"/>
  <c r="X924" i="2"/>
  <c r="Y925" i="2"/>
  <c r="C927" i="2"/>
  <c r="AB927" i="2"/>
  <c r="U928" i="2"/>
  <c r="AG929" i="2"/>
  <c r="U929" i="2"/>
  <c r="AC929" i="2"/>
  <c r="C929" i="2"/>
  <c r="AF929" i="2"/>
  <c r="Y934" i="2"/>
  <c r="AC962" i="2"/>
  <c r="AB962" i="2"/>
  <c r="D962" i="2"/>
  <c r="C962" i="2"/>
  <c r="X962" i="2"/>
  <c r="AK962" i="2"/>
  <c r="W962" i="2"/>
  <c r="K962" i="2"/>
  <c r="R962" i="2"/>
  <c r="AH962" i="2"/>
  <c r="AG962" i="2"/>
  <c r="AF962" i="2"/>
  <c r="J962" i="2"/>
  <c r="AD962" i="2"/>
  <c r="H962" i="2"/>
  <c r="Z962" i="2"/>
  <c r="G962" i="2"/>
  <c r="Y962" i="2"/>
  <c r="V962" i="2"/>
  <c r="U962" i="2"/>
  <c r="S962" i="2"/>
  <c r="J909" i="2"/>
  <c r="V909" i="2"/>
  <c r="AH909" i="2"/>
  <c r="X911" i="2"/>
  <c r="Y912" i="2"/>
  <c r="Z913" i="2"/>
  <c r="D915" i="2"/>
  <c r="AB915" i="2"/>
  <c r="AC916" i="2"/>
  <c r="R917" i="2"/>
  <c r="AD917" i="2"/>
  <c r="G918" i="2"/>
  <c r="S918" i="2"/>
  <c r="H919" i="2"/>
  <c r="T919" i="2"/>
  <c r="AF919" i="2"/>
  <c r="J921" i="2"/>
  <c r="V921" i="2"/>
  <c r="AH921" i="2"/>
  <c r="X923" i="2"/>
  <c r="Y924" i="2"/>
  <c r="Z925" i="2"/>
  <c r="D927" i="2"/>
  <c r="AC927" i="2"/>
  <c r="G928" i="2"/>
  <c r="V928" i="2"/>
  <c r="AH929" i="2"/>
  <c r="AB934" i="2"/>
  <c r="AF935" i="2"/>
  <c r="AK909" i="2"/>
  <c r="Y911" i="2"/>
  <c r="AC915" i="2"/>
  <c r="H918" i="2"/>
  <c r="T918" i="2"/>
  <c r="AF918" i="2"/>
  <c r="U919" i="2"/>
  <c r="AG919" i="2"/>
  <c r="K921" i="2"/>
  <c r="W921" i="2"/>
  <c r="AK921" i="2"/>
  <c r="Y923" i="2"/>
  <c r="AD927" i="2"/>
  <c r="W928" i="2"/>
  <c r="AB936" i="2"/>
  <c r="D936" i="2"/>
  <c r="X936" i="2"/>
  <c r="AK936" i="2"/>
  <c r="W936" i="2"/>
  <c r="K936" i="2"/>
  <c r="AH936" i="2"/>
  <c r="V936" i="2"/>
  <c r="J936" i="2"/>
  <c r="AC936" i="2"/>
  <c r="S936" i="2"/>
  <c r="X942" i="2"/>
  <c r="C912" i="2"/>
  <c r="D913" i="2"/>
  <c r="R915" i="2"/>
  <c r="G916" i="2"/>
  <c r="S916" i="2"/>
  <c r="H917" i="2"/>
  <c r="T917" i="2"/>
  <c r="U918" i="2"/>
  <c r="J919" i="2"/>
  <c r="V919" i="2"/>
  <c r="C924" i="2"/>
  <c r="D925" i="2"/>
  <c r="R927" i="2"/>
  <c r="AF927" i="2"/>
  <c r="J928" i="2"/>
  <c r="X928" i="2"/>
  <c r="T929" i="2"/>
  <c r="AH930" i="2"/>
  <c r="V930" i="2"/>
  <c r="J930" i="2"/>
  <c r="AD930" i="2"/>
  <c r="R930" i="2"/>
  <c r="AC930" i="2"/>
  <c r="AB930" i="2"/>
  <c r="D930" i="2"/>
  <c r="S930" i="2"/>
  <c r="AK931" i="2"/>
  <c r="W931" i="2"/>
  <c r="K931" i="2"/>
  <c r="S931" i="2"/>
  <c r="G931" i="2"/>
  <c r="AD931" i="2"/>
  <c r="R931" i="2"/>
  <c r="AC931" i="2"/>
  <c r="X931" i="2"/>
  <c r="K934" i="2"/>
  <c r="AD934" i="2"/>
  <c r="T936" i="2"/>
  <c r="Y942" i="2"/>
  <c r="T962" i="2"/>
  <c r="Y932" i="2"/>
  <c r="U940" i="2"/>
  <c r="AG940" i="2"/>
  <c r="J941" i="2"/>
  <c r="V941" i="2"/>
  <c r="AH941" i="2"/>
  <c r="Y944" i="2"/>
  <c r="C946" i="2"/>
  <c r="D947" i="2"/>
  <c r="AB947" i="2"/>
  <c r="AC948" i="2"/>
  <c r="U952" i="2"/>
  <c r="AG952" i="2"/>
  <c r="J953" i="2"/>
  <c r="AG954" i="2"/>
  <c r="U954" i="2"/>
  <c r="AF954" i="2"/>
  <c r="T954" i="2"/>
  <c r="S954" i="2"/>
  <c r="G954" i="2"/>
  <c r="AD954" i="2"/>
  <c r="U957" i="2"/>
  <c r="AG961" i="2"/>
  <c r="X940" i="2"/>
  <c r="Y941" i="2"/>
  <c r="R946" i="2"/>
  <c r="AD946" i="2"/>
  <c r="G947" i="2"/>
  <c r="S947" i="2"/>
  <c r="H948" i="2"/>
  <c r="T948" i="2"/>
  <c r="AF948" i="2"/>
  <c r="X952" i="2"/>
  <c r="AF953" i="2"/>
  <c r="AD953" i="2"/>
  <c r="Y953" i="2"/>
  <c r="AH955" i="2"/>
  <c r="V955" i="2"/>
  <c r="J955" i="2"/>
  <c r="AG955" i="2"/>
  <c r="U955" i="2"/>
  <c r="AF955" i="2"/>
  <c r="T955" i="2"/>
  <c r="H955" i="2"/>
  <c r="Y940" i="2"/>
  <c r="Z941" i="2"/>
  <c r="G946" i="2"/>
  <c r="S946" i="2"/>
  <c r="H947" i="2"/>
  <c r="T947" i="2"/>
  <c r="AF947" i="2"/>
  <c r="U948" i="2"/>
  <c r="AG948" i="2"/>
  <c r="Y952" i="2"/>
  <c r="AK955" i="2"/>
  <c r="AB961" i="2"/>
  <c r="D961" i="2"/>
  <c r="C961" i="2"/>
  <c r="Z961" i="2"/>
  <c r="AK961" i="2"/>
  <c r="W961" i="2"/>
  <c r="K961" i="2"/>
  <c r="AH961" i="2"/>
  <c r="V961" i="2"/>
  <c r="J961" i="2"/>
  <c r="T961" i="2"/>
  <c r="W965" i="2"/>
  <c r="R932" i="2"/>
  <c r="AD932" i="2"/>
  <c r="K937" i="2"/>
  <c r="W937" i="2"/>
  <c r="AK937" i="2"/>
  <c r="X938" i="2"/>
  <c r="Y939" i="2"/>
  <c r="Z940" i="2"/>
  <c r="C941" i="2"/>
  <c r="R944" i="2"/>
  <c r="AD944" i="2"/>
  <c r="H946" i="2"/>
  <c r="T946" i="2"/>
  <c r="AF946" i="2"/>
  <c r="U947" i="2"/>
  <c r="AG947" i="2"/>
  <c r="J948" i="2"/>
  <c r="V948" i="2"/>
  <c r="AH948" i="2"/>
  <c r="K949" i="2"/>
  <c r="W949" i="2"/>
  <c r="AK949" i="2"/>
  <c r="X950" i="2"/>
  <c r="Y951" i="2"/>
  <c r="Z952" i="2"/>
  <c r="C953" i="2"/>
  <c r="W954" i="2"/>
  <c r="C955" i="2"/>
  <c r="R955" i="2"/>
  <c r="AK956" i="2"/>
  <c r="W956" i="2"/>
  <c r="K956" i="2"/>
  <c r="AH956" i="2"/>
  <c r="V956" i="2"/>
  <c r="J956" i="2"/>
  <c r="AG956" i="2"/>
  <c r="U956" i="2"/>
  <c r="AC957" i="2"/>
  <c r="U961" i="2"/>
  <c r="X965" i="2"/>
  <c r="X967" i="2"/>
  <c r="AK967" i="2"/>
  <c r="W967" i="2"/>
  <c r="K967" i="2"/>
  <c r="AH967" i="2"/>
  <c r="V967" i="2"/>
  <c r="J967" i="2"/>
  <c r="AG967" i="2"/>
  <c r="U967" i="2"/>
  <c r="AF967" i="2"/>
  <c r="T967" i="2"/>
  <c r="H967" i="2"/>
  <c r="S967" i="2"/>
  <c r="G967" i="2"/>
  <c r="AD967" i="2"/>
  <c r="R967" i="2"/>
  <c r="AC967" i="2"/>
  <c r="AB967" i="2"/>
  <c r="D967" i="2"/>
  <c r="G932" i="2"/>
  <c r="S932" i="2"/>
  <c r="Y938" i="2"/>
  <c r="C940" i="2"/>
  <c r="D941" i="2"/>
  <c r="AB941" i="2"/>
  <c r="G944" i="2"/>
  <c r="S944" i="2"/>
  <c r="U946" i="2"/>
  <c r="AG946" i="2"/>
  <c r="J947" i="2"/>
  <c r="V947" i="2"/>
  <c r="AH947" i="2"/>
  <c r="K948" i="2"/>
  <c r="W948" i="2"/>
  <c r="AK948" i="2"/>
  <c r="X949" i="2"/>
  <c r="Y950" i="2"/>
  <c r="Z951" i="2"/>
  <c r="C952" i="2"/>
  <c r="D953" i="2"/>
  <c r="AB953" i="2"/>
  <c r="H954" i="2"/>
  <c r="X954" i="2"/>
  <c r="D955" i="2"/>
  <c r="S955" i="2"/>
  <c r="AF956" i="2"/>
  <c r="X961" i="2"/>
  <c r="Y965" i="2"/>
  <c r="H932" i="2"/>
  <c r="T932" i="2"/>
  <c r="AF932" i="2"/>
  <c r="Y937" i="2"/>
  <c r="Z938" i="2"/>
  <c r="D940" i="2"/>
  <c r="AB940" i="2"/>
  <c r="AC941" i="2"/>
  <c r="H944" i="2"/>
  <c r="T944" i="2"/>
  <c r="AF944" i="2"/>
  <c r="J946" i="2"/>
  <c r="V946" i="2"/>
  <c r="AH946" i="2"/>
  <c r="K947" i="2"/>
  <c r="W947" i="2"/>
  <c r="AK947" i="2"/>
  <c r="X948" i="2"/>
  <c r="Y949" i="2"/>
  <c r="D952" i="2"/>
  <c r="AB952" i="2"/>
  <c r="AC953" i="2"/>
  <c r="J954" i="2"/>
  <c r="Y954" i="2"/>
  <c r="W955" i="2"/>
  <c r="X957" i="2"/>
  <c r="AK957" i="2"/>
  <c r="W957" i="2"/>
  <c r="K957" i="2"/>
  <c r="AH957" i="2"/>
  <c r="V957" i="2"/>
  <c r="J957" i="2"/>
  <c r="Y961" i="2"/>
  <c r="AC940" i="2"/>
  <c r="AD941" i="2"/>
  <c r="K946" i="2"/>
  <c r="W946" i="2"/>
  <c r="AK946" i="2"/>
  <c r="X947" i="2"/>
  <c r="Y948" i="2"/>
  <c r="AC952" i="2"/>
  <c r="G961" i="2"/>
  <c r="AC961" i="2"/>
  <c r="AK966" i="2"/>
  <c r="W966" i="2"/>
  <c r="K966" i="2"/>
  <c r="AH966" i="2"/>
  <c r="V966" i="2"/>
  <c r="J966" i="2"/>
  <c r="AG966" i="2"/>
  <c r="U966" i="2"/>
  <c r="AF966" i="2"/>
  <c r="T966" i="2"/>
  <c r="H966" i="2"/>
  <c r="S966" i="2"/>
  <c r="G966" i="2"/>
  <c r="AD966" i="2"/>
  <c r="R966" i="2"/>
  <c r="AC966" i="2"/>
  <c r="AB966" i="2"/>
  <c r="D966" i="2"/>
  <c r="C966" i="2"/>
  <c r="R940" i="2"/>
  <c r="AD940" i="2"/>
  <c r="S941" i="2"/>
  <c r="X946" i="2"/>
  <c r="Y947" i="2"/>
  <c r="Z948" i="2"/>
  <c r="R952" i="2"/>
  <c r="AD952" i="2"/>
  <c r="S953" i="2"/>
  <c r="AG953" i="2"/>
  <c r="Y955" i="2"/>
  <c r="H961" i="2"/>
  <c r="AD961" i="2"/>
  <c r="S940" i="2"/>
  <c r="AF941" i="2"/>
  <c r="Y946" i="2"/>
  <c r="AH965" i="2"/>
  <c r="V965" i="2"/>
  <c r="J965" i="2"/>
  <c r="AG965" i="2"/>
  <c r="U965" i="2"/>
  <c r="AF965" i="2"/>
  <c r="T965" i="2"/>
  <c r="H965" i="2"/>
  <c r="S965" i="2"/>
  <c r="G965" i="2"/>
  <c r="AD965" i="2"/>
  <c r="R965" i="2"/>
  <c r="AC965" i="2"/>
  <c r="AB965" i="2"/>
  <c r="D965" i="2"/>
  <c r="C965" i="2"/>
  <c r="Z965" i="2"/>
  <c r="R938" i="2"/>
  <c r="G939" i="2"/>
  <c r="S939" i="2"/>
  <c r="H940" i="2"/>
  <c r="T940" i="2"/>
  <c r="U941" i="2"/>
  <c r="C947" i="2"/>
  <c r="D948" i="2"/>
  <c r="R950" i="2"/>
  <c r="G951" i="2"/>
  <c r="S951" i="2"/>
  <c r="H952" i="2"/>
  <c r="T952" i="2"/>
  <c r="U953" i="2"/>
  <c r="AK953" i="2"/>
  <c r="AC954" i="2"/>
  <c r="G956" i="2"/>
  <c r="Y956" i="2"/>
  <c r="T957" i="2"/>
  <c r="AF961" i="2"/>
  <c r="X963" i="2"/>
  <c r="Y964" i="2"/>
  <c r="AC968" i="2"/>
  <c r="R969" i="2"/>
  <c r="AD969" i="2"/>
  <c r="J973" i="2"/>
  <c r="V973" i="2"/>
  <c r="AH973" i="2"/>
  <c r="K974" i="2"/>
  <c r="W974" i="2"/>
  <c r="AK974" i="2"/>
  <c r="X975" i="2"/>
  <c r="Y976" i="2"/>
  <c r="C978" i="2"/>
  <c r="D979" i="2"/>
  <c r="AB979" i="2"/>
  <c r="AC980" i="2"/>
  <c r="R981" i="2"/>
  <c r="AD981" i="2"/>
  <c r="AF983" i="2"/>
  <c r="U984" i="2"/>
  <c r="AG984" i="2"/>
  <c r="Y963" i="2"/>
  <c r="Z964" i="2"/>
  <c r="R968" i="2"/>
  <c r="AD968" i="2"/>
  <c r="G969" i="2"/>
  <c r="S969" i="2"/>
  <c r="K973" i="2"/>
  <c r="W973" i="2"/>
  <c r="AK973" i="2"/>
  <c r="X974" i="2"/>
  <c r="Y975" i="2"/>
  <c r="Z976" i="2"/>
  <c r="D978" i="2"/>
  <c r="AB978" i="2"/>
  <c r="AC979" i="2"/>
  <c r="R980" i="2"/>
  <c r="AD980" i="2"/>
  <c r="G981" i="2"/>
  <c r="S981" i="2"/>
  <c r="AF982" i="2"/>
  <c r="U983" i="2"/>
  <c r="AG983" i="2"/>
  <c r="V984" i="2"/>
  <c r="AH984" i="2"/>
  <c r="AF969" i="2"/>
  <c r="X973" i="2"/>
  <c r="Y974" i="2"/>
  <c r="AC978" i="2"/>
  <c r="R979" i="2"/>
  <c r="AD979" i="2"/>
  <c r="G980" i="2"/>
  <c r="S980" i="2"/>
  <c r="AF981" i="2"/>
  <c r="W984" i="2"/>
  <c r="AK984" i="2"/>
  <c r="AG969" i="2"/>
  <c r="Y973" i="2"/>
  <c r="Z974" i="2"/>
  <c r="R978" i="2"/>
  <c r="AD978" i="2"/>
  <c r="G979" i="2"/>
  <c r="S979" i="2"/>
  <c r="H980" i="2"/>
  <c r="T980" i="2"/>
  <c r="AF980" i="2"/>
  <c r="U981" i="2"/>
  <c r="AG981" i="2"/>
  <c r="W983" i="2"/>
  <c r="AK983" i="2"/>
  <c r="X984" i="2"/>
  <c r="K958" i="2"/>
  <c r="W958" i="2"/>
  <c r="AK958" i="2"/>
  <c r="X959" i="2"/>
  <c r="Y960" i="2"/>
  <c r="D963" i="2"/>
  <c r="AB963" i="2"/>
  <c r="AC964" i="2"/>
  <c r="U968" i="2"/>
  <c r="AG968" i="2"/>
  <c r="J969" i="2"/>
  <c r="V969" i="2"/>
  <c r="AH969" i="2"/>
  <c r="K970" i="2"/>
  <c r="W970" i="2"/>
  <c r="AK970" i="2"/>
  <c r="X971" i="2"/>
  <c r="Y972" i="2"/>
  <c r="Z973" i="2"/>
  <c r="C974" i="2"/>
  <c r="D975" i="2"/>
  <c r="AB975" i="2"/>
  <c r="AC976" i="2"/>
  <c r="G978" i="2"/>
  <c r="S978" i="2"/>
  <c r="H979" i="2"/>
  <c r="T979" i="2"/>
  <c r="AF979" i="2"/>
  <c r="U980" i="2"/>
  <c r="AG980" i="2"/>
  <c r="J981" i="2"/>
  <c r="V981" i="2"/>
  <c r="AH981" i="2"/>
  <c r="K982" i="2"/>
  <c r="W982" i="2"/>
  <c r="AK982" i="2"/>
  <c r="X983" i="2"/>
  <c r="Y984" i="2"/>
  <c r="Y959" i="2"/>
  <c r="AC963" i="2"/>
  <c r="R964" i="2"/>
  <c r="AD964" i="2"/>
  <c r="J968" i="2"/>
  <c r="V968" i="2"/>
  <c r="AH968" i="2"/>
  <c r="K969" i="2"/>
  <c r="W969" i="2"/>
  <c r="AK969" i="2"/>
  <c r="X970" i="2"/>
  <c r="Y971" i="2"/>
  <c r="Z972" i="2"/>
  <c r="C973" i="2"/>
  <c r="D974" i="2"/>
  <c r="AB974" i="2"/>
  <c r="AC975" i="2"/>
  <c r="R976" i="2"/>
  <c r="AD976" i="2"/>
  <c r="H978" i="2"/>
  <c r="T978" i="2"/>
  <c r="AF978" i="2"/>
  <c r="U979" i="2"/>
  <c r="AG979" i="2"/>
  <c r="J980" i="2"/>
  <c r="V980" i="2"/>
  <c r="AH980" i="2"/>
  <c r="K981" i="2"/>
  <c r="W981" i="2"/>
  <c r="AK981" i="2"/>
  <c r="X982" i="2"/>
  <c r="Y983" i="2"/>
  <c r="Z984" i="2"/>
  <c r="R963" i="2"/>
  <c r="G964" i="2"/>
  <c r="S964" i="2"/>
  <c r="K968" i="2"/>
  <c r="W968" i="2"/>
  <c r="AK968" i="2"/>
  <c r="X969" i="2"/>
  <c r="C972" i="2"/>
  <c r="D973" i="2"/>
  <c r="AB973" i="2"/>
  <c r="AC974" i="2"/>
  <c r="R975" i="2"/>
  <c r="G976" i="2"/>
  <c r="S976" i="2"/>
  <c r="U978" i="2"/>
  <c r="AG978" i="2"/>
  <c r="J979" i="2"/>
  <c r="V979" i="2"/>
  <c r="AH979" i="2"/>
  <c r="K980" i="2"/>
  <c r="W980" i="2"/>
  <c r="AK980" i="2"/>
  <c r="X981" i="2"/>
  <c r="C984" i="2"/>
  <c r="X968" i="2"/>
  <c r="Y969" i="2"/>
  <c r="AC973" i="2"/>
  <c r="R974" i="2"/>
  <c r="AD974" i="2"/>
  <c r="J978" i="2"/>
  <c r="V978" i="2"/>
  <c r="AH978" i="2"/>
  <c r="K979" i="2"/>
  <c r="W979" i="2"/>
  <c r="AK979" i="2"/>
  <c r="X980" i="2"/>
  <c r="K978" i="2"/>
  <c r="W978" i="2"/>
  <c r="AK978" i="2"/>
  <c r="X979" i="2"/>
  <c r="X978" i="2"/>
  <c r="C12" i="6" l="1"/>
  <c r="B13" i="5"/>
  <c r="N11" i="4"/>
  <c r="N29" i="4"/>
  <c r="N17" i="4"/>
  <c r="N24" i="4"/>
  <c r="N15" i="4"/>
  <c r="N22" i="4"/>
  <c r="N23" i="4"/>
  <c r="N10" i="4"/>
  <c r="E6" i="4" a="1"/>
  <c r="E6" i="4" s="1"/>
  <c r="N32" i="4"/>
  <c r="N20" i="4"/>
  <c r="N25" i="4"/>
  <c r="N16" i="4"/>
  <c r="N30" i="4"/>
  <c r="N21" i="4"/>
  <c r="N12" i="4"/>
  <c r="N26" i="4"/>
  <c r="N8" i="4"/>
  <c r="N31" i="4"/>
  <c r="N13" i="4"/>
  <c r="N27" i="4"/>
  <c r="N18" i="4"/>
  <c r="N9" i="4"/>
  <c r="N14" i="4"/>
  <c r="N28" i="4"/>
  <c r="N19" i="4"/>
  <c r="F6" i="4" a="1"/>
  <c r="F6" i="4" s="1"/>
  <c r="K6" i="3" a="1"/>
  <c r="K6" i="3" s="1"/>
  <c r="L6" i="3" a="1"/>
  <c r="L6" i="3" s="1"/>
  <c r="F7" i="2"/>
  <c r="I7" i="2"/>
  <c r="F5" i="2"/>
  <c r="F8" i="2"/>
  <c r="I8" i="2"/>
  <c r="F9" i="2"/>
  <c r="I9" i="2"/>
  <c r="F6" i="2"/>
  <c r="I6" i="2"/>
  <c r="H5" i="2"/>
  <c r="D10" i="2"/>
  <c r="AO12" i="2"/>
  <c r="D11" i="2"/>
  <c r="AN9" i="2"/>
  <c r="B8" i="2"/>
  <c r="C13" i="6" l="1"/>
  <c r="B14" i="5"/>
  <c r="P10" i="4"/>
  <c r="P9" i="4"/>
  <c r="P25" i="4"/>
  <c r="P23" i="4"/>
  <c r="P15" i="4"/>
  <c r="P20" i="4"/>
  <c r="P14" i="4"/>
  <c r="P18" i="4"/>
  <c r="P27" i="4"/>
  <c r="P8" i="4"/>
  <c r="P22" i="4"/>
  <c r="P31" i="4"/>
  <c r="P24" i="4"/>
  <c r="P21" i="4"/>
  <c r="P17" i="4"/>
  <c r="P13" i="4"/>
  <c r="P26" i="4"/>
  <c r="P19" i="4"/>
  <c r="P30" i="4"/>
  <c r="P11" i="4"/>
  <c r="P32" i="4"/>
  <c r="P12" i="4"/>
  <c r="P28" i="4"/>
  <c r="P16" i="4"/>
  <c r="P29" i="4"/>
  <c r="O25" i="4"/>
  <c r="O20" i="4"/>
  <c r="O32" i="4"/>
  <c r="O14" i="4"/>
  <c r="O9" i="4"/>
  <c r="O18" i="4"/>
  <c r="O27" i="4"/>
  <c r="O10" i="4"/>
  <c r="O23" i="4"/>
  <c r="O8" i="4"/>
  <c r="O22" i="4"/>
  <c r="O26" i="4"/>
  <c r="O17" i="4"/>
  <c r="O13" i="4"/>
  <c r="O12" i="4"/>
  <c r="O11" i="4"/>
  <c r="O21" i="4"/>
  <c r="O29" i="4"/>
  <c r="O19" i="4"/>
  <c r="O30" i="4"/>
  <c r="O15" i="4"/>
  <c r="O31" i="4"/>
  <c r="O28" i="4"/>
  <c r="O16" i="4"/>
  <c r="O24" i="4"/>
  <c r="H10" i="2"/>
  <c r="I10" i="2"/>
  <c r="F10" i="2"/>
  <c r="H11" i="2"/>
  <c r="I11" i="2"/>
  <c r="F11" i="2"/>
  <c r="AO13" i="2"/>
  <c r="D12" i="2"/>
  <c r="AN10" i="2"/>
  <c r="B9" i="2"/>
  <c r="C14" i="6" l="1"/>
  <c r="B15" i="5"/>
  <c r="H12" i="2"/>
  <c r="F12" i="2"/>
  <c r="I12" i="2"/>
  <c r="AN11" i="2"/>
  <c r="B10" i="2"/>
  <c r="AO14" i="2"/>
  <c r="D13" i="2"/>
  <c r="C15" i="6" l="1"/>
  <c r="B16" i="5"/>
  <c r="H13" i="2"/>
  <c r="I13" i="2"/>
  <c r="F13" i="2"/>
  <c r="AO15" i="2"/>
  <c r="D14" i="2"/>
  <c r="B11" i="2"/>
  <c r="AN12" i="2"/>
  <c r="C16" i="6" l="1"/>
  <c r="B17" i="5"/>
  <c r="H14" i="2"/>
  <c r="F14" i="2"/>
  <c r="I14" i="2"/>
  <c r="AN13" i="2"/>
  <c r="B12" i="2"/>
  <c r="AO16" i="2"/>
  <c r="D15" i="2"/>
  <c r="C17" i="6" l="1"/>
  <c r="B18" i="5"/>
  <c r="H15" i="2"/>
  <c r="I15" i="2"/>
  <c r="F15" i="2"/>
  <c r="AO17" i="2"/>
  <c r="D16" i="2"/>
  <c r="B13" i="2"/>
  <c r="AN14" i="2"/>
  <c r="C18" i="6" l="1"/>
  <c r="B19" i="5"/>
  <c r="H16" i="2"/>
  <c r="I16" i="2"/>
  <c r="F16" i="2"/>
  <c r="AN15" i="2"/>
  <c r="B14" i="2"/>
  <c r="D17" i="2"/>
  <c r="AO18" i="2"/>
  <c r="C19" i="6" l="1"/>
  <c r="B20" i="5"/>
  <c r="H17" i="2"/>
  <c r="I17" i="2"/>
  <c r="F17" i="2"/>
  <c r="AO19" i="2"/>
  <c r="D18" i="2"/>
  <c r="B15" i="2"/>
  <c r="AN16" i="2"/>
  <c r="C20" i="6" l="1"/>
  <c r="B21" i="5"/>
  <c r="H18" i="2"/>
  <c r="I18" i="2"/>
  <c r="F18" i="2"/>
  <c r="AO20" i="2"/>
  <c r="D19" i="2"/>
  <c r="AN17" i="2"/>
  <c r="B16" i="2"/>
  <c r="C21" i="6" l="1"/>
  <c r="B22" i="5"/>
  <c r="H19" i="2"/>
  <c r="F19" i="2"/>
  <c r="I19" i="2"/>
  <c r="B17" i="2"/>
  <c r="AN18" i="2"/>
  <c r="AO21" i="2"/>
  <c r="D20" i="2"/>
  <c r="C22" i="6" l="1"/>
  <c r="B23" i="5"/>
  <c r="H20" i="2"/>
  <c r="I20" i="2"/>
  <c r="F20" i="2"/>
  <c r="AO22" i="2"/>
  <c r="D22" i="2" s="1"/>
  <c r="D21" i="2"/>
  <c r="AN19" i="2"/>
  <c r="B18" i="2"/>
  <c r="C23" i="6" l="1"/>
  <c r="B24" i="5"/>
  <c r="H21" i="2"/>
  <c r="I21" i="2"/>
  <c r="F21" i="2"/>
  <c r="I22" i="2"/>
  <c r="F22" i="2"/>
  <c r="H22" i="2"/>
  <c r="Q3" i="2"/>
  <c r="P3" i="2"/>
  <c r="B19" i="2"/>
  <c r="AN20" i="2"/>
  <c r="L989" i="2"/>
  <c r="M989" i="2"/>
  <c r="C24" i="6" l="1"/>
  <c r="B25" i="5"/>
  <c r="G5" i="2"/>
  <c r="G7" i="2"/>
  <c r="G11" i="2"/>
  <c r="G6" i="2"/>
  <c r="G9" i="2"/>
  <c r="G8" i="2"/>
  <c r="G10" i="2"/>
  <c r="G12" i="2"/>
  <c r="G13" i="2"/>
  <c r="G14" i="2"/>
  <c r="G15" i="2"/>
  <c r="G16" i="2"/>
  <c r="G17" i="2"/>
  <c r="G18" i="2"/>
  <c r="G19" i="2"/>
  <c r="G20" i="2"/>
  <c r="G21" i="2"/>
  <c r="G22" i="2"/>
  <c r="AN21" i="2"/>
  <c r="B20" i="2"/>
  <c r="C25" i="6" l="1"/>
  <c r="B26" i="5"/>
  <c r="B21" i="2"/>
  <c r="AN22" i="2"/>
  <c r="B22" i="2" s="1"/>
  <c r="I3" i="2"/>
  <c r="C26" i="6" l="1"/>
  <c r="B27" i="5"/>
  <c r="J21" i="2"/>
  <c r="J17" i="2"/>
  <c r="J9" i="2"/>
  <c r="J7" i="2"/>
  <c r="J13" i="2"/>
  <c r="J11" i="2"/>
  <c r="J19" i="2"/>
  <c r="J15" i="2"/>
  <c r="J5" i="2"/>
  <c r="J18" i="2"/>
  <c r="J22" i="2"/>
  <c r="J12" i="2"/>
  <c r="J6" i="2"/>
  <c r="J14" i="2"/>
  <c r="J20" i="2"/>
  <c r="J8" i="2"/>
  <c r="J10" i="2"/>
  <c r="J16" i="2"/>
  <c r="C27" i="6" l="1"/>
  <c r="B28" i="5"/>
  <c r="K10" i="2"/>
  <c r="K6" i="2"/>
  <c r="K5" i="2"/>
  <c r="K7" i="2"/>
  <c r="K9" i="2"/>
  <c r="K15" i="2"/>
  <c r="K12" i="2"/>
  <c r="K22" i="2"/>
  <c r="K19" i="2"/>
  <c r="K14" i="2"/>
  <c r="K20" i="2"/>
  <c r="K11" i="2"/>
  <c r="K17" i="2"/>
  <c r="K16" i="2"/>
  <c r="K13" i="2"/>
  <c r="K21" i="2"/>
  <c r="K8" i="2"/>
  <c r="K18" i="2"/>
  <c r="C28" i="6" l="1"/>
  <c r="B29" i="5"/>
  <c r="L20" i="2"/>
  <c r="O20" i="2" s="1"/>
  <c r="M20" i="2"/>
  <c r="P20" i="2" s="1"/>
  <c r="N20" i="2"/>
  <c r="Q20" i="2" s="1"/>
  <c r="L14" i="2"/>
  <c r="O14" i="2" s="1"/>
  <c r="M14" i="2"/>
  <c r="P14" i="2" s="1"/>
  <c r="N14" i="2"/>
  <c r="Q14" i="2" s="1"/>
  <c r="L16" i="2"/>
  <c r="O16" i="2" s="1"/>
  <c r="M16" i="2"/>
  <c r="P16" i="2" s="1"/>
  <c r="N16" i="2"/>
  <c r="Q16" i="2" s="1"/>
  <c r="L19" i="2"/>
  <c r="O19" i="2" s="1"/>
  <c r="M19" i="2"/>
  <c r="P19" i="2" s="1"/>
  <c r="N19" i="2"/>
  <c r="Q19" i="2" s="1"/>
  <c r="L22" i="2"/>
  <c r="O22" i="2" s="1"/>
  <c r="M22" i="2"/>
  <c r="P22" i="2" s="1"/>
  <c r="N22" i="2"/>
  <c r="Q22" i="2" s="1"/>
  <c r="L11" i="2"/>
  <c r="O11" i="2" s="1"/>
  <c r="M11" i="2"/>
  <c r="P11" i="2" s="1"/>
  <c r="N11" i="2"/>
  <c r="Q11" i="2" s="1"/>
  <c r="N12" i="2"/>
  <c r="Q12" i="2" s="1"/>
  <c r="L12" i="2"/>
  <c r="O12" i="2" s="1"/>
  <c r="M12" i="2"/>
  <c r="P12" i="2" s="1"/>
  <c r="L18" i="2"/>
  <c r="O18" i="2" s="1"/>
  <c r="M18" i="2"/>
  <c r="P18" i="2" s="1"/>
  <c r="N18" i="2"/>
  <c r="Q18" i="2" s="1"/>
  <c r="L15" i="2"/>
  <c r="O15" i="2" s="1"/>
  <c r="M15" i="2"/>
  <c r="P15" i="2" s="1"/>
  <c r="N15" i="2"/>
  <c r="Q15" i="2" s="1"/>
  <c r="L8" i="2"/>
  <c r="O8" i="2" s="1"/>
  <c r="M8" i="2"/>
  <c r="P8" i="2" s="1"/>
  <c r="N8" i="2"/>
  <c r="Q8" i="2" s="1"/>
  <c r="L9" i="2"/>
  <c r="O9" i="2" s="1"/>
  <c r="M9" i="2"/>
  <c r="P9" i="2" s="1"/>
  <c r="N9" i="2"/>
  <c r="Q9" i="2" s="1"/>
  <c r="L21" i="2"/>
  <c r="O21" i="2" s="1"/>
  <c r="M21" i="2"/>
  <c r="P21" i="2" s="1"/>
  <c r="N21" i="2"/>
  <c r="Q21" i="2" s="1"/>
  <c r="L7" i="2"/>
  <c r="O7" i="2" s="1"/>
  <c r="M7" i="2"/>
  <c r="P7" i="2" s="1"/>
  <c r="N7" i="2"/>
  <c r="Q7" i="2" s="1"/>
  <c r="N13" i="2"/>
  <c r="Q13" i="2" s="1"/>
  <c r="L13" i="2"/>
  <c r="O13" i="2" s="1"/>
  <c r="M13" i="2"/>
  <c r="P13" i="2" s="1"/>
  <c r="K2" i="2"/>
  <c r="L5" i="2"/>
  <c r="O5" i="2" s="1"/>
  <c r="M5" i="2"/>
  <c r="P5" i="2" s="1"/>
  <c r="N5" i="2"/>
  <c r="Q5" i="2" s="1"/>
  <c r="N6" i="2"/>
  <c r="Q6" i="2" s="1"/>
  <c r="L6" i="2"/>
  <c r="O6" i="2" s="1"/>
  <c r="M6" i="2"/>
  <c r="P6" i="2" s="1"/>
  <c r="L17" i="2"/>
  <c r="O17" i="2" s="1"/>
  <c r="M17" i="2"/>
  <c r="P17" i="2" s="1"/>
  <c r="N17" i="2"/>
  <c r="Q17" i="2" s="1"/>
  <c r="L10" i="2"/>
  <c r="O10" i="2" s="1"/>
  <c r="M10" i="2"/>
  <c r="P10" i="2" s="1"/>
  <c r="N10" i="2"/>
  <c r="Q10" i="2" s="1"/>
  <c r="C29" i="6" l="1"/>
  <c r="B30" i="5"/>
  <c r="S10" i="2"/>
  <c r="R6" i="2"/>
  <c r="R9" i="2"/>
  <c r="R17" i="2"/>
  <c r="T16" i="2"/>
  <c r="T20" i="2"/>
  <c r="S9" i="2"/>
  <c r="S17" i="2"/>
  <c r="S16" i="2"/>
  <c r="S20" i="2"/>
  <c r="T9" i="2"/>
  <c r="T17" i="2"/>
  <c r="R16" i="2"/>
  <c r="R20" i="2"/>
  <c r="S19" i="2"/>
  <c r="S15" i="2"/>
  <c r="R10" i="2"/>
  <c r="R22" i="2"/>
  <c r="R19" i="2"/>
  <c r="T15" i="2"/>
  <c r="S13" i="2"/>
  <c r="S2" i="2"/>
  <c r="N2" i="2"/>
  <c r="M2" i="2"/>
  <c r="S5" i="2"/>
  <c r="T22" i="2"/>
  <c r="T19" i="2"/>
  <c r="R15" i="2"/>
  <c r="R13" i="2"/>
  <c r="T2" i="2"/>
  <c r="T5" i="2"/>
  <c r="S22" i="2"/>
  <c r="S11" i="2"/>
  <c r="S14" i="2"/>
  <c r="T13" i="2"/>
  <c r="R2" i="2"/>
  <c r="T6" i="2"/>
  <c r="T11" i="2"/>
  <c r="R14" i="2"/>
  <c r="R18" i="2"/>
  <c r="T10" i="2"/>
  <c r="S7" i="2"/>
  <c r="R11" i="2"/>
  <c r="T14" i="2"/>
  <c r="S18" i="2"/>
  <c r="S21" i="2"/>
  <c r="R7" i="2"/>
  <c r="S8" i="2"/>
  <c r="T12" i="2"/>
  <c r="T18" i="2"/>
  <c r="T7" i="2"/>
  <c r="T8" i="2"/>
  <c r="R12" i="2"/>
  <c r="R21" i="2"/>
  <c r="T21" i="2"/>
  <c r="S6" i="2"/>
  <c r="R8" i="2"/>
  <c r="S12" i="2"/>
  <c r="C30" i="6" l="1"/>
  <c r="B31" i="5"/>
  <c r="T1" i="2"/>
  <c r="U19" i="2"/>
  <c r="V19" i="2"/>
  <c r="V16" i="2"/>
  <c r="U16" i="2"/>
  <c r="W16" i="2" s="1"/>
  <c r="V22" i="2"/>
  <c r="U22" i="2"/>
  <c r="W22" i="2" s="1"/>
  <c r="U11" i="2"/>
  <c r="V11" i="2"/>
  <c r="V10" i="2"/>
  <c r="U10" i="2"/>
  <c r="V5" i="2"/>
  <c r="R3" i="2"/>
  <c r="U5" i="2"/>
  <c r="V17" i="2"/>
  <c r="U17" i="2"/>
  <c r="W17" i="2" s="1"/>
  <c r="V21" i="2"/>
  <c r="U21" i="2"/>
  <c r="V12" i="2"/>
  <c r="U12" i="2"/>
  <c r="V7" i="2"/>
  <c r="U7" i="2"/>
  <c r="V13" i="2"/>
  <c r="U13" i="2"/>
  <c r="V9" i="2"/>
  <c r="U9" i="2"/>
  <c r="U18" i="2"/>
  <c r="V18" i="2"/>
  <c r="V15" i="2"/>
  <c r="U15" i="2"/>
  <c r="W15" i="2" s="1"/>
  <c r="U20" i="2"/>
  <c r="V20" i="2"/>
  <c r="V6" i="2"/>
  <c r="U6" i="2"/>
  <c r="V8" i="2"/>
  <c r="U8" i="2"/>
  <c r="W8" i="2" s="1"/>
  <c r="V14" i="2"/>
  <c r="U14" i="2"/>
  <c r="C31" i="6" l="1"/>
  <c r="B32" i="5"/>
  <c r="D31" i="5" s="1"/>
  <c r="W7" i="2"/>
  <c r="W6" i="2"/>
  <c r="W10" i="2"/>
  <c r="W20" i="2"/>
  <c r="T3" i="2"/>
  <c r="S3" i="2"/>
  <c r="W13" i="2"/>
  <c r="W12" i="2"/>
  <c r="W11" i="2"/>
  <c r="W21" i="2"/>
  <c r="W18" i="2"/>
  <c r="W14" i="2"/>
  <c r="W9" i="2"/>
  <c r="W5" i="2"/>
  <c r="W19" i="2"/>
  <c r="C32" i="6" l="1"/>
  <c r="E31" i="6"/>
  <c r="D31" i="6"/>
  <c r="D27" i="6"/>
  <c r="E27" i="6"/>
  <c r="D25" i="6"/>
  <c r="D29" i="6"/>
  <c r="E25" i="6"/>
  <c r="D23" i="6"/>
  <c r="C29" i="5"/>
  <c r="C28" i="5"/>
  <c r="F28" i="5" s="1"/>
  <c r="C26" i="5"/>
  <c r="D26" i="5"/>
  <c r="C27" i="5"/>
  <c r="D27" i="5"/>
  <c r="D29" i="5"/>
  <c r="E31" i="5"/>
  <c r="J31" i="5" s="1"/>
  <c r="D30" i="5"/>
  <c r="C30" i="5"/>
  <c r="D28" i="5"/>
  <c r="C32" i="5"/>
  <c r="D32" i="5"/>
  <c r="C11" i="5"/>
  <c r="D8" i="5"/>
  <c r="D10" i="5"/>
  <c r="C13" i="5"/>
  <c r="D14" i="5"/>
  <c r="C12" i="5"/>
  <c r="C10" i="5"/>
  <c r="C8" i="5"/>
  <c r="C9" i="5"/>
  <c r="D11" i="5"/>
  <c r="D9" i="5"/>
  <c r="C15" i="5"/>
  <c r="D12" i="5"/>
  <c r="C14" i="5"/>
  <c r="D13" i="5"/>
  <c r="D17" i="5"/>
  <c r="D16" i="5"/>
  <c r="D15" i="5"/>
  <c r="C18" i="5"/>
  <c r="C17" i="5"/>
  <c r="C16" i="5"/>
  <c r="D18" i="5"/>
  <c r="D19" i="5"/>
  <c r="C19" i="5"/>
  <c r="C21" i="5"/>
  <c r="D20" i="5"/>
  <c r="D21" i="5"/>
  <c r="C20" i="5"/>
  <c r="C23" i="5"/>
  <c r="I23" i="5" s="1"/>
  <c r="D22" i="5"/>
  <c r="C22" i="5"/>
  <c r="D23" i="5"/>
  <c r="C25" i="5"/>
  <c r="K25" i="5" s="1"/>
  <c r="D25" i="5"/>
  <c r="D24" i="5"/>
  <c r="C24" i="5"/>
  <c r="C31" i="5"/>
  <c r="F31" i="5" s="1"/>
  <c r="K29" i="5"/>
  <c r="I29" i="5"/>
  <c r="F29" i="5"/>
  <c r="H29" i="5"/>
  <c r="I27" i="5"/>
  <c r="F27" i="5"/>
  <c r="K27" i="5"/>
  <c r="H27" i="5"/>
  <c r="H28" i="5"/>
  <c r="I28" i="5"/>
  <c r="L31" i="5"/>
  <c r="G31" i="5"/>
  <c r="D2" i="5"/>
  <c r="B2" i="5"/>
  <c r="C2" i="5"/>
  <c r="W3" i="2"/>
  <c r="K27" i="6" l="1"/>
  <c r="K31" i="6"/>
  <c r="K25" i="6"/>
  <c r="I23" i="6"/>
  <c r="I25" i="6"/>
  <c r="F27" i="6"/>
  <c r="I27" i="6"/>
  <c r="I31" i="6"/>
  <c r="F25" i="6"/>
  <c r="F31" i="6"/>
  <c r="I29" i="6"/>
  <c r="D32" i="6"/>
  <c r="E32" i="6"/>
  <c r="K32" i="6" s="1"/>
  <c r="E10" i="6"/>
  <c r="K10" i="6" s="1"/>
  <c r="E9" i="6"/>
  <c r="K9" i="6" s="1"/>
  <c r="E11" i="6"/>
  <c r="K11" i="6" s="1"/>
  <c r="D9" i="6"/>
  <c r="C2" i="6"/>
  <c r="D8" i="6"/>
  <c r="D10" i="6"/>
  <c r="D2" i="6"/>
  <c r="E8" i="6"/>
  <c r="K8" i="6" s="1"/>
  <c r="E2" i="6"/>
  <c r="D11" i="6"/>
  <c r="E12" i="6"/>
  <c r="K12" i="6" s="1"/>
  <c r="D12" i="6"/>
  <c r="E14" i="6"/>
  <c r="K14" i="6" s="1"/>
  <c r="E13" i="6"/>
  <c r="K13" i="6" s="1"/>
  <c r="D14" i="6"/>
  <c r="D13" i="6"/>
  <c r="E15" i="6"/>
  <c r="K15" i="6" s="1"/>
  <c r="D15" i="6"/>
  <c r="D16" i="6"/>
  <c r="E16" i="6"/>
  <c r="K16" i="6" s="1"/>
  <c r="D17" i="6"/>
  <c r="E17" i="6"/>
  <c r="K17" i="6" s="1"/>
  <c r="E18" i="6"/>
  <c r="K18" i="6" s="1"/>
  <c r="D18" i="6"/>
  <c r="E19" i="6"/>
  <c r="K19" i="6" s="1"/>
  <c r="D20" i="6"/>
  <c r="D19" i="6"/>
  <c r="E20" i="6"/>
  <c r="K20" i="6" s="1"/>
  <c r="E21" i="6"/>
  <c r="K21" i="6" s="1"/>
  <c r="D21" i="6"/>
  <c r="E29" i="6"/>
  <c r="K29" i="6" s="1"/>
  <c r="D28" i="6"/>
  <c r="E22" i="6"/>
  <c r="K22" i="6" s="1"/>
  <c r="E23" i="6"/>
  <c r="K23" i="6" s="1"/>
  <c r="E30" i="6"/>
  <c r="K30" i="6" s="1"/>
  <c r="E26" i="6"/>
  <c r="K26" i="6" s="1"/>
  <c r="E28" i="6"/>
  <c r="K28" i="6" s="1"/>
  <c r="D22" i="6"/>
  <c r="D30" i="6"/>
  <c r="D26" i="6"/>
  <c r="E24" i="6"/>
  <c r="K24" i="6" s="1"/>
  <c r="D24" i="6"/>
  <c r="N23" i="5"/>
  <c r="K28" i="5"/>
  <c r="N31" i="5"/>
  <c r="K31" i="5"/>
  <c r="N11" i="5"/>
  <c r="N28" i="5"/>
  <c r="N30" i="5"/>
  <c r="N22" i="5"/>
  <c r="N15" i="5"/>
  <c r="N29" i="5"/>
  <c r="N16" i="5"/>
  <c r="N14" i="5"/>
  <c r="N27" i="5"/>
  <c r="N17" i="5"/>
  <c r="N21" i="5"/>
  <c r="N13" i="5"/>
  <c r="N10" i="5"/>
  <c r="N26" i="5"/>
  <c r="N20" i="5"/>
  <c r="N8" i="5"/>
  <c r="N12" i="5"/>
  <c r="N32" i="5"/>
  <c r="N24" i="5"/>
  <c r="N19" i="5"/>
  <c r="N9" i="5"/>
  <c r="N18" i="5"/>
  <c r="N25" i="5"/>
  <c r="H31" i="5"/>
  <c r="I31" i="5"/>
  <c r="L26" i="5"/>
  <c r="E27" i="5"/>
  <c r="J27" i="5" s="1"/>
  <c r="E26" i="5"/>
  <c r="J26" i="5" s="1"/>
  <c r="E29" i="5"/>
  <c r="J29" i="5" s="1"/>
  <c r="L29" i="5"/>
  <c r="G29" i="5"/>
  <c r="L24" i="5"/>
  <c r="E30" i="5"/>
  <c r="J30" i="5" s="1"/>
  <c r="E25" i="5"/>
  <c r="J25" i="5" s="1"/>
  <c r="E11" i="5"/>
  <c r="J11" i="5" s="1"/>
  <c r="G26" i="5"/>
  <c r="E23" i="5"/>
  <c r="J23" i="5" s="1"/>
  <c r="G24" i="5"/>
  <c r="E14" i="5"/>
  <c r="J14" i="5" s="1"/>
  <c r="E9" i="5"/>
  <c r="J9" i="5" s="1"/>
  <c r="E15" i="5"/>
  <c r="J15" i="5" s="1"/>
  <c r="E24" i="5"/>
  <c r="J24" i="5" s="1"/>
  <c r="E12" i="5"/>
  <c r="J12" i="5" s="1"/>
  <c r="E22" i="5"/>
  <c r="J22" i="5" s="1"/>
  <c r="E13" i="5"/>
  <c r="J13" i="5" s="1"/>
  <c r="E19" i="5"/>
  <c r="J19" i="5" s="1"/>
  <c r="E8" i="5"/>
  <c r="J8" i="5" s="1"/>
  <c r="E20" i="5"/>
  <c r="J20" i="5" s="1"/>
  <c r="E10" i="5"/>
  <c r="J10" i="5" s="1"/>
  <c r="E21" i="5"/>
  <c r="J21" i="5" s="1"/>
  <c r="E32" i="5"/>
  <c r="J32" i="5" s="1"/>
  <c r="E16" i="5"/>
  <c r="J16" i="5" s="1"/>
  <c r="E28" i="5"/>
  <c r="J28" i="5" s="1"/>
  <c r="E17" i="5"/>
  <c r="J17" i="5" s="1"/>
  <c r="E18" i="5"/>
  <c r="J18" i="5" s="1"/>
  <c r="H23" i="5"/>
  <c r="G23" i="5"/>
  <c r="H25" i="5"/>
  <c r="I25" i="5"/>
  <c r="F25" i="5"/>
  <c r="L25" i="5"/>
  <c r="G25" i="5"/>
  <c r="L23" i="5"/>
  <c r="F23" i="5"/>
  <c r="K23" i="5"/>
  <c r="G9" i="5"/>
  <c r="L9" i="5"/>
  <c r="K13" i="5"/>
  <c r="H13" i="5"/>
  <c r="F13" i="5"/>
  <c r="I13" i="5"/>
  <c r="I21" i="5"/>
  <c r="H21" i="5"/>
  <c r="K21" i="5"/>
  <c r="F21" i="5"/>
  <c r="L12" i="5"/>
  <c r="G12" i="5"/>
  <c r="G8" i="5"/>
  <c r="D6" i="5"/>
  <c r="L8" i="5"/>
  <c r="L15" i="5"/>
  <c r="G15" i="5"/>
  <c r="F17" i="5"/>
  <c r="K17" i="5"/>
  <c r="H17" i="5"/>
  <c r="I17" i="5"/>
  <c r="K12" i="5"/>
  <c r="H12" i="5"/>
  <c r="I12" i="5"/>
  <c r="F12" i="5"/>
  <c r="K32" i="5"/>
  <c r="H32" i="5"/>
  <c r="I32" i="5"/>
  <c r="F32" i="5"/>
  <c r="L18" i="5"/>
  <c r="G18" i="5"/>
  <c r="L13" i="5"/>
  <c r="G13" i="5"/>
  <c r="L32" i="5"/>
  <c r="G32" i="5"/>
  <c r="K26" i="5"/>
  <c r="I26" i="5"/>
  <c r="F26" i="5"/>
  <c r="H26" i="5"/>
  <c r="L27" i="5"/>
  <c r="G27" i="5"/>
  <c r="L16" i="5"/>
  <c r="G16" i="5"/>
  <c r="I9" i="5"/>
  <c r="F9" i="5"/>
  <c r="H9" i="5"/>
  <c r="K9" i="5"/>
  <c r="L28" i="5"/>
  <c r="G28" i="5"/>
  <c r="F24" i="5"/>
  <c r="K24" i="5"/>
  <c r="H24" i="5"/>
  <c r="I24" i="5"/>
  <c r="L17" i="5"/>
  <c r="G17" i="5"/>
  <c r="F11" i="5"/>
  <c r="I11" i="5"/>
  <c r="K11" i="5"/>
  <c r="H11" i="5"/>
  <c r="K18" i="5"/>
  <c r="H18" i="5"/>
  <c r="F18" i="5"/>
  <c r="I18" i="5"/>
  <c r="F16" i="5"/>
  <c r="K16" i="5"/>
  <c r="H16" i="5"/>
  <c r="I16" i="5"/>
  <c r="L10" i="5"/>
  <c r="G10" i="5"/>
  <c r="K8" i="5"/>
  <c r="H8" i="5"/>
  <c r="F8" i="5"/>
  <c r="I8" i="5"/>
  <c r="C6" i="5"/>
  <c r="L30" i="5"/>
  <c r="G30" i="5"/>
  <c r="I15" i="5"/>
  <c r="H15" i="5"/>
  <c r="K15" i="5"/>
  <c r="F15" i="5"/>
  <c r="I10" i="5"/>
  <c r="F10" i="5"/>
  <c r="K10" i="5"/>
  <c r="H10" i="5"/>
  <c r="L19" i="5"/>
  <c r="G19" i="5"/>
  <c r="K22" i="5"/>
  <c r="H22" i="5"/>
  <c r="F22" i="5"/>
  <c r="I22" i="5"/>
  <c r="L21" i="5"/>
  <c r="G21" i="5"/>
  <c r="K19" i="5"/>
  <c r="H19" i="5"/>
  <c r="I19" i="5"/>
  <c r="F19" i="5"/>
  <c r="L14" i="5"/>
  <c r="G14" i="5"/>
  <c r="M10" i="5"/>
  <c r="M28" i="5"/>
  <c r="M24" i="5"/>
  <c r="M8" i="5"/>
  <c r="M17" i="5"/>
  <c r="M13" i="5"/>
  <c r="M27" i="5"/>
  <c r="M14" i="5"/>
  <c r="M30" i="5"/>
  <c r="M19" i="5"/>
  <c r="M16" i="5"/>
  <c r="M23" i="5"/>
  <c r="O23" i="5" s="1"/>
  <c r="P23" i="5" s="1"/>
  <c r="M20" i="5"/>
  <c r="M25" i="5"/>
  <c r="M12" i="5"/>
  <c r="M26" i="5"/>
  <c r="M18" i="5"/>
  <c r="M9" i="5"/>
  <c r="M31" i="5"/>
  <c r="O31" i="5" s="1"/>
  <c r="P31" i="5" s="1"/>
  <c r="M32" i="5"/>
  <c r="M22" i="5"/>
  <c r="M29" i="5"/>
  <c r="M15" i="5"/>
  <c r="M11" i="5"/>
  <c r="M21" i="5"/>
  <c r="L20" i="5"/>
  <c r="G20" i="5"/>
  <c r="L22" i="5"/>
  <c r="G22" i="5"/>
  <c r="F30" i="5"/>
  <c r="I30" i="5"/>
  <c r="H30" i="5"/>
  <c r="K30" i="5"/>
  <c r="K20" i="5"/>
  <c r="H20" i="5"/>
  <c r="F20" i="5"/>
  <c r="I20" i="5"/>
  <c r="K14" i="5"/>
  <c r="H14" i="5"/>
  <c r="F14" i="5"/>
  <c r="I14" i="5"/>
  <c r="L11" i="5"/>
  <c r="G11" i="5"/>
  <c r="X15" i="2"/>
  <c r="X11" i="2"/>
  <c r="X14" i="2"/>
  <c r="X20" i="2"/>
  <c r="X7" i="2"/>
  <c r="X16" i="2"/>
  <c r="X8" i="2"/>
  <c r="X6" i="2"/>
  <c r="X5" i="2"/>
  <c r="X10" i="2"/>
  <c r="X13" i="2"/>
  <c r="X19" i="2"/>
  <c r="X18" i="2"/>
  <c r="X21" i="2"/>
  <c r="X22" i="2"/>
  <c r="X12" i="2"/>
  <c r="X9" i="2"/>
  <c r="X17" i="2"/>
  <c r="L27" i="6" l="1"/>
  <c r="J27" i="6"/>
  <c r="L31" i="6"/>
  <c r="J31" i="6"/>
  <c r="L25" i="6"/>
  <c r="J25" i="6"/>
  <c r="F28" i="6"/>
  <c r="J28" i="6" s="1"/>
  <c r="F19" i="6"/>
  <c r="J19" i="6" s="1"/>
  <c r="F14" i="6"/>
  <c r="J14" i="6" s="1"/>
  <c r="F9" i="6"/>
  <c r="F30" i="6"/>
  <c r="F18" i="6"/>
  <c r="F12" i="6"/>
  <c r="F32" i="6"/>
  <c r="F23" i="6"/>
  <c r="J23" i="6" s="1"/>
  <c r="F17" i="6"/>
  <c r="I11" i="6"/>
  <c r="I32" i="6"/>
  <c r="F22" i="6"/>
  <c r="I17" i="6"/>
  <c r="I18" i="6"/>
  <c r="I28" i="6"/>
  <c r="F16" i="6"/>
  <c r="J16" i="6" s="1"/>
  <c r="F8" i="6"/>
  <c r="F29" i="6"/>
  <c r="J29" i="6" s="1"/>
  <c r="I16" i="6"/>
  <c r="F10" i="6"/>
  <c r="I24" i="6"/>
  <c r="I21" i="6"/>
  <c r="I15" i="6"/>
  <c r="I10" i="6"/>
  <c r="F24" i="6"/>
  <c r="F21" i="6"/>
  <c r="F15" i="6"/>
  <c r="I8" i="6"/>
  <c r="I26" i="6"/>
  <c r="F20" i="6"/>
  <c r="I13" i="6"/>
  <c r="I12" i="6"/>
  <c r="I30" i="6"/>
  <c r="I19" i="6"/>
  <c r="I14" i="6"/>
  <c r="I9" i="6"/>
  <c r="F26" i="6"/>
  <c r="I22" i="6"/>
  <c r="I20" i="6"/>
  <c r="F13" i="6"/>
  <c r="J13" i="6" s="1"/>
  <c r="F11" i="6"/>
  <c r="O8" i="5"/>
  <c r="P8" i="5"/>
  <c r="O9" i="5"/>
  <c r="P9" i="5" s="1"/>
  <c r="O27" i="5"/>
  <c r="P27" i="5" s="1"/>
  <c r="O2" i="5"/>
  <c r="O3" i="5" s="1"/>
  <c r="N2" i="5"/>
  <c r="N3" i="5" s="1"/>
  <c r="O18" i="5"/>
  <c r="P18" i="5" s="1"/>
  <c r="O17" i="5"/>
  <c r="P17" i="5" s="1"/>
  <c r="O19" i="5"/>
  <c r="P19" i="5" s="1"/>
  <c r="O14" i="5"/>
  <c r="P14" i="5" s="1"/>
  <c r="O24" i="5"/>
  <c r="P24" i="5" s="1"/>
  <c r="O16" i="5"/>
  <c r="P16" i="5" s="1"/>
  <c r="O32" i="5"/>
  <c r="P32" i="5" s="1"/>
  <c r="O29" i="5"/>
  <c r="P29" i="5" s="1"/>
  <c r="O12" i="5"/>
  <c r="P12" i="5" s="1"/>
  <c r="O15" i="5"/>
  <c r="P15" i="5" s="1"/>
  <c r="O22" i="5"/>
  <c r="P22" i="5" s="1"/>
  <c r="O20" i="5"/>
  <c r="P20" i="5" s="1"/>
  <c r="O30" i="5"/>
  <c r="P30" i="5" s="1"/>
  <c r="O26" i="5"/>
  <c r="P26" i="5" s="1"/>
  <c r="O10" i="5"/>
  <c r="P10" i="5" s="1"/>
  <c r="O28" i="5"/>
  <c r="P28" i="5" s="1"/>
  <c r="O13" i="5"/>
  <c r="P13" i="5" s="1"/>
  <c r="O11" i="5"/>
  <c r="P11" i="5" s="1"/>
  <c r="O25" i="5"/>
  <c r="P25" i="5" s="1"/>
  <c r="O21" i="5"/>
  <c r="P21" i="5" s="1"/>
  <c r="G6" i="5" a="1"/>
  <c r="G6" i="5" s="1"/>
  <c r="F6" i="5" a="1"/>
  <c r="F6" i="5" s="1"/>
  <c r="Y19" i="2"/>
  <c r="Y13" i="2"/>
  <c r="Y10" i="2"/>
  <c r="Y5" i="2"/>
  <c r="Y6" i="2"/>
  <c r="Y8" i="2"/>
  <c r="Y17" i="2"/>
  <c r="Y16" i="2"/>
  <c r="Y9" i="2"/>
  <c r="Y7" i="2"/>
  <c r="Y12" i="2"/>
  <c r="Y20" i="2"/>
  <c r="Y22" i="2"/>
  <c r="Y14" i="2"/>
  <c r="Y21" i="2"/>
  <c r="Y11" i="2"/>
  <c r="Y18" i="2"/>
  <c r="Y15" i="2"/>
  <c r="L28" i="6" l="1"/>
  <c r="L29" i="6"/>
  <c r="L23" i="6"/>
  <c r="L32" i="6"/>
  <c r="J32" i="6"/>
  <c r="L13" i="6"/>
  <c r="L19" i="6"/>
  <c r="L18" i="6"/>
  <c r="J18" i="6"/>
  <c r="L30" i="6"/>
  <c r="J30" i="6"/>
  <c r="L15" i="6"/>
  <c r="J15" i="6"/>
  <c r="L17" i="6"/>
  <c r="J17" i="6"/>
  <c r="L11" i="6"/>
  <c r="J11" i="6"/>
  <c r="L12" i="6"/>
  <c r="J12" i="6"/>
  <c r="L21" i="6"/>
  <c r="J21" i="6"/>
  <c r="L8" i="6"/>
  <c r="J8" i="6"/>
  <c r="L9" i="6"/>
  <c r="J9" i="6"/>
  <c r="L20" i="6"/>
  <c r="J20" i="6"/>
  <c r="L10" i="6"/>
  <c r="J10" i="6"/>
  <c r="L24" i="6"/>
  <c r="J24" i="6"/>
  <c r="L26" i="6"/>
  <c r="J26" i="6"/>
  <c r="L16" i="6"/>
  <c r="L22" i="6"/>
  <c r="J22" i="6"/>
  <c r="L14" i="6"/>
  <c r="L2" i="6"/>
  <c r="L3" i="6" s="1"/>
  <c r="M2" i="6"/>
  <c r="M3" i="6" s="1"/>
  <c r="Q14" i="5"/>
  <c r="Q10" i="5"/>
  <c r="Q19" i="5"/>
  <c r="Q28" i="5"/>
  <c r="Q27" i="5"/>
  <c r="Q17" i="5"/>
  <c r="Q22" i="5"/>
  <c r="Q12" i="5"/>
  <c r="Q9" i="5"/>
  <c r="Q18" i="5"/>
  <c r="Q21" i="5"/>
  <c r="Q29" i="5"/>
  <c r="Q8" i="5"/>
  <c r="Q26" i="5"/>
  <c r="Q20" i="5"/>
  <c r="Q25" i="5"/>
  <c r="Q32" i="5"/>
  <c r="Q30" i="5"/>
  <c r="Q15" i="5"/>
  <c r="Q11" i="5"/>
  <c r="Q16" i="5"/>
  <c r="Q31" i="5"/>
  <c r="Q13" i="5"/>
  <c r="Q24" i="5"/>
  <c r="Q23" i="5"/>
  <c r="Z18" i="2"/>
  <c r="AA18" i="2" s="1"/>
  <c r="Z20" i="2"/>
  <c r="AA20" i="2" s="1"/>
  <c r="Z12" i="2"/>
  <c r="AA12" i="2" s="1"/>
  <c r="Z7" i="2"/>
  <c r="AA7" i="2" s="1"/>
  <c r="Z9" i="2"/>
  <c r="AA9" i="2" s="1"/>
  <c r="Z16" i="2"/>
  <c r="AA16" i="2" s="1"/>
  <c r="Z17" i="2"/>
  <c r="AA17" i="2" s="1"/>
  <c r="Z15" i="2"/>
  <c r="AA15" i="2" s="1"/>
  <c r="Z8" i="2"/>
  <c r="AA8" i="2" s="1"/>
  <c r="Z6" i="2"/>
  <c r="AA6" i="2" s="1"/>
  <c r="Z11" i="2"/>
  <c r="AA11" i="2" s="1"/>
  <c r="Z5" i="2"/>
  <c r="AA5" i="2" s="1"/>
  <c r="Z21" i="2"/>
  <c r="AA21" i="2" s="1"/>
  <c r="Z10" i="2"/>
  <c r="AA10" i="2" s="1"/>
  <c r="Z14" i="2"/>
  <c r="AA14" i="2" s="1"/>
  <c r="Z13" i="2"/>
  <c r="AA13" i="2" s="1"/>
  <c r="Z22" i="2"/>
  <c r="AA22" i="2" s="1"/>
  <c r="Z19" i="2"/>
  <c r="AA19" i="2" s="1"/>
  <c r="M15" i="6" l="1"/>
  <c r="M8" i="6"/>
  <c r="M12" i="6"/>
  <c r="M25" i="6"/>
  <c r="M13" i="6"/>
  <c r="M9" i="6"/>
  <c r="M19" i="6"/>
  <c r="M17" i="6"/>
  <c r="M14" i="6"/>
  <c r="M24" i="6"/>
  <c r="M11" i="6"/>
  <c r="M16" i="6"/>
  <c r="M31" i="6"/>
  <c r="M28" i="6"/>
  <c r="M29" i="6"/>
  <c r="M20" i="6"/>
  <c r="M18" i="6"/>
  <c r="M30" i="6"/>
  <c r="M22" i="6"/>
  <c r="M10" i="6"/>
  <c r="M32" i="6"/>
  <c r="M26" i="6"/>
  <c r="M23" i="6"/>
  <c r="M27" i="6"/>
  <c r="M21" i="6"/>
  <c r="AB19" i="2"/>
  <c r="AB10" i="2"/>
  <c r="Z3" i="2"/>
  <c r="Z2" i="2"/>
  <c r="AB5" i="2"/>
  <c r="AB11" i="2"/>
  <c r="AB6" i="2"/>
  <c r="AB21" i="2"/>
  <c r="AB18" i="2"/>
  <c r="AB8" i="2"/>
  <c r="AB15" i="2"/>
  <c r="AB17" i="2"/>
  <c r="AB22" i="2"/>
  <c r="AB16" i="2"/>
  <c r="AB13" i="2"/>
  <c r="AB9" i="2"/>
  <c r="AB14" i="2"/>
  <c r="AB7" i="2"/>
  <c r="AB12" i="2"/>
  <c r="AB20" i="2"/>
  <c r="AC9" i="2" l="1"/>
  <c r="AD9" i="2" s="1"/>
  <c r="AC13" i="2"/>
  <c r="AD13" i="2" s="1"/>
  <c r="AC10" i="2"/>
  <c r="AD10" i="2" s="1"/>
  <c r="AC16" i="2"/>
  <c r="AD16" i="2" s="1"/>
  <c r="AC22" i="2"/>
  <c r="AD22" i="2" s="1"/>
  <c r="AC17" i="2"/>
  <c r="AD17" i="2" s="1"/>
  <c r="AC15" i="2"/>
  <c r="AD15" i="2" s="1"/>
  <c r="AC20" i="2"/>
  <c r="AD20" i="2" s="1"/>
  <c r="AC8" i="2"/>
  <c r="AD8" i="2" s="1"/>
  <c r="AC19" i="2"/>
  <c r="AD19" i="2" s="1"/>
  <c r="AC18" i="2"/>
  <c r="AD18" i="2" s="1"/>
  <c r="AC12" i="2"/>
  <c r="AD12" i="2" s="1"/>
  <c r="AC21" i="2"/>
  <c r="AD21" i="2" s="1"/>
  <c r="AC6" i="2"/>
  <c r="AD6" i="2" s="1"/>
  <c r="AC7" i="2"/>
  <c r="AD7" i="2" s="1"/>
  <c r="AC11" i="2"/>
  <c r="AD11" i="2" s="1"/>
  <c r="AC14" i="2"/>
  <c r="AD14" i="2" s="1"/>
  <c r="AC5" i="2"/>
  <c r="AD5" i="2" s="1"/>
  <c r="AE14" i="2" l="1"/>
  <c r="AE12" i="2"/>
  <c r="AE18" i="2"/>
  <c r="AE19" i="2"/>
  <c r="AE8" i="2"/>
  <c r="AE20" i="2"/>
  <c r="AE15" i="2"/>
  <c r="AE5" i="2"/>
  <c r="AE17" i="2"/>
  <c r="AE22" i="2"/>
  <c r="AE11" i="2"/>
  <c r="AE16" i="2"/>
  <c r="AE7" i="2"/>
  <c r="AE10" i="2"/>
  <c r="AE6" i="2"/>
  <c r="AE13" i="2"/>
  <c r="AE21" i="2"/>
  <c r="AE9" i="2"/>
  <c r="C12" i="2" l="1"/>
  <c r="C21" i="2"/>
  <c r="C13" i="2"/>
  <c r="C6" i="2"/>
  <c r="C16" i="2"/>
  <c r="C15" i="2"/>
  <c r="C9" i="2"/>
  <c r="C11" i="2"/>
  <c r="C17" i="2"/>
  <c r="C22" i="2"/>
  <c r="C20" i="2"/>
  <c r="C5" i="2"/>
  <c r="C7" i="2"/>
  <c r="C19" i="2"/>
  <c r="C18" i="2"/>
  <c r="C8" i="2"/>
  <c r="C14" i="2"/>
  <c r="C10" i="2"/>
  <c r="AF21" i="2" l="1"/>
  <c r="AF20" i="2"/>
  <c r="AF13" i="2"/>
  <c r="AF10" i="2"/>
  <c r="AF11" i="2"/>
  <c r="AF18" i="2"/>
  <c r="AF5" i="2"/>
  <c r="AF7" i="2"/>
  <c r="AF14" i="2"/>
  <c r="AF12" i="2"/>
  <c r="AF8" i="2"/>
  <c r="AF15" i="2"/>
  <c r="AF6" i="2"/>
  <c r="AF22" i="2"/>
  <c r="AF17" i="2"/>
  <c r="AF16" i="2"/>
  <c r="AF19" i="2"/>
  <c r="AF9" i="2"/>
  <c r="CU988" i="2" l="1"/>
  <c r="CP988" i="2" l="1"/>
  <c r="CT988" i="2"/>
  <c r="CR988" i="2"/>
  <c r="CQ988" i="2"/>
  <c r="CS988" i="2"/>
  <c r="CU987" i="2" l="1"/>
  <c r="CR987" i="2" l="1"/>
  <c r="CS987" i="2"/>
  <c r="CP987" i="2"/>
  <c r="CQ987" i="2"/>
  <c r="CT987" i="2"/>
  <c r="CR989" i="2" l="1"/>
  <c r="CT989" i="2"/>
  <c r="CP989" i="2" l="1"/>
  <c r="CQ989" i="2"/>
  <c r="CS989" i="2"/>
  <c r="CU989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<sst xmlns="http://schemas.openxmlformats.org/spreadsheetml/2006/main" count="237" uniqueCount="109">
  <si>
    <t>MIN</t>
  </si>
  <si>
    <r>
      <rPr>
        <b/>
        <vertAlign val="superscript"/>
        <sz val="14"/>
        <rFont val="Arial"/>
        <family val="2"/>
      </rPr>
      <t>Z</t>
    </r>
    <r>
      <rPr>
        <b/>
        <sz val="10"/>
        <color rgb="FF0000FF"/>
        <rFont val="Arial"/>
        <family val="2"/>
      </rPr>
      <t>S</t>
    </r>
  </si>
  <si>
    <t>CO</t>
  </si>
  <si>
    <t>RE</t>
  </si>
  <si>
    <t>a1</t>
  </si>
  <si>
    <t>u2</t>
  </si>
  <si>
    <t>u3</t>
  </si>
  <si>
    <t>b1</t>
  </si>
  <si>
    <t>Modelled Fixo</t>
  </si>
  <si>
    <t>b3</t>
  </si>
  <si>
    <t>b32</t>
  </si>
  <si>
    <t>b4</t>
  </si>
  <si>
    <t>b5</t>
  </si>
  <si>
    <t>b6</t>
  </si>
  <si>
    <t>b8</t>
  </si>
  <si>
    <t>b9</t>
  </si>
  <si>
    <t>b10</t>
  </si>
  <si>
    <t>b11</t>
  </si>
  <si>
    <t>b12</t>
  </si>
  <si>
    <t>b13</t>
  </si>
  <si>
    <t>target</t>
  </si>
  <si>
    <t>Red</t>
  </si>
  <si>
    <t>Blue</t>
  </si>
  <si>
    <t>b17</t>
  </si>
  <si>
    <t>b18</t>
  </si>
  <si>
    <t>IN</t>
  </si>
  <si>
    <t>w.1</t>
  </si>
  <si>
    <t>SEM</t>
  </si>
  <si>
    <t>SEO</t>
  </si>
  <si>
    <t>Obj</t>
  </si>
  <si>
    <t>T0</t>
  </si>
  <si>
    <t>T1</t>
  </si>
  <si>
    <t>t2</t>
  </si>
  <si>
    <t>+</t>
  </si>
  <si>
    <t>-</t>
  </si>
  <si>
    <t>n</t>
  </si>
  <si>
    <t>P</t>
  </si>
  <si>
    <t>b66</t>
  </si>
  <si>
    <t>b77</t>
  </si>
  <si>
    <t>b88</t>
  </si>
  <si>
    <t>b14</t>
  </si>
  <si>
    <t>data</t>
  </si>
  <si>
    <t xml:space="preserve">Inputs </t>
  </si>
  <si>
    <t>Shape</t>
  </si>
  <si>
    <t xml:space="preserve"> =IF([@a1]=1,NORM.DIST([@b8],AVERAGE([b8]),STDEV.P([b8]),FALSE))</t>
  </si>
  <si>
    <t xml:space="preserve"> =IF([@a1]=1,NORM.DIST([@b9],AVERAGE([b9]),STDEV.P([b9]),FALSE))</t>
  </si>
  <si>
    <t xml:space="preserve"> =IF([@a1]=1,NORM.DIST([@b10],AVERAGE([b10]),STDEV.P([b10]),FALSE))</t>
  </si>
  <si>
    <t>.</t>
  </si>
  <si>
    <t>φ1</t>
  </si>
  <si>
    <t>φ2</t>
  </si>
  <si>
    <t>w.0</t>
  </si>
  <si>
    <t>Size</t>
  </si>
  <si>
    <t>Inputs n.</t>
  </si>
  <si>
    <t>m</t>
  </si>
  <si>
    <t>s</t>
  </si>
  <si>
    <t>Average</t>
  </si>
  <si>
    <t>Stdv</t>
  </si>
  <si>
    <t>RMG</t>
  </si>
  <si>
    <t>a</t>
  </si>
  <si>
    <r>
      <t>q</t>
    </r>
    <r>
      <rPr>
        <vertAlign val="subscript"/>
        <sz val="14"/>
        <rFont val="Symbol"/>
        <family val="1"/>
        <charset val="2"/>
      </rPr>
      <t>a</t>
    </r>
  </si>
  <si>
    <t>Inputs y.</t>
  </si>
  <si>
    <t>Area Under Normal Curve</t>
  </si>
  <si>
    <t>Quantiles</t>
  </si>
  <si>
    <t xml:space="preserve">  X &lt;</t>
  </si>
  <si>
    <t>Normal Distribution</t>
  </si>
  <si>
    <t xml:space="preserve"> &lt; X &lt;</t>
  </si>
  <si>
    <t xml:space="preserve"> &lt; X </t>
  </si>
  <si>
    <t>Pr</t>
  </si>
  <si>
    <t xml:space="preserve"> =NORMSINV</t>
  </si>
  <si>
    <t>Za</t>
  </si>
  <si>
    <t>Zb</t>
  </si>
  <si>
    <t>Xa</t>
  </si>
  <si>
    <t>Xb</t>
  </si>
  <si>
    <t>PrA</t>
  </si>
  <si>
    <t>SrC</t>
  </si>
  <si>
    <t>PrC</t>
  </si>
  <si>
    <t>SrA</t>
  </si>
  <si>
    <t>SrB</t>
  </si>
  <si>
    <t>A</t>
  </si>
  <si>
    <t>B</t>
  </si>
  <si>
    <t>Ya</t>
  </si>
  <si>
    <t>Yb</t>
  </si>
  <si>
    <t>Area</t>
  </si>
  <si>
    <t>Xc</t>
  </si>
  <si>
    <t>PrC2</t>
  </si>
  <si>
    <t>PrB_C</t>
  </si>
  <si>
    <t>C</t>
  </si>
  <si>
    <t>CL</t>
  </si>
  <si>
    <t>E</t>
  </si>
  <si>
    <t>E2</t>
  </si>
  <si>
    <t>F(x)</t>
  </si>
  <si>
    <t xml:space="preserve">  Inverse</t>
  </si>
  <si>
    <t xml:space="preserve">                     Cumulative </t>
  </si>
  <si>
    <t>P_N</t>
  </si>
  <si>
    <t>PA</t>
  </si>
  <si>
    <t>PB</t>
  </si>
  <si>
    <t>SA</t>
  </si>
  <si>
    <t>SB</t>
  </si>
  <si>
    <t>DIF</t>
  </si>
  <si>
    <t>Zc</t>
  </si>
  <si>
    <t>W</t>
  </si>
  <si>
    <t>W(%)</t>
  </si>
  <si>
    <t>Pc</t>
  </si>
  <si>
    <t>M1</t>
  </si>
  <si>
    <t>W%</t>
  </si>
  <si>
    <t>CDFa</t>
  </si>
  <si>
    <t>CDFb</t>
  </si>
  <si>
    <t>PDFb</t>
  </si>
  <si>
    <t>PDFa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</si>
</sst>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.0"/>
    <numFmt numFmtId="166" formatCode="0.0%"/>
    <numFmt numFmtId="167" formatCode="0.00000"/>
  </numFmts>
  <fonts count="9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0"/>
      <name val="Arial"/>
      <family val="2"/>
    </font>
    <font>
      <sz val="5"/>
      <color rgb="FF0000FF"/>
      <name val="Arial"/>
      <family val="2"/>
    </font>
    <font>
      <sz val="12"/>
      <color rgb="FF0000FF"/>
      <name val="Calibri Light"/>
      <family val="2"/>
      <scheme val="major"/>
    </font>
    <font>
      <b/>
      <sz val="10"/>
      <color theme="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5"/>
      <color rgb="FF0000FF"/>
      <name val="Arial"/>
      <family val="2"/>
    </font>
    <font>
      <b/>
      <sz val="5"/>
      <color rgb="FFFFFF00"/>
      <name val="Arial"/>
      <family val="2"/>
    </font>
    <font>
      <b/>
      <sz val="12"/>
      <color rgb="FFFFFF00"/>
      <name val="Arial"/>
      <family val="2"/>
    </font>
    <font>
      <sz val="11"/>
      <color theme="0"/>
      <name val="Arial"/>
      <family val="2"/>
    </font>
    <font>
      <sz val="11"/>
      <color theme="0"/>
      <name val="Calibri Light"/>
      <family val="2"/>
      <scheme val="major"/>
    </font>
    <font>
      <sz val="8"/>
      <name val="Calibri Light"/>
      <family val="2"/>
      <scheme val="major"/>
    </font>
    <font>
      <sz val="7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rgb="FF0000FF"/>
      <name val="Arial"/>
      <family val="2"/>
    </font>
    <font>
      <sz val="12"/>
      <name val="Calibri Light"/>
      <family val="2"/>
      <scheme val="major"/>
    </font>
    <font>
      <sz val="10"/>
      <color rgb="FFFFFF00"/>
      <name val="Arial"/>
      <family val="2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0"/>
      <color rgb="FFFFFF00"/>
      <name val="Arial"/>
      <family val="2"/>
    </font>
    <font>
      <b/>
      <sz val="10"/>
      <name val="Arial"/>
      <family val="2"/>
    </font>
    <font>
      <b/>
      <vertAlign val="superscript"/>
      <sz val="14"/>
      <name val="Arial"/>
      <family val="2"/>
    </font>
    <font>
      <b/>
      <sz val="10"/>
      <color rgb="FF0000FF"/>
      <name val="Arial"/>
      <family val="2"/>
    </font>
    <font>
      <sz val="8"/>
      <color rgb="FF0000FF"/>
      <name val="Arial"/>
      <family val="2"/>
    </font>
    <font>
      <sz val="8"/>
      <name val="Arial"/>
      <family val="2"/>
    </font>
    <font>
      <sz val="7"/>
      <color theme="1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1"/>
      <color theme="1" tint="4.9989318521683403E-2"/>
      <name val="Calibri Light"/>
      <family val="2"/>
      <scheme val="major"/>
    </font>
    <font>
      <b/>
      <sz val="10"/>
      <color theme="1" tint="4.9989318521683403E-2"/>
      <name val="Calibri Light"/>
      <family val="2"/>
      <scheme val="major"/>
    </font>
    <font>
      <b/>
      <sz val="12"/>
      <name val="Calibri Light"/>
      <family val="2"/>
      <scheme val="major"/>
    </font>
    <font>
      <sz val="11"/>
      <color theme="1" tint="4.9989318521683403E-2"/>
      <name val="Calibri Light"/>
      <family val="2"/>
      <scheme val="major"/>
    </font>
    <font>
      <b/>
      <sz val="12"/>
      <color theme="1" tint="4.9989318521683403E-2"/>
      <name val="Calibri Light"/>
      <family val="2"/>
      <scheme val="major"/>
    </font>
    <font>
      <b/>
      <sz val="11"/>
      <color theme="1" tint="4.9989318521683403E-2"/>
      <name val="Arial"/>
      <family val="2"/>
    </font>
    <font>
      <b/>
      <sz val="14"/>
      <color theme="1" tint="4.9989318521683403E-2"/>
      <name val="Arial"/>
      <family val="2"/>
    </font>
    <font>
      <sz val="20"/>
      <color theme="0"/>
      <name val="Arial"/>
      <family val="2"/>
    </font>
    <font>
      <sz val="11"/>
      <color rgb="FFFF0000"/>
      <name val="Arial"/>
      <family val="2"/>
    </font>
    <font>
      <b/>
      <sz val="7"/>
      <color theme="1" tint="4.9989318521683403E-2"/>
      <name val="Calibri Light"/>
      <family val="2"/>
      <scheme val="major"/>
    </font>
    <font>
      <sz val="9"/>
      <color rgb="FF0000FF"/>
      <name val="Calibri Light"/>
      <family val="2"/>
      <scheme val="major"/>
    </font>
    <font>
      <sz val="10"/>
      <name val="Calibri Light"/>
      <family val="2"/>
      <scheme val="major"/>
    </font>
    <font>
      <sz val="11"/>
      <name val="Calibri Light"/>
      <family val="2"/>
      <scheme val="major"/>
    </font>
    <font>
      <sz val="7"/>
      <name val="Calibri Light"/>
      <family val="2"/>
      <scheme val="major"/>
    </font>
    <font>
      <sz val="11"/>
      <name val="Calibri"/>
      <family val="2"/>
      <scheme val="minor"/>
    </font>
    <font>
      <sz val="9"/>
      <color rgb="FFFF0000"/>
      <name val="Calibri Light"/>
      <family val="2"/>
      <scheme val="major"/>
    </font>
    <font>
      <sz val="6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theme="0"/>
      <name val="Calibri Light"/>
      <family val="2"/>
      <scheme val="major"/>
    </font>
    <font>
      <sz val="10"/>
      <color theme="0"/>
      <name val="Arial"/>
      <family val="2"/>
    </font>
    <font>
      <sz val="12"/>
      <color theme="0"/>
      <name val="Calibri Light"/>
      <family val="2"/>
      <scheme val="maj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Calibri"/>
      <family val="2"/>
      <scheme val="minor"/>
    </font>
    <font>
      <b/>
      <sz val="15"/>
      <color rgb="FFFF0000"/>
      <name val="Arial"/>
      <family val="2"/>
    </font>
    <font>
      <b/>
      <sz val="20"/>
      <color rgb="FFFF0000"/>
      <name val="Arial"/>
      <family val="2"/>
    </font>
    <font>
      <b/>
      <sz val="10"/>
      <name val="Symbol"/>
      <family val="1"/>
      <charset val="2"/>
    </font>
    <font>
      <b/>
      <sz val="10"/>
      <color indexed="12"/>
      <name val="Arial"/>
      <family val="2"/>
    </font>
    <font>
      <b/>
      <sz val="10"/>
      <color rgb="FFFF0000"/>
      <name val="Arial"/>
      <family val="2"/>
    </font>
    <font>
      <b/>
      <sz val="14"/>
      <color theme="1" tint="4.9989318521683403E-2"/>
      <name val="Calibri"/>
      <family val="2"/>
    </font>
    <font>
      <b/>
      <sz val="12"/>
      <color indexed="12"/>
      <name val="Symbol"/>
      <family val="1"/>
      <charset val="2"/>
    </font>
    <font>
      <b/>
      <sz val="12"/>
      <name val="Symbol"/>
      <family val="1"/>
      <charset val="2"/>
    </font>
    <font>
      <sz val="14"/>
      <color theme="1" tint="4.9989318521683403E-2"/>
      <name val="Calibri Light"/>
      <family val="2"/>
      <scheme val="major"/>
    </font>
    <font>
      <sz val="14"/>
      <color rgb="FFFFFF00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Arial"/>
      <family val="2"/>
    </font>
    <font>
      <sz val="14"/>
      <name val="Calibri Light"/>
      <family val="2"/>
      <scheme val="major"/>
    </font>
    <font>
      <sz val="14"/>
      <name val="Symbol"/>
      <family val="1"/>
      <charset val="2"/>
    </font>
    <font>
      <sz val="14"/>
      <name val="Arial"/>
      <family val="2"/>
    </font>
    <font>
      <vertAlign val="subscript"/>
      <sz val="14"/>
      <name val="Symbol"/>
      <family val="1"/>
      <charset val="2"/>
    </font>
    <font>
      <b/>
      <sz val="14"/>
      <name val="Calibri Light"/>
      <family val="2"/>
      <scheme val="major"/>
    </font>
    <font>
      <b/>
      <sz val="14"/>
      <color indexed="12"/>
      <name val="Calibri Light"/>
      <family val="2"/>
      <scheme val="major"/>
    </font>
    <font>
      <sz val="16"/>
      <name val="Arial"/>
      <family val="2"/>
    </font>
    <font>
      <b/>
      <sz val="9"/>
      <name val="Calibri Light"/>
      <family val="2"/>
      <scheme val="major"/>
    </font>
    <font>
      <b/>
      <sz val="15"/>
      <color rgb="FF0000FF"/>
      <name val="Arial"/>
      <family val="2"/>
    </font>
    <font>
      <b/>
      <sz val="20"/>
      <color rgb="FF0000FF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6"/>
      <color theme="0"/>
      <name val="Arial"/>
      <family val="2"/>
    </font>
    <font>
      <sz val="12"/>
      <name val="Symbol"/>
      <family val="1"/>
      <charset val="2"/>
    </font>
    <font>
      <b/>
      <sz val="14"/>
      <color rgb="FF00B050"/>
      <name val="Arial"/>
      <family val="2"/>
    </font>
    <font>
      <b/>
      <sz val="10"/>
      <color rgb="FF00B050"/>
      <name val="Arial"/>
      <family val="2"/>
    </font>
    <font>
      <b/>
      <sz val="14"/>
      <color rgb="FF0000FF"/>
      <name val="Arial"/>
      <family val="2"/>
    </font>
    <font>
      <b/>
      <sz val="20"/>
      <name val="Arial"/>
      <family val="2"/>
    </font>
    <font>
      <sz val="12"/>
      <color theme="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B7FFC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9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rgb="FFFF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9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39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E8D9F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EADCF4"/>
        <bgColor indexed="64"/>
      </patternFill>
    </fill>
    <fill>
      <patternFill patternType="solid">
        <fgColor theme="0" tint="-0.34998626667073579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8EA9DB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2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82">
    <xf numFmtId="0" fontId="0" fillId="0" borderId="0" xfId="0"/>
    <xf numFmtId="0" fontId="5" fillId="2" borderId="0" xfId="2" applyFont="1" applyFill="1" applyAlignment="1">
      <alignment horizontal="center" vertical="center"/>
    </xf>
    <xf numFmtId="1" fontId="6" fillId="3" borderId="0" xfId="2" applyNumberFormat="1" applyFont="1" applyFill="1" applyAlignment="1">
      <alignment horizontal="center" vertical="center"/>
    </xf>
    <xf numFmtId="164" fontId="7" fillId="3" borderId="0" xfId="2" applyNumberFormat="1" applyFont="1" applyFill="1" applyAlignment="1">
      <alignment horizontal="left" vertical="center"/>
    </xf>
    <xf numFmtId="0" fontId="8" fillId="4" borderId="0" xfId="2" applyFont="1" applyFill="1" applyAlignment="1">
      <alignment horizontal="center" vertical="center"/>
    </xf>
    <xf numFmtId="1" fontId="9" fillId="3" borderId="0" xfId="2" applyNumberFormat="1" applyFont="1" applyFill="1" applyAlignment="1">
      <alignment horizontal="left" vertical="center"/>
    </xf>
    <xf numFmtId="0" fontId="8" fillId="5" borderId="0" xfId="2" applyFont="1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1" fontId="11" fillId="3" borderId="0" xfId="2" applyNumberFormat="1" applyFont="1" applyFill="1" applyAlignment="1">
      <alignment horizontal="center" vertical="center"/>
    </xf>
    <xf numFmtId="1" fontId="11" fillId="6" borderId="0" xfId="2" applyNumberFormat="1" applyFont="1" applyFill="1" applyAlignment="1">
      <alignment horizontal="center" vertical="center"/>
    </xf>
    <xf numFmtId="1" fontId="12" fillId="6" borderId="0" xfId="2" applyNumberFormat="1" applyFont="1" applyFill="1" applyAlignment="1">
      <alignment horizontal="center" vertical="center"/>
    </xf>
    <xf numFmtId="164" fontId="13" fillId="6" borderId="0" xfId="2" applyNumberFormat="1" applyFont="1" applyFill="1" applyAlignment="1">
      <alignment horizontal="center" vertical="center"/>
    </xf>
    <xf numFmtId="3" fontId="14" fillId="7" borderId="0" xfId="2" applyNumberFormat="1" applyFont="1" applyFill="1" applyAlignment="1">
      <alignment horizontal="center" vertical="center"/>
    </xf>
    <xf numFmtId="165" fontId="15" fillId="8" borderId="0" xfId="0" applyNumberFormat="1" applyFont="1" applyFill="1" applyAlignment="1">
      <alignment horizontal="center"/>
    </xf>
    <xf numFmtId="2" fontId="16" fillId="9" borderId="0" xfId="0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1" fontId="18" fillId="10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1" fontId="20" fillId="3" borderId="0" xfId="2" applyNumberFormat="1" applyFont="1" applyFill="1" applyAlignment="1">
      <alignment horizontal="center" vertical="center"/>
    </xf>
    <xf numFmtId="164" fontId="21" fillId="10" borderId="0" xfId="2" applyNumberFormat="1" applyFont="1" applyFill="1" applyAlignment="1">
      <alignment horizontal="center" vertical="center"/>
    </xf>
    <xf numFmtId="164" fontId="9" fillId="3" borderId="0" xfId="2" applyNumberFormat="1" applyFont="1" applyFill="1" applyAlignment="1">
      <alignment horizontal="center" vertical="center"/>
    </xf>
    <xf numFmtId="1" fontId="9" fillId="3" borderId="0" xfId="2" applyNumberFormat="1" applyFont="1" applyFill="1" applyAlignment="1">
      <alignment horizontal="center" vertical="center"/>
    </xf>
    <xf numFmtId="164" fontId="22" fillId="6" borderId="0" xfId="2" applyNumberFormat="1" applyFont="1" applyFill="1" applyAlignment="1">
      <alignment horizontal="center" vertical="center"/>
    </xf>
    <xf numFmtId="164" fontId="23" fillId="11" borderId="0" xfId="2" applyNumberFormat="1" applyFont="1" applyFill="1" applyAlignment="1">
      <alignment horizontal="center" vertical="center"/>
    </xf>
    <xf numFmtId="1" fontId="9" fillId="12" borderId="0" xfId="2" applyNumberFormat="1" applyFont="1" applyFill="1" applyAlignment="1">
      <alignment horizontal="center" vertical="center"/>
    </xf>
    <xf numFmtId="0" fontId="0" fillId="13" borderId="0" xfId="0" applyFill="1" applyAlignment="1">
      <alignment horizontal="center"/>
    </xf>
    <xf numFmtId="3" fontId="14" fillId="7" borderId="0" xfId="2" applyNumberFormat="1" applyFont="1" applyFill="1" applyAlignment="1">
      <alignment horizontal="right" vertical="center"/>
    </xf>
    <xf numFmtId="0" fontId="24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5" fillId="3" borderId="0" xfId="2" applyFont="1" applyFill="1" applyAlignment="1">
      <alignment horizontal="center" vertical="center"/>
    </xf>
    <xf numFmtId="0" fontId="0" fillId="0" borderId="0" xfId="0" applyAlignment="1">
      <alignment horizontal="center"/>
    </xf>
    <xf numFmtId="1" fontId="3" fillId="14" borderId="0" xfId="3" applyNumberFormat="1" applyFont="1" applyFill="1" applyAlignment="1">
      <alignment horizontal="center" vertical="center"/>
    </xf>
    <xf numFmtId="1" fontId="27" fillId="15" borderId="0" xfId="3" applyNumberFormat="1" applyFont="1" applyFill="1" applyAlignment="1">
      <alignment horizontal="center" vertical="center"/>
    </xf>
    <xf numFmtId="1" fontId="9" fillId="16" borderId="0" xfId="2" applyNumberFormat="1" applyFont="1" applyFill="1" applyAlignment="1">
      <alignment horizontal="center" vertical="center"/>
    </xf>
    <xf numFmtId="1" fontId="28" fillId="2" borderId="0" xfId="2" applyNumberFormat="1" applyFont="1" applyFill="1" applyAlignment="1">
      <alignment horizontal="center" vertical="center"/>
    </xf>
    <xf numFmtId="164" fontId="29" fillId="17" borderId="1" xfId="2" applyNumberFormat="1" applyFont="1" applyFill="1" applyBorder="1" applyAlignment="1">
      <alignment horizontal="left" vertical="top"/>
    </xf>
    <xf numFmtId="164" fontId="31" fillId="11" borderId="2" xfId="2" applyNumberFormat="1" applyFont="1" applyFill="1" applyBorder="1" applyAlignment="1">
      <alignment horizontal="center" vertical="top"/>
    </xf>
    <xf numFmtId="164" fontId="31" fillId="18" borderId="3" xfId="4" applyNumberFormat="1" applyFont="1" applyFill="1" applyBorder="1" applyAlignment="1">
      <alignment horizontal="center" vertical="top"/>
    </xf>
    <xf numFmtId="1" fontId="32" fillId="6" borderId="0" xfId="2" applyNumberFormat="1" applyFont="1" applyFill="1" applyAlignment="1">
      <alignment horizontal="center" vertical="center"/>
    </xf>
    <xf numFmtId="164" fontId="23" fillId="18" borderId="0" xfId="4" applyNumberFormat="1" applyFont="1" applyFill="1" applyBorder="1" applyAlignment="1">
      <alignment horizontal="center" vertical="center"/>
    </xf>
    <xf numFmtId="164" fontId="33" fillId="10" borderId="0" xfId="4" applyNumberFormat="1" applyFont="1" applyFill="1" applyAlignment="1">
      <alignment horizontal="center" vertical="center"/>
    </xf>
    <xf numFmtId="0" fontId="34" fillId="19" borderId="0" xfId="0" applyFont="1" applyFill="1" applyAlignment="1">
      <alignment horizontal="center" vertical="center"/>
    </xf>
    <xf numFmtId="1" fontId="35" fillId="20" borderId="0" xfId="0" applyNumberFormat="1" applyFont="1" applyFill="1" applyAlignment="1">
      <alignment horizontal="center" vertical="top"/>
    </xf>
    <xf numFmtId="164" fontId="36" fillId="3" borderId="5" xfId="4" applyNumberFormat="1" applyFont="1" applyFill="1" applyBorder="1" applyAlignment="1">
      <alignment horizontal="center" vertical="top"/>
    </xf>
    <xf numFmtId="1" fontId="35" fillId="20" borderId="0" xfId="0" applyNumberFormat="1" applyFont="1" applyFill="1" applyAlignment="1">
      <alignment horizontal="center" vertical="top" wrapText="1"/>
    </xf>
    <xf numFmtId="1" fontId="37" fillId="3" borderId="5" xfId="4" applyNumberFormat="1" applyFont="1" applyFill="1" applyBorder="1" applyAlignment="1">
      <alignment horizontal="center" vertical="top"/>
    </xf>
    <xf numFmtId="1" fontId="37" fillId="3" borderId="0" xfId="4" applyNumberFormat="1" applyFont="1" applyFill="1" applyBorder="1" applyAlignment="1">
      <alignment horizontal="center" vertical="top"/>
    </xf>
    <xf numFmtId="9" fontId="38" fillId="21" borderId="0" xfId="1" applyFont="1" applyFill="1" applyAlignment="1">
      <alignment horizontal="center" vertical="center"/>
    </xf>
    <xf numFmtId="164" fontId="39" fillId="22" borderId="0" xfId="2" applyNumberFormat="1" applyFont="1" applyFill="1" applyAlignment="1">
      <alignment horizontal="center" vertical="top"/>
    </xf>
    <xf numFmtId="164" fontId="39" fillId="22" borderId="0" xfId="4" applyNumberFormat="1" applyFont="1" applyFill="1" applyBorder="1" applyAlignment="1">
      <alignment horizontal="center" vertical="top"/>
    </xf>
    <xf numFmtId="164" fontId="39" fillId="10" borderId="0" xfId="2" applyNumberFormat="1" applyFont="1" applyFill="1" applyAlignment="1">
      <alignment horizontal="center" vertical="center"/>
    </xf>
    <xf numFmtId="164" fontId="39" fillId="10" borderId="0" xfId="4" applyNumberFormat="1" applyFont="1" applyFill="1" applyBorder="1" applyAlignment="1">
      <alignment horizontal="center" vertical="center"/>
    </xf>
    <xf numFmtId="1" fontId="40" fillId="17" borderId="0" xfId="2" applyNumberFormat="1" applyFont="1" applyFill="1" applyAlignment="1">
      <alignment horizontal="center" vertical="top" wrapText="1"/>
    </xf>
    <xf numFmtId="1" fontId="40" fillId="11" borderId="0" xfId="2" applyNumberFormat="1" applyFont="1" applyFill="1" applyAlignment="1">
      <alignment horizontal="center" vertical="top"/>
    </xf>
    <xf numFmtId="1" fontId="40" fillId="23" borderId="0" xfId="4" applyNumberFormat="1" applyFont="1" applyFill="1" applyBorder="1" applyAlignment="1">
      <alignment horizontal="center" vertical="top"/>
    </xf>
    <xf numFmtId="1" fontId="39" fillId="10" borderId="0" xfId="2" applyNumberFormat="1" applyFont="1" applyFill="1" applyAlignment="1">
      <alignment horizontal="center" vertical="center"/>
    </xf>
    <xf numFmtId="3" fontId="43" fillId="7" borderId="0" xfId="2" applyNumberFormat="1" applyFont="1" applyFill="1" applyAlignment="1">
      <alignment horizontal="center" vertical="center"/>
    </xf>
    <xf numFmtId="3" fontId="44" fillId="7" borderId="0" xfId="2" applyNumberFormat="1" applyFont="1" applyFill="1" applyAlignment="1">
      <alignment horizontal="center" vertical="center"/>
    </xf>
    <xf numFmtId="9" fontId="42" fillId="25" borderId="6" xfId="1" applyFont="1" applyFill="1" applyBorder="1" applyAlignment="1">
      <alignment horizontal="center" vertical="center"/>
    </xf>
    <xf numFmtId="9" fontId="45" fillId="10" borderId="0" xfId="1" applyFont="1" applyFill="1" applyBorder="1" applyAlignment="1">
      <alignment horizontal="center" vertical="top"/>
    </xf>
    <xf numFmtId="0" fontId="16" fillId="3" borderId="0" xfId="2" applyFont="1" applyFill="1" applyAlignment="1">
      <alignment horizontal="center" vertical="center"/>
    </xf>
    <xf numFmtId="1" fontId="33" fillId="17" borderId="0" xfId="1" applyNumberFormat="1" applyFont="1" applyFill="1" applyBorder="1" applyAlignment="1">
      <alignment horizontal="center" vertical="center"/>
    </xf>
    <xf numFmtId="2" fontId="23" fillId="10" borderId="0" xfId="4" applyNumberFormat="1" applyFont="1" applyFill="1" applyBorder="1" applyAlignment="1">
      <alignment horizontal="center" vertical="center"/>
    </xf>
    <xf numFmtId="2" fontId="23" fillId="3" borderId="4" xfId="4" applyNumberFormat="1" applyFont="1" applyFill="1" applyBorder="1" applyAlignment="1">
      <alignment horizontal="center" vertical="center"/>
    </xf>
    <xf numFmtId="1" fontId="23" fillId="3" borderId="0" xfId="4" applyNumberFormat="1" applyFont="1" applyFill="1" applyBorder="1" applyAlignment="1">
      <alignment horizontal="center" vertical="center"/>
    </xf>
    <xf numFmtId="2" fontId="16" fillId="3" borderId="0" xfId="2" applyNumberFormat="1" applyFont="1" applyFill="1" applyAlignment="1">
      <alignment horizontal="center" vertical="center"/>
    </xf>
    <xf numFmtId="2" fontId="46" fillId="26" borderId="0" xfId="4" applyNumberFormat="1" applyFont="1" applyFill="1" applyBorder="1" applyAlignment="1">
      <alignment horizontal="center" vertical="center"/>
    </xf>
    <xf numFmtId="2" fontId="47" fillId="3" borderId="0" xfId="2" applyNumberFormat="1" applyFont="1" applyFill="1" applyAlignment="1">
      <alignment horizontal="center" vertical="center"/>
    </xf>
    <xf numFmtId="1" fontId="23" fillId="22" borderId="0" xfId="1" applyNumberFormat="1" applyFont="1" applyFill="1" applyBorder="1" applyAlignment="1">
      <alignment horizontal="center" vertical="center"/>
    </xf>
    <xf numFmtId="9" fontId="23" fillId="10" borderId="0" xfId="1" applyFont="1" applyFill="1" applyBorder="1" applyAlignment="1">
      <alignment horizontal="center" vertical="center"/>
    </xf>
    <xf numFmtId="2" fontId="23" fillId="26" borderId="0" xfId="4" applyNumberFormat="1" applyFont="1" applyFill="1" applyBorder="1" applyAlignment="1">
      <alignment horizontal="center" vertical="center"/>
    </xf>
    <xf numFmtId="2" fontId="23" fillId="10" borderId="0" xfId="1" applyNumberFormat="1" applyFont="1" applyFill="1" applyBorder="1" applyAlignment="1">
      <alignment horizontal="center" vertical="center"/>
    </xf>
    <xf numFmtId="1" fontId="9" fillId="10" borderId="0" xfId="4" applyNumberFormat="1" applyFont="1" applyFill="1" applyAlignment="1">
      <alignment horizontal="center" vertical="center"/>
    </xf>
    <xf numFmtId="9" fontId="46" fillId="24" borderId="0" xfId="1" applyFont="1" applyFill="1" applyAlignment="1">
      <alignment horizontal="center" vertical="center"/>
    </xf>
    <xf numFmtId="164" fontId="23" fillId="27" borderId="0" xfId="1" applyNumberFormat="1" applyFont="1" applyFill="1" applyBorder="1"/>
    <xf numFmtId="9" fontId="48" fillId="28" borderId="0" xfId="1" applyFont="1" applyFill="1" applyBorder="1" applyAlignment="1">
      <alignment horizontal="center" vertical="center"/>
    </xf>
    <xf numFmtId="9" fontId="48" fillId="25" borderId="0" xfId="1" applyFont="1" applyFill="1" applyBorder="1" applyAlignment="1">
      <alignment horizontal="center" vertical="center"/>
    </xf>
    <xf numFmtId="1" fontId="23" fillId="10" borderId="0" xfId="1" applyNumberFormat="1" applyFont="1" applyFill="1" applyAlignment="1">
      <alignment horizontal="center" vertical="center"/>
    </xf>
    <xf numFmtId="0" fontId="34" fillId="19" borderId="0" xfId="0" applyFont="1" applyFill="1"/>
    <xf numFmtId="1" fontId="49" fillId="10" borderId="0" xfId="4" applyNumberFormat="1" applyFont="1" applyFill="1" applyBorder="1" applyAlignment="1">
      <alignment horizontal="center" vertical="center"/>
    </xf>
    <xf numFmtId="0" fontId="50" fillId="0" borderId="0" xfId="0" applyFont="1"/>
    <xf numFmtId="9" fontId="14" fillId="7" borderId="0" xfId="1" applyFont="1" applyFill="1" applyAlignment="1">
      <alignment horizontal="center" vertical="center"/>
    </xf>
    <xf numFmtId="164" fontId="46" fillId="10" borderId="0" xfId="4" applyNumberFormat="1" applyFont="1" applyFill="1" applyBorder="1" applyAlignment="1">
      <alignment horizontal="center" vertical="center"/>
    </xf>
    <xf numFmtId="9" fontId="51" fillId="29" borderId="0" xfId="1" applyFont="1" applyFill="1" applyBorder="1" applyAlignment="1">
      <alignment horizontal="center" vertical="center"/>
    </xf>
    <xf numFmtId="166" fontId="52" fillId="30" borderId="0" xfId="1" applyNumberFormat="1" applyFont="1" applyFill="1" applyBorder="1" applyAlignment="1">
      <alignment horizontal="center" vertical="center"/>
    </xf>
    <xf numFmtId="164" fontId="52" fillId="17" borderId="0" xfId="1" applyNumberFormat="1" applyFont="1" applyFill="1" applyBorder="1" applyAlignment="1">
      <alignment horizontal="center" vertical="center"/>
    </xf>
    <xf numFmtId="1" fontId="33" fillId="31" borderId="0" xfId="1" applyNumberFormat="1" applyFont="1" applyFill="1" applyBorder="1" applyAlignment="1">
      <alignment horizontal="center" vertical="center"/>
    </xf>
    <xf numFmtId="1" fontId="47" fillId="32" borderId="0" xfId="0" applyNumberFormat="1" applyFont="1" applyFill="1" applyAlignment="1">
      <alignment horizontal="center"/>
    </xf>
    <xf numFmtId="1" fontId="23" fillId="33" borderId="0" xfId="2" applyNumberFormat="1" applyFont="1" applyFill="1" applyAlignment="1">
      <alignment horizontal="center" vertical="center"/>
    </xf>
    <xf numFmtId="164" fontId="51" fillId="10" borderId="0" xfId="4" applyNumberFormat="1" applyFont="1" applyFill="1" applyBorder="1" applyAlignment="1">
      <alignment horizontal="center" vertical="center"/>
    </xf>
    <xf numFmtId="164" fontId="23" fillId="10" borderId="0" xfId="4" applyNumberFormat="1" applyFont="1" applyFill="1" applyBorder="1" applyAlignment="1">
      <alignment horizontal="center" vertical="center"/>
    </xf>
    <xf numFmtId="1" fontId="23" fillId="10" borderId="0" xfId="4" applyNumberFormat="1" applyFont="1" applyFill="1" applyBorder="1" applyAlignment="1">
      <alignment horizontal="center" vertical="center"/>
    </xf>
    <xf numFmtId="1" fontId="23" fillId="10" borderId="0" xfId="4" applyNumberFormat="1" applyFont="1" applyFill="1" applyAlignment="1">
      <alignment horizontal="center" vertical="center"/>
    </xf>
    <xf numFmtId="164" fontId="23" fillId="10" borderId="0" xfId="4" applyNumberFormat="1" applyFont="1" applyFill="1" applyAlignment="1">
      <alignment horizontal="center" vertical="center"/>
    </xf>
    <xf numFmtId="1" fontId="51" fillId="10" borderId="7" xfId="4" applyNumberFormat="1" applyFont="1" applyFill="1" applyBorder="1" applyAlignment="1">
      <alignment horizontal="center" vertical="center"/>
    </xf>
    <xf numFmtId="1" fontId="46" fillId="10" borderId="0" xfId="4" applyNumberFormat="1" applyFont="1" applyFill="1" applyBorder="1" applyAlignment="1">
      <alignment horizontal="center" vertical="center"/>
    </xf>
    <xf numFmtId="1" fontId="51" fillId="10" borderId="0" xfId="4" applyNumberFormat="1" applyFont="1" applyFill="1" applyBorder="1" applyAlignment="1">
      <alignment horizontal="center" vertical="center"/>
    </xf>
    <xf numFmtId="1" fontId="23" fillId="10" borderId="8" xfId="4" applyNumberFormat="1" applyFont="1" applyFill="1" applyBorder="1" applyAlignment="1">
      <alignment horizontal="center" vertical="center"/>
    </xf>
    <xf numFmtId="164" fontId="9" fillId="10" borderId="0" xfId="4" applyNumberFormat="1" applyFont="1" applyFill="1" applyBorder="1" applyAlignment="1">
      <alignment horizontal="center" vertical="center"/>
    </xf>
    <xf numFmtId="1" fontId="18" fillId="0" borderId="0" xfId="0" applyNumberFormat="1" applyFont="1" applyAlignment="1">
      <alignment horizontal="center"/>
    </xf>
    <xf numFmtId="1" fontId="18" fillId="0" borderId="0" xfId="0" applyNumberFormat="1" applyFont="1"/>
    <xf numFmtId="1" fontId="53" fillId="9" borderId="0" xfId="1" applyNumberFormat="1" applyFont="1" applyFill="1" applyBorder="1" applyAlignment="1">
      <alignment horizontal="center" vertical="center"/>
    </xf>
    <xf numFmtId="1" fontId="53" fillId="34" borderId="0" xfId="0" applyNumberFormat="1" applyFont="1" applyFill="1" applyAlignment="1">
      <alignment horizontal="center" vertical="center"/>
    </xf>
    <xf numFmtId="1" fontId="54" fillId="4" borderId="0" xfId="1" applyNumberFormat="1" applyFont="1" applyFill="1" applyBorder="1" applyAlignment="1">
      <alignment horizontal="center" vertical="center"/>
    </xf>
    <xf numFmtId="1" fontId="55" fillId="35" borderId="0" xfId="3" applyNumberFormat="1" applyFont="1" applyFill="1" applyBorder="1" applyAlignment="1">
      <alignment horizontal="center" vertical="center"/>
    </xf>
    <xf numFmtId="1" fontId="55" fillId="36" borderId="0" xfId="0" applyNumberFormat="1" applyFont="1" applyFill="1" applyAlignment="1">
      <alignment horizontal="center" vertical="center"/>
    </xf>
    <xf numFmtId="1" fontId="53" fillId="37" borderId="0" xfId="3" applyNumberFormat="1" applyFont="1" applyFill="1" applyBorder="1" applyAlignment="1">
      <alignment horizontal="left" vertical="center"/>
    </xf>
    <xf numFmtId="9" fontId="23" fillId="21" borderId="0" xfId="1" applyFont="1" applyFill="1" applyAlignment="1">
      <alignment horizontal="center" vertical="center"/>
    </xf>
    <xf numFmtId="4" fontId="23" fillId="9" borderId="0" xfId="0" applyNumberFormat="1" applyFont="1" applyFill="1" applyAlignment="1">
      <alignment horizontal="center" vertical="center"/>
    </xf>
    <xf numFmtId="1" fontId="23" fillId="27" borderId="0" xfId="1" applyNumberFormat="1" applyFont="1" applyFill="1" applyBorder="1"/>
    <xf numFmtId="1" fontId="0" fillId="0" borderId="0" xfId="0" applyNumberFormat="1"/>
    <xf numFmtId="1" fontId="23" fillId="12" borderId="0" xfId="1" applyNumberFormat="1" applyFont="1" applyFill="1" applyBorder="1" applyAlignment="1">
      <alignment horizontal="center" vertical="center"/>
    </xf>
    <xf numFmtId="1" fontId="51" fillId="28" borderId="0" xfId="1" applyNumberFormat="1" applyFont="1" applyFill="1" applyBorder="1" applyAlignment="1">
      <alignment horizontal="center" vertical="center"/>
    </xf>
    <xf numFmtId="164" fontId="51" fillId="28" borderId="0" xfId="2" applyNumberFormat="1" applyFont="1" applyFill="1" applyAlignment="1">
      <alignment horizontal="center" vertical="center"/>
    </xf>
    <xf numFmtId="164" fontId="51" fillId="28" borderId="0" xfId="1" applyNumberFormat="1" applyFont="1" applyFill="1" applyBorder="1" applyAlignment="1">
      <alignment horizontal="center" vertical="center"/>
    </xf>
    <xf numFmtId="2" fontId="46" fillId="26" borderId="0" xfId="4" applyNumberFormat="1" applyFont="1" applyFill="1" applyBorder="1" applyAlignment="1">
      <alignment horizontal="left" vertical="center"/>
    </xf>
    <xf numFmtId="2" fontId="46" fillId="26" borderId="0" xfId="4" applyNumberFormat="1" applyFont="1" applyFill="1" applyBorder="1" applyAlignment="1">
      <alignment horizontal="right" vertical="center"/>
    </xf>
    <xf numFmtId="1" fontId="56" fillId="38" borderId="0" xfId="1" applyNumberFormat="1" applyFont="1" applyFill="1" applyBorder="1" applyAlignment="1">
      <alignment horizontal="center" vertical="center"/>
    </xf>
    <xf numFmtId="165" fontId="57" fillId="39" borderId="0" xfId="2" applyNumberFormat="1" applyFont="1" applyFill="1" applyAlignment="1">
      <alignment horizontal="center"/>
    </xf>
    <xf numFmtId="1" fontId="23" fillId="40" borderId="0" xfId="1" applyNumberFormat="1" applyFont="1" applyFill="1" applyBorder="1" applyAlignment="1">
      <alignment horizontal="center" vertical="center"/>
    </xf>
    <xf numFmtId="164" fontId="23" fillId="0" borderId="0" xfId="4" applyNumberFormat="1" applyFont="1" applyFill="1" applyBorder="1" applyAlignment="1">
      <alignment horizontal="center" vertical="center"/>
    </xf>
    <xf numFmtId="9" fontId="47" fillId="41" borderId="0" xfId="1" applyFont="1" applyFill="1" applyBorder="1" applyAlignment="1">
      <alignment horizontal="center"/>
    </xf>
    <xf numFmtId="165" fontId="56" fillId="8" borderId="0" xfId="0" applyNumberFormat="1" applyFont="1" applyFill="1" applyAlignment="1">
      <alignment horizontal="center"/>
    </xf>
    <xf numFmtId="1" fontId="47" fillId="42" borderId="0" xfId="2" applyNumberFormat="1" applyFont="1" applyFill="1" applyAlignment="1">
      <alignment horizontal="center" vertical="center"/>
    </xf>
    <xf numFmtId="1" fontId="58" fillId="31" borderId="0" xfId="1" applyNumberFormat="1" applyFont="1" applyFill="1" applyBorder="1" applyAlignment="1">
      <alignment horizontal="center"/>
    </xf>
    <xf numFmtId="0" fontId="24" fillId="0" borderId="0" xfId="0" applyFont="1"/>
    <xf numFmtId="1" fontId="58" fillId="43" borderId="0" xfId="1" applyNumberFormat="1" applyFont="1" applyFill="1" applyBorder="1" applyAlignment="1">
      <alignment horizontal="center"/>
    </xf>
    <xf numFmtId="3" fontId="59" fillId="0" borderId="0" xfId="0" applyNumberFormat="1" applyFont="1"/>
    <xf numFmtId="0" fontId="2" fillId="0" borderId="0" xfId="0" applyFont="1"/>
    <xf numFmtId="2" fontId="50" fillId="0" borderId="0" xfId="0" applyNumberFormat="1" applyFont="1"/>
    <xf numFmtId="164" fontId="0" fillId="0" borderId="0" xfId="0" applyNumberFormat="1"/>
    <xf numFmtId="167" fontId="0" fillId="0" borderId="0" xfId="0" applyNumberFormat="1"/>
    <xf numFmtId="1" fontId="28" fillId="3" borderId="0" xfId="2" applyNumberFormat="1" applyFont="1" applyFill="1" applyAlignment="1">
      <alignment horizontal="center" vertical="center"/>
    </xf>
    <xf numFmtId="1" fontId="22" fillId="3" borderId="0" xfId="2" applyNumberFormat="1" applyFont="1" applyFill="1" applyAlignment="1">
      <alignment horizontal="center" vertical="center"/>
    </xf>
    <xf numFmtId="164" fontId="23" fillId="22" borderId="0" xfId="1" applyNumberFormat="1" applyFont="1" applyFill="1" applyBorder="1" applyAlignment="1">
      <alignment horizontal="center" vertical="center"/>
    </xf>
    <xf numFmtId="164" fontId="47" fillId="3" borderId="0" xfId="2" applyNumberFormat="1" applyFont="1" applyFill="1" applyAlignment="1">
      <alignment horizontal="center" vertical="center"/>
    </xf>
    <xf numFmtId="0" fontId="10" fillId="44" borderId="0" xfId="2" applyFont="1" applyFill="1" applyAlignment="1">
      <alignment horizontal="center" vertical="center"/>
    </xf>
    <xf numFmtId="0" fontId="61" fillId="44" borderId="0" xfId="2" applyFont="1" applyFill="1" applyAlignment="1">
      <alignment horizontal="center" vertical="center"/>
    </xf>
    <xf numFmtId="1" fontId="62" fillId="44" borderId="0" xfId="2" applyNumberFormat="1" applyFont="1" applyFill="1" applyAlignment="1">
      <alignment horizontal="center" vertical="center"/>
    </xf>
    <xf numFmtId="164" fontId="57" fillId="44" borderId="0" xfId="2" applyNumberFormat="1" applyFont="1" applyFill="1" applyAlignment="1">
      <alignment horizontal="center" vertical="center"/>
    </xf>
    <xf numFmtId="3" fontId="63" fillId="45" borderId="0" xfId="0" applyNumberFormat="1" applyFont="1" applyFill="1" applyAlignment="1">
      <alignment horizontal="center" vertical="center"/>
    </xf>
    <xf numFmtId="1" fontId="41" fillId="24" borderId="0" xfId="4" applyNumberFormat="1" applyFont="1" applyFill="1" applyBorder="1" applyAlignment="1">
      <alignment horizontal="center" vertical="top"/>
    </xf>
    <xf numFmtId="2" fontId="61" fillId="44" borderId="0" xfId="2" applyNumberFormat="1" applyFont="1" applyFill="1" applyAlignment="1">
      <alignment horizontal="center" vertical="center"/>
    </xf>
    <xf numFmtId="164" fontId="61" fillId="44" borderId="0" xfId="2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10" fillId="3" borderId="0" xfId="2" applyNumberFormat="1" applyFont="1" applyFill="1" applyAlignment="1">
      <alignment horizontal="center" vertical="center"/>
    </xf>
    <xf numFmtId="0" fontId="65" fillId="28" borderId="0" xfId="2" applyFont="1" applyFill="1" applyAlignment="1">
      <alignment horizontal="center" vertical="center"/>
    </xf>
    <xf numFmtId="164" fontId="29" fillId="28" borderId="0" xfId="2" applyNumberFormat="1" applyFont="1" applyFill="1" applyAlignment="1">
      <alignment horizontal="center" vertical="center"/>
    </xf>
    <xf numFmtId="0" fontId="29" fillId="28" borderId="0" xfId="2" applyFont="1" applyFill="1" applyAlignment="1">
      <alignment horizontal="center" vertical="center"/>
    </xf>
    <xf numFmtId="9" fontId="66" fillId="46" borderId="0" xfId="1" applyFont="1" applyFill="1" applyAlignment="1">
      <alignment horizontal="center" vertical="center"/>
    </xf>
    <xf numFmtId="164" fontId="67" fillId="47" borderId="0" xfId="2" applyNumberFormat="1" applyFont="1" applyFill="1" applyAlignment="1">
      <alignment horizontal="center" vertical="center"/>
    </xf>
    <xf numFmtId="0" fontId="68" fillId="28" borderId="0" xfId="2" applyFont="1" applyFill="1" applyAlignment="1">
      <alignment horizontal="left"/>
    </xf>
    <xf numFmtId="0" fontId="68" fillId="28" borderId="0" xfId="2" applyFont="1" applyFill="1" applyAlignment="1">
      <alignment horizontal="center" vertical="center"/>
    </xf>
    <xf numFmtId="164" fontId="69" fillId="24" borderId="0" xfId="4" applyNumberFormat="1" applyFont="1" applyFill="1" applyBorder="1" applyAlignment="1">
      <alignment horizontal="center" vertical="top"/>
    </xf>
    <xf numFmtId="9" fontId="23" fillId="27" borderId="0" xfId="1" applyFont="1" applyFill="1" applyBorder="1"/>
    <xf numFmtId="1" fontId="35" fillId="20" borderId="9" xfId="0" applyNumberFormat="1" applyFont="1" applyFill="1" applyBorder="1" applyAlignment="1">
      <alignment horizontal="center" vertical="top"/>
    </xf>
    <xf numFmtId="1" fontId="35" fillId="20" borderId="4" xfId="0" applyNumberFormat="1" applyFont="1" applyFill="1" applyBorder="1" applyAlignment="1">
      <alignment horizontal="center" vertical="top"/>
    </xf>
    <xf numFmtId="1" fontId="4" fillId="46" borderId="0" xfId="2" applyNumberFormat="1" applyFill="1" applyAlignment="1">
      <alignment horizontal="center"/>
    </xf>
    <xf numFmtId="1" fontId="29" fillId="46" borderId="0" xfId="2" applyNumberFormat="1" applyFont="1" applyFill="1" applyAlignment="1">
      <alignment horizontal="center" vertical="center"/>
    </xf>
    <xf numFmtId="0" fontId="4" fillId="0" borderId="0" xfId="2"/>
    <xf numFmtId="2" fontId="4" fillId="46" borderId="0" xfId="2" applyNumberFormat="1" applyFill="1"/>
    <xf numFmtId="2" fontId="25" fillId="46" borderId="0" xfId="2" applyNumberFormat="1" applyFont="1" applyFill="1" applyAlignment="1">
      <alignment horizontal="right" vertical="center"/>
    </xf>
    <xf numFmtId="1" fontId="25" fillId="46" borderId="0" xfId="2" applyNumberFormat="1" applyFont="1" applyFill="1" applyAlignment="1">
      <alignment horizontal="center" vertical="center"/>
    </xf>
    <xf numFmtId="164" fontId="4" fillId="19" borderId="0" xfId="1" applyNumberFormat="1" applyFont="1" applyFill="1" applyBorder="1" applyAlignment="1">
      <alignment horizontal="center" vertical="center"/>
    </xf>
    <xf numFmtId="164" fontId="70" fillId="47" borderId="0" xfId="2" applyNumberFormat="1" applyFont="1" applyFill="1" applyAlignment="1">
      <alignment horizontal="center" vertical="center"/>
    </xf>
    <xf numFmtId="164" fontId="71" fillId="19" borderId="0" xfId="1" applyNumberFormat="1" applyFont="1" applyFill="1" applyBorder="1" applyAlignment="1">
      <alignment horizontal="center" vertical="center"/>
    </xf>
    <xf numFmtId="9" fontId="25" fillId="46" borderId="0" xfId="1" applyFont="1" applyFill="1" applyAlignment="1">
      <alignment horizontal="center" vertical="center"/>
    </xf>
    <xf numFmtId="2" fontId="25" fillId="46" borderId="0" xfId="2" applyNumberFormat="1" applyFont="1" applyFill="1" applyAlignment="1">
      <alignment horizontal="center" vertical="center"/>
    </xf>
    <xf numFmtId="2" fontId="33" fillId="46" borderId="0" xfId="2" applyNumberFormat="1" applyFont="1" applyFill="1" applyAlignment="1">
      <alignment horizontal="center"/>
    </xf>
    <xf numFmtId="1" fontId="23" fillId="10" borderId="0" xfId="5" applyNumberFormat="1" applyFont="1" applyFill="1" applyBorder="1" applyAlignment="1">
      <alignment horizontal="center" vertical="center"/>
    </xf>
    <xf numFmtId="9" fontId="51" fillId="26" borderId="0" xfId="1" applyFont="1" applyFill="1" applyBorder="1" applyAlignment="1">
      <alignment horizontal="center" vertical="center"/>
    </xf>
    <xf numFmtId="9" fontId="4" fillId="42" borderId="0" xfId="1" applyFont="1" applyFill="1" applyBorder="1"/>
    <xf numFmtId="2" fontId="4" fillId="17" borderId="0" xfId="2" applyNumberFormat="1" applyFill="1"/>
    <xf numFmtId="0" fontId="4" fillId="17" borderId="0" xfId="2" applyFill="1"/>
    <xf numFmtId="0" fontId="78" fillId="17" borderId="0" xfId="2" applyFont="1" applyFill="1"/>
    <xf numFmtId="0" fontId="79" fillId="17" borderId="10" xfId="2" applyFont="1" applyFill="1" applyBorder="1" applyAlignment="1">
      <alignment horizontal="center"/>
    </xf>
    <xf numFmtId="0" fontId="80" fillId="17" borderId="11" xfId="2" applyFont="1" applyFill="1" applyBorder="1" applyAlignment="1">
      <alignment horizontal="center"/>
    </xf>
    <xf numFmtId="0" fontId="4" fillId="17" borderId="11" xfId="2" applyFill="1" applyBorder="1"/>
    <xf numFmtId="0" fontId="4" fillId="17" borderId="12" xfId="2" applyFill="1" applyBorder="1"/>
    <xf numFmtId="0" fontId="65" fillId="28" borderId="0" xfId="2" applyFont="1" applyFill="1" applyAlignment="1">
      <alignment horizontal="center"/>
    </xf>
    <xf numFmtId="0" fontId="64" fillId="28" borderId="0" xfId="2" applyFont="1" applyFill="1" applyAlignment="1">
      <alignment horizontal="right"/>
    </xf>
    <xf numFmtId="0" fontId="82" fillId="17" borderId="10" xfId="2" applyFont="1" applyFill="1" applyBorder="1"/>
    <xf numFmtId="0" fontId="78" fillId="17" borderId="11" xfId="2" applyFont="1" applyFill="1" applyBorder="1"/>
    <xf numFmtId="0" fontId="0" fillId="17" borderId="12" xfId="0" applyFill="1" applyBorder="1"/>
    <xf numFmtId="9" fontId="67" fillId="47" borderId="13" xfId="6" applyFont="1" applyFill="1" applyBorder="1" applyAlignment="1">
      <alignment horizontal="center" vertical="center"/>
    </xf>
    <xf numFmtId="2" fontId="4" fillId="49" borderId="0" xfId="2" applyNumberFormat="1" applyFill="1"/>
    <xf numFmtId="0" fontId="82" fillId="17" borderId="0" xfId="2" applyFont="1" applyFill="1"/>
    <xf numFmtId="0" fontId="4" fillId="17" borderId="14" xfId="2" applyFill="1" applyBorder="1"/>
    <xf numFmtId="0" fontId="65" fillId="28" borderId="0" xfId="2" applyFont="1" applyFill="1" applyAlignment="1">
      <alignment horizontal="right"/>
    </xf>
    <xf numFmtId="1" fontId="83" fillId="47" borderId="13" xfId="2" applyNumberFormat="1" applyFont="1" applyFill="1" applyBorder="1" applyAlignment="1">
      <alignment horizontal="center"/>
    </xf>
    <xf numFmtId="1" fontId="83" fillId="47" borderId="0" xfId="2" applyNumberFormat="1" applyFont="1" applyFill="1" applyAlignment="1">
      <alignment horizontal="center"/>
    </xf>
    <xf numFmtId="166" fontId="0" fillId="50" borderId="14" xfId="6" applyNumberFormat="1" applyFont="1" applyFill="1" applyBorder="1" applyAlignment="1">
      <alignment horizontal="center"/>
    </xf>
    <xf numFmtId="2" fontId="84" fillId="46" borderId="0" xfId="2" applyNumberFormat="1" applyFont="1" applyFill="1"/>
    <xf numFmtId="1" fontId="83" fillId="17" borderId="13" xfId="2" applyNumberFormat="1" applyFont="1" applyFill="1" applyBorder="1" applyAlignment="1">
      <alignment horizontal="center"/>
    </xf>
    <xf numFmtId="0" fontId="29" fillId="17" borderId="0" xfId="2" applyFont="1" applyFill="1" applyAlignment="1">
      <alignment horizontal="center"/>
    </xf>
    <xf numFmtId="1" fontId="83" fillId="17" borderId="0" xfId="2" applyNumberFormat="1" applyFont="1" applyFill="1" applyAlignment="1">
      <alignment horizontal="center"/>
    </xf>
    <xf numFmtId="166" fontId="0" fillId="49" borderId="14" xfId="6" applyNumberFormat="1" applyFont="1" applyFill="1" applyBorder="1" applyAlignment="1">
      <alignment horizontal="center"/>
    </xf>
    <xf numFmtId="9" fontId="0" fillId="49" borderId="14" xfId="6" applyFont="1" applyFill="1" applyBorder="1" applyAlignment="1">
      <alignment horizontal="center"/>
    </xf>
    <xf numFmtId="0" fontId="4" fillId="26" borderId="15" xfId="2" applyFill="1" applyBorder="1" applyAlignment="1">
      <alignment horizontal="center" vertical="center"/>
    </xf>
    <xf numFmtId="0" fontId="29" fillId="26" borderId="16" xfId="2" applyFont="1" applyFill="1" applyBorder="1" applyAlignment="1">
      <alignment horizontal="center" vertical="center"/>
    </xf>
    <xf numFmtId="0" fontId="0" fillId="26" borderId="16" xfId="0" applyFill="1" applyBorder="1" applyAlignment="1">
      <alignment horizontal="center" vertical="center"/>
    </xf>
    <xf numFmtId="0" fontId="0" fillId="26" borderId="17" xfId="0" applyFill="1" applyBorder="1" applyAlignment="1">
      <alignment horizontal="center" vertical="center"/>
    </xf>
    <xf numFmtId="9" fontId="67" fillId="47" borderId="15" xfId="6" applyFont="1" applyFill="1" applyBorder="1" applyAlignment="1">
      <alignment horizontal="center" vertical="center"/>
    </xf>
    <xf numFmtId="2" fontId="4" fillId="49" borderId="16" xfId="2" applyNumberFormat="1" applyFill="1" applyBorder="1"/>
    <xf numFmtId="0" fontId="4" fillId="17" borderId="16" xfId="2" applyFill="1" applyBorder="1"/>
    <xf numFmtId="0" fontId="4" fillId="17" borderId="17" xfId="2" applyFill="1" applyBorder="1"/>
    <xf numFmtId="9" fontId="29" fillId="46" borderId="0" xfId="1" applyFont="1" applyFill="1" applyAlignment="1">
      <alignment horizontal="center" vertical="center"/>
    </xf>
    <xf numFmtId="2" fontId="4" fillId="46" borderId="0" xfId="2" applyNumberFormat="1" applyFill="1" applyAlignment="1">
      <alignment horizontal="center" vertical="center"/>
    </xf>
    <xf numFmtId="1" fontId="8" fillId="2" borderId="0" xfId="2" applyNumberFormat="1" applyFont="1" applyFill="1" applyAlignment="1">
      <alignment horizontal="center" vertical="center"/>
    </xf>
    <xf numFmtId="1" fontId="85" fillId="22" borderId="18" xfId="1" applyNumberFormat="1" applyFont="1" applyFill="1" applyBorder="1" applyAlignment="1">
      <alignment horizontal="center"/>
    </xf>
    <xf numFmtId="1" fontId="85" fillId="22" borderId="19" xfId="1" applyNumberFormat="1" applyFont="1" applyFill="1" applyBorder="1" applyAlignment="1">
      <alignment horizontal="center"/>
    </xf>
    <xf numFmtId="9" fontId="85" fillId="10" borderId="18" xfId="1" applyFont="1" applyFill="1" applyBorder="1" applyAlignment="1">
      <alignment horizontal="center"/>
    </xf>
    <xf numFmtId="2" fontId="29" fillId="46" borderId="19" xfId="2" applyNumberFormat="1" applyFont="1" applyFill="1" applyBorder="1" applyAlignment="1">
      <alignment horizontal="center"/>
    </xf>
    <xf numFmtId="9" fontId="85" fillId="10" borderId="0" xfId="1" applyFont="1" applyFill="1" applyBorder="1" applyAlignment="1">
      <alignment horizontal="center"/>
    </xf>
    <xf numFmtId="9" fontId="85" fillId="10" borderId="19" xfId="1" applyFont="1" applyFill="1" applyBorder="1" applyAlignment="1">
      <alignment horizontal="center"/>
    </xf>
    <xf numFmtId="2" fontId="29" fillId="46" borderId="18" xfId="2" applyNumberFormat="1" applyFont="1" applyFill="1" applyBorder="1" applyAlignment="1">
      <alignment horizontal="center"/>
    </xf>
    <xf numFmtId="164" fontId="36" fillId="3" borderId="0" xfId="5" applyNumberFormat="1" applyFont="1" applyFill="1" applyBorder="1" applyAlignment="1">
      <alignment horizontal="center" vertical="top"/>
    </xf>
    <xf numFmtId="164" fontId="72" fillId="22" borderId="0" xfId="2" applyNumberFormat="1" applyFont="1" applyFill="1" applyAlignment="1">
      <alignment horizontal="center" vertical="top"/>
    </xf>
    <xf numFmtId="0" fontId="73" fillId="31" borderId="0" xfId="0" applyFont="1" applyFill="1" applyAlignment="1">
      <alignment vertical="top"/>
    </xf>
    <xf numFmtId="0" fontId="73" fillId="48" borderId="0" xfId="0" applyFont="1" applyFill="1" applyAlignment="1">
      <alignment vertical="top"/>
    </xf>
    <xf numFmtId="0" fontId="74" fillId="19" borderId="0" xfId="0" applyFont="1" applyFill="1" applyAlignment="1">
      <alignment vertical="top"/>
    </xf>
    <xf numFmtId="0" fontId="74" fillId="28" borderId="0" xfId="0" applyFont="1" applyFill="1" applyAlignment="1">
      <alignment vertical="top"/>
    </xf>
    <xf numFmtId="0" fontId="75" fillId="31" borderId="0" xfId="0" applyFont="1" applyFill="1" applyAlignment="1">
      <alignment vertical="top"/>
    </xf>
    <xf numFmtId="0" fontId="76" fillId="0" borderId="0" xfId="0" applyFont="1" applyAlignment="1">
      <alignment vertical="top"/>
    </xf>
    <xf numFmtId="2" fontId="77" fillId="46" borderId="0" xfId="2" applyNumberFormat="1" applyFont="1" applyFill="1" applyAlignment="1">
      <alignment horizontal="center" vertical="top"/>
    </xf>
    <xf numFmtId="164" fontId="29" fillId="46" borderId="0" xfId="2" applyNumberFormat="1" applyFont="1" applyFill="1" applyAlignment="1">
      <alignment horizontal="center" vertical="center"/>
    </xf>
    <xf numFmtId="0" fontId="86" fillId="28" borderId="0" xfId="2" applyFont="1" applyFill="1" applyAlignment="1">
      <alignment horizontal="left"/>
    </xf>
    <xf numFmtId="0" fontId="87" fillId="28" borderId="0" xfId="2" applyFont="1" applyFill="1" applyAlignment="1">
      <alignment horizontal="center" vertical="center"/>
    </xf>
    <xf numFmtId="164" fontId="31" fillId="28" borderId="0" xfId="2" applyNumberFormat="1" applyFont="1" applyFill="1" applyAlignment="1">
      <alignment horizontal="center" vertical="center"/>
    </xf>
    <xf numFmtId="0" fontId="31" fillId="28" borderId="0" xfId="2" applyFont="1" applyFill="1" applyAlignment="1">
      <alignment horizontal="center" vertical="center"/>
    </xf>
    <xf numFmtId="1" fontId="85" fillId="22" borderId="0" xfId="1" applyNumberFormat="1" applyFont="1" applyFill="1" applyBorder="1" applyAlignment="1">
      <alignment horizontal="center"/>
    </xf>
    <xf numFmtId="2" fontId="29" fillId="46" borderId="0" xfId="2" applyNumberFormat="1" applyFont="1" applyFill="1" applyAlignment="1">
      <alignment horizontal="center"/>
    </xf>
    <xf numFmtId="0" fontId="79" fillId="17" borderId="13" xfId="2" applyFont="1" applyFill="1" applyBorder="1" applyAlignment="1">
      <alignment horizontal="center"/>
    </xf>
    <xf numFmtId="0" fontId="80" fillId="17" borderId="0" xfId="2" applyFont="1" applyFill="1" applyAlignment="1">
      <alignment horizontal="center"/>
    </xf>
    <xf numFmtId="2" fontId="71" fillId="46" borderId="0" xfId="2" applyNumberFormat="1" applyFont="1" applyFill="1" applyAlignment="1">
      <alignment horizontal="center" vertical="center"/>
    </xf>
    <xf numFmtId="164" fontId="51" fillId="26" borderId="0" xfId="1" applyNumberFormat="1" applyFont="1" applyFill="1" applyBorder="1" applyAlignment="1">
      <alignment horizontal="center" vertical="center"/>
    </xf>
    <xf numFmtId="0" fontId="73" fillId="48" borderId="0" xfId="0" applyFont="1" applyFill="1" applyAlignment="1">
      <alignment horizontal="center" vertical="top"/>
    </xf>
    <xf numFmtId="9" fontId="23" fillId="26" borderId="0" xfId="1" applyFont="1" applyFill="1" applyBorder="1" applyAlignment="1">
      <alignment horizontal="center" vertical="center"/>
    </xf>
    <xf numFmtId="9" fontId="85" fillId="26" borderId="0" xfId="1" applyFont="1" applyFill="1" applyBorder="1" applyAlignment="1">
      <alignment horizontal="center"/>
    </xf>
    <xf numFmtId="2" fontId="4" fillId="46" borderId="0" xfId="2" applyNumberFormat="1" applyFill="1" applyAlignment="1">
      <alignment horizontal="right" vertical="center"/>
    </xf>
    <xf numFmtId="2" fontId="4" fillId="46" borderId="0" xfId="2" applyNumberFormat="1" applyFill="1" applyAlignment="1">
      <alignment horizontal="left" vertical="center"/>
    </xf>
    <xf numFmtId="9" fontId="29" fillId="51" borderId="0" xfId="1" applyFont="1" applyFill="1" applyAlignment="1">
      <alignment horizontal="center" vertical="center"/>
    </xf>
    <xf numFmtId="1" fontId="57" fillId="46" borderId="0" xfId="2" applyNumberFormat="1" applyFont="1" applyFill="1" applyAlignment="1">
      <alignment horizontal="center"/>
    </xf>
    <xf numFmtId="0" fontId="88" fillId="28" borderId="0" xfId="2" applyFont="1" applyFill="1" applyAlignment="1">
      <alignment horizontal="center" vertical="center"/>
    </xf>
    <xf numFmtId="0" fontId="8" fillId="28" borderId="0" xfId="2" applyFont="1" applyFill="1" applyAlignment="1">
      <alignment horizontal="center" vertical="center"/>
    </xf>
    <xf numFmtId="1" fontId="89" fillId="46" borderId="0" xfId="2" applyNumberFormat="1" applyFont="1" applyFill="1" applyAlignment="1">
      <alignment horizontal="center" vertical="center"/>
    </xf>
    <xf numFmtId="1" fontId="8" fillId="46" borderId="0" xfId="2" applyNumberFormat="1" applyFont="1" applyFill="1" applyAlignment="1">
      <alignment horizontal="center" vertical="center"/>
    </xf>
    <xf numFmtId="2" fontId="57" fillId="46" borderId="0" xfId="2" applyNumberFormat="1" applyFont="1" applyFill="1"/>
    <xf numFmtId="2" fontId="91" fillId="46" borderId="0" xfId="2" applyNumberFormat="1" applyFont="1" applyFill="1"/>
    <xf numFmtId="0" fontId="57" fillId="17" borderId="0" xfId="2" applyFont="1" applyFill="1"/>
    <xf numFmtId="0" fontId="3" fillId="0" borderId="0" xfId="0" applyFont="1"/>
    <xf numFmtId="1" fontId="85" fillId="22" borderId="18" xfId="1" applyNumberFormat="1" applyFont="1" applyFill="1" applyBorder="1" applyAlignment="1">
      <alignment horizontal="center" vertical="center"/>
    </xf>
    <xf numFmtId="1" fontId="85" fillId="22" borderId="19" xfId="1" applyNumberFormat="1" applyFont="1" applyFill="1" applyBorder="1" applyAlignment="1">
      <alignment horizontal="center" vertical="center"/>
    </xf>
    <xf numFmtId="1" fontId="29" fillId="46" borderId="18" xfId="2" applyNumberFormat="1" applyFont="1" applyFill="1" applyBorder="1" applyAlignment="1">
      <alignment horizontal="center" vertical="center"/>
    </xf>
    <xf numFmtId="1" fontId="29" fillId="46" borderId="19" xfId="2" applyNumberFormat="1" applyFont="1" applyFill="1" applyBorder="1" applyAlignment="1">
      <alignment horizontal="center" vertical="center"/>
    </xf>
    <xf numFmtId="1" fontId="4" fillId="46" borderId="0" xfId="2" applyNumberFormat="1" applyFill="1" applyAlignment="1">
      <alignment vertical="center"/>
    </xf>
    <xf numFmtId="1" fontId="85" fillId="10" borderId="18" xfId="1" applyNumberFormat="1" applyFont="1" applyFill="1" applyBorder="1" applyAlignment="1">
      <alignment horizontal="center" vertical="center"/>
    </xf>
    <xf numFmtId="1" fontId="85" fillId="10" borderId="19" xfId="1" applyNumberFormat="1" applyFont="1" applyFill="1" applyBorder="1" applyAlignment="1">
      <alignment horizontal="center" vertical="center"/>
    </xf>
    <xf numFmtId="2" fontId="4" fillId="52" borderId="0" xfId="2" applyNumberFormat="1" applyFill="1" applyAlignment="1">
      <alignment vertical="top"/>
    </xf>
    <xf numFmtId="9" fontId="51" fillId="52" borderId="0" xfId="1" applyFont="1" applyFill="1" applyBorder="1" applyAlignment="1">
      <alignment horizontal="center" vertical="center"/>
    </xf>
    <xf numFmtId="164" fontId="36" fillId="3" borderId="0" xfId="5" applyNumberFormat="1" applyFont="1" applyFill="1" applyBorder="1" applyAlignment="1">
      <alignment vertical="top"/>
    </xf>
    <xf numFmtId="164" fontId="72" fillId="22" borderId="0" xfId="2" applyNumberFormat="1" applyFont="1" applyFill="1" applyAlignment="1">
      <alignment vertical="top"/>
    </xf>
    <xf numFmtId="2" fontId="77" fillId="46" borderId="0" xfId="2" applyNumberFormat="1" applyFont="1" applyFill="1" applyAlignment="1">
      <alignment vertical="top"/>
    </xf>
    <xf numFmtId="2" fontId="77" fillId="10" borderId="0" xfId="2" applyNumberFormat="1" applyFont="1" applyFill="1" applyAlignment="1">
      <alignment vertical="top"/>
    </xf>
    <xf numFmtId="2" fontId="77" fillId="6" borderId="0" xfId="2" applyNumberFormat="1" applyFont="1" applyFill="1" applyAlignment="1">
      <alignment vertical="top"/>
    </xf>
    <xf numFmtId="2" fontId="90" fillId="6" borderId="0" xfId="2" applyNumberFormat="1" applyFont="1" applyFill="1" applyAlignment="1">
      <alignment vertical="top"/>
    </xf>
    <xf numFmtId="164" fontId="29" fillId="6" borderId="0" xfId="2" applyNumberFormat="1" applyFont="1" applyFill="1" applyAlignment="1">
      <alignment horizontal="center" vertical="center"/>
    </xf>
    <xf numFmtId="9" fontId="8" fillId="53" borderId="0" xfId="1" applyFont="1" applyFill="1" applyAlignment="1">
      <alignment horizontal="center" vertical="center"/>
    </xf>
    <xf numFmtId="0" fontId="75" fillId="6" borderId="0" xfId="0" applyFont="1" applyFill="1" applyAlignment="1">
      <alignment vertical="top"/>
    </xf>
    <xf numFmtId="9" fontId="56" fillId="6" borderId="0" xfId="1" applyFont="1" applyFill="1" applyBorder="1" applyAlignment="1">
      <alignment horizontal="center" vertical="center"/>
    </xf>
    <xf numFmtId="2" fontId="92" fillId="46" borderId="0" xfId="2" applyNumberFormat="1" applyFont="1" applyFill="1" applyAlignment="1">
      <alignment horizontal="center" vertical="center"/>
    </xf>
    <xf numFmtId="2" fontId="93" fillId="46" borderId="0" xfId="2" applyNumberFormat="1" applyFont="1" applyFill="1" applyAlignment="1">
      <alignment vertical="top"/>
    </xf>
    <xf numFmtId="164" fontId="94" fillId="46" borderId="0" xfId="2" applyNumberFormat="1" applyFont="1" applyFill="1" applyAlignment="1">
      <alignment horizontal="center" vertical="center"/>
    </xf>
    <xf numFmtId="164" fontId="31" fillId="46" borderId="0" xfId="2" applyNumberFormat="1" applyFont="1" applyFill="1" applyAlignment="1">
      <alignment horizontal="center" vertical="center"/>
    </xf>
    <xf numFmtId="2" fontId="95" fillId="46" borderId="0" xfId="2" applyNumberFormat="1" applyFont="1" applyFill="1" applyAlignment="1">
      <alignment vertical="top"/>
    </xf>
    <xf numFmtId="1" fontId="85" fillId="22" borderId="20" xfId="1" applyNumberFormat="1" applyFont="1" applyFill="1" applyBorder="1" applyAlignment="1">
      <alignment horizontal="center" vertical="center"/>
    </xf>
    <xf numFmtId="164" fontId="71" fillId="47" borderId="0" xfId="2" applyNumberFormat="1" applyFont="1" applyFill="1" applyAlignment="1">
      <alignment horizontal="center" vertical="center"/>
    </xf>
    <xf numFmtId="164" fontId="25" fillId="46" borderId="0" xfId="2" applyNumberFormat="1" applyFont="1" applyFill="1" applyAlignment="1">
      <alignment horizontal="center" vertical="center"/>
    </xf>
    <xf numFmtId="0" fontId="96" fillId="33" borderId="0" xfId="2" applyFont="1" applyFill="1" applyAlignment="1">
      <alignment horizontal="center" vertical="center"/>
    </xf>
    <xf numFmtId="164" fontId="96" fillId="46" borderId="0" xfId="2" applyNumberFormat="1" applyFont="1" applyFill="1" applyAlignment="1">
      <alignment horizontal="center" vertical="center"/>
    </xf>
    <xf numFmtId="0" fontId="97" fillId="0" borderId="0" xfId="0" applyFont="1" applyAlignment="1">
      <alignment horizontal="center" vertical="top" wrapText="1"/>
    </xf>
  </cellXfs>
  <cellStyles count="7">
    <cellStyle name="Comma 2" xfId="4" xr:uid="{9BB75E3C-1B11-459C-AE01-C02FF18B9912}"/>
    <cellStyle name="Comma 2 2" xfId="5" xr:uid="{FDEB6379-39DF-45BA-B88E-F448409CA13E}"/>
    <cellStyle name="Hyperlink" xfId="3" builtinId="8"/>
    <cellStyle name="Normal" xfId="0" builtinId="0"/>
    <cellStyle name="Normal 2" xfId="2" xr:uid="{3B2C8325-09BA-4D99-8C47-CBD7C19F9069}"/>
    <cellStyle name="Percent" xfId="1" builtinId="5"/>
    <cellStyle name="Percent 2" xfId="6" xr:uid="{214541C3-952B-4095-9A3B-42214CECC5EA}"/>
  </cellStyles>
  <dxfs count="187"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color theme="0"/>
      </font>
      <numFmt numFmtId="13" formatCode="0%"/>
      <fill>
        <patternFill patternType="solid">
          <fgColor rgb="FF000000"/>
          <bgColor theme="0" tint="-0.34998626667073579"/>
        </patternFill>
      </fill>
    </dxf>
    <dxf>
      <font>
        <b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0.0"/>
      <fill>
        <patternFill patternType="solid">
          <fgColor indexed="64"/>
          <bgColor rgb="FFE8D9F3"/>
        </patternFill>
      </fill>
      <alignment horizontal="center" vertical="center" textRotation="0" wrapText="0" indent="0" justifyLastLine="0" shrinkToFit="0" readingOrder="0"/>
    </dxf>
    <dxf>
      <font>
        <sz val="10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9"/>
        <color theme="0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>
          <fgColor rgb="FF000000"/>
          <bgColor rgb="FFD9D9D9"/>
        </patternFill>
      </fill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numFmt numFmtId="13" formatCode="0%"/>
      <fill>
        <patternFill patternType="solid">
          <fgColor rgb="FF000000"/>
          <bgColor theme="0" tint="-0.34998626667073579"/>
        </patternFill>
      </fill>
    </dxf>
    <dxf>
      <font>
        <b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0.0"/>
      <fill>
        <patternFill patternType="solid">
          <fgColor indexed="64"/>
          <bgColor rgb="FFE8D9F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0.0"/>
      <fill>
        <patternFill patternType="solid">
          <fgColor indexed="64"/>
          <bgColor rgb="FFE8D9F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rgb="FFE8D9F3"/>
        </patternFill>
      </fill>
      <alignment horizontal="center" vertical="center" textRotation="0" wrapText="0" indent="0" justifyLastLine="0" shrinkToFit="0" readingOrder="0"/>
    </dxf>
    <dxf>
      <font>
        <sz val="10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9"/>
        <color theme="0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 Light"/>
        <family val="2"/>
        <scheme val="major"/>
      </font>
      <numFmt numFmtId="13" formatCode="0%"/>
      <fill>
        <patternFill patternType="solid">
          <fgColor indexed="64"/>
          <bgColor rgb="FFEADCF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>
          <fgColor rgb="FF000000"/>
          <bgColor rgb="FFD9D9D9"/>
        </patternFill>
      </fill>
    </dxf>
    <dxf>
      <alignment horizontal="general" vertical="top" textRotation="0" wrapText="0" indent="0" justifyLastLine="0" shrinkToFit="0" readingOrder="0"/>
    </dxf>
    <dxf>
      <numFmt numFmtId="13" formatCode="0%"/>
      <fill>
        <patternFill>
          <fgColor rgb="FF000000"/>
          <bgColor rgb="FFD9D9D9"/>
        </patternFill>
      </fill>
    </dxf>
    <dxf>
      <font>
        <strike val="0"/>
        <outline val="0"/>
        <shadow val="0"/>
        <u val="none"/>
        <vertAlign val="baseline"/>
        <color theme="0"/>
      </font>
      <numFmt numFmtId="13" formatCode="0%"/>
      <fill>
        <patternFill patternType="solid">
          <fgColor rgb="FF000000"/>
          <bgColor theme="0" tint="-0.34998626667073579"/>
        </patternFill>
      </fill>
    </dxf>
    <dxf>
      <font>
        <b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rgb="FF00B050"/>
        <name val="Arial"/>
        <family val="2"/>
        <scheme val="none"/>
      </font>
      <numFmt numFmtId="164" formatCode="0.0"/>
      <fill>
        <patternFill patternType="solid">
          <fgColor indexed="64"/>
          <bgColor rgb="FFE8D9F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rgb="FFE8D9F3"/>
        </patternFill>
      </fill>
      <alignment horizontal="center" vertical="center" textRotation="0" wrapText="0" indent="0" justifyLastLine="0" shrinkToFit="0" readingOrder="0"/>
    </dxf>
    <dxf>
      <font>
        <sz val="10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9"/>
        <color theme="0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 Light"/>
        <family val="2"/>
        <scheme val="major"/>
      </font>
      <numFmt numFmtId="13" formatCode="0%"/>
      <fill>
        <patternFill patternType="solid">
          <fgColor indexed="64"/>
          <bgColor rgb="FFEADCF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>
          <fgColor rgb="FF000000"/>
          <bgColor rgb="FFD9D9D9"/>
        </patternFill>
      </fill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rgb="FFB9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Calibri Light"/>
        <family val="2"/>
        <scheme val="major"/>
      </font>
      <numFmt numFmtId="13" formatCode="0%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Calibri Light"/>
        <family val="2"/>
        <scheme val="major"/>
      </font>
      <numFmt numFmtId="13" formatCode="0%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0.0"/>
      <fill>
        <patternFill patternType="solid">
          <fgColor indexed="64"/>
          <bgColor rgb="FF9393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Calibri Light"/>
        <family val="2"/>
        <scheme val="major"/>
      </font>
      <numFmt numFmtId="13" formatCode="0%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8EA9DB"/>
        </left>
        <right style="medium">
          <color rgb="FF000000"/>
        </right>
      </border>
    </dxf>
    <dxf>
      <font>
        <b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rgb="FFE8D9F3"/>
        </patternFill>
      </fill>
      <alignment horizontal="center" vertical="center" textRotation="0" wrapText="0" indent="0" justifyLastLine="0" shrinkToFit="0" readingOrder="0"/>
    </dxf>
    <dxf>
      <font>
        <b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rgb="FFE8D9F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rgb="FFE8D9F3"/>
        </patternFill>
      </fill>
      <alignment horizontal="center" vertical="center" textRotation="0" wrapText="0" indent="0" justifyLastLine="0" shrinkToFit="0" readingOrder="0"/>
    </dxf>
    <dxf>
      <font>
        <sz val="10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 Light"/>
        <family val="2"/>
        <scheme val="major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 Light"/>
        <family val="2"/>
        <scheme val="major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 Light"/>
        <family val="2"/>
        <scheme val="major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0000FF"/>
      <color rgb="FFEAD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Standard Normal CDF</a:t>
            </a:r>
          </a:p>
        </c:rich>
      </c:tx>
      <c:layout>
        <c:manualLayout>
          <c:xMode val="edge"/>
          <c:yMode val="edge"/>
          <c:x val="0.3405192184203284"/>
          <c:y val="3.35377482345248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0010474888513"/>
          <c:y val="0.30355289012979797"/>
          <c:w val="0.73449766860406562"/>
          <c:h val="0.4910083109939467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PDF!$U$7</c:f>
              <c:strCache>
                <c:ptCount val="1"/>
                <c:pt idx="0">
                  <c:v>SrA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noFill/>
              </a:ln>
            </c:spPr>
          </c:marker>
          <c:xVal>
            <c:numRef>
              <c:f>PDF!$I$8:$I$32</c:f>
              <c:numCache>
                <c:formatCode>0</c:formatCode>
                <c:ptCount val="25"/>
                <c:pt idx="0">
                  <c:v>-1.6641005886756874</c:v>
                </c:pt>
                <c:pt idx="1">
                  <c:v>-1.5254255396193801</c:v>
                </c:pt>
                <c:pt idx="2">
                  <c:v>-1.386750490563073</c:v>
                </c:pt>
                <c:pt idx="3">
                  <c:v>-1.2480754415067656</c:v>
                </c:pt>
                <c:pt idx="4">
                  <c:v>-1.1094003924504583</c:v>
                </c:pt>
                <c:pt idx="5">
                  <c:v>-0.97072534339415106</c:v>
                </c:pt>
                <c:pt idx="6">
                  <c:v>-0.83205029433784372</c:v>
                </c:pt>
                <c:pt idx="7">
                  <c:v>-0.69337524528153649</c:v>
                </c:pt>
                <c:pt idx="8">
                  <c:v>-0.55470019622522915</c:v>
                </c:pt>
                <c:pt idx="9">
                  <c:v>-0.41602514716892186</c:v>
                </c:pt>
                <c:pt idx="10">
                  <c:v>-0.27735009811261457</c:v>
                </c:pt>
                <c:pt idx="11">
                  <c:v>-0.13867504905630729</c:v>
                </c:pt>
                <c:pt idx="12">
                  <c:v>0</c:v>
                </c:pt>
                <c:pt idx="13">
                  <c:v>0.13867504905630729</c:v>
                </c:pt>
                <c:pt idx="14">
                  <c:v>0.27735009811261457</c:v>
                </c:pt>
                <c:pt idx="15" formatCode="0.0">
                  <c:v>0.41602514716892186</c:v>
                </c:pt>
                <c:pt idx="16" formatCode="0.0">
                  <c:v>0.55470019622522915</c:v>
                </c:pt>
                <c:pt idx="17" formatCode="0.0">
                  <c:v>0.69337524528153649</c:v>
                </c:pt>
                <c:pt idx="18" formatCode="0.0">
                  <c:v>0.83205029433784372</c:v>
                </c:pt>
                <c:pt idx="19" formatCode="0.0">
                  <c:v>0.97072534339415106</c:v>
                </c:pt>
                <c:pt idx="20" formatCode="0.0">
                  <c:v>1.1094003924504583</c:v>
                </c:pt>
                <c:pt idx="21" formatCode="0.0">
                  <c:v>1.2480754415067656</c:v>
                </c:pt>
                <c:pt idx="22" formatCode="0.0">
                  <c:v>1.386750490563073</c:v>
                </c:pt>
                <c:pt idx="23" formatCode="0.0">
                  <c:v>1.5254255396193801</c:v>
                </c:pt>
                <c:pt idx="24" formatCode="0.0">
                  <c:v>1.6641005886756874</c:v>
                </c:pt>
              </c:numCache>
            </c:numRef>
          </c:xVal>
          <c:yVal>
            <c:numRef>
              <c:f>PDF!$U$8:$U$32</c:f>
              <c:numCache>
                <c:formatCode>0%</c:formatCode>
                <c:ptCount val="25"/>
                <c:pt idx="0">
                  <c:v>4.8046164727836627E-2</c:v>
                </c:pt>
                <c:pt idx="1">
                  <c:v>6.3576496300007113E-2</c:v>
                </c:pt>
                <c:pt idx="2">
                  <c:v>8.275892934873498E-2</c:v>
                </c:pt>
                <c:pt idx="3">
                  <c:v>0.10600171546141283</c:v>
                </c:pt>
                <c:pt idx="4">
                  <c:v>0.1336287465771939</c:v>
                </c:pt>
                <c:pt idx="5">
                  <c:v>0.16584253402843122</c:v>
                </c:pt>
                <c:pt idx="6">
                  <c:v>0.20269027822947119</c:v>
                </c:pt>
                <c:pt idx="7">
                  <c:v>0.24403704658262404</c:v>
                </c:pt>
                <c:pt idx="8">
                  <c:v>0.28954987097695939</c:v>
                </c:pt>
                <c:pt idx="9">
                  <c:v>0.33869580096313867</c:v>
                </c:pt>
                <c:pt idx="10">
                  <c:v>0.39075564749935665</c:v>
                </c:pt>
                <c:pt idx="11">
                  <c:v>0.4448534677665506</c:v>
                </c:pt>
                <c:pt idx="12">
                  <c:v>0.5</c:v>
                </c:pt>
                <c:pt idx="13">
                  <c:v>0.55514653223344945</c:v>
                </c:pt>
                <c:pt idx="14">
                  <c:v>0.60924435250064335</c:v>
                </c:pt>
                <c:pt idx="15">
                  <c:v>0.66130419903686133</c:v>
                </c:pt>
                <c:pt idx="16">
                  <c:v>0.71045012902304061</c:v>
                </c:pt>
                <c:pt idx="17">
                  <c:v>0.75596295341737596</c:v>
                </c:pt>
                <c:pt idx="18">
                  <c:v>0.79730972177052883</c:v>
                </c:pt>
                <c:pt idx="19">
                  <c:v>0.83415746597156881</c:v>
                </c:pt>
                <c:pt idx="20">
                  <c:v>0.86637125342280608</c:v>
                </c:pt>
                <c:pt idx="21">
                  <c:v>0.89399828453858721</c:v>
                </c:pt>
                <c:pt idx="22">
                  <c:v>0.91724107065126503</c:v>
                </c:pt>
                <c:pt idx="23">
                  <c:v>0.93642350369999283</c:v>
                </c:pt>
                <c:pt idx="24">
                  <c:v>0.95195383527216337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96-4EF3-84D4-91C0BA615EA5}"/>
            </c:ext>
          </c:extLst>
        </c:ser>
        <c:ser>
          <c:idx val="2"/>
          <c:order val="1"/>
          <c:tx>
            <c:strRef>
              <c:f>PDF!$V$7</c:f>
              <c:strCache>
                <c:ptCount val="1"/>
                <c:pt idx="0">
                  <c:v>SrB</c:v>
                </c:pt>
              </c:strCache>
            </c:strRef>
          </c:tx>
          <c:spPr>
            <a:ln w="76200">
              <a:noFill/>
              <a:prstDash val="solid"/>
            </a:ln>
          </c:spPr>
          <c:marker>
            <c:symbol val="circle"/>
            <c:size val="10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PDF!$J$8:$J$32</c:f>
              <c:numCache>
                <c:formatCode>0</c:formatCode>
                <c:ptCount val="25"/>
                <c:pt idx="0">
                  <c:v>-0.83205029433784372</c:v>
                </c:pt>
                <c:pt idx="1">
                  <c:v>-0.76271276980969005</c:v>
                </c:pt>
                <c:pt idx="2">
                  <c:v>-0.69337524528153649</c:v>
                </c:pt>
                <c:pt idx="3">
                  <c:v>-0.62403772075338282</c:v>
                </c:pt>
                <c:pt idx="4">
                  <c:v>-0.55470019622522915</c:v>
                </c:pt>
                <c:pt idx="5">
                  <c:v>-0.48536267169707553</c:v>
                </c:pt>
                <c:pt idx="6">
                  <c:v>-0.41602514716892186</c:v>
                </c:pt>
                <c:pt idx="7">
                  <c:v>-0.34668762264076824</c:v>
                </c:pt>
                <c:pt idx="8">
                  <c:v>-0.27735009811261457</c:v>
                </c:pt>
                <c:pt idx="9">
                  <c:v>-0.20801257358446093</c:v>
                </c:pt>
                <c:pt idx="10">
                  <c:v>-0.13867504905630729</c:v>
                </c:pt>
                <c:pt idx="11">
                  <c:v>-6.9337524528153643E-2</c:v>
                </c:pt>
                <c:pt idx="12">
                  <c:v>0</c:v>
                </c:pt>
                <c:pt idx="13">
                  <c:v>6.9337524528153643E-2</c:v>
                </c:pt>
                <c:pt idx="14">
                  <c:v>0.13867504905630729</c:v>
                </c:pt>
                <c:pt idx="15">
                  <c:v>0.20801257358446093</c:v>
                </c:pt>
                <c:pt idx="16">
                  <c:v>0.27735009811261457</c:v>
                </c:pt>
                <c:pt idx="17">
                  <c:v>0.34668762264076824</c:v>
                </c:pt>
                <c:pt idx="18">
                  <c:v>0.41602514716892186</c:v>
                </c:pt>
                <c:pt idx="19">
                  <c:v>0.48536267169707553</c:v>
                </c:pt>
                <c:pt idx="20">
                  <c:v>0.55470019622522915</c:v>
                </c:pt>
                <c:pt idx="21">
                  <c:v>0.62403772075338282</c:v>
                </c:pt>
                <c:pt idx="22">
                  <c:v>0.69337524528153649</c:v>
                </c:pt>
                <c:pt idx="23">
                  <c:v>0.76271276980969005</c:v>
                </c:pt>
                <c:pt idx="24">
                  <c:v>0.83205029433784372</c:v>
                </c:pt>
              </c:numCache>
            </c:numRef>
          </c:xVal>
          <c:yVal>
            <c:numRef>
              <c:f>PDF!$V$8:$V$32</c:f>
              <c:numCache>
                <c:formatCode>0%</c:formatCode>
                <c:ptCount val="25"/>
                <c:pt idx="0">
                  <c:v>0.20269027822947119</c:v>
                </c:pt>
                <c:pt idx="1">
                  <c:v>0.22281735660347199</c:v>
                </c:pt>
                <c:pt idx="2">
                  <c:v>0.24403704658262404</c:v>
                </c:pt>
                <c:pt idx="3">
                  <c:v>0.26630140646823697</c:v>
                </c:pt>
                <c:pt idx="4">
                  <c:v>0.28954987097695939</c:v>
                </c:pt>
                <c:pt idx="5">
                  <c:v>0.31370955318304983</c:v>
                </c:pt>
                <c:pt idx="6">
                  <c:v>0.33869580096313867</c:v>
                </c:pt>
                <c:pt idx="7">
                  <c:v>0.36441300494615936</c:v>
                </c:pt>
                <c:pt idx="8">
                  <c:v>0.39075564749935665</c:v>
                </c:pt>
                <c:pt idx="9">
                  <c:v>0.41760957489251449</c:v>
                </c:pt>
                <c:pt idx="10">
                  <c:v>0.4448534677665506</c:v>
                </c:pt>
                <c:pt idx="11">
                  <c:v>0.47236047867206349</c:v>
                </c:pt>
                <c:pt idx="12">
                  <c:v>0.5</c:v>
                </c:pt>
                <c:pt idx="13">
                  <c:v>0.52763952132793657</c:v>
                </c:pt>
                <c:pt idx="14">
                  <c:v>0.55514653223344945</c:v>
                </c:pt>
                <c:pt idx="15">
                  <c:v>0.58239042510748551</c:v>
                </c:pt>
                <c:pt idx="16">
                  <c:v>0.60924435250064335</c:v>
                </c:pt>
                <c:pt idx="17">
                  <c:v>0.63558699505384064</c:v>
                </c:pt>
                <c:pt idx="18">
                  <c:v>0.66130419903686133</c:v>
                </c:pt>
                <c:pt idx="19">
                  <c:v>0.68629044681695017</c:v>
                </c:pt>
                <c:pt idx="20">
                  <c:v>0.71045012902304061</c:v>
                </c:pt>
                <c:pt idx="21">
                  <c:v>0.73369859353176303</c:v>
                </c:pt>
                <c:pt idx="22">
                  <c:v>0.75596295341737596</c:v>
                </c:pt>
                <c:pt idx="23">
                  <c:v>0.77718264339652798</c:v>
                </c:pt>
                <c:pt idx="24">
                  <c:v>0.79730972177052883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96-4EF3-84D4-91C0BA615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4.7798532769663941E-2"/>
              <c:y val="0.899137121161093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2.5771098716822451E-2"/>
              <c:y val="0.75739066006331546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303610847"/>
        <c:crosses val="autoZero"/>
        <c:crossBetween val="midCat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3.2608559463456921E-2"/>
          <c:y val="0.14767929106885608"/>
          <c:w val="0.38772945885685689"/>
          <c:h val="8.7687259649879473E-2"/>
        </c:manualLayout>
      </c:layout>
      <c:overlay val="1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Standard Normal PDF</a:t>
            </a:r>
          </a:p>
        </c:rich>
      </c:tx>
      <c:layout>
        <c:manualLayout>
          <c:xMode val="edge"/>
          <c:yMode val="edge"/>
          <c:x val="0.17421128334238023"/>
          <c:y val="5.13139661833044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68771736490048"/>
          <c:y val="0.31641611378035073"/>
          <c:w val="0.73449766860406562"/>
          <c:h val="0.5535940799704971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PDF!$Q$7</c:f>
              <c:strCache>
                <c:ptCount val="1"/>
                <c:pt idx="0">
                  <c:v>PrA</c:v>
                </c:pt>
              </c:strCache>
            </c:strRef>
          </c:tx>
          <c:spPr>
            <a:ln w="38100">
              <a:noFill/>
              <a:prstDash val="dash"/>
              <a:headEnd type="oval" w="sm" len="sm"/>
              <a:tailEnd type="oval" w="sm" len="sm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noFill/>
              </a:ln>
            </c:spPr>
          </c:marker>
          <c:xVal>
            <c:numRef>
              <c:f>PDF!$I$8:$I$32</c:f>
              <c:numCache>
                <c:formatCode>0</c:formatCode>
                <c:ptCount val="25"/>
                <c:pt idx="0">
                  <c:v>-1.6641005886756874</c:v>
                </c:pt>
                <c:pt idx="1">
                  <c:v>-1.5254255396193801</c:v>
                </c:pt>
                <c:pt idx="2">
                  <c:v>-1.386750490563073</c:v>
                </c:pt>
                <c:pt idx="3">
                  <c:v>-1.2480754415067656</c:v>
                </c:pt>
                <c:pt idx="4">
                  <c:v>-1.1094003924504583</c:v>
                </c:pt>
                <c:pt idx="5">
                  <c:v>-0.97072534339415106</c:v>
                </c:pt>
                <c:pt idx="6">
                  <c:v>-0.83205029433784372</c:v>
                </c:pt>
                <c:pt idx="7">
                  <c:v>-0.69337524528153649</c:v>
                </c:pt>
                <c:pt idx="8">
                  <c:v>-0.55470019622522915</c:v>
                </c:pt>
                <c:pt idx="9">
                  <c:v>-0.41602514716892186</c:v>
                </c:pt>
                <c:pt idx="10">
                  <c:v>-0.27735009811261457</c:v>
                </c:pt>
                <c:pt idx="11">
                  <c:v>-0.13867504905630729</c:v>
                </c:pt>
                <c:pt idx="12">
                  <c:v>0</c:v>
                </c:pt>
                <c:pt idx="13">
                  <c:v>0.13867504905630729</c:v>
                </c:pt>
                <c:pt idx="14">
                  <c:v>0.27735009811261457</c:v>
                </c:pt>
                <c:pt idx="15" formatCode="0.0">
                  <c:v>0.41602514716892186</c:v>
                </c:pt>
                <c:pt idx="16" formatCode="0.0">
                  <c:v>0.55470019622522915</c:v>
                </c:pt>
                <c:pt idx="17" formatCode="0.0">
                  <c:v>0.69337524528153649</c:v>
                </c:pt>
                <c:pt idx="18" formatCode="0.0">
                  <c:v>0.83205029433784372</c:v>
                </c:pt>
                <c:pt idx="19" formatCode="0.0">
                  <c:v>0.97072534339415106</c:v>
                </c:pt>
                <c:pt idx="20" formatCode="0.0">
                  <c:v>1.1094003924504583</c:v>
                </c:pt>
                <c:pt idx="21" formatCode="0.0">
                  <c:v>1.2480754415067656</c:v>
                </c:pt>
                <c:pt idx="22" formatCode="0.0">
                  <c:v>1.386750490563073</c:v>
                </c:pt>
                <c:pt idx="23" formatCode="0.0">
                  <c:v>1.5254255396193801</c:v>
                </c:pt>
                <c:pt idx="24" formatCode="0.0">
                  <c:v>1.6641005886756874</c:v>
                </c:pt>
              </c:numCache>
            </c:numRef>
          </c:xVal>
          <c:yVal>
            <c:numRef>
              <c:f>PDF!$Q$8:$Q$32</c:f>
              <c:numCache>
                <c:formatCode>0%</c:formatCode>
                <c:ptCount val="25"/>
                <c:pt idx="0">
                  <c:v>9.9903164433323657E-2</c:v>
                </c:pt>
                <c:pt idx="1">
                  <c:v>0.12463073026883781</c:v>
                </c:pt>
                <c:pt idx="2">
                  <c:v>0.15251733843477824</c:v>
                </c:pt>
                <c:pt idx="3">
                  <c:v>0.18308867383025043</c:v>
                </c:pt>
                <c:pt idx="4">
                  <c:v>0.21560157202251737</c:v>
                </c:pt>
                <c:pt idx="5">
                  <c:v>0.24905229627756828</c:v>
                </c:pt>
                <c:pt idx="6">
                  <c:v>0.28221322425966744</c:v>
                </c:pt>
                <c:pt idx="7">
                  <c:v>0.31369843627095056</c:v>
                </c:pt>
                <c:pt idx="8">
                  <c:v>0.34205467473499207</c:v>
                </c:pt>
                <c:pt idx="9">
                  <c:v>0.36587007507280811</c:v>
                </c:pt>
                <c:pt idx="10">
                  <c:v>0.38388967526703272</c:v>
                </c:pt>
                <c:pt idx="11">
                  <c:v>0.39512468019634539</c:v>
                </c:pt>
                <c:pt idx="12">
                  <c:v>0.3989422804014327</c:v>
                </c:pt>
                <c:pt idx="13">
                  <c:v>0.39512468019634539</c:v>
                </c:pt>
                <c:pt idx="14">
                  <c:v>0.38388967526703272</c:v>
                </c:pt>
                <c:pt idx="15">
                  <c:v>0.36587007507280811</c:v>
                </c:pt>
                <c:pt idx="16">
                  <c:v>0.34205467473499207</c:v>
                </c:pt>
                <c:pt idx="17">
                  <c:v>0.31369843627095056</c:v>
                </c:pt>
                <c:pt idx="18">
                  <c:v>0.28221322425966744</c:v>
                </c:pt>
                <c:pt idx="19">
                  <c:v>0.24905229627756828</c:v>
                </c:pt>
                <c:pt idx="20">
                  <c:v>0.21560157202251737</c:v>
                </c:pt>
                <c:pt idx="21">
                  <c:v>0.18308867383025043</c:v>
                </c:pt>
                <c:pt idx="22">
                  <c:v>0.15251733843477824</c:v>
                </c:pt>
                <c:pt idx="23">
                  <c:v>0.12463073026883781</c:v>
                </c:pt>
                <c:pt idx="24">
                  <c:v>9.9903164433323657E-2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E8-4579-BB25-6CDFE8E46700}"/>
            </c:ext>
          </c:extLst>
        </c:ser>
        <c:ser>
          <c:idx val="2"/>
          <c:order val="1"/>
          <c:tx>
            <c:strRef>
              <c:f>PDF!$R$7</c:f>
              <c:strCache>
                <c:ptCount val="1"/>
                <c:pt idx="0">
                  <c:v>PrB_C</c:v>
                </c:pt>
              </c:strCache>
            </c:strRef>
          </c:tx>
          <c:spPr>
            <a:ln w="76200">
              <a:noFill/>
              <a:prstDash val="solid"/>
            </a:ln>
          </c:spPr>
          <c:marker>
            <c:symbol val="circ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PDF!$J$8:$J$32</c:f>
              <c:numCache>
                <c:formatCode>0</c:formatCode>
                <c:ptCount val="25"/>
                <c:pt idx="0">
                  <c:v>-0.83205029433784372</c:v>
                </c:pt>
                <c:pt idx="1">
                  <c:v>-0.76271276980969005</c:v>
                </c:pt>
                <c:pt idx="2">
                  <c:v>-0.69337524528153649</c:v>
                </c:pt>
                <c:pt idx="3">
                  <c:v>-0.62403772075338282</c:v>
                </c:pt>
                <c:pt idx="4">
                  <c:v>-0.55470019622522915</c:v>
                </c:pt>
                <c:pt idx="5">
                  <c:v>-0.48536267169707553</c:v>
                </c:pt>
                <c:pt idx="6">
                  <c:v>-0.41602514716892186</c:v>
                </c:pt>
                <c:pt idx="7">
                  <c:v>-0.34668762264076824</c:v>
                </c:pt>
                <c:pt idx="8">
                  <c:v>-0.27735009811261457</c:v>
                </c:pt>
                <c:pt idx="9">
                  <c:v>-0.20801257358446093</c:v>
                </c:pt>
                <c:pt idx="10">
                  <c:v>-0.13867504905630729</c:v>
                </c:pt>
                <c:pt idx="11">
                  <c:v>-6.9337524528153643E-2</c:v>
                </c:pt>
                <c:pt idx="12">
                  <c:v>0</c:v>
                </c:pt>
                <c:pt idx="13">
                  <c:v>6.9337524528153643E-2</c:v>
                </c:pt>
                <c:pt idx="14">
                  <c:v>0.13867504905630729</c:v>
                </c:pt>
                <c:pt idx="15">
                  <c:v>0.20801257358446093</c:v>
                </c:pt>
                <c:pt idx="16">
                  <c:v>0.27735009811261457</c:v>
                </c:pt>
                <c:pt idx="17">
                  <c:v>0.34668762264076824</c:v>
                </c:pt>
                <c:pt idx="18">
                  <c:v>0.41602514716892186</c:v>
                </c:pt>
                <c:pt idx="19">
                  <c:v>0.48536267169707553</c:v>
                </c:pt>
                <c:pt idx="20">
                  <c:v>0.55470019622522915</c:v>
                </c:pt>
                <c:pt idx="21">
                  <c:v>0.62403772075338282</c:v>
                </c:pt>
                <c:pt idx="22">
                  <c:v>0.69337524528153649</c:v>
                </c:pt>
                <c:pt idx="23">
                  <c:v>0.76271276980969005</c:v>
                </c:pt>
                <c:pt idx="24">
                  <c:v>0.83205029433784372</c:v>
                </c:pt>
              </c:numCache>
            </c:numRef>
          </c:xVal>
          <c:yVal>
            <c:numRef>
              <c:f>PDF!$R$8:$R$32</c:f>
              <c:numCache>
                <c:formatCode>0%</c:formatCode>
                <c:ptCount val="25"/>
                <c:pt idx="0">
                  <c:v>0.19980632886664731</c:v>
                </c:pt>
                <c:pt idx="1">
                  <c:v>0.24926146053767562</c:v>
                </c:pt>
                <c:pt idx="2">
                  <c:v>0.30503467686955649</c:v>
                </c:pt>
                <c:pt idx="3">
                  <c:v>0.36617734766050086</c:v>
                </c:pt>
                <c:pt idx="4">
                  <c:v>0.43120314404503474</c:v>
                </c:pt>
                <c:pt idx="5">
                  <c:v>0.49810459255513656</c:v>
                </c:pt>
                <c:pt idx="6">
                  <c:v>0.56442644851933488</c:v>
                </c:pt>
                <c:pt idx="7">
                  <c:v>0.62739687254190113</c:v>
                </c:pt>
                <c:pt idx="8">
                  <c:v>0.68410934946998414</c:v>
                </c:pt>
                <c:pt idx="9">
                  <c:v>0.73174015014561622</c:v>
                </c:pt>
                <c:pt idx="10">
                  <c:v>0.76777935053406543</c:v>
                </c:pt>
                <c:pt idx="11">
                  <c:v>0.79024936039269078</c:v>
                </c:pt>
                <c:pt idx="12">
                  <c:v>0.79788456080286541</c:v>
                </c:pt>
                <c:pt idx="13">
                  <c:v>0.79024936039269078</c:v>
                </c:pt>
                <c:pt idx="14">
                  <c:v>0.76777935053406543</c:v>
                </c:pt>
                <c:pt idx="15">
                  <c:v>0.73174015014561622</c:v>
                </c:pt>
                <c:pt idx="16">
                  <c:v>0.68410934946998414</c:v>
                </c:pt>
                <c:pt idx="17">
                  <c:v>0.62739687254190113</c:v>
                </c:pt>
                <c:pt idx="18">
                  <c:v>0.56442644851933488</c:v>
                </c:pt>
                <c:pt idx="19">
                  <c:v>0.49810459255513656</c:v>
                </c:pt>
                <c:pt idx="20">
                  <c:v>0.43120314404503474</c:v>
                </c:pt>
                <c:pt idx="21">
                  <c:v>0.36617734766050086</c:v>
                </c:pt>
                <c:pt idx="22">
                  <c:v>0.30503467686955649</c:v>
                </c:pt>
                <c:pt idx="23">
                  <c:v>0.24926146053767562</c:v>
                </c:pt>
                <c:pt idx="24">
                  <c:v>0.19980632886664731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E8-4579-BB25-6CDFE8E46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PDF!$L$7</c15:sqref>
                        </c15:formulaRef>
                      </c:ext>
                    </c:extLst>
                    <c:strCache>
                      <c:ptCount val="1"/>
                      <c:pt idx="0">
                        <c:v>Yb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PDF!$I$8:$I$32</c15:sqref>
                        </c15:formulaRef>
                      </c:ext>
                    </c:extLst>
                    <c:numCache>
                      <c:formatCode>0</c:formatCode>
                      <c:ptCount val="25"/>
                      <c:pt idx="0">
                        <c:v>-1.6641005886756874</c:v>
                      </c:pt>
                      <c:pt idx="1">
                        <c:v>-1.5254255396193801</c:v>
                      </c:pt>
                      <c:pt idx="2">
                        <c:v>-1.386750490563073</c:v>
                      </c:pt>
                      <c:pt idx="3">
                        <c:v>-1.2480754415067656</c:v>
                      </c:pt>
                      <c:pt idx="4">
                        <c:v>-1.1094003924504583</c:v>
                      </c:pt>
                      <c:pt idx="5">
                        <c:v>-0.97072534339415106</c:v>
                      </c:pt>
                      <c:pt idx="6">
                        <c:v>-0.83205029433784372</c:v>
                      </c:pt>
                      <c:pt idx="7">
                        <c:v>-0.69337524528153649</c:v>
                      </c:pt>
                      <c:pt idx="8">
                        <c:v>-0.55470019622522915</c:v>
                      </c:pt>
                      <c:pt idx="9">
                        <c:v>-0.41602514716892186</c:v>
                      </c:pt>
                      <c:pt idx="10">
                        <c:v>-0.27735009811261457</c:v>
                      </c:pt>
                      <c:pt idx="11">
                        <c:v>-0.13867504905630729</c:v>
                      </c:pt>
                      <c:pt idx="12">
                        <c:v>0</c:v>
                      </c:pt>
                      <c:pt idx="13">
                        <c:v>0.13867504905630729</c:v>
                      </c:pt>
                      <c:pt idx="14">
                        <c:v>0.27735009811261457</c:v>
                      </c:pt>
                      <c:pt idx="15" formatCode="0.0">
                        <c:v>0.41602514716892186</c:v>
                      </c:pt>
                      <c:pt idx="16" formatCode="0.0">
                        <c:v>0.55470019622522915</c:v>
                      </c:pt>
                      <c:pt idx="17" formatCode="0.0">
                        <c:v>0.69337524528153649</c:v>
                      </c:pt>
                      <c:pt idx="18" formatCode="0.0">
                        <c:v>0.83205029433784372</c:v>
                      </c:pt>
                      <c:pt idx="19" formatCode="0.0">
                        <c:v>0.97072534339415106</c:v>
                      </c:pt>
                      <c:pt idx="20" formatCode="0.0">
                        <c:v>1.1094003924504583</c:v>
                      </c:pt>
                      <c:pt idx="21" formatCode="0.0">
                        <c:v>1.2480754415067656</c:v>
                      </c:pt>
                      <c:pt idx="22" formatCode="0.0">
                        <c:v>1.386750490563073</c:v>
                      </c:pt>
                      <c:pt idx="23" formatCode="0.0">
                        <c:v>1.5254255396193801</c:v>
                      </c:pt>
                      <c:pt idx="24" formatCode="0.0">
                        <c:v>1.6641005886756874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PDF!$K$8:$K$32</c15:sqref>
                        </c15:formulaRef>
                      </c:ext>
                    </c:extLst>
                    <c:numCache>
                      <c:formatCode>0%</c:formatCode>
                      <c:ptCount val="25"/>
                      <c:pt idx="0">
                        <c:v>4.8046164727836627E-2</c:v>
                      </c:pt>
                      <c:pt idx="1">
                        <c:v>6.3576496300007113E-2</c:v>
                      </c:pt>
                      <c:pt idx="2">
                        <c:v>8.275892934873498E-2</c:v>
                      </c:pt>
                      <c:pt idx="3">
                        <c:v>0.10600171546141283</c:v>
                      </c:pt>
                      <c:pt idx="4">
                        <c:v>0.1336287465771939</c:v>
                      </c:pt>
                      <c:pt idx="5">
                        <c:v>0.16584253402843122</c:v>
                      </c:pt>
                      <c:pt idx="6">
                        <c:v>0.20269027822947119</c:v>
                      </c:pt>
                      <c:pt idx="7">
                        <c:v>0.24403704658262404</c:v>
                      </c:pt>
                      <c:pt idx="8">
                        <c:v>0.28954987097695939</c:v>
                      </c:pt>
                      <c:pt idx="9">
                        <c:v>0.33869580096313867</c:v>
                      </c:pt>
                      <c:pt idx="10">
                        <c:v>0.39075564749935665</c:v>
                      </c:pt>
                      <c:pt idx="11">
                        <c:v>0.4448534677665506</c:v>
                      </c:pt>
                      <c:pt idx="12">
                        <c:v>0.5</c:v>
                      </c:pt>
                      <c:pt idx="13">
                        <c:v>0.55514653223344945</c:v>
                      </c:pt>
                      <c:pt idx="14">
                        <c:v>0.60924435250064335</c:v>
                      </c:pt>
                      <c:pt idx="15">
                        <c:v>0.66130419903686133</c:v>
                      </c:pt>
                      <c:pt idx="16">
                        <c:v>0.71045012902304061</c:v>
                      </c:pt>
                      <c:pt idx="17">
                        <c:v>0.75596295341737596</c:v>
                      </c:pt>
                      <c:pt idx="18">
                        <c:v>0.79730972177052883</c:v>
                      </c:pt>
                      <c:pt idx="19">
                        <c:v>0.83415746597156881</c:v>
                      </c:pt>
                      <c:pt idx="20">
                        <c:v>0.86637125342280608</c:v>
                      </c:pt>
                      <c:pt idx="21">
                        <c:v>0.89399828453858721</c:v>
                      </c:pt>
                      <c:pt idx="22">
                        <c:v>0.91724107065126503</c:v>
                      </c:pt>
                      <c:pt idx="23">
                        <c:v>0.93642350369999283</c:v>
                      </c:pt>
                      <c:pt idx="24">
                        <c:v>0.95195383527216337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515-4956-9AF8-8FF57D994BAF}"/>
                  </c:ext>
                </c:extLst>
              </c15:ser>
            </c15:filteredScatterSeries>
          </c:ext>
        </c:extLst>
      </c:scatterChart>
      <c:valAx>
        <c:axId val="3036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Z  →</a:t>
                </a:r>
              </a:p>
            </c:rich>
          </c:tx>
          <c:layout>
            <c:manualLayout>
              <c:xMode val="edge"/>
              <c:yMode val="edge"/>
              <c:x val="3.9167014216873811E-2"/>
              <c:y val="0.912057154586666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Pr  →</a:t>
                </a:r>
              </a:p>
            </c:rich>
          </c:tx>
          <c:layout>
            <c:manualLayout>
              <c:xMode val="edge"/>
              <c:yMode val="edge"/>
              <c:x val="2.2361265798117112E-2"/>
              <c:y val="0.7516899708103859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30361084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2044051769685758E-2"/>
          <c:y val="0.13895389777982384"/>
          <c:w val="0.19478978876735059"/>
          <c:h val="0.1845271142606120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Reconstruction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PDF!$H$7</c:f>
              <c:strCache>
                <c:ptCount val="1"/>
                <c:pt idx="0">
                  <c:v>data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yVal>
            <c:numRef>
              <c:f>PDF!$H$8:$H$32</c:f>
              <c:numCache>
                <c:formatCode>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40-47AF-93AB-C19C2B71E0A2}"/>
            </c:ext>
          </c:extLst>
        </c:ser>
        <c:ser>
          <c:idx val="2"/>
          <c:order val="1"/>
          <c:tx>
            <c:strRef>
              <c:f>PDF!$W$7</c:f>
              <c:strCache>
                <c:ptCount val="1"/>
                <c:pt idx="0">
                  <c:v>Xa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9"/>
            <c:spPr>
              <a:noFill/>
              <a:ln w="3175">
                <a:solidFill>
                  <a:srgbClr val="000000"/>
                </a:solidFill>
              </a:ln>
            </c:spPr>
          </c:marker>
          <c:yVal>
            <c:numRef>
              <c:f>PDF!$W$8:$W$32</c:f>
              <c:numCache>
                <c:formatCode>0.0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40-47AF-93AB-C19C2B71E0A2}"/>
            </c:ext>
          </c:extLst>
        </c:ser>
        <c:ser>
          <c:idx val="0"/>
          <c:order val="2"/>
          <c:tx>
            <c:strRef>
              <c:f>PDF!$X$7</c:f>
              <c:strCache>
                <c:ptCount val="1"/>
                <c:pt idx="0">
                  <c:v>Xb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yVal>
            <c:numRef>
              <c:f>PDF!$X$8:$X$32</c:f>
              <c:numCache>
                <c:formatCode>0.0</c:formatCode>
                <c:ptCount val="25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  <c:pt idx="5">
                  <c:v>9.5</c:v>
                </c:pt>
                <c:pt idx="6">
                  <c:v>10</c:v>
                </c:pt>
                <c:pt idx="7">
                  <c:v>10.5</c:v>
                </c:pt>
                <c:pt idx="8">
                  <c:v>11</c:v>
                </c:pt>
                <c:pt idx="9">
                  <c:v>11.5</c:v>
                </c:pt>
                <c:pt idx="10">
                  <c:v>12</c:v>
                </c:pt>
                <c:pt idx="11">
                  <c:v>12.5</c:v>
                </c:pt>
                <c:pt idx="12">
                  <c:v>13</c:v>
                </c:pt>
                <c:pt idx="13">
                  <c:v>13.5</c:v>
                </c:pt>
                <c:pt idx="14">
                  <c:v>14</c:v>
                </c:pt>
                <c:pt idx="15">
                  <c:v>14.5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40-47AF-93AB-C19C2B71E0A2}"/>
            </c:ext>
          </c:extLst>
        </c:ser>
        <c:ser>
          <c:idx val="3"/>
          <c:order val="3"/>
          <c:tx>
            <c:strRef>
              <c:f>PDF!$Y$7</c:f>
              <c:strCache>
                <c:ptCount val="1"/>
                <c:pt idx="0">
                  <c:v>Xc</c:v>
                </c:pt>
              </c:strCache>
            </c:strRef>
          </c:tx>
          <c:spPr>
            <a:ln w="19050">
              <a:noFill/>
            </a:ln>
          </c:spPr>
          <c:yVal>
            <c:numRef>
              <c:f>PDF!$Y$8:$Y$32</c:f>
              <c:numCache>
                <c:formatCode>0.0</c:formatCode>
                <c:ptCount val="25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340-47AF-93AB-C19C2B71E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152928"/>
        <c:axId val="534156256"/>
        <c:extLst/>
      </c:scatterChart>
      <c:valAx>
        <c:axId val="53415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156256"/>
        <c:crosses val="autoZero"/>
        <c:crossBetween val="midCat"/>
      </c:valAx>
      <c:valAx>
        <c:axId val="53415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152928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Standard Normal PDF</a:t>
            </a:r>
          </a:p>
        </c:rich>
      </c:tx>
      <c:layout>
        <c:manualLayout>
          <c:xMode val="edge"/>
          <c:yMode val="edge"/>
          <c:x val="0.17421128334238023"/>
          <c:y val="5.13139661833044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68771736490048"/>
          <c:y val="0.31641611378035073"/>
          <c:w val="0.73449766860406562"/>
          <c:h val="0.553594079970497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PDF!$K$7</c:f>
              <c:strCache>
                <c:ptCount val="1"/>
                <c:pt idx="0">
                  <c:v>Ya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3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PDF!$I$8:$I$32</c:f>
              <c:numCache>
                <c:formatCode>0</c:formatCode>
                <c:ptCount val="25"/>
                <c:pt idx="0">
                  <c:v>-1.6641005886756874</c:v>
                </c:pt>
                <c:pt idx="1">
                  <c:v>-1.5254255396193801</c:v>
                </c:pt>
                <c:pt idx="2">
                  <c:v>-1.386750490563073</c:v>
                </c:pt>
                <c:pt idx="3">
                  <c:v>-1.2480754415067656</c:v>
                </c:pt>
                <c:pt idx="4">
                  <c:v>-1.1094003924504583</c:v>
                </c:pt>
                <c:pt idx="5">
                  <c:v>-0.97072534339415106</c:v>
                </c:pt>
                <c:pt idx="6">
                  <c:v>-0.83205029433784372</c:v>
                </c:pt>
                <c:pt idx="7">
                  <c:v>-0.69337524528153649</c:v>
                </c:pt>
                <c:pt idx="8">
                  <c:v>-0.55470019622522915</c:v>
                </c:pt>
                <c:pt idx="9">
                  <c:v>-0.41602514716892186</c:v>
                </c:pt>
                <c:pt idx="10">
                  <c:v>-0.27735009811261457</c:v>
                </c:pt>
                <c:pt idx="11">
                  <c:v>-0.13867504905630729</c:v>
                </c:pt>
                <c:pt idx="12">
                  <c:v>0</c:v>
                </c:pt>
                <c:pt idx="13">
                  <c:v>0.13867504905630729</c:v>
                </c:pt>
                <c:pt idx="14">
                  <c:v>0.27735009811261457</c:v>
                </c:pt>
                <c:pt idx="15" formatCode="0.0">
                  <c:v>0.41602514716892186</c:v>
                </c:pt>
                <c:pt idx="16" formatCode="0.0">
                  <c:v>0.55470019622522915</c:v>
                </c:pt>
                <c:pt idx="17" formatCode="0.0">
                  <c:v>0.69337524528153649</c:v>
                </c:pt>
                <c:pt idx="18" formatCode="0.0">
                  <c:v>0.83205029433784372</c:v>
                </c:pt>
                <c:pt idx="19" formatCode="0.0">
                  <c:v>0.97072534339415106</c:v>
                </c:pt>
                <c:pt idx="20" formatCode="0.0">
                  <c:v>1.1094003924504583</c:v>
                </c:pt>
                <c:pt idx="21" formatCode="0.0">
                  <c:v>1.2480754415067656</c:v>
                </c:pt>
                <c:pt idx="22" formatCode="0.0">
                  <c:v>1.386750490563073</c:v>
                </c:pt>
                <c:pt idx="23" formatCode="0.0">
                  <c:v>1.5254255396193801</c:v>
                </c:pt>
                <c:pt idx="24" formatCode="0.0">
                  <c:v>1.6641005886756874</c:v>
                </c:pt>
              </c:numCache>
            </c:numRef>
          </c:xVal>
          <c:yVal>
            <c:numRef>
              <c:f>PDF!$K$8:$K$32</c:f>
              <c:numCache>
                <c:formatCode>0%</c:formatCode>
                <c:ptCount val="25"/>
                <c:pt idx="0">
                  <c:v>4.8046164727836627E-2</c:v>
                </c:pt>
                <c:pt idx="1">
                  <c:v>6.3576496300007113E-2</c:v>
                </c:pt>
                <c:pt idx="2">
                  <c:v>8.275892934873498E-2</c:v>
                </c:pt>
                <c:pt idx="3">
                  <c:v>0.10600171546141283</c:v>
                </c:pt>
                <c:pt idx="4">
                  <c:v>0.1336287465771939</c:v>
                </c:pt>
                <c:pt idx="5">
                  <c:v>0.16584253402843122</c:v>
                </c:pt>
                <c:pt idx="6">
                  <c:v>0.20269027822947119</c:v>
                </c:pt>
                <c:pt idx="7">
                  <c:v>0.24403704658262404</c:v>
                </c:pt>
                <c:pt idx="8">
                  <c:v>0.28954987097695939</c:v>
                </c:pt>
                <c:pt idx="9">
                  <c:v>0.33869580096313867</c:v>
                </c:pt>
                <c:pt idx="10">
                  <c:v>0.39075564749935665</c:v>
                </c:pt>
                <c:pt idx="11">
                  <c:v>0.4448534677665506</c:v>
                </c:pt>
                <c:pt idx="12">
                  <c:v>0.5</c:v>
                </c:pt>
                <c:pt idx="13">
                  <c:v>0.55514653223344945</c:v>
                </c:pt>
                <c:pt idx="14">
                  <c:v>0.60924435250064335</c:v>
                </c:pt>
                <c:pt idx="15">
                  <c:v>0.66130419903686133</c:v>
                </c:pt>
                <c:pt idx="16">
                  <c:v>0.71045012902304061</c:v>
                </c:pt>
                <c:pt idx="17">
                  <c:v>0.75596295341737596</c:v>
                </c:pt>
                <c:pt idx="18">
                  <c:v>0.79730972177052883</c:v>
                </c:pt>
                <c:pt idx="19">
                  <c:v>0.83415746597156881</c:v>
                </c:pt>
                <c:pt idx="20">
                  <c:v>0.86637125342280608</c:v>
                </c:pt>
                <c:pt idx="21">
                  <c:v>0.89399828453858721</c:v>
                </c:pt>
                <c:pt idx="22">
                  <c:v>0.91724107065126503</c:v>
                </c:pt>
                <c:pt idx="23">
                  <c:v>0.93642350369999283</c:v>
                </c:pt>
                <c:pt idx="24">
                  <c:v>0.95195383527216337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01-4A22-9626-695AC9BE0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3.9167014216873811E-2"/>
              <c:y val="0.912057154586666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2.2361265798117112E-2"/>
              <c:y val="0.7516899708103859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30361084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2044051769685758E-2"/>
          <c:y val="0.13895389777982384"/>
          <c:w val="9.5789172248921195E-2"/>
          <c:h val="0.27679067139091806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672581115169853"/>
          <c:y val="0.10672864665517236"/>
          <c:w val="0.8194058275174918"/>
          <c:h val="0.75705732069923648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'5'!$O$4</c:f>
              <c:strCache>
                <c:ptCount val="1"/>
                <c:pt idx="0">
                  <c:v>b11</c:v>
                </c:pt>
              </c:strCache>
            </c:strRef>
          </c:tx>
          <c:spPr>
            <a:ln w="6350">
              <a:solidFill>
                <a:srgbClr val="000000">
                  <a:alpha val="50000"/>
                </a:srgbClr>
              </a:solidFill>
            </a:ln>
          </c:spPr>
          <c:marker>
            <c:symbol val="diamond"/>
            <c:size val="4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'5'!$L$5:$L$984</c:f>
              <c:numCache>
                <c:formatCode>0</c:formatCode>
                <c:ptCount val="18"/>
                <c:pt idx="0">
                  <c:v>-1.6383560438182507</c:v>
                </c:pt>
                <c:pt idx="1">
                  <c:v>-1.44560827395728</c:v>
                </c:pt>
                <c:pt idx="2">
                  <c:v>-1.2528605040963092</c:v>
                </c:pt>
                <c:pt idx="3">
                  <c:v>-1.0601127342353387</c:v>
                </c:pt>
                <c:pt idx="4">
                  <c:v>-0.86736496437436794</c:v>
                </c:pt>
                <c:pt idx="5">
                  <c:v>-0.6746171945133973</c:v>
                </c:pt>
                <c:pt idx="6">
                  <c:v>-0.48186942465242666</c:v>
                </c:pt>
                <c:pt idx="7">
                  <c:v>-0.28912165479145602</c:v>
                </c:pt>
                <c:pt idx="8">
                  <c:v>-9.6373884930485335E-2</c:v>
                </c:pt>
                <c:pt idx="9">
                  <c:v>9.6373884930485335E-2</c:v>
                </c:pt>
                <c:pt idx="10">
                  <c:v>0.28912165479145602</c:v>
                </c:pt>
                <c:pt idx="11">
                  <c:v>0.48186942465242666</c:v>
                </c:pt>
                <c:pt idx="12">
                  <c:v>0.6746171945133973</c:v>
                </c:pt>
                <c:pt idx="13">
                  <c:v>0.86736496437436794</c:v>
                </c:pt>
                <c:pt idx="14">
                  <c:v>1.0601127342353387</c:v>
                </c:pt>
                <c:pt idx="15">
                  <c:v>1.2528605040963092</c:v>
                </c:pt>
                <c:pt idx="16">
                  <c:v>1.44560827395728</c:v>
                </c:pt>
                <c:pt idx="17">
                  <c:v>1.6383560438182507</c:v>
                </c:pt>
              </c:numCache>
            </c:numRef>
          </c:xVal>
          <c:yVal>
            <c:numRef>
              <c:f>'5'!$O$5:$O$984</c:f>
              <c:numCache>
                <c:formatCode>0%</c:formatCode>
                <c:ptCount val="18"/>
                <c:pt idx="0">
                  <c:v>0.10424162092406511</c:v>
                </c:pt>
                <c:pt idx="1">
                  <c:v>0.1403199405445649</c:v>
                </c:pt>
                <c:pt idx="2">
                  <c:v>0.18199642143077829</c:v>
                </c:pt>
                <c:pt idx="3">
                  <c:v>0.22744245040416985</c:v>
                </c:pt>
                <c:pt idx="4">
                  <c:v>0.27387060629963422</c:v>
                </c:pt>
                <c:pt idx="5">
                  <c:v>0.31774925523978276</c:v>
                </c:pt>
                <c:pt idx="6">
                  <c:v>0.35521302309689157</c:v>
                </c:pt>
                <c:pt idx="7">
                  <c:v>0.38261186963619304</c:v>
                </c:pt>
                <c:pt idx="8">
                  <c:v>0.39709390249370219</c:v>
                </c:pt>
                <c:pt idx="9">
                  <c:v>0.39709390249370219</c:v>
                </c:pt>
                <c:pt idx="10">
                  <c:v>0.38261186963619304</c:v>
                </c:pt>
                <c:pt idx="11">
                  <c:v>0.35521302309689157</c:v>
                </c:pt>
                <c:pt idx="12">
                  <c:v>0.31774925523978276</c:v>
                </c:pt>
                <c:pt idx="13">
                  <c:v>0.27387060629963422</c:v>
                </c:pt>
                <c:pt idx="14">
                  <c:v>0.22744245040416985</c:v>
                </c:pt>
                <c:pt idx="15">
                  <c:v>0.18199642143077829</c:v>
                </c:pt>
                <c:pt idx="16">
                  <c:v>0.1403199405445649</c:v>
                </c:pt>
                <c:pt idx="17">
                  <c:v>0.10424162092406511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FC-41A9-B808-9F3EF5BBE339}"/>
            </c:ext>
          </c:extLst>
        </c:ser>
        <c:ser>
          <c:idx val="0"/>
          <c:order val="1"/>
          <c:tx>
            <c:strRef>
              <c:f>'5'!$P$4</c:f>
              <c:strCache>
                <c:ptCount val="1"/>
                <c:pt idx="0">
                  <c:v>b12</c:v>
                </c:pt>
              </c:strCache>
            </c:strRef>
          </c:tx>
          <c:spPr>
            <a:ln w="6350">
              <a:solidFill>
                <a:srgbClr val="FF0000">
                  <a:alpha val="50000"/>
                </a:srgbClr>
              </a:solidFill>
            </a:ln>
          </c:spPr>
          <c:marker>
            <c:symbol val="triangle"/>
            <c:size val="8"/>
            <c:spPr>
              <a:noFill/>
              <a:ln w="3175">
                <a:solidFill>
                  <a:srgbClr val="FF0000">
                    <a:alpha val="60000"/>
                  </a:srgbClr>
                </a:solidFill>
              </a:ln>
            </c:spPr>
          </c:marker>
          <c:xVal>
            <c:numRef>
              <c:f>'5'!$M$5:$M$984</c:f>
              <c:numCache>
                <c:formatCode>0</c:formatCode>
                <c:ptCount val="18"/>
                <c:pt idx="0">
                  <c:v>-5.2767120876365015</c:v>
                </c:pt>
                <c:pt idx="1">
                  <c:v>-4.89121654791456</c:v>
                </c:pt>
                <c:pt idx="2">
                  <c:v>-4.5057210081926184</c:v>
                </c:pt>
                <c:pt idx="3">
                  <c:v>-4.1202254684706769</c:v>
                </c:pt>
                <c:pt idx="4">
                  <c:v>-3.7347299287487359</c:v>
                </c:pt>
                <c:pt idx="5">
                  <c:v>-3.3492343890267948</c:v>
                </c:pt>
                <c:pt idx="6">
                  <c:v>-2.9637388493048533</c:v>
                </c:pt>
                <c:pt idx="7">
                  <c:v>-2.5782433095829118</c:v>
                </c:pt>
                <c:pt idx="8">
                  <c:v>-2.1927477698609708</c:v>
                </c:pt>
                <c:pt idx="9">
                  <c:v>-1.8072522301390292</c:v>
                </c:pt>
                <c:pt idx="10">
                  <c:v>-1.421756690417088</c:v>
                </c:pt>
                <c:pt idx="11">
                  <c:v>-1.0362611506951467</c:v>
                </c:pt>
                <c:pt idx="12">
                  <c:v>-0.6507656109732054</c:v>
                </c:pt>
                <c:pt idx="13">
                  <c:v>-0.26527007125126412</c:v>
                </c:pt>
                <c:pt idx="14">
                  <c:v>0.12022546847067739</c:v>
                </c:pt>
                <c:pt idx="15">
                  <c:v>0.50572100819261845</c:v>
                </c:pt>
                <c:pt idx="16">
                  <c:v>0.89121654791455995</c:v>
                </c:pt>
                <c:pt idx="17">
                  <c:v>1.2767120876365015</c:v>
                </c:pt>
              </c:numCache>
            </c:numRef>
          </c:xVal>
          <c:yVal>
            <c:numRef>
              <c:f>'5'!$P$5:$P$984</c:f>
              <c:numCache>
                <c:formatCode>0%</c:formatCode>
                <c:ptCount val="18"/>
                <c:pt idx="0">
                  <c:v>3.5869845447225158E-7</c:v>
                </c:pt>
                <c:pt idx="1">
                  <c:v>2.5461244141642578E-6</c:v>
                </c:pt>
                <c:pt idx="2">
                  <c:v>1.557724386889388E-5</c:v>
                </c:pt>
                <c:pt idx="3">
                  <c:v>8.2141475306295419E-5</c:v>
                </c:pt>
                <c:pt idx="4">
                  <c:v>3.7333203741822871E-4</c:v>
                </c:pt>
                <c:pt idx="5">
                  <c:v>1.4624765260889906E-3</c:v>
                </c:pt>
                <c:pt idx="6">
                  <c:v>4.9379129508147889E-3</c:v>
                </c:pt>
                <c:pt idx="7">
                  <c:v>1.4370068458584519E-2</c:v>
                </c:pt>
                <c:pt idx="8">
                  <c:v>3.6044178068236135E-2</c:v>
                </c:pt>
                <c:pt idx="9">
                  <c:v>7.7924190242893029E-2</c:v>
                </c:pt>
                <c:pt idx="10">
                  <c:v>0.14520124872738679</c:v>
                </c:pt>
                <c:pt idx="11">
                  <c:v>0.23320039762525438</c:v>
                </c:pt>
                <c:pt idx="12">
                  <c:v>0.32281157877541444</c:v>
                </c:pt>
                <c:pt idx="13">
                  <c:v>0.3851499120424049</c:v>
                </c:pt>
                <c:pt idx="14">
                  <c:v>0.39606948543937309</c:v>
                </c:pt>
                <c:pt idx="15">
                  <c:v>0.35105393643366767</c:v>
                </c:pt>
                <c:pt idx="16">
                  <c:v>0.26818667274672037</c:v>
                </c:pt>
                <c:pt idx="17">
                  <c:v>0.17658809407333015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FC-41A9-B808-9F3EF5BBE339}"/>
            </c:ext>
          </c:extLst>
        </c:ser>
        <c:ser>
          <c:idx val="1"/>
          <c:order val="2"/>
          <c:tx>
            <c:strRef>
              <c:f>'5'!$Q$4</c:f>
              <c:strCache>
                <c:ptCount val="1"/>
                <c:pt idx="0">
                  <c:v>b13</c:v>
                </c:pt>
              </c:strCache>
            </c:strRef>
          </c:tx>
          <c:spPr>
            <a:ln w="6350">
              <a:solidFill>
                <a:srgbClr val="0000FF">
                  <a:alpha val="50000"/>
                </a:srgbClr>
              </a:solidFill>
            </a:ln>
          </c:spPr>
          <c:marker>
            <c:symbol val="square"/>
            <c:size val="8"/>
            <c:spPr>
              <a:noFill/>
              <a:ln w="3175">
                <a:solidFill>
                  <a:srgbClr val="0000FF">
                    <a:alpha val="60000"/>
                  </a:srgbClr>
                </a:solidFill>
              </a:ln>
            </c:spPr>
          </c:marker>
          <c:xVal>
            <c:numRef>
              <c:f>'5'!$N$5:$N$984</c:f>
              <c:numCache>
                <c:formatCode>0</c:formatCode>
                <c:ptCount val="18"/>
                <c:pt idx="0">
                  <c:v>0.18082197809087464</c:v>
                </c:pt>
                <c:pt idx="1">
                  <c:v>0.27719586302136001</c:v>
                </c:pt>
                <c:pt idx="2">
                  <c:v>0.37356974795184539</c:v>
                </c:pt>
                <c:pt idx="3">
                  <c:v>0.46994363288233065</c:v>
                </c:pt>
                <c:pt idx="4">
                  <c:v>0.56631751781281603</c:v>
                </c:pt>
                <c:pt idx="5">
                  <c:v>0.66269140274330129</c:v>
                </c:pt>
                <c:pt idx="6">
                  <c:v>0.75906528767378667</c:v>
                </c:pt>
                <c:pt idx="7">
                  <c:v>0.85543917260427205</c:v>
                </c:pt>
                <c:pt idx="8">
                  <c:v>0.95181305753475731</c:v>
                </c:pt>
                <c:pt idx="9">
                  <c:v>1.0481869424652426</c:v>
                </c:pt>
                <c:pt idx="10">
                  <c:v>1.144560827395728</c:v>
                </c:pt>
                <c:pt idx="11">
                  <c:v>1.2409347123262133</c:v>
                </c:pt>
                <c:pt idx="12">
                  <c:v>1.3373085972566987</c:v>
                </c:pt>
                <c:pt idx="13">
                  <c:v>1.4336824821871841</c:v>
                </c:pt>
                <c:pt idx="14">
                  <c:v>1.5300563671176692</c:v>
                </c:pt>
                <c:pt idx="15">
                  <c:v>1.6264302520481546</c:v>
                </c:pt>
                <c:pt idx="16">
                  <c:v>1.72280413697864</c:v>
                </c:pt>
                <c:pt idx="17">
                  <c:v>1.8191780219091254</c:v>
                </c:pt>
              </c:numCache>
            </c:numRef>
          </c:xVal>
          <c:yVal>
            <c:numRef>
              <c:f>'5'!$Q$5:$Q$984</c:f>
              <c:numCache>
                <c:formatCode>0%</c:formatCode>
                <c:ptCount val="18"/>
                <c:pt idx="0">
                  <c:v>0.39247327741951937</c:v>
                </c:pt>
                <c:pt idx="1">
                  <c:v>0.38390609274582566</c:v>
                </c:pt>
                <c:pt idx="2">
                  <c:v>0.37205420926423954</c:v>
                </c:pt>
                <c:pt idx="3">
                  <c:v>0.35723478859176216</c:v>
                </c:pt>
                <c:pt idx="4">
                  <c:v>0.33983458356215446</c:v>
                </c:pt>
                <c:pt idx="5">
                  <c:v>0.32029319098360426</c:v>
                </c:pt>
                <c:pt idx="6">
                  <c:v>0.29908466394076011</c:v>
                </c:pt>
                <c:pt idx="7">
                  <c:v>0.27669855285493805</c:v>
                </c:pt>
                <c:pt idx="8">
                  <c:v>0.25362142375664654</c:v>
                </c:pt>
                <c:pt idx="9">
                  <c:v>0.23031980798142704</c:v>
                </c:pt>
                <c:pt idx="10">
                  <c:v>0.20722538181147712</c:v>
                </c:pt>
                <c:pt idx="11">
                  <c:v>0.18472297412735708</c:v>
                </c:pt>
                <c:pt idx="12">
                  <c:v>0.16314177428059479</c:v>
                </c:pt>
                <c:pt idx="13">
                  <c:v>0.14274988114299375</c:v>
                </c:pt>
                <c:pt idx="14">
                  <c:v>0.1237521162730333</c:v>
                </c:pt>
                <c:pt idx="15">
                  <c:v>0.10629083500086016</c:v>
                </c:pt>
                <c:pt idx="16">
                  <c:v>9.0449320428258428E-2</c:v>
                </c:pt>
                <c:pt idx="17">
                  <c:v>7.6257243529125357E-2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FC-41A9-B808-9F3EF5BBE339}"/>
            </c:ext>
          </c:extLst>
        </c:ser>
        <c:ser>
          <c:idx val="3"/>
          <c:order val="3"/>
          <c:tx>
            <c:strRef>
              <c:f>'5'!$AA$4</c:f>
              <c:strCache>
                <c:ptCount val="1"/>
                <c:pt idx="0">
                  <c:v>b14</c:v>
                </c:pt>
              </c:strCache>
            </c:strRef>
          </c:tx>
          <c:xVal>
            <c:numRef>
              <c:f>'5'!$Z$5:$Z$22</c:f>
              <c:numCache>
                <c:formatCode>0.0</c:formatCode>
                <c:ptCount val="18"/>
                <c:pt idx="0">
                  <c:v>1.6413034329505727</c:v>
                </c:pt>
                <c:pt idx="1">
                  <c:v>1.4480004557607267</c:v>
                </c:pt>
                <c:pt idx="2">
                  <c:v>1.2546974785708807</c:v>
                </c:pt>
                <c:pt idx="3">
                  <c:v>1.0613945013810338</c:v>
                </c:pt>
                <c:pt idx="4">
                  <c:v>0.86809152419118873</c:v>
                </c:pt>
                <c:pt idx="5">
                  <c:v>0.67478854700134283</c:v>
                </c:pt>
                <c:pt idx="6">
                  <c:v>0.48148556981149682</c:v>
                </c:pt>
                <c:pt idx="7">
                  <c:v>0.28818259262165036</c:v>
                </c:pt>
                <c:pt idx="8">
                  <c:v>9.4879615431804384E-2</c:v>
                </c:pt>
                <c:pt idx="9">
                  <c:v>-9.8423361758041603E-2</c:v>
                </c:pt>
                <c:pt idx="10">
                  <c:v>-0.29172633894788758</c:v>
                </c:pt>
                <c:pt idx="11">
                  <c:v>-0.48502931613773359</c:v>
                </c:pt>
                <c:pt idx="12">
                  <c:v>-0.67833229332757961</c:v>
                </c:pt>
                <c:pt idx="13">
                  <c:v>-0.87163527051742506</c:v>
                </c:pt>
                <c:pt idx="14">
                  <c:v>-1.0649382477072715</c:v>
                </c:pt>
                <c:pt idx="15">
                  <c:v>-1.2582412248971175</c:v>
                </c:pt>
                <c:pt idx="16">
                  <c:v>-1.4515442020869636</c:v>
                </c:pt>
                <c:pt idx="17">
                  <c:v>-1.612953462340684</c:v>
                </c:pt>
              </c:numCache>
            </c:numRef>
          </c:xVal>
          <c:yVal>
            <c:numRef>
              <c:f>'5'!$AA$5:$AA$22</c:f>
              <c:numCache>
                <c:formatCode>0%</c:formatCode>
                <c:ptCount val="18"/>
                <c:pt idx="0">
                  <c:v>3.6481128566189626E-3</c:v>
                </c:pt>
                <c:pt idx="1">
                  <c:v>1.2043839526227475E-2</c:v>
                </c:pt>
                <c:pt idx="2">
                  <c:v>3.4241295994817185E-2</c:v>
                </c:pt>
                <c:pt idx="3">
                  <c:v>8.3834729198619992E-2</c:v>
                </c:pt>
                <c:pt idx="4">
                  <c:v>0.17676092928804199</c:v>
                </c:pt>
                <c:pt idx="5">
                  <c:v>0.32094981136209594</c:v>
                </c:pt>
                <c:pt idx="6">
                  <c:v>0.50185298511515419</c:v>
                </c:pt>
                <c:pt idx="7">
                  <c:v>0.67577860361660214</c:v>
                </c:pt>
                <c:pt idx="8">
                  <c:v>0.78364776768866651</c:v>
                </c:pt>
                <c:pt idx="9">
                  <c:v>0.7825748791635595</c:v>
                </c:pt>
                <c:pt idx="10">
                  <c:v>0.67300678590721374</c:v>
                </c:pt>
                <c:pt idx="11">
                  <c:v>0.49842695611384319</c:v>
                </c:pt>
                <c:pt idx="12">
                  <c:v>0.3178865397881373</c:v>
                </c:pt>
                <c:pt idx="13">
                  <c:v>0.17459479582982435</c:v>
                </c:pt>
                <c:pt idx="14">
                  <c:v>8.2580781459872341E-2</c:v>
                </c:pt>
                <c:pt idx="15">
                  <c:v>3.3636842400810475E-2</c:v>
                </c:pt>
                <c:pt idx="16">
                  <c:v>1.1798858448187909E-2</c:v>
                </c:pt>
                <c:pt idx="17">
                  <c:v>4.3873534344647152E-3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4F-4FF6-AE1B-5B354E316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/>
            </a:pPr>
            <a:endParaRPr lang="LID4096"/>
          </a:p>
        </c:txPr>
        <c:crossAx val="1"/>
        <c:crossesAt val="0"/>
        <c:crossBetween val="midCat"/>
      </c:valAx>
      <c:valAx>
        <c:axId val="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LID4096"/>
          </a:p>
        </c:txPr>
        <c:crossAx val="303610847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880211692137564E-2"/>
          <c:y val="5.9358530183727033E-2"/>
          <c:w val="0.91376367435755224"/>
          <c:h val="0.80189287201979853"/>
        </c:manualLayout>
      </c:layout>
      <c:barChart>
        <c:barDir val="col"/>
        <c:grouping val="clustered"/>
        <c:varyColors val="0"/>
        <c:ser>
          <c:idx val="4"/>
          <c:order val="1"/>
          <c:tx>
            <c:v>Med</c:v>
          </c:tx>
          <c:spPr>
            <a:solidFill>
              <a:srgbClr val="4472C4">
                <a:alpha val="20000"/>
              </a:srgbClr>
            </a:solidFill>
            <a:ln>
              <a:noFill/>
            </a:ln>
          </c:spPr>
          <c:invertIfNegative val="0"/>
          <c:cat>
            <c:numRef>
              <c:f>'5'!$D$5:$D$984</c:f>
              <c:numCache>
                <c:formatCode>0.00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'5'!$I$5:$I$984</c:f>
              <c:numCache>
                <c:formatCode>0.00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5-4488-8530-0F0B458E2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27231"/>
        <c:axId val="78627647"/>
      </c:barChart>
      <c:scatterChart>
        <c:scatterStyle val="lineMarker"/>
        <c:varyColors val="0"/>
        <c:ser>
          <c:idx val="3"/>
          <c:order val="0"/>
          <c:tx>
            <c:v>Mod</c:v>
          </c:tx>
          <c:spPr>
            <a:ln w="19050">
              <a:noFill/>
            </a:ln>
          </c:spPr>
          <c:marker>
            <c:symbol val="x"/>
            <c:size val="8"/>
            <c:spPr>
              <a:noFill/>
              <a:ln w="15875">
                <a:solidFill>
                  <a:srgbClr val="00B050"/>
                </a:solidFill>
              </a:ln>
            </c:spPr>
          </c:marker>
          <c:yVal>
            <c:numRef>
              <c:f>'5'!$I$5:$I$984</c:f>
              <c:numCache>
                <c:formatCode>0.00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05-4488-8530-0F0B458E2588}"/>
            </c:ext>
          </c:extLst>
        </c:ser>
        <c:ser>
          <c:idx val="5"/>
          <c:order val="2"/>
          <c:tx>
            <c:v>Blue</c:v>
          </c:tx>
          <c:spPr>
            <a:ln>
              <a:solidFill>
                <a:srgbClr val="0000FF">
                  <a:alpha val="20000"/>
                </a:srgbClr>
              </a:solidFill>
            </a:ln>
          </c:spPr>
          <c:marker>
            <c:symbol val="dash"/>
            <c:size val="10"/>
            <c:spPr>
              <a:solidFill>
                <a:srgbClr val="0000FF"/>
              </a:solidFill>
              <a:ln>
                <a:noFill/>
              </a:ln>
            </c:spPr>
          </c:marker>
          <c:yVal>
            <c:numRef>
              <c:f>'5'!$T$5:$T$984</c:f>
              <c:numCache>
                <c:formatCode>0.00</c:formatCode>
                <c:ptCount val="18"/>
                <c:pt idx="0">
                  <c:v>12.438127472091127</c:v>
                </c:pt>
                <c:pt idx="1">
                  <c:v>12.938127472091127</c:v>
                </c:pt>
                <c:pt idx="2">
                  <c:v>13.438127472091127</c:v>
                </c:pt>
                <c:pt idx="3">
                  <c:v>13.938127472091127</c:v>
                </c:pt>
                <c:pt idx="4">
                  <c:v>14.438127472091127</c:v>
                </c:pt>
                <c:pt idx="5">
                  <c:v>14.938127472091127</c:v>
                </c:pt>
                <c:pt idx="6">
                  <c:v>15.438127472091127</c:v>
                </c:pt>
                <c:pt idx="7">
                  <c:v>15.938127472091127</c:v>
                </c:pt>
                <c:pt idx="8">
                  <c:v>16.438127472091125</c:v>
                </c:pt>
                <c:pt idx="9">
                  <c:v>16.938127472091125</c:v>
                </c:pt>
                <c:pt idx="10">
                  <c:v>17.438127472091125</c:v>
                </c:pt>
                <c:pt idx="11">
                  <c:v>17.938127472091125</c:v>
                </c:pt>
                <c:pt idx="12">
                  <c:v>18.438127472091125</c:v>
                </c:pt>
                <c:pt idx="13">
                  <c:v>18.938127472091129</c:v>
                </c:pt>
                <c:pt idx="14">
                  <c:v>19.438127472091125</c:v>
                </c:pt>
                <c:pt idx="15">
                  <c:v>19.938127472091125</c:v>
                </c:pt>
                <c:pt idx="16">
                  <c:v>20.438127472091125</c:v>
                </c:pt>
                <c:pt idx="17">
                  <c:v>20.938127472091125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05-4488-8530-0F0B458E2588}"/>
            </c:ext>
          </c:extLst>
        </c:ser>
        <c:ser>
          <c:idx val="6"/>
          <c:order val="3"/>
          <c:tx>
            <c:v>Red</c:v>
          </c:tx>
          <c:spPr>
            <a:ln>
              <a:solidFill>
                <a:srgbClr val="FF0000">
                  <a:alpha val="20000"/>
                </a:srgbClr>
              </a:solidFill>
            </a:ln>
          </c:spPr>
          <c:marker>
            <c:symbol val="dash"/>
            <c:size val="10"/>
            <c:spPr>
              <a:solidFill>
                <a:srgbClr val="FF0000"/>
              </a:solidFill>
              <a:ln>
                <a:noFill/>
              </a:ln>
            </c:spPr>
          </c:marker>
          <c:yVal>
            <c:numRef>
              <c:f>'5'!$S$5:$S$984</c:f>
              <c:numCache>
                <c:formatCode>0.00</c:formatCode>
                <c:ptCount val="18"/>
                <c:pt idx="0">
                  <c:v>-14.876254944182254</c:v>
                </c:pt>
                <c:pt idx="1">
                  <c:v>-12.876254944182254</c:v>
                </c:pt>
                <c:pt idx="2">
                  <c:v>-10.876254944182254</c:v>
                </c:pt>
                <c:pt idx="3">
                  <c:v>-8.87625494418225</c:v>
                </c:pt>
                <c:pt idx="4">
                  <c:v>-6.8762549441822536</c:v>
                </c:pt>
                <c:pt idx="5">
                  <c:v>-4.8762549441822536</c:v>
                </c:pt>
                <c:pt idx="6">
                  <c:v>-2.8762549441822536</c:v>
                </c:pt>
                <c:pt idx="7">
                  <c:v>-0.8762549441822518</c:v>
                </c:pt>
                <c:pt idx="8">
                  <c:v>1.1237450558177464</c:v>
                </c:pt>
                <c:pt idx="9">
                  <c:v>3.1237450558177464</c:v>
                </c:pt>
                <c:pt idx="10">
                  <c:v>5.1237450558177464</c:v>
                </c:pt>
                <c:pt idx="11">
                  <c:v>7.1237450558177464</c:v>
                </c:pt>
                <c:pt idx="12">
                  <c:v>9.1237450558177464</c:v>
                </c:pt>
                <c:pt idx="13">
                  <c:v>11.123745055817746</c:v>
                </c:pt>
                <c:pt idx="14">
                  <c:v>13.123745055817746</c:v>
                </c:pt>
                <c:pt idx="15">
                  <c:v>15.123745055817746</c:v>
                </c:pt>
                <c:pt idx="16">
                  <c:v>17.123745055817746</c:v>
                </c:pt>
                <c:pt idx="17">
                  <c:v>19.123745055817746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05-4488-8530-0F0B458E2588}"/>
            </c:ext>
          </c:extLst>
        </c:ser>
        <c:ser>
          <c:idx val="1"/>
          <c:order val="4"/>
          <c:tx>
            <c:v>Target</c:v>
          </c:tx>
          <c:spPr>
            <a:ln w="19050">
              <a:noFill/>
            </a:ln>
          </c:spPr>
          <c:marker>
            <c:symbol val="circle"/>
            <c:size val="10"/>
            <c:spPr>
              <a:noFill/>
              <a:ln w="6350">
                <a:solidFill>
                  <a:sysClr val="windowText" lastClr="000000"/>
                </a:solidFill>
                <a:prstDash val="dash"/>
              </a:ln>
            </c:spPr>
          </c:marker>
          <c:yVal>
            <c:numRef>
              <c:f>'5'!$R$5:$R$984</c:f>
              <c:numCache>
                <c:formatCode>0.00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05-4488-8530-0F0B458E2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27231"/>
        <c:axId val="78627647"/>
      </c:scatterChart>
      <c:scatterChart>
        <c:scatterStyle val="lineMarker"/>
        <c:varyColors val="0"/>
        <c:ser>
          <c:idx val="0"/>
          <c:order val="5"/>
          <c:tx>
            <c:v>SEO</c:v>
          </c:tx>
          <c:marker>
            <c:symbol val="square"/>
            <c:size val="6"/>
            <c:spPr>
              <a:noFill/>
              <a:ln w="12700">
                <a:solidFill>
                  <a:srgbClr val="7030A0"/>
                </a:solidFill>
              </a:ln>
            </c:spPr>
          </c:marker>
          <c:yVal>
            <c:numRef>
              <c:f>'5'!$AD$5:$AD$22</c:f>
              <c:numCache>
                <c:formatCode>0%</c:formatCode>
                <c:ptCount val="18"/>
                <c:pt idx="0">
                  <c:v>424.14812266304745</c:v>
                </c:pt>
                <c:pt idx="1">
                  <c:v>121.4202737856655</c:v>
                </c:pt>
                <c:pt idx="2">
                  <c:v>40.226058214062462</c:v>
                </c:pt>
                <c:pt idx="3">
                  <c:v>15.416265450774953</c:v>
                </c:pt>
                <c:pt idx="4">
                  <c:v>6.8309468471930277</c:v>
                </c:pt>
                <c:pt idx="5">
                  <c:v>3.4973399148316902</c:v>
                </c:pt>
                <c:pt idx="6">
                  <c:v>2.0673318481977301</c:v>
                </c:pt>
                <c:pt idx="7">
                  <c:v>1.4095189274287323</c:v>
                </c:pt>
                <c:pt idx="8">
                  <c:v>1.1070647319203821</c:v>
                </c:pt>
                <c:pt idx="9">
                  <c:v>1</c:v>
                </c:pt>
                <c:pt idx="10">
                  <c:v>1.0365437126023811</c:v>
                </c:pt>
                <c:pt idx="11">
                  <c:v>1.2291209740233875</c:v>
                </c:pt>
                <c:pt idx="12">
                  <c:v>1.659878708413151</c:v>
                </c:pt>
                <c:pt idx="13">
                  <c:v>2.5354660217033835</c:v>
                </c:pt>
                <c:pt idx="14">
                  <c:v>4.3315798104172112</c:v>
                </c:pt>
                <c:pt idx="15">
                  <c:v>8.1081129957902185</c:v>
                </c:pt>
                <c:pt idx="16">
                  <c:v>15.913182884526849</c:v>
                </c:pt>
                <c:pt idx="17">
                  <c:v>26.622793240210243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805-4488-8530-0F0B458E2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447343"/>
        <c:axId val="854442767"/>
        <c:extLst/>
      </c:scatterChart>
      <c:catAx>
        <c:axId val="78627231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LID4096"/>
          </a:p>
        </c:txPr>
        <c:crossAx val="78627647"/>
        <c:crossesAt val="0"/>
        <c:auto val="1"/>
        <c:lblAlgn val="ctr"/>
        <c:lblOffset val="100"/>
        <c:tickLblSkip val="1"/>
        <c:noMultiLvlLbl val="0"/>
      </c:catAx>
      <c:valAx>
        <c:axId val="786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vert="horz"/>
          <a:lstStyle/>
          <a:p>
            <a:pPr>
              <a:defRPr sz="1100">
                <a:latin typeface="+mj-lt"/>
              </a:defRPr>
            </a:pPr>
            <a:endParaRPr lang="LID4096"/>
          </a:p>
        </c:txPr>
        <c:crossAx val="78627231"/>
        <c:crosses val="autoZero"/>
        <c:crossBetween val="between"/>
      </c:valAx>
      <c:valAx>
        <c:axId val="854442767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7030A0"/>
                </a:solidFill>
              </a:defRPr>
            </a:pPr>
            <a:endParaRPr lang="LID4096"/>
          </a:p>
        </c:txPr>
        <c:crossAx val="854447343"/>
        <c:crosses val="max"/>
        <c:crossBetween val="midCat"/>
      </c:valAx>
      <c:valAx>
        <c:axId val="854447343"/>
        <c:scaling>
          <c:orientation val="minMax"/>
        </c:scaling>
        <c:delete val="1"/>
        <c:axPos val="b"/>
        <c:majorTickMark val="out"/>
        <c:minorTickMark val="none"/>
        <c:tickLblPos val="nextTo"/>
        <c:crossAx val="854442767"/>
        <c:crosses val="autoZero"/>
        <c:crossBetween val="midCat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2.3274234559108722E-2"/>
          <c:y val="0.89754232927397026"/>
          <c:w val="0.47803595587971909"/>
          <c:h val="9.1290032099188928E-2"/>
        </c:manualLayout>
      </c:layout>
      <c:overlay val="0"/>
      <c:txPr>
        <a:bodyPr/>
        <a:lstStyle/>
        <a:p>
          <a:pPr>
            <a:defRPr sz="1400"/>
          </a:pPr>
          <a:endParaRPr lang="LID4096"/>
        </a:p>
      </c:txPr>
    </c:legend>
    <c:plotVisOnly val="1"/>
    <c:dispBlanksAs val="gap"/>
    <c:showDLblsOverMax val="0"/>
  </c:chart>
  <c:spPr>
    <a:solidFill>
      <a:sysClr val="window" lastClr="FFFFFF"/>
    </a:solidFill>
    <a:ln>
      <a:solidFill>
        <a:sysClr val="windowText" lastClr="000000"/>
      </a:solidFill>
    </a:ln>
  </c:spPr>
  <c:txPr>
    <a:bodyPr/>
    <a:lstStyle/>
    <a:p>
      <a:pPr>
        <a:defRPr sz="20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Standard Normal CDF</a:t>
            </a:r>
          </a:p>
        </c:rich>
      </c:tx>
      <c:layout>
        <c:manualLayout>
          <c:xMode val="edge"/>
          <c:yMode val="edge"/>
          <c:x val="0.3405192184203284"/>
          <c:y val="3.35377482345248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0010474888513"/>
          <c:y val="0.30355289012979797"/>
          <c:w val="0.73449766860406562"/>
          <c:h val="0.4910083109939467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'PDF (2)'!$J$7</c:f>
              <c:strCache>
                <c:ptCount val="1"/>
                <c:pt idx="0">
                  <c:v>SA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noFill/>
              </a:ln>
            </c:spPr>
          </c:marker>
          <c:xVal>
            <c:numRef>
              <c:f>'PDF (2)'!$C$8:$C$32</c:f>
              <c:numCache>
                <c:formatCode>0</c:formatCode>
                <c:ptCount val="25"/>
                <c:pt idx="0">
                  <c:v>-1.6641005886756874</c:v>
                </c:pt>
                <c:pt idx="1">
                  <c:v>-1.5254255396193801</c:v>
                </c:pt>
                <c:pt idx="2">
                  <c:v>-1.386750490563073</c:v>
                </c:pt>
                <c:pt idx="3">
                  <c:v>-1.2480754415067656</c:v>
                </c:pt>
                <c:pt idx="4">
                  <c:v>-1.1094003924504583</c:v>
                </c:pt>
                <c:pt idx="5">
                  <c:v>-0.97072534339415106</c:v>
                </c:pt>
                <c:pt idx="6">
                  <c:v>-0.83205029433784372</c:v>
                </c:pt>
                <c:pt idx="7">
                  <c:v>-0.69337524528153649</c:v>
                </c:pt>
                <c:pt idx="8">
                  <c:v>-0.55470019622522915</c:v>
                </c:pt>
                <c:pt idx="9">
                  <c:v>-0.41602514716892186</c:v>
                </c:pt>
                <c:pt idx="10">
                  <c:v>-0.27735009811261457</c:v>
                </c:pt>
                <c:pt idx="11">
                  <c:v>-0.13867504905630729</c:v>
                </c:pt>
                <c:pt idx="12">
                  <c:v>0</c:v>
                </c:pt>
                <c:pt idx="13">
                  <c:v>0.13867504905630729</c:v>
                </c:pt>
                <c:pt idx="14">
                  <c:v>0.27735009811261457</c:v>
                </c:pt>
                <c:pt idx="15" formatCode="0.0">
                  <c:v>0.41602514716892186</c:v>
                </c:pt>
                <c:pt idx="16" formatCode="0.0">
                  <c:v>0.55470019622522915</c:v>
                </c:pt>
                <c:pt idx="17" formatCode="0.0">
                  <c:v>0.69337524528153649</c:v>
                </c:pt>
                <c:pt idx="18" formatCode="0.0">
                  <c:v>0.83205029433784372</c:v>
                </c:pt>
                <c:pt idx="19" formatCode="0.0">
                  <c:v>0.97072534339415106</c:v>
                </c:pt>
                <c:pt idx="20" formatCode="0.0">
                  <c:v>1.1094003924504583</c:v>
                </c:pt>
                <c:pt idx="21" formatCode="0.0">
                  <c:v>1.2480754415067656</c:v>
                </c:pt>
                <c:pt idx="22" formatCode="0.0">
                  <c:v>1.386750490563073</c:v>
                </c:pt>
                <c:pt idx="23" formatCode="0.0">
                  <c:v>1.5254255396193801</c:v>
                </c:pt>
                <c:pt idx="24" formatCode="0.0">
                  <c:v>1.6641005886756874</c:v>
                </c:pt>
              </c:numCache>
            </c:numRef>
          </c:xVal>
          <c:yVal>
            <c:numRef>
              <c:f>'PDF (2)'!$J$8:$J$32</c:f>
              <c:numCache>
                <c:formatCode>0%</c:formatCode>
                <c:ptCount val="25"/>
                <c:pt idx="0">
                  <c:v>4.8046164727836627E-2</c:v>
                </c:pt>
                <c:pt idx="1">
                  <c:v>6.3576496300007113E-2</c:v>
                </c:pt>
                <c:pt idx="2">
                  <c:v>8.275892934873498E-2</c:v>
                </c:pt>
                <c:pt idx="3">
                  <c:v>0.10600171546141283</c:v>
                </c:pt>
                <c:pt idx="4">
                  <c:v>0.1336287465771939</c:v>
                </c:pt>
                <c:pt idx="5">
                  <c:v>0.16584253402843122</c:v>
                </c:pt>
                <c:pt idx="6">
                  <c:v>0.20269027822947119</c:v>
                </c:pt>
                <c:pt idx="7">
                  <c:v>0.24403704658262404</c:v>
                </c:pt>
                <c:pt idx="8">
                  <c:v>0.28954987097695939</c:v>
                </c:pt>
                <c:pt idx="9">
                  <c:v>0.33869580096313867</c:v>
                </c:pt>
                <c:pt idx="10">
                  <c:v>0.39075564749935665</c:v>
                </c:pt>
                <c:pt idx="11">
                  <c:v>0.4448534677665506</c:v>
                </c:pt>
                <c:pt idx="12">
                  <c:v>0.5</c:v>
                </c:pt>
                <c:pt idx="13">
                  <c:v>0.55514653223344945</c:v>
                </c:pt>
                <c:pt idx="14">
                  <c:v>0.60924435250064335</c:v>
                </c:pt>
                <c:pt idx="15">
                  <c:v>0.66130419903686133</c:v>
                </c:pt>
                <c:pt idx="16">
                  <c:v>0.71045012902304061</c:v>
                </c:pt>
                <c:pt idx="17">
                  <c:v>0.75596295341737596</c:v>
                </c:pt>
                <c:pt idx="18">
                  <c:v>0.79730972177052883</c:v>
                </c:pt>
                <c:pt idx="19">
                  <c:v>0.83415746597156881</c:v>
                </c:pt>
                <c:pt idx="20">
                  <c:v>0.86637125342280608</c:v>
                </c:pt>
                <c:pt idx="21">
                  <c:v>0.89399828453858721</c:v>
                </c:pt>
                <c:pt idx="22">
                  <c:v>0.91724107065126503</c:v>
                </c:pt>
                <c:pt idx="23">
                  <c:v>0.93642350369999283</c:v>
                </c:pt>
                <c:pt idx="24">
                  <c:v>0.95195383527216337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9A-4587-A17E-E3E760372365}"/>
            </c:ext>
          </c:extLst>
        </c:ser>
        <c:ser>
          <c:idx val="2"/>
          <c:order val="1"/>
          <c:tx>
            <c:strRef>
              <c:f>'PDF (2)'!$K$7</c:f>
              <c:strCache>
                <c:ptCount val="1"/>
                <c:pt idx="0">
                  <c:v>SB</c:v>
                </c:pt>
              </c:strCache>
            </c:strRef>
          </c:tx>
          <c:spPr>
            <a:ln w="76200">
              <a:noFill/>
              <a:prstDash val="solid"/>
            </a:ln>
          </c:spPr>
          <c:marker>
            <c:symbol val="circle"/>
            <c:size val="10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'PDF (2)'!$D$8:$D$32</c:f>
              <c:numCache>
                <c:formatCode>0</c:formatCode>
                <c:ptCount val="25"/>
                <c:pt idx="0">
                  <c:v>-0.83205029433784372</c:v>
                </c:pt>
                <c:pt idx="1">
                  <c:v>-0.76271276980969005</c:v>
                </c:pt>
                <c:pt idx="2">
                  <c:v>-0.69337524528153649</c:v>
                </c:pt>
                <c:pt idx="3">
                  <c:v>-0.62403772075338282</c:v>
                </c:pt>
                <c:pt idx="4">
                  <c:v>-0.55470019622522915</c:v>
                </c:pt>
                <c:pt idx="5">
                  <c:v>-0.48536267169707553</c:v>
                </c:pt>
                <c:pt idx="6">
                  <c:v>-0.41602514716892186</c:v>
                </c:pt>
                <c:pt idx="7">
                  <c:v>-0.34668762264076824</c:v>
                </c:pt>
                <c:pt idx="8">
                  <c:v>-0.27735009811261457</c:v>
                </c:pt>
                <c:pt idx="9">
                  <c:v>-0.20801257358446093</c:v>
                </c:pt>
                <c:pt idx="10">
                  <c:v>-0.13867504905630729</c:v>
                </c:pt>
                <c:pt idx="11">
                  <c:v>-6.9337524528153643E-2</c:v>
                </c:pt>
                <c:pt idx="12">
                  <c:v>0</c:v>
                </c:pt>
                <c:pt idx="13">
                  <c:v>6.9337524528153643E-2</c:v>
                </c:pt>
                <c:pt idx="14">
                  <c:v>0.13867504905630729</c:v>
                </c:pt>
                <c:pt idx="15">
                  <c:v>0.20801257358446093</c:v>
                </c:pt>
                <c:pt idx="16">
                  <c:v>0.27735009811261457</c:v>
                </c:pt>
                <c:pt idx="17">
                  <c:v>0.34668762264076824</c:v>
                </c:pt>
                <c:pt idx="18">
                  <c:v>0.41602514716892186</c:v>
                </c:pt>
                <c:pt idx="19">
                  <c:v>0.48536267169707553</c:v>
                </c:pt>
                <c:pt idx="20">
                  <c:v>0.55470019622522915</c:v>
                </c:pt>
                <c:pt idx="21">
                  <c:v>0.62403772075338282</c:v>
                </c:pt>
                <c:pt idx="22">
                  <c:v>0.69337524528153649</c:v>
                </c:pt>
                <c:pt idx="23">
                  <c:v>0.76271276980969005</c:v>
                </c:pt>
                <c:pt idx="24">
                  <c:v>0.83205029433784372</c:v>
                </c:pt>
              </c:numCache>
            </c:numRef>
          </c:xVal>
          <c:yVal>
            <c:numRef>
              <c:f>'PDF (2)'!$K$8:$K$32</c:f>
              <c:numCache>
                <c:formatCode>0%</c:formatCode>
                <c:ptCount val="25"/>
                <c:pt idx="0">
                  <c:v>0.20269027822947119</c:v>
                </c:pt>
                <c:pt idx="1">
                  <c:v>0.22281735660347199</c:v>
                </c:pt>
                <c:pt idx="2">
                  <c:v>0.24403704658262404</c:v>
                </c:pt>
                <c:pt idx="3">
                  <c:v>0.26630140646823697</c:v>
                </c:pt>
                <c:pt idx="4">
                  <c:v>0.28954987097695939</c:v>
                </c:pt>
                <c:pt idx="5">
                  <c:v>0.31370955318304983</c:v>
                </c:pt>
                <c:pt idx="6">
                  <c:v>0.33869580096313867</c:v>
                </c:pt>
                <c:pt idx="7">
                  <c:v>0.36441300494615936</c:v>
                </c:pt>
                <c:pt idx="8">
                  <c:v>0.39075564749935665</c:v>
                </c:pt>
                <c:pt idx="9">
                  <c:v>0.41760957489251449</c:v>
                </c:pt>
                <c:pt idx="10">
                  <c:v>0.4448534677665506</c:v>
                </c:pt>
                <c:pt idx="11">
                  <c:v>0.47236047867206349</c:v>
                </c:pt>
                <c:pt idx="12">
                  <c:v>0.5</c:v>
                </c:pt>
                <c:pt idx="13">
                  <c:v>0.52763952132793657</c:v>
                </c:pt>
                <c:pt idx="14">
                  <c:v>0.55514653223344945</c:v>
                </c:pt>
                <c:pt idx="15">
                  <c:v>0.58239042510748551</c:v>
                </c:pt>
                <c:pt idx="16">
                  <c:v>0.60924435250064335</c:v>
                </c:pt>
                <c:pt idx="17">
                  <c:v>0.63558699505384064</c:v>
                </c:pt>
                <c:pt idx="18">
                  <c:v>0.66130419903686133</c:v>
                </c:pt>
                <c:pt idx="19">
                  <c:v>0.68629044681695017</c:v>
                </c:pt>
                <c:pt idx="20">
                  <c:v>0.71045012902304061</c:v>
                </c:pt>
                <c:pt idx="21">
                  <c:v>0.73369859353176303</c:v>
                </c:pt>
                <c:pt idx="22">
                  <c:v>0.75596295341737596</c:v>
                </c:pt>
                <c:pt idx="23">
                  <c:v>0.77718264339652798</c:v>
                </c:pt>
                <c:pt idx="24">
                  <c:v>0.79730972177052883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9A-4587-A17E-E3E760372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4.7798532769663941E-2"/>
              <c:y val="0.899137121161093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2.5771098716822451E-2"/>
              <c:y val="0.75739066006331546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303610847"/>
        <c:crosses val="autoZero"/>
        <c:crossBetween val="midCat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3.2608559463456921E-2"/>
          <c:y val="0.14767929106885608"/>
          <c:w val="0.38772945885685689"/>
          <c:h val="8.7687259649879473E-2"/>
        </c:manualLayout>
      </c:layout>
      <c:overlay val="1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Standard Normal PDF</a:t>
            </a:r>
          </a:p>
        </c:rich>
      </c:tx>
      <c:layout>
        <c:manualLayout>
          <c:xMode val="edge"/>
          <c:yMode val="edge"/>
          <c:x val="0.17421128334238023"/>
          <c:y val="5.13139661833044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68771736490048"/>
          <c:y val="0.31641611378035073"/>
          <c:w val="0.73449766860406562"/>
          <c:h val="0.5535940799704971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'PDF (2)'!$H$7</c:f>
              <c:strCache>
                <c:ptCount val="1"/>
                <c:pt idx="0">
                  <c:v>PA</c:v>
                </c:pt>
              </c:strCache>
            </c:strRef>
          </c:tx>
          <c:spPr>
            <a:ln w="38100">
              <a:noFill/>
              <a:prstDash val="dash"/>
              <a:headEnd type="oval" w="sm" len="sm"/>
              <a:tailEnd type="oval" w="sm" len="sm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noFill/>
              </a:ln>
            </c:spPr>
          </c:marker>
          <c:xVal>
            <c:numRef>
              <c:f>'PDF (2)'!$C$8:$C$32</c:f>
              <c:numCache>
                <c:formatCode>0</c:formatCode>
                <c:ptCount val="25"/>
                <c:pt idx="0">
                  <c:v>-1.6641005886756874</c:v>
                </c:pt>
                <c:pt idx="1">
                  <c:v>-1.5254255396193801</c:v>
                </c:pt>
                <c:pt idx="2">
                  <c:v>-1.386750490563073</c:v>
                </c:pt>
                <c:pt idx="3">
                  <c:v>-1.2480754415067656</c:v>
                </c:pt>
                <c:pt idx="4">
                  <c:v>-1.1094003924504583</c:v>
                </c:pt>
                <c:pt idx="5">
                  <c:v>-0.97072534339415106</c:v>
                </c:pt>
                <c:pt idx="6">
                  <c:v>-0.83205029433784372</c:v>
                </c:pt>
                <c:pt idx="7">
                  <c:v>-0.69337524528153649</c:v>
                </c:pt>
                <c:pt idx="8">
                  <c:v>-0.55470019622522915</c:v>
                </c:pt>
                <c:pt idx="9">
                  <c:v>-0.41602514716892186</c:v>
                </c:pt>
                <c:pt idx="10">
                  <c:v>-0.27735009811261457</c:v>
                </c:pt>
                <c:pt idx="11">
                  <c:v>-0.13867504905630729</c:v>
                </c:pt>
                <c:pt idx="12">
                  <c:v>0</c:v>
                </c:pt>
                <c:pt idx="13">
                  <c:v>0.13867504905630729</c:v>
                </c:pt>
                <c:pt idx="14">
                  <c:v>0.27735009811261457</c:v>
                </c:pt>
                <c:pt idx="15" formatCode="0.0">
                  <c:v>0.41602514716892186</c:v>
                </c:pt>
                <c:pt idx="16" formatCode="0.0">
                  <c:v>0.55470019622522915</c:v>
                </c:pt>
                <c:pt idx="17" formatCode="0.0">
                  <c:v>0.69337524528153649</c:v>
                </c:pt>
                <c:pt idx="18" formatCode="0.0">
                  <c:v>0.83205029433784372</c:v>
                </c:pt>
                <c:pt idx="19" formatCode="0.0">
                  <c:v>0.97072534339415106</c:v>
                </c:pt>
                <c:pt idx="20" formatCode="0.0">
                  <c:v>1.1094003924504583</c:v>
                </c:pt>
                <c:pt idx="21" formatCode="0.0">
                  <c:v>1.2480754415067656</c:v>
                </c:pt>
                <c:pt idx="22" formatCode="0.0">
                  <c:v>1.386750490563073</c:v>
                </c:pt>
                <c:pt idx="23" formatCode="0.0">
                  <c:v>1.5254255396193801</c:v>
                </c:pt>
                <c:pt idx="24" formatCode="0.0">
                  <c:v>1.6641005886756874</c:v>
                </c:pt>
              </c:numCache>
            </c:numRef>
          </c:xVal>
          <c:yVal>
            <c:numRef>
              <c:f>'PDF (2)'!$H$8:$H$32</c:f>
              <c:numCache>
                <c:formatCode>0%</c:formatCode>
                <c:ptCount val="25"/>
                <c:pt idx="0">
                  <c:v>9.9903164433323657E-2</c:v>
                </c:pt>
                <c:pt idx="1">
                  <c:v>0.12463073026883781</c:v>
                </c:pt>
                <c:pt idx="2">
                  <c:v>0.15251733843477824</c:v>
                </c:pt>
                <c:pt idx="3">
                  <c:v>0.18308867383025043</c:v>
                </c:pt>
                <c:pt idx="4">
                  <c:v>0.21560157202251737</c:v>
                </c:pt>
                <c:pt idx="5">
                  <c:v>0.24905229627756828</c:v>
                </c:pt>
                <c:pt idx="6">
                  <c:v>0.28221322425966744</c:v>
                </c:pt>
                <c:pt idx="7">
                  <c:v>0.31369843627095056</c:v>
                </c:pt>
                <c:pt idx="8">
                  <c:v>0.34205467473499207</c:v>
                </c:pt>
                <c:pt idx="9">
                  <c:v>0.36587007507280811</c:v>
                </c:pt>
                <c:pt idx="10">
                  <c:v>0.38388967526703272</c:v>
                </c:pt>
                <c:pt idx="11">
                  <c:v>0.39512468019634539</c:v>
                </c:pt>
                <c:pt idx="12">
                  <c:v>0.3989422804014327</c:v>
                </c:pt>
                <c:pt idx="13">
                  <c:v>0.39512468019634539</c:v>
                </c:pt>
                <c:pt idx="14">
                  <c:v>0.38388967526703272</c:v>
                </c:pt>
                <c:pt idx="15">
                  <c:v>0.36587007507280811</c:v>
                </c:pt>
                <c:pt idx="16">
                  <c:v>0.34205467473499207</c:v>
                </c:pt>
                <c:pt idx="17">
                  <c:v>0.31369843627095056</c:v>
                </c:pt>
                <c:pt idx="18">
                  <c:v>0.28221322425966744</c:v>
                </c:pt>
                <c:pt idx="19">
                  <c:v>0.24905229627756828</c:v>
                </c:pt>
                <c:pt idx="20">
                  <c:v>0.21560157202251737</c:v>
                </c:pt>
                <c:pt idx="21">
                  <c:v>0.18308867383025043</c:v>
                </c:pt>
                <c:pt idx="22">
                  <c:v>0.15251733843477824</c:v>
                </c:pt>
                <c:pt idx="23">
                  <c:v>0.12463073026883781</c:v>
                </c:pt>
                <c:pt idx="24">
                  <c:v>9.9903164433323657E-2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9-4974-9748-EA86FCC73F07}"/>
            </c:ext>
          </c:extLst>
        </c:ser>
        <c:ser>
          <c:idx val="2"/>
          <c:order val="1"/>
          <c:tx>
            <c:strRef>
              <c:f>'PDF (2)'!$I$7</c:f>
              <c:strCache>
                <c:ptCount val="1"/>
                <c:pt idx="0">
                  <c:v>PB</c:v>
                </c:pt>
              </c:strCache>
            </c:strRef>
          </c:tx>
          <c:spPr>
            <a:ln w="76200">
              <a:noFill/>
              <a:prstDash val="solid"/>
            </a:ln>
          </c:spPr>
          <c:marker>
            <c:symbol val="circ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'PDF (2)'!$D$8:$D$32</c:f>
              <c:numCache>
                <c:formatCode>0</c:formatCode>
                <c:ptCount val="25"/>
                <c:pt idx="0">
                  <c:v>-0.83205029433784372</c:v>
                </c:pt>
                <c:pt idx="1">
                  <c:v>-0.76271276980969005</c:v>
                </c:pt>
                <c:pt idx="2">
                  <c:v>-0.69337524528153649</c:v>
                </c:pt>
                <c:pt idx="3">
                  <c:v>-0.62403772075338282</c:v>
                </c:pt>
                <c:pt idx="4">
                  <c:v>-0.55470019622522915</c:v>
                </c:pt>
                <c:pt idx="5">
                  <c:v>-0.48536267169707553</c:v>
                </c:pt>
                <c:pt idx="6">
                  <c:v>-0.41602514716892186</c:v>
                </c:pt>
                <c:pt idx="7">
                  <c:v>-0.34668762264076824</c:v>
                </c:pt>
                <c:pt idx="8">
                  <c:v>-0.27735009811261457</c:v>
                </c:pt>
                <c:pt idx="9">
                  <c:v>-0.20801257358446093</c:v>
                </c:pt>
                <c:pt idx="10">
                  <c:v>-0.13867504905630729</c:v>
                </c:pt>
                <c:pt idx="11">
                  <c:v>-6.9337524528153643E-2</c:v>
                </c:pt>
                <c:pt idx="12">
                  <c:v>0</c:v>
                </c:pt>
                <c:pt idx="13">
                  <c:v>6.9337524528153643E-2</c:v>
                </c:pt>
                <c:pt idx="14">
                  <c:v>0.13867504905630729</c:v>
                </c:pt>
                <c:pt idx="15">
                  <c:v>0.20801257358446093</c:v>
                </c:pt>
                <c:pt idx="16">
                  <c:v>0.27735009811261457</c:v>
                </c:pt>
                <c:pt idx="17">
                  <c:v>0.34668762264076824</c:v>
                </c:pt>
                <c:pt idx="18">
                  <c:v>0.41602514716892186</c:v>
                </c:pt>
                <c:pt idx="19">
                  <c:v>0.48536267169707553</c:v>
                </c:pt>
                <c:pt idx="20">
                  <c:v>0.55470019622522915</c:v>
                </c:pt>
                <c:pt idx="21">
                  <c:v>0.62403772075338282</c:v>
                </c:pt>
                <c:pt idx="22">
                  <c:v>0.69337524528153649</c:v>
                </c:pt>
                <c:pt idx="23">
                  <c:v>0.76271276980969005</c:v>
                </c:pt>
                <c:pt idx="24">
                  <c:v>0.83205029433784372</c:v>
                </c:pt>
              </c:numCache>
            </c:numRef>
          </c:xVal>
          <c:yVal>
            <c:numRef>
              <c:f>'PDF (2)'!$I$8:$I$32</c:f>
              <c:numCache>
                <c:formatCode>0%</c:formatCode>
                <c:ptCount val="25"/>
                <c:pt idx="0">
                  <c:v>0.28221322425966744</c:v>
                </c:pt>
                <c:pt idx="1">
                  <c:v>0.29825575633544316</c:v>
                </c:pt>
                <c:pt idx="2">
                  <c:v>0.31369843627095056</c:v>
                </c:pt>
                <c:pt idx="3">
                  <c:v>0.32835823994122026</c:v>
                </c:pt>
                <c:pt idx="4">
                  <c:v>0.34205467473499207</c:v>
                </c:pt>
                <c:pt idx="5">
                  <c:v>0.35461343626092062</c:v>
                </c:pt>
                <c:pt idx="6">
                  <c:v>0.36587007507280811</c:v>
                </c:pt>
                <c:pt idx="7">
                  <c:v>0.37567356643426852</c:v>
                </c:pt>
                <c:pt idx="8">
                  <c:v>0.38388967526703272</c:v>
                </c:pt>
                <c:pt idx="9">
                  <c:v>0.39040401171397893</c:v>
                </c:pt>
                <c:pt idx="10">
                  <c:v>0.39512468019634539</c:v>
                </c:pt>
                <c:pt idx="11">
                  <c:v>0.39798443625131119</c:v>
                </c:pt>
                <c:pt idx="12">
                  <c:v>0.3989422804014327</c:v>
                </c:pt>
                <c:pt idx="13">
                  <c:v>0.39798443625131119</c:v>
                </c:pt>
                <c:pt idx="14">
                  <c:v>0.39512468019634539</c:v>
                </c:pt>
                <c:pt idx="15">
                  <c:v>0.39040401171397893</c:v>
                </c:pt>
                <c:pt idx="16">
                  <c:v>0.38388967526703272</c:v>
                </c:pt>
                <c:pt idx="17">
                  <c:v>0.37567356643426852</c:v>
                </c:pt>
                <c:pt idx="18">
                  <c:v>0.36587007507280811</c:v>
                </c:pt>
                <c:pt idx="19">
                  <c:v>0.35461343626092062</c:v>
                </c:pt>
                <c:pt idx="20">
                  <c:v>0.34205467473499207</c:v>
                </c:pt>
                <c:pt idx="21">
                  <c:v>0.32835823994122026</c:v>
                </c:pt>
                <c:pt idx="22">
                  <c:v>0.31369843627095056</c:v>
                </c:pt>
                <c:pt idx="23">
                  <c:v>0.29825575633544316</c:v>
                </c:pt>
                <c:pt idx="24">
                  <c:v>0.28221322425966744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C9-4974-9748-EA86FCC73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'PDF (2)'!$F$7</c15:sqref>
                        </c15:formulaRef>
                      </c:ext>
                    </c:extLst>
                    <c:strCache>
                      <c:ptCount val="1"/>
                      <c:pt idx="0">
                        <c:v>Yb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'PDF (2)'!$C$8:$C$32</c15:sqref>
                        </c15:formulaRef>
                      </c:ext>
                    </c:extLst>
                    <c:numCache>
                      <c:formatCode>0</c:formatCode>
                      <c:ptCount val="25"/>
                      <c:pt idx="0">
                        <c:v>-1.6641005886756874</c:v>
                      </c:pt>
                      <c:pt idx="1">
                        <c:v>-1.5254255396193801</c:v>
                      </c:pt>
                      <c:pt idx="2">
                        <c:v>-1.386750490563073</c:v>
                      </c:pt>
                      <c:pt idx="3">
                        <c:v>-1.2480754415067656</c:v>
                      </c:pt>
                      <c:pt idx="4">
                        <c:v>-1.1094003924504583</c:v>
                      </c:pt>
                      <c:pt idx="5">
                        <c:v>-0.97072534339415106</c:v>
                      </c:pt>
                      <c:pt idx="6">
                        <c:v>-0.83205029433784372</c:v>
                      </c:pt>
                      <c:pt idx="7">
                        <c:v>-0.69337524528153649</c:v>
                      </c:pt>
                      <c:pt idx="8">
                        <c:v>-0.55470019622522915</c:v>
                      </c:pt>
                      <c:pt idx="9">
                        <c:v>-0.41602514716892186</c:v>
                      </c:pt>
                      <c:pt idx="10">
                        <c:v>-0.27735009811261457</c:v>
                      </c:pt>
                      <c:pt idx="11">
                        <c:v>-0.13867504905630729</c:v>
                      </c:pt>
                      <c:pt idx="12">
                        <c:v>0</c:v>
                      </c:pt>
                      <c:pt idx="13">
                        <c:v>0.13867504905630729</c:v>
                      </c:pt>
                      <c:pt idx="14">
                        <c:v>0.27735009811261457</c:v>
                      </c:pt>
                      <c:pt idx="15" formatCode="0.0">
                        <c:v>0.41602514716892186</c:v>
                      </c:pt>
                      <c:pt idx="16" formatCode="0.0">
                        <c:v>0.55470019622522915</c:v>
                      </c:pt>
                      <c:pt idx="17" formatCode="0.0">
                        <c:v>0.69337524528153649</c:v>
                      </c:pt>
                      <c:pt idx="18" formatCode="0.0">
                        <c:v>0.83205029433784372</c:v>
                      </c:pt>
                      <c:pt idx="19" formatCode="0.0">
                        <c:v>0.97072534339415106</c:v>
                      </c:pt>
                      <c:pt idx="20" formatCode="0.0">
                        <c:v>1.1094003924504583</c:v>
                      </c:pt>
                      <c:pt idx="21" formatCode="0.0">
                        <c:v>1.2480754415067656</c:v>
                      </c:pt>
                      <c:pt idx="22" formatCode="0.0">
                        <c:v>1.386750490563073</c:v>
                      </c:pt>
                      <c:pt idx="23" formatCode="0.0">
                        <c:v>1.5254255396193801</c:v>
                      </c:pt>
                      <c:pt idx="24" formatCode="0.0">
                        <c:v>1.6641005886756874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'PDF (2)'!$E$8:$E$32</c15:sqref>
                        </c15:formulaRef>
                      </c:ext>
                    </c:extLst>
                    <c:numCache>
                      <c:formatCode>0%</c:formatCode>
                      <c:ptCount val="25"/>
                      <c:pt idx="0">
                        <c:v>4.8046164727836627E-2</c:v>
                      </c:pt>
                      <c:pt idx="1">
                        <c:v>6.3576496300007113E-2</c:v>
                      </c:pt>
                      <c:pt idx="2">
                        <c:v>8.275892934873498E-2</c:v>
                      </c:pt>
                      <c:pt idx="3">
                        <c:v>0.10600171546141283</c:v>
                      </c:pt>
                      <c:pt idx="4">
                        <c:v>0.1336287465771939</c:v>
                      </c:pt>
                      <c:pt idx="5">
                        <c:v>0.16584253402843122</c:v>
                      </c:pt>
                      <c:pt idx="6">
                        <c:v>0.20269027822947119</c:v>
                      </c:pt>
                      <c:pt idx="7">
                        <c:v>0.24403704658262404</c:v>
                      </c:pt>
                      <c:pt idx="8">
                        <c:v>0.28954987097695939</c:v>
                      </c:pt>
                      <c:pt idx="9">
                        <c:v>0.33869580096313867</c:v>
                      </c:pt>
                      <c:pt idx="10">
                        <c:v>0.39075564749935665</c:v>
                      </c:pt>
                      <c:pt idx="11">
                        <c:v>0.4448534677665506</c:v>
                      </c:pt>
                      <c:pt idx="12">
                        <c:v>0.5</c:v>
                      </c:pt>
                      <c:pt idx="13">
                        <c:v>0.55514653223344945</c:v>
                      </c:pt>
                      <c:pt idx="14">
                        <c:v>0.60924435250064335</c:v>
                      </c:pt>
                      <c:pt idx="15">
                        <c:v>0.66130419903686133</c:v>
                      </c:pt>
                      <c:pt idx="16">
                        <c:v>0.71045012902304061</c:v>
                      </c:pt>
                      <c:pt idx="17">
                        <c:v>0.75596295341737596</c:v>
                      </c:pt>
                      <c:pt idx="18">
                        <c:v>0.79730972177052883</c:v>
                      </c:pt>
                      <c:pt idx="19">
                        <c:v>0.83415746597156881</c:v>
                      </c:pt>
                      <c:pt idx="20">
                        <c:v>0.86637125342280608</c:v>
                      </c:pt>
                      <c:pt idx="21">
                        <c:v>0.89399828453858721</c:v>
                      </c:pt>
                      <c:pt idx="22">
                        <c:v>0.91724107065126503</c:v>
                      </c:pt>
                      <c:pt idx="23">
                        <c:v>0.93642350369999283</c:v>
                      </c:pt>
                      <c:pt idx="24">
                        <c:v>0.95195383527216337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65C9-4974-9748-EA86FCC73F07}"/>
                  </c:ext>
                </c:extLst>
              </c15:ser>
            </c15:filteredScatterSeries>
          </c:ext>
        </c:extLst>
      </c:scatterChart>
      <c:valAx>
        <c:axId val="3036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Z  →</a:t>
                </a:r>
              </a:p>
            </c:rich>
          </c:tx>
          <c:layout>
            <c:manualLayout>
              <c:xMode val="edge"/>
              <c:yMode val="edge"/>
              <c:x val="3.9167014216873811E-2"/>
              <c:y val="0.912057154586666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Pr  →</a:t>
                </a:r>
              </a:p>
            </c:rich>
          </c:tx>
          <c:layout>
            <c:manualLayout>
              <c:xMode val="edge"/>
              <c:yMode val="edge"/>
              <c:x val="2.2361265798117112E-2"/>
              <c:y val="0.7516899708103859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30361084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2044051769685758E-2"/>
          <c:y val="0.13895389777982384"/>
          <c:w val="0.19478978876735059"/>
          <c:h val="0.1845271142606120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Reconstruction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'PDF (2)'!$B$7</c:f>
              <c:strCache>
                <c:ptCount val="1"/>
                <c:pt idx="0">
                  <c:v>data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yVal>
            <c:numRef>
              <c:f>'PDF (2)'!$B$8:$B$32</c:f>
              <c:numCache>
                <c:formatCode>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9-41DE-B318-E920735C9B7B}"/>
            </c:ext>
          </c:extLst>
        </c:ser>
        <c:ser>
          <c:idx val="2"/>
          <c:order val="1"/>
          <c:tx>
            <c:strRef>
              <c:f>'PDF (2)'!$L$7</c:f>
              <c:strCache>
                <c:ptCount val="1"/>
                <c:pt idx="0">
                  <c:v>Xa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9"/>
            <c:spPr>
              <a:noFill/>
              <a:ln w="3175">
                <a:solidFill>
                  <a:srgbClr val="000000"/>
                </a:solidFill>
              </a:ln>
            </c:spPr>
          </c:marker>
          <c:yVal>
            <c:numRef>
              <c:f>'PDF (2)'!$L$8:$L$32</c:f>
              <c:numCache>
                <c:formatCode>0.0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A9-41DE-B318-E920735C9B7B}"/>
            </c:ext>
          </c:extLst>
        </c:ser>
        <c:ser>
          <c:idx val="0"/>
          <c:order val="2"/>
          <c:tx>
            <c:strRef>
              <c:f>'PDF (2)'!$M$7</c:f>
              <c:strCache>
                <c:ptCount val="1"/>
                <c:pt idx="0">
                  <c:v>Xb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yVal>
            <c:numRef>
              <c:f>'PDF (2)'!$M$8:$M$32</c:f>
              <c:numCache>
                <c:formatCode>0.0</c:formatCode>
                <c:ptCount val="25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  <c:pt idx="5">
                  <c:v>9.5</c:v>
                </c:pt>
                <c:pt idx="6">
                  <c:v>10</c:v>
                </c:pt>
                <c:pt idx="7">
                  <c:v>10.5</c:v>
                </c:pt>
                <c:pt idx="8">
                  <c:v>11</c:v>
                </c:pt>
                <c:pt idx="9">
                  <c:v>11.5</c:v>
                </c:pt>
                <c:pt idx="10">
                  <c:v>12</c:v>
                </c:pt>
                <c:pt idx="11">
                  <c:v>12.5</c:v>
                </c:pt>
                <c:pt idx="12">
                  <c:v>13</c:v>
                </c:pt>
                <c:pt idx="13">
                  <c:v>13.5</c:v>
                </c:pt>
                <c:pt idx="14">
                  <c:v>14</c:v>
                </c:pt>
                <c:pt idx="15">
                  <c:v>14.5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A9-41DE-B318-E920735C9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152928"/>
        <c:axId val="534156256"/>
      </c:scatterChart>
      <c:scatterChart>
        <c:scatterStyle val="lineMarker"/>
        <c:varyColors val="0"/>
        <c:ser>
          <c:idx val="4"/>
          <c:order val="3"/>
          <c:tx>
            <c:strRef>
              <c:f>'PDF (2)'!$I$7</c:f>
              <c:strCache>
                <c:ptCount val="1"/>
                <c:pt idx="0">
                  <c:v>PB</c:v>
                </c:pt>
              </c:strCache>
            </c:strRef>
          </c:tx>
          <c:spPr>
            <a:ln w="28575">
              <a:solidFill>
                <a:srgbClr val="C00000"/>
              </a:solidFill>
              <a:prstDash val="dash"/>
            </a:ln>
          </c:spPr>
          <c:marker>
            <c:symbol val="none"/>
          </c:marker>
          <c:yVal>
            <c:numRef>
              <c:f>'PDF (2)'!$I$8:$I$32</c:f>
              <c:numCache>
                <c:formatCode>0%</c:formatCode>
                <c:ptCount val="25"/>
                <c:pt idx="0">
                  <c:v>0.28221322425966744</c:v>
                </c:pt>
                <c:pt idx="1">
                  <c:v>0.29825575633544316</c:v>
                </c:pt>
                <c:pt idx="2">
                  <c:v>0.31369843627095056</c:v>
                </c:pt>
                <c:pt idx="3">
                  <c:v>0.32835823994122026</c:v>
                </c:pt>
                <c:pt idx="4">
                  <c:v>0.34205467473499207</c:v>
                </c:pt>
                <c:pt idx="5">
                  <c:v>0.35461343626092062</c:v>
                </c:pt>
                <c:pt idx="6">
                  <c:v>0.36587007507280811</c:v>
                </c:pt>
                <c:pt idx="7">
                  <c:v>0.37567356643426852</c:v>
                </c:pt>
                <c:pt idx="8">
                  <c:v>0.38388967526703272</c:v>
                </c:pt>
                <c:pt idx="9">
                  <c:v>0.39040401171397893</c:v>
                </c:pt>
                <c:pt idx="10">
                  <c:v>0.39512468019634539</c:v>
                </c:pt>
                <c:pt idx="11">
                  <c:v>0.39798443625131119</c:v>
                </c:pt>
                <c:pt idx="12">
                  <c:v>0.3989422804014327</c:v>
                </c:pt>
                <c:pt idx="13">
                  <c:v>0.39798443625131119</c:v>
                </c:pt>
                <c:pt idx="14">
                  <c:v>0.39512468019634539</c:v>
                </c:pt>
                <c:pt idx="15">
                  <c:v>0.39040401171397893</c:v>
                </c:pt>
                <c:pt idx="16">
                  <c:v>0.38388967526703272</c:v>
                </c:pt>
                <c:pt idx="17">
                  <c:v>0.37567356643426852</c:v>
                </c:pt>
                <c:pt idx="18">
                  <c:v>0.36587007507280811</c:v>
                </c:pt>
                <c:pt idx="19">
                  <c:v>0.35461343626092062</c:v>
                </c:pt>
                <c:pt idx="20">
                  <c:v>0.34205467473499207</c:v>
                </c:pt>
                <c:pt idx="21">
                  <c:v>0.32835823994122026</c:v>
                </c:pt>
                <c:pt idx="22">
                  <c:v>0.31369843627095056</c:v>
                </c:pt>
                <c:pt idx="23">
                  <c:v>0.29825575633544316</c:v>
                </c:pt>
                <c:pt idx="24">
                  <c:v>0.28221322425966744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A9-41DE-B318-E920735C9B7B}"/>
            </c:ext>
          </c:extLst>
        </c:ser>
        <c:ser>
          <c:idx val="3"/>
          <c:order val="4"/>
          <c:tx>
            <c:strRef>
              <c:f>'PDF (2)'!$N$7</c:f>
              <c:strCache>
                <c:ptCount val="1"/>
                <c:pt idx="0">
                  <c:v>Xc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dash"/>
            </a:ln>
          </c:spPr>
          <c:marker>
            <c:symbol val="none"/>
          </c:marker>
          <c:yVal>
            <c:numRef>
              <c:f>'PDF (2)'!$O$8:$O$32</c:f>
              <c:numCache>
                <c:formatCode>0%</c:formatCode>
                <c:ptCount val="25"/>
                <c:pt idx="0">
                  <c:v>0.95</c:v>
                </c:pt>
                <c:pt idx="1">
                  <c:v>0.82531948025032176</c:v>
                </c:pt>
                <c:pt idx="2">
                  <c:v>0.71471191472287332</c:v>
                </c:pt>
                <c:pt idx="3">
                  <c:v>0.61592456318038979</c:v>
                </c:pt>
                <c:pt idx="4">
                  <c:v>0.52703319264113602</c:v>
                </c:pt>
                <c:pt idx="5">
                  <c:v>0.44638199274319074</c:v>
                </c:pt>
                <c:pt idx="6">
                  <c:v>0.37253365453747017</c:v>
                </c:pt>
                <c:pt idx="7">
                  <c:v>0.30422754942322094</c:v>
                </c:pt>
                <c:pt idx="8">
                  <c:v>0.24034433058539453</c:v>
                </c:pt>
                <c:pt idx="9">
                  <c:v>0.17987557942824073</c:v>
                </c:pt>
                <c:pt idx="10">
                  <c:v>0.12189735126655218</c:v>
                </c:pt>
                <c:pt idx="11">
                  <c:v>6.5546650957596209E-2</c:v>
                </c:pt>
                <c:pt idx="12">
                  <c:v>0.01</c:v>
                </c:pt>
                <c:pt idx="13">
                  <c:v>6.5546650957596209E-2</c:v>
                </c:pt>
                <c:pt idx="14">
                  <c:v>0.12189735126655218</c:v>
                </c:pt>
                <c:pt idx="15">
                  <c:v>0.17987557942824073</c:v>
                </c:pt>
                <c:pt idx="16">
                  <c:v>0.24034433058539453</c:v>
                </c:pt>
                <c:pt idx="17">
                  <c:v>0.30422754942322094</c:v>
                </c:pt>
                <c:pt idx="18">
                  <c:v>0.37253365453747017</c:v>
                </c:pt>
                <c:pt idx="19">
                  <c:v>0.44638199274319074</c:v>
                </c:pt>
                <c:pt idx="20">
                  <c:v>0.52703319264113602</c:v>
                </c:pt>
                <c:pt idx="21">
                  <c:v>0.61592456318038979</c:v>
                </c:pt>
                <c:pt idx="22">
                  <c:v>0.71471191472287332</c:v>
                </c:pt>
                <c:pt idx="23">
                  <c:v>0.82531948025032176</c:v>
                </c:pt>
                <c:pt idx="24">
                  <c:v>0.95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CA9-41DE-B318-E920735C9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099120"/>
        <c:axId val="466103440"/>
      </c:scatterChart>
      <c:valAx>
        <c:axId val="53415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156256"/>
        <c:crosses val="autoZero"/>
        <c:crossBetween val="midCat"/>
      </c:valAx>
      <c:valAx>
        <c:axId val="53415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152928"/>
        <c:crosses val="autoZero"/>
        <c:crossBetween val="midCat"/>
      </c:valAx>
      <c:valAx>
        <c:axId val="46610344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466099120"/>
        <c:crosses val="max"/>
        <c:crossBetween val="midCat"/>
      </c:valAx>
      <c:valAx>
        <c:axId val="466099120"/>
        <c:scaling>
          <c:orientation val="minMax"/>
        </c:scaling>
        <c:delete val="1"/>
        <c:axPos val="b"/>
        <c:majorTickMark val="out"/>
        <c:minorTickMark val="none"/>
        <c:tickLblPos val="nextTo"/>
        <c:crossAx val="46610344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Standard Normal PDF</a:t>
            </a:r>
          </a:p>
        </c:rich>
      </c:tx>
      <c:layout>
        <c:manualLayout>
          <c:xMode val="edge"/>
          <c:yMode val="edge"/>
          <c:x val="0.17421128334238023"/>
          <c:y val="5.13139661833044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68771736490048"/>
          <c:y val="0.31641611378035073"/>
          <c:w val="0.73449766860406562"/>
          <c:h val="0.553594079970497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'PDF (2)'!$E$7</c:f>
              <c:strCache>
                <c:ptCount val="1"/>
                <c:pt idx="0">
                  <c:v>Ya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3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'PDF (2)'!$C$8:$C$32</c:f>
              <c:numCache>
                <c:formatCode>0</c:formatCode>
                <c:ptCount val="25"/>
                <c:pt idx="0">
                  <c:v>-1.6641005886756874</c:v>
                </c:pt>
                <c:pt idx="1">
                  <c:v>-1.5254255396193801</c:v>
                </c:pt>
                <c:pt idx="2">
                  <c:v>-1.386750490563073</c:v>
                </c:pt>
                <c:pt idx="3">
                  <c:v>-1.2480754415067656</c:v>
                </c:pt>
                <c:pt idx="4">
                  <c:v>-1.1094003924504583</c:v>
                </c:pt>
                <c:pt idx="5">
                  <c:v>-0.97072534339415106</c:v>
                </c:pt>
                <c:pt idx="6">
                  <c:v>-0.83205029433784372</c:v>
                </c:pt>
                <c:pt idx="7">
                  <c:v>-0.69337524528153649</c:v>
                </c:pt>
                <c:pt idx="8">
                  <c:v>-0.55470019622522915</c:v>
                </c:pt>
                <c:pt idx="9">
                  <c:v>-0.41602514716892186</c:v>
                </c:pt>
                <c:pt idx="10">
                  <c:v>-0.27735009811261457</c:v>
                </c:pt>
                <c:pt idx="11">
                  <c:v>-0.13867504905630729</c:v>
                </c:pt>
                <c:pt idx="12">
                  <c:v>0</c:v>
                </c:pt>
                <c:pt idx="13">
                  <c:v>0.13867504905630729</c:v>
                </c:pt>
                <c:pt idx="14">
                  <c:v>0.27735009811261457</c:v>
                </c:pt>
                <c:pt idx="15" formatCode="0.0">
                  <c:v>0.41602514716892186</c:v>
                </c:pt>
                <c:pt idx="16" formatCode="0.0">
                  <c:v>0.55470019622522915</c:v>
                </c:pt>
                <c:pt idx="17" formatCode="0.0">
                  <c:v>0.69337524528153649</c:v>
                </c:pt>
                <c:pt idx="18" formatCode="0.0">
                  <c:v>0.83205029433784372</c:v>
                </c:pt>
                <c:pt idx="19" formatCode="0.0">
                  <c:v>0.97072534339415106</c:v>
                </c:pt>
                <c:pt idx="20" formatCode="0.0">
                  <c:v>1.1094003924504583</c:v>
                </c:pt>
                <c:pt idx="21" formatCode="0.0">
                  <c:v>1.2480754415067656</c:v>
                </c:pt>
                <c:pt idx="22" formatCode="0.0">
                  <c:v>1.386750490563073</c:v>
                </c:pt>
                <c:pt idx="23" formatCode="0.0">
                  <c:v>1.5254255396193801</c:v>
                </c:pt>
                <c:pt idx="24" formatCode="0.0">
                  <c:v>1.6641005886756874</c:v>
                </c:pt>
              </c:numCache>
            </c:numRef>
          </c:xVal>
          <c:yVal>
            <c:numRef>
              <c:f>'PDF (2)'!$E$8:$E$32</c:f>
              <c:numCache>
                <c:formatCode>0%</c:formatCode>
                <c:ptCount val="25"/>
                <c:pt idx="0">
                  <c:v>4.8046164727836627E-2</c:v>
                </c:pt>
                <c:pt idx="1">
                  <c:v>6.3576496300007113E-2</c:v>
                </c:pt>
                <c:pt idx="2">
                  <c:v>8.275892934873498E-2</c:v>
                </c:pt>
                <c:pt idx="3">
                  <c:v>0.10600171546141283</c:v>
                </c:pt>
                <c:pt idx="4">
                  <c:v>0.1336287465771939</c:v>
                </c:pt>
                <c:pt idx="5">
                  <c:v>0.16584253402843122</c:v>
                </c:pt>
                <c:pt idx="6">
                  <c:v>0.20269027822947119</c:v>
                </c:pt>
                <c:pt idx="7">
                  <c:v>0.24403704658262404</c:v>
                </c:pt>
                <c:pt idx="8">
                  <c:v>0.28954987097695939</c:v>
                </c:pt>
                <c:pt idx="9">
                  <c:v>0.33869580096313867</c:v>
                </c:pt>
                <c:pt idx="10">
                  <c:v>0.39075564749935665</c:v>
                </c:pt>
                <c:pt idx="11">
                  <c:v>0.4448534677665506</c:v>
                </c:pt>
                <c:pt idx="12">
                  <c:v>0.5</c:v>
                </c:pt>
                <c:pt idx="13">
                  <c:v>0.55514653223344945</c:v>
                </c:pt>
                <c:pt idx="14">
                  <c:v>0.60924435250064335</c:v>
                </c:pt>
                <c:pt idx="15">
                  <c:v>0.66130419903686133</c:v>
                </c:pt>
                <c:pt idx="16">
                  <c:v>0.71045012902304061</c:v>
                </c:pt>
                <c:pt idx="17">
                  <c:v>0.75596295341737596</c:v>
                </c:pt>
                <c:pt idx="18">
                  <c:v>0.79730972177052883</c:v>
                </c:pt>
                <c:pt idx="19">
                  <c:v>0.83415746597156881</c:v>
                </c:pt>
                <c:pt idx="20">
                  <c:v>0.86637125342280608</c:v>
                </c:pt>
                <c:pt idx="21">
                  <c:v>0.89399828453858721</c:v>
                </c:pt>
                <c:pt idx="22">
                  <c:v>0.91724107065126503</c:v>
                </c:pt>
                <c:pt idx="23">
                  <c:v>0.93642350369999283</c:v>
                </c:pt>
                <c:pt idx="24">
                  <c:v>0.95195383527216337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4A-4D29-ABFE-548A05D5B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3.9167014216873811E-2"/>
              <c:y val="0.912057154586666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2.2361265798117112E-2"/>
              <c:y val="0.7516899708103859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30361084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2044051769685758E-2"/>
          <c:y val="0.13895389777982384"/>
          <c:w val="9.5789172248921195E-2"/>
          <c:h val="0.27679067139091806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Standard Normal CDF</a:t>
            </a:r>
          </a:p>
        </c:rich>
      </c:tx>
      <c:layout>
        <c:manualLayout>
          <c:xMode val="edge"/>
          <c:yMode val="edge"/>
          <c:x val="0.3405192184203284"/>
          <c:y val="3.35377482345248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0010474888513"/>
          <c:y val="0.30355289012979797"/>
          <c:w val="0.73449766860406562"/>
          <c:h val="0.4910083109939467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'PDF (3)'!$K$7</c:f>
              <c:strCache>
                <c:ptCount val="1"/>
                <c:pt idx="0">
                  <c:v>SA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noFill/>
              </a:ln>
            </c:spPr>
          </c:marker>
          <c:dPt>
            <c:idx val="0"/>
            <c:marker>
              <c:symbol val="x"/>
              <c:size val="10"/>
              <c:spPr>
                <a:noFill/>
                <a:ln w="19050">
                  <a:solidFill>
                    <a:sysClr val="windowText" lastClr="00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F96-4697-B1F0-12F5C3A31D6F}"/>
              </c:ext>
            </c:extLst>
          </c:dPt>
          <c:dPt>
            <c:idx val="24"/>
            <c:marker>
              <c:symbol val="x"/>
              <c:size val="10"/>
              <c:spPr>
                <a:noFill/>
                <a:ln w="19050">
                  <a:solidFill>
                    <a:sysClr val="windowText" lastClr="000000"/>
                  </a:solidFill>
                </a:ln>
              </c:spPr>
            </c:marker>
            <c:bubble3D val="0"/>
            <c:spPr>
              <a:ln w="19050"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2F96-4697-B1F0-12F5C3A31D6F}"/>
              </c:ext>
            </c:extLst>
          </c:dPt>
          <c:xVal>
            <c:numRef>
              <c:f>'PDF (3)'!$C$8:$C$32</c:f>
              <c:numCache>
                <c:formatCode>0</c:formatCode>
                <c:ptCount val="25"/>
                <c:pt idx="0">
                  <c:v>-1.6641005886756874</c:v>
                </c:pt>
                <c:pt idx="1">
                  <c:v>-1.5254255396193801</c:v>
                </c:pt>
                <c:pt idx="2">
                  <c:v>-1.386750490563073</c:v>
                </c:pt>
                <c:pt idx="3">
                  <c:v>-1.2480754415067656</c:v>
                </c:pt>
                <c:pt idx="4">
                  <c:v>-1.1094003924504583</c:v>
                </c:pt>
                <c:pt idx="5">
                  <c:v>-0.97072534339415106</c:v>
                </c:pt>
                <c:pt idx="6">
                  <c:v>-0.83205029433784372</c:v>
                </c:pt>
                <c:pt idx="7">
                  <c:v>-0.69337524528153649</c:v>
                </c:pt>
                <c:pt idx="8">
                  <c:v>-0.55470019622522915</c:v>
                </c:pt>
                <c:pt idx="9">
                  <c:v>-0.41602514716892186</c:v>
                </c:pt>
                <c:pt idx="10">
                  <c:v>-0.27735009811261457</c:v>
                </c:pt>
                <c:pt idx="11">
                  <c:v>-0.13867504905630729</c:v>
                </c:pt>
                <c:pt idx="12">
                  <c:v>0</c:v>
                </c:pt>
                <c:pt idx="13">
                  <c:v>0.13867504905630729</c:v>
                </c:pt>
                <c:pt idx="14">
                  <c:v>0.27735009811261457</c:v>
                </c:pt>
                <c:pt idx="15" formatCode="0.0">
                  <c:v>0.41602514716892186</c:v>
                </c:pt>
                <c:pt idx="16" formatCode="0.0">
                  <c:v>0.55470019622522915</c:v>
                </c:pt>
                <c:pt idx="17" formatCode="0.0">
                  <c:v>0.69337524528153649</c:v>
                </c:pt>
                <c:pt idx="18" formatCode="0.0">
                  <c:v>0.83205029433784372</c:v>
                </c:pt>
                <c:pt idx="19" formatCode="0.0">
                  <c:v>0.97072534339415106</c:v>
                </c:pt>
                <c:pt idx="20" formatCode="0.0">
                  <c:v>1.1094003924504583</c:v>
                </c:pt>
                <c:pt idx="21" formatCode="0.0">
                  <c:v>1.2480754415067656</c:v>
                </c:pt>
                <c:pt idx="22" formatCode="0.0">
                  <c:v>1.386750490563073</c:v>
                </c:pt>
                <c:pt idx="23" formatCode="0.0">
                  <c:v>1.5254255396193801</c:v>
                </c:pt>
                <c:pt idx="24" formatCode="0.0">
                  <c:v>1.6641005886756874</c:v>
                </c:pt>
              </c:numCache>
            </c:numRef>
          </c:xVal>
          <c:yVal>
            <c:numRef>
              <c:f>'PDF (3)'!$K$8:$K$32</c:f>
              <c:numCache>
                <c:formatCode>0%</c:formatCode>
                <c:ptCount val="25"/>
                <c:pt idx="0">
                  <c:v>4.8046164727836627E-2</c:v>
                </c:pt>
                <c:pt idx="1">
                  <c:v>6.3576496300007113E-2</c:v>
                </c:pt>
                <c:pt idx="2">
                  <c:v>8.275892934873498E-2</c:v>
                </c:pt>
                <c:pt idx="3">
                  <c:v>0.10600171546141283</c:v>
                </c:pt>
                <c:pt idx="4">
                  <c:v>0.1336287465771939</c:v>
                </c:pt>
                <c:pt idx="5">
                  <c:v>0.16584253402843122</c:v>
                </c:pt>
                <c:pt idx="6">
                  <c:v>0.20269027822947119</c:v>
                </c:pt>
                <c:pt idx="7">
                  <c:v>0.24403704658262404</c:v>
                </c:pt>
                <c:pt idx="8">
                  <c:v>0.28954987097695939</c:v>
                </c:pt>
                <c:pt idx="9">
                  <c:v>0.33869580096313867</c:v>
                </c:pt>
                <c:pt idx="10">
                  <c:v>0.39075564749935665</c:v>
                </c:pt>
                <c:pt idx="11">
                  <c:v>0.4448534677665506</c:v>
                </c:pt>
                <c:pt idx="12">
                  <c:v>0.5</c:v>
                </c:pt>
                <c:pt idx="13">
                  <c:v>0.55514653223344945</c:v>
                </c:pt>
                <c:pt idx="14">
                  <c:v>0.60924435250064335</c:v>
                </c:pt>
                <c:pt idx="15">
                  <c:v>0.66130419903686133</c:v>
                </c:pt>
                <c:pt idx="16">
                  <c:v>0.71045012902304061</c:v>
                </c:pt>
                <c:pt idx="17">
                  <c:v>0.75596295341737596</c:v>
                </c:pt>
                <c:pt idx="18">
                  <c:v>0.79730972177052883</c:v>
                </c:pt>
                <c:pt idx="19">
                  <c:v>0.83415746597156881</c:v>
                </c:pt>
                <c:pt idx="20">
                  <c:v>0.86637125342280608</c:v>
                </c:pt>
                <c:pt idx="21">
                  <c:v>0.89399828453858721</c:v>
                </c:pt>
                <c:pt idx="22">
                  <c:v>0.91724107065126503</c:v>
                </c:pt>
                <c:pt idx="23">
                  <c:v>0.93642350369999283</c:v>
                </c:pt>
                <c:pt idx="24">
                  <c:v>0.95195383527216337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96-4697-B1F0-12F5C3A31D6F}"/>
            </c:ext>
          </c:extLst>
        </c:ser>
        <c:ser>
          <c:idx val="2"/>
          <c:order val="1"/>
          <c:tx>
            <c:strRef>
              <c:f>'PDF (3)'!$L$7</c:f>
              <c:strCache>
                <c:ptCount val="1"/>
                <c:pt idx="0">
                  <c:v>SB</c:v>
                </c:pt>
              </c:strCache>
            </c:strRef>
          </c:tx>
          <c:spPr>
            <a:ln w="76200">
              <a:noFill/>
              <a:prstDash val="solid"/>
            </a:ln>
          </c:spPr>
          <c:marker>
            <c:symbol val="circle"/>
            <c:size val="10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'PDF (3)'!$D$8:$D$32</c:f>
              <c:numCache>
                <c:formatCode>0</c:formatCode>
                <c:ptCount val="25"/>
                <c:pt idx="0">
                  <c:v>-0.83205029433784372</c:v>
                </c:pt>
                <c:pt idx="1">
                  <c:v>-0.76271276980969005</c:v>
                </c:pt>
                <c:pt idx="2">
                  <c:v>-0.69337524528153649</c:v>
                </c:pt>
                <c:pt idx="3">
                  <c:v>-0.62403772075338282</c:v>
                </c:pt>
                <c:pt idx="4">
                  <c:v>-0.55470019622522915</c:v>
                </c:pt>
                <c:pt idx="5">
                  <c:v>-0.48536267169707553</c:v>
                </c:pt>
                <c:pt idx="6">
                  <c:v>-0.41602514716892186</c:v>
                </c:pt>
                <c:pt idx="7">
                  <c:v>-0.34668762264076824</c:v>
                </c:pt>
                <c:pt idx="8">
                  <c:v>-0.27735009811261457</c:v>
                </c:pt>
                <c:pt idx="9">
                  <c:v>-0.20801257358446093</c:v>
                </c:pt>
                <c:pt idx="10">
                  <c:v>-0.13867504905630729</c:v>
                </c:pt>
                <c:pt idx="11">
                  <c:v>-6.9337524528153643E-2</c:v>
                </c:pt>
                <c:pt idx="12">
                  <c:v>0</c:v>
                </c:pt>
                <c:pt idx="13">
                  <c:v>6.9337524528153643E-2</c:v>
                </c:pt>
                <c:pt idx="14">
                  <c:v>0.13867504905630729</c:v>
                </c:pt>
                <c:pt idx="15">
                  <c:v>0.20801257358446093</c:v>
                </c:pt>
                <c:pt idx="16">
                  <c:v>0.27735009811261457</c:v>
                </c:pt>
                <c:pt idx="17">
                  <c:v>0.34668762264076824</c:v>
                </c:pt>
                <c:pt idx="18">
                  <c:v>0.41602514716892186</c:v>
                </c:pt>
                <c:pt idx="19">
                  <c:v>0.48536267169707553</c:v>
                </c:pt>
                <c:pt idx="20">
                  <c:v>0.55470019622522915</c:v>
                </c:pt>
                <c:pt idx="21">
                  <c:v>0.62403772075338282</c:v>
                </c:pt>
                <c:pt idx="22">
                  <c:v>0.69337524528153649</c:v>
                </c:pt>
                <c:pt idx="23">
                  <c:v>0.76271276980969005</c:v>
                </c:pt>
                <c:pt idx="24">
                  <c:v>0.83205029433784372</c:v>
                </c:pt>
              </c:numCache>
            </c:numRef>
          </c:xVal>
          <c:yVal>
            <c:numRef>
              <c:f>'PDF (3)'!$L$8:$L$32</c:f>
              <c:numCache>
                <c:formatCode>0%</c:formatCode>
                <c:ptCount val="25"/>
                <c:pt idx="0">
                  <c:v>0.20269027822947119</c:v>
                </c:pt>
                <c:pt idx="1">
                  <c:v>0.22281735660347199</c:v>
                </c:pt>
                <c:pt idx="2">
                  <c:v>0.24403704658262404</c:v>
                </c:pt>
                <c:pt idx="3">
                  <c:v>0.26630140646823697</c:v>
                </c:pt>
                <c:pt idx="4">
                  <c:v>0.28954987097695939</c:v>
                </c:pt>
                <c:pt idx="5">
                  <c:v>0.31370955318304983</c:v>
                </c:pt>
                <c:pt idx="6">
                  <c:v>0.33869580096313867</c:v>
                </c:pt>
                <c:pt idx="7">
                  <c:v>0.36441300494615936</c:v>
                </c:pt>
                <c:pt idx="8">
                  <c:v>0.39075564749935665</c:v>
                </c:pt>
                <c:pt idx="9">
                  <c:v>0.41760957489251449</c:v>
                </c:pt>
                <c:pt idx="10">
                  <c:v>0.4448534677665506</c:v>
                </c:pt>
                <c:pt idx="11">
                  <c:v>0.47236047867206349</c:v>
                </c:pt>
                <c:pt idx="12">
                  <c:v>0.5</c:v>
                </c:pt>
                <c:pt idx="13">
                  <c:v>0.52763952132793657</c:v>
                </c:pt>
                <c:pt idx="14">
                  <c:v>0.55514653223344945</c:v>
                </c:pt>
                <c:pt idx="15">
                  <c:v>0.58239042510748551</c:v>
                </c:pt>
                <c:pt idx="16">
                  <c:v>0.60924435250064335</c:v>
                </c:pt>
                <c:pt idx="17">
                  <c:v>0.63558699505384064</c:v>
                </c:pt>
                <c:pt idx="18">
                  <c:v>0.66130419903686133</c:v>
                </c:pt>
                <c:pt idx="19">
                  <c:v>0.68629044681695017</c:v>
                </c:pt>
                <c:pt idx="20">
                  <c:v>0.71045012902304061</c:v>
                </c:pt>
                <c:pt idx="21">
                  <c:v>0.73369859353176303</c:v>
                </c:pt>
                <c:pt idx="22">
                  <c:v>0.75596295341737596</c:v>
                </c:pt>
                <c:pt idx="23">
                  <c:v>0.77718264339652798</c:v>
                </c:pt>
                <c:pt idx="24">
                  <c:v>0.79730972177052883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96-4697-B1F0-12F5C3A31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4.7798532769663941E-2"/>
              <c:y val="0.899137121161093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2.5771098716822451E-2"/>
              <c:y val="0.75739066006331546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303610847"/>
        <c:crosses val="autoZero"/>
        <c:crossBetween val="midCat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3.2608559463456921E-2"/>
          <c:y val="0.14767929106885608"/>
          <c:w val="0.38772945885685689"/>
          <c:h val="8.7687259649879473E-2"/>
        </c:manualLayout>
      </c:layout>
      <c:overlay val="1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Standard Normal PDF</a:t>
            </a:r>
          </a:p>
        </c:rich>
      </c:tx>
      <c:layout>
        <c:manualLayout>
          <c:xMode val="edge"/>
          <c:yMode val="edge"/>
          <c:x val="0.17421128334238023"/>
          <c:y val="5.13139661833044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68771736490048"/>
          <c:y val="0.31641611378035073"/>
          <c:w val="0.73449766860406562"/>
          <c:h val="0.5535940799704971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'PDF (3)'!$I$7</c:f>
              <c:strCache>
                <c:ptCount val="1"/>
                <c:pt idx="0">
                  <c:v>PA</c:v>
                </c:pt>
              </c:strCache>
            </c:strRef>
          </c:tx>
          <c:spPr>
            <a:ln w="38100">
              <a:noFill/>
              <a:prstDash val="dash"/>
              <a:headEnd type="oval" w="sm" len="sm"/>
              <a:tailEnd type="oval" w="sm" len="sm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noFill/>
              </a:ln>
            </c:spPr>
          </c:marker>
          <c:dPt>
            <c:idx val="0"/>
            <c:marker>
              <c:symbol val="x"/>
              <c:size val="10"/>
              <c:spPr>
                <a:noFill/>
                <a:ln w="19050">
                  <a:solidFill>
                    <a:sysClr val="windowText" lastClr="00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43B-47A8-ABD8-278CAF89A816}"/>
              </c:ext>
            </c:extLst>
          </c:dPt>
          <c:dPt>
            <c:idx val="24"/>
            <c:marker>
              <c:symbol val="x"/>
              <c:size val="10"/>
              <c:spPr>
                <a:noFill/>
                <a:ln w="19050">
                  <a:solidFill>
                    <a:sysClr val="windowText" lastClr="00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43B-47A8-ABD8-278CAF89A816}"/>
              </c:ext>
            </c:extLst>
          </c:dPt>
          <c:xVal>
            <c:numRef>
              <c:f>'PDF (3)'!$C$8:$C$32</c:f>
              <c:numCache>
                <c:formatCode>0</c:formatCode>
                <c:ptCount val="25"/>
                <c:pt idx="0">
                  <c:v>-1.6641005886756874</c:v>
                </c:pt>
                <c:pt idx="1">
                  <c:v>-1.5254255396193801</c:v>
                </c:pt>
                <c:pt idx="2">
                  <c:v>-1.386750490563073</c:v>
                </c:pt>
                <c:pt idx="3">
                  <c:v>-1.2480754415067656</c:v>
                </c:pt>
                <c:pt idx="4">
                  <c:v>-1.1094003924504583</c:v>
                </c:pt>
                <c:pt idx="5">
                  <c:v>-0.97072534339415106</c:v>
                </c:pt>
                <c:pt idx="6">
                  <c:v>-0.83205029433784372</c:v>
                </c:pt>
                <c:pt idx="7">
                  <c:v>-0.69337524528153649</c:v>
                </c:pt>
                <c:pt idx="8">
                  <c:v>-0.55470019622522915</c:v>
                </c:pt>
                <c:pt idx="9">
                  <c:v>-0.41602514716892186</c:v>
                </c:pt>
                <c:pt idx="10">
                  <c:v>-0.27735009811261457</c:v>
                </c:pt>
                <c:pt idx="11">
                  <c:v>-0.13867504905630729</c:v>
                </c:pt>
                <c:pt idx="12">
                  <c:v>0</c:v>
                </c:pt>
                <c:pt idx="13">
                  <c:v>0.13867504905630729</c:v>
                </c:pt>
                <c:pt idx="14">
                  <c:v>0.27735009811261457</c:v>
                </c:pt>
                <c:pt idx="15" formatCode="0.0">
                  <c:v>0.41602514716892186</c:v>
                </c:pt>
                <c:pt idx="16" formatCode="0.0">
                  <c:v>0.55470019622522915</c:v>
                </c:pt>
                <c:pt idx="17" formatCode="0.0">
                  <c:v>0.69337524528153649</c:v>
                </c:pt>
                <c:pt idx="18" formatCode="0.0">
                  <c:v>0.83205029433784372</c:v>
                </c:pt>
                <c:pt idx="19" formatCode="0.0">
                  <c:v>0.97072534339415106</c:v>
                </c:pt>
                <c:pt idx="20" formatCode="0.0">
                  <c:v>1.1094003924504583</c:v>
                </c:pt>
                <c:pt idx="21" formatCode="0.0">
                  <c:v>1.2480754415067656</c:v>
                </c:pt>
                <c:pt idx="22" formatCode="0.0">
                  <c:v>1.386750490563073</c:v>
                </c:pt>
                <c:pt idx="23" formatCode="0.0">
                  <c:v>1.5254255396193801</c:v>
                </c:pt>
                <c:pt idx="24" formatCode="0.0">
                  <c:v>1.6641005886756874</c:v>
                </c:pt>
              </c:numCache>
            </c:numRef>
          </c:xVal>
          <c:yVal>
            <c:numRef>
              <c:f>'PDF (3)'!$I$8:$I$32</c:f>
              <c:numCache>
                <c:formatCode>0%</c:formatCode>
                <c:ptCount val="25"/>
                <c:pt idx="0">
                  <c:v>9.9903164433323657E-2</c:v>
                </c:pt>
                <c:pt idx="1">
                  <c:v>0.12463073026883781</c:v>
                </c:pt>
                <c:pt idx="2">
                  <c:v>0.15251733843477824</c:v>
                </c:pt>
                <c:pt idx="3">
                  <c:v>0.18308867383025043</c:v>
                </c:pt>
                <c:pt idx="4">
                  <c:v>0.21560157202251737</c:v>
                </c:pt>
                <c:pt idx="5">
                  <c:v>0.24905229627756828</c:v>
                </c:pt>
                <c:pt idx="6">
                  <c:v>0.28221322425966744</c:v>
                </c:pt>
                <c:pt idx="7">
                  <c:v>0.31369843627095056</c:v>
                </c:pt>
                <c:pt idx="8">
                  <c:v>0.34205467473499207</c:v>
                </c:pt>
                <c:pt idx="9">
                  <c:v>0.36587007507280811</c:v>
                </c:pt>
                <c:pt idx="10">
                  <c:v>0.38388967526703272</c:v>
                </c:pt>
                <c:pt idx="11">
                  <c:v>0.39512468019634539</c:v>
                </c:pt>
                <c:pt idx="12">
                  <c:v>0.3989422804014327</c:v>
                </c:pt>
                <c:pt idx="13">
                  <c:v>0.39512468019634539</c:v>
                </c:pt>
                <c:pt idx="14">
                  <c:v>0.38388967526703272</c:v>
                </c:pt>
                <c:pt idx="15">
                  <c:v>0.36587007507280811</c:v>
                </c:pt>
                <c:pt idx="16">
                  <c:v>0.34205467473499207</c:v>
                </c:pt>
                <c:pt idx="17">
                  <c:v>0.31369843627095056</c:v>
                </c:pt>
                <c:pt idx="18">
                  <c:v>0.28221322425966744</c:v>
                </c:pt>
                <c:pt idx="19">
                  <c:v>0.24905229627756828</c:v>
                </c:pt>
                <c:pt idx="20">
                  <c:v>0.21560157202251737</c:v>
                </c:pt>
                <c:pt idx="21">
                  <c:v>0.18308867383025043</c:v>
                </c:pt>
                <c:pt idx="22">
                  <c:v>0.15251733843477824</c:v>
                </c:pt>
                <c:pt idx="23">
                  <c:v>0.12463073026883781</c:v>
                </c:pt>
                <c:pt idx="24">
                  <c:v>9.9903164433323657E-2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3B-47A8-ABD8-278CAF89A816}"/>
            </c:ext>
          </c:extLst>
        </c:ser>
        <c:ser>
          <c:idx val="2"/>
          <c:order val="1"/>
          <c:tx>
            <c:strRef>
              <c:f>'PDF (3)'!$J$7</c:f>
              <c:strCache>
                <c:ptCount val="1"/>
                <c:pt idx="0">
                  <c:v>PB</c:v>
                </c:pt>
              </c:strCache>
            </c:strRef>
          </c:tx>
          <c:spPr>
            <a:ln w="76200">
              <a:noFill/>
              <a:prstDash val="solid"/>
            </a:ln>
          </c:spPr>
          <c:marker>
            <c:symbol val="circ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'PDF (3)'!$D$8:$D$32</c:f>
              <c:numCache>
                <c:formatCode>0</c:formatCode>
                <c:ptCount val="25"/>
                <c:pt idx="0">
                  <c:v>-0.83205029433784372</c:v>
                </c:pt>
                <c:pt idx="1">
                  <c:v>-0.76271276980969005</c:v>
                </c:pt>
                <c:pt idx="2">
                  <c:v>-0.69337524528153649</c:v>
                </c:pt>
                <c:pt idx="3">
                  <c:v>-0.62403772075338282</c:v>
                </c:pt>
                <c:pt idx="4">
                  <c:v>-0.55470019622522915</c:v>
                </c:pt>
                <c:pt idx="5">
                  <c:v>-0.48536267169707553</c:v>
                </c:pt>
                <c:pt idx="6">
                  <c:v>-0.41602514716892186</c:v>
                </c:pt>
                <c:pt idx="7">
                  <c:v>-0.34668762264076824</c:v>
                </c:pt>
                <c:pt idx="8">
                  <c:v>-0.27735009811261457</c:v>
                </c:pt>
                <c:pt idx="9">
                  <c:v>-0.20801257358446093</c:v>
                </c:pt>
                <c:pt idx="10">
                  <c:v>-0.13867504905630729</c:v>
                </c:pt>
                <c:pt idx="11">
                  <c:v>-6.9337524528153643E-2</c:v>
                </c:pt>
                <c:pt idx="12">
                  <c:v>0</c:v>
                </c:pt>
                <c:pt idx="13">
                  <c:v>6.9337524528153643E-2</c:v>
                </c:pt>
                <c:pt idx="14">
                  <c:v>0.13867504905630729</c:v>
                </c:pt>
                <c:pt idx="15">
                  <c:v>0.20801257358446093</c:v>
                </c:pt>
                <c:pt idx="16">
                  <c:v>0.27735009811261457</c:v>
                </c:pt>
                <c:pt idx="17">
                  <c:v>0.34668762264076824</c:v>
                </c:pt>
                <c:pt idx="18">
                  <c:v>0.41602514716892186</c:v>
                </c:pt>
                <c:pt idx="19">
                  <c:v>0.48536267169707553</c:v>
                </c:pt>
                <c:pt idx="20">
                  <c:v>0.55470019622522915</c:v>
                </c:pt>
                <c:pt idx="21">
                  <c:v>0.62403772075338282</c:v>
                </c:pt>
                <c:pt idx="22">
                  <c:v>0.69337524528153649</c:v>
                </c:pt>
                <c:pt idx="23">
                  <c:v>0.76271276980969005</c:v>
                </c:pt>
                <c:pt idx="24">
                  <c:v>0.83205029433784372</c:v>
                </c:pt>
              </c:numCache>
            </c:numRef>
          </c:xVal>
          <c:yVal>
            <c:numRef>
              <c:f>'PDF (3)'!$J$8:$J$32</c:f>
              <c:numCache>
                <c:formatCode>0%</c:formatCode>
                <c:ptCount val="25"/>
                <c:pt idx="0">
                  <c:v>0.56442644851933488</c:v>
                </c:pt>
                <c:pt idx="1">
                  <c:v>0.59651151267088631</c:v>
                </c:pt>
                <c:pt idx="2">
                  <c:v>0.62739687254190113</c:v>
                </c:pt>
                <c:pt idx="3">
                  <c:v>0.65671647988244053</c:v>
                </c:pt>
                <c:pt idx="4">
                  <c:v>0.68410934946998414</c:v>
                </c:pt>
                <c:pt idx="5">
                  <c:v>0.70922687252184125</c:v>
                </c:pt>
                <c:pt idx="6">
                  <c:v>0.73174015014561622</c:v>
                </c:pt>
                <c:pt idx="7">
                  <c:v>0.75134713286853705</c:v>
                </c:pt>
                <c:pt idx="8">
                  <c:v>0.76777935053406543</c:v>
                </c:pt>
                <c:pt idx="9">
                  <c:v>0.78080802342795785</c:v>
                </c:pt>
                <c:pt idx="10">
                  <c:v>0.79024936039269078</c:v>
                </c:pt>
                <c:pt idx="11">
                  <c:v>0.79596887250262238</c:v>
                </c:pt>
                <c:pt idx="12">
                  <c:v>0.79788456080286541</c:v>
                </c:pt>
                <c:pt idx="13">
                  <c:v>0.79596887250262238</c:v>
                </c:pt>
                <c:pt idx="14">
                  <c:v>0.79024936039269078</c:v>
                </c:pt>
                <c:pt idx="15">
                  <c:v>0.78080802342795785</c:v>
                </c:pt>
                <c:pt idx="16">
                  <c:v>0.76777935053406543</c:v>
                </c:pt>
                <c:pt idx="17">
                  <c:v>0.75134713286853705</c:v>
                </c:pt>
                <c:pt idx="18">
                  <c:v>0.73174015014561622</c:v>
                </c:pt>
                <c:pt idx="19">
                  <c:v>0.70922687252184125</c:v>
                </c:pt>
                <c:pt idx="20">
                  <c:v>0.68410934946998414</c:v>
                </c:pt>
                <c:pt idx="21">
                  <c:v>0.65671647988244053</c:v>
                </c:pt>
                <c:pt idx="22">
                  <c:v>0.62739687254190113</c:v>
                </c:pt>
                <c:pt idx="23">
                  <c:v>0.59651151267088631</c:v>
                </c:pt>
                <c:pt idx="24">
                  <c:v>0.56442644851933488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3B-47A8-ABD8-278CAF89A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'PDF (3)'!$G$7</c15:sqref>
                        </c15:formulaRef>
                      </c:ext>
                    </c:extLst>
                    <c:strCache>
                      <c:ptCount val="1"/>
                      <c:pt idx="0">
                        <c:v>Yb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'PDF (3)'!$C$8:$C$32</c15:sqref>
                        </c15:formulaRef>
                      </c:ext>
                    </c:extLst>
                    <c:numCache>
                      <c:formatCode>0</c:formatCode>
                      <c:ptCount val="25"/>
                      <c:pt idx="0">
                        <c:v>-1.6641005886756874</c:v>
                      </c:pt>
                      <c:pt idx="1">
                        <c:v>-1.5254255396193801</c:v>
                      </c:pt>
                      <c:pt idx="2">
                        <c:v>-1.386750490563073</c:v>
                      </c:pt>
                      <c:pt idx="3">
                        <c:v>-1.2480754415067656</c:v>
                      </c:pt>
                      <c:pt idx="4">
                        <c:v>-1.1094003924504583</c:v>
                      </c:pt>
                      <c:pt idx="5">
                        <c:v>-0.97072534339415106</c:v>
                      </c:pt>
                      <c:pt idx="6">
                        <c:v>-0.83205029433784372</c:v>
                      </c:pt>
                      <c:pt idx="7">
                        <c:v>-0.69337524528153649</c:v>
                      </c:pt>
                      <c:pt idx="8">
                        <c:v>-0.55470019622522915</c:v>
                      </c:pt>
                      <c:pt idx="9">
                        <c:v>-0.41602514716892186</c:v>
                      </c:pt>
                      <c:pt idx="10">
                        <c:v>-0.27735009811261457</c:v>
                      </c:pt>
                      <c:pt idx="11">
                        <c:v>-0.13867504905630729</c:v>
                      </c:pt>
                      <c:pt idx="12">
                        <c:v>0</c:v>
                      </c:pt>
                      <c:pt idx="13">
                        <c:v>0.13867504905630729</c:v>
                      </c:pt>
                      <c:pt idx="14">
                        <c:v>0.27735009811261457</c:v>
                      </c:pt>
                      <c:pt idx="15" formatCode="0.0">
                        <c:v>0.41602514716892186</c:v>
                      </c:pt>
                      <c:pt idx="16" formatCode="0.0">
                        <c:v>0.55470019622522915</c:v>
                      </c:pt>
                      <c:pt idx="17" formatCode="0.0">
                        <c:v>0.69337524528153649</c:v>
                      </c:pt>
                      <c:pt idx="18" formatCode="0.0">
                        <c:v>0.83205029433784372</c:v>
                      </c:pt>
                      <c:pt idx="19" formatCode="0.0">
                        <c:v>0.97072534339415106</c:v>
                      </c:pt>
                      <c:pt idx="20" formatCode="0.0">
                        <c:v>1.1094003924504583</c:v>
                      </c:pt>
                      <c:pt idx="21" formatCode="0.0">
                        <c:v>1.2480754415067656</c:v>
                      </c:pt>
                      <c:pt idx="22" formatCode="0.0">
                        <c:v>1.386750490563073</c:v>
                      </c:pt>
                      <c:pt idx="23" formatCode="0.0">
                        <c:v>1.5254255396193801</c:v>
                      </c:pt>
                      <c:pt idx="24" formatCode="0.0">
                        <c:v>1.6641005886756874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'PDF (3)'!$F$8:$F$32</c15:sqref>
                        </c15:formulaRef>
                      </c:ext>
                    </c:extLst>
                    <c:numCache>
                      <c:formatCode>0%</c:formatCode>
                      <c:ptCount val="25"/>
                      <c:pt idx="0">
                        <c:v>4.8046164727836627E-2</c:v>
                      </c:pt>
                      <c:pt idx="1">
                        <c:v>6.3576496300007113E-2</c:v>
                      </c:pt>
                      <c:pt idx="2">
                        <c:v>8.275892934873498E-2</c:v>
                      </c:pt>
                      <c:pt idx="3">
                        <c:v>0.10600171546141283</c:v>
                      </c:pt>
                      <c:pt idx="4">
                        <c:v>0.1336287465771939</c:v>
                      </c:pt>
                      <c:pt idx="5">
                        <c:v>0.16584253402843122</c:v>
                      </c:pt>
                      <c:pt idx="6">
                        <c:v>0.20269027822947119</c:v>
                      </c:pt>
                      <c:pt idx="7">
                        <c:v>0.24403704658262404</c:v>
                      </c:pt>
                      <c:pt idx="8">
                        <c:v>0.28954987097695939</c:v>
                      </c:pt>
                      <c:pt idx="9">
                        <c:v>0.33869580096313867</c:v>
                      </c:pt>
                      <c:pt idx="10">
                        <c:v>0.39075564749935665</c:v>
                      </c:pt>
                      <c:pt idx="11">
                        <c:v>0.4448534677665506</c:v>
                      </c:pt>
                      <c:pt idx="12">
                        <c:v>0.5</c:v>
                      </c:pt>
                      <c:pt idx="13">
                        <c:v>0.55514653223344945</c:v>
                      </c:pt>
                      <c:pt idx="14">
                        <c:v>0.60924435250064335</c:v>
                      </c:pt>
                      <c:pt idx="15">
                        <c:v>0.66130419903686133</c:v>
                      </c:pt>
                      <c:pt idx="16">
                        <c:v>0.71045012902304061</c:v>
                      </c:pt>
                      <c:pt idx="17">
                        <c:v>0.75596295341737596</c:v>
                      </c:pt>
                      <c:pt idx="18">
                        <c:v>0.79730972177052883</c:v>
                      </c:pt>
                      <c:pt idx="19">
                        <c:v>0.83415746597156881</c:v>
                      </c:pt>
                      <c:pt idx="20">
                        <c:v>0.86637125342280608</c:v>
                      </c:pt>
                      <c:pt idx="21">
                        <c:v>0.89399828453858721</c:v>
                      </c:pt>
                      <c:pt idx="22">
                        <c:v>0.91724107065126503</c:v>
                      </c:pt>
                      <c:pt idx="23">
                        <c:v>0.93642350369999283</c:v>
                      </c:pt>
                      <c:pt idx="24">
                        <c:v>0.95195383527216337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243B-47A8-ABD8-278CAF89A816}"/>
                  </c:ext>
                </c:extLst>
              </c15:ser>
            </c15:filteredScatterSeries>
          </c:ext>
        </c:extLst>
      </c:scatterChart>
      <c:valAx>
        <c:axId val="3036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Z  →</a:t>
                </a:r>
              </a:p>
            </c:rich>
          </c:tx>
          <c:layout>
            <c:manualLayout>
              <c:xMode val="edge"/>
              <c:yMode val="edge"/>
              <c:x val="3.9167014216873811E-2"/>
              <c:y val="0.912057154586666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Pr  →</a:t>
                </a:r>
              </a:p>
            </c:rich>
          </c:tx>
          <c:layout>
            <c:manualLayout>
              <c:xMode val="edge"/>
              <c:yMode val="edge"/>
              <c:x val="2.2361265798117112E-2"/>
              <c:y val="0.7516899708103859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30361084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2044051769685758E-2"/>
          <c:y val="0.13895389777982384"/>
          <c:w val="0.19478978876735059"/>
          <c:h val="0.1845271142606120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Reconstruction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'PDF (3)'!$B$7</c:f>
              <c:strCache>
                <c:ptCount val="1"/>
                <c:pt idx="0">
                  <c:v>data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yVal>
            <c:numRef>
              <c:f>'PDF (3)'!$B$8:$B$32</c:f>
              <c:numCache>
                <c:formatCode>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4B-48E6-9E92-24E16BD889AA}"/>
            </c:ext>
          </c:extLst>
        </c:ser>
        <c:ser>
          <c:idx val="2"/>
          <c:order val="1"/>
          <c:tx>
            <c:strRef>
              <c:f>'PDF (3)'!$M$7</c:f>
              <c:strCache>
                <c:ptCount val="1"/>
                <c:pt idx="0">
                  <c:v>Xa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9"/>
            <c:spPr>
              <a:noFill/>
              <a:ln w="3175">
                <a:solidFill>
                  <a:srgbClr val="000000"/>
                </a:solidFill>
              </a:ln>
            </c:spPr>
          </c:marker>
          <c:yVal>
            <c:numRef>
              <c:f>'PDF (3)'!$M$8:$M$32</c:f>
              <c:numCache>
                <c:formatCode>0.0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4B-48E6-9E92-24E16BD889AA}"/>
            </c:ext>
          </c:extLst>
        </c:ser>
        <c:ser>
          <c:idx val="0"/>
          <c:order val="2"/>
          <c:tx>
            <c:strRef>
              <c:f>'PDF (3)'!$N$7</c:f>
              <c:strCache>
                <c:ptCount val="1"/>
                <c:pt idx="0">
                  <c:v>Xb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yVal>
            <c:numRef>
              <c:f>'PDF (3)'!$N$8:$N$32</c:f>
              <c:numCache>
                <c:formatCode>0.0</c:formatCode>
                <c:ptCount val="25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  <c:pt idx="5">
                  <c:v>9.5</c:v>
                </c:pt>
                <c:pt idx="6">
                  <c:v>10</c:v>
                </c:pt>
                <c:pt idx="7">
                  <c:v>10.5</c:v>
                </c:pt>
                <c:pt idx="8">
                  <c:v>11</c:v>
                </c:pt>
                <c:pt idx="9">
                  <c:v>11.5</c:v>
                </c:pt>
                <c:pt idx="10">
                  <c:v>12</c:v>
                </c:pt>
                <c:pt idx="11">
                  <c:v>12.5</c:v>
                </c:pt>
                <c:pt idx="12">
                  <c:v>13</c:v>
                </c:pt>
                <c:pt idx="13">
                  <c:v>13.5</c:v>
                </c:pt>
                <c:pt idx="14">
                  <c:v>14</c:v>
                </c:pt>
                <c:pt idx="15">
                  <c:v>14.5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4B-48E6-9E92-24E16BD88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152928"/>
        <c:axId val="534156256"/>
      </c:scatterChart>
      <c:scatterChart>
        <c:scatterStyle val="lineMarker"/>
        <c:varyColors val="0"/>
        <c:ser>
          <c:idx val="4"/>
          <c:order val="3"/>
          <c:tx>
            <c:strRef>
              <c:f>'PDF (3)'!$J$7</c:f>
              <c:strCache>
                <c:ptCount val="1"/>
                <c:pt idx="0">
                  <c:v>PB</c:v>
                </c:pt>
              </c:strCache>
            </c:strRef>
          </c:tx>
          <c:spPr>
            <a:ln w="28575">
              <a:solidFill>
                <a:srgbClr val="C00000"/>
              </a:solidFill>
              <a:prstDash val="dash"/>
            </a:ln>
          </c:spPr>
          <c:marker>
            <c:symbol val="none"/>
          </c:marker>
          <c:yVal>
            <c:numRef>
              <c:f>'PDF (3)'!$J$8:$J$32</c:f>
              <c:numCache>
                <c:formatCode>0%</c:formatCode>
                <c:ptCount val="25"/>
                <c:pt idx="0">
                  <c:v>0.56442644851933488</c:v>
                </c:pt>
                <c:pt idx="1">
                  <c:v>0.59651151267088631</c:v>
                </c:pt>
                <c:pt idx="2">
                  <c:v>0.62739687254190113</c:v>
                </c:pt>
                <c:pt idx="3">
                  <c:v>0.65671647988244053</c:v>
                </c:pt>
                <c:pt idx="4">
                  <c:v>0.68410934946998414</c:v>
                </c:pt>
                <c:pt idx="5">
                  <c:v>0.70922687252184125</c:v>
                </c:pt>
                <c:pt idx="6">
                  <c:v>0.73174015014561622</c:v>
                </c:pt>
                <c:pt idx="7">
                  <c:v>0.75134713286853705</c:v>
                </c:pt>
                <c:pt idx="8">
                  <c:v>0.76777935053406543</c:v>
                </c:pt>
                <c:pt idx="9">
                  <c:v>0.78080802342795785</c:v>
                </c:pt>
                <c:pt idx="10">
                  <c:v>0.79024936039269078</c:v>
                </c:pt>
                <c:pt idx="11">
                  <c:v>0.79596887250262238</c:v>
                </c:pt>
                <c:pt idx="12">
                  <c:v>0.79788456080286541</c:v>
                </c:pt>
                <c:pt idx="13">
                  <c:v>0.79596887250262238</c:v>
                </c:pt>
                <c:pt idx="14">
                  <c:v>0.79024936039269078</c:v>
                </c:pt>
                <c:pt idx="15">
                  <c:v>0.78080802342795785</c:v>
                </c:pt>
                <c:pt idx="16">
                  <c:v>0.76777935053406543</c:v>
                </c:pt>
                <c:pt idx="17">
                  <c:v>0.75134713286853705</c:v>
                </c:pt>
                <c:pt idx="18">
                  <c:v>0.73174015014561622</c:v>
                </c:pt>
                <c:pt idx="19">
                  <c:v>0.70922687252184125</c:v>
                </c:pt>
                <c:pt idx="20">
                  <c:v>0.68410934946998414</c:v>
                </c:pt>
                <c:pt idx="21">
                  <c:v>0.65671647988244053</c:v>
                </c:pt>
                <c:pt idx="22">
                  <c:v>0.62739687254190113</c:v>
                </c:pt>
                <c:pt idx="23">
                  <c:v>0.59651151267088631</c:v>
                </c:pt>
                <c:pt idx="24">
                  <c:v>0.56442644851933488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4B-48E6-9E92-24E16BD889AA}"/>
            </c:ext>
          </c:extLst>
        </c:ser>
        <c:ser>
          <c:idx val="3"/>
          <c:order val="4"/>
          <c:tx>
            <c:strRef>
              <c:f>'PDF (3)'!$P$7</c:f>
              <c:strCache>
                <c:ptCount val="1"/>
                <c:pt idx="0">
                  <c:v>W</c:v>
                </c:pt>
              </c:strCache>
            </c:strRef>
          </c:tx>
          <c:spPr>
            <a:ln w="28575">
              <a:solidFill>
                <a:srgbClr val="0000FF"/>
              </a:solidFill>
              <a:prstDash val="dash"/>
            </a:ln>
          </c:spPr>
          <c:marker>
            <c:symbol val="none"/>
          </c:marker>
          <c:yVal>
            <c:numRef>
              <c:f>'PDF (3)'!$Q$8:$Q$32</c:f>
              <c:numCache>
                <c:formatCode>0%</c:formatCode>
                <c:ptCount val="25"/>
                <c:pt idx="0">
                  <c:v>0.95</c:v>
                </c:pt>
                <c:pt idx="1">
                  <c:v>0.82531948025032176</c:v>
                </c:pt>
                <c:pt idx="2">
                  <c:v>0.71471191472287332</c:v>
                </c:pt>
                <c:pt idx="3">
                  <c:v>0.61592456318038979</c:v>
                </c:pt>
                <c:pt idx="4">
                  <c:v>0.52703319264113602</c:v>
                </c:pt>
                <c:pt idx="5">
                  <c:v>0.44638199274319074</c:v>
                </c:pt>
                <c:pt idx="6">
                  <c:v>0.37253365453747017</c:v>
                </c:pt>
                <c:pt idx="7">
                  <c:v>0.30422754942322094</c:v>
                </c:pt>
                <c:pt idx="8">
                  <c:v>0.24034433058539453</c:v>
                </c:pt>
                <c:pt idx="9">
                  <c:v>0.17987557942824073</c:v>
                </c:pt>
                <c:pt idx="10">
                  <c:v>0.12189735126655218</c:v>
                </c:pt>
                <c:pt idx="11">
                  <c:v>6.5546650957596209E-2</c:v>
                </c:pt>
                <c:pt idx="12">
                  <c:v>0.01</c:v>
                </c:pt>
                <c:pt idx="13">
                  <c:v>6.5546650957596209E-2</c:v>
                </c:pt>
                <c:pt idx="14">
                  <c:v>0.12189735126655218</c:v>
                </c:pt>
                <c:pt idx="15">
                  <c:v>0.17987557942824073</c:v>
                </c:pt>
                <c:pt idx="16">
                  <c:v>0.24034433058539453</c:v>
                </c:pt>
                <c:pt idx="17">
                  <c:v>0.30422754942322094</c:v>
                </c:pt>
                <c:pt idx="18">
                  <c:v>0.37253365453747017</c:v>
                </c:pt>
                <c:pt idx="19">
                  <c:v>0.44638199274319074</c:v>
                </c:pt>
                <c:pt idx="20">
                  <c:v>0.52703319264113602</c:v>
                </c:pt>
                <c:pt idx="21">
                  <c:v>0.61592456318038979</c:v>
                </c:pt>
                <c:pt idx="22">
                  <c:v>0.71471191472287332</c:v>
                </c:pt>
                <c:pt idx="23">
                  <c:v>0.82531948025032176</c:v>
                </c:pt>
                <c:pt idx="24">
                  <c:v>0.95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F4B-48E6-9E92-24E16BD88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099120"/>
        <c:axId val="466103440"/>
      </c:scatterChart>
      <c:valAx>
        <c:axId val="53415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156256"/>
        <c:crosses val="autoZero"/>
        <c:crossBetween val="midCat"/>
      </c:valAx>
      <c:valAx>
        <c:axId val="53415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152928"/>
        <c:crosses val="autoZero"/>
        <c:crossBetween val="midCat"/>
      </c:valAx>
      <c:valAx>
        <c:axId val="46610344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466099120"/>
        <c:crosses val="max"/>
        <c:crossBetween val="midCat"/>
      </c:valAx>
      <c:valAx>
        <c:axId val="466099120"/>
        <c:scaling>
          <c:orientation val="minMax"/>
        </c:scaling>
        <c:delete val="1"/>
        <c:axPos val="b"/>
        <c:majorTickMark val="out"/>
        <c:minorTickMark val="none"/>
        <c:tickLblPos val="nextTo"/>
        <c:crossAx val="46610344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Standard Normal PDF</a:t>
            </a:r>
          </a:p>
        </c:rich>
      </c:tx>
      <c:layout>
        <c:manualLayout>
          <c:xMode val="edge"/>
          <c:yMode val="edge"/>
          <c:x val="0.17421128334238023"/>
          <c:y val="5.13139661833044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68771736490048"/>
          <c:y val="0.31641611378035073"/>
          <c:w val="0.73449766860406562"/>
          <c:h val="0.553594079970497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'PDF (3)'!$F$7</c:f>
              <c:strCache>
                <c:ptCount val="1"/>
                <c:pt idx="0">
                  <c:v>Ya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3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'PDF (3)'!$C$8:$C$32</c:f>
              <c:numCache>
                <c:formatCode>0</c:formatCode>
                <c:ptCount val="25"/>
                <c:pt idx="0">
                  <c:v>-1.6641005886756874</c:v>
                </c:pt>
                <c:pt idx="1">
                  <c:v>-1.5254255396193801</c:v>
                </c:pt>
                <c:pt idx="2">
                  <c:v>-1.386750490563073</c:v>
                </c:pt>
                <c:pt idx="3">
                  <c:v>-1.2480754415067656</c:v>
                </c:pt>
                <c:pt idx="4">
                  <c:v>-1.1094003924504583</c:v>
                </c:pt>
                <c:pt idx="5">
                  <c:v>-0.97072534339415106</c:v>
                </c:pt>
                <c:pt idx="6">
                  <c:v>-0.83205029433784372</c:v>
                </c:pt>
                <c:pt idx="7">
                  <c:v>-0.69337524528153649</c:v>
                </c:pt>
                <c:pt idx="8">
                  <c:v>-0.55470019622522915</c:v>
                </c:pt>
                <c:pt idx="9">
                  <c:v>-0.41602514716892186</c:v>
                </c:pt>
                <c:pt idx="10">
                  <c:v>-0.27735009811261457</c:v>
                </c:pt>
                <c:pt idx="11">
                  <c:v>-0.13867504905630729</c:v>
                </c:pt>
                <c:pt idx="12">
                  <c:v>0</c:v>
                </c:pt>
                <c:pt idx="13">
                  <c:v>0.13867504905630729</c:v>
                </c:pt>
                <c:pt idx="14">
                  <c:v>0.27735009811261457</c:v>
                </c:pt>
                <c:pt idx="15" formatCode="0.0">
                  <c:v>0.41602514716892186</c:v>
                </c:pt>
                <c:pt idx="16" formatCode="0.0">
                  <c:v>0.55470019622522915</c:v>
                </c:pt>
                <c:pt idx="17" formatCode="0.0">
                  <c:v>0.69337524528153649</c:v>
                </c:pt>
                <c:pt idx="18" formatCode="0.0">
                  <c:v>0.83205029433784372</c:v>
                </c:pt>
                <c:pt idx="19" formatCode="0.0">
                  <c:v>0.97072534339415106</c:v>
                </c:pt>
                <c:pt idx="20" formatCode="0.0">
                  <c:v>1.1094003924504583</c:v>
                </c:pt>
                <c:pt idx="21" formatCode="0.0">
                  <c:v>1.2480754415067656</c:v>
                </c:pt>
                <c:pt idx="22" formatCode="0.0">
                  <c:v>1.386750490563073</c:v>
                </c:pt>
                <c:pt idx="23" formatCode="0.0">
                  <c:v>1.5254255396193801</c:v>
                </c:pt>
                <c:pt idx="24" formatCode="0.0">
                  <c:v>1.6641005886756874</c:v>
                </c:pt>
              </c:numCache>
            </c:numRef>
          </c:xVal>
          <c:yVal>
            <c:numRef>
              <c:f>'PDF (3)'!$F$8:$F$32</c:f>
              <c:numCache>
                <c:formatCode>0%</c:formatCode>
                <c:ptCount val="25"/>
                <c:pt idx="0">
                  <c:v>4.8046164727836627E-2</c:v>
                </c:pt>
                <c:pt idx="1">
                  <c:v>6.3576496300007113E-2</c:v>
                </c:pt>
                <c:pt idx="2">
                  <c:v>8.275892934873498E-2</c:v>
                </c:pt>
                <c:pt idx="3">
                  <c:v>0.10600171546141283</c:v>
                </c:pt>
                <c:pt idx="4">
                  <c:v>0.1336287465771939</c:v>
                </c:pt>
                <c:pt idx="5">
                  <c:v>0.16584253402843122</c:v>
                </c:pt>
                <c:pt idx="6">
                  <c:v>0.20269027822947119</c:v>
                </c:pt>
                <c:pt idx="7">
                  <c:v>0.24403704658262404</c:v>
                </c:pt>
                <c:pt idx="8">
                  <c:v>0.28954987097695939</c:v>
                </c:pt>
                <c:pt idx="9">
                  <c:v>0.33869580096313867</c:v>
                </c:pt>
                <c:pt idx="10">
                  <c:v>0.39075564749935665</c:v>
                </c:pt>
                <c:pt idx="11">
                  <c:v>0.4448534677665506</c:v>
                </c:pt>
                <c:pt idx="12">
                  <c:v>0.5</c:v>
                </c:pt>
                <c:pt idx="13">
                  <c:v>0.55514653223344945</c:v>
                </c:pt>
                <c:pt idx="14">
                  <c:v>0.60924435250064335</c:v>
                </c:pt>
                <c:pt idx="15">
                  <c:v>0.66130419903686133</c:v>
                </c:pt>
                <c:pt idx="16">
                  <c:v>0.71045012902304061</c:v>
                </c:pt>
                <c:pt idx="17">
                  <c:v>0.75596295341737596</c:v>
                </c:pt>
                <c:pt idx="18">
                  <c:v>0.79730972177052883</c:v>
                </c:pt>
                <c:pt idx="19">
                  <c:v>0.83415746597156881</c:v>
                </c:pt>
                <c:pt idx="20">
                  <c:v>0.86637125342280608</c:v>
                </c:pt>
                <c:pt idx="21">
                  <c:v>0.89399828453858721</c:v>
                </c:pt>
                <c:pt idx="22">
                  <c:v>0.91724107065126503</c:v>
                </c:pt>
                <c:pt idx="23">
                  <c:v>0.93642350369999283</c:v>
                </c:pt>
                <c:pt idx="24">
                  <c:v>0.95195383527216337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5D-4852-9466-CED2C155B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3.9167014216873811E-2"/>
              <c:y val="0.912057154586666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2.2361265798117112E-2"/>
              <c:y val="0.7516899708103859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30361084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2044051769685758E-2"/>
          <c:y val="0.13895389777982384"/>
          <c:w val="9.5789172248921195E-2"/>
          <c:h val="0.27679067139091806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Standard Normal CDF</a:t>
            </a:r>
          </a:p>
        </c:rich>
      </c:tx>
      <c:layout>
        <c:manualLayout>
          <c:xMode val="edge"/>
          <c:yMode val="edge"/>
          <c:x val="0.3405192184203284"/>
          <c:y val="3.35377482345248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0010474888513"/>
          <c:y val="0.30355289012979797"/>
          <c:w val="0.73449766860406562"/>
          <c:h val="0.4910083109939467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'PDF (4)'!$I$7</c:f>
              <c:strCache>
                <c:ptCount val="1"/>
                <c:pt idx="0">
                  <c:v>CDFa</c:v>
                </c:pt>
              </c:strCache>
            </c:strRef>
          </c:tx>
          <c:marker>
            <c:symbol val="circle"/>
            <c:size val="3"/>
            <c:spPr>
              <a:solidFill>
                <a:srgbClr val="000000"/>
              </a:solidFill>
              <a:ln>
                <a:noFill/>
              </a:ln>
            </c:spPr>
          </c:marker>
          <c:dPt>
            <c:idx val="0"/>
            <c:marker>
              <c:symbol val="x"/>
              <c:size val="10"/>
              <c:spPr>
                <a:noFill/>
                <a:ln w="19050">
                  <a:solidFill>
                    <a:sysClr val="windowText" lastClr="00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232-40BC-9645-FE41A01140C2}"/>
              </c:ext>
            </c:extLst>
          </c:dPt>
          <c:dPt>
            <c:idx val="24"/>
            <c:marker>
              <c:symbol val="x"/>
              <c:size val="10"/>
              <c:spPr>
                <a:noFill/>
                <a:ln w="19050">
                  <a:solidFill>
                    <a:sysClr val="windowText" lastClr="000000"/>
                  </a:solidFill>
                </a:ln>
              </c:spPr>
            </c:marker>
            <c:bubble3D val="0"/>
            <c:spPr>
              <a:ln w="19050"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8232-40BC-9645-FE41A01140C2}"/>
              </c:ext>
            </c:extLst>
          </c:dPt>
          <c:xVal>
            <c:numRef>
              <c:f>'PDF (4)'!$D$8:$D$32</c:f>
              <c:numCache>
                <c:formatCode>0</c:formatCode>
                <c:ptCount val="25"/>
                <c:pt idx="0">
                  <c:v>-1.6641005886756874</c:v>
                </c:pt>
                <c:pt idx="1">
                  <c:v>-1.5254255396193801</c:v>
                </c:pt>
                <c:pt idx="2">
                  <c:v>-1.386750490563073</c:v>
                </c:pt>
                <c:pt idx="3">
                  <c:v>-1.2480754415067656</c:v>
                </c:pt>
                <c:pt idx="4">
                  <c:v>-1.1094003924504583</c:v>
                </c:pt>
                <c:pt idx="5">
                  <c:v>-0.97072534339415106</c:v>
                </c:pt>
                <c:pt idx="6">
                  <c:v>-0.83205029433784372</c:v>
                </c:pt>
                <c:pt idx="7">
                  <c:v>-0.69337524528153649</c:v>
                </c:pt>
                <c:pt idx="8">
                  <c:v>-0.55470019622522915</c:v>
                </c:pt>
                <c:pt idx="9">
                  <c:v>-0.41602514716892186</c:v>
                </c:pt>
                <c:pt idx="10">
                  <c:v>-0.27735009811261457</c:v>
                </c:pt>
                <c:pt idx="11">
                  <c:v>-0.13867504905630729</c:v>
                </c:pt>
                <c:pt idx="12">
                  <c:v>0</c:v>
                </c:pt>
                <c:pt idx="13">
                  <c:v>0.13867504905630729</c:v>
                </c:pt>
                <c:pt idx="14">
                  <c:v>0.27735009811261457</c:v>
                </c:pt>
                <c:pt idx="15" formatCode="0.0">
                  <c:v>0.41602514716892186</c:v>
                </c:pt>
                <c:pt idx="16" formatCode="0.0">
                  <c:v>0.55470019622522915</c:v>
                </c:pt>
                <c:pt idx="17" formatCode="0.0">
                  <c:v>0.69337524528153649</c:v>
                </c:pt>
                <c:pt idx="18" formatCode="0.0">
                  <c:v>0.83205029433784372</c:v>
                </c:pt>
                <c:pt idx="19" formatCode="0.0">
                  <c:v>0.97072534339415106</c:v>
                </c:pt>
                <c:pt idx="20" formatCode="0.0">
                  <c:v>1.1094003924504583</c:v>
                </c:pt>
                <c:pt idx="21" formatCode="0.0">
                  <c:v>1.2480754415067656</c:v>
                </c:pt>
                <c:pt idx="22" formatCode="0.0">
                  <c:v>1.386750490563073</c:v>
                </c:pt>
                <c:pt idx="23" formatCode="0.0">
                  <c:v>1.5254255396193801</c:v>
                </c:pt>
                <c:pt idx="24" formatCode="0.0">
                  <c:v>1.6641005886756874</c:v>
                </c:pt>
              </c:numCache>
            </c:numRef>
          </c:xVal>
          <c:yVal>
            <c:numRef>
              <c:f>'PDF (4)'!$I$8:$I$32</c:f>
              <c:numCache>
                <c:formatCode>0%</c:formatCode>
                <c:ptCount val="25"/>
                <c:pt idx="0">
                  <c:v>4.8046164727836627E-2</c:v>
                </c:pt>
                <c:pt idx="1">
                  <c:v>6.3576496300007113E-2</c:v>
                </c:pt>
                <c:pt idx="2">
                  <c:v>8.275892934873498E-2</c:v>
                </c:pt>
                <c:pt idx="3">
                  <c:v>0.10600171546141283</c:v>
                </c:pt>
                <c:pt idx="4">
                  <c:v>0.1336287465771939</c:v>
                </c:pt>
                <c:pt idx="5">
                  <c:v>0.16584253402843122</c:v>
                </c:pt>
                <c:pt idx="6">
                  <c:v>0.20269027822947119</c:v>
                </c:pt>
                <c:pt idx="7">
                  <c:v>0.24403704658262404</c:v>
                </c:pt>
                <c:pt idx="8">
                  <c:v>0.28954987097695939</c:v>
                </c:pt>
                <c:pt idx="9">
                  <c:v>0.33869580096313867</c:v>
                </c:pt>
                <c:pt idx="10">
                  <c:v>0.39075564749935665</c:v>
                </c:pt>
                <c:pt idx="11">
                  <c:v>0.4448534677665506</c:v>
                </c:pt>
                <c:pt idx="12">
                  <c:v>0.5</c:v>
                </c:pt>
                <c:pt idx="13">
                  <c:v>0.55514653223344945</c:v>
                </c:pt>
                <c:pt idx="14">
                  <c:v>0.60924435250064335</c:v>
                </c:pt>
                <c:pt idx="15">
                  <c:v>0.66130419903686133</c:v>
                </c:pt>
                <c:pt idx="16">
                  <c:v>0.71045012902304061</c:v>
                </c:pt>
                <c:pt idx="17">
                  <c:v>0.75596295341737596</c:v>
                </c:pt>
                <c:pt idx="18">
                  <c:v>0.79730972177052883</c:v>
                </c:pt>
                <c:pt idx="19">
                  <c:v>0.83415746597156881</c:v>
                </c:pt>
                <c:pt idx="20">
                  <c:v>0.86637125342280608</c:v>
                </c:pt>
                <c:pt idx="21">
                  <c:v>0.89399828453858721</c:v>
                </c:pt>
                <c:pt idx="22">
                  <c:v>0.91724107065126503</c:v>
                </c:pt>
                <c:pt idx="23">
                  <c:v>0.93642350369999283</c:v>
                </c:pt>
                <c:pt idx="24">
                  <c:v>0.95195383527216337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32-40BC-9645-FE41A01140C2}"/>
            </c:ext>
          </c:extLst>
        </c:ser>
        <c:ser>
          <c:idx val="2"/>
          <c:order val="1"/>
          <c:tx>
            <c:strRef>
              <c:f>'PDF (4)'!$J$7</c:f>
              <c:strCache>
                <c:ptCount val="1"/>
                <c:pt idx="0">
                  <c:v>CDFb</c:v>
                </c:pt>
              </c:strCache>
            </c:strRef>
          </c:tx>
          <c:marker>
            <c:symbol val="circle"/>
            <c:size val="10"/>
            <c:spPr>
              <a:noFill/>
              <a:ln>
                <a:solidFill>
                  <a:srgbClr val="0000FF"/>
                </a:solidFill>
              </a:ln>
            </c:spPr>
          </c:marker>
          <c:xVal>
            <c:numRef>
              <c:f>'PDF (4)'!$F$8:$F$32</c:f>
              <c:numCache>
                <c:formatCode>0</c:formatCode>
                <c:ptCount val="25"/>
                <c:pt idx="0">
                  <c:v>-0.83205029433784372</c:v>
                </c:pt>
                <c:pt idx="1">
                  <c:v>-0.76271276980969005</c:v>
                </c:pt>
                <c:pt idx="2">
                  <c:v>-0.69337524528153649</c:v>
                </c:pt>
                <c:pt idx="3">
                  <c:v>-0.62403772075338282</c:v>
                </c:pt>
                <c:pt idx="4">
                  <c:v>-0.55470019622522915</c:v>
                </c:pt>
                <c:pt idx="5">
                  <c:v>-0.48536267169707553</c:v>
                </c:pt>
                <c:pt idx="6">
                  <c:v>-0.41602514716892186</c:v>
                </c:pt>
                <c:pt idx="7">
                  <c:v>-0.34668762264076824</c:v>
                </c:pt>
                <c:pt idx="8">
                  <c:v>-0.27735009811261457</c:v>
                </c:pt>
                <c:pt idx="9">
                  <c:v>-0.20801257358446093</c:v>
                </c:pt>
                <c:pt idx="10">
                  <c:v>-0.13867504905630729</c:v>
                </c:pt>
                <c:pt idx="11">
                  <c:v>-6.9337524528153643E-2</c:v>
                </c:pt>
                <c:pt idx="12">
                  <c:v>0</c:v>
                </c:pt>
                <c:pt idx="13">
                  <c:v>6.9337524528153643E-2</c:v>
                </c:pt>
                <c:pt idx="14">
                  <c:v>0.13867504905630729</c:v>
                </c:pt>
                <c:pt idx="15">
                  <c:v>0.20801257358446093</c:v>
                </c:pt>
                <c:pt idx="16">
                  <c:v>0.27735009811261457</c:v>
                </c:pt>
                <c:pt idx="17">
                  <c:v>0.34668762264076824</c:v>
                </c:pt>
                <c:pt idx="18">
                  <c:v>0.41602514716892186</c:v>
                </c:pt>
                <c:pt idx="19">
                  <c:v>0.48536267169707553</c:v>
                </c:pt>
                <c:pt idx="20">
                  <c:v>0.55470019622522915</c:v>
                </c:pt>
                <c:pt idx="21">
                  <c:v>0.62403772075338282</c:v>
                </c:pt>
                <c:pt idx="22">
                  <c:v>0.69337524528153649</c:v>
                </c:pt>
                <c:pt idx="23">
                  <c:v>0.76271276980969005</c:v>
                </c:pt>
                <c:pt idx="24">
                  <c:v>0.83205029433784372</c:v>
                </c:pt>
              </c:numCache>
            </c:numRef>
          </c:xVal>
          <c:yVal>
            <c:numRef>
              <c:f>'PDF (4)'!$J$8:$J$32</c:f>
              <c:numCache>
                <c:formatCode>0%</c:formatCode>
                <c:ptCount val="25"/>
                <c:pt idx="0">
                  <c:v>0.20269027822947119</c:v>
                </c:pt>
                <c:pt idx="1">
                  <c:v>0.22281735660347199</c:v>
                </c:pt>
                <c:pt idx="2">
                  <c:v>0.24403704658262404</c:v>
                </c:pt>
                <c:pt idx="3">
                  <c:v>0.26630140646823697</c:v>
                </c:pt>
                <c:pt idx="4">
                  <c:v>0.28954987097695939</c:v>
                </c:pt>
                <c:pt idx="5">
                  <c:v>0.31370955318304983</c:v>
                </c:pt>
                <c:pt idx="6">
                  <c:v>0.33869580096313867</c:v>
                </c:pt>
                <c:pt idx="7">
                  <c:v>0.36441300494615936</c:v>
                </c:pt>
                <c:pt idx="8">
                  <c:v>0.39075564749935665</c:v>
                </c:pt>
                <c:pt idx="9">
                  <c:v>0.41760957489251449</c:v>
                </c:pt>
                <c:pt idx="10">
                  <c:v>0.4448534677665506</c:v>
                </c:pt>
                <c:pt idx="11">
                  <c:v>0.47236047867206349</c:v>
                </c:pt>
                <c:pt idx="12">
                  <c:v>0.5</c:v>
                </c:pt>
                <c:pt idx="13">
                  <c:v>0.52763952132793657</c:v>
                </c:pt>
                <c:pt idx="14">
                  <c:v>0.55514653223344945</c:v>
                </c:pt>
                <c:pt idx="15">
                  <c:v>0.58239042510748551</c:v>
                </c:pt>
                <c:pt idx="16">
                  <c:v>0.60924435250064335</c:v>
                </c:pt>
                <c:pt idx="17">
                  <c:v>0.63558699505384064</c:v>
                </c:pt>
                <c:pt idx="18">
                  <c:v>0.66130419903686133</c:v>
                </c:pt>
                <c:pt idx="19">
                  <c:v>0.68629044681695017</c:v>
                </c:pt>
                <c:pt idx="20">
                  <c:v>0.71045012902304061</c:v>
                </c:pt>
                <c:pt idx="21">
                  <c:v>0.73369859353176303</c:v>
                </c:pt>
                <c:pt idx="22">
                  <c:v>0.75596295341737596</c:v>
                </c:pt>
                <c:pt idx="23">
                  <c:v>0.77718264339652798</c:v>
                </c:pt>
                <c:pt idx="24">
                  <c:v>0.79730972177052883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32-40BC-9645-FE41A0114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4.7798532769663941E-2"/>
              <c:y val="0.899137121161093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Title</a:t>
                </a:r>
              </a:p>
            </c:rich>
          </c:tx>
          <c:layout>
            <c:manualLayout>
              <c:xMode val="edge"/>
              <c:yMode val="edge"/>
              <c:x val="2.5771098716822451E-2"/>
              <c:y val="0.75739066006331546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303610847"/>
        <c:crosses val="autoZero"/>
        <c:crossBetween val="midCat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3.2608559463456921E-2"/>
          <c:y val="0.14767929106885608"/>
          <c:w val="0.38772945885685689"/>
          <c:h val="8.7687259649879473E-2"/>
        </c:manualLayout>
      </c:layout>
      <c:overlay val="1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Standard Normal PDF</a:t>
            </a:r>
          </a:p>
        </c:rich>
      </c:tx>
      <c:layout>
        <c:manualLayout>
          <c:xMode val="edge"/>
          <c:yMode val="edge"/>
          <c:x val="0.17421128334238023"/>
          <c:y val="5.13139661833044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68771736490048"/>
          <c:y val="0.31641611378035073"/>
          <c:w val="0.73449766860406562"/>
          <c:h val="0.5535940799704971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'PDF (4)'!$G$7</c:f>
              <c:strCache>
                <c:ptCount val="1"/>
                <c:pt idx="0">
                  <c:v>PDFa</c:v>
                </c:pt>
              </c:strCache>
            </c:strRef>
          </c:tx>
          <c:spPr>
            <a:ln w="38100">
              <a:noFill/>
              <a:prstDash val="dash"/>
              <a:headEnd type="oval" w="sm" len="sm"/>
              <a:tailEnd type="oval" w="sm" len="sm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noFill/>
              </a:ln>
            </c:spPr>
          </c:marker>
          <c:dPt>
            <c:idx val="0"/>
            <c:marker>
              <c:symbol val="x"/>
              <c:size val="10"/>
              <c:spPr>
                <a:noFill/>
                <a:ln w="19050">
                  <a:solidFill>
                    <a:sysClr val="windowText" lastClr="00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63C-42D7-9D5E-D46B5DC4FDAE}"/>
              </c:ext>
            </c:extLst>
          </c:dPt>
          <c:dPt>
            <c:idx val="24"/>
            <c:marker>
              <c:symbol val="x"/>
              <c:size val="10"/>
              <c:spPr>
                <a:noFill/>
                <a:ln w="19050">
                  <a:solidFill>
                    <a:sysClr val="windowText" lastClr="00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63C-42D7-9D5E-D46B5DC4FDAE}"/>
              </c:ext>
            </c:extLst>
          </c:dPt>
          <c:xVal>
            <c:numRef>
              <c:f>'PDF (4)'!$D$8:$D$32</c:f>
              <c:numCache>
                <c:formatCode>0</c:formatCode>
                <c:ptCount val="25"/>
                <c:pt idx="0">
                  <c:v>-1.6641005886756874</c:v>
                </c:pt>
                <c:pt idx="1">
                  <c:v>-1.5254255396193801</c:v>
                </c:pt>
                <c:pt idx="2">
                  <c:v>-1.386750490563073</c:v>
                </c:pt>
                <c:pt idx="3">
                  <c:v>-1.2480754415067656</c:v>
                </c:pt>
                <c:pt idx="4">
                  <c:v>-1.1094003924504583</c:v>
                </c:pt>
                <c:pt idx="5">
                  <c:v>-0.97072534339415106</c:v>
                </c:pt>
                <c:pt idx="6">
                  <c:v>-0.83205029433784372</c:v>
                </c:pt>
                <c:pt idx="7">
                  <c:v>-0.69337524528153649</c:v>
                </c:pt>
                <c:pt idx="8">
                  <c:v>-0.55470019622522915</c:v>
                </c:pt>
                <c:pt idx="9">
                  <c:v>-0.41602514716892186</c:v>
                </c:pt>
                <c:pt idx="10">
                  <c:v>-0.27735009811261457</c:v>
                </c:pt>
                <c:pt idx="11">
                  <c:v>-0.13867504905630729</c:v>
                </c:pt>
                <c:pt idx="12">
                  <c:v>0</c:v>
                </c:pt>
                <c:pt idx="13">
                  <c:v>0.13867504905630729</c:v>
                </c:pt>
                <c:pt idx="14">
                  <c:v>0.27735009811261457</c:v>
                </c:pt>
                <c:pt idx="15" formatCode="0.0">
                  <c:v>0.41602514716892186</c:v>
                </c:pt>
                <c:pt idx="16" formatCode="0.0">
                  <c:v>0.55470019622522915</c:v>
                </c:pt>
                <c:pt idx="17" formatCode="0.0">
                  <c:v>0.69337524528153649</c:v>
                </c:pt>
                <c:pt idx="18" formatCode="0.0">
                  <c:v>0.83205029433784372</c:v>
                </c:pt>
                <c:pt idx="19" formatCode="0.0">
                  <c:v>0.97072534339415106</c:v>
                </c:pt>
                <c:pt idx="20" formatCode="0.0">
                  <c:v>1.1094003924504583</c:v>
                </c:pt>
                <c:pt idx="21" formatCode="0.0">
                  <c:v>1.2480754415067656</c:v>
                </c:pt>
                <c:pt idx="22" formatCode="0.0">
                  <c:v>1.386750490563073</c:v>
                </c:pt>
                <c:pt idx="23" formatCode="0.0">
                  <c:v>1.5254255396193801</c:v>
                </c:pt>
                <c:pt idx="24" formatCode="0.0">
                  <c:v>1.6641005886756874</c:v>
                </c:pt>
              </c:numCache>
            </c:numRef>
          </c:xVal>
          <c:yVal>
            <c:numRef>
              <c:f>'PDF (4)'!$G$8:$G$32</c:f>
              <c:numCache>
                <c:formatCode>0%</c:formatCode>
                <c:ptCount val="25"/>
                <c:pt idx="0">
                  <c:v>0.19980632886664731</c:v>
                </c:pt>
                <c:pt idx="1">
                  <c:v>0.24926146053767562</c:v>
                </c:pt>
                <c:pt idx="2">
                  <c:v>0.30503467686955649</c:v>
                </c:pt>
                <c:pt idx="3">
                  <c:v>0.36617734766050086</c:v>
                </c:pt>
                <c:pt idx="4">
                  <c:v>0.43120314404503474</c:v>
                </c:pt>
                <c:pt idx="5">
                  <c:v>0.49810459255513656</c:v>
                </c:pt>
                <c:pt idx="6">
                  <c:v>0.56442644851933488</c:v>
                </c:pt>
                <c:pt idx="7">
                  <c:v>0.62739687254190113</c:v>
                </c:pt>
                <c:pt idx="8">
                  <c:v>0.68410934946998414</c:v>
                </c:pt>
                <c:pt idx="9">
                  <c:v>0.73174015014561622</c:v>
                </c:pt>
                <c:pt idx="10">
                  <c:v>0.76777935053406543</c:v>
                </c:pt>
                <c:pt idx="11">
                  <c:v>0.79024936039269078</c:v>
                </c:pt>
                <c:pt idx="12">
                  <c:v>0.79788456080286541</c:v>
                </c:pt>
                <c:pt idx="13">
                  <c:v>0.79024936039269078</c:v>
                </c:pt>
                <c:pt idx="14">
                  <c:v>0.76777935053406543</c:v>
                </c:pt>
                <c:pt idx="15">
                  <c:v>0.73174015014561622</c:v>
                </c:pt>
                <c:pt idx="16">
                  <c:v>0.68410934946998414</c:v>
                </c:pt>
                <c:pt idx="17">
                  <c:v>0.62739687254190113</c:v>
                </c:pt>
                <c:pt idx="18">
                  <c:v>0.56442644851933488</c:v>
                </c:pt>
                <c:pt idx="19">
                  <c:v>0.49810459255513656</c:v>
                </c:pt>
                <c:pt idx="20">
                  <c:v>0.43120314404503474</c:v>
                </c:pt>
                <c:pt idx="21">
                  <c:v>0.36617734766050086</c:v>
                </c:pt>
                <c:pt idx="22">
                  <c:v>0.30503467686955649</c:v>
                </c:pt>
                <c:pt idx="23">
                  <c:v>0.24926146053767562</c:v>
                </c:pt>
                <c:pt idx="24">
                  <c:v>0.19980632886664731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3C-42D7-9D5E-D46B5DC4FDAE}"/>
            </c:ext>
          </c:extLst>
        </c:ser>
        <c:ser>
          <c:idx val="2"/>
          <c:order val="1"/>
          <c:tx>
            <c:strRef>
              <c:f>'PDF (4)'!$H$7</c:f>
              <c:strCache>
                <c:ptCount val="1"/>
                <c:pt idx="0">
                  <c:v>PDFb</c:v>
                </c:pt>
              </c:strCache>
            </c:strRef>
          </c:tx>
          <c:spPr>
            <a:ln w="76200">
              <a:noFill/>
              <a:prstDash val="solid"/>
            </a:ln>
          </c:spPr>
          <c:marker>
            <c:symbol val="circ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'PDF (4)'!$F$8:$F$32</c:f>
              <c:numCache>
                <c:formatCode>0</c:formatCode>
                <c:ptCount val="25"/>
                <c:pt idx="0">
                  <c:v>-0.83205029433784372</c:v>
                </c:pt>
                <c:pt idx="1">
                  <c:v>-0.76271276980969005</c:v>
                </c:pt>
                <c:pt idx="2">
                  <c:v>-0.69337524528153649</c:v>
                </c:pt>
                <c:pt idx="3">
                  <c:v>-0.62403772075338282</c:v>
                </c:pt>
                <c:pt idx="4">
                  <c:v>-0.55470019622522915</c:v>
                </c:pt>
                <c:pt idx="5">
                  <c:v>-0.48536267169707553</c:v>
                </c:pt>
                <c:pt idx="6">
                  <c:v>-0.41602514716892186</c:v>
                </c:pt>
                <c:pt idx="7">
                  <c:v>-0.34668762264076824</c:v>
                </c:pt>
                <c:pt idx="8">
                  <c:v>-0.27735009811261457</c:v>
                </c:pt>
                <c:pt idx="9">
                  <c:v>-0.20801257358446093</c:v>
                </c:pt>
                <c:pt idx="10">
                  <c:v>-0.13867504905630729</c:v>
                </c:pt>
                <c:pt idx="11">
                  <c:v>-6.9337524528153643E-2</c:v>
                </c:pt>
                <c:pt idx="12">
                  <c:v>0</c:v>
                </c:pt>
                <c:pt idx="13">
                  <c:v>6.9337524528153643E-2</c:v>
                </c:pt>
                <c:pt idx="14">
                  <c:v>0.13867504905630729</c:v>
                </c:pt>
                <c:pt idx="15">
                  <c:v>0.20801257358446093</c:v>
                </c:pt>
                <c:pt idx="16">
                  <c:v>0.27735009811261457</c:v>
                </c:pt>
                <c:pt idx="17">
                  <c:v>0.34668762264076824</c:v>
                </c:pt>
                <c:pt idx="18">
                  <c:v>0.41602514716892186</c:v>
                </c:pt>
                <c:pt idx="19">
                  <c:v>0.48536267169707553</c:v>
                </c:pt>
                <c:pt idx="20">
                  <c:v>0.55470019622522915</c:v>
                </c:pt>
                <c:pt idx="21">
                  <c:v>0.62403772075338282</c:v>
                </c:pt>
                <c:pt idx="22">
                  <c:v>0.69337524528153649</c:v>
                </c:pt>
                <c:pt idx="23">
                  <c:v>0.76271276980969005</c:v>
                </c:pt>
                <c:pt idx="24">
                  <c:v>0.83205029433784372</c:v>
                </c:pt>
              </c:numCache>
            </c:numRef>
          </c:xVal>
          <c:yVal>
            <c:numRef>
              <c:f>'PDF (4)'!$H$8:$H$32</c:f>
              <c:numCache>
                <c:formatCode>0%</c:formatCode>
                <c:ptCount val="25"/>
                <c:pt idx="0">
                  <c:v>0.56442644851933488</c:v>
                </c:pt>
                <c:pt idx="1">
                  <c:v>0.59651151267088631</c:v>
                </c:pt>
                <c:pt idx="2">
                  <c:v>0.62739687254190113</c:v>
                </c:pt>
                <c:pt idx="3">
                  <c:v>0.65671647988244053</c:v>
                </c:pt>
                <c:pt idx="4">
                  <c:v>0.68410934946998414</c:v>
                </c:pt>
                <c:pt idx="5">
                  <c:v>0.70922687252184125</c:v>
                </c:pt>
                <c:pt idx="6">
                  <c:v>0.73174015014561622</c:v>
                </c:pt>
                <c:pt idx="7">
                  <c:v>0.75134713286853705</c:v>
                </c:pt>
                <c:pt idx="8">
                  <c:v>0.76777935053406543</c:v>
                </c:pt>
                <c:pt idx="9">
                  <c:v>0.78080802342795785</c:v>
                </c:pt>
                <c:pt idx="10">
                  <c:v>0.79024936039269078</c:v>
                </c:pt>
                <c:pt idx="11">
                  <c:v>0.79596887250262238</c:v>
                </c:pt>
                <c:pt idx="12">
                  <c:v>0.79788456080286541</c:v>
                </c:pt>
                <c:pt idx="13">
                  <c:v>0.79596887250262238</c:v>
                </c:pt>
                <c:pt idx="14">
                  <c:v>0.79024936039269078</c:v>
                </c:pt>
                <c:pt idx="15">
                  <c:v>0.78080802342795785</c:v>
                </c:pt>
                <c:pt idx="16">
                  <c:v>0.76777935053406543</c:v>
                </c:pt>
                <c:pt idx="17">
                  <c:v>0.75134713286853705</c:v>
                </c:pt>
                <c:pt idx="18">
                  <c:v>0.73174015014561622</c:v>
                </c:pt>
                <c:pt idx="19">
                  <c:v>0.70922687252184125</c:v>
                </c:pt>
                <c:pt idx="20">
                  <c:v>0.68410934946998414</c:v>
                </c:pt>
                <c:pt idx="21">
                  <c:v>0.65671647988244053</c:v>
                </c:pt>
                <c:pt idx="22">
                  <c:v>0.62739687254190113</c:v>
                </c:pt>
                <c:pt idx="23">
                  <c:v>0.59651151267088631</c:v>
                </c:pt>
                <c:pt idx="24">
                  <c:v>0.56442644851933488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3C-42D7-9D5E-D46B5DC4F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  <c:extLst/>
      </c:scatterChart>
      <c:valAx>
        <c:axId val="3036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Z  →</a:t>
                </a:r>
              </a:p>
            </c:rich>
          </c:tx>
          <c:layout>
            <c:manualLayout>
              <c:xMode val="edge"/>
              <c:yMode val="edge"/>
              <c:x val="3.9167014216873811E-2"/>
              <c:y val="0.912057154586666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Pr  →</a:t>
                </a:r>
              </a:p>
            </c:rich>
          </c:tx>
          <c:layout>
            <c:manualLayout>
              <c:xMode val="edge"/>
              <c:yMode val="edge"/>
              <c:x val="2.2361265798117112E-2"/>
              <c:y val="0.7516899708103859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LID4096"/>
          </a:p>
        </c:txPr>
        <c:crossAx val="30361084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2044051769685758E-2"/>
          <c:y val="0.13895389777982384"/>
          <c:w val="0.19478978876735059"/>
          <c:h val="0.1845271142606120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Reconstruction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'PDF (4)'!$C$7</c:f>
              <c:strCache>
                <c:ptCount val="1"/>
                <c:pt idx="0">
                  <c:v>M1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noFill/>
              </a:ln>
            </c:spPr>
          </c:marker>
          <c:yVal>
            <c:numRef>
              <c:f>'PDF (4)'!$C$8:$C$32</c:f>
              <c:numCache>
                <c:formatCode>0</c:formatCode>
                <c:ptCount val="25"/>
                <c:pt idx="0">
                  <c:v>-20</c:v>
                </c:pt>
                <c:pt idx="1">
                  <c:v>-19</c:v>
                </c:pt>
                <c:pt idx="2">
                  <c:v>-18</c:v>
                </c:pt>
                <c:pt idx="3">
                  <c:v>-17</c:v>
                </c:pt>
                <c:pt idx="4">
                  <c:v>-16</c:v>
                </c:pt>
                <c:pt idx="5">
                  <c:v>-15</c:v>
                </c:pt>
                <c:pt idx="6">
                  <c:v>-14</c:v>
                </c:pt>
                <c:pt idx="7">
                  <c:v>-13</c:v>
                </c:pt>
                <c:pt idx="8">
                  <c:v>-12</c:v>
                </c:pt>
                <c:pt idx="9">
                  <c:v>-11</c:v>
                </c:pt>
                <c:pt idx="10">
                  <c:v>-10</c:v>
                </c:pt>
                <c:pt idx="11">
                  <c:v>-9</c:v>
                </c:pt>
                <c:pt idx="12">
                  <c:v>-8</c:v>
                </c:pt>
                <c:pt idx="13">
                  <c:v>-7</c:v>
                </c:pt>
                <c:pt idx="14">
                  <c:v>-6</c:v>
                </c:pt>
                <c:pt idx="15">
                  <c:v>-5</c:v>
                </c:pt>
                <c:pt idx="16">
                  <c:v>-4</c:v>
                </c:pt>
                <c:pt idx="17">
                  <c:v>-3</c:v>
                </c:pt>
                <c:pt idx="18">
                  <c:v>-2</c:v>
                </c:pt>
                <c:pt idx="19">
                  <c:v>-1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CD-4C82-AC63-87DF5A161E43}"/>
            </c:ext>
          </c:extLst>
        </c:ser>
        <c:ser>
          <c:idx val="0"/>
          <c:order val="1"/>
          <c:tx>
            <c:strRef>
              <c:f>'PDF (4)'!$K$7</c:f>
              <c:strCache>
                <c:ptCount val="1"/>
                <c:pt idx="0">
                  <c:v>Pc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yVal>
            <c:numRef>
              <c:f>'PDF (4)'!$K$8:$K$32</c:f>
              <c:numCache>
                <c:formatCode>0.0</c:formatCode>
                <c:ptCount val="25"/>
                <c:pt idx="0">
                  <c:v>-13</c:v>
                </c:pt>
                <c:pt idx="1">
                  <c:v>-12.5</c:v>
                </c:pt>
                <c:pt idx="2">
                  <c:v>-12</c:v>
                </c:pt>
                <c:pt idx="3">
                  <c:v>-11.5</c:v>
                </c:pt>
                <c:pt idx="4">
                  <c:v>-11</c:v>
                </c:pt>
                <c:pt idx="5">
                  <c:v>-10.5</c:v>
                </c:pt>
                <c:pt idx="6">
                  <c:v>-10</c:v>
                </c:pt>
                <c:pt idx="7">
                  <c:v>-9.5</c:v>
                </c:pt>
                <c:pt idx="8">
                  <c:v>-9</c:v>
                </c:pt>
                <c:pt idx="9">
                  <c:v>-8.5</c:v>
                </c:pt>
                <c:pt idx="10">
                  <c:v>-8</c:v>
                </c:pt>
                <c:pt idx="11">
                  <c:v>-7.5</c:v>
                </c:pt>
                <c:pt idx="12">
                  <c:v>-7</c:v>
                </c:pt>
                <c:pt idx="13">
                  <c:v>-6.5</c:v>
                </c:pt>
                <c:pt idx="14">
                  <c:v>-6</c:v>
                </c:pt>
                <c:pt idx="15">
                  <c:v>-5.5</c:v>
                </c:pt>
                <c:pt idx="16">
                  <c:v>-5</c:v>
                </c:pt>
                <c:pt idx="17">
                  <c:v>-4.5</c:v>
                </c:pt>
                <c:pt idx="18">
                  <c:v>-4</c:v>
                </c:pt>
                <c:pt idx="19">
                  <c:v>-3.5</c:v>
                </c:pt>
                <c:pt idx="20">
                  <c:v>-3</c:v>
                </c:pt>
                <c:pt idx="21">
                  <c:v>-2.5</c:v>
                </c:pt>
                <c:pt idx="22">
                  <c:v>-2</c:v>
                </c:pt>
                <c:pt idx="23">
                  <c:v>-1.5</c:v>
                </c:pt>
                <c:pt idx="24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CD-4C82-AC63-87DF5A161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152928"/>
        <c:axId val="534156256"/>
      </c:scatterChart>
      <c:scatterChart>
        <c:scatterStyle val="lineMarker"/>
        <c:varyColors val="0"/>
        <c:ser>
          <c:idx val="4"/>
          <c:order val="2"/>
          <c:tx>
            <c:strRef>
              <c:f>'PDF (4)'!$H$7</c:f>
              <c:strCache>
                <c:ptCount val="1"/>
                <c:pt idx="0">
                  <c:v>PDFb</c:v>
                </c:pt>
              </c:strCache>
            </c:strRef>
          </c:tx>
          <c:spPr>
            <a:ln w="28575">
              <a:solidFill>
                <a:srgbClr val="C00000"/>
              </a:solidFill>
              <a:prstDash val="dash"/>
            </a:ln>
          </c:spPr>
          <c:marker>
            <c:symbol val="none"/>
          </c:marker>
          <c:yVal>
            <c:numRef>
              <c:f>'PDF (4)'!$H$8:$H$32</c:f>
              <c:numCache>
                <c:formatCode>0%</c:formatCode>
                <c:ptCount val="25"/>
                <c:pt idx="0">
                  <c:v>0.56442644851933488</c:v>
                </c:pt>
                <c:pt idx="1">
                  <c:v>0.59651151267088631</c:v>
                </c:pt>
                <c:pt idx="2">
                  <c:v>0.62739687254190113</c:v>
                </c:pt>
                <c:pt idx="3">
                  <c:v>0.65671647988244053</c:v>
                </c:pt>
                <c:pt idx="4">
                  <c:v>0.68410934946998414</c:v>
                </c:pt>
                <c:pt idx="5">
                  <c:v>0.70922687252184125</c:v>
                </c:pt>
                <c:pt idx="6">
                  <c:v>0.73174015014561622</c:v>
                </c:pt>
                <c:pt idx="7">
                  <c:v>0.75134713286853705</c:v>
                </c:pt>
                <c:pt idx="8">
                  <c:v>0.76777935053406543</c:v>
                </c:pt>
                <c:pt idx="9">
                  <c:v>0.78080802342795785</c:v>
                </c:pt>
                <c:pt idx="10">
                  <c:v>0.79024936039269078</c:v>
                </c:pt>
                <c:pt idx="11">
                  <c:v>0.79596887250262238</c:v>
                </c:pt>
                <c:pt idx="12">
                  <c:v>0.79788456080286541</c:v>
                </c:pt>
                <c:pt idx="13">
                  <c:v>0.79596887250262238</c:v>
                </c:pt>
                <c:pt idx="14">
                  <c:v>0.79024936039269078</c:v>
                </c:pt>
                <c:pt idx="15">
                  <c:v>0.78080802342795785</c:v>
                </c:pt>
                <c:pt idx="16">
                  <c:v>0.76777935053406543</c:v>
                </c:pt>
                <c:pt idx="17">
                  <c:v>0.75134713286853705</c:v>
                </c:pt>
                <c:pt idx="18">
                  <c:v>0.73174015014561622</c:v>
                </c:pt>
                <c:pt idx="19">
                  <c:v>0.70922687252184125</c:v>
                </c:pt>
                <c:pt idx="20">
                  <c:v>0.68410934946998414</c:v>
                </c:pt>
                <c:pt idx="21">
                  <c:v>0.65671647988244053</c:v>
                </c:pt>
                <c:pt idx="22">
                  <c:v>0.62739687254190113</c:v>
                </c:pt>
                <c:pt idx="23">
                  <c:v>0.59651151267088631</c:v>
                </c:pt>
                <c:pt idx="24">
                  <c:v>0.56442644851933488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CD-4C82-AC63-87DF5A161E43}"/>
            </c:ext>
          </c:extLst>
        </c:ser>
        <c:ser>
          <c:idx val="3"/>
          <c:order val="3"/>
          <c:tx>
            <c:strRef>
              <c:f>'PDF (4)'!$L$7</c:f>
              <c:strCache>
                <c:ptCount val="1"/>
                <c:pt idx="0">
                  <c:v>W</c:v>
                </c:pt>
              </c:strCache>
            </c:strRef>
          </c:tx>
          <c:spPr>
            <a:ln w="28575">
              <a:solidFill>
                <a:srgbClr val="0000FF"/>
              </a:solidFill>
              <a:prstDash val="dash"/>
            </a:ln>
          </c:spPr>
          <c:marker>
            <c:symbol val="none"/>
          </c:marker>
          <c:yVal>
            <c:numRef>
              <c:f>'PDF (4)'!$M$8:$M$32</c:f>
              <c:numCache>
                <c:formatCode>0%</c:formatCode>
                <c:ptCount val="25"/>
                <c:pt idx="0">
                  <c:v>0.95</c:v>
                </c:pt>
                <c:pt idx="1">
                  <c:v>0.83590804492889725</c:v>
                </c:pt>
                <c:pt idx="2">
                  <c:v>0.73484654085781254</c:v>
                </c:pt>
                <c:pt idx="3">
                  <c:v>0.64477811380802763</c:v>
                </c:pt>
                <c:pt idx="4">
                  <c:v>0.56396413497264564</c:v>
                </c:pt>
                <c:pt idx="5">
                  <c:v>0.49091076751290397</c:v>
                </c:pt>
                <c:pt idx="6">
                  <c:v>0.42432417661425165</c:v>
                </c:pt>
                <c:pt idx="7">
                  <c:v>0.3630730593078651</c:v>
                </c:pt>
                <c:pt idx="8">
                  <c:v>0.30615699646693578</c:v>
                </c:pt>
                <c:pt idx="9">
                  <c:v>0.25267939918320104</c:v>
                </c:pt>
                <c:pt idx="10">
                  <c:v>0.20182403074266092</c:v>
                </c:pt>
                <c:pt idx="11">
                  <c:v>0.1528342453195331</c:v>
                </c:pt>
                <c:pt idx="12">
                  <c:v>0.10499420407997399</c:v>
                </c:pt>
                <c:pt idx="13">
                  <c:v>5.7611415106511042E-2</c:v>
                </c:pt>
                <c:pt idx="14">
                  <c:v>0.01</c:v>
                </c:pt>
                <c:pt idx="15">
                  <c:v>5.8535879836640207E-2</c:v>
                </c:pt>
                <c:pt idx="16">
                  <c:v>0.10871899882231192</c:v>
                </c:pt>
                <c:pt idx="17">
                  <c:v>0.1613170254176565</c:v>
                </c:pt>
                <c:pt idx="18">
                  <c:v>0.21716208830712583</c:v>
                </c:pt>
                <c:pt idx="19">
                  <c:v>0.27717264861828</c:v>
                </c:pt>
                <c:pt idx="20">
                  <c:v>0.34237848098358742</c:v>
                </c:pt>
                <c:pt idx="21">
                  <c:v>0.41394970878692661</c:v>
                </c:pt>
                <c:pt idx="22">
                  <c:v>0.49323102723854167</c:v>
                </c:pt>
                <c:pt idx="23">
                  <c:v>0.58178249264308279</c:v>
                </c:pt>
                <c:pt idx="24">
                  <c:v>0.68142857142857138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4CD-4C82-AC63-87DF5A161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099120"/>
        <c:axId val="466103440"/>
      </c:scatterChart>
      <c:valAx>
        <c:axId val="53415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156256"/>
        <c:crosses val="autoZero"/>
        <c:crossBetween val="midCat"/>
      </c:valAx>
      <c:valAx>
        <c:axId val="53415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152928"/>
        <c:crosses val="autoZero"/>
        <c:crossBetween val="midCat"/>
      </c:valAx>
      <c:valAx>
        <c:axId val="46610344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466099120"/>
        <c:crosses val="max"/>
        <c:crossBetween val="midCat"/>
      </c:valAx>
      <c:valAx>
        <c:axId val="466099120"/>
        <c:scaling>
          <c:orientation val="minMax"/>
        </c:scaling>
        <c:delete val="1"/>
        <c:axPos val="b"/>
        <c:majorTickMark val="out"/>
        <c:minorTickMark val="none"/>
        <c:tickLblPos val="nextTo"/>
        <c:crossAx val="46610344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192464</xdr:colOff>
      <xdr:row>2</xdr:row>
      <xdr:rowOff>102951</xdr:rowOff>
    </xdr:from>
    <xdr:to>
      <xdr:col>38</xdr:col>
      <xdr:colOff>124387</xdr:colOff>
      <xdr:row>13</xdr:row>
      <xdr:rowOff>87632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5BF759B-A947-4D01-AE7A-9A2CB7BCC497}"/>
            </a:ext>
          </a:extLst>
        </xdr:cNvPr>
        <xdr:cNvGrpSpPr/>
      </xdr:nvGrpSpPr>
      <xdr:grpSpPr>
        <a:xfrm>
          <a:off x="11969846" y="640833"/>
          <a:ext cx="8078600" cy="2674093"/>
          <a:chOff x="15817663" y="5109875"/>
          <a:chExt cx="8615238" cy="3335252"/>
        </a:xfrm>
      </xdr:grpSpPr>
      <xdr:graphicFrame macro="">
        <xdr:nvGraphicFramePr>
          <xdr:cNvPr id="3" name="Chart 5">
            <a:extLst>
              <a:ext uri="{FF2B5EF4-FFF2-40B4-BE49-F238E27FC236}">
                <a16:creationId xmlns:a16="http://schemas.microsoft.com/office/drawing/2014/main" id="{5BF87582-4DD9-5F47-B007-978C5773D749}"/>
              </a:ext>
            </a:extLst>
          </xdr:cNvPr>
          <xdr:cNvGraphicFramePr>
            <a:graphicFrameLocks/>
          </xdr:cNvGraphicFramePr>
        </xdr:nvGraphicFramePr>
        <xdr:xfrm>
          <a:off x="20485800" y="5109875"/>
          <a:ext cx="3947101" cy="3335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094520D-AC2D-9F38-447C-8832D9B6C20A}"/>
              </a:ext>
            </a:extLst>
          </xdr:cNvPr>
          <xdr:cNvGrpSpPr/>
        </xdr:nvGrpSpPr>
        <xdr:grpSpPr>
          <a:xfrm>
            <a:off x="15817663" y="5109882"/>
            <a:ext cx="4666691" cy="3333751"/>
            <a:chOff x="3457575" y="1490382"/>
            <a:chExt cx="5742454" cy="3064810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11DC180-A87D-F97A-D380-E1AF9D8759CA}"/>
                </a:ext>
              </a:extLst>
            </xdr:cNvPr>
            <xdr:cNvGraphicFramePr>
              <a:graphicFrameLocks/>
            </xdr:cNvGraphicFramePr>
          </xdr:nvGraphicFramePr>
          <xdr:xfrm>
            <a:off x="3457575" y="1490382"/>
            <a:ext cx="5742454" cy="30648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6" name="Object 2">
                  <a:extLst>
                    <a:ext uri="{FF2B5EF4-FFF2-40B4-BE49-F238E27FC236}">
                      <a16:creationId xmlns:a16="http://schemas.microsoft.com/office/drawing/2014/main" id="{6B82A02F-4E28-1CFA-87F8-D256E5EF263D}"/>
                    </a:ext>
                  </a:extLst>
                </xdr:cNvPr>
                <xdr:cNvSpPr txBox="1"/>
              </xdr:nvSpPr>
              <xdr:spPr>
                <a:xfrm>
                  <a:off x="7434729" y="1560054"/>
                  <a:ext cx="1728069" cy="3364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square">
                  <a:sp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left"/>
                      </m:oMathParaPr>
                      <m:oMath xmlns:m="http://schemas.openxmlformats.org/officeDocument/2006/math"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𝜋</m:t>
                                </m:r>
                              </m:e>
                            </m:rad>
                          </m:den>
                        </m:f>
                        <m:sSup>
                          <m:sSup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sSup>
                              <m:sSupPr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p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sup>
                        </m:sSup>
                        <m:r>
                          <a:rPr lang="pt-BR" sz="5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−∞≤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≤∞</m:t>
                        </m:r>
                      </m:oMath>
                    </m:oMathPara>
                  </a14:m>
                  <a:endParaRPr lang="en-US" sz="500"/>
                </a:p>
              </xdr:txBody>
            </xdr:sp>
          </mc:Choice>
          <mc:Fallback xmlns="">
            <xdr:sp macro="" textlink="">
              <xdr:nvSpPr>
                <xdr:cNvPr id="6" name="Object 2">
                  <a:extLst>
                    <a:ext uri="{FF2B5EF4-FFF2-40B4-BE49-F238E27FC236}">
                      <a16:creationId xmlns:a16="http://schemas.microsoft.com/office/drawing/2014/main" id="{6B82A02F-4E28-1CFA-87F8-D256E5EF263D}"/>
                    </a:ext>
                  </a:extLst>
                </xdr:cNvPr>
                <xdr:cNvSpPr txBox="1"/>
              </xdr:nvSpPr>
              <xdr:spPr>
                <a:xfrm>
                  <a:off x="7434729" y="1560054"/>
                  <a:ext cx="1728069" cy="3364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square">
                  <a:spAutoFit/>
                </a:bodyPr>
                <a:lstStyle/>
                <a:p>
                  <a:pPr/>
                  <a:r>
                    <a:rPr lang="en-US" sz="5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𝑝(𝑥)=1/√2𝜋 𝑒^(−1/2 𝑥^2 )</a:t>
                  </a:r>
                  <a:r>
                    <a:rPr lang="pt-BR" sz="500" b="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  </a:t>
                  </a:r>
                  <a:r>
                    <a:rPr lang="en-US" sz="5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−∞≤𝑥≤∞</a:t>
                  </a:r>
                  <a:endParaRPr lang="en-US" sz="500"/>
                </a:p>
              </xdr:txBody>
            </xdr:sp>
          </mc:Fallback>
        </mc:AlternateContent>
      </xdr:grpSp>
    </xdr:grpSp>
    <xdr:clientData/>
  </xdr:twoCellAnchor>
  <xdr:twoCellAnchor>
    <xdr:from>
      <xdr:col>8</xdr:col>
      <xdr:colOff>90575</xdr:colOff>
      <xdr:row>38</xdr:row>
      <xdr:rowOff>233587</xdr:rowOff>
    </xdr:from>
    <xdr:to>
      <xdr:col>13</xdr:col>
      <xdr:colOff>0</xdr:colOff>
      <xdr:row>42</xdr:row>
      <xdr:rowOff>206863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Object 2">
              <a:extLst>
                <a:ext uri="{FF2B5EF4-FFF2-40B4-BE49-F238E27FC236}">
                  <a16:creationId xmlns:a16="http://schemas.microsoft.com/office/drawing/2014/main" id="{E704FFBB-1DE4-4885-B5D2-403E5D4CEBF0}"/>
                </a:ext>
              </a:extLst>
            </xdr:cNvPr>
            <xdr:cNvSpPr txBox="1"/>
          </xdr:nvSpPr>
          <xdr:spPr>
            <a:xfrm>
              <a:off x="2548025" y="7415437"/>
              <a:ext cx="1599272" cy="96387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7" name="Object 2">
              <a:extLst>
                <a:ext uri="{FF2B5EF4-FFF2-40B4-BE49-F238E27FC236}">
                  <a16:creationId xmlns:a16="http://schemas.microsoft.com/office/drawing/2014/main" id="{E704FFBB-1DE4-4885-B5D2-403E5D4CEBF0}"/>
                </a:ext>
              </a:extLst>
            </xdr:cNvPr>
            <xdr:cNvSpPr txBox="1"/>
          </xdr:nvSpPr>
          <xdr:spPr>
            <a:xfrm>
              <a:off x="2548025" y="7415437"/>
              <a:ext cx="1599272" cy="96387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𝑍</a:t>
              </a:r>
              <a:r>
                <a:rPr lang="en-US" sz="2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=(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𝑋−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n-US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)/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26</xdr:col>
      <xdr:colOff>201708</xdr:colOff>
      <xdr:row>15</xdr:row>
      <xdr:rowOff>0</xdr:rowOff>
    </xdr:from>
    <xdr:to>
      <xdr:col>32</xdr:col>
      <xdr:colOff>95250</xdr:colOff>
      <xdr:row>30</xdr:row>
      <xdr:rowOff>145677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0333ED-144F-4AD6-8139-AF4B1B44B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643639</xdr:colOff>
      <xdr:row>43</xdr:row>
      <xdr:rowOff>178594</xdr:rowOff>
    </xdr:from>
    <xdr:to>
      <xdr:col>10</xdr:col>
      <xdr:colOff>523875</xdr:colOff>
      <xdr:row>46</xdr:row>
      <xdr:rowOff>51827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Object 2">
              <a:extLst>
                <a:ext uri="{FF2B5EF4-FFF2-40B4-BE49-F238E27FC236}">
                  <a16:creationId xmlns:a16="http://schemas.microsoft.com/office/drawing/2014/main" id="{7441E40B-0173-4E86-82B3-987E02EDFE6C}"/>
                </a:ext>
              </a:extLst>
            </xdr:cNvPr>
            <xdr:cNvSpPr txBox="1"/>
          </xdr:nvSpPr>
          <xdr:spPr>
            <a:xfrm>
              <a:off x="2596264" y="8727282"/>
              <a:ext cx="1678080" cy="62332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right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𝜇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𝑍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𝜎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9" name="Object 2">
              <a:extLst>
                <a:ext uri="{FF2B5EF4-FFF2-40B4-BE49-F238E27FC236}">
                  <a16:creationId xmlns:a16="http://schemas.microsoft.com/office/drawing/2014/main" id="{7441E40B-0173-4E86-82B3-987E02EDFE6C}"/>
                </a:ext>
              </a:extLst>
            </xdr:cNvPr>
            <xdr:cNvSpPr txBox="1"/>
          </xdr:nvSpPr>
          <xdr:spPr>
            <a:xfrm>
              <a:off x="2596264" y="8727282"/>
              <a:ext cx="1678080" cy="62332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𝑋_𝑖= 𝜇+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𝑍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32</xdr:col>
      <xdr:colOff>321469</xdr:colOff>
      <xdr:row>15</xdr:row>
      <xdr:rowOff>23812</xdr:rowOff>
    </xdr:from>
    <xdr:to>
      <xdr:col>39</xdr:col>
      <xdr:colOff>289652</xdr:colOff>
      <xdr:row>29</xdr:row>
      <xdr:rowOff>90745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EC2B4E9-20A4-4CC3-B5E2-42584F005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250032</xdr:colOff>
      <xdr:row>35</xdr:row>
      <xdr:rowOff>178595</xdr:rowOff>
    </xdr:from>
    <xdr:to>
      <xdr:col>15</xdr:col>
      <xdr:colOff>500062</xdr:colOff>
      <xdr:row>39</xdr:row>
      <xdr:rowOff>190500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F75A6D8-B329-51B1-AB5B-6962183DDDFB}"/>
            </a:ext>
          </a:extLst>
        </xdr:cNvPr>
        <xdr:cNvGrpSpPr/>
      </xdr:nvGrpSpPr>
      <xdr:grpSpPr>
        <a:xfrm>
          <a:off x="5950324" y="6924536"/>
          <a:ext cx="0" cy="1166111"/>
          <a:chOff x="10751344" y="7429501"/>
          <a:chExt cx="1369218" cy="1166811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5" name="Object 1">
                <a:extLst>
                  <a:ext uri="{FF2B5EF4-FFF2-40B4-BE49-F238E27FC236}">
                    <a16:creationId xmlns:a16="http://schemas.microsoft.com/office/drawing/2014/main" id="{7B3BB66F-37AB-45FC-85BD-877B256C20F4}"/>
                  </a:ext>
                </a:extLst>
              </xdr:cNvPr>
              <xdr:cNvSpPr txBox="1"/>
            </xdr:nvSpPr>
            <xdr:spPr>
              <a:xfrm>
                <a:off x="10810877" y="7429501"/>
                <a:ext cx="1297779" cy="59531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E</a:t>
                </a:r>
                <a14:m>
                  <m:oMath xmlns:m="http://schemas.openxmlformats.org/officeDocument/2006/math">
                    <m:r>
                      <a:rPr lang="LID4096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f>
                          <m:fPr>
                            <m:type m:val="skw"/>
                            <m:ctrlPr>
                              <a:rPr lang="pt-BR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num>
                          <m:den>
                            <m:r>
                              <a:rPr lang="pt-BR" sz="2000" b="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sub>
                    </m:sSub>
                    <m:f>
                      <m:fPr>
                        <m:ctrlPr>
                          <a:rPr lang="pt-BR" sz="20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20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pt-BR" sz="20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pt-BR" sz="20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a14:m>
                <a:r>
                  <a:rPr lang="pt-BR" sz="2000"/>
                  <a:t>  </a:t>
                </a:r>
                <a:endParaRPr lang="LID4096" sz="2000"/>
              </a:p>
            </xdr:txBody>
          </xdr:sp>
        </mc:Choice>
        <mc:Fallback xmlns="">
          <xdr:sp macro="" textlink="">
            <xdr:nvSpPr>
              <xdr:cNvPr id="15" name="Object 1">
                <a:extLst>
                  <a:ext uri="{FF2B5EF4-FFF2-40B4-BE49-F238E27FC236}">
                    <a16:creationId xmlns:a16="http://schemas.microsoft.com/office/drawing/2014/main" id="{7B3BB66F-37AB-45FC-85BD-877B256C20F4}"/>
                  </a:ext>
                </a:extLst>
              </xdr:cNvPr>
              <xdr:cNvSpPr txBox="1"/>
            </xdr:nvSpPr>
            <xdr:spPr>
              <a:xfrm>
                <a:off x="10810877" y="7429501"/>
                <a:ext cx="1297779" cy="59531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pPr/>
                <a:r>
                  <a:rPr lang="pt-BR" sz="2000">
                    <a:solidFill>
                      <a:srgbClr val="000000"/>
                    </a:solidFill>
                  </a:rPr>
                  <a:t>E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𝑍_(</a:t>
                </a:r>
                <a:r>
                  <a:rPr lang="pt-BR" sz="2000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𝛼⁄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2)</a:t>
                </a:r>
                <a:r>
                  <a:rPr lang="pt-BR" sz="2000" b="0" i="0">
                    <a:solidFill>
                      <a:srgbClr val="000000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pt-BR" sz="2000" i="0">
                    <a:effectLst/>
                    <a:latin typeface="+mn-lt"/>
                    <a:ea typeface="+mn-ea"/>
                    <a:cs typeface="+mn-cs"/>
                  </a:rPr>
                  <a:t> 𝜎/√</a:t>
                </a:r>
                <a:r>
                  <a:rPr lang="pt-BR" sz="2000" b="0" i="0">
                    <a:effectLst/>
                    <a:latin typeface="+mn-lt"/>
                    <a:ea typeface="+mn-ea"/>
                    <a:cs typeface="+mn-cs"/>
                  </a:rPr>
                  <a:t>𝑛</a:t>
                </a:r>
                <a:r>
                  <a:rPr lang="pt-BR" sz="2000"/>
                  <a:t>  </a:t>
                </a:r>
                <a:endParaRPr lang="LID4096" sz="20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6" name="Object 1">
                <a:extLst>
                  <a:ext uri="{FF2B5EF4-FFF2-40B4-BE49-F238E27FC236}">
                    <a16:creationId xmlns:a16="http://schemas.microsoft.com/office/drawing/2014/main" id="{95559525-297A-4021-ABAC-8C59D4783785}"/>
                  </a:ext>
                </a:extLst>
              </xdr:cNvPr>
              <xdr:cNvSpPr txBox="1"/>
            </xdr:nvSpPr>
            <xdr:spPr>
              <a:xfrm>
                <a:off x="10751344" y="8072437"/>
                <a:ext cx="1369218" cy="523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m:rPr>
                          <m:sty m:val="p"/>
                        </m:rP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IN</m:t>
                      </m:r>
                      <m:r>
                        <a:rPr lang="LID4096" sz="200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acc>
                        <m:accPr>
                          <m:chr m:val="̅"/>
                          <m:ctrlPr>
                            <a:rPr lang="pt-BR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m:rPr>
                              <m:sty m:val="p"/>
                            </m:rPr>
                            <a:rPr lang="pt-BR" sz="2000" b="0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x</m:t>
                          </m:r>
                        </m:e>
                      </m:acc>
                      <m:r>
                        <a:rPr lang="pt-BR" sz="200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±</m:t>
                      </m:r>
                      <m:r>
                        <m:rPr>
                          <m:sty m:val="p"/>
                        </m:rP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E</m:t>
                      </m:r>
                    </m:oMath>
                  </m:oMathPara>
                </a14:m>
                <a:endParaRPr lang="LID4096" sz="2000" i="0"/>
              </a:p>
            </xdr:txBody>
          </xdr:sp>
        </mc:Choice>
        <mc:Fallback xmlns="">
          <xdr:sp macro="" textlink="">
            <xdr:nvSpPr>
              <xdr:cNvPr id="16" name="Object 1">
                <a:extLst>
                  <a:ext uri="{FF2B5EF4-FFF2-40B4-BE49-F238E27FC236}">
                    <a16:creationId xmlns:a16="http://schemas.microsoft.com/office/drawing/2014/main" id="{95559525-297A-4021-ABAC-8C59D4783785}"/>
                  </a:ext>
                </a:extLst>
              </xdr:cNvPr>
              <xdr:cNvSpPr txBox="1"/>
            </xdr:nvSpPr>
            <xdr:spPr>
              <a:xfrm>
                <a:off x="10751344" y="8072437"/>
                <a:ext cx="1369218" cy="523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pPr/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IN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x ̅</a:t>
                </a:r>
                <a:r>
                  <a:rPr lang="pt-BR" sz="2000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±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E</a:t>
                </a:r>
                <a:endParaRPr lang="LID4096" sz="2000" i="0"/>
              </a:p>
            </xdr:txBody>
          </xdr:sp>
        </mc:Fallback>
      </mc:AlternateContent>
    </xdr:grpSp>
    <xdr:clientData/>
  </xdr:twoCellAnchor>
  <xdr:twoCellAnchor>
    <xdr:from>
      <xdr:col>16</xdr:col>
      <xdr:colOff>168088</xdr:colOff>
      <xdr:row>37</xdr:row>
      <xdr:rowOff>18785</xdr:rowOff>
    </xdr:from>
    <xdr:to>
      <xdr:col>23</xdr:col>
      <xdr:colOff>262638</xdr:colOff>
      <xdr:row>42</xdr:row>
      <xdr:rowOff>232819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105EECE2-6000-3DA5-C7C1-4BA1CFBE8DDC}"/>
            </a:ext>
          </a:extLst>
        </xdr:cNvPr>
        <xdr:cNvGrpSpPr/>
      </xdr:nvGrpSpPr>
      <xdr:grpSpPr>
        <a:xfrm>
          <a:off x="6118412" y="7336226"/>
          <a:ext cx="3938167" cy="1536328"/>
          <a:chOff x="6118412" y="7336226"/>
          <a:chExt cx="3938167" cy="1536328"/>
        </a:xfrm>
      </xdr:grpSpPr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DC51B6D1-E42B-4D6D-AAD6-576352B4B452}"/>
              </a:ext>
            </a:extLst>
          </xdr:cNvPr>
          <xdr:cNvGrpSpPr/>
        </xdr:nvGrpSpPr>
        <xdr:grpSpPr>
          <a:xfrm>
            <a:off x="6134521" y="7336226"/>
            <a:ext cx="3922058" cy="954026"/>
            <a:chOff x="3010906" y="6617648"/>
            <a:chExt cx="3957302" cy="957528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1" name="Object 1">
                  <a:extLst>
                    <a:ext uri="{FF2B5EF4-FFF2-40B4-BE49-F238E27FC236}">
                      <a16:creationId xmlns:a16="http://schemas.microsoft.com/office/drawing/2014/main" id="{CC7F0EBF-746C-1D3E-04E0-8F8C697FA613}"/>
                    </a:ext>
                  </a:extLst>
                </xdr:cNvPr>
                <xdr:cNvSpPr txBox="1"/>
              </xdr:nvSpPr>
              <xdr:spPr>
                <a:xfrm>
                  <a:off x="3010906" y="6617648"/>
                  <a:ext cx="3331624" cy="84546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r>
                    <a:rPr lang="pt-BR" sz="2000" b="0" i="0">
                      <a:solidFill>
                        <a:srgbClr val="000000"/>
                      </a:solidFill>
                      <a:latin typeface="+mn-lt"/>
                    </a:rPr>
                    <a:t>p</a:t>
                  </a:r>
                  <a14:m>
                    <m:oMath xmlns:m="http://schemas.openxmlformats.org/officeDocument/2006/math">
                      <m: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(</m:t>
                      </m:r>
                      <m:r>
                        <m:rPr>
                          <m:sty m:val="p"/>
                        </m:rP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x</m:t>
                      </m:r>
                      <m: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)</m:t>
                      </m:r>
                      <m:r>
                        <a:rPr lang="LID4096" sz="20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ad>
                            <m:radPr>
                              <m:degHide m:val="on"/>
                              <m:ctrlP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radPr>
                            <m:deg/>
                            <m:e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𝜋</m:t>
                              </m:r>
                              <m:sSup>
                                <m:sSupPr>
                                  <m:ctrlP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𝜎</m:t>
                                  </m:r>
                                </m:e>
                                <m:sup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</m:e>
                          </m:rad>
                        </m:den>
                      </m:f>
                      <m:sSup>
                        <m:sSupPr>
                          <m:ctrlP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−</m:t>
                          </m:r>
                          <m:f>
                            <m:fPr>
                              <m:ctrlP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num>
                            <m:den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sSup>
                                <m:sSupPr>
                                  <m:ctrlP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𝜎</m:t>
                                  </m:r>
                                </m:e>
                                <m:sup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</m:den>
                          </m:f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𝑥</m:t>
                          </m:r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𝜇</m:t>
                          </m:r>
                          <m:sSup>
                            <m:sSupPr>
                              <m:ctrlP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)</m:t>
                              </m:r>
                            </m:e>
                            <m:sup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sup>
                      </m:sSup>
                    </m:oMath>
                  </a14:m>
                  <a:endParaRPr lang="LID4096" sz="2000"/>
                </a:p>
              </xdr:txBody>
            </xdr:sp>
          </mc:Choice>
          <mc:Fallback xmlns="">
            <xdr:sp macro="" textlink="">
              <xdr:nvSpPr>
                <xdr:cNvPr id="11" name="Object 1">
                  <a:extLst>
                    <a:ext uri="{FF2B5EF4-FFF2-40B4-BE49-F238E27FC236}">
                      <a16:creationId xmlns:a16="http://schemas.microsoft.com/office/drawing/2014/main" id="{CC7F0EBF-746C-1D3E-04E0-8F8C697FA613}"/>
                    </a:ext>
                  </a:extLst>
                </xdr:cNvPr>
                <xdr:cNvSpPr txBox="1"/>
              </xdr:nvSpPr>
              <xdr:spPr>
                <a:xfrm>
                  <a:off x="3010906" y="6617648"/>
                  <a:ext cx="3331624" cy="84546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pPr/>
                  <a:r>
                    <a:rPr lang="pt-BR" sz="2000" b="0" i="0">
                      <a:solidFill>
                        <a:srgbClr val="000000"/>
                      </a:solidFill>
                      <a:latin typeface="+mn-lt"/>
                    </a:rPr>
                    <a:t>p</a:t>
                  </a:r>
                  <a:r>
                    <a:rPr lang="pt-BR" sz="2000" b="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(x)</a:t>
                  </a:r>
                  <a:r>
                    <a:rPr lang="LID4096" sz="20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=1/√(2𝜋𝜎^2 ) 𝑒^(−1/(2𝜎^2 )(𝑥−𝜇)^2 )</a:t>
                  </a:r>
                  <a:endParaRPr lang="LID4096" sz="20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2" name="Object 1">
                  <a:extLst>
                    <a:ext uri="{FF2B5EF4-FFF2-40B4-BE49-F238E27FC236}">
                      <a16:creationId xmlns:a16="http://schemas.microsoft.com/office/drawing/2014/main" id="{9ABD0A66-E414-1AA4-B7FB-C690D8D5D2DF}"/>
                    </a:ext>
                  </a:extLst>
                </xdr:cNvPr>
                <xdr:cNvSpPr txBox="1"/>
              </xdr:nvSpPr>
              <xdr:spPr>
                <a:xfrm>
                  <a:off x="5466621" y="7082117"/>
                  <a:ext cx="1501587" cy="49305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left"/>
                      </m:oMathParaPr>
                      <m:oMath xmlns:m="http://schemas.openxmlformats.org/officeDocument/2006/math"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−∞≤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≤∞</m:t>
                        </m:r>
                      </m:oMath>
                    </m:oMathPara>
                  </a14:m>
                  <a:endParaRPr lang="LID4096" sz="1800"/>
                </a:p>
              </xdr:txBody>
            </xdr:sp>
          </mc:Choice>
          <mc:Fallback xmlns="">
            <xdr:sp macro="" textlink="">
              <xdr:nvSpPr>
                <xdr:cNvPr id="12" name="Object 1">
                  <a:extLst>
                    <a:ext uri="{FF2B5EF4-FFF2-40B4-BE49-F238E27FC236}">
                      <a16:creationId xmlns:a16="http://schemas.microsoft.com/office/drawing/2014/main" id="{9ABD0A66-E414-1AA4-B7FB-C690D8D5D2DF}"/>
                    </a:ext>
                  </a:extLst>
                </xdr:cNvPr>
                <xdr:cNvSpPr txBox="1"/>
              </xdr:nvSpPr>
              <xdr:spPr>
                <a:xfrm>
                  <a:off x="5466621" y="7082117"/>
                  <a:ext cx="1501587" cy="49305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pPr/>
                  <a:r>
                    <a:rPr lang="LID4096" sz="18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−∞≤𝑥≤∞</a:t>
                  </a:r>
                  <a:endParaRPr lang="LID4096" sz="1800"/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9" name="Object 1">
                <a:extLst>
                  <a:ext uri="{FF2B5EF4-FFF2-40B4-BE49-F238E27FC236}">
                    <a16:creationId xmlns:a16="http://schemas.microsoft.com/office/drawing/2014/main" id="{F8D717EA-D586-4ED7-989E-5148B7251447}"/>
                  </a:ext>
                </a:extLst>
              </xdr:cNvPr>
              <xdr:cNvSpPr txBox="1"/>
            </xdr:nvSpPr>
            <xdr:spPr>
              <a:xfrm>
                <a:off x="6118412" y="8012206"/>
                <a:ext cx="3303722" cy="8603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F</a:t>
                </a:r>
                <a14:m>
                  <m:oMath xmlns:m="http://schemas.openxmlformats.org/officeDocument/2006/math">
                    <m:r>
                      <a:rPr lang="pt-BR" sz="2000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pt-BR" sz="2000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x</m:t>
                    </m:r>
                    <m:r>
                      <a:rPr lang="pt-BR" sz="2000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</m:t>
                    </m:r>
                    <m:r>
                      <a:rPr lang="LID4096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𝜋</m:t>
                            </m:r>
                          </m:e>
                        </m:rad>
                      </m:den>
                    </m:f>
                    <m:sSup>
                      <m:sSupPr>
                        <m:ctrlP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sSup>
                          <m:sSupPr>
                            <m:ctrlP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20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p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sup>
                    </m:sSup>
                  </m:oMath>
                </a14:m>
                <a:endParaRPr lang="LID4096" sz="2000"/>
              </a:p>
            </xdr:txBody>
          </xdr:sp>
        </mc:Choice>
        <mc:Fallback xmlns="">
          <xdr:sp macro="" textlink="">
            <xdr:nvSpPr>
              <xdr:cNvPr id="19" name="Object 1">
                <a:extLst>
                  <a:ext uri="{FF2B5EF4-FFF2-40B4-BE49-F238E27FC236}">
                    <a16:creationId xmlns:a16="http://schemas.microsoft.com/office/drawing/2014/main" id="{F8D717EA-D586-4ED7-989E-5148B7251447}"/>
                  </a:ext>
                </a:extLst>
              </xdr:cNvPr>
              <xdr:cNvSpPr txBox="1"/>
            </xdr:nvSpPr>
            <xdr:spPr>
              <a:xfrm>
                <a:off x="6118412" y="8012206"/>
                <a:ext cx="3303722" cy="8603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pPr/>
                <a:r>
                  <a:rPr lang="pt-BR" sz="2000">
                    <a:solidFill>
                      <a:srgbClr val="000000"/>
                    </a:solidFill>
                  </a:rPr>
                  <a:t>F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(x)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=1/√2𝜋 𝑒^(−1/2 </a:t>
                </a:r>
                <a:r>
                  <a:rPr lang="pt-BR" sz="2000" i="0">
                    <a:effectLst/>
                    <a:latin typeface="+mn-lt"/>
                    <a:ea typeface="+mn-ea"/>
                    <a:cs typeface="+mn-cs"/>
                  </a:rPr>
                  <a:t>𝑥</a:t>
                </a:r>
                <a:r>
                  <a:rPr lang="LID4096" sz="2000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^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2 )</a:t>
                </a:r>
                <a:endParaRPr lang="LID4096" sz="2000"/>
              </a:p>
            </xdr:txBody>
          </xdr:sp>
        </mc:Fallback>
      </mc:AlternateContent>
    </xdr:grpSp>
    <xdr:clientData/>
  </xdr:twoCellAnchor>
  <xdr:twoCellAnchor>
    <xdr:from>
      <xdr:col>20</xdr:col>
      <xdr:colOff>347870</xdr:colOff>
      <xdr:row>42</xdr:row>
      <xdr:rowOff>198782</xdr:rowOff>
    </xdr:from>
    <xdr:to>
      <xdr:col>24</xdr:col>
      <xdr:colOff>603592</xdr:colOff>
      <xdr:row>46</xdr:row>
      <xdr:rowOff>54955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Object 1">
              <a:extLst>
                <a:ext uri="{FF2B5EF4-FFF2-40B4-BE49-F238E27FC236}">
                  <a16:creationId xmlns:a16="http://schemas.microsoft.com/office/drawing/2014/main" id="{3D5E90C2-9212-472D-B0BE-3E00086E803A}"/>
                </a:ext>
              </a:extLst>
            </xdr:cNvPr>
            <xdr:cNvSpPr txBox="1"/>
          </xdr:nvSpPr>
          <xdr:spPr>
            <a:xfrm>
              <a:off x="8406848" y="9052891"/>
              <a:ext cx="3303722" cy="85008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 −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𝑠𝑞𝑟𝑡</m:t>
                    </m:r>
                    <m:d>
                      <m:dPr>
                        <m:begChr m:val="["/>
                        <m:endChr m:val="]"/>
                        <m:ctrlP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2 </m:t>
                        </m:r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d>
                          <m:dPr>
                            <m:ctrlPr>
                              <a:rPr lang="pt-BR" sz="20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m:rPr>
                                <m:nor/>
                              </m:rPr>
                              <a:rPr lang="pt-BR" sz="2000" b="0" i="0"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p</m:t>
                            </m:r>
                            <m:d>
                              <m:dPr>
                                <m:ctrlPr>
                                  <a:rPr lang="pt-BR" sz="2000" b="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pt-BR" sz="2000" b="0" i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x</m:t>
                                </m:r>
                              </m:e>
                            </m:d>
                            <m:r>
                              <a:rPr lang="pt-BR" sz="20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ad>
                              <m:radPr>
                                <m:degHide m:val="on"/>
                                <m:ctrlPr>
                                  <a:rPr lang="pt-BR" sz="20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pt-BR" sz="20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pt-BR" sz="20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𝜋</m:t>
                                </m:r>
                              </m:e>
                            </m:rad>
                          </m:e>
                        </m:d>
                      </m:e>
                    </m:d>
                  </m:oMath>
                </m:oMathPara>
              </a14:m>
              <a:endParaRPr lang="LID4096" sz="2000"/>
            </a:p>
          </xdr:txBody>
        </xdr:sp>
      </mc:Choice>
      <mc:Fallback xmlns="">
        <xdr:sp macro="" textlink="">
          <xdr:nvSpPr>
            <xdr:cNvPr id="20" name="Object 1">
              <a:extLst>
                <a:ext uri="{FF2B5EF4-FFF2-40B4-BE49-F238E27FC236}">
                  <a16:creationId xmlns:a16="http://schemas.microsoft.com/office/drawing/2014/main" id="{3D5E90C2-9212-472D-B0BE-3E00086E803A}"/>
                </a:ext>
              </a:extLst>
            </xdr:cNvPr>
            <xdr:cNvSpPr txBox="1"/>
          </xdr:nvSpPr>
          <xdr:spPr>
            <a:xfrm>
              <a:off x="8406848" y="9052891"/>
              <a:ext cx="3303722" cy="85008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𝑥= </a:t>
              </a:r>
              <a:r>
                <a:rPr lang="pt-BR" sz="2000" b="0" i="0">
                  <a:effectLst/>
                  <a:latin typeface="+mn-lt"/>
                  <a:ea typeface="+mn-ea"/>
                  <a:cs typeface="+mn-cs"/>
                </a:rPr>
                <a:t>−𝑠𝑞𝑟𝑡[2 𝐿𝑛("p" (x)∗√</a:t>
              </a:r>
              <a:r>
                <a:rPr lang="pt-BR" sz="2000" i="0">
                  <a:effectLst/>
                  <a:latin typeface="+mn-lt"/>
                  <a:ea typeface="+mn-ea"/>
                  <a:cs typeface="+mn-cs"/>
                </a:rPr>
                <a:t>2𝜋)]</a:t>
              </a:r>
              <a:endParaRPr lang="LID4096" sz="20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402167</xdr:colOff>
      <xdr:row>984</xdr:row>
      <xdr:rowOff>105833</xdr:rowOff>
    </xdr:from>
    <xdr:to>
      <xdr:col>50</xdr:col>
      <xdr:colOff>137583</xdr:colOff>
      <xdr:row>997</xdr:row>
      <xdr:rowOff>54167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0433940-ECFA-4BCF-B696-EB6BC890FDB9}"/>
            </a:ext>
          </a:extLst>
        </xdr:cNvPr>
        <xdr:cNvGrpSpPr>
          <a:grpSpLocks noChangeAspect="1"/>
        </xdr:cNvGrpSpPr>
      </xdr:nvGrpSpPr>
      <xdr:grpSpPr>
        <a:xfrm>
          <a:off x="4328584" y="4889500"/>
          <a:ext cx="11980332" cy="2467167"/>
          <a:chOff x="3249083" y="5958416"/>
          <a:chExt cx="15614699" cy="270000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F6B4F551-F0B8-FB06-D9F1-2E08D775AC00}"/>
              </a:ext>
            </a:extLst>
          </xdr:cNvPr>
          <xdr:cNvGraphicFramePr>
            <a:graphicFrameLocks/>
          </xdr:cNvGraphicFramePr>
        </xdr:nvGraphicFramePr>
        <xdr:xfrm>
          <a:off x="3249083" y="5958417"/>
          <a:ext cx="4381500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CCFF3156-80A7-0566-D94B-1ACB85387F7D}"/>
              </a:ext>
            </a:extLst>
          </xdr:cNvPr>
          <xdr:cNvGrpSpPr>
            <a:grpSpLocks noChangeAspect="1"/>
          </xdr:cNvGrpSpPr>
        </xdr:nvGrpSpPr>
        <xdr:grpSpPr>
          <a:xfrm>
            <a:off x="7630576" y="5958416"/>
            <a:ext cx="11233206" cy="2700000"/>
            <a:chOff x="8302121" y="1882685"/>
            <a:chExt cx="4718758" cy="3836614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46DF0BF-86A6-0650-A880-2477EF91D8A6}"/>
                </a:ext>
              </a:extLst>
            </xdr:cNvPr>
            <xdr:cNvGraphicFramePr>
              <a:graphicFrameLocks/>
            </xdr:cNvGraphicFramePr>
          </xdr:nvGraphicFramePr>
          <xdr:xfrm>
            <a:off x="8302121" y="1882685"/>
            <a:ext cx="4718758" cy="383661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6" name="TextBox 38">
              <a:extLst>
                <a:ext uri="{FF2B5EF4-FFF2-40B4-BE49-F238E27FC236}">
                  <a16:creationId xmlns:a16="http://schemas.microsoft.com/office/drawing/2014/main" id="{6B9D76C1-5916-B49E-EADD-094EE783B84F}"/>
                </a:ext>
              </a:extLst>
            </xdr:cNvPr>
            <xdr:cNvSpPr txBox="1"/>
          </xdr:nvSpPr>
          <xdr:spPr>
            <a:xfrm>
              <a:off x="8441532" y="5492384"/>
              <a:ext cx="188848" cy="1594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ctr" anchorCtr="0"/>
            <a:lstStyle>
              <a:defPPr>
                <a:defRPr lang="LID4096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sz="1100" b="0">
                  <a:latin typeface="+mj-lt"/>
                </a:rPr>
                <a:t>Q</a:t>
              </a:r>
              <a:endParaRPr lang="LID4096" sz="1100" b="0">
                <a:latin typeface="+mj-lt"/>
              </a:endParaRPr>
            </a:p>
          </xdr:txBody>
        </xdr:sp>
      </xdr:grpSp>
    </xdr:grpSp>
    <xdr:clientData/>
  </xdr:twoCellAnchor>
  <xdr:twoCellAnchor>
    <xdr:from>
      <xdr:col>0</xdr:col>
      <xdr:colOff>10583</xdr:colOff>
      <xdr:row>984</xdr:row>
      <xdr:rowOff>42334</xdr:rowOff>
    </xdr:from>
    <xdr:to>
      <xdr:col>3</xdr:col>
      <xdr:colOff>381000</xdr:colOff>
      <xdr:row>1001</xdr:row>
      <xdr:rowOff>21168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B649195-A753-4010-AB43-243F95FF1C94}"/>
            </a:ext>
          </a:extLst>
        </xdr:cNvPr>
        <xdr:cNvSpPr/>
      </xdr:nvSpPr>
      <xdr:spPr>
        <a:xfrm>
          <a:off x="10583" y="4826001"/>
          <a:ext cx="1227667" cy="3270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192464</xdr:colOff>
      <xdr:row>2</xdr:row>
      <xdr:rowOff>102951</xdr:rowOff>
    </xdr:from>
    <xdr:to>
      <xdr:col>29</xdr:col>
      <xdr:colOff>124387</xdr:colOff>
      <xdr:row>13</xdr:row>
      <xdr:rowOff>87632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A964DFF-B04A-4983-89D5-0F0A5E93DC47}"/>
            </a:ext>
          </a:extLst>
        </xdr:cNvPr>
        <xdr:cNvGrpSpPr/>
      </xdr:nvGrpSpPr>
      <xdr:grpSpPr>
        <a:xfrm>
          <a:off x="11577640" y="640833"/>
          <a:ext cx="8078600" cy="2674093"/>
          <a:chOff x="15817663" y="5109875"/>
          <a:chExt cx="8615238" cy="3335252"/>
        </a:xfrm>
      </xdr:grpSpPr>
      <xdr:graphicFrame macro="">
        <xdr:nvGraphicFramePr>
          <xdr:cNvPr id="3" name="Chart 5">
            <a:extLst>
              <a:ext uri="{FF2B5EF4-FFF2-40B4-BE49-F238E27FC236}">
                <a16:creationId xmlns:a16="http://schemas.microsoft.com/office/drawing/2014/main" id="{1EBC09D9-5042-C7A6-1C5B-9230B21203CF}"/>
              </a:ext>
            </a:extLst>
          </xdr:cNvPr>
          <xdr:cNvGraphicFramePr>
            <a:graphicFrameLocks/>
          </xdr:cNvGraphicFramePr>
        </xdr:nvGraphicFramePr>
        <xdr:xfrm>
          <a:off x="20485800" y="5109875"/>
          <a:ext cx="3947101" cy="3335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3D086DA9-D82D-E55A-59FF-649119B62421}"/>
              </a:ext>
            </a:extLst>
          </xdr:cNvPr>
          <xdr:cNvGrpSpPr/>
        </xdr:nvGrpSpPr>
        <xdr:grpSpPr>
          <a:xfrm>
            <a:off x="15817663" y="5109882"/>
            <a:ext cx="4666691" cy="3333751"/>
            <a:chOff x="3457575" y="1490382"/>
            <a:chExt cx="5742454" cy="3064810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B8263F1-1528-344F-18C9-7BC0E23D683B}"/>
                </a:ext>
              </a:extLst>
            </xdr:cNvPr>
            <xdr:cNvGraphicFramePr>
              <a:graphicFrameLocks/>
            </xdr:cNvGraphicFramePr>
          </xdr:nvGraphicFramePr>
          <xdr:xfrm>
            <a:off x="3457575" y="1490382"/>
            <a:ext cx="5742454" cy="30648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6" name="Object 2">
                  <a:extLst>
                    <a:ext uri="{FF2B5EF4-FFF2-40B4-BE49-F238E27FC236}">
                      <a16:creationId xmlns:a16="http://schemas.microsoft.com/office/drawing/2014/main" id="{BAD36FEC-FCF5-0041-E213-A382354BE077}"/>
                    </a:ext>
                  </a:extLst>
                </xdr:cNvPr>
                <xdr:cNvSpPr txBox="1"/>
              </xdr:nvSpPr>
              <xdr:spPr>
                <a:xfrm>
                  <a:off x="7434729" y="1560054"/>
                  <a:ext cx="1728069" cy="3364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square">
                  <a:sp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left"/>
                      </m:oMathParaPr>
                      <m:oMath xmlns:m="http://schemas.openxmlformats.org/officeDocument/2006/math"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𝜋</m:t>
                                </m:r>
                              </m:e>
                            </m:rad>
                          </m:den>
                        </m:f>
                        <m:sSup>
                          <m:sSup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sSup>
                              <m:sSupPr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p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sup>
                        </m:sSup>
                        <m:r>
                          <a:rPr lang="pt-BR" sz="5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−∞≤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≤∞</m:t>
                        </m:r>
                      </m:oMath>
                    </m:oMathPara>
                  </a14:m>
                  <a:endParaRPr lang="en-US" sz="500"/>
                </a:p>
              </xdr:txBody>
            </xdr:sp>
          </mc:Choice>
          <mc:Fallback xmlns="">
            <xdr:sp macro="" textlink="">
              <xdr:nvSpPr>
                <xdr:cNvPr id="6" name="Object 2">
                  <a:extLst>
                    <a:ext uri="{FF2B5EF4-FFF2-40B4-BE49-F238E27FC236}">
                      <a16:creationId xmlns:a16="http://schemas.microsoft.com/office/drawing/2014/main" id="{BAD36FEC-FCF5-0041-E213-A382354BE077}"/>
                    </a:ext>
                  </a:extLst>
                </xdr:cNvPr>
                <xdr:cNvSpPr txBox="1"/>
              </xdr:nvSpPr>
              <xdr:spPr>
                <a:xfrm>
                  <a:off x="7434729" y="1560054"/>
                  <a:ext cx="1728069" cy="3364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square">
                  <a:spAutoFit/>
                </a:bodyPr>
                <a:lstStyle/>
                <a:p>
                  <a:pPr/>
                  <a:r>
                    <a:rPr lang="en-US" sz="5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𝑝(𝑥)=1/√2𝜋 𝑒^(−1/2 𝑥^2 )</a:t>
                  </a:r>
                  <a:r>
                    <a:rPr lang="pt-BR" sz="500" b="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  </a:t>
                  </a:r>
                  <a:r>
                    <a:rPr lang="en-US" sz="5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−∞≤𝑥≤∞</a:t>
                  </a:r>
                  <a:endParaRPr lang="en-US" sz="500"/>
                </a:p>
              </xdr:txBody>
            </xdr:sp>
          </mc:Fallback>
        </mc:AlternateContent>
      </xdr:grpSp>
    </xdr:grpSp>
    <xdr:clientData/>
  </xdr:twoCellAnchor>
  <xdr:twoCellAnchor>
    <xdr:from>
      <xdr:col>2</xdr:col>
      <xdr:colOff>90575</xdr:colOff>
      <xdr:row>38</xdr:row>
      <xdr:rowOff>233587</xdr:rowOff>
    </xdr:from>
    <xdr:to>
      <xdr:col>7</xdr:col>
      <xdr:colOff>0</xdr:colOff>
      <xdr:row>42</xdr:row>
      <xdr:rowOff>206863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Object 2">
              <a:extLst>
                <a:ext uri="{FF2B5EF4-FFF2-40B4-BE49-F238E27FC236}">
                  <a16:creationId xmlns:a16="http://schemas.microsoft.com/office/drawing/2014/main" id="{88E40DCD-56BD-4299-B207-053A61A65C50}"/>
                </a:ext>
              </a:extLst>
            </xdr:cNvPr>
            <xdr:cNvSpPr txBox="1"/>
          </xdr:nvSpPr>
          <xdr:spPr>
            <a:xfrm>
              <a:off x="2700425" y="8005987"/>
              <a:ext cx="3243175" cy="96387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7" name="Object 2">
              <a:extLst>
                <a:ext uri="{FF2B5EF4-FFF2-40B4-BE49-F238E27FC236}">
                  <a16:creationId xmlns:a16="http://schemas.microsoft.com/office/drawing/2014/main" id="{88E40DCD-56BD-4299-B207-053A61A65C50}"/>
                </a:ext>
              </a:extLst>
            </xdr:cNvPr>
            <xdr:cNvSpPr txBox="1"/>
          </xdr:nvSpPr>
          <xdr:spPr>
            <a:xfrm>
              <a:off x="2700425" y="8005987"/>
              <a:ext cx="3243175" cy="96387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𝑍</a:t>
              </a:r>
              <a:r>
                <a:rPr lang="en-US" sz="2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=(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𝑋−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n-US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)/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17</xdr:col>
      <xdr:colOff>201708</xdr:colOff>
      <xdr:row>15</xdr:row>
      <xdr:rowOff>0</xdr:rowOff>
    </xdr:from>
    <xdr:to>
      <xdr:col>23</xdr:col>
      <xdr:colOff>95250</xdr:colOff>
      <xdr:row>30</xdr:row>
      <xdr:rowOff>145677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B0EF24-62B9-4E4F-B230-D14AD8944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643639</xdr:colOff>
      <xdr:row>43</xdr:row>
      <xdr:rowOff>178594</xdr:rowOff>
    </xdr:from>
    <xdr:to>
      <xdr:col>4</xdr:col>
      <xdr:colOff>523875</xdr:colOff>
      <xdr:row>46</xdr:row>
      <xdr:rowOff>51827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Object 2">
              <a:extLst>
                <a:ext uri="{FF2B5EF4-FFF2-40B4-BE49-F238E27FC236}">
                  <a16:creationId xmlns:a16="http://schemas.microsoft.com/office/drawing/2014/main" id="{D3AFC94E-BFDF-4FE2-B6A7-49B8BA2F9FB7}"/>
                </a:ext>
              </a:extLst>
            </xdr:cNvPr>
            <xdr:cNvSpPr txBox="1"/>
          </xdr:nvSpPr>
          <xdr:spPr>
            <a:xfrm>
              <a:off x="2596264" y="9189244"/>
              <a:ext cx="2042411" cy="61618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right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𝜇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𝑍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𝜎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9" name="Object 2">
              <a:extLst>
                <a:ext uri="{FF2B5EF4-FFF2-40B4-BE49-F238E27FC236}">
                  <a16:creationId xmlns:a16="http://schemas.microsoft.com/office/drawing/2014/main" id="{D3AFC94E-BFDF-4FE2-B6A7-49B8BA2F9FB7}"/>
                </a:ext>
              </a:extLst>
            </xdr:cNvPr>
            <xdr:cNvSpPr txBox="1"/>
          </xdr:nvSpPr>
          <xdr:spPr>
            <a:xfrm>
              <a:off x="2596264" y="9189244"/>
              <a:ext cx="2042411" cy="61618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𝑋_𝑖= 𝜇+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𝑍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23</xdr:col>
      <xdr:colOff>321469</xdr:colOff>
      <xdr:row>15</xdr:row>
      <xdr:rowOff>23812</xdr:rowOff>
    </xdr:from>
    <xdr:to>
      <xdr:col>30</xdr:col>
      <xdr:colOff>289652</xdr:colOff>
      <xdr:row>29</xdr:row>
      <xdr:rowOff>90745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6595A98-E59C-46CC-B548-1DD215AE0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35</xdr:row>
      <xdr:rowOff>178595</xdr:rowOff>
    </xdr:from>
    <xdr:to>
      <xdr:col>7</xdr:col>
      <xdr:colOff>0</xdr:colOff>
      <xdr:row>39</xdr:row>
      <xdr:rowOff>190500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5D4A4FEE-51C8-46A4-9AD9-95D3389022C6}"/>
            </a:ext>
          </a:extLst>
        </xdr:cNvPr>
        <xdr:cNvGrpSpPr/>
      </xdr:nvGrpSpPr>
      <xdr:grpSpPr>
        <a:xfrm>
          <a:off x="4605618" y="7126242"/>
          <a:ext cx="0" cy="1166111"/>
          <a:chOff x="10751344" y="7429501"/>
          <a:chExt cx="1369218" cy="1166811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2" name="Object 1">
                <a:extLst>
                  <a:ext uri="{FF2B5EF4-FFF2-40B4-BE49-F238E27FC236}">
                    <a16:creationId xmlns:a16="http://schemas.microsoft.com/office/drawing/2014/main" id="{5BA63C6D-D698-F634-E64E-3B82076A0295}"/>
                  </a:ext>
                </a:extLst>
              </xdr:cNvPr>
              <xdr:cNvSpPr txBox="1"/>
            </xdr:nvSpPr>
            <xdr:spPr>
              <a:xfrm>
                <a:off x="10810877" y="7429501"/>
                <a:ext cx="1297779" cy="59531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E</a:t>
                </a:r>
                <a14:m>
                  <m:oMath xmlns:m="http://schemas.openxmlformats.org/officeDocument/2006/math">
                    <m:r>
                      <a:rPr lang="LID4096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f>
                          <m:fPr>
                            <m:type m:val="skw"/>
                            <m:ctrlPr>
                              <a:rPr lang="pt-BR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num>
                          <m:den>
                            <m:r>
                              <a:rPr lang="pt-BR" sz="2000" b="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sub>
                    </m:sSub>
                    <m:f>
                      <m:fPr>
                        <m:ctrlPr>
                          <a:rPr lang="pt-BR" sz="20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20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pt-BR" sz="20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pt-BR" sz="20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a14:m>
                <a:r>
                  <a:rPr lang="pt-BR" sz="2000"/>
                  <a:t>  </a:t>
                </a:r>
                <a:endParaRPr lang="LID4096" sz="2000"/>
              </a:p>
            </xdr:txBody>
          </xdr:sp>
        </mc:Choice>
        <mc:Fallback xmlns="">
          <xdr:sp macro="" textlink="">
            <xdr:nvSpPr>
              <xdr:cNvPr id="12" name="Object 1">
                <a:extLst>
                  <a:ext uri="{FF2B5EF4-FFF2-40B4-BE49-F238E27FC236}">
                    <a16:creationId xmlns:a16="http://schemas.microsoft.com/office/drawing/2014/main" id="{5BA63C6D-D698-F634-E64E-3B82076A0295}"/>
                  </a:ext>
                </a:extLst>
              </xdr:cNvPr>
              <xdr:cNvSpPr txBox="1"/>
            </xdr:nvSpPr>
            <xdr:spPr>
              <a:xfrm>
                <a:off x="10810877" y="7429501"/>
                <a:ext cx="1297779" cy="59531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E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𝑍_(</a:t>
                </a:r>
                <a:r>
                  <a:rPr lang="pt-BR" sz="2000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𝛼⁄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2)</a:t>
                </a:r>
                <a:r>
                  <a:rPr lang="pt-BR" sz="2000" b="0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</a:t>
                </a:r>
                <a:r>
                  <a:rPr lang="pt-BR" sz="200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𝜎/√</a:t>
                </a:r>
                <a:r>
                  <a:rPr lang="pt-BR" sz="2000" b="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𝑛</a:t>
                </a:r>
                <a:r>
                  <a:rPr lang="pt-BR" sz="2000"/>
                  <a:t>  </a:t>
                </a:r>
                <a:endParaRPr lang="LID4096" sz="20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3" name="Object 1">
                <a:extLst>
                  <a:ext uri="{FF2B5EF4-FFF2-40B4-BE49-F238E27FC236}">
                    <a16:creationId xmlns:a16="http://schemas.microsoft.com/office/drawing/2014/main" id="{0291414A-29CB-875C-6D2C-2460E1478F15}"/>
                  </a:ext>
                </a:extLst>
              </xdr:cNvPr>
              <xdr:cNvSpPr txBox="1"/>
            </xdr:nvSpPr>
            <xdr:spPr>
              <a:xfrm>
                <a:off x="10751344" y="8072437"/>
                <a:ext cx="1369218" cy="523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m:rPr>
                          <m:sty m:val="p"/>
                        </m:rP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IN</m:t>
                      </m:r>
                      <m:r>
                        <a:rPr lang="LID4096" sz="200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acc>
                        <m:accPr>
                          <m:chr m:val="̅"/>
                          <m:ctrlPr>
                            <a:rPr lang="pt-BR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m:rPr>
                              <m:sty m:val="p"/>
                            </m:rPr>
                            <a:rPr lang="pt-BR" sz="2000" b="0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x</m:t>
                          </m:r>
                        </m:e>
                      </m:acc>
                      <m:r>
                        <a:rPr lang="pt-BR" sz="200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±</m:t>
                      </m:r>
                      <m:r>
                        <m:rPr>
                          <m:sty m:val="p"/>
                        </m:rP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E</m:t>
                      </m:r>
                    </m:oMath>
                  </m:oMathPara>
                </a14:m>
                <a:endParaRPr lang="LID4096" sz="2000" i="0"/>
              </a:p>
            </xdr:txBody>
          </xdr:sp>
        </mc:Choice>
        <mc:Fallback xmlns="">
          <xdr:sp macro="" textlink="">
            <xdr:nvSpPr>
              <xdr:cNvPr id="13" name="Object 1">
                <a:extLst>
                  <a:ext uri="{FF2B5EF4-FFF2-40B4-BE49-F238E27FC236}">
                    <a16:creationId xmlns:a16="http://schemas.microsoft.com/office/drawing/2014/main" id="{0291414A-29CB-875C-6D2C-2460E1478F15}"/>
                  </a:ext>
                </a:extLst>
              </xdr:cNvPr>
              <xdr:cNvSpPr txBox="1"/>
            </xdr:nvSpPr>
            <xdr:spPr>
              <a:xfrm>
                <a:off x="10751344" y="8072437"/>
                <a:ext cx="1369218" cy="523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pPr/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IN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x ̅</a:t>
                </a:r>
                <a:r>
                  <a:rPr lang="pt-BR" sz="2000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±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E</a:t>
                </a:r>
                <a:endParaRPr lang="LID4096" sz="2000" i="0"/>
              </a:p>
            </xdr:txBody>
          </xdr:sp>
        </mc:Fallback>
      </mc:AlternateContent>
    </xdr:grpSp>
    <xdr:clientData/>
  </xdr:twoCellAnchor>
  <xdr:twoCellAnchor>
    <xdr:from>
      <xdr:col>7</xdr:col>
      <xdr:colOff>168088</xdr:colOff>
      <xdr:row>37</xdr:row>
      <xdr:rowOff>18785</xdr:rowOff>
    </xdr:from>
    <xdr:to>
      <xdr:col>12</xdr:col>
      <xdr:colOff>262638</xdr:colOff>
      <xdr:row>42</xdr:row>
      <xdr:rowOff>232819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4F04767B-7EE6-4CB7-9B31-861442C2DA83}"/>
            </a:ext>
          </a:extLst>
        </xdr:cNvPr>
        <xdr:cNvGrpSpPr/>
      </xdr:nvGrpSpPr>
      <xdr:grpSpPr>
        <a:xfrm>
          <a:off x="4773706" y="7537932"/>
          <a:ext cx="4184697" cy="1536328"/>
          <a:chOff x="6118412" y="7336226"/>
          <a:chExt cx="3938167" cy="1536328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8DB345EA-A553-0F38-E89D-A5A657252298}"/>
              </a:ext>
            </a:extLst>
          </xdr:cNvPr>
          <xdr:cNvGrpSpPr/>
        </xdr:nvGrpSpPr>
        <xdr:grpSpPr>
          <a:xfrm>
            <a:off x="6134521" y="7336226"/>
            <a:ext cx="3922058" cy="954026"/>
            <a:chOff x="3010906" y="6617648"/>
            <a:chExt cx="3957302" cy="957528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7" name="Object 1">
                  <a:extLst>
                    <a:ext uri="{FF2B5EF4-FFF2-40B4-BE49-F238E27FC236}">
                      <a16:creationId xmlns:a16="http://schemas.microsoft.com/office/drawing/2014/main" id="{D9E8E616-201E-5CF0-02C1-69F62DB55BB8}"/>
                    </a:ext>
                  </a:extLst>
                </xdr:cNvPr>
                <xdr:cNvSpPr txBox="1"/>
              </xdr:nvSpPr>
              <xdr:spPr>
                <a:xfrm>
                  <a:off x="3010906" y="6617648"/>
                  <a:ext cx="3331624" cy="84546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r>
                    <a:rPr lang="pt-BR" sz="2000" b="0" i="0">
                      <a:solidFill>
                        <a:srgbClr val="000000"/>
                      </a:solidFill>
                      <a:latin typeface="+mn-lt"/>
                    </a:rPr>
                    <a:t>p</a:t>
                  </a:r>
                  <a14:m>
                    <m:oMath xmlns:m="http://schemas.openxmlformats.org/officeDocument/2006/math">
                      <m: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(</m:t>
                      </m:r>
                      <m:r>
                        <m:rPr>
                          <m:sty m:val="p"/>
                        </m:rP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x</m:t>
                      </m:r>
                      <m: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)</m:t>
                      </m:r>
                      <m:r>
                        <a:rPr lang="LID4096" sz="20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ad>
                            <m:radPr>
                              <m:degHide m:val="on"/>
                              <m:ctrlP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radPr>
                            <m:deg/>
                            <m:e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𝜋</m:t>
                              </m:r>
                              <m:sSup>
                                <m:sSupPr>
                                  <m:ctrlP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𝜎</m:t>
                                  </m:r>
                                </m:e>
                                <m:sup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</m:e>
                          </m:rad>
                        </m:den>
                      </m:f>
                      <m:sSup>
                        <m:sSupPr>
                          <m:ctrlP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−</m:t>
                          </m:r>
                          <m:f>
                            <m:fPr>
                              <m:ctrlP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num>
                            <m:den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sSup>
                                <m:sSupPr>
                                  <m:ctrlP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𝜎</m:t>
                                  </m:r>
                                </m:e>
                                <m:sup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</m:den>
                          </m:f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𝑥</m:t>
                          </m:r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𝜇</m:t>
                          </m:r>
                          <m:sSup>
                            <m:sSupPr>
                              <m:ctrlP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)</m:t>
                              </m:r>
                            </m:e>
                            <m:sup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sup>
                      </m:sSup>
                    </m:oMath>
                  </a14:m>
                  <a:endParaRPr lang="LID4096" sz="2000"/>
                </a:p>
              </xdr:txBody>
            </xdr:sp>
          </mc:Choice>
          <mc:Fallback xmlns="">
            <xdr:sp macro="" textlink="">
              <xdr:nvSpPr>
                <xdr:cNvPr id="17" name="Object 1">
                  <a:extLst>
                    <a:ext uri="{FF2B5EF4-FFF2-40B4-BE49-F238E27FC236}">
                      <a16:creationId xmlns:a16="http://schemas.microsoft.com/office/drawing/2014/main" id="{D9E8E616-201E-5CF0-02C1-69F62DB55BB8}"/>
                    </a:ext>
                  </a:extLst>
                </xdr:cNvPr>
                <xdr:cNvSpPr txBox="1"/>
              </xdr:nvSpPr>
              <xdr:spPr>
                <a:xfrm>
                  <a:off x="3010906" y="6617648"/>
                  <a:ext cx="3331624" cy="84546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r>
                    <a:rPr lang="pt-BR" sz="2000" b="0" i="0">
                      <a:solidFill>
                        <a:srgbClr val="000000"/>
                      </a:solidFill>
                      <a:latin typeface="+mn-lt"/>
                    </a:rPr>
                    <a:t>p</a:t>
                  </a:r>
                  <a:r>
                    <a:rPr lang="pt-BR" sz="2000" b="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(x)</a:t>
                  </a:r>
                  <a:r>
                    <a:rPr lang="LID4096" sz="20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=1/√(2𝜋𝜎^2 ) 𝑒^(−1/(2𝜎^2 )(𝑥−𝜇)^2 )</a:t>
                  </a:r>
                  <a:endParaRPr lang="LID4096" sz="20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8" name="Object 1">
                  <a:extLst>
                    <a:ext uri="{FF2B5EF4-FFF2-40B4-BE49-F238E27FC236}">
                      <a16:creationId xmlns:a16="http://schemas.microsoft.com/office/drawing/2014/main" id="{B339A894-FCE4-F8AB-EFB2-93AE22B0333D}"/>
                    </a:ext>
                  </a:extLst>
                </xdr:cNvPr>
                <xdr:cNvSpPr txBox="1"/>
              </xdr:nvSpPr>
              <xdr:spPr>
                <a:xfrm>
                  <a:off x="5466621" y="7082117"/>
                  <a:ext cx="1501587" cy="49305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left"/>
                      </m:oMathParaPr>
                      <m:oMath xmlns:m="http://schemas.openxmlformats.org/officeDocument/2006/math"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−∞≤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≤∞</m:t>
                        </m:r>
                      </m:oMath>
                    </m:oMathPara>
                  </a14:m>
                  <a:endParaRPr lang="LID4096" sz="1800"/>
                </a:p>
              </xdr:txBody>
            </xdr:sp>
          </mc:Choice>
          <mc:Fallback xmlns="">
            <xdr:sp macro="" textlink="">
              <xdr:nvSpPr>
                <xdr:cNvPr id="18" name="Object 1">
                  <a:extLst>
                    <a:ext uri="{FF2B5EF4-FFF2-40B4-BE49-F238E27FC236}">
                      <a16:creationId xmlns:a16="http://schemas.microsoft.com/office/drawing/2014/main" id="{B339A894-FCE4-F8AB-EFB2-93AE22B0333D}"/>
                    </a:ext>
                  </a:extLst>
                </xdr:cNvPr>
                <xdr:cNvSpPr txBox="1"/>
              </xdr:nvSpPr>
              <xdr:spPr>
                <a:xfrm>
                  <a:off x="5466621" y="7082117"/>
                  <a:ext cx="1501587" cy="49305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pPr/>
                  <a:r>
                    <a:rPr lang="LID4096" sz="18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−∞≤𝑥≤∞</a:t>
                  </a:r>
                  <a:endParaRPr lang="LID4096" sz="1800"/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6" name="Object 1">
                <a:extLst>
                  <a:ext uri="{FF2B5EF4-FFF2-40B4-BE49-F238E27FC236}">
                    <a16:creationId xmlns:a16="http://schemas.microsoft.com/office/drawing/2014/main" id="{171DEF9D-485D-C9FA-C4C8-C63E3977601A}"/>
                  </a:ext>
                </a:extLst>
              </xdr:cNvPr>
              <xdr:cNvSpPr txBox="1"/>
            </xdr:nvSpPr>
            <xdr:spPr>
              <a:xfrm>
                <a:off x="6118412" y="8012206"/>
                <a:ext cx="3303722" cy="8603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F</a:t>
                </a:r>
                <a14:m>
                  <m:oMath xmlns:m="http://schemas.openxmlformats.org/officeDocument/2006/math">
                    <m:r>
                      <a:rPr lang="pt-BR" sz="2000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pt-BR" sz="2000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x</m:t>
                    </m:r>
                    <m:r>
                      <a:rPr lang="pt-BR" sz="2000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</m:t>
                    </m:r>
                    <m:r>
                      <a:rPr lang="LID4096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𝜋</m:t>
                            </m:r>
                          </m:e>
                        </m:rad>
                      </m:den>
                    </m:f>
                    <m:sSup>
                      <m:sSupPr>
                        <m:ctrlP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sSup>
                          <m:sSupPr>
                            <m:ctrlP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20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p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sup>
                    </m:sSup>
                  </m:oMath>
                </a14:m>
                <a:endParaRPr lang="LID4096" sz="2000"/>
              </a:p>
            </xdr:txBody>
          </xdr:sp>
        </mc:Choice>
        <mc:Fallback xmlns="">
          <xdr:sp macro="" textlink="">
            <xdr:nvSpPr>
              <xdr:cNvPr id="16" name="Object 1">
                <a:extLst>
                  <a:ext uri="{FF2B5EF4-FFF2-40B4-BE49-F238E27FC236}">
                    <a16:creationId xmlns:a16="http://schemas.microsoft.com/office/drawing/2014/main" id="{171DEF9D-485D-C9FA-C4C8-C63E3977601A}"/>
                  </a:ext>
                </a:extLst>
              </xdr:cNvPr>
              <xdr:cNvSpPr txBox="1"/>
            </xdr:nvSpPr>
            <xdr:spPr>
              <a:xfrm>
                <a:off x="6118412" y="8012206"/>
                <a:ext cx="3303722" cy="8603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F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(x)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=1/√2𝜋 𝑒^(−1/2 </a:t>
                </a:r>
                <a:r>
                  <a:rPr lang="pt-BR" sz="200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𝑥</a:t>
                </a:r>
                <a:r>
                  <a:rPr lang="LID4096" sz="2000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^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2 )</a:t>
                </a:r>
                <a:endParaRPr lang="LID4096" sz="2000"/>
              </a:p>
            </xdr:txBody>
          </xdr:sp>
        </mc:Fallback>
      </mc:AlternateContent>
    </xdr:grpSp>
    <xdr:clientData/>
  </xdr:twoCellAnchor>
  <xdr:twoCellAnchor>
    <xdr:from>
      <xdr:col>9</xdr:col>
      <xdr:colOff>347870</xdr:colOff>
      <xdr:row>42</xdr:row>
      <xdr:rowOff>198782</xdr:rowOff>
    </xdr:from>
    <xdr:to>
      <xdr:col>13</xdr:col>
      <xdr:colOff>603592</xdr:colOff>
      <xdr:row>46</xdr:row>
      <xdr:rowOff>54955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Object 1">
              <a:extLst>
                <a:ext uri="{FF2B5EF4-FFF2-40B4-BE49-F238E27FC236}">
                  <a16:creationId xmlns:a16="http://schemas.microsoft.com/office/drawing/2014/main" id="{9E463018-79B8-4644-AB9C-8A39DB84206E}"/>
                </a:ext>
              </a:extLst>
            </xdr:cNvPr>
            <xdr:cNvSpPr txBox="1"/>
          </xdr:nvSpPr>
          <xdr:spPr>
            <a:xfrm>
              <a:off x="7853570" y="8961782"/>
              <a:ext cx="3303722" cy="84677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 −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𝑠𝑞𝑟𝑡</m:t>
                    </m:r>
                    <m:d>
                      <m:dPr>
                        <m:begChr m:val="["/>
                        <m:endChr m:val="]"/>
                        <m:ctrlP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2 </m:t>
                        </m:r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d>
                          <m:dPr>
                            <m:ctrlPr>
                              <a:rPr lang="pt-BR" sz="20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m:rPr>
                                <m:nor/>
                              </m:rPr>
                              <a:rPr lang="pt-BR" sz="2000" b="0" i="0"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p</m:t>
                            </m:r>
                            <m:d>
                              <m:dPr>
                                <m:ctrlPr>
                                  <a:rPr lang="pt-BR" sz="2000" b="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pt-BR" sz="2000" b="0" i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x</m:t>
                                </m:r>
                              </m:e>
                            </m:d>
                            <m:r>
                              <a:rPr lang="pt-BR" sz="20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ad>
                              <m:radPr>
                                <m:degHide m:val="on"/>
                                <m:ctrlPr>
                                  <a:rPr lang="pt-BR" sz="20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pt-BR" sz="20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pt-BR" sz="20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𝜋</m:t>
                                </m:r>
                              </m:e>
                            </m:rad>
                          </m:e>
                        </m:d>
                      </m:e>
                    </m:d>
                  </m:oMath>
                </m:oMathPara>
              </a14:m>
              <a:endParaRPr lang="LID4096" sz="2000"/>
            </a:p>
          </xdr:txBody>
        </xdr:sp>
      </mc:Choice>
      <mc:Fallback xmlns="">
        <xdr:sp macro="" textlink="">
          <xdr:nvSpPr>
            <xdr:cNvPr id="19" name="Object 1">
              <a:extLst>
                <a:ext uri="{FF2B5EF4-FFF2-40B4-BE49-F238E27FC236}">
                  <a16:creationId xmlns:a16="http://schemas.microsoft.com/office/drawing/2014/main" id="{9E463018-79B8-4644-AB9C-8A39DB84206E}"/>
                </a:ext>
              </a:extLst>
            </xdr:cNvPr>
            <xdr:cNvSpPr txBox="1"/>
          </xdr:nvSpPr>
          <xdr:spPr>
            <a:xfrm>
              <a:off x="7853570" y="8961782"/>
              <a:ext cx="3303722" cy="84677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𝑥= 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−𝑠𝑞𝑟𝑡[2 𝐿𝑛(</a:t>
              </a:r>
              <a:r>
                <a:rPr lang="pt-BR" sz="2000" b="0" i="0">
                  <a:effectLst/>
                  <a:latin typeface="+mn-lt"/>
                  <a:ea typeface="+mn-ea"/>
                  <a:cs typeface="+mn-cs"/>
                </a:rPr>
                <a:t>"p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(x)∗√</a:t>
              </a:r>
              <a:r>
                <a:rPr lang="pt-BR" sz="20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2𝜋)]</a:t>
              </a:r>
              <a:endParaRPr lang="LID4096" sz="20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125229</xdr:colOff>
      <xdr:row>2</xdr:row>
      <xdr:rowOff>91745</xdr:rowOff>
    </xdr:from>
    <xdr:to>
      <xdr:col>30</xdr:col>
      <xdr:colOff>57152</xdr:colOff>
      <xdr:row>13</xdr:row>
      <xdr:rowOff>76426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54E5110-590A-4532-B5B0-F3A4B1539F25}"/>
            </a:ext>
          </a:extLst>
        </xdr:cNvPr>
        <xdr:cNvGrpSpPr/>
      </xdr:nvGrpSpPr>
      <xdr:grpSpPr>
        <a:xfrm>
          <a:off x="12081905" y="495157"/>
          <a:ext cx="8078600" cy="2674093"/>
          <a:chOff x="15817663" y="5109875"/>
          <a:chExt cx="8615238" cy="3335252"/>
        </a:xfrm>
      </xdr:grpSpPr>
      <xdr:graphicFrame macro="">
        <xdr:nvGraphicFramePr>
          <xdr:cNvPr id="3" name="Chart 5">
            <a:extLst>
              <a:ext uri="{FF2B5EF4-FFF2-40B4-BE49-F238E27FC236}">
                <a16:creationId xmlns:a16="http://schemas.microsoft.com/office/drawing/2014/main" id="{54C0DC75-EAB4-7A00-80BD-9A3732DFF389}"/>
              </a:ext>
            </a:extLst>
          </xdr:cNvPr>
          <xdr:cNvGraphicFramePr>
            <a:graphicFrameLocks/>
          </xdr:cNvGraphicFramePr>
        </xdr:nvGraphicFramePr>
        <xdr:xfrm>
          <a:off x="20485800" y="5109875"/>
          <a:ext cx="3947101" cy="3335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857EEAA9-A3F1-B78E-D0E0-2489A6F3BC61}"/>
              </a:ext>
            </a:extLst>
          </xdr:cNvPr>
          <xdr:cNvGrpSpPr/>
        </xdr:nvGrpSpPr>
        <xdr:grpSpPr>
          <a:xfrm>
            <a:off x="15817663" y="5109882"/>
            <a:ext cx="4666691" cy="3333751"/>
            <a:chOff x="3457575" y="1490382"/>
            <a:chExt cx="5742454" cy="3064810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8E8E814-C080-AEBE-C8BD-911D1891D68D}"/>
                </a:ext>
              </a:extLst>
            </xdr:cNvPr>
            <xdr:cNvGraphicFramePr>
              <a:graphicFrameLocks/>
            </xdr:cNvGraphicFramePr>
          </xdr:nvGraphicFramePr>
          <xdr:xfrm>
            <a:off x="3457575" y="1490382"/>
            <a:ext cx="5742454" cy="30648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6" name="Object 2">
                  <a:extLst>
                    <a:ext uri="{FF2B5EF4-FFF2-40B4-BE49-F238E27FC236}">
                      <a16:creationId xmlns:a16="http://schemas.microsoft.com/office/drawing/2014/main" id="{13E8DB69-6637-EA69-4A2C-A4CC3191F4B7}"/>
                    </a:ext>
                  </a:extLst>
                </xdr:cNvPr>
                <xdr:cNvSpPr txBox="1"/>
              </xdr:nvSpPr>
              <xdr:spPr>
                <a:xfrm>
                  <a:off x="7434729" y="1560054"/>
                  <a:ext cx="1728069" cy="3364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square">
                  <a:sp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left"/>
                      </m:oMathParaPr>
                      <m:oMath xmlns:m="http://schemas.openxmlformats.org/officeDocument/2006/math"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𝜋</m:t>
                                </m:r>
                              </m:e>
                            </m:rad>
                          </m:den>
                        </m:f>
                        <m:sSup>
                          <m:sSup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sSup>
                              <m:sSupPr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p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sup>
                        </m:sSup>
                        <m:r>
                          <a:rPr lang="pt-BR" sz="5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−∞≤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≤∞</m:t>
                        </m:r>
                      </m:oMath>
                    </m:oMathPara>
                  </a14:m>
                  <a:endParaRPr lang="en-US" sz="500"/>
                </a:p>
              </xdr:txBody>
            </xdr:sp>
          </mc:Choice>
          <mc:Fallback xmlns="">
            <xdr:sp macro="" textlink="">
              <xdr:nvSpPr>
                <xdr:cNvPr id="6" name="Object 2">
                  <a:extLst>
                    <a:ext uri="{FF2B5EF4-FFF2-40B4-BE49-F238E27FC236}">
                      <a16:creationId xmlns:a16="http://schemas.microsoft.com/office/drawing/2014/main" id="{13E8DB69-6637-EA69-4A2C-A4CC3191F4B7}"/>
                    </a:ext>
                  </a:extLst>
                </xdr:cNvPr>
                <xdr:cNvSpPr txBox="1"/>
              </xdr:nvSpPr>
              <xdr:spPr>
                <a:xfrm>
                  <a:off x="7434729" y="1560054"/>
                  <a:ext cx="1728069" cy="3364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square">
                  <a:spAutoFit/>
                </a:bodyPr>
                <a:lstStyle/>
                <a:p>
                  <a:pPr/>
                  <a:r>
                    <a:rPr lang="en-US" sz="5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𝑝(𝑥)=1/√2𝜋 𝑒^(−1/2 𝑥^2 )</a:t>
                  </a:r>
                  <a:r>
                    <a:rPr lang="pt-BR" sz="500" b="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  </a:t>
                  </a:r>
                  <a:r>
                    <a:rPr lang="en-US" sz="5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−∞≤𝑥≤∞</a:t>
                  </a:r>
                  <a:endParaRPr lang="en-US" sz="500"/>
                </a:p>
              </xdr:txBody>
            </xdr:sp>
          </mc:Fallback>
        </mc:AlternateContent>
      </xdr:grpSp>
    </xdr:grpSp>
    <xdr:clientData/>
  </xdr:twoCellAnchor>
  <xdr:twoCellAnchor>
    <xdr:from>
      <xdr:col>2</xdr:col>
      <xdr:colOff>90575</xdr:colOff>
      <xdr:row>38</xdr:row>
      <xdr:rowOff>233587</xdr:rowOff>
    </xdr:from>
    <xdr:to>
      <xdr:col>8</xdr:col>
      <xdr:colOff>0</xdr:colOff>
      <xdr:row>42</xdr:row>
      <xdr:rowOff>206863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Object 2">
              <a:extLst>
                <a:ext uri="{FF2B5EF4-FFF2-40B4-BE49-F238E27FC236}">
                  <a16:creationId xmlns:a16="http://schemas.microsoft.com/office/drawing/2014/main" id="{E8D166F2-8495-494E-AF16-30E0AD543646}"/>
                </a:ext>
              </a:extLst>
            </xdr:cNvPr>
            <xdr:cNvSpPr txBox="1"/>
          </xdr:nvSpPr>
          <xdr:spPr>
            <a:xfrm>
              <a:off x="1271675" y="8148862"/>
              <a:ext cx="2690725" cy="96387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7" name="Object 2">
              <a:extLst>
                <a:ext uri="{FF2B5EF4-FFF2-40B4-BE49-F238E27FC236}">
                  <a16:creationId xmlns:a16="http://schemas.microsoft.com/office/drawing/2014/main" id="{E8D166F2-8495-494E-AF16-30E0AD543646}"/>
                </a:ext>
              </a:extLst>
            </xdr:cNvPr>
            <xdr:cNvSpPr txBox="1"/>
          </xdr:nvSpPr>
          <xdr:spPr>
            <a:xfrm>
              <a:off x="1271675" y="8148862"/>
              <a:ext cx="2690725" cy="96387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𝑍</a:t>
              </a:r>
              <a:r>
                <a:rPr lang="en-US" sz="2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=(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𝑋−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n-US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)/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18</xdr:col>
      <xdr:colOff>201708</xdr:colOff>
      <xdr:row>15</xdr:row>
      <xdr:rowOff>0</xdr:rowOff>
    </xdr:from>
    <xdr:to>
      <xdr:col>24</xdr:col>
      <xdr:colOff>95250</xdr:colOff>
      <xdr:row>30</xdr:row>
      <xdr:rowOff>145677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33762B-83D8-4247-A856-7FE38D00C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643639</xdr:colOff>
      <xdr:row>43</xdr:row>
      <xdr:rowOff>178594</xdr:rowOff>
    </xdr:from>
    <xdr:to>
      <xdr:col>5</xdr:col>
      <xdr:colOff>523875</xdr:colOff>
      <xdr:row>46</xdr:row>
      <xdr:rowOff>51827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Object 2">
              <a:extLst>
                <a:ext uri="{FF2B5EF4-FFF2-40B4-BE49-F238E27FC236}">
                  <a16:creationId xmlns:a16="http://schemas.microsoft.com/office/drawing/2014/main" id="{49B3ADA0-A3F1-4063-86C6-E419A005C703}"/>
                </a:ext>
              </a:extLst>
            </xdr:cNvPr>
            <xdr:cNvSpPr txBox="1"/>
          </xdr:nvSpPr>
          <xdr:spPr>
            <a:xfrm>
              <a:off x="1167514" y="9332119"/>
              <a:ext cx="2042411" cy="61618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right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𝜇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𝑍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𝜎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9" name="Object 2">
              <a:extLst>
                <a:ext uri="{FF2B5EF4-FFF2-40B4-BE49-F238E27FC236}">
                  <a16:creationId xmlns:a16="http://schemas.microsoft.com/office/drawing/2014/main" id="{49B3ADA0-A3F1-4063-86C6-E419A005C703}"/>
                </a:ext>
              </a:extLst>
            </xdr:cNvPr>
            <xdr:cNvSpPr txBox="1"/>
          </xdr:nvSpPr>
          <xdr:spPr>
            <a:xfrm>
              <a:off x="1167514" y="9332119"/>
              <a:ext cx="2042411" cy="61618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𝑋_𝑖= 𝜇+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𝑍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24</xdr:col>
      <xdr:colOff>321469</xdr:colOff>
      <xdr:row>15</xdr:row>
      <xdr:rowOff>23812</xdr:rowOff>
    </xdr:from>
    <xdr:to>
      <xdr:col>31</xdr:col>
      <xdr:colOff>289652</xdr:colOff>
      <xdr:row>29</xdr:row>
      <xdr:rowOff>90745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CD1CFE4-BD3B-4B8A-B8CD-470FAB65E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35</xdr:row>
      <xdr:rowOff>178595</xdr:rowOff>
    </xdr:from>
    <xdr:to>
      <xdr:col>8</xdr:col>
      <xdr:colOff>0</xdr:colOff>
      <xdr:row>39</xdr:row>
      <xdr:rowOff>190500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21824D19-76B3-4B29-B4B3-185261D6BF56}"/>
            </a:ext>
          </a:extLst>
        </xdr:cNvPr>
        <xdr:cNvGrpSpPr/>
      </xdr:nvGrpSpPr>
      <xdr:grpSpPr>
        <a:xfrm>
          <a:off x="4728882" y="6991771"/>
          <a:ext cx="0" cy="1166111"/>
          <a:chOff x="10751344" y="7429501"/>
          <a:chExt cx="1369218" cy="1166811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2" name="Object 1">
                <a:extLst>
                  <a:ext uri="{FF2B5EF4-FFF2-40B4-BE49-F238E27FC236}">
                    <a16:creationId xmlns:a16="http://schemas.microsoft.com/office/drawing/2014/main" id="{ABC2AB9A-21CD-51E3-1FCF-762EF12AFBDD}"/>
                  </a:ext>
                </a:extLst>
              </xdr:cNvPr>
              <xdr:cNvSpPr txBox="1"/>
            </xdr:nvSpPr>
            <xdr:spPr>
              <a:xfrm>
                <a:off x="10810877" y="7429501"/>
                <a:ext cx="1297779" cy="59531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E</a:t>
                </a:r>
                <a14:m>
                  <m:oMath xmlns:m="http://schemas.openxmlformats.org/officeDocument/2006/math">
                    <m:r>
                      <a:rPr lang="LID4096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f>
                          <m:fPr>
                            <m:type m:val="skw"/>
                            <m:ctrlPr>
                              <a:rPr lang="pt-BR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num>
                          <m:den>
                            <m:r>
                              <a:rPr lang="pt-BR" sz="2000" b="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sub>
                    </m:sSub>
                    <m:f>
                      <m:fPr>
                        <m:ctrlPr>
                          <a:rPr lang="pt-BR" sz="20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20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pt-BR" sz="20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pt-BR" sz="20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a14:m>
                <a:r>
                  <a:rPr lang="pt-BR" sz="2000"/>
                  <a:t>  </a:t>
                </a:r>
                <a:endParaRPr lang="LID4096" sz="2000"/>
              </a:p>
            </xdr:txBody>
          </xdr:sp>
        </mc:Choice>
        <mc:Fallback xmlns="">
          <xdr:sp macro="" textlink="">
            <xdr:nvSpPr>
              <xdr:cNvPr id="12" name="Object 1">
                <a:extLst>
                  <a:ext uri="{FF2B5EF4-FFF2-40B4-BE49-F238E27FC236}">
                    <a16:creationId xmlns:a16="http://schemas.microsoft.com/office/drawing/2014/main" id="{ABC2AB9A-21CD-51E3-1FCF-762EF12AFBDD}"/>
                  </a:ext>
                </a:extLst>
              </xdr:cNvPr>
              <xdr:cNvSpPr txBox="1"/>
            </xdr:nvSpPr>
            <xdr:spPr>
              <a:xfrm>
                <a:off x="10810877" y="7429501"/>
                <a:ext cx="1297779" cy="59531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E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𝑍_(</a:t>
                </a:r>
                <a:r>
                  <a:rPr lang="pt-BR" sz="2000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𝛼⁄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2)</a:t>
                </a:r>
                <a:r>
                  <a:rPr lang="pt-BR" sz="2000" b="0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</a:t>
                </a:r>
                <a:r>
                  <a:rPr lang="pt-BR" sz="200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𝜎/√</a:t>
                </a:r>
                <a:r>
                  <a:rPr lang="pt-BR" sz="2000" b="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𝑛</a:t>
                </a:r>
                <a:r>
                  <a:rPr lang="pt-BR" sz="2000"/>
                  <a:t>  </a:t>
                </a:r>
                <a:endParaRPr lang="LID4096" sz="20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3" name="Object 1">
                <a:extLst>
                  <a:ext uri="{FF2B5EF4-FFF2-40B4-BE49-F238E27FC236}">
                    <a16:creationId xmlns:a16="http://schemas.microsoft.com/office/drawing/2014/main" id="{E696874E-DCAF-33F0-A855-256B223474B3}"/>
                  </a:ext>
                </a:extLst>
              </xdr:cNvPr>
              <xdr:cNvSpPr txBox="1"/>
            </xdr:nvSpPr>
            <xdr:spPr>
              <a:xfrm>
                <a:off x="10751344" y="8072437"/>
                <a:ext cx="1369218" cy="523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m:rPr>
                          <m:sty m:val="p"/>
                        </m:rP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IN</m:t>
                      </m:r>
                      <m:r>
                        <a:rPr lang="LID4096" sz="200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acc>
                        <m:accPr>
                          <m:chr m:val="̅"/>
                          <m:ctrlPr>
                            <a:rPr lang="pt-BR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m:rPr>
                              <m:sty m:val="p"/>
                            </m:rPr>
                            <a:rPr lang="pt-BR" sz="2000" b="0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x</m:t>
                          </m:r>
                        </m:e>
                      </m:acc>
                      <m:r>
                        <a:rPr lang="pt-BR" sz="200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±</m:t>
                      </m:r>
                      <m:r>
                        <m:rPr>
                          <m:sty m:val="p"/>
                        </m:rP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E</m:t>
                      </m:r>
                    </m:oMath>
                  </m:oMathPara>
                </a14:m>
                <a:endParaRPr lang="LID4096" sz="2000" i="0"/>
              </a:p>
            </xdr:txBody>
          </xdr:sp>
        </mc:Choice>
        <mc:Fallback xmlns="">
          <xdr:sp macro="" textlink="">
            <xdr:nvSpPr>
              <xdr:cNvPr id="13" name="Object 1">
                <a:extLst>
                  <a:ext uri="{FF2B5EF4-FFF2-40B4-BE49-F238E27FC236}">
                    <a16:creationId xmlns:a16="http://schemas.microsoft.com/office/drawing/2014/main" id="{E696874E-DCAF-33F0-A855-256B223474B3}"/>
                  </a:ext>
                </a:extLst>
              </xdr:cNvPr>
              <xdr:cNvSpPr txBox="1"/>
            </xdr:nvSpPr>
            <xdr:spPr>
              <a:xfrm>
                <a:off x="10751344" y="8072437"/>
                <a:ext cx="1369218" cy="523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pPr/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IN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x ̅</a:t>
                </a:r>
                <a:r>
                  <a:rPr lang="pt-BR" sz="2000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±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E</a:t>
                </a:r>
                <a:endParaRPr lang="LID4096" sz="2000" i="0"/>
              </a:p>
            </xdr:txBody>
          </xdr:sp>
        </mc:Fallback>
      </mc:AlternateContent>
    </xdr:grpSp>
    <xdr:clientData/>
  </xdr:twoCellAnchor>
  <xdr:twoCellAnchor>
    <xdr:from>
      <xdr:col>8</xdr:col>
      <xdr:colOff>168088</xdr:colOff>
      <xdr:row>37</xdr:row>
      <xdr:rowOff>18785</xdr:rowOff>
    </xdr:from>
    <xdr:to>
      <xdr:col>13</xdr:col>
      <xdr:colOff>262638</xdr:colOff>
      <xdr:row>42</xdr:row>
      <xdr:rowOff>232819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7D1441DE-12B6-4F99-8430-903FBC8DD30A}"/>
            </a:ext>
          </a:extLst>
        </xdr:cNvPr>
        <xdr:cNvGrpSpPr/>
      </xdr:nvGrpSpPr>
      <xdr:grpSpPr>
        <a:xfrm>
          <a:off x="4896970" y="7403461"/>
          <a:ext cx="4184697" cy="1536329"/>
          <a:chOff x="6118412" y="7336226"/>
          <a:chExt cx="3938167" cy="1536328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D7FB1233-5420-1317-7966-DA0C3168D2A9}"/>
              </a:ext>
            </a:extLst>
          </xdr:cNvPr>
          <xdr:cNvGrpSpPr/>
        </xdr:nvGrpSpPr>
        <xdr:grpSpPr>
          <a:xfrm>
            <a:off x="6134521" y="7336226"/>
            <a:ext cx="3922058" cy="954026"/>
            <a:chOff x="3010906" y="6617648"/>
            <a:chExt cx="3957302" cy="957528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7" name="Object 1">
                  <a:extLst>
                    <a:ext uri="{FF2B5EF4-FFF2-40B4-BE49-F238E27FC236}">
                      <a16:creationId xmlns:a16="http://schemas.microsoft.com/office/drawing/2014/main" id="{7A7A04F3-5BE0-CA4E-118D-3F5B12463DA6}"/>
                    </a:ext>
                  </a:extLst>
                </xdr:cNvPr>
                <xdr:cNvSpPr txBox="1"/>
              </xdr:nvSpPr>
              <xdr:spPr>
                <a:xfrm>
                  <a:off x="3010906" y="6617648"/>
                  <a:ext cx="3331624" cy="84546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r>
                    <a:rPr lang="pt-BR" sz="2000" b="0" i="0">
                      <a:solidFill>
                        <a:srgbClr val="000000"/>
                      </a:solidFill>
                      <a:latin typeface="+mn-lt"/>
                    </a:rPr>
                    <a:t>p</a:t>
                  </a:r>
                  <a14:m>
                    <m:oMath xmlns:m="http://schemas.openxmlformats.org/officeDocument/2006/math">
                      <m: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(</m:t>
                      </m:r>
                      <m:r>
                        <m:rPr>
                          <m:sty m:val="p"/>
                        </m:rP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x</m:t>
                      </m:r>
                      <m: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)</m:t>
                      </m:r>
                      <m:r>
                        <a:rPr lang="LID4096" sz="20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ad>
                            <m:radPr>
                              <m:degHide m:val="on"/>
                              <m:ctrlP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radPr>
                            <m:deg/>
                            <m:e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𝜋</m:t>
                              </m:r>
                              <m:sSup>
                                <m:sSupPr>
                                  <m:ctrlP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𝜎</m:t>
                                  </m:r>
                                </m:e>
                                <m:sup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</m:e>
                          </m:rad>
                        </m:den>
                      </m:f>
                      <m:sSup>
                        <m:sSupPr>
                          <m:ctrlP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−</m:t>
                          </m:r>
                          <m:f>
                            <m:fPr>
                              <m:ctrlP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num>
                            <m:den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sSup>
                                <m:sSupPr>
                                  <m:ctrlP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𝜎</m:t>
                                  </m:r>
                                </m:e>
                                <m:sup>
                                  <m:r>
                                    <a:rPr lang="LID4096" sz="2000" i="1">
                                      <a:solidFill>
                                        <a:srgbClr val="000000"/>
                                      </a:solidFill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</m:den>
                          </m:f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𝑥</m:t>
                          </m:r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LID4096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𝜇</m:t>
                          </m:r>
                          <m:sSup>
                            <m:sSupPr>
                              <m:ctrlP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)</m:t>
                              </m:r>
                            </m:e>
                            <m:sup>
                              <m:r>
                                <a:rPr lang="LID4096" sz="2000" i="1">
                                  <a:solidFill>
                                    <a:srgbClr val="000000"/>
                                  </a:solidFill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sup>
                      </m:sSup>
                    </m:oMath>
                  </a14:m>
                  <a:endParaRPr lang="LID4096" sz="2000"/>
                </a:p>
              </xdr:txBody>
            </xdr:sp>
          </mc:Choice>
          <mc:Fallback xmlns="">
            <xdr:sp macro="" textlink="">
              <xdr:nvSpPr>
                <xdr:cNvPr id="17" name="Object 1">
                  <a:extLst>
                    <a:ext uri="{FF2B5EF4-FFF2-40B4-BE49-F238E27FC236}">
                      <a16:creationId xmlns:a16="http://schemas.microsoft.com/office/drawing/2014/main" id="{7A7A04F3-5BE0-CA4E-118D-3F5B12463DA6}"/>
                    </a:ext>
                  </a:extLst>
                </xdr:cNvPr>
                <xdr:cNvSpPr txBox="1"/>
              </xdr:nvSpPr>
              <xdr:spPr>
                <a:xfrm>
                  <a:off x="3010906" y="6617648"/>
                  <a:ext cx="3331624" cy="84546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r>
                    <a:rPr lang="pt-BR" sz="2000" b="0" i="0">
                      <a:solidFill>
                        <a:srgbClr val="000000"/>
                      </a:solidFill>
                      <a:latin typeface="+mn-lt"/>
                    </a:rPr>
                    <a:t>p</a:t>
                  </a:r>
                  <a:r>
                    <a:rPr lang="pt-BR" sz="2000" b="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(x)</a:t>
                  </a:r>
                  <a:r>
                    <a:rPr lang="LID4096" sz="20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=1/√(2𝜋𝜎^2 ) 𝑒^(−1/(2𝜎^2 )(𝑥−𝜇)^2 )</a:t>
                  </a:r>
                  <a:endParaRPr lang="LID4096" sz="20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8" name="Object 1">
                  <a:extLst>
                    <a:ext uri="{FF2B5EF4-FFF2-40B4-BE49-F238E27FC236}">
                      <a16:creationId xmlns:a16="http://schemas.microsoft.com/office/drawing/2014/main" id="{4EA95812-2612-0104-156E-7A563CD86F60}"/>
                    </a:ext>
                  </a:extLst>
                </xdr:cNvPr>
                <xdr:cNvSpPr txBox="1"/>
              </xdr:nvSpPr>
              <xdr:spPr>
                <a:xfrm>
                  <a:off x="5466621" y="7082117"/>
                  <a:ext cx="1501587" cy="49305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left"/>
                      </m:oMathParaPr>
                      <m:oMath xmlns:m="http://schemas.openxmlformats.org/officeDocument/2006/math"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−∞≤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≤∞</m:t>
                        </m:r>
                      </m:oMath>
                    </m:oMathPara>
                  </a14:m>
                  <a:endParaRPr lang="LID4096" sz="1800"/>
                </a:p>
              </xdr:txBody>
            </xdr:sp>
          </mc:Choice>
          <mc:Fallback xmlns="">
            <xdr:sp macro="" textlink="">
              <xdr:nvSpPr>
                <xdr:cNvPr id="18" name="Object 1">
                  <a:extLst>
                    <a:ext uri="{FF2B5EF4-FFF2-40B4-BE49-F238E27FC236}">
                      <a16:creationId xmlns:a16="http://schemas.microsoft.com/office/drawing/2014/main" id="{4EA95812-2612-0104-156E-7A563CD86F60}"/>
                    </a:ext>
                  </a:extLst>
                </xdr:cNvPr>
                <xdr:cNvSpPr txBox="1"/>
              </xdr:nvSpPr>
              <xdr:spPr>
                <a:xfrm>
                  <a:off x="5466621" y="7082117"/>
                  <a:ext cx="1501587" cy="49305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none">
                  <a:noAutofit/>
                </a:bodyPr>
                <a:lstStyle/>
                <a:p>
                  <a:pPr/>
                  <a:r>
                    <a:rPr lang="LID4096" sz="18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−∞≤𝑥≤∞</a:t>
                  </a:r>
                  <a:endParaRPr lang="LID4096" sz="1800"/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6" name="Object 1">
                <a:extLst>
                  <a:ext uri="{FF2B5EF4-FFF2-40B4-BE49-F238E27FC236}">
                    <a16:creationId xmlns:a16="http://schemas.microsoft.com/office/drawing/2014/main" id="{4FA15C1C-A5A3-7AA1-54FD-8B025A4A8F7B}"/>
                  </a:ext>
                </a:extLst>
              </xdr:cNvPr>
              <xdr:cNvSpPr txBox="1"/>
            </xdr:nvSpPr>
            <xdr:spPr>
              <a:xfrm>
                <a:off x="6118412" y="8012206"/>
                <a:ext cx="3303722" cy="8603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F</a:t>
                </a:r>
                <a14:m>
                  <m:oMath xmlns:m="http://schemas.openxmlformats.org/officeDocument/2006/math">
                    <m:r>
                      <a:rPr lang="pt-BR" sz="2000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pt-BR" sz="2000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x</m:t>
                    </m:r>
                    <m:r>
                      <a:rPr lang="pt-BR" sz="2000" b="0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</m:t>
                    </m:r>
                    <m:r>
                      <a:rPr lang="LID4096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𝜋</m:t>
                            </m:r>
                          </m:e>
                        </m:rad>
                      </m:den>
                    </m:f>
                    <m:sSup>
                      <m:sSupPr>
                        <m:ctrlP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LID4096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sSup>
                          <m:sSupPr>
                            <m:ctrlP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20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p>
                            <m:r>
                              <a:rPr lang="LID4096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sup>
                    </m:sSup>
                  </m:oMath>
                </a14:m>
                <a:endParaRPr lang="LID4096" sz="2000"/>
              </a:p>
            </xdr:txBody>
          </xdr:sp>
        </mc:Choice>
        <mc:Fallback xmlns="">
          <xdr:sp macro="" textlink="">
            <xdr:nvSpPr>
              <xdr:cNvPr id="16" name="Object 1">
                <a:extLst>
                  <a:ext uri="{FF2B5EF4-FFF2-40B4-BE49-F238E27FC236}">
                    <a16:creationId xmlns:a16="http://schemas.microsoft.com/office/drawing/2014/main" id="{4FA15C1C-A5A3-7AA1-54FD-8B025A4A8F7B}"/>
                  </a:ext>
                </a:extLst>
              </xdr:cNvPr>
              <xdr:cNvSpPr txBox="1"/>
            </xdr:nvSpPr>
            <xdr:spPr>
              <a:xfrm>
                <a:off x="6118412" y="8012206"/>
                <a:ext cx="3303722" cy="8603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F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(x)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=1/√2𝜋 𝑒^(−1/2 </a:t>
                </a:r>
                <a:r>
                  <a:rPr lang="pt-BR" sz="200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𝑥</a:t>
                </a:r>
                <a:r>
                  <a:rPr lang="LID4096" sz="2000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^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2 )</a:t>
                </a:r>
                <a:endParaRPr lang="LID4096" sz="2000"/>
              </a:p>
            </xdr:txBody>
          </xdr:sp>
        </mc:Fallback>
      </mc:AlternateContent>
    </xdr:grpSp>
    <xdr:clientData/>
  </xdr:twoCellAnchor>
  <xdr:twoCellAnchor>
    <xdr:from>
      <xdr:col>10</xdr:col>
      <xdr:colOff>347870</xdr:colOff>
      <xdr:row>42</xdr:row>
      <xdr:rowOff>198782</xdr:rowOff>
    </xdr:from>
    <xdr:to>
      <xdr:col>15</xdr:col>
      <xdr:colOff>603592</xdr:colOff>
      <xdr:row>46</xdr:row>
      <xdr:rowOff>54955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Object 1">
              <a:extLst>
                <a:ext uri="{FF2B5EF4-FFF2-40B4-BE49-F238E27FC236}">
                  <a16:creationId xmlns:a16="http://schemas.microsoft.com/office/drawing/2014/main" id="{DB8BCFA7-8F3F-4542-BA17-1129C294B315}"/>
                </a:ext>
              </a:extLst>
            </xdr:cNvPr>
            <xdr:cNvSpPr txBox="1"/>
          </xdr:nvSpPr>
          <xdr:spPr>
            <a:xfrm>
              <a:off x="6015245" y="9104657"/>
              <a:ext cx="3408497" cy="84677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 −</m:t>
                    </m:r>
                    <m:r>
                      <a:rPr lang="pt-BR" sz="2000" b="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𝑠𝑞𝑟𝑡</m:t>
                    </m:r>
                    <m:d>
                      <m:dPr>
                        <m:begChr m:val="["/>
                        <m:endChr m:val="]"/>
                        <m:ctrlP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2 </m:t>
                        </m:r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d>
                          <m:dPr>
                            <m:ctrlPr>
                              <a:rPr lang="pt-BR" sz="20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m:rPr>
                                <m:nor/>
                              </m:rPr>
                              <a:rPr lang="pt-BR" sz="2000" b="0" i="0"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p</m:t>
                            </m:r>
                            <m:d>
                              <m:dPr>
                                <m:ctrlPr>
                                  <a:rPr lang="pt-BR" sz="2000" b="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pt-BR" sz="2000" b="0" i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x</m:t>
                                </m:r>
                              </m:e>
                            </m:d>
                            <m:r>
                              <a:rPr lang="pt-BR" sz="20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ad>
                              <m:radPr>
                                <m:degHide m:val="on"/>
                                <m:ctrlPr>
                                  <a:rPr lang="pt-BR" sz="20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pt-BR" sz="20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pt-BR" sz="20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𝜋</m:t>
                                </m:r>
                              </m:e>
                            </m:rad>
                          </m:e>
                        </m:d>
                      </m:e>
                    </m:d>
                  </m:oMath>
                </m:oMathPara>
              </a14:m>
              <a:endParaRPr lang="LID4096" sz="2000"/>
            </a:p>
          </xdr:txBody>
        </xdr:sp>
      </mc:Choice>
      <mc:Fallback xmlns="">
        <xdr:sp macro="" textlink="">
          <xdr:nvSpPr>
            <xdr:cNvPr id="19" name="Object 1">
              <a:extLst>
                <a:ext uri="{FF2B5EF4-FFF2-40B4-BE49-F238E27FC236}">
                  <a16:creationId xmlns:a16="http://schemas.microsoft.com/office/drawing/2014/main" id="{DB8BCFA7-8F3F-4542-BA17-1129C294B315}"/>
                </a:ext>
              </a:extLst>
            </xdr:cNvPr>
            <xdr:cNvSpPr txBox="1"/>
          </xdr:nvSpPr>
          <xdr:spPr>
            <a:xfrm>
              <a:off x="6015245" y="9104657"/>
              <a:ext cx="3408497" cy="84677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𝑥= 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−𝑠𝑞𝑟𝑡[2 𝐿𝑛(</a:t>
              </a:r>
              <a:r>
                <a:rPr lang="pt-BR" sz="2000" b="0" i="0">
                  <a:effectLst/>
                  <a:latin typeface="+mn-lt"/>
                  <a:ea typeface="+mn-ea"/>
                  <a:cs typeface="+mn-cs"/>
                </a:rPr>
                <a:t>"p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(x)∗√</a:t>
              </a:r>
              <a:r>
                <a:rPr lang="pt-BR" sz="200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2𝜋)]</a:t>
              </a:r>
              <a:endParaRPr lang="LID4096" sz="20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158846</xdr:colOff>
      <xdr:row>2</xdr:row>
      <xdr:rowOff>91745</xdr:rowOff>
    </xdr:from>
    <xdr:to>
      <xdr:col>26</xdr:col>
      <xdr:colOff>90769</xdr:colOff>
      <xdr:row>13</xdr:row>
      <xdr:rowOff>76426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7F0CD99-120D-496D-809E-5943D545AE54}"/>
            </a:ext>
          </a:extLst>
        </xdr:cNvPr>
        <xdr:cNvGrpSpPr/>
      </xdr:nvGrpSpPr>
      <xdr:grpSpPr>
        <a:xfrm>
          <a:off x="9224405" y="495157"/>
          <a:ext cx="8078599" cy="2674093"/>
          <a:chOff x="15817663" y="5109875"/>
          <a:chExt cx="8615238" cy="3335252"/>
        </a:xfrm>
      </xdr:grpSpPr>
      <xdr:graphicFrame macro="">
        <xdr:nvGraphicFramePr>
          <xdr:cNvPr id="3" name="Chart 5">
            <a:extLst>
              <a:ext uri="{FF2B5EF4-FFF2-40B4-BE49-F238E27FC236}">
                <a16:creationId xmlns:a16="http://schemas.microsoft.com/office/drawing/2014/main" id="{E0F15FB8-448B-AD31-8349-B9BBA85C405D}"/>
              </a:ext>
            </a:extLst>
          </xdr:cNvPr>
          <xdr:cNvGraphicFramePr>
            <a:graphicFrameLocks/>
          </xdr:cNvGraphicFramePr>
        </xdr:nvGraphicFramePr>
        <xdr:xfrm>
          <a:off x="20485800" y="5109875"/>
          <a:ext cx="3947101" cy="3335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A65414C-5940-0426-3464-0B77E4EE1773}"/>
              </a:ext>
            </a:extLst>
          </xdr:cNvPr>
          <xdr:cNvGrpSpPr/>
        </xdr:nvGrpSpPr>
        <xdr:grpSpPr>
          <a:xfrm>
            <a:off x="15817663" y="5109882"/>
            <a:ext cx="4666691" cy="3333751"/>
            <a:chOff x="3457575" y="1490382"/>
            <a:chExt cx="5742454" cy="3064810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79AA4AD-5D7C-83D3-2B2F-0DCAA83BC13A}"/>
                </a:ext>
              </a:extLst>
            </xdr:cNvPr>
            <xdr:cNvGraphicFramePr>
              <a:graphicFrameLocks/>
            </xdr:cNvGraphicFramePr>
          </xdr:nvGraphicFramePr>
          <xdr:xfrm>
            <a:off x="3457575" y="1490382"/>
            <a:ext cx="5742454" cy="30648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6" name="Object 2">
                  <a:extLst>
                    <a:ext uri="{FF2B5EF4-FFF2-40B4-BE49-F238E27FC236}">
                      <a16:creationId xmlns:a16="http://schemas.microsoft.com/office/drawing/2014/main" id="{3B634875-94C5-8D3D-7B68-0B961276D0E2}"/>
                    </a:ext>
                  </a:extLst>
                </xdr:cNvPr>
                <xdr:cNvSpPr txBox="1"/>
              </xdr:nvSpPr>
              <xdr:spPr>
                <a:xfrm>
                  <a:off x="7434729" y="1560054"/>
                  <a:ext cx="1728069" cy="3364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square">
                  <a:sp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left"/>
                      </m:oMathParaPr>
                      <m:oMath xmlns:m="http://schemas.openxmlformats.org/officeDocument/2006/math"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𝜋</m:t>
                                </m:r>
                              </m:e>
                            </m:rad>
                          </m:den>
                        </m:f>
                        <m:sSup>
                          <m:sSupPr>
                            <m:ctrlP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sSup>
                              <m:sSupPr>
                                <m:ctrlP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p>
                                <m:r>
                                  <a:rPr lang="en-US" sz="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sup>
                        </m:sSup>
                        <m:r>
                          <a:rPr lang="pt-BR" sz="5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−∞≤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≤∞</m:t>
                        </m:r>
                      </m:oMath>
                    </m:oMathPara>
                  </a14:m>
                  <a:endParaRPr lang="en-US" sz="500"/>
                </a:p>
              </xdr:txBody>
            </xdr:sp>
          </mc:Choice>
          <mc:Fallback xmlns="">
            <xdr:sp macro="" textlink="">
              <xdr:nvSpPr>
                <xdr:cNvPr id="6" name="Object 2">
                  <a:extLst>
                    <a:ext uri="{FF2B5EF4-FFF2-40B4-BE49-F238E27FC236}">
                      <a16:creationId xmlns:a16="http://schemas.microsoft.com/office/drawing/2014/main" id="{3B634875-94C5-8D3D-7B68-0B961276D0E2}"/>
                    </a:ext>
                  </a:extLst>
                </xdr:cNvPr>
                <xdr:cNvSpPr txBox="1"/>
              </xdr:nvSpPr>
              <xdr:spPr>
                <a:xfrm>
                  <a:off x="7434729" y="1560054"/>
                  <a:ext cx="1728069" cy="3364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horzOverflow="clip" wrap="square">
                  <a:spAutoFit/>
                </a:bodyPr>
                <a:lstStyle/>
                <a:p>
                  <a:pPr/>
                  <a:r>
                    <a:rPr lang="en-US" sz="5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𝑝(𝑥)=1/√2𝜋 𝑒^(−1/2 𝑥^2 )</a:t>
                  </a:r>
                  <a:r>
                    <a:rPr lang="pt-BR" sz="500" b="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  </a:t>
                  </a:r>
                  <a:r>
                    <a:rPr lang="en-US" sz="500" i="0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a:t>−∞≤𝑥≤∞</a:t>
                  </a:r>
                  <a:endParaRPr lang="en-US" sz="500"/>
                </a:p>
              </xdr:txBody>
            </xdr:sp>
          </mc:Fallback>
        </mc:AlternateContent>
      </xdr:grpSp>
    </xdr:grpSp>
    <xdr:clientData/>
  </xdr:twoCellAnchor>
  <xdr:twoCellAnchor>
    <xdr:from>
      <xdr:col>14</xdr:col>
      <xdr:colOff>201708</xdr:colOff>
      <xdr:row>15</xdr:row>
      <xdr:rowOff>0</xdr:rowOff>
    </xdr:from>
    <xdr:to>
      <xdr:col>20</xdr:col>
      <xdr:colOff>95250</xdr:colOff>
      <xdr:row>30</xdr:row>
      <xdr:rowOff>145677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30C993-D57D-4380-B704-A03C55C4D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1004</xdr:row>
      <xdr:rowOff>0</xdr:rowOff>
    </xdr:from>
    <xdr:to>
      <xdr:col>6</xdr:col>
      <xdr:colOff>0</xdr:colOff>
      <xdr:row>1007</xdr:row>
      <xdr:rowOff>190500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CB546BC6-84AF-453F-96B6-E241D98A2714}"/>
            </a:ext>
          </a:extLst>
        </xdr:cNvPr>
        <xdr:cNvGrpSpPr/>
      </xdr:nvGrpSpPr>
      <xdr:grpSpPr>
        <a:xfrm>
          <a:off x="3776382" y="6454588"/>
          <a:ext cx="0" cy="1120588"/>
          <a:chOff x="10751344" y="7429501"/>
          <a:chExt cx="1369218" cy="1166811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2" name="Object 1">
                <a:extLst>
                  <a:ext uri="{FF2B5EF4-FFF2-40B4-BE49-F238E27FC236}">
                    <a16:creationId xmlns:a16="http://schemas.microsoft.com/office/drawing/2014/main" id="{EF859359-80F5-CBAC-EFF1-CD8B588D263F}"/>
                  </a:ext>
                </a:extLst>
              </xdr:cNvPr>
              <xdr:cNvSpPr txBox="1"/>
            </xdr:nvSpPr>
            <xdr:spPr>
              <a:xfrm>
                <a:off x="10810877" y="7429501"/>
                <a:ext cx="1297779" cy="59531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E</a:t>
                </a:r>
                <a14:m>
                  <m:oMath xmlns:m="http://schemas.openxmlformats.org/officeDocument/2006/math">
                    <m:r>
                      <a:rPr lang="LID4096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f>
                          <m:fPr>
                            <m:type m:val="skw"/>
                            <m:ctrlPr>
                              <a:rPr lang="pt-BR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20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num>
                          <m:den>
                            <m:r>
                              <a:rPr lang="pt-BR" sz="2000" b="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sub>
                    </m:sSub>
                    <m:f>
                      <m:fPr>
                        <m:ctrlPr>
                          <a:rPr lang="pt-BR" sz="20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20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pt-BR" sz="20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pt-BR" sz="2000" b="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a14:m>
                <a:r>
                  <a:rPr lang="pt-BR" sz="2000"/>
                  <a:t>  </a:t>
                </a:r>
                <a:endParaRPr lang="LID4096" sz="2000"/>
              </a:p>
            </xdr:txBody>
          </xdr:sp>
        </mc:Choice>
        <mc:Fallback xmlns="">
          <xdr:sp macro="" textlink="">
            <xdr:nvSpPr>
              <xdr:cNvPr id="12" name="Object 1">
                <a:extLst>
                  <a:ext uri="{FF2B5EF4-FFF2-40B4-BE49-F238E27FC236}">
                    <a16:creationId xmlns:a16="http://schemas.microsoft.com/office/drawing/2014/main" id="{EF859359-80F5-CBAC-EFF1-CD8B588D263F}"/>
                  </a:ext>
                </a:extLst>
              </xdr:cNvPr>
              <xdr:cNvSpPr txBox="1"/>
            </xdr:nvSpPr>
            <xdr:spPr>
              <a:xfrm>
                <a:off x="10810877" y="7429501"/>
                <a:ext cx="1297779" cy="59531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r>
                  <a:rPr lang="pt-BR" sz="2000">
                    <a:solidFill>
                      <a:srgbClr val="000000"/>
                    </a:solidFill>
                  </a:rPr>
                  <a:t>E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𝑍_(</a:t>
                </a:r>
                <a:r>
                  <a:rPr lang="pt-BR" sz="2000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𝛼⁄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2)</a:t>
                </a:r>
                <a:r>
                  <a:rPr lang="pt-BR" sz="2000" b="0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</a:t>
                </a:r>
                <a:r>
                  <a:rPr lang="pt-BR" sz="200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 𝜎/√</a:t>
                </a:r>
                <a:r>
                  <a:rPr lang="pt-BR" sz="2000" b="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𝑛</a:t>
                </a:r>
                <a:r>
                  <a:rPr lang="pt-BR" sz="2000"/>
                  <a:t>  </a:t>
                </a:r>
                <a:endParaRPr lang="LID4096" sz="20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3" name="Object 1">
                <a:extLst>
                  <a:ext uri="{FF2B5EF4-FFF2-40B4-BE49-F238E27FC236}">
                    <a16:creationId xmlns:a16="http://schemas.microsoft.com/office/drawing/2014/main" id="{874CC11D-6AF9-1D63-50F5-88EC2467E717}"/>
                  </a:ext>
                </a:extLst>
              </xdr:cNvPr>
              <xdr:cNvSpPr txBox="1"/>
            </xdr:nvSpPr>
            <xdr:spPr>
              <a:xfrm>
                <a:off x="10751344" y="8072437"/>
                <a:ext cx="1369218" cy="523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m:rPr>
                          <m:sty m:val="p"/>
                        </m:rP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IN</m:t>
                      </m:r>
                      <m:r>
                        <a:rPr lang="LID4096" sz="200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acc>
                        <m:accPr>
                          <m:chr m:val="̅"/>
                          <m:ctrlPr>
                            <a:rPr lang="pt-BR" sz="20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m:rPr>
                              <m:sty m:val="p"/>
                            </m:rPr>
                            <a:rPr lang="pt-BR" sz="2000" b="0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x</m:t>
                          </m:r>
                        </m:e>
                      </m:acc>
                      <m:r>
                        <a:rPr lang="pt-BR" sz="200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±</m:t>
                      </m:r>
                      <m:r>
                        <m:rPr>
                          <m:sty m:val="p"/>
                        </m:rPr>
                        <a:rPr lang="pt-BR" sz="2000" b="0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E</m:t>
                      </m:r>
                    </m:oMath>
                  </m:oMathPara>
                </a14:m>
                <a:endParaRPr lang="LID4096" sz="2000" i="0"/>
              </a:p>
            </xdr:txBody>
          </xdr:sp>
        </mc:Choice>
        <mc:Fallback xmlns="">
          <xdr:sp macro="" textlink="">
            <xdr:nvSpPr>
              <xdr:cNvPr id="13" name="Object 1">
                <a:extLst>
                  <a:ext uri="{FF2B5EF4-FFF2-40B4-BE49-F238E27FC236}">
                    <a16:creationId xmlns:a16="http://schemas.microsoft.com/office/drawing/2014/main" id="{874CC11D-6AF9-1D63-50F5-88EC2467E717}"/>
                  </a:ext>
                </a:extLst>
              </xdr:cNvPr>
              <xdr:cNvSpPr txBox="1"/>
            </xdr:nvSpPr>
            <xdr:spPr>
              <a:xfrm>
                <a:off x="10751344" y="8072437"/>
                <a:ext cx="1369218" cy="523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horzOverflow="clip" wrap="none">
                <a:noAutofit/>
              </a:bodyPr>
              <a:lstStyle/>
              <a:p>
                <a:pPr/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IN</a:t>
                </a:r>
                <a:r>
                  <a:rPr lang="LID4096" sz="20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x ̅</a:t>
                </a:r>
                <a:r>
                  <a:rPr lang="pt-BR" sz="2000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±</a:t>
                </a:r>
                <a:r>
                  <a:rPr lang="pt-BR" sz="2000" b="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E</a:t>
                </a:r>
                <a:endParaRPr lang="LID4096" sz="2000" i="0"/>
              </a:p>
            </xdr:txBody>
          </xdr:sp>
        </mc:Fallback>
      </mc:AlternateContent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est\S\B001.xlsx" TargetMode="External"/><Relationship Id="rId1" Type="http://schemas.openxmlformats.org/officeDocument/2006/relationships/externalLinkPath" Target="file:///C:\pest\S\B0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_Docs\2021\probReview_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st\S\B00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st\S\B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"/>
      <sheetName val="C157"/>
      <sheetName val="C_"/>
      <sheetName val="A2G"/>
      <sheetName val="A22G"/>
      <sheetName val="A3R"/>
      <sheetName val=".."/>
      <sheetName val="Z"/>
      <sheetName val="N"/>
      <sheetName val="11"/>
      <sheetName val="71"/>
      <sheetName val="12"/>
      <sheetName val="13"/>
      <sheetName val="14"/>
      <sheetName val="74"/>
      <sheetName val="75"/>
      <sheetName val="Qa"/>
      <sheetName val="Qchd"/>
      <sheetName val="p55"/>
      <sheetName val="p56"/>
      <sheetName val="p57"/>
      <sheetName val="p59"/>
      <sheetName val="p60"/>
      <sheetName val="P2"/>
      <sheetName val="q50"/>
      <sheetName val="q51"/>
      <sheetName val="q52"/>
      <sheetName val="q53"/>
      <sheetName val="q54"/>
      <sheetName val="K"/>
      <sheetName val="P1"/>
      <sheetName val="....."/>
      <sheetName val="C"/>
      <sheetName val="PAR"/>
      <sheetName val="Ctrl"/>
      <sheetName val="OBS"/>
      <sheetName val="MB"/>
      <sheetName val="#REF"/>
      <sheetName val="B001"/>
      <sheetName val="c75"/>
      <sheetName val="40"/>
      <sheetName val="41"/>
      <sheetName val="42"/>
      <sheetName val="43"/>
      <sheetName val="44"/>
      <sheetName val="rec"/>
      <sheetName val="r46"/>
      <sheetName val="r49"/>
      <sheetName val="r71"/>
      <sheetName val="g74"/>
      <sheetName val="a1"/>
      <sheetName val="a2"/>
      <sheetName val="a3"/>
      <sheetName val="a5"/>
      <sheetName val="In"/>
      <sheetName val="H_F"/>
      <sheetName val="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>
        <row r="5">
          <cell r="B5">
            <v>0</v>
          </cell>
        </row>
      </sheetData>
      <sheetData sheetId="40">
        <row r="3">
          <cell r="K3" t="str">
            <v>MED.par.bpa.IN</v>
          </cell>
        </row>
      </sheetData>
      <sheetData sheetId="41"/>
      <sheetData sheetId="42"/>
      <sheetData sheetId="43"/>
      <sheetData sheetId="44">
        <row r="1014">
          <cell r="BF1014" t="str">
            <v>MED.par.bpa.IN</v>
          </cell>
        </row>
      </sheetData>
      <sheetData sheetId="45" refreshError="1"/>
      <sheetData sheetId="46" refreshError="1"/>
      <sheetData sheetId="47" refreshError="1"/>
      <sheetData sheetId="48">
        <row r="3">
          <cell r="K3" t="str">
            <v>MOD 3 Fixo</v>
          </cell>
        </row>
      </sheetData>
      <sheetData sheetId="49">
        <row r="5">
          <cell r="F5">
            <v>0</v>
          </cell>
        </row>
      </sheetData>
      <sheetData sheetId="50"/>
      <sheetData sheetId="51"/>
      <sheetData sheetId="52"/>
      <sheetData sheetId="53" refreshError="1"/>
      <sheetData sheetId="54">
        <row r="9">
          <cell r="AA9">
            <v>1.0009999999999999</v>
          </cell>
        </row>
      </sheetData>
      <sheetData sheetId="55"/>
      <sheetData sheetId="5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rete distribution"/>
      <sheetName val="VaR"/>
      <sheetName val="portfolio"/>
      <sheetName val="bivariate pdf"/>
      <sheetName val="log-Normal distribution"/>
      <sheetName val="Normal distribution"/>
    </sheetNames>
    <sheetDataSet>
      <sheetData sheetId="0">
        <row r="4">
          <cell r="C4">
            <v>0.05</v>
          </cell>
        </row>
        <row r="5">
          <cell r="C5">
            <v>0.2</v>
          </cell>
        </row>
        <row r="6">
          <cell r="C6">
            <v>0.4</v>
          </cell>
        </row>
        <row r="7">
          <cell r="C7">
            <v>0.3</v>
          </cell>
        </row>
        <row r="8">
          <cell r="C8">
            <v>0.05</v>
          </cell>
        </row>
        <row r="30">
          <cell r="B30">
            <v>0.11000000000000001</v>
          </cell>
        </row>
        <row r="31">
          <cell r="B31">
            <v>2.0900000000000002E-2</v>
          </cell>
        </row>
        <row r="32">
          <cell r="B32">
            <v>0.14456832294800961</v>
          </cell>
        </row>
      </sheetData>
      <sheetData sheetId="1"/>
      <sheetData sheetId="2">
        <row r="3">
          <cell r="C3">
            <v>0.05</v>
          </cell>
          <cell r="D3">
            <v>1.0000000000000002E-2</v>
          </cell>
          <cell r="F3">
            <v>0</v>
          </cell>
        </row>
        <row r="4">
          <cell r="C4">
            <v>0.1</v>
          </cell>
          <cell r="D4">
            <v>4.0000000000000008E-2</v>
          </cell>
        </row>
        <row r="9">
          <cell r="C9">
            <v>0.5</v>
          </cell>
        </row>
        <row r="10">
          <cell r="C10">
            <v>0.5</v>
          </cell>
        </row>
      </sheetData>
      <sheetData sheetId="3"/>
      <sheetData sheetId="4"/>
      <sheetData sheetId="5">
        <row r="8">
          <cell r="B8">
            <v>1</v>
          </cell>
          <cell r="C8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 (2)"/>
      <sheetName val="Z"/>
      <sheetName val="."/>
      <sheetName val=".."/>
      <sheetName val="M"/>
      <sheetName val="N"/>
      <sheetName val="C2"/>
      <sheetName val="11"/>
      <sheetName val="12"/>
      <sheetName val="13"/>
      <sheetName val="14"/>
      <sheetName val="c75"/>
      <sheetName val="74"/>
      <sheetName val="71"/>
      <sheetName val="Qa"/>
      <sheetName val="Qchd"/>
      <sheetName val="p46"/>
      <sheetName val="p49"/>
      <sheetName val="p45r"/>
      <sheetName val="P2"/>
      <sheetName val="q50"/>
      <sheetName val="q51"/>
      <sheetName val="q52"/>
      <sheetName val="q53"/>
      <sheetName val="q54"/>
      <sheetName val="K"/>
      <sheetName val="P1"/>
      <sheetName val="....."/>
      <sheetName val="PAR"/>
      <sheetName val="Ctrl"/>
      <sheetName val="OBS"/>
      <sheetName val="MB"/>
      <sheetName val="B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I1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64">
          <cell r="L64">
            <v>128.78597430870846</v>
          </cell>
          <cell r="M64">
            <v>8.454770724114411</v>
          </cell>
          <cell r="N64" t="b">
            <v>0</v>
          </cell>
          <cell r="O64">
            <v>30.808504676826875</v>
          </cell>
          <cell r="P64" t="b">
            <v>0</v>
          </cell>
          <cell r="Q64">
            <v>2756.6927383045631</v>
          </cell>
        </row>
        <row r="65">
          <cell r="L65">
            <v>0.62108989937609294</v>
          </cell>
          <cell r="M65">
            <v>0.85</v>
          </cell>
          <cell r="N65" t="b">
            <v>0</v>
          </cell>
          <cell r="O65">
            <v>0.24263600583118392</v>
          </cell>
          <cell r="P65" t="b">
            <v>0</v>
          </cell>
          <cell r="Q65">
            <v>7.759101623623739E-2</v>
          </cell>
        </row>
        <row r="66">
          <cell r="L66">
            <v>4.7872303514735588</v>
          </cell>
          <cell r="M66">
            <v>872.15651626577801</v>
          </cell>
          <cell r="N66" t="b">
            <v>0</v>
          </cell>
          <cell r="O66">
            <v>1348.2894857229708</v>
          </cell>
          <cell r="P66" t="b">
            <v>0</v>
          </cell>
          <cell r="Q66">
            <v>2325.4639326065089</v>
          </cell>
        </row>
        <row r="96">
          <cell r="O96">
            <v>1</v>
          </cell>
        </row>
      </sheetData>
      <sheetData sheetId="30"/>
      <sheetData sheetId="3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  <sheetName val="S"/>
      <sheetName val=".."/>
      <sheetName val="M"/>
      <sheetName val="a1"/>
      <sheetName val="a2"/>
      <sheetName val="a3"/>
      <sheetName val="a4"/>
      <sheetName val="r71"/>
      <sheetName val="g74"/>
      <sheetName val="c75"/>
      <sheetName val="r46"/>
      <sheetName val="g49"/>
      <sheetName val="re.45"/>
      <sheetName val="40"/>
      <sheetName val="41"/>
      <sheetName val="42"/>
      <sheetName val="43"/>
      <sheetName val="44"/>
      <sheetName val="K"/>
      <sheetName val="CHD"/>
      <sheetName val="Ka"/>
      <sheetName val="."/>
      <sheetName val="T"/>
      <sheetName val="In"/>
      <sheetName val="C"/>
      <sheetName val="H_F"/>
      <sheetName val="All"/>
      <sheetName val="MB"/>
      <sheetName val="B000"/>
      <sheetName val="a5"/>
      <sheetName val="71"/>
      <sheetName val="76"/>
      <sheetName val="CHD."/>
      <sheetName val="79"/>
      <sheetName val="Rec"/>
      <sheetName val="Riv.p"/>
      <sheetName val="GHB"/>
      <sheetName val="QA"/>
    </sheetNames>
    <sheetDataSet>
      <sheetData sheetId="0"/>
      <sheetData sheetId="1"/>
      <sheetData sheetId="2"/>
      <sheetData sheetId="3">
        <row r="2">
          <cell r="D2">
            <v>1</v>
          </cell>
        </row>
      </sheetData>
      <sheetData sheetId="4">
        <row r="1">
          <cell r="AZ1">
            <v>0</v>
          </cell>
        </row>
      </sheetData>
      <sheetData sheetId="5">
        <row r="1">
          <cell r="AZ1">
            <v>0</v>
          </cell>
        </row>
      </sheetData>
      <sheetData sheetId="6">
        <row r="1">
          <cell r="AZ1">
            <v>0</v>
          </cell>
        </row>
      </sheetData>
      <sheetData sheetId="7">
        <row r="1">
          <cell r="AZ1">
            <v>0</v>
          </cell>
        </row>
      </sheetData>
      <sheetData sheetId="8" refreshError="1"/>
      <sheetData sheetId="9" refreshError="1"/>
      <sheetData sheetId="10" refreshError="1"/>
      <sheetData sheetId="11" refreshError="1">
        <row r="1">
          <cell r="BM1">
            <v>-2.0990294281389428</v>
          </cell>
          <cell r="BN1">
            <v>-2.4699487698586782</v>
          </cell>
          <cell r="BO1" t="e">
            <v>#REF!</v>
          </cell>
          <cell r="BP1" t="e">
            <v>#REF!</v>
          </cell>
          <cell r="BQ1" t="e">
            <v>#REF!</v>
          </cell>
        </row>
        <row r="2">
          <cell r="BM2">
            <v>1.3443770410355054</v>
          </cell>
          <cell r="BN2">
            <v>2.5179258256623624</v>
          </cell>
          <cell r="BO2" t="e">
            <v>#REF!</v>
          </cell>
          <cell r="BP2" t="e">
            <v>#REF!</v>
          </cell>
          <cell r="BQ2" t="e">
            <v>#REF!</v>
          </cell>
        </row>
      </sheetData>
      <sheetData sheetId="12" refreshError="1"/>
      <sheetData sheetId="13" refreshError="1"/>
      <sheetData sheetId="14">
        <row r="2">
          <cell r="C2">
            <v>1</v>
          </cell>
        </row>
      </sheetData>
      <sheetData sheetId="15"/>
      <sheetData sheetId="16"/>
      <sheetData sheetId="17"/>
      <sheetData sheetId="18">
        <row r="1019">
          <cell r="AY1019">
            <v>5.9945836500000021E-3</v>
          </cell>
        </row>
      </sheetData>
      <sheetData sheetId="19">
        <row r="21">
          <cell r="CG21" t="e">
            <v>#NUM!</v>
          </cell>
        </row>
      </sheetData>
      <sheetData sheetId="20">
        <row r="1">
          <cell r="J1">
            <v>524.04473492000011</v>
          </cell>
        </row>
      </sheetData>
      <sheetData sheetId="21">
        <row r="5">
          <cell r="B5">
            <v>0</v>
          </cell>
        </row>
      </sheetData>
      <sheetData sheetId="22"/>
      <sheetData sheetId="23">
        <row r="4">
          <cell r="AL4" t="str">
            <v>Rec</v>
          </cell>
        </row>
      </sheetData>
      <sheetData sheetId="24">
        <row r="9">
          <cell r="AC9">
            <v>1.0463469999999999</v>
          </cell>
        </row>
      </sheetData>
      <sheetData sheetId="25"/>
      <sheetData sheetId="26">
        <row r="5">
          <cell r="AJ5">
            <v>726.46</v>
          </cell>
        </row>
      </sheetData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937BA3-773B-4FF6-A6E5-FD983FC3ED34}" name="T." displayName="T." ref="H7:Y32" totalsRowShown="0" dataDxfId="186" headerRowCellStyle="Normal 2">
  <autoFilter ref="H7:Y32" xr:uid="{7BFFCEF5-24AF-4495-806B-D0E75825CB10}"/>
  <tableColumns count="18">
    <tableColumn id="7" xr3:uid="{92C05CEE-5DEB-4C4F-8589-17DE14DB36E9}" name="data" dataDxfId="185" dataCellStyle="Comma 2">
      <calculatedColumnFormula>#REF!</calculatedColumnFormula>
    </tableColumn>
    <tableColumn id="16" xr3:uid="{61C7C1A3-F902-4EEB-892E-DEF9D8CAF914}" name="Za" dataDxfId="184" dataCellStyle="Percent">
      <calculatedColumnFormula>(T.[[#This Row],[data]]-(AVERAGE(T.[data])))/(_xlfn.STDEV.P(T.[data]))</calculatedColumnFormula>
    </tableColumn>
    <tableColumn id="18" xr3:uid="{8D0B34D9-2B76-4D6B-9A32-DE4CA39C49B0}" name="Zb" dataDxfId="183" dataCellStyle="Percent">
      <calculatedColumnFormula>(T.[[#This Row],[data]]-(AVERAGE(T.[data])))/((_xlfn.STDEV.P(T.[data])*$J$37)+$I$37)</calculatedColumnFormula>
    </tableColumn>
    <tableColumn id="8" xr3:uid="{9AF1AD83-5291-42AE-9BEE-9900FF4C341F}" name="Ya" dataDxfId="182" dataCellStyle="Percent">
      <calculatedColumnFormula>_xlfn.NORM.S.DIST(T.[[#This Row],[Za]],IF($K$5=0,"TRUE","false"))</calculatedColumnFormula>
    </tableColumn>
    <tableColumn id="6" xr3:uid="{F834DAA2-0F89-4054-99F9-1BBD43E7F9E0}" name="Yb" dataDxfId="181" dataCellStyle="Percent">
      <calculatedColumnFormula>_xlfn.NORM.S.DIST(T.[[#This Row],[Zb]],IF($L$5=0,"TRUE","false"))</calculatedColumnFormula>
    </tableColumn>
    <tableColumn id="1" xr3:uid="{01405783-27FF-47B6-99CD-C986B39D6F9D}" name="PrC" dataDxfId="180" dataCellStyle="Percent">
      <calculatedColumnFormula>1/SQRT(2*PI()*$R$2^2)*EXP(-((T.[[#This Row],[Za]]-$Q$2)^2)/(2*$R$2^2))</calculatedColumnFormula>
    </tableColumn>
    <tableColumn id="11" xr3:uid="{8BED7112-52B7-48EC-A287-55A95EDA0229}" name="E" dataDxfId="179" dataCellStyle="Percent">
      <calculatedColumnFormula>ABS((ABS(T.[[#This Row],[Za]])+$N$5)*$I$2/SQRT($J$2))</calculatedColumnFormula>
    </tableColumn>
    <tableColumn id="12" xr3:uid="{DEAB8617-AE08-4133-AA19-82950D05396C}" name="E2" dataDxfId="178" dataCellStyle="Percent">
      <calculatedColumnFormula>_xlfn.CONFIDENCE.NORM(ABS(T.[[#This Row],[Za]])+$N$5,$I$2,$J$2)</calculatedColumnFormula>
    </tableColumn>
    <tableColumn id="13" xr3:uid="{E7D46B2C-820B-4A33-B6E5-EB247FA1EAD1}" name="IN" dataDxfId="177" dataCellStyle="Percent">
      <calculatedColumnFormula>$H$2+((ABS(T.[[#This Row],[Za]])+$N$5)*$I$2/SQRT($J$2))</calculatedColumnFormula>
    </tableColumn>
    <tableColumn id="15" xr3:uid="{122A0564-56F7-4EF8-BC2E-F894CD10552F}" name="PrA" dataDxfId="176" dataCellStyle="Percent">
      <calculatedColumnFormula>NORMDIST(T.[[#This Row],[Za]],$Q$2,$R$2,FALSE)</calculatedColumnFormula>
    </tableColumn>
    <tableColumn id="3" xr3:uid="{56510FD8-5E75-4F14-A0C0-72AF1DEC51A8}" name="PrB_C" dataDxfId="175" dataCellStyle="Percent">
      <calculatedColumnFormula>NORMDIST(T.[[#This Row],[Zb]],$W$2,$X$2,FALSE)</calculatedColumnFormula>
    </tableColumn>
    <tableColumn id="9" xr3:uid="{5AC59E32-F628-4A85-80BB-F0286AC4F6AA}" name="PrC2" dataDxfId="174" dataCellStyle="Percent">
      <calculatedColumnFormula>NORMDIST(T.[[#This Row],[Zb]],AVERAGE(T.[Zb]),_xlfn.STDEV.P(T.[Zb]),FALSE)</calculatedColumnFormula>
    </tableColumn>
    <tableColumn id="17" xr3:uid="{FA23947C-8766-4C25-B94E-EE1E32A2B2F6}" name="SrC" dataDxfId="173" dataCellStyle="Percent">
      <calculatedColumnFormula>NORMDIST(I8,$Q$2,$R$2,$T$5)</calculatedColumnFormula>
    </tableColumn>
    <tableColumn id="14" xr3:uid="{94D4EDD5-39D3-4A0B-AAE0-0C3BB8748DD6}" name="SrA" dataDxfId="172" dataCellStyle="Percent">
      <calculatedColumnFormula>NORMSDIST(T.[[#This Row],[Za]])</calculatedColumnFormula>
    </tableColumn>
    <tableColumn id="4" xr3:uid="{7F7523A2-ED14-4952-8776-E970E421DA61}" name="SrB" dataDxfId="171" dataCellStyle="Percent">
      <calculatedColumnFormula>NORMSDIST(T.[[#This Row],[Zb]])</calculatedColumnFormula>
    </tableColumn>
    <tableColumn id="5" xr3:uid="{18FE7C32-ACF5-4721-A29D-667EB7B78507}" name="Xa" dataDxfId="170" dataCellStyle="Normal 2">
      <calculatedColumnFormula>($H$2)+T.[[#This Row],[Za]]*($I$2)</calculatedColumnFormula>
    </tableColumn>
    <tableColumn id="19" xr3:uid="{BA43B545-D87D-4EEC-B9A1-74F7A51EE0C5}" name="Xb" dataDxfId="169" dataCellStyle="Normal 2">
      <calculatedColumnFormula>($H$2)+T.[[#This Row],[Zb]]*($I$2)</calculatedColumnFormula>
    </tableColumn>
    <tableColumn id="10" xr3:uid="{ED3E14AD-E9ED-4CA8-AD60-D188331EC01A}" name="Xc" dataDxfId="168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2FB878-A649-49C6-9FF1-91BF2BF09D1E}" name="Tab.11" displayName="Tab.11" ref="A4:AK984" totalsRowShown="0" tableBorderDxfId="167">
  <autoFilter ref="A4:AK984" xr:uid="{DD2593DE-49DD-4C27-8643-A6C660435AEE}">
    <filterColumn colId="0">
      <filters>
        <filter val="1"/>
      </filters>
    </filterColumn>
  </autoFilter>
  <tableColumns count="37">
    <tableColumn id="43" xr3:uid="{A644A759-84DD-42AE-BB3A-8A7D32826CA8}" name="a1" dataDxfId="166" dataCellStyle="Normal 2">
      <calculatedColumnFormula>AM5</calculatedColumnFormula>
    </tableColumn>
    <tableColumn id="14" xr3:uid="{D6DA58BC-A9E4-44FE-9CF4-F82B2C6C643C}" name="u2" dataDxfId="165" dataCellStyle="Percent">
      <calculatedColumnFormula>AN5</calculatedColumnFormula>
    </tableColumn>
    <tableColumn id="5" xr3:uid="{288ED4B3-257C-420F-8004-BA8F521F04C3}" name="u3" dataDxfId="164" dataCellStyle="Percent">
      <calculatedColumnFormula>IF(Tab.11[[#This Row],[a1]]=1,[3]!Tab_x1[[#This Row],[Name]])</calculatedColumnFormula>
    </tableColumn>
    <tableColumn id="47" xr3:uid="{1FD8B4AC-66BC-480A-AD95-C1F5E710BFD3}" name="b1" dataDxfId="163" dataCellStyle="Comma 2">
      <calculatedColumnFormula>IF(Tab.11[[#This Row],[a1]]=1,AO5)</calculatedColumnFormula>
    </tableColumn>
    <tableColumn id="77" xr3:uid="{647848AC-41CF-44DC-A282-6F5AD74D92E7}" name="Modelled Fixo" dataDxfId="162" dataCellStyle="Comma 2">
      <calculatedColumnFormula>AM5</calculatedColumnFormula>
    </tableColumn>
    <tableColumn id="7" xr3:uid="{7D7E2F2B-8DB0-461E-A53A-653CC3B3D663}" name="b3" dataDxfId="161" dataCellStyle="Comma 2">
      <calculatedColumnFormula>IF(Tab.11[[#This Row],[a1]]=1,Tab.11[[#This Row],[b1]])</calculatedColumnFormula>
    </tableColumn>
    <tableColumn id="1" xr3:uid="{72481D73-3683-4D21-9571-7C5BBD6F425E}" name="b32" dataDxfId="160" dataCellStyle="Comma 2">
      <calculatedColumnFormula>IF(Tab.11[[#This Row],[a1]]=1,IF(Tab.11[[#This Row],[b3]]&gt;$L$989*$G$3,$L$989*$G$3,IF(Tab.11[[#This Row],[b3]]&lt;$M$989*$G$3,$M$989*$G$3,Tab.11[[#This Row],[b3]])))</calculatedColumnFormula>
    </tableColumn>
    <tableColumn id="80" xr3:uid="{61FD3D6E-8067-4529-AA1E-C3E41ADA7B61}" name="b4" dataDxfId="159" dataCellStyle="Normal 2">
      <calculatedColumnFormula>IF(Tab.11[[#This Row],[a1]]=1,Tab.11[[#This Row],[b1]])</calculatedColumnFormula>
    </tableColumn>
    <tableColumn id="29" xr3:uid="{8521AB18-F586-4138-9C37-FED1756461B0}" name="b5" dataDxfId="158" dataCellStyle="Comma 2">
      <calculatedColumnFormula>IF(Tab.11[[#This Row],[a1]]=1,Tab.11[[#This Row],[b1]])</calculatedColumnFormula>
    </tableColumn>
    <tableColumn id="99" xr3:uid="{D26E0AE6-949F-42F6-9A05-40931A13AC25}" name="b6" dataDxfId="157" dataCellStyle="Normal 2">
      <calculatedColumnFormula>IF(Tab.11[[#This Row],[a1]]=1,IF($I$3&lt;0,Tab.11[[#This Row],[b5]]-$I$3,Tab.11[[#This Row],[b5]]))</calculatedColumnFormula>
    </tableColumn>
    <tableColumn id="91" xr3:uid="{F7D671EE-2E89-4EAD-8F16-B16BFC002823}" name="data" dataDxfId="156" dataCellStyle="Normal 2">
      <calculatedColumnFormula>IF(Tab.11[[#This Row],[a1]]=1,IF($K$3=0,Tab.11[b6],Tab.11[[#This Row],[b6]]-AVERAGE(Tab.11[b6])))</calculatedColumnFormula>
    </tableColumn>
    <tableColumn id="31" xr3:uid="{78EA6304-EC55-47BF-BDFE-8FA9F460A129}" name="b8" dataDxfId="155" dataCellStyle="Percent">
      <calculatedColumnFormula>IF(Tab.11[[#This Row],[a1]]=1,Tab.11[[#This Row],[data]]/(_xlfn.STDEV.P(Tab.11[data])*$B$989)+$A$989)</calculatedColumnFormula>
    </tableColumn>
    <tableColumn id="33" xr3:uid="{F920E8C7-9FEB-4FE6-B895-5DD5AE38EC72}" name="b9" dataDxfId="154" dataCellStyle="Percent">
      <calculatedColumnFormula>IF(Tab.11[[#This Row],[a1]]=1,Tab.11[[#This Row],[data]]/(_xlfn.STDEV.P(Tab.11[data])*$B$987)-$A$987)</calculatedColumnFormula>
    </tableColumn>
    <tableColumn id="83" xr3:uid="{9879331D-B3D8-4308-8B69-20D07F51F591}" name="b10" dataDxfId="153" dataCellStyle="Percent">
      <calculatedColumnFormula>IF(Tab.11[[#This Row],[a1]]=1,Tab.11[[#This Row],[data]]/(_xlfn.STDEV.P(Tab.11[data])*$B$988)+$A$988)</calculatedColumnFormula>
    </tableColumn>
    <tableColumn id="6" xr3:uid="{4A98D34D-1BDC-4301-8BFE-03D9DF1E5D8A}" name="b11" dataDxfId="152" dataCellStyle="Percent">
      <calculatedColumnFormula>IF(Tab.11[[#This Row],[a1]]=1,_xlfn.NORM.DIST(Tab.11[[#This Row],[b8]],$P$1,$Q$1,FALSE))</calculatedColumnFormula>
    </tableColumn>
    <tableColumn id="85" xr3:uid="{EDD58B83-7F08-4CA9-AFA5-31D2508C0EDC}" name="b12" dataDxfId="151" dataCellStyle="Percent">
      <calculatedColumnFormula>IF(Tab.11[[#This Row],[a1]]=1,_xlfn.NORM.DIST(Tab.11[[#This Row],[b9]],$P$1,$Q$1,FALSE))</calculatedColumnFormula>
    </tableColumn>
    <tableColumn id="89" xr3:uid="{457E26EA-1849-4C99-AA92-A775663620C4}" name="b13" dataDxfId="150" dataCellStyle="Percent">
      <calculatedColumnFormula>IF(Tab.11[[#This Row],[a1]]=1,_xlfn.NORM.DIST(Tab.11[[#This Row],[b10]],$P$1,$Q$1,FALSE))</calculatedColumnFormula>
    </tableColumn>
    <tableColumn id="30" xr3:uid="{A6486C0F-8819-4B5E-BB08-CBAB54117490}" name="target" dataDxfId="149" dataCellStyle="Comma 2">
      <calculatedColumnFormula>IF(Tab.11[[#This Row],[a1]]=1,$I$3+$A$989+IF($K$3=0,Tab.11[[#This Row],[b8]]*_xlfn.STDEV.P(Tab.11[data]),AVERAGE(Tab.11[b6])+Tab.11[[#This Row],[b8]]*_xlfn.STDEV.P(Tab.11[data])))</calculatedColumnFormula>
    </tableColumn>
    <tableColumn id="93" xr3:uid="{93277B30-0337-4324-AC53-6AA87092A59E}" name="Red" dataDxfId="148" dataCellStyle="Comma 2">
      <calculatedColumnFormula>IF(Tab.11[[#This Row],[a1]]=1,$I$3+$A$987+IF($K$3=0,Tab.11[[#This Row],[b9]]*_xlfn.STDEV.P(Tab.11[data]),AVERAGE(Tab.11[b6])+Tab.11[[#This Row],[b9]]*_xlfn.STDEV.P(Tab.11[data])))</calculatedColumnFormula>
    </tableColumn>
    <tableColumn id="96" xr3:uid="{143E0C62-A148-4E31-91C4-A2BBC886414B}" name="Blue" dataDxfId="147" dataCellStyle="Comma 2">
      <calculatedColumnFormula>IF(Tab.11[[#This Row],[a1]]=1,$I$3+$A$988+IF($K$3=0,Tab.11[[#This Row],[b10]]*_xlfn.STDEV.P(Tab.11[data]),AVERAGE(Tab.11[b6])+Tab.11[[#This Row],[b10]]*_xlfn.STDEV.P(Tab.11[data])))</calculatedColumnFormula>
    </tableColumn>
    <tableColumn id="100" xr3:uid="{D4E1C5CB-5652-49F1-BFE9-DABAC76B416A}" name="b17" dataDxfId="146" dataCellStyle="Percent">
      <calculatedColumnFormula>IF(Tab.11[[#This Row],[a1]]=1,Tab.11[[#This Row],[target]]-Tab.11[[#This Row],[Red]])</calculatedColumnFormula>
    </tableColumn>
    <tableColumn id="101" xr3:uid="{CE955AA4-04DF-4A28-B977-FBB6A38648F5}" name="b18" dataDxfId="145" dataCellStyle="Percent">
      <calculatedColumnFormula>IF(Tab.11[[#This Row],[a1]]=1,Tab.11[[#This Row],[target]]-Tab.11[[#This Row],[Blue]])</calculatedColumnFormula>
    </tableColumn>
    <tableColumn id="73" xr3:uid="{784589FC-FFD4-4E99-BA85-54C0C3647824}" name="IN" dataDxfId="144" dataCellStyle="Comma 2">
      <calculatedColumnFormula>IF(Tab.11[[#This Row],[a1]]=1,IF(ABS(Tab.11[[#This Row],[b17]])+ABS(Tab.11[[#This Row],[b18]])&lt;$W$2,$W$2,ABS(Tab.11[[#This Row],[b17]])+ABS(Tab.11[[#This Row],[b18]])))</calculatedColumnFormula>
    </tableColumn>
    <tableColumn id="10" xr3:uid="{6F3F0DE9-A47F-455D-B46E-183D0B969F5B}" name="b66" dataDxfId="143" dataCellStyle="Normal 2">
      <calculatedColumnFormula>IF(Tab.11[[#This Row],[a1]]=1,IF($W$3&lt;0,Tab.11[[#This Row],[IN]]-$I$3,Tab.11[[#This Row],[IN]]))</calculatedColumnFormula>
    </tableColumn>
    <tableColumn id="11" xr3:uid="{B5B7AC1E-23FD-4F6C-8A02-0D59A198D6CF}" name="b77" dataDxfId="142" dataCellStyle="Normal 2">
      <calculatedColumnFormula>IF(Tab.11[[#This Row],[a1]]=1,IF($X$3=0,Tab.11[b66],Tab.11[[#This Row],[b66]]-AVERAGE(Tab.11[b66])))</calculatedColumnFormula>
    </tableColumn>
    <tableColumn id="12" xr3:uid="{F6975B3C-BBC0-4B6F-8DD7-088A582C3C66}" name="b88" dataDxfId="141" dataCellStyle="Percent">
      <calculatedColumnFormula>IF(Tab.11[[#This Row],[a1]]=1,Tab.11[[#This Row],[b77]]/(_xlfn.STDEV.P(Tab.11[b77])))</calculatedColumnFormula>
    </tableColumn>
    <tableColumn id="13" xr3:uid="{723417AB-6B18-4F8C-BF1B-22BE25CE18A9}" name="b14" dataDxfId="140" dataCellStyle="Percent">
      <calculatedColumnFormula>IF(Tab.11[[#This Row],[a1]]=1,_xlfn.NORM.DIST(Tab.11[[#This Row],[b88]],$Z$1,$AA$1,FALSE))</calculatedColumnFormula>
    </tableColumn>
    <tableColumn id="54" xr3:uid="{62C58E6F-3AC3-4130-9759-1A5BED884F23}" name="φ1" dataDxfId="139" dataCellStyle="Percent">
      <calculatedColumnFormula>IF(Tab.11[[#This Row],[a1]]=1,IF($A$3=0,FALSE,1/Tab.11[[#This Row],[IN]]*$AC$2*IF(Tab.11[[#This Row],[a1]]=0,,$A$3*$AC$1*1/$V$3*(Tab.11[[#This Row],[b14]]))))</calculatedColumnFormula>
    </tableColumn>
    <tableColumn id="53" xr3:uid="{FB67FBE6-951C-41A5-A633-FE083E499241}" name="φ2" dataDxfId="138" dataCellStyle="Percent">
      <calculatedColumnFormula>IF(Tab.11[[#This Row],[a1]]=1,IF($AC$3=0,Tab.11[[#This Row],[φ1]],Tab.11[[#This Row],[φ1]]/MAX(Tab.11[φ1])))</calculatedColumnFormula>
    </tableColumn>
    <tableColumn id="66" xr3:uid="{DD851D53-6775-46D8-93BC-60D089EEA973}" name="w.0" dataDxfId="137" dataCellStyle="Percent">
      <calculatedColumnFormula>IF(Tab.11[[#This Row],[a1]]=1,1/Tab.11[[#This Row],[φ2]])</calculatedColumnFormula>
    </tableColumn>
    <tableColumn id="2" xr3:uid="{9D6BD820-2BE2-44C2-B058-07CB207FBB74}" name="w.1" dataDxfId="136" dataCellStyle="Percent">
      <calculatedColumnFormula>IF(Tab.11[[#This Row],[a1]]=1,IF($AE$3=0,Tab.11[[#This Row],[w.0]],Tab.11[[#This Row],[w.0]]/SUM(Tab.11[w.0])))</calculatedColumnFormula>
    </tableColumn>
    <tableColumn id="86" xr3:uid="{0DD3A2F8-1459-4B11-BDF4-4534A4CB703A}" name="SEM" dataDxfId="135" dataCellStyle="Percent">
      <calculatedColumnFormula>IF(Tab.11[[#This Row],[a1]]=0,"false",[3]!Tab.x5[[#This Row],[%_seN_C]])</calculatedColumnFormula>
    </tableColumn>
    <tableColumn id="84" xr3:uid="{866C872C-9E77-43C4-ADDC-07C9C8859E7E}" name="SEO" dataDxfId="134" dataCellStyle="Percent">
      <calculatedColumnFormula>IF(Tab.11[[#This Row],[a1]]=1,AP5)</calculatedColumnFormula>
    </tableColumn>
    <tableColumn id="51" xr3:uid="{DD376300-C6A3-4C16-AC76-F261C4532AEF}" name="Obj" dataDxfId="133" dataCellStyle="Percent">
      <calculatedColumnFormula>IF(Tab.11[[#This Row],[a1]]=1,AQ5)</calculatedColumnFormula>
    </tableColumn>
    <tableColumn id="3" xr3:uid="{4DCA92AA-CEFF-4BEC-AFA3-EF2CDE95E564}" name="T0" dataDxfId="132" dataCellStyle="Comma 2"/>
    <tableColumn id="4" xr3:uid="{29AD6357-E8E3-4194-951B-21F9091F9D80}" name="T1" dataDxfId="131" dataCellStyle="Percent"/>
    <tableColumn id="78" xr3:uid="{F294F4C6-E620-413B-B88C-14258A3259DE}" name="t2" dataDxfId="130" dataCellStyle="Comma 2">
      <calculatedColumnFormula>IF(Tab.11[[#This Row],[a1]]=1,1)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61EAA-8B22-4B3C-BE1C-4C38BD632EB7}" name="T._2" displayName="T._2" ref="B7:P32" totalsRowShown="0" headerRowDxfId="129" dataDxfId="128" headerRowCellStyle="Normal 2">
  <autoFilter ref="B7:P32" xr:uid="{7BFFCEF5-24AF-4495-806B-D0E75825CB10}"/>
  <tableColumns count="15">
    <tableColumn id="7" xr3:uid="{02C62351-F83E-4F6D-A242-44C9A9D1A023}" name="data" dataDxfId="127" dataCellStyle="Comma 2">
      <calculatedColumnFormula>#REF!</calculatedColumnFormula>
    </tableColumn>
    <tableColumn id="16" xr3:uid="{BF166707-5CBC-41BC-B6E6-F5B61467A278}" name="Za" dataDxfId="126" dataCellStyle="Percent">
      <calculatedColumnFormula>(T._2[[#This Row],[data]]-(AVERAGE(T._2[data])))/(_xlfn.STDEV.P(T._2[data]))</calculatedColumnFormula>
    </tableColumn>
    <tableColumn id="18" xr3:uid="{D82B57FF-2102-458F-A539-3556D453B104}" name="Zb" dataDxfId="125" dataCellStyle="Percent">
      <calculatedColumnFormula>(T._2[[#This Row],[data]]-(AVERAGE(T._2[data])))/((_xlfn.STDEV.P(T._2[data])*$D$37)+$C$37)</calculatedColumnFormula>
    </tableColumn>
    <tableColumn id="8" xr3:uid="{A0607ECC-F243-4C06-9F8B-656D98573236}" name="Ya" dataDxfId="124" dataCellStyle="Percent">
      <calculatedColumnFormula>_xlfn.NORM.S.DIST(T._2[[#This Row],[Za]],IF($E$5=0,"TRUE","false"))</calculatedColumnFormula>
    </tableColumn>
    <tableColumn id="6" xr3:uid="{68B79FEF-2150-471F-80F2-4682FC2FE166}" name="Yb" dataDxfId="123" dataCellStyle="Percent">
      <calculatedColumnFormula>_xlfn.NORM.S.DIST(T._2[[#This Row],[Zb]],IF($F$5=0,"TRUE","false"))</calculatedColumnFormula>
    </tableColumn>
    <tableColumn id="1" xr3:uid="{CFFF971B-5893-4060-A89B-57A82FD61CCA}" name="P_N" dataDxfId="122" dataCellStyle="Percent">
      <calculatedColumnFormula>1/SQRT(2*PI()*$I$2^2)*EXP(-((T._2[[#This Row],[Za]]-$H$2)^2)/(2*$I$2^2))</calculatedColumnFormula>
    </tableColumn>
    <tableColumn id="15" xr3:uid="{C0F8AE87-7D48-4580-9A44-0F3A62D4E3F8}" name="PA" dataDxfId="121" dataCellStyle="Percent">
      <calculatedColumnFormula>NORMDIST(T._2[[#This Row],[Za]],$H$2,$I$2,FALSE)</calculatedColumnFormula>
    </tableColumn>
    <tableColumn id="3" xr3:uid="{1481F629-68A6-421E-93F0-D719299F8867}" name="PB" dataDxfId="120" dataCellStyle="Percent">
      <calculatedColumnFormula>NORMDIST(T._2[[#This Row],[Zb]],$L$2,$M$2,FALSE)</calculatedColumnFormula>
    </tableColumn>
    <tableColumn id="14" xr3:uid="{D7BEF12A-640B-42A0-8233-9904FC0DAD36}" name="SA" dataDxfId="119" dataCellStyle="Percent">
      <calculatedColumnFormula>NORMSDIST(T._2[[#This Row],[Za]])</calculatedColumnFormula>
    </tableColumn>
    <tableColumn id="4" xr3:uid="{17149974-2B89-4509-A505-70A7A8FFB815}" name="SB" dataDxfId="118" dataCellStyle="Percent">
      <calculatedColumnFormula>NORMSDIST(T._2[[#This Row],[Zb]])</calculatedColumnFormula>
    </tableColumn>
    <tableColumn id="5" xr3:uid="{4A877A12-E35D-48BF-9E41-8553091AFBF3}" name="Xa" dataDxfId="117" dataCellStyle="Normal 2">
      <calculatedColumnFormula>($B$2)+T._2[[#This Row],[Za]]*($C$2)</calculatedColumnFormula>
    </tableColumn>
    <tableColumn id="19" xr3:uid="{601303BF-A25B-40B8-B7D0-E63BA8A14D70}" name="Xb" dataDxfId="116" dataCellStyle="Normal 2">
      <calculatedColumnFormula>$E$37+($B$2)+T._2[[#This Row],[Zb]]*($C$2)</calculatedColumnFormula>
    </tableColumn>
    <tableColumn id="10" xr3:uid="{67A84F40-E82B-4AE0-B927-0094B0F3DDE0}" name="Xc" dataDxfId="115" dataCellStyle="Normal 2">
      <calculatedColumnFormula>ABS(T._2[[#This Row],[Xb]]-T._2[[#This Row],[Xa]])*1/T._2[[#This Row],[PB]]</calculatedColumnFormula>
    </tableColumn>
    <tableColumn id="2" xr3:uid="{28F95F92-7B0E-494C-B710-7CE0DD30EC6D}" name="A" dataDxfId="114" dataCellStyle="Percent">
      <calculatedColumnFormula>IF($D$37=1,"",T._2[[#This Row],[Xc]]/MAX(T._2[Xc])*0.94+0.01)</calculatedColumnFormula>
    </tableColumn>
    <tableColumn id="20" xr3:uid="{117B78F2-2D1E-4527-9DFA-6DFA86340B82}" name="B" dataDxfId="113">
      <calculatedColumnFormula>IF($D$37=1,"",T._2[[#This Row],[Xc]]/MAX(T._2[Xc]))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0F2234-E277-4522-B494-3A875496939B}" name="T._25" displayName="T._25" ref="B7:Q32" totalsRowShown="0" headerRowDxfId="112" dataDxfId="111" headerRowCellStyle="Normal 2">
  <autoFilter ref="B7:Q32" xr:uid="{7BFFCEF5-24AF-4495-806B-D0E75825CB10}"/>
  <tableColumns count="16">
    <tableColumn id="7" xr3:uid="{9A3C9670-7DA4-417F-AD3A-C17A89F3F1C0}" name="data" dataDxfId="110" dataCellStyle="Comma 2">
      <calculatedColumnFormula>#REF!</calculatedColumnFormula>
    </tableColumn>
    <tableColumn id="16" xr3:uid="{62BA4BA8-AC25-49C9-9E01-DD43424ADB5F}" name="Za" dataDxfId="109" dataCellStyle="Percent">
      <calculatedColumnFormula>(T._25[[#This Row],[data]]-AVERAGE(T._25[data]))/_xlfn.STDEV.P(T._25[data])</calculatedColumnFormula>
    </tableColumn>
    <tableColumn id="18" xr3:uid="{058AC966-73C3-4150-AB57-50365B460BC3}" name="Zb" dataDxfId="108" dataCellStyle="Percent">
      <calculatedColumnFormula>(T._25[[#This Row],[data]]-AVERAGE(T._25[data]))/(_xlfn.STDEV.P(T._25[data])*$D$37+$C$37)</calculatedColumnFormula>
    </tableColumn>
    <tableColumn id="22" xr3:uid="{5A2BB575-AE4F-4094-AB0C-3164F53367BA}" name="Zc" dataDxfId="107" dataCellStyle="Percent">
      <calculatedColumnFormula>IF($D$37&lt;1,(T._25[[#This Row],[data]]-AVERAGE(T._25[data]))/(_xlfn.STDEV.P(T._25[data])*(1/$D$37)+$C$37),T._25[[#This Row],[Zb]])</calculatedColumnFormula>
    </tableColumn>
    <tableColumn id="8" xr3:uid="{45D2F218-C036-421C-ACC6-EC1ABAF71C53}" name="Ya" dataDxfId="106" dataCellStyle="Percent">
      <calculatedColumnFormula>_xlfn.NORM.S.DIST(T._25[[#This Row],[Za]],IF($F$5=0,"TRUE","false"))</calculatedColumnFormula>
    </tableColumn>
    <tableColumn id="6" xr3:uid="{479C3D6C-18AB-4EBB-9CB0-7A13A0A56B8F}" name="Yb" dataDxfId="105" dataCellStyle="Percent">
      <calculatedColumnFormula>_xlfn.NORM.S.DIST(T._25[[#This Row],[Zb]],IF($G$5=0,"TRUE","false"))</calculatedColumnFormula>
    </tableColumn>
    <tableColumn id="1" xr3:uid="{AE29E775-FAB9-4B03-8FA5-B2AE572EAE5D}" name="P_N" dataDxfId="104" dataCellStyle="Percent">
      <calculatedColumnFormula>1/SQRT(2*PI()*$J$2^2)*EXP(-((T._25[[#This Row],[Za]]-$I$2)^2)/(2*$J$2^2))</calculatedColumnFormula>
    </tableColumn>
    <tableColumn id="15" xr3:uid="{6B65FFE0-EC58-436D-96F6-4F36BE868687}" name="PA" dataDxfId="103" dataCellStyle="Percent">
      <calculatedColumnFormula>NORMDIST(T._25[[#This Row],[Za]],$I$2,$J$2,FALSE)</calculatedColumnFormula>
    </tableColumn>
    <tableColumn id="3" xr3:uid="{20D06A97-91E0-4194-BB8A-140991889EAA}" name="PB" dataDxfId="102" dataCellStyle="Percent">
      <calculatedColumnFormula>IF($D$37&lt;1,2*NORMDIST(T._25[[#This Row],[Zc]],0,$M$3,FALSE),2*NORMDIST(T._25[[#This Row],[Zb]],0,$M$3,FALSE))</calculatedColumnFormula>
    </tableColumn>
    <tableColumn id="14" xr3:uid="{FC9EAAB4-998C-4C2F-A38E-D55D66330510}" name="SA" dataDxfId="101" dataCellStyle="Percent">
      <calculatedColumnFormula>NORMSDIST(T._25[[#This Row],[Za]])</calculatedColumnFormula>
    </tableColumn>
    <tableColumn id="4" xr3:uid="{8A97D779-8B15-4F3F-9791-14465640A085}" name="SB" dataDxfId="100" dataCellStyle="Percent">
      <calculatedColumnFormula>NORMSDIST(T._25[[#This Row],[Zb]])</calculatedColumnFormula>
    </tableColumn>
    <tableColumn id="5" xr3:uid="{E5C3D34B-1E1B-41D3-B717-DB4CC97BC090}" name="Xa" dataDxfId="99" dataCellStyle="Normal 2">
      <calculatedColumnFormula>($B$2)+T._25[[#This Row],[Za]]*($C$2)</calculatedColumnFormula>
    </tableColumn>
    <tableColumn id="19" xr3:uid="{B9E94C10-6063-42A0-B012-548756ECF00C}" name="Xb" dataDxfId="98" dataCellStyle="Normal 2">
      <calculatedColumnFormula>$F$37+($B$2)+T._25[[#This Row],[Zb]]*($C$2)</calculatedColumnFormula>
    </tableColumn>
    <tableColumn id="21" xr3:uid="{D601FE40-E35A-4554-8155-434D606868CC}" name="DIF" dataDxfId="97" dataCellStyle="Normal 2">
      <calculatedColumnFormula>T._25[[#This Row],[Xb]]-T._25[[#This Row],[Xa]]</calculatedColumnFormula>
    </tableColumn>
    <tableColumn id="10" xr3:uid="{CC800B45-4F46-4070-A056-3D84299873F9}" name="W" dataDxfId="96" dataCellStyle="Normal 2">
      <calculatedColumnFormula>ABS(T._25[[#This Row],[DIF]])*1/T._25[[#This Row],[PB]]</calculatedColumnFormula>
    </tableColumn>
    <tableColumn id="2" xr3:uid="{8A6D0CD2-499E-41B3-A56A-B10E047B0965}" name="W(%)" dataDxfId="95" dataCellStyle="Percent">
      <calculatedColumnFormula>IF($D$37&lt;&gt;1,T._25[[#This Row],[W]]/MAX(T._25[W])*0.94+0.01,1-T._25[[#This Row],[PB]])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10F43E-E513-42B0-BBCC-FB4BC9797A4E}" name="T._256" displayName="T._256" ref="C7:M32" totalsRowShown="0" headerRowDxfId="94" dataDxfId="93" headerRowCellStyle="Normal 2">
  <autoFilter ref="C7:M32" xr:uid="{7BFFCEF5-24AF-4495-806B-D0E75825CB10}"/>
  <tableColumns count="11">
    <tableColumn id="7" xr3:uid="{F57DB65B-70E7-4CFA-BA9A-17282A0CF222}" name="M1" dataDxfId="92" dataCellStyle="Comma 2">
      <calculatedColumnFormula>#REF!</calculatedColumnFormula>
    </tableColumn>
    <tableColumn id="16" xr3:uid="{DD41CD81-17D1-4DD6-941D-479A26D4DA70}" name="Za" dataDxfId="91" dataCellStyle="Percent">
      <calculatedColumnFormula>(T._256[[#This Row],[M1]]-AVERAGE(T._256[M1]))/_xlfn.STDEV.P(T._256[M1])</calculatedColumnFormula>
    </tableColumn>
    <tableColumn id="18" xr3:uid="{6F8A64BB-A218-49F1-AE00-0A14489CEE7F}" name="Zb" dataDxfId="90" dataCellStyle="Percent">
      <calculatedColumnFormula>(T._256[[#This Row],[M1]]-AVERAGE(T._256[M1]))/(_xlfn.STDEV.P(T._256[M1])*$E$1005+$D$1005)</calculatedColumnFormula>
    </tableColumn>
    <tableColumn id="22" xr3:uid="{D5F547D6-B327-4221-8E01-E5646C7237DE}" name="Zc" dataDxfId="89" dataCellStyle="Percent">
      <calculatedColumnFormula>IF($E$1005&lt;1,(T._256[[#This Row],[M1]]-AVERAGE(T._256[M1]))/(_xlfn.STDEV.P(T._256[M1])*(1/$E$1005)+$D$1005),T._256[[#This Row],[Zb]])</calculatedColumnFormula>
    </tableColumn>
    <tableColumn id="15" xr3:uid="{341CD815-9A90-4F83-9238-A4FD14FF217A}" name="PDFa" dataDxfId="88" dataCellStyle="Percent">
      <calculatedColumnFormula>2*NORMDIST(T._256[[#This Row],[Za]],0,1,FALSE)</calculatedColumnFormula>
    </tableColumn>
    <tableColumn id="3" xr3:uid="{B4036CEB-FBA6-418A-8367-FB464BC93147}" name="PDFb" dataDxfId="87" dataCellStyle="Percent">
      <calculatedColumnFormula>IF($E$1005&lt;1,2*NORMDIST(T._256[[#This Row],[Zc]],0,$E$1006,FALSE),2*NORMDIST(T._256[[#This Row],[Zb]],0,1,FALSE))</calculatedColumnFormula>
    </tableColumn>
    <tableColumn id="14" xr3:uid="{7058DB6E-2007-4816-92A0-244E3FF39960}" name="CDFa" dataDxfId="86" dataCellStyle="Percent">
      <calculatedColumnFormula>NORMSDIST(T._256[[#This Row],[Za]])</calculatedColumnFormula>
    </tableColumn>
    <tableColumn id="4" xr3:uid="{36202D7F-E260-4FA2-86B5-7613F1E70556}" name="CDFb" dataDxfId="85" dataCellStyle="Percent">
      <calculatedColumnFormula>IF($E$1005&lt;1,NORMSDIST(T._256[[#This Row],[Zc]]),NORMSDIST(T._256[[#This Row],[Zb]]))</calculatedColumnFormula>
    </tableColumn>
    <tableColumn id="19" xr3:uid="{FB3E1DDA-E094-48CF-A7ED-E2F315CC90F6}" name="Pc" dataDxfId="84" dataCellStyle="Normal 2">
      <calculatedColumnFormula>$D$1006+(AVERAGE(T._256[M1]))+T._256[[#This Row],[Zb]]*(_xlfn.STDEV.P(T._256[M1]))</calculatedColumnFormula>
    </tableColumn>
    <tableColumn id="10" xr3:uid="{001790EE-4EEE-4F8F-95FB-ACCA79A774D4}" name="W" dataDxfId="83" dataCellStyle="Normal 2">
      <calculatedColumnFormula>ABS(T._256[[#This Row],[Pc]]-T._256[[#This Row],[M1]])*1/T._256[[#This Row],[PDFb]]</calculatedColumnFormula>
    </tableColumn>
    <tableColumn id="2" xr3:uid="{BD46CA8A-A32C-4A67-803A-8EB4F9479D8A}" name="W%" dataDxfId="82" dataCellStyle="Percent">
      <calculatedColumnFormula>IF($E$1005&lt;&gt;1,T._256[[#This Row],[W]]/MAX(T._256[W])*0.94+0.01,1-T._256[[#This Row],[PDFb]])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4929-BE3F-469B-ADC6-1E7D7616FC0E}">
  <sheetPr>
    <tabColor rgb="FFFF0000"/>
  </sheetPr>
  <dimension ref="A1:AP63"/>
  <sheetViews>
    <sheetView topLeftCell="G1" zoomScale="85" zoomScaleNormal="85" workbookViewId="0">
      <selection activeCell="R17" sqref="R17"/>
    </sheetView>
  </sheetViews>
  <sheetFormatPr defaultRowHeight="15" x14ac:dyDescent="0.25"/>
  <cols>
    <col min="1" max="5" width="2.140625" style="160" customWidth="1"/>
    <col min="6" max="7" width="9.28515625" style="160" customWidth="1"/>
    <col min="8" max="8" width="9.85546875" customWidth="1"/>
    <col min="9" max="9" width="11.42578125" style="160" customWidth="1"/>
    <col min="10" max="10" width="11.42578125" customWidth="1"/>
    <col min="11" max="11" width="7.5703125" customWidth="1"/>
    <col min="12" max="12" width="7.5703125" style="160" customWidth="1"/>
    <col min="13" max="13" width="12" customWidth="1"/>
    <col min="14" max="16" width="8.42578125" hidden="1" customWidth="1"/>
    <col min="17" max="17" width="12" customWidth="1"/>
    <col min="18" max="18" width="11.42578125" customWidth="1"/>
    <col min="19" max="20" width="11.42578125" hidden="1" customWidth="1"/>
    <col min="21" max="23" width="11.42578125" customWidth="1"/>
    <col min="24" max="24" width="11.42578125" style="160" customWidth="1"/>
    <col min="26" max="28" width="9.28515625" customWidth="1"/>
    <col min="30" max="30" width="10.7109375" customWidth="1"/>
    <col min="31" max="31" width="14.42578125" style="160" customWidth="1"/>
    <col min="32" max="32" width="11.42578125" customWidth="1"/>
    <col min="33" max="33" width="10.140625" customWidth="1"/>
    <col min="35" max="35" width="9.85546875" style="160" customWidth="1"/>
    <col min="37" max="37" width="9.85546875" style="160" customWidth="1"/>
    <col min="38" max="39" width="9.85546875" customWidth="1"/>
    <col min="40" max="40" width="8.42578125" customWidth="1"/>
    <col min="41" max="16384" width="9.140625" style="160"/>
  </cols>
  <sheetData>
    <row r="1" spans="1:40" ht="15.75" x14ac:dyDescent="0.2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 t="s">
        <v>67</v>
      </c>
      <c r="L1" s="158" t="s">
        <v>67</v>
      </c>
      <c r="M1" s="158"/>
      <c r="N1" s="158"/>
      <c r="O1" s="158"/>
      <c r="P1" s="158"/>
      <c r="Q1" s="163" t="s">
        <v>55</v>
      </c>
      <c r="R1" s="163" t="s">
        <v>56</v>
      </c>
      <c r="S1" s="158">
        <v>10</v>
      </c>
      <c r="T1" s="158">
        <v>11</v>
      </c>
      <c r="U1" s="158"/>
      <c r="V1" s="158"/>
      <c r="W1" s="158"/>
      <c r="X1" s="158"/>
      <c r="Y1" s="158"/>
      <c r="Z1" s="160"/>
      <c r="AA1" s="160"/>
      <c r="AB1" s="160"/>
      <c r="AC1" s="160"/>
      <c r="AD1" s="160"/>
      <c r="AF1" s="160"/>
      <c r="AG1" s="160"/>
      <c r="AH1" s="160"/>
      <c r="AJ1" s="160"/>
      <c r="AL1" s="160"/>
      <c r="AM1" s="160"/>
      <c r="AN1" s="160"/>
    </row>
    <row r="2" spans="1:40" ht="26.25" x14ac:dyDescent="0.3">
      <c r="A2" s="161"/>
      <c r="B2" s="161"/>
      <c r="C2" s="161"/>
      <c r="D2" s="161"/>
      <c r="E2" s="161"/>
      <c r="F2" s="159">
        <v>0</v>
      </c>
      <c r="G2" s="159">
        <v>1</v>
      </c>
      <c r="H2" s="151">
        <f>AVERAGE(T.[data])</f>
        <v>13</v>
      </c>
      <c r="I2" s="151">
        <f>_xlfn.STDEV.P(T.[data])</f>
        <v>7.2111025509279782</v>
      </c>
      <c r="J2" s="163">
        <f>COUNT(T.[data])</f>
        <v>25</v>
      </c>
      <c r="K2" s="208" t="s">
        <v>82</v>
      </c>
      <c r="L2" s="208" t="s">
        <v>82</v>
      </c>
      <c r="M2" s="163"/>
      <c r="N2" s="163"/>
      <c r="O2" s="163"/>
      <c r="P2" s="163"/>
      <c r="Q2" s="164">
        <v>0</v>
      </c>
      <c r="R2" s="164">
        <v>1</v>
      </c>
      <c r="S2" s="159"/>
      <c r="T2" s="159"/>
      <c r="U2" s="159"/>
      <c r="V2" s="227" t="s">
        <v>52</v>
      </c>
      <c r="W2" s="228">
        <v>0</v>
      </c>
      <c r="X2" s="228">
        <v>0.5</v>
      </c>
      <c r="Y2" s="228" t="s">
        <v>86</v>
      </c>
      <c r="Z2" s="160"/>
      <c r="AA2" s="160"/>
      <c r="AB2" s="160"/>
      <c r="AC2" s="160"/>
      <c r="AD2" s="160"/>
      <c r="AF2" s="160"/>
      <c r="AG2" s="160"/>
      <c r="AH2" s="160"/>
      <c r="AJ2" s="160"/>
      <c r="AL2" s="160"/>
      <c r="AM2" s="160"/>
      <c r="AN2" s="160"/>
    </row>
    <row r="3" spans="1:40" ht="25.5" customHeight="1" x14ac:dyDescent="0.3">
      <c r="A3" s="161"/>
      <c r="B3" s="161"/>
      <c r="C3" s="161"/>
      <c r="D3" s="161"/>
      <c r="E3" s="161"/>
      <c r="F3" s="161"/>
      <c r="G3" s="162"/>
      <c r="H3" s="165" t="s">
        <v>53</v>
      </c>
      <c r="I3" s="165" t="s">
        <v>54</v>
      </c>
      <c r="J3" s="240"/>
      <c r="K3" s="240" t="s">
        <v>92</v>
      </c>
      <c r="L3" s="241" t="s">
        <v>91</v>
      </c>
      <c r="M3" s="241"/>
      <c r="N3" s="163"/>
      <c r="O3" s="163"/>
      <c r="P3" s="163"/>
      <c r="Q3" s="166" t="s">
        <v>53</v>
      </c>
      <c r="R3" s="166" t="s">
        <v>54</v>
      </c>
      <c r="S3" s="159"/>
      <c r="T3" s="159"/>
      <c r="U3" s="159"/>
      <c r="V3" s="227" t="s">
        <v>43</v>
      </c>
      <c r="W3" s="229">
        <v>0</v>
      </c>
      <c r="X3" s="230">
        <v>1</v>
      </c>
      <c r="Y3" s="230"/>
      <c r="Z3" s="160"/>
      <c r="AA3" s="160"/>
      <c r="AB3" s="160"/>
      <c r="AC3" s="160"/>
      <c r="AD3" s="160"/>
      <c r="AF3" s="160"/>
      <c r="AG3" s="160"/>
      <c r="AH3" s="160"/>
      <c r="AJ3" s="160"/>
      <c r="AL3" s="160"/>
      <c r="AM3" s="160"/>
      <c r="AN3" s="160"/>
    </row>
    <row r="4" spans="1:40" ht="27.75" customHeight="1" x14ac:dyDescent="0.2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208" t="str">
        <f>IF(K5=0,"TRUE","FALSE")</f>
        <v>TRUE</v>
      </c>
      <c r="L4" s="208" t="str">
        <f>IF(L5=0,"TRUE","false")</f>
        <v>TRUE</v>
      </c>
      <c r="M4" s="163" t="s">
        <v>87</v>
      </c>
      <c r="N4" s="167">
        <v>0.99</v>
      </c>
      <c r="O4" s="167"/>
      <c r="P4" s="167"/>
      <c r="Q4" s="208"/>
      <c r="R4" s="208"/>
      <c r="S4" s="159"/>
      <c r="T4" s="159"/>
      <c r="U4" s="159"/>
      <c r="V4" s="150"/>
      <c r="W4" s="151">
        <f>H2+W2</f>
        <v>13</v>
      </c>
      <c r="X4" s="151">
        <f>I2*X2</f>
        <v>3.6055512754639891</v>
      </c>
      <c r="Y4" s="163"/>
      <c r="Z4" s="160"/>
      <c r="AA4" s="160"/>
      <c r="AB4" s="160"/>
      <c r="AC4" s="160"/>
      <c r="AD4" s="160"/>
      <c r="AF4" s="160"/>
      <c r="AG4" s="160"/>
      <c r="AH4" s="160"/>
      <c r="AJ4" s="160"/>
      <c r="AL4" s="160"/>
      <c r="AM4" s="160"/>
      <c r="AN4" s="160"/>
    </row>
    <row r="5" spans="1:40" ht="24.75" customHeight="1" x14ac:dyDescent="0.2">
      <c r="A5" s="161"/>
      <c r="B5" s="161"/>
      <c r="C5" s="161"/>
      <c r="D5" s="161"/>
      <c r="E5" s="161"/>
      <c r="F5" s="161"/>
      <c r="G5" s="161"/>
      <c r="H5" s="161"/>
      <c r="I5" s="161"/>
      <c r="J5" s="161"/>
      <c r="K5" s="209">
        <v>0</v>
      </c>
      <c r="L5" s="209">
        <f>K5</f>
        <v>0</v>
      </c>
      <c r="M5" s="235" t="s">
        <v>58</v>
      </c>
      <c r="N5" s="167">
        <f>1-N4</f>
        <v>1.0000000000000009E-2</v>
      </c>
      <c r="O5" s="167"/>
      <c r="P5" s="167"/>
      <c r="Q5" s="208" t="s">
        <v>82</v>
      </c>
      <c r="R5" s="208" t="s">
        <v>82</v>
      </c>
      <c r="S5" s="159" t="s">
        <v>57</v>
      </c>
      <c r="T5" s="169" t="b">
        <v>1</v>
      </c>
      <c r="U5" s="159"/>
      <c r="V5" s="159"/>
      <c r="W5" s="163"/>
      <c r="X5" s="159"/>
      <c r="Y5" s="159"/>
      <c r="Z5" s="160"/>
      <c r="AA5" s="160"/>
      <c r="AB5" s="160"/>
      <c r="AC5" s="160"/>
      <c r="AD5" s="160"/>
      <c r="AF5" s="160"/>
      <c r="AG5" s="160"/>
      <c r="AH5" s="160"/>
      <c r="AJ5" s="160"/>
      <c r="AL5" s="160"/>
      <c r="AM5" s="160"/>
      <c r="AN5" s="160"/>
    </row>
    <row r="6" spans="1:40" ht="24.75" customHeight="1" x14ac:dyDescent="0.2">
      <c r="A6" s="161"/>
      <c r="B6" s="161"/>
      <c r="C6" s="161"/>
      <c r="D6" s="161"/>
      <c r="E6" s="161"/>
      <c r="F6" s="161"/>
      <c r="G6" s="161"/>
      <c r="H6" s="161"/>
      <c r="I6" s="207">
        <f>NORMSDIST(MAX(T.[Za]))-NORMSDIST(MIN(T.[Za]))</f>
        <v>0.90390767054432675</v>
      </c>
      <c r="J6" s="207">
        <f>NORMSDIST(MAX(T.[Zb]))-NORMSDIST(MIN(T.[Zb]))</f>
        <v>0.59461944354105767</v>
      </c>
      <c r="K6" s="207" cm="1">
        <f t="array" ref="K6">MAX(T.[Ya]-MIN(T.[Ya]))</f>
        <v>0.90390767054432675</v>
      </c>
      <c r="L6" s="207" cm="1">
        <f t="array" ref="L6">MAX(T.[Yb]-MIN(T.[Yb]))</f>
        <v>0.59461944354105767</v>
      </c>
      <c r="M6" s="207"/>
      <c r="N6" s="168"/>
      <c r="O6" s="168"/>
      <c r="P6" s="168"/>
      <c r="Q6" s="207" t="s">
        <v>90</v>
      </c>
      <c r="R6" s="207" t="s">
        <v>90</v>
      </c>
      <c r="S6" s="159"/>
      <c r="T6" s="169"/>
      <c r="U6" s="159"/>
      <c r="V6" s="159"/>
      <c r="W6" s="163"/>
      <c r="X6" s="159"/>
      <c r="Y6" s="159"/>
      <c r="Z6" s="160"/>
      <c r="AA6" s="160"/>
      <c r="AB6" s="160"/>
      <c r="AC6" s="160"/>
      <c r="AD6" s="160"/>
      <c r="AF6" s="160"/>
      <c r="AG6" s="160"/>
      <c r="AH6" s="160"/>
      <c r="AJ6" s="160"/>
      <c r="AL6" s="160"/>
      <c r="AM6" s="160"/>
      <c r="AN6" s="160"/>
    </row>
    <row r="7" spans="1:40" ht="35.25" customHeight="1" x14ac:dyDescent="0.2">
      <c r="A7" s="161"/>
      <c r="B7" s="161"/>
      <c r="C7" s="161"/>
      <c r="D7" s="161"/>
      <c r="E7" s="161"/>
      <c r="F7" s="161"/>
      <c r="G7" s="161"/>
      <c r="H7" s="217" t="s">
        <v>41</v>
      </c>
      <c r="I7" s="218" t="s">
        <v>69</v>
      </c>
      <c r="J7" s="218" t="s">
        <v>70</v>
      </c>
      <c r="K7" s="219" t="s">
        <v>80</v>
      </c>
      <c r="L7" s="219" t="s">
        <v>81</v>
      </c>
      <c r="M7" s="220" t="s">
        <v>75</v>
      </c>
      <c r="N7" s="237" t="s">
        <v>88</v>
      </c>
      <c r="O7" s="237" t="s">
        <v>89</v>
      </c>
      <c r="P7" s="237" t="s">
        <v>25</v>
      </c>
      <c r="Q7" s="221" t="s">
        <v>73</v>
      </c>
      <c r="R7" s="222" t="s">
        <v>85</v>
      </c>
      <c r="S7" s="223" t="s">
        <v>84</v>
      </c>
      <c r="T7" s="224" t="s">
        <v>74</v>
      </c>
      <c r="U7" s="224" t="s">
        <v>76</v>
      </c>
      <c r="V7" s="224" t="s">
        <v>77</v>
      </c>
      <c r="W7" s="225" t="s">
        <v>71</v>
      </c>
      <c r="X7" s="225" t="s">
        <v>72</v>
      </c>
      <c r="Y7" s="225" t="s">
        <v>83</v>
      </c>
      <c r="Z7" s="160"/>
      <c r="AA7" s="160"/>
      <c r="AB7" s="160"/>
      <c r="AC7" s="160"/>
      <c r="AD7" s="160"/>
      <c r="AF7" s="160"/>
      <c r="AG7" s="160"/>
      <c r="AH7" s="160"/>
      <c r="AJ7" s="160"/>
      <c r="AL7" s="160"/>
      <c r="AM7" s="160"/>
      <c r="AN7" s="160"/>
    </row>
    <row r="8" spans="1:40" ht="12.75" x14ac:dyDescent="0.2">
      <c r="A8" s="161"/>
      <c r="B8" s="161"/>
      <c r="C8" s="161"/>
      <c r="D8" s="161"/>
      <c r="E8" s="161"/>
      <c r="F8" s="161"/>
      <c r="G8" s="161"/>
      <c r="H8" s="170">
        <v>1</v>
      </c>
      <c r="I8" s="69">
        <f>(T.[[#This Row],[data]]-(AVERAGE(T.[data])))/(_xlfn.STDEV.P(T.[data]))</f>
        <v>-1.6641005886756874</v>
      </c>
      <c r="J8" s="69">
        <f>(T.[[#This Row],[data]]-(AVERAGE(T.[data])))/((_xlfn.STDEV.P(T.[data])*$J$37)+$I$37)</f>
        <v>-0.83205029433784372</v>
      </c>
      <c r="K8" s="70">
        <f>_xlfn.NORM.S.DIST(T.[[#This Row],[Za]],IF($K$5=0,"TRUE","false"))</f>
        <v>4.8046164727836627E-2</v>
      </c>
      <c r="L8" s="70">
        <f>_xlfn.NORM.S.DIST(T.[[#This Row],[Zb]],IF($L$5=0,"TRUE","false"))</f>
        <v>0.20269027822947119</v>
      </c>
      <c r="M8" s="171">
        <f>1/SQRT(2*PI()*$R$2^2)*EXP(-((T.[[#This Row],[Za]]-$Q$2)^2)/(2*$R$2^2))</f>
        <v>9.9903164433323657E-2</v>
      </c>
      <c r="N8" s="236">
        <f>ABS((ABS(T.[[#This Row],[Za]])+$N$5)*$I$2/SQRT($J$2))</f>
        <v>2.414422205101856</v>
      </c>
      <c r="O8" s="236" t="e">
        <f>_xlfn.CONFIDENCE.NORM(ABS(T.[[#This Row],[Za]])+$N$5,$I$2,$J$2)</f>
        <v>#NUM!</v>
      </c>
      <c r="P8" s="236">
        <f>$H$2+((ABS(T.[[#This Row],[Za]])+$N$5)*$I$2/SQRT($J$2))</f>
        <v>15.414422205101856</v>
      </c>
      <c r="Q8" s="70">
        <f>NORMDIST(T.[[#This Row],[Za]],$Q$2,$R$2,FALSE)</f>
        <v>9.9903164433323657E-2</v>
      </c>
      <c r="R8" s="70">
        <f>NORMDIST(T.[[#This Row],[Zb]],$W$2,$X$2,FALSE)</f>
        <v>0.19980632886664731</v>
      </c>
      <c r="S8" s="70">
        <f>NORMDIST(T.[[#This Row],[Zb]],AVERAGE(T.[Zb]),_xlfn.STDEV.P(T.[Zb]),FALSE)</f>
        <v>0.19980632886664745</v>
      </c>
      <c r="T8" s="172">
        <f t="shared" ref="T8:T32" si="0">NORMDIST(I8,$Q$2,$R$2,$T$5)</f>
        <v>4.8046164727836627E-2</v>
      </c>
      <c r="U8" s="172">
        <f>NORMSDIST(T.[[#This Row],[Za]])</f>
        <v>4.8046164727836627E-2</v>
      </c>
      <c r="V8" s="172">
        <f>NORMSDIST(T.[[#This Row],[Zb]])</f>
        <v>0.20269027822947119</v>
      </c>
      <c r="W8" s="226">
        <f>($H$2)+T.[[#This Row],[Za]]*($I$2)</f>
        <v>1</v>
      </c>
      <c r="X8" s="226">
        <f>($H$2)+T.[[#This Row],[Zb]]*($I$2)</f>
        <v>7</v>
      </c>
      <c r="Y8" s="226"/>
      <c r="Z8" s="160"/>
      <c r="AA8" s="160"/>
      <c r="AB8" s="160"/>
      <c r="AC8" s="160"/>
      <c r="AD8" s="160"/>
      <c r="AF8" s="160"/>
      <c r="AG8" s="160"/>
      <c r="AH8" s="160"/>
      <c r="AJ8" s="160"/>
      <c r="AL8" s="160"/>
      <c r="AM8" s="160"/>
      <c r="AN8" s="160"/>
    </row>
    <row r="9" spans="1:40" ht="12.75" x14ac:dyDescent="0.2">
      <c r="A9" s="161"/>
      <c r="B9" s="161"/>
      <c r="C9" s="161"/>
      <c r="D9" s="161"/>
      <c r="E9" s="161"/>
      <c r="F9" s="161"/>
      <c r="G9" s="161"/>
      <c r="H9" s="170">
        <v>2</v>
      </c>
      <c r="I9" s="69">
        <f>(T.[[#This Row],[data]]-(AVERAGE(T.[data])))/(_xlfn.STDEV.P(T.[data]))</f>
        <v>-1.5254255396193801</v>
      </c>
      <c r="J9" s="69">
        <f>(T.[[#This Row],[data]]-(AVERAGE(T.[data])))/((_xlfn.STDEV.P(T.[data])*$J$37)+$I$37)</f>
        <v>-0.76271276980969005</v>
      </c>
      <c r="K9" s="70">
        <f>_xlfn.NORM.S.DIST(T.[[#This Row],[Za]],IF($K$5=0,"TRUE","false"))</f>
        <v>6.3576496300007113E-2</v>
      </c>
      <c r="L9" s="70">
        <f>_xlfn.NORM.S.DIST(T.[[#This Row],[Zb]],IF($L$5=0,"TRUE","false"))</f>
        <v>0.22281735660347199</v>
      </c>
      <c r="M9" s="171">
        <f>1/SQRT(2*PI()*$R$2^2)*EXP(-((T.[[#This Row],[Za]]-$Q$2)^2)/(2*$R$2^2))</f>
        <v>0.12463073026883781</v>
      </c>
      <c r="N9" s="236">
        <f>ABS((ABS(T.[[#This Row],[Za]])+$N$5)*$I$2/SQRT($J$2))</f>
        <v>2.2144222051018558</v>
      </c>
      <c r="O9" s="236" t="e">
        <f>_xlfn.CONFIDENCE.NORM(ABS(T.[[#This Row],[Za]])+$N$5,$I$2,$J$2)</f>
        <v>#NUM!</v>
      </c>
      <c r="P9" s="236">
        <f>$H$2+((ABS(T.[[#This Row],[Za]])+$N$5)*$I$2/SQRT($J$2))</f>
        <v>15.214422205101856</v>
      </c>
      <c r="Q9" s="70">
        <f>NORMDIST(T.[[#This Row],[Za]],$Q$2,$R$2,FALSE)</f>
        <v>0.12463073026883781</v>
      </c>
      <c r="R9" s="70">
        <f>NORMDIST(T.[[#This Row],[Zb]],$W$2,$X$2,FALSE)</f>
        <v>0.24926146053767562</v>
      </c>
      <c r="S9" s="70">
        <f>NORMDIST(T.[[#This Row],[Zb]],AVERAGE(T.[Zb]),_xlfn.STDEV.P(T.[Zb]),FALSE)</f>
        <v>0.24926146053767576</v>
      </c>
      <c r="T9" s="172">
        <f t="shared" si="0"/>
        <v>6.3576496300007113E-2</v>
      </c>
      <c r="U9" s="172">
        <f>NORMSDIST(T.[[#This Row],[Za]])</f>
        <v>6.3576496300007113E-2</v>
      </c>
      <c r="V9" s="172">
        <f>NORMSDIST(T.[[#This Row],[Zb]])</f>
        <v>0.22281735660347199</v>
      </c>
      <c r="W9" s="226">
        <f>($H$2)+T.[[#This Row],[Za]]*($I$2)</f>
        <v>2</v>
      </c>
      <c r="X9" s="226">
        <f>($H$2)+T.[[#This Row],[Zb]]*($I$2)</f>
        <v>7.5</v>
      </c>
      <c r="Y9" s="226"/>
      <c r="Z9" s="160"/>
      <c r="AA9" s="160"/>
      <c r="AB9" s="160"/>
      <c r="AC9" s="160"/>
      <c r="AD9" s="160"/>
      <c r="AF9" s="160"/>
      <c r="AG9" s="160"/>
      <c r="AH9" s="160"/>
      <c r="AJ9" s="160"/>
      <c r="AL9" s="160"/>
      <c r="AM9" s="160"/>
      <c r="AN9" s="160"/>
    </row>
    <row r="10" spans="1:40" ht="12.75" x14ac:dyDescent="0.2">
      <c r="A10" s="161"/>
      <c r="B10" s="161"/>
      <c r="C10" s="161"/>
      <c r="D10" s="161"/>
      <c r="E10" s="161"/>
      <c r="F10" s="161"/>
      <c r="G10" s="161"/>
      <c r="H10" s="170">
        <v>3</v>
      </c>
      <c r="I10" s="69">
        <f>(T.[[#This Row],[data]]-(AVERAGE(T.[data])))/(_xlfn.STDEV.P(T.[data]))</f>
        <v>-1.386750490563073</v>
      </c>
      <c r="J10" s="69">
        <f>(T.[[#This Row],[data]]-(AVERAGE(T.[data])))/((_xlfn.STDEV.P(T.[data])*$J$37)+$I$37)</f>
        <v>-0.69337524528153649</v>
      </c>
      <c r="K10" s="70">
        <f>_xlfn.NORM.S.DIST(T.[[#This Row],[Za]],IF($K$5=0,"TRUE","false"))</f>
        <v>8.275892934873498E-2</v>
      </c>
      <c r="L10" s="70">
        <f>_xlfn.NORM.S.DIST(T.[[#This Row],[Zb]],IF($L$5=0,"TRUE","false"))</f>
        <v>0.24403704658262404</v>
      </c>
      <c r="M10" s="171">
        <f>1/SQRT(2*PI()*$R$2^2)*EXP(-((T.[[#This Row],[Za]]-$Q$2)^2)/(2*$R$2^2))</f>
        <v>0.15251733843477824</v>
      </c>
      <c r="N10" s="236">
        <f>ABS((ABS(T.[[#This Row],[Za]])+$N$5)*$I$2/SQRT($J$2))</f>
        <v>2.0144222051018561</v>
      </c>
      <c r="O10" s="236" t="e">
        <f>_xlfn.CONFIDENCE.NORM(ABS(T.[[#This Row],[Za]])+$N$5,$I$2,$J$2)</f>
        <v>#NUM!</v>
      </c>
      <c r="P10" s="236">
        <f>$H$2+((ABS(T.[[#This Row],[Za]])+$N$5)*$I$2/SQRT($J$2))</f>
        <v>15.014422205101855</v>
      </c>
      <c r="Q10" s="70">
        <f>NORMDIST(T.[[#This Row],[Za]],$Q$2,$R$2,FALSE)</f>
        <v>0.15251733843477824</v>
      </c>
      <c r="R10" s="70">
        <f>NORMDIST(T.[[#This Row],[Zb]],$W$2,$X$2,FALSE)</f>
        <v>0.30503467686955649</v>
      </c>
      <c r="S10" s="70">
        <f>NORMDIST(T.[[#This Row],[Zb]],AVERAGE(T.[Zb]),_xlfn.STDEV.P(T.[Zb]),FALSE)</f>
        <v>0.30503467686955649</v>
      </c>
      <c r="T10" s="172">
        <f t="shared" si="0"/>
        <v>8.275892934873498E-2</v>
      </c>
      <c r="U10" s="172">
        <f>NORMSDIST(T.[[#This Row],[Za]])</f>
        <v>8.275892934873498E-2</v>
      </c>
      <c r="V10" s="172">
        <f>NORMSDIST(T.[[#This Row],[Zb]])</f>
        <v>0.24403704658262404</v>
      </c>
      <c r="W10" s="226">
        <f>($H$2)+T.[[#This Row],[Za]]*($I$2)</f>
        <v>3</v>
      </c>
      <c r="X10" s="226">
        <f>($H$2)+T.[[#This Row],[Zb]]*($I$2)</f>
        <v>8</v>
      </c>
      <c r="Y10" s="226"/>
      <c r="Z10" s="160"/>
      <c r="AA10" s="160"/>
      <c r="AB10" s="160"/>
      <c r="AC10" s="160"/>
      <c r="AD10" s="160"/>
      <c r="AF10" s="160"/>
      <c r="AG10" s="160"/>
      <c r="AH10" s="160"/>
      <c r="AJ10" s="160"/>
      <c r="AL10" s="160"/>
      <c r="AM10" s="160"/>
      <c r="AN10" s="160"/>
    </row>
    <row r="11" spans="1:40" ht="12.75" x14ac:dyDescent="0.2">
      <c r="A11" s="161"/>
      <c r="B11" s="161"/>
      <c r="C11" s="161"/>
      <c r="D11" s="161"/>
      <c r="E11" s="161"/>
      <c r="F11" s="161"/>
      <c r="G11" s="161"/>
      <c r="H11" s="170">
        <v>4</v>
      </c>
      <c r="I11" s="69">
        <f>(T.[[#This Row],[data]]-(AVERAGE(T.[data])))/(_xlfn.STDEV.P(T.[data]))</f>
        <v>-1.2480754415067656</v>
      </c>
      <c r="J11" s="69">
        <f>(T.[[#This Row],[data]]-(AVERAGE(T.[data])))/((_xlfn.STDEV.P(T.[data])*$J$37)+$I$37)</f>
        <v>-0.62403772075338282</v>
      </c>
      <c r="K11" s="70">
        <f>_xlfn.NORM.S.DIST(T.[[#This Row],[Za]],IF($K$5=0,"TRUE","false"))</f>
        <v>0.10600171546141283</v>
      </c>
      <c r="L11" s="70">
        <f>_xlfn.NORM.S.DIST(T.[[#This Row],[Zb]],IF($L$5=0,"TRUE","false"))</f>
        <v>0.26630140646823697</v>
      </c>
      <c r="M11" s="171">
        <f>1/SQRT(2*PI()*$R$2^2)*EXP(-((T.[[#This Row],[Za]]-$Q$2)^2)/(2*$R$2^2))</f>
        <v>0.18308867383025043</v>
      </c>
      <c r="N11" s="236">
        <f>ABS((ABS(T.[[#This Row],[Za]])+$N$5)*$I$2/SQRT($J$2))</f>
        <v>1.8144222051018559</v>
      </c>
      <c r="O11" s="236" t="e">
        <f>_xlfn.CONFIDENCE.NORM(ABS(T.[[#This Row],[Za]])+$N$5,$I$2,$J$2)</f>
        <v>#NUM!</v>
      </c>
      <c r="P11" s="236">
        <f>$H$2+((ABS(T.[[#This Row],[Za]])+$N$5)*$I$2/SQRT($J$2))</f>
        <v>14.814422205101856</v>
      </c>
      <c r="Q11" s="70">
        <f>NORMDIST(T.[[#This Row],[Za]],$Q$2,$R$2,FALSE)</f>
        <v>0.18308867383025043</v>
      </c>
      <c r="R11" s="70">
        <f>NORMDIST(T.[[#This Row],[Zb]],$W$2,$X$2,FALSE)</f>
        <v>0.36617734766050086</v>
      </c>
      <c r="S11" s="70">
        <f>NORMDIST(T.[[#This Row],[Zb]],AVERAGE(T.[Zb]),_xlfn.STDEV.P(T.[Zb]),FALSE)</f>
        <v>0.36617734766050081</v>
      </c>
      <c r="T11" s="172">
        <f t="shared" si="0"/>
        <v>0.10600171546141283</v>
      </c>
      <c r="U11" s="172">
        <f>NORMSDIST(T.[[#This Row],[Za]])</f>
        <v>0.10600171546141283</v>
      </c>
      <c r="V11" s="172">
        <f>NORMSDIST(T.[[#This Row],[Zb]])</f>
        <v>0.26630140646823697</v>
      </c>
      <c r="W11" s="226">
        <f>($H$2)+T.[[#This Row],[Za]]*($I$2)</f>
        <v>4</v>
      </c>
      <c r="X11" s="226">
        <f>($H$2)+T.[[#This Row],[Zb]]*($I$2)</f>
        <v>8.5</v>
      </c>
      <c r="Y11" s="226"/>
      <c r="Z11" s="160"/>
      <c r="AA11" s="160"/>
      <c r="AB11" s="160"/>
      <c r="AC11" s="160"/>
      <c r="AD11" s="160"/>
      <c r="AF11" s="160"/>
      <c r="AG11" s="160"/>
      <c r="AH11" s="160"/>
      <c r="AJ11" s="160"/>
      <c r="AL11" s="160"/>
      <c r="AM11" s="160"/>
      <c r="AN11" s="160"/>
    </row>
    <row r="12" spans="1:40" ht="12.75" x14ac:dyDescent="0.2">
      <c r="A12" s="161"/>
      <c r="B12" s="161"/>
      <c r="C12" s="161"/>
      <c r="D12" s="161"/>
      <c r="E12" s="161"/>
      <c r="F12" s="161"/>
      <c r="G12" s="161"/>
      <c r="H12" s="170">
        <v>5</v>
      </c>
      <c r="I12" s="69">
        <f>(T.[[#This Row],[data]]-(AVERAGE(T.[data])))/(_xlfn.STDEV.P(T.[data]))</f>
        <v>-1.1094003924504583</v>
      </c>
      <c r="J12" s="69">
        <f>(T.[[#This Row],[data]]-(AVERAGE(T.[data])))/((_xlfn.STDEV.P(T.[data])*$J$37)+$I$37)</f>
        <v>-0.55470019622522915</v>
      </c>
      <c r="K12" s="70">
        <f>_xlfn.NORM.S.DIST(T.[[#This Row],[Za]],IF($K$5=0,"TRUE","false"))</f>
        <v>0.1336287465771939</v>
      </c>
      <c r="L12" s="70">
        <f>_xlfn.NORM.S.DIST(T.[[#This Row],[Zb]],IF($L$5=0,"TRUE","false"))</f>
        <v>0.28954987097695939</v>
      </c>
      <c r="M12" s="171">
        <f>1/SQRT(2*PI()*$R$2^2)*EXP(-((T.[[#This Row],[Za]]-$Q$2)^2)/(2*$R$2^2))</f>
        <v>0.21560157202251737</v>
      </c>
      <c r="N12" s="236">
        <f>ABS((ABS(T.[[#This Row],[Za]])+$N$5)*$I$2/SQRT($J$2))</f>
        <v>1.614422205101856</v>
      </c>
      <c r="O12" s="236" t="e">
        <f>_xlfn.CONFIDENCE.NORM(ABS(T.[[#This Row],[Za]])+$N$5,$I$2,$J$2)</f>
        <v>#NUM!</v>
      </c>
      <c r="P12" s="236">
        <f>$H$2+((ABS(T.[[#This Row],[Za]])+$N$5)*$I$2/SQRT($J$2))</f>
        <v>14.614422205101857</v>
      </c>
      <c r="Q12" s="70">
        <f>NORMDIST(T.[[#This Row],[Za]],$Q$2,$R$2,FALSE)</f>
        <v>0.21560157202251737</v>
      </c>
      <c r="R12" s="70">
        <f>NORMDIST(T.[[#This Row],[Zb]],$W$2,$X$2,FALSE)</f>
        <v>0.43120314404503474</v>
      </c>
      <c r="S12" s="70">
        <f>NORMDIST(T.[[#This Row],[Zb]],AVERAGE(T.[Zb]),_xlfn.STDEV.P(T.[Zb]),FALSE)</f>
        <v>0.43120314404503474</v>
      </c>
      <c r="T12" s="172">
        <f t="shared" si="0"/>
        <v>0.1336287465771939</v>
      </c>
      <c r="U12" s="172">
        <f>NORMSDIST(T.[[#This Row],[Za]])</f>
        <v>0.1336287465771939</v>
      </c>
      <c r="V12" s="172">
        <f>NORMSDIST(T.[[#This Row],[Zb]])</f>
        <v>0.28954987097695939</v>
      </c>
      <c r="W12" s="226">
        <f>($H$2)+T.[[#This Row],[Za]]*($I$2)</f>
        <v>5</v>
      </c>
      <c r="X12" s="226">
        <f>($H$2)+T.[[#This Row],[Zb]]*($I$2)</f>
        <v>9</v>
      </c>
      <c r="Y12" s="226"/>
      <c r="Z12" s="160"/>
      <c r="AA12" s="160"/>
      <c r="AB12" s="160"/>
      <c r="AC12" s="160"/>
      <c r="AD12" s="160"/>
      <c r="AF12" s="160"/>
      <c r="AG12" s="160"/>
      <c r="AH12" s="160"/>
      <c r="AJ12" s="160"/>
      <c r="AL12" s="160"/>
      <c r="AM12" s="160"/>
      <c r="AN12" s="160"/>
    </row>
    <row r="13" spans="1:40" ht="12.75" x14ac:dyDescent="0.2">
      <c r="A13" s="161"/>
      <c r="B13" s="161"/>
      <c r="C13" s="161"/>
      <c r="D13" s="161"/>
      <c r="E13" s="161"/>
      <c r="F13" s="161"/>
      <c r="G13" s="161"/>
      <c r="H13" s="170">
        <v>6</v>
      </c>
      <c r="I13" s="69">
        <f>(T.[[#This Row],[data]]-(AVERAGE(T.[data])))/(_xlfn.STDEV.P(T.[data]))</f>
        <v>-0.97072534339415106</v>
      </c>
      <c r="J13" s="69">
        <f>(T.[[#This Row],[data]]-(AVERAGE(T.[data])))/((_xlfn.STDEV.P(T.[data])*$J$37)+$I$37)</f>
        <v>-0.48536267169707553</v>
      </c>
      <c r="K13" s="70">
        <f>_xlfn.NORM.S.DIST(T.[[#This Row],[Za]],IF($K$5=0,"TRUE","false"))</f>
        <v>0.16584253402843122</v>
      </c>
      <c r="L13" s="70">
        <f>_xlfn.NORM.S.DIST(T.[[#This Row],[Zb]],IF($L$5=0,"TRUE","false"))</f>
        <v>0.31370955318304983</v>
      </c>
      <c r="M13" s="171">
        <f>1/SQRT(2*PI()*$R$2^2)*EXP(-((T.[[#This Row],[Za]]-$Q$2)^2)/(2*$R$2^2))</f>
        <v>0.24905229627756828</v>
      </c>
      <c r="N13" s="236">
        <f>ABS((ABS(T.[[#This Row],[Za]])+$N$5)*$I$2/SQRT($J$2))</f>
        <v>1.414422205101856</v>
      </c>
      <c r="O13" s="236">
        <f>_xlfn.CONFIDENCE.NORM(ABS(T.[[#This Row],[Za]])+$N$5,$I$2,$J$2)</f>
        <v>3.4843398046176123E-2</v>
      </c>
      <c r="P13" s="236">
        <f>$H$2+((ABS(T.[[#This Row],[Za]])+$N$5)*$I$2/SQRT($J$2))</f>
        <v>14.414422205101856</v>
      </c>
      <c r="Q13" s="70">
        <f>NORMDIST(T.[[#This Row],[Za]],$Q$2,$R$2,FALSE)</f>
        <v>0.24905229627756828</v>
      </c>
      <c r="R13" s="70">
        <f>NORMDIST(T.[[#This Row],[Zb]],$W$2,$X$2,FALSE)</f>
        <v>0.49810459255513656</v>
      </c>
      <c r="S13" s="70">
        <f>NORMDIST(T.[[#This Row],[Zb]],AVERAGE(T.[Zb]),_xlfn.STDEV.P(T.[Zb]),FALSE)</f>
        <v>0.49810459255513656</v>
      </c>
      <c r="T13" s="172">
        <f t="shared" si="0"/>
        <v>0.16584253402843122</v>
      </c>
      <c r="U13" s="172">
        <f>NORMSDIST(T.[[#This Row],[Za]])</f>
        <v>0.16584253402843122</v>
      </c>
      <c r="V13" s="172">
        <f>NORMSDIST(T.[[#This Row],[Zb]])</f>
        <v>0.31370955318304983</v>
      </c>
      <c r="W13" s="226">
        <f>($H$2)+T.[[#This Row],[Za]]*($I$2)</f>
        <v>6</v>
      </c>
      <c r="X13" s="226">
        <f>($H$2)+T.[[#This Row],[Zb]]*($I$2)</f>
        <v>9.5</v>
      </c>
      <c r="Y13" s="226"/>
      <c r="Z13" s="160"/>
      <c r="AA13" s="160"/>
      <c r="AB13" s="160"/>
      <c r="AC13" s="160"/>
      <c r="AD13" s="160"/>
      <c r="AF13" s="160"/>
      <c r="AG13" s="160"/>
      <c r="AH13" s="160"/>
      <c r="AJ13" s="160"/>
      <c r="AL13" s="160"/>
      <c r="AM13" s="160"/>
      <c r="AN13" s="160"/>
    </row>
    <row r="14" spans="1:40" ht="12.75" x14ac:dyDescent="0.2">
      <c r="A14" s="161"/>
      <c r="B14" s="161"/>
      <c r="C14" s="161"/>
      <c r="D14" s="161"/>
      <c r="E14" s="161"/>
      <c r="F14" s="161"/>
      <c r="G14" s="161"/>
      <c r="H14" s="170">
        <v>7</v>
      </c>
      <c r="I14" s="69">
        <f>(T.[[#This Row],[data]]-(AVERAGE(T.[data])))/(_xlfn.STDEV.P(T.[data]))</f>
        <v>-0.83205029433784372</v>
      </c>
      <c r="J14" s="69">
        <f>(T.[[#This Row],[data]]-(AVERAGE(T.[data])))/((_xlfn.STDEV.P(T.[data])*$J$37)+$I$37)</f>
        <v>-0.41602514716892186</v>
      </c>
      <c r="K14" s="70">
        <f>_xlfn.NORM.S.DIST(T.[[#This Row],[Za]],IF($K$5=0,"TRUE","false"))</f>
        <v>0.20269027822947119</v>
      </c>
      <c r="L14" s="70">
        <f>_xlfn.NORM.S.DIST(T.[[#This Row],[Zb]],IF($L$5=0,"TRUE","false"))</f>
        <v>0.33869580096313867</v>
      </c>
      <c r="M14" s="171">
        <f>1/SQRT(2*PI()*$R$2^2)*EXP(-((T.[[#This Row],[Za]]-$Q$2)^2)/(2*$R$2^2))</f>
        <v>0.28221322425966744</v>
      </c>
      <c r="N14" s="236">
        <f>ABS((ABS(T.[[#This Row],[Za]])+$N$5)*$I$2/SQRT($J$2))</f>
        <v>1.2144222051018558</v>
      </c>
      <c r="O14" s="236">
        <f>_xlfn.CONFIDENCE.NORM(ABS(T.[[#This Row],[Za]])+$N$5,$I$2,$J$2)</f>
        <v>0.28739358719224778</v>
      </c>
      <c r="P14" s="236">
        <f>$H$2+((ABS(T.[[#This Row],[Za]])+$N$5)*$I$2/SQRT($J$2))</f>
        <v>14.214422205101856</v>
      </c>
      <c r="Q14" s="70">
        <f>NORMDIST(T.[[#This Row],[Za]],$Q$2,$R$2,FALSE)</f>
        <v>0.28221322425966744</v>
      </c>
      <c r="R14" s="70">
        <f>NORMDIST(T.[[#This Row],[Zb]],$W$2,$X$2,FALSE)</f>
        <v>0.56442644851933488</v>
      </c>
      <c r="S14" s="70">
        <f>NORMDIST(T.[[#This Row],[Zb]],AVERAGE(T.[Zb]),_xlfn.STDEV.P(T.[Zb]),FALSE)</f>
        <v>0.56442644851933488</v>
      </c>
      <c r="T14" s="172">
        <f t="shared" si="0"/>
        <v>0.20269027822947119</v>
      </c>
      <c r="U14" s="172">
        <f>NORMSDIST(T.[[#This Row],[Za]])</f>
        <v>0.20269027822947119</v>
      </c>
      <c r="V14" s="172">
        <f>NORMSDIST(T.[[#This Row],[Zb]])</f>
        <v>0.33869580096313867</v>
      </c>
      <c r="W14" s="226">
        <f>($H$2)+T.[[#This Row],[Za]]*($I$2)</f>
        <v>7</v>
      </c>
      <c r="X14" s="226">
        <f>($H$2)+T.[[#This Row],[Zb]]*($I$2)</f>
        <v>10</v>
      </c>
      <c r="Y14" s="226"/>
      <c r="Z14" s="160"/>
      <c r="AA14" s="160"/>
      <c r="AB14" s="160"/>
      <c r="AC14" s="160"/>
      <c r="AD14" s="160"/>
      <c r="AF14" s="160"/>
      <c r="AG14" s="160"/>
      <c r="AH14" s="160"/>
      <c r="AJ14" s="160"/>
      <c r="AL14" s="160"/>
      <c r="AM14" s="160"/>
      <c r="AN14" s="160"/>
    </row>
    <row r="15" spans="1:40" ht="12.75" x14ac:dyDescent="0.2">
      <c r="A15" s="161"/>
      <c r="B15" s="161"/>
      <c r="C15" s="161"/>
      <c r="D15" s="161"/>
      <c r="E15" s="161"/>
      <c r="F15" s="161"/>
      <c r="G15" s="161"/>
      <c r="H15" s="170">
        <v>8</v>
      </c>
      <c r="I15" s="69">
        <f>(T.[[#This Row],[data]]-(AVERAGE(T.[data])))/(_xlfn.STDEV.P(T.[data]))</f>
        <v>-0.69337524528153649</v>
      </c>
      <c r="J15" s="69">
        <f>(T.[[#This Row],[data]]-(AVERAGE(T.[data])))/((_xlfn.STDEV.P(T.[data])*$J$37)+$I$37)</f>
        <v>-0.34668762264076824</v>
      </c>
      <c r="K15" s="70">
        <f>_xlfn.NORM.S.DIST(T.[[#This Row],[Za]],IF($K$5=0,"TRUE","false"))</f>
        <v>0.24403704658262404</v>
      </c>
      <c r="L15" s="70">
        <f>_xlfn.NORM.S.DIST(T.[[#This Row],[Zb]],IF($L$5=0,"TRUE","false"))</f>
        <v>0.36441300494615936</v>
      </c>
      <c r="M15" s="171">
        <f>1/SQRT(2*PI()*$R$2^2)*EXP(-((T.[[#This Row],[Za]]-$Q$2)^2)/(2*$R$2^2))</f>
        <v>0.31369843627095056</v>
      </c>
      <c r="N15" s="236">
        <f>ABS((ABS(T.[[#This Row],[Za]])+$N$5)*$I$2/SQRT($J$2))</f>
        <v>1.0144222051018561</v>
      </c>
      <c r="O15" s="236">
        <f>_xlfn.CONFIDENCE.NORM(ABS(T.[[#This Row],[Za]])+$N$5,$I$2,$J$2)</f>
        <v>0.54915173162745889</v>
      </c>
      <c r="P15" s="236">
        <f>$H$2+((ABS(T.[[#This Row],[Za]])+$N$5)*$I$2/SQRT($J$2))</f>
        <v>14.014422205101855</v>
      </c>
      <c r="Q15" s="70">
        <f>NORMDIST(T.[[#This Row],[Za]],$Q$2,$R$2,FALSE)</f>
        <v>0.31369843627095056</v>
      </c>
      <c r="R15" s="70">
        <f>NORMDIST(T.[[#This Row],[Zb]],$W$2,$X$2,FALSE)</f>
        <v>0.62739687254190113</v>
      </c>
      <c r="S15" s="70">
        <f>NORMDIST(T.[[#This Row],[Zb]],AVERAGE(T.[Zb]),_xlfn.STDEV.P(T.[Zb]),FALSE)</f>
        <v>0.62739687254190102</v>
      </c>
      <c r="T15" s="172">
        <f t="shared" si="0"/>
        <v>0.24403704658262404</v>
      </c>
      <c r="U15" s="172">
        <f>NORMSDIST(T.[[#This Row],[Za]])</f>
        <v>0.24403704658262404</v>
      </c>
      <c r="V15" s="172">
        <f>NORMSDIST(T.[[#This Row],[Zb]])</f>
        <v>0.36441300494615936</v>
      </c>
      <c r="W15" s="226">
        <f>($H$2)+T.[[#This Row],[Za]]*($I$2)</f>
        <v>8</v>
      </c>
      <c r="X15" s="226">
        <f>($H$2)+T.[[#This Row],[Zb]]*($I$2)</f>
        <v>10.5</v>
      </c>
      <c r="Y15" s="226"/>
      <c r="Z15" s="160"/>
      <c r="AA15" s="160"/>
      <c r="AB15" s="160"/>
      <c r="AC15" s="160"/>
      <c r="AD15" s="160"/>
      <c r="AF15" s="160"/>
      <c r="AG15" s="160"/>
      <c r="AH15" s="160"/>
      <c r="AJ15" s="160"/>
      <c r="AL15" s="160"/>
      <c r="AM15" s="160"/>
      <c r="AN15" s="160"/>
    </row>
    <row r="16" spans="1:40" ht="12.75" x14ac:dyDescent="0.2">
      <c r="A16" s="161"/>
      <c r="B16" s="161"/>
      <c r="C16" s="161"/>
      <c r="D16" s="161"/>
      <c r="E16" s="161"/>
      <c r="F16" s="161"/>
      <c r="G16" s="161"/>
      <c r="H16" s="170">
        <v>9</v>
      </c>
      <c r="I16" s="69">
        <f>(T.[[#This Row],[data]]-(AVERAGE(T.[data])))/(_xlfn.STDEV.P(T.[data]))</f>
        <v>-0.55470019622522915</v>
      </c>
      <c r="J16" s="69">
        <f>(T.[[#This Row],[data]]-(AVERAGE(T.[data])))/((_xlfn.STDEV.P(T.[data])*$J$37)+$I$37)</f>
        <v>-0.27735009811261457</v>
      </c>
      <c r="K16" s="70">
        <f>_xlfn.NORM.S.DIST(T.[[#This Row],[Za]],IF($K$5=0,"TRUE","false"))</f>
        <v>0.28954987097695939</v>
      </c>
      <c r="L16" s="70">
        <f>_xlfn.NORM.S.DIST(T.[[#This Row],[Zb]],IF($L$5=0,"TRUE","false"))</f>
        <v>0.39075564749935665</v>
      </c>
      <c r="M16" s="171">
        <f>1/SQRT(2*PI()*$R$2^2)*EXP(-((T.[[#This Row],[Za]]-$Q$2)^2)/(2*$R$2^2))</f>
        <v>0.34205467473499207</v>
      </c>
      <c r="N16" s="236">
        <f>ABS((ABS(T.[[#This Row],[Za]])+$N$5)*$I$2/SQRT($J$2))</f>
        <v>0.81442220510185592</v>
      </c>
      <c r="O16" s="236">
        <f>_xlfn.CONFIDENCE.NORM(ABS(T.[[#This Row],[Za]])+$N$5,$I$2,$J$2)</f>
        <v>0.83053762367556538</v>
      </c>
      <c r="P16" s="236">
        <f>$H$2+((ABS(T.[[#This Row],[Za]])+$N$5)*$I$2/SQRT($J$2))</f>
        <v>13.814422205101856</v>
      </c>
      <c r="Q16" s="70">
        <f>NORMDIST(T.[[#This Row],[Za]],$Q$2,$R$2,FALSE)</f>
        <v>0.34205467473499207</v>
      </c>
      <c r="R16" s="70">
        <f>NORMDIST(T.[[#This Row],[Zb]],$W$2,$X$2,FALSE)</f>
        <v>0.68410934946998414</v>
      </c>
      <c r="S16" s="70">
        <f>NORMDIST(T.[[#This Row],[Zb]],AVERAGE(T.[Zb]),_xlfn.STDEV.P(T.[Zb]),FALSE)</f>
        <v>0.68410934946998403</v>
      </c>
      <c r="T16" s="172">
        <f t="shared" si="0"/>
        <v>0.28954987097695939</v>
      </c>
      <c r="U16" s="172">
        <f>NORMSDIST(T.[[#This Row],[Za]])</f>
        <v>0.28954987097695939</v>
      </c>
      <c r="V16" s="172">
        <f>NORMSDIST(T.[[#This Row],[Zb]])</f>
        <v>0.39075564749935665</v>
      </c>
      <c r="W16" s="226">
        <f>($H$2)+T.[[#This Row],[Za]]*($I$2)</f>
        <v>9</v>
      </c>
      <c r="X16" s="226">
        <f>($H$2)+T.[[#This Row],[Zb]]*($I$2)</f>
        <v>11</v>
      </c>
      <c r="Y16" s="226"/>
      <c r="Z16" s="160"/>
      <c r="AA16" s="160"/>
      <c r="AB16" s="160"/>
      <c r="AC16" s="160"/>
      <c r="AD16" s="160"/>
      <c r="AF16" s="160"/>
      <c r="AG16" s="160"/>
      <c r="AH16" s="160"/>
      <c r="AJ16" s="160"/>
      <c r="AL16" s="160"/>
      <c r="AM16" s="160"/>
      <c r="AN16" s="160"/>
    </row>
    <row r="17" spans="1:40" ht="12.75" x14ac:dyDescent="0.2">
      <c r="A17" s="161"/>
      <c r="B17" s="161"/>
      <c r="C17" s="161"/>
      <c r="D17" s="161"/>
      <c r="E17" s="161"/>
      <c r="F17" s="161"/>
      <c r="G17" s="161"/>
      <c r="H17" s="170">
        <v>10</v>
      </c>
      <c r="I17" s="69">
        <f>(T.[[#This Row],[data]]-(AVERAGE(T.[data])))/(_xlfn.STDEV.P(T.[data]))</f>
        <v>-0.41602514716892186</v>
      </c>
      <c r="J17" s="69">
        <f>(T.[[#This Row],[data]]-(AVERAGE(T.[data])))/((_xlfn.STDEV.P(T.[data])*$J$37)+$I$37)</f>
        <v>-0.20801257358446093</v>
      </c>
      <c r="K17" s="70">
        <f>_xlfn.NORM.S.DIST(T.[[#This Row],[Za]],IF($K$5=0,"TRUE","false"))</f>
        <v>0.33869580096313867</v>
      </c>
      <c r="L17" s="70">
        <f>_xlfn.NORM.S.DIST(T.[[#This Row],[Zb]],IF($L$5=0,"TRUE","false"))</f>
        <v>0.41760957489251449</v>
      </c>
      <c r="M17" s="171">
        <f>1/SQRT(2*PI()*$R$2^2)*EXP(-((T.[[#This Row],[Za]]-$Q$2)^2)/(2*$R$2^2))</f>
        <v>0.36587007507280811</v>
      </c>
      <c r="N17" s="236">
        <f>ABS((ABS(T.[[#This Row],[Za]])+$N$5)*$I$2/SQRT($J$2))</f>
        <v>0.61442220510185597</v>
      </c>
      <c r="O17" s="236">
        <f>_xlfn.CONFIDENCE.NORM(ABS(T.[[#This Row],[Za]])+$N$5,$I$2,$J$2)</f>
        <v>1.1480246179783704</v>
      </c>
      <c r="P17" s="236">
        <f>$H$2+((ABS(T.[[#This Row],[Za]])+$N$5)*$I$2/SQRT($J$2))</f>
        <v>13.614422205101857</v>
      </c>
      <c r="Q17" s="70">
        <f>NORMDIST(T.[[#This Row],[Za]],$Q$2,$R$2,FALSE)</f>
        <v>0.36587007507280811</v>
      </c>
      <c r="R17" s="70">
        <f>NORMDIST(T.[[#This Row],[Zb]],$W$2,$X$2,FALSE)</f>
        <v>0.73174015014561622</v>
      </c>
      <c r="S17" s="70">
        <f>NORMDIST(T.[[#This Row],[Zb]],AVERAGE(T.[Zb]),_xlfn.STDEV.P(T.[Zb]),FALSE)</f>
        <v>0.73174015014561611</v>
      </c>
      <c r="T17" s="172">
        <f t="shared" si="0"/>
        <v>0.33869580096313867</v>
      </c>
      <c r="U17" s="172">
        <f>NORMSDIST(T.[[#This Row],[Za]])</f>
        <v>0.33869580096313867</v>
      </c>
      <c r="V17" s="172">
        <f>NORMSDIST(T.[[#This Row],[Zb]])</f>
        <v>0.41760957489251449</v>
      </c>
      <c r="W17" s="226">
        <f>($H$2)+T.[[#This Row],[Za]]*($I$2)</f>
        <v>10</v>
      </c>
      <c r="X17" s="226">
        <f>($H$2)+T.[[#This Row],[Zb]]*($I$2)</f>
        <v>11.5</v>
      </c>
      <c r="Y17" s="226"/>
      <c r="Z17" s="160"/>
      <c r="AA17" s="160"/>
      <c r="AB17" s="160"/>
      <c r="AC17" s="160"/>
      <c r="AD17" s="160"/>
      <c r="AF17" s="160"/>
      <c r="AG17" s="160"/>
      <c r="AH17" s="160"/>
      <c r="AJ17" s="160"/>
      <c r="AL17" s="160"/>
      <c r="AM17" s="160"/>
      <c r="AN17" s="160"/>
    </row>
    <row r="18" spans="1:40" ht="12.75" x14ac:dyDescent="0.2">
      <c r="A18" s="161"/>
      <c r="B18" s="161"/>
      <c r="C18" s="161"/>
      <c r="D18" s="161"/>
      <c r="E18" s="161"/>
      <c r="F18" s="161"/>
      <c r="G18" s="161"/>
      <c r="H18" s="170">
        <v>11</v>
      </c>
      <c r="I18" s="69">
        <f>(T.[[#This Row],[data]]-(AVERAGE(T.[data])))/(_xlfn.STDEV.P(T.[data]))</f>
        <v>-0.27735009811261457</v>
      </c>
      <c r="J18" s="69">
        <f>(T.[[#This Row],[data]]-(AVERAGE(T.[data])))/((_xlfn.STDEV.P(T.[data])*$J$37)+$I$37)</f>
        <v>-0.13867504905630729</v>
      </c>
      <c r="K18" s="70">
        <f>_xlfn.NORM.S.DIST(T.[[#This Row],[Za]],IF($K$5=0,"TRUE","false"))</f>
        <v>0.39075564749935665</v>
      </c>
      <c r="L18" s="70">
        <f>_xlfn.NORM.S.DIST(T.[[#This Row],[Zb]],IF($L$5=0,"TRUE","false"))</f>
        <v>0.4448534677665506</v>
      </c>
      <c r="M18" s="171">
        <f>1/SQRT(2*PI()*$R$2^2)*EXP(-((T.[[#This Row],[Za]]-$Q$2)^2)/(2*$R$2^2))</f>
        <v>0.38388967526703272</v>
      </c>
      <c r="N18" s="236">
        <f>ABS((ABS(T.[[#This Row],[Za]])+$N$5)*$I$2/SQRT($J$2))</f>
        <v>0.41442220510185601</v>
      </c>
      <c r="O18" s="236">
        <f>_xlfn.CONFIDENCE.NORM(ABS(T.[[#This Row],[Za]])+$N$5,$I$2,$J$2)</f>
        <v>1.5344544993386142</v>
      </c>
      <c r="P18" s="236">
        <f>$H$2+((ABS(T.[[#This Row],[Za]])+$N$5)*$I$2/SQRT($J$2))</f>
        <v>13.414422205101856</v>
      </c>
      <c r="Q18" s="70">
        <f>NORMDIST(T.[[#This Row],[Za]],$Q$2,$R$2,FALSE)</f>
        <v>0.38388967526703272</v>
      </c>
      <c r="R18" s="70">
        <f>NORMDIST(T.[[#This Row],[Zb]],$W$2,$X$2,FALSE)</f>
        <v>0.76777935053406543</v>
      </c>
      <c r="S18" s="70">
        <f>NORMDIST(T.[[#This Row],[Zb]],AVERAGE(T.[Zb]),_xlfn.STDEV.P(T.[Zb]),FALSE)</f>
        <v>0.76777935053406521</v>
      </c>
      <c r="T18" s="172">
        <f t="shared" si="0"/>
        <v>0.39075564749935665</v>
      </c>
      <c r="U18" s="172">
        <f>NORMSDIST(T.[[#This Row],[Za]])</f>
        <v>0.39075564749935665</v>
      </c>
      <c r="V18" s="172">
        <f>NORMSDIST(T.[[#This Row],[Zb]])</f>
        <v>0.4448534677665506</v>
      </c>
      <c r="W18" s="226">
        <f>($H$2)+T.[[#This Row],[Za]]*($I$2)</f>
        <v>11</v>
      </c>
      <c r="X18" s="226">
        <f>($H$2)+T.[[#This Row],[Zb]]*($I$2)</f>
        <v>12</v>
      </c>
      <c r="Y18" s="226"/>
      <c r="Z18" s="160"/>
      <c r="AA18" s="160"/>
      <c r="AB18" s="160"/>
      <c r="AC18" s="160"/>
      <c r="AD18" s="160"/>
      <c r="AF18" s="160"/>
      <c r="AG18" s="160"/>
      <c r="AH18" s="160"/>
      <c r="AJ18" s="160"/>
      <c r="AL18" s="160"/>
      <c r="AM18" s="160"/>
      <c r="AN18" s="160"/>
    </row>
    <row r="19" spans="1:40" ht="12.75" x14ac:dyDescent="0.2">
      <c r="A19" s="161"/>
      <c r="B19" s="161"/>
      <c r="C19" s="161"/>
      <c r="D19" s="161"/>
      <c r="E19" s="161"/>
      <c r="F19" s="161"/>
      <c r="G19" s="161"/>
      <c r="H19" s="170">
        <v>12</v>
      </c>
      <c r="I19" s="69">
        <f>(T.[[#This Row],[data]]-(AVERAGE(T.[data])))/(_xlfn.STDEV.P(T.[data]))</f>
        <v>-0.13867504905630729</v>
      </c>
      <c r="J19" s="69">
        <f>(T.[[#This Row],[data]]-(AVERAGE(T.[data])))/((_xlfn.STDEV.P(T.[data])*$J$37)+$I$37)</f>
        <v>-6.9337524528153643E-2</v>
      </c>
      <c r="K19" s="70">
        <f>_xlfn.NORM.S.DIST(T.[[#This Row],[Za]],IF($K$5=0,"TRUE","false"))</f>
        <v>0.4448534677665506</v>
      </c>
      <c r="L19" s="70">
        <f>_xlfn.NORM.S.DIST(T.[[#This Row],[Zb]],IF($L$5=0,"TRUE","false"))</f>
        <v>0.47236047867206349</v>
      </c>
      <c r="M19" s="171">
        <f>1/SQRT(2*PI()*$R$2^2)*EXP(-((T.[[#This Row],[Za]]-$Q$2)^2)/(2*$R$2^2))</f>
        <v>0.39512468019634539</v>
      </c>
      <c r="N19" s="236">
        <f>ABS((ABS(T.[[#This Row],[Za]])+$N$5)*$I$2/SQRT($J$2))</f>
        <v>0.21442220510185597</v>
      </c>
      <c r="O19" s="236">
        <f>_xlfn.CONFIDENCE.NORM(ABS(T.[[#This Row],[Za]])+$N$5,$I$2,$J$2)</f>
        <v>2.0828942279699185</v>
      </c>
      <c r="P19" s="236">
        <f>$H$2+((ABS(T.[[#This Row],[Za]])+$N$5)*$I$2/SQRT($J$2))</f>
        <v>13.214422205101856</v>
      </c>
      <c r="Q19" s="70">
        <f>NORMDIST(T.[[#This Row],[Za]],$Q$2,$R$2,FALSE)</f>
        <v>0.39512468019634539</v>
      </c>
      <c r="R19" s="70">
        <f>NORMDIST(T.[[#This Row],[Zb]],$W$2,$X$2,FALSE)</f>
        <v>0.79024936039269078</v>
      </c>
      <c r="S19" s="70">
        <f>NORMDIST(T.[[#This Row],[Zb]],AVERAGE(T.[Zb]),_xlfn.STDEV.P(T.[Zb]),FALSE)</f>
        <v>0.79024936039269067</v>
      </c>
      <c r="T19" s="172">
        <f t="shared" si="0"/>
        <v>0.4448534677665506</v>
      </c>
      <c r="U19" s="172">
        <f>NORMSDIST(T.[[#This Row],[Za]])</f>
        <v>0.4448534677665506</v>
      </c>
      <c r="V19" s="172">
        <f>NORMSDIST(T.[[#This Row],[Zb]])</f>
        <v>0.47236047867206349</v>
      </c>
      <c r="W19" s="226">
        <f>($H$2)+T.[[#This Row],[Za]]*($I$2)</f>
        <v>12</v>
      </c>
      <c r="X19" s="226">
        <f>($H$2)+T.[[#This Row],[Zb]]*($I$2)</f>
        <v>12.5</v>
      </c>
      <c r="Y19" s="226"/>
      <c r="Z19" s="160"/>
      <c r="AA19" s="160"/>
      <c r="AB19" s="160"/>
      <c r="AC19" s="160"/>
      <c r="AD19" s="160"/>
      <c r="AF19" s="160"/>
      <c r="AG19" s="160"/>
      <c r="AH19" s="160"/>
      <c r="AJ19" s="160"/>
      <c r="AL19" s="160"/>
      <c r="AM19" s="160"/>
      <c r="AN19" s="160"/>
    </row>
    <row r="20" spans="1:40" ht="12.75" x14ac:dyDescent="0.2">
      <c r="A20" s="161"/>
      <c r="B20" s="161"/>
      <c r="C20" s="161"/>
      <c r="D20" s="161"/>
      <c r="E20" s="161"/>
      <c r="F20" s="161"/>
      <c r="G20" s="161"/>
      <c r="H20" s="170">
        <v>13</v>
      </c>
      <c r="I20" s="69">
        <f>(T.[[#This Row],[data]]-(AVERAGE(T.[data])))/(_xlfn.STDEV.P(T.[data]))</f>
        <v>0</v>
      </c>
      <c r="J20" s="69">
        <f>(T.[[#This Row],[data]]-(AVERAGE(T.[data])))/((_xlfn.STDEV.P(T.[data])*$J$37)+$I$37)</f>
        <v>0</v>
      </c>
      <c r="K20" s="70">
        <f>_xlfn.NORM.S.DIST(T.[[#This Row],[Za]],IF($K$5=0,"TRUE","false"))</f>
        <v>0.5</v>
      </c>
      <c r="L20" s="70">
        <f>_xlfn.NORM.S.DIST(T.[[#This Row],[Zb]],IF($L$5=0,"TRUE","false"))</f>
        <v>0.5</v>
      </c>
      <c r="M20" s="171">
        <f>1/SQRT(2*PI()*$R$2^2)*EXP(-((T.[[#This Row],[Za]]-$Q$2)^2)/(2*$R$2^2))</f>
        <v>0.3989422804014327</v>
      </c>
      <c r="N20" s="236">
        <f>ABS((ABS(T.[[#This Row],[Za]])+$N$5)*$I$2/SQRT($J$2))</f>
        <v>1.442220510185597E-2</v>
      </c>
      <c r="O20" s="236">
        <f>_xlfn.CONFIDENCE.NORM(ABS(T.[[#This Row],[Za]])+$N$5,$I$2,$J$2)</f>
        <v>3.714913852315302</v>
      </c>
      <c r="P20" s="236">
        <f>$H$2+((ABS(T.[[#This Row],[Za]])+$N$5)*$I$2/SQRT($J$2))</f>
        <v>13.014422205101855</v>
      </c>
      <c r="Q20" s="70">
        <f>NORMDIST(T.[[#This Row],[Za]],$Q$2,$R$2,FALSE)</f>
        <v>0.3989422804014327</v>
      </c>
      <c r="R20" s="70">
        <f>NORMDIST(T.[[#This Row],[Zb]],$W$2,$X$2,FALSE)</f>
        <v>0.79788456080286541</v>
      </c>
      <c r="S20" s="70">
        <f>NORMDIST(T.[[#This Row],[Zb]],AVERAGE(T.[Zb]),_xlfn.STDEV.P(T.[Zb]),FALSE)</f>
        <v>0.79788456080286518</v>
      </c>
      <c r="T20" s="172">
        <f t="shared" si="0"/>
        <v>0.5</v>
      </c>
      <c r="U20" s="172">
        <f>NORMSDIST(T.[[#This Row],[Za]])</f>
        <v>0.5</v>
      </c>
      <c r="V20" s="172">
        <f>NORMSDIST(T.[[#This Row],[Zb]])</f>
        <v>0.5</v>
      </c>
      <c r="W20" s="226">
        <f>($H$2)+T.[[#This Row],[Za]]*($I$2)</f>
        <v>13</v>
      </c>
      <c r="X20" s="226">
        <f>($H$2)+T.[[#This Row],[Zb]]*($I$2)</f>
        <v>13</v>
      </c>
      <c r="Y20" s="226"/>
      <c r="Z20" s="160"/>
      <c r="AA20" s="160"/>
      <c r="AB20" s="160"/>
      <c r="AC20" s="160"/>
      <c r="AD20" s="160"/>
      <c r="AF20" s="160"/>
      <c r="AG20" s="160"/>
      <c r="AH20" s="160"/>
      <c r="AJ20" s="160"/>
      <c r="AL20" s="160"/>
      <c r="AM20" s="160"/>
      <c r="AN20" s="160"/>
    </row>
    <row r="21" spans="1:40" ht="12.75" x14ac:dyDescent="0.2">
      <c r="A21" s="161"/>
      <c r="B21" s="161"/>
      <c r="C21" s="161"/>
      <c r="D21" s="161"/>
      <c r="E21" s="161"/>
      <c r="F21" s="161"/>
      <c r="G21" s="161"/>
      <c r="H21" s="170">
        <v>14</v>
      </c>
      <c r="I21" s="69">
        <f>(T.[[#This Row],[data]]-(AVERAGE(T.[data])))/(_xlfn.STDEV.P(T.[data]))</f>
        <v>0.13867504905630729</v>
      </c>
      <c r="J21" s="69">
        <f>(T.[[#This Row],[data]]-(AVERAGE(T.[data])))/((_xlfn.STDEV.P(T.[data])*$J$37)+$I$37)</f>
        <v>6.9337524528153643E-2</v>
      </c>
      <c r="K21" s="70">
        <f>_xlfn.NORM.S.DIST(T.[[#This Row],[Za]],IF($K$5=0,"TRUE","false"))</f>
        <v>0.55514653223344945</v>
      </c>
      <c r="L21" s="70">
        <f>_xlfn.NORM.S.DIST(T.[[#This Row],[Zb]],IF($L$5=0,"TRUE","false"))</f>
        <v>0.52763952132793657</v>
      </c>
      <c r="M21" s="171">
        <f>1/SQRT(2*PI()*$R$2^2)*EXP(-((T.[[#This Row],[Za]]-$Q$2)^2)/(2*$R$2^2))</f>
        <v>0.39512468019634539</v>
      </c>
      <c r="N21" s="236">
        <f>ABS((ABS(T.[[#This Row],[Za]])+$N$5)*$I$2/SQRT($J$2))</f>
        <v>0.21442220510185597</v>
      </c>
      <c r="O21" s="236">
        <f>_xlfn.CONFIDENCE.NORM(ABS(T.[[#This Row],[Za]])+$N$5,$I$2,$J$2)</f>
        <v>2.0828942279699185</v>
      </c>
      <c r="P21" s="236">
        <f>$H$2+((ABS(T.[[#This Row],[Za]])+$N$5)*$I$2/SQRT($J$2))</f>
        <v>13.214422205101856</v>
      </c>
      <c r="Q21" s="70">
        <f>NORMDIST(T.[[#This Row],[Za]],$Q$2,$R$2,FALSE)</f>
        <v>0.39512468019634539</v>
      </c>
      <c r="R21" s="70">
        <f>NORMDIST(T.[[#This Row],[Zb]],$W$2,$X$2,FALSE)</f>
        <v>0.79024936039269078</v>
      </c>
      <c r="S21" s="70">
        <f>NORMDIST(T.[[#This Row],[Zb]],AVERAGE(T.[Zb]),_xlfn.STDEV.P(T.[Zb]),FALSE)</f>
        <v>0.79024936039269067</v>
      </c>
      <c r="T21" s="172">
        <f t="shared" si="0"/>
        <v>0.55514653223344945</v>
      </c>
      <c r="U21" s="172">
        <f>NORMSDIST(T.[[#This Row],[Za]])</f>
        <v>0.55514653223344945</v>
      </c>
      <c r="V21" s="172">
        <f>NORMSDIST(T.[[#This Row],[Zb]])</f>
        <v>0.52763952132793657</v>
      </c>
      <c r="W21" s="226">
        <f>($H$2)+T.[[#This Row],[Za]]*($I$2)</f>
        <v>14</v>
      </c>
      <c r="X21" s="226">
        <f>($H$2)+T.[[#This Row],[Zb]]*($I$2)</f>
        <v>13.5</v>
      </c>
      <c r="Y21" s="226"/>
      <c r="Z21" s="160"/>
      <c r="AA21" s="160"/>
      <c r="AB21" s="160"/>
      <c r="AC21" s="160"/>
      <c r="AD21" s="160"/>
      <c r="AF21" s="160"/>
      <c r="AG21" s="160"/>
      <c r="AH21" s="160"/>
      <c r="AJ21" s="160"/>
      <c r="AL21" s="160"/>
      <c r="AM21" s="160"/>
      <c r="AN21" s="160"/>
    </row>
    <row r="22" spans="1:40" ht="12.75" x14ac:dyDescent="0.2">
      <c r="A22" s="161"/>
      <c r="B22" s="161"/>
      <c r="C22" s="161"/>
      <c r="D22" s="161"/>
      <c r="E22" s="161"/>
      <c r="F22" s="161"/>
      <c r="G22" s="161"/>
      <c r="H22" s="170">
        <v>15</v>
      </c>
      <c r="I22" s="69">
        <f>(T.[[#This Row],[data]]-(AVERAGE(T.[data])))/(_xlfn.STDEV.P(T.[data]))</f>
        <v>0.27735009811261457</v>
      </c>
      <c r="J22" s="69">
        <f>(T.[[#This Row],[data]]-(AVERAGE(T.[data])))/((_xlfn.STDEV.P(T.[data])*$J$37)+$I$37)</f>
        <v>0.13867504905630729</v>
      </c>
      <c r="K22" s="70">
        <f>_xlfn.NORM.S.DIST(T.[[#This Row],[Za]],IF($K$5=0,"TRUE","false"))</f>
        <v>0.60924435250064335</v>
      </c>
      <c r="L22" s="70">
        <f>_xlfn.NORM.S.DIST(T.[[#This Row],[Zb]],IF($L$5=0,"TRUE","false"))</f>
        <v>0.55514653223344945</v>
      </c>
      <c r="M22" s="171">
        <f>1/SQRT(2*PI()*$R$2^2)*EXP(-((T.[[#This Row],[Za]]-$Q$2)^2)/(2*$R$2^2))</f>
        <v>0.38388967526703272</v>
      </c>
      <c r="N22" s="236">
        <f>ABS((ABS(T.[[#This Row],[Za]])+$N$5)*$I$2/SQRT($J$2))</f>
        <v>0.41442220510185601</v>
      </c>
      <c r="O22" s="236">
        <f>_xlfn.CONFIDENCE.NORM(ABS(T.[[#This Row],[Za]])+$N$5,$I$2,$J$2)</f>
        <v>1.5344544993386142</v>
      </c>
      <c r="P22" s="236">
        <f>$H$2+((ABS(T.[[#This Row],[Za]])+$N$5)*$I$2/SQRT($J$2))</f>
        <v>13.414422205101856</v>
      </c>
      <c r="Q22" s="70">
        <f>NORMDIST(T.[[#This Row],[Za]],$Q$2,$R$2,FALSE)</f>
        <v>0.38388967526703272</v>
      </c>
      <c r="R22" s="70">
        <f>NORMDIST(T.[[#This Row],[Zb]],$W$2,$X$2,FALSE)</f>
        <v>0.76777935053406543</v>
      </c>
      <c r="S22" s="70">
        <f>NORMDIST(T.[[#This Row],[Zb]],AVERAGE(T.[Zb]),_xlfn.STDEV.P(T.[Zb]),FALSE)</f>
        <v>0.76777935053406521</v>
      </c>
      <c r="T22" s="172">
        <f t="shared" si="0"/>
        <v>0.60924435250064335</v>
      </c>
      <c r="U22" s="172">
        <f>NORMSDIST(T.[[#This Row],[Za]])</f>
        <v>0.60924435250064335</v>
      </c>
      <c r="V22" s="172">
        <f>NORMSDIST(T.[[#This Row],[Zb]])</f>
        <v>0.55514653223344945</v>
      </c>
      <c r="W22" s="226">
        <f>($H$2)+T.[[#This Row],[Za]]*($I$2)</f>
        <v>15</v>
      </c>
      <c r="X22" s="226">
        <f>($H$2)+T.[[#This Row],[Zb]]*($I$2)</f>
        <v>14</v>
      </c>
      <c r="Y22" s="226"/>
      <c r="Z22" s="160"/>
      <c r="AA22" s="160"/>
      <c r="AB22" s="160"/>
      <c r="AC22" s="160"/>
      <c r="AD22" s="160"/>
      <c r="AF22" s="160"/>
      <c r="AG22" s="160"/>
      <c r="AH22" s="160"/>
      <c r="AJ22" s="160"/>
      <c r="AL22" s="160"/>
      <c r="AM22" s="160"/>
      <c r="AN22" s="160"/>
    </row>
    <row r="23" spans="1:40" ht="12.75" x14ac:dyDescent="0.2">
      <c r="A23" s="161"/>
      <c r="B23" s="161"/>
      <c r="C23" s="161"/>
      <c r="D23" s="161"/>
      <c r="E23" s="161"/>
      <c r="F23" s="161"/>
      <c r="G23" s="161"/>
      <c r="H23" s="170">
        <v>16</v>
      </c>
      <c r="I23" s="135">
        <f>(T.[[#This Row],[data]]-(AVERAGE(T.[data])))/(_xlfn.STDEV.P(T.[data]))</f>
        <v>0.41602514716892186</v>
      </c>
      <c r="J23" s="69">
        <f>(T.[[#This Row],[data]]-(AVERAGE(T.[data])))/((_xlfn.STDEV.P(T.[data])*$J$37)+$I$37)</f>
        <v>0.20801257358446093</v>
      </c>
      <c r="K23" s="70">
        <f>_xlfn.NORM.S.DIST(T.[[#This Row],[Za]],IF($K$5=0,"TRUE","false"))</f>
        <v>0.66130419903686133</v>
      </c>
      <c r="L23" s="70">
        <f>_xlfn.NORM.S.DIST(T.[[#This Row],[Zb]],IF($L$5=0,"TRUE","false"))</f>
        <v>0.58239042510748551</v>
      </c>
      <c r="M23" s="171">
        <f>1/SQRT(2*PI()*$R$2^2)*EXP(-((T.[[#This Row],[Za]]-$Q$2)^2)/(2*$R$2^2))</f>
        <v>0.36587007507280811</v>
      </c>
      <c r="N23" s="236">
        <f>ABS((ABS(T.[[#This Row],[Za]])+$N$5)*$I$2/SQRT($J$2))</f>
        <v>0.61442220510185597</v>
      </c>
      <c r="O23" s="236">
        <f>_xlfn.CONFIDENCE.NORM(ABS(T.[[#This Row],[Za]])+$N$5,$I$2,$J$2)</f>
        <v>1.1480246179783704</v>
      </c>
      <c r="P23" s="236">
        <f>$H$2+((ABS(T.[[#This Row],[Za]])+$N$5)*$I$2/SQRT($J$2))</f>
        <v>13.614422205101857</v>
      </c>
      <c r="Q23" s="70">
        <f>NORMDIST(T.[[#This Row],[Za]],$Q$2,$R$2,FALSE)</f>
        <v>0.36587007507280811</v>
      </c>
      <c r="R23" s="70">
        <f>NORMDIST(T.[[#This Row],[Zb]],$W$2,$X$2,FALSE)</f>
        <v>0.73174015014561622</v>
      </c>
      <c r="S23" s="70">
        <f>NORMDIST(T.[[#This Row],[Zb]],AVERAGE(T.[Zb]),_xlfn.STDEV.P(T.[Zb]),FALSE)</f>
        <v>0.73174015014561611</v>
      </c>
      <c r="T23" s="172">
        <f t="shared" si="0"/>
        <v>0.66130419903686133</v>
      </c>
      <c r="U23" s="172">
        <f>NORMSDIST(T.[[#This Row],[Za]])</f>
        <v>0.66130419903686133</v>
      </c>
      <c r="V23" s="172">
        <f>NORMSDIST(T.[[#This Row],[Zb]])</f>
        <v>0.58239042510748551</v>
      </c>
      <c r="W23" s="226">
        <f>($H$2)+T.[[#This Row],[Za]]*($I$2)</f>
        <v>16</v>
      </c>
      <c r="X23" s="226">
        <f>($H$2)+T.[[#This Row],[Zb]]*($I$2)</f>
        <v>14.5</v>
      </c>
      <c r="Y23" s="226"/>
      <c r="Z23" s="160"/>
      <c r="AA23" s="160"/>
      <c r="AB23" s="160"/>
      <c r="AC23" s="160"/>
      <c r="AD23" s="160"/>
      <c r="AF23" s="160"/>
      <c r="AG23" s="160"/>
      <c r="AH23" s="160"/>
      <c r="AJ23" s="160"/>
      <c r="AL23" s="160"/>
      <c r="AM23" s="160"/>
      <c r="AN23" s="160"/>
    </row>
    <row r="24" spans="1:40" ht="12.75" x14ac:dyDescent="0.2">
      <c r="A24" s="161"/>
      <c r="B24" s="161"/>
      <c r="C24" s="161"/>
      <c r="D24" s="161"/>
      <c r="E24" s="161"/>
      <c r="F24" s="161"/>
      <c r="G24" s="161"/>
      <c r="H24" s="170">
        <v>17</v>
      </c>
      <c r="I24" s="135">
        <f>(T.[[#This Row],[data]]-(AVERAGE(T.[data])))/(_xlfn.STDEV.P(T.[data]))</f>
        <v>0.55470019622522915</v>
      </c>
      <c r="J24" s="69">
        <f>(T.[[#This Row],[data]]-(AVERAGE(T.[data])))/((_xlfn.STDEV.P(T.[data])*$J$37)+$I$37)</f>
        <v>0.27735009811261457</v>
      </c>
      <c r="K24" s="70">
        <f>_xlfn.NORM.S.DIST(T.[[#This Row],[Za]],IF($K$5=0,"TRUE","false"))</f>
        <v>0.71045012902304061</v>
      </c>
      <c r="L24" s="70">
        <f>_xlfn.NORM.S.DIST(T.[[#This Row],[Zb]],IF($L$5=0,"TRUE","false"))</f>
        <v>0.60924435250064335</v>
      </c>
      <c r="M24" s="171">
        <f>1/SQRT(2*PI()*$R$2^2)*EXP(-((T.[[#This Row],[Za]]-$Q$2)^2)/(2*$R$2^2))</f>
        <v>0.34205467473499207</v>
      </c>
      <c r="N24" s="236">
        <f>ABS((ABS(T.[[#This Row],[Za]])+$N$5)*$I$2/SQRT($J$2))</f>
        <v>0.81442220510185592</v>
      </c>
      <c r="O24" s="236">
        <f>_xlfn.CONFIDENCE.NORM(ABS(T.[[#This Row],[Za]])+$N$5,$I$2,$J$2)</f>
        <v>0.83053762367556538</v>
      </c>
      <c r="P24" s="236">
        <f>$H$2+((ABS(T.[[#This Row],[Za]])+$N$5)*$I$2/SQRT($J$2))</f>
        <v>13.814422205101856</v>
      </c>
      <c r="Q24" s="70">
        <f>NORMDIST(T.[[#This Row],[Za]],$Q$2,$R$2,FALSE)</f>
        <v>0.34205467473499207</v>
      </c>
      <c r="R24" s="70">
        <f>NORMDIST(T.[[#This Row],[Zb]],$W$2,$X$2,FALSE)</f>
        <v>0.68410934946998414</v>
      </c>
      <c r="S24" s="70">
        <f>NORMDIST(T.[[#This Row],[Zb]],AVERAGE(T.[Zb]),_xlfn.STDEV.P(T.[Zb]),FALSE)</f>
        <v>0.68410934946998403</v>
      </c>
      <c r="T24" s="172">
        <f t="shared" si="0"/>
        <v>0.71045012902304061</v>
      </c>
      <c r="U24" s="172">
        <f>NORMSDIST(T.[[#This Row],[Za]])</f>
        <v>0.71045012902304061</v>
      </c>
      <c r="V24" s="172">
        <f>NORMSDIST(T.[[#This Row],[Zb]])</f>
        <v>0.60924435250064335</v>
      </c>
      <c r="W24" s="226">
        <f>($H$2)+T.[[#This Row],[Za]]*($I$2)</f>
        <v>17</v>
      </c>
      <c r="X24" s="226">
        <f>($H$2)+T.[[#This Row],[Zb]]*($I$2)</f>
        <v>15</v>
      </c>
      <c r="Y24" s="226"/>
      <c r="Z24" s="160"/>
      <c r="AA24" s="160"/>
      <c r="AB24" s="160"/>
      <c r="AC24" s="160"/>
      <c r="AD24" s="160"/>
      <c r="AF24" s="160"/>
      <c r="AG24" s="160"/>
      <c r="AH24" s="160"/>
      <c r="AJ24" s="160"/>
      <c r="AL24" s="160"/>
      <c r="AM24" s="160"/>
      <c r="AN24" s="160"/>
    </row>
    <row r="25" spans="1:40" ht="12.75" x14ac:dyDescent="0.2">
      <c r="A25" s="161"/>
      <c r="B25" s="161"/>
      <c r="C25" s="161"/>
      <c r="D25" s="161"/>
      <c r="E25" s="161"/>
      <c r="F25" s="161"/>
      <c r="G25" s="161"/>
      <c r="H25" s="170">
        <v>18</v>
      </c>
      <c r="I25" s="135">
        <f>(T.[[#This Row],[data]]-(AVERAGE(T.[data])))/(_xlfn.STDEV.P(T.[data]))</f>
        <v>0.69337524528153649</v>
      </c>
      <c r="J25" s="69">
        <f>(T.[[#This Row],[data]]-(AVERAGE(T.[data])))/((_xlfn.STDEV.P(T.[data])*$J$37)+$I$37)</f>
        <v>0.34668762264076824</v>
      </c>
      <c r="K25" s="70">
        <f>_xlfn.NORM.S.DIST(T.[[#This Row],[Za]],IF($K$5=0,"TRUE","false"))</f>
        <v>0.75596295341737596</v>
      </c>
      <c r="L25" s="70">
        <f>_xlfn.NORM.S.DIST(T.[[#This Row],[Zb]],IF($L$5=0,"TRUE","false"))</f>
        <v>0.63558699505384064</v>
      </c>
      <c r="M25" s="171">
        <f>1/SQRT(2*PI()*$R$2^2)*EXP(-((T.[[#This Row],[Za]]-$Q$2)^2)/(2*$R$2^2))</f>
        <v>0.31369843627095056</v>
      </c>
      <c r="N25" s="236">
        <f>ABS((ABS(T.[[#This Row],[Za]])+$N$5)*$I$2/SQRT($J$2))</f>
        <v>1.0144222051018561</v>
      </c>
      <c r="O25" s="236">
        <f>_xlfn.CONFIDENCE.NORM(ABS(T.[[#This Row],[Za]])+$N$5,$I$2,$J$2)</f>
        <v>0.54915173162745889</v>
      </c>
      <c r="P25" s="236">
        <f>$H$2+((ABS(T.[[#This Row],[Za]])+$N$5)*$I$2/SQRT($J$2))</f>
        <v>14.014422205101855</v>
      </c>
      <c r="Q25" s="70">
        <f>NORMDIST(T.[[#This Row],[Za]],$Q$2,$R$2,FALSE)</f>
        <v>0.31369843627095056</v>
      </c>
      <c r="R25" s="70">
        <f>NORMDIST(T.[[#This Row],[Zb]],$W$2,$X$2,FALSE)</f>
        <v>0.62739687254190113</v>
      </c>
      <c r="S25" s="70">
        <f>NORMDIST(T.[[#This Row],[Zb]],AVERAGE(T.[Zb]),_xlfn.STDEV.P(T.[Zb]),FALSE)</f>
        <v>0.62739687254190102</v>
      </c>
      <c r="T25" s="172">
        <f t="shared" si="0"/>
        <v>0.75596295341737596</v>
      </c>
      <c r="U25" s="172">
        <f>NORMSDIST(T.[[#This Row],[Za]])</f>
        <v>0.75596295341737596</v>
      </c>
      <c r="V25" s="172">
        <f>NORMSDIST(T.[[#This Row],[Zb]])</f>
        <v>0.63558699505384064</v>
      </c>
      <c r="W25" s="226">
        <f>($H$2)+T.[[#This Row],[Za]]*($I$2)</f>
        <v>18</v>
      </c>
      <c r="X25" s="226">
        <f>($H$2)+T.[[#This Row],[Zb]]*($I$2)</f>
        <v>15.5</v>
      </c>
      <c r="Y25" s="226"/>
      <c r="Z25" s="160"/>
      <c r="AA25" s="160"/>
      <c r="AB25" s="160"/>
      <c r="AC25" s="160"/>
      <c r="AD25" s="160"/>
      <c r="AF25" s="160"/>
      <c r="AG25" s="160"/>
      <c r="AH25" s="160"/>
      <c r="AJ25" s="160"/>
      <c r="AL25" s="160"/>
      <c r="AM25" s="160"/>
      <c r="AN25" s="160"/>
    </row>
    <row r="26" spans="1:40" x14ac:dyDescent="0.25">
      <c r="A26" s="161"/>
      <c r="B26" s="161"/>
      <c r="C26" s="161"/>
      <c r="D26" s="161"/>
      <c r="E26" s="161"/>
      <c r="F26" s="161"/>
      <c r="G26" s="161"/>
      <c r="H26" s="170">
        <v>19</v>
      </c>
      <c r="I26" s="135">
        <f>(T.[[#This Row],[data]]-(AVERAGE(T.[data])))/(_xlfn.STDEV.P(T.[data]))</f>
        <v>0.83205029433784372</v>
      </c>
      <c r="J26" s="69">
        <f>(T.[[#This Row],[data]]-(AVERAGE(T.[data])))/((_xlfn.STDEV.P(T.[data])*$J$37)+$I$37)</f>
        <v>0.41602514716892186</v>
      </c>
      <c r="K26" s="70">
        <f>_xlfn.NORM.S.DIST(T.[[#This Row],[Za]],IF($K$5=0,"TRUE","false"))</f>
        <v>0.79730972177052883</v>
      </c>
      <c r="L26" s="70">
        <f>_xlfn.NORM.S.DIST(T.[[#This Row],[Zb]],IF($L$5=0,"TRUE","false"))</f>
        <v>0.66130419903686133</v>
      </c>
      <c r="M26" s="171">
        <f>1/SQRT(2*PI()*$R$2^2)*EXP(-((T.[[#This Row],[Za]]-$Q$2)^2)/(2*$R$2^2))</f>
        <v>0.28221322425966744</v>
      </c>
      <c r="N26" s="236">
        <f>ABS((ABS(T.[[#This Row],[Za]])+$N$5)*$I$2/SQRT($J$2))</f>
        <v>1.2144222051018558</v>
      </c>
      <c r="O26" s="236">
        <f>_xlfn.CONFIDENCE.NORM(ABS(T.[[#This Row],[Za]])+$N$5,$I$2,$J$2)</f>
        <v>0.28739358719224778</v>
      </c>
      <c r="P26" s="236">
        <f>$H$2+((ABS(T.[[#This Row],[Za]])+$N$5)*$I$2/SQRT($J$2))</f>
        <v>14.214422205101856</v>
      </c>
      <c r="Q26" s="70">
        <f>NORMDIST(T.[[#This Row],[Za]],$Q$2,$R$2,FALSE)</f>
        <v>0.28221322425966744</v>
      </c>
      <c r="R26" s="70">
        <f>NORMDIST(T.[[#This Row],[Zb]],$W$2,$X$2,FALSE)</f>
        <v>0.56442644851933488</v>
      </c>
      <c r="S26" s="70">
        <f>NORMDIST(T.[[#This Row],[Zb]],AVERAGE(T.[Zb]),_xlfn.STDEV.P(T.[Zb]),FALSE)</f>
        <v>0.56442644851933488</v>
      </c>
      <c r="T26" s="172">
        <f t="shared" si="0"/>
        <v>0.79730972177052883</v>
      </c>
      <c r="U26" s="172">
        <f>NORMSDIST(T.[[#This Row],[Za]])</f>
        <v>0.79730972177052883</v>
      </c>
      <c r="V26" s="172">
        <f>NORMSDIST(T.[[#This Row],[Zb]])</f>
        <v>0.66130419903686133</v>
      </c>
      <c r="W26" s="226">
        <f>($H$2)+T.[[#This Row],[Za]]*($I$2)</f>
        <v>19</v>
      </c>
      <c r="X26" s="226">
        <f>($H$2)+T.[[#This Row],[Zb]]*($I$2)</f>
        <v>16</v>
      </c>
      <c r="Y26" s="226"/>
      <c r="AA26" s="160"/>
      <c r="AB26" s="160"/>
      <c r="AC26" s="160"/>
      <c r="AD26" s="160"/>
      <c r="AF26" s="160"/>
      <c r="AG26" s="160"/>
      <c r="AH26" s="160"/>
      <c r="AJ26" s="160"/>
      <c r="AL26" s="160"/>
      <c r="AM26" s="160"/>
      <c r="AN26" s="160"/>
    </row>
    <row r="27" spans="1:40" ht="12.75" x14ac:dyDescent="0.2">
      <c r="A27" s="161"/>
      <c r="B27" s="161"/>
      <c r="C27" s="161"/>
      <c r="D27" s="161"/>
      <c r="E27" s="161"/>
      <c r="F27" s="161"/>
      <c r="G27" s="161"/>
      <c r="H27" s="170">
        <v>20</v>
      </c>
      <c r="I27" s="135">
        <f>(T.[[#This Row],[data]]-(AVERAGE(T.[data])))/(_xlfn.STDEV.P(T.[data]))</f>
        <v>0.97072534339415106</v>
      </c>
      <c r="J27" s="69">
        <f>(T.[[#This Row],[data]]-(AVERAGE(T.[data])))/((_xlfn.STDEV.P(T.[data])*$J$37)+$I$37)</f>
        <v>0.48536267169707553</v>
      </c>
      <c r="K27" s="70">
        <f>_xlfn.NORM.S.DIST(T.[[#This Row],[Za]],IF($K$5=0,"TRUE","false"))</f>
        <v>0.83415746597156881</v>
      </c>
      <c r="L27" s="70">
        <f>_xlfn.NORM.S.DIST(T.[[#This Row],[Zb]],IF($L$5=0,"TRUE","false"))</f>
        <v>0.68629044681695017</v>
      </c>
      <c r="M27" s="171">
        <f>1/SQRT(2*PI()*$R$2^2)*EXP(-((T.[[#This Row],[Za]]-$Q$2)^2)/(2*$R$2^2))</f>
        <v>0.24905229627756828</v>
      </c>
      <c r="N27" s="236">
        <f>ABS((ABS(T.[[#This Row],[Za]])+$N$5)*$I$2/SQRT($J$2))</f>
        <v>1.414422205101856</v>
      </c>
      <c r="O27" s="236">
        <f>_xlfn.CONFIDENCE.NORM(ABS(T.[[#This Row],[Za]])+$N$5,$I$2,$J$2)</f>
        <v>3.4843398046176123E-2</v>
      </c>
      <c r="P27" s="236">
        <f>$H$2+((ABS(T.[[#This Row],[Za]])+$N$5)*$I$2/SQRT($J$2))</f>
        <v>14.414422205101856</v>
      </c>
      <c r="Q27" s="70">
        <f>NORMDIST(T.[[#This Row],[Za]],$Q$2,$R$2,FALSE)</f>
        <v>0.24905229627756828</v>
      </c>
      <c r="R27" s="70">
        <f>NORMDIST(T.[[#This Row],[Zb]],$W$2,$X$2,FALSE)</f>
        <v>0.49810459255513656</v>
      </c>
      <c r="S27" s="70">
        <f>NORMDIST(T.[[#This Row],[Zb]],AVERAGE(T.[Zb]),_xlfn.STDEV.P(T.[Zb]),FALSE)</f>
        <v>0.49810459255513656</v>
      </c>
      <c r="T27" s="172">
        <f t="shared" si="0"/>
        <v>0.83415746597156881</v>
      </c>
      <c r="U27" s="172">
        <f>NORMSDIST(T.[[#This Row],[Za]])</f>
        <v>0.83415746597156881</v>
      </c>
      <c r="V27" s="172">
        <f>NORMSDIST(T.[[#This Row],[Zb]])</f>
        <v>0.68629044681695017</v>
      </c>
      <c r="W27" s="226">
        <f>($H$2)+T.[[#This Row],[Za]]*($I$2)</f>
        <v>20</v>
      </c>
      <c r="X27" s="226">
        <f>($H$2)+T.[[#This Row],[Zb]]*($I$2)</f>
        <v>16.5</v>
      </c>
      <c r="Y27" s="226"/>
      <c r="Z27" s="160"/>
      <c r="AA27" s="160"/>
      <c r="AB27" s="160"/>
      <c r="AC27" s="160"/>
      <c r="AD27" s="160"/>
      <c r="AF27" s="160"/>
      <c r="AG27" s="160"/>
      <c r="AH27" s="160"/>
      <c r="AJ27" s="160"/>
      <c r="AL27" s="160"/>
      <c r="AM27" s="160"/>
      <c r="AN27" s="160"/>
    </row>
    <row r="28" spans="1:40" ht="12.75" x14ac:dyDescent="0.2">
      <c r="A28" s="161"/>
      <c r="B28" s="161"/>
      <c r="C28" s="161"/>
      <c r="D28" s="161"/>
      <c r="E28" s="161"/>
      <c r="F28" s="161"/>
      <c r="G28" s="161"/>
      <c r="H28" s="170">
        <v>21</v>
      </c>
      <c r="I28" s="135">
        <f>(T.[[#This Row],[data]]-(AVERAGE(T.[data])))/(_xlfn.STDEV.P(T.[data]))</f>
        <v>1.1094003924504583</v>
      </c>
      <c r="J28" s="69">
        <f>(T.[[#This Row],[data]]-(AVERAGE(T.[data])))/((_xlfn.STDEV.P(T.[data])*$J$37)+$I$37)</f>
        <v>0.55470019622522915</v>
      </c>
      <c r="K28" s="70">
        <f>_xlfn.NORM.S.DIST(T.[[#This Row],[Za]],IF($K$5=0,"TRUE","false"))</f>
        <v>0.86637125342280608</v>
      </c>
      <c r="L28" s="70">
        <f>_xlfn.NORM.S.DIST(T.[[#This Row],[Zb]],IF($L$5=0,"TRUE","false"))</f>
        <v>0.71045012902304061</v>
      </c>
      <c r="M28" s="171">
        <f>1/SQRT(2*PI()*$R$2^2)*EXP(-((T.[[#This Row],[Za]]-$Q$2)^2)/(2*$R$2^2))</f>
        <v>0.21560157202251737</v>
      </c>
      <c r="N28" s="236">
        <f>ABS((ABS(T.[[#This Row],[Za]])+$N$5)*$I$2/SQRT($J$2))</f>
        <v>1.614422205101856</v>
      </c>
      <c r="O28" s="236" t="e">
        <f>_xlfn.CONFIDENCE.NORM(ABS(T.[[#This Row],[Za]])+$N$5,$I$2,$J$2)</f>
        <v>#NUM!</v>
      </c>
      <c r="P28" s="236">
        <f>$H$2+((ABS(T.[[#This Row],[Za]])+$N$5)*$I$2/SQRT($J$2))</f>
        <v>14.614422205101857</v>
      </c>
      <c r="Q28" s="70">
        <f>NORMDIST(T.[[#This Row],[Za]],$Q$2,$R$2,FALSE)</f>
        <v>0.21560157202251737</v>
      </c>
      <c r="R28" s="70">
        <f>NORMDIST(T.[[#This Row],[Zb]],$W$2,$X$2,FALSE)</f>
        <v>0.43120314404503474</v>
      </c>
      <c r="S28" s="70">
        <f>NORMDIST(T.[[#This Row],[Zb]],AVERAGE(T.[Zb]),_xlfn.STDEV.P(T.[Zb]),FALSE)</f>
        <v>0.43120314404503474</v>
      </c>
      <c r="T28" s="172">
        <f t="shared" si="0"/>
        <v>0.86637125342280608</v>
      </c>
      <c r="U28" s="172">
        <f>NORMSDIST(T.[[#This Row],[Za]])</f>
        <v>0.86637125342280608</v>
      </c>
      <c r="V28" s="172">
        <f>NORMSDIST(T.[[#This Row],[Zb]])</f>
        <v>0.71045012902304061</v>
      </c>
      <c r="W28" s="226">
        <f>($H$2)+T.[[#This Row],[Za]]*($I$2)</f>
        <v>21</v>
      </c>
      <c r="X28" s="226">
        <f>($H$2)+T.[[#This Row],[Zb]]*($I$2)</f>
        <v>17</v>
      </c>
      <c r="Y28" s="226"/>
      <c r="Z28" s="160"/>
      <c r="AA28" s="160"/>
      <c r="AB28" s="160"/>
      <c r="AC28" s="160"/>
      <c r="AD28" s="160"/>
      <c r="AF28" s="160"/>
      <c r="AG28" s="160"/>
      <c r="AH28" s="160"/>
      <c r="AJ28" s="160"/>
      <c r="AL28" s="160"/>
      <c r="AM28" s="160"/>
      <c r="AN28" s="160"/>
    </row>
    <row r="29" spans="1:40" ht="12.75" x14ac:dyDescent="0.2">
      <c r="A29" s="161"/>
      <c r="B29" s="161"/>
      <c r="C29" s="161"/>
      <c r="D29" s="161"/>
      <c r="E29" s="161"/>
      <c r="F29" s="161"/>
      <c r="G29" s="161"/>
      <c r="H29" s="170">
        <v>22</v>
      </c>
      <c r="I29" s="135">
        <f>(T.[[#This Row],[data]]-(AVERAGE(T.[data])))/(_xlfn.STDEV.P(T.[data]))</f>
        <v>1.2480754415067656</v>
      </c>
      <c r="J29" s="69">
        <f>(T.[[#This Row],[data]]-(AVERAGE(T.[data])))/((_xlfn.STDEV.P(T.[data])*$J$37)+$I$37)</f>
        <v>0.62403772075338282</v>
      </c>
      <c r="K29" s="70">
        <f>_xlfn.NORM.S.DIST(T.[[#This Row],[Za]],IF($K$5=0,"TRUE","false"))</f>
        <v>0.89399828453858721</v>
      </c>
      <c r="L29" s="70">
        <f>_xlfn.NORM.S.DIST(T.[[#This Row],[Zb]],IF($L$5=0,"TRUE","false"))</f>
        <v>0.73369859353176303</v>
      </c>
      <c r="M29" s="171">
        <f>1/SQRT(2*PI()*$R$2^2)*EXP(-((T.[[#This Row],[Za]]-$Q$2)^2)/(2*$R$2^2))</f>
        <v>0.18308867383025043</v>
      </c>
      <c r="N29" s="236">
        <f>ABS((ABS(T.[[#This Row],[Za]])+$N$5)*$I$2/SQRT($J$2))</f>
        <v>1.8144222051018559</v>
      </c>
      <c r="O29" s="236" t="e">
        <f>_xlfn.CONFIDENCE.NORM(ABS(T.[[#This Row],[Za]])+$N$5,$I$2,$J$2)</f>
        <v>#NUM!</v>
      </c>
      <c r="P29" s="236">
        <f>$H$2+((ABS(T.[[#This Row],[Za]])+$N$5)*$I$2/SQRT($J$2))</f>
        <v>14.814422205101856</v>
      </c>
      <c r="Q29" s="70">
        <f>NORMDIST(T.[[#This Row],[Za]],$Q$2,$R$2,FALSE)</f>
        <v>0.18308867383025043</v>
      </c>
      <c r="R29" s="70">
        <f>NORMDIST(T.[[#This Row],[Zb]],$W$2,$X$2,FALSE)</f>
        <v>0.36617734766050086</v>
      </c>
      <c r="S29" s="70">
        <f>NORMDIST(T.[[#This Row],[Zb]],AVERAGE(T.[Zb]),_xlfn.STDEV.P(T.[Zb]),FALSE)</f>
        <v>0.36617734766050081</v>
      </c>
      <c r="T29" s="172">
        <f t="shared" si="0"/>
        <v>0.89399828453858721</v>
      </c>
      <c r="U29" s="172">
        <f>NORMSDIST(T.[[#This Row],[Za]])</f>
        <v>0.89399828453858721</v>
      </c>
      <c r="V29" s="172">
        <f>NORMSDIST(T.[[#This Row],[Zb]])</f>
        <v>0.73369859353176303</v>
      </c>
      <c r="W29" s="226">
        <f>($H$2)+T.[[#This Row],[Za]]*($I$2)</f>
        <v>22</v>
      </c>
      <c r="X29" s="226">
        <f>($H$2)+T.[[#This Row],[Zb]]*($I$2)</f>
        <v>17.5</v>
      </c>
      <c r="Y29" s="226"/>
      <c r="Z29" s="160"/>
      <c r="AA29" s="160"/>
      <c r="AB29" s="160"/>
      <c r="AC29" s="160"/>
      <c r="AD29" s="160"/>
      <c r="AF29" s="160"/>
      <c r="AG29" s="160"/>
      <c r="AH29" s="160"/>
      <c r="AJ29" s="160"/>
      <c r="AL29" s="160"/>
      <c r="AM29" s="160"/>
      <c r="AN29" s="160"/>
    </row>
    <row r="30" spans="1:40" ht="12.75" x14ac:dyDescent="0.2">
      <c r="A30" s="161"/>
      <c r="B30" s="161"/>
      <c r="C30" s="161"/>
      <c r="D30" s="161"/>
      <c r="E30" s="161"/>
      <c r="F30" s="161"/>
      <c r="G30" s="161"/>
      <c r="H30" s="170">
        <v>23</v>
      </c>
      <c r="I30" s="135">
        <f>(T.[[#This Row],[data]]-(AVERAGE(T.[data])))/(_xlfn.STDEV.P(T.[data]))</f>
        <v>1.386750490563073</v>
      </c>
      <c r="J30" s="69">
        <f>(T.[[#This Row],[data]]-(AVERAGE(T.[data])))/((_xlfn.STDEV.P(T.[data])*$J$37)+$I$37)</f>
        <v>0.69337524528153649</v>
      </c>
      <c r="K30" s="70">
        <f>_xlfn.NORM.S.DIST(T.[[#This Row],[Za]],IF($K$5=0,"TRUE","false"))</f>
        <v>0.91724107065126503</v>
      </c>
      <c r="L30" s="70">
        <f>_xlfn.NORM.S.DIST(T.[[#This Row],[Zb]],IF($L$5=0,"TRUE","false"))</f>
        <v>0.75596295341737596</v>
      </c>
      <c r="M30" s="171">
        <f>1/SQRT(2*PI()*$R$2^2)*EXP(-((T.[[#This Row],[Za]]-$Q$2)^2)/(2*$R$2^2))</f>
        <v>0.15251733843477824</v>
      </c>
      <c r="N30" s="236">
        <f>ABS((ABS(T.[[#This Row],[Za]])+$N$5)*$I$2/SQRT($J$2))</f>
        <v>2.0144222051018561</v>
      </c>
      <c r="O30" s="236" t="e">
        <f>_xlfn.CONFIDENCE.NORM(ABS(T.[[#This Row],[Za]])+$N$5,$I$2,$J$2)</f>
        <v>#NUM!</v>
      </c>
      <c r="P30" s="236">
        <f>$H$2+((ABS(T.[[#This Row],[Za]])+$N$5)*$I$2/SQRT($J$2))</f>
        <v>15.014422205101855</v>
      </c>
      <c r="Q30" s="70">
        <f>NORMDIST(T.[[#This Row],[Za]],$Q$2,$R$2,FALSE)</f>
        <v>0.15251733843477824</v>
      </c>
      <c r="R30" s="70">
        <f>NORMDIST(T.[[#This Row],[Zb]],$W$2,$X$2,FALSE)</f>
        <v>0.30503467686955649</v>
      </c>
      <c r="S30" s="70">
        <f>NORMDIST(T.[[#This Row],[Zb]],AVERAGE(T.[Zb]),_xlfn.STDEV.P(T.[Zb]),FALSE)</f>
        <v>0.30503467686955649</v>
      </c>
      <c r="T30" s="172">
        <f t="shared" si="0"/>
        <v>0.91724107065126503</v>
      </c>
      <c r="U30" s="172">
        <f>NORMSDIST(T.[[#This Row],[Za]])</f>
        <v>0.91724107065126503</v>
      </c>
      <c r="V30" s="172">
        <f>NORMSDIST(T.[[#This Row],[Zb]])</f>
        <v>0.75596295341737596</v>
      </c>
      <c r="W30" s="226">
        <f>($H$2)+T.[[#This Row],[Za]]*($I$2)</f>
        <v>23</v>
      </c>
      <c r="X30" s="226">
        <f>($H$2)+T.[[#This Row],[Zb]]*($I$2)</f>
        <v>18</v>
      </c>
      <c r="Y30" s="226"/>
      <c r="Z30" s="160"/>
      <c r="AA30" s="160"/>
      <c r="AB30" s="160"/>
      <c r="AC30" s="160"/>
      <c r="AD30" s="160"/>
      <c r="AF30" s="160"/>
      <c r="AG30" s="160"/>
      <c r="AH30" s="160"/>
      <c r="AJ30" s="160"/>
      <c r="AL30" s="160"/>
      <c r="AM30" s="160"/>
      <c r="AN30" s="160"/>
    </row>
    <row r="31" spans="1:40" ht="12.75" x14ac:dyDescent="0.2">
      <c r="A31" s="161"/>
      <c r="B31" s="161"/>
      <c r="C31" s="161"/>
      <c r="D31" s="161"/>
      <c r="E31" s="161"/>
      <c r="F31" s="161"/>
      <c r="G31" s="161"/>
      <c r="H31" s="170">
        <v>24</v>
      </c>
      <c r="I31" s="135">
        <f>(T.[[#This Row],[data]]-(AVERAGE(T.[data])))/(_xlfn.STDEV.P(T.[data]))</f>
        <v>1.5254255396193801</v>
      </c>
      <c r="J31" s="69">
        <f>(T.[[#This Row],[data]]-(AVERAGE(T.[data])))/((_xlfn.STDEV.P(T.[data])*$J$37)+$I$37)</f>
        <v>0.76271276980969005</v>
      </c>
      <c r="K31" s="70">
        <f>_xlfn.NORM.S.DIST(T.[[#This Row],[Za]],IF($K$5=0,"TRUE","false"))</f>
        <v>0.93642350369999283</v>
      </c>
      <c r="L31" s="70">
        <f>_xlfn.NORM.S.DIST(T.[[#This Row],[Zb]],IF($L$5=0,"TRUE","false"))</f>
        <v>0.77718264339652798</v>
      </c>
      <c r="M31" s="171">
        <f>1/SQRT(2*PI()*$R$2^2)*EXP(-((T.[[#This Row],[Za]]-$Q$2)^2)/(2*$R$2^2))</f>
        <v>0.12463073026883781</v>
      </c>
      <c r="N31" s="236">
        <f>ABS((ABS(T.[[#This Row],[Za]])+$N$5)*$I$2/SQRT($J$2))</f>
        <v>2.2144222051018558</v>
      </c>
      <c r="O31" s="236" t="e">
        <f>_xlfn.CONFIDENCE.NORM(ABS(T.[[#This Row],[Za]])+$N$5,$I$2,$J$2)</f>
        <v>#NUM!</v>
      </c>
      <c r="P31" s="236">
        <f>$H$2+((ABS(T.[[#This Row],[Za]])+$N$5)*$I$2/SQRT($J$2))</f>
        <v>15.214422205101856</v>
      </c>
      <c r="Q31" s="70">
        <f>NORMDIST(T.[[#This Row],[Za]],$Q$2,$R$2,FALSE)</f>
        <v>0.12463073026883781</v>
      </c>
      <c r="R31" s="70">
        <f>NORMDIST(T.[[#This Row],[Zb]],$W$2,$X$2,FALSE)</f>
        <v>0.24926146053767562</v>
      </c>
      <c r="S31" s="70">
        <f>NORMDIST(T.[[#This Row],[Zb]],AVERAGE(T.[Zb]),_xlfn.STDEV.P(T.[Zb]),FALSE)</f>
        <v>0.24926146053767576</v>
      </c>
      <c r="T31" s="172">
        <f t="shared" si="0"/>
        <v>0.93642350369999283</v>
      </c>
      <c r="U31" s="172">
        <f>NORMSDIST(T.[[#This Row],[Za]])</f>
        <v>0.93642350369999283</v>
      </c>
      <c r="V31" s="172">
        <f>NORMSDIST(T.[[#This Row],[Zb]])</f>
        <v>0.77718264339652798</v>
      </c>
      <c r="W31" s="226">
        <f>($H$2)+T.[[#This Row],[Za]]*($I$2)</f>
        <v>24</v>
      </c>
      <c r="X31" s="226">
        <f>($H$2)+T.[[#This Row],[Zb]]*($I$2)</f>
        <v>18.5</v>
      </c>
      <c r="Y31" s="226"/>
      <c r="Z31" s="160"/>
      <c r="AA31" s="160"/>
      <c r="AB31" s="160"/>
      <c r="AC31" s="160"/>
      <c r="AD31" s="160"/>
      <c r="AF31" s="160"/>
      <c r="AG31" s="160"/>
      <c r="AH31" s="160"/>
      <c r="AJ31" s="160"/>
      <c r="AL31" s="160"/>
      <c r="AM31" s="160"/>
      <c r="AN31" s="160"/>
    </row>
    <row r="32" spans="1:40" ht="12.75" x14ac:dyDescent="0.2">
      <c r="A32" s="161"/>
      <c r="B32" s="161"/>
      <c r="C32" s="161"/>
      <c r="D32" s="161"/>
      <c r="E32" s="161"/>
      <c r="F32" s="161"/>
      <c r="G32" s="161"/>
      <c r="H32" s="170">
        <v>25</v>
      </c>
      <c r="I32" s="135">
        <f>(T.[[#This Row],[data]]-(AVERAGE(T.[data])))/(_xlfn.STDEV.P(T.[data]))</f>
        <v>1.6641005886756874</v>
      </c>
      <c r="J32" s="69">
        <f>(T.[[#This Row],[data]]-(AVERAGE(T.[data])))/((_xlfn.STDEV.P(T.[data])*$J$37)+$I$37)</f>
        <v>0.83205029433784372</v>
      </c>
      <c r="K32" s="70">
        <f>_xlfn.NORM.S.DIST(T.[[#This Row],[Za]],IF($K$5=0,"TRUE","false"))</f>
        <v>0.95195383527216337</v>
      </c>
      <c r="L32" s="70">
        <f>_xlfn.NORM.S.DIST(T.[[#This Row],[Zb]],IF($L$5=0,"TRUE","false"))</f>
        <v>0.79730972177052883</v>
      </c>
      <c r="M32" s="171">
        <f>1/SQRT(2*PI()*$R$2^2)*EXP(-((T.[[#This Row],[Za]]-$Q$2)^2)/(2*$R$2^2))</f>
        <v>9.9903164433323657E-2</v>
      </c>
      <c r="N32" s="236">
        <f>ABS((ABS(T.[[#This Row],[Za]])+$N$5)*$I$2/SQRT($J$2))</f>
        <v>2.414422205101856</v>
      </c>
      <c r="O32" s="236" t="e">
        <f>_xlfn.CONFIDENCE.NORM(ABS(T.[[#This Row],[Za]])+$N$5,$I$2,$J$2)</f>
        <v>#NUM!</v>
      </c>
      <c r="P32" s="236">
        <f>$H$2+((ABS(T.[[#This Row],[Za]])+$N$5)*$I$2/SQRT($J$2))</f>
        <v>15.414422205101856</v>
      </c>
      <c r="Q32" s="70">
        <f>NORMDIST(T.[[#This Row],[Za]],$Q$2,$R$2,FALSE)</f>
        <v>9.9903164433323657E-2</v>
      </c>
      <c r="R32" s="70">
        <f>NORMDIST(T.[[#This Row],[Zb]],$W$2,$X$2,FALSE)</f>
        <v>0.19980632886664731</v>
      </c>
      <c r="S32" s="70">
        <f>NORMDIST(T.[[#This Row],[Zb]],AVERAGE(T.[Zb]),_xlfn.STDEV.P(T.[Zb]),FALSE)</f>
        <v>0.19980632886664745</v>
      </c>
      <c r="T32" s="172">
        <f t="shared" si="0"/>
        <v>0.95195383527216337</v>
      </c>
      <c r="U32" s="172">
        <f>NORMSDIST(T.[[#This Row],[Za]])</f>
        <v>0.95195383527216337</v>
      </c>
      <c r="V32" s="172">
        <f>NORMSDIST(T.[[#This Row],[Zb]])</f>
        <v>0.79730972177052883</v>
      </c>
      <c r="W32" s="226">
        <f>($H$2)+T.[[#This Row],[Za]]*($I$2)</f>
        <v>25</v>
      </c>
      <c r="X32" s="226">
        <f>($H$2)+T.[[#This Row],[Zb]]*($I$2)</f>
        <v>19</v>
      </c>
      <c r="Y32" s="226"/>
      <c r="Z32" s="160"/>
      <c r="AA32" s="160"/>
      <c r="AB32" s="160"/>
      <c r="AC32" s="160"/>
      <c r="AD32" s="160"/>
      <c r="AF32" s="160"/>
      <c r="AG32" s="160"/>
      <c r="AH32" s="160"/>
      <c r="AJ32" s="160"/>
      <c r="AL32" s="160"/>
      <c r="AM32" s="160"/>
      <c r="AN32" s="160"/>
    </row>
    <row r="33" spans="1:42" ht="18.75" hidden="1" x14ac:dyDescent="0.3">
      <c r="A33" s="161"/>
      <c r="B33" s="161"/>
      <c r="C33" s="161"/>
      <c r="D33" s="161"/>
      <c r="E33" s="161"/>
      <c r="F33" s="161"/>
      <c r="G33" s="161"/>
      <c r="H33" s="161"/>
      <c r="I33" s="69"/>
      <c r="J33" s="69"/>
      <c r="K33" s="70"/>
      <c r="L33" s="161"/>
      <c r="M33" s="70"/>
      <c r="N33" s="70"/>
      <c r="O33" s="70"/>
      <c r="P33" s="70"/>
      <c r="Q33" s="149"/>
      <c r="R33" s="70"/>
      <c r="S33" s="70"/>
      <c r="T33" s="70"/>
      <c r="U33" s="70"/>
      <c r="V33" s="70"/>
      <c r="W33" s="161"/>
      <c r="X33" s="161"/>
      <c r="Y33" s="161"/>
      <c r="Z33" s="173"/>
      <c r="AA33" s="173"/>
      <c r="AB33" s="173"/>
      <c r="AC33" s="173"/>
      <c r="AD33" s="173"/>
      <c r="AE33" s="173"/>
      <c r="AF33" s="173"/>
      <c r="AG33" s="173"/>
      <c r="AH33" s="174"/>
      <c r="AI33" s="175"/>
      <c r="AJ33" s="175"/>
      <c r="AK33" s="175"/>
      <c r="AL33" s="174"/>
      <c r="AM33" s="174"/>
      <c r="AN33" s="175"/>
      <c r="AO33" s="175"/>
      <c r="AP33" s="175"/>
    </row>
    <row r="34" spans="1:42" ht="18.75" x14ac:dyDescent="0.3">
      <c r="A34" s="161"/>
      <c r="B34" s="161"/>
      <c r="C34" s="161"/>
      <c r="D34" s="161"/>
      <c r="E34" s="161"/>
      <c r="F34" s="161"/>
      <c r="G34" s="161"/>
      <c r="H34" s="161"/>
      <c r="I34" s="69"/>
      <c r="J34" s="69"/>
      <c r="K34" s="161"/>
      <c r="L34" s="161"/>
      <c r="M34" s="161"/>
      <c r="N34" s="238"/>
      <c r="O34" s="238"/>
      <c r="P34" s="238"/>
      <c r="Q34" s="149"/>
      <c r="R34" s="70"/>
      <c r="S34" s="70"/>
      <c r="T34" s="70"/>
      <c r="U34" s="70"/>
      <c r="V34" s="70"/>
      <c r="W34" s="161"/>
      <c r="X34" s="161"/>
      <c r="Y34" s="161"/>
      <c r="Z34" s="173"/>
      <c r="AA34" s="173"/>
      <c r="AB34" s="173"/>
      <c r="AC34" s="173"/>
      <c r="AD34" s="173"/>
      <c r="AE34" s="173"/>
      <c r="AF34" s="173"/>
      <c r="AG34" s="173"/>
      <c r="AH34" s="174"/>
      <c r="AI34" s="175"/>
      <c r="AJ34" s="175"/>
      <c r="AK34" s="175"/>
      <c r="AL34" s="174"/>
      <c r="AM34" s="174"/>
      <c r="AN34" s="175"/>
      <c r="AO34" s="175"/>
      <c r="AP34" s="175"/>
    </row>
    <row r="35" spans="1:42" ht="21" x14ac:dyDescent="0.35">
      <c r="A35" s="161"/>
      <c r="B35" s="161"/>
      <c r="C35" s="161"/>
      <c r="D35" s="161"/>
      <c r="E35" s="161"/>
      <c r="F35" s="161"/>
      <c r="G35" s="161"/>
      <c r="H35" s="161"/>
      <c r="I35" s="210" t="s">
        <v>78</v>
      </c>
      <c r="J35" s="211" t="s">
        <v>79</v>
      </c>
      <c r="K35" s="216" t="s">
        <v>78</v>
      </c>
      <c r="L35" s="213" t="s">
        <v>79</v>
      </c>
      <c r="M35" s="161"/>
      <c r="N35" s="239"/>
      <c r="O35" s="239"/>
      <c r="P35" s="239"/>
      <c r="Q35" s="212" t="s">
        <v>78</v>
      </c>
      <c r="R35" s="215" t="s">
        <v>79</v>
      </c>
      <c r="S35" s="214"/>
      <c r="T35" s="214"/>
      <c r="U35" s="212" t="s">
        <v>78</v>
      </c>
      <c r="V35" s="215" t="s">
        <v>79</v>
      </c>
      <c r="W35" s="216" t="s">
        <v>78</v>
      </c>
      <c r="X35" s="213" t="s">
        <v>79</v>
      </c>
      <c r="Y35" s="161"/>
      <c r="Z35" s="173"/>
      <c r="AA35" s="173"/>
      <c r="AB35" s="173"/>
      <c r="AC35" s="173"/>
      <c r="AD35" s="173"/>
      <c r="AE35" s="173"/>
      <c r="AF35" s="173"/>
      <c r="AG35" s="173"/>
      <c r="AH35" s="174"/>
      <c r="AI35" s="176" t="s">
        <v>58</v>
      </c>
      <c r="AJ35" s="177" t="s">
        <v>59</v>
      </c>
      <c r="AK35" s="178"/>
      <c r="AL35" s="178"/>
      <c r="AM35" s="179"/>
      <c r="AN35" s="175"/>
      <c r="AO35" s="175"/>
      <c r="AP35" s="175"/>
    </row>
    <row r="36" spans="1:42" ht="18.75" x14ac:dyDescent="0.3">
      <c r="A36" s="161"/>
      <c r="B36" s="161"/>
      <c r="C36" s="161"/>
      <c r="D36" s="161"/>
      <c r="E36" s="161"/>
      <c r="F36" s="161"/>
      <c r="G36" s="161"/>
      <c r="H36" s="161"/>
      <c r="I36" s="231"/>
      <c r="J36" s="231"/>
      <c r="K36" s="161"/>
      <c r="L36" s="232"/>
      <c r="M36" s="161"/>
      <c r="N36" s="239"/>
      <c r="O36" s="239"/>
      <c r="P36" s="239"/>
      <c r="Q36" s="214"/>
      <c r="R36" s="214"/>
      <c r="S36" s="214"/>
      <c r="T36" s="214"/>
      <c r="U36" s="214"/>
      <c r="V36" s="214"/>
      <c r="W36" s="232"/>
      <c r="X36" s="232"/>
      <c r="Y36" s="161"/>
      <c r="Z36" s="173"/>
      <c r="AA36" s="173"/>
      <c r="AB36" s="173"/>
      <c r="AC36" s="173"/>
      <c r="AD36" s="173"/>
      <c r="AE36" s="173"/>
      <c r="AF36" s="173"/>
      <c r="AG36" s="173"/>
      <c r="AH36" s="174"/>
      <c r="AI36" s="233"/>
      <c r="AJ36" s="234"/>
      <c r="AK36" s="174"/>
      <c r="AL36" s="174"/>
      <c r="AM36" s="188"/>
      <c r="AN36" s="175"/>
      <c r="AO36" s="175"/>
      <c r="AP36" s="175"/>
    </row>
    <row r="37" spans="1:42" ht="26.25" x14ac:dyDescent="0.4">
      <c r="A37" s="180"/>
      <c r="B37" s="180"/>
      <c r="C37" s="180"/>
      <c r="D37" s="180"/>
      <c r="E37" s="180"/>
      <c r="F37" s="180"/>
      <c r="G37" s="180"/>
      <c r="H37" s="181" t="s">
        <v>60</v>
      </c>
      <c r="I37" s="147">
        <v>0</v>
      </c>
      <c r="J37" s="147">
        <v>2</v>
      </c>
      <c r="K37" s="147" t="s">
        <v>79</v>
      </c>
      <c r="L37" s="161"/>
      <c r="M37" s="161"/>
      <c r="N37" s="238"/>
      <c r="O37" s="238"/>
      <c r="P37" s="238"/>
      <c r="Q37" s="149"/>
      <c r="R37" s="70"/>
      <c r="S37" s="70"/>
      <c r="T37" s="70"/>
      <c r="U37" s="70"/>
      <c r="V37" s="70"/>
      <c r="W37" s="161"/>
      <c r="X37" s="161"/>
      <c r="Y37" s="161"/>
      <c r="Z37" s="173"/>
      <c r="AA37" s="173"/>
      <c r="AB37" s="173"/>
      <c r="AC37" s="173"/>
      <c r="AD37" s="182" t="s">
        <v>61</v>
      </c>
      <c r="AE37" s="183"/>
      <c r="AF37" s="183"/>
      <c r="AG37" s="184"/>
      <c r="AH37" s="174"/>
      <c r="AI37" s="185">
        <v>0.01</v>
      </c>
      <c r="AJ37" s="186">
        <f>NORMSINV(AI37)</f>
        <v>-2.3263478740408408</v>
      </c>
      <c r="AK37" s="187" t="s">
        <v>62</v>
      </c>
      <c r="AL37" s="174"/>
      <c r="AM37" s="188"/>
      <c r="AN37" s="175"/>
      <c r="AO37" s="175"/>
      <c r="AP37" s="175"/>
    </row>
    <row r="38" spans="1:42" ht="26.25" x14ac:dyDescent="0.4">
      <c r="A38" s="189"/>
      <c r="B38" s="189"/>
      <c r="C38" s="189"/>
      <c r="D38" s="189"/>
      <c r="E38" s="189"/>
      <c r="F38" s="189"/>
      <c r="G38" s="189"/>
      <c r="H38" s="181" t="s">
        <v>51</v>
      </c>
      <c r="I38" s="148">
        <v>0</v>
      </c>
      <c r="J38" s="149">
        <v>1</v>
      </c>
      <c r="K38" s="149"/>
      <c r="L38" s="161"/>
      <c r="M38" s="161"/>
      <c r="N38" s="238"/>
      <c r="O38" s="238"/>
      <c r="P38" s="238"/>
      <c r="Q38" s="149"/>
      <c r="R38" s="70"/>
      <c r="S38" s="70"/>
      <c r="T38" s="70"/>
      <c r="U38" s="70"/>
      <c r="V38" s="70"/>
      <c r="W38" s="161"/>
      <c r="X38" s="161"/>
      <c r="Y38" s="161"/>
      <c r="Z38" s="173"/>
      <c r="AA38" s="173"/>
      <c r="AB38" s="173"/>
      <c r="AC38" s="173"/>
      <c r="AD38" s="190"/>
      <c r="AE38" s="191" t="s">
        <v>63</v>
      </c>
      <c r="AF38" s="191">
        <v>2</v>
      </c>
      <c r="AG38" s="192">
        <f>NORMSDIST(AF38)</f>
        <v>0.97724986805182079</v>
      </c>
      <c r="AH38" s="174"/>
      <c r="AI38" s="185">
        <v>2.5000000000000001E-2</v>
      </c>
      <c r="AJ38" s="186">
        <f t="shared" ref="AJ38:AJ44" si="1">NORMSINV(AI38)</f>
        <v>-1.9599639845400538</v>
      </c>
      <c r="AK38" s="187" t="s">
        <v>64</v>
      </c>
      <c r="AL38" s="174"/>
      <c r="AM38" s="188"/>
      <c r="AN38" s="175"/>
      <c r="AO38" s="175"/>
      <c r="AP38" s="175"/>
    </row>
    <row r="39" spans="1:42" ht="19.5" customHeight="1" x14ac:dyDescent="0.3">
      <c r="A39" s="161"/>
      <c r="B39" s="161"/>
      <c r="C39" s="161"/>
      <c r="D39" s="161"/>
      <c r="E39" s="161"/>
      <c r="F39" s="161"/>
      <c r="G39" s="161"/>
      <c r="H39" s="161"/>
      <c r="I39" s="69"/>
      <c r="J39" s="69"/>
      <c r="K39" s="161"/>
      <c r="L39" s="161"/>
      <c r="M39" s="161"/>
      <c r="N39" s="238"/>
      <c r="O39" s="238"/>
      <c r="P39" s="238"/>
      <c r="Q39" s="149"/>
      <c r="R39" s="70"/>
      <c r="S39" s="70"/>
      <c r="T39" s="70"/>
      <c r="U39" s="70"/>
      <c r="V39" s="70"/>
      <c r="W39" s="161"/>
      <c r="X39" s="193"/>
      <c r="Y39" s="193"/>
      <c r="Z39" s="173"/>
      <c r="AA39" s="173"/>
      <c r="AB39" s="173"/>
      <c r="AC39" s="173"/>
      <c r="AD39" s="194">
        <v>-1</v>
      </c>
      <c r="AE39" s="195" t="s">
        <v>65</v>
      </c>
      <c r="AF39" s="196">
        <v>1</v>
      </c>
      <c r="AG39" s="197">
        <f>ABS(NORMSDIST(AD39)-NORMSDIST(AF39))</f>
        <v>0.68268949213708607</v>
      </c>
      <c r="AH39" s="174"/>
      <c r="AI39" s="185">
        <v>0.05</v>
      </c>
      <c r="AJ39" s="186">
        <f t="shared" si="1"/>
        <v>-1.6448536269514726</v>
      </c>
      <c r="AK39" s="174"/>
      <c r="AL39" s="174"/>
      <c r="AM39" s="188"/>
      <c r="AN39" s="175"/>
      <c r="AO39" s="175"/>
      <c r="AP39" s="175"/>
    </row>
    <row r="40" spans="1:42" ht="19.5" customHeight="1" x14ac:dyDescent="0.3">
      <c r="A40" s="161"/>
      <c r="B40" s="161"/>
      <c r="C40" s="161"/>
      <c r="D40" s="161"/>
      <c r="E40" s="161"/>
      <c r="F40" s="161"/>
      <c r="G40" s="161"/>
      <c r="H40" s="161"/>
      <c r="I40" s="69"/>
      <c r="J40" s="69"/>
      <c r="K40" s="161"/>
      <c r="L40" s="161"/>
      <c r="M40" s="161"/>
      <c r="N40" s="238"/>
      <c r="O40" s="238"/>
      <c r="P40" s="238"/>
      <c r="Q40" s="149"/>
      <c r="R40" s="70"/>
      <c r="S40" s="70"/>
      <c r="T40" s="70"/>
      <c r="U40" s="70"/>
      <c r="V40" s="70"/>
      <c r="W40" s="161"/>
      <c r="X40" s="161"/>
      <c r="Y40" s="161"/>
      <c r="Z40" s="173"/>
      <c r="AA40" s="173"/>
      <c r="AB40" s="173"/>
      <c r="AC40" s="173"/>
      <c r="AD40" s="194">
        <v>2</v>
      </c>
      <c r="AE40" s="195" t="s">
        <v>65</v>
      </c>
      <c r="AF40" s="196">
        <v>-2</v>
      </c>
      <c r="AG40" s="198">
        <f>ABS(NORMSDIST(AD40)-NORMSDIST(AF40))</f>
        <v>0.95449973610364158</v>
      </c>
      <c r="AH40" s="174"/>
      <c r="AI40" s="185">
        <v>0.1</v>
      </c>
      <c r="AJ40" s="186">
        <f t="shared" si="1"/>
        <v>-1.2815515655446006</v>
      </c>
      <c r="AK40" s="174"/>
      <c r="AL40" s="187" t="s">
        <v>68</v>
      </c>
      <c r="AM40" s="188"/>
      <c r="AN40" s="175"/>
      <c r="AO40" s="175"/>
      <c r="AP40" s="175"/>
    </row>
    <row r="41" spans="1:42" ht="19.5" customHeight="1" x14ac:dyDescent="0.3">
      <c r="A41" s="161"/>
      <c r="B41" s="161"/>
      <c r="C41" s="161"/>
      <c r="D41" s="161"/>
      <c r="E41" s="161"/>
      <c r="F41" s="161"/>
      <c r="G41" s="161"/>
      <c r="H41" s="161"/>
      <c r="I41" s="69"/>
      <c r="J41" s="69"/>
      <c r="K41" s="161"/>
      <c r="L41" s="161"/>
      <c r="M41" s="161"/>
      <c r="N41" s="238"/>
      <c r="O41" s="238"/>
      <c r="P41" s="238"/>
      <c r="Q41" s="149"/>
      <c r="R41" s="70"/>
      <c r="S41" s="70"/>
      <c r="T41" s="70"/>
      <c r="U41" s="70"/>
      <c r="V41" s="70"/>
      <c r="W41" s="161"/>
      <c r="X41" s="161"/>
      <c r="Y41" s="161"/>
      <c r="Z41" s="173"/>
      <c r="AA41" s="173"/>
      <c r="AB41" s="173"/>
      <c r="AC41" s="173"/>
      <c r="AD41" s="194">
        <v>-3</v>
      </c>
      <c r="AE41" s="195" t="s">
        <v>65</v>
      </c>
      <c r="AF41" s="196">
        <v>3</v>
      </c>
      <c r="AG41" s="197">
        <f>ABS(NORMSDIST(AD41)-NORMSDIST(AF41))</f>
        <v>0.99730020393673979</v>
      </c>
      <c r="AH41" s="174"/>
      <c r="AI41" s="185">
        <v>0.5</v>
      </c>
      <c r="AJ41" s="186">
        <f t="shared" si="1"/>
        <v>0</v>
      </c>
      <c r="AK41" s="174"/>
      <c r="AL41" s="174"/>
      <c r="AM41" s="188"/>
      <c r="AN41" s="175"/>
      <c r="AO41" s="175"/>
      <c r="AP41" s="175"/>
    </row>
    <row r="42" spans="1:42" ht="19.5" customHeight="1" x14ac:dyDescent="0.3">
      <c r="A42" s="161"/>
      <c r="B42" s="161"/>
      <c r="C42" s="161"/>
      <c r="D42" s="161"/>
      <c r="E42" s="161"/>
      <c r="F42" s="161"/>
      <c r="G42" s="161"/>
      <c r="H42" s="161"/>
      <c r="I42" s="69"/>
      <c r="J42" s="69"/>
      <c r="K42" s="161"/>
      <c r="L42" s="161"/>
      <c r="M42" s="161"/>
      <c r="N42" s="238"/>
      <c r="O42" s="238"/>
      <c r="P42" s="238"/>
      <c r="Q42" s="149"/>
      <c r="R42" s="70"/>
      <c r="S42" s="70"/>
      <c r="T42" s="70"/>
      <c r="U42" s="70"/>
      <c r="V42" s="70"/>
      <c r="W42" s="161"/>
      <c r="X42" s="161"/>
      <c r="Y42" s="161"/>
      <c r="Z42" s="173"/>
      <c r="AA42" s="173"/>
      <c r="AB42" s="173"/>
      <c r="AC42" s="173"/>
      <c r="AD42" s="190">
        <v>2</v>
      </c>
      <c r="AE42" s="191" t="s">
        <v>66</v>
      </c>
      <c r="AF42" s="191"/>
      <c r="AG42" s="192">
        <f>1-NORMSDIST(AD42)</f>
        <v>2.2750131948179209E-2</v>
      </c>
      <c r="AH42" s="174"/>
      <c r="AI42" s="185">
        <v>0.9</v>
      </c>
      <c r="AJ42" s="186">
        <f t="shared" si="1"/>
        <v>1.2815515655446006</v>
      </c>
      <c r="AK42" s="174"/>
      <c r="AL42" s="174"/>
      <c r="AM42" s="188"/>
      <c r="AN42" s="175"/>
      <c r="AO42" s="175"/>
      <c r="AP42" s="175"/>
    </row>
    <row r="43" spans="1:42" ht="19.5" customHeight="1" x14ac:dyDescent="0.3">
      <c r="A43" s="161"/>
      <c r="B43" s="161"/>
      <c r="C43" s="161"/>
      <c r="D43" s="161"/>
      <c r="E43" s="161"/>
      <c r="F43" s="161"/>
      <c r="G43" s="161"/>
      <c r="H43" s="161"/>
      <c r="I43" s="69"/>
      <c r="J43" s="69"/>
      <c r="K43" s="161"/>
      <c r="L43" s="161"/>
      <c r="M43" s="161"/>
      <c r="N43" s="238"/>
      <c r="O43" s="238"/>
      <c r="P43" s="238"/>
      <c r="Q43" s="149"/>
      <c r="R43" s="70"/>
      <c r="S43" s="70"/>
      <c r="T43" s="70"/>
      <c r="U43" s="70"/>
      <c r="V43" s="70"/>
      <c r="W43" s="161"/>
      <c r="X43" s="161"/>
      <c r="Y43" s="161"/>
      <c r="Z43" s="173"/>
      <c r="AA43" s="173"/>
      <c r="AB43" s="173"/>
      <c r="AC43" s="173"/>
      <c r="AD43" s="199"/>
      <c r="AE43" s="200" t="s">
        <v>67</v>
      </c>
      <c r="AF43" s="201"/>
      <c r="AG43" s="202"/>
      <c r="AH43" s="174"/>
      <c r="AI43" s="185">
        <v>0.95</v>
      </c>
      <c r="AJ43" s="186">
        <f t="shared" si="1"/>
        <v>1.6448536269514715</v>
      </c>
      <c r="AK43" s="174"/>
      <c r="AL43" s="174"/>
      <c r="AM43" s="188"/>
      <c r="AN43" s="175"/>
      <c r="AO43" s="175"/>
      <c r="AP43" s="175"/>
    </row>
    <row r="44" spans="1:42" ht="19.5" customHeight="1" x14ac:dyDescent="0.3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203">
        <v>0.99</v>
      </c>
      <c r="AJ44" s="204">
        <f t="shared" si="1"/>
        <v>2.3263478740408408</v>
      </c>
      <c r="AK44" s="205"/>
      <c r="AL44" s="205"/>
      <c r="AM44" s="206"/>
      <c r="AN44" s="175"/>
      <c r="AO44" s="175"/>
      <c r="AP44" s="175"/>
    </row>
    <row r="45" spans="1:42" ht="19.5" customHeight="1" x14ac:dyDescent="0.3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5"/>
      <c r="AO45" s="175"/>
      <c r="AP45" s="175"/>
    </row>
    <row r="46" spans="1:42" ht="19.5" customHeight="1" x14ac:dyDescent="0.3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5"/>
      <c r="AO46" s="175"/>
      <c r="AP46" s="175"/>
    </row>
    <row r="47" spans="1:42" ht="19.5" customHeight="1" x14ac:dyDescent="0.2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</row>
    <row r="48" spans="1:42" ht="19.5" customHeight="1" x14ac:dyDescent="0.2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</row>
    <row r="49" spans="1:42" ht="19.5" customHeight="1" x14ac:dyDescent="0.2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</row>
    <row r="50" spans="1:42" ht="19.5" customHeight="1" x14ac:dyDescent="0.2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</row>
    <row r="51" spans="1:42" ht="12.75" x14ac:dyDescent="0.2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</row>
    <row r="52" spans="1:42" ht="12.75" x14ac:dyDescent="0.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</row>
    <row r="53" spans="1:42" ht="12.75" x14ac:dyDescent="0.2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</row>
    <row r="54" spans="1:42" ht="12.75" x14ac:dyDescent="0.2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</row>
    <row r="55" spans="1:42" ht="12.75" x14ac:dyDescent="0.2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</row>
    <row r="56" spans="1:42" ht="12.75" x14ac:dyDescent="0.2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</row>
    <row r="57" spans="1:42" ht="12.75" x14ac:dyDescent="0.2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</row>
    <row r="58" spans="1:42" ht="12.75" x14ac:dyDescent="0.2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</row>
    <row r="59" spans="1:42" ht="12.75" x14ac:dyDescent="0.2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</row>
    <row r="60" spans="1:42" ht="12.75" x14ac:dyDescent="0.2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</row>
    <row r="61" spans="1:42" ht="12.75" x14ac:dyDescent="0.2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</row>
    <row r="62" spans="1:42" ht="12.75" x14ac:dyDescent="0.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  <c r="AI62" s="174"/>
      <c r="AJ62" s="174"/>
      <c r="AK62" s="174"/>
      <c r="AL62" s="174"/>
      <c r="AM62" s="174"/>
      <c r="AN62" s="174"/>
      <c r="AO62" s="174"/>
      <c r="AP62" s="174"/>
    </row>
    <row r="63" spans="1:42" ht="12.75" x14ac:dyDescent="0.2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4"/>
      <c r="AG63" s="174"/>
      <c r="AH63" s="174"/>
      <c r="AI63" s="174"/>
      <c r="AJ63" s="174"/>
      <c r="AK63" s="174"/>
      <c r="AL63" s="174"/>
      <c r="AM63" s="174"/>
      <c r="AN63" s="174"/>
      <c r="AO63" s="174"/>
      <c r="AP63" s="174"/>
    </row>
  </sheetData>
  <phoneticPr fontId="60" type="noConversion"/>
  <conditionalFormatting sqref="A39:H43 A5:G32 A33:H36 A38:G38 A3:F3 A2:E2 A4:H4 H5:H6 K2 I4:J5 K4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{103A94BE-3AB6-466B-BF9A-7FE8E0B13FE1}</x14:id>
        </ext>
      </extLst>
    </cfRule>
  </conditionalFormatting>
  <conditionalFormatting sqref="H7">
    <cfRule type="containsText" dxfId="81" priority="55" operator="containsText" text="false">
      <formula>NÃO(ÉERROS(LOCALIZAR("false",H7)))</formula>
    </cfRule>
  </conditionalFormatting>
  <conditionalFormatting sqref="H8:H32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  <cfRule type="containsText" dxfId="80" priority="66" operator="containsText" text="false">
      <formula>NÃO(ÉERROS(LOCALIZAR("false",H8)))</formula>
    </cfRule>
    <cfRule type="containsText" dxfId="79" priority="64" operator="containsText" text="false">
      <formula>NÃO(ÉERROS(LOCALIZAR("false",H8)))</formula>
    </cfRule>
    <cfRule type="containsText" dxfId="78" priority="62" operator="containsText" text="false">
      <formula>NÃO(ÉERROS(LOCALIZAR("false",H8)))</formula>
    </cfRule>
  </conditionalFormatting>
  <conditionalFormatting sqref="I33:I34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{90049358-4FA0-4413-8CE1-05D731F0642E}</x14:id>
        </ext>
      </extLst>
    </cfRule>
  </conditionalFormatting>
  <conditionalFormatting sqref="I39:I43 I8:J32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{5BE1A65D-06DE-478A-A8F0-79721496A3F3}</x14:id>
        </ext>
      </extLst>
    </cfRule>
  </conditionalFormatting>
  <conditionalFormatting sqref="J3:K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{F9867208-75DD-460A-A820-2417D6837211}</x14:id>
        </ext>
      </extLst>
    </cfRule>
  </conditionalFormatting>
  <conditionalFormatting sqref="K33 Q37:R38 R39 Q39:Q43 Q40:R43">
    <cfRule type="containsText" dxfId="77" priority="61" operator="containsText" text="false">
      <formula>NÃO(ÉERROS(LOCALIZAR("false",K33)))</formula>
    </cfRule>
  </conditionalFormatting>
  <conditionalFormatting sqref="K33">
    <cfRule type="cellIs" dxfId="76" priority="60" operator="equal">
      <formula>0</formula>
    </cfRule>
  </conditionalFormatting>
  <conditionalFormatting sqref="K8:L32">
    <cfRule type="dataBar" priority="28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{D8695665-A0F2-4035-9C9F-914A1AEDEA74}</x14:id>
        </ext>
      </extLst>
    </cfRule>
  </conditionalFormatting>
  <conditionalFormatting sqref="L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{A877EFD9-D82F-4842-81FE-A0993AE76085}</x14:id>
        </ext>
      </extLst>
    </cfRule>
  </conditionalFormatting>
  <conditionalFormatting sqref="L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{A9BC395B-DF81-4F9B-B130-737AEAD02DB3}</x14:id>
        </ext>
      </extLst>
    </cfRule>
  </conditionalFormatting>
  <conditionalFormatting sqref="L3:M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{DA3E452B-D065-4019-893B-58897245D919}</x14:id>
        </ext>
      </extLst>
    </cfRule>
  </conditionalFormatting>
  <conditionalFormatting sqref="M8:M32">
    <cfRule type="dataBar" priority="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{55F6BB2A-51B1-4AA7-B0E5-2D1563FE0D8F}</x14:id>
        </ext>
      </extLst>
    </cfRule>
  </conditionalFormatting>
  <conditionalFormatting sqref="M33:P33">
    <cfRule type="dataBar" priority="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{4E5622A4-1332-4423-B61E-DFA97B875030}</x14:id>
        </ext>
      </extLst>
    </cfRule>
    <cfRule type="cellIs" dxfId="75" priority="33" operator="equal">
      <formula>0</formula>
    </cfRule>
    <cfRule type="containsText" dxfId="74" priority="34" operator="containsText" text="false">
      <formula>NÃO(ÉERROS(LOCALIZAR("false",M33)))</formula>
    </cfRule>
  </conditionalFormatting>
  <conditionalFormatting sqref="N8:O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{08C81298-77C0-4D4B-8977-7CE5CB2F6BBC}</x14:id>
        </ext>
      </extLst>
    </cfRule>
  </conditionalFormatting>
  <conditionalFormatting sqref="Q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{909A35FD-570C-40E1-978F-2E459AFFD12D}</x14:id>
        </ext>
      </extLst>
    </cfRule>
  </conditionalFormatting>
  <conditionalFormatting sqref="Q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{A15E8366-432E-4E1F-A52E-94AB498B2317}</x14:id>
        </ext>
      </extLst>
    </cfRule>
  </conditionalFormatting>
  <conditionalFormatting sqref="Q33:Q3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{31D86552-227C-4938-9A43-6BD764B9EA45}</x14:id>
        </ext>
      </extLst>
    </cfRule>
  </conditionalFormatting>
  <conditionalFormatting sqref="Q39:Q43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{7488C92E-250C-4C6D-AB4C-14F6D44C10A4}</x14:id>
        </ext>
      </extLst>
    </cfRule>
  </conditionalFormatting>
  <conditionalFormatting sqref="Q8:R32">
    <cfRule type="dataBar" priority="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{C38D810D-DDE4-4900-A6D6-9E13CAC42412}</x14:id>
        </ext>
      </extLst>
    </cfRule>
  </conditionalFormatting>
  <conditionalFormatting sqref="Q33:V34 Q37:V43">
    <cfRule type="cellIs" dxfId="73" priority="22" operator="equal">
      <formula>0</formula>
    </cfRule>
  </conditionalFormatting>
  <conditionalFormatting sqref="Q33:V34 S37:V43">
    <cfRule type="containsText" dxfId="72" priority="23" operator="containsText" text="false">
      <formula>NÃO(ÉERROS(LOCALIZAR("false",Q33)))</formula>
    </cfRule>
  </conditionalFormatting>
  <conditionalFormatting sqref="R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{6E1B0141-3386-4E2E-B4FF-30FB520CFD18}</x14:id>
        </ext>
      </extLst>
    </cfRule>
  </conditionalFormatting>
  <conditionalFormatting sqref="R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{532760C3-A531-445F-BFDF-F7767A73CFB6}</x14:id>
        </ext>
      </extLst>
    </cfRule>
  </conditionalFormatting>
  <conditionalFormatting sqref="R33:R34 T33:V34 K33 T37:V39 R37:R39">
    <cfRule type="dataBar" priority="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{3580D77D-1C34-4517-A5EB-B4F42CE10784}</x14:id>
        </ext>
      </extLst>
    </cfRule>
  </conditionalFormatting>
  <conditionalFormatting sqref="R33:R34 T33:V34 K33 W39:X43 T37:V39 R37:R39">
    <cfRule type="dataBar" priority="7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{EF0A1E06-3995-4EEB-A203-FB9F8A849D3F}</x14:id>
        </ext>
      </extLst>
    </cfRule>
  </conditionalFormatting>
  <conditionalFormatting sqref="R40:R41 T40:V41">
    <cfRule type="dataBar" priority="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{8056344C-D5C9-49DE-8F45-C30FC5ADC6EE}</x14:id>
        </ext>
      </extLst>
    </cfRule>
  </conditionalFormatting>
  <conditionalFormatting sqref="R42:R43 T42:V43">
    <cfRule type="dataBar" priority="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{E67678A0-BBDF-438C-9C17-878619167B37}</x14:id>
        </ext>
      </extLst>
    </cfRule>
  </conditionalFormatting>
  <conditionalFormatting sqref="S8:S32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{E4A42269-DBB4-4E5A-939E-374C8B8F245E}</x14:id>
        </ext>
      </extLst>
    </cfRule>
  </conditionalFormatting>
  <conditionalFormatting sqref="S33:S34 S37:S39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{6FF46657-8A22-47DE-B8C5-DEBAEAA6317A}</x14:id>
        </ext>
      </extLst>
    </cfRule>
  </conditionalFormatting>
  <conditionalFormatting sqref="S33:S34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{F94A6DA3-028A-4870-970D-233A5A6B1D99}</x14:id>
        </ext>
      </extLst>
    </cfRule>
  </conditionalFormatting>
  <conditionalFormatting sqref="S40:S41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{AFA9159D-6495-4626-9821-BBD1032D3179}</x14:id>
        </ext>
      </extLst>
    </cfRule>
  </conditionalFormatting>
  <conditionalFormatting sqref="S42:S43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{F68B43BD-8C13-4BE1-9115-F24A79D3957C}</x14:id>
        </ext>
      </extLst>
    </cfRule>
  </conditionalFormatting>
  <conditionalFormatting sqref="T5:T6 N6:P6 M5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{F9F5BFD8-3C6A-4414-BF79-2990B7059FAE}</x14:id>
        </ext>
      </extLst>
    </cfRule>
  </conditionalFormatting>
  <conditionalFormatting sqref="T8:T32">
    <cfRule type="dataBar" priority="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{75757BF4-130F-410E-9138-FEAB126F4F18}</x14:id>
        </ext>
      </extLst>
    </cfRule>
  </conditionalFormatting>
  <conditionalFormatting sqref="U8:U32">
    <cfRule type="dataBar" priority="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{20318646-B142-4DC1-BE5E-22BCBA649E8C}</x14:id>
        </ext>
      </extLst>
    </cfRule>
  </conditionalFormatting>
  <conditionalFormatting sqref="V8:V32">
    <cfRule type="dataBar" priority="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{65F67FBF-CAEB-4912-996B-2D0116C15BF8}</x14:id>
        </ext>
      </extLst>
    </cfRule>
  </conditionalFormatting>
  <conditionalFormatting sqref="W7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{A9374EB5-E2EB-4655-86F5-9EAE4C4E3C6D}</x14:id>
        </ext>
      </extLst>
    </cfRule>
  </conditionalFormatting>
  <conditionalFormatting sqref="W39:X43 Z33:AG36 Z37:AC43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{9B1DF907-AB57-4634-9511-6F0349733AEE}</x14:id>
        </ext>
      </extLst>
    </cfRule>
  </conditionalFormatting>
  <conditionalFormatting sqref="W39:Y43">
    <cfRule type="containsText" dxfId="71" priority="17" operator="containsText" text="false">
      <formula>NÃO(ÉERROS(LOCALIZAR("false",W39)))</formula>
    </cfRule>
    <cfRule type="cellIs" dxfId="70" priority="16" operator="equal">
      <formula>0</formula>
    </cfRule>
  </conditionalFormatting>
  <conditionalFormatting sqref="X7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{0ADB3851-3A49-41B3-94A1-962A6F27E665}</x14:id>
        </ext>
      </extLst>
    </cfRule>
  </conditionalFormatting>
  <conditionalFormatting sqref="Y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{CE11D945-A605-4F81-AACA-9646EEC288DF}</x14:id>
        </ext>
      </extLst>
    </cfRule>
  </conditionalFormatting>
  <conditionalFormatting sqref="Y39:Y43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{C0C73A9A-509A-4AFC-8A37-A7B2AB4DCAA3}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{0D67D13C-F187-40BD-915C-8FF325C6F7D8}</x14:id>
        </ext>
      </extLst>
    </cfRule>
  </conditionalFormatting>
  <conditionalFormatting sqref="AJ37:AJ44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{FB51E408-AB19-4278-AF84-0E2EE6697E61}</x14:id>
        </ext>
      </extLst>
    </cfRule>
  </conditionalFormatting>
  <pageMargins left="0.75" right="0.75" top="1" bottom="1" header="0.5" footer="0.5"/>
  <pageSetup orientation="portrait" r:id="rId1"/>
  <headerFooter alignWithMargins="0"/>
  <ignoredErrors>
    <ignoredError sqref="H8:H32" calculatedColumn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3A94BE-3AB6-466B-BF9A-7FE8E0B13F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A39:H43 A5:G32 A33:H36 A38:G38 A3:F3 A2:E2 A4:H4 H5:H6 K2 I4:J5 K4</xm:sqref>
        </x14:conditionalFormatting>
        <x14:conditionalFormatting xmlns:xm="http://schemas.microsoft.com/office/excel/2006/main">
          <x14:cfRule type="dataBar" id="{90049358-4FA0-4413-8CE1-05D731F064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I33:I34</xm:sqref>
        </x14:conditionalFormatting>
        <x14:conditionalFormatting xmlns:xm="http://schemas.microsoft.com/office/excel/2006/main">
          <x14:cfRule type="dataBar" id="{5BE1A65D-06DE-478A-A8F0-79721496A3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I39:I43 I8:J32</xm:sqref>
        </x14:conditionalFormatting>
        <x14:conditionalFormatting xmlns:xm="http://schemas.microsoft.com/office/excel/2006/main">
          <x14:cfRule type="dataBar" id="{F9867208-75DD-460A-A820-2417D68372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J3:K3</xm:sqref>
        </x14:conditionalFormatting>
        <x14:conditionalFormatting xmlns:xm="http://schemas.microsoft.com/office/excel/2006/main">
          <x14:cfRule type="dataBar" id="{D8695665-A0F2-4035-9C9F-914A1AEDEA74}">
            <x14:dataBar minLength="0" maxLength="100" gradient="0">
              <x14:cfvo type="autoMin"/>
              <x14:cfvo type="autoMax"/>
              <x14:negativeFillColor theme="5"/>
              <x14:axisColor rgb="FF000000"/>
            </x14:dataBar>
          </x14:cfRule>
          <xm:sqref>K8:L32</xm:sqref>
        </x14:conditionalFormatting>
        <x14:conditionalFormatting xmlns:xm="http://schemas.microsoft.com/office/excel/2006/main">
          <x14:cfRule type="dataBar" id="{A877EFD9-D82F-4842-81FE-A0993AE760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</xm:sqref>
        </x14:conditionalFormatting>
        <x14:conditionalFormatting xmlns:xm="http://schemas.microsoft.com/office/excel/2006/main">
          <x14:cfRule type="dataBar" id="{A9BC395B-DF81-4F9B-B130-737AEAD02D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A3E452B-D065-4019-893B-58897245D9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L3:M3</xm:sqref>
        </x14:conditionalFormatting>
        <x14:conditionalFormatting xmlns:xm="http://schemas.microsoft.com/office/excel/2006/main">
          <x14:cfRule type="dataBar" id="{55F6BB2A-51B1-4AA7-B0E5-2D1563FE0D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M8:M32</xm:sqref>
        </x14:conditionalFormatting>
        <x14:conditionalFormatting xmlns:xm="http://schemas.microsoft.com/office/excel/2006/main">
          <x14:cfRule type="dataBar" id="{4E5622A4-1332-4423-B61E-DFA97B8750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M33:P33</xm:sqref>
        </x14:conditionalFormatting>
        <x14:conditionalFormatting xmlns:xm="http://schemas.microsoft.com/office/excel/2006/main">
          <x14:cfRule type="dataBar" id="{08C81298-77C0-4D4B-8977-7CE5CB2F6B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N8:O32</xm:sqref>
        </x14:conditionalFormatting>
        <x14:conditionalFormatting xmlns:xm="http://schemas.microsoft.com/office/excel/2006/main">
          <x14:cfRule type="dataBar" id="{909A35FD-570C-40E1-978F-2E459AFFD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15E8366-432E-4E1F-A52E-94AB498B23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1D86552-227C-4938-9A43-6BD764B9EA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Q33:Q34</xm:sqref>
        </x14:conditionalFormatting>
        <x14:conditionalFormatting xmlns:xm="http://schemas.microsoft.com/office/excel/2006/main">
          <x14:cfRule type="dataBar" id="{7488C92E-250C-4C6D-AB4C-14F6D44C10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Q39:Q43</xm:sqref>
        </x14:conditionalFormatting>
        <x14:conditionalFormatting xmlns:xm="http://schemas.microsoft.com/office/excel/2006/main">
          <x14:cfRule type="dataBar" id="{C38D810D-DDE4-4900-A6D6-9E13CAC424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Q8:R32</xm:sqref>
        </x14:conditionalFormatting>
        <x14:conditionalFormatting xmlns:xm="http://schemas.microsoft.com/office/excel/2006/main">
          <x14:cfRule type="dataBar" id="{6E1B0141-3386-4E2E-B4FF-30FB520CFD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32760C3-A531-445F-BFDF-F7767A73CF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3580D77D-1C34-4517-A5EB-B4F42CE10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R33:R34 T33:V34 K33 T37:V39 R37:R39</xm:sqref>
        </x14:conditionalFormatting>
        <x14:conditionalFormatting xmlns:xm="http://schemas.microsoft.com/office/excel/2006/main">
          <x14:cfRule type="dataBar" id="{EF0A1E06-3995-4EEB-A203-FB9F8A849D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R33:R34 T33:V34 K33 W39:X43 T37:V39 R37:R39</xm:sqref>
        </x14:conditionalFormatting>
        <x14:conditionalFormatting xmlns:xm="http://schemas.microsoft.com/office/excel/2006/main">
          <x14:cfRule type="dataBar" id="{8056344C-D5C9-49DE-8F45-C30FC5ADC6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R40:R41 T40:V41</xm:sqref>
        </x14:conditionalFormatting>
        <x14:conditionalFormatting xmlns:xm="http://schemas.microsoft.com/office/excel/2006/main">
          <x14:cfRule type="dataBar" id="{E67678A0-BBDF-438C-9C17-878619167B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R42:R43 T42:V43</xm:sqref>
        </x14:conditionalFormatting>
        <x14:conditionalFormatting xmlns:xm="http://schemas.microsoft.com/office/excel/2006/main">
          <x14:cfRule type="dataBar" id="{E4A42269-DBB4-4E5A-939E-374C8B8F245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S8:S32</xm:sqref>
        </x14:conditionalFormatting>
        <x14:conditionalFormatting xmlns:xm="http://schemas.microsoft.com/office/excel/2006/main">
          <x14:cfRule type="dataBar" id="{6FF46657-8A22-47DE-B8C5-DEBAEAA631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S33:S34 S37:S39</xm:sqref>
        </x14:conditionalFormatting>
        <x14:conditionalFormatting xmlns:xm="http://schemas.microsoft.com/office/excel/2006/main">
          <x14:cfRule type="dataBar" id="{F94A6DA3-028A-4870-970D-233A5A6B1D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S33:S34</xm:sqref>
        </x14:conditionalFormatting>
        <x14:conditionalFormatting xmlns:xm="http://schemas.microsoft.com/office/excel/2006/main">
          <x14:cfRule type="dataBar" id="{AFA9159D-6495-4626-9821-BBD1032D31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S40:S41</xm:sqref>
        </x14:conditionalFormatting>
        <x14:conditionalFormatting xmlns:xm="http://schemas.microsoft.com/office/excel/2006/main">
          <x14:cfRule type="dataBar" id="{F68B43BD-8C13-4BE1-9115-F24A79D395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S42:S43</xm:sqref>
        </x14:conditionalFormatting>
        <x14:conditionalFormatting xmlns:xm="http://schemas.microsoft.com/office/excel/2006/main">
          <x14:cfRule type="dataBar" id="{F9F5BFD8-3C6A-4414-BF79-2990B7059F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T5:T6 N6:P6 M5</xm:sqref>
        </x14:conditionalFormatting>
        <x14:conditionalFormatting xmlns:xm="http://schemas.microsoft.com/office/excel/2006/main">
          <x14:cfRule type="dataBar" id="{75757BF4-130F-410E-9138-FEAB126F4F1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T8:T32</xm:sqref>
        </x14:conditionalFormatting>
        <x14:conditionalFormatting xmlns:xm="http://schemas.microsoft.com/office/excel/2006/main">
          <x14:cfRule type="dataBar" id="{20318646-B142-4DC1-BE5E-22BCBA649E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U8:U32</xm:sqref>
        </x14:conditionalFormatting>
        <x14:conditionalFormatting xmlns:xm="http://schemas.microsoft.com/office/excel/2006/main">
          <x14:cfRule type="dataBar" id="{65F67FBF-CAEB-4912-996B-2D0116C15B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V8:V32</xm:sqref>
        </x14:conditionalFormatting>
        <x14:conditionalFormatting xmlns:xm="http://schemas.microsoft.com/office/excel/2006/main">
          <x14:cfRule type="dataBar" id="{A9374EB5-E2EB-4655-86F5-9EAE4C4E3C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W7</xm:sqref>
        </x14:conditionalFormatting>
        <x14:conditionalFormatting xmlns:xm="http://schemas.microsoft.com/office/excel/2006/main">
          <x14:cfRule type="dataBar" id="{9B1DF907-AB57-4634-9511-6F0349733A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W39:X43 Z33:AG36 Z37:AC43</xm:sqref>
        </x14:conditionalFormatting>
        <x14:conditionalFormatting xmlns:xm="http://schemas.microsoft.com/office/excel/2006/main">
          <x14:cfRule type="dataBar" id="{0ADB3851-3A49-41B3-94A1-962A6F27E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X7</xm:sqref>
        </x14:conditionalFormatting>
        <x14:conditionalFormatting xmlns:xm="http://schemas.microsoft.com/office/excel/2006/main">
          <x14:cfRule type="dataBar" id="{CE11D945-A605-4F81-AACA-9646EEC288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Y7</xm:sqref>
        </x14:conditionalFormatting>
        <x14:conditionalFormatting xmlns:xm="http://schemas.microsoft.com/office/excel/2006/main">
          <x14:cfRule type="dataBar" id="{C0C73A9A-509A-4AFC-8A37-A7B2AB4DC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67D13C-F187-40BD-915C-8FF325C6F7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Y39:Y43</xm:sqref>
        </x14:conditionalFormatting>
        <x14:conditionalFormatting xmlns:xm="http://schemas.microsoft.com/office/excel/2006/main">
          <x14:cfRule type="dataBar" id="{FB51E408-AB19-4278-AF84-0E2EE6697E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AJ37:AJ44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DD45-460D-489B-A605-2BC3FB257565}">
  <sheetPr>
    <tabColor theme="8" tint="-0.249977111117893"/>
  </sheetPr>
  <dimension ref="A1:DD1945"/>
  <sheetViews>
    <sheetView zoomScale="90" zoomScaleNormal="90" workbookViewId="0">
      <selection activeCell="X12" sqref="X12"/>
    </sheetView>
  </sheetViews>
  <sheetFormatPr defaultRowHeight="15" x14ac:dyDescent="0.25"/>
  <cols>
    <col min="1" max="1" width="5.5703125" customWidth="1"/>
    <col min="2" max="2" width="7.28515625" customWidth="1"/>
    <col min="3" max="3" width="7.28515625" hidden="1" customWidth="1"/>
    <col min="4" max="4" width="8" customWidth="1"/>
    <col min="5" max="8" width="8" hidden="1" customWidth="1"/>
    <col min="9" max="17" width="7.5703125" customWidth="1"/>
    <col min="18" max="20" width="7.42578125" customWidth="1"/>
    <col min="23" max="23" width="9.140625" style="111"/>
    <col min="24" max="27" width="5.7109375" customWidth="1"/>
    <col min="28" max="30" width="7.42578125" customWidth="1"/>
    <col min="31" max="31" width="5.85546875" customWidth="1"/>
    <col min="32" max="37" width="5.85546875" hidden="1" customWidth="1"/>
    <col min="38" max="38" width="5.85546875" customWidth="1"/>
    <col min="39" max="41" width="4.5703125" customWidth="1"/>
    <col min="42" max="43" width="4.5703125" hidden="1" customWidth="1"/>
    <col min="44" max="46" width="4.7109375" customWidth="1"/>
    <col min="47" max="47" width="4" customWidth="1"/>
    <col min="48" max="48" width="7" customWidth="1"/>
    <col min="49" max="49" width="4.140625" customWidth="1"/>
    <col min="50" max="50" width="3" customWidth="1"/>
    <col min="51" max="51" width="6.42578125" customWidth="1"/>
    <col min="52" max="52" width="3.85546875" style="101" customWidth="1"/>
    <col min="53" max="56" width="6.42578125" customWidth="1"/>
    <col min="57" max="93" width="8.42578125" customWidth="1"/>
    <col min="94" max="94" width="7.85546875" customWidth="1"/>
    <col min="95" max="96" width="5.42578125" customWidth="1"/>
    <col min="97" max="99" width="4.7109375" customWidth="1"/>
    <col min="100" max="100" width="8.140625" customWidth="1"/>
    <col min="101" max="101" width="5.5703125" customWidth="1"/>
    <col min="102" max="102" width="4.7109375" customWidth="1"/>
    <col min="103" max="103" width="5.5703125" customWidth="1"/>
    <col min="104" max="104" width="6.140625" customWidth="1"/>
    <col min="105" max="128" width="3.85546875" customWidth="1"/>
  </cols>
  <sheetData>
    <row r="1" spans="1:52" ht="18.95" customHeight="1" x14ac:dyDescent="0.25">
      <c r="A1" s="1">
        <v>71</v>
      </c>
      <c r="B1" s="2"/>
      <c r="C1" s="2"/>
      <c r="D1" s="3"/>
      <c r="E1" s="3"/>
      <c r="F1" s="4">
        <v>1</v>
      </c>
      <c r="G1" s="5"/>
      <c r="H1" s="5"/>
      <c r="I1" s="6">
        <v>1</v>
      </c>
      <c r="J1" s="7"/>
      <c r="K1" s="7"/>
      <c r="L1" s="7"/>
      <c r="M1" s="7"/>
      <c r="N1" s="8"/>
      <c r="O1" s="152" t="s">
        <v>42</v>
      </c>
      <c r="P1" s="153">
        <v>0</v>
      </c>
      <c r="Q1" s="153">
        <v>1</v>
      </c>
      <c r="R1" s="9"/>
      <c r="S1" s="10"/>
      <c r="T1" s="11">
        <f>ABS(T2)+ABS(S2)</f>
        <v>7.0958901095456266</v>
      </c>
      <c r="U1" s="12"/>
      <c r="V1" s="12"/>
      <c r="W1" s="144">
        <v>0</v>
      </c>
      <c r="X1" s="137"/>
      <c r="Y1" s="137"/>
      <c r="Z1" s="153">
        <v>0</v>
      </c>
      <c r="AA1" s="153">
        <v>0.5</v>
      </c>
      <c r="AB1" s="13">
        <f>A996</f>
        <v>1</v>
      </c>
      <c r="AC1" s="14">
        <f>A992*A994</f>
        <v>1</v>
      </c>
      <c r="AD1" s="12"/>
      <c r="AE1" s="12"/>
      <c r="AF1" s="12"/>
      <c r="AG1" s="12"/>
      <c r="AH1" s="15">
        <f>'[3]11'!AI1</f>
        <v>1</v>
      </c>
      <c r="AI1" s="16"/>
      <c r="AJ1" s="17"/>
      <c r="AK1" s="18">
        <v>100</v>
      </c>
      <c r="AZ1"/>
    </row>
    <row r="2" spans="1:52" ht="18.95" customHeight="1" thickBot="1" x14ac:dyDescent="0.3">
      <c r="A2" s="2"/>
      <c r="B2" s="19"/>
      <c r="C2" s="19"/>
      <c r="D2" s="4">
        <v>0</v>
      </c>
      <c r="E2" s="3"/>
      <c r="F2" s="20" t="str">
        <f>IF(D2=1,"nope","=")</f>
        <v>=</v>
      </c>
      <c r="G2" s="5"/>
      <c r="H2" s="21" t="s">
        <v>0</v>
      </c>
      <c r="I2" s="22">
        <v>0</v>
      </c>
      <c r="J2" s="7"/>
      <c r="K2" s="146">
        <f>AVERAGE(Tab.11[data])</f>
        <v>0</v>
      </c>
      <c r="L2" s="134"/>
      <c r="M2" s="133" t="str">
        <f>IF(MAX(Tab.11[b9])&gt;MAX(Tab.11[b10]),"err",IF(MIN(Tab.11[b9])&gt;MIN(Tab.11[b8]),"err","ok"))</f>
        <v>ok</v>
      </c>
      <c r="N2" s="133" t="str">
        <f>IF(MAX(Tab.11[b9])&gt;MAX(Tab.11[b10]),"err",IF(MAX(Tab.11[b10])&lt;MAX(Tab.11[b8]),"err","ok"))</f>
        <v>ok</v>
      </c>
      <c r="O2" s="152" t="s">
        <v>43</v>
      </c>
      <c r="P2" s="148">
        <v>0</v>
      </c>
      <c r="Q2" s="149">
        <v>1</v>
      </c>
      <c r="R2" s="11">
        <f>-MIN(Tab.11[b8])+MAX(Tab.11[b8])</f>
        <v>3.2767120876365015</v>
      </c>
      <c r="S2" s="23">
        <f>-MIN(Tab.11[b9])</f>
        <v>5.2767120876365015</v>
      </c>
      <c r="T2" s="23">
        <f>MAX(Tab.11[b10])</f>
        <v>1.8191780219091254</v>
      </c>
      <c r="U2" s="12"/>
      <c r="V2" s="24">
        <f>'5'!A991</f>
        <v>1</v>
      </c>
      <c r="W2" s="25">
        <v>0.5</v>
      </c>
      <c r="X2" s="138"/>
      <c r="Y2" s="138"/>
      <c r="Z2" s="143">
        <f>_xlfn.MAXIFS(Tab.11[b88],Tab.11[b88],"&lt;0")</f>
        <v>-9.8423361758041603E-2</v>
      </c>
      <c r="AA2" s="140"/>
      <c r="AB2" s="12"/>
      <c r="AC2" s="26">
        <v>1</v>
      </c>
      <c r="AD2" s="12"/>
      <c r="AE2" s="12"/>
      <c r="AF2" s="12"/>
      <c r="AG2" s="12"/>
      <c r="AH2" s="27" t="str">
        <f>IF(AH3=0,IF(AH1=0,"W 2 RES","1/W F RES"),"W 3 RES Fixo")</f>
        <v>1/W F RES</v>
      </c>
      <c r="AI2" s="28">
        <v>20</v>
      </c>
      <c r="AJ2" s="28">
        <v>40</v>
      </c>
      <c r="AK2" s="29">
        <f>(AI2+AJ2)/2</f>
        <v>30</v>
      </c>
      <c r="AZ2"/>
    </row>
    <row r="3" spans="1:52" ht="18.95" customHeight="1" thickBot="1" x14ac:dyDescent="0.3">
      <c r="A3" s="30">
        <f>SUM(Tab.11[a1])</f>
        <v>18</v>
      </c>
      <c r="B3" s="145">
        <f>MATCH(1,Tab.11[a1],0)+4</f>
        <v>5</v>
      </c>
      <c r="C3" s="2"/>
      <c r="D3" s="32" t="str">
        <f>IF(D2=1,"Modelled Fixo",IF(F1=0,"Modelled","Measured"))</f>
        <v>Measured</v>
      </c>
      <c r="E3" s="3"/>
      <c r="F3" s="33" t="str">
        <f>IF(I1=0,"MOD 1 SEO","Modelled")</f>
        <v>Modelled</v>
      </c>
      <c r="G3" s="34">
        <v>1</v>
      </c>
      <c r="H3" s="5"/>
      <c r="I3" s="21">
        <f>MIN(Tab.11[b5])</f>
        <v>1</v>
      </c>
      <c r="J3" s="7"/>
      <c r="K3" s="35">
        <v>1</v>
      </c>
      <c r="L3" s="36" t="s">
        <v>1</v>
      </c>
      <c r="M3" s="37" t="s">
        <v>2</v>
      </c>
      <c r="N3" s="38" t="s">
        <v>3</v>
      </c>
      <c r="O3" s="150"/>
      <c r="P3" s="151">
        <f>AVERAGE(Tab.11[b1])+P1</f>
        <v>9.5</v>
      </c>
      <c r="Q3" s="151">
        <f>_xlfn.STDEV.P(Tab.11[b1])*Q1</f>
        <v>5.1881274720911268</v>
      </c>
      <c r="R3" s="39">
        <f>SUM(Tab.11[target])</f>
        <v>189</v>
      </c>
      <c r="S3" s="39">
        <f>SUM(Tab.11[Red])-R3</f>
        <v>-150.77258899528053</v>
      </c>
      <c r="T3" s="39">
        <f>SUM(Tab.11[Blue])-R3</f>
        <v>111.38629449764039</v>
      </c>
      <c r="U3" s="12"/>
      <c r="V3" s="40">
        <f>'5'!A993</f>
        <v>1</v>
      </c>
      <c r="W3" s="144">
        <f>MIN(Tab.11[IN])</f>
        <v>2.0618725279088714</v>
      </c>
      <c r="X3" s="35">
        <v>1</v>
      </c>
      <c r="Y3" s="138"/>
      <c r="Z3" s="143">
        <f>_xlfn.MINIFS(Tab.11[b88],Tab.11[b88],"&gt;0")</f>
        <v>9.4879615431804384E-2</v>
      </c>
      <c r="AA3" s="139"/>
      <c r="AB3" s="12"/>
      <c r="AC3" s="141">
        <v>1</v>
      </c>
      <c r="AD3" s="12"/>
      <c r="AE3" s="141">
        <v>1</v>
      </c>
      <c r="AF3" s="12"/>
      <c r="AG3" s="12"/>
      <c r="AH3" s="15">
        <f>'[3]11'!AI3</f>
        <v>0</v>
      </c>
      <c r="AI3" s="41">
        <v>3.0000000000000001E-3</v>
      </c>
      <c r="AJ3" s="42">
        <f ca="1">($AK$2-RANDBETWEEN($AI$2,$AJ$2))/$AK$1</f>
        <v>0.06</v>
      </c>
      <c r="AK3" s="17"/>
      <c r="AZ3"/>
    </row>
    <row r="4" spans="1:52" ht="49.5" customHeight="1" thickBot="1" x14ac:dyDescent="0.3">
      <c r="A4" s="43" t="s">
        <v>4</v>
      </c>
      <c r="B4" s="43" t="s">
        <v>5</v>
      </c>
      <c r="C4" s="43" t="s">
        <v>6</v>
      </c>
      <c r="D4" s="44" t="s">
        <v>7</v>
      </c>
      <c r="E4" s="45" t="s">
        <v>8</v>
      </c>
      <c r="F4" s="46" t="s">
        <v>9</v>
      </c>
      <c r="G4" s="47" t="s">
        <v>10</v>
      </c>
      <c r="H4" s="43" t="s">
        <v>11</v>
      </c>
      <c r="I4" s="48" t="s">
        <v>12</v>
      </c>
      <c r="J4" s="43" t="s">
        <v>13</v>
      </c>
      <c r="K4" s="43" t="s">
        <v>41</v>
      </c>
      <c r="L4" s="49" t="s">
        <v>14</v>
      </c>
      <c r="M4" s="49" t="s">
        <v>15</v>
      </c>
      <c r="N4" s="50" t="s">
        <v>16</v>
      </c>
      <c r="O4" s="51" t="s">
        <v>17</v>
      </c>
      <c r="P4" s="51" t="s">
        <v>18</v>
      </c>
      <c r="Q4" s="52" t="s">
        <v>19</v>
      </c>
      <c r="R4" s="53" t="s">
        <v>20</v>
      </c>
      <c r="S4" s="54" t="s">
        <v>21</v>
      </c>
      <c r="T4" s="55" t="s">
        <v>22</v>
      </c>
      <c r="U4" s="56" t="s">
        <v>23</v>
      </c>
      <c r="V4" s="56" t="s">
        <v>24</v>
      </c>
      <c r="W4" s="142" t="s">
        <v>25</v>
      </c>
      <c r="X4" s="43" t="s">
        <v>37</v>
      </c>
      <c r="Y4" s="43" t="s">
        <v>38</v>
      </c>
      <c r="Z4" s="49" t="s">
        <v>39</v>
      </c>
      <c r="AA4" s="52" t="s">
        <v>40</v>
      </c>
      <c r="AB4" s="154" t="s">
        <v>48</v>
      </c>
      <c r="AC4" s="154" t="s">
        <v>49</v>
      </c>
      <c r="AD4" s="57" t="s">
        <v>50</v>
      </c>
      <c r="AE4" s="57" t="s">
        <v>26</v>
      </c>
      <c r="AF4" s="58" t="s">
        <v>27</v>
      </c>
      <c r="AG4" s="59" t="s">
        <v>28</v>
      </c>
      <c r="AH4" s="12" t="s">
        <v>29</v>
      </c>
      <c r="AI4" s="60" t="s">
        <v>30</v>
      </c>
      <c r="AJ4" s="60" t="s">
        <v>31</v>
      </c>
      <c r="AK4" s="60" t="s">
        <v>32</v>
      </c>
      <c r="AM4" s="156" t="s">
        <v>4</v>
      </c>
      <c r="AN4" s="157" t="s">
        <v>5</v>
      </c>
      <c r="AO4" s="44" t="s">
        <v>7</v>
      </c>
      <c r="AP4">
        <v>4</v>
      </c>
      <c r="AQ4">
        <v>5</v>
      </c>
      <c r="AZ4"/>
    </row>
    <row r="5" spans="1:52" x14ac:dyDescent="0.25">
      <c r="A5" s="61">
        <f t="shared" ref="A5:B20" si="0">AM5</f>
        <v>1</v>
      </c>
      <c r="B5" s="62">
        <f t="shared" si="0"/>
        <v>1</v>
      </c>
      <c r="C5" s="62" t="str">
        <f>IF(Tab.11[[#This Row],[a1]]=1,[3]!Tab_x1[[#This Row],[Name]])</f>
        <v>hed1</v>
      </c>
      <c r="D5" s="63">
        <f>IF(Tab.11[[#This Row],[a1]]=1,AO5)</f>
        <v>1</v>
      </c>
      <c r="E5" s="63">
        <f t="shared" ref="E5:E68" si="1">AM5</f>
        <v>1</v>
      </c>
      <c r="F5" s="64">
        <f>IF(Tab.11[[#This Row],[a1]]=1,Tab.11[[#This Row],[b1]])</f>
        <v>1</v>
      </c>
      <c r="G5" s="65">
        <f>IF(Tab.11[[#This Row],[a1]]=1,IF(Tab.11[[#This Row],[b3]]&gt;$L$989*$G$3,$L$989*$G$3,IF(Tab.11[[#This Row],[b3]]&lt;$M$989*$G$3,$M$989*$G$3,Tab.11[[#This Row],[b3]])))</f>
        <v>1.51</v>
      </c>
      <c r="H5" s="66">
        <f>IF(Tab.11[[#This Row],[a1]]=1,Tab.11[[#This Row],[b1]])</f>
        <v>1</v>
      </c>
      <c r="I5" s="67">
        <f>IF(Tab.11[[#This Row],[a1]]=1,Tab.11[[#This Row],[b1]])</f>
        <v>1</v>
      </c>
      <c r="J5" s="68">
        <f>IF(Tab.11[[#This Row],[a1]]=1,IF($I$3&lt;0,Tab.11[[#This Row],[b5]]-$I$3,Tab.11[[#This Row],[b5]]))</f>
        <v>1</v>
      </c>
      <c r="K5" s="68">
        <f>IF(Tab.11[[#This Row],[a1]]=1,IF($K$3=0,Tab.11[b6],Tab.11[[#This Row],[b6]]-AVERAGE(Tab.11[b6])))</f>
        <v>-8.5</v>
      </c>
      <c r="L5" s="69">
        <f>IF(Tab.11[[#This Row],[a1]]=1,Tab.11[[#This Row],[data]]/(_xlfn.STDEV.P(Tab.11[data])*$B$989)+$A$989)</f>
        <v>-1.6383560438182507</v>
      </c>
      <c r="M5" s="69">
        <f>IF(Tab.11[[#This Row],[a1]]=1,Tab.11[[#This Row],[data]]/(_xlfn.STDEV.P(Tab.11[data])*$B$987)-$A$987)</f>
        <v>-5.2767120876365015</v>
      </c>
      <c r="N5" s="69">
        <f>IF(Tab.11[[#This Row],[a1]]=1,Tab.11[[#This Row],[data]]/(_xlfn.STDEV.P(Tab.11[data])*$B$988)+$A$988)</f>
        <v>0.18082197809087464</v>
      </c>
      <c r="O5" s="70">
        <f>IF(Tab.11[[#This Row],[a1]]=1,_xlfn.NORM.DIST(Tab.11[[#This Row],[b8]],$P$1,$Q$1,FALSE))</f>
        <v>0.10424162092406511</v>
      </c>
      <c r="P5" s="70">
        <f>IF(Tab.11[[#This Row],[a1]]=1,_xlfn.NORM.DIST(Tab.11[[#This Row],[b9]],$P$1,$Q$1,FALSE))</f>
        <v>3.5869845447225158E-7</v>
      </c>
      <c r="Q5" s="70">
        <f>IF(Tab.11[[#This Row],[a1]]=1,_xlfn.NORM.DIST(Tab.11[[#This Row],[b10]],$P$1,$Q$1,FALSE))</f>
        <v>0.39247327741951937</v>
      </c>
      <c r="R5" s="67">
        <f>IF(Tab.11[[#This Row],[a1]]=1,$I$3+$A$989+IF($K$3=0,Tab.11[[#This Row],[b8]]*_xlfn.STDEV.P(Tab.11[data]),AVERAGE(Tab.11[b6])+Tab.11[[#This Row],[b8]]*_xlfn.STDEV.P(Tab.11[data])))</f>
        <v>2</v>
      </c>
      <c r="S5" s="71">
        <f>IF(Tab.11[[#This Row],[a1]]=1,$I$3+$A$987+IF($K$3=0,Tab.11[[#This Row],[b9]]*_xlfn.STDEV.P(Tab.11[data]),AVERAGE(Tab.11[b6])+Tab.11[[#This Row],[b9]]*_xlfn.STDEV.P(Tab.11[data])))</f>
        <v>-14.876254944182254</v>
      </c>
      <c r="T5" s="71">
        <f>IF(Tab.11[[#This Row],[a1]]=1,$I$3+$A$988+IF($K$3=0,Tab.11[[#This Row],[b10]]*_xlfn.STDEV.P(Tab.11[data]),AVERAGE(Tab.11[b6])+Tab.11[[#This Row],[b10]]*_xlfn.STDEV.P(Tab.11[data])))</f>
        <v>12.438127472091127</v>
      </c>
      <c r="U5" s="72">
        <f>IF(Tab.11[[#This Row],[a1]]=1,Tab.11[[#This Row],[target]]-Tab.11[[#This Row],[Red]])</f>
        <v>16.876254944182254</v>
      </c>
      <c r="V5" s="72">
        <f>IF(Tab.11[[#This Row],[a1]]=1,Tab.11[[#This Row],[target]]-Tab.11[[#This Row],[Blue]])</f>
        <v>-10.438127472091127</v>
      </c>
      <c r="W5" s="73">
        <f>IF(Tab.11[[#This Row],[a1]]=1,IF(ABS(Tab.11[[#This Row],[b17]])+ABS(Tab.11[[#This Row],[b18]])&lt;$W$2,$W$2,ABS(Tab.11[[#This Row],[b17]])+ABS(Tab.11[[#This Row],[b18]])))</f>
        <v>27.314382416273382</v>
      </c>
      <c r="X5" s="136">
        <f>IF(Tab.11[[#This Row],[a1]]=1,IF($W$3&lt;0,Tab.11[[#This Row],[IN]]-$I$3,Tab.11[[#This Row],[IN]]))</f>
        <v>27.314382416273382</v>
      </c>
      <c r="Y5" s="136">
        <f>IF(Tab.11[[#This Row],[a1]]=1,IF($X$3=0,Tab.11[b66],Tab.11[[#This Row],[b66]]-AVERAGE(Tab.11[b66])))</f>
        <v>12.736250549353583</v>
      </c>
      <c r="Z5" s="135">
        <f>IF(Tab.11[[#This Row],[a1]]=1,Tab.11[[#This Row],[b77]]/(_xlfn.STDEV.P(Tab.11[b77])))</f>
        <v>1.6413034329505727</v>
      </c>
      <c r="AA5" s="70">
        <f>IF(Tab.11[[#This Row],[a1]]=1,_xlfn.NORM.DIST(Tab.11[[#This Row],[b88]],$Z$1,$AA$1,FALSE))</f>
        <v>3.6481128566189626E-3</v>
      </c>
      <c r="AB5" s="74">
        <f>IF(Tab.11[[#This Row],[a1]]=1,IF($A$3=0,FALSE,1/Tab.11[[#This Row],[IN]]*$AC$2*IF(Tab.11[[#This Row],[a1]]=0,,$A$3*$AC$1*1/$V$3*(Tab.11[[#This Row],[b14]]))))</f>
        <v>2.4040825971601968E-3</v>
      </c>
      <c r="AC5" s="155">
        <f>IF(Tab.11[[#This Row],[a1]]=1,IF($AC$3=0,Tab.11[[#This Row],[φ1]],Tab.11[[#This Row],[φ1]]/MAX(Tab.11[φ1])))</f>
        <v>2.357666924755958E-3</v>
      </c>
      <c r="AD5" s="74">
        <f>IF(Tab.11[[#This Row],[a1]]=1,1/Tab.11[[#This Row],[φ2]])</f>
        <v>424.14812266304745</v>
      </c>
      <c r="AE5" s="74">
        <f>IF(Tab.11[[#This Row],[a1]]=1,IF($AE$3=0,Tab.11[[#This Row],[w.0]],Tab.11[[#This Row],[w.0]]/SUM(Tab.11[w.0])))</f>
        <v>0.62507128659920197</v>
      </c>
      <c r="AF5" s="76" t="str">
        <f>IF(Tab.11[[#This Row],[a1]]=0,"false",[3]!Tab.x5[[#This Row],[%_seN_C]])</f>
        <v/>
      </c>
      <c r="AG5" s="77">
        <f>IF(Tab.11[[#This Row],[a1]]=1,AP5)</f>
        <v>10</v>
      </c>
      <c r="AH5" s="78">
        <f>IF(Tab.11[[#This Row],[a1]]=1,AQ5)</f>
        <v>10</v>
      </c>
      <c r="AI5" s="41">
        <v>3.0000000000000001E-3</v>
      </c>
      <c r="AJ5" s="79">
        <v>-7.0000000000000007E-2</v>
      </c>
      <c r="AK5" s="80">
        <f>IF(Tab.11[[#This Row],[a1]]=1,1)</f>
        <v>1</v>
      </c>
      <c r="AM5">
        <v>1</v>
      </c>
      <c r="AN5">
        <v>1</v>
      </c>
      <c r="AO5">
        <v>1</v>
      </c>
      <c r="AP5">
        <v>10</v>
      </c>
      <c r="AQ5">
        <v>10</v>
      </c>
      <c r="AZ5"/>
    </row>
    <row r="6" spans="1:52" x14ac:dyDescent="0.25">
      <c r="A6" s="61">
        <f t="shared" si="0"/>
        <v>1</v>
      </c>
      <c r="B6" s="62">
        <f t="shared" si="0"/>
        <v>2</v>
      </c>
      <c r="C6" s="62" t="str">
        <f>IF(Tab.11[[#This Row],[a1]]=1,[3]!Tab_x1[[#This Row],[Name]])</f>
        <v>hed2</v>
      </c>
      <c r="D6" s="63">
        <f>IF(Tab.11[[#This Row],[a1]]=1,AO6)</f>
        <v>2</v>
      </c>
      <c r="E6" s="63">
        <f t="shared" si="1"/>
        <v>1</v>
      </c>
      <c r="F6" s="64">
        <f>IF(Tab.11[[#This Row],[a1]]=1,Tab.11[[#This Row],[b1]])</f>
        <v>2</v>
      </c>
      <c r="G6" s="65">
        <f>IF(Tab.11[[#This Row],[a1]]=1,IF(Tab.11[[#This Row],[b3]]&gt;$L$989*$G$3,$L$989*$G$3,IF(Tab.11[[#This Row],[b3]]&lt;$M$989*$G$3,$M$989*$G$3,Tab.11[[#This Row],[b3]])))</f>
        <v>2</v>
      </c>
      <c r="H6" s="66">
        <f>IF(Tab.11[[#This Row],[a1]]=1,Tab.11[[#This Row],[b1]])</f>
        <v>2</v>
      </c>
      <c r="I6" s="67">
        <f>IF(Tab.11[[#This Row],[a1]]=1,Tab.11[[#This Row],[b1]])</f>
        <v>2</v>
      </c>
      <c r="J6" s="68">
        <f>IF(Tab.11[[#This Row],[a1]]=1,IF($I$3&lt;0,Tab.11[[#This Row],[b5]]-$I$3,Tab.11[[#This Row],[b5]]))</f>
        <v>2</v>
      </c>
      <c r="K6" s="68">
        <f>IF(Tab.11[[#This Row],[a1]]=1,IF($K$3=0,Tab.11[b6],Tab.11[[#This Row],[b6]]-AVERAGE(Tab.11[b6])))</f>
        <v>-7.5</v>
      </c>
      <c r="L6" s="69">
        <f>IF(Tab.11[[#This Row],[a1]]=1,Tab.11[[#This Row],[data]]/(_xlfn.STDEV.P(Tab.11[data])*$B$989)+$A$989)</f>
        <v>-1.44560827395728</v>
      </c>
      <c r="M6" s="69">
        <f>IF(Tab.11[[#This Row],[a1]]=1,Tab.11[[#This Row],[data]]/(_xlfn.STDEV.P(Tab.11[data])*$B$987)-$A$987)</f>
        <v>-4.89121654791456</v>
      </c>
      <c r="N6" s="69">
        <f>IF(Tab.11[[#This Row],[a1]]=1,Tab.11[[#This Row],[data]]/(_xlfn.STDEV.P(Tab.11[data])*$B$988)+$A$988)</f>
        <v>0.27719586302136001</v>
      </c>
      <c r="O6" s="70">
        <f>IF(Tab.11[[#This Row],[a1]]=1,_xlfn.NORM.DIST(Tab.11[[#This Row],[b8]],$P$1,$Q$1,FALSE))</f>
        <v>0.1403199405445649</v>
      </c>
      <c r="P6" s="70">
        <f>IF(Tab.11[[#This Row],[a1]]=1,_xlfn.NORM.DIST(Tab.11[[#This Row],[b9]],$P$1,$Q$1,FALSE))</f>
        <v>2.5461244141642578E-6</v>
      </c>
      <c r="Q6" s="70">
        <f>IF(Tab.11[[#This Row],[a1]]=1,_xlfn.NORM.DIST(Tab.11[[#This Row],[b10]],$P$1,$Q$1,FALSE))</f>
        <v>0.38390609274582566</v>
      </c>
      <c r="R6" s="67">
        <f>IF(Tab.11[[#This Row],[a1]]=1,$I$3+$A$989+IF($K$3=0,Tab.11[[#This Row],[b8]]*_xlfn.STDEV.P(Tab.11[data]),AVERAGE(Tab.11[b6])+Tab.11[[#This Row],[b8]]*_xlfn.STDEV.P(Tab.11[data])))</f>
        <v>3</v>
      </c>
      <c r="S6" s="71">
        <f>IF(Tab.11[[#This Row],[a1]]=1,$I$3+$A$987+IF($K$3=0,Tab.11[[#This Row],[b9]]*_xlfn.STDEV.P(Tab.11[data]),AVERAGE(Tab.11[b6])+Tab.11[[#This Row],[b9]]*_xlfn.STDEV.P(Tab.11[data])))</f>
        <v>-12.876254944182254</v>
      </c>
      <c r="T6" s="71">
        <f>IF(Tab.11[[#This Row],[a1]]=1,$I$3+$A$988+IF($K$3=0,Tab.11[[#This Row],[b10]]*_xlfn.STDEV.P(Tab.11[data]),AVERAGE(Tab.11[b6])+Tab.11[[#This Row],[b10]]*_xlfn.STDEV.P(Tab.11[data])))</f>
        <v>12.938127472091127</v>
      </c>
      <c r="U6" s="72">
        <f>IF(Tab.11[[#This Row],[a1]]=1,Tab.11[[#This Row],[target]]-Tab.11[[#This Row],[Red]])</f>
        <v>15.876254944182254</v>
      </c>
      <c r="V6" s="72">
        <f>IF(Tab.11[[#This Row],[a1]]=1,Tab.11[[#This Row],[target]]-Tab.11[[#This Row],[Blue]])</f>
        <v>-9.9381274720911268</v>
      </c>
      <c r="W6" s="73">
        <f>IF(Tab.11[[#This Row],[a1]]=1,IF(ABS(Tab.11[[#This Row],[b17]])+ABS(Tab.11[[#This Row],[b18]])&lt;$W$2,$W$2,ABS(Tab.11[[#This Row],[b17]])+ABS(Tab.11[[#This Row],[b18]])))</f>
        <v>25.814382416273382</v>
      </c>
      <c r="X6" s="136">
        <f>IF(Tab.11[[#This Row],[a1]]=1,IF($W$3&lt;0,Tab.11[[#This Row],[IN]]-$I$3,Tab.11[[#This Row],[IN]]))</f>
        <v>25.814382416273382</v>
      </c>
      <c r="Y6" s="136">
        <f>IF(Tab.11[[#This Row],[a1]]=1,IF($X$3=0,Tab.11[b66],Tab.11[[#This Row],[b66]]-AVERAGE(Tab.11[b66])))</f>
        <v>11.236250549353583</v>
      </c>
      <c r="Z6" s="135">
        <f>IF(Tab.11[[#This Row],[a1]]=1,Tab.11[[#This Row],[b77]]/(_xlfn.STDEV.P(Tab.11[b77])))</f>
        <v>1.4480004557607267</v>
      </c>
      <c r="AA6" s="70">
        <f>IF(Tab.11[[#This Row],[a1]]=1,_xlfn.NORM.DIST(Tab.11[[#This Row],[b88]],$Z$1,$AA$1,FALSE))</f>
        <v>1.2043839526227475E-2</v>
      </c>
      <c r="AB6" s="74">
        <f>IF(Tab.11[[#This Row],[a1]]=1,IF($A$3=0,FALSE,1/Tab.11[[#This Row],[IN]]*$AC$2*IF(Tab.11[[#This Row],[a1]]=0,,$A$3*$AC$1*1/$V$3*(Tab.11[[#This Row],[b14]]))))</f>
        <v>8.3979972085418079E-3</v>
      </c>
      <c r="AC6" s="155">
        <f>IF(Tab.11[[#This Row],[a1]]=1,IF($AC$3=0,Tab.11[[#This Row],[φ1]],Tab.11[[#This Row],[φ1]]/MAX(Tab.11[φ1])))</f>
        <v>8.2358569028202679E-3</v>
      </c>
      <c r="AD6" s="74">
        <f>IF(Tab.11[[#This Row],[a1]]=1,1/Tab.11[[#This Row],[φ2]])</f>
        <v>121.4202737856655</v>
      </c>
      <c r="AE6" s="74">
        <f>IF(Tab.11[[#This Row],[a1]]=1,IF($AE$3=0,Tab.11[[#This Row],[w.0]],Tab.11[[#This Row],[w.0]]/SUM(Tab.11[w.0])))</f>
        <v>0.17893825929939808</v>
      </c>
      <c r="AF6" s="76" t="str">
        <f>IF(Tab.11[[#This Row],[a1]]=0,"false",[3]!Tab.x5[[#This Row],[%_seN_C]])</f>
        <v/>
      </c>
      <c r="AG6" s="77">
        <f>IF(Tab.11[[#This Row],[a1]]=1,AP6)</f>
        <v>10</v>
      </c>
      <c r="AH6" s="78">
        <f>IF(Tab.11[[#This Row],[a1]]=1,AQ6)</f>
        <v>10</v>
      </c>
      <c r="AI6" s="41">
        <v>3.0000000000000001E-3</v>
      </c>
      <c r="AJ6" s="79">
        <v>0.08</v>
      </c>
      <c r="AK6" s="80">
        <f>IF(Tab.11[[#This Row],[a1]]=1,1)</f>
        <v>1</v>
      </c>
      <c r="AM6">
        <v>1</v>
      </c>
      <c r="AN6">
        <f>AN5+1</f>
        <v>2</v>
      </c>
      <c r="AO6">
        <f>AO5+1</f>
        <v>2</v>
      </c>
      <c r="AP6">
        <v>10</v>
      </c>
      <c r="AQ6">
        <v>10</v>
      </c>
      <c r="AZ6"/>
    </row>
    <row r="7" spans="1:52" x14ac:dyDescent="0.25">
      <c r="A7" s="61">
        <f t="shared" si="0"/>
        <v>1</v>
      </c>
      <c r="B7" s="62">
        <f t="shared" si="0"/>
        <v>3</v>
      </c>
      <c r="C7" s="62" t="str">
        <f>IF(Tab.11[[#This Row],[a1]]=1,[3]!Tab_x1[[#This Row],[Name]])</f>
        <v>hed3</v>
      </c>
      <c r="D7" s="63">
        <f>IF(Tab.11[[#This Row],[a1]]=1,AO7)</f>
        <v>3</v>
      </c>
      <c r="E7" s="63">
        <f t="shared" si="1"/>
        <v>1</v>
      </c>
      <c r="F7" s="64">
        <f>IF(Tab.11[[#This Row],[a1]]=1,Tab.11[[#This Row],[b1]])</f>
        <v>3</v>
      </c>
      <c r="G7" s="65">
        <f>IF(Tab.11[[#This Row],[a1]]=1,IF(Tab.11[[#This Row],[b3]]&gt;$L$989*$G$3,$L$989*$G$3,IF(Tab.11[[#This Row],[b3]]&lt;$M$989*$G$3,$M$989*$G$3,Tab.11[[#This Row],[b3]])))</f>
        <v>3</v>
      </c>
      <c r="H7" s="66">
        <f>IF(Tab.11[[#This Row],[a1]]=1,Tab.11[[#This Row],[b1]])</f>
        <v>3</v>
      </c>
      <c r="I7" s="67">
        <f>IF(Tab.11[[#This Row],[a1]]=1,Tab.11[[#This Row],[b1]])</f>
        <v>3</v>
      </c>
      <c r="J7" s="68">
        <f>IF(Tab.11[[#This Row],[a1]]=1,IF($I$3&lt;0,Tab.11[[#This Row],[b5]]-$I$3,Tab.11[[#This Row],[b5]]))</f>
        <v>3</v>
      </c>
      <c r="K7" s="68">
        <f>IF(Tab.11[[#This Row],[a1]]=1,IF($K$3=0,Tab.11[b6],Tab.11[[#This Row],[b6]]-AVERAGE(Tab.11[b6])))</f>
        <v>-6.5</v>
      </c>
      <c r="L7" s="69">
        <f>IF(Tab.11[[#This Row],[a1]]=1,Tab.11[[#This Row],[data]]/(_xlfn.STDEV.P(Tab.11[data])*$B$989)+$A$989)</f>
        <v>-1.2528605040963092</v>
      </c>
      <c r="M7" s="69">
        <f>IF(Tab.11[[#This Row],[a1]]=1,Tab.11[[#This Row],[data]]/(_xlfn.STDEV.P(Tab.11[data])*$B$987)-$A$987)</f>
        <v>-4.5057210081926184</v>
      </c>
      <c r="N7" s="69">
        <f>IF(Tab.11[[#This Row],[a1]]=1,Tab.11[[#This Row],[data]]/(_xlfn.STDEV.P(Tab.11[data])*$B$988)+$A$988)</f>
        <v>0.37356974795184539</v>
      </c>
      <c r="O7" s="70">
        <f>IF(Tab.11[[#This Row],[a1]]=1,_xlfn.NORM.DIST(Tab.11[[#This Row],[b8]],$P$1,$Q$1,FALSE))</f>
        <v>0.18199642143077829</v>
      </c>
      <c r="P7" s="70">
        <f>IF(Tab.11[[#This Row],[a1]]=1,_xlfn.NORM.DIST(Tab.11[[#This Row],[b9]],$P$1,$Q$1,FALSE))</f>
        <v>1.557724386889388E-5</v>
      </c>
      <c r="Q7" s="70">
        <f>IF(Tab.11[[#This Row],[a1]]=1,_xlfn.NORM.DIST(Tab.11[[#This Row],[b10]],$P$1,$Q$1,FALSE))</f>
        <v>0.37205420926423954</v>
      </c>
      <c r="R7" s="67">
        <f>IF(Tab.11[[#This Row],[a1]]=1,$I$3+$A$989+IF($K$3=0,Tab.11[[#This Row],[b8]]*_xlfn.STDEV.P(Tab.11[data]),AVERAGE(Tab.11[b6])+Tab.11[[#This Row],[b8]]*_xlfn.STDEV.P(Tab.11[data])))</f>
        <v>4</v>
      </c>
      <c r="S7" s="71">
        <f>IF(Tab.11[[#This Row],[a1]]=1,$I$3+$A$987+IF($K$3=0,Tab.11[[#This Row],[b9]]*_xlfn.STDEV.P(Tab.11[data]),AVERAGE(Tab.11[b6])+Tab.11[[#This Row],[b9]]*_xlfn.STDEV.P(Tab.11[data])))</f>
        <v>-10.876254944182254</v>
      </c>
      <c r="T7" s="71">
        <f>IF(Tab.11[[#This Row],[a1]]=1,$I$3+$A$988+IF($K$3=0,Tab.11[[#This Row],[b10]]*_xlfn.STDEV.P(Tab.11[data]),AVERAGE(Tab.11[b6])+Tab.11[[#This Row],[b10]]*_xlfn.STDEV.P(Tab.11[data])))</f>
        <v>13.438127472091127</v>
      </c>
      <c r="U7" s="72">
        <f>IF(Tab.11[[#This Row],[a1]]=1,Tab.11[[#This Row],[target]]-Tab.11[[#This Row],[Red]])</f>
        <v>14.876254944182254</v>
      </c>
      <c r="V7" s="72">
        <f>IF(Tab.11[[#This Row],[a1]]=1,Tab.11[[#This Row],[target]]-Tab.11[[#This Row],[Blue]])</f>
        <v>-9.4381274720911268</v>
      </c>
      <c r="W7" s="73">
        <f>IF(Tab.11[[#This Row],[a1]]=1,IF(ABS(Tab.11[[#This Row],[b17]])+ABS(Tab.11[[#This Row],[b18]])&lt;$W$2,$W$2,ABS(Tab.11[[#This Row],[b17]])+ABS(Tab.11[[#This Row],[b18]])))</f>
        <v>24.314382416273382</v>
      </c>
      <c r="X7" s="136">
        <f>IF(Tab.11[[#This Row],[a1]]=1,IF($W$3&lt;0,Tab.11[[#This Row],[IN]]-$I$3,Tab.11[[#This Row],[IN]]))</f>
        <v>24.314382416273382</v>
      </c>
      <c r="Y7" s="136">
        <f>IF(Tab.11[[#This Row],[a1]]=1,IF($X$3=0,Tab.11[b66],Tab.11[[#This Row],[b66]]-AVERAGE(Tab.11[b66])))</f>
        <v>9.7362505493535831</v>
      </c>
      <c r="Z7" s="135">
        <f>IF(Tab.11[[#This Row],[a1]]=1,Tab.11[[#This Row],[b77]]/(_xlfn.STDEV.P(Tab.11[b77])))</f>
        <v>1.2546974785708807</v>
      </c>
      <c r="AA7" s="70">
        <f>IF(Tab.11[[#This Row],[a1]]=1,_xlfn.NORM.DIST(Tab.11[[#This Row],[b88]],$Z$1,$AA$1,FALSE))</f>
        <v>3.4241295994817185E-2</v>
      </c>
      <c r="AB7" s="74">
        <f>IF(Tab.11[[#This Row],[a1]]=1,IF($A$3=0,FALSE,1/Tab.11[[#This Row],[IN]]*$AC$2*IF(Tab.11[[#This Row],[a1]]=0,,$A$3*$AC$1*1/$V$3*(Tab.11[[#This Row],[b14]]))))</f>
        <v>2.5348919719803235E-2</v>
      </c>
      <c r="AC7" s="155">
        <f>IF(Tab.11[[#This Row],[a1]]=1,IF($AC$3=0,Tab.11[[#This Row],[φ1]],Tab.11[[#This Row],[φ1]]/MAX(Tab.11[φ1])))</f>
        <v>2.4859507602721414E-2</v>
      </c>
      <c r="AD7" s="74">
        <f>IF(Tab.11[[#This Row],[a1]]=1,1/Tab.11[[#This Row],[φ2]])</f>
        <v>40.226058214062462</v>
      </c>
      <c r="AE7" s="74">
        <f>IF(Tab.11[[#This Row],[a1]]=1,IF($AE$3=0,Tab.11[[#This Row],[w.0]],Tab.11[[#This Row],[w.0]]/SUM(Tab.11[w.0])))</f>
        <v>5.9281540148778365E-2</v>
      </c>
      <c r="AF7" s="76" t="str">
        <f>IF(Tab.11[[#This Row],[a1]]=0,"false",[3]!Tab.x5[[#This Row],[%_seN_C]])</f>
        <v/>
      </c>
      <c r="AG7" s="77">
        <f>IF(Tab.11[[#This Row],[a1]]=1,AP7)</f>
        <v>10</v>
      </c>
      <c r="AH7" s="78">
        <f>IF(Tab.11[[#This Row],[a1]]=1,AQ7)</f>
        <v>10</v>
      </c>
      <c r="AI7" s="41">
        <v>3.0000000000000001E-3</v>
      </c>
      <c r="AJ7" s="79">
        <v>-0.1</v>
      </c>
      <c r="AK7" s="80">
        <f>IF(Tab.11[[#This Row],[a1]]=1,1)</f>
        <v>1</v>
      </c>
      <c r="AM7">
        <v>1</v>
      </c>
      <c r="AN7">
        <f t="shared" ref="AN7:AO22" si="2">AN6+1</f>
        <v>3</v>
      </c>
      <c r="AO7">
        <f t="shared" si="2"/>
        <v>3</v>
      </c>
      <c r="AP7">
        <v>10</v>
      </c>
      <c r="AQ7">
        <v>10</v>
      </c>
      <c r="AZ7"/>
    </row>
    <row r="8" spans="1:52" x14ac:dyDescent="0.25">
      <c r="A8" s="61">
        <f t="shared" si="0"/>
        <v>1</v>
      </c>
      <c r="B8" s="62">
        <f t="shared" si="0"/>
        <v>4</v>
      </c>
      <c r="C8" s="62" t="str">
        <f>IF(Tab.11[[#This Row],[a1]]=1,[3]!Tab_x1[[#This Row],[Name]])</f>
        <v>hed4</v>
      </c>
      <c r="D8" s="63">
        <f>IF(Tab.11[[#This Row],[a1]]=1,AO8)</f>
        <v>4</v>
      </c>
      <c r="E8" s="63">
        <f t="shared" si="1"/>
        <v>1</v>
      </c>
      <c r="F8" s="64">
        <f>IF(Tab.11[[#This Row],[a1]]=1,Tab.11[[#This Row],[b1]])</f>
        <v>4</v>
      </c>
      <c r="G8" s="65">
        <f>IF(Tab.11[[#This Row],[a1]]=1,IF(Tab.11[[#This Row],[b3]]&gt;$L$989*$G$3,$L$989*$G$3,IF(Tab.11[[#This Row],[b3]]&lt;$M$989*$G$3,$M$989*$G$3,Tab.11[[#This Row],[b3]])))</f>
        <v>4</v>
      </c>
      <c r="H8" s="66">
        <f>IF(Tab.11[[#This Row],[a1]]=1,Tab.11[[#This Row],[b1]])</f>
        <v>4</v>
      </c>
      <c r="I8" s="67">
        <f>IF(Tab.11[[#This Row],[a1]]=1,Tab.11[[#This Row],[b1]])</f>
        <v>4</v>
      </c>
      <c r="J8" s="68">
        <f>IF(Tab.11[[#This Row],[a1]]=1,IF($I$3&lt;0,Tab.11[[#This Row],[b5]]-$I$3,Tab.11[[#This Row],[b5]]))</f>
        <v>4</v>
      </c>
      <c r="K8" s="68">
        <f>IF(Tab.11[[#This Row],[a1]]=1,IF($K$3=0,Tab.11[b6],Tab.11[[#This Row],[b6]]-AVERAGE(Tab.11[b6])))</f>
        <v>-5.5</v>
      </c>
      <c r="L8" s="69">
        <f>IF(Tab.11[[#This Row],[a1]]=1,Tab.11[[#This Row],[data]]/(_xlfn.STDEV.P(Tab.11[data])*$B$989)+$A$989)</f>
        <v>-1.0601127342353387</v>
      </c>
      <c r="M8" s="69">
        <f>IF(Tab.11[[#This Row],[a1]]=1,Tab.11[[#This Row],[data]]/(_xlfn.STDEV.P(Tab.11[data])*$B$987)-$A$987)</f>
        <v>-4.1202254684706769</v>
      </c>
      <c r="N8" s="69">
        <f>IF(Tab.11[[#This Row],[a1]]=1,Tab.11[[#This Row],[data]]/(_xlfn.STDEV.P(Tab.11[data])*$B$988)+$A$988)</f>
        <v>0.46994363288233065</v>
      </c>
      <c r="O8" s="70">
        <f>IF(Tab.11[[#This Row],[a1]]=1,_xlfn.NORM.DIST(Tab.11[[#This Row],[b8]],$P$1,$Q$1,FALSE))</f>
        <v>0.22744245040416985</v>
      </c>
      <c r="P8" s="70">
        <f>IF(Tab.11[[#This Row],[a1]]=1,_xlfn.NORM.DIST(Tab.11[[#This Row],[b9]],$P$1,$Q$1,FALSE))</f>
        <v>8.2141475306295419E-5</v>
      </c>
      <c r="Q8" s="70">
        <f>IF(Tab.11[[#This Row],[a1]]=1,_xlfn.NORM.DIST(Tab.11[[#This Row],[b10]],$P$1,$Q$1,FALSE))</f>
        <v>0.35723478859176216</v>
      </c>
      <c r="R8" s="67">
        <f>IF(Tab.11[[#This Row],[a1]]=1,$I$3+$A$989+IF($K$3=0,Tab.11[[#This Row],[b8]]*_xlfn.STDEV.P(Tab.11[data]),AVERAGE(Tab.11[b6])+Tab.11[[#This Row],[b8]]*_xlfn.STDEV.P(Tab.11[data])))</f>
        <v>5</v>
      </c>
      <c r="S8" s="71">
        <f>IF(Tab.11[[#This Row],[a1]]=1,$I$3+$A$987+IF($K$3=0,Tab.11[[#This Row],[b9]]*_xlfn.STDEV.P(Tab.11[data]),AVERAGE(Tab.11[b6])+Tab.11[[#This Row],[b9]]*_xlfn.STDEV.P(Tab.11[data])))</f>
        <v>-8.87625494418225</v>
      </c>
      <c r="T8" s="71">
        <f>IF(Tab.11[[#This Row],[a1]]=1,$I$3+$A$988+IF($K$3=0,Tab.11[[#This Row],[b10]]*_xlfn.STDEV.P(Tab.11[data]),AVERAGE(Tab.11[b6])+Tab.11[[#This Row],[b10]]*_xlfn.STDEV.P(Tab.11[data])))</f>
        <v>13.938127472091127</v>
      </c>
      <c r="U8" s="72">
        <f>IF(Tab.11[[#This Row],[a1]]=1,Tab.11[[#This Row],[target]]-Tab.11[[#This Row],[Red]])</f>
        <v>13.87625494418225</v>
      </c>
      <c r="V8" s="72">
        <f>IF(Tab.11[[#This Row],[a1]]=1,Tab.11[[#This Row],[target]]-Tab.11[[#This Row],[Blue]])</f>
        <v>-8.9381274720911268</v>
      </c>
      <c r="W8" s="73">
        <f>IF(Tab.11[[#This Row],[a1]]=1,IF(ABS(Tab.11[[#This Row],[b17]])+ABS(Tab.11[[#This Row],[b18]])&lt;$W$2,$W$2,ABS(Tab.11[[#This Row],[b17]])+ABS(Tab.11[[#This Row],[b18]])))</f>
        <v>22.814382416273375</v>
      </c>
      <c r="X8" s="136">
        <f>IF(Tab.11[[#This Row],[a1]]=1,IF($W$3&lt;0,Tab.11[[#This Row],[IN]]-$I$3,Tab.11[[#This Row],[IN]]))</f>
        <v>22.814382416273375</v>
      </c>
      <c r="Y8" s="136">
        <f>IF(Tab.11[[#This Row],[a1]]=1,IF($X$3=0,Tab.11[b66],Tab.11[[#This Row],[b66]]-AVERAGE(Tab.11[b66])))</f>
        <v>8.236250549353576</v>
      </c>
      <c r="Z8" s="135">
        <f>IF(Tab.11[[#This Row],[a1]]=1,Tab.11[[#This Row],[b77]]/(_xlfn.STDEV.P(Tab.11[b77])))</f>
        <v>1.0613945013810338</v>
      </c>
      <c r="AA8" s="70">
        <f>IF(Tab.11[[#This Row],[a1]]=1,_xlfn.NORM.DIST(Tab.11[[#This Row],[b88]],$Z$1,$AA$1,FALSE))</f>
        <v>8.3834729198619992E-2</v>
      </c>
      <c r="AB8" s="74">
        <f>IF(Tab.11[[#This Row],[a1]]=1,IF($A$3=0,FALSE,1/Tab.11[[#This Row],[IN]]*$AC$2*IF(Tab.11[[#This Row],[a1]]=0,,$A$3*$AC$1*1/$V$3*(Tab.11[[#This Row],[b14]]))))</f>
        <v>6.6143588638138226E-2</v>
      </c>
      <c r="AC8" s="155">
        <f>IF(Tab.11[[#This Row],[a1]]=1,IF($AC$3=0,Tab.11[[#This Row],[φ1]],Tab.11[[#This Row],[φ1]]/MAX(Tab.11[φ1])))</f>
        <v>6.4866553004880409E-2</v>
      </c>
      <c r="AD8" s="74">
        <f>IF(Tab.11[[#This Row],[a1]]=1,1/Tab.11[[#This Row],[φ2]])</f>
        <v>15.416265450774953</v>
      </c>
      <c r="AE8" s="74">
        <f>IF(Tab.11[[#This Row],[a1]]=1,IF($AE$3=0,Tab.11[[#This Row],[w.0]],Tab.11[[#This Row],[w.0]]/SUM(Tab.11[w.0])))</f>
        <v>2.2719102985458657E-2</v>
      </c>
      <c r="AF8" s="76" t="str">
        <f>IF(Tab.11[[#This Row],[a1]]=0,"false",[3]!Tab.x5[[#This Row],[%_seN_C]])</f>
        <v/>
      </c>
      <c r="AG8" s="77">
        <f>IF(Tab.11[[#This Row],[a1]]=1,AP8)</f>
        <v>10</v>
      </c>
      <c r="AH8" s="78">
        <f>IF(Tab.11[[#This Row],[a1]]=1,AQ8)</f>
        <v>10</v>
      </c>
      <c r="AI8" s="41">
        <v>3.0000000000000001E-3</v>
      </c>
      <c r="AJ8" s="79">
        <v>-0.09</v>
      </c>
      <c r="AK8" s="80">
        <f>IF(Tab.11[[#This Row],[a1]]=1,1)</f>
        <v>1</v>
      </c>
      <c r="AM8">
        <v>1</v>
      </c>
      <c r="AN8">
        <f t="shared" si="2"/>
        <v>4</v>
      </c>
      <c r="AO8">
        <f t="shared" si="2"/>
        <v>4</v>
      </c>
      <c r="AP8">
        <v>10</v>
      </c>
      <c r="AQ8">
        <v>10</v>
      </c>
      <c r="AZ8"/>
    </row>
    <row r="9" spans="1:52" x14ac:dyDescent="0.25">
      <c r="A9" s="61">
        <f t="shared" si="0"/>
        <v>1</v>
      </c>
      <c r="B9" s="62">
        <f t="shared" si="0"/>
        <v>5</v>
      </c>
      <c r="C9" s="62" t="str">
        <f>IF(Tab.11[[#This Row],[a1]]=1,[3]!Tab_x1[[#This Row],[Name]])</f>
        <v>hed5</v>
      </c>
      <c r="D9" s="63">
        <f>IF(Tab.11[[#This Row],[a1]]=1,AO9)</f>
        <v>5</v>
      </c>
      <c r="E9" s="63">
        <f t="shared" si="1"/>
        <v>1</v>
      </c>
      <c r="F9" s="64">
        <f>IF(Tab.11[[#This Row],[a1]]=1,Tab.11[[#This Row],[b1]])</f>
        <v>5</v>
      </c>
      <c r="G9" s="65">
        <f>IF(Tab.11[[#This Row],[a1]]=1,IF(Tab.11[[#This Row],[b3]]&gt;$L$989*$G$3,$L$989*$G$3,IF(Tab.11[[#This Row],[b3]]&lt;$M$989*$G$3,$M$989*$G$3,Tab.11[[#This Row],[b3]])))</f>
        <v>5</v>
      </c>
      <c r="H9" s="66">
        <f>IF(Tab.11[[#This Row],[a1]]=1,Tab.11[[#This Row],[b1]])</f>
        <v>5</v>
      </c>
      <c r="I9" s="67">
        <f>IF(Tab.11[[#This Row],[a1]]=1,Tab.11[[#This Row],[b1]])</f>
        <v>5</v>
      </c>
      <c r="J9" s="68">
        <f>IF(Tab.11[[#This Row],[a1]]=1,IF($I$3&lt;0,Tab.11[[#This Row],[b5]]-$I$3,Tab.11[[#This Row],[b5]]))</f>
        <v>5</v>
      </c>
      <c r="K9" s="68">
        <f>IF(Tab.11[[#This Row],[a1]]=1,IF($K$3=0,Tab.11[b6],Tab.11[[#This Row],[b6]]-AVERAGE(Tab.11[b6])))</f>
        <v>-4.5</v>
      </c>
      <c r="L9" s="69">
        <f>IF(Tab.11[[#This Row],[a1]]=1,Tab.11[[#This Row],[data]]/(_xlfn.STDEV.P(Tab.11[data])*$B$989)+$A$989)</f>
        <v>-0.86736496437436794</v>
      </c>
      <c r="M9" s="69">
        <f>IF(Tab.11[[#This Row],[a1]]=1,Tab.11[[#This Row],[data]]/(_xlfn.STDEV.P(Tab.11[data])*$B$987)-$A$987)</f>
        <v>-3.7347299287487359</v>
      </c>
      <c r="N9" s="69">
        <f>IF(Tab.11[[#This Row],[a1]]=1,Tab.11[[#This Row],[data]]/(_xlfn.STDEV.P(Tab.11[data])*$B$988)+$A$988)</f>
        <v>0.56631751781281603</v>
      </c>
      <c r="O9" s="70">
        <f>IF(Tab.11[[#This Row],[a1]]=1,_xlfn.NORM.DIST(Tab.11[[#This Row],[b8]],$P$1,$Q$1,FALSE))</f>
        <v>0.27387060629963422</v>
      </c>
      <c r="P9" s="70">
        <f>IF(Tab.11[[#This Row],[a1]]=1,_xlfn.NORM.DIST(Tab.11[[#This Row],[b9]],$P$1,$Q$1,FALSE))</f>
        <v>3.7333203741822871E-4</v>
      </c>
      <c r="Q9" s="70">
        <f>IF(Tab.11[[#This Row],[a1]]=1,_xlfn.NORM.DIST(Tab.11[[#This Row],[b10]],$P$1,$Q$1,FALSE))</f>
        <v>0.33983458356215446</v>
      </c>
      <c r="R9" s="67">
        <f>IF(Tab.11[[#This Row],[a1]]=1,$I$3+$A$989+IF($K$3=0,Tab.11[[#This Row],[b8]]*_xlfn.STDEV.P(Tab.11[data]),AVERAGE(Tab.11[b6])+Tab.11[[#This Row],[b8]]*_xlfn.STDEV.P(Tab.11[data])))</f>
        <v>6</v>
      </c>
      <c r="S9" s="71">
        <f>IF(Tab.11[[#This Row],[a1]]=1,$I$3+$A$987+IF($K$3=0,Tab.11[[#This Row],[b9]]*_xlfn.STDEV.P(Tab.11[data]),AVERAGE(Tab.11[b6])+Tab.11[[#This Row],[b9]]*_xlfn.STDEV.P(Tab.11[data])))</f>
        <v>-6.8762549441822536</v>
      </c>
      <c r="T9" s="71">
        <f>IF(Tab.11[[#This Row],[a1]]=1,$I$3+$A$988+IF($K$3=0,Tab.11[[#This Row],[b10]]*_xlfn.STDEV.P(Tab.11[data]),AVERAGE(Tab.11[b6])+Tab.11[[#This Row],[b10]]*_xlfn.STDEV.P(Tab.11[data])))</f>
        <v>14.438127472091127</v>
      </c>
      <c r="U9" s="72">
        <f>IF(Tab.11[[#This Row],[a1]]=1,Tab.11[[#This Row],[target]]-Tab.11[[#This Row],[Red]])</f>
        <v>12.876254944182254</v>
      </c>
      <c r="V9" s="72">
        <f>IF(Tab.11[[#This Row],[a1]]=1,Tab.11[[#This Row],[target]]-Tab.11[[#This Row],[Blue]])</f>
        <v>-8.4381274720911268</v>
      </c>
      <c r="W9" s="73">
        <f>IF(Tab.11[[#This Row],[a1]]=1,IF(ABS(Tab.11[[#This Row],[b17]])+ABS(Tab.11[[#This Row],[b18]])&lt;$W$2,$W$2,ABS(Tab.11[[#This Row],[b17]])+ABS(Tab.11[[#This Row],[b18]])))</f>
        <v>21.314382416273382</v>
      </c>
      <c r="X9" s="136">
        <f>IF(Tab.11[[#This Row],[a1]]=1,IF($W$3&lt;0,Tab.11[[#This Row],[IN]]-$I$3,Tab.11[[#This Row],[IN]]))</f>
        <v>21.314382416273382</v>
      </c>
      <c r="Y9" s="136">
        <f>IF(Tab.11[[#This Row],[a1]]=1,IF($X$3=0,Tab.11[b66],Tab.11[[#This Row],[b66]]-AVERAGE(Tab.11[b66])))</f>
        <v>6.7362505493535831</v>
      </c>
      <c r="Z9" s="135">
        <f>IF(Tab.11[[#This Row],[a1]]=1,Tab.11[[#This Row],[b77]]/(_xlfn.STDEV.P(Tab.11[b77])))</f>
        <v>0.86809152419118873</v>
      </c>
      <c r="AA9" s="70">
        <f>IF(Tab.11[[#This Row],[a1]]=1,_xlfn.NORM.DIST(Tab.11[[#This Row],[b88]],$Z$1,$AA$1,FALSE))</f>
        <v>0.17676092928804199</v>
      </c>
      <c r="AB9" s="74">
        <f>IF(Tab.11[[#This Row],[a1]]=1,IF($A$3=0,FALSE,1/Tab.11[[#This Row],[IN]]*$AC$2*IF(Tab.11[[#This Row],[a1]]=0,,$A$3*$AC$1*1/$V$3*(Tab.11[[#This Row],[b14]]))))</f>
        <v>0.14927463836604302</v>
      </c>
      <c r="AC9" s="155">
        <f>IF(Tab.11[[#This Row],[a1]]=1,IF($AC$3=0,Tab.11[[#This Row],[φ1]],Tab.11[[#This Row],[φ1]]/MAX(Tab.11[φ1])))</f>
        <v>0.14639258983707654</v>
      </c>
      <c r="AD9" s="74">
        <f>IF(Tab.11[[#This Row],[a1]]=1,1/Tab.11[[#This Row],[φ2]])</f>
        <v>6.8309468471930277</v>
      </c>
      <c r="AE9" s="74">
        <f>IF(Tab.11[[#This Row],[a1]]=1,IF($AE$3=0,Tab.11[[#This Row],[w.0]],Tab.11[[#This Row],[w.0]]/SUM(Tab.11[w.0])))</f>
        <v>1.006683398162239E-2</v>
      </c>
      <c r="AF9" s="76" t="str">
        <f>IF(Tab.11[[#This Row],[a1]]=0,"false",[3]!Tab.x5[[#This Row],[%_seN_C]])</f>
        <v/>
      </c>
      <c r="AG9" s="77">
        <f>IF(Tab.11[[#This Row],[a1]]=1,AP9)</f>
        <v>10</v>
      </c>
      <c r="AH9" s="78">
        <f>IF(Tab.11[[#This Row],[a1]]=1,AQ9)</f>
        <v>10</v>
      </c>
      <c r="AI9" s="41">
        <v>3.0000000000000001E-3</v>
      </c>
      <c r="AJ9" s="79">
        <v>0.09</v>
      </c>
      <c r="AK9" s="80">
        <f>IF(Tab.11[[#This Row],[a1]]=1,1)</f>
        <v>1</v>
      </c>
      <c r="AL9" s="81"/>
      <c r="AM9">
        <v>1</v>
      </c>
      <c r="AN9">
        <f t="shared" si="2"/>
        <v>5</v>
      </c>
      <c r="AO9">
        <f t="shared" si="2"/>
        <v>5</v>
      </c>
      <c r="AP9">
        <v>10</v>
      </c>
      <c r="AQ9">
        <v>10</v>
      </c>
      <c r="AZ9"/>
    </row>
    <row r="10" spans="1:52" x14ac:dyDescent="0.25">
      <c r="A10" s="61">
        <f t="shared" si="0"/>
        <v>1</v>
      </c>
      <c r="B10" s="62">
        <f t="shared" si="0"/>
        <v>6</v>
      </c>
      <c r="C10" s="62" t="str">
        <f>IF(Tab.11[[#This Row],[a1]]=1,[3]!Tab_x1[[#This Row],[Name]])</f>
        <v>hed6</v>
      </c>
      <c r="D10" s="63">
        <f>IF(Tab.11[[#This Row],[a1]]=1,AO10)</f>
        <v>6</v>
      </c>
      <c r="E10" s="63">
        <f t="shared" si="1"/>
        <v>1</v>
      </c>
      <c r="F10" s="64">
        <f>IF(Tab.11[[#This Row],[a1]]=1,Tab.11[[#This Row],[b1]])</f>
        <v>6</v>
      </c>
      <c r="G10" s="65">
        <f>IF(Tab.11[[#This Row],[a1]]=1,IF(Tab.11[[#This Row],[b3]]&gt;$L$989*$G$3,$L$989*$G$3,IF(Tab.11[[#This Row],[b3]]&lt;$M$989*$G$3,$M$989*$G$3,Tab.11[[#This Row],[b3]])))</f>
        <v>6</v>
      </c>
      <c r="H10" s="66">
        <f>IF(Tab.11[[#This Row],[a1]]=1,Tab.11[[#This Row],[b1]])</f>
        <v>6</v>
      </c>
      <c r="I10" s="67">
        <f>IF(Tab.11[[#This Row],[a1]]=1,Tab.11[[#This Row],[b1]])</f>
        <v>6</v>
      </c>
      <c r="J10" s="68">
        <f>IF(Tab.11[[#This Row],[a1]]=1,IF($I$3&lt;0,Tab.11[[#This Row],[b5]]-$I$3,Tab.11[[#This Row],[b5]]))</f>
        <v>6</v>
      </c>
      <c r="K10" s="68">
        <f>IF(Tab.11[[#This Row],[a1]]=1,IF($K$3=0,Tab.11[b6],Tab.11[[#This Row],[b6]]-AVERAGE(Tab.11[b6])))</f>
        <v>-3.5</v>
      </c>
      <c r="L10" s="69">
        <f>IF(Tab.11[[#This Row],[a1]]=1,Tab.11[[#This Row],[data]]/(_xlfn.STDEV.P(Tab.11[data])*$B$989)+$A$989)</f>
        <v>-0.6746171945133973</v>
      </c>
      <c r="M10" s="69">
        <f>IF(Tab.11[[#This Row],[a1]]=1,Tab.11[[#This Row],[data]]/(_xlfn.STDEV.P(Tab.11[data])*$B$987)-$A$987)</f>
        <v>-3.3492343890267948</v>
      </c>
      <c r="N10" s="69">
        <f>IF(Tab.11[[#This Row],[a1]]=1,Tab.11[[#This Row],[data]]/(_xlfn.STDEV.P(Tab.11[data])*$B$988)+$A$988)</f>
        <v>0.66269140274330129</v>
      </c>
      <c r="O10" s="70">
        <f>IF(Tab.11[[#This Row],[a1]]=1,_xlfn.NORM.DIST(Tab.11[[#This Row],[b8]],$P$1,$Q$1,FALSE))</f>
        <v>0.31774925523978276</v>
      </c>
      <c r="P10" s="70">
        <f>IF(Tab.11[[#This Row],[a1]]=1,_xlfn.NORM.DIST(Tab.11[[#This Row],[b9]],$P$1,$Q$1,FALSE))</f>
        <v>1.4624765260889906E-3</v>
      </c>
      <c r="Q10" s="70">
        <f>IF(Tab.11[[#This Row],[a1]]=1,_xlfn.NORM.DIST(Tab.11[[#This Row],[b10]],$P$1,$Q$1,FALSE))</f>
        <v>0.32029319098360426</v>
      </c>
      <c r="R10" s="67">
        <f>IF(Tab.11[[#This Row],[a1]]=1,$I$3+$A$989+IF($K$3=0,Tab.11[[#This Row],[b8]]*_xlfn.STDEV.P(Tab.11[data]),AVERAGE(Tab.11[b6])+Tab.11[[#This Row],[b8]]*_xlfn.STDEV.P(Tab.11[data])))</f>
        <v>7</v>
      </c>
      <c r="S10" s="71">
        <f>IF(Tab.11[[#This Row],[a1]]=1,$I$3+$A$987+IF($K$3=0,Tab.11[[#This Row],[b9]]*_xlfn.STDEV.P(Tab.11[data]),AVERAGE(Tab.11[b6])+Tab.11[[#This Row],[b9]]*_xlfn.STDEV.P(Tab.11[data])))</f>
        <v>-4.8762549441822536</v>
      </c>
      <c r="T10" s="71">
        <f>IF(Tab.11[[#This Row],[a1]]=1,$I$3+$A$988+IF($K$3=0,Tab.11[[#This Row],[b10]]*_xlfn.STDEV.P(Tab.11[data]),AVERAGE(Tab.11[b6])+Tab.11[[#This Row],[b10]]*_xlfn.STDEV.P(Tab.11[data])))</f>
        <v>14.938127472091127</v>
      </c>
      <c r="U10" s="72">
        <f>IF(Tab.11[[#This Row],[a1]]=1,Tab.11[[#This Row],[target]]-Tab.11[[#This Row],[Red]])</f>
        <v>11.876254944182254</v>
      </c>
      <c r="V10" s="72">
        <f>IF(Tab.11[[#This Row],[a1]]=1,Tab.11[[#This Row],[target]]-Tab.11[[#This Row],[Blue]])</f>
        <v>-7.9381274720911268</v>
      </c>
      <c r="W10" s="73">
        <f>IF(Tab.11[[#This Row],[a1]]=1,IF(ABS(Tab.11[[#This Row],[b17]])+ABS(Tab.11[[#This Row],[b18]])&lt;$W$2,$W$2,ABS(Tab.11[[#This Row],[b17]])+ABS(Tab.11[[#This Row],[b18]])))</f>
        <v>19.814382416273382</v>
      </c>
      <c r="X10" s="136">
        <f>IF(Tab.11[[#This Row],[a1]]=1,IF($W$3&lt;0,Tab.11[[#This Row],[IN]]-$I$3,Tab.11[[#This Row],[IN]]))</f>
        <v>19.814382416273382</v>
      </c>
      <c r="Y10" s="136">
        <f>IF(Tab.11[[#This Row],[a1]]=1,IF($X$3=0,Tab.11[b66],Tab.11[[#This Row],[b66]]-AVERAGE(Tab.11[b66])))</f>
        <v>5.2362505493535831</v>
      </c>
      <c r="Z10" s="135">
        <f>IF(Tab.11[[#This Row],[a1]]=1,Tab.11[[#This Row],[b77]]/(_xlfn.STDEV.P(Tab.11[b77])))</f>
        <v>0.67478854700134283</v>
      </c>
      <c r="AA10" s="70">
        <f>IF(Tab.11[[#This Row],[a1]]=1,_xlfn.NORM.DIST(Tab.11[[#This Row],[b88]],$Z$1,$AA$1,FALSE))</f>
        <v>0.32094981136209594</v>
      </c>
      <c r="AB10" s="74">
        <f>IF(Tab.11[[#This Row],[a1]]=1,IF($A$3=0,FALSE,1/Tab.11[[#This Row],[IN]]*$AC$2*IF(Tab.11[[#This Row],[a1]]=0,,$A$3*$AC$1*1/$V$3*(Tab.11[[#This Row],[b14]]))))</f>
        <v>0.2915607705124863</v>
      </c>
      <c r="AC10" s="155">
        <f>IF(Tab.11[[#This Row],[a1]]=1,IF($AC$3=0,Tab.11[[#This Row],[φ1]],Tab.11[[#This Row],[φ1]]/MAX(Tab.11[φ1])))</f>
        <v>0.28593160068861223</v>
      </c>
      <c r="AD10" s="74">
        <f>IF(Tab.11[[#This Row],[a1]]=1,1/Tab.11[[#This Row],[φ2]])</f>
        <v>3.4973399148316902</v>
      </c>
      <c r="AE10" s="74">
        <f>IF(Tab.11[[#This Row],[a1]]=1,IF($AE$3=0,Tab.11[[#This Row],[w.0]],Tab.11[[#This Row],[w.0]]/SUM(Tab.11[w.0])))</f>
        <v>5.1540644492614274E-3</v>
      </c>
      <c r="AF10" s="76" t="str">
        <f>IF(Tab.11[[#This Row],[a1]]=0,"false",[3]!Tab.x5[[#This Row],[%_seN_C]])</f>
        <v/>
      </c>
      <c r="AG10" s="77">
        <f>IF(Tab.11[[#This Row],[a1]]=1,AP10)</f>
        <v>10</v>
      </c>
      <c r="AH10" s="78">
        <f>IF(Tab.11[[#This Row],[a1]]=1,AQ10)</f>
        <v>10</v>
      </c>
      <c r="AI10" s="41">
        <v>3.0000000000000001E-3</v>
      </c>
      <c r="AJ10" s="79">
        <v>-0.08</v>
      </c>
      <c r="AK10" s="80">
        <f>IF(Tab.11[[#This Row],[a1]]=1,1)</f>
        <v>1</v>
      </c>
      <c r="AL10" s="81"/>
      <c r="AM10">
        <v>1</v>
      </c>
      <c r="AN10">
        <f t="shared" si="2"/>
        <v>6</v>
      </c>
      <c r="AO10">
        <f t="shared" si="2"/>
        <v>6</v>
      </c>
      <c r="AP10">
        <v>10</v>
      </c>
      <c r="AQ10">
        <v>10</v>
      </c>
      <c r="AZ10"/>
    </row>
    <row r="11" spans="1:52" x14ac:dyDescent="0.25">
      <c r="A11" s="61">
        <f t="shared" si="0"/>
        <v>1</v>
      </c>
      <c r="B11" s="62">
        <f t="shared" si="0"/>
        <v>7</v>
      </c>
      <c r="C11" s="62" t="str">
        <f>IF(Tab.11[[#This Row],[a1]]=1,[3]!Tab_x1[[#This Row],[Name]])</f>
        <v>hed7</v>
      </c>
      <c r="D11" s="63">
        <f>IF(Tab.11[[#This Row],[a1]]=1,AO11)</f>
        <v>7</v>
      </c>
      <c r="E11" s="63">
        <f t="shared" si="1"/>
        <v>1</v>
      </c>
      <c r="F11" s="64">
        <f>IF(Tab.11[[#This Row],[a1]]=1,Tab.11[[#This Row],[b1]])</f>
        <v>7</v>
      </c>
      <c r="G11" s="65">
        <f>IF(Tab.11[[#This Row],[a1]]=1,IF(Tab.11[[#This Row],[b3]]&gt;$L$989*$G$3,$L$989*$G$3,IF(Tab.11[[#This Row],[b3]]&lt;$M$989*$G$3,$M$989*$G$3,Tab.11[[#This Row],[b3]])))</f>
        <v>7</v>
      </c>
      <c r="H11" s="66">
        <f>IF(Tab.11[[#This Row],[a1]]=1,Tab.11[[#This Row],[b1]])</f>
        <v>7</v>
      </c>
      <c r="I11" s="67">
        <f>IF(Tab.11[[#This Row],[a1]]=1,Tab.11[[#This Row],[b1]])</f>
        <v>7</v>
      </c>
      <c r="J11" s="68">
        <f>IF(Tab.11[[#This Row],[a1]]=1,IF($I$3&lt;0,Tab.11[[#This Row],[b5]]-$I$3,Tab.11[[#This Row],[b5]]))</f>
        <v>7</v>
      </c>
      <c r="K11" s="68">
        <f>IF(Tab.11[[#This Row],[a1]]=1,IF($K$3=0,Tab.11[b6],Tab.11[[#This Row],[b6]]-AVERAGE(Tab.11[b6])))</f>
        <v>-2.5</v>
      </c>
      <c r="L11" s="69">
        <f>IF(Tab.11[[#This Row],[a1]]=1,Tab.11[[#This Row],[data]]/(_xlfn.STDEV.P(Tab.11[data])*$B$989)+$A$989)</f>
        <v>-0.48186942465242666</v>
      </c>
      <c r="M11" s="69">
        <f>IF(Tab.11[[#This Row],[a1]]=1,Tab.11[[#This Row],[data]]/(_xlfn.STDEV.P(Tab.11[data])*$B$987)-$A$987)</f>
        <v>-2.9637388493048533</v>
      </c>
      <c r="N11" s="69">
        <f>IF(Tab.11[[#This Row],[a1]]=1,Tab.11[[#This Row],[data]]/(_xlfn.STDEV.P(Tab.11[data])*$B$988)+$A$988)</f>
        <v>0.75906528767378667</v>
      </c>
      <c r="O11" s="70">
        <f>IF(Tab.11[[#This Row],[a1]]=1,_xlfn.NORM.DIST(Tab.11[[#This Row],[b8]],$P$1,$Q$1,FALSE))</f>
        <v>0.35521302309689157</v>
      </c>
      <c r="P11" s="70">
        <f>IF(Tab.11[[#This Row],[a1]]=1,_xlfn.NORM.DIST(Tab.11[[#This Row],[b9]],$P$1,$Q$1,FALSE))</f>
        <v>4.9379129508147889E-3</v>
      </c>
      <c r="Q11" s="70">
        <f>IF(Tab.11[[#This Row],[a1]]=1,_xlfn.NORM.DIST(Tab.11[[#This Row],[b10]],$P$1,$Q$1,FALSE))</f>
        <v>0.29908466394076011</v>
      </c>
      <c r="R11" s="67">
        <f>IF(Tab.11[[#This Row],[a1]]=1,$I$3+$A$989+IF($K$3=0,Tab.11[[#This Row],[b8]]*_xlfn.STDEV.P(Tab.11[data]),AVERAGE(Tab.11[b6])+Tab.11[[#This Row],[b8]]*_xlfn.STDEV.P(Tab.11[data])))</f>
        <v>8</v>
      </c>
      <c r="S11" s="71">
        <f>IF(Tab.11[[#This Row],[a1]]=1,$I$3+$A$987+IF($K$3=0,Tab.11[[#This Row],[b9]]*_xlfn.STDEV.P(Tab.11[data]),AVERAGE(Tab.11[b6])+Tab.11[[#This Row],[b9]]*_xlfn.STDEV.P(Tab.11[data])))</f>
        <v>-2.8762549441822536</v>
      </c>
      <c r="T11" s="71">
        <f>IF(Tab.11[[#This Row],[a1]]=1,$I$3+$A$988+IF($K$3=0,Tab.11[[#This Row],[b10]]*_xlfn.STDEV.P(Tab.11[data]),AVERAGE(Tab.11[b6])+Tab.11[[#This Row],[b10]]*_xlfn.STDEV.P(Tab.11[data])))</f>
        <v>15.438127472091127</v>
      </c>
      <c r="U11" s="72">
        <f>IF(Tab.11[[#This Row],[a1]]=1,Tab.11[[#This Row],[target]]-Tab.11[[#This Row],[Red]])</f>
        <v>10.876254944182254</v>
      </c>
      <c r="V11" s="72">
        <f>IF(Tab.11[[#This Row],[a1]]=1,Tab.11[[#This Row],[target]]-Tab.11[[#This Row],[Blue]])</f>
        <v>-7.4381274720911268</v>
      </c>
      <c r="W11" s="73">
        <f>IF(Tab.11[[#This Row],[a1]]=1,IF(ABS(Tab.11[[#This Row],[b17]])+ABS(Tab.11[[#This Row],[b18]])&lt;$W$2,$W$2,ABS(Tab.11[[#This Row],[b17]])+ABS(Tab.11[[#This Row],[b18]])))</f>
        <v>18.314382416273382</v>
      </c>
      <c r="X11" s="136">
        <f>IF(Tab.11[[#This Row],[a1]]=1,IF($W$3&lt;0,Tab.11[[#This Row],[IN]]-$I$3,Tab.11[[#This Row],[IN]]))</f>
        <v>18.314382416273382</v>
      </c>
      <c r="Y11" s="136">
        <f>IF(Tab.11[[#This Row],[a1]]=1,IF($X$3=0,Tab.11[b66],Tab.11[[#This Row],[b66]]-AVERAGE(Tab.11[b66])))</f>
        <v>3.7362505493535831</v>
      </c>
      <c r="Z11" s="135">
        <f>IF(Tab.11[[#This Row],[a1]]=1,Tab.11[[#This Row],[b77]]/(_xlfn.STDEV.P(Tab.11[b77])))</f>
        <v>0.48148556981149682</v>
      </c>
      <c r="AA11" s="70">
        <f>IF(Tab.11[[#This Row],[a1]]=1,_xlfn.NORM.DIST(Tab.11[[#This Row],[b88]],$Z$1,$AA$1,FALSE))</f>
        <v>0.50185298511515419</v>
      </c>
      <c r="AB11" s="74">
        <f>IF(Tab.11[[#This Row],[a1]]=1,IF($A$3=0,FALSE,1/Tab.11[[#This Row],[IN]]*$AC$2*IF(Tab.11[[#This Row],[a1]]=0,,$A$3*$AC$1*1/$V$3*(Tab.11[[#This Row],[b14]]))))</f>
        <v>0.49323823903808633</v>
      </c>
      <c r="AC11" s="155">
        <f>IF(Tab.11[[#This Row],[a1]]=1,IF($AC$3=0,Tab.11[[#This Row],[φ1]],Tab.11[[#This Row],[φ1]]/MAX(Tab.11[φ1])))</f>
        <v>0.48371527816000387</v>
      </c>
      <c r="AD11" s="74">
        <f>IF(Tab.11[[#This Row],[a1]]=1,1/Tab.11[[#This Row],[φ2]])</f>
        <v>2.0673318481977301</v>
      </c>
      <c r="AE11" s="74">
        <f>IF(Tab.11[[#This Row],[a1]]=1,IF($AE$3=0,Tab.11[[#This Row],[w.0]],Tab.11[[#This Row],[w.0]]/SUM(Tab.11[w.0])))</f>
        <v>3.0466474072008017E-3</v>
      </c>
      <c r="AF11" s="76" t="str">
        <f>IF(Tab.11[[#This Row],[a1]]=0,"false",[3]!Tab.x5[[#This Row],[%_seN_C]])</f>
        <v/>
      </c>
      <c r="AG11" s="77">
        <f>IF(Tab.11[[#This Row],[a1]]=1,AP11)</f>
        <v>10</v>
      </c>
      <c r="AH11" s="78">
        <f>IF(Tab.11[[#This Row],[a1]]=1,AQ11)</f>
        <v>10</v>
      </c>
      <c r="AI11" s="41">
        <v>3.0000000000000001E-3</v>
      </c>
      <c r="AJ11" s="79">
        <v>7.0000000000000007E-2</v>
      </c>
      <c r="AK11" s="80">
        <f>IF(Tab.11[[#This Row],[a1]]=1,1)</f>
        <v>1</v>
      </c>
      <c r="AL11" s="81"/>
      <c r="AM11">
        <v>1</v>
      </c>
      <c r="AN11">
        <f t="shared" si="2"/>
        <v>7</v>
      </c>
      <c r="AO11">
        <f t="shared" si="2"/>
        <v>7</v>
      </c>
      <c r="AP11">
        <v>10</v>
      </c>
      <c r="AQ11">
        <v>10</v>
      </c>
      <c r="AZ11"/>
    </row>
    <row r="12" spans="1:52" x14ac:dyDescent="0.25">
      <c r="A12" s="61">
        <f t="shared" si="0"/>
        <v>1</v>
      </c>
      <c r="B12" s="62">
        <f t="shared" si="0"/>
        <v>8</v>
      </c>
      <c r="C12" s="62" t="str">
        <f>IF(Tab.11[[#This Row],[a1]]=1,[3]!Tab_x1[[#This Row],[Name]])</f>
        <v>hed8</v>
      </c>
      <c r="D12" s="63">
        <f>IF(Tab.11[[#This Row],[a1]]=1,AO12)</f>
        <v>8</v>
      </c>
      <c r="E12" s="63">
        <f t="shared" si="1"/>
        <v>1</v>
      </c>
      <c r="F12" s="64">
        <f>IF(Tab.11[[#This Row],[a1]]=1,Tab.11[[#This Row],[b1]])</f>
        <v>8</v>
      </c>
      <c r="G12" s="65">
        <f>IF(Tab.11[[#This Row],[a1]]=1,IF(Tab.11[[#This Row],[b3]]&gt;$L$989*$G$3,$L$989*$G$3,IF(Tab.11[[#This Row],[b3]]&lt;$M$989*$G$3,$M$989*$G$3,Tab.11[[#This Row],[b3]])))</f>
        <v>8</v>
      </c>
      <c r="H12" s="66">
        <f>IF(Tab.11[[#This Row],[a1]]=1,Tab.11[[#This Row],[b1]])</f>
        <v>8</v>
      </c>
      <c r="I12" s="67">
        <f>IF(Tab.11[[#This Row],[a1]]=1,Tab.11[[#This Row],[b1]])</f>
        <v>8</v>
      </c>
      <c r="J12" s="68">
        <f>IF(Tab.11[[#This Row],[a1]]=1,IF($I$3&lt;0,Tab.11[[#This Row],[b5]]-$I$3,Tab.11[[#This Row],[b5]]))</f>
        <v>8</v>
      </c>
      <c r="K12" s="68">
        <f>IF(Tab.11[[#This Row],[a1]]=1,IF($K$3=0,Tab.11[b6],Tab.11[[#This Row],[b6]]-AVERAGE(Tab.11[b6])))</f>
        <v>-1.5</v>
      </c>
      <c r="L12" s="69">
        <f>IF(Tab.11[[#This Row],[a1]]=1,Tab.11[[#This Row],[data]]/(_xlfn.STDEV.P(Tab.11[data])*$B$989)+$A$989)</f>
        <v>-0.28912165479145602</v>
      </c>
      <c r="M12" s="69">
        <f>IF(Tab.11[[#This Row],[a1]]=1,Tab.11[[#This Row],[data]]/(_xlfn.STDEV.P(Tab.11[data])*$B$987)-$A$987)</f>
        <v>-2.5782433095829118</v>
      </c>
      <c r="N12" s="69">
        <f>IF(Tab.11[[#This Row],[a1]]=1,Tab.11[[#This Row],[data]]/(_xlfn.STDEV.P(Tab.11[data])*$B$988)+$A$988)</f>
        <v>0.85543917260427205</v>
      </c>
      <c r="O12" s="70">
        <f>IF(Tab.11[[#This Row],[a1]]=1,_xlfn.NORM.DIST(Tab.11[[#This Row],[b8]],$P$1,$Q$1,FALSE))</f>
        <v>0.38261186963619304</v>
      </c>
      <c r="P12" s="70">
        <f>IF(Tab.11[[#This Row],[a1]]=1,_xlfn.NORM.DIST(Tab.11[[#This Row],[b9]],$P$1,$Q$1,FALSE))</f>
        <v>1.4370068458584519E-2</v>
      </c>
      <c r="Q12" s="70">
        <f>IF(Tab.11[[#This Row],[a1]]=1,_xlfn.NORM.DIST(Tab.11[[#This Row],[b10]],$P$1,$Q$1,FALSE))</f>
        <v>0.27669855285493805</v>
      </c>
      <c r="R12" s="67">
        <f>IF(Tab.11[[#This Row],[a1]]=1,$I$3+$A$989+IF($K$3=0,Tab.11[[#This Row],[b8]]*_xlfn.STDEV.P(Tab.11[data]),AVERAGE(Tab.11[b6])+Tab.11[[#This Row],[b8]]*_xlfn.STDEV.P(Tab.11[data])))</f>
        <v>9</v>
      </c>
      <c r="S12" s="71">
        <f>IF(Tab.11[[#This Row],[a1]]=1,$I$3+$A$987+IF($K$3=0,Tab.11[[#This Row],[b9]]*_xlfn.STDEV.P(Tab.11[data]),AVERAGE(Tab.11[b6])+Tab.11[[#This Row],[b9]]*_xlfn.STDEV.P(Tab.11[data])))</f>
        <v>-0.8762549441822518</v>
      </c>
      <c r="T12" s="71">
        <f>IF(Tab.11[[#This Row],[a1]]=1,$I$3+$A$988+IF($K$3=0,Tab.11[[#This Row],[b10]]*_xlfn.STDEV.P(Tab.11[data]),AVERAGE(Tab.11[b6])+Tab.11[[#This Row],[b10]]*_xlfn.STDEV.P(Tab.11[data])))</f>
        <v>15.938127472091127</v>
      </c>
      <c r="U12" s="72">
        <f>IF(Tab.11[[#This Row],[a1]]=1,Tab.11[[#This Row],[target]]-Tab.11[[#This Row],[Red]])</f>
        <v>9.8762549441822518</v>
      </c>
      <c r="V12" s="72">
        <f>IF(Tab.11[[#This Row],[a1]]=1,Tab.11[[#This Row],[target]]-Tab.11[[#This Row],[Blue]])</f>
        <v>-6.9381274720911268</v>
      </c>
      <c r="W12" s="73">
        <f>IF(Tab.11[[#This Row],[a1]]=1,IF(ABS(Tab.11[[#This Row],[b17]])+ABS(Tab.11[[#This Row],[b18]])&lt;$W$2,$W$2,ABS(Tab.11[[#This Row],[b17]])+ABS(Tab.11[[#This Row],[b18]])))</f>
        <v>16.814382416273379</v>
      </c>
      <c r="X12" s="136">
        <f>IF(Tab.11[[#This Row],[a1]]=1,IF($W$3&lt;0,Tab.11[[#This Row],[IN]]-$I$3,Tab.11[[#This Row],[IN]]))</f>
        <v>16.814382416273379</v>
      </c>
      <c r="Y12" s="136">
        <f>IF(Tab.11[[#This Row],[a1]]=1,IF($X$3=0,Tab.11[b66],Tab.11[[#This Row],[b66]]-AVERAGE(Tab.11[b66])))</f>
        <v>2.2362505493535796</v>
      </c>
      <c r="Z12" s="135">
        <f>IF(Tab.11[[#This Row],[a1]]=1,Tab.11[[#This Row],[b77]]/(_xlfn.STDEV.P(Tab.11[b77])))</f>
        <v>0.28818259262165036</v>
      </c>
      <c r="AA12" s="70">
        <f>IF(Tab.11[[#This Row],[a1]]=1,_xlfn.NORM.DIST(Tab.11[[#This Row],[b88]],$Z$1,$AA$1,FALSE))</f>
        <v>0.67577860361660214</v>
      </c>
      <c r="AB12" s="74">
        <f>IF(Tab.11[[#This Row],[a1]]=1,IF($A$3=0,FALSE,1/Tab.11[[#This Row],[IN]]*$AC$2*IF(Tab.11[[#This Row],[a1]]=0,,$A$3*$AC$1*1/$V$3*(Tab.11[[#This Row],[b14]]))))</f>
        <v>0.72342917889902414</v>
      </c>
      <c r="AC12" s="155">
        <f>IF(Tab.11[[#This Row],[a1]]=1,IF($AC$3=0,Tab.11[[#This Row],[φ1]],Tab.11[[#This Row],[φ1]]/MAX(Tab.11[φ1])))</f>
        <v>0.70946191678618786</v>
      </c>
      <c r="AD12" s="74">
        <f>IF(Tab.11[[#This Row],[a1]]=1,1/Tab.11[[#This Row],[φ2]])</f>
        <v>1.4095189274287323</v>
      </c>
      <c r="AE12" s="74">
        <f>IF(Tab.11[[#This Row],[a1]]=1,IF($AE$3=0,Tab.11[[#This Row],[w.0]],Tab.11[[#This Row],[w.0]]/SUM(Tab.11[w.0])))</f>
        <v>2.0772219948117752E-3</v>
      </c>
      <c r="AF12" s="76" t="str">
        <f>IF(Tab.11[[#This Row],[a1]]=0,"false",[3]!Tab.x5[[#This Row],[%_seN_C]])</f>
        <v/>
      </c>
      <c r="AG12" s="77">
        <f>IF(Tab.11[[#This Row],[a1]]=1,AP12)</f>
        <v>10</v>
      </c>
      <c r="AH12" s="78">
        <f>IF(Tab.11[[#This Row],[a1]]=1,AQ12)</f>
        <v>10</v>
      </c>
      <c r="AI12" s="41">
        <v>3.0000000000000001E-3</v>
      </c>
      <c r="AJ12" s="79">
        <v>-0.04</v>
      </c>
      <c r="AK12" s="80">
        <f>IF(Tab.11[[#This Row],[a1]]=1,1)</f>
        <v>1</v>
      </c>
      <c r="AL12" s="81"/>
      <c r="AM12">
        <v>1</v>
      </c>
      <c r="AN12">
        <f t="shared" si="2"/>
        <v>8</v>
      </c>
      <c r="AO12">
        <f t="shared" si="2"/>
        <v>8</v>
      </c>
      <c r="AP12">
        <v>10</v>
      </c>
      <c r="AQ12">
        <v>10</v>
      </c>
      <c r="AZ12"/>
    </row>
    <row r="13" spans="1:52" x14ac:dyDescent="0.25">
      <c r="A13" s="61">
        <f t="shared" si="0"/>
        <v>1</v>
      </c>
      <c r="B13" s="62">
        <f t="shared" si="0"/>
        <v>9</v>
      </c>
      <c r="C13" s="62" t="str">
        <f>IF(Tab.11[[#This Row],[a1]]=1,[3]!Tab_x1[[#This Row],[Name]])</f>
        <v>hed9</v>
      </c>
      <c r="D13" s="63">
        <f>IF(Tab.11[[#This Row],[a1]]=1,AO13)</f>
        <v>9</v>
      </c>
      <c r="E13" s="63">
        <f t="shared" si="1"/>
        <v>1</v>
      </c>
      <c r="F13" s="64">
        <f>IF(Tab.11[[#This Row],[a1]]=1,Tab.11[[#This Row],[b1]])</f>
        <v>9</v>
      </c>
      <c r="G13" s="65">
        <f>IF(Tab.11[[#This Row],[a1]]=1,IF(Tab.11[[#This Row],[b3]]&gt;$L$989*$G$3,$L$989*$G$3,IF(Tab.11[[#This Row],[b3]]&lt;$M$989*$G$3,$M$989*$G$3,Tab.11[[#This Row],[b3]])))</f>
        <v>9</v>
      </c>
      <c r="H13" s="66">
        <f>IF(Tab.11[[#This Row],[a1]]=1,Tab.11[[#This Row],[b1]])</f>
        <v>9</v>
      </c>
      <c r="I13" s="67">
        <f>IF(Tab.11[[#This Row],[a1]]=1,Tab.11[[#This Row],[b1]])</f>
        <v>9</v>
      </c>
      <c r="J13" s="68">
        <f>IF(Tab.11[[#This Row],[a1]]=1,IF($I$3&lt;0,Tab.11[[#This Row],[b5]]-$I$3,Tab.11[[#This Row],[b5]]))</f>
        <v>9</v>
      </c>
      <c r="K13" s="68">
        <f>IF(Tab.11[[#This Row],[a1]]=1,IF($K$3=0,Tab.11[b6],Tab.11[[#This Row],[b6]]-AVERAGE(Tab.11[b6])))</f>
        <v>-0.5</v>
      </c>
      <c r="L13" s="69">
        <f>IF(Tab.11[[#This Row],[a1]]=1,Tab.11[[#This Row],[data]]/(_xlfn.STDEV.P(Tab.11[data])*$B$989)+$A$989)</f>
        <v>-9.6373884930485335E-2</v>
      </c>
      <c r="M13" s="69">
        <f>IF(Tab.11[[#This Row],[a1]]=1,Tab.11[[#This Row],[data]]/(_xlfn.STDEV.P(Tab.11[data])*$B$987)-$A$987)</f>
        <v>-2.1927477698609708</v>
      </c>
      <c r="N13" s="69">
        <f>IF(Tab.11[[#This Row],[a1]]=1,Tab.11[[#This Row],[data]]/(_xlfn.STDEV.P(Tab.11[data])*$B$988)+$A$988)</f>
        <v>0.95181305753475731</v>
      </c>
      <c r="O13" s="70">
        <f>IF(Tab.11[[#This Row],[a1]]=1,_xlfn.NORM.DIST(Tab.11[[#This Row],[b8]],$P$1,$Q$1,FALSE))</f>
        <v>0.39709390249370219</v>
      </c>
      <c r="P13" s="70">
        <f>IF(Tab.11[[#This Row],[a1]]=1,_xlfn.NORM.DIST(Tab.11[[#This Row],[b9]],$P$1,$Q$1,FALSE))</f>
        <v>3.6044178068236135E-2</v>
      </c>
      <c r="Q13" s="70">
        <f>IF(Tab.11[[#This Row],[a1]]=1,_xlfn.NORM.DIST(Tab.11[[#This Row],[b10]],$P$1,$Q$1,FALSE))</f>
        <v>0.25362142375664654</v>
      </c>
      <c r="R13" s="67">
        <f>IF(Tab.11[[#This Row],[a1]]=1,$I$3+$A$989+IF($K$3=0,Tab.11[[#This Row],[b8]]*_xlfn.STDEV.P(Tab.11[data]),AVERAGE(Tab.11[b6])+Tab.11[[#This Row],[b8]]*_xlfn.STDEV.P(Tab.11[data])))</f>
        <v>10</v>
      </c>
      <c r="S13" s="71">
        <f>IF(Tab.11[[#This Row],[a1]]=1,$I$3+$A$987+IF($K$3=0,Tab.11[[#This Row],[b9]]*_xlfn.STDEV.P(Tab.11[data]),AVERAGE(Tab.11[b6])+Tab.11[[#This Row],[b9]]*_xlfn.STDEV.P(Tab.11[data])))</f>
        <v>1.1237450558177464</v>
      </c>
      <c r="T13" s="71">
        <f>IF(Tab.11[[#This Row],[a1]]=1,$I$3+$A$988+IF($K$3=0,Tab.11[[#This Row],[b10]]*_xlfn.STDEV.P(Tab.11[data]),AVERAGE(Tab.11[b6])+Tab.11[[#This Row],[b10]]*_xlfn.STDEV.P(Tab.11[data])))</f>
        <v>16.438127472091125</v>
      </c>
      <c r="U13" s="72">
        <f>IF(Tab.11[[#This Row],[a1]]=1,Tab.11[[#This Row],[target]]-Tab.11[[#This Row],[Red]])</f>
        <v>8.8762549441822536</v>
      </c>
      <c r="V13" s="72">
        <f>IF(Tab.11[[#This Row],[a1]]=1,Tab.11[[#This Row],[target]]-Tab.11[[#This Row],[Blue]])</f>
        <v>-6.438127472091125</v>
      </c>
      <c r="W13" s="73">
        <f>IF(Tab.11[[#This Row],[a1]]=1,IF(ABS(Tab.11[[#This Row],[b17]])+ABS(Tab.11[[#This Row],[b18]])&lt;$W$2,$W$2,ABS(Tab.11[[#This Row],[b17]])+ABS(Tab.11[[#This Row],[b18]])))</f>
        <v>15.314382416273379</v>
      </c>
      <c r="X13" s="136">
        <f>IF(Tab.11[[#This Row],[a1]]=1,IF($W$3&lt;0,Tab.11[[#This Row],[IN]]-$I$3,Tab.11[[#This Row],[IN]]))</f>
        <v>15.314382416273379</v>
      </c>
      <c r="Y13" s="136">
        <f>IF(Tab.11[[#This Row],[a1]]=1,IF($X$3=0,Tab.11[b66],Tab.11[[#This Row],[b66]]-AVERAGE(Tab.11[b66])))</f>
        <v>0.73625054935357959</v>
      </c>
      <c r="Z13" s="135">
        <f>IF(Tab.11[[#This Row],[a1]]=1,Tab.11[[#This Row],[b77]]/(_xlfn.STDEV.P(Tab.11[b77])))</f>
        <v>9.4879615431804384E-2</v>
      </c>
      <c r="AA13" s="70">
        <f>IF(Tab.11[[#This Row],[a1]]=1,_xlfn.NORM.DIST(Tab.11[[#This Row],[b88]],$Z$1,$AA$1,FALSE))</f>
        <v>0.78364776768866651</v>
      </c>
      <c r="AB13" s="74">
        <f>IF(Tab.11[[#This Row],[a1]]=1,IF($A$3=0,FALSE,1/Tab.11[[#This Row],[IN]]*$AC$2*IF(Tab.11[[#This Row],[a1]]=0,,$A$3*$AC$1*1/$V$3*(Tab.11[[#This Row],[b14]]))))</f>
        <v>0.92107271680815761</v>
      </c>
      <c r="AC13" s="155">
        <f>IF(Tab.11[[#This Row],[a1]]=1,IF($AC$3=0,Tab.11[[#This Row],[φ1]],Tab.11[[#This Row],[φ1]]/MAX(Tab.11[φ1])))</f>
        <v>0.90328954682292062</v>
      </c>
      <c r="AD13" s="74">
        <f>IF(Tab.11[[#This Row],[a1]]=1,1/Tab.11[[#This Row],[φ2]])</f>
        <v>1.1070647319203821</v>
      </c>
      <c r="AE13" s="74">
        <f>IF(Tab.11[[#This Row],[a1]]=1,IF($AE$3=0,Tab.11[[#This Row],[w.0]],Tab.11[[#This Row],[w.0]]/SUM(Tab.11[w.0])))</f>
        <v>1.6314922531905423E-3</v>
      </c>
      <c r="AF13" s="76" t="str">
        <f>IF(Tab.11[[#This Row],[a1]]=0,"false",[3]!Tab.x5[[#This Row],[%_seN_C]])</f>
        <v/>
      </c>
      <c r="AG13" s="77">
        <f>IF(Tab.11[[#This Row],[a1]]=1,AP13)</f>
        <v>10</v>
      </c>
      <c r="AH13" s="78">
        <f>IF(Tab.11[[#This Row],[a1]]=1,AQ13)</f>
        <v>10</v>
      </c>
      <c r="AI13" s="41">
        <v>3.0000000000000001E-3</v>
      </c>
      <c r="AJ13" s="79">
        <v>7.0000000000000007E-2</v>
      </c>
      <c r="AK13" s="80">
        <f>IF(Tab.11[[#This Row],[a1]]=1,1)</f>
        <v>1</v>
      </c>
      <c r="AL13" s="81"/>
      <c r="AM13">
        <v>1</v>
      </c>
      <c r="AN13">
        <f t="shared" si="2"/>
        <v>9</v>
      </c>
      <c r="AO13">
        <f t="shared" si="2"/>
        <v>9</v>
      </c>
      <c r="AP13">
        <v>10</v>
      </c>
      <c r="AQ13">
        <v>10</v>
      </c>
      <c r="AZ13"/>
    </row>
    <row r="14" spans="1:52" x14ac:dyDescent="0.25">
      <c r="A14" s="61">
        <f t="shared" si="0"/>
        <v>1</v>
      </c>
      <c r="B14" s="62">
        <f t="shared" si="0"/>
        <v>10</v>
      </c>
      <c r="C14" s="62" t="str">
        <f>IF(Tab.11[[#This Row],[a1]]=1,[3]!Tab_x1[[#This Row],[Name]])</f>
        <v>hed10</v>
      </c>
      <c r="D14" s="63">
        <f>IF(Tab.11[[#This Row],[a1]]=1,AO14)</f>
        <v>10</v>
      </c>
      <c r="E14" s="63">
        <f t="shared" si="1"/>
        <v>1</v>
      </c>
      <c r="F14" s="64">
        <f>IF(Tab.11[[#This Row],[a1]]=1,Tab.11[[#This Row],[b1]])</f>
        <v>10</v>
      </c>
      <c r="G14" s="65">
        <f>IF(Tab.11[[#This Row],[a1]]=1,IF(Tab.11[[#This Row],[b3]]&gt;$L$989*$G$3,$L$989*$G$3,IF(Tab.11[[#This Row],[b3]]&lt;$M$989*$G$3,$M$989*$G$3,Tab.11[[#This Row],[b3]])))</f>
        <v>10</v>
      </c>
      <c r="H14" s="66">
        <f>IF(Tab.11[[#This Row],[a1]]=1,Tab.11[[#This Row],[b1]])</f>
        <v>10</v>
      </c>
      <c r="I14" s="67">
        <f>IF(Tab.11[[#This Row],[a1]]=1,Tab.11[[#This Row],[b1]])</f>
        <v>10</v>
      </c>
      <c r="J14" s="68">
        <f>IF(Tab.11[[#This Row],[a1]]=1,IF($I$3&lt;0,Tab.11[[#This Row],[b5]]-$I$3,Tab.11[[#This Row],[b5]]))</f>
        <v>10</v>
      </c>
      <c r="K14" s="68">
        <f>IF(Tab.11[[#This Row],[a1]]=1,IF($K$3=0,Tab.11[b6],Tab.11[[#This Row],[b6]]-AVERAGE(Tab.11[b6])))</f>
        <v>0.5</v>
      </c>
      <c r="L14" s="69">
        <f>IF(Tab.11[[#This Row],[a1]]=1,Tab.11[[#This Row],[data]]/(_xlfn.STDEV.P(Tab.11[data])*$B$989)+$A$989)</f>
        <v>9.6373884930485335E-2</v>
      </c>
      <c r="M14" s="69">
        <f>IF(Tab.11[[#This Row],[a1]]=1,Tab.11[[#This Row],[data]]/(_xlfn.STDEV.P(Tab.11[data])*$B$987)-$A$987)</f>
        <v>-1.8072522301390292</v>
      </c>
      <c r="N14" s="69">
        <f>IF(Tab.11[[#This Row],[a1]]=1,Tab.11[[#This Row],[data]]/(_xlfn.STDEV.P(Tab.11[data])*$B$988)+$A$988)</f>
        <v>1.0481869424652426</v>
      </c>
      <c r="O14" s="70">
        <f>IF(Tab.11[[#This Row],[a1]]=1,_xlfn.NORM.DIST(Tab.11[[#This Row],[b8]],$P$1,$Q$1,FALSE))</f>
        <v>0.39709390249370219</v>
      </c>
      <c r="P14" s="70">
        <f>IF(Tab.11[[#This Row],[a1]]=1,_xlfn.NORM.DIST(Tab.11[[#This Row],[b9]],$P$1,$Q$1,FALSE))</f>
        <v>7.7924190242893029E-2</v>
      </c>
      <c r="Q14" s="70">
        <f>IF(Tab.11[[#This Row],[a1]]=1,_xlfn.NORM.DIST(Tab.11[[#This Row],[b10]],$P$1,$Q$1,FALSE))</f>
        <v>0.23031980798142704</v>
      </c>
      <c r="R14" s="67">
        <f>IF(Tab.11[[#This Row],[a1]]=1,$I$3+$A$989+IF($K$3=0,Tab.11[[#This Row],[b8]]*_xlfn.STDEV.P(Tab.11[data]),AVERAGE(Tab.11[b6])+Tab.11[[#This Row],[b8]]*_xlfn.STDEV.P(Tab.11[data])))</f>
        <v>11</v>
      </c>
      <c r="S14" s="71">
        <f>IF(Tab.11[[#This Row],[a1]]=1,$I$3+$A$987+IF($K$3=0,Tab.11[[#This Row],[b9]]*_xlfn.STDEV.P(Tab.11[data]),AVERAGE(Tab.11[b6])+Tab.11[[#This Row],[b9]]*_xlfn.STDEV.P(Tab.11[data])))</f>
        <v>3.1237450558177464</v>
      </c>
      <c r="T14" s="71">
        <f>IF(Tab.11[[#This Row],[a1]]=1,$I$3+$A$988+IF($K$3=0,Tab.11[[#This Row],[b10]]*_xlfn.STDEV.P(Tab.11[data]),AVERAGE(Tab.11[b6])+Tab.11[[#This Row],[b10]]*_xlfn.STDEV.P(Tab.11[data])))</f>
        <v>16.938127472091125</v>
      </c>
      <c r="U14" s="72">
        <f>IF(Tab.11[[#This Row],[a1]]=1,Tab.11[[#This Row],[target]]-Tab.11[[#This Row],[Red]])</f>
        <v>7.8762549441822536</v>
      </c>
      <c r="V14" s="72">
        <f>IF(Tab.11[[#This Row],[a1]]=1,Tab.11[[#This Row],[target]]-Tab.11[[#This Row],[Blue]])</f>
        <v>-5.938127472091125</v>
      </c>
      <c r="W14" s="73">
        <f>IF(Tab.11[[#This Row],[a1]]=1,IF(ABS(Tab.11[[#This Row],[b17]])+ABS(Tab.11[[#This Row],[b18]])&lt;$W$2,$W$2,ABS(Tab.11[[#This Row],[b17]])+ABS(Tab.11[[#This Row],[b18]])))</f>
        <v>13.814382416273379</v>
      </c>
      <c r="X14" s="136">
        <f>IF(Tab.11[[#This Row],[a1]]=1,IF($W$3&lt;0,Tab.11[[#This Row],[IN]]-$I$3,Tab.11[[#This Row],[IN]]))</f>
        <v>13.814382416273379</v>
      </c>
      <c r="Y14" s="136">
        <f>IF(Tab.11[[#This Row],[a1]]=1,IF($X$3=0,Tab.11[b66],Tab.11[[#This Row],[b66]]-AVERAGE(Tab.11[b66])))</f>
        <v>-0.76374945064642041</v>
      </c>
      <c r="Z14" s="135">
        <f>IF(Tab.11[[#This Row],[a1]]=1,Tab.11[[#This Row],[b77]]/(_xlfn.STDEV.P(Tab.11[b77])))</f>
        <v>-9.8423361758041603E-2</v>
      </c>
      <c r="AA14" s="70">
        <f>IF(Tab.11[[#This Row],[a1]]=1,_xlfn.NORM.DIST(Tab.11[[#This Row],[b88]],$Z$1,$AA$1,FALSE))</f>
        <v>0.7825748791635595</v>
      </c>
      <c r="AB14" s="74">
        <f>IF(Tab.11[[#This Row],[a1]]=1,IF($A$3=0,FALSE,1/Tab.11[[#This Row],[IN]]*$AC$2*IF(Tab.11[[#This Row],[a1]]=0,,$A$3*$AC$1*1/$V$3*(Tab.11[[#This Row],[b14]]))))</f>
        <v>1.0196871203124009</v>
      </c>
      <c r="AC14" s="155">
        <f>IF(Tab.11[[#This Row],[a1]]=1,IF($AC$3=0,Tab.11[[#This Row],[φ1]],Tab.11[[#This Row],[φ1]]/MAX(Tab.11[φ1])))</f>
        <v>1</v>
      </c>
      <c r="AD14" s="74">
        <f>IF(Tab.11[[#This Row],[a1]]=1,1/Tab.11[[#This Row],[φ2]])</f>
        <v>1</v>
      </c>
      <c r="AE14" s="74">
        <f>IF(Tab.11[[#This Row],[a1]]=1,IF($AE$3=0,Tab.11[[#This Row],[w.0]],Tab.11[[#This Row],[w.0]]/SUM(Tab.11[w.0])))</f>
        <v>1.4737098980295907E-3</v>
      </c>
      <c r="AF14" s="76" t="str">
        <f>IF(Tab.11[[#This Row],[a1]]=0,"false",[3]!Tab.x5[[#This Row],[%_seN_C]])</f>
        <v/>
      </c>
      <c r="AG14" s="77">
        <f>IF(Tab.11[[#This Row],[a1]]=1,AP14)</f>
        <v>10</v>
      </c>
      <c r="AH14" s="78">
        <f>IF(Tab.11[[#This Row],[a1]]=1,AQ14)</f>
        <v>10</v>
      </c>
      <c r="AI14" s="41">
        <v>3.0000000000000001E-3</v>
      </c>
      <c r="AJ14" s="79">
        <v>0</v>
      </c>
      <c r="AK14" s="80">
        <f>IF(Tab.11[[#This Row],[a1]]=1,1)</f>
        <v>1</v>
      </c>
      <c r="AL14" s="81"/>
      <c r="AM14">
        <v>1</v>
      </c>
      <c r="AN14">
        <f t="shared" si="2"/>
        <v>10</v>
      </c>
      <c r="AO14">
        <f t="shared" si="2"/>
        <v>10</v>
      </c>
      <c r="AP14">
        <v>10</v>
      </c>
      <c r="AQ14">
        <v>10</v>
      </c>
      <c r="AZ14"/>
    </row>
    <row r="15" spans="1:52" x14ac:dyDescent="0.25">
      <c r="A15" s="61">
        <f t="shared" si="0"/>
        <v>1</v>
      </c>
      <c r="B15" s="62">
        <f t="shared" si="0"/>
        <v>11</v>
      </c>
      <c r="C15" s="62" t="str">
        <f>IF(Tab.11[[#This Row],[a1]]=1,[3]!Tab_x1[[#This Row],[Name]])</f>
        <v>hed11</v>
      </c>
      <c r="D15" s="63">
        <f>IF(Tab.11[[#This Row],[a1]]=1,AO15)</f>
        <v>11</v>
      </c>
      <c r="E15" s="63">
        <f t="shared" si="1"/>
        <v>1</v>
      </c>
      <c r="F15" s="64">
        <f>IF(Tab.11[[#This Row],[a1]]=1,Tab.11[[#This Row],[b1]])</f>
        <v>11</v>
      </c>
      <c r="G15" s="65">
        <f>IF(Tab.11[[#This Row],[a1]]=1,IF(Tab.11[[#This Row],[b3]]&gt;$L$989*$G$3,$L$989*$G$3,IF(Tab.11[[#This Row],[b3]]&lt;$M$989*$G$3,$M$989*$G$3,Tab.11[[#This Row],[b3]])))</f>
        <v>11</v>
      </c>
      <c r="H15" s="66">
        <f>IF(Tab.11[[#This Row],[a1]]=1,Tab.11[[#This Row],[b1]])</f>
        <v>11</v>
      </c>
      <c r="I15" s="67">
        <f>IF(Tab.11[[#This Row],[a1]]=1,Tab.11[[#This Row],[b1]])</f>
        <v>11</v>
      </c>
      <c r="J15" s="68">
        <f>IF(Tab.11[[#This Row],[a1]]=1,IF($I$3&lt;0,Tab.11[[#This Row],[b5]]-$I$3,Tab.11[[#This Row],[b5]]))</f>
        <v>11</v>
      </c>
      <c r="K15" s="68">
        <f>IF(Tab.11[[#This Row],[a1]]=1,IF($K$3=0,Tab.11[b6],Tab.11[[#This Row],[b6]]-AVERAGE(Tab.11[b6])))</f>
        <v>1.5</v>
      </c>
      <c r="L15" s="69">
        <f>IF(Tab.11[[#This Row],[a1]]=1,Tab.11[[#This Row],[data]]/(_xlfn.STDEV.P(Tab.11[data])*$B$989)+$A$989)</f>
        <v>0.28912165479145602</v>
      </c>
      <c r="M15" s="69">
        <f>IF(Tab.11[[#This Row],[a1]]=1,Tab.11[[#This Row],[data]]/(_xlfn.STDEV.P(Tab.11[data])*$B$987)-$A$987)</f>
        <v>-1.421756690417088</v>
      </c>
      <c r="N15" s="69">
        <f>IF(Tab.11[[#This Row],[a1]]=1,Tab.11[[#This Row],[data]]/(_xlfn.STDEV.P(Tab.11[data])*$B$988)+$A$988)</f>
        <v>1.144560827395728</v>
      </c>
      <c r="O15" s="70">
        <f>IF(Tab.11[[#This Row],[a1]]=1,_xlfn.NORM.DIST(Tab.11[[#This Row],[b8]],$P$1,$Q$1,FALSE))</f>
        <v>0.38261186963619304</v>
      </c>
      <c r="P15" s="70">
        <f>IF(Tab.11[[#This Row],[a1]]=1,_xlfn.NORM.DIST(Tab.11[[#This Row],[b9]],$P$1,$Q$1,FALSE))</f>
        <v>0.14520124872738679</v>
      </c>
      <c r="Q15" s="70">
        <f>IF(Tab.11[[#This Row],[a1]]=1,_xlfn.NORM.DIST(Tab.11[[#This Row],[b10]],$P$1,$Q$1,FALSE))</f>
        <v>0.20722538181147712</v>
      </c>
      <c r="R15" s="67">
        <f>IF(Tab.11[[#This Row],[a1]]=1,$I$3+$A$989+IF($K$3=0,Tab.11[[#This Row],[b8]]*_xlfn.STDEV.P(Tab.11[data]),AVERAGE(Tab.11[b6])+Tab.11[[#This Row],[b8]]*_xlfn.STDEV.P(Tab.11[data])))</f>
        <v>12</v>
      </c>
      <c r="S15" s="71">
        <f>IF(Tab.11[[#This Row],[a1]]=1,$I$3+$A$987+IF($K$3=0,Tab.11[[#This Row],[b9]]*_xlfn.STDEV.P(Tab.11[data]),AVERAGE(Tab.11[b6])+Tab.11[[#This Row],[b9]]*_xlfn.STDEV.P(Tab.11[data])))</f>
        <v>5.1237450558177464</v>
      </c>
      <c r="T15" s="71">
        <f>IF(Tab.11[[#This Row],[a1]]=1,$I$3+$A$988+IF($K$3=0,Tab.11[[#This Row],[b10]]*_xlfn.STDEV.P(Tab.11[data]),AVERAGE(Tab.11[b6])+Tab.11[[#This Row],[b10]]*_xlfn.STDEV.P(Tab.11[data])))</f>
        <v>17.438127472091125</v>
      </c>
      <c r="U15" s="72">
        <f>IF(Tab.11[[#This Row],[a1]]=1,Tab.11[[#This Row],[target]]-Tab.11[[#This Row],[Red]])</f>
        <v>6.8762549441822536</v>
      </c>
      <c r="V15" s="72">
        <f>IF(Tab.11[[#This Row],[a1]]=1,Tab.11[[#This Row],[target]]-Tab.11[[#This Row],[Blue]])</f>
        <v>-5.438127472091125</v>
      </c>
      <c r="W15" s="73">
        <f>IF(Tab.11[[#This Row],[a1]]=1,IF(ABS(Tab.11[[#This Row],[b17]])+ABS(Tab.11[[#This Row],[b18]])&lt;$W$2,$W$2,ABS(Tab.11[[#This Row],[b17]])+ABS(Tab.11[[#This Row],[b18]])))</f>
        <v>12.314382416273379</v>
      </c>
      <c r="X15" s="136">
        <f>IF(Tab.11[[#This Row],[a1]]=1,IF($W$3&lt;0,Tab.11[[#This Row],[IN]]-$I$3,Tab.11[[#This Row],[IN]]))</f>
        <v>12.314382416273379</v>
      </c>
      <c r="Y15" s="136">
        <f>IF(Tab.11[[#This Row],[a1]]=1,IF($X$3=0,Tab.11[b66],Tab.11[[#This Row],[b66]]-AVERAGE(Tab.11[b66])))</f>
        <v>-2.2637494506464204</v>
      </c>
      <c r="Z15" s="135">
        <f>IF(Tab.11[[#This Row],[a1]]=1,Tab.11[[#This Row],[b77]]/(_xlfn.STDEV.P(Tab.11[b77])))</f>
        <v>-0.29172633894788758</v>
      </c>
      <c r="AA15" s="70">
        <f>IF(Tab.11[[#This Row],[a1]]=1,_xlfn.NORM.DIST(Tab.11[[#This Row],[b88]],$Z$1,$AA$1,FALSE))</f>
        <v>0.67300678590721374</v>
      </c>
      <c r="AB15" s="74">
        <f>IF(Tab.11[[#This Row],[a1]]=1,IF($A$3=0,FALSE,1/Tab.11[[#This Row],[IN]]*$AC$2*IF(Tab.11[[#This Row],[a1]]=0,,$A$3*$AC$1*1/$V$3*(Tab.11[[#This Row],[b14]]))))</f>
        <v>0.98373769279092005</v>
      </c>
      <c r="AC15" s="155">
        <f>IF(Tab.11[[#This Row],[a1]]=1,IF($AC$3=0,Tab.11[[#This Row],[φ1]],Tab.11[[#This Row],[φ1]]/MAX(Tab.11[φ1])))</f>
        <v>0.96474464881887778</v>
      </c>
      <c r="AD15" s="74">
        <f>IF(Tab.11[[#This Row],[a1]]=1,1/Tab.11[[#This Row],[φ2]])</f>
        <v>1.0365437126023811</v>
      </c>
      <c r="AE15" s="74">
        <f>IF(Tab.11[[#This Row],[a1]]=1,IF($AE$3=0,Tab.11[[#This Row],[w.0]],Tab.11[[#This Row],[w.0]]/SUM(Tab.11[w.0])))</f>
        <v>1.5275647290024683E-3</v>
      </c>
      <c r="AF15" s="76" t="str">
        <f>IF(Tab.11[[#This Row],[a1]]=0,"false",[3]!Tab.x5[[#This Row],[%_seN_C]])</f>
        <v/>
      </c>
      <c r="AG15" s="77">
        <f>IF(Tab.11[[#This Row],[a1]]=1,AP15)</f>
        <v>10</v>
      </c>
      <c r="AH15" s="78">
        <f>IF(Tab.11[[#This Row],[a1]]=1,AQ15)</f>
        <v>10</v>
      </c>
      <c r="AI15" s="41">
        <v>3.0000000000000001E-3</v>
      </c>
      <c r="AJ15" s="79">
        <v>0.02</v>
      </c>
      <c r="AK15" s="80">
        <f>IF(Tab.11[[#This Row],[a1]]=1,1)</f>
        <v>1</v>
      </c>
      <c r="AL15" s="81"/>
      <c r="AM15">
        <v>1</v>
      </c>
      <c r="AN15">
        <f t="shared" si="2"/>
        <v>11</v>
      </c>
      <c r="AO15">
        <f t="shared" si="2"/>
        <v>11</v>
      </c>
      <c r="AP15">
        <v>10</v>
      </c>
      <c r="AQ15">
        <v>10</v>
      </c>
      <c r="AZ15"/>
    </row>
    <row r="16" spans="1:52" x14ac:dyDescent="0.25">
      <c r="A16" s="61">
        <f t="shared" si="0"/>
        <v>1</v>
      </c>
      <c r="B16" s="62">
        <f t="shared" si="0"/>
        <v>12</v>
      </c>
      <c r="C16" s="62" t="str">
        <f>IF(Tab.11[[#This Row],[a1]]=1,[3]!Tab_x1[[#This Row],[Name]])</f>
        <v>hed12</v>
      </c>
      <c r="D16" s="63">
        <f>IF(Tab.11[[#This Row],[a1]]=1,AO16)</f>
        <v>12</v>
      </c>
      <c r="E16" s="63">
        <f t="shared" si="1"/>
        <v>1</v>
      </c>
      <c r="F16" s="64">
        <f>IF(Tab.11[[#This Row],[a1]]=1,Tab.11[[#This Row],[b1]])</f>
        <v>12</v>
      </c>
      <c r="G16" s="65">
        <f>IF(Tab.11[[#This Row],[a1]]=1,IF(Tab.11[[#This Row],[b3]]&gt;$L$989*$G$3,$L$989*$G$3,IF(Tab.11[[#This Row],[b3]]&lt;$M$989*$G$3,$M$989*$G$3,Tab.11[[#This Row],[b3]])))</f>
        <v>12</v>
      </c>
      <c r="H16" s="66">
        <f>IF(Tab.11[[#This Row],[a1]]=1,Tab.11[[#This Row],[b1]])</f>
        <v>12</v>
      </c>
      <c r="I16" s="67">
        <f>IF(Tab.11[[#This Row],[a1]]=1,Tab.11[[#This Row],[b1]])</f>
        <v>12</v>
      </c>
      <c r="J16" s="68">
        <f>IF(Tab.11[[#This Row],[a1]]=1,IF($I$3&lt;0,Tab.11[[#This Row],[b5]]-$I$3,Tab.11[[#This Row],[b5]]))</f>
        <v>12</v>
      </c>
      <c r="K16" s="68">
        <f>IF(Tab.11[[#This Row],[a1]]=1,IF($K$3=0,Tab.11[b6],Tab.11[[#This Row],[b6]]-AVERAGE(Tab.11[b6])))</f>
        <v>2.5</v>
      </c>
      <c r="L16" s="69">
        <f>IF(Tab.11[[#This Row],[a1]]=1,Tab.11[[#This Row],[data]]/(_xlfn.STDEV.P(Tab.11[data])*$B$989)+$A$989)</f>
        <v>0.48186942465242666</v>
      </c>
      <c r="M16" s="69">
        <f>IF(Tab.11[[#This Row],[a1]]=1,Tab.11[[#This Row],[data]]/(_xlfn.STDEV.P(Tab.11[data])*$B$987)-$A$987)</f>
        <v>-1.0362611506951467</v>
      </c>
      <c r="N16" s="69">
        <f>IF(Tab.11[[#This Row],[a1]]=1,Tab.11[[#This Row],[data]]/(_xlfn.STDEV.P(Tab.11[data])*$B$988)+$A$988)</f>
        <v>1.2409347123262133</v>
      </c>
      <c r="O16" s="70">
        <f>IF(Tab.11[[#This Row],[a1]]=1,_xlfn.NORM.DIST(Tab.11[[#This Row],[b8]],$P$1,$Q$1,FALSE))</f>
        <v>0.35521302309689157</v>
      </c>
      <c r="P16" s="70">
        <f>IF(Tab.11[[#This Row],[a1]]=1,_xlfn.NORM.DIST(Tab.11[[#This Row],[b9]],$P$1,$Q$1,FALSE))</f>
        <v>0.23320039762525438</v>
      </c>
      <c r="Q16" s="70">
        <f>IF(Tab.11[[#This Row],[a1]]=1,_xlfn.NORM.DIST(Tab.11[[#This Row],[b10]],$P$1,$Q$1,FALSE))</f>
        <v>0.18472297412735708</v>
      </c>
      <c r="R16" s="67">
        <f>IF(Tab.11[[#This Row],[a1]]=1,$I$3+$A$989+IF($K$3=0,Tab.11[[#This Row],[b8]]*_xlfn.STDEV.P(Tab.11[data]),AVERAGE(Tab.11[b6])+Tab.11[[#This Row],[b8]]*_xlfn.STDEV.P(Tab.11[data])))</f>
        <v>13</v>
      </c>
      <c r="S16" s="71">
        <f>IF(Tab.11[[#This Row],[a1]]=1,$I$3+$A$987+IF($K$3=0,Tab.11[[#This Row],[b9]]*_xlfn.STDEV.P(Tab.11[data]),AVERAGE(Tab.11[b6])+Tab.11[[#This Row],[b9]]*_xlfn.STDEV.P(Tab.11[data])))</f>
        <v>7.1237450558177464</v>
      </c>
      <c r="T16" s="71">
        <f>IF(Tab.11[[#This Row],[a1]]=1,$I$3+$A$988+IF($K$3=0,Tab.11[[#This Row],[b10]]*_xlfn.STDEV.P(Tab.11[data]),AVERAGE(Tab.11[b6])+Tab.11[[#This Row],[b10]]*_xlfn.STDEV.P(Tab.11[data])))</f>
        <v>17.938127472091125</v>
      </c>
      <c r="U16" s="72">
        <f>IF(Tab.11[[#This Row],[a1]]=1,Tab.11[[#This Row],[target]]-Tab.11[[#This Row],[Red]])</f>
        <v>5.8762549441822536</v>
      </c>
      <c r="V16" s="72">
        <f>IF(Tab.11[[#This Row],[a1]]=1,Tab.11[[#This Row],[target]]-Tab.11[[#This Row],[Blue]])</f>
        <v>-4.938127472091125</v>
      </c>
      <c r="W16" s="73">
        <f>IF(Tab.11[[#This Row],[a1]]=1,IF(ABS(Tab.11[[#This Row],[b17]])+ABS(Tab.11[[#This Row],[b18]])&lt;$W$2,$W$2,ABS(Tab.11[[#This Row],[b17]])+ABS(Tab.11[[#This Row],[b18]])))</f>
        <v>10.814382416273379</v>
      </c>
      <c r="X16" s="136">
        <f>IF(Tab.11[[#This Row],[a1]]=1,IF($W$3&lt;0,Tab.11[[#This Row],[IN]]-$I$3,Tab.11[[#This Row],[IN]]))</f>
        <v>10.814382416273379</v>
      </c>
      <c r="Y16" s="136">
        <f>IF(Tab.11[[#This Row],[a1]]=1,IF($X$3=0,Tab.11[b66],Tab.11[[#This Row],[b66]]-AVERAGE(Tab.11[b66])))</f>
        <v>-3.7637494506464204</v>
      </c>
      <c r="Z16" s="135">
        <f>IF(Tab.11[[#This Row],[a1]]=1,Tab.11[[#This Row],[b77]]/(_xlfn.STDEV.P(Tab.11[b77])))</f>
        <v>-0.48502931613773359</v>
      </c>
      <c r="AA16" s="70">
        <f>IF(Tab.11[[#This Row],[a1]]=1,_xlfn.NORM.DIST(Tab.11[[#This Row],[b88]],$Z$1,$AA$1,FALSE))</f>
        <v>0.49842695611384319</v>
      </c>
      <c r="AB16" s="74">
        <f>IF(Tab.11[[#This Row],[a1]]=1,IF($A$3=0,FALSE,1/Tab.11[[#This Row],[IN]]*$AC$2*IF(Tab.11[[#This Row],[a1]]=0,,$A$3*$AC$1*1/$V$3*(Tab.11[[#This Row],[b14]]))))</f>
        <v>0.82960680182242053</v>
      </c>
      <c r="AC16" s="155">
        <f>IF(Tab.11[[#This Row],[a1]]=1,IF($AC$3=0,Tab.11[[#This Row],[φ1]],Tab.11[[#This Row],[φ1]]/MAX(Tab.11[φ1])))</f>
        <v>0.81358956614873623</v>
      </c>
      <c r="AD16" s="74">
        <f>IF(Tab.11[[#This Row],[a1]]=1,1/Tab.11[[#This Row],[φ2]])</f>
        <v>1.2291209740233875</v>
      </c>
      <c r="AE16" s="74">
        <f>IF(Tab.11[[#This Row],[a1]]=1,IF($AE$3=0,Tab.11[[#This Row],[w.0]],Tab.11[[#This Row],[w.0]]/SUM(Tab.11[w.0])))</f>
        <v>1.8113677452940376E-3</v>
      </c>
      <c r="AF16" s="76" t="str">
        <f>IF(Tab.11[[#This Row],[a1]]=0,"false",[3]!Tab.x5[[#This Row],[%_seN_C]])</f>
        <v/>
      </c>
      <c r="AG16" s="77">
        <f>IF(Tab.11[[#This Row],[a1]]=1,AP16)</f>
        <v>10</v>
      </c>
      <c r="AH16" s="78">
        <f>IF(Tab.11[[#This Row],[a1]]=1,AQ16)</f>
        <v>10</v>
      </c>
      <c r="AI16" s="41">
        <v>3.0000000000000001E-3</v>
      </c>
      <c r="AJ16" s="79">
        <v>0.02</v>
      </c>
      <c r="AK16" s="80">
        <f>IF(Tab.11[[#This Row],[a1]]=1,1)</f>
        <v>1</v>
      </c>
      <c r="AM16">
        <v>1</v>
      </c>
      <c r="AN16">
        <f t="shared" si="2"/>
        <v>12</v>
      </c>
      <c r="AO16">
        <f t="shared" si="2"/>
        <v>12</v>
      </c>
      <c r="AP16">
        <v>10</v>
      </c>
      <c r="AQ16">
        <v>10</v>
      </c>
      <c r="AZ16"/>
    </row>
    <row r="17" spans="1:52" x14ac:dyDescent="0.25">
      <c r="A17" s="61">
        <f t="shared" si="0"/>
        <v>1</v>
      </c>
      <c r="B17" s="62">
        <f t="shared" si="0"/>
        <v>13</v>
      </c>
      <c r="C17" s="62" t="str">
        <f>IF(Tab.11[[#This Row],[a1]]=1,[3]!Tab_x1[[#This Row],[Name]])</f>
        <v>hed13</v>
      </c>
      <c r="D17" s="63">
        <f>IF(Tab.11[[#This Row],[a1]]=1,AO17)</f>
        <v>13</v>
      </c>
      <c r="E17" s="63">
        <f t="shared" si="1"/>
        <v>1</v>
      </c>
      <c r="F17" s="64">
        <f>IF(Tab.11[[#This Row],[a1]]=1,Tab.11[[#This Row],[b1]])</f>
        <v>13</v>
      </c>
      <c r="G17" s="65">
        <f>IF(Tab.11[[#This Row],[a1]]=1,IF(Tab.11[[#This Row],[b3]]&gt;$L$989*$G$3,$L$989*$G$3,IF(Tab.11[[#This Row],[b3]]&lt;$M$989*$G$3,$M$989*$G$3,Tab.11[[#This Row],[b3]])))</f>
        <v>13</v>
      </c>
      <c r="H17" s="66">
        <f>IF(Tab.11[[#This Row],[a1]]=1,Tab.11[[#This Row],[b1]])</f>
        <v>13</v>
      </c>
      <c r="I17" s="67">
        <f>IF(Tab.11[[#This Row],[a1]]=1,Tab.11[[#This Row],[b1]])</f>
        <v>13</v>
      </c>
      <c r="J17" s="68">
        <f>IF(Tab.11[[#This Row],[a1]]=1,IF($I$3&lt;0,Tab.11[[#This Row],[b5]]-$I$3,Tab.11[[#This Row],[b5]]))</f>
        <v>13</v>
      </c>
      <c r="K17" s="68">
        <f>IF(Tab.11[[#This Row],[a1]]=1,IF($K$3=0,Tab.11[b6],Tab.11[[#This Row],[b6]]-AVERAGE(Tab.11[b6])))</f>
        <v>3.5</v>
      </c>
      <c r="L17" s="69">
        <f>IF(Tab.11[[#This Row],[a1]]=1,Tab.11[[#This Row],[data]]/(_xlfn.STDEV.P(Tab.11[data])*$B$989)+$A$989)</f>
        <v>0.6746171945133973</v>
      </c>
      <c r="M17" s="69">
        <f>IF(Tab.11[[#This Row],[a1]]=1,Tab.11[[#This Row],[data]]/(_xlfn.STDEV.P(Tab.11[data])*$B$987)-$A$987)</f>
        <v>-0.6507656109732054</v>
      </c>
      <c r="N17" s="69">
        <f>IF(Tab.11[[#This Row],[a1]]=1,Tab.11[[#This Row],[data]]/(_xlfn.STDEV.P(Tab.11[data])*$B$988)+$A$988)</f>
        <v>1.3373085972566987</v>
      </c>
      <c r="O17" s="70">
        <f>IF(Tab.11[[#This Row],[a1]]=1,_xlfn.NORM.DIST(Tab.11[[#This Row],[b8]],$P$1,$Q$1,FALSE))</f>
        <v>0.31774925523978276</v>
      </c>
      <c r="P17" s="70">
        <f>IF(Tab.11[[#This Row],[a1]]=1,_xlfn.NORM.DIST(Tab.11[[#This Row],[b9]],$P$1,$Q$1,FALSE))</f>
        <v>0.32281157877541444</v>
      </c>
      <c r="Q17" s="70">
        <f>IF(Tab.11[[#This Row],[a1]]=1,_xlfn.NORM.DIST(Tab.11[[#This Row],[b10]],$P$1,$Q$1,FALSE))</f>
        <v>0.16314177428059479</v>
      </c>
      <c r="R17" s="67">
        <f>IF(Tab.11[[#This Row],[a1]]=1,$I$3+$A$989+IF($K$3=0,Tab.11[[#This Row],[b8]]*_xlfn.STDEV.P(Tab.11[data]),AVERAGE(Tab.11[b6])+Tab.11[[#This Row],[b8]]*_xlfn.STDEV.P(Tab.11[data])))</f>
        <v>14</v>
      </c>
      <c r="S17" s="71">
        <f>IF(Tab.11[[#This Row],[a1]]=1,$I$3+$A$987+IF($K$3=0,Tab.11[[#This Row],[b9]]*_xlfn.STDEV.P(Tab.11[data]),AVERAGE(Tab.11[b6])+Tab.11[[#This Row],[b9]]*_xlfn.STDEV.P(Tab.11[data])))</f>
        <v>9.1237450558177464</v>
      </c>
      <c r="T17" s="71">
        <f>IF(Tab.11[[#This Row],[a1]]=1,$I$3+$A$988+IF($K$3=0,Tab.11[[#This Row],[b10]]*_xlfn.STDEV.P(Tab.11[data]),AVERAGE(Tab.11[b6])+Tab.11[[#This Row],[b10]]*_xlfn.STDEV.P(Tab.11[data])))</f>
        <v>18.438127472091125</v>
      </c>
      <c r="U17" s="72">
        <f>IF(Tab.11[[#This Row],[a1]]=1,Tab.11[[#This Row],[target]]-Tab.11[[#This Row],[Red]])</f>
        <v>4.8762549441822536</v>
      </c>
      <c r="V17" s="72">
        <f>IF(Tab.11[[#This Row],[a1]]=1,Tab.11[[#This Row],[target]]-Tab.11[[#This Row],[Blue]])</f>
        <v>-4.438127472091125</v>
      </c>
      <c r="W17" s="73">
        <f>IF(Tab.11[[#This Row],[a1]]=1,IF(ABS(Tab.11[[#This Row],[b17]])+ABS(Tab.11[[#This Row],[b18]])&lt;$W$2,$W$2,ABS(Tab.11[[#This Row],[b17]])+ABS(Tab.11[[#This Row],[b18]])))</f>
        <v>9.3143824162733786</v>
      </c>
      <c r="X17" s="136">
        <f>IF(Tab.11[[#This Row],[a1]]=1,IF($W$3&lt;0,Tab.11[[#This Row],[IN]]-$I$3,Tab.11[[#This Row],[IN]]))</f>
        <v>9.3143824162733786</v>
      </c>
      <c r="Y17" s="136">
        <f>IF(Tab.11[[#This Row],[a1]]=1,IF($X$3=0,Tab.11[b66],Tab.11[[#This Row],[b66]]-AVERAGE(Tab.11[b66])))</f>
        <v>-5.2637494506464204</v>
      </c>
      <c r="Z17" s="135">
        <f>IF(Tab.11[[#This Row],[a1]]=1,Tab.11[[#This Row],[b77]]/(_xlfn.STDEV.P(Tab.11[b77])))</f>
        <v>-0.67833229332757961</v>
      </c>
      <c r="AA17" s="70">
        <f>IF(Tab.11[[#This Row],[a1]]=1,_xlfn.NORM.DIST(Tab.11[[#This Row],[b88]],$Z$1,$AA$1,FALSE))</f>
        <v>0.3178865397881373</v>
      </c>
      <c r="AB17" s="74">
        <f>IF(Tab.11[[#This Row],[a1]]=1,IF($A$3=0,FALSE,1/Tab.11[[#This Row],[IN]]*$AC$2*IF(Tab.11[[#This Row],[a1]]=0,,$A$3*$AC$1*1/$V$3*(Tab.11[[#This Row],[b14]]))))</f>
        <v>0.6143142358198117</v>
      </c>
      <c r="AC17" s="155">
        <f>IF(Tab.11[[#This Row],[a1]]=1,IF($AC$3=0,Tab.11[[#This Row],[φ1]],Tab.11[[#This Row],[φ1]]/MAX(Tab.11[φ1])))</f>
        <v>0.60245365816879659</v>
      </c>
      <c r="AD17" s="74">
        <f>IF(Tab.11[[#This Row],[a1]]=1,1/Tab.11[[#This Row],[φ2]])</f>
        <v>1.659878708413151</v>
      </c>
      <c r="AE17" s="74">
        <f>IF(Tab.11[[#This Row],[a1]]=1,IF($AE$3=0,Tab.11[[#This Row],[w.0]],Tab.11[[#This Row],[w.0]]/SUM(Tab.11[w.0])))</f>
        <v>2.4461796821170331E-3</v>
      </c>
      <c r="AF17" s="76" t="str">
        <f>IF(Tab.11[[#This Row],[a1]]=0,"false",[3]!Tab.x5[[#This Row],[%_seN_C]])</f>
        <v/>
      </c>
      <c r="AG17" s="77">
        <f>IF(Tab.11[[#This Row],[a1]]=1,AP17)</f>
        <v>10</v>
      </c>
      <c r="AH17" s="78">
        <f>IF(Tab.11[[#This Row],[a1]]=1,AQ17)</f>
        <v>10</v>
      </c>
      <c r="AI17" s="41">
        <v>3.0000000000000001E-3</v>
      </c>
      <c r="AJ17" s="79">
        <v>0.1</v>
      </c>
      <c r="AK17" s="80">
        <f>IF(Tab.11[[#This Row],[a1]]=1,1)</f>
        <v>1</v>
      </c>
      <c r="AM17">
        <v>1</v>
      </c>
      <c r="AN17">
        <f t="shared" si="2"/>
        <v>13</v>
      </c>
      <c r="AO17">
        <f t="shared" si="2"/>
        <v>13</v>
      </c>
      <c r="AP17">
        <v>10</v>
      </c>
      <c r="AQ17">
        <v>10</v>
      </c>
      <c r="AZ17"/>
    </row>
    <row r="18" spans="1:52" x14ac:dyDescent="0.25">
      <c r="A18" s="61">
        <f t="shared" si="0"/>
        <v>1</v>
      </c>
      <c r="B18" s="62">
        <f t="shared" si="0"/>
        <v>14</v>
      </c>
      <c r="C18" s="62" t="str">
        <f>IF(Tab.11[[#This Row],[a1]]=1,[3]!Tab_x1[[#This Row],[Name]])</f>
        <v>hed14</v>
      </c>
      <c r="D18" s="63">
        <f>IF(Tab.11[[#This Row],[a1]]=1,AO18)</f>
        <v>14</v>
      </c>
      <c r="E18" s="63">
        <f t="shared" si="1"/>
        <v>1</v>
      </c>
      <c r="F18" s="64">
        <f>IF(Tab.11[[#This Row],[a1]]=1,Tab.11[[#This Row],[b1]])</f>
        <v>14</v>
      </c>
      <c r="G18" s="65">
        <f>IF(Tab.11[[#This Row],[a1]]=1,IF(Tab.11[[#This Row],[b3]]&gt;$L$989*$G$3,$L$989*$G$3,IF(Tab.11[[#This Row],[b3]]&lt;$M$989*$G$3,$M$989*$G$3,Tab.11[[#This Row],[b3]])))</f>
        <v>14</v>
      </c>
      <c r="H18" s="66">
        <f>IF(Tab.11[[#This Row],[a1]]=1,Tab.11[[#This Row],[b1]])</f>
        <v>14</v>
      </c>
      <c r="I18" s="67">
        <f>IF(Tab.11[[#This Row],[a1]]=1,Tab.11[[#This Row],[b1]])</f>
        <v>14</v>
      </c>
      <c r="J18" s="68">
        <f>IF(Tab.11[[#This Row],[a1]]=1,IF($I$3&lt;0,Tab.11[[#This Row],[b5]]-$I$3,Tab.11[[#This Row],[b5]]))</f>
        <v>14</v>
      </c>
      <c r="K18" s="68">
        <f>IF(Tab.11[[#This Row],[a1]]=1,IF($K$3=0,Tab.11[b6],Tab.11[[#This Row],[b6]]-AVERAGE(Tab.11[b6])))</f>
        <v>4.5</v>
      </c>
      <c r="L18" s="69">
        <f>IF(Tab.11[[#This Row],[a1]]=1,Tab.11[[#This Row],[data]]/(_xlfn.STDEV.P(Tab.11[data])*$B$989)+$A$989)</f>
        <v>0.86736496437436794</v>
      </c>
      <c r="M18" s="69">
        <f>IF(Tab.11[[#This Row],[a1]]=1,Tab.11[[#This Row],[data]]/(_xlfn.STDEV.P(Tab.11[data])*$B$987)-$A$987)</f>
        <v>-0.26527007125126412</v>
      </c>
      <c r="N18" s="69">
        <f>IF(Tab.11[[#This Row],[a1]]=1,Tab.11[[#This Row],[data]]/(_xlfn.STDEV.P(Tab.11[data])*$B$988)+$A$988)</f>
        <v>1.4336824821871841</v>
      </c>
      <c r="O18" s="70">
        <f>IF(Tab.11[[#This Row],[a1]]=1,_xlfn.NORM.DIST(Tab.11[[#This Row],[b8]],$P$1,$Q$1,FALSE))</f>
        <v>0.27387060629963422</v>
      </c>
      <c r="P18" s="70">
        <f>IF(Tab.11[[#This Row],[a1]]=1,_xlfn.NORM.DIST(Tab.11[[#This Row],[b9]],$P$1,$Q$1,FALSE))</f>
        <v>0.3851499120424049</v>
      </c>
      <c r="Q18" s="70">
        <f>IF(Tab.11[[#This Row],[a1]]=1,_xlfn.NORM.DIST(Tab.11[[#This Row],[b10]],$P$1,$Q$1,FALSE))</f>
        <v>0.14274988114299375</v>
      </c>
      <c r="R18" s="67">
        <f>IF(Tab.11[[#This Row],[a1]]=1,$I$3+$A$989+IF($K$3=0,Tab.11[[#This Row],[b8]]*_xlfn.STDEV.P(Tab.11[data]),AVERAGE(Tab.11[b6])+Tab.11[[#This Row],[b8]]*_xlfn.STDEV.P(Tab.11[data])))</f>
        <v>15</v>
      </c>
      <c r="S18" s="71">
        <f>IF(Tab.11[[#This Row],[a1]]=1,$I$3+$A$987+IF($K$3=0,Tab.11[[#This Row],[b9]]*_xlfn.STDEV.P(Tab.11[data]),AVERAGE(Tab.11[b6])+Tab.11[[#This Row],[b9]]*_xlfn.STDEV.P(Tab.11[data])))</f>
        <v>11.123745055817746</v>
      </c>
      <c r="T18" s="71">
        <f>IF(Tab.11[[#This Row],[a1]]=1,$I$3+$A$988+IF($K$3=0,Tab.11[[#This Row],[b10]]*_xlfn.STDEV.P(Tab.11[data]),AVERAGE(Tab.11[b6])+Tab.11[[#This Row],[b10]]*_xlfn.STDEV.P(Tab.11[data])))</f>
        <v>18.938127472091129</v>
      </c>
      <c r="U18" s="72">
        <f>IF(Tab.11[[#This Row],[a1]]=1,Tab.11[[#This Row],[target]]-Tab.11[[#This Row],[Red]])</f>
        <v>3.8762549441822536</v>
      </c>
      <c r="V18" s="72">
        <f>IF(Tab.11[[#This Row],[a1]]=1,Tab.11[[#This Row],[target]]-Tab.11[[#This Row],[Blue]])</f>
        <v>-3.9381274720911286</v>
      </c>
      <c r="W18" s="73">
        <f>IF(Tab.11[[#This Row],[a1]]=1,IF(ABS(Tab.11[[#This Row],[b17]])+ABS(Tab.11[[#This Row],[b18]])&lt;$W$2,$W$2,ABS(Tab.11[[#This Row],[b17]])+ABS(Tab.11[[#This Row],[b18]])))</f>
        <v>7.8143824162733821</v>
      </c>
      <c r="X18" s="136">
        <f>IF(Tab.11[[#This Row],[a1]]=1,IF($W$3&lt;0,Tab.11[[#This Row],[IN]]-$I$3,Tab.11[[#This Row],[IN]]))</f>
        <v>7.8143824162733821</v>
      </c>
      <c r="Y18" s="136">
        <f>IF(Tab.11[[#This Row],[a1]]=1,IF($X$3=0,Tab.11[b66],Tab.11[[#This Row],[b66]]-AVERAGE(Tab.11[b66])))</f>
        <v>-6.7637494506464169</v>
      </c>
      <c r="Z18" s="135">
        <f>IF(Tab.11[[#This Row],[a1]]=1,Tab.11[[#This Row],[b77]]/(_xlfn.STDEV.P(Tab.11[b77])))</f>
        <v>-0.87163527051742506</v>
      </c>
      <c r="AA18" s="70">
        <f>IF(Tab.11[[#This Row],[a1]]=1,_xlfn.NORM.DIST(Tab.11[[#This Row],[b88]],$Z$1,$AA$1,FALSE))</f>
        <v>0.17459479582982435</v>
      </c>
      <c r="AB18" s="74">
        <f>IF(Tab.11[[#This Row],[a1]]=1,IF($A$3=0,FALSE,1/Tab.11[[#This Row],[IN]]*$AC$2*IF(Tab.11[[#This Row],[a1]]=0,,$A$3*$AC$1*1/$V$3*(Tab.11[[#This Row],[b14]]))))</f>
        <v>0.40216950713752891</v>
      </c>
      <c r="AC18" s="155">
        <f>IF(Tab.11[[#This Row],[a1]]=1,IF($AC$3=0,Tab.11[[#This Row],[φ1]],Tab.11[[#This Row],[φ1]]/MAX(Tab.11[φ1])))</f>
        <v>0.39440481214896239</v>
      </c>
      <c r="AD18" s="74">
        <f>IF(Tab.11[[#This Row],[a1]]=1,1/Tab.11[[#This Row],[φ2]])</f>
        <v>2.5354660217033835</v>
      </c>
      <c r="AE18" s="74">
        <f>IF(Tab.11[[#This Row],[a1]]=1,IF($AE$3=0,Tab.11[[#This Row],[w.0]],Tab.11[[#This Row],[w.0]]/SUM(Tab.11[w.0])))</f>
        <v>3.7365413723019852E-3</v>
      </c>
      <c r="AF18" s="76" t="str">
        <f>IF(Tab.11[[#This Row],[a1]]=0,"false",[3]!Tab.x5[[#This Row],[%_seN_C]])</f>
        <v/>
      </c>
      <c r="AG18" s="77">
        <f>IF(Tab.11[[#This Row],[a1]]=1,AP18)</f>
        <v>10</v>
      </c>
      <c r="AH18" s="78">
        <f>IF(Tab.11[[#This Row],[a1]]=1,AQ18)</f>
        <v>10</v>
      </c>
      <c r="AI18" s="41">
        <v>3.0000000000000001E-3</v>
      </c>
      <c r="AJ18" s="79">
        <v>-0.03</v>
      </c>
      <c r="AK18" s="80">
        <f>IF(Tab.11[[#This Row],[a1]]=1,1)</f>
        <v>1</v>
      </c>
      <c r="AM18">
        <v>1</v>
      </c>
      <c r="AN18">
        <f t="shared" si="2"/>
        <v>14</v>
      </c>
      <c r="AO18">
        <f t="shared" si="2"/>
        <v>14</v>
      </c>
      <c r="AP18">
        <v>10</v>
      </c>
      <c r="AQ18">
        <v>10</v>
      </c>
      <c r="AZ18"/>
    </row>
    <row r="19" spans="1:52" x14ac:dyDescent="0.25">
      <c r="A19" s="61">
        <f t="shared" si="0"/>
        <v>1</v>
      </c>
      <c r="B19" s="62">
        <f t="shared" si="0"/>
        <v>15</v>
      </c>
      <c r="C19" s="62" t="str">
        <f>IF(Tab.11[[#This Row],[a1]]=1,[3]!Tab_x1[[#This Row],[Name]])</f>
        <v>hed15</v>
      </c>
      <c r="D19" s="63">
        <f>IF(Tab.11[[#This Row],[a1]]=1,AO19)</f>
        <v>15</v>
      </c>
      <c r="E19" s="63">
        <f t="shared" si="1"/>
        <v>1</v>
      </c>
      <c r="F19" s="64">
        <f>IF(Tab.11[[#This Row],[a1]]=1,Tab.11[[#This Row],[b1]])</f>
        <v>15</v>
      </c>
      <c r="G19" s="65">
        <f>IF(Tab.11[[#This Row],[a1]]=1,IF(Tab.11[[#This Row],[b3]]&gt;$L$989*$G$3,$L$989*$G$3,IF(Tab.11[[#This Row],[b3]]&lt;$M$989*$G$3,$M$989*$G$3,Tab.11[[#This Row],[b3]])))</f>
        <v>15</v>
      </c>
      <c r="H19" s="66">
        <f>IF(Tab.11[[#This Row],[a1]]=1,Tab.11[[#This Row],[b1]])</f>
        <v>15</v>
      </c>
      <c r="I19" s="67">
        <f>IF(Tab.11[[#This Row],[a1]]=1,Tab.11[[#This Row],[b1]])</f>
        <v>15</v>
      </c>
      <c r="J19" s="68">
        <f>IF(Tab.11[[#This Row],[a1]]=1,IF($I$3&lt;0,Tab.11[[#This Row],[b5]]-$I$3,Tab.11[[#This Row],[b5]]))</f>
        <v>15</v>
      </c>
      <c r="K19" s="68">
        <f>IF(Tab.11[[#This Row],[a1]]=1,IF($K$3=0,Tab.11[b6],Tab.11[[#This Row],[b6]]-AVERAGE(Tab.11[b6])))</f>
        <v>5.5</v>
      </c>
      <c r="L19" s="69">
        <f>IF(Tab.11[[#This Row],[a1]]=1,Tab.11[[#This Row],[data]]/(_xlfn.STDEV.P(Tab.11[data])*$B$989)+$A$989)</f>
        <v>1.0601127342353387</v>
      </c>
      <c r="M19" s="69">
        <f>IF(Tab.11[[#This Row],[a1]]=1,Tab.11[[#This Row],[data]]/(_xlfn.STDEV.P(Tab.11[data])*$B$987)-$A$987)</f>
        <v>0.12022546847067739</v>
      </c>
      <c r="N19" s="69">
        <f>IF(Tab.11[[#This Row],[a1]]=1,Tab.11[[#This Row],[data]]/(_xlfn.STDEV.P(Tab.11[data])*$B$988)+$A$988)</f>
        <v>1.5300563671176692</v>
      </c>
      <c r="O19" s="70">
        <f>IF(Tab.11[[#This Row],[a1]]=1,_xlfn.NORM.DIST(Tab.11[[#This Row],[b8]],$P$1,$Q$1,FALSE))</f>
        <v>0.22744245040416985</v>
      </c>
      <c r="P19" s="70">
        <f>IF(Tab.11[[#This Row],[a1]]=1,_xlfn.NORM.DIST(Tab.11[[#This Row],[b9]],$P$1,$Q$1,FALSE))</f>
        <v>0.39606948543937309</v>
      </c>
      <c r="Q19" s="70">
        <f>IF(Tab.11[[#This Row],[a1]]=1,_xlfn.NORM.DIST(Tab.11[[#This Row],[b10]],$P$1,$Q$1,FALSE))</f>
        <v>0.1237521162730333</v>
      </c>
      <c r="R19" s="67">
        <f>IF(Tab.11[[#This Row],[a1]]=1,$I$3+$A$989+IF($K$3=0,Tab.11[[#This Row],[b8]]*_xlfn.STDEV.P(Tab.11[data]),AVERAGE(Tab.11[b6])+Tab.11[[#This Row],[b8]]*_xlfn.STDEV.P(Tab.11[data])))</f>
        <v>16</v>
      </c>
      <c r="S19" s="71">
        <f>IF(Tab.11[[#This Row],[a1]]=1,$I$3+$A$987+IF($K$3=0,Tab.11[[#This Row],[b9]]*_xlfn.STDEV.P(Tab.11[data]),AVERAGE(Tab.11[b6])+Tab.11[[#This Row],[b9]]*_xlfn.STDEV.P(Tab.11[data])))</f>
        <v>13.123745055817746</v>
      </c>
      <c r="T19" s="71">
        <f>IF(Tab.11[[#This Row],[a1]]=1,$I$3+$A$988+IF($K$3=0,Tab.11[[#This Row],[b10]]*_xlfn.STDEV.P(Tab.11[data]),AVERAGE(Tab.11[b6])+Tab.11[[#This Row],[b10]]*_xlfn.STDEV.P(Tab.11[data])))</f>
        <v>19.438127472091125</v>
      </c>
      <c r="U19" s="72">
        <f>IF(Tab.11[[#This Row],[a1]]=1,Tab.11[[#This Row],[target]]-Tab.11[[#This Row],[Red]])</f>
        <v>2.8762549441822536</v>
      </c>
      <c r="V19" s="72">
        <f>IF(Tab.11[[#This Row],[a1]]=1,Tab.11[[#This Row],[target]]-Tab.11[[#This Row],[Blue]])</f>
        <v>-3.438127472091125</v>
      </c>
      <c r="W19" s="73">
        <f>IF(Tab.11[[#This Row],[a1]]=1,IF(ABS(Tab.11[[#This Row],[b17]])+ABS(Tab.11[[#This Row],[b18]])&lt;$W$2,$W$2,ABS(Tab.11[[#This Row],[b17]])+ABS(Tab.11[[#This Row],[b18]])))</f>
        <v>6.3143824162733786</v>
      </c>
      <c r="X19" s="136">
        <f>IF(Tab.11[[#This Row],[a1]]=1,IF($W$3&lt;0,Tab.11[[#This Row],[IN]]-$I$3,Tab.11[[#This Row],[IN]]))</f>
        <v>6.3143824162733786</v>
      </c>
      <c r="Y19" s="136">
        <f>IF(Tab.11[[#This Row],[a1]]=1,IF($X$3=0,Tab.11[b66],Tab.11[[#This Row],[b66]]-AVERAGE(Tab.11[b66])))</f>
        <v>-8.2637494506464204</v>
      </c>
      <c r="Z19" s="135">
        <f>IF(Tab.11[[#This Row],[a1]]=1,Tab.11[[#This Row],[b77]]/(_xlfn.STDEV.P(Tab.11[b77])))</f>
        <v>-1.0649382477072715</v>
      </c>
      <c r="AA19" s="70">
        <f>IF(Tab.11[[#This Row],[a1]]=1,_xlfn.NORM.DIST(Tab.11[[#This Row],[b88]],$Z$1,$AA$1,FALSE))</f>
        <v>8.2580781459872341E-2</v>
      </c>
      <c r="AB19" s="74">
        <f>IF(Tab.11[[#This Row],[a1]]=1,IF($A$3=0,FALSE,1/Tab.11[[#This Row],[IN]]*$AC$2*IF(Tab.11[[#This Row],[a1]]=0,,$A$3*$AC$1*1/$V$3*(Tab.11[[#This Row],[b14]]))))</f>
        <v>0.23540767224468762</v>
      </c>
      <c r="AC19" s="155">
        <f>IF(Tab.11[[#This Row],[a1]]=1,IF($AC$3=0,Tab.11[[#This Row],[φ1]],Tab.11[[#This Row],[φ1]]/MAX(Tab.11[φ1])))</f>
        <v>0.23086265144995252</v>
      </c>
      <c r="AD19" s="74">
        <f>IF(Tab.11[[#This Row],[a1]]=1,1/Tab.11[[#This Row],[φ2]])</f>
        <v>4.3315798104172112</v>
      </c>
      <c r="AE19" s="74">
        <f>IF(Tab.11[[#This Row],[a1]]=1,IF($AE$3=0,Tab.11[[#This Row],[w.0]],Tab.11[[#This Row],[w.0]]/SUM(Tab.11[w.0])))</f>
        <v>6.383492040716982E-3</v>
      </c>
      <c r="AF19" s="76" t="str">
        <f>IF(Tab.11[[#This Row],[a1]]=0,"false",[3]!Tab.x5[[#This Row],[%_seN_C]])</f>
        <v/>
      </c>
      <c r="AG19" s="77">
        <f>IF(Tab.11[[#This Row],[a1]]=1,AP19)</f>
        <v>10</v>
      </c>
      <c r="AH19" s="78">
        <f>IF(Tab.11[[#This Row],[a1]]=1,AQ19)</f>
        <v>10</v>
      </c>
      <c r="AI19" s="41">
        <v>3.0000000000000001E-3</v>
      </c>
      <c r="AJ19" s="79">
        <v>-7.0000000000000007E-2</v>
      </c>
      <c r="AK19" s="80">
        <f>IF(Tab.11[[#This Row],[a1]]=1,1)</f>
        <v>1</v>
      </c>
      <c r="AM19">
        <v>1</v>
      </c>
      <c r="AN19">
        <f t="shared" si="2"/>
        <v>15</v>
      </c>
      <c r="AO19">
        <f t="shared" si="2"/>
        <v>15</v>
      </c>
      <c r="AP19">
        <v>10</v>
      </c>
      <c r="AQ19">
        <v>10</v>
      </c>
      <c r="AZ19"/>
    </row>
    <row r="20" spans="1:52" x14ac:dyDescent="0.25">
      <c r="A20" s="61">
        <f t="shared" si="0"/>
        <v>1</v>
      </c>
      <c r="B20" s="62">
        <f t="shared" si="0"/>
        <v>16</v>
      </c>
      <c r="C20" s="62" t="str">
        <f>IF(Tab.11[[#This Row],[a1]]=1,[3]!Tab_x1[[#This Row],[Name]])</f>
        <v>hed16</v>
      </c>
      <c r="D20" s="63">
        <f>IF(Tab.11[[#This Row],[a1]]=1,AO20)</f>
        <v>16</v>
      </c>
      <c r="E20" s="63">
        <f t="shared" si="1"/>
        <v>1</v>
      </c>
      <c r="F20" s="64">
        <f>IF(Tab.11[[#This Row],[a1]]=1,Tab.11[[#This Row],[b1]])</f>
        <v>16</v>
      </c>
      <c r="G20" s="65">
        <f>IF(Tab.11[[#This Row],[a1]]=1,IF(Tab.11[[#This Row],[b3]]&gt;$L$989*$G$3,$L$989*$G$3,IF(Tab.11[[#This Row],[b3]]&lt;$M$989*$G$3,$M$989*$G$3,Tab.11[[#This Row],[b3]])))</f>
        <v>16</v>
      </c>
      <c r="H20" s="66">
        <f>IF(Tab.11[[#This Row],[a1]]=1,Tab.11[[#This Row],[b1]])</f>
        <v>16</v>
      </c>
      <c r="I20" s="67">
        <f>IF(Tab.11[[#This Row],[a1]]=1,Tab.11[[#This Row],[b1]])</f>
        <v>16</v>
      </c>
      <c r="J20" s="68">
        <f>IF(Tab.11[[#This Row],[a1]]=1,IF($I$3&lt;0,Tab.11[[#This Row],[b5]]-$I$3,Tab.11[[#This Row],[b5]]))</f>
        <v>16</v>
      </c>
      <c r="K20" s="68">
        <f>IF(Tab.11[[#This Row],[a1]]=1,IF($K$3=0,Tab.11[b6],Tab.11[[#This Row],[b6]]-AVERAGE(Tab.11[b6])))</f>
        <v>6.5</v>
      </c>
      <c r="L20" s="69">
        <f>IF(Tab.11[[#This Row],[a1]]=1,Tab.11[[#This Row],[data]]/(_xlfn.STDEV.P(Tab.11[data])*$B$989)+$A$989)</f>
        <v>1.2528605040963092</v>
      </c>
      <c r="M20" s="69">
        <f>IF(Tab.11[[#This Row],[a1]]=1,Tab.11[[#This Row],[data]]/(_xlfn.STDEV.P(Tab.11[data])*$B$987)-$A$987)</f>
        <v>0.50572100819261845</v>
      </c>
      <c r="N20" s="69">
        <f>IF(Tab.11[[#This Row],[a1]]=1,Tab.11[[#This Row],[data]]/(_xlfn.STDEV.P(Tab.11[data])*$B$988)+$A$988)</f>
        <v>1.6264302520481546</v>
      </c>
      <c r="O20" s="70">
        <f>IF(Tab.11[[#This Row],[a1]]=1,_xlfn.NORM.DIST(Tab.11[[#This Row],[b8]],$P$1,$Q$1,FALSE))</f>
        <v>0.18199642143077829</v>
      </c>
      <c r="P20" s="70">
        <f>IF(Tab.11[[#This Row],[a1]]=1,_xlfn.NORM.DIST(Tab.11[[#This Row],[b9]],$P$1,$Q$1,FALSE))</f>
        <v>0.35105393643366767</v>
      </c>
      <c r="Q20" s="70">
        <f>IF(Tab.11[[#This Row],[a1]]=1,_xlfn.NORM.DIST(Tab.11[[#This Row],[b10]],$P$1,$Q$1,FALSE))</f>
        <v>0.10629083500086016</v>
      </c>
      <c r="R20" s="67">
        <f>IF(Tab.11[[#This Row],[a1]]=1,$I$3+$A$989+IF($K$3=0,Tab.11[[#This Row],[b8]]*_xlfn.STDEV.P(Tab.11[data]),AVERAGE(Tab.11[b6])+Tab.11[[#This Row],[b8]]*_xlfn.STDEV.P(Tab.11[data])))</f>
        <v>17</v>
      </c>
      <c r="S20" s="71">
        <f>IF(Tab.11[[#This Row],[a1]]=1,$I$3+$A$987+IF($K$3=0,Tab.11[[#This Row],[b9]]*_xlfn.STDEV.P(Tab.11[data]),AVERAGE(Tab.11[b6])+Tab.11[[#This Row],[b9]]*_xlfn.STDEV.P(Tab.11[data])))</f>
        <v>15.123745055817746</v>
      </c>
      <c r="T20" s="71">
        <f>IF(Tab.11[[#This Row],[a1]]=1,$I$3+$A$988+IF($K$3=0,Tab.11[[#This Row],[b10]]*_xlfn.STDEV.P(Tab.11[data]),AVERAGE(Tab.11[b6])+Tab.11[[#This Row],[b10]]*_xlfn.STDEV.P(Tab.11[data])))</f>
        <v>19.938127472091125</v>
      </c>
      <c r="U20" s="72">
        <f>IF(Tab.11[[#This Row],[a1]]=1,Tab.11[[#This Row],[target]]-Tab.11[[#This Row],[Red]])</f>
        <v>1.8762549441822536</v>
      </c>
      <c r="V20" s="72">
        <f>IF(Tab.11[[#This Row],[a1]]=1,Tab.11[[#This Row],[target]]-Tab.11[[#This Row],[Blue]])</f>
        <v>-2.938127472091125</v>
      </c>
      <c r="W20" s="73">
        <f>IF(Tab.11[[#This Row],[a1]]=1,IF(ABS(Tab.11[[#This Row],[b17]])+ABS(Tab.11[[#This Row],[b18]])&lt;$W$2,$W$2,ABS(Tab.11[[#This Row],[b17]])+ABS(Tab.11[[#This Row],[b18]])))</f>
        <v>4.8143824162733786</v>
      </c>
      <c r="X20" s="136">
        <f>IF(Tab.11[[#This Row],[a1]]=1,IF($W$3&lt;0,Tab.11[[#This Row],[IN]]-$I$3,Tab.11[[#This Row],[IN]]))</f>
        <v>4.8143824162733786</v>
      </c>
      <c r="Y20" s="136">
        <f>IF(Tab.11[[#This Row],[a1]]=1,IF($X$3=0,Tab.11[b66],Tab.11[[#This Row],[b66]]-AVERAGE(Tab.11[b66])))</f>
        <v>-9.7637494506464204</v>
      </c>
      <c r="Z20" s="135">
        <f>IF(Tab.11[[#This Row],[a1]]=1,Tab.11[[#This Row],[b77]]/(_xlfn.STDEV.P(Tab.11[b77])))</f>
        <v>-1.2582412248971175</v>
      </c>
      <c r="AA20" s="70">
        <f>IF(Tab.11[[#This Row],[a1]]=1,_xlfn.NORM.DIST(Tab.11[[#This Row],[b88]],$Z$1,$AA$1,FALSE))</f>
        <v>3.3636842400810475E-2</v>
      </c>
      <c r="AB20" s="74">
        <f>IF(Tab.11[[#This Row],[a1]]=1,IF($A$3=0,FALSE,1/Tab.11[[#This Row],[IN]]*$AC$2*IF(Tab.11[[#This Row],[a1]]=0,,$A$3*$AC$1*1/$V$3*(Tab.11[[#This Row],[b14]]))))</f>
        <v>0.12576133569448633</v>
      </c>
      <c r="AC20" s="155">
        <f>IF(Tab.11[[#This Row],[a1]]=1,IF($AC$3=0,Tab.11[[#This Row],[φ1]],Tab.11[[#This Row],[φ1]]/MAX(Tab.11[φ1])))</f>
        <v>0.12333325898630249</v>
      </c>
      <c r="AD20" s="74">
        <f>IF(Tab.11[[#This Row],[a1]]=1,1/Tab.11[[#This Row],[φ2]])</f>
        <v>8.1081129957902185</v>
      </c>
      <c r="AE20" s="74">
        <f>IF(Tab.11[[#This Row],[a1]]=1,IF($AE$3=0,Tab.11[[#This Row],[w.0]],Tab.11[[#This Row],[w.0]]/SUM(Tab.11[w.0])))</f>
        <v>1.1949006376238401E-2</v>
      </c>
      <c r="AF20" s="76" t="str">
        <f>IF(Tab.11[[#This Row],[a1]]=0,"false",[3]!Tab.x5[[#This Row],[%_seN_C]])</f>
        <v/>
      </c>
      <c r="AG20" s="77">
        <f>IF(Tab.11[[#This Row],[a1]]=1,AP20)</f>
        <v>10</v>
      </c>
      <c r="AH20" s="78">
        <f>IF(Tab.11[[#This Row],[a1]]=1,AQ20)</f>
        <v>10</v>
      </c>
      <c r="AI20" s="41">
        <v>3.0000000000000001E-3</v>
      </c>
      <c r="AJ20" s="79">
        <v>0.04</v>
      </c>
      <c r="AK20" s="80">
        <f>IF(Tab.11[[#This Row],[a1]]=1,1)</f>
        <v>1</v>
      </c>
      <c r="AL20" s="81"/>
      <c r="AM20">
        <v>1</v>
      </c>
      <c r="AN20">
        <f t="shared" si="2"/>
        <v>16</v>
      </c>
      <c r="AO20">
        <f t="shared" si="2"/>
        <v>16</v>
      </c>
      <c r="AP20">
        <v>10</v>
      </c>
      <c r="AQ20">
        <v>10</v>
      </c>
      <c r="AZ20"/>
    </row>
    <row r="21" spans="1:52" x14ac:dyDescent="0.25">
      <c r="A21" s="61">
        <f t="shared" ref="A21:B84" si="3">AM21</f>
        <v>1</v>
      </c>
      <c r="B21" s="62">
        <f t="shared" si="3"/>
        <v>17</v>
      </c>
      <c r="C21" s="62" t="str">
        <f>IF(Tab.11[[#This Row],[a1]]=1,[3]!Tab_x1[[#This Row],[Name]])</f>
        <v>hed17</v>
      </c>
      <c r="D21" s="63">
        <f>IF(Tab.11[[#This Row],[a1]]=1,AO21)</f>
        <v>17</v>
      </c>
      <c r="E21" s="63">
        <f t="shared" si="1"/>
        <v>1</v>
      </c>
      <c r="F21" s="64">
        <f>IF(Tab.11[[#This Row],[a1]]=1,Tab.11[[#This Row],[b1]])</f>
        <v>17</v>
      </c>
      <c r="G21" s="65">
        <f>IF(Tab.11[[#This Row],[a1]]=1,IF(Tab.11[[#This Row],[b3]]&gt;$L$989*$G$3,$L$989*$G$3,IF(Tab.11[[#This Row],[b3]]&lt;$M$989*$G$3,$M$989*$G$3,Tab.11[[#This Row],[b3]])))</f>
        <v>17</v>
      </c>
      <c r="H21" s="66">
        <f>IF(Tab.11[[#This Row],[a1]]=1,Tab.11[[#This Row],[b1]])</f>
        <v>17</v>
      </c>
      <c r="I21" s="67">
        <f>IF(Tab.11[[#This Row],[a1]]=1,Tab.11[[#This Row],[b1]])</f>
        <v>17</v>
      </c>
      <c r="J21" s="68">
        <f>IF(Tab.11[[#This Row],[a1]]=1,IF($I$3&lt;0,Tab.11[[#This Row],[b5]]-$I$3,Tab.11[[#This Row],[b5]]))</f>
        <v>17</v>
      </c>
      <c r="K21" s="68">
        <f>IF(Tab.11[[#This Row],[a1]]=1,IF($K$3=0,Tab.11[b6],Tab.11[[#This Row],[b6]]-AVERAGE(Tab.11[b6])))</f>
        <v>7.5</v>
      </c>
      <c r="L21" s="69">
        <f>IF(Tab.11[[#This Row],[a1]]=1,Tab.11[[#This Row],[data]]/(_xlfn.STDEV.P(Tab.11[data])*$B$989)+$A$989)</f>
        <v>1.44560827395728</v>
      </c>
      <c r="M21" s="69">
        <f>IF(Tab.11[[#This Row],[a1]]=1,Tab.11[[#This Row],[data]]/(_xlfn.STDEV.P(Tab.11[data])*$B$987)-$A$987)</f>
        <v>0.89121654791455995</v>
      </c>
      <c r="N21" s="69">
        <f>IF(Tab.11[[#This Row],[a1]]=1,Tab.11[[#This Row],[data]]/(_xlfn.STDEV.P(Tab.11[data])*$B$988)+$A$988)</f>
        <v>1.72280413697864</v>
      </c>
      <c r="O21" s="70">
        <f>IF(Tab.11[[#This Row],[a1]]=1,_xlfn.NORM.DIST(Tab.11[[#This Row],[b8]],$P$1,$Q$1,FALSE))</f>
        <v>0.1403199405445649</v>
      </c>
      <c r="P21" s="70">
        <f>IF(Tab.11[[#This Row],[a1]]=1,_xlfn.NORM.DIST(Tab.11[[#This Row],[b9]],$P$1,$Q$1,FALSE))</f>
        <v>0.26818667274672037</v>
      </c>
      <c r="Q21" s="70">
        <f>IF(Tab.11[[#This Row],[a1]]=1,_xlfn.NORM.DIST(Tab.11[[#This Row],[b10]],$P$1,$Q$1,FALSE))</f>
        <v>9.0449320428258428E-2</v>
      </c>
      <c r="R21" s="67">
        <f>IF(Tab.11[[#This Row],[a1]]=1,$I$3+$A$989+IF($K$3=0,Tab.11[[#This Row],[b8]]*_xlfn.STDEV.P(Tab.11[data]),AVERAGE(Tab.11[b6])+Tab.11[[#This Row],[b8]]*_xlfn.STDEV.P(Tab.11[data])))</f>
        <v>18</v>
      </c>
      <c r="S21" s="71">
        <f>IF(Tab.11[[#This Row],[a1]]=1,$I$3+$A$987+IF($K$3=0,Tab.11[[#This Row],[b9]]*_xlfn.STDEV.P(Tab.11[data]),AVERAGE(Tab.11[b6])+Tab.11[[#This Row],[b9]]*_xlfn.STDEV.P(Tab.11[data])))</f>
        <v>17.123745055817746</v>
      </c>
      <c r="T21" s="71">
        <f>IF(Tab.11[[#This Row],[a1]]=1,$I$3+$A$988+IF($K$3=0,Tab.11[[#This Row],[b10]]*_xlfn.STDEV.P(Tab.11[data]),AVERAGE(Tab.11[b6])+Tab.11[[#This Row],[b10]]*_xlfn.STDEV.P(Tab.11[data])))</f>
        <v>20.438127472091125</v>
      </c>
      <c r="U21" s="72">
        <f>IF(Tab.11[[#This Row],[a1]]=1,Tab.11[[#This Row],[target]]-Tab.11[[#This Row],[Red]])</f>
        <v>0.87625494418225358</v>
      </c>
      <c r="V21" s="72">
        <f>IF(Tab.11[[#This Row],[a1]]=1,Tab.11[[#This Row],[target]]-Tab.11[[#This Row],[Blue]])</f>
        <v>-2.438127472091125</v>
      </c>
      <c r="W21" s="73">
        <f>IF(Tab.11[[#This Row],[a1]]=1,IF(ABS(Tab.11[[#This Row],[b17]])+ABS(Tab.11[[#This Row],[b18]])&lt;$W$2,$W$2,ABS(Tab.11[[#This Row],[b17]])+ABS(Tab.11[[#This Row],[b18]])))</f>
        <v>3.3143824162733786</v>
      </c>
      <c r="X21" s="136">
        <f>IF(Tab.11[[#This Row],[a1]]=1,IF($W$3&lt;0,Tab.11[[#This Row],[IN]]-$I$3,Tab.11[[#This Row],[IN]]))</f>
        <v>3.3143824162733786</v>
      </c>
      <c r="Y21" s="136">
        <f>IF(Tab.11[[#This Row],[a1]]=1,IF($X$3=0,Tab.11[b66],Tab.11[[#This Row],[b66]]-AVERAGE(Tab.11[b66])))</f>
        <v>-11.26374945064642</v>
      </c>
      <c r="Z21" s="135">
        <f>IF(Tab.11[[#This Row],[a1]]=1,Tab.11[[#This Row],[b77]]/(_xlfn.STDEV.P(Tab.11[b77])))</f>
        <v>-1.4515442020869636</v>
      </c>
      <c r="AA21" s="70">
        <f>IF(Tab.11[[#This Row],[a1]]=1,_xlfn.NORM.DIST(Tab.11[[#This Row],[b88]],$Z$1,$AA$1,FALSE))</f>
        <v>1.1798858448187909E-2</v>
      </c>
      <c r="AB21" s="74">
        <f>IF(Tab.11[[#This Row],[a1]]=1,IF($A$3=0,FALSE,1/Tab.11[[#This Row],[IN]]*$AC$2*IF(Tab.11[[#This Row],[a1]]=0,,$A$3*$AC$1*1/$V$3*(Tab.11[[#This Row],[b14]]))))</f>
        <v>6.4078137460727089E-2</v>
      </c>
      <c r="AC21" s="155">
        <f>IF(Tab.11[[#This Row],[a1]]=1,IF($AC$3=0,Tab.11[[#This Row],[φ1]],Tab.11[[#This Row],[φ1]]/MAX(Tab.11[φ1])))</f>
        <v>6.2840979536051708E-2</v>
      </c>
      <c r="AD21" s="74">
        <f>IF(Tab.11[[#This Row],[a1]]=1,1/Tab.11[[#This Row],[φ2]])</f>
        <v>15.913182884526849</v>
      </c>
      <c r="AE21" s="74">
        <f>IF(Tab.11[[#This Row],[a1]]=1,IF($AE$3=0,Tab.11[[#This Row],[w.0]],Tab.11[[#This Row],[w.0]]/SUM(Tab.11[w.0])))</f>
        <v>2.345141512608229E-2</v>
      </c>
      <c r="AF21" s="76" t="str">
        <f>IF(Tab.11[[#This Row],[a1]]=0,"false",[3]!Tab.x5[[#This Row],[%_seN_C]])</f>
        <v/>
      </c>
      <c r="AG21" s="77">
        <f>IF(Tab.11[[#This Row],[a1]]=1,AP21)</f>
        <v>10</v>
      </c>
      <c r="AH21" s="78">
        <f>IF(Tab.11[[#This Row],[a1]]=1,AQ21)</f>
        <v>10</v>
      </c>
      <c r="AI21" s="41">
        <v>3.0000000000000001E-3</v>
      </c>
      <c r="AJ21" s="79">
        <v>-0.1</v>
      </c>
      <c r="AK21" s="80">
        <f>IF(Tab.11[[#This Row],[a1]]=1,1)</f>
        <v>1</v>
      </c>
      <c r="AM21">
        <v>1</v>
      </c>
      <c r="AN21">
        <f t="shared" si="2"/>
        <v>17</v>
      </c>
      <c r="AO21">
        <f t="shared" si="2"/>
        <v>17</v>
      </c>
      <c r="AP21">
        <v>10</v>
      </c>
      <c r="AQ21">
        <v>10</v>
      </c>
      <c r="AZ21"/>
    </row>
    <row r="22" spans="1:52" x14ac:dyDescent="0.25">
      <c r="A22" s="61">
        <f t="shared" si="3"/>
        <v>1</v>
      </c>
      <c r="B22" s="62">
        <f t="shared" si="3"/>
        <v>18</v>
      </c>
      <c r="C22" s="62" t="str">
        <f>IF(Tab.11[[#This Row],[a1]]=1,[3]!Tab_x1[[#This Row],[Name]])</f>
        <v>hed18</v>
      </c>
      <c r="D22" s="63">
        <f>IF(Tab.11[[#This Row],[a1]]=1,AO22)</f>
        <v>18</v>
      </c>
      <c r="E22" s="63">
        <f t="shared" si="1"/>
        <v>1</v>
      </c>
      <c r="F22" s="64">
        <f>IF(Tab.11[[#This Row],[a1]]=1,Tab.11[[#This Row],[b1]])</f>
        <v>18</v>
      </c>
      <c r="G22" s="65">
        <f>IF(Tab.11[[#This Row],[a1]]=1,IF(Tab.11[[#This Row],[b3]]&gt;$L$989*$G$3,$L$989*$G$3,IF(Tab.11[[#This Row],[b3]]&lt;$M$989*$G$3,$M$989*$G$3,Tab.11[[#This Row],[b3]])))</f>
        <v>17.489999999999998</v>
      </c>
      <c r="H22" s="66">
        <f>IF(Tab.11[[#This Row],[a1]]=1,Tab.11[[#This Row],[b1]])</f>
        <v>18</v>
      </c>
      <c r="I22" s="67">
        <f>IF(Tab.11[[#This Row],[a1]]=1,Tab.11[[#This Row],[b1]])</f>
        <v>18</v>
      </c>
      <c r="J22" s="68">
        <f>IF(Tab.11[[#This Row],[a1]]=1,IF($I$3&lt;0,Tab.11[[#This Row],[b5]]-$I$3,Tab.11[[#This Row],[b5]]))</f>
        <v>18</v>
      </c>
      <c r="K22" s="68">
        <f>IF(Tab.11[[#This Row],[a1]]=1,IF($K$3=0,Tab.11[b6],Tab.11[[#This Row],[b6]]-AVERAGE(Tab.11[b6])))</f>
        <v>8.5</v>
      </c>
      <c r="L22" s="69">
        <f>IF(Tab.11[[#This Row],[a1]]=1,Tab.11[[#This Row],[data]]/(_xlfn.STDEV.P(Tab.11[data])*$B$989)+$A$989)</f>
        <v>1.6383560438182507</v>
      </c>
      <c r="M22" s="69">
        <f>IF(Tab.11[[#This Row],[a1]]=1,Tab.11[[#This Row],[data]]/(_xlfn.STDEV.P(Tab.11[data])*$B$987)-$A$987)</f>
        <v>1.2767120876365015</v>
      </c>
      <c r="N22" s="69">
        <f>IF(Tab.11[[#This Row],[a1]]=1,Tab.11[[#This Row],[data]]/(_xlfn.STDEV.P(Tab.11[data])*$B$988)+$A$988)</f>
        <v>1.8191780219091254</v>
      </c>
      <c r="O22" s="70">
        <f>IF(Tab.11[[#This Row],[a1]]=1,_xlfn.NORM.DIST(Tab.11[[#This Row],[b8]],$P$1,$Q$1,FALSE))</f>
        <v>0.10424162092406511</v>
      </c>
      <c r="P22" s="70">
        <f>IF(Tab.11[[#This Row],[a1]]=1,_xlfn.NORM.DIST(Tab.11[[#This Row],[b9]],$P$1,$Q$1,FALSE))</f>
        <v>0.17658809407333015</v>
      </c>
      <c r="Q22" s="70">
        <f>IF(Tab.11[[#This Row],[a1]]=1,_xlfn.NORM.DIST(Tab.11[[#This Row],[b10]],$P$1,$Q$1,FALSE))</f>
        <v>7.6257243529125357E-2</v>
      </c>
      <c r="R22" s="67">
        <f>IF(Tab.11[[#This Row],[a1]]=1,$I$3+$A$989+IF($K$3=0,Tab.11[[#This Row],[b8]]*_xlfn.STDEV.P(Tab.11[data]),AVERAGE(Tab.11[b6])+Tab.11[[#This Row],[b8]]*_xlfn.STDEV.P(Tab.11[data])))</f>
        <v>19</v>
      </c>
      <c r="S22" s="71">
        <f>IF(Tab.11[[#This Row],[a1]]=1,$I$3+$A$987+IF($K$3=0,Tab.11[[#This Row],[b9]]*_xlfn.STDEV.P(Tab.11[data]),AVERAGE(Tab.11[b6])+Tab.11[[#This Row],[b9]]*_xlfn.STDEV.P(Tab.11[data])))</f>
        <v>19.123745055817746</v>
      </c>
      <c r="T22" s="71">
        <f>IF(Tab.11[[#This Row],[a1]]=1,$I$3+$A$988+IF($K$3=0,Tab.11[[#This Row],[b10]]*_xlfn.STDEV.P(Tab.11[data]),AVERAGE(Tab.11[b6])+Tab.11[[#This Row],[b10]]*_xlfn.STDEV.P(Tab.11[data])))</f>
        <v>20.938127472091125</v>
      </c>
      <c r="U22" s="72">
        <f>IF(Tab.11[[#This Row],[a1]]=1,Tab.11[[#This Row],[target]]-Tab.11[[#This Row],[Red]])</f>
        <v>-0.12374505581774642</v>
      </c>
      <c r="V22" s="72">
        <f>IF(Tab.11[[#This Row],[a1]]=1,Tab.11[[#This Row],[target]]-Tab.11[[#This Row],[Blue]])</f>
        <v>-1.938127472091125</v>
      </c>
      <c r="W22" s="73">
        <f>IF(Tab.11[[#This Row],[a1]]=1,IF(ABS(Tab.11[[#This Row],[b17]])+ABS(Tab.11[[#This Row],[b18]])&lt;$W$2,$W$2,ABS(Tab.11[[#This Row],[b17]])+ABS(Tab.11[[#This Row],[b18]])))</f>
        <v>2.0618725279088714</v>
      </c>
      <c r="X22" s="136">
        <f>IF(Tab.11[[#This Row],[a1]]=1,IF($W$3&lt;0,Tab.11[[#This Row],[IN]]-$I$3,Tab.11[[#This Row],[IN]]))</f>
        <v>2.0618725279088714</v>
      </c>
      <c r="Y22" s="136">
        <f>IF(Tab.11[[#This Row],[a1]]=1,IF($X$3=0,Tab.11[b66],Tab.11[[#This Row],[b66]]-AVERAGE(Tab.11[b66])))</f>
        <v>-12.516259339010928</v>
      </c>
      <c r="Z22" s="135">
        <f>IF(Tab.11[[#This Row],[a1]]=1,Tab.11[[#This Row],[b77]]/(_xlfn.STDEV.P(Tab.11[b77])))</f>
        <v>-1.612953462340684</v>
      </c>
      <c r="AA22" s="70">
        <f>IF(Tab.11[[#This Row],[a1]]=1,_xlfn.NORM.DIST(Tab.11[[#This Row],[b88]],$Z$1,$AA$1,FALSE))</f>
        <v>4.3873534344647152E-3</v>
      </c>
      <c r="AB22" s="74">
        <f>IF(Tab.11[[#This Row],[a1]]=1,IF($A$3=0,FALSE,1/Tab.11[[#This Row],[IN]]*$AC$2*IF(Tab.11[[#This Row],[a1]]=0,,$A$3*$AC$1*1/$V$3*(Tab.11[[#This Row],[b14]]))))</f>
        <v>3.8301282330221349E-2</v>
      </c>
      <c r="AC22" s="155">
        <f>IF(Tab.11[[#This Row],[a1]]=1,IF($AC$3=0,Tab.11[[#This Row],[φ1]],Tab.11[[#This Row],[φ1]]/MAX(Tab.11[φ1])))</f>
        <v>3.7561798680449163E-2</v>
      </c>
      <c r="AD22" s="74">
        <f>IF(Tab.11[[#This Row],[a1]]=1,1/Tab.11[[#This Row],[φ2]])</f>
        <v>26.622793240210243</v>
      </c>
      <c r="AE22" s="74">
        <f>IF(Tab.11[[#This Row],[a1]]=1,IF($AE$3=0,Tab.11[[#This Row],[w.0]],Tab.11[[#This Row],[w.0]]/SUM(Tab.11[w.0])))</f>
        <v>3.923427391129311E-2</v>
      </c>
      <c r="AF22" s="76" t="str">
        <f>IF(Tab.11[[#This Row],[a1]]=0,"false",[3]!Tab.x5[[#This Row],[%_seN_C]])</f>
        <v/>
      </c>
      <c r="AG22" s="77">
        <f>IF(Tab.11[[#This Row],[a1]]=1,AP22)</f>
        <v>10</v>
      </c>
      <c r="AH22" s="78">
        <f>IF(Tab.11[[#This Row],[a1]]=1,AQ22)</f>
        <v>10</v>
      </c>
      <c r="AI22" s="41">
        <v>3.0000000000000001E-3</v>
      </c>
      <c r="AJ22" s="79">
        <v>-0.04</v>
      </c>
      <c r="AK22" s="80">
        <f>IF(Tab.11[[#This Row],[a1]]=1,1)</f>
        <v>1</v>
      </c>
      <c r="AM22">
        <v>1</v>
      </c>
      <c r="AN22">
        <f t="shared" si="2"/>
        <v>18</v>
      </c>
      <c r="AO22">
        <f t="shared" si="2"/>
        <v>18</v>
      </c>
      <c r="AP22">
        <v>10</v>
      </c>
      <c r="AQ22">
        <v>10</v>
      </c>
      <c r="AZ22"/>
    </row>
    <row r="23" spans="1:52" hidden="1" x14ac:dyDescent="0.25">
      <c r="A23" s="61">
        <f t="shared" si="3"/>
        <v>0</v>
      </c>
      <c r="B23" s="62">
        <f t="shared" si="3"/>
        <v>0</v>
      </c>
      <c r="C23" s="62" t="b">
        <f>IF(Tab.11[[#This Row],[a1]]=1,[3]!Tab_x1[[#This Row],[Name]])</f>
        <v>0</v>
      </c>
      <c r="D23" s="63" t="b">
        <f>IF(Tab.11[[#This Row],[a1]]=1,AO23)</f>
        <v>0</v>
      </c>
      <c r="E23" s="63">
        <f t="shared" si="1"/>
        <v>0</v>
      </c>
      <c r="F23" s="64" t="b">
        <f>IF(Tab.11[[#This Row],[a1]]=1,Tab.11[[#This Row],[b1]])</f>
        <v>0</v>
      </c>
      <c r="G23" s="65" t="b">
        <f>IF(Tab.11[[#This Row],[a1]]=1,IF(Tab.11[[#This Row],[b3]]&gt;$L$989*$G$3,$L$989*$G$3,IF(Tab.11[[#This Row],[b3]]&lt;$M$989*$G$3,$M$989*$G$3,Tab.11[[#This Row],[b3]])))</f>
        <v>0</v>
      </c>
      <c r="H23" s="66" t="b">
        <f>IF(Tab.11[[#This Row],[a1]]=1,Tab.11[[#This Row],[b1]])</f>
        <v>0</v>
      </c>
      <c r="I23" s="67" t="b">
        <f>IF(Tab.11[[#This Row],[a1]]=1,Tab.11[[#This Row],[b1]])</f>
        <v>0</v>
      </c>
      <c r="J23" s="68" t="b">
        <f>IF(Tab.11[[#This Row],[a1]]=1,IF($I$3&lt;0,Tab.11[[#This Row],[b5]]-$I$3,Tab.11[[#This Row],[b5]]))</f>
        <v>0</v>
      </c>
      <c r="K23" s="68" t="b">
        <f>IF(Tab.11[[#This Row],[a1]]=1,IF($K$3=0,Tab.11[b6],Tab.11[[#This Row],[b6]]-AVERAGE(Tab.11[b6])))</f>
        <v>0</v>
      </c>
      <c r="L23" s="69" t="b">
        <f>IF(Tab.11[[#This Row],[a1]]=1,Tab.11[[#This Row],[data]]/(_xlfn.STDEV.P(Tab.11[data])*$B$989)+$A$989)</f>
        <v>0</v>
      </c>
      <c r="M23" s="69" t="b">
        <f>IF(Tab.11[[#This Row],[a1]]=1,Tab.11[[#This Row],[data]]/(_xlfn.STDEV.P(Tab.11[data])*$B$987)-$A$987)</f>
        <v>0</v>
      </c>
      <c r="N23" s="69" t="b">
        <f>IF(Tab.11[[#This Row],[a1]]=1,Tab.11[[#This Row],[data]]/(_xlfn.STDEV.P(Tab.11[data])*$B$988)+$A$988)</f>
        <v>0</v>
      </c>
      <c r="O23" s="70" t="b">
        <f>IF(Tab.11[[#This Row],[a1]]=1,_xlfn.NORM.DIST(Tab.11[[#This Row],[b8]],$P$1,$Q$1,FALSE))</f>
        <v>0</v>
      </c>
      <c r="P23" s="70" t="b">
        <f>IF(Tab.11[[#This Row],[a1]]=1,_xlfn.NORM.DIST(Tab.11[[#This Row],[b9]],$P$1,$Q$1,FALSE))</f>
        <v>0</v>
      </c>
      <c r="Q23" s="70" t="b">
        <f>IF(Tab.11[[#This Row],[a1]]=1,_xlfn.NORM.DIST(Tab.11[[#This Row],[b10]],$P$1,$Q$1,FALSE))</f>
        <v>0</v>
      </c>
      <c r="R23" s="67" t="b">
        <f>IF(Tab.11[[#This Row],[a1]]=1,$I$3+$A$989+IF($K$3=0,Tab.11[[#This Row],[b8]]*_xlfn.STDEV.P(Tab.11[data]),AVERAGE(Tab.11[b6])+Tab.11[[#This Row],[b8]]*_xlfn.STDEV.P(Tab.11[data])))</f>
        <v>0</v>
      </c>
      <c r="S23" s="71" t="b">
        <f>IF(Tab.11[[#This Row],[a1]]=1,$I$3+$A$987+IF($K$3=0,Tab.11[[#This Row],[b9]]*_xlfn.STDEV.P(Tab.11[data]),AVERAGE(Tab.11[b6])+Tab.11[[#This Row],[b9]]*_xlfn.STDEV.P(Tab.11[data])))</f>
        <v>0</v>
      </c>
      <c r="T23" s="71" t="b">
        <f>IF(Tab.11[[#This Row],[a1]]=1,$I$3+$A$988+IF($K$3=0,Tab.11[[#This Row],[b10]]*_xlfn.STDEV.P(Tab.11[data]),AVERAGE(Tab.11[b6])+Tab.11[[#This Row],[b10]]*_xlfn.STDEV.P(Tab.11[data])))</f>
        <v>0</v>
      </c>
      <c r="U23" s="72" t="b">
        <f>IF(Tab.11[[#This Row],[a1]]=1,Tab.11[[#This Row],[target]]-Tab.11[[#This Row],[Red]])</f>
        <v>0</v>
      </c>
      <c r="V23" s="72" t="b">
        <f>IF(Tab.11[[#This Row],[a1]]=1,Tab.11[[#This Row],[target]]-Tab.11[[#This Row],[Blue]])</f>
        <v>0</v>
      </c>
      <c r="W23" s="73" t="b">
        <f>IF(Tab.11[[#This Row],[a1]]=1,IF(ABS(Tab.11[[#This Row],[b17]])+ABS(Tab.11[[#This Row],[b18]])&lt;$W$2,$W$2,ABS(Tab.11[[#This Row],[b17]])+ABS(Tab.11[[#This Row],[b18]])))</f>
        <v>0</v>
      </c>
      <c r="X23" s="136" t="b">
        <f>IF(Tab.11[[#This Row],[a1]]=1,IF($W$3&lt;0,Tab.11[[#This Row],[IN]]-$I$3,Tab.11[[#This Row],[IN]]))</f>
        <v>0</v>
      </c>
      <c r="Y23" s="136" t="b">
        <f>IF(Tab.11[[#This Row],[a1]]=1,IF($X$3=0,Tab.11[b66],Tab.11[[#This Row],[b66]]-AVERAGE(Tab.11[b66])))</f>
        <v>0</v>
      </c>
      <c r="Z23" s="135" t="b">
        <f>IF(Tab.11[[#This Row],[a1]]=1,Tab.11[[#This Row],[b77]]/(_xlfn.STDEV.P(Tab.11[b77])))</f>
        <v>0</v>
      </c>
      <c r="AA23" s="70" t="b">
        <f>IF(Tab.11[[#This Row],[a1]]=1,_xlfn.NORM.DIST(Tab.11[[#This Row],[b88]],$Z$1,$AA$1,FALSE))</f>
        <v>0</v>
      </c>
      <c r="AB23" s="74" t="b">
        <f>IF(Tab.11[[#This Row],[a1]]=1,IF($A$3=0,FALSE,1/Tab.11[[#This Row],[IN]]*$AC$2*IF(Tab.11[[#This Row],[a1]]=0,,$A$3*$AC$1*1/$V$3*(Tab.11[[#This Row],[b14]]))))</f>
        <v>0</v>
      </c>
      <c r="AC23" s="75" t="b">
        <f>IF(Tab.11[[#This Row],[a1]]=1,IF($AC$3=0,Tab.11[[#This Row],[φ1]],Tab.11[[#This Row],[φ1]]/MAX(Tab.11[φ1])))</f>
        <v>0</v>
      </c>
      <c r="AD23" s="74" t="b">
        <f>IF(Tab.11[[#This Row],[a1]]=1,1/Tab.11[[#This Row],[φ2]])</f>
        <v>0</v>
      </c>
      <c r="AE23" s="74" t="b">
        <f>IF(Tab.11[[#This Row],[a1]]=1,IF($AE$3=0,Tab.11[[#This Row],[w.0]],Tab.11[[#This Row],[w.0]]/SUM(Tab.11[w.0])))</f>
        <v>0</v>
      </c>
      <c r="AF23" s="76" t="str">
        <f>IF(Tab.11[[#This Row],[a1]]=0,"false",[3]!Tab.x5[[#This Row],[%_seN_C]])</f>
        <v>false</v>
      </c>
      <c r="AG23" s="77" t="b">
        <f>IF(Tab.11[[#This Row],[a1]]=1,AP23)</f>
        <v>0</v>
      </c>
      <c r="AH23" s="78" t="b">
        <f>IF(Tab.11[[#This Row],[a1]]=1,AQ23)</f>
        <v>0</v>
      </c>
      <c r="AI23" s="41">
        <v>3.0000000000000001E-3</v>
      </c>
      <c r="AJ23" s="79">
        <v>0.02</v>
      </c>
      <c r="AK23" s="80" t="b">
        <f>IF(Tab.11[[#This Row],[a1]]=1,1)</f>
        <v>0</v>
      </c>
      <c r="AZ23"/>
    </row>
    <row r="24" spans="1:52" hidden="1" x14ac:dyDescent="0.25">
      <c r="A24" s="61">
        <f t="shared" si="3"/>
        <v>0</v>
      </c>
      <c r="B24" s="62">
        <f t="shared" si="3"/>
        <v>0</v>
      </c>
      <c r="C24" s="62" t="b">
        <f>IF(Tab.11[[#This Row],[a1]]=1,[3]!Tab_x1[[#This Row],[Name]])</f>
        <v>0</v>
      </c>
      <c r="D24" s="63" t="b">
        <f>IF(Tab.11[[#This Row],[a1]]=1,AO24)</f>
        <v>0</v>
      </c>
      <c r="E24" s="63">
        <f t="shared" si="1"/>
        <v>0</v>
      </c>
      <c r="F24" s="64" t="b">
        <f>IF(Tab.11[[#This Row],[a1]]=1,Tab.11[[#This Row],[b1]])</f>
        <v>0</v>
      </c>
      <c r="G24" s="65" t="b">
        <f>IF(Tab.11[[#This Row],[a1]]=1,IF(Tab.11[[#This Row],[b3]]&gt;$L$989*$G$3,$L$989*$G$3,IF(Tab.11[[#This Row],[b3]]&lt;$M$989*$G$3,$M$989*$G$3,Tab.11[[#This Row],[b3]])))</f>
        <v>0</v>
      </c>
      <c r="H24" s="66" t="b">
        <f>IF(Tab.11[[#This Row],[a1]]=1,Tab.11[[#This Row],[b1]])</f>
        <v>0</v>
      </c>
      <c r="I24" s="67" t="b">
        <f>IF(Tab.11[[#This Row],[a1]]=1,Tab.11[[#This Row],[b1]])</f>
        <v>0</v>
      </c>
      <c r="J24" s="68" t="b">
        <f>IF(Tab.11[[#This Row],[a1]]=1,IF($I$3&lt;0,Tab.11[[#This Row],[b5]]-$I$3,Tab.11[[#This Row],[b5]]))</f>
        <v>0</v>
      </c>
      <c r="K24" s="68" t="b">
        <f>IF(Tab.11[[#This Row],[a1]]=1,IF($K$3=0,Tab.11[b6],Tab.11[[#This Row],[b6]]-AVERAGE(Tab.11[b6])))</f>
        <v>0</v>
      </c>
      <c r="L24" s="69" t="b">
        <f>IF(Tab.11[[#This Row],[a1]]=1,Tab.11[[#This Row],[data]]/(_xlfn.STDEV.P(Tab.11[data])*$B$989)+$A$989)</f>
        <v>0</v>
      </c>
      <c r="M24" s="69" t="b">
        <f>IF(Tab.11[[#This Row],[a1]]=1,Tab.11[[#This Row],[data]]/(_xlfn.STDEV.P(Tab.11[data])*$B$987)-$A$987)</f>
        <v>0</v>
      </c>
      <c r="N24" s="69" t="b">
        <f>IF(Tab.11[[#This Row],[a1]]=1,Tab.11[[#This Row],[data]]/(_xlfn.STDEV.P(Tab.11[data])*$B$988)+$A$988)</f>
        <v>0</v>
      </c>
      <c r="O24" s="70" t="b">
        <f>IF(Tab.11[[#This Row],[a1]]=1,_xlfn.NORM.DIST(Tab.11[[#This Row],[b8]],$P$1,$Q$1,FALSE))</f>
        <v>0</v>
      </c>
      <c r="P24" s="70" t="b">
        <f>IF(Tab.11[[#This Row],[a1]]=1,_xlfn.NORM.DIST(Tab.11[[#This Row],[b9]],$P$1,$Q$1,FALSE))</f>
        <v>0</v>
      </c>
      <c r="Q24" s="70" t="b">
        <f>IF(Tab.11[[#This Row],[a1]]=1,_xlfn.NORM.DIST(Tab.11[[#This Row],[b10]],$P$1,$Q$1,FALSE))</f>
        <v>0</v>
      </c>
      <c r="R24" s="67" t="b">
        <f>IF(Tab.11[[#This Row],[a1]]=1,$I$3+$A$989+IF($K$3=0,Tab.11[[#This Row],[b8]]*_xlfn.STDEV.P(Tab.11[data]),AVERAGE(Tab.11[b6])+Tab.11[[#This Row],[b8]]*_xlfn.STDEV.P(Tab.11[data])))</f>
        <v>0</v>
      </c>
      <c r="S24" s="71" t="b">
        <f>IF(Tab.11[[#This Row],[a1]]=1,$I$3+$A$987+IF($K$3=0,Tab.11[[#This Row],[b9]]*_xlfn.STDEV.P(Tab.11[data]),AVERAGE(Tab.11[b6])+Tab.11[[#This Row],[b9]]*_xlfn.STDEV.P(Tab.11[data])))</f>
        <v>0</v>
      </c>
      <c r="T24" s="71" t="b">
        <f>IF(Tab.11[[#This Row],[a1]]=1,$I$3+$A$988+IF($K$3=0,Tab.11[[#This Row],[b10]]*_xlfn.STDEV.P(Tab.11[data]),AVERAGE(Tab.11[b6])+Tab.11[[#This Row],[b10]]*_xlfn.STDEV.P(Tab.11[data])))</f>
        <v>0</v>
      </c>
      <c r="U24" s="72" t="b">
        <f>IF(Tab.11[[#This Row],[a1]]=1,Tab.11[[#This Row],[target]]-Tab.11[[#This Row],[Red]])</f>
        <v>0</v>
      </c>
      <c r="V24" s="72" t="b">
        <f>IF(Tab.11[[#This Row],[a1]]=1,Tab.11[[#This Row],[target]]-Tab.11[[#This Row],[Blue]])</f>
        <v>0</v>
      </c>
      <c r="W24" s="73" t="b">
        <f>IF(Tab.11[[#This Row],[a1]]=1,IF(ABS(Tab.11[[#This Row],[b17]])+ABS(Tab.11[[#This Row],[b18]])&lt;$W$2,$W$2,ABS(Tab.11[[#This Row],[b17]])+ABS(Tab.11[[#This Row],[b18]])))</f>
        <v>0</v>
      </c>
      <c r="X24" s="136" t="b">
        <f>IF(Tab.11[[#This Row],[a1]]=1,IF($W$3&lt;0,Tab.11[[#This Row],[IN]]-$I$3,Tab.11[[#This Row],[IN]]))</f>
        <v>0</v>
      </c>
      <c r="Y24" s="136" t="b">
        <f>IF(Tab.11[[#This Row],[a1]]=1,IF($X$3=0,Tab.11[b66],Tab.11[[#This Row],[b66]]-AVERAGE(Tab.11[b66])))</f>
        <v>0</v>
      </c>
      <c r="Z24" s="135" t="b">
        <f>IF(Tab.11[[#This Row],[a1]]=1,Tab.11[[#This Row],[b77]]/(_xlfn.STDEV.P(Tab.11[b77])))</f>
        <v>0</v>
      </c>
      <c r="AA24" s="70" t="b">
        <f>IF(Tab.11[[#This Row],[a1]]=1,_xlfn.NORM.DIST(Tab.11[[#This Row],[b88]],$Z$1,$AA$1,FALSE))</f>
        <v>0</v>
      </c>
      <c r="AB24" s="74" t="b">
        <f>IF(Tab.11[[#This Row],[a1]]=1,IF($A$3=0,FALSE,1/Tab.11[[#This Row],[IN]]*$AC$2*IF(Tab.11[[#This Row],[a1]]=0,,$A$3*$AC$1*1/$V$3*(Tab.11[[#This Row],[b14]]))))</f>
        <v>0</v>
      </c>
      <c r="AC24" s="75" t="b">
        <f>IF(Tab.11[[#This Row],[a1]]=1,IF($AC$3=0,Tab.11[[#This Row],[φ1]],Tab.11[[#This Row],[φ1]]/MAX(Tab.11[φ1])))</f>
        <v>0</v>
      </c>
      <c r="AD24" s="74" t="b">
        <f>IF(Tab.11[[#This Row],[a1]]=1,1/Tab.11[[#This Row],[φ2]])</f>
        <v>0</v>
      </c>
      <c r="AE24" s="74" t="b">
        <f>IF(Tab.11[[#This Row],[a1]]=1,IF($AE$3=0,Tab.11[[#This Row],[w.0]],Tab.11[[#This Row],[w.0]]/SUM(Tab.11[w.0])))</f>
        <v>0</v>
      </c>
      <c r="AF24" s="76" t="str">
        <f>IF(Tab.11[[#This Row],[a1]]=0,"false",[3]!Tab.x5[[#This Row],[%_seN_C]])</f>
        <v>false</v>
      </c>
      <c r="AG24" s="77" t="b">
        <f>IF(Tab.11[[#This Row],[a1]]=1,AP24)</f>
        <v>0</v>
      </c>
      <c r="AH24" s="78" t="b">
        <f>IF(Tab.11[[#This Row],[a1]]=1,AQ24)</f>
        <v>0</v>
      </c>
      <c r="AI24" s="41">
        <v>3.0000000000000001E-3</v>
      </c>
      <c r="AJ24" s="79">
        <v>-0.09</v>
      </c>
      <c r="AK24" s="80" t="b">
        <f>IF(Tab.11[[#This Row],[a1]]=1,1)</f>
        <v>0</v>
      </c>
      <c r="AZ24"/>
    </row>
    <row r="25" spans="1:52" hidden="1" x14ac:dyDescent="0.25">
      <c r="A25" s="61">
        <f t="shared" si="3"/>
        <v>0</v>
      </c>
      <c r="B25" s="62">
        <f t="shared" si="3"/>
        <v>0</v>
      </c>
      <c r="C25" s="62" t="b">
        <f>IF(Tab.11[[#This Row],[a1]]=1,[3]!Tab_x1[[#This Row],[Name]])</f>
        <v>0</v>
      </c>
      <c r="D25" s="63" t="b">
        <f>IF(Tab.11[[#This Row],[a1]]=1,AO25)</f>
        <v>0</v>
      </c>
      <c r="E25" s="63">
        <f t="shared" si="1"/>
        <v>0</v>
      </c>
      <c r="F25" s="64" t="b">
        <f>IF(Tab.11[[#This Row],[a1]]=1,Tab.11[[#This Row],[b1]])</f>
        <v>0</v>
      </c>
      <c r="G25" s="65" t="b">
        <f>IF(Tab.11[[#This Row],[a1]]=1,IF(Tab.11[[#This Row],[b3]]&gt;$L$989*$G$3,$L$989*$G$3,IF(Tab.11[[#This Row],[b3]]&lt;$M$989*$G$3,$M$989*$G$3,Tab.11[[#This Row],[b3]])))</f>
        <v>0</v>
      </c>
      <c r="H25" s="66" t="b">
        <f>IF(Tab.11[[#This Row],[a1]]=1,Tab.11[[#This Row],[b1]])</f>
        <v>0</v>
      </c>
      <c r="I25" s="67" t="b">
        <f>IF(Tab.11[[#This Row],[a1]]=1,Tab.11[[#This Row],[b1]])</f>
        <v>0</v>
      </c>
      <c r="J25" s="68" t="b">
        <f>IF(Tab.11[[#This Row],[a1]]=1,IF($I$3&lt;0,Tab.11[[#This Row],[b5]]-$I$3,Tab.11[[#This Row],[b5]]))</f>
        <v>0</v>
      </c>
      <c r="K25" s="68" t="b">
        <f>IF(Tab.11[[#This Row],[a1]]=1,IF($K$3=0,Tab.11[b6],Tab.11[[#This Row],[b6]]-AVERAGE(Tab.11[b6])))</f>
        <v>0</v>
      </c>
      <c r="L25" s="69" t="b">
        <f>IF(Tab.11[[#This Row],[a1]]=1,Tab.11[[#This Row],[data]]/(_xlfn.STDEV.P(Tab.11[data])*$B$989)+$A$989)</f>
        <v>0</v>
      </c>
      <c r="M25" s="69" t="b">
        <f>IF(Tab.11[[#This Row],[a1]]=1,Tab.11[[#This Row],[data]]/(_xlfn.STDEV.P(Tab.11[data])*$B$987)-$A$987)</f>
        <v>0</v>
      </c>
      <c r="N25" s="69" t="b">
        <f>IF(Tab.11[[#This Row],[a1]]=1,Tab.11[[#This Row],[data]]/(_xlfn.STDEV.P(Tab.11[data])*$B$988)+$A$988)</f>
        <v>0</v>
      </c>
      <c r="O25" s="70" t="b">
        <f>IF(Tab.11[[#This Row],[a1]]=1,_xlfn.NORM.DIST(Tab.11[[#This Row],[b8]],$P$1,$Q$1,FALSE))</f>
        <v>0</v>
      </c>
      <c r="P25" s="70" t="b">
        <f>IF(Tab.11[[#This Row],[a1]]=1,_xlfn.NORM.DIST(Tab.11[[#This Row],[b9]],$P$1,$Q$1,FALSE))</f>
        <v>0</v>
      </c>
      <c r="Q25" s="70" t="b">
        <f>IF(Tab.11[[#This Row],[a1]]=1,_xlfn.NORM.DIST(Tab.11[[#This Row],[b10]],$P$1,$Q$1,FALSE))</f>
        <v>0</v>
      </c>
      <c r="R25" s="67" t="b">
        <f>IF(Tab.11[[#This Row],[a1]]=1,$I$3+$A$989+IF($K$3=0,Tab.11[[#This Row],[b8]]*_xlfn.STDEV.P(Tab.11[data]),AVERAGE(Tab.11[b6])+Tab.11[[#This Row],[b8]]*_xlfn.STDEV.P(Tab.11[data])))</f>
        <v>0</v>
      </c>
      <c r="S25" s="71" t="b">
        <f>IF(Tab.11[[#This Row],[a1]]=1,$I$3+$A$987+IF($K$3=0,Tab.11[[#This Row],[b9]]*_xlfn.STDEV.P(Tab.11[data]),AVERAGE(Tab.11[b6])+Tab.11[[#This Row],[b9]]*_xlfn.STDEV.P(Tab.11[data])))</f>
        <v>0</v>
      </c>
      <c r="T25" s="71" t="b">
        <f>IF(Tab.11[[#This Row],[a1]]=1,$I$3+$A$988+IF($K$3=0,Tab.11[[#This Row],[b10]]*_xlfn.STDEV.P(Tab.11[data]),AVERAGE(Tab.11[b6])+Tab.11[[#This Row],[b10]]*_xlfn.STDEV.P(Tab.11[data])))</f>
        <v>0</v>
      </c>
      <c r="U25" s="72" t="b">
        <f>IF(Tab.11[[#This Row],[a1]]=1,Tab.11[[#This Row],[target]]-Tab.11[[#This Row],[Red]])</f>
        <v>0</v>
      </c>
      <c r="V25" s="72" t="b">
        <f>IF(Tab.11[[#This Row],[a1]]=1,Tab.11[[#This Row],[target]]-Tab.11[[#This Row],[Blue]])</f>
        <v>0</v>
      </c>
      <c r="W25" s="73" t="b">
        <f>IF(Tab.11[[#This Row],[a1]]=1,IF(ABS(Tab.11[[#This Row],[b17]])+ABS(Tab.11[[#This Row],[b18]])&lt;$W$2,$W$2,ABS(Tab.11[[#This Row],[b17]])+ABS(Tab.11[[#This Row],[b18]])))</f>
        <v>0</v>
      </c>
      <c r="X25" s="136" t="b">
        <f>IF(Tab.11[[#This Row],[a1]]=1,IF($W$3&lt;0,Tab.11[[#This Row],[IN]]-$I$3,Tab.11[[#This Row],[IN]]))</f>
        <v>0</v>
      </c>
      <c r="Y25" s="136" t="b">
        <f>IF(Tab.11[[#This Row],[a1]]=1,IF($X$3=0,Tab.11[b66],Tab.11[[#This Row],[b66]]-AVERAGE(Tab.11[b66])))</f>
        <v>0</v>
      </c>
      <c r="Z25" s="135" t="b">
        <f>IF(Tab.11[[#This Row],[a1]]=1,Tab.11[[#This Row],[b77]]/(_xlfn.STDEV.P(Tab.11[b77])))</f>
        <v>0</v>
      </c>
      <c r="AA25" s="70" t="b">
        <f>IF(Tab.11[[#This Row],[a1]]=1,_xlfn.NORM.DIST(Tab.11[[#This Row],[b88]],$Z$1,$AA$1,FALSE))</f>
        <v>0</v>
      </c>
      <c r="AB25" s="74" t="b">
        <f>IF(Tab.11[[#This Row],[a1]]=1,IF($A$3=0,FALSE,1/Tab.11[[#This Row],[IN]]*$AC$2*IF(Tab.11[[#This Row],[a1]]=0,,$A$3*$AC$1*1/$V$3*(Tab.11[[#This Row],[b14]]))))</f>
        <v>0</v>
      </c>
      <c r="AC25" s="75" t="b">
        <f>IF(Tab.11[[#This Row],[a1]]=1,IF($AC$3=0,Tab.11[[#This Row],[φ1]],Tab.11[[#This Row],[φ1]]/MAX(Tab.11[φ1])))</f>
        <v>0</v>
      </c>
      <c r="AD25" s="74" t="b">
        <f>IF(Tab.11[[#This Row],[a1]]=1,1/Tab.11[[#This Row],[φ2]])</f>
        <v>0</v>
      </c>
      <c r="AE25" s="74" t="b">
        <f>IF(Tab.11[[#This Row],[a1]]=1,IF($AE$3=0,Tab.11[[#This Row],[w.0]],Tab.11[[#This Row],[w.0]]/SUM(Tab.11[w.0])))</f>
        <v>0</v>
      </c>
      <c r="AF25" s="76" t="str">
        <f>IF(Tab.11[[#This Row],[a1]]=0,"false",[3]!Tab.x5[[#This Row],[%_seN_C]])</f>
        <v>false</v>
      </c>
      <c r="AG25" s="77" t="b">
        <f>IF(Tab.11[[#This Row],[a1]]=1,AP25)</f>
        <v>0</v>
      </c>
      <c r="AH25" s="78" t="b">
        <f>IF(Tab.11[[#This Row],[a1]]=1,AQ25)</f>
        <v>0</v>
      </c>
      <c r="AI25" s="41">
        <v>3.0000000000000001E-3</v>
      </c>
      <c r="AJ25" s="79">
        <v>0.02</v>
      </c>
      <c r="AK25" s="80" t="b">
        <f>IF(Tab.11[[#This Row],[a1]]=1,1)</f>
        <v>0</v>
      </c>
      <c r="AZ25"/>
    </row>
    <row r="26" spans="1:52" hidden="1" x14ac:dyDescent="0.25">
      <c r="A26" s="61">
        <f t="shared" si="3"/>
        <v>0</v>
      </c>
      <c r="B26" s="62">
        <f t="shared" si="3"/>
        <v>0</v>
      </c>
      <c r="C26" s="62" t="b">
        <f>IF(Tab.11[[#This Row],[a1]]=1,[3]!Tab_x1[[#This Row],[Name]])</f>
        <v>0</v>
      </c>
      <c r="D26" s="63" t="b">
        <f>IF(Tab.11[[#This Row],[a1]]=1,AO26)</f>
        <v>0</v>
      </c>
      <c r="E26" s="63">
        <f t="shared" si="1"/>
        <v>0</v>
      </c>
      <c r="F26" s="64" t="b">
        <f>IF(Tab.11[[#This Row],[a1]]=1,Tab.11[[#This Row],[b1]])</f>
        <v>0</v>
      </c>
      <c r="G26" s="65" t="b">
        <f>IF(Tab.11[[#This Row],[a1]]=1,IF(Tab.11[[#This Row],[b3]]&gt;$L$989*$G$3,$L$989*$G$3,IF(Tab.11[[#This Row],[b3]]&lt;$M$989*$G$3,$M$989*$G$3,Tab.11[[#This Row],[b3]])))</f>
        <v>0</v>
      </c>
      <c r="H26" s="66" t="b">
        <f>IF(Tab.11[[#This Row],[a1]]=1,Tab.11[[#This Row],[b1]])</f>
        <v>0</v>
      </c>
      <c r="I26" s="67" t="b">
        <f>IF(Tab.11[[#This Row],[a1]]=1,Tab.11[[#This Row],[b1]])</f>
        <v>0</v>
      </c>
      <c r="J26" s="68" t="b">
        <f>IF(Tab.11[[#This Row],[a1]]=1,IF($I$3&lt;0,Tab.11[[#This Row],[b5]]-$I$3,Tab.11[[#This Row],[b5]]))</f>
        <v>0</v>
      </c>
      <c r="K26" s="68" t="b">
        <f>IF(Tab.11[[#This Row],[a1]]=1,IF($K$3=0,Tab.11[b6],Tab.11[[#This Row],[b6]]-AVERAGE(Tab.11[b6])))</f>
        <v>0</v>
      </c>
      <c r="L26" s="69" t="b">
        <f>IF(Tab.11[[#This Row],[a1]]=1,Tab.11[[#This Row],[data]]/(_xlfn.STDEV.P(Tab.11[data])*$B$989)+$A$989)</f>
        <v>0</v>
      </c>
      <c r="M26" s="69" t="b">
        <f>IF(Tab.11[[#This Row],[a1]]=1,Tab.11[[#This Row],[data]]/(_xlfn.STDEV.P(Tab.11[data])*$B$987)-$A$987)</f>
        <v>0</v>
      </c>
      <c r="N26" s="69" t="b">
        <f>IF(Tab.11[[#This Row],[a1]]=1,Tab.11[[#This Row],[data]]/(_xlfn.STDEV.P(Tab.11[data])*$B$988)+$A$988)</f>
        <v>0</v>
      </c>
      <c r="O26" s="70" t="b">
        <f>IF(Tab.11[[#This Row],[a1]]=1,_xlfn.NORM.DIST(Tab.11[[#This Row],[b8]],$P$1,$Q$1,FALSE))</f>
        <v>0</v>
      </c>
      <c r="P26" s="70" t="b">
        <f>IF(Tab.11[[#This Row],[a1]]=1,_xlfn.NORM.DIST(Tab.11[[#This Row],[b9]],$P$1,$Q$1,FALSE))</f>
        <v>0</v>
      </c>
      <c r="Q26" s="70" t="b">
        <f>IF(Tab.11[[#This Row],[a1]]=1,_xlfn.NORM.DIST(Tab.11[[#This Row],[b10]],$P$1,$Q$1,FALSE))</f>
        <v>0</v>
      </c>
      <c r="R26" s="67" t="b">
        <f>IF(Tab.11[[#This Row],[a1]]=1,$I$3+$A$989+IF($K$3=0,Tab.11[[#This Row],[b8]]*_xlfn.STDEV.P(Tab.11[data]),AVERAGE(Tab.11[b6])+Tab.11[[#This Row],[b8]]*_xlfn.STDEV.P(Tab.11[data])))</f>
        <v>0</v>
      </c>
      <c r="S26" s="71" t="b">
        <f>IF(Tab.11[[#This Row],[a1]]=1,$I$3+$A$987+IF($K$3=0,Tab.11[[#This Row],[b9]]*_xlfn.STDEV.P(Tab.11[data]),AVERAGE(Tab.11[b6])+Tab.11[[#This Row],[b9]]*_xlfn.STDEV.P(Tab.11[data])))</f>
        <v>0</v>
      </c>
      <c r="T26" s="71" t="b">
        <f>IF(Tab.11[[#This Row],[a1]]=1,$I$3+$A$988+IF($K$3=0,Tab.11[[#This Row],[b10]]*_xlfn.STDEV.P(Tab.11[data]),AVERAGE(Tab.11[b6])+Tab.11[[#This Row],[b10]]*_xlfn.STDEV.P(Tab.11[data])))</f>
        <v>0</v>
      </c>
      <c r="U26" s="72" t="b">
        <f>IF(Tab.11[[#This Row],[a1]]=1,Tab.11[[#This Row],[target]]-Tab.11[[#This Row],[Red]])</f>
        <v>0</v>
      </c>
      <c r="V26" s="72" t="b">
        <f>IF(Tab.11[[#This Row],[a1]]=1,Tab.11[[#This Row],[target]]-Tab.11[[#This Row],[Blue]])</f>
        <v>0</v>
      </c>
      <c r="W26" s="73" t="b">
        <f>IF(Tab.11[[#This Row],[a1]]=1,IF(ABS(Tab.11[[#This Row],[b17]])+ABS(Tab.11[[#This Row],[b18]])&lt;$W$2,$W$2,ABS(Tab.11[[#This Row],[b17]])+ABS(Tab.11[[#This Row],[b18]])))</f>
        <v>0</v>
      </c>
      <c r="X26" s="136" t="b">
        <f>IF(Tab.11[[#This Row],[a1]]=1,IF($W$3&lt;0,Tab.11[[#This Row],[IN]]-$I$3,Tab.11[[#This Row],[IN]]))</f>
        <v>0</v>
      </c>
      <c r="Y26" s="136" t="b">
        <f>IF(Tab.11[[#This Row],[a1]]=1,IF($X$3=0,Tab.11[b66],Tab.11[[#This Row],[b66]]-AVERAGE(Tab.11[b66])))</f>
        <v>0</v>
      </c>
      <c r="Z26" s="135" t="b">
        <f>IF(Tab.11[[#This Row],[a1]]=1,Tab.11[[#This Row],[b77]]/(_xlfn.STDEV.P(Tab.11[b77])))</f>
        <v>0</v>
      </c>
      <c r="AA26" s="70" t="b">
        <f>IF(Tab.11[[#This Row],[a1]]=1,_xlfn.NORM.DIST(Tab.11[[#This Row],[b88]],$Z$1,$AA$1,FALSE))</f>
        <v>0</v>
      </c>
      <c r="AB26" s="74" t="b">
        <f>IF(Tab.11[[#This Row],[a1]]=1,IF($A$3=0,FALSE,1/Tab.11[[#This Row],[IN]]*$AC$2*IF(Tab.11[[#This Row],[a1]]=0,,$A$3*$AC$1*1/$V$3*(Tab.11[[#This Row],[b14]]))))</f>
        <v>0</v>
      </c>
      <c r="AC26" s="75" t="b">
        <f>IF(Tab.11[[#This Row],[a1]]=1,IF($AC$3=0,Tab.11[[#This Row],[φ1]],Tab.11[[#This Row],[φ1]]/MAX(Tab.11[φ1])))</f>
        <v>0</v>
      </c>
      <c r="AD26" s="74" t="b">
        <f>IF(Tab.11[[#This Row],[a1]]=1,1/Tab.11[[#This Row],[φ2]])</f>
        <v>0</v>
      </c>
      <c r="AE26" s="74" t="b">
        <f>IF(Tab.11[[#This Row],[a1]]=1,IF($AE$3=0,Tab.11[[#This Row],[w.0]],Tab.11[[#This Row],[w.0]]/SUM(Tab.11[w.0])))</f>
        <v>0</v>
      </c>
      <c r="AF26" s="76" t="str">
        <f>IF(Tab.11[[#This Row],[a1]]=0,"false",[3]!Tab.x5[[#This Row],[%_seN_C]])</f>
        <v>false</v>
      </c>
      <c r="AG26" s="77" t="b">
        <f>IF(Tab.11[[#This Row],[a1]]=1,AP26)</f>
        <v>0</v>
      </c>
      <c r="AH26" s="78" t="b">
        <f>IF(Tab.11[[#This Row],[a1]]=1,AQ26)</f>
        <v>0</v>
      </c>
      <c r="AI26" s="41">
        <v>3.0000000000000001E-3</v>
      </c>
      <c r="AJ26" s="79">
        <v>0.09</v>
      </c>
      <c r="AK26" s="80" t="b">
        <f>IF(Tab.11[[#This Row],[a1]]=1,1)</f>
        <v>0</v>
      </c>
      <c r="AZ26"/>
    </row>
    <row r="27" spans="1:52" hidden="1" x14ac:dyDescent="0.25">
      <c r="A27" s="61">
        <f t="shared" si="3"/>
        <v>0</v>
      </c>
      <c r="B27" s="62">
        <f t="shared" si="3"/>
        <v>0</v>
      </c>
      <c r="C27" s="62" t="b">
        <f>IF(Tab.11[[#This Row],[a1]]=1,[3]!Tab_x1[[#This Row],[Name]])</f>
        <v>0</v>
      </c>
      <c r="D27" s="63" t="b">
        <f>IF(Tab.11[[#This Row],[a1]]=1,AO27)</f>
        <v>0</v>
      </c>
      <c r="E27" s="63">
        <f t="shared" si="1"/>
        <v>0</v>
      </c>
      <c r="F27" s="64" t="b">
        <f>IF(Tab.11[[#This Row],[a1]]=1,Tab.11[[#This Row],[b1]])</f>
        <v>0</v>
      </c>
      <c r="G27" s="65" t="b">
        <f>IF(Tab.11[[#This Row],[a1]]=1,IF(Tab.11[[#This Row],[b3]]&gt;$L$989*$G$3,$L$989*$G$3,IF(Tab.11[[#This Row],[b3]]&lt;$M$989*$G$3,$M$989*$G$3,Tab.11[[#This Row],[b3]])))</f>
        <v>0</v>
      </c>
      <c r="H27" s="66" t="b">
        <f>IF(Tab.11[[#This Row],[a1]]=1,Tab.11[[#This Row],[b1]])</f>
        <v>0</v>
      </c>
      <c r="I27" s="67" t="b">
        <f>IF(Tab.11[[#This Row],[a1]]=1,Tab.11[[#This Row],[b1]])</f>
        <v>0</v>
      </c>
      <c r="J27" s="68" t="b">
        <f>IF(Tab.11[[#This Row],[a1]]=1,IF($I$3&lt;0,Tab.11[[#This Row],[b5]]-$I$3,Tab.11[[#This Row],[b5]]))</f>
        <v>0</v>
      </c>
      <c r="K27" s="68" t="b">
        <f>IF(Tab.11[[#This Row],[a1]]=1,IF($K$3=0,Tab.11[b6],Tab.11[[#This Row],[b6]]-AVERAGE(Tab.11[b6])))</f>
        <v>0</v>
      </c>
      <c r="L27" s="69" t="b">
        <f>IF(Tab.11[[#This Row],[a1]]=1,Tab.11[[#This Row],[data]]/(_xlfn.STDEV.P(Tab.11[data])*$B$989)+$A$989)</f>
        <v>0</v>
      </c>
      <c r="M27" s="69" t="b">
        <f>IF(Tab.11[[#This Row],[a1]]=1,Tab.11[[#This Row],[data]]/(_xlfn.STDEV.P(Tab.11[data])*$B$987)-$A$987)</f>
        <v>0</v>
      </c>
      <c r="N27" s="69" t="b">
        <f>IF(Tab.11[[#This Row],[a1]]=1,Tab.11[[#This Row],[data]]/(_xlfn.STDEV.P(Tab.11[data])*$B$988)+$A$988)</f>
        <v>0</v>
      </c>
      <c r="O27" s="70" t="b">
        <f>IF(Tab.11[[#This Row],[a1]]=1,_xlfn.NORM.DIST(Tab.11[[#This Row],[b8]],$P$1,$Q$1,FALSE))</f>
        <v>0</v>
      </c>
      <c r="P27" s="70" t="b">
        <f>IF(Tab.11[[#This Row],[a1]]=1,_xlfn.NORM.DIST(Tab.11[[#This Row],[b9]],$P$1,$Q$1,FALSE))</f>
        <v>0</v>
      </c>
      <c r="Q27" s="70" t="b">
        <f>IF(Tab.11[[#This Row],[a1]]=1,_xlfn.NORM.DIST(Tab.11[[#This Row],[b10]],$P$1,$Q$1,FALSE))</f>
        <v>0</v>
      </c>
      <c r="R27" s="67" t="b">
        <f>IF(Tab.11[[#This Row],[a1]]=1,$I$3+$A$989+IF($K$3=0,Tab.11[[#This Row],[b8]]*_xlfn.STDEV.P(Tab.11[data]),AVERAGE(Tab.11[b6])+Tab.11[[#This Row],[b8]]*_xlfn.STDEV.P(Tab.11[data])))</f>
        <v>0</v>
      </c>
      <c r="S27" s="71" t="b">
        <f>IF(Tab.11[[#This Row],[a1]]=1,$I$3+$A$987+IF($K$3=0,Tab.11[[#This Row],[b9]]*_xlfn.STDEV.P(Tab.11[data]),AVERAGE(Tab.11[b6])+Tab.11[[#This Row],[b9]]*_xlfn.STDEV.P(Tab.11[data])))</f>
        <v>0</v>
      </c>
      <c r="T27" s="71" t="b">
        <f>IF(Tab.11[[#This Row],[a1]]=1,$I$3+$A$988+IF($K$3=0,Tab.11[[#This Row],[b10]]*_xlfn.STDEV.P(Tab.11[data]),AVERAGE(Tab.11[b6])+Tab.11[[#This Row],[b10]]*_xlfn.STDEV.P(Tab.11[data])))</f>
        <v>0</v>
      </c>
      <c r="U27" s="72" t="b">
        <f>IF(Tab.11[[#This Row],[a1]]=1,Tab.11[[#This Row],[target]]-Tab.11[[#This Row],[Red]])</f>
        <v>0</v>
      </c>
      <c r="V27" s="72" t="b">
        <f>IF(Tab.11[[#This Row],[a1]]=1,Tab.11[[#This Row],[target]]-Tab.11[[#This Row],[Blue]])</f>
        <v>0</v>
      </c>
      <c r="W27" s="73" t="b">
        <f>IF(Tab.11[[#This Row],[a1]]=1,IF(ABS(Tab.11[[#This Row],[b17]])+ABS(Tab.11[[#This Row],[b18]])&lt;$W$2,$W$2,ABS(Tab.11[[#This Row],[b17]])+ABS(Tab.11[[#This Row],[b18]])))</f>
        <v>0</v>
      </c>
      <c r="X27" s="136" t="b">
        <f>IF(Tab.11[[#This Row],[a1]]=1,IF($W$3&lt;0,Tab.11[[#This Row],[IN]]-$I$3,Tab.11[[#This Row],[IN]]))</f>
        <v>0</v>
      </c>
      <c r="Y27" s="136" t="b">
        <f>IF(Tab.11[[#This Row],[a1]]=1,IF($X$3=0,Tab.11[b66],Tab.11[[#This Row],[b66]]-AVERAGE(Tab.11[b66])))</f>
        <v>0</v>
      </c>
      <c r="Z27" s="135" t="b">
        <f>IF(Tab.11[[#This Row],[a1]]=1,Tab.11[[#This Row],[b77]]/(_xlfn.STDEV.P(Tab.11[b77])))</f>
        <v>0</v>
      </c>
      <c r="AA27" s="70" t="b">
        <f>IF(Tab.11[[#This Row],[a1]]=1,_xlfn.NORM.DIST(Tab.11[[#This Row],[b88]],$Z$1,$AA$1,FALSE))</f>
        <v>0</v>
      </c>
      <c r="AB27" s="74" t="b">
        <f>IF(Tab.11[[#This Row],[a1]]=1,IF($A$3=0,FALSE,1/Tab.11[[#This Row],[IN]]*$AC$2*IF(Tab.11[[#This Row],[a1]]=0,,$A$3*$AC$1*1/$V$3*(Tab.11[[#This Row],[b14]]))))</f>
        <v>0</v>
      </c>
      <c r="AC27" s="75" t="b">
        <f>IF(Tab.11[[#This Row],[a1]]=1,IF($AC$3=0,Tab.11[[#This Row],[φ1]],Tab.11[[#This Row],[φ1]]/MAX(Tab.11[φ1])))</f>
        <v>0</v>
      </c>
      <c r="AD27" s="74" t="b">
        <f>IF(Tab.11[[#This Row],[a1]]=1,1/Tab.11[[#This Row],[φ2]])</f>
        <v>0</v>
      </c>
      <c r="AE27" s="74" t="b">
        <f>IF(Tab.11[[#This Row],[a1]]=1,IF($AE$3=0,Tab.11[[#This Row],[w.0]],Tab.11[[#This Row],[w.0]]/SUM(Tab.11[w.0])))</f>
        <v>0</v>
      </c>
      <c r="AF27" s="76" t="str">
        <f>IF(Tab.11[[#This Row],[a1]]=0,"false",[3]!Tab.x5[[#This Row],[%_seN_C]])</f>
        <v>false</v>
      </c>
      <c r="AG27" s="77" t="b">
        <f>IF(Tab.11[[#This Row],[a1]]=1,AP27)</f>
        <v>0</v>
      </c>
      <c r="AH27" s="78" t="b">
        <f>IF(Tab.11[[#This Row],[a1]]=1,AQ27)</f>
        <v>0</v>
      </c>
      <c r="AI27" s="41">
        <v>3.0000000000000001E-3</v>
      </c>
      <c r="AJ27" s="79">
        <v>-0.05</v>
      </c>
      <c r="AK27" s="80" t="b">
        <f>IF(Tab.11[[#This Row],[a1]]=1,1)</f>
        <v>0</v>
      </c>
      <c r="AZ27"/>
    </row>
    <row r="28" spans="1:52" hidden="1" x14ac:dyDescent="0.25">
      <c r="A28" s="61">
        <f t="shared" si="3"/>
        <v>0</v>
      </c>
      <c r="B28" s="62">
        <f t="shared" si="3"/>
        <v>0</v>
      </c>
      <c r="C28" s="62" t="b">
        <f>IF(Tab.11[[#This Row],[a1]]=1,[3]!Tab_x1[[#This Row],[Name]])</f>
        <v>0</v>
      </c>
      <c r="D28" s="63" t="b">
        <f>IF(Tab.11[[#This Row],[a1]]=1,AO28)</f>
        <v>0</v>
      </c>
      <c r="E28" s="63">
        <f t="shared" si="1"/>
        <v>0</v>
      </c>
      <c r="F28" s="64" t="b">
        <f>IF(Tab.11[[#This Row],[a1]]=1,Tab.11[[#This Row],[b1]])</f>
        <v>0</v>
      </c>
      <c r="G28" s="65" t="b">
        <f>IF(Tab.11[[#This Row],[a1]]=1,IF(Tab.11[[#This Row],[b3]]&gt;$L$989*$G$3,$L$989*$G$3,IF(Tab.11[[#This Row],[b3]]&lt;$M$989*$G$3,$M$989*$G$3,Tab.11[[#This Row],[b3]])))</f>
        <v>0</v>
      </c>
      <c r="H28" s="66" t="b">
        <f>IF(Tab.11[[#This Row],[a1]]=1,Tab.11[[#This Row],[b1]])</f>
        <v>0</v>
      </c>
      <c r="I28" s="67" t="b">
        <f>IF(Tab.11[[#This Row],[a1]]=1,Tab.11[[#This Row],[b1]])</f>
        <v>0</v>
      </c>
      <c r="J28" s="68" t="b">
        <f>IF(Tab.11[[#This Row],[a1]]=1,IF($I$3&lt;0,Tab.11[[#This Row],[b5]]-$I$3,Tab.11[[#This Row],[b5]]))</f>
        <v>0</v>
      </c>
      <c r="K28" s="68" t="b">
        <f>IF(Tab.11[[#This Row],[a1]]=1,IF($K$3=0,Tab.11[b6],Tab.11[[#This Row],[b6]]-AVERAGE(Tab.11[b6])))</f>
        <v>0</v>
      </c>
      <c r="L28" s="69" t="b">
        <f>IF(Tab.11[[#This Row],[a1]]=1,Tab.11[[#This Row],[data]]/(_xlfn.STDEV.P(Tab.11[data])*$B$989)+$A$989)</f>
        <v>0</v>
      </c>
      <c r="M28" s="69" t="b">
        <f>IF(Tab.11[[#This Row],[a1]]=1,Tab.11[[#This Row],[data]]/(_xlfn.STDEV.P(Tab.11[data])*$B$987)-$A$987)</f>
        <v>0</v>
      </c>
      <c r="N28" s="69" t="b">
        <f>IF(Tab.11[[#This Row],[a1]]=1,Tab.11[[#This Row],[data]]/(_xlfn.STDEV.P(Tab.11[data])*$B$988)+$A$988)</f>
        <v>0</v>
      </c>
      <c r="O28" s="70" t="b">
        <f>IF(Tab.11[[#This Row],[a1]]=1,_xlfn.NORM.DIST(Tab.11[[#This Row],[b8]],$P$1,$Q$1,FALSE))</f>
        <v>0</v>
      </c>
      <c r="P28" s="70" t="b">
        <f>IF(Tab.11[[#This Row],[a1]]=1,_xlfn.NORM.DIST(Tab.11[[#This Row],[b9]],$P$1,$Q$1,FALSE))</f>
        <v>0</v>
      </c>
      <c r="Q28" s="70" t="b">
        <f>IF(Tab.11[[#This Row],[a1]]=1,_xlfn.NORM.DIST(Tab.11[[#This Row],[b10]],$P$1,$Q$1,FALSE))</f>
        <v>0</v>
      </c>
      <c r="R28" s="67" t="b">
        <f>IF(Tab.11[[#This Row],[a1]]=1,$I$3+$A$989+IF($K$3=0,Tab.11[[#This Row],[b8]]*_xlfn.STDEV.P(Tab.11[data]),AVERAGE(Tab.11[b6])+Tab.11[[#This Row],[b8]]*_xlfn.STDEV.P(Tab.11[data])))</f>
        <v>0</v>
      </c>
      <c r="S28" s="71" t="b">
        <f>IF(Tab.11[[#This Row],[a1]]=1,$I$3+$A$987+IF($K$3=0,Tab.11[[#This Row],[b9]]*_xlfn.STDEV.P(Tab.11[data]),AVERAGE(Tab.11[b6])+Tab.11[[#This Row],[b9]]*_xlfn.STDEV.P(Tab.11[data])))</f>
        <v>0</v>
      </c>
      <c r="T28" s="71" t="b">
        <f>IF(Tab.11[[#This Row],[a1]]=1,$I$3+$A$988+IF($K$3=0,Tab.11[[#This Row],[b10]]*_xlfn.STDEV.P(Tab.11[data]),AVERAGE(Tab.11[b6])+Tab.11[[#This Row],[b10]]*_xlfn.STDEV.P(Tab.11[data])))</f>
        <v>0</v>
      </c>
      <c r="U28" s="72" t="b">
        <f>IF(Tab.11[[#This Row],[a1]]=1,Tab.11[[#This Row],[target]]-Tab.11[[#This Row],[Red]])</f>
        <v>0</v>
      </c>
      <c r="V28" s="72" t="b">
        <f>IF(Tab.11[[#This Row],[a1]]=1,Tab.11[[#This Row],[target]]-Tab.11[[#This Row],[Blue]])</f>
        <v>0</v>
      </c>
      <c r="W28" s="73" t="b">
        <f>IF(Tab.11[[#This Row],[a1]]=1,IF(ABS(Tab.11[[#This Row],[b17]])+ABS(Tab.11[[#This Row],[b18]])&lt;$W$2,$W$2,ABS(Tab.11[[#This Row],[b17]])+ABS(Tab.11[[#This Row],[b18]])))</f>
        <v>0</v>
      </c>
      <c r="X28" s="136" t="b">
        <f>IF(Tab.11[[#This Row],[a1]]=1,IF($W$3&lt;0,Tab.11[[#This Row],[IN]]-$I$3,Tab.11[[#This Row],[IN]]))</f>
        <v>0</v>
      </c>
      <c r="Y28" s="136" t="b">
        <f>IF(Tab.11[[#This Row],[a1]]=1,IF($X$3=0,Tab.11[b66],Tab.11[[#This Row],[b66]]-AVERAGE(Tab.11[b66])))</f>
        <v>0</v>
      </c>
      <c r="Z28" s="135" t="b">
        <f>IF(Tab.11[[#This Row],[a1]]=1,Tab.11[[#This Row],[b77]]/(_xlfn.STDEV.P(Tab.11[b77])))</f>
        <v>0</v>
      </c>
      <c r="AA28" s="70" t="b">
        <f>IF(Tab.11[[#This Row],[a1]]=1,_xlfn.NORM.DIST(Tab.11[[#This Row],[b88]],$Z$1,$AA$1,FALSE))</f>
        <v>0</v>
      </c>
      <c r="AB28" s="74" t="b">
        <f>IF(Tab.11[[#This Row],[a1]]=1,IF($A$3=0,FALSE,1/Tab.11[[#This Row],[IN]]*$AC$2*IF(Tab.11[[#This Row],[a1]]=0,,$A$3*$AC$1*1/$V$3*(Tab.11[[#This Row],[b14]]))))</f>
        <v>0</v>
      </c>
      <c r="AC28" s="75" t="b">
        <f>IF(Tab.11[[#This Row],[a1]]=1,IF($AC$3=0,Tab.11[[#This Row],[φ1]],Tab.11[[#This Row],[φ1]]/MAX(Tab.11[φ1])))</f>
        <v>0</v>
      </c>
      <c r="AD28" s="74" t="b">
        <f>IF(Tab.11[[#This Row],[a1]]=1,1/Tab.11[[#This Row],[φ2]])</f>
        <v>0</v>
      </c>
      <c r="AE28" s="74" t="b">
        <f>IF(Tab.11[[#This Row],[a1]]=1,IF($AE$3=0,Tab.11[[#This Row],[w.0]],Tab.11[[#This Row],[w.0]]/SUM(Tab.11[w.0])))</f>
        <v>0</v>
      </c>
      <c r="AF28" s="76" t="str">
        <f>IF(Tab.11[[#This Row],[a1]]=0,"false",[3]!Tab.x5[[#This Row],[%_seN_C]])</f>
        <v>false</v>
      </c>
      <c r="AG28" s="77" t="b">
        <f>IF(Tab.11[[#This Row],[a1]]=1,AP28)</f>
        <v>0</v>
      </c>
      <c r="AH28" s="78" t="b">
        <f>IF(Tab.11[[#This Row],[a1]]=1,AQ28)</f>
        <v>0</v>
      </c>
      <c r="AI28" s="41">
        <v>3.0000000000000001E-3</v>
      </c>
      <c r="AJ28" s="79">
        <v>-0.01</v>
      </c>
      <c r="AK28" s="80" t="b">
        <f>IF(Tab.11[[#This Row],[a1]]=1,1)</f>
        <v>0</v>
      </c>
      <c r="AZ28"/>
    </row>
    <row r="29" spans="1:52" hidden="1" x14ac:dyDescent="0.25">
      <c r="A29" s="61">
        <f t="shared" si="3"/>
        <v>0</v>
      </c>
      <c r="B29" s="62">
        <f t="shared" si="3"/>
        <v>0</v>
      </c>
      <c r="C29" s="62" t="b">
        <f>IF(Tab.11[[#This Row],[a1]]=1,[3]!Tab_x1[[#This Row],[Name]])</f>
        <v>0</v>
      </c>
      <c r="D29" s="63" t="b">
        <f>IF(Tab.11[[#This Row],[a1]]=1,AO29)</f>
        <v>0</v>
      </c>
      <c r="E29" s="63">
        <f t="shared" si="1"/>
        <v>0</v>
      </c>
      <c r="F29" s="64" t="b">
        <f>IF(Tab.11[[#This Row],[a1]]=1,Tab.11[[#This Row],[b1]])</f>
        <v>0</v>
      </c>
      <c r="G29" s="65" t="b">
        <f>IF(Tab.11[[#This Row],[a1]]=1,IF(Tab.11[[#This Row],[b3]]&gt;$L$989*$G$3,$L$989*$G$3,IF(Tab.11[[#This Row],[b3]]&lt;$M$989*$G$3,$M$989*$G$3,Tab.11[[#This Row],[b3]])))</f>
        <v>0</v>
      </c>
      <c r="H29" s="66" t="b">
        <f>IF(Tab.11[[#This Row],[a1]]=1,Tab.11[[#This Row],[b1]])</f>
        <v>0</v>
      </c>
      <c r="I29" s="67" t="b">
        <f>IF(Tab.11[[#This Row],[a1]]=1,Tab.11[[#This Row],[b1]])</f>
        <v>0</v>
      </c>
      <c r="J29" s="68" t="b">
        <f>IF(Tab.11[[#This Row],[a1]]=1,IF($I$3&lt;0,Tab.11[[#This Row],[b5]]-$I$3,Tab.11[[#This Row],[b5]]))</f>
        <v>0</v>
      </c>
      <c r="K29" s="68" t="b">
        <f>IF(Tab.11[[#This Row],[a1]]=1,IF($K$3=0,Tab.11[b6],Tab.11[[#This Row],[b6]]-AVERAGE(Tab.11[b6])))</f>
        <v>0</v>
      </c>
      <c r="L29" s="69" t="b">
        <f>IF(Tab.11[[#This Row],[a1]]=1,Tab.11[[#This Row],[data]]/(_xlfn.STDEV.P(Tab.11[data])*$B$989)+$A$989)</f>
        <v>0</v>
      </c>
      <c r="M29" s="69" t="b">
        <f>IF(Tab.11[[#This Row],[a1]]=1,Tab.11[[#This Row],[data]]/(_xlfn.STDEV.P(Tab.11[data])*$B$987)-$A$987)</f>
        <v>0</v>
      </c>
      <c r="N29" s="69" t="b">
        <f>IF(Tab.11[[#This Row],[a1]]=1,Tab.11[[#This Row],[data]]/(_xlfn.STDEV.P(Tab.11[data])*$B$988)+$A$988)</f>
        <v>0</v>
      </c>
      <c r="O29" s="70" t="b">
        <f>IF(Tab.11[[#This Row],[a1]]=1,_xlfn.NORM.DIST(Tab.11[[#This Row],[b8]],$P$1,$Q$1,FALSE))</f>
        <v>0</v>
      </c>
      <c r="P29" s="70" t="b">
        <f>IF(Tab.11[[#This Row],[a1]]=1,_xlfn.NORM.DIST(Tab.11[[#This Row],[b9]],$P$1,$Q$1,FALSE))</f>
        <v>0</v>
      </c>
      <c r="Q29" s="70" t="b">
        <f>IF(Tab.11[[#This Row],[a1]]=1,_xlfn.NORM.DIST(Tab.11[[#This Row],[b10]],$P$1,$Q$1,FALSE))</f>
        <v>0</v>
      </c>
      <c r="R29" s="67" t="b">
        <f>IF(Tab.11[[#This Row],[a1]]=1,$I$3+$A$989+IF($K$3=0,Tab.11[[#This Row],[b8]]*_xlfn.STDEV.P(Tab.11[data]),AVERAGE(Tab.11[b6])+Tab.11[[#This Row],[b8]]*_xlfn.STDEV.P(Tab.11[data])))</f>
        <v>0</v>
      </c>
      <c r="S29" s="71" t="b">
        <f>IF(Tab.11[[#This Row],[a1]]=1,$I$3+$A$987+IF($K$3=0,Tab.11[[#This Row],[b9]]*_xlfn.STDEV.P(Tab.11[data]),AVERAGE(Tab.11[b6])+Tab.11[[#This Row],[b9]]*_xlfn.STDEV.P(Tab.11[data])))</f>
        <v>0</v>
      </c>
      <c r="T29" s="71" t="b">
        <f>IF(Tab.11[[#This Row],[a1]]=1,$I$3+$A$988+IF($K$3=0,Tab.11[[#This Row],[b10]]*_xlfn.STDEV.P(Tab.11[data]),AVERAGE(Tab.11[b6])+Tab.11[[#This Row],[b10]]*_xlfn.STDEV.P(Tab.11[data])))</f>
        <v>0</v>
      </c>
      <c r="U29" s="72" t="b">
        <f>IF(Tab.11[[#This Row],[a1]]=1,Tab.11[[#This Row],[target]]-Tab.11[[#This Row],[Red]])</f>
        <v>0</v>
      </c>
      <c r="V29" s="72" t="b">
        <f>IF(Tab.11[[#This Row],[a1]]=1,Tab.11[[#This Row],[target]]-Tab.11[[#This Row],[Blue]])</f>
        <v>0</v>
      </c>
      <c r="W29" s="73" t="b">
        <f>IF(Tab.11[[#This Row],[a1]]=1,IF(ABS(Tab.11[[#This Row],[b17]])+ABS(Tab.11[[#This Row],[b18]])&lt;$W$2,$W$2,ABS(Tab.11[[#This Row],[b17]])+ABS(Tab.11[[#This Row],[b18]])))</f>
        <v>0</v>
      </c>
      <c r="X29" s="136" t="b">
        <f>IF(Tab.11[[#This Row],[a1]]=1,IF($W$3&lt;0,Tab.11[[#This Row],[IN]]-$I$3,Tab.11[[#This Row],[IN]]))</f>
        <v>0</v>
      </c>
      <c r="Y29" s="136" t="b">
        <f>IF(Tab.11[[#This Row],[a1]]=1,IF($X$3=0,Tab.11[b66],Tab.11[[#This Row],[b66]]-AVERAGE(Tab.11[b66])))</f>
        <v>0</v>
      </c>
      <c r="Z29" s="135" t="b">
        <f>IF(Tab.11[[#This Row],[a1]]=1,Tab.11[[#This Row],[b77]]/(_xlfn.STDEV.P(Tab.11[b77])))</f>
        <v>0</v>
      </c>
      <c r="AA29" s="70" t="b">
        <f>IF(Tab.11[[#This Row],[a1]]=1,_xlfn.NORM.DIST(Tab.11[[#This Row],[b88]],$Z$1,$AA$1,FALSE))</f>
        <v>0</v>
      </c>
      <c r="AB29" s="74" t="b">
        <f>IF(Tab.11[[#This Row],[a1]]=1,IF($A$3=0,FALSE,1/Tab.11[[#This Row],[IN]]*$AC$2*IF(Tab.11[[#This Row],[a1]]=0,,$A$3*$AC$1*1/$V$3*(Tab.11[[#This Row],[b14]]))))</f>
        <v>0</v>
      </c>
      <c r="AC29" s="75" t="b">
        <f>IF(Tab.11[[#This Row],[a1]]=1,IF($AC$3=0,Tab.11[[#This Row],[φ1]],Tab.11[[#This Row],[φ1]]/MAX(Tab.11[φ1])))</f>
        <v>0</v>
      </c>
      <c r="AD29" s="74" t="b">
        <f>IF(Tab.11[[#This Row],[a1]]=1,1/Tab.11[[#This Row],[φ2]])</f>
        <v>0</v>
      </c>
      <c r="AE29" s="74" t="b">
        <f>IF(Tab.11[[#This Row],[a1]]=1,IF($AE$3=0,Tab.11[[#This Row],[w.0]],Tab.11[[#This Row],[w.0]]/SUM(Tab.11[w.0])))</f>
        <v>0</v>
      </c>
      <c r="AF29" s="76" t="str">
        <f>IF(Tab.11[[#This Row],[a1]]=0,"false",[3]!Tab.x5[[#This Row],[%_seN_C]])</f>
        <v>false</v>
      </c>
      <c r="AG29" s="77" t="b">
        <f>IF(Tab.11[[#This Row],[a1]]=1,AP29)</f>
        <v>0</v>
      </c>
      <c r="AH29" s="78" t="b">
        <f>IF(Tab.11[[#This Row],[a1]]=1,AQ29)</f>
        <v>0</v>
      </c>
      <c r="AI29" s="41">
        <v>3.0000000000000001E-3</v>
      </c>
      <c r="AJ29" s="79">
        <v>-0.08</v>
      </c>
      <c r="AK29" s="80" t="b">
        <f>IF(Tab.11[[#This Row],[a1]]=1,1)</f>
        <v>0</v>
      </c>
      <c r="AZ29"/>
    </row>
    <row r="30" spans="1:52" hidden="1" x14ac:dyDescent="0.25">
      <c r="A30" s="61">
        <f t="shared" si="3"/>
        <v>0</v>
      </c>
      <c r="B30" s="62">
        <f t="shared" si="3"/>
        <v>0</v>
      </c>
      <c r="C30" s="62" t="b">
        <f>IF(Tab.11[[#This Row],[a1]]=1,[3]!Tab_x1[[#This Row],[Name]])</f>
        <v>0</v>
      </c>
      <c r="D30" s="63" t="b">
        <f>IF(Tab.11[[#This Row],[a1]]=1,AO30)</f>
        <v>0</v>
      </c>
      <c r="E30" s="63">
        <f t="shared" si="1"/>
        <v>0</v>
      </c>
      <c r="F30" s="64" t="b">
        <f>IF(Tab.11[[#This Row],[a1]]=1,Tab.11[[#This Row],[b1]])</f>
        <v>0</v>
      </c>
      <c r="G30" s="65" t="b">
        <f>IF(Tab.11[[#This Row],[a1]]=1,IF(Tab.11[[#This Row],[b3]]&gt;$L$989*$G$3,$L$989*$G$3,IF(Tab.11[[#This Row],[b3]]&lt;$M$989*$G$3,$M$989*$G$3,Tab.11[[#This Row],[b3]])))</f>
        <v>0</v>
      </c>
      <c r="H30" s="66" t="b">
        <f>IF(Tab.11[[#This Row],[a1]]=1,Tab.11[[#This Row],[b1]])</f>
        <v>0</v>
      </c>
      <c r="I30" s="67" t="b">
        <f>IF(Tab.11[[#This Row],[a1]]=1,Tab.11[[#This Row],[b1]])</f>
        <v>0</v>
      </c>
      <c r="J30" s="68" t="b">
        <f>IF(Tab.11[[#This Row],[a1]]=1,IF($I$3&lt;0,Tab.11[[#This Row],[b5]]-$I$3,Tab.11[[#This Row],[b5]]))</f>
        <v>0</v>
      </c>
      <c r="K30" s="68" t="b">
        <f>IF(Tab.11[[#This Row],[a1]]=1,IF($K$3=0,Tab.11[b6],Tab.11[[#This Row],[b6]]-AVERAGE(Tab.11[b6])))</f>
        <v>0</v>
      </c>
      <c r="L30" s="69" t="b">
        <f>IF(Tab.11[[#This Row],[a1]]=1,Tab.11[[#This Row],[data]]/(_xlfn.STDEV.P(Tab.11[data])*$B$989)+$A$989)</f>
        <v>0</v>
      </c>
      <c r="M30" s="69" t="b">
        <f>IF(Tab.11[[#This Row],[a1]]=1,Tab.11[[#This Row],[data]]/(_xlfn.STDEV.P(Tab.11[data])*$B$987)-$A$987)</f>
        <v>0</v>
      </c>
      <c r="N30" s="69" t="b">
        <f>IF(Tab.11[[#This Row],[a1]]=1,Tab.11[[#This Row],[data]]/(_xlfn.STDEV.P(Tab.11[data])*$B$988)+$A$988)</f>
        <v>0</v>
      </c>
      <c r="O30" s="70" t="b">
        <f>IF(Tab.11[[#This Row],[a1]]=1,_xlfn.NORM.DIST(Tab.11[[#This Row],[b8]],$P$1,$Q$1,FALSE))</f>
        <v>0</v>
      </c>
      <c r="P30" s="70" t="b">
        <f>IF(Tab.11[[#This Row],[a1]]=1,_xlfn.NORM.DIST(Tab.11[[#This Row],[b9]],$P$1,$Q$1,FALSE))</f>
        <v>0</v>
      </c>
      <c r="Q30" s="70" t="b">
        <f>IF(Tab.11[[#This Row],[a1]]=1,_xlfn.NORM.DIST(Tab.11[[#This Row],[b10]],$P$1,$Q$1,FALSE))</f>
        <v>0</v>
      </c>
      <c r="R30" s="67" t="b">
        <f>IF(Tab.11[[#This Row],[a1]]=1,$I$3+$A$989+IF($K$3=0,Tab.11[[#This Row],[b8]]*_xlfn.STDEV.P(Tab.11[data]),AVERAGE(Tab.11[b6])+Tab.11[[#This Row],[b8]]*_xlfn.STDEV.P(Tab.11[data])))</f>
        <v>0</v>
      </c>
      <c r="S30" s="71" t="b">
        <f>IF(Tab.11[[#This Row],[a1]]=1,$I$3+$A$987+IF($K$3=0,Tab.11[[#This Row],[b9]]*_xlfn.STDEV.P(Tab.11[data]),AVERAGE(Tab.11[b6])+Tab.11[[#This Row],[b9]]*_xlfn.STDEV.P(Tab.11[data])))</f>
        <v>0</v>
      </c>
      <c r="T30" s="71" t="b">
        <f>IF(Tab.11[[#This Row],[a1]]=1,$I$3+$A$988+IF($K$3=0,Tab.11[[#This Row],[b10]]*_xlfn.STDEV.P(Tab.11[data]),AVERAGE(Tab.11[b6])+Tab.11[[#This Row],[b10]]*_xlfn.STDEV.P(Tab.11[data])))</f>
        <v>0</v>
      </c>
      <c r="U30" s="72" t="b">
        <f>IF(Tab.11[[#This Row],[a1]]=1,Tab.11[[#This Row],[target]]-Tab.11[[#This Row],[Red]])</f>
        <v>0</v>
      </c>
      <c r="V30" s="72" t="b">
        <f>IF(Tab.11[[#This Row],[a1]]=1,Tab.11[[#This Row],[target]]-Tab.11[[#This Row],[Blue]])</f>
        <v>0</v>
      </c>
      <c r="W30" s="73" t="b">
        <f>IF(Tab.11[[#This Row],[a1]]=1,IF(ABS(Tab.11[[#This Row],[b17]])+ABS(Tab.11[[#This Row],[b18]])&lt;$W$2,$W$2,ABS(Tab.11[[#This Row],[b17]])+ABS(Tab.11[[#This Row],[b18]])))</f>
        <v>0</v>
      </c>
      <c r="X30" s="136" t="b">
        <f>IF(Tab.11[[#This Row],[a1]]=1,IF($W$3&lt;0,Tab.11[[#This Row],[IN]]-$I$3,Tab.11[[#This Row],[IN]]))</f>
        <v>0</v>
      </c>
      <c r="Y30" s="136" t="b">
        <f>IF(Tab.11[[#This Row],[a1]]=1,IF($X$3=0,Tab.11[b66],Tab.11[[#This Row],[b66]]-AVERAGE(Tab.11[b66])))</f>
        <v>0</v>
      </c>
      <c r="Z30" s="135" t="b">
        <f>IF(Tab.11[[#This Row],[a1]]=1,Tab.11[[#This Row],[b77]]/(_xlfn.STDEV.P(Tab.11[b77])))</f>
        <v>0</v>
      </c>
      <c r="AA30" s="70" t="b">
        <f>IF(Tab.11[[#This Row],[a1]]=1,_xlfn.NORM.DIST(Tab.11[[#This Row],[b88]],$Z$1,$AA$1,FALSE))</f>
        <v>0</v>
      </c>
      <c r="AB30" s="74" t="b">
        <f>IF(Tab.11[[#This Row],[a1]]=1,IF($A$3=0,FALSE,1/Tab.11[[#This Row],[IN]]*$AC$2*IF(Tab.11[[#This Row],[a1]]=0,,$A$3*$AC$1*1/$V$3*(Tab.11[[#This Row],[b14]]))))</f>
        <v>0</v>
      </c>
      <c r="AC30" s="75" t="b">
        <f>IF(Tab.11[[#This Row],[a1]]=1,IF($AC$3=0,Tab.11[[#This Row],[φ1]],Tab.11[[#This Row],[φ1]]/MAX(Tab.11[φ1])))</f>
        <v>0</v>
      </c>
      <c r="AD30" s="74" t="b">
        <f>IF(Tab.11[[#This Row],[a1]]=1,1/Tab.11[[#This Row],[φ2]])</f>
        <v>0</v>
      </c>
      <c r="AE30" s="74" t="b">
        <f>IF(Tab.11[[#This Row],[a1]]=1,IF($AE$3=0,Tab.11[[#This Row],[w.0]],Tab.11[[#This Row],[w.0]]/SUM(Tab.11[w.0])))</f>
        <v>0</v>
      </c>
      <c r="AF30" s="76" t="str">
        <f>IF(Tab.11[[#This Row],[a1]]=0,"false",[3]!Tab.x5[[#This Row],[%_seN_C]])</f>
        <v>false</v>
      </c>
      <c r="AG30" s="77" t="b">
        <f>IF(Tab.11[[#This Row],[a1]]=1,AP30)</f>
        <v>0</v>
      </c>
      <c r="AH30" s="78" t="b">
        <f>IF(Tab.11[[#This Row],[a1]]=1,AQ30)</f>
        <v>0</v>
      </c>
      <c r="AI30" s="41">
        <v>3.0000000000000001E-3</v>
      </c>
      <c r="AJ30" s="79">
        <v>-0.09</v>
      </c>
      <c r="AK30" s="80" t="b">
        <f>IF(Tab.11[[#This Row],[a1]]=1,1)</f>
        <v>0</v>
      </c>
      <c r="AZ30"/>
    </row>
    <row r="31" spans="1:52" hidden="1" x14ac:dyDescent="0.25">
      <c r="A31" s="61">
        <f t="shared" si="3"/>
        <v>0</v>
      </c>
      <c r="B31" s="62">
        <f t="shared" si="3"/>
        <v>0</v>
      </c>
      <c r="C31" s="62" t="b">
        <f>IF(Tab.11[[#This Row],[a1]]=1,[3]!Tab_x1[[#This Row],[Name]])</f>
        <v>0</v>
      </c>
      <c r="D31" s="63" t="b">
        <f>IF(Tab.11[[#This Row],[a1]]=1,AO31)</f>
        <v>0</v>
      </c>
      <c r="E31" s="63">
        <f t="shared" si="1"/>
        <v>0</v>
      </c>
      <c r="F31" s="64" t="b">
        <f>IF(Tab.11[[#This Row],[a1]]=1,Tab.11[[#This Row],[b1]])</f>
        <v>0</v>
      </c>
      <c r="G31" s="65" t="b">
        <f>IF(Tab.11[[#This Row],[a1]]=1,IF(Tab.11[[#This Row],[b3]]&gt;$L$989*$G$3,$L$989*$G$3,IF(Tab.11[[#This Row],[b3]]&lt;$M$989*$G$3,$M$989*$G$3,Tab.11[[#This Row],[b3]])))</f>
        <v>0</v>
      </c>
      <c r="H31" s="66" t="b">
        <f>IF(Tab.11[[#This Row],[a1]]=1,Tab.11[[#This Row],[b1]])</f>
        <v>0</v>
      </c>
      <c r="I31" s="67" t="b">
        <f>IF(Tab.11[[#This Row],[a1]]=1,Tab.11[[#This Row],[b1]])</f>
        <v>0</v>
      </c>
      <c r="J31" s="68" t="b">
        <f>IF(Tab.11[[#This Row],[a1]]=1,IF($I$3&lt;0,Tab.11[[#This Row],[b5]]-$I$3,Tab.11[[#This Row],[b5]]))</f>
        <v>0</v>
      </c>
      <c r="K31" s="68" t="b">
        <f>IF(Tab.11[[#This Row],[a1]]=1,IF($K$3=0,Tab.11[b6],Tab.11[[#This Row],[b6]]-AVERAGE(Tab.11[b6])))</f>
        <v>0</v>
      </c>
      <c r="L31" s="69" t="b">
        <f>IF(Tab.11[[#This Row],[a1]]=1,Tab.11[[#This Row],[data]]/(_xlfn.STDEV.P(Tab.11[data])*$B$989)+$A$989)</f>
        <v>0</v>
      </c>
      <c r="M31" s="69" t="b">
        <f>IF(Tab.11[[#This Row],[a1]]=1,Tab.11[[#This Row],[data]]/(_xlfn.STDEV.P(Tab.11[data])*$B$987)-$A$987)</f>
        <v>0</v>
      </c>
      <c r="N31" s="69" t="b">
        <f>IF(Tab.11[[#This Row],[a1]]=1,Tab.11[[#This Row],[data]]/(_xlfn.STDEV.P(Tab.11[data])*$B$988)+$A$988)</f>
        <v>0</v>
      </c>
      <c r="O31" s="70" t="b">
        <f>IF(Tab.11[[#This Row],[a1]]=1,_xlfn.NORM.DIST(Tab.11[[#This Row],[b8]],$P$1,$Q$1,FALSE))</f>
        <v>0</v>
      </c>
      <c r="P31" s="70" t="b">
        <f>IF(Tab.11[[#This Row],[a1]]=1,_xlfn.NORM.DIST(Tab.11[[#This Row],[b9]],$P$1,$Q$1,FALSE))</f>
        <v>0</v>
      </c>
      <c r="Q31" s="70" t="b">
        <f>IF(Tab.11[[#This Row],[a1]]=1,_xlfn.NORM.DIST(Tab.11[[#This Row],[b10]],$P$1,$Q$1,FALSE))</f>
        <v>0</v>
      </c>
      <c r="R31" s="67" t="b">
        <f>IF(Tab.11[[#This Row],[a1]]=1,$I$3+$A$989+IF($K$3=0,Tab.11[[#This Row],[b8]]*_xlfn.STDEV.P(Tab.11[data]),AVERAGE(Tab.11[b6])+Tab.11[[#This Row],[b8]]*_xlfn.STDEV.P(Tab.11[data])))</f>
        <v>0</v>
      </c>
      <c r="S31" s="71" t="b">
        <f>IF(Tab.11[[#This Row],[a1]]=1,$I$3+$A$987+IF($K$3=0,Tab.11[[#This Row],[b9]]*_xlfn.STDEV.P(Tab.11[data]),AVERAGE(Tab.11[b6])+Tab.11[[#This Row],[b9]]*_xlfn.STDEV.P(Tab.11[data])))</f>
        <v>0</v>
      </c>
      <c r="T31" s="71" t="b">
        <f>IF(Tab.11[[#This Row],[a1]]=1,$I$3+$A$988+IF($K$3=0,Tab.11[[#This Row],[b10]]*_xlfn.STDEV.P(Tab.11[data]),AVERAGE(Tab.11[b6])+Tab.11[[#This Row],[b10]]*_xlfn.STDEV.P(Tab.11[data])))</f>
        <v>0</v>
      </c>
      <c r="U31" s="72" t="b">
        <f>IF(Tab.11[[#This Row],[a1]]=1,Tab.11[[#This Row],[target]]-Tab.11[[#This Row],[Red]])</f>
        <v>0</v>
      </c>
      <c r="V31" s="72" t="b">
        <f>IF(Tab.11[[#This Row],[a1]]=1,Tab.11[[#This Row],[target]]-Tab.11[[#This Row],[Blue]])</f>
        <v>0</v>
      </c>
      <c r="W31" s="73" t="b">
        <f>IF(Tab.11[[#This Row],[a1]]=1,IF(ABS(Tab.11[[#This Row],[b17]])+ABS(Tab.11[[#This Row],[b18]])&lt;$W$2,$W$2,ABS(Tab.11[[#This Row],[b17]])+ABS(Tab.11[[#This Row],[b18]])))</f>
        <v>0</v>
      </c>
      <c r="X31" s="136" t="b">
        <f>IF(Tab.11[[#This Row],[a1]]=1,IF($W$3&lt;0,Tab.11[[#This Row],[IN]]-$I$3,Tab.11[[#This Row],[IN]]))</f>
        <v>0</v>
      </c>
      <c r="Y31" s="136" t="b">
        <f>IF(Tab.11[[#This Row],[a1]]=1,IF($X$3=0,Tab.11[b66],Tab.11[[#This Row],[b66]]-AVERAGE(Tab.11[b66])))</f>
        <v>0</v>
      </c>
      <c r="Z31" s="135" t="b">
        <f>IF(Tab.11[[#This Row],[a1]]=1,Tab.11[[#This Row],[b77]]/(_xlfn.STDEV.P(Tab.11[b77])))</f>
        <v>0</v>
      </c>
      <c r="AA31" s="70" t="b">
        <f>IF(Tab.11[[#This Row],[a1]]=1,_xlfn.NORM.DIST(Tab.11[[#This Row],[b88]],$Z$1,$AA$1,FALSE))</f>
        <v>0</v>
      </c>
      <c r="AB31" s="74" t="b">
        <f>IF(Tab.11[[#This Row],[a1]]=1,IF($A$3=0,FALSE,1/Tab.11[[#This Row],[IN]]*$AC$2*IF(Tab.11[[#This Row],[a1]]=0,,$A$3*$AC$1*1/$V$3*(Tab.11[[#This Row],[b14]]))))</f>
        <v>0</v>
      </c>
      <c r="AC31" s="75" t="b">
        <f>IF(Tab.11[[#This Row],[a1]]=1,IF($AC$3=0,Tab.11[[#This Row],[φ1]],Tab.11[[#This Row],[φ1]]/MAX(Tab.11[φ1])))</f>
        <v>0</v>
      </c>
      <c r="AD31" s="74" t="b">
        <f>IF(Tab.11[[#This Row],[a1]]=1,1/Tab.11[[#This Row],[φ2]])</f>
        <v>0</v>
      </c>
      <c r="AE31" s="74" t="b">
        <f>IF(Tab.11[[#This Row],[a1]]=1,IF($AE$3=0,Tab.11[[#This Row],[w.0]],Tab.11[[#This Row],[w.0]]/SUM(Tab.11[w.0])))</f>
        <v>0</v>
      </c>
      <c r="AF31" s="76" t="str">
        <f>IF(Tab.11[[#This Row],[a1]]=0,"false",[3]!Tab.x5[[#This Row],[%_seN_C]])</f>
        <v>false</v>
      </c>
      <c r="AG31" s="77" t="b">
        <f>IF(Tab.11[[#This Row],[a1]]=1,AP31)</f>
        <v>0</v>
      </c>
      <c r="AH31" s="78" t="b">
        <f>IF(Tab.11[[#This Row],[a1]]=1,AQ31)</f>
        <v>0</v>
      </c>
      <c r="AI31" s="41">
        <v>3.0000000000000001E-3</v>
      </c>
      <c r="AJ31" s="79">
        <v>0.03</v>
      </c>
      <c r="AK31" s="80" t="b">
        <f>IF(Tab.11[[#This Row],[a1]]=1,1)</f>
        <v>0</v>
      </c>
      <c r="AZ31"/>
    </row>
    <row r="32" spans="1:52" hidden="1" x14ac:dyDescent="0.25">
      <c r="A32" s="61">
        <f t="shared" si="3"/>
        <v>0</v>
      </c>
      <c r="B32" s="62">
        <f t="shared" si="3"/>
        <v>0</v>
      </c>
      <c r="C32" s="62" t="b">
        <f>IF(Tab.11[[#This Row],[a1]]=1,[3]!Tab_x1[[#This Row],[Name]])</f>
        <v>0</v>
      </c>
      <c r="D32" s="63" t="b">
        <f>IF(Tab.11[[#This Row],[a1]]=1,AO32)</f>
        <v>0</v>
      </c>
      <c r="E32" s="63">
        <f t="shared" si="1"/>
        <v>0</v>
      </c>
      <c r="F32" s="64" t="b">
        <f>IF(Tab.11[[#This Row],[a1]]=1,Tab.11[[#This Row],[b1]])</f>
        <v>0</v>
      </c>
      <c r="G32" s="65" t="b">
        <f>IF(Tab.11[[#This Row],[a1]]=1,IF(Tab.11[[#This Row],[b3]]&gt;$L$989*$G$3,$L$989*$G$3,IF(Tab.11[[#This Row],[b3]]&lt;$M$989*$G$3,$M$989*$G$3,Tab.11[[#This Row],[b3]])))</f>
        <v>0</v>
      </c>
      <c r="H32" s="66" t="b">
        <f>IF(Tab.11[[#This Row],[a1]]=1,Tab.11[[#This Row],[b1]])</f>
        <v>0</v>
      </c>
      <c r="I32" s="67" t="b">
        <f>IF(Tab.11[[#This Row],[a1]]=1,Tab.11[[#This Row],[b1]])</f>
        <v>0</v>
      </c>
      <c r="J32" s="68" t="b">
        <f>IF(Tab.11[[#This Row],[a1]]=1,IF($I$3&lt;0,Tab.11[[#This Row],[b5]]-$I$3,Tab.11[[#This Row],[b5]]))</f>
        <v>0</v>
      </c>
      <c r="K32" s="68" t="b">
        <f>IF(Tab.11[[#This Row],[a1]]=1,IF($K$3=0,Tab.11[b6],Tab.11[[#This Row],[b6]]-AVERAGE(Tab.11[b6])))</f>
        <v>0</v>
      </c>
      <c r="L32" s="69" t="b">
        <f>IF(Tab.11[[#This Row],[a1]]=1,Tab.11[[#This Row],[data]]/(_xlfn.STDEV.P(Tab.11[data])*$B$989)+$A$989)</f>
        <v>0</v>
      </c>
      <c r="M32" s="69" t="b">
        <f>IF(Tab.11[[#This Row],[a1]]=1,Tab.11[[#This Row],[data]]/(_xlfn.STDEV.P(Tab.11[data])*$B$987)-$A$987)</f>
        <v>0</v>
      </c>
      <c r="N32" s="69" t="b">
        <f>IF(Tab.11[[#This Row],[a1]]=1,Tab.11[[#This Row],[data]]/(_xlfn.STDEV.P(Tab.11[data])*$B$988)+$A$988)</f>
        <v>0</v>
      </c>
      <c r="O32" s="70" t="b">
        <f>IF(Tab.11[[#This Row],[a1]]=1,_xlfn.NORM.DIST(Tab.11[[#This Row],[b8]],$P$1,$Q$1,FALSE))</f>
        <v>0</v>
      </c>
      <c r="P32" s="70" t="b">
        <f>IF(Tab.11[[#This Row],[a1]]=1,_xlfn.NORM.DIST(Tab.11[[#This Row],[b9]],$P$1,$Q$1,FALSE))</f>
        <v>0</v>
      </c>
      <c r="Q32" s="70" t="b">
        <f>IF(Tab.11[[#This Row],[a1]]=1,_xlfn.NORM.DIST(Tab.11[[#This Row],[b10]],$P$1,$Q$1,FALSE))</f>
        <v>0</v>
      </c>
      <c r="R32" s="67" t="b">
        <f>IF(Tab.11[[#This Row],[a1]]=1,$I$3+$A$989+IF($K$3=0,Tab.11[[#This Row],[b8]]*_xlfn.STDEV.P(Tab.11[data]),AVERAGE(Tab.11[b6])+Tab.11[[#This Row],[b8]]*_xlfn.STDEV.P(Tab.11[data])))</f>
        <v>0</v>
      </c>
      <c r="S32" s="71" t="b">
        <f>IF(Tab.11[[#This Row],[a1]]=1,$I$3+$A$987+IF($K$3=0,Tab.11[[#This Row],[b9]]*_xlfn.STDEV.P(Tab.11[data]),AVERAGE(Tab.11[b6])+Tab.11[[#This Row],[b9]]*_xlfn.STDEV.P(Tab.11[data])))</f>
        <v>0</v>
      </c>
      <c r="T32" s="71" t="b">
        <f>IF(Tab.11[[#This Row],[a1]]=1,$I$3+$A$988+IF($K$3=0,Tab.11[[#This Row],[b10]]*_xlfn.STDEV.P(Tab.11[data]),AVERAGE(Tab.11[b6])+Tab.11[[#This Row],[b10]]*_xlfn.STDEV.P(Tab.11[data])))</f>
        <v>0</v>
      </c>
      <c r="U32" s="72" t="b">
        <f>IF(Tab.11[[#This Row],[a1]]=1,Tab.11[[#This Row],[target]]-Tab.11[[#This Row],[Red]])</f>
        <v>0</v>
      </c>
      <c r="V32" s="72" t="b">
        <f>IF(Tab.11[[#This Row],[a1]]=1,Tab.11[[#This Row],[target]]-Tab.11[[#This Row],[Blue]])</f>
        <v>0</v>
      </c>
      <c r="W32" s="73" t="b">
        <f>IF(Tab.11[[#This Row],[a1]]=1,IF(ABS(Tab.11[[#This Row],[b17]])+ABS(Tab.11[[#This Row],[b18]])&lt;$W$2,$W$2,ABS(Tab.11[[#This Row],[b17]])+ABS(Tab.11[[#This Row],[b18]])))</f>
        <v>0</v>
      </c>
      <c r="X32" s="136" t="b">
        <f>IF(Tab.11[[#This Row],[a1]]=1,IF($W$3&lt;0,Tab.11[[#This Row],[IN]]-$I$3,Tab.11[[#This Row],[IN]]))</f>
        <v>0</v>
      </c>
      <c r="Y32" s="136" t="b">
        <f>IF(Tab.11[[#This Row],[a1]]=1,IF($X$3=0,Tab.11[b66],Tab.11[[#This Row],[b66]]-AVERAGE(Tab.11[b66])))</f>
        <v>0</v>
      </c>
      <c r="Z32" s="135" t="b">
        <f>IF(Tab.11[[#This Row],[a1]]=1,Tab.11[[#This Row],[b77]]/(_xlfn.STDEV.P(Tab.11[b77])))</f>
        <v>0</v>
      </c>
      <c r="AA32" s="70" t="b">
        <f>IF(Tab.11[[#This Row],[a1]]=1,_xlfn.NORM.DIST(Tab.11[[#This Row],[b88]],$Z$1,$AA$1,FALSE))</f>
        <v>0</v>
      </c>
      <c r="AB32" s="74" t="b">
        <f>IF(Tab.11[[#This Row],[a1]]=1,IF($A$3=0,FALSE,1/Tab.11[[#This Row],[IN]]*$AC$2*IF(Tab.11[[#This Row],[a1]]=0,,$A$3*$AC$1*1/$V$3*(Tab.11[[#This Row],[b14]]))))</f>
        <v>0</v>
      </c>
      <c r="AC32" s="75" t="b">
        <f>IF(Tab.11[[#This Row],[a1]]=1,IF($AC$3=0,Tab.11[[#This Row],[φ1]],Tab.11[[#This Row],[φ1]]/MAX(Tab.11[φ1])))</f>
        <v>0</v>
      </c>
      <c r="AD32" s="74" t="b">
        <f>IF(Tab.11[[#This Row],[a1]]=1,1/Tab.11[[#This Row],[φ2]])</f>
        <v>0</v>
      </c>
      <c r="AE32" s="74" t="b">
        <f>IF(Tab.11[[#This Row],[a1]]=1,IF($AE$3=0,Tab.11[[#This Row],[w.0]],Tab.11[[#This Row],[w.0]]/SUM(Tab.11[w.0])))</f>
        <v>0</v>
      </c>
      <c r="AF32" s="76" t="str">
        <f>IF(Tab.11[[#This Row],[a1]]=0,"false",[3]!Tab.x5[[#This Row],[%_seN_C]])</f>
        <v>false</v>
      </c>
      <c r="AG32" s="77" t="b">
        <f>IF(Tab.11[[#This Row],[a1]]=1,AP32)</f>
        <v>0</v>
      </c>
      <c r="AH32" s="78" t="b">
        <f>IF(Tab.11[[#This Row],[a1]]=1,AQ32)</f>
        <v>0</v>
      </c>
      <c r="AI32" s="41">
        <v>3.0000000000000001E-3</v>
      </c>
      <c r="AJ32" s="79">
        <v>0</v>
      </c>
      <c r="AK32" s="80" t="b">
        <f>IF(Tab.11[[#This Row],[a1]]=1,1)</f>
        <v>0</v>
      </c>
      <c r="AZ32"/>
    </row>
    <row r="33" spans="1:52" hidden="1" x14ac:dyDescent="0.25">
      <c r="A33" s="61">
        <f t="shared" si="3"/>
        <v>0</v>
      </c>
      <c r="B33" s="62">
        <f t="shared" si="3"/>
        <v>0</v>
      </c>
      <c r="C33" s="62" t="b">
        <f>IF(Tab.11[[#This Row],[a1]]=1,[3]!Tab_x1[[#This Row],[Name]])</f>
        <v>0</v>
      </c>
      <c r="D33" s="63" t="b">
        <f>IF(Tab.11[[#This Row],[a1]]=1,AO33)</f>
        <v>0</v>
      </c>
      <c r="E33" s="63">
        <f t="shared" si="1"/>
        <v>0</v>
      </c>
      <c r="F33" s="64" t="b">
        <f>IF(Tab.11[[#This Row],[a1]]=1,Tab.11[[#This Row],[b1]])</f>
        <v>0</v>
      </c>
      <c r="G33" s="65" t="b">
        <f>IF(Tab.11[[#This Row],[a1]]=1,IF(Tab.11[[#This Row],[b3]]&gt;$L$989*$G$3,$L$989*$G$3,IF(Tab.11[[#This Row],[b3]]&lt;$M$989*$G$3,$M$989*$G$3,Tab.11[[#This Row],[b3]])))</f>
        <v>0</v>
      </c>
      <c r="H33" s="66" t="b">
        <f>IF(Tab.11[[#This Row],[a1]]=1,Tab.11[[#This Row],[b1]])</f>
        <v>0</v>
      </c>
      <c r="I33" s="67" t="b">
        <f>IF(Tab.11[[#This Row],[a1]]=1,Tab.11[[#This Row],[b1]])</f>
        <v>0</v>
      </c>
      <c r="J33" s="68" t="b">
        <f>IF(Tab.11[[#This Row],[a1]]=1,IF($I$3&lt;0,Tab.11[[#This Row],[b5]]-$I$3,Tab.11[[#This Row],[b5]]))</f>
        <v>0</v>
      </c>
      <c r="K33" s="68" t="b">
        <f>IF(Tab.11[[#This Row],[a1]]=1,IF($K$3=0,Tab.11[b6],Tab.11[[#This Row],[b6]]-AVERAGE(Tab.11[b6])))</f>
        <v>0</v>
      </c>
      <c r="L33" s="69" t="b">
        <f>IF(Tab.11[[#This Row],[a1]]=1,Tab.11[[#This Row],[data]]/(_xlfn.STDEV.P(Tab.11[data])*$B$989)+$A$989)</f>
        <v>0</v>
      </c>
      <c r="M33" s="69" t="b">
        <f>IF(Tab.11[[#This Row],[a1]]=1,Tab.11[[#This Row],[data]]/(_xlfn.STDEV.P(Tab.11[data])*$B$987)-$A$987)</f>
        <v>0</v>
      </c>
      <c r="N33" s="69" t="b">
        <f>IF(Tab.11[[#This Row],[a1]]=1,Tab.11[[#This Row],[data]]/(_xlfn.STDEV.P(Tab.11[data])*$B$988)+$A$988)</f>
        <v>0</v>
      </c>
      <c r="O33" s="70" t="b">
        <f>IF(Tab.11[[#This Row],[a1]]=1,_xlfn.NORM.DIST(Tab.11[[#This Row],[b8]],$P$1,$Q$1,FALSE))</f>
        <v>0</v>
      </c>
      <c r="P33" s="70" t="b">
        <f>IF(Tab.11[[#This Row],[a1]]=1,_xlfn.NORM.DIST(Tab.11[[#This Row],[b9]],$P$1,$Q$1,FALSE))</f>
        <v>0</v>
      </c>
      <c r="Q33" s="70" t="b">
        <f>IF(Tab.11[[#This Row],[a1]]=1,_xlfn.NORM.DIST(Tab.11[[#This Row],[b10]],$P$1,$Q$1,FALSE))</f>
        <v>0</v>
      </c>
      <c r="R33" s="67" t="b">
        <f>IF(Tab.11[[#This Row],[a1]]=1,$I$3+$A$989+IF($K$3=0,Tab.11[[#This Row],[b8]]*_xlfn.STDEV.P(Tab.11[data]),AVERAGE(Tab.11[b6])+Tab.11[[#This Row],[b8]]*_xlfn.STDEV.P(Tab.11[data])))</f>
        <v>0</v>
      </c>
      <c r="S33" s="71" t="b">
        <f>IF(Tab.11[[#This Row],[a1]]=1,$I$3+$A$987+IF($K$3=0,Tab.11[[#This Row],[b9]]*_xlfn.STDEV.P(Tab.11[data]),AVERAGE(Tab.11[b6])+Tab.11[[#This Row],[b9]]*_xlfn.STDEV.P(Tab.11[data])))</f>
        <v>0</v>
      </c>
      <c r="T33" s="71" t="b">
        <f>IF(Tab.11[[#This Row],[a1]]=1,$I$3+$A$988+IF($K$3=0,Tab.11[[#This Row],[b10]]*_xlfn.STDEV.P(Tab.11[data]),AVERAGE(Tab.11[b6])+Tab.11[[#This Row],[b10]]*_xlfn.STDEV.P(Tab.11[data])))</f>
        <v>0</v>
      </c>
      <c r="U33" s="72" t="b">
        <f>IF(Tab.11[[#This Row],[a1]]=1,Tab.11[[#This Row],[target]]-Tab.11[[#This Row],[Red]])</f>
        <v>0</v>
      </c>
      <c r="V33" s="72" t="b">
        <f>IF(Tab.11[[#This Row],[a1]]=1,Tab.11[[#This Row],[target]]-Tab.11[[#This Row],[Blue]])</f>
        <v>0</v>
      </c>
      <c r="W33" s="73" t="b">
        <f>IF(Tab.11[[#This Row],[a1]]=1,IF(ABS(Tab.11[[#This Row],[b17]])+ABS(Tab.11[[#This Row],[b18]])&lt;$W$2,$W$2,ABS(Tab.11[[#This Row],[b17]])+ABS(Tab.11[[#This Row],[b18]])))</f>
        <v>0</v>
      </c>
      <c r="X33" s="136" t="b">
        <f>IF(Tab.11[[#This Row],[a1]]=1,IF($W$3&lt;0,Tab.11[[#This Row],[IN]]-$I$3,Tab.11[[#This Row],[IN]]))</f>
        <v>0</v>
      </c>
      <c r="Y33" s="136" t="b">
        <f>IF(Tab.11[[#This Row],[a1]]=1,IF($X$3=0,Tab.11[b66],Tab.11[[#This Row],[b66]]-AVERAGE(Tab.11[b66])))</f>
        <v>0</v>
      </c>
      <c r="Z33" s="135" t="b">
        <f>IF(Tab.11[[#This Row],[a1]]=1,Tab.11[[#This Row],[b77]]/(_xlfn.STDEV.P(Tab.11[b77])))</f>
        <v>0</v>
      </c>
      <c r="AA33" s="70" t="b">
        <f>IF(Tab.11[[#This Row],[a1]]=1,_xlfn.NORM.DIST(Tab.11[[#This Row],[b88]],$Z$1,$AA$1,FALSE))</f>
        <v>0</v>
      </c>
      <c r="AB33" s="74" t="b">
        <f>IF(Tab.11[[#This Row],[a1]]=1,IF($A$3=0,FALSE,1/Tab.11[[#This Row],[IN]]*$AC$2*IF(Tab.11[[#This Row],[a1]]=0,,$A$3*$AC$1*1/$V$3*(Tab.11[[#This Row],[b14]]))))</f>
        <v>0</v>
      </c>
      <c r="AC33" s="75" t="b">
        <f>IF(Tab.11[[#This Row],[a1]]=1,IF($AC$3=0,Tab.11[[#This Row],[φ1]],Tab.11[[#This Row],[φ1]]/MAX(Tab.11[φ1])))</f>
        <v>0</v>
      </c>
      <c r="AD33" s="74" t="b">
        <f>IF(Tab.11[[#This Row],[a1]]=1,1/Tab.11[[#This Row],[φ2]])</f>
        <v>0</v>
      </c>
      <c r="AE33" s="74" t="b">
        <f>IF(Tab.11[[#This Row],[a1]]=1,IF($AE$3=0,Tab.11[[#This Row],[w.0]],Tab.11[[#This Row],[w.0]]/SUM(Tab.11[w.0])))</f>
        <v>0</v>
      </c>
      <c r="AF33" s="76" t="str">
        <f>IF(Tab.11[[#This Row],[a1]]=0,"false",[3]!Tab.x5[[#This Row],[%_seN_C]])</f>
        <v>false</v>
      </c>
      <c r="AG33" s="77" t="b">
        <f>IF(Tab.11[[#This Row],[a1]]=1,AP33)</f>
        <v>0</v>
      </c>
      <c r="AH33" s="78" t="b">
        <f>IF(Tab.11[[#This Row],[a1]]=1,AQ33)</f>
        <v>0</v>
      </c>
      <c r="AI33" s="41">
        <v>3.0000000000000001E-3</v>
      </c>
      <c r="AJ33" s="79">
        <v>0.05</v>
      </c>
      <c r="AK33" s="80" t="b">
        <f>IF(Tab.11[[#This Row],[a1]]=1,1)</f>
        <v>0</v>
      </c>
      <c r="AZ33"/>
    </row>
    <row r="34" spans="1:52" hidden="1" x14ac:dyDescent="0.25">
      <c r="A34" s="61">
        <f t="shared" si="3"/>
        <v>0</v>
      </c>
      <c r="B34" s="62">
        <f t="shared" si="3"/>
        <v>0</v>
      </c>
      <c r="C34" s="62" t="b">
        <f>IF(Tab.11[[#This Row],[a1]]=1,[3]!Tab_x1[[#This Row],[Name]])</f>
        <v>0</v>
      </c>
      <c r="D34" s="63" t="b">
        <f>IF(Tab.11[[#This Row],[a1]]=1,AO34)</f>
        <v>0</v>
      </c>
      <c r="E34" s="63">
        <f t="shared" si="1"/>
        <v>0</v>
      </c>
      <c r="F34" s="64" t="b">
        <f>IF(Tab.11[[#This Row],[a1]]=1,Tab.11[[#This Row],[b1]])</f>
        <v>0</v>
      </c>
      <c r="G34" s="65" t="b">
        <f>IF(Tab.11[[#This Row],[a1]]=1,IF(Tab.11[[#This Row],[b3]]&gt;$L$989*$G$3,$L$989*$G$3,IF(Tab.11[[#This Row],[b3]]&lt;$M$989*$G$3,$M$989*$G$3,Tab.11[[#This Row],[b3]])))</f>
        <v>0</v>
      </c>
      <c r="H34" s="66" t="b">
        <f>IF(Tab.11[[#This Row],[a1]]=1,Tab.11[[#This Row],[b1]])</f>
        <v>0</v>
      </c>
      <c r="I34" s="67" t="b">
        <f>IF(Tab.11[[#This Row],[a1]]=1,Tab.11[[#This Row],[b1]])</f>
        <v>0</v>
      </c>
      <c r="J34" s="68" t="b">
        <f>IF(Tab.11[[#This Row],[a1]]=1,IF($I$3&lt;0,Tab.11[[#This Row],[b5]]-$I$3,Tab.11[[#This Row],[b5]]))</f>
        <v>0</v>
      </c>
      <c r="K34" s="68" t="b">
        <f>IF(Tab.11[[#This Row],[a1]]=1,IF($K$3=0,Tab.11[b6],Tab.11[[#This Row],[b6]]-AVERAGE(Tab.11[b6])))</f>
        <v>0</v>
      </c>
      <c r="L34" s="69" t="b">
        <f>IF(Tab.11[[#This Row],[a1]]=1,Tab.11[[#This Row],[data]]/(_xlfn.STDEV.P(Tab.11[data])*$B$989)+$A$989)</f>
        <v>0</v>
      </c>
      <c r="M34" s="69" t="b">
        <f>IF(Tab.11[[#This Row],[a1]]=1,Tab.11[[#This Row],[data]]/(_xlfn.STDEV.P(Tab.11[data])*$B$987)-$A$987)</f>
        <v>0</v>
      </c>
      <c r="N34" s="69" t="b">
        <f>IF(Tab.11[[#This Row],[a1]]=1,Tab.11[[#This Row],[data]]/(_xlfn.STDEV.P(Tab.11[data])*$B$988)+$A$988)</f>
        <v>0</v>
      </c>
      <c r="O34" s="70" t="b">
        <f>IF(Tab.11[[#This Row],[a1]]=1,_xlfn.NORM.DIST(Tab.11[[#This Row],[b8]],$P$1,$Q$1,FALSE))</f>
        <v>0</v>
      </c>
      <c r="P34" s="70" t="b">
        <f>IF(Tab.11[[#This Row],[a1]]=1,_xlfn.NORM.DIST(Tab.11[[#This Row],[b9]],$P$1,$Q$1,FALSE))</f>
        <v>0</v>
      </c>
      <c r="Q34" s="70" t="b">
        <f>IF(Tab.11[[#This Row],[a1]]=1,_xlfn.NORM.DIST(Tab.11[[#This Row],[b10]],$P$1,$Q$1,FALSE))</f>
        <v>0</v>
      </c>
      <c r="R34" s="67" t="b">
        <f>IF(Tab.11[[#This Row],[a1]]=1,$I$3+$A$989+IF($K$3=0,Tab.11[[#This Row],[b8]]*_xlfn.STDEV.P(Tab.11[data]),AVERAGE(Tab.11[b6])+Tab.11[[#This Row],[b8]]*_xlfn.STDEV.P(Tab.11[data])))</f>
        <v>0</v>
      </c>
      <c r="S34" s="71" t="b">
        <f>IF(Tab.11[[#This Row],[a1]]=1,$I$3+$A$987+IF($K$3=0,Tab.11[[#This Row],[b9]]*_xlfn.STDEV.P(Tab.11[data]),AVERAGE(Tab.11[b6])+Tab.11[[#This Row],[b9]]*_xlfn.STDEV.P(Tab.11[data])))</f>
        <v>0</v>
      </c>
      <c r="T34" s="71" t="b">
        <f>IF(Tab.11[[#This Row],[a1]]=1,$I$3+$A$988+IF($K$3=0,Tab.11[[#This Row],[b10]]*_xlfn.STDEV.P(Tab.11[data]),AVERAGE(Tab.11[b6])+Tab.11[[#This Row],[b10]]*_xlfn.STDEV.P(Tab.11[data])))</f>
        <v>0</v>
      </c>
      <c r="U34" s="72" t="b">
        <f>IF(Tab.11[[#This Row],[a1]]=1,Tab.11[[#This Row],[target]]-Tab.11[[#This Row],[Red]])</f>
        <v>0</v>
      </c>
      <c r="V34" s="72" t="b">
        <f>IF(Tab.11[[#This Row],[a1]]=1,Tab.11[[#This Row],[target]]-Tab.11[[#This Row],[Blue]])</f>
        <v>0</v>
      </c>
      <c r="W34" s="73" t="b">
        <f>IF(Tab.11[[#This Row],[a1]]=1,IF(ABS(Tab.11[[#This Row],[b17]])+ABS(Tab.11[[#This Row],[b18]])&lt;$W$2,$W$2,ABS(Tab.11[[#This Row],[b17]])+ABS(Tab.11[[#This Row],[b18]])))</f>
        <v>0</v>
      </c>
      <c r="X34" s="136" t="b">
        <f>IF(Tab.11[[#This Row],[a1]]=1,IF($W$3&lt;0,Tab.11[[#This Row],[IN]]-$I$3,Tab.11[[#This Row],[IN]]))</f>
        <v>0</v>
      </c>
      <c r="Y34" s="136" t="b">
        <f>IF(Tab.11[[#This Row],[a1]]=1,IF($X$3=0,Tab.11[b66],Tab.11[[#This Row],[b66]]-AVERAGE(Tab.11[b66])))</f>
        <v>0</v>
      </c>
      <c r="Z34" s="135" t="b">
        <f>IF(Tab.11[[#This Row],[a1]]=1,Tab.11[[#This Row],[b77]]/(_xlfn.STDEV.P(Tab.11[b77])))</f>
        <v>0</v>
      </c>
      <c r="AA34" s="70" t="b">
        <f>IF(Tab.11[[#This Row],[a1]]=1,_xlfn.NORM.DIST(Tab.11[[#This Row],[b88]],$Z$1,$AA$1,FALSE))</f>
        <v>0</v>
      </c>
      <c r="AB34" s="74" t="b">
        <f>IF(Tab.11[[#This Row],[a1]]=1,IF($A$3=0,FALSE,1/Tab.11[[#This Row],[IN]]*$AC$2*IF(Tab.11[[#This Row],[a1]]=0,,$A$3*$AC$1*1/$V$3*(Tab.11[[#This Row],[b14]]))))</f>
        <v>0</v>
      </c>
      <c r="AC34" s="75" t="b">
        <f>IF(Tab.11[[#This Row],[a1]]=1,IF($AC$3=0,Tab.11[[#This Row],[φ1]],Tab.11[[#This Row],[φ1]]/MAX(Tab.11[φ1])))</f>
        <v>0</v>
      </c>
      <c r="AD34" s="74" t="b">
        <f>IF(Tab.11[[#This Row],[a1]]=1,1/Tab.11[[#This Row],[φ2]])</f>
        <v>0</v>
      </c>
      <c r="AE34" s="74" t="b">
        <f>IF(Tab.11[[#This Row],[a1]]=1,IF($AE$3=0,Tab.11[[#This Row],[w.0]],Tab.11[[#This Row],[w.0]]/SUM(Tab.11[w.0])))</f>
        <v>0</v>
      </c>
      <c r="AF34" s="76" t="str">
        <f>IF(Tab.11[[#This Row],[a1]]=0,"false",[3]!Tab.x5[[#This Row],[%_seN_C]])</f>
        <v>false</v>
      </c>
      <c r="AG34" s="77" t="b">
        <f>IF(Tab.11[[#This Row],[a1]]=1,AP34)</f>
        <v>0</v>
      </c>
      <c r="AH34" s="78" t="b">
        <f>IF(Tab.11[[#This Row],[a1]]=1,AQ34)</f>
        <v>0</v>
      </c>
      <c r="AI34" s="41">
        <v>3.0000000000000001E-3</v>
      </c>
      <c r="AJ34" s="79">
        <v>-0.03</v>
      </c>
      <c r="AK34" s="80" t="b">
        <f>IF(Tab.11[[#This Row],[a1]]=1,1)</f>
        <v>0</v>
      </c>
      <c r="AZ34"/>
    </row>
    <row r="35" spans="1:52" hidden="1" x14ac:dyDescent="0.25">
      <c r="A35" s="61">
        <f t="shared" si="3"/>
        <v>0</v>
      </c>
      <c r="B35" s="62">
        <f t="shared" si="3"/>
        <v>0</v>
      </c>
      <c r="C35" s="62" t="b">
        <f>IF(Tab.11[[#This Row],[a1]]=1,[3]!Tab_x1[[#This Row],[Name]])</f>
        <v>0</v>
      </c>
      <c r="D35" s="63" t="b">
        <f>IF(Tab.11[[#This Row],[a1]]=1,AO35)</f>
        <v>0</v>
      </c>
      <c r="E35" s="63">
        <f t="shared" si="1"/>
        <v>0</v>
      </c>
      <c r="F35" s="64" t="b">
        <f>IF(Tab.11[[#This Row],[a1]]=1,Tab.11[[#This Row],[b1]])</f>
        <v>0</v>
      </c>
      <c r="G35" s="65" t="b">
        <f>IF(Tab.11[[#This Row],[a1]]=1,IF(Tab.11[[#This Row],[b3]]&gt;$L$989*$G$3,$L$989*$G$3,IF(Tab.11[[#This Row],[b3]]&lt;$M$989*$G$3,$M$989*$G$3,Tab.11[[#This Row],[b3]])))</f>
        <v>0</v>
      </c>
      <c r="H35" s="66" t="b">
        <f>IF(Tab.11[[#This Row],[a1]]=1,Tab.11[[#This Row],[b1]])</f>
        <v>0</v>
      </c>
      <c r="I35" s="67" t="b">
        <f>IF(Tab.11[[#This Row],[a1]]=1,Tab.11[[#This Row],[b1]])</f>
        <v>0</v>
      </c>
      <c r="J35" s="68" t="b">
        <f>IF(Tab.11[[#This Row],[a1]]=1,IF($I$3&lt;0,Tab.11[[#This Row],[b5]]-$I$3,Tab.11[[#This Row],[b5]]))</f>
        <v>0</v>
      </c>
      <c r="K35" s="68" t="b">
        <f>IF(Tab.11[[#This Row],[a1]]=1,IF($K$3=0,Tab.11[b6],Tab.11[[#This Row],[b6]]-AVERAGE(Tab.11[b6])))</f>
        <v>0</v>
      </c>
      <c r="L35" s="69" t="b">
        <f>IF(Tab.11[[#This Row],[a1]]=1,Tab.11[[#This Row],[data]]/(_xlfn.STDEV.P(Tab.11[data])*$B$989)+$A$989)</f>
        <v>0</v>
      </c>
      <c r="M35" s="69" t="b">
        <f>IF(Tab.11[[#This Row],[a1]]=1,Tab.11[[#This Row],[data]]/(_xlfn.STDEV.P(Tab.11[data])*$B$987)-$A$987)</f>
        <v>0</v>
      </c>
      <c r="N35" s="69" t="b">
        <f>IF(Tab.11[[#This Row],[a1]]=1,Tab.11[[#This Row],[data]]/(_xlfn.STDEV.P(Tab.11[data])*$B$988)+$A$988)</f>
        <v>0</v>
      </c>
      <c r="O35" s="70" t="b">
        <f>IF(Tab.11[[#This Row],[a1]]=1,_xlfn.NORM.DIST(Tab.11[[#This Row],[b8]],$P$1,$Q$1,FALSE))</f>
        <v>0</v>
      </c>
      <c r="P35" s="70" t="b">
        <f>IF(Tab.11[[#This Row],[a1]]=1,_xlfn.NORM.DIST(Tab.11[[#This Row],[b9]],$P$1,$Q$1,FALSE))</f>
        <v>0</v>
      </c>
      <c r="Q35" s="70" t="b">
        <f>IF(Tab.11[[#This Row],[a1]]=1,_xlfn.NORM.DIST(Tab.11[[#This Row],[b10]],$P$1,$Q$1,FALSE))</f>
        <v>0</v>
      </c>
      <c r="R35" s="67" t="b">
        <f>IF(Tab.11[[#This Row],[a1]]=1,$I$3+$A$989+IF($K$3=0,Tab.11[[#This Row],[b8]]*_xlfn.STDEV.P(Tab.11[data]),AVERAGE(Tab.11[b6])+Tab.11[[#This Row],[b8]]*_xlfn.STDEV.P(Tab.11[data])))</f>
        <v>0</v>
      </c>
      <c r="S35" s="71" t="b">
        <f>IF(Tab.11[[#This Row],[a1]]=1,$I$3+$A$987+IF($K$3=0,Tab.11[[#This Row],[b9]]*_xlfn.STDEV.P(Tab.11[data]),AVERAGE(Tab.11[b6])+Tab.11[[#This Row],[b9]]*_xlfn.STDEV.P(Tab.11[data])))</f>
        <v>0</v>
      </c>
      <c r="T35" s="71" t="b">
        <f>IF(Tab.11[[#This Row],[a1]]=1,$I$3+$A$988+IF($K$3=0,Tab.11[[#This Row],[b10]]*_xlfn.STDEV.P(Tab.11[data]),AVERAGE(Tab.11[b6])+Tab.11[[#This Row],[b10]]*_xlfn.STDEV.P(Tab.11[data])))</f>
        <v>0</v>
      </c>
      <c r="U35" s="72" t="b">
        <f>IF(Tab.11[[#This Row],[a1]]=1,Tab.11[[#This Row],[target]]-Tab.11[[#This Row],[Red]])</f>
        <v>0</v>
      </c>
      <c r="V35" s="72" t="b">
        <f>IF(Tab.11[[#This Row],[a1]]=1,Tab.11[[#This Row],[target]]-Tab.11[[#This Row],[Blue]])</f>
        <v>0</v>
      </c>
      <c r="W35" s="73" t="b">
        <f>IF(Tab.11[[#This Row],[a1]]=1,IF(ABS(Tab.11[[#This Row],[b17]])+ABS(Tab.11[[#This Row],[b18]])&lt;$W$2,$W$2,ABS(Tab.11[[#This Row],[b17]])+ABS(Tab.11[[#This Row],[b18]])))</f>
        <v>0</v>
      </c>
      <c r="X35" s="136" t="b">
        <f>IF(Tab.11[[#This Row],[a1]]=1,IF($W$3&lt;0,Tab.11[[#This Row],[IN]]-$I$3,Tab.11[[#This Row],[IN]]))</f>
        <v>0</v>
      </c>
      <c r="Y35" s="136" t="b">
        <f>IF(Tab.11[[#This Row],[a1]]=1,IF($X$3=0,Tab.11[b66],Tab.11[[#This Row],[b66]]-AVERAGE(Tab.11[b66])))</f>
        <v>0</v>
      </c>
      <c r="Z35" s="135" t="b">
        <f>IF(Tab.11[[#This Row],[a1]]=1,Tab.11[[#This Row],[b77]]/(_xlfn.STDEV.P(Tab.11[b77])))</f>
        <v>0</v>
      </c>
      <c r="AA35" s="70" t="b">
        <f>IF(Tab.11[[#This Row],[a1]]=1,_xlfn.NORM.DIST(Tab.11[[#This Row],[b88]],$Z$1,$AA$1,FALSE))</f>
        <v>0</v>
      </c>
      <c r="AB35" s="74" t="b">
        <f>IF(Tab.11[[#This Row],[a1]]=1,IF($A$3=0,FALSE,1/Tab.11[[#This Row],[IN]]*$AC$2*IF(Tab.11[[#This Row],[a1]]=0,,$A$3*$AC$1*1/$V$3*(Tab.11[[#This Row],[b14]]))))</f>
        <v>0</v>
      </c>
      <c r="AC35" s="75" t="b">
        <f>IF(Tab.11[[#This Row],[a1]]=1,IF($AC$3=0,Tab.11[[#This Row],[φ1]],Tab.11[[#This Row],[φ1]]/MAX(Tab.11[φ1])))</f>
        <v>0</v>
      </c>
      <c r="AD35" s="74" t="b">
        <f>IF(Tab.11[[#This Row],[a1]]=1,1/Tab.11[[#This Row],[φ2]])</f>
        <v>0</v>
      </c>
      <c r="AE35" s="74" t="b">
        <f>IF(Tab.11[[#This Row],[a1]]=1,IF($AE$3=0,Tab.11[[#This Row],[w.0]],Tab.11[[#This Row],[w.0]]/SUM(Tab.11[w.0])))</f>
        <v>0</v>
      </c>
      <c r="AF35" s="76" t="str">
        <f>IF(Tab.11[[#This Row],[a1]]=0,"false",[3]!Tab.x5[[#This Row],[%_seN_C]])</f>
        <v>false</v>
      </c>
      <c r="AG35" s="77" t="b">
        <f>IF(Tab.11[[#This Row],[a1]]=1,AP35)</f>
        <v>0</v>
      </c>
      <c r="AH35" s="78" t="b">
        <f>IF(Tab.11[[#This Row],[a1]]=1,AQ35)</f>
        <v>0</v>
      </c>
      <c r="AI35" s="41">
        <v>3.0000000000000001E-3</v>
      </c>
      <c r="AJ35" s="79">
        <v>0.08</v>
      </c>
      <c r="AK35" s="80" t="b">
        <f>IF(Tab.11[[#This Row],[a1]]=1,1)</f>
        <v>0</v>
      </c>
      <c r="AZ35"/>
    </row>
    <row r="36" spans="1:52" hidden="1" x14ac:dyDescent="0.25">
      <c r="A36" s="61">
        <f t="shared" si="3"/>
        <v>0</v>
      </c>
      <c r="B36" s="62">
        <f t="shared" si="3"/>
        <v>0</v>
      </c>
      <c r="C36" s="62" t="b">
        <f>IF(Tab.11[[#This Row],[a1]]=1,[3]!Tab_x1[[#This Row],[Name]])</f>
        <v>0</v>
      </c>
      <c r="D36" s="63" t="b">
        <f>IF(Tab.11[[#This Row],[a1]]=1,AO36)</f>
        <v>0</v>
      </c>
      <c r="E36" s="63">
        <f t="shared" si="1"/>
        <v>0</v>
      </c>
      <c r="F36" s="64" t="b">
        <f>IF(Tab.11[[#This Row],[a1]]=1,Tab.11[[#This Row],[b1]])</f>
        <v>0</v>
      </c>
      <c r="G36" s="65" t="b">
        <f>IF(Tab.11[[#This Row],[a1]]=1,IF(Tab.11[[#This Row],[b3]]&gt;$L$989*$G$3,$L$989*$G$3,IF(Tab.11[[#This Row],[b3]]&lt;$M$989*$G$3,$M$989*$G$3,Tab.11[[#This Row],[b3]])))</f>
        <v>0</v>
      </c>
      <c r="H36" s="66" t="b">
        <f>IF(Tab.11[[#This Row],[a1]]=1,Tab.11[[#This Row],[b1]])</f>
        <v>0</v>
      </c>
      <c r="I36" s="67" t="b">
        <f>IF(Tab.11[[#This Row],[a1]]=1,Tab.11[[#This Row],[b1]])</f>
        <v>0</v>
      </c>
      <c r="J36" s="68" t="b">
        <f>IF(Tab.11[[#This Row],[a1]]=1,IF($I$3&lt;0,Tab.11[[#This Row],[b5]]-$I$3,Tab.11[[#This Row],[b5]]))</f>
        <v>0</v>
      </c>
      <c r="K36" s="68" t="b">
        <f>IF(Tab.11[[#This Row],[a1]]=1,IF($K$3=0,Tab.11[b6],Tab.11[[#This Row],[b6]]-AVERAGE(Tab.11[b6])))</f>
        <v>0</v>
      </c>
      <c r="L36" s="69" t="b">
        <f>IF(Tab.11[[#This Row],[a1]]=1,Tab.11[[#This Row],[data]]/(_xlfn.STDEV.P(Tab.11[data])*$B$989)+$A$989)</f>
        <v>0</v>
      </c>
      <c r="M36" s="69" t="b">
        <f>IF(Tab.11[[#This Row],[a1]]=1,Tab.11[[#This Row],[data]]/(_xlfn.STDEV.P(Tab.11[data])*$B$987)-$A$987)</f>
        <v>0</v>
      </c>
      <c r="N36" s="69" t="b">
        <f>IF(Tab.11[[#This Row],[a1]]=1,Tab.11[[#This Row],[data]]/(_xlfn.STDEV.P(Tab.11[data])*$B$988)+$A$988)</f>
        <v>0</v>
      </c>
      <c r="O36" s="70" t="b">
        <f>IF(Tab.11[[#This Row],[a1]]=1,_xlfn.NORM.DIST(Tab.11[[#This Row],[b8]],$P$1,$Q$1,FALSE))</f>
        <v>0</v>
      </c>
      <c r="P36" s="70" t="b">
        <f>IF(Tab.11[[#This Row],[a1]]=1,_xlfn.NORM.DIST(Tab.11[[#This Row],[b9]],$P$1,$Q$1,FALSE))</f>
        <v>0</v>
      </c>
      <c r="Q36" s="70" t="b">
        <f>IF(Tab.11[[#This Row],[a1]]=1,_xlfn.NORM.DIST(Tab.11[[#This Row],[b10]],$P$1,$Q$1,FALSE))</f>
        <v>0</v>
      </c>
      <c r="R36" s="67" t="b">
        <f>IF(Tab.11[[#This Row],[a1]]=1,$I$3+$A$989+IF($K$3=0,Tab.11[[#This Row],[b8]]*_xlfn.STDEV.P(Tab.11[data]),AVERAGE(Tab.11[b6])+Tab.11[[#This Row],[b8]]*_xlfn.STDEV.P(Tab.11[data])))</f>
        <v>0</v>
      </c>
      <c r="S36" s="71" t="b">
        <f>IF(Tab.11[[#This Row],[a1]]=1,$I$3+$A$987+IF($K$3=0,Tab.11[[#This Row],[b9]]*_xlfn.STDEV.P(Tab.11[data]),AVERAGE(Tab.11[b6])+Tab.11[[#This Row],[b9]]*_xlfn.STDEV.P(Tab.11[data])))</f>
        <v>0</v>
      </c>
      <c r="T36" s="71" t="b">
        <f>IF(Tab.11[[#This Row],[a1]]=1,$I$3+$A$988+IF($K$3=0,Tab.11[[#This Row],[b10]]*_xlfn.STDEV.P(Tab.11[data]),AVERAGE(Tab.11[b6])+Tab.11[[#This Row],[b10]]*_xlfn.STDEV.P(Tab.11[data])))</f>
        <v>0</v>
      </c>
      <c r="U36" s="72" t="b">
        <f>IF(Tab.11[[#This Row],[a1]]=1,Tab.11[[#This Row],[target]]-Tab.11[[#This Row],[Red]])</f>
        <v>0</v>
      </c>
      <c r="V36" s="72" t="b">
        <f>IF(Tab.11[[#This Row],[a1]]=1,Tab.11[[#This Row],[target]]-Tab.11[[#This Row],[Blue]])</f>
        <v>0</v>
      </c>
      <c r="W36" s="73" t="b">
        <f>IF(Tab.11[[#This Row],[a1]]=1,IF(ABS(Tab.11[[#This Row],[b17]])+ABS(Tab.11[[#This Row],[b18]])&lt;$W$2,$W$2,ABS(Tab.11[[#This Row],[b17]])+ABS(Tab.11[[#This Row],[b18]])))</f>
        <v>0</v>
      </c>
      <c r="X36" s="136" t="b">
        <f>IF(Tab.11[[#This Row],[a1]]=1,IF($W$3&lt;0,Tab.11[[#This Row],[IN]]-$I$3,Tab.11[[#This Row],[IN]]))</f>
        <v>0</v>
      </c>
      <c r="Y36" s="136" t="b">
        <f>IF(Tab.11[[#This Row],[a1]]=1,IF($X$3=0,Tab.11[b66],Tab.11[[#This Row],[b66]]-AVERAGE(Tab.11[b66])))</f>
        <v>0</v>
      </c>
      <c r="Z36" s="135" t="b">
        <f>IF(Tab.11[[#This Row],[a1]]=1,Tab.11[[#This Row],[b77]]/(_xlfn.STDEV.P(Tab.11[b77])))</f>
        <v>0</v>
      </c>
      <c r="AA36" s="70" t="b">
        <f>IF(Tab.11[[#This Row],[a1]]=1,_xlfn.NORM.DIST(Tab.11[[#This Row],[b88]],$Z$1,$AA$1,FALSE))</f>
        <v>0</v>
      </c>
      <c r="AB36" s="74" t="b">
        <f>IF(Tab.11[[#This Row],[a1]]=1,IF($A$3=0,FALSE,1/Tab.11[[#This Row],[IN]]*$AC$2*IF(Tab.11[[#This Row],[a1]]=0,,$A$3*$AC$1*1/$V$3*(Tab.11[[#This Row],[b14]]))))</f>
        <v>0</v>
      </c>
      <c r="AC36" s="75" t="b">
        <f>IF(Tab.11[[#This Row],[a1]]=1,IF($AC$3=0,Tab.11[[#This Row],[φ1]],Tab.11[[#This Row],[φ1]]/MAX(Tab.11[φ1])))</f>
        <v>0</v>
      </c>
      <c r="AD36" s="74" t="b">
        <f>IF(Tab.11[[#This Row],[a1]]=1,1/Tab.11[[#This Row],[φ2]])</f>
        <v>0</v>
      </c>
      <c r="AE36" s="74" t="b">
        <f>IF(Tab.11[[#This Row],[a1]]=1,IF($AE$3=0,Tab.11[[#This Row],[w.0]],Tab.11[[#This Row],[w.0]]/SUM(Tab.11[w.0])))</f>
        <v>0</v>
      </c>
      <c r="AF36" s="76" t="str">
        <f>IF(Tab.11[[#This Row],[a1]]=0,"false",[3]!Tab.x5[[#This Row],[%_seN_C]])</f>
        <v>false</v>
      </c>
      <c r="AG36" s="77" t="b">
        <f>IF(Tab.11[[#This Row],[a1]]=1,AP36)</f>
        <v>0</v>
      </c>
      <c r="AH36" s="78" t="b">
        <f>IF(Tab.11[[#This Row],[a1]]=1,AQ36)</f>
        <v>0</v>
      </c>
      <c r="AI36" s="41">
        <v>3.0000000000000001E-3</v>
      </c>
      <c r="AJ36" s="79">
        <v>0.04</v>
      </c>
      <c r="AK36" s="80" t="b">
        <f>IF(Tab.11[[#This Row],[a1]]=1,1)</f>
        <v>0</v>
      </c>
      <c r="AZ36"/>
    </row>
    <row r="37" spans="1:52" hidden="1" x14ac:dyDescent="0.25">
      <c r="A37" s="61">
        <f t="shared" si="3"/>
        <v>0</v>
      </c>
      <c r="B37" s="62">
        <f t="shared" si="3"/>
        <v>0</v>
      </c>
      <c r="C37" s="62" t="b">
        <f>IF(Tab.11[[#This Row],[a1]]=1,[3]!Tab_x1[[#This Row],[Name]])</f>
        <v>0</v>
      </c>
      <c r="D37" s="63" t="b">
        <f>IF(Tab.11[[#This Row],[a1]]=1,AO37)</f>
        <v>0</v>
      </c>
      <c r="E37" s="63">
        <f t="shared" si="1"/>
        <v>0</v>
      </c>
      <c r="F37" s="64" t="b">
        <f>IF(Tab.11[[#This Row],[a1]]=1,Tab.11[[#This Row],[b1]])</f>
        <v>0</v>
      </c>
      <c r="G37" s="65" t="b">
        <f>IF(Tab.11[[#This Row],[a1]]=1,IF(Tab.11[[#This Row],[b3]]&gt;$L$989*$G$3,$L$989*$G$3,IF(Tab.11[[#This Row],[b3]]&lt;$M$989*$G$3,$M$989*$G$3,Tab.11[[#This Row],[b3]])))</f>
        <v>0</v>
      </c>
      <c r="H37" s="66" t="b">
        <f>IF(Tab.11[[#This Row],[a1]]=1,Tab.11[[#This Row],[b1]])</f>
        <v>0</v>
      </c>
      <c r="I37" s="67" t="b">
        <f>IF(Tab.11[[#This Row],[a1]]=1,Tab.11[[#This Row],[b1]])</f>
        <v>0</v>
      </c>
      <c r="J37" s="68" t="b">
        <f>IF(Tab.11[[#This Row],[a1]]=1,IF($I$3&lt;0,Tab.11[[#This Row],[b5]]-$I$3,Tab.11[[#This Row],[b5]]))</f>
        <v>0</v>
      </c>
      <c r="K37" s="68" t="b">
        <f>IF(Tab.11[[#This Row],[a1]]=1,IF($K$3=0,Tab.11[b6],Tab.11[[#This Row],[b6]]-AVERAGE(Tab.11[b6])))</f>
        <v>0</v>
      </c>
      <c r="L37" s="69" t="b">
        <f>IF(Tab.11[[#This Row],[a1]]=1,Tab.11[[#This Row],[data]]/(_xlfn.STDEV.P(Tab.11[data])*$B$989)+$A$989)</f>
        <v>0</v>
      </c>
      <c r="M37" s="69" t="b">
        <f>IF(Tab.11[[#This Row],[a1]]=1,Tab.11[[#This Row],[data]]/(_xlfn.STDEV.P(Tab.11[data])*$B$987)-$A$987)</f>
        <v>0</v>
      </c>
      <c r="N37" s="69" t="b">
        <f>IF(Tab.11[[#This Row],[a1]]=1,Tab.11[[#This Row],[data]]/(_xlfn.STDEV.P(Tab.11[data])*$B$988)+$A$988)</f>
        <v>0</v>
      </c>
      <c r="O37" s="70" t="b">
        <f>IF(Tab.11[[#This Row],[a1]]=1,_xlfn.NORM.DIST(Tab.11[[#This Row],[b8]],$P$1,$Q$1,FALSE))</f>
        <v>0</v>
      </c>
      <c r="P37" s="70" t="b">
        <f>IF(Tab.11[[#This Row],[a1]]=1,_xlfn.NORM.DIST(Tab.11[[#This Row],[b9]],$P$1,$Q$1,FALSE))</f>
        <v>0</v>
      </c>
      <c r="Q37" s="70" t="b">
        <f>IF(Tab.11[[#This Row],[a1]]=1,_xlfn.NORM.DIST(Tab.11[[#This Row],[b10]],$P$1,$Q$1,FALSE))</f>
        <v>0</v>
      </c>
      <c r="R37" s="67" t="b">
        <f>IF(Tab.11[[#This Row],[a1]]=1,$I$3+$A$989+IF($K$3=0,Tab.11[[#This Row],[b8]]*_xlfn.STDEV.P(Tab.11[data]),AVERAGE(Tab.11[b6])+Tab.11[[#This Row],[b8]]*_xlfn.STDEV.P(Tab.11[data])))</f>
        <v>0</v>
      </c>
      <c r="S37" s="71" t="b">
        <f>IF(Tab.11[[#This Row],[a1]]=1,$I$3+$A$987+IF($K$3=0,Tab.11[[#This Row],[b9]]*_xlfn.STDEV.P(Tab.11[data]),AVERAGE(Tab.11[b6])+Tab.11[[#This Row],[b9]]*_xlfn.STDEV.P(Tab.11[data])))</f>
        <v>0</v>
      </c>
      <c r="T37" s="71" t="b">
        <f>IF(Tab.11[[#This Row],[a1]]=1,$I$3+$A$988+IF($K$3=0,Tab.11[[#This Row],[b10]]*_xlfn.STDEV.P(Tab.11[data]),AVERAGE(Tab.11[b6])+Tab.11[[#This Row],[b10]]*_xlfn.STDEV.P(Tab.11[data])))</f>
        <v>0</v>
      </c>
      <c r="U37" s="72" t="b">
        <f>IF(Tab.11[[#This Row],[a1]]=1,Tab.11[[#This Row],[target]]-Tab.11[[#This Row],[Red]])</f>
        <v>0</v>
      </c>
      <c r="V37" s="72" t="b">
        <f>IF(Tab.11[[#This Row],[a1]]=1,Tab.11[[#This Row],[target]]-Tab.11[[#This Row],[Blue]])</f>
        <v>0</v>
      </c>
      <c r="W37" s="73" t="b">
        <f>IF(Tab.11[[#This Row],[a1]]=1,IF(ABS(Tab.11[[#This Row],[b17]])+ABS(Tab.11[[#This Row],[b18]])&lt;$W$2,$W$2,ABS(Tab.11[[#This Row],[b17]])+ABS(Tab.11[[#This Row],[b18]])))</f>
        <v>0</v>
      </c>
      <c r="X37" s="136" t="b">
        <f>IF(Tab.11[[#This Row],[a1]]=1,IF($W$3&lt;0,Tab.11[[#This Row],[IN]]-$I$3,Tab.11[[#This Row],[IN]]))</f>
        <v>0</v>
      </c>
      <c r="Y37" s="136" t="b">
        <f>IF(Tab.11[[#This Row],[a1]]=1,IF($X$3=0,Tab.11[b66],Tab.11[[#This Row],[b66]]-AVERAGE(Tab.11[b66])))</f>
        <v>0</v>
      </c>
      <c r="Z37" s="135" t="b">
        <f>IF(Tab.11[[#This Row],[a1]]=1,Tab.11[[#This Row],[b77]]/(_xlfn.STDEV.P(Tab.11[b77])))</f>
        <v>0</v>
      </c>
      <c r="AA37" s="70" t="b">
        <f>IF(Tab.11[[#This Row],[a1]]=1,_xlfn.NORM.DIST(Tab.11[[#This Row],[b88]],$Z$1,$AA$1,FALSE))</f>
        <v>0</v>
      </c>
      <c r="AB37" s="74" t="b">
        <f>IF(Tab.11[[#This Row],[a1]]=1,IF($A$3=0,FALSE,1/Tab.11[[#This Row],[IN]]*$AC$2*IF(Tab.11[[#This Row],[a1]]=0,,$A$3*$AC$1*1/$V$3*(Tab.11[[#This Row],[b14]]))))</f>
        <v>0</v>
      </c>
      <c r="AC37" s="75" t="b">
        <f>IF(Tab.11[[#This Row],[a1]]=1,IF($AC$3=0,Tab.11[[#This Row],[φ1]],Tab.11[[#This Row],[φ1]]/MAX(Tab.11[φ1])))</f>
        <v>0</v>
      </c>
      <c r="AD37" s="74" t="b">
        <f>IF(Tab.11[[#This Row],[a1]]=1,1/Tab.11[[#This Row],[φ2]])</f>
        <v>0</v>
      </c>
      <c r="AE37" s="74" t="b">
        <f>IF(Tab.11[[#This Row],[a1]]=1,IF($AE$3=0,Tab.11[[#This Row],[w.0]],Tab.11[[#This Row],[w.0]]/SUM(Tab.11[w.0])))</f>
        <v>0</v>
      </c>
      <c r="AF37" s="76" t="str">
        <f>IF(Tab.11[[#This Row],[a1]]=0,"false",[3]!Tab.x5[[#This Row],[%_seN_C]])</f>
        <v>false</v>
      </c>
      <c r="AG37" s="77" t="b">
        <f>IF(Tab.11[[#This Row],[a1]]=1,AP37)</f>
        <v>0</v>
      </c>
      <c r="AH37" s="78" t="b">
        <f>IF(Tab.11[[#This Row],[a1]]=1,AQ37)</f>
        <v>0</v>
      </c>
      <c r="AI37" s="41">
        <v>3.0000000000000001E-3</v>
      </c>
      <c r="AJ37" s="79">
        <v>-0.01</v>
      </c>
      <c r="AK37" s="80" t="b">
        <f>IF(Tab.11[[#This Row],[a1]]=1,1)</f>
        <v>0</v>
      </c>
      <c r="AZ37"/>
    </row>
    <row r="38" spans="1:52" hidden="1" x14ac:dyDescent="0.25">
      <c r="A38" s="61">
        <f t="shared" si="3"/>
        <v>0</v>
      </c>
      <c r="B38" s="62">
        <f t="shared" si="3"/>
        <v>0</v>
      </c>
      <c r="C38" s="62" t="b">
        <f>IF(Tab.11[[#This Row],[a1]]=1,[3]!Tab_x1[[#This Row],[Name]])</f>
        <v>0</v>
      </c>
      <c r="D38" s="63" t="b">
        <f>IF(Tab.11[[#This Row],[a1]]=1,AO38)</f>
        <v>0</v>
      </c>
      <c r="E38" s="63">
        <f t="shared" si="1"/>
        <v>0</v>
      </c>
      <c r="F38" s="64" t="b">
        <f>IF(Tab.11[[#This Row],[a1]]=1,Tab.11[[#This Row],[b1]])</f>
        <v>0</v>
      </c>
      <c r="G38" s="65" t="b">
        <f>IF(Tab.11[[#This Row],[a1]]=1,IF(Tab.11[[#This Row],[b3]]&gt;$L$989*$G$3,$L$989*$G$3,IF(Tab.11[[#This Row],[b3]]&lt;$M$989*$G$3,$M$989*$G$3,Tab.11[[#This Row],[b3]])))</f>
        <v>0</v>
      </c>
      <c r="H38" s="66" t="b">
        <f>IF(Tab.11[[#This Row],[a1]]=1,Tab.11[[#This Row],[b1]])</f>
        <v>0</v>
      </c>
      <c r="I38" s="67" t="b">
        <f>IF(Tab.11[[#This Row],[a1]]=1,Tab.11[[#This Row],[b1]])</f>
        <v>0</v>
      </c>
      <c r="J38" s="68" t="b">
        <f>IF(Tab.11[[#This Row],[a1]]=1,IF($I$3&lt;0,Tab.11[[#This Row],[b5]]-$I$3,Tab.11[[#This Row],[b5]]))</f>
        <v>0</v>
      </c>
      <c r="K38" s="68" t="b">
        <f>IF(Tab.11[[#This Row],[a1]]=1,IF($K$3=0,Tab.11[b6],Tab.11[[#This Row],[b6]]-AVERAGE(Tab.11[b6])))</f>
        <v>0</v>
      </c>
      <c r="L38" s="69" t="b">
        <f>IF(Tab.11[[#This Row],[a1]]=1,Tab.11[[#This Row],[data]]/(_xlfn.STDEV.P(Tab.11[data])*$B$989)+$A$989)</f>
        <v>0</v>
      </c>
      <c r="M38" s="69" t="b">
        <f>IF(Tab.11[[#This Row],[a1]]=1,Tab.11[[#This Row],[data]]/(_xlfn.STDEV.P(Tab.11[data])*$B$987)-$A$987)</f>
        <v>0</v>
      </c>
      <c r="N38" s="69" t="b">
        <f>IF(Tab.11[[#This Row],[a1]]=1,Tab.11[[#This Row],[data]]/(_xlfn.STDEV.P(Tab.11[data])*$B$988)+$A$988)</f>
        <v>0</v>
      </c>
      <c r="O38" s="70" t="b">
        <f>IF(Tab.11[[#This Row],[a1]]=1,_xlfn.NORM.DIST(Tab.11[[#This Row],[b8]],$P$1,$Q$1,FALSE))</f>
        <v>0</v>
      </c>
      <c r="P38" s="70" t="b">
        <f>IF(Tab.11[[#This Row],[a1]]=1,_xlfn.NORM.DIST(Tab.11[[#This Row],[b9]],$P$1,$Q$1,FALSE))</f>
        <v>0</v>
      </c>
      <c r="Q38" s="70" t="b">
        <f>IF(Tab.11[[#This Row],[a1]]=1,_xlfn.NORM.DIST(Tab.11[[#This Row],[b10]],$P$1,$Q$1,FALSE))</f>
        <v>0</v>
      </c>
      <c r="R38" s="67" t="b">
        <f>IF(Tab.11[[#This Row],[a1]]=1,$I$3+$A$989+IF($K$3=0,Tab.11[[#This Row],[b8]]*_xlfn.STDEV.P(Tab.11[data]),AVERAGE(Tab.11[b6])+Tab.11[[#This Row],[b8]]*_xlfn.STDEV.P(Tab.11[data])))</f>
        <v>0</v>
      </c>
      <c r="S38" s="71" t="b">
        <f>IF(Tab.11[[#This Row],[a1]]=1,$I$3+$A$987+IF($K$3=0,Tab.11[[#This Row],[b9]]*_xlfn.STDEV.P(Tab.11[data]),AVERAGE(Tab.11[b6])+Tab.11[[#This Row],[b9]]*_xlfn.STDEV.P(Tab.11[data])))</f>
        <v>0</v>
      </c>
      <c r="T38" s="71" t="b">
        <f>IF(Tab.11[[#This Row],[a1]]=1,$I$3+$A$988+IF($K$3=0,Tab.11[[#This Row],[b10]]*_xlfn.STDEV.P(Tab.11[data]),AVERAGE(Tab.11[b6])+Tab.11[[#This Row],[b10]]*_xlfn.STDEV.P(Tab.11[data])))</f>
        <v>0</v>
      </c>
      <c r="U38" s="72" t="b">
        <f>IF(Tab.11[[#This Row],[a1]]=1,Tab.11[[#This Row],[target]]-Tab.11[[#This Row],[Red]])</f>
        <v>0</v>
      </c>
      <c r="V38" s="72" t="b">
        <f>IF(Tab.11[[#This Row],[a1]]=1,Tab.11[[#This Row],[target]]-Tab.11[[#This Row],[Blue]])</f>
        <v>0</v>
      </c>
      <c r="W38" s="73" t="b">
        <f>IF(Tab.11[[#This Row],[a1]]=1,IF(ABS(Tab.11[[#This Row],[b17]])+ABS(Tab.11[[#This Row],[b18]])&lt;$W$2,$W$2,ABS(Tab.11[[#This Row],[b17]])+ABS(Tab.11[[#This Row],[b18]])))</f>
        <v>0</v>
      </c>
      <c r="X38" s="136" t="b">
        <f>IF(Tab.11[[#This Row],[a1]]=1,IF($W$3&lt;0,Tab.11[[#This Row],[IN]]-$I$3,Tab.11[[#This Row],[IN]]))</f>
        <v>0</v>
      </c>
      <c r="Y38" s="136" t="b">
        <f>IF(Tab.11[[#This Row],[a1]]=1,IF($X$3=0,Tab.11[b66],Tab.11[[#This Row],[b66]]-AVERAGE(Tab.11[b66])))</f>
        <v>0</v>
      </c>
      <c r="Z38" s="135" t="b">
        <f>IF(Tab.11[[#This Row],[a1]]=1,Tab.11[[#This Row],[b77]]/(_xlfn.STDEV.P(Tab.11[b77])))</f>
        <v>0</v>
      </c>
      <c r="AA38" s="70" t="b">
        <f>IF(Tab.11[[#This Row],[a1]]=1,_xlfn.NORM.DIST(Tab.11[[#This Row],[b88]],$Z$1,$AA$1,FALSE))</f>
        <v>0</v>
      </c>
      <c r="AB38" s="74" t="b">
        <f>IF(Tab.11[[#This Row],[a1]]=1,IF($A$3=0,FALSE,1/Tab.11[[#This Row],[IN]]*$AC$2*IF(Tab.11[[#This Row],[a1]]=0,,$A$3*$AC$1*1/$V$3*(Tab.11[[#This Row],[b14]]))))</f>
        <v>0</v>
      </c>
      <c r="AC38" s="75" t="b">
        <f>IF(Tab.11[[#This Row],[a1]]=1,IF($AC$3=0,Tab.11[[#This Row],[φ1]],Tab.11[[#This Row],[φ1]]/MAX(Tab.11[φ1])))</f>
        <v>0</v>
      </c>
      <c r="AD38" s="74" t="b">
        <f>IF(Tab.11[[#This Row],[a1]]=1,1/Tab.11[[#This Row],[φ2]])</f>
        <v>0</v>
      </c>
      <c r="AE38" s="74" t="b">
        <f>IF(Tab.11[[#This Row],[a1]]=1,IF($AE$3=0,Tab.11[[#This Row],[w.0]],Tab.11[[#This Row],[w.0]]/SUM(Tab.11[w.0])))</f>
        <v>0</v>
      </c>
      <c r="AF38" s="76" t="str">
        <f>IF(Tab.11[[#This Row],[a1]]=0,"false",[3]!Tab.x5[[#This Row],[%_seN_C]])</f>
        <v>false</v>
      </c>
      <c r="AG38" s="77" t="b">
        <f>IF(Tab.11[[#This Row],[a1]]=1,AP38)</f>
        <v>0</v>
      </c>
      <c r="AH38" s="78" t="b">
        <f>IF(Tab.11[[#This Row],[a1]]=1,AQ38)</f>
        <v>0</v>
      </c>
      <c r="AI38" s="41">
        <v>3.0000000000000001E-3</v>
      </c>
      <c r="AJ38" s="79">
        <v>0.09</v>
      </c>
      <c r="AK38" s="80" t="b">
        <f>IF(Tab.11[[#This Row],[a1]]=1,1)</f>
        <v>0</v>
      </c>
      <c r="AZ38"/>
    </row>
    <row r="39" spans="1:52" hidden="1" x14ac:dyDescent="0.25">
      <c r="A39" s="61">
        <f t="shared" si="3"/>
        <v>0</v>
      </c>
      <c r="B39" s="62">
        <f t="shared" si="3"/>
        <v>0</v>
      </c>
      <c r="C39" s="62" t="b">
        <f>IF(Tab.11[[#This Row],[a1]]=1,[3]!Tab_x1[[#This Row],[Name]])</f>
        <v>0</v>
      </c>
      <c r="D39" s="63" t="b">
        <f>IF(Tab.11[[#This Row],[a1]]=1,AO39)</f>
        <v>0</v>
      </c>
      <c r="E39" s="63">
        <f t="shared" si="1"/>
        <v>0</v>
      </c>
      <c r="F39" s="64" t="b">
        <f>IF(Tab.11[[#This Row],[a1]]=1,Tab.11[[#This Row],[b1]])</f>
        <v>0</v>
      </c>
      <c r="G39" s="65" t="b">
        <f>IF(Tab.11[[#This Row],[a1]]=1,IF(Tab.11[[#This Row],[b3]]&gt;$L$989*$G$3,$L$989*$G$3,IF(Tab.11[[#This Row],[b3]]&lt;$M$989*$G$3,$M$989*$G$3,Tab.11[[#This Row],[b3]])))</f>
        <v>0</v>
      </c>
      <c r="H39" s="66" t="b">
        <f>IF(Tab.11[[#This Row],[a1]]=1,Tab.11[[#This Row],[b1]])</f>
        <v>0</v>
      </c>
      <c r="I39" s="67" t="b">
        <f>IF(Tab.11[[#This Row],[a1]]=1,Tab.11[[#This Row],[b1]])</f>
        <v>0</v>
      </c>
      <c r="J39" s="68" t="b">
        <f>IF(Tab.11[[#This Row],[a1]]=1,IF($I$3&lt;0,Tab.11[[#This Row],[b5]]-$I$3,Tab.11[[#This Row],[b5]]))</f>
        <v>0</v>
      </c>
      <c r="K39" s="68" t="b">
        <f>IF(Tab.11[[#This Row],[a1]]=1,IF($K$3=0,Tab.11[b6],Tab.11[[#This Row],[b6]]-AVERAGE(Tab.11[b6])))</f>
        <v>0</v>
      </c>
      <c r="L39" s="69" t="b">
        <f>IF(Tab.11[[#This Row],[a1]]=1,Tab.11[[#This Row],[data]]/(_xlfn.STDEV.P(Tab.11[data])*$B$989)+$A$989)</f>
        <v>0</v>
      </c>
      <c r="M39" s="69" t="b">
        <f>IF(Tab.11[[#This Row],[a1]]=1,Tab.11[[#This Row],[data]]/(_xlfn.STDEV.P(Tab.11[data])*$B$987)-$A$987)</f>
        <v>0</v>
      </c>
      <c r="N39" s="69" t="b">
        <f>IF(Tab.11[[#This Row],[a1]]=1,Tab.11[[#This Row],[data]]/(_xlfn.STDEV.P(Tab.11[data])*$B$988)+$A$988)</f>
        <v>0</v>
      </c>
      <c r="O39" s="70" t="b">
        <f>IF(Tab.11[[#This Row],[a1]]=1,_xlfn.NORM.DIST(Tab.11[[#This Row],[b8]],$P$1,$Q$1,FALSE))</f>
        <v>0</v>
      </c>
      <c r="P39" s="70" t="b">
        <f>IF(Tab.11[[#This Row],[a1]]=1,_xlfn.NORM.DIST(Tab.11[[#This Row],[b9]],$P$1,$Q$1,FALSE))</f>
        <v>0</v>
      </c>
      <c r="Q39" s="70" t="b">
        <f>IF(Tab.11[[#This Row],[a1]]=1,_xlfn.NORM.DIST(Tab.11[[#This Row],[b10]],$P$1,$Q$1,FALSE))</f>
        <v>0</v>
      </c>
      <c r="R39" s="67" t="b">
        <f>IF(Tab.11[[#This Row],[a1]]=1,$I$3+$A$989+IF($K$3=0,Tab.11[[#This Row],[b8]]*_xlfn.STDEV.P(Tab.11[data]),AVERAGE(Tab.11[b6])+Tab.11[[#This Row],[b8]]*_xlfn.STDEV.P(Tab.11[data])))</f>
        <v>0</v>
      </c>
      <c r="S39" s="71" t="b">
        <f>IF(Tab.11[[#This Row],[a1]]=1,$I$3+$A$987+IF($K$3=0,Tab.11[[#This Row],[b9]]*_xlfn.STDEV.P(Tab.11[data]),AVERAGE(Tab.11[b6])+Tab.11[[#This Row],[b9]]*_xlfn.STDEV.P(Tab.11[data])))</f>
        <v>0</v>
      </c>
      <c r="T39" s="71" t="b">
        <f>IF(Tab.11[[#This Row],[a1]]=1,$I$3+$A$988+IF($K$3=0,Tab.11[[#This Row],[b10]]*_xlfn.STDEV.P(Tab.11[data]),AVERAGE(Tab.11[b6])+Tab.11[[#This Row],[b10]]*_xlfn.STDEV.P(Tab.11[data])))</f>
        <v>0</v>
      </c>
      <c r="U39" s="72" t="b">
        <f>IF(Tab.11[[#This Row],[a1]]=1,Tab.11[[#This Row],[target]]-Tab.11[[#This Row],[Red]])</f>
        <v>0</v>
      </c>
      <c r="V39" s="72" t="b">
        <f>IF(Tab.11[[#This Row],[a1]]=1,Tab.11[[#This Row],[target]]-Tab.11[[#This Row],[Blue]])</f>
        <v>0</v>
      </c>
      <c r="W39" s="73" t="b">
        <f>IF(Tab.11[[#This Row],[a1]]=1,IF(ABS(Tab.11[[#This Row],[b17]])+ABS(Tab.11[[#This Row],[b18]])&lt;$W$2,$W$2,ABS(Tab.11[[#This Row],[b17]])+ABS(Tab.11[[#This Row],[b18]])))</f>
        <v>0</v>
      </c>
      <c r="X39" s="136" t="b">
        <f>IF(Tab.11[[#This Row],[a1]]=1,IF($W$3&lt;0,Tab.11[[#This Row],[IN]]-$I$3,Tab.11[[#This Row],[IN]]))</f>
        <v>0</v>
      </c>
      <c r="Y39" s="136" t="b">
        <f>IF(Tab.11[[#This Row],[a1]]=1,IF($X$3=0,Tab.11[b66],Tab.11[[#This Row],[b66]]-AVERAGE(Tab.11[b66])))</f>
        <v>0</v>
      </c>
      <c r="Z39" s="135" t="b">
        <f>IF(Tab.11[[#This Row],[a1]]=1,Tab.11[[#This Row],[b77]]/(_xlfn.STDEV.P(Tab.11[b77])))</f>
        <v>0</v>
      </c>
      <c r="AA39" s="70" t="b">
        <f>IF(Tab.11[[#This Row],[a1]]=1,_xlfn.NORM.DIST(Tab.11[[#This Row],[b88]],$Z$1,$AA$1,FALSE))</f>
        <v>0</v>
      </c>
      <c r="AB39" s="74" t="b">
        <f>IF(Tab.11[[#This Row],[a1]]=1,IF($A$3=0,FALSE,1/Tab.11[[#This Row],[IN]]*$AC$2*IF(Tab.11[[#This Row],[a1]]=0,,$A$3*$AC$1*1/$V$3*(Tab.11[[#This Row],[b14]]))))</f>
        <v>0</v>
      </c>
      <c r="AC39" s="75" t="b">
        <f>IF(Tab.11[[#This Row],[a1]]=1,IF($AC$3=0,Tab.11[[#This Row],[φ1]],Tab.11[[#This Row],[φ1]]/MAX(Tab.11[φ1])))</f>
        <v>0</v>
      </c>
      <c r="AD39" s="74" t="b">
        <f>IF(Tab.11[[#This Row],[a1]]=1,1/Tab.11[[#This Row],[φ2]])</f>
        <v>0</v>
      </c>
      <c r="AE39" s="74" t="b">
        <f>IF(Tab.11[[#This Row],[a1]]=1,IF($AE$3=0,Tab.11[[#This Row],[w.0]],Tab.11[[#This Row],[w.0]]/SUM(Tab.11[w.0])))</f>
        <v>0</v>
      </c>
      <c r="AF39" s="76" t="str">
        <f>IF(Tab.11[[#This Row],[a1]]=0,"false",[3]!Tab.x5[[#This Row],[%_seN_C]])</f>
        <v>false</v>
      </c>
      <c r="AG39" s="77" t="b">
        <f>IF(Tab.11[[#This Row],[a1]]=1,AP39)</f>
        <v>0</v>
      </c>
      <c r="AH39" s="78" t="b">
        <f>IF(Tab.11[[#This Row],[a1]]=1,AQ39)</f>
        <v>0</v>
      </c>
      <c r="AI39" s="41">
        <v>3.0000000000000001E-3</v>
      </c>
      <c r="AJ39" s="79">
        <v>0.08</v>
      </c>
      <c r="AK39" s="80" t="b">
        <f>IF(Tab.11[[#This Row],[a1]]=1,1)</f>
        <v>0</v>
      </c>
      <c r="AZ39"/>
    </row>
    <row r="40" spans="1:52" hidden="1" x14ac:dyDescent="0.25">
      <c r="A40" s="61">
        <f t="shared" si="3"/>
        <v>0</v>
      </c>
      <c r="B40" s="62">
        <f t="shared" si="3"/>
        <v>0</v>
      </c>
      <c r="C40" s="62" t="b">
        <f>IF(Tab.11[[#This Row],[a1]]=1,[3]!Tab_x1[[#This Row],[Name]])</f>
        <v>0</v>
      </c>
      <c r="D40" s="63" t="b">
        <f>IF(Tab.11[[#This Row],[a1]]=1,AO40)</f>
        <v>0</v>
      </c>
      <c r="E40" s="63">
        <f t="shared" si="1"/>
        <v>0</v>
      </c>
      <c r="F40" s="64" t="b">
        <f>IF(Tab.11[[#This Row],[a1]]=1,Tab.11[[#This Row],[b1]])</f>
        <v>0</v>
      </c>
      <c r="G40" s="65" t="b">
        <f>IF(Tab.11[[#This Row],[a1]]=1,IF(Tab.11[[#This Row],[b3]]&gt;$L$989*$G$3,$L$989*$G$3,IF(Tab.11[[#This Row],[b3]]&lt;$M$989*$G$3,$M$989*$G$3,Tab.11[[#This Row],[b3]])))</f>
        <v>0</v>
      </c>
      <c r="H40" s="66" t="b">
        <f>IF(Tab.11[[#This Row],[a1]]=1,Tab.11[[#This Row],[b1]])</f>
        <v>0</v>
      </c>
      <c r="I40" s="67" t="b">
        <f>IF(Tab.11[[#This Row],[a1]]=1,Tab.11[[#This Row],[b1]])</f>
        <v>0</v>
      </c>
      <c r="J40" s="68" t="b">
        <f>IF(Tab.11[[#This Row],[a1]]=1,IF($I$3&lt;0,Tab.11[[#This Row],[b5]]-$I$3,Tab.11[[#This Row],[b5]]))</f>
        <v>0</v>
      </c>
      <c r="K40" s="68" t="b">
        <f>IF(Tab.11[[#This Row],[a1]]=1,IF($K$3=0,Tab.11[b6],Tab.11[[#This Row],[b6]]-AVERAGE(Tab.11[b6])))</f>
        <v>0</v>
      </c>
      <c r="L40" s="69" t="b">
        <f>IF(Tab.11[[#This Row],[a1]]=1,Tab.11[[#This Row],[data]]/(_xlfn.STDEV.P(Tab.11[data])*$B$989)+$A$989)</f>
        <v>0</v>
      </c>
      <c r="M40" s="69" t="b">
        <f>IF(Tab.11[[#This Row],[a1]]=1,Tab.11[[#This Row],[data]]/(_xlfn.STDEV.P(Tab.11[data])*$B$987)-$A$987)</f>
        <v>0</v>
      </c>
      <c r="N40" s="69" t="b">
        <f>IF(Tab.11[[#This Row],[a1]]=1,Tab.11[[#This Row],[data]]/(_xlfn.STDEV.P(Tab.11[data])*$B$988)+$A$988)</f>
        <v>0</v>
      </c>
      <c r="O40" s="70" t="b">
        <f>IF(Tab.11[[#This Row],[a1]]=1,_xlfn.NORM.DIST(Tab.11[[#This Row],[b8]],$P$1,$Q$1,FALSE))</f>
        <v>0</v>
      </c>
      <c r="P40" s="70" t="b">
        <f>IF(Tab.11[[#This Row],[a1]]=1,_xlfn.NORM.DIST(Tab.11[[#This Row],[b9]],$P$1,$Q$1,FALSE))</f>
        <v>0</v>
      </c>
      <c r="Q40" s="70" t="b">
        <f>IF(Tab.11[[#This Row],[a1]]=1,_xlfn.NORM.DIST(Tab.11[[#This Row],[b10]],$P$1,$Q$1,FALSE))</f>
        <v>0</v>
      </c>
      <c r="R40" s="67" t="b">
        <f>IF(Tab.11[[#This Row],[a1]]=1,$I$3+$A$989+IF($K$3=0,Tab.11[[#This Row],[b8]]*_xlfn.STDEV.P(Tab.11[data]),AVERAGE(Tab.11[b6])+Tab.11[[#This Row],[b8]]*_xlfn.STDEV.P(Tab.11[data])))</f>
        <v>0</v>
      </c>
      <c r="S40" s="71" t="b">
        <f>IF(Tab.11[[#This Row],[a1]]=1,$I$3+$A$987+IF($K$3=0,Tab.11[[#This Row],[b9]]*_xlfn.STDEV.P(Tab.11[data]),AVERAGE(Tab.11[b6])+Tab.11[[#This Row],[b9]]*_xlfn.STDEV.P(Tab.11[data])))</f>
        <v>0</v>
      </c>
      <c r="T40" s="71" t="b">
        <f>IF(Tab.11[[#This Row],[a1]]=1,$I$3+$A$988+IF($K$3=0,Tab.11[[#This Row],[b10]]*_xlfn.STDEV.P(Tab.11[data]),AVERAGE(Tab.11[b6])+Tab.11[[#This Row],[b10]]*_xlfn.STDEV.P(Tab.11[data])))</f>
        <v>0</v>
      </c>
      <c r="U40" s="72" t="b">
        <f>IF(Tab.11[[#This Row],[a1]]=1,Tab.11[[#This Row],[target]]-Tab.11[[#This Row],[Red]])</f>
        <v>0</v>
      </c>
      <c r="V40" s="72" t="b">
        <f>IF(Tab.11[[#This Row],[a1]]=1,Tab.11[[#This Row],[target]]-Tab.11[[#This Row],[Blue]])</f>
        <v>0</v>
      </c>
      <c r="W40" s="73" t="b">
        <f>IF(Tab.11[[#This Row],[a1]]=1,IF(ABS(Tab.11[[#This Row],[b17]])+ABS(Tab.11[[#This Row],[b18]])&lt;$W$2,$W$2,ABS(Tab.11[[#This Row],[b17]])+ABS(Tab.11[[#This Row],[b18]])))</f>
        <v>0</v>
      </c>
      <c r="X40" s="136" t="b">
        <f>IF(Tab.11[[#This Row],[a1]]=1,IF($W$3&lt;0,Tab.11[[#This Row],[IN]]-$I$3,Tab.11[[#This Row],[IN]]))</f>
        <v>0</v>
      </c>
      <c r="Y40" s="136" t="b">
        <f>IF(Tab.11[[#This Row],[a1]]=1,IF($X$3=0,Tab.11[b66],Tab.11[[#This Row],[b66]]-AVERAGE(Tab.11[b66])))</f>
        <v>0</v>
      </c>
      <c r="Z40" s="135" t="b">
        <f>IF(Tab.11[[#This Row],[a1]]=1,Tab.11[[#This Row],[b77]]/(_xlfn.STDEV.P(Tab.11[b77])))</f>
        <v>0</v>
      </c>
      <c r="AA40" s="70" t="b">
        <f>IF(Tab.11[[#This Row],[a1]]=1,_xlfn.NORM.DIST(Tab.11[[#This Row],[b88]],$Z$1,$AA$1,FALSE))</f>
        <v>0</v>
      </c>
      <c r="AB40" s="74" t="b">
        <f>IF(Tab.11[[#This Row],[a1]]=1,IF($A$3=0,FALSE,1/Tab.11[[#This Row],[IN]]*$AC$2*IF(Tab.11[[#This Row],[a1]]=0,,$A$3*$AC$1*1/$V$3*(Tab.11[[#This Row],[b14]]))))</f>
        <v>0</v>
      </c>
      <c r="AC40" s="75" t="b">
        <f>IF(Tab.11[[#This Row],[a1]]=1,IF($AC$3=0,Tab.11[[#This Row],[φ1]],Tab.11[[#This Row],[φ1]]/MAX(Tab.11[φ1])))</f>
        <v>0</v>
      </c>
      <c r="AD40" s="74" t="b">
        <f>IF(Tab.11[[#This Row],[a1]]=1,1/Tab.11[[#This Row],[φ2]])</f>
        <v>0</v>
      </c>
      <c r="AE40" s="74" t="b">
        <f>IF(Tab.11[[#This Row],[a1]]=1,IF($AE$3=0,Tab.11[[#This Row],[w.0]],Tab.11[[#This Row],[w.0]]/SUM(Tab.11[w.0])))</f>
        <v>0</v>
      </c>
      <c r="AF40" s="76" t="str">
        <f>IF(Tab.11[[#This Row],[a1]]=0,"false",[3]!Tab.x5[[#This Row],[%_seN_C]])</f>
        <v>false</v>
      </c>
      <c r="AG40" s="77" t="b">
        <f>IF(Tab.11[[#This Row],[a1]]=1,AP40)</f>
        <v>0</v>
      </c>
      <c r="AH40" s="78" t="b">
        <f>IF(Tab.11[[#This Row],[a1]]=1,AQ40)</f>
        <v>0</v>
      </c>
      <c r="AI40" s="41">
        <v>3.0000000000000001E-3</v>
      </c>
      <c r="AJ40" s="79">
        <v>0.08</v>
      </c>
      <c r="AK40" s="80" t="b">
        <f>IF(Tab.11[[#This Row],[a1]]=1,1)</f>
        <v>0</v>
      </c>
      <c r="AZ40"/>
    </row>
    <row r="41" spans="1:52" hidden="1" x14ac:dyDescent="0.25">
      <c r="A41" s="61">
        <f t="shared" si="3"/>
        <v>0</v>
      </c>
      <c r="B41" s="62">
        <f t="shared" si="3"/>
        <v>0</v>
      </c>
      <c r="C41" s="62" t="b">
        <f>IF(Tab.11[[#This Row],[a1]]=1,[3]!Tab_x1[[#This Row],[Name]])</f>
        <v>0</v>
      </c>
      <c r="D41" s="63" t="b">
        <f>IF(Tab.11[[#This Row],[a1]]=1,AO41)</f>
        <v>0</v>
      </c>
      <c r="E41" s="63">
        <f t="shared" si="1"/>
        <v>0</v>
      </c>
      <c r="F41" s="64" t="b">
        <f>IF(Tab.11[[#This Row],[a1]]=1,Tab.11[[#This Row],[b1]])</f>
        <v>0</v>
      </c>
      <c r="G41" s="65" t="b">
        <f>IF(Tab.11[[#This Row],[a1]]=1,IF(Tab.11[[#This Row],[b3]]&gt;$L$989*$G$3,$L$989*$G$3,IF(Tab.11[[#This Row],[b3]]&lt;$M$989*$G$3,$M$989*$G$3,Tab.11[[#This Row],[b3]])))</f>
        <v>0</v>
      </c>
      <c r="H41" s="66" t="b">
        <f>IF(Tab.11[[#This Row],[a1]]=1,Tab.11[[#This Row],[b1]])</f>
        <v>0</v>
      </c>
      <c r="I41" s="67" t="b">
        <f>IF(Tab.11[[#This Row],[a1]]=1,Tab.11[[#This Row],[b1]])</f>
        <v>0</v>
      </c>
      <c r="J41" s="68" t="b">
        <f>IF(Tab.11[[#This Row],[a1]]=1,IF($I$3&lt;0,Tab.11[[#This Row],[b5]]-$I$3,Tab.11[[#This Row],[b5]]))</f>
        <v>0</v>
      </c>
      <c r="K41" s="68" t="b">
        <f>IF(Tab.11[[#This Row],[a1]]=1,IF($K$3=0,Tab.11[b6],Tab.11[[#This Row],[b6]]-AVERAGE(Tab.11[b6])))</f>
        <v>0</v>
      </c>
      <c r="L41" s="69" t="b">
        <f>IF(Tab.11[[#This Row],[a1]]=1,Tab.11[[#This Row],[data]]/(_xlfn.STDEV.P(Tab.11[data])*$B$989)+$A$989)</f>
        <v>0</v>
      </c>
      <c r="M41" s="69" t="b">
        <f>IF(Tab.11[[#This Row],[a1]]=1,Tab.11[[#This Row],[data]]/(_xlfn.STDEV.P(Tab.11[data])*$B$987)-$A$987)</f>
        <v>0</v>
      </c>
      <c r="N41" s="69" t="b">
        <f>IF(Tab.11[[#This Row],[a1]]=1,Tab.11[[#This Row],[data]]/(_xlfn.STDEV.P(Tab.11[data])*$B$988)+$A$988)</f>
        <v>0</v>
      </c>
      <c r="O41" s="70" t="b">
        <f>IF(Tab.11[[#This Row],[a1]]=1,_xlfn.NORM.DIST(Tab.11[[#This Row],[b8]],$P$1,$Q$1,FALSE))</f>
        <v>0</v>
      </c>
      <c r="P41" s="70" t="b">
        <f>IF(Tab.11[[#This Row],[a1]]=1,_xlfn.NORM.DIST(Tab.11[[#This Row],[b9]],$P$1,$Q$1,FALSE))</f>
        <v>0</v>
      </c>
      <c r="Q41" s="70" t="b">
        <f>IF(Tab.11[[#This Row],[a1]]=1,_xlfn.NORM.DIST(Tab.11[[#This Row],[b10]],$P$1,$Q$1,FALSE))</f>
        <v>0</v>
      </c>
      <c r="R41" s="67" t="b">
        <f>IF(Tab.11[[#This Row],[a1]]=1,$I$3+$A$989+IF($K$3=0,Tab.11[[#This Row],[b8]]*_xlfn.STDEV.P(Tab.11[data]),AVERAGE(Tab.11[b6])+Tab.11[[#This Row],[b8]]*_xlfn.STDEV.P(Tab.11[data])))</f>
        <v>0</v>
      </c>
      <c r="S41" s="71" t="b">
        <f>IF(Tab.11[[#This Row],[a1]]=1,$I$3+$A$987+IF($K$3=0,Tab.11[[#This Row],[b9]]*_xlfn.STDEV.P(Tab.11[data]),AVERAGE(Tab.11[b6])+Tab.11[[#This Row],[b9]]*_xlfn.STDEV.P(Tab.11[data])))</f>
        <v>0</v>
      </c>
      <c r="T41" s="71" t="b">
        <f>IF(Tab.11[[#This Row],[a1]]=1,$I$3+$A$988+IF($K$3=0,Tab.11[[#This Row],[b10]]*_xlfn.STDEV.P(Tab.11[data]),AVERAGE(Tab.11[b6])+Tab.11[[#This Row],[b10]]*_xlfn.STDEV.P(Tab.11[data])))</f>
        <v>0</v>
      </c>
      <c r="U41" s="72" t="b">
        <f>IF(Tab.11[[#This Row],[a1]]=1,Tab.11[[#This Row],[target]]-Tab.11[[#This Row],[Red]])</f>
        <v>0</v>
      </c>
      <c r="V41" s="72" t="b">
        <f>IF(Tab.11[[#This Row],[a1]]=1,Tab.11[[#This Row],[target]]-Tab.11[[#This Row],[Blue]])</f>
        <v>0</v>
      </c>
      <c r="W41" s="73" t="b">
        <f>IF(Tab.11[[#This Row],[a1]]=1,IF(ABS(Tab.11[[#This Row],[b17]])+ABS(Tab.11[[#This Row],[b18]])&lt;$W$2,$W$2,ABS(Tab.11[[#This Row],[b17]])+ABS(Tab.11[[#This Row],[b18]])))</f>
        <v>0</v>
      </c>
      <c r="X41" s="136" t="b">
        <f>IF(Tab.11[[#This Row],[a1]]=1,IF($W$3&lt;0,Tab.11[[#This Row],[IN]]-$I$3,Tab.11[[#This Row],[IN]]))</f>
        <v>0</v>
      </c>
      <c r="Y41" s="136" t="b">
        <f>IF(Tab.11[[#This Row],[a1]]=1,IF($X$3=0,Tab.11[b66],Tab.11[[#This Row],[b66]]-AVERAGE(Tab.11[b66])))</f>
        <v>0</v>
      </c>
      <c r="Z41" s="135" t="b">
        <f>IF(Tab.11[[#This Row],[a1]]=1,Tab.11[[#This Row],[b77]]/(_xlfn.STDEV.P(Tab.11[b77])))</f>
        <v>0</v>
      </c>
      <c r="AA41" s="70" t="b">
        <f>IF(Tab.11[[#This Row],[a1]]=1,_xlfn.NORM.DIST(Tab.11[[#This Row],[b88]],$Z$1,$AA$1,FALSE))</f>
        <v>0</v>
      </c>
      <c r="AB41" s="74" t="b">
        <f>IF(Tab.11[[#This Row],[a1]]=1,IF($A$3=0,FALSE,1/Tab.11[[#This Row],[IN]]*$AC$2*IF(Tab.11[[#This Row],[a1]]=0,,$A$3*$AC$1*1/$V$3*(Tab.11[[#This Row],[b14]]))))</f>
        <v>0</v>
      </c>
      <c r="AC41" s="75" t="b">
        <f>IF(Tab.11[[#This Row],[a1]]=1,IF($AC$3=0,Tab.11[[#This Row],[φ1]],Tab.11[[#This Row],[φ1]]/MAX(Tab.11[φ1])))</f>
        <v>0</v>
      </c>
      <c r="AD41" s="74" t="b">
        <f>IF(Tab.11[[#This Row],[a1]]=1,1/Tab.11[[#This Row],[φ2]])</f>
        <v>0</v>
      </c>
      <c r="AE41" s="74" t="b">
        <f>IF(Tab.11[[#This Row],[a1]]=1,IF($AE$3=0,Tab.11[[#This Row],[w.0]],Tab.11[[#This Row],[w.0]]/SUM(Tab.11[w.0])))</f>
        <v>0</v>
      </c>
      <c r="AF41" s="76" t="str">
        <f>IF(Tab.11[[#This Row],[a1]]=0,"false",[3]!Tab.x5[[#This Row],[%_seN_C]])</f>
        <v>false</v>
      </c>
      <c r="AG41" s="77" t="b">
        <f>IF(Tab.11[[#This Row],[a1]]=1,AP41)</f>
        <v>0</v>
      </c>
      <c r="AH41" s="78" t="b">
        <f>IF(Tab.11[[#This Row],[a1]]=1,AQ41)</f>
        <v>0</v>
      </c>
      <c r="AI41" s="41">
        <v>3.0000000000000001E-3</v>
      </c>
      <c r="AJ41" s="79">
        <v>0.02</v>
      </c>
      <c r="AK41" s="80" t="b">
        <f>IF(Tab.11[[#This Row],[a1]]=1,1)</f>
        <v>0</v>
      </c>
      <c r="AZ41"/>
    </row>
    <row r="42" spans="1:52" hidden="1" x14ac:dyDescent="0.25">
      <c r="A42" s="61">
        <f t="shared" si="3"/>
        <v>0</v>
      </c>
      <c r="B42" s="62">
        <f t="shared" si="3"/>
        <v>0</v>
      </c>
      <c r="C42" s="62" t="b">
        <f>IF(Tab.11[[#This Row],[a1]]=1,[3]!Tab_x1[[#This Row],[Name]])</f>
        <v>0</v>
      </c>
      <c r="D42" s="63" t="b">
        <f>IF(Tab.11[[#This Row],[a1]]=1,AO42)</f>
        <v>0</v>
      </c>
      <c r="E42" s="63">
        <f t="shared" si="1"/>
        <v>0</v>
      </c>
      <c r="F42" s="64" t="b">
        <f>IF(Tab.11[[#This Row],[a1]]=1,Tab.11[[#This Row],[b1]])</f>
        <v>0</v>
      </c>
      <c r="G42" s="65" t="b">
        <f>IF(Tab.11[[#This Row],[a1]]=1,IF(Tab.11[[#This Row],[b3]]&gt;$L$989*$G$3,$L$989*$G$3,IF(Tab.11[[#This Row],[b3]]&lt;$M$989*$G$3,$M$989*$G$3,Tab.11[[#This Row],[b3]])))</f>
        <v>0</v>
      </c>
      <c r="H42" s="66" t="b">
        <f>IF(Tab.11[[#This Row],[a1]]=1,Tab.11[[#This Row],[b1]])</f>
        <v>0</v>
      </c>
      <c r="I42" s="67" t="b">
        <f>IF(Tab.11[[#This Row],[a1]]=1,Tab.11[[#This Row],[b1]])</f>
        <v>0</v>
      </c>
      <c r="J42" s="68" t="b">
        <f>IF(Tab.11[[#This Row],[a1]]=1,IF($I$3&lt;0,Tab.11[[#This Row],[b5]]-$I$3,Tab.11[[#This Row],[b5]]))</f>
        <v>0</v>
      </c>
      <c r="K42" s="68" t="b">
        <f>IF(Tab.11[[#This Row],[a1]]=1,IF($K$3=0,Tab.11[b6],Tab.11[[#This Row],[b6]]-AVERAGE(Tab.11[b6])))</f>
        <v>0</v>
      </c>
      <c r="L42" s="69" t="b">
        <f>IF(Tab.11[[#This Row],[a1]]=1,Tab.11[[#This Row],[data]]/(_xlfn.STDEV.P(Tab.11[data])*$B$989)+$A$989)</f>
        <v>0</v>
      </c>
      <c r="M42" s="69" t="b">
        <f>IF(Tab.11[[#This Row],[a1]]=1,Tab.11[[#This Row],[data]]/(_xlfn.STDEV.P(Tab.11[data])*$B$987)-$A$987)</f>
        <v>0</v>
      </c>
      <c r="N42" s="69" t="b">
        <f>IF(Tab.11[[#This Row],[a1]]=1,Tab.11[[#This Row],[data]]/(_xlfn.STDEV.P(Tab.11[data])*$B$988)+$A$988)</f>
        <v>0</v>
      </c>
      <c r="O42" s="70" t="b">
        <f>IF(Tab.11[[#This Row],[a1]]=1,_xlfn.NORM.DIST(Tab.11[[#This Row],[b8]],$P$1,$Q$1,FALSE))</f>
        <v>0</v>
      </c>
      <c r="P42" s="70" t="b">
        <f>IF(Tab.11[[#This Row],[a1]]=1,_xlfn.NORM.DIST(Tab.11[[#This Row],[b9]],$P$1,$Q$1,FALSE))</f>
        <v>0</v>
      </c>
      <c r="Q42" s="70" t="b">
        <f>IF(Tab.11[[#This Row],[a1]]=1,_xlfn.NORM.DIST(Tab.11[[#This Row],[b10]],$P$1,$Q$1,FALSE))</f>
        <v>0</v>
      </c>
      <c r="R42" s="67" t="b">
        <f>IF(Tab.11[[#This Row],[a1]]=1,$I$3+$A$989+IF($K$3=0,Tab.11[[#This Row],[b8]]*_xlfn.STDEV.P(Tab.11[data]),AVERAGE(Tab.11[b6])+Tab.11[[#This Row],[b8]]*_xlfn.STDEV.P(Tab.11[data])))</f>
        <v>0</v>
      </c>
      <c r="S42" s="71" t="b">
        <f>IF(Tab.11[[#This Row],[a1]]=1,$I$3+$A$987+IF($K$3=0,Tab.11[[#This Row],[b9]]*_xlfn.STDEV.P(Tab.11[data]),AVERAGE(Tab.11[b6])+Tab.11[[#This Row],[b9]]*_xlfn.STDEV.P(Tab.11[data])))</f>
        <v>0</v>
      </c>
      <c r="T42" s="71" t="b">
        <f>IF(Tab.11[[#This Row],[a1]]=1,$I$3+$A$988+IF($K$3=0,Tab.11[[#This Row],[b10]]*_xlfn.STDEV.P(Tab.11[data]),AVERAGE(Tab.11[b6])+Tab.11[[#This Row],[b10]]*_xlfn.STDEV.P(Tab.11[data])))</f>
        <v>0</v>
      </c>
      <c r="U42" s="72" t="b">
        <f>IF(Tab.11[[#This Row],[a1]]=1,Tab.11[[#This Row],[target]]-Tab.11[[#This Row],[Red]])</f>
        <v>0</v>
      </c>
      <c r="V42" s="72" t="b">
        <f>IF(Tab.11[[#This Row],[a1]]=1,Tab.11[[#This Row],[target]]-Tab.11[[#This Row],[Blue]])</f>
        <v>0</v>
      </c>
      <c r="W42" s="73" t="b">
        <f>IF(Tab.11[[#This Row],[a1]]=1,IF(ABS(Tab.11[[#This Row],[b17]])+ABS(Tab.11[[#This Row],[b18]])&lt;$W$2,$W$2,ABS(Tab.11[[#This Row],[b17]])+ABS(Tab.11[[#This Row],[b18]])))</f>
        <v>0</v>
      </c>
      <c r="X42" s="136" t="b">
        <f>IF(Tab.11[[#This Row],[a1]]=1,IF($W$3&lt;0,Tab.11[[#This Row],[IN]]-$I$3,Tab.11[[#This Row],[IN]]))</f>
        <v>0</v>
      </c>
      <c r="Y42" s="136" t="b">
        <f>IF(Tab.11[[#This Row],[a1]]=1,IF($X$3=0,Tab.11[b66],Tab.11[[#This Row],[b66]]-AVERAGE(Tab.11[b66])))</f>
        <v>0</v>
      </c>
      <c r="Z42" s="135" t="b">
        <f>IF(Tab.11[[#This Row],[a1]]=1,Tab.11[[#This Row],[b77]]/(_xlfn.STDEV.P(Tab.11[b77])))</f>
        <v>0</v>
      </c>
      <c r="AA42" s="70" t="b">
        <f>IF(Tab.11[[#This Row],[a1]]=1,_xlfn.NORM.DIST(Tab.11[[#This Row],[b88]],$Z$1,$AA$1,FALSE))</f>
        <v>0</v>
      </c>
      <c r="AB42" s="74" t="b">
        <f>IF(Tab.11[[#This Row],[a1]]=1,IF($A$3=0,FALSE,1/Tab.11[[#This Row],[IN]]*$AC$2*IF(Tab.11[[#This Row],[a1]]=0,,$A$3*$AC$1*1/$V$3*(Tab.11[[#This Row],[b14]]))))</f>
        <v>0</v>
      </c>
      <c r="AC42" s="75" t="b">
        <f>IF(Tab.11[[#This Row],[a1]]=1,IF($AC$3=0,Tab.11[[#This Row],[φ1]],Tab.11[[#This Row],[φ1]]/MAX(Tab.11[φ1])))</f>
        <v>0</v>
      </c>
      <c r="AD42" s="74" t="b">
        <f>IF(Tab.11[[#This Row],[a1]]=1,1/Tab.11[[#This Row],[φ2]])</f>
        <v>0</v>
      </c>
      <c r="AE42" s="74" t="b">
        <f>IF(Tab.11[[#This Row],[a1]]=1,IF($AE$3=0,Tab.11[[#This Row],[w.0]],Tab.11[[#This Row],[w.0]]/SUM(Tab.11[w.0])))</f>
        <v>0</v>
      </c>
      <c r="AF42" s="76" t="str">
        <f>IF(Tab.11[[#This Row],[a1]]=0,"false",[3]!Tab.x5[[#This Row],[%_seN_C]])</f>
        <v>false</v>
      </c>
      <c r="AG42" s="77" t="b">
        <f>IF(Tab.11[[#This Row],[a1]]=1,AP42)</f>
        <v>0</v>
      </c>
      <c r="AH42" s="78" t="b">
        <f>IF(Tab.11[[#This Row],[a1]]=1,AQ42)</f>
        <v>0</v>
      </c>
      <c r="AI42" s="41">
        <v>3.0000000000000001E-3</v>
      </c>
      <c r="AJ42" s="79">
        <v>-0.06</v>
      </c>
      <c r="AK42" s="80" t="b">
        <f>IF(Tab.11[[#This Row],[a1]]=1,1)</f>
        <v>0</v>
      </c>
      <c r="AZ42"/>
    </row>
    <row r="43" spans="1:52" hidden="1" x14ac:dyDescent="0.25">
      <c r="A43" s="61">
        <f t="shared" si="3"/>
        <v>0</v>
      </c>
      <c r="B43" s="62">
        <f t="shared" si="3"/>
        <v>0</v>
      </c>
      <c r="C43" s="62" t="b">
        <f>IF(Tab.11[[#This Row],[a1]]=1,[3]!Tab_x1[[#This Row],[Name]])</f>
        <v>0</v>
      </c>
      <c r="D43" s="63" t="b">
        <f>IF(Tab.11[[#This Row],[a1]]=1,AO43)</f>
        <v>0</v>
      </c>
      <c r="E43" s="63">
        <f t="shared" si="1"/>
        <v>0</v>
      </c>
      <c r="F43" s="64" t="b">
        <f>IF(Tab.11[[#This Row],[a1]]=1,Tab.11[[#This Row],[b1]])</f>
        <v>0</v>
      </c>
      <c r="G43" s="65" t="b">
        <f>IF(Tab.11[[#This Row],[a1]]=1,IF(Tab.11[[#This Row],[b3]]&gt;$L$989*$G$3,$L$989*$G$3,IF(Tab.11[[#This Row],[b3]]&lt;$M$989*$G$3,$M$989*$G$3,Tab.11[[#This Row],[b3]])))</f>
        <v>0</v>
      </c>
      <c r="H43" s="66" t="b">
        <f>IF(Tab.11[[#This Row],[a1]]=1,Tab.11[[#This Row],[b1]])</f>
        <v>0</v>
      </c>
      <c r="I43" s="67" t="b">
        <f>IF(Tab.11[[#This Row],[a1]]=1,Tab.11[[#This Row],[b1]])</f>
        <v>0</v>
      </c>
      <c r="J43" s="68" t="b">
        <f>IF(Tab.11[[#This Row],[a1]]=1,IF($I$3&lt;0,Tab.11[[#This Row],[b5]]-$I$3,Tab.11[[#This Row],[b5]]))</f>
        <v>0</v>
      </c>
      <c r="K43" s="68" t="b">
        <f>IF(Tab.11[[#This Row],[a1]]=1,IF($K$3=0,Tab.11[b6],Tab.11[[#This Row],[b6]]-AVERAGE(Tab.11[b6])))</f>
        <v>0</v>
      </c>
      <c r="L43" s="69" t="b">
        <f>IF(Tab.11[[#This Row],[a1]]=1,Tab.11[[#This Row],[data]]/(_xlfn.STDEV.P(Tab.11[data])*$B$989)+$A$989)</f>
        <v>0</v>
      </c>
      <c r="M43" s="69" t="b">
        <f>IF(Tab.11[[#This Row],[a1]]=1,Tab.11[[#This Row],[data]]/(_xlfn.STDEV.P(Tab.11[data])*$B$987)-$A$987)</f>
        <v>0</v>
      </c>
      <c r="N43" s="69" t="b">
        <f>IF(Tab.11[[#This Row],[a1]]=1,Tab.11[[#This Row],[data]]/(_xlfn.STDEV.P(Tab.11[data])*$B$988)+$A$988)</f>
        <v>0</v>
      </c>
      <c r="O43" s="70" t="b">
        <f>IF(Tab.11[[#This Row],[a1]]=1,_xlfn.NORM.DIST(Tab.11[[#This Row],[b8]],$P$1,$Q$1,FALSE))</f>
        <v>0</v>
      </c>
      <c r="P43" s="70" t="b">
        <f>IF(Tab.11[[#This Row],[a1]]=1,_xlfn.NORM.DIST(Tab.11[[#This Row],[b9]],$P$1,$Q$1,FALSE))</f>
        <v>0</v>
      </c>
      <c r="Q43" s="70" t="b">
        <f>IF(Tab.11[[#This Row],[a1]]=1,_xlfn.NORM.DIST(Tab.11[[#This Row],[b10]],$P$1,$Q$1,FALSE))</f>
        <v>0</v>
      </c>
      <c r="R43" s="67" t="b">
        <f>IF(Tab.11[[#This Row],[a1]]=1,$I$3+$A$989+IF($K$3=0,Tab.11[[#This Row],[b8]]*_xlfn.STDEV.P(Tab.11[data]),AVERAGE(Tab.11[b6])+Tab.11[[#This Row],[b8]]*_xlfn.STDEV.P(Tab.11[data])))</f>
        <v>0</v>
      </c>
      <c r="S43" s="71" t="b">
        <f>IF(Tab.11[[#This Row],[a1]]=1,$I$3+$A$987+IF($K$3=0,Tab.11[[#This Row],[b9]]*_xlfn.STDEV.P(Tab.11[data]),AVERAGE(Tab.11[b6])+Tab.11[[#This Row],[b9]]*_xlfn.STDEV.P(Tab.11[data])))</f>
        <v>0</v>
      </c>
      <c r="T43" s="71" t="b">
        <f>IF(Tab.11[[#This Row],[a1]]=1,$I$3+$A$988+IF($K$3=0,Tab.11[[#This Row],[b10]]*_xlfn.STDEV.P(Tab.11[data]),AVERAGE(Tab.11[b6])+Tab.11[[#This Row],[b10]]*_xlfn.STDEV.P(Tab.11[data])))</f>
        <v>0</v>
      </c>
      <c r="U43" s="72" t="b">
        <f>IF(Tab.11[[#This Row],[a1]]=1,Tab.11[[#This Row],[target]]-Tab.11[[#This Row],[Red]])</f>
        <v>0</v>
      </c>
      <c r="V43" s="72" t="b">
        <f>IF(Tab.11[[#This Row],[a1]]=1,Tab.11[[#This Row],[target]]-Tab.11[[#This Row],[Blue]])</f>
        <v>0</v>
      </c>
      <c r="W43" s="73" t="b">
        <f>IF(Tab.11[[#This Row],[a1]]=1,IF(ABS(Tab.11[[#This Row],[b17]])+ABS(Tab.11[[#This Row],[b18]])&lt;$W$2,$W$2,ABS(Tab.11[[#This Row],[b17]])+ABS(Tab.11[[#This Row],[b18]])))</f>
        <v>0</v>
      </c>
      <c r="X43" s="136" t="b">
        <f>IF(Tab.11[[#This Row],[a1]]=1,IF($W$3&lt;0,Tab.11[[#This Row],[IN]]-$I$3,Tab.11[[#This Row],[IN]]))</f>
        <v>0</v>
      </c>
      <c r="Y43" s="136" t="b">
        <f>IF(Tab.11[[#This Row],[a1]]=1,IF($X$3=0,Tab.11[b66],Tab.11[[#This Row],[b66]]-AVERAGE(Tab.11[b66])))</f>
        <v>0</v>
      </c>
      <c r="Z43" s="135" t="b">
        <f>IF(Tab.11[[#This Row],[a1]]=1,Tab.11[[#This Row],[b77]]/(_xlfn.STDEV.P(Tab.11[b77])))</f>
        <v>0</v>
      </c>
      <c r="AA43" s="70" t="b">
        <f>IF(Tab.11[[#This Row],[a1]]=1,_xlfn.NORM.DIST(Tab.11[[#This Row],[b88]],$Z$1,$AA$1,FALSE))</f>
        <v>0</v>
      </c>
      <c r="AB43" s="74" t="b">
        <f>IF(Tab.11[[#This Row],[a1]]=1,IF($A$3=0,FALSE,1/Tab.11[[#This Row],[IN]]*$AC$2*IF(Tab.11[[#This Row],[a1]]=0,,$A$3*$AC$1*1/$V$3*(Tab.11[[#This Row],[b14]]))))</f>
        <v>0</v>
      </c>
      <c r="AC43" s="75" t="b">
        <f>IF(Tab.11[[#This Row],[a1]]=1,IF($AC$3=0,Tab.11[[#This Row],[φ1]],Tab.11[[#This Row],[φ1]]/MAX(Tab.11[φ1])))</f>
        <v>0</v>
      </c>
      <c r="AD43" s="74" t="b">
        <f>IF(Tab.11[[#This Row],[a1]]=1,1/Tab.11[[#This Row],[φ2]])</f>
        <v>0</v>
      </c>
      <c r="AE43" s="74" t="b">
        <f>IF(Tab.11[[#This Row],[a1]]=1,IF($AE$3=0,Tab.11[[#This Row],[w.0]],Tab.11[[#This Row],[w.0]]/SUM(Tab.11[w.0])))</f>
        <v>0</v>
      </c>
      <c r="AF43" s="76" t="str">
        <f>IF(Tab.11[[#This Row],[a1]]=0,"false",[3]!Tab.x5[[#This Row],[%_seN_C]])</f>
        <v>false</v>
      </c>
      <c r="AG43" s="77" t="b">
        <f>IF(Tab.11[[#This Row],[a1]]=1,AP43)</f>
        <v>0</v>
      </c>
      <c r="AH43" s="78" t="b">
        <f>IF(Tab.11[[#This Row],[a1]]=1,AQ43)</f>
        <v>0</v>
      </c>
      <c r="AI43" s="41">
        <v>3.0000000000000001E-3</v>
      </c>
      <c r="AJ43" s="79">
        <v>-7.0000000000000007E-2</v>
      </c>
      <c r="AK43" s="80" t="b">
        <f>IF(Tab.11[[#This Row],[a1]]=1,1)</f>
        <v>0</v>
      </c>
      <c r="AZ43"/>
    </row>
    <row r="44" spans="1:52" hidden="1" x14ac:dyDescent="0.25">
      <c r="A44" s="61">
        <f t="shared" si="3"/>
        <v>0</v>
      </c>
      <c r="B44" s="62">
        <f t="shared" si="3"/>
        <v>0</v>
      </c>
      <c r="C44" s="62" t="b">
        <f>IF(Tab.11[[#This Row],[a1]]=1,[3]!Tab_x1[[#This Row],[Name]])</f>
        <v>0</v>
      </c>
      <c r="D44" s="63" t="b">
        <f>IF(Tab.11[[#This Row],[a1]]=1,AO44)</f>
        <v>0</v>
      </c>
      <c r="E44" s="63">
        <f t="shared" si="1"/>
        <v>0</v>
      </c>
      <c r="F44" s="64" t="b">
        <f>IF(Tab.11[[#This Row],[a1]]=1,Tab.11[[#This Row],[b1]])</f>
        <v>0</v>
      </c>
      <c r="G44" s="65" t="b">
        <f>IF(Tab.11[[#This Row],[a1]]=1,IF(Tab.11[[#This Row],[b3]]&gt;$L$989*$G$3,$L$989*$G$3,IF(Tab.11[[#This Row],[b3]]&lt;$M$989*$G$3,$M$989*$G$3,Tab.11[[#This Row],[b3]])))</f>
        <v>0</v>
      </c>
      <c r="H44" s="66" t="b">
        <f>IF(Tab.11[[#This Row],[a1]]=1,Tab.11[[#This Row],[b1]])</f>
        <v>0</v>
      </c>
      <c r="I44" s="67" t="b">
        <f>IF(Tab.11[[#This Row],[a1]]=1,Tab.11[[#This Row],[b1]])</f>
        <v>0</v>
      </c>
      <c r="J44" s="68" t="b">
        <f>IF(Tab.11[[#This Row],[a1]]=1,IF($I$3&lt;0,Tab.11[[#This Row],[b5]]-$I$3,Tab.11[[#This Row],[b5]]))</f>
        <v>0</v>
      </c>
      <c r="K44" s="68" t="b">
        <f>IF(Tab.11[[#This Row],[a1]]=1,IF($K$3=0,Tab.11[b6],Tab.11[[#This Row],[b6]]-AVERAGE(Tab.11[b6])))</f>
        <v>0</v>
      </c>
      <c r="L44" s="69" t="b">
        <f>IF(Tab.11[[#This Row],[a1]]=1,Tab.11[[#This Row],[data]]/(_xlfn.STDEV.P(Tab.11[data])*$B$989)+$A$989)</f>
        <v>0</v>
      </c>
      <c r="M44" s="69" t="b">
        <f>IF(Tab.11[[#This Row],[a1]]=1,Tab.11[[#This Row],[data]]/(_xlfn.STDEV.P(Tab.11[data])*$B$987)-$A$987)</f>
        <v>0</v>
      </c>
      <c r="N44" s="69" t="b">
        <f>IF(Tab.11[[#This Row],[a1]]=1,Tab.11[[#This Row],[data]]/(_xlfn.STDEV.P(Tab.11[data])*$B$988)+$A$988)</f>
        <v>0</v>
      </c>
      <c r="O44" s="70" t="b">
        <f>IF(Tab.11[[#This Row],[a1]]=1,_xlfn.NORM.DIST(Tab.11[[#This Row],[b8]],$P$1,$Q$1,FALSE))</f>
        <v>0</v>
      </c>
      <c r="P44" s="70" t="b">
        <f>IF(Tab.11[[#This Row],[a1]]=1,_xlfn.NORM.DIST(Tab.11[[#This Row],[b9]],$P$1,$Q$1,FALSE))</f>
        <v>0</v>
      </c>
      <c r="Q44" s="70" t="b">
        <f>IF(Tab.11[[#This Row],[a1]]=1,_xlfn.NORM.DIST(Tab.11[[#This Row],[b10]],$P$1,$Q$1,FALSE))</f>
        <v>0</v>
      </c>
      <c r="R44" s="67" t="b">
        <f>IF(Tab.11[[#This Row],[a1]]=1,$I$3+$A$989+IF($K$3=0,Tab.11[[#This Row],[b8]]*_xlfn.STDEV.P(Tab.11[data]),AVERAGE(Tab.11[b6])+Tab.11[[#This Row],[b8]]*_xlfn.STDEV.P(Tab.11[data])))</f>
        <v>0</v>
      </c>
      <c r="S44" s="71" t="b">
        <f>IF(Tab.11[[#This Row],[a1]]=1,$I$3+$A$987+IF($K$3=0,Tab.11[[#This Row],[b9]]*_xlfn.STDEV.P(Tab.11[data]),AVERAGE(Tab.11[b6])+Tab.11[[#This Row],[b9]]*_xlfn.STDEV.P(Tab.11[data])))</f>
        <v>0</v>
      </c>
      <c r="T44" s="71" t="b">
        <f>IF(Tab.11[[#This Row],[a1]]=1,$I$3+$A$988+IF($K$3=0,Tab.11[[#This Row],[b10]]*_xlfn.STDEV.P(Tab.11[data]),AVERAGE(Tab.11[b6])+Tab.11[[#This Row],[b10]]*_xlfn.STDEV.P(Tab.11[data])))</f>
        <v>0</v>
      </c>
      <c r="U44" s="72" t="b">
        <f>IF(Tab.11[[#This Row],[a1]]=1,Tab.11[[#This Row],[target]]-Tab.11[[#This Row],[Red]])</f>
        <v>0</v>
      </c>
      <c r="V44" s="72" t="b">
        <f>IF(Tab.11[[#This Row],[a1]]=1,Tab.11[[#This Row],[target]]-Tab.11[[#This Row],[Blue]])</f>
        <v>0</v>
      </c>
      <c r="W44" s="73" t="b">
        <f>IF(Tab.11[[#This Row],[a1]]=1,IF(ABS(Tab.11[[#This Row],[b17]])+ABS(Tab.11[[#This Row],[b18]])&lt;$W$2,$W$2,ABS(Tab.11[[#This Row],[b17]])+ABS(Tab.11[[#This Row],[b18]])))</f>
        <v>0</v>
      </c>
      <c r="X44" s="136" t="b">
        <f>IF(Tab.11[[#This Row],[a1]]=1,IF($W$3&lt;0,Tab.11[[#This Row],[IN]]-$I$3,Tab.11[[#This Row],[IN]]))</f>
        <v>0</v>
      </c>
      <c r="Y44" s="136" t="b">
        <f>IF(Tab.11[[#This Row],[a1]]=1,IF($X$3=0,Tab.11[b66],Tab.11[[#This Row],[b66]]-AVERAGE(Tab.11[b66])))</f>
        <v>0</v>
      </c>
      <c r="Z44" s="135" t="b">
        <f>IF(Tab.11[[#This Row],[a1]]=1,Tab.11[[#This Row],[b77]]/(_xlfn.STDEV.P(Tab.11[b77])))</f>
        <v>0</v>
      </c>
      <c r="AA44" s="70" t="b">
        <f>IF(Tab.11[[#This Row],[a1]]=1,_xlfn.NORM.DIST(Tab.11[[#This Row],[b88]],$Z$1,$AA$1,FALSE))</f>
        <v>0</v>
      </c>
      <c r="AB44" s="74" t="b">
        <f>IF(Tab.11[[#This Row],[a1]]=1,IF($A$3=0,FALSE,1/Tab.11[[#This Row],[IN]]*$AC$2*IF(Tab.11[[#This Row],[a1]]=0,,$A$3*$AC$1*1/$V$3*(Tab.11[[#This Row],[b14]]))))</f>
        <v>0</v>
      </c>
      <c r="AC44" s="75" t="b">
        <f>IF(Tab.11[[#This Row],[a1]]=1,IF($AC$3=0,Tab.11[[#This Row],[φ1]],Tab.11[[#This Row],[φ1]]/MAX(Tab.11[φ1])))</f>
        <v>0</v>
      </c>
      <c r="AD44" s="74" t="b">
        <f>IF(Tab.11[[#This Row],[a1]]=1,1/Tab.11[[#This Row],[φ2]])</f>
        <v>0</v>
      </c>
      <c r="AE44" s="74" t="b">
        <f>IF(Tab.11[[#This Row],[a1]]=1,IF($AE$3=0,Tab.11[[#This Row],[w.0]],Tab.11[[#This Row],[w.0]]/SUM(Tab.11[w.0])))</f>
        <v>0</v>
      </c>
      <c r="AF44" s="76" t="str">
        <f>IF(Tab.11[[#This Row],[a1]]=0,"false",[3]!Tab.x5[[#This Row],[%_seN_C]])</f>
        <v>false</v>
      </c>
      <c r="AG44" s="77" t="b">
        <f>IF(Tab.11[[#This Row],[a1]]=1,AP44)</f>
        <v>0</v>
      </c>
      <c r="AH44" s="78" t="b">
        <f>IF(Tab.11[[#This Row],[a1]]=1,AQ44)</f>
        <v>0</v>
      </c>
      <c r="AI44" s="41">
        <v>3.0000000000000001E-3</v>
      </c>
      <c r="AJ44" s="79">
        <v>0.09</v>
      </c>
      <c r="AK44" s="80" t="b">
        <f>IF(Tab.11[[#This Row],[a1]]=1,1)</f>
        <v>0</v>
      </c>
      <c r="AZ44"/>
    </row>
    <row r="45" spans="1:52" hidden="1" x14ac:dyDescent="0.25">
      <c r="A45" s="61">
        <f t="shared" si="3"/>
        <v>0</v>
      </c>
      <c r="B45" s="62">
        <f t="shared" si="3"/>
        <v>0</v>
      </c>
      <c r="C45" s="62" t="b">
        <f>IF(Tab.11[[#This Row],[a1]]=1,[3]!Tab_x1[[#This Row],[Name]])</f>
        <v>0</v>
      </c>
      <c r="D45" s="63" t="b">
        <f>IF(Tab.11[[#This Row],[a1]]=1,AO45)</f>
        <v>0</v>
      </c>
      <c r="E45" s="63">
        <f t="shared" si="1"/>
        <v>0</v>
      </c>
      <c r="F45" s="64" t="b">
        <f>IF(Tab.11[[#This Row],[a1]]=1,Tab.11[[#This Row],[b1]])</f>
        <v>0</v>
      </c>
      <c r="G45" s="65" t="b">
        <f>IF(Tab.11[[#This Row],[a1]]=1,IF(Tab.11[[#This Row],[b3]]&gt;$L$989*$G$3,$L$989*$G$3,IF(Tab.11[[#This Row],[b3]]&lt;$M$989*$G$3,$M$989*$G$3,Tab.11[[#This Row],[b3]])))</f>
        <v>0</v>
      </c>
      <c r="H45" s="66" t="b">
        <f>IF(Tab.11[[#This Row],[a1]]=1,Tab.11[[#This Row],[b1]])</f>
        <v>0</v>
      </c>
      <c r="I45" s="67" t="b">
        <f>IF(Tab.11[[#This Row],[a1]]=1,Tab.11[[#This Row],[b1]])</f>
        <v>0</v>
      </c>
      <c r="J45" s="68" t="b">
        <f>IF(Tab.11[[#This Row],[a1]]=1,IF($I$3&lt;0,Tab.11[[#This Row],[b5]]-$I$3,Tab.11[[#This Row],[b5]]))</f>
        <v>0</v>
      </c>
      <c r="K45" s="68" t="b">
        <f>IF(Tab.11[[#This Row],[a1]]=1,IF($K$3=0,Tab.11[b6],Tab.11[[#This Row],[b6]]-AVERAGE(Tab.11[b6])))</f>
        <v>0</v>
      </c>
      <c r="L45" s="69" t="b">
        <f>IF(Tab.11[[#This Row],[a1]]=1,Tab.11[[#This Row],[data]]/(_xlfn.STDEV.P(Tab.11[data])*$B$989)+$A$989)</f>
        <v>0</v>
      </c>
      <c r="M45" s="69" t="b">
        <f>IF(Tab.11[[#This Row],[a1]]=1,Tab.11[[#This Row],[data]]/(_xlfn.STDEV.P(Tab.11[data])*$B$987)-$A$987)</f>
        <v>0</v>
      </c>
      <c r="N45" s="69" t="b">
        <f>IF(Tab.11[[#This Row],[a1]]=1,Tab.11[[#This Row],[data]]/(_xlfn.STDEV.P(Tab.11[data])*$B$988)+$A$988)</f>
        <v>0</v>
      </c>
      <c r="O45" s="70" t="b">
        <f>IF(Tab.11[[#This Row],[a1]]=1,_xlfn.NORM.DIST(Tab.11[[#This Row],[b8]],$P$1,$Q$1,FALSE))</f>
        <v>0</v>
      </c>
      <c r="P45" s="70" t="b">
        <f>IF(Tab.11[[#This Row],[a1]]=1,_xlfn.NORM.DIST(Tab.11[[#This Row],[b9]],$P$1,$Q$1,FALSE))</f>
        <v>0</v>
      </c>
      <c r="Q45" s="70" t="b">
        <f>IF(Tab.11[[#This Row],[a1]]=1,_xlfn.NORM.DIST(Tab.11[[#This Row],[b10]],$P$1,$Q$1,FALSE))</f>
        <v>0</v>
      </c>
      <c r="R45" s="67" t="b">
        <f>IF(Tab.11[[#This Row],[a1]]=1,$I$3+$A$989+IF($K$3=0,Tab.11[[#This Row],[b8]]*_xlfn.STDEV.P(Tab.11[data]),AVERAGE(Tab.11[b6])+Tab.11[[#This Row],[b8]]*_xlfn.STDEV.P(Tab.11[data])))</f>
        <v>0</v>
      </c>
      <c r="S45" s="71" t="b">
        <f>IF(Tab.11[[#This Row],[a1]]=1,$I$3+$A$987+IF($K$3=0,Tab.11[[#This Row],[b9]]*_xlfn.STDEV.P(Tab.11[data]),AVERAGE(Tab.11[b6])+Tab.11[[#This Row],[b9]]*_xlfn.STDEV.P(Tab.11[data])))</f>
        <v>0</v>
      </c>
      <c r="T45" s="71" t="b">
        <f>IF(Tab.11[[#This Row],[a1]]=1,$I$3+$A$988+IF($K$3=0,Tab.11[[#This Row],[b10]]*_xlfn.STDEV.P(Tab.11[data]),AVERAGE(Tab.11[b6])+Tab.11[[#This Row],[b10]]*_xlfn.STDEV.P(Tab.11[data])))</f>
        <v>0</v>
      </c>
      <c r="U45" s="72" t="b">
        <f>IF(Tab.11[[#This Row],[a1]]=1,Tab.11[[#This Row],[target]]-Tab.11[[#This Row],[Red]])</f>
        <v>0</v>
      </c>
      <c r="V45" s="72" t="b">
        <f>IF(Tab.11[[#This Row],[a1]]=1,Tab.11[[#This Row],[target]]-Tab.11[[#This Row],[Blue]])</f>
        <v>0</v>
      </c>
      <c r="W45" s="73" t="b">
        <f>IF(Tab.11[[#This Row],[a1]]=1,IF(ABS(Tab.11[[#This Row],[b17]])+ABS(Tab.11[[#This Row],[b18]])&lt;$W$2,$W$2,ABS(Tab.11[[#This Row],[b17]])+ABS(Tab.11[[#This Row],[b18]])))</f>
        <v>0</v>
      </c>
      <c r="X45" s="136" t="b">
        <f>IF(Tab.11[[#This Row],[a1]]=1,IF($W$3&lt;0,Tab.11[[#This Row],[IN]]-$I$3,Tab.11[[#This Row],[IN]]))</f>
        <v>0</v>
      </c>
      <c r="Y45" s="136" t="b">
        <f>IF(Tab.11[[#This Row],[a1]]=1,IF($X$3=0,Tab.11[b66],Tab.11[[#This Row],[b66]]-AVERAGE(Tab.11[b66])))</f>
        <v>0</v>
      </c>
      <c r="Z45" s="135" t="b">
        <f>IF(Tab.11[[#This Row],[a1]]=1,Tab.11[[#This Row],[b77]]/(_xlfn.STDEV.P(Tab.11[b77])))</f>
        <v>0</v>
      </c>
      <c r="AA45" s="70" t="b">
        <f>IF(Tab.11[[#This Row],[a1]]=1,_xlfn.NORM.DIST(Tab.11[[#This Row],[b88]],$Z$1,$AA$1,FALSE))</f>
        <v>0</v>
      </c>
      <c r="AB45" s="74" t="b">
        <f>IF(Tab.11[[#This Row],[a1]]=1,IF($A$3=0,FALSE,1/Tab.11[[#This Row],[IN]]*$AC$2*IF(Tab.11[[#This Row],[a1]]=0,,$A$3*$AC$1*1/$V$3*(Tab.11[[#This Row],[b14]]))))</f>
        <v>0</v>
      </c>
      <c r="AC45" s="75" t="b">
        <f>IF(Tab.11[[#This Row],[a1]]=1,IF($AC$3=0,Tab.11[[#This Row],[φ1]],Tab.11[[#This Row],[φ1]]/MAX(Tab.11[φ1])))</f>
        <v>0</v>
      </c>
      <c r="AD45" s="74" t="b">
        <f>IF(Tab.11[[#This Row],[a1]]=1,1/Tab.11[[#This Row],[φ2]])</f>
        <v>0</v>
      </c>
      <c r="AE45" s="74" t="b">
        <f>IF(Tab.11[[#This Row],[a1]]=1,IF($AE$3=0,Tab.11[[#This Row],[w.0]],Tab.11[[#This Row],[w.0]]/SUM(Tab.11[w.0])))</f>
        <v>0</v>
      </c>
      <c r="AF45" s="76" t="str">
        <f>IF(Tab.11[[#This Row],[a1]]=0,"false",[3]!Tab.x5[[#This Row],[%_seN_C]])</f>
        <v>false</v>
      </c>
      <c r="AG45" s="77" t="b">
        <f>IF(Tab.11[[#This Row],[a1]]=1,AP45)</f>
        <v>0</v>
      </c>
      <c r="AH45" s="78" t="b">
        <f>IF(Tab.11[[#This Row],[a1]]=1,AQ45)</f>
        <v>0</v>
      </c>
      <c r="AI45" s="41">
        <v>3.0000000000000001E-3</v>
      </c>
      <c r="AJ45" s="79">
        <v>0.03</v>
      </c>
      <c r="AK45" s="80" t="b">
        <f>IF(Tab.11[[#This Row],[a1]]=1,1)</f>
        <v>0</v>
      </c>
      <c r="AZ45"/>
    </row>
    <row r="46" spans="1:52" hidden="1" x14ac:dyDescent="0.25">
      <c r="A46" s="61">
        <f t="shared" si="3"/>
        <v>0</v>
      </c>
      <c r="B46" s="62">
        <f t="shared" si="3"/>
        <v>0</v>
      </c>
      <c r="C46" s="62" t="b">
        <f>IF(Tab.11[[#This Row],[a1]]=1,[3]!Tab_x1[[#This Row],[Name]])</f>
        <v>0</v>
      </c>
      <c r="D46" s="63" t="b">
        <f>IF(Tab.11[[#This Row],[a1]]=1,AO46)</f>
        <v>0</v>
      </c>
      <c r="E46" s="63">
        <f t="shared" si="1"/>
        <v>0</v>
      </c>
      <c r="F46" s="64" t="b">
        <f>IF(Tab.11[[#This Row],[a1]]=1,Tab.11[[#This Row],[b1]])</f>
        <v>0</v>
      </c>
      <c r="G46" s="65" t="b">
        <f>IF(Tab.11[[#This Row],[a1]]=1,IF(Tab.11[[#This Row],[b3]]&gt;$L$989*$G$3,$L$989*$G$3,IF(Tab.11[[#This Row],[b3]]&lt;$M$989*$G$3,$M$989*$G$3,Tab.11[[#This Row],[b3]])))</f>
        <v>0</v>
      </c>
      <c r="H46" s="66" t="b">
        <f>IF(Tab.11[[#This Row],[a1]]=1,Tab.11[[#This Row],[b1]])</f>
        <v>0</v>
      </c>
      <c r="I46" s="67" t="b">
        <f>IF(Tab.11[[#This Row],[a1]]=1,Tab.11[[#This Row],[b1]])</f>
        <v>0</v>
      </c>
      <c r="J46" s="68" t="b">
        <f>IF(Tab.11[[#This Row],[a1]]=1,IF($I$3&lt;0,Tab.11[[#This Row],[b5]]-$I$3,Tab.11[[#This Row],[b5]]))</f>
        <v>0</v>
      </c>
      <c r="K46" s="68" t="b">
        <f>IF(Tab.11[[#This Row],[a1]]=1,IF($K$3=0,Tab.11[b6],Tab.11[[#This Row],[b6]]-AVERAGE(Tab.11[b6])))</f>
        <v>0</v>
      </c>
      <c r="L46" s="69" t="b">
        <f>IF(Tab.11[[#This Row],[a1]]=1,Tab.11[[#This Row],[data]]/(_xlfn.STDEV.P(Tab.11[data])*$B$989)+$A$989)</f>
        <v>0</v>
      </c>
      <c r="M46" s="69" t="b">
        <f>IF(Tab.11[[#This Row],[a1]]=1,Tab.11[[#This Row],[data]]/(_xlfn.STDEV.P(Tab.11[data])*$B$987)-$A$987)</f>
        <v>0</v>
      </c>
      <c r="N46" s="69" t="b">
        <f>IF(Tab.11[[#This Row],[a1]]=1,Tab.11[[#This Row],[data]]/(_xlfn.STDEV.P(Tab.11[data])*$B$988)+$A$988)</f>
        <v>0</v>
      </c>
      <c r="O46" s="70" t="b">
        <f>IF(Tab.11[[#This Row],[a1]]=1,_xlfn.NORM.DIST(Tab.11[[#This Row],[b8]],$P$1,$Q$1,FALSE))</f>
        <v>0</v>
      </c>
      <c r="P46" s="70" t="b">
        <f>IF(Tab.11[[#This Row],[a1]]=1,_xlfn.NORM.DIST(Tab.11[[#This Row],[b9]],$P$1,$Q$1,FALSE))</f>
        <v>0</v>
      </c>
      <c r="Q46" s="70" t="b">
        <f>IF(Tab.11[[#This Row],[a1]]=1,_xlfn.NORM.DIST(Tab.11[[#This Row],[b10]],$P$1,$Q$1,FALSE))</f>
        <v>0</v>
      </c>
      <c r="R46" s="67" t="b">
        <f>IF(Tab.11[[#This Row],[a1]]=1,$I$3+$A$989+IF($K$3=0,Tab.11[[#This Row],[b8]]*_xlfn.STDEV.P(Tab.11[data]),AVERAGE(Tab.11[b6])+Tab.11[[#This Row],[b8]]*_xlfn.STDEV.P(Tab.11[data])))</f>
        <v>0</v>
      </c>
      <c r="S46" s="71" t="b">
        <f>IF(Tab.11[[#This Row],[a1]]=1,$I$3+$A$987+IF($K$3=0,Tab.11[[#This Row],[b9]]*_xlfn.STDEV.P(Tab.11[data]),AVERAGE(Tab.11[b6])+Tab.11[[#This Row],[b9]]*_xlfn.STDEV.P(Tab.11[data])))</f>
        <v>0</v>
      </c>
      <c r="T46" s="71" t="b">
        <f>IF(Tab.11[[#This Row],[a1]]=1,$I$3+$A$988+IF($K$3=0,Tab.11[[#This Row],[b10]]*_xlfn.STDEV.P(Tab.11[data]),AVERAGE(Tab.11[b6])+Tab.11[[#This Row],[b10]]*_xlfn.STDEV.P(Tab.11[data])))</f>
        <v>0</v>
      </c>
      <c r="U46" s="72" t="b">
        <f>IF(Tab.11[[#This Row],[a1]]=1,Tab.11[[#This Row],[target]]-Tab.11[[#This Row],[Red]])</f>
        <v>0</v>
      </c>
      <c r="V46" s="72" t="b">
        <f>IF(Tab.11[[#This Row],[a1]]=1,Tab.11[[#This Row],[target]]-Tab.11[[#This Row],[Blue]])</f>
        <v>0</v>
      </c>
      <c r="W46" s="73" t="b">
        <f>IF(Tab.11[[#This Row],[a1]]=1,IF(ABS(Tab.11[[#This Row],[b17]])+ABS(Tab.11[[#This Row],[b18]])&lt;$W$2,$W$2,ABS(Tab.11[[#This Row],[b17]])+ABS(Tab.11[[#This Row],[b18]])))</f>
        <v>0</v>
      </c>
      <c r="X46" s="136" t="b">
        <f>IF(Tab.11[[#This Row],[a1]]=1,IF($W$3&lt;0,Tab.11[[#This Row],[IN]]-$I$3,Tab.11[[#This Row],[IN]]))</f>
        <v>0</v>
      </c>
      <c r="Y46" s="136" t="b">
        <f>IF(Tab.11[[#This Row],[a1]]=1,IF($X$3=0,Tab.11[b66],Tab.11[[#This Row],[b66]]-AVERAGE(Tab.11[b66])))</f>
        <v>0</v>
      </c>
      <c r="Z46" s="135" t="b">
        <f>IF(Tab.11[[#This Row],[a1]]=1,Tab.11[[#This Row],[b77]]/(_xlfn.STDEV.P(Tab.11[b77])))</f>
        <v>0</v>
      </c>
      <c r="AA46" s="70" t="b">
        <f>IF(Tab.11[[#This Row],[a1]]=1,_xlfn.NORM.DIST(Tab.11[[#This Row],[b88]],$Z$1,$AA$1,FALSE))</f>
        <v>0</v>
      </c>
      <c r="AB46" s="74" t="b">
        <f>IF(Tab.11[[#This Row],[a1]]=1,IF($A$3=0,FALSE,1/Tab.11[[#This Row],[IN]]*$AC$2*IF(Tab.11[[#This Row],[a1]]=0,,$A$3*$AC$1*1/$V$3*(Tab.11[[#This Row],[b14]]))))</f>
        <v>0</v>
      </c>
      <c r="AC46" s="75" t="b">
        <f>IF(Tab.11[[#This Row],[a1]]=1,IF($AC$3=0,Tab.11[[#This Row],[φ1]],Tab.11[[#This Row],[φ1]]/MAX(Tab.11[φ1])))</f>
        <v>0</v>
      </c>
      <c r="AD46" s="74" t="b">
        <f>IF(Tab.11[[#This Row],[a1]]=1,1/Tab.11[[#This Row],[φ2]])</f>
        <v>0</v>
      </c>
      <c r="AE46" s="74" t="b">
        <f>IF(Tab.11[[#This Row],[a1]]=1,IF($AE$3=0,Tab.11[[#This Row],[w.0]],Tab.11[[#This Row],[w.0]]/SUM(Tab.11[w.0])))</f>
        <v>0</v>
      </c>
      <c r="AF46" s="76" t="str">
        <f>IF(Tab.11[[#This Row],[a1]]=0,"false",[3]!Tab.x5[[#This Row],[%_seN_C]])</f>
        <v>false</v>
      </c>
      <c r="AG46" s="77" t="b">
        <f>IF(Tab.11[[#This Row],[a1]]=1,AP46)</f>
        <v>0</v>
      </c>
      <c r="AH46" s="78" t="b">
        <f>IF(Tab.11[[#This Row],[a1]]=1,AQ46)</f>
        <v>0</v>
      </c>
      <c r="AI46" s="41">
        <v>3.0000000000000001E-3</v>
      </c>
      <c r="AJ46" s="79">
        <v>-0.02</v>
      </c>
      <c r="AK46" s="80" t="b">
        <f>IF(Tab.11[[#This Row],[a1]]=1,1)</f>
        <v>0</v>
      </c>
      <c r="AZ46"/>
    </row>
    <row r="47" spans="1:52" hidden="1" x14ac:dyDescent="0.25">
      <c r="A47" s="61">
        <f t="shared" si="3"/>
        <v>0</v>
      </c>
      <c r="B47" s="62">
        <f t="shared" si="3"/>
        <v>0</v>
      </c>
      <c r="C47" s="62" t="b">
        <f>IF(Tab.11[[#This Row],[a1]]=1,[3]!Tab_x1[[#This Row],[Name]])</f>
        <v>0</v>
      </c>
      <c r="D47" s="63" t="b">
        <f>IF(Tab.11[[#This Row],[a1]]=1,AO47)</f>
        <v>0</v>
      </c>
      <c r="E47" s="63">
        <f t="shared" si="1"/>
        <v>0</v>
      </c>
      <c r="F47" s="64" t="b">
        <f>IF(Tab.11[[#This Row],[a1]]=1,Tab.11[[#This Row],[b1]])</f>
        <v>0</v>
      </c>
      <c r="G47" s="65" t="b">
        <f>IF(Tab.11[[#This Row],[a1]]=1,IF(Tab.11[[#This Row],[b3]]&gt;$L$989*$G$3,$L$989*$G$3,IF(Tab.11[[#This Row],[b3]]&lt;$M$989*$G$3,$M$989*$G$3,Tab.11[[#This Row],[b3]])))</f>
        <v>0</v>
      </c>
      <c r="H47" s="66" t="b">
        <f>IF(Tab.11[[#This Row],[a1]]=1,Tab.11[[#This Row],[b1]])</f>
        <v>0</v>
      </c>
      <c r="I47" s="67" t="b">
        <f>IF(Tab.11[[#This Row],[a1]]=1,Tab.11[[#This Row],[b1]])</f>
        <v>0</v>
      </c>
      <c r="J47" s="68" t="b">
        <f>IF(Tab.11[[#This Row],[a1]]=1,IF($I$3&lt;0,Tab.11[[#This Row],[b5]]-$I$3,Tab.11[[#This Row],[b5]]))</f>
        <v>0</v>
      </c>
      <c r="K47" s="68" t="b">
        <f>IF(Tab.11[[#This Row],[a1]]=1,IF($K$3=0,Tab.11[b6],Tab.11[[#This Row],[b6]]-AVERAGE(Tab.11[b6])))</f>
        <v>0</v>
      </c>
      <c r="L47" s="69" t="b">
        <f>IF(Tab.11[[#This Row],[a1]]=1,Tab.11[[#This Row],[data]]/(_xlfn.STDEV.P(Tab.11[data])*$B$989)+$A$989)</f>
        <v>0</v>
      </c>
      <c r="M47" s="69" t="b">
        <f>IF(Tab.11[[#This Row],[a1]]=1,Tab.11[[#This Row],[data]]/(_xlfn.STDEV.P(Tab.11[data])*$B$987)-$A$987)</f>
        <v>0</v>
      </c>
      <c r="N47" s="69" t="b">
        <f>IF(Tab.11[[#This Row],[a1]]=1,Tab.11[[#This Row],[data]]/(_xlfn.STDEV.P(Tab.11[data])*$B$988)+$A$988)</f>
        <v>0</v>
      </c>
      <c r="O47" s="70" t="b">
        <f>IF(Tab.11[[#This Row],[a1]]=1,_xlfn.NORM.DIST(Tab.11[[#This Row],[b8]],$P$1,$Q$1,FALSE))</f>
        <v>0</v>
      </c>
      <c r="P47" s="70" t="b">
        <f>IF(Tab.11[[#This Row],[a1]]=1,_xlfn.NORM.DIST(Tab.11[[#This Row],[b9]],$P$1,$Q$1,FALSE))</f>
        <v>0</v>
      </c>
      <c r="Q47" s="70" t="b">
        <f>IF(Tab.11[[#This Row],[a1]]=1,_xlfn.NORM.DIST(Tab.11[[#This Row],[b10]],$P$1,$Q$1,FALSE))</f>
        <v>0</v>
      </c>
      <c r="R47" s="67" t="b">
        <f>IF(Tab.11[[#This Row],[a1]]=1,$I$3+$A$989+IF($K$3=0,Tab.11[[#This Row],[b8]]*_xlfn.STDEV.P(Tab.11[data]),AVERAGE(Tab.11[b6])+Tab.11[[#This Row],[b8]]*_xlfn.STDEV.P(Tab.11[data])))</f>
        <v>0</v>
      </c>
      <c r="S47" s="71" t="b">
        <f>IF(Tab.11[[#This Row],[a1]]=1,$I$3+$A$987+IF($K$3=0,Tab.11[[#This Row],[b9]]*_xlfn.STDEV.P(Tab.11[data]),AVERAGE(Tab.11[b6])+Tab.11[[#This Row],[b9]]*_xlfn.STDEV.P(Tab.11[data])))</f>
        <v>0</v>
      </c>
      <c r="T47" s="71" t="b">
        <f>IF(Tab.11[[#This Row],[a1]]=1,$I$3+$A$988+IF($K$3=0,Tab.11[[#This Row],[b10]]*_xlfn.STDEV.P(Tab.11[data]),AVERAGE(Tab.11[b6])+Tab.11[[#This Row],[b10]]*_xlfn.STDEV.P(Tab.11[data])))</f>
        <v>0</v>
      </c>
      <c r="U47" s="72" t="b">
        <f>IF(Tab.11[[#This Row],[a1]]=1,Tab.11[[#This Row],[target]]-Tab.11[[#This Row],[Red]])</f>
        <v>0</v>
      </c>
      <c r="V47" s="72" t="b">
        <f>IF(Tab.11[[#This Row],[a1]]=1,Tab.11[[#This Row],[target]]-Tab.11[[#This Row],[Blue]])</f>
        <v>0</v>
      </c>
      <c r="W47" s="73" t="b">
        <f>IF(Tab.11[[#This Row],[a1]]=1,IF(ABS(Tab.11[[#This Row],[b17]])+ABS(Tab.11[[#This Row],[b18]])&lt;$W$2,$W$2,ABS(Tab.11[[#This Row],[b17]])+ABS(Tab.11[[#This Row],[b18]])))</f>
        <v>0</v>
      </c>
      <c r="X47" s="136" t="b">
        <f>IF(Tab.11[[#This Row],[a1]]=1,IF($W$3&lt;0,Tab.11[[#This Row],[IN]]-$I$3,Tab.11[[#This Row],[IN]]))</f>
        <v>0</v>
      </c>
      <c r="Y47" s="136" t="b">
        <f>IF(Tab.11[[#This Row],[a1]]=1,IF($X$3=0,Tab.11[b66],Tab.11[[#This Row],[b66]]-AVERAGE(Tab.11[b66])))</f>
        <v>0</v>
      </c>
      <c r="Z47" s="135" t="b">
        <f>IF(Tab.11[[#This Row],[a1]]=1,Tab.11[[#This Row],[b77]]/(_xlfn.STDEV.P(Tab.11[b77])))</f>
        <v>0</v>
      </c>
      <c r="AA47" s="70" t="b">
        <f>IF(Tab.11[[#This Row],[a1]]=1,_xlfn.NORM.DIST(Tab.11[[#This Row],[b88]],$Z$1,$AA$1,FALSE))</f>
        <v>0</v>
      </c>
      <c r="AB47" s="74" t="b">
        <f>IF(Tab.11[[#This Row],[a1]]=1,IF($A$3=0,FALSE,1/Tab.11[[#This Row],[IN]]*$AC$2*IF(Tab.11[[#This Row],[a1]]=0,,$A$3*$AC$1*1/$V$3*(Tab.11[[#This Row],[b14]]))))</f>
        <v>0</v>
      </c>
      <c r="AC47" s="75" t="b">
        <f>IF(Tab.11[[#This Row],[a1]]=1,IF($AC$3=0,Tab.11[[#This Row],[φ1]],Tab.11[[#This Row],[φ1]]/MAX(Tab.11[φ1])))</f>
        <v>0</v>
      </c>
      <c r="AD47" s="74" t="b">
        <f>IF(Tab.11[[#This Row],[a1]]=1,1/Tab.11[[#This Row],[φ2]])</f>
        <v>0</v>
      </c>
      <c r="AE47" s="74" t="b">
        <f>IF(Tab.11[[#This Row],[a1]]=1,IF($AE$3=0,Tab.11[[#This Row],[w.0]],Tab.11[[#This Row],[w.0]]/SUM(Tab.11[w.0])))</f>
        <v>0</v>
      </c>
      <c r="AF47" s="76" t="str">
        <f>IF(Tab.11[[#This Row],[a1]]=0,"false",[3]!Tab.x5[[#This Row],[%_seN_C]])</f>
        <v>false</v>
      </c>
      <c r="AG47" s="77" t="b">
        <f>IF(Tab.11[[#This Row],[a1]]=1,AP47)</f>
        <v>0</v>
      </c>
      <c r="AH47" s="78" t="b">
        <f>IF(Tab.11[[#This Row],[a1]]=1,AQ47)</f>
        <v>0</v>
      </c>
      <c r="AI47" s="41">
        <v>3.0000000000000001E-3</v>
      </c>
      <c r="AJ47" s="79">
        <v>-0.01</v>
      </c>
      <c r="AK47" s="80" t="b">
        <f>IF(Tab.11[[#This Row],[a1]]=1,1)</f>
        <v>0</v>
      </c>
      <c r="AZ47"/>
    </row>
    <row r="48" spans="1:52" hidden="1" x14ac:dyDescent="0.25">
      <c r="A48" s="61">
        <f t="shared" si="3"/>
        <v>0</v>
      </c>
      <c r="B48" s="62">
        <f t="shared" si="3"/>
        <v>0</v>
      </c>
      <c r="C48" s="62" t="b">
        <f>IF(Tab.11[[#This Row],[a1]]=1,[3]!Tab_x1[[#This Row],[Name]])</f>
        <v>0</v>
      </c>
      <c r="D48" s="63" t="b">
        <f>IF(Tab.11[[#This Row],[a1]]=1,AO48)</f>
        <v>0</v>
      </c>
      <c r="E48" s="63">
        <f t="shared" si="1"/>
        <v>0</v>
      </c>
      <c r="F48" s="64" t="b">
        <f>IF(Tab.11[[#This Row],[a1]]=1,Tab.11[[#This Row],[b1]])</f>
        <v>0</v>
      </c>
      <c r="G48" s="65" t="b">
        <f>IF(Tab.11[[#This Row],[a1]]=1,IF(Tab.11[[#This Row],[b3]]&gt;$L$989*$G$3,$L$989*$G$3,IF(Tab.11[[#This Row],[b3]]&lt;$M$989*$G$3,$M$989*$G$3,Tab.11[[#This Row],[b3]])))</f>
        <v>0</v>
      </c>
      <c r="H48" s="66" t="b">
        <f>IF(Tab.11[[#This Row],[a1]]=1,Tab.11[[#This Row],[b1]])</f>
        <v>0</v>
      </c>
      <c r="I48" s="67" t="b">
        <f>IF(Tab.11[[#This Row],[a1]]=1,Tab.11[[#This Row],[b1]])</f>
        <v>0</v>
      </c>
      <c r="J48" s="68" t="b">
        <f>IF(Tab.11[[#This Row],[a1]]=1,IF($I$3&lt;0,Tab.11[[#This Row],[b5]]-$I$3,Tab.11[[#This Row],[b5]]))</f>
        <v>0</v>
      </c>
      <c r="K48" s="68" t="b">
        <f>IF(Tab.11[[#This Row],[a1]]=1,IF($K$3=0,Tab.11[b6],Tab.11[[#This Row],[b6]]-AVERAGE(Tab.11[b6])))</f>
        <v>0</v>
      </c>
      <c r="L48" s="69" t="b">
        <f>IF(Tab.11[[#This Row],[a1]]=1,Tab.11[[#This Row],[data]]/(_xlfn.STDEV.P(Tab.11[data])*$B$989)+$A$989)</f>
        <v>0</v>
      </c>
      <c r="M48" s="69" t="b">
        <f>IF(Tab.11[[#This Row],[a1]]=1,Tab.11[[#This Row],[data]]/(_xlfn.STDEV.P(Tab.11[data])*$B$987)-$A$987)</f>
        <v>0</v>
      </c>
      <c r="N48" s="69" t="b">
        <f>IF(Tab.11[[#This Row],[a1]]=1,Tab.11[[#This Row],[data]]/(_xlfn.STDEV.P(Tab.11[data])*$B$988)+$A$988)</f>
        <v>0</v>
      </c>
      <c r="O48" s="70" t="b">
        <f>IF(Tab.11[[#This Row],[a1]]=1,_xlfn.NORM.DIST(Tab.11[[#This Row],[b8]],$P$1,$Q$1,FALSE))</f>
        <v>0</v>
      </c>
      <c r="P48" s="70" t="b">
        <f>IF(Tab.11[[#This Row],[a1]]=1,_xlfn.NORM.DIST(Tab.11[[#This Row],[b9]],$P$1,$Q$1,FALSE))</f>
        <v>0</v>
      </c>
      <c r="Q48" s="70" t="b">
        <f>IF(Tab.11[[#This Row],[a1]]=1,_xlfn.NORM.DIST(Tab.11[[#This Row],[b10]],$P$1,$Q$1,FALSE))</f>
        <v>0</v>
      </c>
      <c r="R48" s="67" t="b">
        <f>IF(Tab.11[[#This Row],[a1]]=1,$I$3+$A$989+IF($K$3=0,Tab.11[[#This Row],[b8]]*_xlfn.STDEV.P(Tab.11[data]),AVERAGE(Tab.11[b6])+Tab.11[[#This Row],[b8]]*_xlfn.STDEV.P(Tab.11[data])))</f>
        <v>0</v>
      </c>
      <c r="S48" s="71" t="b">
        <f>IF(Tab.11[[#This Row],[a1]]=1,$I$3+$A$987+IF($K$3=0,Tab.11[[#This Row],[b9]]*_xlfn.STDEV.P(Tab.11[data]),AVERAGE(Tab.11[b6])+Tab.11[[#This Row],[b9]]*_xlfn.STDEV.P(Tab.11[data])))</f>
        <v>0</v>
      </c>
      <c r="T48" s="71" t="b">
        <f>IF(Tab.11[[#This Row],[a1]]=1,$I$3+$A$988+IF($K$3=0,Tab.11[[#This Row],[b10]]*_xlfn.STDEV.P(Tab.11[data]),AVERAGE(Tab.11[b6])+Tab.11[[#This Row],[b10]]*_xlfn.STDEV.P(Tab.11[data])))</f>
        <v>0</v>
      </c>
      <c r="U48" s="72" t="b">
        <f>IF(Tab.11[[#This Row],[a1]]=1,Tab.11[[#This Row],[target]]-Tab.11[[#This Row],[Red]])</f>
        <v>0</v>
      </c>
      <c r="V48" s="72" t="b">
        <f>IF(Tab.11[[#This Row],[a1]]=1,Tab.11[[#This Row],[target]]-Tab.11[[#This Row],[Blue]])</f>
        <v>0</v>
      </c>
      <c r="W48" s="73" t="b">
        <f>IF(Tab.11[[#This Row],[a1]]=1,IF(ABS(Tab.11[[#This Row],[b17]])+ABS(Tab.11[[#This Row],[b18]])&lt;$W$2,$W$2,ABS(Tab.11[[#This Row],[b17]])+ABS(Tab.11[[#This Row],[b18]])))</f>
        <v>0</v>
      </c>
      <c r="X48" s="136" t="b">
        <f>IF(Tab.11[[#This Row],[a1]]=1,IF($W$3&lt;0,Tab.11[[#This Row],[IN]]-$I$3,Tab.11[[#This Row],[IN]]))</f>
        <v>0</v>
      </c>
      <c r="Y48" s="136" t="b">
        <f>IF(Tab.11[[#This Row],[a1]]=1,IF($X$3=0,Tab.11[b66],Tab.11[[#This Row],[b66]]-AVERAGE(Tab.11[b66])))</f>
        <v>0</v>
      </c>
      <c r="Z48" s="135" t="b">
        <f>IF(Tab.11[[#This Row],[a1]]=1,Tab.11[[#This Row],[b77]]/(_xlfn.STDEV.P(Tab.11[b77])))</f>
        <v>0</v>
      </c>
      <c r="AA48" s="70" t="b">
        <f>IF(Tab.11[[#This Row],[a1]]=1,_xlfn.NORM.DIST(Tab.11[[#This Row],[b88]],$Z$1,$AA$1,FALSE))</f>
        <v>0</v>
      </c>
      <c r="AB48" s="74" t="b">
        <f>IF(Tab.11[[#This Row],[a1]]=1,IF($A$3=0,FALSE,1/Tab.11[[#This Row],[IN]]*$AC$2*IF(Tab.11[[#This Row],[a1]]=0,,$A$3*$AC$1*1/$V$3*(Tab.11[[#This Row],[b14]]))))</f>
        <v>0</v>
      </c>
      <c r="AC48" s="75" t="b">
        <f>IF(Tab.11[[#This Row],[a1]]=1,IF($AC$3=0,Tab.11[[#This Row],[φ1]],Tab.11[[#This Row],[φ1]]/MAX(Tab.11[φ1])))</f>
        <v>0</v>
      </c>
      <c r="AD48" s="74" t="b">
        <f>IF(Tab.11[[#This Row],[a1]]=1,1/Tab.11[[#This Row],[φ2]])</f>
        <v>0</v>
      </c>
      <c r="AE48" s="74" t="b">
        <f>IF(Tab.11[[#This Row],[a1]]=1,IF($AE$3=0,Tab.11[[#This Row],[w.0]],Tab.11[[#This Row],[w.0]]/SUM(Tab.11[w.0])))</f>
        <v>0</v>
      </c>
      <c r="AF48" s="76" t="str">
        <f>IF(Tab.11[[#This Row],[a1]]=0,"false",[3]!Tab.x5[[#This Row],[%_seN_C]])</f>
        <v>false</v>
      </c>
      <c r="AG48" s="77" t="b">
        <f>IF(Tab.11[[#This Row],[a1]]=1,AP48)</f>
        <v>0</v>
      </c>
      <c r="AH48" s="78" t="b">
        <f>IF(Tab.11[[#This Row],[a1]]=1,AQ48)</f>
        <v>0</v>
      </c>
      <c r="AI48" s="41">
        <v>3.0000000000000001E-3</v>
      </c>
      <c r="AJ48" s="79">
        <v>0.02</v>
      </c>
      <c r="AK48" s="80" t="b">
        <f>IF(Tab.11[[#This Row],[a1]]=1,1)</f>
        <v>0</v>
      </c>
      <c r="AZ48"/>
    </row>
    <row r="49" spans="1:52" hidden="1" x14ac:dyDescent="0.25">
      <c r="A49" s="61">
        <f t="shared" si="3"/>
        <v>0</v>
      </c>
      <c r="B49" s="62">
        <f t="shared" si="3"/>
        <v>0</v>
      </c>
      <c r="C49" s="62" t="b">
        <f>IF(Tab.11[[#This Row],[a1]]=1,[3]!Tab_x1[[#This Row],[Name]])</f>
        <v>0</v>
      </c>
      <c r="D49" s="63" t="b">
        <f>IF(Tab.11[[#This Row],[a1]]=1,AO49)</f>
        <v>0</v>
      </c>
      <c r="E49" s="63">
        <f t="shared" si="1"/>
        <v>0</v>
      </c>
      <c r="F49" s="64" t="b">
        <f>IF(Tab.11[[#This Row],[a1]]=1,Tab.11[[#This Row],[b1]])</f>
        <v>0</v>
      </c>
      <c r="G49" s="65" t="b">
        <f>IF(Tab.11[[#This Row],[a1]]=1,IF(Tab.11[[#This Row],[b3]]&gt;$L$989*$G$3,$L$989*$G$3,IF(Tab.11[[#This Row],[b3]]&lt;$M$989*$G$3,$M$989*$G$3,Tab.11[[#This Row],[b3]])))</f>
        <v>0</v>
      </c>
      <c r="H49" s="66" t="b">
        <f>IF(Tab.11[[#This Row],[a1]]=1,Tab.11[[#This Row],[b1]])</f>
        <v>0</v>
      </c>
      <c r="I49" s="67" t="b">
        <f>IF(Tab.11[[#This Row],[a1]]=1,Tab.11[[#This Row],[b1]])</f>
        <v>0</v>
      </c>
      <c r="J49" s="68" t="b">
        <f>IF(Tab.11[[#This Row],[a1]]=1,IF($I$3&lt;0,Tab.11[[#This Row],[b5]]-$I$3,Tab.11[[#This Row],[b5]]))</f>
        <v>0</v>
      </c>
      <c r="K49" s="68" t="b">
        <f>IF(Tab.11[[#This Row],[a1]]=1,IF($K$3=0,Tab.11[b6],Tab.11[[#This Row],[b6]]-AVERAGE(Tab.11[b6])))</f>
        <v>0</v>
      </c>
      <c r="L49" s="69" t="b">
        <f>IF(Tab.11[[#This Row],[a1]]=1,Tab.11[[#This Row],[data]]/(_xlfn.STDEV.P(Tab.11[data])*$B$989)+$A$989)</f>
        <v>0</v>
      </c>
      <c r="M49" s="69" t="b">
        <f>IF(Tab.11[[#This Row],[a1]]=1,Tab.11[[#This Row],[data]]/(_xlfn.STDEV.P(Tab.11[data])*$B$987)-$A$987)</f>
        <v>0</v>
      </c>
      <c r="N49" s="69" t="b">
        <f>IF(Tab.11[[#This Row],[a1]]=1,Tab.11[[#This Row],[data]]/(_xlfn.STDEV.P(Tab.11[data])*$B$988)+$A$988)</f>
        <v>0</v>
      </c>
      <c r="O49" s="70" t="b">
        <f>IF(Tab.11[[#This Row],[a1]]=1,_xlfn.NORM.DIST(Tab.11[[#This Row],[b8]],$P$1,$Q$1,FALSE))</f>
        <v>0</v>
      </c>
      <c r="P49" s="70" t="b">
        <f>IF(Tab.11[[#This Row],[a1]]=1,_xlfn.NORM.DIST(Tab.11[[#This Row],[b9]],$P$1,$Q$1,FALSE))</f>
        <v>0</v>
      </c>
      <c r="Q49" s="70" t="b">
        <f>IF(Tab.11[[#This Row],[a1]]=1,_xlfn.NORM.DIST(Tab.11[[#This Row],[b10]],$P$1,$Q$1,FALSE))</f>
        <v>0</v>
      </c>
      <c r="R49" s="67" t="b">
        <f>IF(Tab.11[[#This Row],[a1]]=1,$I$3+$A$989+IF($K$3=0,Tab.11[[#This Row],[b8]]*_xlfn.STDEV.P(Tab.11[data]),AVERAGE(Tab.11[b6])+Tab.11[[#This Row],[b8]]*_xlfn.STDEV.P(Tab.11[data])))</f>
        <v>0</v>
      </c>
      <c r="S49" s="71" t="b">
        <f>IF(Tab.11[[#This Row],[a1]]=1,$I$3+$A$987+IF($K$3=0,Tab.11[[#This Row],[b9]]*_xlfn.STDEV.P(Tab.11[data]),AVERAGE(Tab.11[b6])+Tab.11[[#This Row],[b9]]*_xlfn.STDEV.P(Tab.11[data])))</f>
        <v>0</v>
      </c>
      <c r="T49" s="71" t="b">
        <f>IF(Tab.11[[#This Row],[a1]]=1,$I$3+$A$988+IF($K$3=0,Tab.11[[#This Row],[b10]]*_xlfn.STDEV.P(Tab.11[data]),AVERAGE(Tab.11[b6])+Tab.11[[#This Row],[b10]]*_xlfn.STDEV.P(Tab.11[data])))</f>
        <v>0</v>
      </c>
      <c r="U49" s="72" t="b">
        <f>IF(Tab.11[[#This Row],[a1]]=1,Tab.11[[#This Row],[target]]-Tab.11[[#This Row],[Red]])</f>
        <v>0</v>
      </c>
      <c r="V49" s="72" t="b">
        <f>IF(Tab.11[[#This Row],[a1]]=1,Tab.11[[#This Row],[target]]-Tab.11[[#This Row],[Blue]])</f>
        <v>0</v>
      </c>
      <c r="W49" s="73" t="b">
        <f>IF(Tab.11[[#This Row],[a1]]=1,IF(ABS(Tab.11[[#This Row],[b17]])+ABS(Tab.11[[#This Row],[b18]])&lt;$W$2,$W$2,ABS(Tab.11[[#This Row],[b17]])+ABS(Tab.11[[#This Row],[b18]])))</f>
        <v>0</v>
      </c>
      <c r="X49" s="136" t="b">
        <f>IF(Tab.11[[#This Row],[a1]]=1,IF($W$3&lt;0,Tab.11[[#This Row],[IN]]-$I$3,Tab.11[[#This Row],[IN]]))</f>
        <v>0</v>
      </c>
      <c r="Y49" s="136" t="b">
        <f>IF(Tab.11[[#This Row],[a1]]=1,IF($X$3=0,Tab.11[b66],Tab.11[[#This Row],[b66]]-AVERAGE(Tab.11[b66])))</f>
        <v>0</v>
      </c>
      <c r="Z49" s="135" t="b">
        <f>IF(Tab.11[[#This Row],[a1]]=1,Tab.11[[#This Row],[b77]]/(_xlfn.STDEV.P(Tab.11[b77])))</f>
        <v>0</v>
      </c>
      <c r="AA49" s="70" t="b">
        <f>IF(Tab.11[[#This Row],[a1]]=1,_xlfn.NORM.DIST(Tab.11[[#This Row],[b88]],$Z$1,$AA$1,FALSE))</f>
        <v>0</v>
      </c>
      <c r="AB49" s="74" t="b">
        <f>IF(Tab.11[[#This Row],[a1]]=1,IF($A$3=0,FALSE,1/Tab.11[[#This Row],[IN]]*$AC$2*IF(Tab.11[[#This Row],[a1]]=0,,$A$3*$AC$1*1/$V$3*(Tab.11[[#This Row],[b14]]))))</f>
        <v>0</v>
      </c>
      <c r="AC49" s="75" t="b">
        <f>IF(Tab.11[[#This Row],[a1]]=1,IF($AC$3=0,Tab.11[[#This Row],[φ1]],Tab.11[[#This Row],[φ1]]/MAX(Tab.11[φ1])))</f>
        <v>0</v>
      </c>
      <c r="AD49" s="74" t="b">
        <f>IF(Tab.11[[#This Row],[a1]]=1,1/Tab.11[[#This Row],[φ2]])</f>
        <v>0</v>
      </c>
      <c r="AE49" s="74" t="b">
        <f>IF(Tab.11[[#This Row],[a1]]=1,IF($AE$3=0,Tab.11[[#This Row],[w.0]],Tab.11[[#This Row],[w.0]]/SUM(Tab.11[w.0])))</f>
        <v>0</v>
      </c>
      <c r="AF49" s="76" t="str">
        <f>IF(Tab.11[[#This Row],[a1]]=0,"false",[3]!Tab.x5[[#This Row],[%_seN_C]])</f>
        <v>false</v>
      </c>
      <c r="AG49" s="77" t="b">
        <f>IF(Tab.11[[#This Row],[a1]]=1,AP49)</f>
        <v>0</v>
      </c>
      <c r="AH49" s="78" t="b">
        <f>IF(Tab.11[[#This Row],[a1]]=1,AQ49)</f>
        <v>0</v>
      </c>
      <c r="AI49" s="41">
        <v>3.0000000000000001E-3</v>
      </c>
      <c r="AJ49" s="79">
        <v>-0.03</v>
      </c>
      <c r="AK49" s="80" t="b">
        <f>IF(Tab.11[[#This Row],[a1]]=1,1)</f>
        <v>0</v>
      </c>
      <c r="AZ49"/>
    </row>
    <row r="50" spans="1:52" hidden="1" x14ac:dyDescent="0.25">
      <c r="A50" s="61">
        <f t="shared" si="3"/>
        <v>0</v>
      </c>
      <c r="B50" s="62">
        <f t="shared" si="3"/>
        <v>0</v>
      </c>
      <c r="C50" s="62" t="b">
        <f>IF(Tab.11[[#This Row],[a1]]=1,[3]!Tab_x1[[#This Row],[Name]])</f>
        <v>0</v>
      </c>
      <c r="D50" s="63" t="b">
        <f>IF(Tab.11[[#This Row],[a1]]=1,AO50)</f>
        <v>0</v>
      </c>
      <c r="E50" s="63">
        <f t="shared" si="1"/>
        <v>0</v>
      </c>
      <c r="F50" s="64" t="b">
        <f>IF(Tab.11[[#This Row],[a1]]=1,Tab.11[[#This Row],[b1]])</f>
        <v>0</v>
      </c>
      <c r="G50" s="65" t="b">
        <f>IF(Tab.11[[#This Row],[a1]]=1,IF(Tab.11[[#This Row],[b3]]&gt;$L$989*$G$3,$L$989*$G$3,IF(Tab.11[[#This Row],[b3]]&lt;$M$989*$G$3,$M$989*$G$3,Tab.11[[#This Row],[b3]])))</f>
        <v>0</v>
      </c>
      <c r="H50" s="66" t="b">
        <f>IF(Tab.11[[#This Row],[a1]]=1,Tab.11[[#This Row],[b1]])</f>
        <v>0</v>
      </c>
      <c r="I50" s="67" t="b">
        <f>IF(Tab.11[[#This Row],[a1]]=1,Tab.11[[#This Row],[b1]])</f>
        <v>0</v>
      </c>
      <c r="J50" s="68" t="b">
        <f>IF(Tab.11[[#This Row],[a1]]=1,IF($I$3&lt;0,Tab.11[[#This Row],[b5]]-$I$3,Tab.11[[#This Row],[b5]]))</f>
        <v>0</v>
      </c>
      <c r="K50" s="68" t="b">
        <f>IF(Tab.11[[#This Row],[a1]]=1,IF($K$3=0,Tab.11[b6],Tab.11[[#This Row],[b6]]-AVERAGE(Tab.11[b6])))</f>
        <v>0</v>
      </c>
      <c r="L50" s="69" t="b">
        <f>IF(Tab.11[[#This Row],[a1]]=1,Tab.11[[#This Row],[data]]/(_xlfn.STDEV.P(Tab.11[data])*$B$989)+$A$989)</f>
        <v>0</v>
      </c>
      <c r="M50" s="69" t="b">
        <f>IF(Tab.11[[#This Row],[a1]]=1,Tab.11[[#This Row],[data]]/(_xlfn.STDEV.P(Tab.11[data])*$B$987)-$A$987)</f>
        <v>0</v>
      </c>
      <c r="N50" s="69" t="b">
        <f>IF(Tab.11[[#This Row],[a1]]=1,Tab.11[[#This Row],[data]]/(_xlfn.STDEV.P(Tab.11[data])*$B$988)+$A$988)</f>
        <v>0</v>
      </c>
      <c r="O50" s="70" t="b">
        <f>IF(Tab.11[[#This Row],[a1]]=1,_xlfn.NORM.DIST(Tab.11[[#This Row],[b8]],$P$1,$Q$1,FALSE))</f>
        <v>0</v>
      </c>
      <c r="P50" s="70" t="b">
        <f>IF(Tab.11[[#This Row],[a1]]=1,_xlfn.NORM.DIST(Tab.11[[#This Row],[b9]],$P$1,$Q$1,FALSE))</f>
        <v>0</v>
      </c>
      <c r="Q50" s="70" t="b">
        <f>IF(Tab.11[[#This Row],[a1]]=1,_xlfn.NORM.DIST(Tab.11[[#This Row],[b10]],$P$1,$Q$1,FALSE))</f>
        <v>0</v>
      </c>
      <c r="R50" s="67" t="b">
        <f>IF(Tab.11[[#This Row],[a1]]=1,$I$3+$A$989+IF($K$3=0,Tab.11[[#This Row],[b8]]*_xlfn.STDEV.P(Tab.11[data]),AVERAGE(Tab.11[b6])+Tab.11[[#This Row],[b8]]*_xlfn.STDEV.P(Tab.11[data])))</f>
        <v>0</v>
      </c>
      <c r="S50" s="71" t="b">
        <f>IF(Tab.11[[#This Row],[a1]]=1,$I$3+$A$987+IF($K$3=0,Tab.11[[#This Row],[b9]]*_xlfn.STDEV.P(Tab.11[data]),AVERAGE(Tab.11[b6])+Tab.11[[#This Row],[b9]]*_xlfn.STDEV.P(Tab.11[data])))</f>
        <v>0</v>
      </c>
      <c r="T50" s="71" t="b">
        <f>IF(Tab.11[[#This Row],[a1]]=1,$I$3+$A$988+IF($K$3=0,Tab.11[[#This Row],[b10]]*_xlfn.STDEV.P(Tab.11[data]),AVERAGE(Tab.11[b6])+Tab.11[[#This Row],[b10]]*_xlfn.STDEV.P(Tab.11[data])))</f>
        <v>0</v>
      </c>
      <c r="U50" s="72" t="b">
        <f>IF(Tab.11[[#This Row],[a1]]=1,Tab.11[[#This Row],[target]]-Tab.11[[#This Row],[Red]])</f>
        <v>0</v>
      </c>
      <c r="V50" s="72" t="b">
        <f>IF(Tab.11[[#This Row],[a1]]=1,Tab.11[[#This Row],[target]]-Tab.11[[#This Row],[Blue]])</f>
        <v>0</v>
      </c>
      <c r="W50" s="73" t="b">
        <f>IF(Tab.11[[#This Row],[a1]]=1,IF(ABS(Tab.11[[#This Row],[b17]])+ABS(Tab.11[[#This Row],[b18]])&lt;$W$2,$W$2,ABS(Tab.11[[#This Row],[b17]])+ABS(Tab.11[[#This Row],[b18]])))</f>
        <v>0</v>
      </c>
      <c r="X50" s="136" t="b">
        <f>IF(Tab.11[[#This Row],[a1]]=1,IF($W$3&lt;0,Tab.11[[#This Row],[IN]]-$I$3,Tab.11[[#This Row],[IN]]))</f>
        <v>0</v>
      </c>
      <c r="Y50" s="136" t="b">
        <f>IF(Tab.11[[#This Row],[a1]]=1,IF($X$3=0,Tab.11[b66],Tab.11[[#This Row],[b66]]-AVERAGE(Tab.11[b66])))</f>
        <v>0</v>
      </c>
      <c r="Z50" s="135" t="b">
        <f>IF(Tab.11[[#This Row],[a1]]=1,Tab.11[[#This Row],[b77]]/(_xlfn.STDEV.P(Tab.11[b77])))</f>
        <v>0</v>
      </c>
      <c r="AA50" s="70" t="b">
        <f>IF(Tab.11[[#This Row],[a1]]=1,_xlfn.NORM.DIST(Tab.11[[#This Row],[b88]],$Z$1,$AA$1,FALSE))</f>
        <v>0</v>
      </c>
      <c r="AB50" s="74" t="b">
        <f>IF(Tab.11[[#This Row],[a1]]=1,IF($A$3=0,FALSE,1/Tab.11[[#This Row],[IN]]*$AC$2*IF(Tab.11[[#This Row],[a1]]=0,,$A$3*$AC$1*1/$V$3*(Tab.11[[#This Row],[b14]]))))</f>
        <v>0</v>
      </c>
      <c r="AC50" s="75" t="b">
        <f>IF(Tab.11[[#This Row],[a1]]=1,IF($AC$3=0,Tab.11[[#This Row],[φ1]],Tab.11[[#This Row],[φ1]]/MAX(Tab.11[φ1])))</f>
        <v>0</v>
      </c>
      <c r="AD50" s="74" t="b">
        <f>IF(Tab.11[[#This Row],[a1]]=1,1/Tab.11[[#This Row],[φ2]])</f>
        <v>0</v>
      </c>
      <c r="AE50" s="74" t="b">
        <f>IF(Tab.11[[#This Row],[a1]]=1,IF($AE$3=0,Tab.11[[#This Row],[w.0]],Tab.11[[#This Row],[w.0]]/SUM(Tab.11[w.0])))</f>
        <v>0</v>
      </c>
      <c r="AF50" s="82" t="str">
        <f>IF(Tab.11[[#This Row],[a1]]=0,"false",[3]!Tab.x5[[#This Row],[%_seN_C]])</f>
        <v>false</v>
      </c>
      <c r="AG50" s="77" t="b">
        <f>IF(Tab.11[[#This Row],[a1]]=1,AP50)</f>
        <v>0</v>
      </c>
      <c r="AH50" s="78" t="b">
        <f>IF(Tab.11[[#This Row],[a1]]=1,AQ50)</f>
        <v>0</v>
      </c>
      <c r="AI50" s="41">
        <v>3.0000000000000001E-3</v>
      </c>
      <c r="AJ50" s="79">
        <v>-0.1</v>
      </c>
      <c r="AK50" s="80" t="b">
        <f>IF(Tab.11[[#This Row],[a1]]=1,1)</f>
        <v>0</v>
      </c>
      <c r="AZ50"/>
    </row>
    <row r="51" spans="1:52" hidden="1" x14ac:dyDescent="0.25">
      <c r="A51" s="61">
        <f t="shared" si="3"/>
        <v>0</v>
      </c>
      <c r="B51" s="62">
        <f t="shared" si="3"/>
        <v>0</v>
      </c>
      <c r="C51" s="62" t="b">
        <f>IF(Tab.11[[#This Row],[a1]]=1,[3]!Tab_x1[[#This Row],[Name]])</f>
        <v>0</v>
      </c>
      <c r="D51" s="63" t="b">
        <f>IF(Tab.11[[#This Row],[a1]]=1,AO51)</f>
        <v>0</v>
      </c>
      <c r="E51" s="63">
        <f t="shared" si="1"/>
        <v>0</v>
      </c>
      <c r="F51" s="64" t="b">
        <f>IF(Tab.11[[#This Row],[a1]]=1,Tab.11[[#This Row],[b1]])</f>
        <v>0</v>
      </c>
      <c r="G51" s="65" t="b">
        <f>IF(Tab.11[[#This Row],[a1]]=1,IF(Tab.11[[#This Row],[b3]]&gt;$L$989*$G$3,$L$989*$G$3,IF(Tab.11[[#This Row],[b3]]&lt;$M$989*$G$3,$M$989*$G$3,Tab.11[[#This Row],[b3]])))</f>
        <v>0</v>
      </c>
      <c r="H51" s="66" t="b">
        <f>IF(Tab.11[[#This Row],[a1]]=1,Tab.11[[#This Row],[b1]])</f>
        <v>0</v>
      </c>
      <c r="I51" s="67" t="b">
        <f>IF(Tab.11[[#This Row],[a1]]=1,Tab.11[[#This Row],[b1]])</f>
        <v>0</v>
      </c>
      <c r="J51" s="68" t="b">
        <f>IF(Tab.11[[#This Row],[a1]]=1,IF($I$3&lt;0,Tab.11[[#This Row],[b5]]-$I$3,Tab.11[[#This Row],[b5]]))</f>
        <v>0</v>
      </c>
      <c r="K51" s="68" t="b">
        <f>IF(Tab.11[[#This Row],[a1]]=1,IF($K$3=0,Tab.11[b6],Tab.11[[#This Row],[b6]]-AVERAGE(Tab.11[b6])))</f>
        <v>0</v>
      </c>
      <c r="L51" s="69" t="b">
        <f>IF(Tab.11[[#This Row],[a1]]=1,Tab.11[[#This Row],[data]]/(_xlfn.STDEV.P(Tab.11[data])*$B$989)+$A$989)</f>
        <v>0</v>
      </c>
      <c r="M51" s="69" t="b">
        <f>IF(Tab.11[[#This Row],[a1]]=1,Tab.11[[#This Row],[data]]/(_xlfn.STDEV.P(Tab.11[data])*$B$987)-$A$987)</f>
        <v>0</v>
      </c>
      <c r="N51" s="69" t="b">
        <f>IF(Tab.11[[#This Row],[a1]]=1,Tab.11[[#This Row],[data]]/(_xlfn.STDEV.P(Tab.11[data])*$B$988)+$A$988)</f>
        <v>0</v>
      </c>
      <c r="O51" s="70" t="b">
        <f>IF(Tab.11[[#This Row],[a1]]=1,_xlfn.NORM.DIST(Tab.11[[#This Row],[b8]],$P$1,$Q$1,FALSE))</f>
        <v>0</v>
      </c>
      <c r="P51" s="70" t="b">
        <f>IF(Tab.11[[#This Row],[a1]]=1,_xlfn.NORM.DIST(Tab.11[[#This Row],[b9]],$P$1,$Q$1,FALSE))</f>
        <v>0</v>
      </c>
      <c r="Q51" s="70" t="b">
        <f>IF(Tab.11[[#This Row],[a1]]=1,_xlfn.NORM.DIST(Tab.11[[#This Row],[b10]],$P$1,$Q$1,FALSE))</f>
        <v>0</v>
      </c>
      <c r="R51" s="67" t="b">
        <f>IF(Tab.11[[#This Row],[a1]]=1,$I$3+$A$989+IF($K$3=0,Tab.11[[#This Row],[b8]]*_xlfn.STDEV.P(Tab.11[data]),AVERAGE(Tab.11[b6])+Tab.11[[#This Row],[b8]]*_xlfn.STDEV.P(Tab.11[data])))</f>
        <v>0</v>
      </c>
      <c r="S51" s="71" t="b">
        <f>IF(Tab.11[[#This Row],[a1]]=1,$I$3+$A$987+IF($K$3=0,Tab.11[[#This Row],[b9]]*_xlfn.STDEV.P(Tab.11[data]),AVERAGE(Tab.11[b6])+Tab.11[[#This Row],[b9]]*_xlfn.STDEV.P(Tab.11[data])))</f>
        <v>0</v>
      </c>
      <c r="T51" s="71" t="b">
        <f>IF(Tab.11[[#This Row],[a1]]=1,$I$3+$A$988+IF($K$3=0,Tab.11[[#This Row],[b10]]*_xlfn.STDEV.P(Tab.11[data]),AVERAGE(Tab.11[b6])+Tab.11[[#This Row],[b10]]*_xlfn.STDEV.P(Tab.11[data])))</f>
        <v>0</v>
      </c>
      <c r="U51" s="72" t="b">
        <f>IF(Tab.11[[#This Row],[a1]]=1,Tab.11[[#This Row],[target]]-Tab.11[[#This Row],[Red]])</f>
        <v>0</v>
      </c>
      <c r="V51" s="72" t="b">
        <f>IF(Tab.11[[#This Row],[a1]]=1,Tab.11[[#This Row],[target]]-Tab.11[[#This Row],[Blue]])</f>
        <v>0</v>
      </c>
      <c r="W51" s="73" t="b">
        <f>IF(Tab.11[[#This Row],[a1]]=1,IF(ABS(Tab.11[[#This Row],[b17]])+ABS(Tab.11[[#This Row],[b18]])&lt;$W$2,$W$2,ABS(Tab.11[[#This Row],[b17]])+ABS(Tab.11[[#This Row],[b18]])))</f>
        <v>0</v>
      </c>
      <c r="X51" s="136" t="b">
        <f>IF(Tab.11[[#This Row],[a1]]=1,IF($W$3&lt;0,Tab.11[[#This Row],[IN]]-$I$3,Tab.11[[#This Row],[IN]]))</f>
        <v>0</v>
      </c>
      <c r="Y51" s="136" t="b">
        <f>IF(Tab.11[[#This Row],[a1]]=1,IF($X$3=0,Tab.11[b66],Tab.11[[#This Row],[b66]]-AVERAGE(Tab.11[b66])))</f>
        <v>0</v>
      </c>
      <c r="Z51" s="135" t="b">
        <f>IF(Tab.11[[#This Row],[a1]]=1,Tab.11[[#This Row],[b77]]/(_xlfn.STDEV.P(Tab.11[b77])))</f>
        <v>0</v>
      </c>
      <c r="AA51" s="70" t="b">
        <f>IF(Tab.11[[#This Row],[a1]]=1,_xlfn.NORM.DIST(Tab.11[[#This Row],[b88]],$Z$1,$AA$1,FALSE))</f>
        <v>0</v>
      </c>
      <c r="AB51" s="74" t="b">
        <f>IF(Tab.11[[#This Row],[a1]]=1,IF($A$3=0,FALSE,1/Tab.11[[#This Row],[IN]]*$AC$2*IF(Tab.11[[#This Row],[a1]]=0,,$A$3*$AC$1*1/$V$3*(Tab.11[[#This Row],[b14]]))))</f>
        <v>0</v>
      </c>
      <c r="AC51" s="75" t="b">
        <f>IF(Tab.11[[#This Row],[a1]]=1,IF($AC$3=0,Tab.11[[#This Row],[φ1]],Tab.11[[#This Row],[φ1]]/MAX(Tab.11[φ1])))</f>
        <v>0</v>
      </c>
      <c r="AD51" s="74" t="b">
        <f>IF(Tab.11[[#This Row],[a1]]=1,1/Tab.11[[#This Row],[φ2]])</f>
        <v>0</v>
      </c>
      <c r="AE51" s="74" t="b">
        <f>IF(Tab.11[[#This Row],[a1]]=1,IF($AE$3=0,Tab.11[[#This Row],[w.0]],Tab.11[[#This Row],[w.0]]/SUM(Tab.11[w.0])))</f>
        <v>0</v>
      </c>
      <c r="AF51" s="82" t="str">
        <f>IF(Tab.11[[#This Row],[a1]]=0,"false",[3]!Tab.x5[[#This Row],[%_seN_C]])</f>
        <v>false</v>
      </c>
      <c r="AG51" s="77" t="b">
        <f>IF(Tab.11[[#This Row],[a1]]=1,AP51)</f>
        <v>0</v>
      </c>
      <c r="AH51" s="78" t="b">
        <f>IF(Tab.11[[#This Row],[a1]]=1,AQ51)</f>
        <v>0</v>
      </c>
      <c r="AI51" s="41">
        <v>3.0000000000000001E-3</v>
      </c>
      <c r="AJ51" s="79">
        <v>0.02</v>
      </c>
      <c r="AK51" s="80" t="b">
        <f>IF(Tab.11[[#This Row],[a1]]=1,1)</f>
        <v>0</v>
      </c>
      <c r="AZ51"/>
    </row>
    <row r="52" spans="1:52" hidden="1" x14ac:dyDescent="0.25">
      <c r="A52" s="61">
        <f t="shared" si="3"/>
        <v>0</v>
      </c>
      <c r="B52" s="62">
        <f t="shared" si="3"/>
        <v>0</v>
      </c>
      <c r="C52" s="62" t="b">
        <f>IF(Tab.11[[#This Row],[a1]]=1,[3]!Tab_x1[[#This Row],[Name]])</f>
        <v>0</v>
      </c>
      <c r="D52" s="63" t="b">
        <f>IF(Tab.11[[#This Row],[a1]]=1,AO52)</f>
        <v>0</v>
      </c>
      <c r="E52" s="63">
        <f t="shared" si="1"/>
        <v>0</v>
      </c>
      <c r="F52" s="64" t="b">
        <f>IF(Tab.11[[#This Row],[a1]]=1,Tab.11[[#This Row],[b1]])</f>
        <v>0</v>
      </c>
      <c r="G52" s="65" t="b">
        <f>IF(Tab.11[[#This Row],[a1]]=1,IF(Tab.11[[#This Row],[b3]]&gt;$L$989*$G$3,$L$989*$G$3,IF(Tab.11[[#This Row],[b3]]&lt;$M$989*$G$3,$M$989*$G$3,Tab.11[[#This Row],[b3]])))</f>
        <v>0</v>
      </c>
      <c r="H52" s="66" t="b">
        <f>IF(Tab.11[[#This Row],[a1]]=1,Tab.11[[#This Row],[b1]])</f>
        <v>0</v>
      </c>
      <c r="I52" s="67" t="b">
        <f>IF(Tab.11[[#This Row],[a1]]=1,Tab.11[[#This Row],[b1]])</f>
        <v>0</v>
      </c>
      <c r="J52" s="68" t="b">
        <f>IF(Tab.11[[#This Row],[a1]]=1,IF($I$3&lt;0,Tab.11[[#This Row],[b5]]-$I$3,Tab.11[[#This Row],[b5]]))</f>
        <v>0</v>
      </c>
      <c r="K52" s="68" t="b">
        <f>IF(Tab.11[[#This Row],[a1]]=1,IF($K$3=0,Tab.11[b6],Tab.11[[#This Row],[b6]]-AVERAGE(Tab.11[b6])))</f>
        <v>0</v>
      </c>
      <c r="L52" s="69" t="b">
        <f>IF(Tab.11[[#This Row],[a1]]=1,Tab.11[[#This Row],[data]]/(_xlfn.STDEV.P(Tab.11[data])*$B$989)+$A$989)</f>
        <v>0</v>
      </c>
      <c r="M52" s="69" t="b">
        <f>IF(Tab.11[[#This Row],[a1]]=1,Tab.11[[#This Row],[data]]/(_xlfn.STDEV.P(Tab.11[data])*$B$987)-$A$987)</f>
        <v>0</v>
      </c>
      <c r="N52" s="69" t="b">
        <f>IF(Tab.11[[#This Row],[a1]]=1,Tab.11[[#This Row],[data]]/(_xlfn.STDEV.P(Tab.11[data])*$B$988)+$A$988)</f>
        <v>0</v>
      </c>
      <c r="O52" s="70" t="b">
        <f>IF(Tab.11[[#This Row],[a1]]=1,_xlfn.NORM.DIST(Tab.11[[#This Row],[b8]],$P$1,$Q$1,FALSE))</f>
        <v>0</v>
      </c>
      <c r="P52" s="70" t="b">
        <f>IF(Tab.11[[#This Row],[a1]]=1,_xlfn.NORM.DIST(Tab.11[[#This Row],[b9]],$P$1,$Q$1,FALSE))</f>
        <v>0</v>
      </c>
      <c r="Q52" s="70" t="b">
        <f>IF(Tab.11[[#This Row],[a1]]=1,_xlfn.NORM.DIST(Tab.11[[#This Row],[b10]],$P$1,$Q$1,FALSE))</f>
        <v>0</v>
      </c>
      <c r="R52" s="67" t="b">
        <f>IF(Tab.11[[#This Row],[a1]]=1,$I$3+$A$989+IF($K$3=0,Tab.11[[#This Row],[b8]]*_xlfn.STDEV.P(Tab.11[data]),AVERAGE(Tab.11[b6])+Tab.11[[#This Row],[b8]]*_xlfn.STDEV.P(Tab.11[data])))</f>
        <v>0</v>
      </c>
      <c r="S52" s="71" t="b">
        <f>IF(Tab.11[[#This Row],[a1]]=1,$I$3+$A$987+IF($K$3=0,Tab.11[[#This Row],[b9]]*_xlfn.STDEV.P(Tab.11[data]),AVERAGE(Tab.11[b6])+Tab.11[[#This Row],[b9]]*_xlfn.STDEV.P(Tab.11[data])))</f>
        <v>0</v>
      </c>
      <c r="T52" s="71" t="b">
        <f>IF(Tab.11[[#This Row],[a1]]=1,$I$3+$A$988+IF($K$3=0,Tab.11[[#This Row],[b10]]*_xlfn.STDEV.P(Tab.11[data]),AVERAGE(Tab.11[b6])+Tab.11[[#This Row],[b10]]*_xlfn.STDEV.P(Tab.11[data])))</f>
        <v>0</v>
      </c>
      <c r="U52" s="72" t="b">
        <f>IF(Tab.11[[#This Row],[a1]]=1,Tab.11[[#This Row],[target]]-Tab.11[[#This Row],[Red]])</f>
        <v>0</v>
      </c>
      <c r="V52" s="72" t="b">
        <f>IF(Tab.11[[#This Row],[a1]]=1,Tab.11[[#This Row],[target]]-Tab.11[[#This Row],[Blue]])</f>
        <v>0</v>
      </c>
      <c r="W52" s="73" t="b">
        <f>IF(Tab.11[[#This Row],[a1]]=1,IF(ABS(Tab.11[[#This Row],[b17]])+ABS(Tab.11[[#This Row],[b18]])&lt;$W$2,$W$2,ABS(Tab.11[[#This Row],[b17]])+ABS(Tab.11[[#This Row],[b18]])))</f>
        <v>0</v>
      </c>
      <c r="X52" s="136" t="b">
        <f>IF(Tab.11[[#This Row],[a1]]=1,IF($W$3&lt;0,Tab.11[[#This Row],[IN]]-$I$3,Tab.11[[#This Row],[IN]]))</f>
        <v>0</v>
      </c>
      <c r="Y52" s="136" t="b">
        <f>IF(Tab.11[[#This Row],[a1]]=1,IF($X$3=0,Tab.11[b66],Tab.11[[#This Row],[b66]]-AVERAGE(Tab.11[b66])))</f>
        <v>0</v>
      </c>
      <c r="Z52" s="135" t="b">
        <f>IF(Tab.11[[#This Row],[a1]]=1,Tab.11[[#This Row],[b77]]/(_xlfn.STDEV.P(Tab.11[b77])))</f>
        <v>0</v>
      </c>
      <c r="AA52" s="70" t="b">
        <f>IF(Tab.11[[#This Row],[a1]]=1,_xlfn.NORM.DIST(Tab.11[[#This Row],[b88]],$Z$1,$AA$1,FALSE))</f>
        <v>0</v>
      </c>
      <c r="AB52" s="74" t="b">
        <f>IF(Tab.11[[#This Row],[a1]]=1,IF($A$3=0,FALSE,1/Tab.11[[#This Row],[IN]]*$AC$2*IF(Tab.11[[#This Row],[a1]]=0,,$A$3*$AC$1*1/$V$3*(Tab.11[[#This Row],[b14]]))))</f>
        <v>0</v>
      </c>
      <c r="AC52" s="75" t="b">
        <f>IF(Tab.11[[#This Row],[a1]]=1,IF($AC$3=0,Tab.11[[#This Row],[φ1]],Tab.11[[#This Row],[φ1]]/MAX(Tab.11[φ1])))</f>
        <v>0</v>
      </c>
      <c r="AD52" s="74" t="b">
        <f>IF(Tab.11[[#This Row],[a1]]=1,1/Tab.11[[#This Row],[φ2]])</f>
        <v>0</v>
      </c>
      <c r="AE52" s="74" t="b">
        <f>IF(Tab.11[[#This Row],[a1]]=1,IF($AE$3=0,Tab.11[[#This Row],[w.0]],Tab.11[[#This Row],[w.0]]/SUM(Tab.11[w.0])))</f>
        <v>0</v>
      </c>
      <c r="AF52" s="82" t="str">
        <f>IF(Tab.11[[#This Row],[a1]]=0,"false",[3]!Tab.x5[[#This Row],[%_seN_C]])</f>
        <v>false</v>
      </c>
      <c r="AG52" s="77" t="b">
        <f>IF(Tab.11[[#This Row],[a1]]=1,AP52)</f>
        <v>0</v>
      </c>
      <c r="AH52" s="78" t="b">
        <f>IF(Tab.11[[#This Row],[a1]]=1,AQ52)</f>
        <v>0</v>
      </c>
      <c r="AI52" s="41">
        <v>3.0000000000000001E-3</v>
      </c>
      <c r="AJ52" s="79">
        <v>-0.1</v>
      </c>
      <c r="AK52" s="80" t="b">
        <f>IF(Tab.11[[#This Row],[a1]]=1,1)</f>
        <v>0</v>
      </c>
      <c r="AZ52"/>
    </row>
    <row r="53" spans="1:52" hidden="1" x14ac:dyDescent="0.25">
      <c r="A53" s="61">
        <f t="shared" si="3"/>
        <v>0</v>
      </c>
      <c r="B53" s="62">
        <f t="shared" si="3"/>
        <v>0</v>
      </c>
      <c r="C53" s="62" t="b">
        <f>IF(Tab.11[[#This Row],[a1]]=1,[3]!Tab_x1[[#This Row],[Name]])</f>
        <v>0</v>
      </c>
      <c r="D53" s="63" t="b">
        <f>IF(Tab.11[[#This Row],[a1]]=1,AO53)</f>
        <v>0</v>
      </c>
      <c r="E53" s="63">
        <f t="shared" si="1"/>
        <v>0</v>
      </c>
      <c r="F53" s="64" t="b">
        <f>IF(Tab.11[[#This Row],[a1]]=1,Tab.11[[#This Row],[b1]])</f>
        <v>0</v>
      </c>
      <c r="G53" s="65" t="b">
        <f>IF(Tab.11[[#This Row],[a1]]=1,IF(Tab.11[[#This Row],[b3]]&gt;$L$989*$G$3,$L$989*$G$3,IF(Tab.11[[#This Row],[b3]]&lt;$M$989*$G$3,$M$989*$G$3,Tab.11[[#This Row],[b3]])))</f>
        <v>0</v>
      </c>
      <c r="H53" s="66" t="b">
        <f>IF(Tab.11[[#This Row],[a1]]=1,Tab.11[[#This Row],[b1]])</f>
        <v>0</v>
      </c>
      <c r="I53" s="67" t="b">
        <f>IF(Tab.11[[#This Row],[a1]]=1,Tab.11[[#This Row],[b1]])</f>
        <v>0</v>
      </c>
      <c r="J53" s="68" t="b">
        <f>IF(Tab.11[[#This Row],[a1]]=1,IF($I$3&lt;0,Tab.11[[#This Row],[b5]]-$I$3,Tab.11[[#This Row],[b5]]))</f>
        <v>0</v>
      </c>
      <c r="K53" s="68" t="b">
        <f>IF(Tab.11[[#This Row],[a1]]=1,IF($K$3=0,Tab.11[b6],Tab.11[[#This Row],[b6]]-AVERAGE(Tab.11[b6])))</f>
        <v>0</v>
      </c>
      <c r="L53" s="69" t="b">
        <f>IF(Tab.11[[#This Row],[a1]]=1,Tab.11[[#This Row],[data]]/(_xlfn.STDEV.P(Tab.11[data])*$B$989)+$A$989)</f>
        <v>0</v>
      </c>
      <c r="M53" s="69" t="b">
        <f>IF(Tab.11[[#This Row],[a1]]=1,Tab.11[[#This Row],[data]]/(_xlfn.STDEV.P(Tab.11[data])*$B$987)-$A$987)</f>
        <v>0</v>
      </c>
      <c r="N53" s="69" t="b">
        <f>IF(Tab.11[[#This Row],[a1]]=1,Tab.11[[#This Row],[data]]/(_xlfn.STDEV.P(Tab.11[data])*$B$988)+$A$988)</f>
        <v>0</v>
      </c>
      <c r="O53" s="70" t="b">
        <f>IF(Tab.11[[#This Row],[a1]]=1,_xlfn.NORM.DIST(Tab.11[[#This Row],[b8]],$P$1,$Q$1,FALSE))</f>
        <v>0</v>
      </c>
      <c r="P53" s="70" t="b">
        <f>IF(Tab.11[[#This Row],[a1]]=1,_xlfn.NORM.DIST(Tab.11[[#This Row],[b9]],$P$1,$Q$1,FALSE))</f>
        <v>0</v>
      </c>
      <c r="Q53" s="70" t="b">
        <f>IF(Tab.11[[#This Row],[a1]]=1,_xlfn.NORM.DIST(Tab.11[[#This Row],[b10]],$P$1,$Q$1,FALSE))</f>
        <v>0</v>
      </c>
      <c r="R53" s="67" t="b">
        <f>IF(Tab.11[[#This Row],[a1]]=1,$I$3+$A$989+IF($K$3=0,Tab.11[[#This Row],[b8]]*_xlfn.STDEV.P(Tab.11[data]),AVERAGE(Tab.11[b6])+Tab.11[[#This Row],[b8]]*_xlfn.STDEV.P(Tab.11[data])))</f>
        <v>0</v>
      </c>
      <c r="S53" s="71" t="b">
        <f>IF(Tab.11[[#This Row],[a1]]=1,$I$3+$A$987+IF($K$3=0,Tab.11[[#This Row],[b9]]*_xlfn.STDEV.P(Tab.11[data]),AVERAGE(Tab.11[b6])+Tab.11[[#This Row],[b9]]*_xlfn.STDEV.P(Tab.11[data])))</f>
        <v>0</v>
      </c>
      <c r="T53" s="71" t="b">
        <f>IF(Tab.11[[#This Row],[a1]]=1,$I$3+$A$988+IF($K$3=0,Tab.11[[#This Row],[b10]]*_xlfn.STDEV.P(Tab.11[data]),AVERAGE(Tab.11[b6])+Tab.11[[#This Row],[b10]]*_xlfn.STDEV.P(Tab.11[data])))</f>
        <v>0</v>
      </c>
      <c r="U53" s="72" t="b">
        <f>IF(Tab.11[[#This Row],[a1]]=1,Tab.11[[#This Row],[target]]-Tab.11[[#This Row],[Red]])</f>
        <v>0</v>
      </c>
      <c r="V53" s="72" t="b">
        <f>IF(Tab.11[[#This Row],[a1]]=1,Tab.11[[#This Row],[target]]-Tab.11[[#This Row],[Blue]])</f>
        <v>0</v>
      </c>
      <c r="W53" s="73" t="b">
        <f>IF(Tab.11[[#This Row],[a1]]=1,IF(ABS(Tab.11[[#This Row],[b17]])+ABS(Tab.11[[#This Row],[b18]])&lt;$W$2,$W$2,ABS(Tab.11[[#This Row],[b17]])+ABS(Tab.11[[#This Row],[b18]])))</f>
        <v>0</v>
      </c>
      <c r="X53" s="136" t="b">
        <f>IF(Tab.11[[#This Row],[a1]]=1,IF($W$3&lt;0,Tab.11[[#This Row],[IN]]-$I$3,Tab.11[[#This Row],[IN]]))</f>
        <v>0</v>
      </c>
      <c r="Y53" s="136" t="b">
        <f>IF(Tab.11[[#This Row],[a1]]=1,IF($X$3=0,Tab.11[b66],Tab.11[[#This Row],[b66]]-AVERAGE(Tab.11[b66])))</f>
        <v>0</v>
      </c>
      <c r="Z53" s="135" t="b">
        <f>IF(Tab.11[[#This Row],[a1]]=1,Tab.11[[#This Row],[b77]]/(_xlfn.STDEV.P(Tab.11[b77])))</f>
        <v>0</v>
      </c>
      <c r="AA53" s="70" t="b">
        <f>IF(Tab.11[[#This Row],[a1]]=1,_xlfn.NORM.DIST(Tab.11[[#This Row],[b88]],$Z$1,$AA$1,FALSE))</f>
        <v>0</v>
      </c>
      <c r="AB53" s="74" t="b">
        <f>IF(Tab.11[[#This Row],[a1]]=1,IF($A$3=0,FALSE,1/Tab.11[[#This Row],[IN]]*$AC$2*IF(Tab.11[[#This Row],[a1]]=0,,$A$3*$AC$1*1/$V$3*(Tab.11[[#This Row],[b14]]))))</f>
        <v>0</v>
      </c>
      <c r="AC53" s="75" t="b">
        <f>IF(Tab.11[[#This Row],[a1]]=1,IF($AC$3=0,Tab.11[[#This Row],[φ1]],Tab.11[[#This Row],[φ1]]/MAX(Tab.11[φ1])))</f>
        <v>0</v>
      </c>
      <c r="AD53" s="74" t="b">
        <f>IF(Tab.11[[#This Row],[a1]]=1,1/Tab.11[[#This Row],[φ2]])</f>
        <v>0</v>
      </c>
      <c r="AE53" s="74" t="b">
        <f>IF(Tab.11[[#This Row],[a1]]=1,IF($AE$3=0,Tab.11[[#This Row],[w.0]],Tab.11[[#This Row],[w.0]]/SUM(Tab.11[w.0])))</f>
        <v>0</v>
      </c>
      <c r="AF53" s="82" t="str">
        <f>IF(Tab.11[[#This Row],[a1]]=0,"false",[3]!Tab.x5[[#This Row],[%_seN_C]])</f>
        <v>false</v>
      </c>
      <c r="AG53" s="77" t="b">
        <f>IF(Tab.11[[#This Row],[a1]]=1,AP53)</f>
        <v>0</v>
      </c>
      <c r="AH53" s="78" t="b">
        <f>IF(Tab.11[[#This Row],[a1]]=1,AQ53)</f>
        <v>0</v>
      </c>
      <c r="AI53" s="41">
        <v>3.0000000000000001E-3</v>
      </c>
      <c r="AJ53" s="79">
        <v>-0.05</v>
      </c>
      <c r="AK53" s="80" t="b">
        <f>IF(Tab.11[[#This Row],[a1]]=1,1)</f>
        <v>0</v>
      </c>
      <c r="AZ53"/>
    </row>
    <row r="54" spans="1:52" hidden="1" x14ac:dyDescent="0.25">
      <c r="A54" s="61">
        <f t="shared" si="3"/>
        <v>0</v>
      </c>
      <c r="B54" s="62">
        <f t="shared" si="3"/>
        <v>0</v>
      </c>
      <c r="C54" s="62" t="b">
        <f>IF(Tab.11[[#This Row],[a1]]=1,[3]!Tab_x1[[#This Row],[Name]])</f>
        <v>0</v>
      </c>
      <c r="D54" s="63" t="b">
        <f>IF(Tab.11[[#This Row],[a1]]=1,AO54)</f>
        <v>0</v>
      </c>
      <c r="E54" s="63">
        <f t="shared" si="1"/>
        <v>0</v>
      </c>
      <c r="F54" s="64" t="b">
        <f>IF(Tab.11[[#This Row],[a1]]=1,Tab.11[[#This Row],[b1]])</f>
        <v>0</v>
      </c>
      <c r="G54" s="65" t="b">
        <f>IF(Tab.11[[#This Row],[a1]]=1,IF(Tab.11[[#This Row],[b3]]&gt;$L$989*$G$3,$L$989*$G$3,IF(Tab.11[[#This Row],[b3]]&lt;$M$989*$G$3,$M$989*$G$3,Tab.11[[#This Row],[b3]])))</f>
        <v>0</v>
      </c>
      <c r="H54" s="66" t="b">
        <f>IF(Tab.11[[#This Row],[a1]]=1,Tab.11[[#This Row],[b1]])</f>
        <v>0</v>
      </c>
      <c r="I54" s="67" t="b">
        <f>IF(Tab.11[[#This Row],[a1]]=1,Tab.11[[#This Row],[b1]])</f>
        <v>0</v>
      </c>
      <c r="J54" s="68" t="b">
        <f>IF(Tab.11[[#This Row],[a1]]=1,IF($I$3&lt;0,Tab.11[[#This Row],[b5]]-$I$3,Tab.11[[#This Row],[b5]]))</f>
        <v>0</v>
      </c>
      <c r="K54" s="68" t="b">
        <f>IF(Tab.11[[#This Row],[a1]]=1,IF($K$3=0,Tab.11[b6],Tab.11[[#This Row],[b6]]-AVERAGE(Tab.11[b6])))</f>
        <v>0</v>
      </c>
      <c r="L54" s="69" t="b">
        <f>IF(Tab.11[[#This Row],[a1]]=1,Tab.11[[#This Row],[data]]/(_xlfn.STDEV.P(Tab.11[data])*$B$989)+$A$989)</f>
        <v>0</v>
      </c>
      <c r="M54" s="69" t="b">
        <f>IF(Tab.11[[#This Row],[a1]]=1,Tab.11[[#This Row],[data]]/(_xlfn.STDEV.P(Tab.11[data])*$B$987)-$A$987)</f>
        <v>0</v>
      </c>
      <c r="N54" s="69" t="b">
        <f>IF(Tab.11[[#This Row],[a1]]=1,Tab.11[[#This Row],[data]]/(_xlfn.STDEV.P(Tab.11[data])*$B$988)+$A$988)</f>
        <v>0</v>
      </c>
      <c r="O54" s="70" t="b">
        <f>IF(Tab.11[[#This Row],[a1]]=1,_xlfn.NORM.DIST(Tab.11[[#This Row],[b8]],$P$1,$Q$1,FALSE))</f>
        <v>0</v>
      </c>
      <c r="P54" s="70" t="b">
        <f>IF(Tab.11[[#This Row],[a1]]=1,_xlfn.NORM.DIST(Tab.11[[#This Row],[b9]],$P$1,$Q$1,FALSE))</f>
        <v>0</v>
      </c>
      <c r="Q54" s="70" t="b">
        <f>IF(Tab.11[[#This Row],[a1]]=1,_xlfn.NORM.DIST(Tab.11[[#This Row],[b10]],$P$1,$Q$1,FALSE))</f>
        <v>0</v>
      </c>
      <c r="R54" s="67" t="b">
        <f>IF(Tab.11[[#This Row],[a1]]=1,$I$3+$A$989+IF($K$3=0,Tab.11[[#This Row],[b8]]*_xlfn.STDEV.P(Tab.11[data]),AVERAGE(Tab.11[b6])+Tab.11[[#This Row],[b8]]*_xlfn.STDEV.P(Tab.11[data])))</f>
        <v>0</v>
      </c>
      <c r="S54" s="71" t="b">
        <f>IF(Tab.11[[#This Row],[a1]]=1,$I$3+$A$987+IF($K$3=0,Tab.11[[#This Row],[b9]]*_xlfn.STDEV.P(Tab.11[data]),AVERAGE(Tab.11[b6])+Tab.11[[#This Row],[b9]]*_xlfn.STDEV.P(Tab.11[data])))</f>
        <v>0</v>
      </c>
      <c r="T54" s="71" t="b">
        <f>IF(Tab.11[[#This Row],[a1]]=1,$I$3+$A$988+IF($K$3=0,Tab.11[[#This Row],[b10]]*_xlfn.STDEV.P(Tab.11[data]),AVERAGE(Tab.11[b6])+Tab.11[[#This Row],[b10]]*_xlfn.STDEV.P(Tab.11[data])))</f>
        <v>0</v>
      </c>
      <c r="U54" s="72" t="b">
        <f>IF(Tab.11[[#This Row],[a1]]=1,Tab.11[[#This Row],[target]]-Tab.11[[#This Row],[Red]])</f>
        <v>0</v>
      </c>
      <c r="V54" s="72" t="b">
        <f>IF(Tab.11[[#This Row],[a1]]=1,Tab.11[[#This Row],[target]]-Tab.11[[#This Row],[Blue]])</f>
        <v>0</v>
      </c>
      <c r="W54" s="73" t="b">
        <f>IF(Tab.11[[#This Row],[a1]]=1,IF(ABS(Tab.11[[#This Row],[b17]])+ABS(Tab.11[[#This Row],[b18]])&lt;$W$2,$W$2,ABS(Tab.11[[#This Row],[b17]])+ABS(Tab.11[[#This Row],[b18]])))</f>
        <v>0</v>
      </c>
      <c r="X54" s="136" t="b">
        <f>IF(Tab.11[[#This Row],[a1]]=1,IF($W$3&lt;0,Tab.11[[#This Row],[IN]]-$I$3,Tab.11[[#This Row],[IN]]))</f>
        <v>0</v>
      </c>
      <c r="Y54" s="136" t="b">
        <f>IF(Tab.11[[#This Row],[a1]]=1,IF($X$3=0,Tab.11[b66],Tab.11[[#This Row],[b66]]-AVERAGE(Tab.11[b66])))</f>
        <v>0</v>
      </c>
      <c r="Z54" s="135" t="b">
        <f>IF(Tab.11[[#This Row],[a1]]=1,Tab.11[[#This Row],[b77]]/(_xlfn.STDEV.P(Tab.11[b77])))</f>
        <v>0</v>
      </c>
      <c r="AA54" s="70" t="b">
        <f>IF(Tab.11[[#This Row],[a1]]=1,_xlfn.NORM.DIST(Tab.11[[#This Row],[b88]],$Z$1,$AA$1,FALSE))</f>
        <v>0</v>
      </c>
      <c r="AB54" s="74" t="b">
        <f>IF(Tab.11[[#This Row],[a1]]=1,IF($A$3=0,FALSE,1/Tab.11[[#This Row],[IN]]*$AC$2*IF(Tab.11[[#This Row],[a1]]=0,,$A$3*$AC$1*1/$V$3*(Tab.11[[#This Row],[b14]]))))</f>
        <v>0</v>
      </c>
      <c r="AC54" s="75" t="b">
        <f>IF(Tab.11[[#This Row],[a1]]=1,IF($AC$3=0,Tab.11[[#This Row],[φ1]],Tab.11[[#This Row],[φ1]]/MAX(Tab.11[φ1])))</f>
        <v>0</v>
      </c>
      <c r="AD54" s="74" t="b">
        <f>IF(Tab.11[[#This Row],[a1]]=1,1/Tab.11[[#This Row],[φ2]])</f>
        <v>0</v>
      </c>
      <c r="AE54" s="74" t="b">
        <f>IF(Tab.11[[#This Row],[a1]]=1,IF($AE$3=0,Tab.11[[#This Row],[w.0]],Tab.11[[#This Row],[w.0]]/SUM(Tab.11[w.0])))</f>
        <v>0</v>
      </c>
      <c r="AF54" s="76" t="str">
        <f>IF(Tab.11[[#This Row],[a1]]=0,"false",[3]!Tab.x5[[#This Row],[%_seN_C]])</f>
        <v>false</v>
      </c>
      <c r="AG54" s="77" t="b">
        <f>IF(Tab.11[[#This Row],[a1]]=1,AP54)</f>
        <v>0</v>
      </c>
      <c r="AH54" s="78" t="b">
        <f>IF(Tab.11[[#This Row],[a1]]=1,AQ54)</f>
        <v>0</v>
      </c>
      <c r="AI54" s="41">
        <v>3.0000000000000001E-3</v>
      </c>
      <c r="AJ54" s="79">
        <v>0.06</v>
      </c>
      <c r="AK54" s="80" t="b">
        <f>IF(Tab.11[[#This Row],[a1]]=1,1)</f>
        <v>0</v>
      </c>
      <c r="AZ54"/>
    </row>
    <row r="55" spans="1:52" hidden="1" x14ac:dyDescent="0.25">
      <c r="A55" s="61">
        <f t="shared" si="3"/>
        <v>0</v>
      </c>
      <c r="B55" s="62">
        <f t="shared" si="3"/>
        <v>0</v>
      </c>
      <c r="C55" s="62" t="b">
        <f>IF(Tab.11[[#This Row],[a1]]=1,[3]!Tab_x1[[#This Row],[Name]])</f>
        <v>0</v>
      </c>
      <c r="D55" s="63" t="b">
        <f>IF(Tab.11[[#This Row],[a1]]=1,AO55)</f>
        <v>0</v>
      </c>
      <c r="E55" s="63">
        <f t="shared" si="1"/>
        <v>0</v>
      </c>
      <c r="F55" s="64" t="b">
        <f>IF(Tab.11[[#This Row],[a1]]=1,Tab.11[[#This Row],[b1]])</f>
        <v>0</v>
      </c>
      <c r="G55" s="65" t="b">
        <f>IF(Tab.11[[#This Row],[a1]]=1,IF(Tab.11[[#This Row],[b3]]&gt;$L$989*$G$3,$L$989*$G$3,IF(Tab.11[[#This Row],[b3]]&lt;$M$989*$G$3,$M$989*$G$3,Tab.11[[#This Row],[b3]])))</f>
        <v>0</v>
      </c>
      <c r="H55" s="66" t="b">
        <f>IF(Tab.11[[#This Row],[a1]]=1,Tab.11[[#This Row],[b1]])</f>
        <v>0</v>
      </c>
      <c r="I55" s="67" t="b">
        <f>IF(Tab.11[[#This Row],[a1]]=1,Tab.11[[#This Row],[b1]])</f>
        <v>0</v>
      </c>
      <c r="J55" s="68" t="b">
        <f>IF(Tab.11[[#This Row],[a1]]=1,IF($I$3&lt;0,Tab.11[[#This Row],[b5]]-$I$3,Tab.11[[#This Row],[b5]]))</f>
        <v>0</v>
      </c>
      <c r="K55" s="68" t="b">
        <f>IF(Tab.11[[#This Row],[a1]]=1,IF($K$3=0,Tab.11[b6],Tab.11[[#This Row],[b6]]-AVERAGE(Tab.11[b6])))</f>
        <v>0</v>
      </c>
      <c r="L55" s="69" t="b">
        <f>IF(Tab.11[[#This Row],[a1]]=1,Tab.11[[#This Row],[data]]/(_xlfn.STDEV.P(Tab.11[data])*$B$989)+$A$989)</f>
        <v>0</v>
      </c>
      <c r="M55" s="69" t="b">
        <f>IF(Tab.11[[#This Row],[a1]]=1,Tab.11[[#This Row],[data]]/(_xlfn.STDEV.P(Tab.11[data])*$B$987)-$A$987)</f>
        <v>0</v>
      </c>
      <c r="N55" s="69" t="b">
        <f>IF(Tab.11[[#This Row],[a1]]=1,Tab.11[[#This Row],[data]]/(_xlfn.STDEV.P(Tab.11[data])*$B$988)+$A$988)</f>
        <v>0</v>
      </c>
      <c r="O55" s="70" t="b">
        <f>IF(Tab.11[[#This Row],[a1]]=1,_xlfn.NORM.DIST(Tab.11[[#This Row],[b8]],$P$1,$Q$1,FALSE))</f>
        <v>0</v>
      </c>
      <c r="P55" s="70" t="b">
        <f>IF(Tab.11[[#This Row],[a1]]=1,_xlfn.NORM.DIST(Tab.11[[#This Row],[b9]],$P$1,$Q$1,FALSE))</f>
        <v>0</v>
      </c>
      <c r="Q55" s="70" t="b">
        <f>IF(Tab.11[[#This Row],[a1]]=1,_xlfn.NORM.DIST(Tab.11[[#This Row],[b10]],$P$1,$Q$1,FALSE))</f>
        <v>0</v>
      </c>
      <c r="R55" s="67" t="b">
        <f>IF(Tab.11[[#This Row],[a1]]=1,$I$3+$A$989+IF($K$3=0,Tab.11[[#This Row],[b8]]*_xlfn.STDEV.P(Tab.11[data]),AVERAGE(Tab.11[b6])+Tab.11[[#This Row],[b8]]*_xlfn.STDEV.P(Tab.11[data])))</f>
        <v>0</v>
      </c>
      <c r="S55" s="71" t="b">
        <f>IF(Tab.11[[#This Row],[a1]]=1,$I$3+$A$987+IF($K$3=0,Tab.11[[#This Row],[b9]]*_xlfn.STDEV.P(Tab.11[data]),AVERAGE(Tab.11[b6])+Tab.11[[#This Row],[b9]]*_xlfn.STDEV.P(Tab.11[data])))</f>
        <v>0</v>
      </c>
      <c r="T55" s="71" t="b">
        <f>IF(Tab.11[[#This Row],[a1]]=1,$I$3+$A$988+IF($K$3=0,Tab.11[[#This Row],[b10]]*_xlfn.STDEV.P(Tab.11[data]),AVERAGE(Tab.11[b6])+Tab.11[[#This Row],[b10]]*_xlfn.STDEV.P(Tab.11[data])))</f>
        <v>0</v>
      </c>
      <c r="U55" s="72" t="b">
        <f>IF(Tab.11[[#This Row],[a1]]=1,Tab.11[[#This Row],[target]]-Tab.11[[#This Row],[Red]])</f>
        <v>0</v>
      </c>
      <c r="V55" s="72" t="b">
        <f>IF(Tab.11[[#This Row],[a1]]=1,Tab.11[[#This Row],[target]]-Tab.11[[#This Row],[Blue]])</f>
        <v>0</v>
      </c>
      <c r="W55" s="73" t="b">
        <f>IF(Tab.11[[#This Row],[a1]]=1,IF(ABS(Tab.11[[#This Row],[b17]])+ABS(Tab.11[[#This Row],[b18]])&lt;$W$2,$W$2,ABS(Tab.11[[#This Row],[b17]])+ABS(Tab.11[[#This Row],[b18]])))</f>
        <v>0</v>
      </c>
      <c r="X55" s="136" t="b">
        <f>IF(Tab.11[[#This Row],[a1]]=1,IF($W$3&lt;0,Tab.11[[#This Row],[IN]]-$I$3,Tab.11[[#This Row],[IN]]))</f>
        <v>0</v>
      </c>
      <c r="Y55" s="136" t="b">
        <f>IF(Tab.11[[#This Row],[a1]]=1,IF($X$3=0,Tab.11[b66],Tab.11[[#This Row],[b66]]-AVERAGE(Tab.11[b66])))</f>
        <v>0</v>
      </c>
      <c r="Z55" s="135" t="b">
        <f>IF(Tab.11[[#This Row],[a1]]=1,Tab.11[[#This Row],[b77]]/(_xlfn.STDEV.P(Tab.11[b77])))</f>
        <v>0</v>
      </c>
      <c r="AA55" s="70" t="b">
        <f>IF(Tab.11[[#This Row],[a1]]=1,_xlfn.NORM.DIST(Tab.11[[#This Row],[b88]],$Z$1,$AA$1,FALSE))</f>
        <v>0</v>
      </c>
      <c r="AB55" s="74" t="b">
        <f>IF(Tab.11[[#This Row],[a1]]=1,IF($A$3=0,FALSE,1/Tab.11[[#This Row],[IN]]*$AC$2*IF(Tab.11[[#This Row],[a1]]=0,,$A$3*$AC$1*1/$V$3*(Tab.11[[#This Row],[b14]]))))</f>
        <v>0</v>
      </c>
      <c r="AC55" s="75" t="b">
        <f>IF(Tab.11[[#This Row],[a1]]=1,IF($AC$3=0,Tab.11[[#This Row],[φ1]],Tab.11[[#This Row],[φ1]]/MAX(Tab.11[φ1])))</f>
        <v>0</v>
      </c>
      <c r="AD55" s="74" t="b">
        <f>IF(Tab.11[[#This Row],[a1]]=1,1/Tab.11[[#This Row],[φ2]])</f>
        <v>0</v>
      </c>
      <c r="AE55" s="74" t="b">
        <f>IF(Tab.11[[#This Row],[a1]]=1,IF($AE$3=0,Tab.11[[#This Row],[w.0]],Tab.11[[#This Row],[w.0]]/SUM(Tab.11[w.0])))</f>
        <v>0</v>
      </c>
      <c r="AF55" s="76" t="str">
        <f>IF(Tab.11[[#This Row],[a1]]=0,"false",[3]!Tab.x5[[#This Row],[%_seN_C]])</f>
        <v>false</v>
      </c>
      <c r="AG55" s="77" t="b">
        <f>IF(Tab.11[[#This Row],[a1]]=1,AP55)</f>
        <v>0</v>
      </c>
      <c r="AH55" s="78" t="b">
        <f>IF(Tab.11[[#This Row],[a1]]=1,AQ55)</f>
        <v>0</v>
      </c>
      <c r="AI55" s="41">
        <v>3.0000000000000001E-3</v>
      </c>
      <c r="AJ55" s="79">
        <v>0.05</v>
      </c>
      <c r="AK55" s="80" t="b">
        <f>IF(Tab.11[[#This Row],[a1]]=1,1)</f>
        <v>0</v>
      </c>
      <c r="AZ55"/>
    </row>
    <row r="56" spans="1:52" hidden="1" x14ac:dyDescent="0.25">
      <c r="A56" s="61">
        <f t="shared" si="3"/>
        <v>0</v>
      </c>
      <c r="B56" s="62">
        <f t="shared" si="3"/>
        <v>0</v>
      </c>
      <c r="C56" s="62" t="b">
        <f>IF(Tab.11[[#This Row],[a1]]=1,[3]!Tab_x1[[#This Row],[Name]])</f>
        <v>0</v>
      </c>
      <c r="D56" s="63" t="b">
        <f>IF(Tab.11[[#This Row],[a1]]=1,AO56)</f>
        <v>0</v>
      </c>
      <c r="E56" s="63">
        <f t="shared" si="1"/>
        <v>0</v>
      </c>
      <c r="F56" s="64" t="b">
        <f>IF(Tab.11[[#This Row],[a1]]=1,Tab.11[[#This Row],[b1]])</f>
        <v>0</v>
      </c>
      <c r="G56" s="65" t="b">
        <f>IF(Tab.11[[#This Row],[a1]]=1,IF(Tab.11[[#This Row],[b3]]&gt;$L$989*$G$3,$L$989*$G$3,IF(Tab.11[[#This Row],[b3]]&lt;$M$989*$G$3,$M$989*$G$3,Tab.11[[#This Row],[b3]])))</f>
        <v>0</v>
      </c>
      <c r="H56" s="66" t="b">
        <f>IF(Tab.11[[#This Row],[a1]]=1,Tab.11[[#This Row],[b1]])</f>
        <v>0</v>
      </c>
      <c r="I56" s="67" t="b">
        <f>IF(Tab.11[[#This Row],[a1]]=1,Tab.11[[#This Row],[b1]])</f>
        <v>0</v>
      </c>
      <c r="J56" s="68" t="b">
        <f>IF(Tab.11[[#This Row],[a1]]=1,IF($I$3&lt;0,Tab.11[[#This Row],[b5]]-$I$3,Tab.11[[#This Row],[b5]]))</f>
        <v>0</v>
      </c>
      <c r="K56" s="68" t="b">
        <f>IF(Tab.11[[#This Row],[a1]]=1,IF($K$3=0,Tab.11[b6],Tab.11[[#This Row],[b6]]-AVERAGE(Tab.11[b6])))</f>
        <v>0</v>
      </c>
      <c r="L56" s="69" t="b">
        <f>IF(Tab.11[[#This Row],[a1]]=1,Tab.11[[#This Row],[data]]/(_xlfn.STDEV.P(Tab.11[data])*$B$989)+$A$989)</f>
        <v>0</v>
      </c>
      <c r="M56" s="69" t="b">
        <f>IF(Tab.11[[#This Row],[a1]]=1,Tab.11[[#This Row],[data]]/(_xlfn.STDEV.P(Tab.11[data])*$B$987)-$A$987)</f>
        <v>0</v>
      </c>
      <c r="N56" s="69" t="b">
        <f>IF(Tab.11[[#This Row],[a1]]=1,Tab.11[[#This Row],[data]]/(_xlfn.STDEV.P(Tab.11[data])*$B$988)+$A$988)</f>
        <v>0</v>
      </c>
      <c r="O56" s="70" t="b">
        <f>IF(Tab.11[[#This Row],[a1]]=1,_xlfn.NORM.DIST(Tab.11[[#This Row],[b8]],$P$1,$Q$1,FALSE))</f>
        <v>0</v>
      </c>
      <c r="P56" s="70" t="b">
        <f>IF(Tab.11[[#This Row],[a1]]=1,_xlfn.NORM.DIST(Tab.11[[#This Row],[b9]],$P$1,$Q$1,FALSE))</f>
        <v>0</v>
      </c>
      <c r="Q56" s="70" t="b">
        <f>IF(Tab.11[[#This Row],[a1]]=1,_xlfn.NORM.DIST(Tab.11[[#This Row],[b10]],$P$1,$Q$1,FALSE))</f>
        <v>0</v>
      </c>
      <c r="R56" s="67" t="b">
        <f>IF(Tab.11[[#This Row],[a1]]=1,$I$3+$A$989+IF($K$3=0,Tab.11[[#This Row],[b8]]*_xlfn.STDEV.P(Tab.11[data]),AVERAGE(Tab.11[b6])+Tab.11[[#This Row],[b8]]*_xlfn.STDEV.P(Tab.11[data])))</f>
        <v>0</v>
      </c>
      <c r="S56" s="71" t="b">
        <f>IF(Tab.11[[#This Row],[a1]]=1,$I$3+$A$987+IF($K$3=0,Tab.11[[#This Row],[b9]]*_xlfn.STDEV.P(Tab.11[data]),AVERAGE(Tab.11[b6])+Tab.11[[#This Row],[b9]]*_xlfn.STDEV.P(Tab.11[data])))</f>
        <v>0</v>
      </c>
      <c r="T56" s="71" t="b">
        <f>IF(Tab.11[[#This Row],[a1]]=1,$I$3+$A$988+IF($K$3=0,Tab.11[[#This Row],[b10]]*_xlfn.STDEV.P(Tab.11[data]),AVERAGE(Tab.11[b6])+Tab.11[[#This Row],[b10]]*_xlfn.STDEV.P(Tab.11[data])))</f>
        <v>0</v>
      </c>
      <c r="U56" s="72" t="b">
        <f>IF(Tab.11[[#This Row],[a1]]=1,Tab.11[[#This Row],[target]]-Tab.11[[#This Row],[Red]])</f>
        <v>0</v>
      </c>
      <c r="V56" s="72" t="b">
        <f>IF(Tab.11[[#This Row],[a1]]=1,Tab.11[[#This Row],[target]]-Tab.11[[#This Row],[Blue]])</f>
        <v>0</v>
      </c>
      <c r="W56" s="73" t="b">
        <f>IF(Tab.11[[#This Row],[a1]]=1,IF(ABS(Tab.11[[#This Row],[b17]])+ABS(Tab.11[[#This Row],[b18]])&lt;$W$2,$W$2,ABS(Tab.11[[#This Row],[b17]])+ABS(Tab.11[[#This Row],[b18]])))</f>
        <v>0</v>
      </c>
      <c r="X56" s="136" t="b">
        <f>IF(Tab.11[[#This Row],[a1]]=1,IF($W$3&lt;0,Tab.11[[#This Row],[IN]]-$I$3,Tab.11[[#This Row],[IN]]))</f>
        <v>0</v>
      </c>
      <c r="Y56" s="136" t="b">
        <f>IF(Tab.11[[#This Row],[a1]]=1,IF($X$3=0,Tab.11[b66],Tab.11[[#This Row],[b66]]-AVERAGE(Tab.11[b66])))</f>
        <v>0</v>
      </c>
      <c r="Z56" s="135" t="b">
        <f>IF(Tab.11[[#This Row],[a1]]=1,Tab.11[[#This Row],[b77]]/(_xlfn.STDEV.P(Tab.11[b77])))</f>
        <v>0</v>
      </c>
      <c r="AA56" s="70" t="b">
        <f>IF(Tab.11[[#This Row],[a1]]=1,_xlfn.NORM.DIST(Tab.11[[#This Row],[b88]],$Z$1,$AA$1,FALSE))</f>
        <v>0</v>
      </c>
      <c r="AB56" s="74" t="b">
        <f>IF(Tab.11[[#This Row],[a1]]=1,IF($A$3=0,FALSE,1/Tab.11[[#This Row],[IN]]*$AC$2*IF(Tab.11[[#This Row],[a1]]=0,,$A$3*$AC$1*1/$V$3*(Tab.11[[#This Row],[b14]]))))</f>
        <v>0</v>
      </c>
      <c r="AC56" s="75" t="b">
        <f>IF(Tab.11[[#This Row],[a1]]=1,IF($AC$3=0,Tab.11[[#This Row],[φ1]],Tab.11[[#This Row],[φ1]]/MAX(Tab.11[φ1])))</f>
        <v>0</v>
      </c>
      <c r="AD56" s="74" t="b">
        <f>IF(Tab.11[[#This Row],[a1]]=1,1/Tab.11[[#This Row],[φ2]])</f>
        <v>0</v>
      </c>
      <c r="AE56" s="74" t="b">
        <f>IF(Tab.11[[#This Row],[a1]]=1,IF($AE$3=0,Tab.11[[#This Row],[w.0]],Tab.11[[#This Row],[w.0]]/SUM(Tab.11[w.0])))</f>
        <v>0</v>
      </c>
      <c r="AF56" s="76" t="str">
        <f>IF(Tab.11[[#This Row],[a1]]=0,"false",[3]!Tab.x5[[#This Row],[%_seN_C]])</f>
        <v>false</v>
      </c>
      <c r="AG56" s="77" t="b">
        <f>IF(Tab.11[[#This Row],[a1]]=1,AP56)</f>
        <v>0</v>
      </c>
      <c r="AH56" s="78" t="b">
        <f>IF(Tab.11[[#This Row],[a1]]=1,AQ56)</f>
        <v>0</v>
      </c>
      <c r="AI56" s="41">
        <v>3.0000000000000001E-3</v>
      </c>
      <c r="AJ56" s="79">
        <v>0.05</v>
      </c>
      <c r="AK56" s="80" t="b">
        <f>IF(Tab.11[[#This Row],[a1]]=1,1)</f>
        <v>0</v>
      </c>
      <c r="AZ56"/>
    </row>
    <row r="57" spans="1:52" hidden="1" x14ac:dyDescent="0.25">
      <c r="A57" s="61">
        <f t="shared" si="3"/>
        <v>0</v>
      </c>
      <c r="B57" s="62">
        <f t="shared" si="3"/>
        <v>0</v>
      </c>
      <c r="C57" s="62" t="b">
        <f>IF(Tab.11[[#This Row],[a1]]=1,[3]!Tab_x1[[#This Row],[Name]])</f>
        <v>0</v>
      </c>
      <c r="D57" s="63" t="b">
        <f>IF(Tab.11[[#This Row],[a1]]=1,AO57)</f>
        <v>0</v>
      </c>
      <c r="E57" s="63">
        <f t="shared" si="1"/>
        <v>0</v>
      </c>
      <c r="F57" s="64" t="b">
        <f>IF(Tab.11[[#This Row],[a1]]=1,Tab.11[[#This Row],[b1]])</f>
        <v>0</v>
      </c>
      <c r="G57" s="65" t="b">
        <f>IF(Tab.11[[#This Row],[a1]]=1,IF(Tab.11[[#This Row],[b3]]&gt;$L$989*$G$3,$L$989*$G$3,IF(Tab.11[[#This Row],[b3]]&lt;$M$989*$G$3,$M$989*$G$3,Tab.11[[#This Row],[b3]])))</f>
        <v>0</v>
      </c>
      <c r="H57" s="66" t="b">
        <f>IF(Tab.11[[#This Row],[a1]]=1,Tab.11[[#This Row],[b1]])</f>
        <v>0</v>
      </c>
      <c r="I57" s="67" t="b">
        <f>IF(Tab.11[[#This Row],[a1]]=1,Tab.11[[#This Row],[b1]])</f>
        <v>0</v>
      </c>
      <c r="J57" s="68" t="b">
        <f>IF(Tab.11[[#This Row],[a1]]=1,IF($I$3&lt;0,Tab.11[[#This Row],[b5]]-$I$3,Tab.11[[#This Row],[b5]]))</f>
        <v>0</v>
      </c>
      <c r="K57" s="68" t="b">
        <f>IF(Tab.11[[#This Row],[a1]]=1,IF($K$3=0,Tab.11[b6],Tab.11[[#This Row],[b6]]-AVERAGE(Tab.11[b6])))</f>
        <v>0</v>
      </c>
      <c r="L57" s="69" t="b">
        <f>IF(Tab.11[[#This Row],[a1]]=1,Tab.11[[#This Row],[data]]/(_xlfn.STDEV.P(Tab.11[data])*$B$989)+$A$989)</f>
        <v>0</v>
      </c>
      <c r="M57" s="69" t="b">
        <f>IF(Tab.11[[#This Row],[a1]]=1,Tab.11[[#This Row],[data]]/(_xlfn.STDEV.P(Tab.11[data])*$B$987)-$A$987)</f>
        <v>0</v>
      </c>
      <c r="N57" s="69" t="b">
        <f>IF(Tab.11[[#This Row],[a1]]=1,Tab.11[[#This Row],[data]]/(_xlfn.STDEV.P(Tab.11[data])*$B$988)+$A$988)</f>
        <v>0</v>
      </c>
      <c r="O57" s="70" t="b">
        <f>IF(Tab.11[[#This Row],[a1]]=1,_xlfn.NORM.DIST(Tab.11[[#This Row],[b8]],$P$1,$Q$1,FALSE))</f>
        <v>0</v>
      </c>
      <c r="P57" s="70" t="b">
        <f>IF(Tab.11[[#This Row],[a1]]=1,_xlfn.NORM.DIST(Tab.11[[#This Row],[b9]],$P$1,$Q$1,FALSE))</f>
        <v>0</v>
      </c>
      <c r="Q57" s="70" t="b">
        <f>IF(Tab.11[[#This Row],[a1]]=1,_xlfn.NORM.DIST(Tab.11[[#This Row],[b10]],$P$1,$Q$1,FALSE))</f>
        <v>0</v>
      </c>
      <c r="R57" s="67" t="b">
        <f>IF(Tab.11[[#This Row],[a1]]=1,$I$3+$A$989+IF($K$3=0,Tab.11[[#This Row],[b8]]*_xlfn.STDEV.P(Tab.11[data]),AVERAGE(Tab.11[b6])+Tab.11[[#This Row],[b8]]*_xlfn.STDEV.P(Tab.11[data])))</f>
        <v>0</v>
      </c>
      <c r="S57" s="71" t="b">
        <f>IF(Tab.11[[#This Row],[a1]]=1,$I$3+$A$987+IF($K$3=0,Tab.11[[#This Row],[b9]]*_xlfn.STDEV.P(Tab.11[data]),AVERAGE(Tab.11[b6])+Tab.11[[#This Row],[b9]]*_xlfn.STDEV.P(Tab.11[data])))</f>
        <v>0</v>
      </c>
      <c r="T57" s="71" t="b">
        <f>IF(Tab.11[[#This Row],[a1]]=1,$I$3+$A$988+IF($K$3=0,Tab.11[[#This Row],[b10]]*_xlfn.STDEV.P(Tab.11[data]),AVERAGE(Tab.11[b6])+Tab.11[[#This Row],[b10]]*_xlfn.STDEV.P(Tab.11[data])))</f>
        <v>0</v>
      </c>
      <c r="U57" s="72" t="b">
        <f>IF(Tab.11[[#This Row],[a1]]=1,Tab.11[[#This Row],[target]]-Tab.11[[#This Row],[Red]])</f>
        <v>0</v>
      </c>
      <c r="V57" s="72" t="b">
        <f>IF(Tab.11[[#This Row],[a1]]=1,Tab.11[[#This Row],[target]]-Tab.11[[#This Row],[Blue]])</f>
        <v>0</v>
      </c>
      <c r="W57" s="73" t="b">
        <f>IF(Tab.11[[#This Row],[a1]]=1,IF(ABS(Tab.11[[#This Row],[b17]])+ABS(Tab.11[[#This Row],[b18]])&lt;$W$2,$W$2,ABS(Tab.11[[#This Row],[b17]])+ABS(Tab.11[[#This Row],[b18]])))</f>
        <v>0</v>
      </c>
      <c r="X57" s="136" t="b">
        <f>IF(Tab.11[[#This Row],[a1]]=1,IF($W$3&lt;0,Tab.11[[#This Row],[IN]]-$I$3,Tab.11[[#This Row],[IN]]))</f>
        <v>0</v>
      </c>
      <c r="Y57" s="136" t="b">
        <f>IF(Tab.11[[#This Row],[a1]]=1,IF($X$3=0,Tab.11[b66],Tab.11[[#This Row],[b66]]-AVERAGE(Tab.11[b66])))</f>
        <v>0</v>
      </c>
      <c r="Z57" s="135" t="b">
        <f>IF(Tab.11[[#This Row],[a1]]=1,Tab.11[[#This Row],[b77]]/(_xlfn.STDEV.P(Tab.11[b77])))</f>
        <v>0</v>
      </c>
      <c r="AA57" s="70" t="b">
        <f>IF(Tab.11[[#This Row],[a1]]=1,_xlfn.NORM.DIST(Tab.11[[#This Row],[b88]],$Z$1,$AA$1,FALSE))</f>
        <v>0</v>
      </c>
      <c r="AB57" s="74" t="b">
        <f>IF(Tab.11[[#This Row],[a1]]=1,IF($A$3=0,FALSE,1/Tab.11[[#This Row],[IN]]*$AC$2*IF(Tab.11[[#This Row],[a1]]=0,,$A$3*$AC$1*1/$V$3*(Tab.11[[#This Row],[b14]]))))</f>
        <v>0</v>
      </c>
      <c r="AC57" s="75" t="b">
        <f>IF(Tab.11[[#This Row],[a1]]=1,IF($AC$3=0,Tab.11[[#This Row],[φ1]],Tab.11[[#This Row],[φ1]]/MAX(Tab.11[φ1])))</f>
        <v>0</v>
      </c>
      <c r="AD57" s="74" t="b">
        <f>IF(Tab.11[[#This Row],[a1]]=1,1/Tab.11[[#This Row],[φ2]])</f>
        <v>0</v>
      </c>
      <c r="AE57" s="74" t="b">
        <f>IF(Tab.11[[#This Row],[a1]]=1,IF($AE$3=0,Tab.11[[#This Row],[w.0]],Tab.11[[#This Row],[w.0]]/SUM(Tab.11[w.0])))</f>
        <v>0</v>
      </c>
      <c r="AF57" s="76" t="str">
        <f>IF(Tab.11[[#This Row],[a1]]=0,"false",[3]!Tab.x5[[#This Row],[%_seN_C]])</f>
        <v>false</v>
      </c>
      <c r="AG57" s="77" t="b">
        <f>IF(Tab.11[[#This Row],[a1]]=1,AP57)</f>
        <v>0</v>
      </c>
      <c r="AH57" s="78" t="b">
        <f>IF(Tab.11[[#This Row],[a1]]=1,AQ57)</f>
        <v>0</v>
      </c>
      <c r="AI57" s="41">
        <v>3.0000000000000001E-3</v>
      </c>
      <c r="AJ57" s="79">
        <v>-0.01</v>
      </c>
      <c r="AK57" s="80" t="b">
        <f>IF(Tab.11[[#This Row],[a1]]=1,1)</f>
        <v>0</v>
      </c>
      <c r="AZ57"/>
    </row>
    <row r="58" spans="1:52" hidden="1" x14ac:dyDescent="0.25">
      <c r="A58" s="61">
        <f t="shared" si="3"/>
        <v>0</v>
      </c>
      <c r="B58" s="62">
        <f t="shared" si="3"/>
        <v>0</v>
      </c>
      <c r="C58" s="62" t="b">
        <f>IF(Tab.11[[#This Row],[a1]]=1,[3]!Tab_x1[[#This Row],[Name]])</f>
        <v>0</v>
      </c>
      <c r="D58" s="63" t="b">
        <f>IF(Tab.11[[#This Row],[a1]]=1,AO58)</f>
        <v>0</v>
      </c>
      <c r="E58" s="63">
        <f t="shared" si="1"/>
        <v>0</v>
      </c>
      <c r="F58" s="64" t="b">
        <f>IF(Tab.11[[#This Row],[a1]]=1,Tab.11[[#This Row],[b1]])</f>
        <v>0</v>
      </c>
      <c r="G58" s="65" t="b">
        <f>IF(Tab.11[[#This Row],[a1]]=1,IF(Tab.11[[#This Row],[b3]]&gt;$L$989*$G$3,$L$989*$G$3,IF(Tab.11[[#This Row],[b3]]&lt;$M$989*$G$3,$M$989*$G$3,Tab.11[[#This Row],[b3]])))</f>
        <v>0</v>
      </c>
      <c r="H58" s="66" t="b">
        <f>IF(Tab.11[[#This Row],[a1]]=1,Tab.11[[#This Row],[b1]])</f>
        <v>0</v>
      </c>
      <c r="I58" s="67" t="b">
        <f>IF(Tab.11[[#This Row],[a1]]=1,Tab.11[[#This Row],[b1]])</f>
        <v>0</v>
      </c>
      <c r="J58" s="68" t="b">
        <f>IF(Tab.11[[#This Row],[a1]]=1,IF($I$3&lt;0,Tab.11[[#This Row],[b5]]-$I$3,Tab.11[[#This Row],[b5]]))</f>
        <v>0</v>
      </c>
      <c r="K58" s="68" t="b">
        <f>IF(Tab.11[[#This Row],[a1]]=1,IF($K$3=0,Tab.11[b6],Tab.11[[#This Row],[b6]]-AVERAGE(Tab.11[b6])))</f>
        <v>0</v>
      </c>
      <c r="L58" s="69" t="b">
        <f>IF(Tab.11[[#This Row],[a1]]=1,Tab.11[[#This Row],[data]]/(_xlfn.STDEV.P(Tab.11[data])*$B$989)+$A$989)</f>
        <v>0</v>
      </c>
      <c r="M58" s="69" t="b">
        <f>IF(Tab.11[[#This Row],[a1]]=1,Tab.11[[#This Row],[data]]/(_xlfn.STDEV.P(Tab.11[data])*$B$987)-$A$987)</f>
        <v>0</v>
      </c>
      <c r="N58" s="69" t="b">
        <f>IF(Tab.11[[#This Row],[a1]]=1,Tab.11[[#This Row],[data]]/(_xlfn.STDEV.P(Tab.11[data])*$B$988)+$A$988)</f>
        <v>0</v>
      </c>
      <c r="O58" s="70" t="b">
        <f>IF(Tab.11[[#This Row],[a1]]=1,_xlfn.NORM.DIST(Tab.11[[#This Row],[b8]],$P$1,$Q$1,FALSE))</f>
        <v>0</v>
      </c>
      <c r="P58" s="70" t="b">
        <f>IF(Tab.11[[#This Row],[a1]]=1,_xlfn.NORM.DIST(Tab.11[[#This Row],[b9]],$P$1,$Q$1,FALSE))</f>
        <v>0</v>
      </c>
      <c r="Q58" s="70" t="b">
        <f>IF(Tab.11[[#This Row],[a1]]=1,_xlfn.NORM.DIST(Tab.11[[#This Row],[b10]],$P$1,$Q$1,FALSE))</f>
        <v>0</v>
      </c>
      <c r="R58" s="67" t="b">
        <f>IF(Tab.11[[#This Row],[a1]]=1,$I$3+$A$989+IF($K$3=0,Tab.11[[#This Row],[b8]]*_xlfn.STDEV.P(Tab.11[data]),AVERAGE(Tab.11[b6])+Tab.11[[#This Row],[b8]]*_xlfn.STDEV.P(Tab.11[data])))</f>
        <v>0</v>
      </c>
      <c r="S58" s="71" t="b">
        <f>IF(Tab.11[[#This Row],[a1]]=1,$I$3+$A$987+IF($K$3=0,Tab.11[[#This Row],[b9]]*_xlfn.STDEV.P(Tab.11[data]),AVERAGE(Tab.11[b6])+Tab.11[[#This Row],[b9]]*_xlfn.STDEV.P(Tab.11[data])))</f>
        <v>0</v>
      </c>
      <c r="T58" s="71" t="b">
        <f>IF(Tab.11[[#This Row],[a1]]=1,$I$3+$A$988+IF($K$3=0,Tab.11[[#This Row],[b10]]*_xlfn.STDEV.P(Tab.11[data]),AVERAGE(Tab.11[b6])+Tab.11[[#This Row],[b10]]*_xlfn.STDEV.P(Tab.11[data])))</f>
        <v>0</v>
      </c>
      <c r="U58" s="72" t="b">
        <f>IF(Tab.11[[#This Row],[a1]]=1,Tab.11[[#This Row],[target]]-Tab.11[[#This Row],[Red]])</f>
        <v>0</v>
      </c>
      <c r="V58" s="72" t="b">
        <f>IF(Tab.11[[#This Row],[a1]]=1,Tab.11[[#This Row],[target]]-Tab.11[[#This Row],[Blue]])</f>
        <v>0</v>
      </c>
      <c r="W58" s="73" t="b">
        <f>IF(Tab.11[[#This Row],[a1]]=1,IF(ABS(Tab.11[[#This Row],[b17]])+ABS(Tab.11[[#This Row],[b18]])&lt;$W$2,$W$2,ABS(Tab.11[[#This Row],[b17]])+ABS(Tab.11[[#This Row],[b18]])))</f>
        <v>0</v>
      </c>
      <c r="X58" s="136" t="b">
        <f>IF(Tab.11[[#This Row],[a1]]=1,IF($W$3&lt;0,Tab.11[[#This Row],[IN]]-$I$3,Tab.11[[#This Row],[IN]]))</f>
        <v>0</v>
      </c>
      <c r="Y58" s="136" t="b">
        <f>IF(Tab.11[[#This Row],[a1]]=1,IF($X$3=0,Tab.11[b66],Tab.11[[#This Row],[b66]]-AVERAGE(Tab.11[b66])))</f>
        <v>0</v>
      </c>
      <c r="Z58" s="135" t="b">
        <f>IF(Tab.11[[#This Row],[a1]]=1,Tab.11[[#This Row],[b77]]/(_xlfn.STDEV.P(Tab.11[b77])))</f>
        <v>0</v>
      </c>
      <c r="AA58" s="70" t="b">
        <f>IF(Tab.11[[#This Row],[a1]]=1,_xlfn.NORM.DIST(Tab.11[[#This Row],[b88]],$Z$1,$AA$1,FALSE))</f>
        <v>0</v>
      </c>
      <c r="AB58" s="74" t="b">
        <f>IF(Tab.11[[#This Row],[a1]]=1,IF($A$3=0,FALSE,1/Tab.11[[#This Row],[IN]]*$AC$2*IF(Tab.11[[#This Row],[a1]]=0,,$A$3*$AC$1*1/$V$3*(Tab.11[[#This Row],[b14]]))))</f>
        <v>0</v>
      </c>
      <c r="AC58" s="75" t="b">
        <f>IF(Tab.11[[#This Row],[a1]]=1,IF($AC$3=0,Tab.11[[#This Row],[φ1]],Tab.11[[#This Row],[φ1]]/MAX(Tab.11[φ1])))</f>
        <v>0</v>
      </c>
      <c r="AD58" s="74" t="b">
        <f>IF(Tab.11[[#This Row],[a1]]=1,1/Tab.11[[#This Row],[φ2]])</f>
        <v>0</v>
      </c>
      <c r="AE58" s="74" t="b">
        <f>IF(Tab.11[[#This Row],[a1]]=1,IF($AE$3=0,Tab.11[[#This Row],[w.0]],Tab.11[[#This Row],[w.0]]/SUM(Tab.11[w.0])))</f>
        <v>0</v>
      </c>
      <c r="AF58" s="76" t="str">
        <f>IF(Tab.11[[#This Row],[a1]]=0,"false",[3]!Tab.x5[[#This Row],[%_seN_C]])</f>
        <v>false</v>
      </c>
      <c r="AG58" s="77" t="b">
        <f>IF(Tab.11[[#This Row],[a1]]=1,AP58)</f>
        <v>0</v>
      </c>
      <c r="AH58" s="78" t="b">
        <f>IF(Tab.11[[#This Row],[a1]]=1,AQ58)</f>
        <v>0</v>
      </c>
      <c r="AI58" s="41">
        <v>3.0000000000000001E-3</v>
      </c>
      <c r="AJ58" s="79">
        <v>0.09</v>
      </c>
      <c r="AK58" s="80" t="b">
        <f>IF(Tab.11[[#This Row],[a1]]=1,1)</f>
        <v>0</v>
      </c>
      <c r="AZ58"/>
    </row>
    <row r="59" spans="1:52" ht="14.25" hidden="1" customHeight="1" x14ac:dyDescent="0.25">
      <c r="A59" s="61">
        <f t="shared" si="3"/>
        <v>0</v>
      </c>
      <c r="B59" s="62">
        <f t="shared" si="3"/>
        <v>0</v>
      </c>
      <c r="C59" s="62" t="b">
        <f>IF(Tab.11[[#This Row],[a1]]=1,[3]!Tab_x1[[#This Row],[Name]])</f>
        <v>0</v>
      </c>
      <c r="D59" s="63" t="b">
        <f>IF(Tab.11[[#This Row],[a1]]=1,AO59)</f>
        <v>0</v>
      </c>
      <c r="E59" s="63">
        <f t="shared" si="1"/>
        <v>0</v>
      </c>
      <c r="F59" s="64" t="b">
        <f>IF(Tab.11[[#This Row],[a1]]=1,Tab.11[[#This Row],[b1]])</f>
        <v>0</v>
      </c>
      <c r="G59" s="65" t="b">
        <f>IF(Tab.11[[#This Row],[a1]]=1,IF(Tab.11[[#This Row],[b3]]&gt;$L$989*$G$3,$L$989*$G$3,IF(Tab.11[[#This Row],[b3]]&lt;$M$989*$G$3,$M$989*$G$3,Tab.11[[#This Row],[b3]])))</f>
        <v>0</v>
      </c>
      <c r="H59" s="66" t="b">
        <f>IF(Tab.11[[#This Row],[a1]]=1,Tab.11[[#This Row],[b1]])</f>
        <v>0</v>
      </c>
      <c r="I59" s="67" t="b">
        <f>IF(Tab.11[[#This Row],[a1]]=1,Tab.11[[#This Row],[b1]])</f>
        <v>0</v>
      </c>
      <c r="J59" s="68" t="b">
        <f>IF(Tab.11[[#This Row],[a1]]=1,IF($I$3&lt;0,Tab.11[[#This Row],[b5]]-$I$3,Tab.11[[#This Row],[b5]]))</f>
        <v>0</v>
      </c>
      <c r="K59" s="68" t="b">
        <f>IF(Tab.11[[#This Row],[a1]]=1,IF($K$3=0,Tab.11[b6],Tab.11[[#This Row],[b6]]-AVERAGE(Tab.11[b6])))</f>
        <v>0</v>
      </c>
      <c r="L59" s="69" t="b">
        <f>IF(Tab.11[[#This Row],[a1]]=1,Tab.11[[#This Row],[data]]/(_xlfn.STDEV.P(Tab.11[data])*$B$989)+$A$989)</f>
        <v>0</v>
      </c>
      <c r="M59" s="69" t="b">
        <f>IF(Tab.11[[#This Row],[a1]]=1,Tab.11[[#This Row],[data]]/(_xlfn.STDEV.P(Tab.11[data])*$B$987)-$A$987)</f>
        <v>0</v>
      </c>
      <c r="N59" s="69" t="b">
        <f>IF(Tab.11[[#This Row],[a1]]=1,Tab.11[[#This Row],[data]]/(_xlfn.STDEV.P(Tab.11[data])*$B$988)+$A$988)</f>
        <v>0</v>
      </c>
      <c r="O59" s="70" t="b">
        <f>IF(Tab.11[[#This Row],[a1]]=1,_xlfn.NORM.DIST(Tab.11[[#This Row],[b8]],$P$1,$Q$1,FALSE))</f>
        <v>0</v>
      </c>
      <c r="P59" s="70" t="b">
        <f>IF(Tab.11[[#This Row],[a1]]=1,_xlfn.NORM.DIST(Tab.11[[#This Row],[b9]],$P$1,$Q$1,FALSE))</f>
        <v>0</v>
      </c>
      <c r="Q59" s="70" t="b">
        <f>IF(Tab.11[[#This Row],[a1]]=1,_xlfn.NORM.DIST(Tab.11[[#This Row],[b10]],$P$1,$Q$1,FALSE))</f>
        <v>0</v>
      </c>
      <c r="R59" s="67" t="b">
        <f>IF(Tab.11[[#This Row],[a1]]=1,$I$3+$A$989+IF($K$3=0,Tab.11[[#This Row],[b8]]*_xlfn.STDEV.P(Tab.11[data]),AVERAGE(Tab.11[b6])+Tab.11[[#This Row],[b8]]*_xlfn.STDEV.P(Tab.11[data])))</f>
        <v>0</v>
      </c>
      <c r="S59" s="71" t="b">
        <f>IF(Tab.11[[#This Row],[a1]]=1,$I$3+$A$987+IF($K$3=0,Tab.11[[#This Row],[b9]]*_xlfn.STDEV.P(Tab.11[data]),AVERAGE(Tab.11[b6])+Tab.11[[#This Row],[b9]]*_xlfn.STDEV.P(Tab.11[data])))</f>
        <v>0</v>
      </c>
      <c r="T59" s="71" t="b">
        <f>IF(Tab.11[[#This Row],[a1]]=1,$I$3+$A$988+IF($K$3=0,Tab.11[[#This Row],[b10]]*_xlfn.STDEV.P(Tab.11[data]),AVERAGE(Tab.11[b6])+Tab.11[[#This Row],[b10]]*_xlfn.STDEV.P(Tab.11[data])))</f>
        <v>0</v>
      </c>
      <c r="U59" s="72" t="b">
        <f>IF(Tab.11[[#This Row],[a1]]=1,Tab.11[[#This Row],[target]]-Tab.11[[#This Row],[Red]])</f>
        <v>0</v>
      </c>
      <c r="V59" s="72" t="b">
        <f>IF(Tab.11[[#This Row],[a1]]=1,Tab.11[[#This Row],[target]]-Tab.11[[#This Row],[Blue]])</f>
        <v>0</v>
      </c>
      <c r="W59" s="73" t="b">
        <f>IF(Tab.11[[#This Row],[a1]]=1,IF(ABS(Tab.11[[#This Row],[b17]])+ABS(Tab.11[[#This Row],[b18]])&lt;$W$2,$W$2,ABS(Tab.11[[#This Row],[b17]])+ABS(Tab.11[[#This Row],[b18]])))</f>
        <v>0</v>
      </c>
      <c r="X59" s="136" t="b">
        <f>IF(Tab.11[[#This Row],[a1]]=1,IF($W$3&lt;0,Tab.11[[#This Row],[IN]]-$I$3,Tab.11[[#This Row],[IN]]))</f>
        <v>0</v>
      </c>
      <c r="Y59" s="136" t="b">
        <f>IF(Tab.11[[#This Row],[a1]]=1,IF($X$3=0,Tab.11[b66],Tab.11[[#This Row],[b66]]-AVERAGE(Tab.11[b66])))</f>
        <v>0</v>
      </c>
      <c r="Z59" s="135" t="b">
        <f>IF(Tab.11[[#This Row],[a1]]=1,Tab.11[[#This Row],[b77]]/(_xlfn.STDEV.P(Tab.11[b77])))</f>
        <v>0</v>
      </c>
      <c r="AA59" s="70" t="b">
        <f>IF(Tab.11[[#This Row],[a1]]=1,_xlfn.NORM.DIST(Tab.11[[#This Row],[b88]],$Z$1,$AA$1,FALSE))</f>
        <v>0</v>
      </c>
      <c r="AB59" s="74" t="b">
        <f>IF(Tab.11[[#This Row],[a1]]=1,IF($A$3=0,FALSE,1/Tab.11[[#This Row],[IN]]*$AC$2*IF(Tab.11[[#This Row],[a1]]=0,,$A$3*$AC$1*1/$V$3*(Tab.11[[#This Row],[b14]]))))</f>
        <v>0</v>
      </c>
      <c r="AC59" s="75" t="b">
        <f>IF(Tab.11[[#This Row],[a1]]=1,IF($AC$3=0,Tab.11[[#This Row],[φ1]],Tab.11[[#This Row],[φ1]]/MAX(Tab.11[φ1])))</f>
        <v>0</v>
      </c>
      <c r="AD59" s="74" t="b">
        <f>IF(Tab.11[[#This Row],[a1]]=1,1/Tab.11[[#This Row],[φ2]])</f>
        <v>0</v>
      </c>
      <c r="AE59" s="74" t="b">
        <f>IF(Tab.11[[#This Row],[a1]]=1,IF($AE$3=0,Tab.11[[#This Row],[w.0]],Tab.11[[#This Row],[w.0]]/SUM(Tab.11[w.0])))</f>
        <v>0</v>
      </c>
      <c r="AF59" s="76" t="str">
        <f>IF(Tab.11[[#This Row],[a1]]=0,"false",[3]!Tab.x5[[#This Row],[%_seN_C]])</f>
        <v>false</v>
      </c>
      <c r="AG59" s="77" t="b">
        <f>IF(Tab.11[[#This Row],[a1]]=1,AP59)</f>
        <v>0</v>
      </c>
      <c r="AH59" s="78" t="b">
        <f>IF(Tab.11[[#This Row],[a1]]=1,AQ59)</f>
        <v>0</v>
      </c>
      <c r="AI59" s="41">
        <v>3.0000000000000001E-3</v>
      </c>
      <c r="AJ59" s="79">
        <v>-0.06</v>
      </c>
      <c r="AK59" s="80" t="b">
        <f>IF(Tab.11[[#This Row],[a1]]=1,1)</f>
        <v>0</v>
      </c>
      <c r="AZ59"/>
    </row>
    <row r="60" spans="1:52" ht="14.25" hidden="1" customHeight="1" x14ac:dyDescent="0.25">
      <c r="A60" s="61">
        <f t="shared" si="3"/>
        <v>0</v>
      </c>
      <c r="B60" s="62">
        <f t="shared" si="3"/>
        <v>0</v>
      </c>
      <c r="C60" s="62" t="b">
        <f>IF(Tab.11[[#This Row],[a1]]=1,[3]!Tab_x1[[#This Row],[Name]])</f>
        <v>0</v>
      </c>
      <c r="D60" s="63" t="b">
        <f>IF(Tab.11[[#This Row],[a1]]=1,AO60)</f>
        <v>0</v>
      </c>
      <c r="E60" s="63">
        <f t="shared" si="1"/>
        <v>0</v>
      </c>
      <c r="F60" s="64" t="b">
        <f>IF(Tab.11[[#This Row],[a1]]=1,Tab.11[[#This Row],[b1]])</f>
        <v>0</v>
      </c>
      <c r="G60" s="65" t="b">
        <f>IF(Tab.11[[#This Row],[a1]]=1,IF(Tab.11[[#This Row],[b3]]&gt;$L$989*$G$3,$L$989*$G$3,IF(Tab.11[[#This Row],[b3]]&lt;$M$989*$G$3,$M$989*$G$3,Tab.11[[#This Row],[b3]])))</f>
        <v>0</v>
      </c>
      <c r="H60" s="66" t="b">
        <f>IF(Tab.11[[#This Row],[a1]]=1,Tab.11[[#This Row],[b1]])</f>
        <v>0</v>
      </c>
      <c r="I60" s="67" t="b">
        <f>IF(Tab.11[[#This Row],[a1]]=1,Tab.11[[#This Row],[b1]])</f>
        <v>0</v>
      </c>
      <c r="J60" s="68" t="b">
        <f>IF(Tab.11[[#This Row],[a1]]=1,IF($I$3&lt;0,Tab.11[[#This Row],[b5]]-$I$3,Tab.11[[#This Row],[b5]]))</f>
        <v>0</v>
      </c>
      <c r="K60" s="68" t="b">
        <f>IF(Tab.11[[#This Row],[a1]]=1,IF($K$3=0,Tab.11[b6],Tab.11[[#This Row],[b6]]-AVERAGE(Tab.11[b6])))</f>
        <v>0</v>
      </c>
      <c r="L60" s="69" t="b">
        <f>IF(Tab.11[[#This Row],[a1]]=1,Tab.11[[#This Row],[data]]/(_xlfn.STDEV.P(Tab.11[data])*$B$989)+$A$989)</f>
        <v>0</v>
      </c>
      <c r="M60" s="69" t="b">
        <f>IF(Tab.11[[#This Row],[a1]]=1,Tab.11[[#This Row],[data]]/(_xlfn.STDEV.P(Tab.11[data])*$B$987)-$A$987)</f>
        <v>0</v>
      </c>
      <c r="N60" s="69" t="b">
        <f>IF(Tab.11[[#This Row],[a1]]=1,Tab.11[[#This Row],[data]]/(_xlfn.STDEV.P(Tab.11[data])*$B$988)+$A$988)</f>
        <v>0</v>
      </c>
      <c r="O60" s="70" t="b">
        <f>IF(Tab.11[[#This Row],[a1]]=1,_xlfn.NORM.DIST(Tab.11[[#This Row],[b8]],$P$1,$Q$1,FALSE))</f>
        <v>0</v>
      </c>
      <c r="P60" s="70" t="b">
        <f>IF(Tab.11[[#This Row],[a1]]=1,_xlfn.NORM.DIST(Tab.11[[#This Row],[b9]],$P$1,$Q$1,FALSE))</f>
        <v>0</v>
      </c>
      <c r="Q60" s="70" t="b">
        <f>IF(Tab.11[[#This Row],[a1]]=1,_xlfn.NORM.DIST(Tab.11[[#This Row],[b10]],$P$1,$Q$1,FALSE))</f>
        <v>0</v>
      </c>
      <c r="R60" s="67" t="b">
        <f>IF(Tab.11[[#This Row],[a1]]=1,$I$3+$A$989+IF($K$3=0,Tab.11[[#This Row],[b8]]*_xlfn.STDEV.P(Tab.11[data]),AVERAGE(Tab.11[b6])+Tab.11[[#This Row],[b8]]*_xlfn.STDEV.P(Tab.11[data])))</f>
        <v>0</v>
      </c>
      <c r="S60" s="71" t="b">
        <f>IF(Tab.11[[#This Row],[a1]]=1,$I$3+$A$987+IF($K$3=0,Tab.11[[#This Row],[b9]]*_xlfn.STDEV.P(Tab.11[data]),AVERAGE(Tab.11[b6])+Tab.11[[#This Row],[b9]]*_xlfn.STDEV.P(Tab.11[data])))</f>
        <v>0</v>
      </c>
      <c r="T60" s="71" t="b">
        <f>IF(Tab.11[[#This Row],[a1]]=1,$I$3+$A$988+IF($K$3=0,Tab.11[[#This Row],[b10]]*_xlfn.STDEV.P(Tab.11[data]),AVERAGE(Tab.11[b6])+Tab.11[[#This Row],[b10]]*_xlfn.STDEV.P(Tab.11[data])))</f>
        <v>0</v>
      </c>
      <c r="U60" s="72" t="b">
        <f>IF(Tab.11[[#This Row],[a1]]=1,Tab.11[[#This Row],[target]]-Tab.11[[#This Row],[Red]])</f>
        <v>0</v>
      </c>
      <c r="V60" s="72" t="b">
        <f>IF(Tab.11[[#This Row],[a1]]=1,Tab.11[[#This Row],[target]]-Tab.11[[#This Row],[Blue]])</f>
        <v>0</v>
      </c>
      <c r="W60" s="73" t="b">
        <f>IF(Tab.11[[#This Row],[a1]]=1,IF(ABS(Tab.11[[#This Row],[b17]])+ABS(Tab.11[[#This Row],[b18]])&lt;$W$2,$W$2,ABS(Tab.11[[#This Row],[b17]])+ABS(Tab.11[[#This Row],[b18]])))</f>
        <v>0</v>
      </c>
      <c r="X60" s="136" t="b">
        <f>IF(Tab.11[[#This Row],[a1]]=1,IF($W$3&lt;0,Tab.11[[#This Row],[IN]]-$I$3,Tab.11[[#This Row],[IN]]))</f>
        <v>0</v>
      </c>
      <c r="Y60" s="136" t="b">
        <f>IF(Tab.11[[#This Row],[a1]]=1,IF($X$3=0,Tab.11[b66],Tab.11[[#This Row],[b66]]-AVERAGE(Tab.11[b66])))</f>
        <v>0</v>
      </c>
      <c r="Z60" s="135" t="b">
        <f>IF(Tab.11[[#This Row],[a1]]=1,Tab.11[[#This Row],[b77]]/(_xlfn.STDEV.P(Tab.11[b77])))</f>
        <v>0</v>
      </c>
      <c r="AA60" s="70" t="b">
        <f>IF(Tab.11[[#This Row],[a1]]=1,_xlfn.NORM.DIST(Tab.11[[#This Row],[b88]],$Z$1,$AA$1,FALSE))</f>
        <v>0</v>
      </c>
      <c r="AB60" s="74" t="b">
        <f>IF(Tab.11[[#This Row],[a1]]=1,IF($A$3=0,FALSE,1/Tab.11[[#This Row],[IN]]*$AC$2*IF(Tab.11[[#This Row],[a1]]=0,,$A$3*$AC$1*1/$V$3*(Tab.11[[#This Row],[b14]]))))</f>
        <v>0</v>
      </c>
      <c r="AC60" s="75" t="b">
        <f>IF(Tab.11[[#This Row],[a1]]=1,IF($AC$3=0,Tab.11[[#This Row],[φ1]],Tab.11[[#This Row],[φ1]]/MAX(Tab.11[φ1])))</f>
        <v>0</v>
      </c>
      <c r="AD60" s="74" t="b">
        <f>IF(Tab.11[[#This Row],[a1]]=1,1/Tab.11[[#This Row],[φ2]])</f>
        <v>0</v>
      </c>
      <c r="AE60" s="74" t="b">
        <f>IF(Tab.11[[#This Row],[a1]]=1,IF($AE$3=0,Tab.11[[#This Row],[w.0]],Tab.11[[#This Row],[w.0]]/SUM(Tab.11[w.0])))</f>
        <v>0</v>
      </c>
      <c r="AF60" s="76" t="str">
        <f>IF(Tab.11[[#This Row],[a1]]=0,"false",[3]!Tab.x5[[#This Row],[%_seN_C]])</f>
        <v>false</v>
      </c>
      <c r="AG60" s="77" t="b">
        <f>IF(Tab.11[[#This Row],[a1]]=1,AP60)</f>
        <v>0</v>
      </c>
      <c r="AH60" s="78" t="b">
        <f>IF(Tab.11[[#This Row],[a1]]=1,AQ60)</f>
        <v>0</v>
      </c>
      <c r="AI60" s="41">
        <v>3.0000000000000001E-3</v>
      </c>
      <c r="AJ60" s="79">
        <v>0.02</v>
      </c>
      <c r="AK60" s="80" t="b">
        <f>IF(Tab.11[[#This Row],[a1]]=1,1)</f>
        <v>0</v>
      </c>
      <c r="AZ60"/>
    </row>
    <row r="61" spans="1:52" ht="14.25" hidden="1" customHeight="1" x14ac:dyDescent="0.25">
      <c r="A61" s="61">
        <f t="shared" si="3"/>
        <v>0</v>
      </c>
      <c r="B61" s="62">
        <f t="shared" si="3"/>
        <v>0</v>
      </c>
      <c r="C61" s="62" t="b">
        <f>IF(Tab.11[[#This Row],[a1]]=1,[3]!Tab_x1[[#This Row],[Name]])</f>
        <v>0</v>
      </c>
      <c r="D61" s="63" t="b">
        <f>IF(Tab.11[[#This Row],[a1]]=1,AO61)</f>
        <v>0</v>
      </c>
      <c r="E61" s="63">
        <f t="shared" si="1"/>
        <v>0</v>
      </c>
      <c r="F61" s="64" t="b">
        <f>IF(Tab.11[[#This Row],[a1]]=1,Tab.11[[#This Row],[b1]])</f>
        <v>0</v>
      </c>
      <c r="G61" s="65" t="b">
        <f>IF(Tab.11[[#This Row],[a1]]=1,IF(Tab.11[[#This Row],[b3]]&gt;$L$989*$G$3,$L$989*$G$3,IF(Tab.11[[#This Row],[b3]]&lt;$M$989*$G$3,$M$989*$G$3,Tab.11[[#This Row],[b3]])))</f>
        <v>0</v>
      </c>
      <c r="H61" s="66" t="b">
        <f>IF(Tab.11[[#This Row],[a1]]=1,Tab.11[[#This Row],[b1]])</f>
        <v>0</v>
      </c>
      <c r="I61" s="67" t="b">
        <f>IF(Tab.11[[#This Row],[a1]]=1,Tab.11[[#This Row],[b1]])</f>
        <v>0</v>
      </c>
      <c r="J61" s="68" t="b">
        <f>IF(Tab.11[[#This Row],[a1]]=1,IF($I$3&lt;0,Tab.11[[#This Row],[b5]]-$I$3,Tab.11[[#This Row],[b5]]))</f>
        <v>0</v>
      </c>
      <c r="K61" s="68" t="b">
        <f>IF(Tab.11[[#This Row],[a1]]=1,IF($K$3=0,Tab.11[b6],Tab.11[[#This Row],[b6]]-AVERAGE(Tab.11[b6])))</f>
        <v>0</v>
      </c>
      <c r="L61" s="69" t="b">
        <f>IF(Tab.11[[#This Row],[a1]]=1,Tab.11[[#This Row],[data]]/(_xlfn.STDEV.P(Tab.11[data])*$B$989)+$A$989)</f>
        <v>0</v>
      </c>
      <c r="M61" s="69" t="b">
        <f>IF(Tab.11[[#This Row],[a1]]=1,Tab.11[[#This Row],[data]]/(_xlfn.STDEV.P(Tab.11[data])*$B$987)-$A$987)</f>
        <v>0</v>
      </c>
      <c r="N61" s="69" t="b">
        <f>IF(Tab.11[[#This Row],[a1]]=1,Tab.11[[#This Row],[data]]/(_xlfn.STDEV.P(Tab.11[data])*$B$988)+$A$988)</f>
        <v>0</v>
      </c>
      <c r="O61" s="70" t="b">
        <f>IF(Tab.11[[#This Row],[a1]]=1,_xlfn.NORM.DIST(Tab.11[[#This Row],[b8]],$P$1,$Q$1,FALSE))</f>
        <v>0</v>
      </c>
      <c r="P61" s="70" t="b">
        <f>IF(Tab.11[[#This Row],[a1]]=1,_xlfn.NORM.DIST(Tab.11[[#This Row],[b9]],$P$1,$Q$1,FALSE))</f>
        <v>0</v>
      </c>
      <c r="Q61" s="70" t="b">
        <f>IF(Tab.11[[#This Row],[a1]]=1,_xlfn.NORM.DIST(Tab.11[[#This Row],[b10]],$P$1,$Q$1,FALSE))</f>
        <v>0</v>
      </c>
      <c r="R61" s="67" t="b">
        <f>IF(Tab.11[[#This Row],[a1]]=1,$I$3+$A$989+IF($K$3=0,Tab.11[[#This Row],[b8]]*_xlfn.STDEV.P(Tab.11[data]),AVERAGE(Tab.11[b6])+Tab.11[[#This Row],[b8]]*_xlfn.STDEV.P(Tab.11[data])))</f>
        <v>0</v>
      </c>
      <c r="S61" s="71" t="b">
        <f>IF(Tab.11[[#This Row],[a1]]=1,$I$3+$A$987+IF($K$3=0,Tab.11[[#This Row],[b9]]*_xlfn.STDEV.P(Tab.11[data]),AVERAGE(Tab.11[b6])+Tab.11[[#This Row],[b9]]*_xlfn.STDEV.P(Tab.11[data])))</f>
        <v>0</v>
      </c>
      <c r="T61" s="71" t="b">
        <f>IF(Tab.11[[#This Row],[a1]]=1,$I$3+$A$988+IF($K$3=0,Tab.11[[#This Row],[b10]]*_xlfn.STDEV.P(Tab.11[data]),AVERAGE(Tab.11[b6])+Tab.11[[#This Row],[b10]]*_xlfn.STDEV.P(Tab.11[data])))</f>
        <v>0</v>
      </c>
      <c r="U61" s="72" t="b">
        <f>IF(Tab.11[[#This Row],[a1]]=1,Tab.11[[#This Row],[target]]-Tab.11[[#This Row],[Red]])</f>
        <v>0</v>
      </c>
      <c r="V61" s="72" t="b">
        <f>IF(Tab.11[[#This Row],[a1]]=1,Tab.11[[#This Row],[target]]-Tab.11[[#This Row],[Blue]])</f>
        <v>0</v>
      </c>
      <c r="W61" s="73" t="b">
        <f>IF(Tab.11[[#This Row],[a1]]=1,IF(ABS(Tab.11[[#This Row],[b17]])+ABS(Tab.11[[#This Row],[b18]])&lt;$W$2,$W$2,ABS(Tab.11[[#This Row],[b17]])+ABS(Tab.11[[#This Row],[b18]])))</f>
        <v>0</v>
      </c>
      <c r="X61" s="136" t="b">
        <f>IF(Tab.11[[#This Row],[a1]]=1,IF($W$3&lt;0,Tab.11[[#This Row],[IN]]-$I$3,Tab.11[[#This Row],[IN]]))</f>
        <v>0</v>
      </c>
      <c r="Y61" s="136" t="b">
        <f>IF(Tab.11[[#This Row],[a1]]=1,IF($X$3=0,Tab.11[b66],Tab.11[[#This Row],[b66]]-AVERAGE(Tab.11[b66])))</f>
        <v>0</v>
      </c>
      <c r="Z61" s="135" t="b">
        <f>IF(Tab.11[[#This Row],[a1]]=1,Tab.11[[#This Row],[b77]]/(_xlfn.STDEV.P(Tab.11[b77])))</f>
        <v>0</v>
      </c>
      <c r="AA61" s="70" t="b">
        <f>IF(Tab.11[[#This Row],[a1]]=1,_xlfn.NORM.DIST(Tab.11[[#This Row],[b88]],$Z$1,$AA$1,FALSE))</f>
        <v>0</v>
      </c>
      <c r="AB61" s="74" t="b">
        <f>IF(Tab.11[[#This Row],[a1]]=1,IF($A$3=0,FALSE,1/Tab.11[[#This Row],[IN]]*$AC$2*IF(Tab.11[[#This Row],[a1]]=0,,$A$3*$AC$1*1/$V$3*(Tab.11[[#This Row],[b14]]))))</f>
        <v>0</v>
      </c>
      <c r="AC61" s="75" t="b">
        <f>IF(Tab.11[[#This Row],[a1]]=1,IF($AC$3=0,Tab.11[[#This Row],[φ1]],Tab.11[[#This Row],[φ1]]/MAX(Tab.11[φ1])))</f>
        <v>0</v>
      </c>
      <c r="AD61" s="74" t="b">
        <f>IF(Tab.11[[#This Row],[a1]]=1,1/Tab.11[[#This Row],[φ2]])</f>
        <v>0</v>
      </c>
      <c r="AE61" s="74" t="b">
        <f>IF(Tab.11[[#This Row],[a1]]=1,IF($AE$3=0,Tab.11[[#This Row],[w.0]],Tab.11[[#This Row],[w.0]]/SUM(Tab.11[w.0])))</f>
        <v>0</v>
      </c>
      <c r="AF61" s="76" t="str">
        <f>IF(Tab.11[[#This Row],[a1]]=0,"false",[3]!Tab.x5[[#This Row],[%_seN_C]])</f>
        <v>false</v>
      </c>
      <c r="AG61" s="77" t="b">
        <f>IF(Tab.11[[#This Row],[a1]]=1,AP61)</f>
        <v>0</v>
      </c>
      <c r="AH61" s="78" t="b">
        <f>IF(Tab.11[[#This Row],[a1]]=1,AQ61)</f>
        <v>0</v>
      </c>
      <c r="AI61" s="41">
        <v>3.0000000000000001E-3</v>
      </c>
      <c r="AJ61" s="79">
        <v>-0.04</v>
      </c>
      <c r="AK61" s="80" t="b">
        <f>IF(Tab.11[[#This Row],[a1]]=1,1)</f>
        <v>0</v>
      </c>
      <c r="AZ61"/>
    </row>
    <row r="62" spans="1:52" ht="14.25" hidden="1" customHeight="1" x14ac:dyDescent="0.25">
      <c r="A62" s="61">
        <f t="shared" si="3"/>
        <v>0</v>
      </c>
      <c r="B62" s="62">
        <f t="shared" si="3"/>
        <v>0</v>
      </c>
      <c r="C62" s="62" t="b">
        <f>IF(Tab.11[[#This Row],[a1]]=1,[3]!Tab_x1[[#This Row],[Name]])</f>
        <v>0</v>
      </c>
      <c r="D62" s="63" t="b">
        <f>IF(Tab.11[[#This Row],[a1]]=1,AO62)</f>
        <v>0</v>
      </c>
      <c r="E62" s="63">
        <f t="shared" si="1"/>
        <v>0</v>
      </c>
      <c r="F62" s="64" t="b">
        <f>IF(Tab.11[[#This Row],[a1]]=1,Tab.11[[#This Row],[b1]])</f>
        <v>0</v>
      </c>
      <c r="G62" s="65" t="b">
        <f>IF(Tab.11[[#This Row],[a1]]=1,IF(Tab.11[[#This Row],[b3]]&gt;$L$989*$G$3,$L$989*$G$3,IF(Tab.11[[#This Row],[b3]]&lt;$M$989*$G$3,$M$989*$G$3,Tab.11[[#This Row],[b3]])))</f>
        <v>0</v>
      </c>
      <c r="H62" s="66" t="b">
        <f>IF(Tab.11[[#This Row],[a1]]=1,Tab.11[[#This Row],[b1]])</f>
        <v>0</v>
      </c>
      <c r="I62" s="67" t="b">
        <f>IF(Tab.11[[#This Row],[a1]]=1,Tab.11[[#This Row],[b1]])</f>
        <v>0</v>
      </c>
      <c r="J62" s="68" t="b">
        <f>IF(Tab.11[[#This Row],[a1]]=1,IF($I$3&lt;0,Tab.11[[#This Row],[b5]]-$I$3,Tab.11[[#This Row],[b5]]))</f>
        <v>0</v>
      </c>
      <c r="K62" s="68" t="b">
        <f>IF(Tab.11[[#This Row],[a1]]=1,IF($K$3=0,Tab.11[b6],Tab.11[[#This Row],[b6]]-AVERAGE(Tab.11[b6])))</f>
        <v>0</v>
      </c>
      <c r="L62" s="69" t="b">
        <f>IF(Tab.11[[#This Row],[a1]]=1,Tab.11[[#This Row],[data]]/(_xlfn.STDEV.P(Tab.11[data])*$B$989)+$A$989)</f>
        <v>0</v>
      </c>
      <c r="M62" s="69" t="b">
        <f>IF(Tab.11[[#This Row],[a1]]=1,Tab.11[[#This Row],[data]]/(_xlfn.STDEV.P(Tab.11[data])*$B$987)-$A$987)</f>
        <v>0</v>
      </c>
      <c r="N62" s="69" t="b">
        <f>IF(Tab.11[[#This Row],[a1]]=1,Tab.11[[#This Row],[data]]/(_xlfn.STDEV.P(Tab.11[data])*$B$988)+$A$988)</f>
        <v>0</v>
      </c>
      <c r="O62" s="70" t="b">
        <f>IF(Tab.11[[#This Row],[a1]]=1,_xlfn.NORM.DIST(Tab.11[[#This Row],[b8]],$P$1,$Q$1,FALSE))</f>
        <v>0</v>
      </c>
      <c r="P62" s="70" t="b">
        <f>IF(Tab.11[[#This Row],[a1]]=1,_xlfn.NORM.DIST(Tab.11[[#This Row],[b9]],$P$1,$Q$1,FALSE))</f>
        <v>0</v>
      </c>
      <c r="Q62" s="70" t="b">
        <f>IF(Tab.11[[#This Row],[a1]]=1,_xlfn.NORM.DIST(Tab.11[[#This Row],[b10]],$P$1,$Q$1,FALSE))</f>
        <v>0</v>
      </c>
      <c r="R62" s="67" t="b">
        <f>IF(Tab.11[[#This Row],[a1]]=1,$I$3+$A$989+IF($K$3=0,Tab.11[[#This Row],[b8]]*_xlfn.STDEV.P(Tab.11[data]),AVERAGE(Tab.11[b6])+Tab.11[[#This Row],[b8]]*_xlfn.STDEV.P(Tab.11[data])))</f>
        <v>0</v>
      </c>
      <c r="S62" s="71" t="b">
        <f>IF(Tab.11[[#This Row],[a1]]=1,$I$3+$A$987+IF($K$3=0,Tab.11[[#This Row],[b9]]*_xlfn.STDEV.P(Tab.11[data]),AVERAGE(Tab.11[b6])+Tab.11[[#This Row],[b9]]*_xlfn.STDEV.P(Tab.11[data])))</f>
        <v>0</v>
      </c>
      <c r="T62" s="71" t="b">
        <f>IF(Tab.11[[#This Row],[a1]]=1,$I$3+$A$988+IF($K$3=0,Tab.11[[#This Row],[b10]]*_xlfn.STDEV.P(Tab.11[data]),AVERAGE(Tab.11[b6])+Tab.11[[#This Row],[b10]]*_xlfn.STDEV.P(Tab.11[data])))</f>
        <v>0</v>
      </c>
      <c r="U62" s="72" t="b">
        <f>IF(Tab.11[[#This Row],[a1]]=1,Tab.11[[#This Row],[target]]-Tab.11[[#This Row],[Red]])</f>
        <v>0</v>
      </c>
      <c r="V62" s="72" t="b">
        <f>IF(Tab.11[[#This Row],[a1]]=1,Tab.11[[#This Row],[target]]-Tab.11[[#This Row],[Blue]])</f>
        <v>0</v>
      </c>
      <c r="W62" s="73" t="b">
        <f>IF(Tab.11[[#This Row],[a1]]=1,IF(ABS(Tab.11[[#This Row],[b17]])+ABS(Tab.11[[#This Row],[b18]])&lt;$W$2,$W$2,ABS(Tab.11[[#This Row],[b17]])+ABS(Tab.11[[#This Row],[b18]])))</f>
        <v>0</v>
      </c>
      <c r="X62" s="136" t="b">
        <f>IF(Tab.11[[#This Row],[a1]]=1,IF($W$3&lt;0,Tab.11[[#This Row],[IN]]-$I$3,Tab.11[[#This Row],[IN]]))</f>
        <v>0</v>
      </c>
      <c r="Y62" s="136" t="b">
        <f>IF(Tab.11[[#This Row],[a1]]=1,IF($X$3=0,Tab.11[b66],Tab.11[[#This Row],[b66]]-AVERAGE(Tab.11[b66])))</f>
        <v>0</v>
      </c>
      <c r="Z62" s="135" t="b">
        <f>IF(Tab.11[[#This Row],[a1]]=1,Tab.11[[#This Row],[b77]]/(_xlfn.STDEV.P(Tab.11[b77])))</f>
        <v>0</v>
      </c>
      <c r="AA62" s="70" t="b">
        <f>IF(Tab.11[[#This Row],[a1]]=1,_xlfn.NORM.DIST(Tab.11[[#This Row],[b88]],$Z$1,$AA$1,FALSE))</f>
        <v>0</v>
      </c>
      <c r="AB62" s="74" t="b">
        <f>IF(Tab.11[[#This Row],[a1]]=1,IF($A$3=0,FALSE,1/Tab.11[[#This Row],[IN]]*$AC$2*IF(Tab.11[[#This Row],[a1]]=0,,$A$3*$AC$1*1/$V$3*(Tab.11[[#This Row],[b14]]))))</f>
        <v>0</v>
      </c>
      <c r="AC62" s="75" t="b">
        <f>IF(Tab.11[[#This Row],[a1]]=1,IF($AC$3=0,Tab.11[[#This Row],[φ1]],Tab.11[[#This Row],[φ1]]/MAX(Tab.11[φ1])))</f>
        <v>0</v>
      </c>
      <c r="AD62" s="74" t="b">
        <f>IF(Tab.11[[#This Row],[a1]]=1,1/Tab.11[[#This Row],[φ2]])</f>
        <v>0</v>
      </c>
      <c r="AE62" s="74" t="b">
        <f>IF(Tab.11[[#This Row],[a1]]=1,IF($AE$3=0,Tab.11[[#This Row],[w.0]],Tab.11[[#This Row],[w.0]]/SUM(Tab.11[w.0])))</f>
        <v>0</v>
      </c>
      <c r="AF62" s="76" t="str">
        <f>IF(Tab.11[[#This Row],[a1]]=0,"false",[3]!Tab.x5[[#This Row],[%_seN_C]])</f>
        <v>false</v>
      </c>
      <c r="AG62" s="77" t="b">
        <f>IF(Tab.11[[#This Row],[a1]]=1,AP62)</f>
        <v>0</v>
      </c>
      <c r="AH62" s="78" t="b">
        <f>IF(Tab.11[[#This Row],[a1]]=1,AQ62)</f>
        <v>0</v>
      </c>
      <c r="AI62" s="41">
        <v>3.0000000000000001E-3</v>
      </c>
      <c r="AJ62" s="79">
        <v>-0.05</v>
      </c>
      <c r="AK62" s="80" t="b">
        <f>IF(Tab.11[[#This Row],[a1]]=1,1)</f>
        <v>0</v>
      </c>
      <c r="AZ62"/>
    </row>
    <row r="63" spans="1:52" ht="14.25" hidden="1" customHeight="1" x14ac:dyDescent="0.25">
      <c r="A63" s="61">
        <f t="shared" si="3"/>
        <v>0</v>
      </c>
      <c r="B63" s="62">
        <f t="shared" si="3"/>
        <v>0</v>
      </c>
      <c r="C63" s="62" t="b">
        <f>IF(Tab.11[[#This Row],[a1]]=1,[3]!Tab_x1[[#This Row],[Name]])</f>
        <v>0</v>
      </c>
      <c r="D63" s="63" t="b">
        <f>IF(Tab.11[[#This Row],[a1]]=1,AO63)</f>
        <v>0</v>
      </c>
      <c r="E63" s="63">
        <f t="shared" si="1"/>
        <v>0</v>
      </c>
      <c r="F63" s="64" t="b">
        <f>IF(Tab.11[[#This Row],[a1]]=1,Tab.11[[#This Row],[b1]])</f>
        <v>0</v>
      </c>
      <c r="G63" s="65" t="b">
        <f>IF(Tab.11[[#This Row],[a1]]=1,IF(Tab.11[[#This Row],[b3]]&gt;$L$989*$G$3,$L$989*$G$3,IF(Tab.11[[#This Row],[b3]]&lt;$M$989*$G$3,$M$989*$G$3,Tab.11[[#This Row],[b3]])))</f>
        <v>0</v>
      </c>
      <c r="H63" s="66" t="b">
        <f>IF(Tab.11[[#This Row],[a1]]=1,Tab.11[[#This Row],[b1]])</f>
        <v>0</v>
      </c>
      <c r="I63" s="67" t="b">
        <f>IF(Tab.11[[#This Row],[a1]]=1,Tab.11[[#This Row],[b1]])</f>
        <v>0</v>
      </c>
      <c r="J63" s="68" t="b">
        <f>IF(Tab.11[[#This Row],[a1]]=1,IF($I$3&lt;0,Tab.11[[#This Row],[b5]]-$I$3,Tab.11[[#This Row],[b5]]))</f>
        <v>0</v>
      </c>
      <c r="K63" s="68" t="b">
        <f>IF(Tab.11[[#This Row],[a1]]=1,IF($K$3=0,Tab.11[b6],Tab.11[[#This Row],[b6]]-AVERAGE(Tab.11[b6])))</f>
        <v>0</v>
      </c>
      <c r="L63" s="69" t="b">
        <f>IF(Tab.11[[#This Row],[a1]]=1,Tab.11[[#This Row],[data]]/(_xlfn.STDEV.P(Tab.11[data])*$B$989)+$A$989)</f>
        <v>0</v>
      </c>
      <c r="M63" s="69" t="b">
        <f>IF(Tab.11[[#This Row],[a1]]=1,Tab.11[[#This Row],[data]]/(_xlfn.STDEV.P(Tab.11[data])*$B$987)-$A$987)</f>
        <v>0</v>
      </c>
      <c r="N63" s="69" t="b">
        <f>IF(Tab.11[[#This Row],[a1]]=1,Tab.11[[#This Row],[data]]/(_xlfn.STDEV.P(Tab.11[data])*$B$988)+$A$988)</f>
        <v>0</v>
      </c>
      <c r="O63" s="70" t="b">
        <f>IF(Tab.11[[#This Row],[a1]]=1,_xlfn.NORM.DIST(Tab.11[[#This Row],[b8]],$P$1,$Q$1,FALSE))</f>
        <v>0</v>
      </c>
      <c r="P63" s="70" t="b">
        <f>IF(Tab.11[[#This Row],[a1]]=1,_xlfn.NORM.DIST(Tab.11[[#This Row],[b9]],$P$1,$Q$1,FALSE))</f>
        <v>0</v>
      </c>
      <c r="Q63" s="70" t="b">
        <f>IF(Tab.11[[#This Row],[a1]]=1,_xlfn.NORM.DIST(Tab.11[[#This Row],[b10]],$P$1,$Q$1,FALSE))</f>
        <v>0</v>
      </c>
      <c r="R63" s="67" t="b">
        <f>IF(Tab.11[[#This Row],[a1]]=1,$I$3+$A$989+IF($K$3=0,Tab.11[[#This Row],[b8]]*_xlfn.STDEV.P(Tab.11[data]),AVERAGE(Tab.11[b6])+Tab.11[[#This Row],[b8]]*_xlfn.STDEV.P(Tab.11[data])))</f>
        <v>0</v>
      </c>
      <c r="S63" s="71" t="b">
        <f>IF(Tab.11[[#This Row],[a1]]=1,$I$3+$A$987+IF($K$3=0,Tab.11[[#This Row],[b9]]*_xlfn.STDEV.P(Tab.11[data]),AVERAGE(Tab.11[b6])+Tab.11[[#This Row],[b9]]*_xlfn.STDEV.P(Tab.11[data])))</f>
        <v>0</v>
      </c>
      <c r="T63" s="71" t="b">
        <f>IF(Tab.11[[#This Row],[a1]]=1,$I$3+$A$988+IF($K$3=0,Tab.11[[#This Row],[b10]]*_xlfn.STDEV.P(Tab.11[data]),AVERAGE(Tab.11[b6])+Tab.11[[#This Row],[b10]]*_xlfn.STDEV.P(Tab.11[data])))</f>
        <v>0</v>
      </c>
      <c r="U63" s="72" t="b">
        <f>IF(Tab.11[[#This Row],[a1]]=1,Tab.11[[#This Row],[target]]-Tab.11[[#This Row],[Red]])</f>
        <v>0</v>
      </c>
      <c r="V63" s="72" t="b">
        <f>IF(Tab.11[[#This Row],[a1]]=1,Tab.11[[#This Row],[target]]-Tab.11[[#This Row],[Blue]])</f>
        <v>0</v>
      </c>
      <c r="W63" s="73" t="b">
        <f>IF(Tab.11[[#This Row],[a1]]=1,IF(ABS(Tab.11[[#This Row],[b17]])+ABS(Tab.11[[#This Row],[b18]])&lt;$W$2,$W$2,ABS(Tab.11[[#This Row],[b17]])+ABS(Tab.11[[#This Row],[b18]])))</f>
        <v>0</v>
      </c>
      <c r="X63" s="136" t="b">
        <f>IF(Tab.11[[#This Row],[a1]]=1,IF($W$3&lt;0,Tab.11[[#This Row],[IN]]-$I$3,Tab.11[[#This Row],[IN]]))</f>
        <v>0</v>
      </c>
      <c r="Y63" s="136" t="b">
        <f>IF(Tab.11[[#This Row],[a1]]=1,IF($X$3=0,Tab.11[b66],Tab.11[[#This Row],[b66]]-AVERAGE(Tab.11[b66])))</f>
        <v>0</v>
      </c>
      <c r="Z63" s="135" t="b">
        <f>IF(Tab.11[[#This Row],[a1]]=1,Tab.11[[#This Row],[b77]]/(_xlfn.STDEV.P(Tab.11[b77])))</f>
        <v>0</v>
      </c>
      <c r="AA63" s="70" t="b">
        <f>IF(Tab.11[[#This Row],[a1]]=1,_xlfn.NORM.DIST(Tab.11[[#This Row],[b88]],$Z$1,$AA$1,FALSE))</f>
        <v>0</v>
      </c>
      <c r="AB63" s="74" t="b">
        <f>IF(Tab.11[[#This Row],[a1]]=1,IF($A$3=0,FALSE,1/Tab.11[[#This Row],[IN]]*$AC$2*IF(Tab.11[[#This Row],[a1]]=0,,$A$3*$AC$1*1/$V$3*(Tab.11[[#This Row],[b14]]))))</f>
        <v>0</v>
      </c>
      <c r="AC63" s="75" t="b">
        <f>IF(Tab.11[[#This Row],[a1]]=1,IF($AC$3=0,Tab.11[[#This Row],[φ1]],Tab.11[[#This Row],[φ1]]/MAX(Tab.11[φ1])))</f>
        <v>0</v>
      </c>
      <c r="AD63" s="74" t="b">
        <f>IF(Tab.11[[#This Row],[a1]]=1,1/Tab.11[[#This Row],[φ2]])</f>
        <v>0</v>
      </c>
      <c r="AE63" s="74" t="b">
        <f>IF(Tab.11[[#This Row],[a1]]=1,IF($AE$3=0,Tab.11[[#This Row],[w.0]],Tab.11[[#This Row],[w.0]]/SUM(Tab.11[w.0])))</f>
        <v>0</v>
      </c>
      <c r="AF63" s="76" t="str">
        <f>IF(Tab.11[[#This Row],[a1]]=0,"false",[3]!Tab.x5[[#This Row],[%_seN_C]])</f>
        <v>false</v>
      </c>
      <c r="AG63" s="77" t="b">
        <f>IF(Tab.11[[#This Row],[a1]]=1,AP63)</f>
        <v>0</v>
      </c>
      <c r="AH63" s="78" t="b">
        <f>IF(Tab.11[[#This Row],[a1]]=1,AQ63)</f>
        <v>0</v>
      </c>
      <c r="AI63" s="41">
        <v>3.0000000000000001E-3</v>
      </c>
      <c r="AJ63" s="79">
        <v>0.06</v>
      </c>
      <c r="AK63" s="80" t="b">
        <f>IF(Tab.11[[#This Row],[a1]]=1,1)</f>
        <v>0</v>
      </c>
      <c r="AZ63"/>
    </row>
    <row r="64" spans="1:52" ht="14.25" hidden="1" customHeight="1" x14ac:dyDescent="0.25">
      <c r="A64" s="61">
        <f t="shared" si="3"/>
        <v>0</v>
      </c>
      <c r="B64" s="62">
        <f t="shared" si="3"/>
        <v>0</v>
      </c>
      <c r="C64" s="62" t="b">
        <f>IF(Tab.11[[#This Row],[a1]]=1,[3]!Tab_x1[[#This Row],[Name]])</f>
        <v>0</v>
      </c>
      <c r="D64" s="63" t="b">
        <f>IF(Tab.11[[#This Row],[a1]]=1,AO64)</f>
        <v>0</v>
      </c>
      <c r="E64" s="63">
        <f t="shared" si="1"/>
        <v>0</v>
      </c>
      <c r="F64" s="64" t="b">
        <f>IF(Tab.11[[#This Row],[a1]]=1,Tab.11[[#This Row],[b1]])</f>
        <v>0</v>
      </c>
      <c r="G64" s="65" t="b">
        <f>IF(Tab.11[[#This Row],[a1]]=1,IF(Tab.11[[#This Row],[b3]]&gt;$L$989*$G$3,$L$989*$G$3,IF(Tab.11[[#This Row],[b3]]&lt;$M$989*$G$3,$M$989*$G$3,Tab.11[[#This Row],[b3]])))</f>
        <v>0</v>
      </c>
      <c r="H64" s="66" t="b">
        <f>IF(Tab.11[[#This Row],[a1]]=1,Tab.11[[#This Row],[b1]])</f>
        <v>0</v>
      </c>
      <c r="I64" s="67" t="b">
        <f>IF(Tab.11[[#This Row],[a1]]=1,Tab.11[[#This Row],[b1]])</f>
        <v>0</v>
      </c>
      <c r="J64" s="68" t="b">
        <f>IF(Tab.11[[#This Row],[a1]]=1,IF($I$3&lt;0,Tab.11[[#This Row],[b5]]-$I$3,Tab.11[[#This Row],[b5]]))</f>
        <v>0</v>
      </c>
      <c r="K64" s="68" t="b">
        <f>IF(Tab.11[[#This Row],[a1]]=1,IF($K$3=0,Tab.11[b6],Tab.11[[#This Row],[b6]]-AVERAGE(Tab.11[b6])))</f>
        <v>0</v>
      </c>
      <c r="L64" s="69" t="b">
        <f>IF(Tab.11[[#This Row],[a1]]=1,Tab.11[[#This Row],[data]]/(_xlfn.STDEV.P(Tab.11[data])*$B$989)+$A$989)</f>
        <v>0</v>
      </c>
      <c r="M64" s="69" t="b">
        <f>IF(Tab.11[[#This Row],[a1]]=1,Tab.11[[#This Row],[data]]/(_xlfn.STDEV.P(Tab.11[data])*$B$987)-$A$987)</f>
        <v>0</v>
      </c>
      <c r="N64" s="69" t="b">
        <f>IF(Tab.11[[#This Row],[a1]]=1,Tab.11[[#This Row],[data]]/(_xlfn.STDEV.P(Tab.11[data])*$B$988)+$A$988)</f>
        <v>0</v>
      </c>
      <c r="O64" s="70" t="b">
        <f>IF(Tab.11[[#This Row],[a1]]=1,_xlfn.NORM.DIST(Tab.11[[#This Row],[b8]],$P$1,$Q$1,FALSE))</f>
        <v>0</v>
      </c>
      <c r="P64" s="70" t="b">
        <f>IF(Tab.11[[#This Row],[a1]]=1,_xlfn.NORM.DIST(Tab.11[[#This Row],[b9]],$P$1,$Q$1,FALSE))</f>
        <v>0</v>
      </c>
      <c r="Q64" s="70" t="b">
        <f>IF(Tab.11[[#This Row],[a1]]=1,_xlfn.NORM.DIST(Tab.11[[#This Row],[b10]],$P$1,$Q$1,FALSE))</f>
        <v>0</v>
      </c>
      <c r="R64" s="67" t="b">
        <f>IF(Tab.11[[#This Row],[a1]]=1,$I$3+$A$989+IF($K$3=0,Tab.11[[#This Row],[b8]]*_xlfn.STDEV.P(Tab.11[data]),AVERAGE(Tab.11[b6])+Tab.11[[#This Row],[b8]]*_xlfn.STDEV.P(Tab.11[data])))</f>
        <v>0</v>
      </c>
      <c r="S64" s="71" t="b">
        <f>IF(Tab.11[[#This Row],[a1]]=1,$I$3+$A$987+IF($K$3=0,Tab.11[[#This Row],[b9]]*_xlfn.STDEV.P(Tab.11[data]),AVERAGE(Tab.11[b6])+Tab.11[[#This Row],[b9]]*_xlfn.STDEV.P(Tab.11[data])))</f>
        <v>0</v>
      </c>
      <c r="T64" s="71" t="b">
        <f>IF(Tab.11[[#This Row],[a1]]=1,$I$3+$A$988+IF($K$3=0,Tab.11[[#This Row],[b10]]*_xlfn.STDEV.P(Tab.11[data]),AVERAGE(Tab.11[b6])+Tab.11[[#This Row],[b10]]*_xlfn.STDEV.P(Tab.11[data])))</f>
        <v>0</v>
      </c>
      <c r="U64" s="72" t="b">
        <f>IF(Tab.11[[#This Row],[a1]]=1,Tab.11[[#This Row],[target]]-Tab.11[[#This Row],[Red]])</f>
        <v>0</v>
      </c>
      <c r="V64" s="72" t="b">
        <f>IF(Tab.11[[#This Row],[a1]]=1,Tab.11[[#This Row],[target]]-Tab.11[[#This Row],[Blue]])</f>
        <v>0</v>
      </c>
      <c r="W64" s="73" t="b">
        <f>IF(Tab.11[[#This Row],[a1]]=1,IF(ABS(Tab.11[[#This Row],[b17]])+ABS(Tab.11[[#This Row],[b18]])&lt;$W$2,$W$2,ABS(Tab.11[[#This Row],[b17]])+ABS(Tab.11[[#This Row],[b18]])))</f>
        <v>0</v>
      </c>
      <c r="X64" s="136" t="b">
        <f>IF(Tab.11[[#This Row],[a1]]=1,IF($W$3&lt;0,Tab.11[[#This Row],[IN]]-$I$3,Tab.11[[#This Row],[IN]]))</f>
        <v>0</v>
      </c>
      <c r="Y64" s="136" t="b">
        <f>IF(Tab.11[[#This Row],[a1]]=1,IF($X$3=0,Tab.11[b66],Tab.11[[#This Row],[b66]]-AVERAGE(Tab.11[b66])))</f>
        <v>0</v>
      </c>
      <c r="Z64" s="135" t="b">
        <f>IF(Tab.11[[#This Row],[a1]]=1,Tab.11[[#This Row],[b77]]/(_xlfn.STDEV.P(Tab.11[b77])))</f>
        <v>0</v>
      </c>
      <c r="AA64" s="70" t="b">
        <f>IF(Tab.11[[#This Row],[a1]]=1,_xlfn.NORM.DIST(Tab.11[[#This Row],[b88]],$Z$1,$AA$1,FALSE))</f>
        <v>0</v>
      </c>
      <c r="AB64" s="74" t="b">
        <f>IF(Tab.11[[#This Row],[a1]]=1,IF($A$3=0,FALSE,1/Tab.11[[#This Row],[IN]]*$AC$2*IF(Tab.11[[#This Row],[a1]]=0,,$A$3*$AC$1*1/$V$3*(Tab.11[[#This Row],[b14]]))))</f>
        <v>0</v>
      </c>
      <c r="AC64" s="75" t="b">
        <f>IF(Tab.11[[#This Row],[a1]]=1,IF($AC$3=0,Tab.11[[#This Row],[φ1]],Tab.11[[#This Row],[φ1]]/MAX(Tab.11[φ1])))</f>
        <v>0</v>
      </c>
      <c r="AD64" s="74" t="b">
        <f>IF(Tab.11[[#This Row],[a1]]=1,1/Tab.11[[#This Row],[φ2]])</f>
        <v>0</v>
      </c>
      <c r="AE64" s="74" t="b">
        <f>IF(Tab.11[[#This Row],[a1]]=1,IF($AE$3=0,Tab.11[[#This Row],[w.0]],Tab.11[[#This Row],[w.0]]/SUM(Tab.11[w.0])))</f>
        <v>0</v>
      </c>
      <c r="AF64" s="76" t="str">
        <f>IF(Tab.11[[#This Row],[a1]]=0,"false",[3]!Tab.x5[[#This Row],[%_seN_C]])</f>
        <v>false</v>
      </c>
      <c r="AG64" s="77" t="b">
        <f>IF(Tab.11[[#This Row],[a1]]=1,AP64)</f>
        <v>0</v>
      </c>
      <c r="AH64" s="78" t="b">
        <f>IF(Tab.11[[#This Row],[a1]]=1,AQ64)</f>
        <v>0</v>
      </c>
      <c r="AI64" s="41">
        <v>3.0000000000000001E-3</v>
      </c>
      <c r="AJ64" s="79">
        <v>-0.1</v>
      </c>
      <c r="AK64" s="80" t="b">
        <f>IF(Tab.11[[#This Row],[a1]]=1,1)</f>
        <v>0</v>
      </c>
      <c r="AZ64"/>
    </row>
    <row r="65" spans="1:52" ht="14.25" hidden="1" customHeight="1" x14ac:dyDescent="0.25">
      <c r="A65" s="61">
        <f t="shared" si="3"/>
        <v>0</v>
      </c>
      <c r="B65" s="62">
        <f t="shared" si="3"/>
        <v>0</v>
      </c>
      <c r="C65" s="62" t="b">
        <f>IF(Tab.11[[#This Row],[a1]]=1,[3]!Tab_x1[[#This Row],[Name]])</f>
        <v>0</v>
      </c>
      <c r="D65" s="63" t="b">
        <f>IF(Tab.11[[#This Row],[a1]]=1,AO65)</f>
        <v>0</v>
      </c>
      <c r="E65" s="63">
        <f t="shared" si="1"/>
        <v>0</v>
      </c>
      <c r="F65" s="64" t="b">
        <f>IF(Tab.11[[#This Row],[a1]]=1,Tab.11[[#This Row],[b1]])</f>
        <v>0</v>
      </c>
      <c r="G65" s="65" t="b">
        <f>IF(Tab.11[[#This Row],[a1]]=1,IF(Tab.11[[#This Row],[b3]]&gt;$L$989*$G$3,$L$989*$G$3,IF(Tab.11[[#This Row],[b3]]&lt;$M$989*$G$3,$M$989*$G$3,Tab.11[[#This Row],[b3]])))</f>
        <v>0</v>
      </c>
      <c r="H65" s="66" t="b">
        <f>IF(Tab.11[[#This Row],[a1]]=1,Tab.11[[#This Row],[b1]])</f>
        <v>0</v>
      </c>
      <c r="I65" s="67" t="b">
        <f>IF(Tab.11[[#This Row],[a1]]=1,Tab.11[[#This Row],[b1]])</f>
        <v>0</v>
      </c>
      <c r="J65" s="68" t="b">
        <f>IF(Tab.11[[#This Row],[a1]]=1,IF($I$3&lt;0,Tab.11[[#This Row],[b5]]-$I$3,Tab.11[[#This Row],[b5]]))</f>
        <v>0</v>
      </c>
      <c r="K65" s="68" t="b">
        <f>IF(Tab.11[[#This Row],[a1]]=1,IF($K$3=0,Tab.11[b6],Tab.11[[#This Row],[b6]]-AVERAGE(Tab.11[b6])))</f>
        <v>0</v>
      </c>
      <c r="L65" s="69" t="b">
        <f>IF(Tab.11[[#This Row],[a1]]=1,Tab.11[[#This Row],[data]]/(_xlfn.STDEV.P(Tab.11[data])*$B$989)+$A$989)</f>
        <v>0</v>
      </c>
      <c r="M65" s="69" t="b">
        <f>IF(Tab.11[[#This Row],[a1]]=1,Tab.11[[#This Row],[data]]/(_xlfn.STDEV.P(Tab.11[data])*$B$987)-$A$987)</f>
        <v>0</v>
      </c>
      <c r="N65" s="69" t="b">
        <f>IF(Tab.11[[#This Row],[a1]]=1,Tab.11[[#This Row],[data]]/(_xlfn.STDEV.P(Tab.11[data])*$B$988)+$A$988)</f>
        <v>0</v>
      </c>
      <c r="O65" s="70" t="b">
        <f>IF(Tab.11[[#This Row],[a1]]=1,_xlfn.NORM.DIST(Tab.11[[#This Row],[b8]],$P$1,$Q$1,FALSE))</f>
        <v>0</v>
      </c>
      <c r="P65" s="70" t="b">
        <f>IF(Tab.11[[#This Row],[a1]]=1,_xlfn.NORM.DIST(Tab.11[[#This Row],[b9]],$P$1,$Q$1,FALSE))</f>
        <v>0</v>
      </c>
      <c r="Q65" s="70" t="b">
        <f>IF(Tab.11[[#This Row],[a1]]=1,_xlfn.NORM.DIST(Tab.11[[#This Row],[b10]],$P$1,$Q$1,FALSE))</f>
        <v>0</v>
      </c>
      <c r="R65" s="67" t="b">
        <f>IF(Tab.11[[#This Row],[a1]]=1,$I$3+$A$989+IF($K$3=0,Tab.11[[#This Row],[b8]]*_xlfn.STDEV.P(Tab.11[data]),AVERAGE(Tab.11[b6])+Tab.11[[#This Row],[b8]]*_xlfn.STDEV.P(Tab.11[data])))</f>
        <v>0</v>
      </c>
      <c r="S65" s="71" t="b">
        <f>IF(Tab.11[[#This Row],[a1]]=1,$I$3+$A$987+IF($K$3=0,Tab.11[[#This Row],[b9]]*_xlfn.STDEV.P(Tab.11[data]),AVERAGE(Tab.11[b6])+Tab.11[[#This Row],[b9]]*_xlfn.STDEV.P(Tab.11[data])))</f>
        <v>0</v>
      </c>
      <c r="T65" s="71" t="b">
        <f>IF(Tab.11[[#This Row],[a1]]=1,$I$3+$A$988+IF($K$3=0,Tab.11[[#This Row],[b10]]*_xlfn.STDEV.P(Tab.11[data]),AVERAGE(Tab.11[b6])+Tab.11[[#This Row],[b10]]*_xlfn.STDEV.P(Tab.11[data])))</f>
        <v>0</v>
      </c>
      <c r="U65" s="72" t="b">
        <f>IF(Tab.11[[#This Row],[a1]]=1,Tab.11[[#This Row],[target]]-Tab.11[[#This Row],[Red]])</f>
        <v>0</v>
      </c>
      <c r="V65" s="72" t="b">
        <f>IF(Tab.11[[#This Row],[a1]]=1,Tab.11[[#This Row],[target]]-Tab.11[[#This Row],[Blue]])</f>
        <v>0</v>
      </c>
      <c r="W65" s="73" t="b">
        <f>IF(Tab.11[[#This Row],[a1]]=1,IF(ABS(Tab.11[[#This Row],[b17]])+ABS(Tab.11[[#This Row],[b18]])&lt;$W$2,$W$2,ABS(Tab.11[[#This Row],[b17]])+ABS(Tab.11[[#This Row],[b18]])))</f>
        <v>0</v>
      </c>
      <c r="X65" s="136" t="b">
        <f>IF(Tab.11[[#This Row],[a1]]=1,IF($W$3&lt;0,Tab.11[[#This Row],[IN]]-$I$3,Tab.11[[#This Row],[IN]]))</f>
        <v>0</v>
      </c>
      <c r="Y65" s="136" t="b">
        <f>IF(Tab.11[[#This Row],[a1]]=1,IF($X$3=0,Tab.11[b66],Tab.11[[#This Row],[b66]]-AVERAGE(Tab.11[b66])))</f>
        <v>0</v>
      </c>
      <c r="Z65" s="135" t="b">
        <f>IF(Tab.11[[#This Row],[a1]]=1,Tab.11[[#This Row],[b77]]/(_xlfn.STDEV.P(Tab.11[b77])))</f>
        <v>0</v>
      </c>
      <c r="AA65" s="70" t="b">
        <f>IF(Tab.11[[#This Row],[a1]]=1,_xlfn.NORM.DIST(Tab.11[[#This Row],[b88]],$Z$1,$AA$1,FALSE))</f>
        <v>0</v>
      </c>
      <c r="AB65" s="74" t="b">
        <f>IF(Tab.11[[#This Row],[a1]]=1,IF($A$3=0,FALSE,1/Tab.11[[#This Row],[IN]]*$AC$2*IF(Tab.11[[#This Row],[a1]]=0,,$A$3*$AC$1*1/$V$3*(Tab.11[[#This Row],[b14]]))))</f>
        <v>0</v>
      </c>
      <c r="AC65" s="75" t="b">
        <f>IF(Tab.11[[#This Row],[a1]]=1,IF($AC$3=0,Tab.11[[#This Row],[φ1]],Tab.11[[#This Row],[φ1]]/MAX(Tab.11[φ1])))</f>
        <v>0</v>
      </c>
      <c r="AD65" s="74" t="b">
        <f>IF(Tab.11[[#This Row],[a1]]=1,1/Tab.11[[#This Row],[φ2]])</f>
        <v>0</v>
      </c>
      <c r="AE65" s="74" t="b">
        <f>IF(Tab.11[[#This Row],[a1]]=1,IF($AE$3=0,Tab.11[[#This Row],[w.0]],Tab.11[[#This Row],[w.0]]/SUM(Tab.11[w.0])))</f>
        <v>0</v>
      </c>
      <c r="AF65" s="76" t="str">
        <f>IF(Tab.11[[#This Row],[a1]]=0,"false",[3]!Tab.x5[[#This Row],[%_seN_C]])</f>
        <v>false</v>
      </c>
      <c r="AG65" s="77" t="b">
        <f>IF(Tab.11[[#This Row],[a1]]=1,AP65)</f>
        <v>0</v>
      </c>
      <c r="AH65" s="78" t="b">
        <f>IF(Tab.11[[#This Row],[a1]]=1,AQ65)</f>
        <v>0</v>
      </c>
      <c r="AI65" s="41">
        <v>3.0000000000000001E-3</v>
      </c>
      <c r="AJ65" s="79">
        <v>0.05</v>
      </c>
      <c r="AK65" s="80" t="b">
        <f>IF(Tab.11[[#This Row],[a1]]=1,1)</f>
        <v>0</v>
      </c>
      <c r="AZ65"/>
    </row>
    <row r="66" spans="1:52" ht="14.25" hidden="1" customHeight="1" x14ac:dyDescent="0.25">
      <c r="A66" s="61">
        <f t="shared" si="3"/>
        <v>0</v>
      </c>
      <c r="B66" s="62">
        <f t="shared" si="3"/>
        <v>0</v>
      </c>
      <c r="C66" s="62" t="b">
        <f>IF(Tab.11[[#This Row],[a1]]=1,[3]!Tab_x1[[#This Row],[Name]])</f>
        <v>0</v>
      </c>
      <c r="D66" s="63" t="b">
        <f>IF(Tab.11[[#This Row],[a1]]=1,AO66)</f>
        <v>0</v>
      </c>
      <c r="E66" s="63">
        <f t="shared" si="1"/>
        <v>0</v>
      </c>
      <c r="F66" s="64" t="b">
        <f>IF(Tab.11[[#This Row],[a1]]=1,Tab.11[[#This Row],[b1]])</f>
        <v>0</v>
      </c>
      <c r="G66" s="65" t="b">
        <f>IF(Tab.11[[#This Row],[a1]]=1,IF(Tab.11[[#This Row],[b3]]&gt;$L$989*$G$3,$L$989*$G$3,IF(Tab.11[[#This Row],[b3]]&lt;$M$989*$G$3,$M$989*$G$3,Tab.11[[#This Row],[b3]])))</f>
        <v>0</v>
      </c>
      <c r="H66" s="66" t="b">
        <f>IF(Tab.11[[#This Row],[a1]]=1,Tab.11[[#This Row],[b1]])</f>
        <v>0</v>
      </c>
      <c r="I66" s="67" t="b">
        <f>IF(Tab.11[[#This Row],[a1]]=1,Tab.11[[#This Row],[b1]])</f>
        <v>0</v>
      </c>
      <c r="J66" s="68" t="b">
        <f>IF(Tab.11[[#This Row],[a1]]=1,IF($I$3&lt;0,Tab.11[[#This Row],[b5]]-$I$3,Tab.11[[#This Row],[b5]]))</f>
        <v>0</v>
      </c>
      <c r="K66" s="68" t="b">
        <f>IF(Tab.11[[#This Row],[a1]]=1,IF($K$3=0,Tab.11[b6],Tab.11[[#This Row],[b6]]-AVERAGE(Tab.11[b6])))</f>
        <v>0</v>
      </c>
      <c r="L66" s="69" t="b">
        <f>IF(Tab.11[[#This Row],[a1]]=1,Tab.11[[#This Row],[data]]/(_xlfn.STDEV.P(Tab.11[data])*$B$989)+$A$989)</f>
        <v>0</v>
      </c>
      <c r="M66" s="69" t="b">
        <f>IF(Tab.11[[#This Row],[a1]]=1,Tab.11[[#This Row],[data]]/(_xlfn.STDEV.P(Tab.11[data])*$B$987)-$A$987)</f>
        <v>0</v>
      </c>
      <c r="N66" s="69" t="b">
        <f>IF(Tab.11[[#This Row],[a1]]=1,Tab.11[[#This Row],[data]]/(_xlfn.STDEV.P(Tab.11[data])*$B$988)+$A$988)</f>
        <v>0</v>
      </c>
      <c r="O66" s="70" t="b">
        <f>IF(Tab.11[[#This Row],[a1]]=1,_xlfn.NORM.DIST(Tab.11[[#This Row],[b8]],$P$1,$Q$1,FALSE))</f>
        <v>0</v>
      </c>
      <c r="P66" s="70" t="b">
        <f>IF(Tab.11[[#This Row],[a1]]=1,_xlfn.NORM.DIST(Tab.11[[#This Row],[b9]],$P$1,$Q$1,FALSE))</f>
        <v>0</v>
      </c>
      <c r="Q66" s="70" t="b">
        <f>IF(Tab.11[[#This Row],[a1]]=1,_xlfn.NORM.DIST(Tab.11[[#This Row],[b10]],$P$1,$Q$1,FALSE))</f>
        <v>0</v>
      </c>
      <c r="R66" s="67" t="b">
        <f>IF(Tab.11[[#This Row],[a1]]=1,$I$3+$A$989+IF($K$3=0,Tab.11[[#This Row],[b8]]*_xlfn.STDEV.P(Tab.11[data]),AVERAGE(Tab.11[b6])+Tab.11[[#This Row],[b8]]*_xlfn.STDEV.P(Tab.11[data])))</f>
        <v>0</v>
      </c>
      <c r="S66" s="71" t="b">
        <f>IF(Tab.11[[#This Row],[a1]]=1,$I$3+$A$987+IF($K$3=0,Tab.11[[#This Row],[b9]]*_xlfn.STDEV.P(Tab.11[data]),AVERAGE(Tab.11[b6])+Tab.11[[#This Row],[b9]]*_xlfn.STDEV.P(Tab.11[data])))</f>
        <v>0</v>
      </c>
      <c r="T66" s="71" t="b">
        <f>IF(Tab.11[[#This Row],[a1]]=1,$I$3+$A$988+IF($K$3=0,Tab.11[[#This Row],[b10]]*_xlfn.STDEV.P(Tab.11[data]),AVERAGE(Tab.11[b6])+Tab.11[[#This Row],[b10]]*_xlfn.STDEV.P(Tab.11[data])))</f>
        <v>0</v>
      </c>
      <c r="U66" s="72" t="b">
        <f>IF(Tab.11[[#This Row],[a1]]=1,Tab.11[[#This Row],[target]]-Tab.11[[#This Row],[Red]])</f>
        <v>0</v>
      </c>
      <c r="V66" s="72" t="b">
        <f>IF(Tab.11[[#This Row],[a1]]=1,Tab.11[[#This Row],[target]]-Tab.11[[#This Row],[Blue]])</f>
        <v>0</v>
      </c>
      <c r="W66" s="73" t="b">
        <f>IF(Tab.11[[#This Row],[a1]]=1,IF(ABS(Tab.11[[#This Row],[b17]])+ABS(Tab.11[[#This Row],[b18]])&lt;$W$2,$W$2,ABS(Tab.11[[#This Row],[b17]])+ABS(Tab.11[[#This Row],[b18]])))</f>
        <v>0</v>
      </c>
      <c r="X66" s="136" t="b">
        <f>IF(Tab.11[[#This Row],[a1]]=1,IF($W$3&lt;0,Tab.11[[#This Row],[IN]]-$I$3,Tab.11[[#This Row],[IN]]))</f>
        <v>0</v>
      </c>
      <c r="Y66" s="136" t="b">
        <f>IF(Tab.11[[#This Row],[a1]]=1,IF($X$3=0,Tab.11[b66],Tab.11[[#This Row],[b66]]-AVERAGE(Tab.11[b66])))</f>
        <v>0</v>
      </c>
      <c r="Z66" s="135" t="b">
        <f>IF(Tab.11[[#This Row],[a1]]=1,Tab.11[[#This Row],[b77]]/(_xlfn.STDEV.P(Tab.11[b77])))</f>
        <v>0</v>
      </c>
      <c r="AA66" s="70" t="b">
        <f>IF(Tab.11[[#This Row],[a1]]=1,_xlfn.NORM.DIST(Tab.11[[#This Row],[b88]],$Z$1,$AA$1,FALSE))</f>
        <v>0</v>
      </c>
      <c r="AB66" s="74" t="b">
        <f>IF(Tab.11[[#This Row],[a1]]=1,IF($A$3=0,FALSE,1/Tab.11[[#This Row],[IN]]*$AC$2*IF(Tab.11[[#This Row],[a1]]=0,,$A$3*$AC$1*1/$V$3*(Tab.11[[#This Row],[b14]]))))</f>
        <v>0</v>
      </c>
      <c r="AC66" s="75" t="b">
        <f>IF(Tab.11[[#This Row],[a1]]=1,IF($AC$3=0,Tab.11[[#This Row],[φ1]],Tab.11[[#This Row],[φ1]]/MAX(Tab.11[φ1])))</f>
        <v>0</v>
      </c>
      <c r="AD66" s="74" t="b">
        <f>IF(Tab.11[[#This Row],[a1]]=1,1/Tab.11[[#This Row],[φ2]])</f>
        <v>0</v>
      </c>
      <c r="AE66" s="74" t="b">
        <f>IF(Tab.11[[#This Row],[a1]]=1,IF($AE$3=0,Tab.11[[#This Row],[w.0]],Tab.11[[#This Row],[w.0]]/SUM(Tab.11[w.0])))</f>
        <v>0</v>
      </c>
      <c r="AF66" s="76" t="str">
        <f>IF(Tab.11[[#This Row],[a1]]=0,"false",[3]!Tab.x5[[#This Row],[%_seN_C]])</f>
        <v>false</v>
      </c>
      <c r="AG66" s="77" t="b">
        <f>IF(Tab.11[[#This Row],[a1]]=1,AP66)</f>
        <v>0</v>
      </c>
      <c r="AH66" s="78" t="b">
        <f>IF(Tab.11[[#This Row],[a1]]=1,AQ66)</f>
        <v>0</v>
      </c>
      <c r="AI66" s="41">
        <v>3.0000000000000001E-3</v>
      </c>
      <c r="AJ66" s="79">
        <v>-0.04</v>
      </c>
      <c r="AK66" s="80" t="b">
        <f>IF(Tab.11[[#This Row],[a1]]=1,1)</f>
        <v>0</v>
      </c>
      <c r="AZ66"/>
    </row>
    <row r="67" spans="1:52" ht="14.25" hidden="1" customHeight="1" x14ac:dyDescent="0.25">
      <c r="A67" s="61">
        <f t="shared" si="3"/>
        <v>0</v>
      </c>
      <c r="B67" s="62">
        <f t="shared" si="3"/>
        <v>0</v>
      </c>
      <c r="C67" s="62" t="b">
        <f>IF(Tab.11[[#This Row],[a1]]=1,[3]!Tab_x1[[#This Row],[Name]])</f>
        <v>0</v>
      </c>
      <c r="D67" s="63" t="b">
        <f>IF(Tab.11[[#This Row],[a1]]=1,AO67)</f>
        <v>0</v>
      </c>
      <c r="E67" s="63">
        <f t="shared" si="1"/>
        <v>0</v>
      </c>
      <c r="F67" s="64" t="b">
        <f>IF(Tab.11[[#This Row],[a1]]=1,Tab.11[[#This Row],[b1]])</f>
        <v>0</v>
      </c>
      <c r="G67" s="65" t="b">
        <f>IF(Tab.11[[#This Row],[a1]]=1,IF(Tab.11[[#This Row],[b3]]&gt;$L$989*$G$3,$L$989*$G$3,IF(Tab.11[[#This Row],[b3]]&lt;$M$989*$G$3,$M$989*$G$3,Tab.11[[#This Row],[b3]])))</f>
        <v>0</v>
      </c>
      <c r="H67" s="66" t="b">
        <f>IF(Tab.11[[#This Row],[a1]]=1,Tab.11[[#This Row],[b1]])</f>
        <v>0</v>
      </c>
      <c r="I67" s="67" t="b">
        <f>IF(Tab.11[[#This Row],[a1]]=1,Tab.11[[#This Row],[b1]])</f>
        <v>0</v>
      </c>
      <c r="J67" s="68" t="b">
        <f>IF(Tab.11[[#This Row],[a1]]=1,IF($I$3&lt;0,Tab.11[[#This Row],[b5]]-$I$3,Tab.11[[#This Row],[b5]]))</f>
        <v>0</v>
      </c>
      <c r="K67" s="68" t="b">
        <f>IF(Tab.11[[#This Row],[a1]]=1,IF($K$3=0,Tab.11[b6],Tab.11[[#This Row],[b6]]-AVERAGE(Tab.11[b6])))</f>
        <v>0</v>
      </c>
      <c r="L67" s="69" t="b">
        <f>IF(Tab.11[[#This Row],[a1]]=1,Tab.11[[#This Row],[data]]/(_xlfn.STDEV.P(Tab.11[data])*$B$989)+$A$989)</f>
        <v>0</v>
      </c>
      <c r="M67" s="69" t="b">
        <f>IF(Tab.11[[#This Row],[a1]]=1,Tab.11[[#This Row],[data]]/(_xlfn.STDEV.P(Tab.11[data])*$B$987)-$A$987)</f>
        <v>0</v>
      </c>
      <c r="N67" s="69" t="b">
        <f>IF(Tab.11[[#This Row],[a1]]=1,Tab.11[[#This Row],[data]]/(_xlfn.STDEV.P(Tab.11[data])*$B$988)+$A$988)</f>
        <v>0</v>
      </c>
      <c r="O67" s="70" t="b">
        <f>IF(Tab.11[[#This Row],[a1]]=1,_xlfn.NORM.DIST(Tab.11[[#This Row],[b8]],$P$1,$Q$1,FALSE))</f>
        <v>0</v>
      </c>
      <c r="P67" s="70" t="b">
        <f>IF(Tab.11[[#This Row],[a1]]=1,_xlfn.NORM.DIST(Tab.11[[#This Row],[b9]],$P$1,$Q$1,FALSE))</f>
        <v>0</v>
      </c>
      <c r="Q67" s="70" t="b">
        <f>IF(Tab.11[[#This Row],[a1]]=1,_xlfn.NORM.DIST(Tab.11[[#This Row],[b10]],$P$1,$Q$1,FALSE))</f>
        <v>0</v>
      </c>
      <c r="R67" s="67" t="b">
        <f>IF(Tab.11[[#This Row],[a1]]=1,$I$3+$A$989+IF($K$3=0,Tab.11[[#This Row],[b8]]*_xlfn.STDEV.P(Tab.11[data]),AVERAGE(Tab.11[b6])+Tab.11[[#This Row],[b8]]*_xlfn.STDEV.P(Tab.11[data])))</f>
        <v>0</v>
      </c>
      <c r="S67" s="71" t="b">
        <f>IF(Tab.11[[#This Row],[a1]]=1,$I$3+$A$987+IF($K$3=0,Tab.11[[#This Row],[b9]]*_xlfn.STDEV.P(Tab.11[data]),AVERAGE(Tab.11[b6])+Tab.11[[#This Row],[b9]]*_xlfn.STDEV.P(Tab.11[data])))</f>
        <v>0</v>
      </c>
      <c r="T67" s="71" t="b">
        <f>IF(Tab.11[[#This Row],[a1]]=1,$I$3+$A$988+IF($K$3=0,Tab.11[[#This Row],[b10]]*_xlfn.STDEV.P(Tab.11[data]),AVERAGE(Tab.11[b6])+Tab.11[[#This Row],[b10]]*_xlfn.STDEV.P(Tab.11[data])))</f>
        <v>0</v>
      </c>
      <c r="U67" s="72" t="b">
        <f>IF(Tab.11[[#This Row],[a1]]=1,Tab.11[[#This Row],[target]]-Tab.11[[#This Row],[Red]])</f>
        <v>0</v>
      </c>
      <c r="V67" s="72" t="b">
        <f>IF(Tab.11[[#This Row],[a1]]=1,Tab.11[[#This Row],[target]]-Tab.11[[#This Row],[Blue]])</f>
        <v>0</v>
      </c>
      <c r="W67" s="73" t="b">
        <f>IF(Tab.11[[#This Row],[a1]]=1,IF(ABS(Tab.11[[#This Row],[b17]])+ABS(Tab.11[[#This Row],[b18]])&lt;$W$2,$W$2,ABS(Tab.11[[#This Row],[b17]])+ABS(Tab.11[[#This Row],[b18]])))</f>
        <v>0</v>
      </c>
      <c r="X67" s="136" t="b">
        <f>IF(Tab.11[[#This Row],[a1]]=1,IF($W$3&lt;0,Tab.11[[#This Row],[IN]]-$I$3,Tab.11[[#This Row],[IN]]))</f>
        <v>0</v>
      </c>
      <c r="Y67" s="136" t="b">
        <f>IF(Tab.11[[#This Row],[a1]]=1,IF($X$3=0,Tab.11[b66],Tab.11[[#This Row],[b66]]-AVERAGE(Tab.11[b66])))</f>
        <v>0</v>
      </c>
      <c r="Z67" s="135" t="b">
        <f>IF(Tab.11[[#This Row],[a1]]=1,Tab.11[[#This Row],[b77]]/(_xlfn.STDEV.P(Tab.11[b77])))</f>
        <v>0</v>
      </c>
      <c r="AA67" s="70" t="b">
        <f>IF(Tab.11[[#This Row],[a1]]=1,_xlfn.NORM.DIST(Tab.11[[#This Row],[b88]],$Z$1,$AA$1,FALSE))</f>
        <v>0</v>
      </c>
      <c r="AB67" s="74" t="b">
        <f>IF(Tab.11[[#This Row],[a1]]=1,IF($A$3=0,FALSE,1/Tab.11[[#This Row],[IN]]*$AC$2*IF(Tab.11[[#This Row],[a1]]=0,,$A$3*$AC$1*1/$V$3*(Tab.11[[#This Row],[b14]]))))</f>
        <v>0</v>
      </c>
      <c r="AC67" s="75" t="b">
        <f>IF(Tab.11[[#This Row],[a1]]=1,IF($AC$3=0,Tab.11[[#This Row],[φ1]],Tab.11[[#This Row],[φ1]]/MAX(Tab.11[φ1])))</f>
        <v>0</v>
      </c>
      <c r="AD67" s="74" t="b">
        <f>IF(Tab.11[[#This Row],[a1]]=1,1/Tab.11[[#This Row],[φ2]])</f>
        <v>0</v>
      </c>
      <c r="AE67" s="74" t="b">
        <f>IF(Tab.11[[#This Row],[a1]]=1,IF($AE$3=0,Tab.11[[#This Row],[w.0]],Tab.11[[#This Row],[w.0]]/SUM(Tab.11[w.0])))</f>
        <v>0</v>
      </c>
      <c r="AF67" s="76" t="str">
        <f>IF(Tab.11[[#This Row],[a1]]=0,"false",[3]!Tab.x5[[#This Row],[%_seN_C]])</f>
        <v>false</v>
      </c>
      <c r="AG67" s="77" t="b">
        <f>IF(Tab.11[[#This Row],[a1]]=1,AP67)</f>
        <v>0</v>
      </c>
      <c r="AH67" s="78" t="b">
        <f>IF(Tab.11[[#This Row],[a1]]=1,AQ67)</f>
        <v>0</v>
      </c>
      <c r="AI67" s="41">
        <v>3.0000000000000001E-3</v>
      </c>
      <c r="AJ67" s="79">
        <v>-0.05</v>
      </c>
      <c r="AK67" s="80" t="b">
        <f>IF(Tab.11[[#This Row],[a1]]=1,1)</f>
        <v>0</v>
      </c>
      <c r="AZ67"/>
    </row>
    <row r="68" spans="1:52" ht="14.25" hidden="1" customHeight="1" x14ac:dyDescent="0.25">
      <c r="A68" s="61">
        <f t="shared" si="3"/>
        <v>0</v>
      </c>
      <c r="B68" s="62">
        <f t="shared" si="3"/>
        <v>0</v>
      </c>
      <c r="C68" s="62" t="b">
        <f>IF(Tab.11[[#This Row],[a1]]=1,[3]!Tab_x1[[#This Row],[Name]])</f>
        <v>0</v>
      </c>
      <c r="D68" s="63" t="b">
        <f>IF(Tab.11[[#This Row],[a1]]=1,AO68)</f>
        <v>0</v>
      </c>
      <c r="E68" s="63">
        <f t="shared" si="1"/>
        <v>0</v>
      </c>
      <c r="F68" s="64" t="b">
        <f>IF(Tab.11[[#This Row],[a1]]=1,Tab.11[[#This Row],[b1]])</f>
        <v>0</v>
      </c>
      <c r="G68" s="65" t="b">
        <f>IF(Tab.11[[#This Row],[a1]]=1,IF(Tab.11[[#This Row],[b3]]&gt;$L$989*$G$3,$L$989*$G$3,IF(Tab.11[[#This Row],[b3]]&lt;$M$989*$G$3,$M$989*$G$3,Tab.11[[#This Row],[b3]])))</f>
        <v>0</v>
      </c>
      <c r="H68" s="66" t="b">
        <f>IF(Tab.11[[#This Row],[a1]]=1,Tab.11[[#This Row],[b1]])</f>
        <v>0</v>
      </c>
      <c r="I68" s="67" t="b">
        <f>IF(Tab.11[[#This Row],[a1]]=1,Tab.11[[#This Row],[b1]])</f>
        <v>0</v>
      </c>
      <c r="J68" s="68" t="b">
        <f>IF(Tab.11[[#This Row],[a1]]=1,IF($I$3&lt;0,Tab.11[[#This Row],[b5]]-$I$3,Tab.11[[#This Row],[b5]]))</f>
        <v>0</v>
      </c>
      <c r="K68" s="68" t="b">
        <f>IF(Tab.11[[#This Row],[a1]]=1,IF($K$3=0,Tab.11[b6],Tab.11[[#This Row],[b6]]-AVERAGE(Tab.11[b6])))</f>
        <v>0</v>
      </c>
      <c r="L68" s="69" t="b">
        <f>IF(Tab.11[[#This Row],[a1]]=1,Tab.11[[#This Row],[data]]/(_xlfn.STDEV.P(Tab.11[data])*$B$989)+$A$989)</f>
        <v>0</v>
      </c>
      <c r="M68" s="69" t="b">
        <f>IF(Tab.11[[#This Row],[a1]]=1,Tab.11[[#This Row],[data]]/(_xlfn.STDEV.P(Tab.11[data])*$B$987)-$A$987)</f>
        <v>0</v>
      </c>
      <c r="N68" s="69" t="b">
        <f>IF(Tab.11[[#This Row],[a1]]=1,Tab.11[[#This Row],[data]]/(_xlfn.STDEV.P(Tab.11[data])*$B$988)+$A$988)</f>
        <v>0</v>
      </c>
      <c r="O68" s="70" t="b">
        <f>IF(Tab.11[[#This Row],[a1]]=1,_xlfn.NORM.DIST(Tab.11[[#This Row],[b8]],$P$1,$Q$1,FALSE))</f>
        <v>0</v>
      </c>
      <c r="P68" s="70" t="b">
        <f>IF(Tab.11[[#This Row],[a1]]=1,_xlfn.NORM.DIST(Tab.11[[#This Row],[b9]],$P$1,$Q$1,FALSE))</f>
        <v>0</v>
      </c>
      <c r="Q68" s="70" t="b">
        <f>IF(Tab.11[[#This Row],[a1]]=1,_xlfn.NORM.DIST(Tab.11[[#This Row],[b10]],$P$1,$Q$1,FALSE))</f>
        <v>0</v>
      </c>
      <c r="R68" s="67" t="b">
        <f>IF(Tab.11[[#This Row],[a1]]=1,$I$3+$A$989+IF($K$3=0,Tab.11[[#This Row],[b8]]*_xlfn.STDEV.P(Tab.11[data]),AVERAGE(Tab.11[b6])+Tab.11[[#This Row],[b8]]*_xlfn.STDEV.P(Tab.11[data])))</f>
        <v>0</v>
      </c>
      <c r="S68" s="71" t="b">
        <f>IF(Tab.11[[#This Row],[a1]]=1,$I$3+$A$987+IF($K$3=0,Tab.11[[#This Row],[b9]]*_xlfn.STDEV.P(Tab.11[data]),AVERAGE(Tab.11[b6])+Tab.11[[#This Row],[b9]]*_xlfn.STDEV.P(Tab.11[data])))</f>
        <v>0</v>
      </c>
      <c r="T68" s="71" t="b">
        <f>IF(Tab.11[[#This Row],[a1]]=1,$I$3+$A$988+IF($K$3=0,Tab.11[[#This Row],[b10]]*_xlfn.STDEV.P(Tab.11[data]),AVERAGE(Tab.11[b6])+Tab.11[[#This Row],[b10]]*_xlfn.STDEV.P(Tab.11[data])))</f>
        <v>0</v>
      </c>
      <c r="U68" s="72" t="b">
        <f>IF(Tab.11[[#This Row],[a1]]=1,Tab.11[[#This Row],[target]]-Tab.11[[#This Row],[Red]])</f>
        <v>0</v>
      </c>
      <c r="V68" s="72" t="b">
        <f>IF(Tab.11[[#This Row],[a1]]=1,Tab.11[[#This Row],[target]]-Tab.11[[#This Row],[Blue]])</f>
        <v>0</v>
      </c>
      <c r="W68" s="73" t="b">
        <f>IF(Tab.11[[#This Row],[a1]]=1,IF(ABS(Tab.11[[#This Row],[b17]])+ABS(Tab.11[[#This Row],[b18]])&lt;$W$2,$W$2,ABS(Tab.11[[#This Row],[b17]])+ABS(Tab.11[[#This Row],[b18]])))</f>
        <v>0</v>
      </c>
      <c r="X68" s="136" t="b">
        <f>IF(Tab.11[[#This Row],[a1]]=1,IF($W$3&lt;0,Tab.11[[#This Row],[IN]]-$I$3,Tab.11[[#This Row],[IN]]))</f>
        <v>0</v>
      </c>
      <c r="Y68" s="136" t="b">
        <f>IF(Tab.11[[#This Row],[a1]]=1,IF($X$3=0,Tab.11[b66],Tab.11[[#This Row],[b66]]-AVERAGE(Tab.11[b66])))</f>
        <v>0</v>
      </c>
      <c r="Z68" s="135" t="b">
        <f>IF(Tab.11[[#This Row],[a1]]=1,Tab.11[[#This Row],[b77]]/(_xlfn.STDEV.P(Tab.11[b77])))</f>
        <v>0</v>
      </c>
      <c r="AA68" s="70" t="b">
        <f>IF(Tab.11[[#This Row],[a1]]=1,_xlfn.NORM.DIST(Tab.11[[#This Row],[b88]],$Z$1,$AA$1,FALSE))</f>
        <v>0</v>
      </c>
      <c r="AB68" s="74" t="b">
        <f>IF(Tab.11[[#This Row],[a1]]=1,IF($A$3=0,FALSE,1/Tab.11[[#This Row],[IN]]*$AC$2*IF(Tab.11[[#This Row],[a1]]=0,,$A$3*$AC$1*1/$V$3*(Tab.11[[#This Row],[b14]]))))</f>
        <v>0</v>
      </c>
      <c r="AC68" s="75" t="b">
        <f>IF(Tab.11[[#This Row],[a1]]=1,IF($AC$3=0,Tab.11[[#This Row],[φ1]],Tab.11[[#This Row],[φ1]]/MAX(Tab.11[φ1])))</f>
        <v>0</v>
      </c>
      <c r="AD68" s="74" t="b">
        <f>IF(Tab.11[[#This Row],[a1]]=1,1/Tab.11[[#This Row],[φ2]])</f>
        <v>0</v>
      </c>
      <c r="AE68" s="74" t="b">
        <f>IF(Tab.11[[#This Row],[a1]]=1,IF($AE$3=0,Tab.11[[#This Row],[w.0]],Tab.11[[#This Row],[w.0]]/SUM(Tab.11[w.0])))</f>
        <v>0</v>
      </c>
      <c r="AF68" s="76" t="str">
        <f>IF(Tab.11[[#This Row],[a1]]=0,"false",[3]!Tab.x5[[#This Row],[%_seN_C]])</f>
        <v>false</v>
      </c>
      <c r="AG68" s="77" t="b">
        <f>IF(Tab.11[[#This Row],[a1]]=1,AP68)</f>
        <v>0</v>
      </c>
      <c r="AH68" s="78" t="b">
        <f>IF(Tab.11[[#This Row],[a1]]=1,AQ68)</f>
        <v>0</v>
      </c>
      <c r="AI68" s="41">
        <v>3.0000000000000001E-3</v>
      </c>
      <c r="AJ68" s="79">
        <v>0.04</v>
      </c>
      <c r="AK68" s="80" t="b">
        <f>IF(Tab.11[[#This Row],[a1]]=1,1)</f>
        <v>0</v>
      </c>
      <c r="AZ68"/>
    </row>
    <row r="69" spans="1:52" ht="14.25" hidden="1" customHeight="1" x14ac:dyDescent="0.25">
      <c r="A69" s="61">
        <f t="shared" si="3"/>
        <v>0</v>
      </c>
      <c r="B69" s="62">
        <f t="shared" si="3"/>
        <v>0</v>
      </c>
      <c r="C69" s="62" t="b">
        <f>IF(Tab.11[[#This Row],[a1]]=1,[3]!Tab_x1[[#This Row],[Name]])</f>
        <v>0</v>
      </c>
      <c r="D69" s="63" t="b">
        <f>IF(Tab.11[[#This Row],[a1]]=1,AO69)</f>
        <v>0</v>
      </c>
      <c r="E69" s="63">
        <f t="shared" ref="E69:E132" si="4">AM69</f>
        <v>0</v>
      </c>
      <c r="F69" s="64" t="b">
        <f>IF(Tab.11[[#This Row],[a1]]=1,Tab.11[[#This Row],[b1]])</f>
        <v>0</v>
      </c>
      <c r="G69" s="65" t="b">
        <f>IF(Tab.11[[#This Row],[a1]]=1,IF(Tab.11[[#This Row],[b3]]&gt;$L$989*$G$3,$L$989*$G$3,IF(Tab.11[[#This Row],[b3]]&lt;$M$989*$G$3,$M$989*$G$3,Tab.11[[#This Row],[b3]])))</f>
        <v>0</v>
      </c>
      <c r="H69" s="66" t="b">
        <f>IF(Tab.11[[#This Row],[a1]]=1,Tab.11[[#This Row],[b1]])</f>
        <v>0</v>
      </c>
      <c r="I69" s="67" t="b">
        <f>IF(Tab.11[[#This Row],[a1]]=1,Tab.11[[#This Row],[b1]])</f>
        <v>0</v>
      </c>
      <c r="J69" s="68" t="b">
        <f>IF(Tab.11[[#This Row],[a1]]=1,IF($I$3&lt;0,Tab.11[[#This Row],[b5]]-$I$3,Tab.11[[#This Row],[b5]]))</f>
        <v>0</v>
      </c>
      <c r="K69" s="68" t="b">
        <f>IF(Tab.11[[#This Row],[a1]]=1,IF($K$3=0,Tab.11[b6],Tab.11[[#This Row],[b6]]-AVERAGE(Tab.11[b6])))</f>
        <v>0</v>
      </c>
      <c r="L69" s="69" t="b">
        <f>IF(Tab.11[[#This Row],[a1]]=1,Tab.11[[#This Row],[data]]/(_xlfn.STDEV.P(Tab.11[data])*$B$989)+$A$989)</f>
        <v>0</v>
      </c>
      <c r="M69" s="69" t="b">
        <f>IF(Tab.11[[#This Row],[a1]]=1,Tab.11[[#This Row],[data]]/(_xlfn.STDEV.P(Tab.11[data])*$B$987)-$A$987)</f>
        <v>0</v>
      </c>
      <c r="N69" s="69" t="b">
        <f>IF(Tab.11[[#This Row],[a1]]=1,Tab.11[[#This Row],[data]]/(_xlfn.STDEV.P(Tab.11[data])*$B$988)+$A$988)</f>
        <v>0</v>
      </c>
      <c r="O69" s="70" t="b">
        <f>IF(Tab.11[[#This Row],[a1]]=1,_xlfn.NORM.DIST(Tab.11[[#This Row],[b8]],$P$1,$Q$1,FALSE))</f>
        <v>0</v>
      </c>
      <c r="P69" s="70" t="b">
        <f>IF(Tab.11[[#This Row],[a1]]=1,_xlfn.NORM.DIST(Tab.11[[#This Row],[b9]],$P$1,$Q$1,FALSE))</f>
        <v>0</v>
      </c>
      <c r="Q69" s="70" t="b">
        <f>IF(Tab.11[[#This Row],[a1]]=1,_xlfn.NORM.DIST(Tab.11[[#This Row],[b10]],$P$1,$Q$1,FALSE))</f>
        <v>0</v>
      </c>
      <c r="R69" s="67" t="b">
        <f>IF(Tab.11[[#This Row],[a1]]=1,$I$3+$A$989+IF($K$3=0,Tab.11[[#This Row],[b8]]*_xlfn.STDEV.P(Tab.11[data]),AVERAGE(Tab.11[b6])+Tab.11[[#This Row],[b8]]*_xlfn.STDEV.P(Tab.11[data])))</f>
        <v>0</v>
      </c>
      <c r="S69" s="71" t="b">
        <f>IF(Tab.11[[#This Row],[a1]]=1,$I$3+$A$987+IF($K$3=0,Tab.11[[#This Row],[b9]]*_xlfn.STDEV.P(Tab.11[data]),AVERAGE(Tab.11[b6])+Tab.11[[#This Row],[b9]]*_xlfn.STDEV.P(Tab.11[data])))</f>
        <v>0</v>
      </c>
      <c r="T69" s="71" t="b">
        <f>IF(Tab.11[[#This Row],[a1]]=1,$I$3+$A$988+IF($K$3=0,Tab.11[[#This Row],[b10]]*_xlfn.STDEV.P(Tab.11[data]),AVERAGE(Tab.11[b6])+Tab.11[[#This Row],[b10]]*_xlfn.STDEV.P(Tab.11[data])))</f>
        <v>0</v>
      </c>
      <c r="U69" s="72" t="b">
        <f>IF(Tab.11[[#This Row],[a1]]=1,Tab.11[[#This Row],[target]]-Tab.11[[#This Row],[Red]])</f>
        <v>0</v>
      </c>
      <c r="V69" s="72" t="b">
        <f>IF(Tab.11[[#This Row],[a1]]=1,Tab.11[[#This Row],[target]]-Tab.11[[#This Row],[Blue]])</f>
        <v>0</v>
      </c>
      <c r="W69" s="73" t="b">
        <f>IF(Tab.11[[#This Row],[a1]]=1,IF(ABS(Tab.11[[#This Row],[b17]])+ABS(Tab.11[[#This Row],[b18]])&lt;$W$2,$W$2,ABS(Tab.11[[#This Row],[b17]])+ABS(Tab.11[[#This Row],[b18]])))</f>
        <v>0</v>
      </c>
      <c r="X69" s="136" t="b">
        <f>IF(Tab.11[[#This Row],[a1]]=1,IF($W$3&lt;0,Tab.11[[#This Row],[IN]]-$I$3,Tab.11[[#This Row],[IN]]))</f>
        <v>0</v>
      </c>
      <c r="Y69" s="136" t="b">
        <f>IF(Tab.11[[#This Row],[a1]]=1,IF($X$3=0,Tab.11[b66],Tab.11[[#This Row],[b66]]-AVERAGE(Tab.11[b66])))</f>
        <v>0</v>
      </c>
      <c r="Z69" s="135" t="b">
        <f>IF(Tab.11[[#This Row],[a1]]=1,Tab.11[[#This Row],[b77]]/(_xlfn.STDEV.P(Tab.11[b77])))</f>
        <v>0</v>
      </c>
      <c r="AA69" s="70" t="b">
        <f>IF(Tab.11[[#This Row],[a1]]=1,_xlfn.NORM.DIST(Tab.11[[#This Row],[b88]],$Z$1,$AA$1,FALSE))</f>
        <v>0</v>
      </c>
      <c r="AB69" s="74" t="b">
        <f>IF(Tab.11[[#This Row],[a1]]=1,IF($A$3=0,FALSE,1/Tab.11[[#This Row],[IN]]*$AC$2*IF(Tab.11[[#This Row],[a1]]=0,,$A$3*$AC$1*1/$V$3*(Tab.11[[#This Row],[b14]]))))</f>
        <v>0</v>
      </c>
      <c r="AC69" s="75" t="b">
        <f>IF(Tab.11[[#This Row],[a1]]=1,IF($AC$3=0,Tab.11[[#This Row],[φ1]],Tab.11[[#This Row],[φ1]]/MAX(Tab.11[φ1])))</f>
        <v>0</v>
      </c>
      <c r="AD69" s="74" t="b">
        <f>IF(Tab.11[[#This Row],[a1]]=1,1/Tab.11[[#This Row],[φ2]])</f>
        <v>0</v>
      </c>
      <c r="AE69" s="74" t="b">
        <f>IF(Tab.11[[#This Row],[a1]]=1,IF($AE$3=0,Tab.11[[#This Row],[w.0]],Tab.11[[#This Row],[w.0]]/SUM(Tab.11[w.0])))</f>
        <v>0</v>
      </c>
      <c r="AF69" s="76" t="str">
        <f>IF(Tab.11[[#This Row],[a1]]=0,"false",[3]!Tab.x5[[#This Row],[%_seN_C]])</f>
        <v>false</v>
      </c>
      <c r="AG69" s="77" t="b">
        <f>IF(Tab.11[[#This Row],[a1]]=1,AP69)</f>
        <v>0</v>
      </c>
      <c r="AH69" s="78" t="b">
        <f>IF(Tab.11[[#This Row],[a1]]=1,AQ69)</f>
        <v>0</v>
      </c>
      <c r="AI69" s="41">
        <v>3.0000000000000001E-3</v>
      </c>
      <c r="AJ69" s="79">
        <v>0.06</v>
      </c>
      <c r="AK69" s="80" t="b">
        <f>IF(Tab.11[[#This Row],[a1]]=1,1)</f>
        <v>0</v>
      </c>
      <c r="AZ69"/>
    </row>
    <row r="70" spans="1:52" ht="14.25" hidden="1" customHeight="1" x14ac:dyDescent="0.25">
      <c r="A70" s="61">
        <f t="shared" si="3"/>
        <v>0</v>
      </c>
      <c r="B70" s="62">
        <f t="shared" si="3"/>
        <v>0</v>
      </c>
      <c r="C70" s="62" t="b">
        <f>IF(Tab.11[[#This Row],[a1]]=1,[3]!Tab_x1[[#This Row],[Name]])</f>
        <v>0</v>
      </c>
      <c r="D70" s="63" t="b">
        <f>IF(Tab.11[[#This Row],[a1]]=1,AO70)</f>
        <v>0</v>
      </c>
      <c r="E70" s="63">
        <f t="shared" si="4"/>
        <v>0</v>
      </c>
      <c r="F70" s="64" t="b">
        <f>IF(Tab.11[[#This Row],[a1]]=1,Tab.11[[#This Row],[b1]])</f>
        <v>0</v>
      </c>
      <c r="G70" s="65" t="b">
        <f>IF(Tab.11[[#This Row],[a1]]=1,IF(Tab.11[[#This Row],[b3]]&gt;$L$989*$G$3,$L$989*$G$3,IF(Tab.11[[#This Row],[b3]]&lt;$M$989*$G$3,$M$989*$G$3,Tab.11[[#This Row],[b3]])))</f>
        <v>0</v>
      </c>
      <c r="H70" s="66" t="b">
        <f>IF(Tab.11[[#This Row],[a1]]=1,Tab.11[[#This Row],[b1]])</f>
        <v>0</v>
      </c>
      <c r="I70" s="67" t="b">
        <f>IF(Tab.11[[#This Row],[a1]]=1,Tab.11[[#This Row],[b1]])</f>
        <v>0</v>
      </c>
      <c r="J70" s="68" t="b">
        <f>IF(Tab.11[[#This Row],[a1]]=1,IF($I$3&lt;0,Tab.11[[#This Row],[b5]]-$I$3,Tab.11[[#This Row],[b5]]))</f>
        <v>0</v>
      </c>
      <c r="K70" s="68" t="b">
        <f>IF(Tab.11[[#This Row],[a1]]=1,IF($K$3=0,Tab.11[b6],Tab.11[[#This Row],[b6]]-AVERAGE(Tab.11[b6])))</f>
        <v>0</v>
      </c>
      <c r="L70" s="69" t="b">
        <f>IF(Tab.11[[#This Row],[a1]]=1,Tab.11[[#This Row],[data]]/(_xlfn.STDEV.P(Tab.11[data])*$B$989)+$A$989)</f>
        <v>0</v>
      </c>
      <c r="M70" s="69" t="b">
        <f>IF(Tab.11[[#This Row],[a1]]=1,Tab.11[[#This Row],[data]]/(_xlfn.STDEV.P(Tab.11[data])*$B$987)-$A$987)</f>
        <v>0</v>
      </c>
      <c r="N70" s="69" t="b">
        <f>IF(Tab.11[[#This Row],[a1]]=1,Tab.11[[#This Row],[data]]/(_xlfn.STDEV.P(Tab.11[data])*$B$988)+$A$988)</f>
        <v>0</v>
      </c>
      <c r="O70" s="70" t="b">
        <f>IF(Tab.11[[#This Row],[a1]]=1,_xlfn.NORM.DIST(Tab.11[[#This Row],[b8]],$P$1,$Q$1,FALSE))</f>
        <v>0</v>
      </c>
      <c r="P70" s="70" t="b">
        <f>IF(Tab.11[[#This Row],[a1]]=1,_xlfn.NORM.DIST(Tab.11[[#This Row],[b9]],$P$1,$Q$1,FALSE))</f>
        <v>0</v>
      </c>
      <c r="Q70" s="70" t="b">
        <f>IF(Tab.11[[#This Row],[a1]]=1,_xlfn.NORM.DIST(Tab.11[[#This Row],[b10]],$P$1,$Q$1,FALSE))</f>
        <v>0</v>
      </c>
      <c r="R70" s="67" t="b">
        <f>IF(Tab.11[[#This Row],[a1]]=1,$I$3+$A$989+IF($K$3=0,Tab.11[[#This Row],[b8]]*_xlfn.STDEV.P(Tab.11[data]),AVERAGE(Tab.11[b6])+Tab.11[[#This Row],[b8]]*_xlfn.STDEV.P(Tab.11[data])))</f>
        <v>0</v>
      </c>
      <c r="S70" s="71" t="b">
        <f>IF(Tab.11[[#This Row],[a1]]=1,$I$3+$A$987+IF($K$3=0,Tab.11[[#This Row],[b9]]*_xlfn.STDEV.P(Tab.11[data]),AVERAGE(Tab.11[b6])+Tab.11[[#This Row],[b9]]*_xlfn.STDEV.P(Tab.11[data])))</f>
        <v>0</v>
      </c>
      <c r="T70" s="71" t="b">
        <f>IF(Tab.11[[#This Row],[a1]]=1,$I$3+$A$988+IF($K$3=0,Tab.11[[#This Row],[b10]]*_xlfn.STDEV.P(Tab.11[data]),AVERAGE(Tab.11[b6])+Tab.11[[#This Row],[b10]]*_xlfn.STDEV.P(Tab.11[data])))</f>
        <v>0</v>
      </c>
      <c r="U70" s="72" t="b">
        <f>IF(Tab.11[[#This Row],[a1]]=1,Tab.11[[#This Row],[target]]-Tab.11[[#This Row],[Red]])</f>
        <v>0</v>
      </c>
      <c r="V70" s="72" t="b">
        <f>IF(Tab.11[[#This Row],[a1]]=1,Tab.11[[#This Row],[target]]-Tab.11[[#This Row],[Blue]])</f>
        <v>0</v>
      </c>
      <c r="W70" s="73" t="b">
        <f>IF(Tab.11[[#This Row],[a1]]=1,IF(ABS(Tab.11[[#This Row],[b17]])+ABS(Tab.11[[#This Row],[b18]])&lt;$W$2,$W$2,ABS(Tab.11[[#This Row],[b17]])+ABS(Tab.11[[#This Row],[b18]])))</f>
        <v>0</v>
      </c>
      <c r="X70" s="136" t="b">
        <f>IF(Tab.11[[#This Row],[a1]]=1,IF($W$3&lt;0,Tab.11[[#This Row],[IN]]-$I$3,Tab.11[[#This Row],[IN]]))</f>
        <v>0</v>
      </c>
      <c r="Y70" s="136" t="b">
        <f>IF(Tab.11[[#This Row],[a1]]=1,IF($X$3=0,Tab.11[b66],Tab.11[[#This Row],[b66]]-AVERAGE(Tab.11[b66])))</f>
        <v>0</v>
      </c>
      <c r="Z70" s="135" t="b">
        <f>IF(Tab.11[[#This Row],[a1]]=1,Tab.11[[#This Row],[b77]]/(_xlfn.STDEV.P(Tab.11[b77])))</f>
        <v>0</v>
      </c>
      <c r="AA70" s="70" t="b">
        <f>IF(Tab.11[[#This Row],[a1]]=1,_xlfn.NORM.DIST(Tab.11[[#This Row],[b88]],$Z$1,$AA$1,FALSE))</f>
        <v>0</v>
      </c>
      <c r="AB70" s="74" t="b">
        <f>IF(Tab.11[[#This Row],[a1]]=1,IF($A$3=0,FALSE,1/Tab.11[[#This Row],[IN]]*$AC$2*IF(Tab.11[[#This Row],[a1]]=0,,$A$3*$AC$1*1/$V$3*(Tab.11[[#This Row],[b14]]))))</f>
        <v>0</v>
      </c>
      <c r="AC70" s="75" t="b">
        <f>IF(Tab.11[[#This Row],[a1]]=1,IF($AC$3=0,Tab.11[[#This Row],[φ1]],Tab.11[[#This Row],[φ1]]/MAX(Tab.11[φ1])))</f>
        <v>0</v>
      </c>
      <c r="AD70" s="74" t="b">
        <f>IF(Tab.11[[#This Row],[a1]]=1,1/Tab.11[[#This Row],[φ2]])</f>
        <v>0</v>
      </c>
      <c r="AE70" s="74" t="b">
        <f>IF(Tab.11[[#This Row],[a1]]=1,IF($AE$3=0,Tab.11[[#This Row],[w.0]],Tab.11[[#This Row],[w.0]]/SUM(Tab.11[w.0])))</f>
        <v>0</v>
      </c>
      <c r="AF70" s="76" t="str">
        <f>IF(Tab.11[[#This Row],[a1]]=0,"false",[3]!Tab.x5[[#This Row],[%_seN_C]])</f>
        <v>false</v>
      </c>
      <c r="AG70" s="77" t="b">
        <f>IF(Tab.11[[#This Row],[a1]]=1,AP70)</f>
        <v>0</v>
      </c>
      <c r="AH70" s="78" t="b">
        <f>IF(Tab.11[[#This Row],[a1]]=1,AQ70)</f>
        <v>0</v>
      </c>
      <c r="AI70" s="41">
        <v>3.0000000000000001E-3</v>
      </c>
      <c r="AJ70" s="79">
        <v>0.04</v>
      </c>
      <c r="AK70" s="80" t="b">
        <f>IF(Tab.11[[#This Row],[a1]]=1,1)</f>
        <v>0</v>
      </c>
      <c r="AZ70"/>
    </row>
    <row r="71" spans="1:52" ht="14.25" hidden="1" customHeight="1" x14ac:dyDescent="0.25">
      <c r="A71" s="61">
        <f t="shared" si="3"/>
        <v>0</v>
      </c>
      <c r="B71" s="62">
        <f t="shared" si="3"/>
        <v>0</v>
      </c>
      <c r="C71" s="62" t="b">
        <f>IF(Tab.11[[#This Row],[a1]]=1,[3]!Tab_x1[[#This Row],[Name]])</f>
        <v>0</v>
      </c>
      <c r="D71" s="63" t="b">
        <f>IF(Tab.11[[#This Row],[a1]]=1,AO71)</f>
        <v>0</v>
      </c>
      <c r="E71" s="63">
        <f t="shared" si="4"/>
        <v>0</v>
      </c>
      <c r="F71" s="64" t="b">
        <f>IF(Tab.11[[#This Row],[a1]]=1,Tab.11[[#This Row],[b1]])</f>
        <v>0</v>
      </c>
      <c r="G71" s="65" t="b">
        <f>IF(Tab.11[[#This Row],[a1]]=1,IF(Tab.11[[#This Row],[b3]]&gt;$L$989*$G$3,$L$989*$G$3,IF(Tab.11[[#This Row],[b3]]&lt;$M$989*$G$3,$M$989*$G$3,Tab.11[[#This Row],[b3]])))</f>
        <v>0</v>
      </c>
      <c r="H71" s="66" t="b">
        <f>IF(Tab.11[[#This Row],[a1]]=1,Tab.11[[#This Row],[b1]])</f>
        <v>0</v>
      </c>
      <c r="I71" s="67" t="b">
        <f>IF(Tab.11[[#This Row],[a1]]=1,Tab.11[[#This Row],[b1]])</f>
        <v>0</v>
      </c>
      <c r="J71" s="68" t="b">
        <f>IF(Tab.11[[#This Row],[a1]]=1,IF($I$3&lt;0,Tab.11[[#This Row],[b5]]-$I$3,Tab.11[[#This Row],[b5]]))</f>
        <v>0</v>
      </c>
      <c r="K71" s="68" t="b">
        <f>IF(Tab.11[[#This Row],[a1]]=1,IF($K$3=0,Tab.11[b6],Tab.11[[#This Row],[b6]]-AVERAGE(Tab.11[b6])))</f>
        <v>0</v>
      </c>
      <c r="L71" s="69" t="b">
        <f>IF(Tab.11[[#This Row],[a1]]=1,Tab.11[[#This Row],[data]]/(_xlfn.STDEV.P(Tab.11[data])*$B$989)+$A$989)</f>
        <v>0</v>
      </c>
      <c r="M71" s="69" t="b">
        <f>IF(Tab.11[[#This Row],[a1]]=1,Tab.11[[#This Row],[data]]/(_xlfn.STDEV.P(Tab.11[data])*$B$987)-$A$987)</f>
        <v>0</v>
      </c>
      <c r="N71" s="69" t="b">
        <f>IF(Tab.11[[#This Row],[a1]]=1,Tab.11[[#This Row],[data]]/(_xlfn.STDEV.P(Tab.11[data])*$B$988)+$A$988)</f>
        <v>0</v>
      </c>
      <c r="O71" s="70" t="b">
        <f>IF(Tab.11[[#This Row],[a1]]=1,_xlfn.NORM.DIST(Tab.11[[#This Row],[b8]],$P$1,$Q$1,FALSE))</f>
        <v>0</v>
      </c>
      <c r="P71" s="70" t="b">
        <f>IF(Tab.11[[#This Row],[a1]]=1,_xlfn.NORM.DIST(Tab.11[[#This Row],[b9]],$P$1,$Q$1,FALSE))</f>
        <v>0</v>
      </c>
      <c r="Q71" s="70" t="b">
        <f>IF(Tab.11[[#This Row],[a1]]=1,_xlfn.NORM.DIST(Tab.11[[#This Row],[b10]],$P$1,$Q$1,FALSE))</f>
        <v>0</v>
      </c>
      <c r="R71" s="67" t="b">
        <f>IF(Tab.11[[#This Row],[a1]]=1,$I$3+$A$989+IF($K$3=0,Tab.11[[#This Row],[b8]]*_xlfn.STDEV.P(Tab.11[data]),AVERAGE(Tab.11[b6])+Tab.11[[#This Row],[b8]]*_xlfn.STDEV.P(Tab.11[data])))</f>
        <v>0</v>
      </c>
      <c r="S71" s="71" t="b">
        <f>IF(Tab.11[[#This Row],[a1]]=1,$I$3+$A$987+IF($K$3=0,Tab.11[[#This Row],[b9]]*_xlfn.STDEV.P(Tab.11[data]),AVERAGE(Tab.11[b6])+Tab.11[[#This Row],[b9]]*_xlfn.STDEV.P(Tab.11[data])))</f>
        <v>0</v>
      </c>
      <c r="T71" s="71" t="b">
        <f>IF(Tab.11[[#This Row],[a1]]=1,$I$3+$A$988+IF($K$3=0,Tab.11[[#This Row],[b10]]*_xlfn.STDEV.P(Tab.11[data]),AVERAGE(Tab.11[b6])+Tab.11[[#This Row],[b10]]*_xlfn.STDEV.P(Tab.11[data])))</f>
        <v>0</v>
      </c>
      <c r="U71" s="72" t="b">
        <f>IF(Tab.11[[#This Row],[a1]]=1,Tab.11[[#This Row],[target]]-Tab.11[[#This Row],[Red]])</f>
        <v>0</v>
      </c>
      <c r="V71" s="72" t="b">
        <f>IF(Tab.11[[#This Row],[a1]]=1,Tab.11[[#This Row],[target]]-Tab.11[[#This Row],[Blue]])</f>
        <v>0</v>
      </c>
      <c r="W71" s="73" t="b">
        <f>IF(Tab.11[[#This Row],[a1]]=1,IF(ABS(Tab.11[[#This Row],[b17]])+ABS(Tab.11[[#This Row],[b18]])&lt;$W$2,$W$2,ABS(Tab.11[[#This Row],[b17]])+ABS(Tab.11[[#This Row],[b18]])))</f>
        <v>0</v>
      </c>
      <c r="X71" s="136" t="b">
        <f>IF(Tab.11[[#This Row],[a1]]=1,IF($W$3&lt;0,Tab.11[[#This Row],[IN]]-$I$3,Tab.11[[#This Row],[IN]]))</f>
        <v>0</v>
      </c>
      <c r="Y71" s="136" t="b">
        <f>IF(Tab.11[[#This Row],[a1]]=1,IF($X$3=0,Tab.11[b66],Tab.11[[#This Row],[b66]]-AVERAGE(Tab.11[b66])))</f>
        <v>0</v>
      </c>
      <c r="Z71" s="135" t="b">
        <f>IF(Tab.11[[#This Row],[a1]]=1,Tab.11[[#This Row],[b77]]/(_xlfn.STDEV.P(Tab.11[b77])))</f>
        <v>0</v>
      </c>
      <c r="AA71" s="70" t="b">
        <f>IF(Tab.11[[#This Row],[a1]]=1,_xlfn.NORM.DIST(Tab.11[[#This Row],[b88]],$Z$1,$AA$1,FALSE))</f>
        <v>0</v>
      </c>
      <c r="AB71" s="74" t="b">
        <f>IF(Tab.11[[#This Row],[a1]]=1,IF($A$3=0,FALSE,1/Tab.11[[#This Row],[IN]]*$AC$2*IF(Tab.11[[#This Row],[a1]]=0,,$A$3*$AC$1*1/$V$3*(Tab.11[[#This Row],[b14]]))))</f>
        <v>0</v>
      </c>
      <c r="AC71" s="75" t="b">
        <f>IF(Tab.11[[#This Row],[a1]]=1,IF($AC$3=0,Tab.11[[#This Row],[φ1]],Tab.11[[#This Row],[φ1]]/MAX(Tab.11[φ1])))</f>
        <v>0</v>
      </c>
      <c r="AD71" s="74" t="b">
        <f>IF(Tab.11[[#This Row],[a1]]=1,1/Tab.11[[#This Row],[φ2]])</f>
        <v>0</v>
      </c>
      <c r="AE71" s="74" t="b">
        <f>IF(Tab.11[[#This Row],[a1]]=1,IF($AE$3=0,Tab.11[[#This Row],[w.0]],Tab.11[[#This Row],[w.0]]/SUM(Tab.11[w.0])))</f>
        <v>0</v>
      </c>
      <c r="AF71" s="76" t="str">
        <f>IF(Tab.11[[#This Row],[a1]]=0,"false",[3]!Tab.x5[[#This Row],[%_seN_C]])</f>
        <v>false</v>
      </c>
      <c r="AG71" s="77" t="b">
        <f>IF(Tab.11[[#This Row],[a1]]=1,AP71)</f>
        <v>0</v>
      </c>
      <c r="AH71" s="78" t="b">
        <f>IF(Tab.11[[#This Row],[a1]]=1,AQ71)</f>
        <v>0</v>
      </c>
      <c r="AI71" s="41">
        <v>3.0000000000000001E-3</v>
      </c>
      <c r="AJ71" s="79">
        <v>7.0000000000000007E-2</v>
      </c>
      <c r="AK71" s="80" t="b">
        <f>IF(Tab.11[[#This Row],[a1]]=1,1)</f>
        <v>0</v>
      </c>
      <c r="AZ71"/>
    </row>
    <row r="72" spans="1:52" ht="14.25" hidden="1" customHeight="1" x14ac:dyDescent="0.25">
      <c r="A72" s="61">
        <f t="shared" si="3"/>
        <v>0</v>
      </c>
      <c r="B72" s="62">
        <f t="shared" si="3"/>
        <v>0</v>
      </c>
      <c r="C72" s="62" t="b">
        <f>IF(Tab.11[[#This Row],[a1]]=1,[3]!Tab_x1[[#This Row],[Name]])</f>
        <v>0</v>
      </c>
      <c r="D72" s="63" t="b">
        <f>IF(Tab.11[[#This Row],[a1]]=1,AO72)</f>
        <v>0</v>
      </c>
      <c r="E72" s="63">
        <f t="shared" si="4"/>
        <v>0</v>
      </c>
      <c r="F72" s="64" t="b">
        <f>IF(Tab.11[[#This Row],[a1]]=1,Tab.11[[#This Row],[b1]])</f>
        <v>0</v>
      </c>
      <c r="G72" s="65" t="b">
        <f>IF(Tab.11[[#This Row],[a1]]=1,IF(Tab.11[[#This Row],[b3]]&gt;$L$989*$G$3,$L$989*$G$3,IF(Tab.11[[#This Row],[b3]]&lt;$M$989*$G$3,$M$989*$G$3,Tab.11[[#This Row],[b3]])))</f>
        <v>0</v>
      </c>
      <c r="H72" s="66" t="b">
        <f>IF(Tab.11[[#This Row],[a1]]=1,Tab.11[[#This Row],[b1]])</f>
        <v>0</v>
      </c>
      <c r="I72" s="67" t="b">
        <f>IF(Tab.11[[#This Row],[a1]]=1,Tab.11[[#This Row],[b1]])</f>
        <v>0</v>
      </c>
      <c r="J72" s="68" t="b">
        <f>IF(Tab.11[[#This Row],[a1]]=1,IF($I$3&lt;0,Tab.11[[#This Row],[b5]]-$I$3,Tab.11[[#This Row],[b5]]))</f>
        <v>0</v>
      </c>
      <c r="K72" s="68" t="b">
        <f>IF(Tab.11[[#This Row],[a1]]=1,IF($K$3=0,Tab.11[b6],Tab.11[[#This Row],[b6]]-AVERAGE(Tab.11[b6])))</f>
        <v>0</v>
      </c>
      <c r="L72" s="69" t="b">
        <f>IF(Tab.11[[#This Row],[a1]]=1,Tab.11[[#This Row],[data]]/(_xlfn.STDEV.P(Tab.11[data])*$B$989)+$A$989)</f>
        <v>0</v>
      </c>
      <c r="M72" s="69" t="b">
        <f>IF(Tab.11[[#This Row],[a1]]=1,Tab.11[[#This Row],[data]]/(_xlfn.STDEV.P(Tab.11[data])*$B$987)-$A$987)</f>
        <v>0</v>
      </c>
      <c r="N72" s="69" t="b">
        <f>IF(Tab.11[[#This Row],[a1]]=1,Tab.11[[#This Row],[data]]/(_xlfn.STDEV.P(Tab.11[data])*$B$988)+$A$988)</f>
        <v>0</v>
      </c>
      <c r="O72" s="70" t="b">
        <f>IF(Tab.11[[#This Row],[a1]]=1,_xlfn.NORM.DIST(Tab.11[[#This Row],[b8]],$P$1,$Q$1,FALSE))</f>
        <v>0</v>
      </c>
      <c r="P72" s="70" t="b">
        <f>IF(Tab.11[[#This Row],[a1]]=1,_xlfn.NORM.DIST(Tab.11[[#This Row],[b9]],$P$1,$Q$1,FALSE))</f>
        <v>0</v>
      </c>
      <c r="Q72" s="70" t="b">
        <f>IF(Tab.11[[#This Row],[a1]]=1,_xlfn.NORM.DIST(Tab.11[[#This Row],[b10]],$P$1,$Q$1,FALSE))</f>
        <v>0</v>
      </c>
      <c r="R72" s="67" t="b">
        <f>IF(Tab.11[[#This Row],[a1]]=1,$I$3+$A$989+IF($K$3=0,Tab.11[[#This Row],[b8]]*_xlfn.STDEV.P(Tab.11[data]),AVERAGE(Tab.11[b6])+Tab.11[[#This Row],[b8]]*_xlfn.STDEV.P(Tab.11[data])))</f>
        <v>0</v>
      </c>
      <c r="S72" s="71" t="b">
        <f>IF(Tab.11[[#This Row],[a1]]=1,$I$3+$A$987+IF($K$3=0,Tab.11[[#This Row],[b9]]*_xlfn.STDEV.P(Tab.11[data]),AVERAGE(Tab.11[b6])+Tab.11[[#This Row],[b9]]*_xlfn.STDEV.P(Tab.11[data])))</f>
        <v>0</v>
      </c>
      <c r="T72" s="71" t="b">
        <f>IF(Tab.11[[#This Row],[a1]]=1,$I$3+$A$988+IF($K$3=0,Tab.11[[#This Row],[b10]]*_xlfn.STDEV.P(Tab.11[data]),AVERAGE(Tab.11[b6])+Tab.11[[#This Row],[b10]]*_xlfn.STDEV.P(Tab.11[data])))</f>
        <v>0</v>
      </c>
      <c r="U72" s="72" t="b">
        <f>IF(Tab.11[[#This Row],[a1]]=1,Tab.11[[#This Row],[target]]-Tab.11[[#This Row],[Red]])</f>
        <v>0</v>
      </c>
      <c r="V72" s="72" t="b">
        <f>IF(Tab.11[[#This Row],[a1]]=1,Tab.11[[#This Row],[target]]-Tab.11[[#This Row],[Blue]])</f>
        <v>0</v>
      </c>
      <c r="W72" s="73" t="b">
        <f>IF(Tab.11[[#This Row],[a1]]=1,IF(ABS(Tab.11[[#This Row],[b17]])+ABS(Tab.11[[#This Row],[b18]])&lt;$W$2,$W$2,ABS(Tab.11[[#This Row],[b17]])+ABS(Tab.11[[#This Row],[b18]])))</f>
        <v>0</v>
      </c>
      <c r="X72" s="136" t="b">
        <f>IF(Tab.11[[#This Row],[a1]]=1,IF($W$3&lt;0,Tab.11[[#This Row],[IN]]-$I$3,Tab.11[[#This Row],[IN]]))</f>
        <v>0</v>
      </c>
      <c r="Y72" s="136" t="b">
        <f>IF(Tab.11[[#This Row],[a1]]=1,IF($X$3=0,Tab.11[b66],Tab.11[[#This Row],[b66]]-AVERAGE(Tab.11[b66])))</f>
        <v>0</v>
      </c>
      <c r="Z72" s="135" t="b">
        <f>IF(Tab.11[[#This Row],[a1]]=1,Tab.11[[#This Row],[b77]]/(_xlfn.STDEV.P(Tab.11[b77])))</f>
        <v>0</v>
      </c>
      <c r="AA72" s="70" t="b">
        <f>IF(Tab.11[[#This Row],[a1]]=1,_xlfn.NORM.DIST(Tab.11[[#This Row],[b88]],$Z$1,$AA$1,FALSE))</f>
        <v>0</v>
      </c>
      <c r="AB72" s="74" t="b">
        <f>IF(Tab.11[[#This Row],[a1]]=1,IF($A$3=0,FALSE,1/Tab.11[[#This Row],[IN]]*$AC$2*IF(Tab.11[[#This Row],[a1]]=0,,$A$3*$AC$1*1/$V$3*(Tab.11[[#This Row],[b14]]))))</f>
        <v>0</v>
      </c>
      <c r="AC72" s="75" t="b">
        <f>IF(Tab.11[[#This Row],[a1]]=1,IF($AC$3=0,Tab.11[[#This Row],[φ1]],Tab.11[[#This Row],[φ1]]/MAX(Tab.11[φ1])))</f>
        <v>0</v>
      </c>
      <c r="AD72" s="74" t="b">
        <f>IF(Tab.11[[#This Row],[a1]]=1,1/Tab.11[[#This Row],[φ2]])</f>
        <v>0</v>
      </c>
      <c r="AE72" s="74" t="b">
        <f>IF(Tab.11[[#This Row],[a1]]=1,IF($AE$3=0,Tab.11[[#This Row],[w.0]],Tab.11[[#This Row],[w.0]]/SUM(Tab.11[w.0])))</f>
        <v>0</v>
      </c>
      <c r="AF72" s="76" t="str">
        <f>IF(Tab.11[[#This Row],[a1]]=0,"false",[3]!Tab.x5[[#This Row],[%_seN_C]])</f>
        <v>false</v>
      </c>
      <c r="AG72" s="77" t="b">
        <f>IF(Tab.11[[#This Row],[a1]]=1,AP72)</f>
        <v>0</v>
      </c>
      <c r="AH72" s="78" t="b">
        <f>IF(Tab.11[[#This Row],[a1]]=1,AQ72)</f>
        <v>0</v>
      </c>
      <c r="AI72" s="41">
        <v>3.0000000000000001E-3</v>
      </c>
      <c r="AJ72" s="79">
        <v>0.06</v>
      </c>
      <c r="AK72" s="80" t="b">
        <f>IF(Tab.11[[#This Row],[a1]]=1,1)</f>
        <v>0</v>
      </c>
      <c r="AZ72"/>
    </row>
    <row r="73" spans="1:52" ht="14.25" hidden="1" customHeight="1" x14ac:dyDescent="0.25">
      <c r="A73" s="61">
        <f t="shared" si="3"/>
        <v>0</v>
      </c>
      <c r="B73" s="62">
        <f t="shared" si="3"/>
        <v>0</v>
      </c>
      <c r="C73" s="62" t="b">
        <f>IF(Tab.11[[#This Row],[a1]]=1,[3]!Tab_x1[[#This Row],[Name]])</f>
        <v>0</v>
      </c>
      <c r="D73" s="63" t="b">
        <f>IF(Tab.11[[#This Row],[a1]]=1,AO73)</f>
        <v>0</v>
      </c>
      <c r="E73" s="63">
        <f t="shared" si="4"/>
        <v>0</v>
      </c>
      <c r="F73" s="64" t="b">
        <f>IF(Tab.11[[#This Row],[a1]]=1,Tab.11[[#This Row],[b1]])</f>
        <v>0</v>
      </c>
      <c r="G73" s="65" t="b">
        <f>IF(Tab.11[[#This Row],[a1]]=1,IF(Tab.11[[#This Row],[b3]]&gt;$L$989*$G$3,$L$989*$G$3,IF(Tab.11[[#This Row],[b3]]&lt;$M$989*$G$3,$M$989*$G$3,Tab.11[[#This Row],[b3]])))</f>
        <v>0</v>
      </c>
      <c r="H73" s="66" t="b">
        <f>IF(Tab.11[[#This Row],[a1]]=1,Tab.11[[#This Row],[b1]])</f>
        <v>0</v>
      </c>
      <c r="I73" s="67" t="b">
        <f>IF(Tab.11[[#This Row],[a1]]=1,Tab.11[[#This Row],[b1]])</f>
        <v>0</v>
      </c>
      <c r="J73" s="68" t="b">
        <f>IF(Tab.11[[#This Row],[a1]]=1,IF($I$3&lt;0,Tab.11[[#This Row],[b5]]-$I$3,Tab.11[[#This Row],[b5]]))</f>
        <v>0</v>
      </c>
      <c r="K73" s="68" t="b">
        <f>IF(Tab.11[[#This Row],[a1]]=1,IF($K$3=0,Tab.11[b6],Tab.11[[#This Row],[b6]]-AVERAGE(Tab.11[b6])))</f>
        <v>0</v>
      </c>
      <c r="L73" s="69" t="b">
        <f>IF(Tab.11[[#This Row],[a1]]=1,Tab.11[[#This Row],[data]]/(_xlfn.STDEV.P(Tab.11[data])*$B$989)+$A$989)</f>
        <v>0</v>
      </c>
      <c r="M73" s="69" t="b">
        <f>IF(Tab.11[[#This Row],[a1]]=1,Tab.11[[#This Row],[data]]/(_xlfn.STDEV.P(Tab.11[data])*$B$987)-$A$987)</f>
        <v>0</v>
      </c>
      <c r="N73" s="69" t="b">
        <f>IF(Tab.11[[#This Row],[a1]]=1,Tab.11[[#This Row],[data]]/(_xlfn.STDEV.P(Tab.11[data])*$B$988)+$A$988)</f>
        <v>0</v>
      </c>
      <c r="O73" s="70" t="b">
        <f>IF(Tab.11[[#This Row],[a1]]=1,_xlfn.NORM.DIST(Tab.11[[#This Row],[b8]],$P$1,$Q$1,FALSE))</f>
        <v>0</v>
      </c>
      <c r="P73" s="70" t="b">
        <f>IF(Tab.11[[#This Row],[a1]]=1,_xlfn.NORM.DIST(Tab.11[[#This Row],[b9]],$P$1,$Q$1,FALSE))</f>
        <v>0</v>
      </c>
      <c r="Q73" s="70" t="b">
        <f>IF(Tab.11[[#This Row],[a1]]=1,_xlfn.NORM.DIST(Tab.11[[#This Row],[b10]],$P$1,$Q$1,FALSE))</f>
        <v>0</v>
      </c>
      <c r="R73" s="67" t="b">
        <f>IF(Tab.11[[#This Row],[a1]]=1,$I$3+$A$989+IF($K$3=0,Tab.11[[#This Row],[b8]]*_xlfn.STDEV.P(Tab.11[data]),AVERAGE(Tab.11[b6])+Tab.11[[#This Row],[b8]]*_xlfn.STDEV.P(Tab.11[data])))</f>
        <v>0</v>
      </c>
      <c r="S73" s="71" t="b">
        <f>IF(Tab.11[[#This Row],[a1]]=1,$I$3+$A$987+IF($K$3=0,Tab.11[[#This Row],[b9]]*_xlfn.STDEV.P(Tab.11[data]),AVERAGE(Tab.11[b6])+Tab.11[[#This Row],[b9]]*_xlfn.STDEV.P(Tab.11[data])))</f>
        <v>0</v>
      </c>
      <c r="T73" s="71" t="b">
        <f>IF(Tab.11[[#This Row],[a1]]=1,$I$3+$A$988+IF($K$3=0,Tab.11[[#This Row],[b10]]*_xlfn.STDEV.P(Tab.11[data]),AVERAGE(Tab.11[b6])+Tab.11[[#This Row],[b10]]*_xlfn.STDEV.P(Tab.11[data])))</f>
        <v>0</v>
      </c>
      <c r="U73" s="72" t="b">
        <f>IF(Tab.11[[#This Row],[a1]]=1,Tab.11[[#This Row],[target]]-Tab.11[[#This Row],[Red]])</f>
        <v>0</v>
      </c>
      <c r="V73" s="72" t="b">
        <f>IF(Tab.11[[#This Row],[a1]]=1,Tab.11[[#This Row],[target]]-Tab.11[[#This Row],[Blue]])</f>
        <v>0</v>
      </c>
      <c r="W73" s="73" t="b">
        <f>IF(Tab.11[[#This Row],[a1]]=1,IF(ABS(Tab.11[[#This Row],[b17]])+ABS(Tab.11[[#This Row],[b18]])&lt;$W$2,$W$2,ABS(Tab.11[[#This Row],[b17]])+ABS(Tab.11[[#This Row],[b18]])))</f>
        <v>0</v>
      </c>
      <c r="X73" s="136" t="b">
        <f>IF(Tab.11[[#This Row],[a1]]=1,IF($W$3&lt;0,Tab.11[[#This Row],[IN]]-$I$3,Tab.11[[#This Row],[IN]]))</f>
        <v>0</v>
      </c>
      <c r="Y73" s="136" t="b">
        <f>IF(Tab.11[[#This Row],[a1]]=1,IF($X$3=0,Tab.11[b66],Tab.11[[#This Row],[b66]]-AVERAGE(Tab.11[b66])))</f>
        <v>0</v>
      </c>
      <c r="Z73" s="135" t="b">
        <f>IF(Tab.11[[#This Row],[a1]]=1,Tab.11[[#This Row],[b77]]/(_xlfn.STDEV.P(Tab.11[b77])))</f>
        <v>0</v>
      </c>
      <c r="AA73" s="70" t="b">
        <f>IF(Tab.11[[#This Row],[a1]]=1,_xlfn.NORM.DIST(Tab.11[[#This Row],[b88]],$Z$1,$AA$1,FALSE))</f>
        <v>0</v>
      </c>
      <c r="AB73" s="74" t="b">
        <f>IF(Tab.11[[#This Row],[a1]]=1,IF($A$3=0,FALSE,1/Tab.11[[#This Row],[IN]]*$AC$2*IF(Tab.11[[#This Row],[a1]]=0,,$A$3*$AC$1*1/$V$3*(Tab.11[[#This Row],[b14]]))))</f>
        <v>0</v>
      </c>
      <c r="AC73" s="75" t="b">
        <f>IF(Tab.11[[#This Row],[a1]]=1,IF($AC$3=0,Tab.11[[#This Row],[φ1]],Tab.11[[#This Row],[φ1]]/MAX(Tab.11[φ1])))</f>
        <v>0</v>
      </c>
      <c r="AD73" s="74" t="b">
        <f>IF(Tab.11[[#This Row],[a1]]=1,1/Tab.11[[#This Row],[φ2]])</f>
        <v>0</v>
      </c>
      <c r="AE73" s="74" t="b">
        <f>IF(Tab.11[[#This Row],[a1]]=1,IF($AE$3=0,Tab.11[[#This Row],[w.0]],Tab.11[[#This Row],[w.0]]/SUM(Tab.11[w.0])))</f>
        <v>0</v>
      </c>
      <c r="AF73" s="76" t="str">
        <f>IF(Tab.11[[#This Row],[a1]]=0,"false",[3]!Tab.x5[[#This Row],[%_seN_C]])</f>
        <v>false</v>
      </c>
      <c r="AG73" s="77" t="b">
        <f>IF(Tab.11[[#This Row],[a1]]=1,AP73)</f>
        <v>0</v>
      </c>
      <c r="AH73" s="78" t="b">
        <f>IF(Tab.11[[#This Row],[a1]]=1,AQ73)</f>
        <v>0</v>
      </c>
      <c r="AI73" s="41">
        <v>3.0000000000000001E-3</v>
      </c>
      <c r="AJ73" s="79">
        <v>0.01</v>
      </c>
      <c r="AK73" s="80" t="b">
        <f>IF(Tab.11[[#This Row],[a1]]=1,1)</f>
        <v>0</v>
      </c>
      <c r="AZ73"/>
    </row>
    <row r="74" spans="1:52" ht="14.25" hidden="1" customHeight="1" x14ac:dyDescent="0.25">
      <c r="A74" s="61">
        <f t="shared" si="3"/>
        <v>0</v>
      </c>
      <c r="B74" s="62">
        <f t="shared" si="3"/>
        <v>0</v>
      </c>
      <c r="C74" s="62" t="b">
        <f>IF(Tab.11[[#This Row],[a1]]=1,[3]!Tab_x1[[#This Row],[Name]])</f>
        <v>0</v>
      </c>
      <c r="D74" s="63" t="b">
        <f>IF(Tab.11[[#This Row],[a1]]=1,AO74)</f>
        <v>0</v>
      </c>
      <c r="E74" s="63">
        <f t="shared" si="4"/>
        <v>0</v>
      </c>
      <c r="F74" s="64" t="b">
        <f>IF(Tab.11[[#This Row],[a1]]=1,Tab.11[[#This Row],[b1]])</f>
        <v>0</v>
      </c>
      <c r="G74" s="65" t="b">
        <f>IF(Tab.11[[#This Row],[a1]]=1,IF(Tab.11[[#This Row],[b3]]&gt;$L$989*$G$3,$L$989*$G$3,IF(Tab.11[[#This Row],[b3]]&lt;$M$989*$G$3,$M$989*$G$3,Tab.11[[#This Row],[b3]])))</f>
        <v>0</v>
      </c>
      <c r="H74" s="66" t="b">
        <f>IF(Tab.11[[#This Row],[a1]]=1,Tab.11[[#This Row],[b1]])</f>
        <v>0</v>
      </c>
      <c r="I74" s="67" t="b">
        <f>IF(Tab.11[[#This Row],[a1]]=1,Tab.11[[#This Row],[b1]])</f>
        <v>0</v>
      </c>
      <c r="J74" s="68" t="b">
        <f>IF(Tab.11[[#This Row],[a1]]=1,IF($I$3&lt;0,Tab.11[[#This Row],[b5]]-$I$3,Tab.11[[#This Row],[b5]]))</f>
        <v>0</v>
      </c>
      <c r="K74" s="68" t="b">
        <f>IF(Tab.11[[#This Row],[a1]]=1,IF($K$3=0,Tab.11[b6],Tab.11[[#This Row],[b6]]-AVERAGE(Tab.11[b6])))</f>
        <v>0</v>
      </c>
      <c r="L74" s="69" t="b">
        <f>IF(Tab.11[[#This Row],[a1]]=1,Tab.11[[#This Row],[data]]/(_xlfn.STDEV.P(Tab.11[data])*$B$989)+$A$989)</f>
        <v>0</v>
      </c>
      <c r="M74" s="69" t="b">
        <f>IF(Tab.11[[#This Row],[a1]]=1,Tab.11[[#This Row],[data]]/(_xlfn.STDEV.P(Tab.11[data])*$B$987)-$A$987)</f>
        <v>0</v>
      </c>
      <c r="N74" s="69" t="b">
        <f>IF(Tab.11[[#This Row],[a1]]=1,Tab.11[[#This Row],[data]]/(_xlfn.STDEV.P(Tab.11[data])*$B$988)+$A$988)</f>
        <v>0</v>
      </c>
      <c r="O74" s="70" t="b">
        <f>IF(Tab.11[[#This Row],[a1]]=1,_xlfn.NORM.DIST(Tab.11[[#This Row],[b8]],$P$1,$Q$1,FALSE))</f>
        <v>0</v>
      </c>
      <c r="P74" s="70" t="b">
        <f>IF(Tab.11[[#This Row],[a1]]=1,_xlfn.NORM.DIST(Tab.11[[#This Row],[b9]],$P$1,$Q$1,FALSE))</f>
        <v>0</v>
      </c>
      <c r="Q74" s="70" t="b">
        <f>IF(Tab.11[[#This Row],[a1]]=1,_xlfn.NORM.DIST(Tab.11[[#This Row],[b10]],$P$1,$Q$1,FALSE))</f>
        <v>0</v>
      </c>
      <c r="R74" s="67" t="b">
        <f>IF(Tab.11[[#This Row],[a1]]=1,$I$3+$A$989+IF($K$3=0,Tab.11[[#This Row],[b8]]*_xlfn.STDEV.P(Tab.11[data]),AVERAGE(Tab.11[b6])+Tab.11[[#This Row],[b8]]*_xlfn.STDEV.P(Tab.11[data])))</f>
        <v>0</v>
      </c>
      <c r="S74" s="71" t="b">
        <f>IF(Tab.11[[#This Row],[a1]]=1,$I$3+$A$987+IF($K$3=0,Tab.11[[#This Row],[b9]]*_xlfn.STDEV.P(Tab.11[data]),AVERAGE(Tab.11[b6])+Tab.11[[#This Row],[b9]]*_xlfn.STDEV.P(Tab.11[data])))</f>
        <v>0</v>
      </c>
      <c r="T74" s="71" t="b">
        <f>IF(Tab.11[[#This Row],[a1]]=1,$I$3+$A$988+IF($K$3=0,Tab.11[[#This Row],[b10]]*_xlfn.STDEV.P(Tab.11[data]),AVERAGE(Tab.11[b6])+Tab.11[[#This Row],[b10]]*_xlfn.STDEV.P(Tab.11[data])))</f>
        <v>0</v>
      </c>
      <c r="U74" s="72" t="b">
        <f>IF(Tab.11[[#This Row],[a1]]=1,Tab.11[[#This Row],[target]]-Tab.11[[#This Row],[Red]])</f>
        <v>0</v>
      </c>
      <c r="V74" s="72" t="b">
        <f>IF(Tab.11[[#This Row],[a1]]=1,Tab.11[[#This Row],[target]]-Tab.11[[#This Row],[Blue]])</f>
        <v>0</v>
      </c>
      <c r="W74" s="73" t="b">
        <f>IF(Tab.11[[#This Row],[a1]]=1,IF(ABS(Tab.11[[#This Row],[b17]])+ABS(Tab.11[[#This Row],[b18]])&lt;$W$2,$W$2,ABS(Tab.11[[#This Row],[b17]])+ABS(Tab.11[[#This Row],[b18]])))</f>
        <v>0</v>
      </c>
      <c r="X74" s="136" t="b">
        <f>IF(Tab.11[[#This Row],[a1]]=1,IF($W$3&lt;0,Tab.11[[#This Row],[IN]]-$I$3,Tab.11[[#This Row],[IN]]))</f>
        <v>0</v>
      </c>
      <c r="Y74" s="136" t="b">
        <f>IF(Tab.11[[#This Row],[a1]]=1,IF($X$3=0,Tab.11[b66],Tab.11[[#This Row],[b66]]-AVERAGE(Tab.11[b66])))</f>
        <v>0</v>
      </c>
      <c r="Z74" s="135" t="b">
        <f>IF(Tab.11[[#This Row],[a1]]=1,Tab.11[[#This Row],[b77]]/(_xlfn.STDEV.P(Tab.11[b77])))</f>
        <v>0</v>
      </c>
      <c r="AA74" s="70" t="b">
        <f>IF(Tab.11[[#This Row],[a1]]=1,_xlfn.NORM.DIST(Tab.11[[#This Row],[b88]],$Z$1,$AA$1,FALSE))</f>
        <v>0</v>
      </c>
      <c r="AB74" s="74" t="b">
        <f>IF(Tab.11[[#This Row],[a1]]=1,IF($A$3=0,FALSE,1/Tab.11[[#This Row],[IN]]*$AC$2*IF(Tab.11[[#This Row],[a1]]=0,,$A$3*$AC$1*1/$V$3*(Tab.11[[#This Row],[b14]]))))</f>
        <v>0</v>
      </c>
      <c r="AC74" s="75" t="b">
        <f>IF(Tab.11[[#This Row],[a1]]=1,IF($AC$3=0,Tab.11[[#This Row],[φ1]],Tab.11[[#This Row],[φ1]]/MAX(Tab.11[φ1])))</f>
        <v>0</v>
      </c>
      <c r="AD74" s="74" t="b">
        <f>IF(Tab.11[[#This Row],[a1]]=1,1/Tab.11[[#This Row],[φ2]])</f>
        <v>0</v>
      </c>
      <c r="AE74" s="74" t="b">
        <f>IF(Tab.11[[#This Row],[a1]]=1,IF($AE$3=0,Tab.11[[#This Row],[w.0]],Tab.11[[#This Row],[w.0]]/SUM(Tab.11[w.0])))</f>
        <v>0</v>
      </c>
      <c r="AF74" s="76" t="str">
        <f>IF(Tab.11[[#This Row],[a1]]=0,"false",[3]!Tab.x5[[#This Row],[%_seN_C]])</f>
        <v>false</v>
      </c>
      <c r="AG74" s="77" t="b">
        <f>IF(Tab.11[[#This Row],[a1]]=1,AP74)</f>
        <v>0</v>
      </c>
      <c r="AH74" s="78" t="b">
        <f>IF(Tab.11[[#This Row],[a1]]=1,AQ74)</f>
        <v>0</v>
      </c>
      <c r="AI74" s="41">
        <v>3.0000000000000001E-3</v>
      </c>
      <c r="AJ74" s="79">
        <v>0.09</v>
      </c>
      <c r="AK74" s="80" t="b">
        <f>IF(Tab.11[[#This Row],[a1]]=1,1)</f>
        <v>0</v>
      </c>
      <c r="AZ74"/>
    </row>
    <row r="75" spans="1:52" ht="14.25" hidden="1" customHeight="1" x14ac:dyDescent="0.25">
      <c r="A75" s="61">
        <f t="shared" si="3"/>
        <v>0</v>
      </c>
      <c r="B75" s="62">
        <f t="shared" si="3"/>
        <v>0</v>
      </c>
      <c r="C75" s="62" t="b">
        <f>IF(Tab.11[[#This Row],[a1]]=1,[3]!Tab_x1[[#This Row],[Name]])</f>
        <v>0</v>
      </c>
      <c r="D75" s="63" t="b">
        <f>IF(Tab.11[[#This Row],[a1]]=1,AO75)</f>
        <v>0</v>
      </c>
      <c r="E75" s="63">
        <f t="shared" si="4"/>
        <v>0</v>
      </c>
      <c r="F75" s="64" t="b">
        <f>IF(Tab.11[[#This Row],[a1]]=1,Tab.11[[#This Row],[b1]])</f>
        <v>0</v>
      </c>
      <c r="G75" s="65" t="b">
        <f>IF(Tab.11[[#This Row],[a1]]=1,IF(Tab.11[[#This Row],[b3]]&gt;$L$989*$G$3,$L$989*$G$3,IF(Tab.11[[#This Row],[b3]]&lt;$M$989*$G$3,$M$989*$G$3,Tab.11[[#This Row],[b3]])))</f>
        <v>0</v>
      </c>
      <c r="H75" s="66" t="b">
        <f>IF(Tab.11[[#This Row],[a1]]=1,Tab.11[[#This Row],[b1]])</f>
        <v>0</v>
      </c>
      <c r="I75" s="67" t="b">
        <f>IF(Tab.11[[#This Row],[a1]]=1,Tab.11[[#This Row],[b1]])</f>
        <v>0</v>
      </c>
      <c r="J75" s="68" t="b">
        <f>IF(Tab.11[[#This Row],[a1]]=1,IF($I$3&lt;0,Tab.11[[#This Row],[b5]]-$I$3,Tab.11[[#This Row],[b5]]))</f>
        <v>0</v>
      </c>
      <c r="K75" s="68" t="b">
        <f>IF(Tab.11[[#This Row],[a1]]=1,IF($K$3=0,Tab.11[b6],Tab.11[[#This Row],[b6]]-AVERAGE(Tab.11[b6])))</f>
        <v>0</v>
      </c>
      <c r="L75" s="69" t="b">
        <f>IF(Tab.11[[#This Row],[a1]]=1,Tab.11[[#This Row],[data]]/(_xlfn.STDEV.P(Tab.11[data])*$B$989)+$A$989)</f>
        <v>0</v>
      </c>
      <c r="M75" s="69" t="b">
        <f>IF(Tab.11[[#This Row],[a1]]=1,Tab.11[[#This Row],[data]]/(_xlfn.STDEV.P(Tab.11[data])*$B$987)-$A$987)</f>
        <v>0</v>
      </c>
      <c r="N75" s="69" t="b">
        <f>IF(Tab.11[[#This Row],[a1]]=1,Tab.11[[#This Row],[data]]/(_xlfn.STDEV.P(Tab.11[data])*$B$988)+$A$988)</f>
        <v>0</v>
      </c>
      <c r="O75" s="70" t="b">
        <f>IF(Tab.11[[#This Row],[a1]]=1,_xlfn.NORM.DIST(Tab.11[[#This Row],[b8]],$P$1,$Q$1,FALSE))</f>
        <v>0</v>
      </c>
      <c r="P75" s="70" t="b">
        <f>IF(Tab.11[[#This Row],[a1]]=1,_xlfn.NORM.DIST(Tab.11[[#This Row],[b9]],$P$1,$Q$1,FALSE))</f>
        <v>0</v>
      </c>
      <c r="Q75" s="70" t="b">
        <f>IF(Tab.11[[#This Row],[a1]]=1,_xlfn.NORM.DIST(Tab.11[[#This Row],[b10]],$P$1,$Q$1,FALSE))</f>
        <v>0</v>
      </c>
      <c r="R75" s="67" t="b">
        <f>IF(Tab.11[[#This Row],[a1]]=1,$I$3+$A$989+IF($K$3=0,Tab.11[[#This Row],[b8]]*_xlfn.STDEV.P(Tab.11[data]),AVERAGE(Tab.11[b6])+Tab.11[[#This Row],[b8]]*_xlfn.STDEV.P(Tab.11[data])))</f>
        <v>0</v>
      </c>
      <c r="S75" s="71" t="b">
        <f>IF(Tab.11[[#This Row],[a1]]=1,$I$3+$A$987+IF($K$3=0,Tab.11[[#This Row],[b9]]*_xlfn.STDEV.P(Tab.11[data]),AVERAGE(Tab.11[b6])+Tab.11[[#This Row],[b9]]*_xlfn.STDEV.P(Tab.11[data])))</f>
        <v>0</v>
      </c>
      <c r="T75" s="71" t="b">
        <f>IF(Tab.11[[#This Row],[a1]]=1,$I$3+$A$988+IF($K$3=0,Tab.11[[#This Row],[b10]]*_xlfn.STDEV.P(Tab.11[data]),AVERAGE(Tab.11[b6])+Tab.11[[#This Row],[b10]]*_xlfn.STDEV.P(Tab.11[data])))</f>
        <v>0</v>
      </c>
      <c r="U75" s="72" t="b">
        <f>IF(Tab.11[[#This Row],[a1]]=1,Tab.11[[#This Row],[target]]-Tab.11[[#This Row],[Red]])</f>
        <v>0</v>
      </c>
      <c r="V75" s="72" t="b">
        <f>IF(Tab.11[[#This Row],[a1]]=1,Tab.11[[#This Row],[target]]-Tab.11[[#This Row],[Blue]])</f>
        <v>0</v>
      </c>
      <c r="W75" s="73" t="b">
        <f>IF(Tab.11[[#This Row],[a1]]=1,IF(ABS(Tab.11[[#This Row],[b17]])+ABS(Tab.11[[#This Row],[b18]])&lt;$W$2,$W$2,ABS(Tab.11[[#This Row],[b17]])+ABS(Tab.11[[#This Row],[b18]])))</f>
        <v>0</v>
      </c>
      <c r="X75" s="136" t="b">
        <f>IF(Tab.11[[#This Row],[a1]]=1,IF($W$3&lt;0,Tab.11[[#This Row],[IN]]-$I$3,Tab.11[[#This Row],[IN]]))</f>
        <v>0</v>
      </c>
      <c r="Y75" s="136" t="b">
        <f>IF(Tab.11[[#This Row],[a1]]=1,IF($X$3=0,Tab.11[b66],Tab.11[[#This Row],[b66]]-AVERAGE(Tab.11[b66])))</f>
        <v>0</v>
      </c>
      <c r="Z75" s="135" t="b">
        <f>IF(Tab.11[[#This Row],[a1]]=1,Tab.11[[#This Row],[b77]]/(_xlfn.STDEV.P(Tab.11[b77])))</f>
        <v>0</v>
      </c>
      <c r="AA75" s="70" t="b">
        <f>IF(Tab.11[[#This Row],[a1]]=1,_xlfn.NORM.DIST(Tab.11[[#This Row],[b88]],$Z$1,$AA$1,FALSE))</f>
        <v>0</v>
      </c>
      <c r="AB75" s="74" t="b">
        <f>IF(Tab.11[[#This Row],[a1]]=1,IF($A$3=0,FALSE,1/Tab.11[[#This Row],[IN]]*$AC$2*IF(Tab.11[[#This Row],[a1]]=0,,$A$3*$AC$1*1/$V$3*(Tab.11[[#This Row],[b14]]))))</f>
        <v>0</v>
      </c>
      <c r="AC75" s="75" t="b">
        <f>IF(Tab.11[[#This Row],[a1]]=1,IF($AC$3=0,Tab.11[[#This Row],[φ1]],Tab.11[[#This Row],[φ1]]/MAX(Tab.11[φ1])))</f>
        <v>0</v>
      </c>
      <c r="AD75" s="74" t="b">
        <f>IF(Tab.11[[#This Row],[a1]]=1,1/Tab.11[[#This Row],[φ2]])</f>
        <v>0</v>
      </c>
      <c r="AE75" s="74" t="b">
        <f>IF(Tab.11[[#This Row],[a1]]=1,IF($AE$3=0,Tab.11[[#This Row],[w.0]],Tab.11[[#This Row],[w.0]]/SUM(Tab.11[w.0])))</f>
        <v>0</v>
      </c>
      <c r="AF75" s="76" t="str">
        <f>IF(Tab.11[[#This Row],[a1]]=0,"false",[3]!Tab.x5[[#This Row],[%_seN_C]])</f>
        <v>false</v>
      </c>
      <c r="AG75" s="77" t="b">
        <f>IF(Tab.11[[#This Row],[a1]]=1,AP75)</f>
        <v>0</v>
      </c>
      <c r="AH75" s="78" t="b">
        <f>IF(Tab.11[[#This Row],[a1]]=1,AQ75)</f>
        <v>0</v>
      </c>
      <c r="AI75" s="41">
        <v>3.0000000000000001E-3</v>
      </c>
      <c r="AJ75" s="79">
        <v>0.03</v>
      </c>
      <c r="AK75" s="80" t="b">
        <f>IF(Tab.11[[#This Row],[a1]]=1,1)</f>
        <v>0</v>
      </c>
      <c r="AZ75"/>
    </row>
    <row r="76" spans="1:52" ht="14.25" hidden="1" customHeight="1" x14ac:dyDescent="0.25">
      <c r="A76" s="61">
        <f t="shared" si="3"/>
        <v>0</v>
      </c>
      <c r="B76" s="62">
        <f t="shared" si="3"/>
        <v>0</v>
      </c>
      <c r="C76" s="62" t="b">
        <f>IF(Tab.11[[#This Row],[a1]]=1,[3]!Tab_x1[[#This Row],[Name]])</f>
        <v>0</v>
      </c>
      <c r="D76" s="63" t="b">
        <f>IF(Tab.11[[#This Row],[a1]]=1,AO76)</f>
        <v>0</v>
      </c>
      <c r="E76" s="63">
        <f t="shared" si="4"/>
        <v>0</v>
      </c>
      <c r="F76" s="64" t="b">
        <f>IF(Tab.11[[#This Row],[a1]]=1,Tab.11[[#This Row],[b1]])</f>
        <v>0</v>
      </c>
      <c r="G76" s="65" t="b">
        <f>IF(Tab.11[[#This Row],[a1]]=1,IF(Tab.11[[#This Row],[b3]]&gt;$L$989*$G$3,$L$989*$G$3,IF(Tab.11[[#This Row],[b3]]&lt;$M$989*$G$3,$M$989*$G$3,Tab.11[[#This Row],[b3]])))</f>
        <v>0</v>
      </c>
      <c r="H76" s="66" t="b">
        <f>IF(Tab.11[[#This Row],[a1]]=1,Tab.11[[#This Row],[b1]])</f>
        <v>0</v>
      </c>
      <c r="I76" s="67" t="b">
        <f>IF(Tab.11[[#This Row],[a1]]=1,Tab.11[[#This Row],[b1]])</f>
        <v>0</v>
      </c>
      <c r="J76" s="68" t="b">
        <f>IF(Tab.11[[#This Row],[a1]]=1,IF($I$3&lt;0,Tab.11[[#This Row],[b5]]-$I$3,Tab.11[[#This Row],[b5]]))</f>
        <v>0</v>
      </c>
      <c r="K76" s="68" t="b">
        <f>IF(Tab.11[[#This Row],[a1]]=1,IF($K$3=0,Tab.11[b6],Tab.11[[#This Row],[b6]]-AVERAGE(Tab.11[b6])))</f>
        <v>0</v>
      </c>
      <c r="L76" s="69" t="b">
        <f>IF(Tab.11[[#This Row],[a1]]=1,Tab.11[[#This Row],[data]]/(_xlfn.STDEV.P(Tab.11[data])*$B$989)+$A$989)</f>
        <v>0</v>
      </c>
      <c r="M76" s="69" t="b">
        <f>IF(Tab.11[[#This Row],[a1]]=1,Tab.11[[#This Row],[data]]/(_xlfn.STDEV.P(Tab.11[data])*$B$987)-$A$987)</f>
        <v>0</v>
      </c>
      <c r="N76" s="69" t="b">
        <f>IF(Tab.11[[#This Row],[a1]]=1,Tab.11[[#This Row],[data]]/(_xlfn.STDEV.P(Tab.11[data])*$B$988)+$A$988)</f>
        <v>0</v>
      </c>
      <c r="O76" s="70" t="b">
        <f>IF(Tab.11[[#This Row],[a1]]=1,_xlfn.NORM.DIST(Tab.11[[#This Row],[b8]],$P$1,$Q$1,FALSE))</f>
        <v>0</v>
      </c>
      <c r="P76" s="70" t="b">
        <f>IF(Tab.11[[#This Row],[a1]]=1,_xlfn.NORM.DIST(Tab.11[[#This Row],[b9]],$P$1,$Q$1,FALSE))</f>
        <v>0</v>
      </c>
      <c r="Q76" s="70" t="b">
        <f>IF(Tab.11[[#This Row],[a1]]=1,_xlfn.NORM.DIST(Tab.11[[#This Row],[b10]],$P$1,$Q$1,FALSE))</f>
        <v>0</v>
      </c>
      <c r="R76" s="67" t="b">
        <f>IF(Tab.11[[#This Row],[a1]]=1,$I$3+$A$989+IF($K$3=0,Tab.11[[#This Row],[b8]]*_xlfn.STDEV.P(Tab.11[data]),AVERAGE(Tab.11[b6])+Tab.11[[#This Row],[b8]]*_xlfn.STDEV.P(Tab.11[data])))</f>
        <v>0</v>
      </c>
      <c r="S76" s="71" t="b">
        <f>IF(Tab.11[[#This Row],[a1]]=1,$I$3+$A$987+IF($K$3=0,Tab.11[[#This Row],[b9]]*_xlfn.STDEV.P(Tab.11[data]),AVERAGE(Tab.11[b6])+Tab.11[[#This Row],[b9]]*_xlfn.STDEV.P(Tab.11[data])))</f>
        <v>0</v>
      </c>
      <c r="T76" s="71" t="b">
        <f>IF(Tab.11[[#This Row],[a1]]=1,$I$3+$A$988+IF($K$3=0,Tab.11[[#This Row],[b10]]*_xlfn.STDEV.P(Tab.11[data]),AVERAGE(Tab.11[b6])+Tab.11[[#This Row],[b10]]*_xlfn.STDEV.P(Tab.11[data])))</f>
        <v>0</v>
      </c>
      <c r="U76" s="72" t="b">
        <f>IF(Tab.11[[#This Row],[a1]]=1,Tab.11[[#This Row],[target]]-Tab.11[[#This Row],[Red]])</f>
        <v>0</v>
      </c>
      <c r="V76" s="72" t="b">
        <f>IF(Tab.11[[#This Row],[a1]]=1,Tab.11[[#This Row],[target]]-Tab.11[[#This Row],[Blue]])</f>
        <v>0</v>
      </c>
      <c r="W76" s="73" t="b">
        <f>IF(Tab.11[[#This Row],[a1]]=1,IF(ABS(Tab.11[[#This Row],[b17]])+ABS(Tab.11[[#This Row],[b18]])&lt;$W$2,$W$2,ABS(Tab.11[[#This Row],[b17]])+ABS(Tab.11[[#This Row],[b18]])))</f>
        <v>0</v>
      </c>
      <c r="X76" s="136" t="b">
        <f>IF(Tab.11[[#This Row],[a1]]=1,IF($W$3&lt;0,Tab.11[[#This Row],[IN]]-$I$3,Tab.11[[#This Row],[IN]]))</f>
        <v>0</v>
      </c>
      <c r="Y76" s="136" t="b">
        <f>IF(Tab.11[[#This Row],[a1]]=1,IF($X$3=0,Tab.11[b66],Tab.11[[#This Row],[b66]]-AVERAGE(Tab.11[b66])))</f>
        <v>0</v>
      </c>
      <c r="Z76" s="135" t="b">
        <f>IF(Tab.11[[#This Row],[a1]]=1,Tab.11[[#This Row],[b77]]/(_xlfn.STDEV.P(Tab.11[b77])))</f>
        <v>0</v>
      </c>
      <c r="AA76" s="70" t="b">
        <f>IF(Tab.11[[#This Row],[a1]]=1,_xlfn.NORM.DIST(Tab.11[[#This Row],[b88]],$Z$1,$AA$1,FALSE))</f>
        <v>0</v>
      </c>
      <c r="AB76" s="74" t="b">
        <f>IF(Tab.11[[#This Row],[a1]]=1,IF($A$3=0,FALSE,1/Tab.11[[#This Row],[IN]]*$AC$2*IF(Tab.11[[#This Row],[a1]]=0,,$A$3*$AC$1*1/$V$3*(Tab.11[[#This Row],[b14]]))))</f>
        <v>0</v>
      </c>
      <c r="AC76" s="75" t="b">
        <f>IF(Tab.11[[#This Row],[a1]]=1,IF($AC$3=0,Tab.11[[#This Row],[φ1]],Tab.11[[#This Row],[φ1]]/MAX(Tab.11[φ1])))</f>
        <v>0</v>
      </c>
      <c r="AD76" s="74" t="b">
        <f>IF(Tab.11[[#This Row],[a1]]=1,1/Tab.11[[#This Row],[φ2]])</f>
        <v>0</v>
      </c>
      <c r="AE76" s="74" t="b">
        <f>IF(Tab.11[[#This Row],[a1]]=1,IF($AE$3=0,Tab.11[[#This Row],[w.0]],Tab.11[[#This Row],[w.0]]/SUM(Tab.11[w.0])))</f>
        <v>0</v>
      </c>
      <c r="AF76" s="76" t="str">
        <f>IF(Tab.11[[#This Row],[a1]]=0,"false",[3]!Tab.x5[[#This Row],[%_seN_C]])</f>
        <v>false</v>
      </c>
      <c r="AG76" s="77" t="b">
        <f>IF(Tab.11[[#This Row],[a1]]=1,AP76)</f>
        <v>0</v>
      </c>
      <c r="AH76" s="78" t="b">
        <f>IF(Tab.11[[#This Row],[a1]]=1,AQ76)</f>
        <v>0</v>
      </c>
      <c r="AI76" s="41">
        <v>3.0000000000000001E-3</v>
      </c>
      <c r="AJ76" s="79">
        <v>-0.06</v>
      </c>
      <c r="AK76" s="80" t="b">
        <f>IF(Tab.11[[#This Row],[a1]]=1,1)</f>
        <v>0</v>
      </c>
      <c r="AZ76"/>
    </row>
    <row r="77" spans="1:52" ht="14.25" hidden="1" customHeight="1" x14ac:dyDescent="0.25">
      <c r="A77" s="61">
        <f t="shared" si="3"/>
        <v>0</v>
      </c>
      <c r="B77" s="62">
        <f t="shared" si="3"/>
        <v>0</v>
      </c>
      <c r="C77" s="62" t="b">
        <f>IF(Tab.11[[#This Row],[a1]]=1,[3]!Tab_x1[[#This Row],[Name]])</f>
        <v>0</v>
      </c>
      <c r="D77" s="63" t="b">
        <f>IF(Tab.11[[#This Row],[a1]]=1,AO77)</f>
        <v>0</v>
      </c>
      <c r="E77" s="63">
        <f t="shared" si="4"/>
        <v>0</v>
      </c>
      <c r="F77" s="64" t="b">
        <f>IF(Tab.11[[#This Row],[a1]]=1,Tab.11[[#This Row],[b1]])</f>
        <v>0</v>
      </c>
      <c r="G77" s="65" t="b">
        <f>IF(Tab.11[[#This Row],[a1]]=1,IF(Tab.11[[#This Row],[b3]]&gt;$L$989*$G$3,$L$989*$G$3,IF(Tab.11[[#This Row],[b3]]&lt;$M$989*$G$3,$M$989*$G$3,Tab.11[[#This Row],[b3]])))</f>
        <v>0</v>
      </c>
      <c r="H77" s="66" t="b">
        <f>IF(Tab.11[[#This Row],[a1]]=1,Tab.11[[#This Row],[b1]])</f>
        <v>0</v>
      </c>
      <c r="I77" s="67" t="b">
        <f>IF(Tab.11[[#This Row],[a1]]=1,Tab.11[[#This Row],[b1]])</f>
        <v>0</v>
      </c>
      <c r="J77" s="68" t="b">
        <f>IF(Tab.11[[#This Row],[a1]]=1,IF($I$3&lt;0,Tab.11[[#This Row],[b5]]-$I$3,Tab.11[[#This Row],[b5]]))</f>
        <v>0</v>
      </c>
      <c r="K77" s="68" t="b">
        <f>IF(Tab.11[[#This Row],[a1]]=1,IF($K$3=0,Tab.11[b6],Tab.11[[#This Row],[b6]]-AVERAGE(Tab.11[b6])))</f>
        <v>0</v>
      </c>
      <c r="L77" s="69" t="b">
        <f>IF(Tab.11[[#This Row],[a1]]=1,Tab.11[[#This Row],[data]]/(_xlfn.STDEV.P(Tab.11[data])*$B$989)+$A$989)</f>
        <v>0</v>
      </c>
      <c r="M77" s="69" t="b">
        <f>IF(Tab.11[[#This Row],[a1]]=1,Tab.11[[#This Row],[data]]/(_xlfn.STDEV.P(Tab.11[data])*$B$987)-$A$987)</f>
        <v>0</v>
      </c>
      <c r="N77" s="69" t="b">
        <f>IF(Tab.11[[#This Row],[a1]]=1,Tab.11[[#This Row],[data]]/(_xlfn.STDEV.P(Tab.11[data])*$B$988)+$A$988)</f>
        <v>0</v>
      </c>
      <c r="O77" s="70" t="b">
        <f>IF(Tab.11[[#This Row],[a1]]=1,_xlfn.NORM.DIST(Tab.11[[#This Row],[b8]],$P$1,$Q$1,FALSE))</f>
        <v>0</v>
      </c>
      <c r="P77" s="70" t="b">
        <f>IF(Tab.11[[#This Row],[a1]]=1,_xlfn.NORM.DIST(Tab.11[[#This Row],[b9]],$P$1,$Q$1,FALSE))</f>
        <v>0</v>
      </c>
      <c r="Q77" s="70" t="b">
        <f>IF(Tab.11[[#This Row],[a1]]=1,_xlfn.NORM.DIST(Tab.11[[#This Row],[b10]],$P$1,$Q$1,FALSE))</f>
        <v>0</v>
      </c>
      <c r="R77" s="67" t="b">
        <f>IF(Tab.11[[#This Row],[a1]]=1,$I$3+$A$989+IF($K$3=0,Tab.11[[#This Row],[b8]]*_xlfn.STDEV.P(Tab.11[data]),AVERAGE(Tab.11[b6])+Tab.11[[#This Row],[b8]]*_xlfn.STDEV.P(Tab.11[data])))</f>
        <v>0</v>
      </c>
      <c r="S77" s="71" t="b">
        <f>IF(Tab.11[[#This Row],[a1]]=1,$I$3+$A$987+IF($K$3=0,Tab.11[[#This Row],[b9]]*_xlfn.STDEV.P(Tab.11[data]),AVERAGE(Tab.11[b6])+Tab.11[[#This Row],[b9]]*_xlfn.STDEV.P(Tab.11[data])))</f>
        <v>0</v>
      </c>
      <c r="T77" s="71" t="b">
        <f>IF(Tab.11[[#This Row],[a1]]=1,$I$3+$A$988+IF($K$3=0,Tab.11[[#This Row],[b10]]*_xlfn.STDEV.P(Tab.11[data]),AVERAGE(Tab.11[b6])+Tab.11[[#This Row],[b10]]*_xlfn.STDEV.P(Tab.11[data])))</f>
        <v>0</v>
      </c>
      <c r="U77" s="72" t="b">
        <f>IF(Tab.11[[#This Row],[a1]]=1,Tab.11[[#This Row],[target]]-Tab.11[[#This Row],[Red]])</f>
        <v>0</v>
      </c>
      <c r="V77" s="72" t="b">
        <f>IF(Tab.11[[#This Row],[a1]]=1,Tab.11[[#This Row],[target]]-Tab.11[[#This Row],[Blue]])</f>
        <v>0</v>
      </c>
      <c r="W77" s="73" t="b">
        <f>IF(Tab.11[[#This Row],[a1]]=1,IF(ABS(Tab.11[[#This Row],[b17]])+ABS(Tab.11[[#This Row],[b18]])&lt;$W$2,$W$2,ABS(Tab.11[[#This Row],[b17]])+ABS(Tab.11[[#This Row],[b18]])))</f>
        <v>0</v>
      </c>
      <c r="X77" s="136" t="b">
        <f>IF(Tab.11[[#This Row],[a1]]=1,IF($W$3&lt;0,Tab.11[[#This Row],[IN]]-$I$3,Tab.11[[#This Row],[IN]]))</f>
        <v>0</v>
      </c>
      <c r="Y77" s="136" t="b">
        <f>IF(Tab.11[[#This Row],[a1]]=1,IF($X$3=0,Tab.11[b66],Tab.11[[#This Row],[b66]]-AVERAGE(Tab.11[b66])))</f>
        <v>0</v>
      </c>
      <c r="Z77" s="135" t="b">
        <f>IF(Tab.11[[#This Row],[a1]]=1,Tab.11[[#This Row],[b77]]/(_xlfn.STDEV.P(Tab.11[b77])))</f>
        <v>0</v>
      </c>
      <c r="AA77" s="70" t="b">
        <f>IF(Tab.11[[#This Row],[a1]]=1,_xlfn.NORM.DIST(Tab.11[[#This Row],[b88]],$Z$1,$AA$1,FALSE))</f>
        <v>0</v>
      </c>
      <c r="AB77" s="74" t="b">
        <f>IF(Tab.11[[#This Row],[a1]]=1,IF($A$3=0,FALSE,1/Tab.11[[#This Row],[IN]]*$AC$2*IF(Tab.11[[#This Row],[a1]]=0,,$A$3*$AC$1*1/$V$3*(Tab.11[[#This Row],[b14]]))))</f>
        <v>0</v>
      </c>
      <c r="AC77" s="75" t="b">
        <f>IF(Tab.11[[#This Row],[a1]]=1,IF($AC$3=0,Tab.11[[#This Row],[φ1]],Tab.11[[#This Row],[φ1]]/MAX(Tab.11[φ1])))</f>
        <v>0</v>
      </c>
      <c r="AD77" s="74" t="b">
        <f>IF(Tab.11[[#This Row],[a1]]=1,1/Tab.11[[#This Row],[φ2]])</f>
        <v>0</v>
      </c>
      <c r="AE77" s="74" t="b">
        <f>IF(Tab.11[[#This Row],[a1]]=1,IF($AE$3=0,Tab.11[[#This Row],[w.0]],Tab.11[[#This Row],[w.0]]/SUM(Tab.11[w.0])))</f>
        <v>0</v>
      </c>
      <c r="AF77" s="76" t="str">
        <f>IF(Tab.11[[#This Row],[a1]]=0,"false",[3]!Tab.x5[[#This Row],[%_seN_C]])</f>
        <v>false</v>
      </c>
      <c r="AG77" s="77" t="b">
        <f>IF(Tab.11[[#This Row],[a1]]=1,AP77)</f>
        <v>0</v>
      </c>
      <c r="AH77" s="78" t="b">
        <f>IF(Tab.11[[#This Row],[a1]]=1,AQ77)</f>
        <v>0</v>
      </c>
      <c r="AI77" s="41">
        <v>3.0000000000000001E-3</v>
      </c>
      <c r="AJ77" s="79">
        <v>0.02</v>
      </c>
      <c r="AK77" s="80" t="b">
        <f>IF(Tab.11[[#This Row],[a1]]=1,1)</f>
        <v>0</v>
      </c>
      <c r="AZ77"/>
    </row>
    <row r="78" spans="1:52" ht="14.25" hidden="1" customHeight="1" x14ac:dyDescent="0.25">
      <c r="A78" s="61">
        <f t="shared" si="3"/>
        <v>0</v>
      </c>
      <c r="B78" s="62">
        <f t="shared" si="3"/>
        <v>0</v>
      </c>
      <c r="C78" s="62" t="b">
        <f>IF(Tab.11[[#This Row],[a1]]=1,[3]!Tab_x1[[#This Row],[Name]])</f>
        <v>0</v>
      </c>
      <c r="D78" s="63" t="b">
        <f>IF(Tab.11[[#This Row],[a1]]=1,AO78)</f>
        <v>0</v>
      </c>
      <c r="E78" s="63">
        <f t="shared" si="4"/>
        <v>0</v>
      </c>
      <c r="F78" s="64" t="b">
        <f>IF(Tab.11[[#This Row],[a1]]=1,Tab.11[[#This Row],[b1]])</f>
        <v>0</v>
      </c>
      <c r="G78" s="65" t="b">
        <f>IF(Tab.11[[#This Row],[a1]]=1,IF(Tab.11[[#This Row],[b3]]&gt;$L$989*$G$3,$L$989*$G$3,IF(Tab.11[[#This Row],[b3]]&lt;$M$989*$G$3,$M$989*$G$3,Tab.11[[#This Row],[b3]])))</f>
        <v>0</v>
      </c>
      <c r="H78" s="66" t="b">
        <f>IF(Tab.11[[#This Row],[a1]]=1,Tab.11[[#This Row],[b1]])</f>
        <v>0</v>
      </c>
      <c r="I78" s="67" t="b">
        <f>IF(Tab.11[[#This Row],[a1]]=1,Tab.11[[#This Row],[b1]])</f>
        <v>0</v>
      </c>
      <c r="J78" s="68" t="b">
        <f>IF(Tab.11[[#This Row],[a1]]=1,IF($I$3&lt;0,Tab.11[[#This Row],[b5]]-$I$3,Tab.11[[#This Row],[b5]]))</f>
        <v>0</v>
      </c>
      <c r="K78" s="68" t="b">
        <f>IF(Tab.11[[#This Row],[a1]]=1,IF($K$3=0,Tab.11[b6],Tab.11[[#This Row],[b6]]-AVERAGE(Tab.11[b6])))</f>
        <v>0</v>
      </c>
      <c r="L78" s="69" t="b">
        <f>IF(Tab.11[[#This Row],[a1]]=1,Tab.11[[#This Row],[data]]/(_xlfn.STDEV.P(Tab.11[data])*$B$989)+$A$989)</f>
        <v>0</v>
      </c>
      <c r="M78" s="69" t="b">
        <f>IF(Tab.11[[#This Row],[a1]]=1,Tab.11[[#This Row],[data]]/(_xlfn.STDEV.P(Tab.11[data])*$B$987)-$A$987)</f>
        <v>0</v>
      </c>
      <c r="N78" s="69" t="b">
        <f>IF(Tab.11[[#This Row],[a1]]=1,Tab.11[[#This Row],[data]]/(_xlfn.STDEV.P(Tab.11[data])*$B$988)+$A$988)</f>
        <v>0</v>
      </c>
      <c r="O78" s="70" t="b">
        <f>IF(Tab.11[[#This Row],[a1]]=1,_xlfn.NORM.DIST(Tab.11[[#This Row],[b8]],$P$1,$Q$1,FALSE))</f>
        <v>0</v>
      </c>
      <c r="P78" s="70" t="b">
        <f>IF(Tab.11[[#This Row],[a1]]=1,_xlfn.NORM.DIST(Tab.11[[#This Row],[b9]],$P$1,$Q$1,FALSE))</f>
        <v>0</v>
      </c>
      <c r="Q78" s="70" t="b">
        <f>IF(Tab.11[[#This Row],[a1]]=1,_xlfn.NORM.DIST(Tab.11[[#This Row],[b10]],$P$1,$Q$1,FALSE))</f>
        <v>0</v>
      </c>
      <c r="R78" s="67" t="b">
        <f>IF(Tab.11[[#This Row],[a1]]=1,$I$3+$A$989+IF($K$3=0,Tab.11[[#This Row],[b8]]*_xlfn.STDEV.P(Tab.11[data]),AVERAGE(Tab.11[b6])+Tab.11[[#This Row],[b8]]*_xlfn.STDEV.P(Tab.11[data])))</f>
        <v>0</v>
      </c>
      <c r="S78" s="71" t="b">
        <f>IF(Tab.11[[#This Row],[a1]]=1,$I$3+$A$987+IF($K$3=0,Tab.11[[#This Row],[b9]]*_xlfn.STDEV.P(Tab.11[data]),AVERAGE(Tab.11[b6])+Tab.11[[#This Row],[b9]]*_xlfn.STDEV.P(Tab.11[data])))</f>
        <v>0</v>
      </c>
      <c r="T78" s="71" t="b">
        <f>IF(Tab.11[[#This Row],[a1]]=1,$I$3+$A$988+IF($K$3=0,Tab.11[[#This Row],[b10]]*_xlfn.STDEV.P(Tab.11[data]),AVERAGE(Tab.11[b6])+Tab.11[[#This Row],[b10]]*_xlfn.STDEV.P(Tab.11[data])))</f>
        <v>0</v>
      </c>
      <c r="U78" s="72" t="b">
        <f>IF(Tab.11[[#This Row],[a1]]=1,Tab.11[[#This Row],[target]]-Tab.11[[#This Row],[Red]])</f>
        <v>0</v>
      </c>
      <c r="V78" s="72" t="b">
        <f>IF(Tab.11[[#This Row],[a1]]=1,Tab.11[[#This Row],[target]]-Tab.11[[#This Row],[Blue]])</f>
        <v>0</v>
      </c>
      <c r="W78" s="73" t="b">
        <f>IF(Tab.11[[#This Row],[a1]]=1,IF(ABS(Tab.11[[#This Row],[b17]])+ABS(Tab.11[[#This Row],[b18]])&lt;$W$2,$W$2,ABS(Tab.11[[#This Row],[b17]])+ABS(Tab.11[[#This Row],[b18]])))</f>
        <v>0</v>
      </c>
      <c r="X78" s="136" t="b">
        <f>IF(Tab.11[[#This Row],[a1]]=1,IF($W$3&lt;0,Tab.11[[#This Row],[IN]]-$I$3,Tab.11[[#This Row],[IN]]))</f>
        <v>0</v>
      </c>
      <c r="Y78" s="136" t="b">
        <f>IF(Tab.11[[#This Row],[a1]]=1,IF($X$3=0,Tab.11[b66],Tab.11[[#This Row],[b66]]-AVERAGE(Tab.11[b66])))</f>
        <v>0</v>
      </c>
      <c r="Z78" s="135" t="b">
        <f>IF(Tab.11[[#This Row],[a1]]=1,Tab.11[[#This Row],[b77]]/(_xlfn.STDEV.P(Tab.11[b77])))</f>
        <v>0</v>
      </c>
      <c r="AA78" s="70" t="b">
        <f>IF(Tab.11[[#This Row],[a1]]=1,_xlfn.NORM.DIST(Tab.11[[#This Row],[b88]],$Z$1,$AA$1,FALSE))</f>
        <v>0</v>
      </c>
      <c r="AB78" s="74" t="b">
        <f>IF(Tab.11[[#This Row],[a1]]=1,IF($A$3=0,FALSE,1/Tab.11[[#This Row],[IN]]*$AC$2*IF(Tab.11[[#This Row],[a1]]=0,,$A$3*$AC$1*1/$V$3*(Tab.11[[#This Row],[b14]]))))</f>
        <v>0</v>
      </c>
      <c r="AC78" s="75" t="b">
        <f>IF(Tab.11[[#This Row],[a1]]=1,IF($AC$3=0,Tab.11[[#This Row],[φ1]],Tab.11[[#This Row],[φ1]]/MAX(Tab.11[φ1])))</f>
        <v>0</v>
      </c>
      <c r="AD78" s="74" t="b">
        <f>IF(Tab.11[[#This Row],[a1]]=1,1/Tab.11[[#This Row],[φ2]])</f>
        <v>0</v>
      </c>
      <c r="AE78" s="74" t="b">
        <f>IF(Tab.11[[#This Row],[a1]]=1,IF($AE$3=0,Tab.11[[#This Row],[w.0]],Tab.11[[#This Row],[w.0]]/SUM(Tab.11[w.0])))</f>
        <v>0</v>
      </c>
      <c r="AF78" s="76" t="str">
        <f>IF(Tab.11[[#This Row],[a1]]=0,"false",[3]!Tab.x5[[#This Row],[%_seN_C]])</f>
        <v>false</v>
      </c>
      <c r="AG78" s="77" t="b">
        <f>IF(Tab.11[[#This Row],[a1]]=1,AP78)</f>
        <v>0</v>
      </c>
      <c r="AH78" s="78" t="b">
        <f>IF(Tab.11[[#This Row],[a1]]=1,AQ78)</f>
        <v>0</v>
      </c>
      <c r="AI78" s="41">
        <v>3.0000000000000001E-3</v>
      </c>
      <c r="AJ78" s="79">
        <v>-0.02</v>
      </c>
      <c r="AK78" s="80" t="b">
        <f>IF(Tab.11[[#This Row],[a1]]=1,1)</f>
        <v>0</v>
      </c>
      <c r="AZ78"/>
    </row>
    <row r="79" spans="1:52" ht="14.25" hidden="1" customHeight="1" x14ac:dyDescent="0.25">
      <c r="A79" s="61">
        <f t="shared" si="3"/>
        <v>0</v>
      </c>
      <c r="B79" s="62">
        <f t="shared" si="3"/>
        <v>0</v>
      </c>
      <c r="C79" s="62" t="b">
        <f>IF(Tab.11[[#This Row],[a1]]=1,[3]!Tab_x1[[#This Row],[Name]])</f>
        <v>0</v>
      </c>
      <c r="D79" s="63" t="b">
        <f>IF(Tab.11[[#This Row],[a1]]=1,AO79)</f>
        <v>0</v>
      </c>
      <c r="E79" s="63">
        <f t="shared" si="4"/>
        <v>0</v>
      </c>
      <c r="F79" s="64" t="b">
        <f>IF(Tab.11[[#This Row],[a1]]=1,Tab.11[[#This Row],[b1]])</f>
        <v>0</v>
      </c>
      <c r="G79" s="65" t="b">
        <f>IF(Tab.11[[#This Row],[a1]]=1,IF(Tab.11[[#This Row],[b3]]&gt;$L$989*$G$3,$L$989*$G$3,IF(Tab.11[[#This Row],[b3]]&lt;$M$989*$G$3,$M$989*$G$3,Tab.11[[#This Row],[b3]])))</f>
        <v>0</v>
      </c>
      <c r="H79" s="66" t="b">
        <f>IF(Tab.11[[#This Row],[a1]]=1,Tab.11[[#This Row],[b1]])</f>
        <v>0</v>
      </c>
      <c r="I79" s="67" t="b">
        <f>IF(Tab.11[[#This Row],[a1]]=1,Tab.11[[#This Row],[b1]])</f>
        <v>0</v>
      </c>
      <c r="J79" s="68" t="b">
        <f>IF(Tab.11[[#This Row],[a1]]=1,IF($I$3&lt;0,Tab.11[[#This Row],[b5]]-$I$3,Tab.11[[#This Row],[b5]]))</f>
        <v>0</v>
      </c>
      <c r="K79" s="68" t="b">
        <f>IF(Tab.11[[#This Row],[a1]]=1,IF($K$3=0,Tab.11[b6],Tab.11[[#This Row],[b6]]-AVERAGE(Tab.11[b6])))</f>
        <v>0</v>
      </c>
      <c r="L79" s="69" t="b">
        <f>IF(Tab.11[[#This Row],[a1]]=1,Tab.11[[#This Row],[data]]/(_xlfn.STDEV.P(Tab.11[data])*$B$989)+$A$989)</f>
        <v>0</v>
      </c>
      <c r="M79" s="69" t="b">
        <f>IF(Tab.11[[#This Row],[a1]]=1,Tab.11[[#This Row],[data]]/(_xlfn.STDEV.P(Tab.11[data])*$B$987)-$A$987)</f>
        <v>0</v>
      </c>
      <c r="N79" s="69" t="b">
        <f>IF(Tab.11[[#This Row],[a1]]=1,Tab.11[[#This Row],[data]]/(_xlfn.STDEV.P(Tab.11[data])*$B$988)+$A$988)</f>
        <v>0</v>
      </c>
      <c r="O79" s="70" t="b">
        <f>IF(Tab.11[[#This Row],[a1]]=1,_xlfn.NORM.DIST(Tab.11[[#This Row],[b8]],$P$1,$Q$1,FALSE))</f>
        <v>0</v>
      </c>
      <c r="P79" s="70" t="b">
        <f>IF(Tab.11[[#This Row],[a1]]=1,_xlfn.NORM.DIST(Tab.11[[#This Row],[b9]],$P$1,$Q$1,FALSE))</f>
        <v>0</v>
      </c>
      <c r="Q79" s="70" t="b">
        <f>IF(Tab.11[[#This Row],[a1]]=1,_xlfn.NORM.DIST(Tab.11[[#This Row],[b10]],$P$1,$Q$1,FALSE))</f>
        <v>0</v>
      </c>
      <c r="R79" s="67" t="b">
        <f>IF(Tab.11[[#This Row],[a1]]=1,$I$3+$A$989+IF($K$3=0,Tab.11[[#This Row],[b8]]*_xlfn.STDEV.P(Tab.11[data]),AVERAGE(Tab.11[b6])+Tab.11[[#This Row],[b8]]*_xlfn.STDEV.P(Tab.11[data])))</f>
        <v>0</v>
      </c>
      <c r="S79" s="71" t="b">
        <f>IF(Tab.11[[#This Row],[a1]]=1,$I$3+$A$987+IF($K$3=0,Tab.11[[#This Row],[b9]]*_xlfn.STDEV.P(Tab.11[data]),AVERAGE(Tab.11[b6])+Tab.11[[#This Row],[b9]]*_xlfn.STDEV.P(Tab.11[data])))</f>
        <v>0</v>
      </c>
      <c r="T79" s="71" t="b">
        <f>IF(Tab.11[[#This Row],[a1]]=1,$I$3+$A$988+IF($K$3=0,Tab.11[[#This Row],[b10]]*_xlfn.STDEV.P(Tab.11[data]),AVERAGE(Tab.11[b6])+Tab.11[[#This Row],[b10]]*_xlfn.STDEV.P(Tab.11[data])))</f>
        <v>0</v>
      </c>
      <c r="U79" s="72" t="b">
        <f>IF(Tab.11[[#This Row],[a1]]=1,Tab.11[[#This Row],[target]]-Tab.11[[#This Row],[Red]])</f>
        <v>0</v>
      </c>
      <c r="V79" s="72" t="b">
        <f>IF(Tab.11[[#This Row],[a1]]=1,Tab.11[[#This Row],[target]]-Tab.11[[#This Row],[Blue]])</f>
        <v>0</v>
      </c>
      <c r="W79" s="73" t="b">
        <f>IF(Tab.11[[#This Row],[a1]]=1,IF(ABS(Tab.11[[#This Row],[b17]])+ABS(Tab.11[[#This Row],[b18]])&lt;$W$2,$W$2,ABS(Tab.11[[#This Row],[b17]])+ABS(Tab.11[[#This Row],[b18]])))</f>
        <v>0</v>
      </c>
      <c r="X79" s="136" t="b">
        <f>IF(Tab.11[[#This Row],[a1]]=1,IF($W$3&lt;0,Tab.11[[#This Row],[IN]]-$I$3,Tab.11[[#This Row],[IN]]))</f>
        <v>0</v>
      </c>
      <c r="Y79" s="136" t="b">
        <f>IF(Tab.11[[#This Row],[a1]]=1,IF($X$3=0,Tab.11[b66],Tab.11[[#This Row],[b66]]-AVERAGE(Tab.11[b66])))</f>
        <v>0</v>
      </c>
      <c r="Z79" s="135" t="b">
        <f>IF(Tab.11[[#This Row],[a1]]=1,Tab.11[[#This Row],[b77]]/(_xlfn.STDEV.P(Tab.11[b77])))</f>
        <v>0</v>
      </c>
      <c r="AA79" s="70" t="b">
        <f>IF(Tab.11[[#This Row],[a1]]=1,_xlfn.NORM.DIST(Tab.11[[#This Row],[b88]],$Z$1,$AA$1,FALSE))</f>
        <v>0</v>
      </c>
      <c r="AB79" s="74" t="b">
        <f>IF(Tab.11[[#This Row],[a1]]=1,IF($A$3=0,FALSE,1/Tab.11[[#This Row],[IN]]*$AC$2*IF(Tab.11[[#This Row],[a1]]=0,,$A$3*$AC$1*1/$V$3*(Tab.11[[#This Row],[b14]]))))</f>
        <v>0</v>
      </c>
      <c r="AC79" s="75" t="b">
        <f>IF(Tab.11[[#This Row],[a1]]=1,IF($AC$3=0,Tab.11[[#This Row],[φ1]],Tab.11[[#This Row],[φ1]]/MAX(Tab.11[φ1])))</f>
        <v>0</v>
      </c>
      <c r="AD79" s="74" t="b">
        <f>IF(Tab.11[[#This Row],[a1]]=1,1/Tab.11[[#This Row],[φ2]])</f>
        <v>0</v>
      </c>
      <c r="AE79" s="74" t="b">
        <f>IF(Tab.11[[#This Row],[a1]]=1,IF($AE$3=0,Tab.11[[#This Row],[w.0]],Tab.11[[#This Row],[w.0]]/SUM(Tab.11[w.0])))</f>
        <v>0</v>
      </c>
      <c r="AF79" s="76" t="str">
        <f>IF(Tab.11[[#This Row],[a1]]=0,"false",[3]!Tab.x5[[#This Row],[%_seN_C]])</f>
        <v>false</v>
      </c>
      <c r="AG79" s="77" t="b">
        <f>IF(Tab.11[[#This Row],[a1]]=1,AP79)</f>
        <v>0</v>
      </c>
      <c r="AH79" s="78" t="b">
        <f>IF(Tab.11[[#This Row],[a1]]=1,AQ79)</f>
        <v>0</v>
      </c>
      <c r="AI79" s="41">
        <v>3.0000000000000001E-3</v>
      </c>
      <c r="AJ79" s="79">
        <v>0.03</v>
      </c>
      <c r="AK79" s="80" t="b">
        <f>IF(Tab.11[[#This Row],[a1]]=1,1)</f>
        <v>0</v>
      </c>
      <c r="AZ79"/>
    </row>
    <row r="80" spans="1:52" ht="14.25" hidden="1" customHeight="1" x14ac:dyDescent="0.25">
      <c r="A80" s="61">
        <f t="shared" si="3"/>
        <v>0</v>
      </c>
      <c r="B80" s="62">
        <f t="shared" si="3"/>
        <v>0</v>
      </c>
      <c r="C80" s="62" t="b">
        <f>IF(Tab.11[[#This Row],[a1]]=1,[3]!Tab_x1[[#This Row],[Name]])</f>
        <v>0</v>
      </c>
      <c r="D80" s="63" t="b">
        <f>IF(Tab.11[[#This Row],[a1]]=1,AO80)</f>
        <v>0</v>
      </c>
      <c r="E80" s="63">
        <f t="shared" si="4"/>
        <v>0</v>
      </c>
      <c r="F80" s="64" t="b">
        <f>IF(Tab.11[[#This Row],[a1]]=1,Tab.11[[#This Row],[b1]])</f>
        <v>0</v>
      </c>
      <c r="G80" s="65" t="b">
        <f>IF(Tab.11[[#This Row],[a1]]=1,IF(Tab.11[[#This Row],[b3]]&gt;$L$989*$G$3,$L$989*$G$3,IF(Tab.11[[#This Row],[b3]]&lt;$M$989*$G$3,$M$989*$G$3,Tab.11[[#This Row],[b3]])))</f>
        <v>0</v>
      </c>
      <c r="H80" s="66" t="b">
        <f>IF(Tab.11[[#This Row],[a1]]=1,Tab.11[[#This Row],[b1]])</f>
        <v>0</v>
      </c>
      <c r="I80" s="67" t="b">
        <f>IF(Tab.11[[#This Row],[a1]]=1,Tab.11[[#This Row],[b1]])</f>
        <v>0</v>
      </c>
      <c r="J80" s="68" t="b">
        <f>IF(Tab.11[[#This Row],[a1]]=1,IF($I$3&lt;0,Tab.11[[#This Row],[b5]]-$I$3,Tab.11[[#This Row],[b5]]))</f>
        <v>0</v>
      </c>
      <c r="K80" s="68" t="b">
        <f>IF(Tab.11[[#This Row],[a1]]=1,IF($K$3=0,Tab.11[b6],Tab.11[[#This Row],[b6]]-AVERAGE(Tab.11[b6])))</f>
        <v>0</v>
      </c>
      <c r="L80" s="69" t="b">
        <f>IF(Tab.11[[#This Row],[a1]]=1,Tab.11[[#This Row],[data]]/(_xlfn.STDEV.P(Tab.11[data])*$B$989)+$A$989)</f>
        <v>0</v>
      </c>
      <c r="M80" s="69" t="b">
        <f>IF(Tab.11[[#This Row],[a1]]=1,Tab.11[[#This Row],[data]]/(_xlfn.STDEV.P(Tab.11[data])*$B$987)-$A$987)</f>
        <v>0</v>
      </c>
      <c r="N80" s="69" t="b">
        <f>IF(Tab.11[[#This Row],[a1]]=1,Tab.11[[#This Row],[data]]/(_xlfn.STDEV.P(Tab.11[data])*$B$988)+$A$988)</f>
        <v>0</v>
      </c>
      <c r="O80" s="70" t="b">
        <f>IF(Tab.11[[#This Row],[a1]]=1,_xlfn.NORM.DIST(Tab.11[[#This Row],[b8]],$P$1,$Q$1,FALSE))</f>
        <v>0</v>
      </c>
      <c r="P80" s="70" t="b">
        <f>IF(Tab.11[[#This Row],[a1]]=1,_xlfn.NORM.DIST(Tab.11[[#This Row],[b9]],$P$1,$Q$1,FALSE))</f>
        <v>0</v>
      </c>
      <c r="Q80" s="70" t="b">
        <f>IF(Tab.11[[#This Row],[a1]]=1,_xlfn.NORM.DIST(Tab.11[[#This Row],[b10]],$P$1,$Q$1,FALSE))</f>
        <v>0</v>
      </c>
      <c r="R80" s="67" t="b">
        <f>IF(Tab.11[[#This Row],[a1]]=1,$I$3+$A$989+IF($K$3=0,Tab.11[[#This Row],[b8]]*_xlfn.STDEV.P(Tab.11[data]),AVERAGE(Tab.11[b6])+Tab.11[[#This Row],[b8]]*_xlfn.STDEV.P(Tab.11[data])))</f>
        <v>0</v>
      </c>
      <c r="S80" s="71" t="b">
        <f>IF(Tab.11[[#This Row],[a1]]=1,$I$3+$A$987+IF($K$3=0,Tab.11[[#This Row],[b9]]*_xlfn.STDEV.P(Tab.11[data]),AVERAGE(Tab.11[b6])+Tab.11[[#This Row],[b9]]*_xlfn.STDEV.P(Tab.11[data])))</f>
        <v>0</v>
      </c>
      <c r="T80" s="71" t="b">
        <f>IF(Tab.11[[#This Row],[a1]]=1,$I$3+$A$988+IF($K$3=0,Tab.11[[#This Row],[b10]]*_xlfn.STDEV.P(Tab.11[data]),AVERAGE(Tab.11[b6])+Tab.11[[#This Row],[b10]]*_xlfn.STDEV.P(Tab.11[data])))</f>
        <v>0</v>
      </c>
      <c r="U80" s="72" t="b">
        <f>IF(Tab.11[[#This Row],[a1]]=1,Tab.11[[#This Row],[target]]-Tab.11[[#This Row],[Red]])</f>
        <v>0</v>
      </c>
      <c r="V80" s="72" t="b">
        <f>IF(Tab.11[[#This Row],[a1]]=1,Tab.11[[#This Row],[target]]-Tab.11[[#This Row],[Blue]])</f>
        <v>0</v>
      </c>
      <c r="W80" s="73" t="b">
        <f>IF(Tab.11[[#This Row],[a1]]=1,IF(ABS(Tab.11[[#This Row],[b17]])+ABS(Tab.11[[#This Row],[b18]])&lt;$W$2,$W$2,ABS(Tab.11[[#This Row],[b17]])+ABS(Tab.11[[#This Row],[b18]])))</f>
        <v>0</v>
      </c>
      <c r="X80" s="136" t="b">
        <f>IF(Tab.11[[#This Row],[a1]]=1,IF($W$3&lt;0,Tab.11[[#This Row],[IN]]-$I$3,Tab.11[[#This Row],[IN]]))</f>
        <v>0</v>
      </c>
      <c r="Y80" s="136" t="b">
        <f>IF(Tab.11[[#This Row],[a1]]=1,IF($X$3=0,Tab.11[b66],Tab.11[[#This Row],[b66]]-AVERAGE(Tab.11[b66])))</f>
        <v>0</v>
      </c>
      <c r="Z80" s="135" t="b">
        <f>IF(Tab.11[[#This Row],[a1]]=1,Tab.11[[#This Row],[b77]]/(_xlfn.STDEV.P(Tab.11[b77])))</f>
        <v>0</v>
      </c>
      <c r="AA80" s="70" t="b">
        <f>IF(Tab.11[[#This Row],[a1]]=1,_xlfn.NORM.DIST(Tab.11[[#This Row],[b88]],$Z$1,$AA$1,FALSE))</f>
        <v>0</v>
      </c>
      <c r="AB80" s="74" t="b">
        <f>IF(Tab.11[[#This Row],[a1]]=1,IF($A$3=0,FALSE,1/Tab.11[[#This Row],[IN]]*$AC$2*IF(Tab.11[[#This Row],[a1]]=0,,$A$3*$AC$1*1/$V$3*(Tab.11[[#This Row],[b14]]))))</f>
        <v>0</v>
      </c>
      <c r="AC80" s="75" t="b">
        <f>IF(Tab.11[[#This Row],[a1]]=1,IF($AC$3=0,Tab.11[[#This Row],[φ1]],Tab.11[[#This Row],[φ1]]/MAX(Tab.11[φ1])))</f>
        <v>0</v>
      </c>
      <c r="AD80" s="74" t="b">
        <f>IF(Tab.11[[#This Row],[a1]]=1,1/Tab.11[[#This Row],[φ2]])</f>
        <v>0</v>
      </c>
      <c r="AE80" s="74" t="b">
        <f>IF(Tab.11[[#This Row],[a1]]=1,IF($AE$3=0,Tab.11[[#This Row],[w.0]],Tab.11[[#This Row],[w.0]]/SUM(Tab.11[w.0])))</f>
        <v>0</v>
      </c>
      <c r="AF80" s="76" t="str">
        <f>IF(Tab.11[[#This Row],[a1]]=0,"false",[3]!Tab.x5[[#This Row],[%_seN_C]])</f>
        <v>false</v>
      </c>
      <c r="AG80" s="77" t="b">
        <f>IF(Tab.11[[#This Row],[a1]]=1,AP80)</f>
        <v>0</v>
      </c>
      <c r="AH80" s="78" t="b">
        <f>IF(Tab.11[[#This Row],[a1]]=1,AQ80)</f>
        <v>0</v>
      </c>
      <c r="AI80" s="41">
        <v>3.0000000000000001E-3</v>
      </c>
      <c r="AJ80" s="79">
        <v>0.02</v>
      </c>
      <c r="AK80" s="80" t="b">
        <f>IF(Tab.11[[#This Row],[a1]]=1,1)</f>
        <v>0</v>
      </c>
      <c r="AZ80"/>
    </row>
    <row r="81" spans="1:52" ht="14.25" hidden="1" customHeight="1" x14ac:dyDescent="0.25">
      <c r="A81" s="61">
        <f t="shared" si="3"/>
        <v>0</v>
      </c>
      <c r="B81" s="62">
        <f t="shared" si="3"/>
        <v>0</v>
      </c>
      <c r="C81" s="62" t="b">
        <f>IF(Tab.11[[#This Row],[a1]]=1,[3]!Tab_x1[[#This Row],[Name]])</f>
        <v>0</v>
      </c>
      <c r="D81" s="63" t="b">
        <f>IF(Tab.11[[#This Row],[a1]]=1,AO81)</f>
        <v>0</v>
      </c>
      <c r="E81" s="63">
        <f t="shared" si="4"/>
        <v>0</v>
      </c>
      <c r="F81" s="64" t="b">
        <f>IF(Tab.11[[#This Row],[a1]]=1,Tab.11[[#This Row],[b1]])</f>
        <v>0</v>
      </c>
      <c r="G81" s="65" t="b">
        <f>IF(Tab.11[[#This Row],[a1]]=1,IF(Tab.11[[#This Row],[b3]]&gt;$L$989*$G$3,$L$989*$G$3,IF(Tab.11[[#This Row],[b3]]&lt;$M$989*$G$3,$M$989*$G$3,Tab.11[[#This Row],[b3]])))</f>
        <v>0</v>
      </c>
      <c r="H81" s="66" t="b">
        <f>IF(Tab.11[[#This Row],[a1]]=1,Tab.11[[#This Row],[b1]])</f>
        <v>0</v>
      </c>
      <c r="I81" s="67" t="b">
        <f>IF(Tab.11[[#This Row],[a1]]=1,Tab.11[[#This Row],[b1]])</f>
        <v>0</v>
      </c>
      <c r="J81" s="68" t="b">
        <f>IF(Tab.11[[#This Row],[a1]]=1,IF($I$3&lt;0,Tab.11[[#This Row],[b5]]-$I$3,Tab.11[[#This Row],[b5]]))</f>
        <v>0</v>
      </c>
      <c r="K81" s="68" t="b">
        <f>IF(Tab.11[[#This Row],[a1]]=1,IF($K$3=0,Tab.11[b6],Tab.11[[#This Row],[b6]]-AVERAGE(Tab.11[b6])))</f>
        <v>0</v>
      </c>
      <c r="L81" s="69" t="b">
        <f>IF(Tab.11[[#This Row],[a1]]=1,Tab.11[[#This Row],[data]]/(_xlfn.STDEV.P(Tab.11[data])*$B$989)+$A$989)</f>
        <v>0</v>
      </c>
      <c r="M81" s="69" t="b">
        <f>IF(Tab.11[[#This Row],[a1]]=1,Tab.11[[#This Row],[data]]/(_xlfn.STDEV.P(Tab.11[data])*$B$987)-$A$987)</f>
        <v>0</v>
      </c>
      <c r="N81" s="69" t="b">
        <f>IF(Tab.11[[#This Row],[a1]]=1,Tab.11[[#This Row],[data]]/(_xlfn.STDEV.P(Tab.11[data])*$B$988)+$A$988)</f>
        <v>0</v>
      </c>
      <c r="O81" s="70" t="b">
        <f>IF(Tab.11[[#This Row],[a1]]=1,_xlfn.NORM.DIST(Tab.11[[#This Row],[b8]],$P$1,$Q$1,FALSE))</f>
        <v>0</v>
      </c>
      <c r="P81" s="70" t="b">
        <f>IF(Tab.11[[#This Row],[a1]]=1,_xlfn.NORM.DIST(Tab.11[[#This Row],[b9]],$P$1,$Q$1,FALSE))</f>
        <v>0</v>
      </c>
      <c r="Q81" s="70" t="b">
        <f>IF(Tab.11[[#This Row],[a1]]=1,_xlfn.NORM.DIST(Tab.11[[#This Row],[b10]],$P$1,$Q$1,FALSE))</f>
        <v>0</v>
      </c>
      <c r="R81" s="67" t="b">
        <f>IF(Tab.11[[#This Row],[a1]]=1,$I$3+$A$989+IF($K$3=0,Tab.11[[#This Row],[b8]]*_xlfn.STDEV.P(Tab.11[data]),AVERAGE(Tab.11[b6])+Tab.11[[#This Row],[b8]]*_xlfn.STDEV.P(Tab.11[data])))</f>
        <v>0</v>
      </c>
      <c r="S81" s="71" t="b">
        <f>IF(Tab.11[[#This Row],[a1]]=1,$I$3+$A$987+IF($K$3=0,Tab.11[[#This Row],[b9]]*_xlfn.STDEV.P(Tab.11[data]),AVERAGE(Tab.11[b6])+Tab.11[[#This Row],[b9]]*_xlfn.STDEV.P(Tab.11[data])))</f>
        <v>0</v>
      </c>
      <c r="T81" s="71" t="b">
        <f>IF(Tab.11[[#This Row],[a1]]=1,$I$3+$A$988+IF($K$3=0,Tab.11[[#This Row],[b10]]*_xlfn.STDEV.P(Tab.11[data]),AVERAGE(Tab.11[b6])+Tab.11[[#This Row],[b10]]*_xlfn.STDEV.P(Tab.11[data])))</f>
        <v>0</v>
      </c>
      <c r="U81" s="72" t="b">
        <f>IF(Tab.11[[#This Row],[a1]]=1,Tab.11[[#This Row],[target]]-Tab.11[[#This Row],[Red]])</f>
        <v>0</v>
      </c>
      <c r="V81" s="72" t="b">
        <f>IF(Tab.11[[#This Row],[a1]]=1,Tab.11[[#This Row],[target]]-Tab.11[[#This Row],[Blue]])</f>
        <v>0</v>
      </c>
      <c r="W81" s="73" t="b">
        <f>IF(Tab.11[[#This Row],[a1]]=1,IF(ABS(Tab.11[[#This Row],[b17]])+ABS(Tab.11[[#This Row],[b18]])&lt;$W$2,$W$2,ABS(Tab.11[[#This Row],[b17]])+ABS(Tab.11[[#This Row],[b18]])))</f>
        <v>0</v>
      </c>
      <c r="X81" s="136" t="b">
        <f>IF(Tab.11[[#This Row],[a1]]=1,IF($W$3&lt;0,Tab.11[[#This Row],[IN]]-$I$3,Tab.11[[#This Row],[IN]]))</f>
        <v>0</v>
      </c>
      <c r="Y81" s="136" t="b">
        <f>IF(Tab.11[[#This Row],[a1]]=1,IF($X$3=0,Tab.11[b66],Tab.11[[#This Row],[b66]]-AVERAGE(Tab.11[b66])))</f>
        <v>0</v>
      </c>
      <c r="Z81" s="135" t="b">
        <f>IF(Tab.11[[#This Row],[a1]]=1,Tab.11[[#This Row],[b77]]/(_xlfn.STDEV.P(Tab.11[b77])))</f>
        <v>0</v>
      </c>
      <c r="AA81" s="70" t="b">
        <f>IF(Tab.11[[#This Row],[a1]]=1,_xlfn.NORM.DIST(Tab.11[[#This Row],[b88]],$Z$1,$AA$1,FALSE))</f>
        <v>0</v>
      </c>
      <c r="AB81" s="74" t="b">
        <f>IF(Tab.11[[#This Row],[a1]]=1,IF($A$3=0,FALSE,1/Tab.11[[#This Row],[IN]]*$AC$2*IF(Tab.11[[#This Row],[a1]]=0,,$A$3*$AC$1*1/$V$3*(Tab.11[[#This Row],[b14]]))))</f>
        <v>0</v>
      </c>
      <c r="AC81" s="75" t="b">
        <f>IF(Tab.11[[#This Row],[a1]]=1,IF($AC$3=0,Tab.11[[#This Row],[φ1]],Tab.11[[#This Row],[φ1]]/MAX(Tab.11[φ1])))</f>
        <v>0</v>
      </c>
      <c r="AD81" s="74" t="b">
        <f>IF(Tab.11[[#This Row],[a1]]=1,1/Tab.11[[#This Row],[φ2]])</f>
        <v>0</v>
      </c>
      <c r="AE81" s="74" t="b">
        <f>IF(Tab.11[[#This Row],[a1]]=1,IF($AE$3=0,Tab.11[[#This Row],[w.0]],Tab.11[[#This Row],[w.0]]/SUM(Tab.11[w.0])))</f>
        <v>0</v>
      </c>
      <c r="AF81" s="76" t="str">
        <f>IF(Tab.11[[#This Row],[a1]]=0,"false",[3]!Tab.x5[[#This Row],[%_seN_C]])</f>
        <v>false</v>
      </c>
      <c r="AG81" s="77" t="b">
        <f>IF(Tab.11[[#This Row],[a1]]=1,AP81)</f>
        <v>0</v>
      </c>
      <c r="AH81" s="78" t="b">
        <f>IF(Tab.11[[#This Row],[a1]]=1,AQ81)</f>
        <v>0</v>
      </c>
      <c r="AI81" s="41">
        <v>3.0000000000000001E-3</v>
      </c>
      <c r="AJ81" s="79">
        <v>-0.1</v>
      </c>
      <c r="AK81" s="80" t="b">
        <f>IF(Tab.11[[#This Row],[a1]]=1,1)</f>
        <v>0</v>
      </c>
      <c r="AZ81"/>
    </row>
    <row r="82" spans="1:52" ht="14.25" hidden="1" customHeight="1" x14ac:dyDescent="0.25">
      <c r="A82" s="61">
        <f t="shared" si="3"/>
        <v>0</v>
      </c>
      <c r="B82" s="62">
        <f t="shared" si="3"/>
        <v>0</v>
      </c>
      <c r="C82" s="62" t="b">
        <f>IF(Tab.11[[#This Row],[a1]]=1,[3]!Tab_x1[[#This Row],[Name]])</f>
        <v>0</v>
      </c>
      <c r="D82" s="63" t="b">
        <f>IF(Tab.11[[#This Row],[a1]]=1,AO82)</f>
        <v>0</v>
      </c>
      <c r="E82" s="63">
        <f t="shared" si="4"/>
        <v>0</v>
      </c>
      <c r="F82" s="64" t="b">
        <f>IF(Tab.11[[#This Row],[a1]]=1,Tab.11[[#This Row],[b1]])</f>
        <v>0</v>
      </c>
      <c r="G82" s="65" t="b">
        <f>IF(Tab.11[[#This Row],[a1]]=1,IF(Tab.11[[#This Row],[b3]]&gt;$L$989*$G$3,$L$989*$G$3,IF(Tab.11[[#This Row],[b3]]&lt;$M$989*$G$3,$M$989*$G$3,Tab.11[[#This Row],[b3]])))</f>
        <v>0</v>
      </c>
      <c r="H82" s="66" t="b">
        <f>IF(Tab.11[[#This Row],[a1]]=1,Tab.11[[#This Row],[b1]])</f>
        <v>0</v>
      </c>
      <c r="I82" s="67" t="b">
        <f>IF(Tab.11[[#This Row],[a1]]=1,Tab.11[[#This Row],[b1]])</f>
        <v>0</v>
      </c>
      <c r="J82" s="68" t="b">
        <f>IF(Tab.11[[#This Row],[a1]]=1,IF($I$3&lt;0,Tab.11[[#This Row],[b5]]-$I$3,Tab.11[[#This Row],[b5]]))</f>
        <v>0</v>
      </c>
      <c r="K82" s="68" t="b">
        <f>IF(Tab.11[[#This Row],[a1]]=1,IF($K$3=0,Tab.11[b6],Tab.11[[#This Row],[b6]]-AVERAGE(Tab.11[b6])))</f>
        <v>0</v>
      </c>
      <c r="L82" s="69" t="b">
        <f>IF(Tab.11[[#This Row],[a1]]=1,Tab.11[[#This Row],[data]]/(_xlfn.STDEV.P(Tab.11[data])*$B$989)+$A$989)</f>
        <v>0</v>
      </c>
      <c r="M82" s="69" t="b">
        <f>IF(Tab.11[[#This Row],[a1]]=1,Tab.11[[#This Row],[data]]/(_xlfn.STDEV.P(Tab.11[data])*$B$987)-$A$987)</f>
        <v>0</v>
      </c>
      <c r="N82" s="69" t="b">
        <f>IF(Tab.11[[#This Row],[a1]]=1,Tab.11[[#This Row],[data]]/(_xlfn.STDEV.P(Tab.11[data])*$B$988)+$A$988)</f>
        <v>0</v>
      </c>
      <c r="O82" s="70" t="b">
        <f>IF(Tab.11[[#This Row],[a1]]=1,_xlfn.NORM.DIST(Tab.11[[#This Row],[b8]],$P$1,$Q$1,FALSE))</f>
        <v>0</v>
      </c>
      <c r="P82" s="70" t="b">
        <f>IF(Tab.11[[#This Row],[a1]]=1,_xlfn.NORM.DIST(Tab.11[[#This Row],[b9]],$P$1,$Q$1,FALSE))</f>
        <v>0</v>
      </c>
      <c r="Q82" s="70" t="b">
        <f>IF(Tab.11[[#This Row],[a1]]=1,_xlfn.NORM.DIST(Tab.11[[#This Row],[b10]],$P$1,$Q$1,FALSE))</f>
        <v>0</v>
      </c>
      <c r="R82" s="67" t="b">
        <f>IF(Tab.11[[#This Row],[a1]]=1,$I$3+$A$989+IF($K$3=0,Tab.11[[#This Row],[b8]]*_xlfn.STDEV.P(Tab.11[data]),AVERAGE(Tab.11[b6])+Tab.11[[#This Row],[b8]]*_xlfn.STDEV.P(Tab.11[data])))</f>
        <v>0</v>
      </c>
      <c r="S82" s="71" t="b">
        <f>IF(Tab.11[[#This Row],[a1]]=1,$I$3+$A$987+IF($K$3=0,Tab.11[[#This Row],[b9]]*_xlfn.STDEV.P(Tab.11[data]),AVERAGE(Tab.11[b6])+Tab.11[[#This Row],[b9]]*_xlfn.STDEV.P(Tab.11[data])))</f>
        <v>0</v>
      </c>
      <c r="T82" s="71" t="b">
        <f>IF(Tab.11[[#This Row],[a1]]=1,$I$3+$A$988+IF($K$3=0,Tab.11[[#This Row],[b10]]*_xlfn.STDEV.P(Tab.11[data]),AVERAGE(Tab.11[b6])+Tab.11[[#This Row],[b10]]*_xlfn.STDEV.P(Tab.11[data])))</f>
        <v>0</v>
      </c>
      <c r="U82" s="72" t="b">
        <f>IF(Tab.11[[#This Row],[a1]]=1,Tab.11[[#This Row],[target]]-Tab.11[[#This Row],[Red]])</f>
        <v>0</v>
      </c>
      <c r="V82" s="72" t="b">
        <f>IF(Tab.11[[#This Row],[a1]]=1,Tab.11[[#This Row],[target]]-Tab.11[[#This Row],[Blue]])</f>
        <v>0</v>
      </c>
      <c r="W82" s="73" t="b">
        <f>IF(Tab.11[[#This Row],[a1]]=1,IF(ABS(Tab.11[[#This Row],[b17]])+ABS(Tab.11[[#This Row],[b18]])&lt;$W$2,$W$2,ABS(Tab.11[[#This Row],[b17]])+ABS(Tab.11[[#This Row],[b18]])))</f>
        <v>0</v>
      </c>
      <c r="X82" s="136" t="b">
        <f>IF(Tab.11[[#This Row],[a1]]=1,IF($W$3&lt;0,Tab.11[[#This Row],[IN]]-$I$3,Tab.11[[#This Row],[IN]]))</f>
        <v>0</v>
      </c>
      <c r="Y82" s="136" t="b">
        <f>IF(Tab.11[[#This Row],[a1]]=1,IF($X$3=0,Tab.11[b66],Tab.11[[#This Row],[b66]]-AVERAGE(Tab.11[b66])))</f>
        <v>0</v>
      </c>
      <c r="Z82" s="135" t="b">
        <f>IF(Tab.11[[#This Row],[a1]]=1,Tab.11[[#This Row],[b77]]/(_xlfn.STDEV.P(Tab.11[b77])))</f>
        <v>0</v>
      </c>
      <c r="AA82" s="70" t="b">
        <f>IF(Tab.11[[#This Row],[a1]]=1,_xlfn.NORM.DIST(Tab.11[[#This Row],[b88]],$Z$1,$AA$1,FALSE))</f>
        <v>0</v>
      </c>
      <c r="AB82" s="74" t="b">
        <f>IF(Tab.11[[#This Row],[a1]]=1,IF($A$3=0,FALSE,1/Tab.11[[#This Row],[IN]]*$AC$2*IF(Tab.11[[#This Row],[a1]]=0,,$A$3*$AC$1*1/$V$3*(Tab.11[[#This Row],[b14]]))))</f>
        <v>0</v>
      </c>
      <c r="AC82" s="75" t="b">
        <f>IF(Tab.11[[#This Row],[a1]]=1,IF($AC$3=0,Tab.11[[#This Row],[φ1]],Tab.11[[#This Row],[φ1]]/MAX(Tab.11[φ1])))</f>
        <v>0</v>
      </c>
      <c r="AD82" s="74" t="b">
        <f>IF(Tab.11[[#This Row],[a1]]=1,1/Tab.11[[#This Row],[φ2]])</f>
        <v>0</v>
      </c>
      <c r="AE82" s="74" t="b">
        <f>IF(Tab.11[[#This Row],[a1]]=1,IF($AE$3=0,Tab.11[[#This Row],[w.0]],Tab.11[[#This Row],[w.0]]/SUM(Tab.11[w.0])))</f>
        <v>0</v>
      </c>
      <c r="AF82" s="76" t="str">
        <f>IF(Tab.11[[#This Row],[a1]]=0,"false",[3]!Tab.x5[[#This Row],[%_seN_C]])</f>
        <v>false</v>
      </c>
      <c r="AG82" s="77" t="b">
        <f>IF(Tab.11[[#This Row],[a1]]=1,AP82)</f>
        <v>0</v>
      </c>
      <c r="AH82" s="78" t="b">
        <f>IF(Tab.11[[#This Row],[a1]]=1,AQ82)</f>
        <v>0</v>
      </c>
      <c r="AI82" s="41">
        <v>3.0000000000000001E-3</v>
      </c>
      <c r="AJ82" s="79">
        <v>0.1</v>
      </c>
      <c r="AK82" s="80" t="b">
        <f>IF(Tab.11[[#This Row],[a1]]=1,1)</f>
        <v>0</v>
      </c>
      <c r="AZ82"/>
    </row>
    <row r="83" spans="1:52" ht="14.25" hidden="1" customHeight="1" x14ac:dyDescent="0.25">
      <c r="A83" s="61">
        <f t="shared" si="3"/>
        <v>0</v>
      </c>
      <c r="B83" s="62">
        <f t="shared" si="3"/>
        <v>0</v>
      </c>
      <c r="C83" s="62" t="b">
        <f>IF(Tab.11[[#This Row],[a1]]=1,[3]!Tab_x1[[#This Row],[Name]])</f>
        <v>0</v>
      </c>
      <c r="D83" s="63" t="b">
        <f>IF(Tab.11[[#This Row],[a1]]=1,AO83)</f>
        <v>0</v>
      </c>
      <c r="E83" s="63">
        <f t="shared" si="4"/>
        <v>0</v>
      </c>
      <c r="F83" s="64" t="b">
        <f>IF(Tab.11[[#This Row],[a1]]=1,Tab.11[[#This Row],[b1]])</f>
        <v>0</v>
      </c>
      <c r="G83" s="65" t="b">
        <f>IF(Tab.11[[#This Row],[a1]]=1,IF(Tab.11[[#This Row],[b3]]&gt;$L$989*$G$3,$L$989*$G$3,IF(Tab.11[[#This Row],[b3]]&lt;$M$989*$G$3,$M$989*$G$3,Tab.11[[#This Row],[b3]])))</f>
        <v>0</v>
      </c>
      <c r="H83" s="66" t="b">
        <f>IF(Tab.11[[#This Row],[a1]]=1,Tab.11[[#This Row],[b1]])</f>
        <v>0</v>
      </c>
      <c r="I83" s="67" t="b">
        <f>IF(Tab.11[[#This Row],[a1]]=1,Tab.11[[#This Row],[b1]])</f>
        <v>0</v>
      </c>
      <c r="J83" s="68" t="b">
        <f>IF(Tab.11[[#This Row],[a1]]=1,IF($I$3&lt;0,Tab.11[[#This Row],[b5]]-$I$3,Tab.11[[#This Row],[b5]]))</f>
        <v>0</v>
      </c>
      <c r="K83" s="68" t="b">
        <f>IF(Tab.11[[#This Row],[a1]]=1,IF($K$3=0,Tab.11[b6],Tab.11[[#This Row],[b6]]-AVERAGE(Tab.11[b6])))</f>
        <v>0</v>
      </c>
      <c r="L83" s="69" t="b">
        <f>IF(Tab.11[[#This Row],[a1]]=1,Tab.11[[#This Row],[data]]/(_xlfn.STDEV.P(Tab.11[data])*$B$989)+$A$989)</f>
        <v>0</v>
      </c>
      <c r="M83" s="69" t="b">
        <f>IF(Tab.11[[#This Row],[a1]]=1,Tab.11[[#This Row],[data]]/(_xlfn.STDEV.P(Tab.11[data])*$B$987)-$A$987)</f>
        <v>0</v>
      </c>
      <c r="N83" s="69" t="b">
        <f>IF(Tab.11[[#This Row],[a1]]=1,Tab.11[[#This Row],[data]]/(_xlfn.STDEV.P(Tab.11[data])*$B$988)+$A$988)</f>
        <v>0</v>
      </c>
      <c r="O83" s="70" t="b">
        <f>IF(Tab.11[[#This Row],[a1]]=1,_xlfn.NORM.DIST(Tab.11[[#This Row],[b8]],$P$1,$Q$1,FALSE))</f>
        <v>0</v>
      </c>
      <c r="P83" s="70" t="b">
        <f>IF(Tab.11[[#This Row],[a1]]=1,_xlfn.NORM.DIST(Tab.11[[#This Row],[b9]],$P$1,$Q$1,FALSE))</f>
        <v>0</v>
      </c>
      <c r="Q83" s="70" t="b">
        <f>IF(Tab.11[[#This Row],[a1]]=1,_xlfn.NORM.DIST(Tab.11[[#This Row],[b10]],$P$1,$Q$1,FALSE))</f>
        <v>0</v>
      </c>
      <c r="R83" s="67" t="b">
        <f>IF(Tab.11[[#This Row],[a1]]=1,$I$3+$A$989+IF($K$3=0,Tab.11[[#This Row],[b8]]*_xlfn.STDEV.P(Tab.11[data]),AVERAGE(Tab.11[b6])+Tab.11[[#This Row],[b8]]*_xlfn.STDEV.P(Tab.11[data])))</f>
        <v>0</v>
      </c>
      <c r="S83" s="71" t="b">
        <f>IF(Tab.11[[#This Row],[a1]]=1,$I$3+$A$987+IF($K$3=0,Tab.11[[#This Row],[b9]]*_xlfn.STDEV.P(Tab.11[data]),AVERAGE(Tab.11[b6])+Tab.11[[#This Row],[b9]]*_xlfn.STDEV.P(Tab.11[data])))</f>
        <v>0</v>
      </c>
      <c r="T83" s="71" t="b">
        <f>IF(Tab.11[[#This Row],[a1]]=1,$I$3+$A$988+IF($K$3=0,Tab.11[[#This Row],[b10]]*_xlfn.STDEV.P(Tab.11[data]),AVERAGE(Tab.11[b6])+Tab.11[[#This Row],[b10]]*_xlfn.STDEV.P(Tab.11[data])))</f>
        <v>0</v>
      </c>
      <c r="U83" s="72" t="b">
        <f>IF(Tab.11[[#This Row],[a1]]=1,Tab.11[[#This Row],[target]]-Tab.11[[#This Row],[Red]])</f>
        <v>0</v>
      </c>
      <c r="V83" s="72" t="b">
        <f>IF(Tab.11[[#This Row],[a1]]=1,Tab.11[[#This Row],[target]]-Tab.11[[#This Row],[Blue]])</f>
        <v>0</v>
      </c>
      <c r="W83" s="73" t="b">
        <f>IF(Tab.11[[#This Row],[a1]]=1,IF(ABS(Tab.11[[#This Row],[b17]])+ABS(Tab.11[[#This Row],[b18]])&lt;$W$2,$W$2,ABS(Tab.11[[#This Row],[b17]])+ABS(Tab.11[[#This Row],[b18]])))</f>
        <v>0</v>
      </c>
      <c r="X83" s="136" t="b">
        <f>IF(Tab.11[[#This Row],[a1]]=1,IF($W$3&lt;0,Tab.11[[#This Row],[IN]]-$I$3,Tab.11[[#This Row],[IN]]))</f>
        <v>0</v>
      </c>
      <c r="Y83" s="136" t="b">
        <f>IF(Tab.11[[#This Row],[a1]]=1,IF($X$3=0,Tab.11[b66],Tab.11[[#This Row],[b66]]-AVERAGE(Tab.11[b66])))</f>
        <v>0</v>
      </c>
      <c r="Z83" s="135" t="b">
        <f>IF(Tab.11[[#This Row],[a1]]=1,Tab.11[[#This Row],[b77]]/(_xlfn.STDEV.P(Tab.11[b77])))</f>
        <v>0</v>
      </c>
      <c r="AA83" s="70" t="b">
        <f>IF(Tab.11[[#This Row],[a1]]=1,_xlfn.NORM.DIST(Tab.11[[#This Row],[b88]],$Z$1,$AA$1,FALSE))</f>
        <v>0</v>
      </c>
      <c r="AB83" s="74" t="b">
        <f>IF(Tab.11[[#This Row],[a1]]=1,IF($A$3=0,FALSE,1/Tab.11[[#This Row],[IN]]*$AC$2*IF(Tab.11[[#This Row],[a1]]=0,,$A$3*$AC$1*1/$V$3*(Tab.11[[#This Row],[b14]]))))</f>
        <v>0</v>
      </c>
      <c r="AC83" s="75" t="b">
        <f>IF(Tab.11[[#This Row],[a1]]=1,IF($AC$3=0,Tab.11[[#This Row],[φ1]],Tab.11[[#This Row],[φ1]]/MAX(Tab.11[φ1])))</f>
        <v>0</v>
      </c>
      <c r="AD83" s="74" t="b">
        <f>IF(Tab.11[[#This Row],[a1]]=1,1/Tab.11[[#This Row],[φ2]])</f>
        <v>0</v>
      </c>
      <c r="AE83" s="74" t="b">
        <f>IF(Tab.11[[#This Row],[a1]]=1,IF($AE$3=0,Tab.11[[#This Row],[w.0]],Tab.11[[#This Row],[w.0]]/SUM(Tab.11[w.0])))</f>
        <v>0</v>
      </c>
      <c r="AF83" s="76" t="str">
        <f>IF(Tab.11[[#This Row],[a1]]=0,"false",[3]!Tab.x5[[#This Row],[%_seN_C]])</f>
        <v>false</v>
      </c>
      <c r="AG83" s="77" t="b">
        <f>IF(Tab.11[[#This Row],[a1]]=1,AP83)</f>
        <v>0</v>
      </c>
      <c r="AH83" s="78" t="b">
        <f>IF(Tab.11[[#This Row],[a1]]=1,AQ83)</f>
        <v>0</v>
      </c>
      <c r="AI83" s="41">
        <v>3.0000000000000001E-3</v>
      </c>
      <c r="AJ83" s="79">
        <v>-0.06</v>
      </c>
      <c r="AK83" s="80" t="b">
        <f>IF(Tab.11[[#This Row],[a1]]=1,1)</f>
        <v>0</v>
      </c>
      <c r="AZ83"/>
    </row>
    <row r="84" spans="1:52" ht="14.25" hidden="1" customHeight="1" x14ac:dyDescent="0.25">
      <c r="A84" s="61">
        <f t="shared" si="3"/>
        <v>0</v>
      </c>
      <c r="B84" s="62">
        <f t="shared" si="3"/>
        <v>0</v>
      </c>
      <c r="C84" s="62" t="b">
        <f>IF(Tab.11[[#This Row],[a1]]=1,[3]!Tab_x1[[#This Row],[Name]])</f>
        <v>0</v>
      </c>
      <c r="D84" s="63" t="b">
        <f>IF(Tab.11[[#This Row],[a1]]=1,AO84)</f>
        <v>0</v>
      </c>
      <c r="E84" s="63">
        <f t="shared" si="4"/>
        <v>0</v>
      </c>
      <c r="F84" s="64" t="b">
        <f>IF(Tab.11[[#This Row],[a1]]=1,Tab.11[[#This Row],[b1]])</f>
        <v>0</v>
      </c>
      <c r="G84" s="65" t="b">
        <f>IF(Tab.11[[#This Row],[a1]]=1,IF(Tab.11[[#This Row],[b3]]&gt;$L$989*$G$3,$L$989*$G$3,IF(Tab.11[[#This Row],[b3]]&lt;$M$989*$G$3,$M$989*$G$3,Tab.11[[#This Row],[b3]])))</f>
        <v>0</v>
      </c>
      <c r="H84" s="66" t="b">
        <f>IF(Tab.11[[#This Row],[a1]]=1,Tab.11[[#This Row],[b1]])</f>
        <v>0</v>
      </c>
      <c r="I84" s="67" t="b">
        <f>IF(Tab.11[[#This Row],[a1]]=1,Tab.11[[#This Row],[b1]])</f>
        <v>0</v>
      </c>
      <c r="J84" s="68" t="b">
        <f>IF(Tab.11[[#This Row],[a1]]=1,IF($I$3&lt;0,Tab.11[[#This Row],[b5]]-$I$3,Tab.11[[#This Row],[b5]]))</f>
        <v>0</v>
      </c>
      <c r="K84" s="68" t="b">
        <f>IF(Tab.11[[#This Row],[a1]]=1,IF($K$3=0,Tab.11[b6],Tab.11[[#This Row],[b6]]-AVERAGE(Tab.11[b6])))</f>
        <v>0</v>
      </c>
      <c r="L84" s="69" t="b">
        <f>IF(Tab.11[[#This Row],[a1]]=1,Tab.11[[#This Row],[data]]/(_xlfn.STDEV.P(Tab.11[data])*$B$989)+$A$989)</f>
        <v>0</v>
      </c>
      <c r="M84" s="69" t="b">
        <f>IF(Tab.11[[#This Row],[a1]]=1,Tab.11[[#This Row],[data]]/(_xlfn.STDEV.P(Tab.11[data])*$B$987)-$A$987)</f>
        <v>0</v>
      </c>
      <c r="N84" s="69" t="b">
        <f>IF(Tab.11[[#This Row],[a1]]=1,Tab.11[[#This Row],[data]]/(_xlfn.STDEV.P(Tab.11[data])*$B$988)+$A$988)</f>
        <v>0</v>
      </c>
      <c r="O84" s="70" t="b">
        <f>IF(Tab.11[[#This Row],[a1]]=1,_xlfn.NORM.DIST(Tab.11[[#This Row],[b8]],$P$1,$Q$1,FALSE))</f>
        <v>0</v>
      </c>
      <c r="P84" s="70" t="b">
        <f>IF(Tab.11[[#This Row],[a1]]=1,_xlfn.NORM.DIST(Tab.11[[#This Row],[b9]],$P$1,$Q$1,FALSE))</f>
        <v>0</v>
      </c>
      <c r="Q84" s="70" t="b">
        <f>IF(Tab.11[[#This Row],[a1]]=1,_xlfn.NORM.DIST(Tab.11[[#This Row],[b10]],$P$1,$Q$1,FALSE))</f>
        <v>0</v>
      </c>
      <c r="R84" s="67" t="b">
        <f>IF(Tab.11[[#This Row],[a1]]=1,$I$3+$A$989+IF($K$3=0,Tab.11[[#This Row],[b8]]*_xlfn.STDEV.P(Tab.11[data]),AVERAGE(Tab.11[b6])+Tab.11[[#This Row],[b8]]*_xlfn.STDEV.P(Tab.11[data])))</f>
        <v>0</v>
      </c>
      <c r="S84" s="71" t="b">
        <f>IF(Tab.11[[#This Row],[a1]]=1,$I$3+$A$987+IF($K$3=0,Tab.11[[#This Row],[b9]]*_xlfn.STDEV.P(Tab.11[data]),AVERAGE(Tab.11[b6])+Tab.11[[#This Row],[b9]]*_xlfn.STDEV.P(Tab.11[data])))</f>
        <v>0</v>
      </c>
      <c r="T84" s="71" t="b">
        <f>IF(Tab.11[[#This Row],[a1]]=1,$I$3+$A$988+IF($K$3=0,Tab.11[[#This Row],[b10]]*_xlfn.STDEV.P(Tab.11[data]),AVERAGE(Tab.11[b6])+Tab.11[[#This Row],[b10]]*_xlfn.STDEV.P(Tab.11[data])))</f>
        <v>0</v>
      </c>
      <c r="U84" s="72" t="b">
        <f>IF(Tab.11[[#This Row],[a1]]=1,Tab.11[[#This Row],[target]]-Tab.11[[#This Row],[Red]])</f>
        <v>0</v>
      </c>
      <c r="V84" s="72" t="b">
        <f>IF(Tab.11[[#This Row],[a1]]=1,Tab.11[[#This Row],[target]]-Tab.11[[#This Row],[Blue]])</f>
        <v>0</v>
      </c>
      <c r="W84" s="73" t="b">
        <f>IF(Tab.11[[#This Row],[a1]]=1,IF(ABS(Tab.11[[#This Row],[b17]])+ABS(Tab.11[[#This Row],[b18]])&lt;$W$2,$W$2,ABS(Tab.11[[#This Row],[b17]])+ABS(Tab.11[[#This Row],[b18]])))</f>
        <v>0</v>
      </c>
      <c r="X84" s="136" t="b">
        <f>IF(Tab.11[[#This Row],[a1]]=1,IF($W$3&lt;0,Tab.11[[#This Row],[IN]]-$I$3,Tab.11[[#This Row],[IN]]))</f>
        <v>0</v>
      </c>
      <c r="Y84" s="136" t="b">
        <f>IF(Tab.11[[#This Row],[a1]]=1,IF($X$3=0,Tab.11[b66],Tab.11[[#This Row],[b66]]-AVERAGE(Tab.11[b66])))</f>
        <v>0</v>
      </c>
      <c r="Z84" s="135" t="b">
        <f>IF(Tab.11[[#This Row],[a1]]=1,Tab.11[[#This Row],[b77]]/(_xlfn.STDEV.P(Tab.11[b77])))</f>
        <v>0</v>
      </c>
      <c r="AA84" s="70" t="b">
        <f>IF(Tab.11[[#This Row],[a1]]=1,_xlfn.NORM.DIST(Tab.11[[#This Row],[b88]],$Z$1,$AA$1,FALSE))</f>
        <v>0</v>
      </c>
      <c r="AB84" s="74" t="b">
        <f>IF(Tab.11[[#This Row],[a1]]=1,IF($A$3=0,FALSE,1/Tab.11[[#This Row],[IN]]*$AC$2*IF(Tab.11[[#This Row],[a1]]=0,,$A$3*$AC$1*1/$V$3*(Tab.11[[#This Row],[b14]]))))</f>
        <v>0</v>
      </c>
      <c r="AC84" s="75" t="b">
        <f>IF(Tab.11[[#This Row],[a1]]=1,IF($AC$3=0,Tab.11[[#This Row],[φ1]],Tab.11[[#This Row],[φ1]]/MAX(Tab.11[φ1])))</f>
        <v>0</v>
      </c>
      <c r="AD84" s="74" t="b">
        <f>IF(Tab.11[[#This Row],[a1]]=1,1/Tab.11[[#This Row],[φ2]])</f>
        <v>0</v>
      </c>
      <c r="AE84" s="74" t="b">
        <f>IF(Tab.11[[#This Row],[a1]]=1,IF($AE$3=0,Tab.11[[#This Row],[w.0]],Tab.11[[#This Row],[w.0]]/SUM(Tab.11[w.0])))</f>
        <v>0</v>
      </c>
      <c r="AF84" s="76" t="str">
        <f>IF(Tab.11[[#This Row],[a1]]=0,"false",[3]!Tab.x5[[#This Row],[%_seN_C]])</f>
        <v>false</v>
      </c>
      <c r="AG84" s="77" t="b">
        <f>IF(Tab.11[[#This Row],[a1]]=1,AP84)</f>
        <v>0</v>
      </c>
      <c r="AH84" s="78" t="b">
        <f>IF(Tab.11[[#This Row],[a1]]=1,AQ84)</f>
        <v>0</v>
      </c>
      <c r="AI84" s="41">
        <v>3.0000000000000001E-3</v>
      </c>
      <c r="AJ84" s="79">
        <v>7.0000000000000007E-2</v>
      </c>
      <c r="AK84" s="80" t="b">
        <f>IF(Tab.11[[#This Row],[a1]]=1,1)</f>
        <v>0</v>
      </c>
      <c r="AZ84"/>
    </row>
    <row r="85" spans="1:52" ht="14.25" hidden="1" customHeight="1" x14ac:dyDescent="0.25">
      <c r="A85" s="61">
        <f t="shared" ref="A85:B148" si="5">AM85</f>
        <v>0</v>
      </c>
      <c r="B85" s="62">
        <f t="shared" si="5"/>
        <v>0</v>
      </c>
      <c r="C85" s="62" t="b">
        <f>IF(Tab.11[[#This Row],[a1]]=1,[3]!Tab_x1[[#This Row],[Name]])</f>
        <v>0</v>
      </c>
      <c r="D85" s="63" t="b">
        <f>IF(Tab.11[[#This Row],[a1]]=1,AO85)</f>
        <v>0</v>
      </c>
      <c r="E85" s="63">
        <f t="shared" si="4"/>
        <v>0</v>
      </c>
      <c r="F85" s="64" t="b">
        <f>IF(Tab.11[[#This Row],[a1]]=1,Tab.11[[#This Row],[b1]])</f>
        <v>0</v>
      </c>
      <c r="G85" s="65" t="b">
        <f>IF(Tab.11[[#This Row],[a1]]=1,IF(Tab.11[[#This Row],[b3]]&gt;$L$989*$G$3,$L$989*$G$3,IF(Tab.11[[#This Row],[b3]]&lt;$M$989*$G$3,$M$989*$G$3,Tab.11[[#This Row],[b3]])))</f>
        <v>0</v>
      </c>
      <c r="H85" s="66" t="b">
        <f>IF(Tab.11[[#This Row],[a1]]=1,Tab.11[[#This Row],[b1]])</f>
        <v>0</v>
      </c>
      <c r="I85" s="67" t="b">
        <f>IF(Tab.11[[#This Row],[a1]]=1,Tab.11[[#This Row],[b1]])</f>
        <v>0</v>
      </c>
      <c r="J85" s="68" t="b">
        <f>IF(Tab.11[[#This Row],[a1]]=1,IF($I$3&lt;0,Tab.11[[#This Row],[b5]]-$I$3,Tab.11[[#This Row],[b5]]))</f>
        <v>0</v>
      </c>
      <c r="K85" s="68" t="b">
        <f>IF(Tab.11[[#This Row],[a1]]=1,IF($K$3=0,Tab.11[b6],Tab.11[[#This Row],[b6]]-AVERAGE(Tab.11[b6])))</f>
        <v>0</v>
      </c>
      <c r="L85" s="69" t="b">
        <f>IF(Tab.11[[#This Row],[a1]]=1,Tab.11[[#This Row],[data]]/(_xlfn.STDEV.P(Tab.11[data])*$B$989)+$A$989)</f>
        <v>0</v>
      </c>
      <c r="M85" s="69" t="b">
        <f>IF(Tab.11[[#This Row],[a1]]=1,Tab.11[[#This Row],[data]]/(_xlfn.STDEV.P(Tab.11[data])*$B$987)-$A$987)</f>
        <v>0</v>
      </c>
      <c r="N85" s="69" t="b">
        <f>IF(Tab.11[[#This Row],[a1]]=1,Tab.11[[#This Row],[data]]/(_xlfn.STDEV.P(Tab.11[data])*$B$988)+$A$988)</f>
        <v>0</v>
      </c>
      <c r="O85" s="70" t="b">
        <f>IF(Tab.11[[#This Row],[a1]]=1,_xlfn.NORM.DIST(Tab.11[[#This Row],[b8]],$P$1,$Q$1,FALSE))</f>
        <v>0</v>
      </c>
      <c r="P85" s="70" t="b">
        <f>IF(Tab.11[[#This Row],[a1]]=1,_xlfn.NORM.DIST(Tab.11[[#This Row],[b9]],$P$1,$Q$1,FALSE))</f>
        <v>0</v>
      </c>
      <c r="Q85" s="70" t="b">
        <f>IF(Tab.11[[#This Row],[a1]]=1,_xlfn.NORM.DIST(Tab.11[[#This Row],[b10]],$P$1,$Q$1,FALSE))</f>
        <v>0</v>
      </c>
      <c r="R85" s="67" t="b">
        <f>IF(Tab.11[[#This Row],[a1]]=1,$I$3+$A$989+IF($K$3=0,Tab.11[[#This Row],[b8]]*_xlfn.STDEV.P(Tab.11[data]),AVERAGE(Tab.11[b6])+Tab.11[[#This Row],[b8]]*_xlfn.STDEV.P(Tab.11[data])))</f>
        <v>0</v>
      </c>
      <c r="S85" s="71" t="b">
        <f>IF(Tab.11[[#This Row],[a1]]=1,$I$3+$A$987+IF($K$3=0,Tab.11[[#This Row],[b9]]*_xlfn.STDEV.P(Tab.11[data]),AVERAGE(Tab.11[b6])+Tab.11[[#This Row],[b9]]*_xlfn.STDEV.P(Tab.11[data])))</f>
        <v>0</v>
      </c>
      <c r="T85" s="71" t="b">
        <f>IF(Tab.11[[#This Row],[a1]]=1,$I$3+$A$988+IF($K$3=0,Tab.11[[#This Row],[b10]]*_xlfn.STDEV.P(Tab.11[data]),AVERAGE(Tab.11[b6])+Tab.11[[#This Row],[b10]]*_xlfn.STDEV.P(Tab.11[data])))</f>
        <v>0</v>
      </c>
      <c r="U85" s="72" t="b">
        <f>IF(Tab.11[[#This Row],[a1]]=1,Tab.11[[#This Row],[target]]-Tab.11[[#This Row],[Red]])</f>
        <v>0</v>
      </c>
      <c r="V85" s="72" t="b">
        <f>IF(Tab.11[[#This Row],[a1]]=1,Tab.11[[#This Row],[target]]-Tab.11[[#This Row],[Blue]])</f>
        <v>0</v>
      </c>
      <c r="W85" s="73" t="b">
        <f>IF(Tab.11[[#This Row],[a1]]=1,IF(ABS(Tab.11[[#This Row],[b17]])+ABS(Tab.11[[#This Row],[b18]])&lt;$W$2,$W$2,ABS(Tab.11[[#This Row],[b17]])+ABS(Tab.11[[#This Row],[b18]])))</f>
        <v>0</v>
      </c>
      <c r="X85" s="136" t="b">
        <f>IF(Tab.11[[#This Row],[a1]]=1,IF($W$3&lt;0,Tab.11[[#This Row],[IN]]-$I$3,Tab.11[[#This Row],[IN]]))</f>
        <v>0</v>
      </c>
      <c r="Y85" s="136" t="b">
        <f>IF(Tab.11[[#This Row],[a1]]=1,IF($X$3=0,Tab.11[b66],Tab.11[[#This Row],[b66]]-AVERAGE(Tab.11[b66])))</f>
        <v>0</v>
      </c>
      <c r="Z85" s="135" t="b">
        <f>IF(Tab.11[[#This Row],[a1]]=1,Tab.11[[#This Row],[b77]]/(_xlfn.STDEV.P(Tab.11[b77])))</f>
        <v>0</v>
      </c>
      <c r="AA85" s="70" t="b">
        <f>IF(Tab.11[[#This Row],[a1]]=1,_xlfn.NORM.DIST(Tab.11[[#This Row],[b88]],$Z$1,$AA$1,FALSE))</f>
        <v>0</v>
      </c>
      <c r="AB85" s="74" t="b">
        <f>IF(Tab.11[[#This Row],[a1]]=1,IF($A$3=0,FALSE,1/Tab.11[[#This Row],[IN]]*$AC$2*IF(Tab.11[[#This Row],[a1]]=0,,$A$3*$AC$1*1/$V$3*(Tab.11[[#This Row],[b14]]))))</f>
        <v>0</v>
      </c>
      <c r="AC85" s="75" t="b">
        <f>IF(Tab.11[[#This Row],[a1]]=1,IF($AC$3=0,Tab.11[[#This Row],[φ1]],Tab.11[[#This Row],[φ1]]/MAX(Tab.11[φ1])))</f>
        <v>0</v>
      </c>
      <c r="AD85" s="74" t="b">
        <f>IF(Tab.11[[#This Row],[a1]]=1,1/Tab.11[[#This Row],[φ2]])</f>
        <v>0</v>
      </c>
      <c r="AE85" s="74" t="b">
        <f>IF(Tab.11[[#This Row],[a1]]=1,IF($AE$3=0,Tab.11[[#This Row],[w.0]],Tab.11[[#This Row],[w.0]]/SUM(Tab.11[w.0])))</f>
        <v>0</v>
      </c>
      <c r="AF85" s="76" t="str">
        <f>IF(Tab.11[[#This Row],[a1]]=0,"false",[3]!Tab.x5[[#This Row],[%_seN_C]])</f>
        <v>false</v>
      </c>
      <c r="AG85" s="77" t="b">
        <f>IF(Tab.11[[#This Row],[a1]]=1,AP85)</f>
        <v>0</v>
      </c>
      <c r="AH85" s="78" t="b">
        <f>IF(Tab.11[[#This Row],[a1]]=1,AQ85)</f>
        <v>0</v>
      </c>
      <c r="AI85" s="41">
        <v>3.0000000000000001E-3</v>
      </c>
      <c r="AJ85" s="79">
        <v>0.03</v>
      </c>
      <c r="AK85" s="80" t="b">
        <f>IF(Tab.11[[#This Row],[a1]]=1,1)</f>
        <v>0</v>
      </c>
      <c r="AZ85"/>
    </row>
    <row r="86" spans="1:52" ht="14.25" hidden="1" customHeight="1" x14ac:dyDescent="0.25">
      <c r="A86" s="61">
        <f t="shared" si="5"/>
        <v>0</v>
      </c>
      <c r="B86" s="62">
        <f t="shared" si="5"/>
        <v>0</v>
      </c>
      <c r="C86" s="62" t="b">
        <f>IF(Tab.11[[#This Row],[a1]]=1,[3]!Tab_x1[[#This Row],[Name]])</f>
        <v>0</v>
      </c>
      <c r="D86" s="63" t="b">
        <f>IF(Tab.11[[#This Row],[a1]]=1,AO86)</f>
        <v>0</v>
      </c>
      <c r="E86" s="63">
        <f t="shared" si="4"/>
        <v>0</v>
      </c>
      <c r="F86" s="64" t="b">
        <f>IF(Tab.11[[#This Row],[a1]]=1,Tab.11[[#This Row],[b1]])</f>
        <v>0</v>
      </c>
      <c r="G86" s="65" t="b">
        <f>IF(Tab.11[[#This Row],[a1]]=1,IF(Tab.11[[#This Row],[b3]]&gt;$L$989*$G$3,$L$989*$G$3,IF(Tab.11[[#This Row],[b3]]&lt;$M$989*$G$3,$M$989*$G$3,Tab.11[[#This Row],[b3]])))</f>
        <v>0</v>
      </c>
      <c r="H86" s="66" t="b">
        <f>IF(Tab.11[[#This Row],[a1]]=1,Tab.11[[#This Row],[b1]])</f>
        <v>0</v>
      </c>
      <c r="I86" s="67" t="b">
        <f>IF(Tab.11[[#This Row],[a1]]=1,Tab.11[[#This Row],[b1]])</f>
        <v>0</v>
      </c>
      <c r="J86" s="68" t="b">
        <f>IF(Tab.11[[#This Row],[a1]]=1,IF($I$3&lt;0,Tab.11[[#This Row],[b5]]-$I$3,Tab.11[[#This Row],[b5]]))</f>
        <v>0</v>
      </c>
      <c r="K86" s="68" t="b">
        <f>IF(Tab.11[[#This Row],[a1]]=1,IF($K$3=0,Tab.11[b6],Tab.11[[#This Row],[b6]]-AVERAGE(Tab.11[b6])))</f>
        <v>0</v>
      </c>
      <c r="L86" s="69" t="b">
        <f>IF(Tab.11[[#This Row],[a1]]=1,Tab.11[[#This Row],[data]]/(_xlfn.STDEV.P(Tab.11[data])*$B$989)+$A$989)</f>
        <v>0</v>
      </c>
      <c r="M86" s="69" t="b">
        <f>IF(Tab.11[[#This Row],[a1]]=1,Tab.11[[#This Row],[data]]/(_xlfn.STDEV.P(Tab.11[data])*$B$987)-$A$987)</f>
        <v>0</v>
      </c>
      <c r="N86" s="69" t="b">
        <f>IF(Tab.11[[#This Row],[a1]]=1,Tab.11[[#This Row],[data]]/(_xlfn.STDEV.P(Tab.11[data])*$B$988)+$A$988)</f>
        <v>0</v>
      </c>
      <c r="O86" s="70" t="b">
        <f>IF(Tab.11[[#This Row],[a1]]=1,_xlfn.NORM.DIST(Tab.11[[#This Row],[b8]],$P$1,$Q$1,FALSE))</f>
        <v>0</v>
      </c>
      <c r="P86" s="70" t="b">
        <f>IF(Tab.11[[#This Row],[a1]]=1,_xlfn.NORM.DIST(Tab.11[[#This Row],[b9]],$P$1,$Q$1,FALSE))</f>
        <v>0</v>
      </c>
      <c r="Q86" s="70" t="b">
        <f>IF(Tab.11[[#This Row],[a1]]=1,_xlfn.NORM.DIST(Tab.11[[#This Row],[b10]],$P$1,$Q$1,FALSE))</f>
        <v>0</v>
      </c>
      <c r="R86" s="67" t="b">
        <f>IF(Tab.11[[#This Row],[a1]]=1,$I$3+$A$989+IF($K$3=0,Tab.11[[#This Row],[b8]]*_xlfn.STDEV.P(Tab.11[data]),AVERAGE(Tab.11[b6])+Tab.11[[#This Row],[b8]]*_xlfn.STDEV.P(Tab.11[data])))</f>
        <v>0</v>
      </c>
      <c r="S86" s="71" t="b">
        <f>IF(Tab.11[[#This Row],[a1]]=1,$I$3+$A$987+IF($K$3=0,Tab.11[[#This Row],[b9]]*_xlfn.STDEV.P(Tab.11[data]),AVERAGE(Tab.11[b6])+Tab.11[[#This Row],[b9]]*_xlfn.STDEV.P(Tab.11[data])))</f>
        <v>0</v>
      </c>
      <c r="T86" s="71" t="b">
        <f>IF(Tab.11[[#This Row],[a1]]=1,$I$3+$A$988+IF($K$3=0,Tab.11[[#This Row],[b10]]*_xlfn.STDEV.P(Tab.11[data]),AVERAGE(Tab.11[b6])+Tab.11[[#This Row],[b10]]*_xlfn.STDEV.P(Tab.11[data])))</f>
        <v>0</v>
      </c>
      <c r="U86" s="72" t="b">
        <f>IF(Tab.11[[#This Row],[a1]]=1,Tab.11[[#This Row],[target]]-Tab.11[[#This Row],[Red]])</f>
        <v>0</v>
      </c>
      <c r="V86" s="72" t="b">
        <f>IF(Tab.11[[#This Row],[a1]]=1,Tab.11[[#This Row],[target]]-Tab.11[[#This Row],[Blue]])</f>
        <v>0</v>
      </c>
      <c r="W86" s="73" t="b">
        <f>IF(Tab.11[[#This Row],[a1]]=1,IF(ABS(Tab.11[[#This Row],[b17]])+ABS(Tab.11[[#This Row],[b18]])&lt;$W$2,$W$2,ABS(Tab.11[[#This Row],[b17]])+ABS(Tab.11[[#This Row],[b18]])))</f>
        <v>0</v>
      </c>
      <c r="X86" s="136" t="b">
        <f>IF(Tab.11[[#This Row],[a1]]=1,IF($W$3&lt;0,Tab.11[[#This Row],[IN]]-$I$3,Tab.11[[#This Row],[IN]]))</f>
        <v>0</v>
      </c>
      <c r="Y86" s="136" t="b">
        <f>IF(Tab.11[[#This Row],[a1]]=1,IF($X$3=0,Tab.11[b66],Tab.11[[#This Row],[b66]]-AVERAGE(Tab.11[b66])))</f>
        <v>0</v>
      </c>
      <c r="Z86" s="135" t="b">
        <f>IF(Tab.11[[#This Row],[a1]]=1,Tab.11[[#This Row],[b77]]/(_xlfn.STDEV.P(Tab.11[b77])))</f>
        <v>0</v>
      </c>
      <c r="AA86" s="70" t="b">
        <f>IF(Tab.11[[#This Row],[a1]]=1,_xlfn.NORM.DIST(Tab.11[[#This Row],[b88]],$Z$1,$AA$1,FALSE))</f>
        <v>0</v>
      </c>
      <c r="AB86" s="74" t="b">
        <f>IF(Tab.11[[#This Row],[a1]]=1,IF($A$3=0,FALSE,1/Tab.11[[#This Row],[IN]]*$AC$2*IF(Tab.11[[#This Row],[a1]]=0,,$A$3*$AC$1*1/$V$3*(Tab.11[[#This Row],[b14]]))))</f>
        <v>0</v>
      </c>
      <c r="AC86" s="75" t="b">
        <f>IF(Tab.11[[#This Row],[a1]]=1,IF($AC$3=0,Tab.11[[#This Row],[φ1]],Tab.11[[#This Row],[φ1]]/MAX(Tab.11[φ1])))</f>
        <v>0</v>
      </c>
      <c r="AD86" s="74" t="b">
        <f>IF(Tab.11[[#This Row],[a1]]=1,1/Tab.11[[#This Row],[φ2]])</f>
        <v>0</v>
      </c>
      <c r="AE86" s="74" t="b">
        <f>IF(Tab.11[[#This Row],[a1]]=1,IF($AE$3=0,Tab.11[[#This Row],[w.0]],Tab.11[[#This Row],[w.0]]/SUM(Tab.11[w.0])))</f>
        <v>0</v>
      </c>
      <c r="AF86" s="76" t="str">
        <f>IF(Tab.11[[#This Row],[a1]]=0,"false",[3]!Tab.x5[[#This Row],[%_seN_C]])</f>
        <v>false</v>
      </c>
      <c r="AG86" s="77" t="b">
        <f>IF(Tab.11[[#This Row],[a1]]=1,AP86)</f>
        <v>0</v>
      </c>
      <c r="AH86" s="78" t="b">
        <f>IF(Tab.11[[#This Row],[a1]]=1,AQ86)</f>
        <v>0</v>
      </c>
      <c r="AI86" s="41">
        <v>3.0000000000000001E-3</v>
      </c>
      <c r="AJ86" s="79">
        <v>-0.03</v>
      </c>
      <c r="AK86" s="80" t="b">
        <f>IF(Tab.11[[#This Row],[a1]]=1,1)</f>
        <v>0</v>
      </c>
      <c r="AZ86"/>
    </row>
    <row r="87" spans="1:52" ht="14.25" hidden="1" customHeight="1" x14ac:dyDescent="0.25">
      <c r="A87" s="61">
        <f t="shared" si="5"/>
        <v>0</v>
      </c>
      <c r="B87" s="62">
        <f t="shared" si="5"/>
        <v>0</v>
      </c>
      <c r="C87" s="62" t="b">
        <f>IF(Tab.11[[#This Row],[a1]]=1,[3]!Tab_x1[[#This Row],[Name]])</f>
        <v>0</v>
      </c>
      <c r="D87" s="63" t="b">
        <f>IF(Tab.11[[#This Row],[a1]]=1,AO87)</f>
        <v>0</v>
      </c>
      <c r="E87" s="63">
        <f t="shared" si="4"/>
        <v>0</v>
      </c>
      <c r="F87" s="64" t="b">
        <f>IF(Tab.11[[#This Row],[a1]]=1,Tab.11[[#This Row],[b1]])</f>
        <v>0</v>
      </c>
      <c r="G87" s="65" t="b">
        <f>IF(Tab.11[[#This Row],[a1]]=1,IF(Tab.11[[#This Row],[b3]]&gt;$L$989*$G$3,$L$989*$G$3,IF(Tab.11[[#This Row],[b3]]&lt;$M$989*$G$3,$M$989*$G$3,Tab.11[[#This Row],[b3]])))</f>
        <v>0</v>
      </c>
      <c r="H87" s="66" t="b">
        <f>IF(Tab.11[[#This Row],[a1]]=1,Tab.11[[#This Row],[b1]])</f>
        <v>0</v>
      </c>
      <c r="I87" s="67" t="b">
        <f>IF(Tab.11[[#This Row],[a1]]=1,Tab.11[[#This Row],[b1]])</f>
        <v>0</v>
      </c>
      <c r="J87" s="68" t="b">
        <f>IF(Tab.11[[#This Row],[a1]]=1,IF($I$3&lt;0,Tab.11[[#This Row],[b5]]-$I$3,Tab.11[[#This Row],[b5]]))</f>
        <v>0</v>
      </c>
      <c r="K87" s="68" t="b">
        <f>IF(Tab.11[[#This Row],[a1]]=1,IF($K$3=0,Tab.11[b6],Tab.11[[#This Row],[b6]]-AVERAGE(Tab.11[b6])))</f>
        <v>0</v>
      </c>
      <c r="L87" s="69" t="b">
        <f>IF(Tab.11[[#This Row],[a1]]=1,Tab.11[[#This Row],[data]]/(_xlfn.STDEV.P(Tab.11[data])*$B$989)+$A$989)</f>
        <v>0</v>
      </c>
      <c r="M87" s="69" t="b">
        <f>IF(Tab.11[[#This Row],[a1]]=1,Tab.11[[#This Row],[data]]/(_xlfn.STDEV.P(Tab.11[data])*$B$987)-$A$987)</f>
        <v>0</v>
      </c>
      <c r="N87" s="69" t="b">
        <f>IF(Tab.11[[#This Row],[a1]]=1,Tab.11[[#This Row],[data]]/(_xlfn.STDEV.P(Tab.11[data])*$B$988)+$A$988)</f>
        <v>0</v>
      </c>
      <c r="O87" s="70" t="b">
        <f>IF(Tab.11[[#This Row],[a1]]=1,_xlfn.NORM.DIST(Tab.11[[#This Row],[b8]],$P$1,$Q$1,FALSE))</f>
        <v>0</v>
      </c>
      <c r="P87" s="70" t="b">
        <f>IF(Tab.11[[#This Row],[a1]]=1,_xlfn.NORM.DIST(Tab.11[[#This Row],[b9]],$P$1,$Q$1,FALSE))</f>
        <v>0</v>
      </c>
      <c r="Q87" s="70" t="b">
        <f>IF(Tab.11[[#This Row],[a1]]=1,_xlfn.NORM.DIST(Tab.11[[#This Row],[b10]],$P$1,$Q$1,FALSE))</f>
        <v>0</v>
      </c>
      <c r="R87" s="67" t="b">
        <f>IF(Tab.11[[#This Row],[a1]]=1,$I$3+$A$989+IF($K$3=0,Tab.11[[#This Row],[b8]]*_xlfn.STDEV.P(Tab.11[data]),AVERAGE(Tab.11[b6])+Tab.11[[#This Row],[b8]]*_xlfn.STDEV.P(Tab.11[data])))</f>
        <v>0</v>
      </c>
      <c r="S87" s="71" t="b">
        <f>IF(Tab.11[[#This Row],[a1]]=1,$I$3+$A$987+IF($K$3=0,Tab.11[[#This Row],[b9]]*_xlfn.STDEV.P(Tab.11[data]),AVERAGE(Tab.11[b6])+Tab.11[[#This Row],[b9]]*_xlfn.STDEV.P(Tab.11[data])))</f>
        <v>0</v>
      </c>
      <c r="T87" s="71" t="b">
        <f>IF(Tab.11[[#This Row],[a1]]=1,$I$3+$A$988+IF($K$3=0,Tab.11[[#This Row],[b10]]*_xlfn.STDEV.P(Tab.11[data]),AVERAGE(Tab.11[b6])+Tab.11[[#This Row],[b10]]*_xlfn.STDEV.P(Tab.11[data])))</f>
        <v>0</v>
      </c>
      <c r="U87" s="72" t="b">
        <f>IF(Tab.11[[#This Row],[a1]]=1,Tab.11[[#This Row],[target]]-Tab.11[[#This Row],[Red]])</f>
        <v>0</v>
      </c>
      <c r="V87" s="72" t="b">
        <f>IF(Tab.11[[#This Row],[a1]]=1,Tab.11[[#This Row],[target]]-Tab.11[[#This Row],[Blue]])</f>
        <v>0</v>
      </c>
      <c r="W87" s="73" t="b">
        <f>IF(Tab.11[[#This Row],[a1]]=1,IF(ABS(Tab.11[[#This Row],[b17]])+ABS(Tab.11[[#This Row],[b18]])&lt;$W$2,$W$2,ABS(Tab.11[[#This Row],[b17]])+ABS(Tab.11[[#This Row],[b18]])))</f>
        <v>0</v>
      </c>
      <c r="X87" s="136" t="b">
        <f>IF(Tab.11[[#This Row],[a1]]=1,IF($W$3&lt;0,Tab.11[[#This Row],[IN]]-$I$3,Tab.11[[#This Row],[IN]]))</f>
        <v>0</v>
      </c>
      <c r="Y87" s="136" t="b">
        <f>IF(Tab.11[[#This Row],[a1]]=1,IF($X$3=0,Tab.11[b66],Tab.11[[#This Row],[b66]]-AVERAGE(Tab.11[b66])))</f>
        <v>0</v>
      </c>
      <c r="Z87" s="135" t="b">
        <f>IF(Tab.11[[#This Row],[a1]]=1,Tab.11[[#This Row],[b77]]/(_xlfn.STDEV.P(Tab.11[b77])))</f>
        <v>0</v>
      </c>
      <c r="AA87" s="70" t="b">
        <f>IF(Tab.11[[#This Row],[a1]]=1,_xlfn.NORM.DIST(Tab.11[[#This Row],[b88]],$Z$1,$AA$1,FALSE))</f>
        <v>0</v>
      </c>
      <c r="AB87" s="74" t="b">
        <f>IF(Tab.11[[#This Row],[a1]]=1,IF($A$3=0,FALSE,1/Tab.11[[#This Row],[IN]]*$AC$2*IF(Tab.11[[#This Row],[a1]]=0,,$A$3*$AC$1*1/$V$3*(Tab.11[[#This Row],[b14]]))))</f>
        <v>0</v>
      </c>
      <c r="AC87" s="75" t="b">
        <f>IF(Tab.11[[#This Row],[a1]]=1,IF($AC$3=0,Tab.11[[#This Row],[φ1]],Tab.11[[#This Row],[φ1]]/MAX(Tab.11[φ1])))</f>
        <v>0</v>
      </c>
      <c r="AD87" s="74" t="b">
        <f>IF(Tab.11[[#This Row],[a1]]=1,1/Tab.11[[#This Row],[φ2]])</f>
        <v>0</v>
      </c>
      <c r="AE87" s="74" t="b">
        <f>IF(Tab.11[[#This Row],[a1]]=1,IF($AE$3=0,Tab.11[[#This Row],[w.0]],Tab.11[[#This Row],[w.0]]/SUM(Tab.11[w.0])))</f>
        <v>0</v>
      </c>
      <c r="AF87" s="76" t="str">
        <f>IF(Tab.11[[#This Row],[a1]]=0,"false",[3]!Tab.x5[[#This Row],[%_seN_C]])</f>
        <v>false</v>
      </c>
      <c r="AG87" s="77" t="b">
        <f>IF(Tab.11[[#This Row],[a1]]=1,AP87)</f>
        <v>0</v>
      </c>
      <c r="AH87" s="78" t="b">
        <f>IF(Tab.11[[#This Row],[a1]]=1,AQ87)</f>
        <v>0</v>
      </c>
      <c r="AI87" s="41">
        <v>3.0000000000000001E-3</v>
      </c>
      <c r="AJ87" s="79">
        <v>0.08</v>
      </c>
      <c r="AK87" s="80" t="b">
        <f>IF(Tab.11[[#This Row],[a1]]=1,1)</f>
        <v>0</v>
      </c>
      <c r="AZ87"/>
    </row>
    <row r="88" spans="1:52" ht="14.25" hidden="1" customHeight="1" x14ac:dyDescent="0.25">
      <c r="A88" s="61">
        <f t="shared" si="5"/>
        <v>0</v>
      </c>
      <c r="B88" s="62">
        <f t="shared" si="5"/>
        <v>0</v>
      </c>
      <c r="C88" s="62" t="b">
        <f>IF(Tab.11[[#This Row],[a1]]=1,[3]!Tab_x1[[#This Row],[Name]])</f>
        <v>0</v>
      </c>
      <c r="D88" s="63" t="b">
        <f>IF(Tab.11[[#This Row],[a1]]=1,AO88)</f>
        <v>0</v>
      </c>
      <c r="E88" s="63">
        <f t="shared" si="4"/>
        <v>0</v>
      </c>
      <c r="F88" s="64" t="b">
        <f>IF(Tab.11[[#This Row],[a1]]=1,Tab.11[[#This Row],[b1]])</f>
        <v>0</v>
      </c>
      <c r="G88" s="65" t="b">
        <f>IF(Tab.11[[#This Row],[a1]]=1,IF(Tab.11[[#This Row],[b3]]&gt;$L$989*$G$3,$L$989*$G$3,IF(Tab.11[[#This Row],[b3]]&lt;$M$989*$G$3,$M$989*$G$3,Tab.11[[#This Row],[b3]])))</f>
        <v>0</v>
      </c>
      <c r="H88" s="66" t="b">
        <f>IF(Tab.11[[#This Row],[a1]]=1,Tab.11[[#This Row],[b1]])</f>
        <v>0</v>
      </c>
      <c r="I88" s="67" t="b">
        <f>IF(Tab.11[[#This Row],[a1]]=1,Tab.11[[#This Row],[b1]])</f>
        <v>0</v>
      </c>
      <c r="J88" s="68" t="b">
        <f>IF(Tab.11[[#This Row],[a1]]=1,IF($I$3&lt;0,Tab.11[[#This Row],[b5]]-$I$3,Tab.11[[#This Row],[b5]]))</f>
        <v>0</v>
      </c>
      <c r="K88" s="68" t="b">
        <f>IF(Tab.11[[#This Row],[a1]]=1,IF($K$3=0,Tab.11[b6],Tab.11[[#This Row],[b6]]-AVERAGE(Tab.11[b6])))</f>
        <v>0</v>
      </c>
      <c r="L88" s="69" t="b">
        <f>IF(Tab.11[[#This Row],[a1]]=1,Tab.11[[#This Row],[data]]/(_xlfn.STDEV.P(Tab.11[data])*$B$989)+$A$989)</f>
        <v>0</v>
      </c>
      <c r="M88" s="69" t="b">
        <f>IF(Tab.11[[#This Row],[a1]]=1,Tab.11[[#This Row],[data]]/(_xlfn.STDEV.P(Tab.11[data])*$B$987)-$A$987)</f>
        <v>0</v>
      </c>
      <c r="N88" s="69" t="b">
        <f>IF(Tab.11[[#This Row],[a1]]=1,Tab.11[[#This Row],[data]]/(_xlfn.STDEV.P(Tab.11[data])*$B$988)+$A$988)</f>
        <v>0</v>
      </c>
      <c r="O88" s="70" t="b">
        <f>IF(Tab.11[[#This Row],[a1]]=1,_xlfn.NORM.DIST(Tab.11[[#This Row],[b8]],$P$1,$Q$1,FALSE))</f>
        <v>0</v>
      </c>
      <c r="P88" s="70" t="b">
        <f>IF(Tab.11[[#This Row],[a1]]=1,_xlfn.NORM.DIST(Tab.11[[#This Row],[b9]],$P$1,$Q$1,FALSE))</f>
        <v>0</v>
      </c>
      <c r="Q88" s="70" t="b">
        <f>IF(Tab.11[[#This Row],[a1]]=1,_xlfn.NORM.DIST(Tab.11[[#This Row],[b10]],$P$1,$Q$1,FALSE))</f>
        <v>0</v>
      </c>
      <c r="R88" s="67" t="b">
        <f>IF(Tab.11[[#This Row],[a1]]=1,$I$3+$A$989+IF($K$3=0,Tab.11[[#This Row],[b8]]*_xlfn.STDEV.P(Tab.11[data]),AVERAGE(Tab.11[b6])+Tab.11[[#This Row],[b8]]*_xlfn.STDEV.P(Tab.11[data])))</f>
        <v>0</v>
      </c>
      <c r="S88" s="71" t="b">
        <f>IF(Tab.11[[#This Row],[a1]]=1,$I$3+$A$987+IF($K$3=0,Tab.11[[#This Row],[b9]]*_xlfn.STDEV.P(Tab.11[data]),AVERAGE(Tab.11[b6])+Tab.11[[#This Row],[b9]]*_xlfn.STDEV.P(Tab.11[data])))</f>
        <v>0</v>
      </c>
      <c r="T88" s="71" t="b">
        <f>IF(Tab.11[[#This Row],[a1]]=1,$I$3+$A$988+IF($K$3=0,Tab.11[[#This Row],[b10]]*_xlfn.STDEV.P(Tab.11[data]),AVERAGE(Tab.11[b6])+Tab.11[[#This Row],[b10]]*_xlfn.STDEV.P(Tab.11[data])))</f>
        <v>0</v>
      </c>
      <c r="U88" s="72" t="b">
        <f>IF(Tab.11[[#This Row],[a1]]=1,Tab.11[[#This Row],[target]]-Tab.11[[#This Row],[Red]])</f>
        <v>0</v>
      </c>
      <c r="V88" s="72" t="b">
        <f>IF(Tab.11[[#This Row],[a1]]=1,Tab.11[[#This Row],[target]]-Tab.11[[#This Row],[Blue]])</f>
        <v>0</v>
      </c>
      <c r="W88" s="73" t="b">
        <f>IF(Tab.11[[#This Row],[a1]]=1,IF(ABS(Tab.11[[#This Row],[b17]])+ABS(Tab.11[[#This Row],[b18]])&lt;$W$2,$W$2,ABS(Tab.11[[#This Row],[b17]])+ABS(Tab.11[[#This Row],[b18]])))</f>
        <v>0</v>
      </c>
      <c r="X88" s="136" t="b">
        <f>IF(Tab.11[[#This Row],[a1]]=1,IF($W$3&lt;0,Tab.11[[#This Row],[IN]]-$I$3,Tab.11[[#This Row],[IN]]))</f>
        <v>0</v>
      </c>
      <c r="Y88" s="136" t="b">
        <f>IF(Tab.11[[#This Row],[a1]]=1,IF($X$3=0,Tab.11[b66],Tab.11[[#This Row],[b66]]-AVERAGE(Tab.11[b66])))</f>
        <v>0</v>
      </c>
      <c r="Z88" s="135" t="b">
        <f>IF(Tab.11[[#This Row],[a1]]=1,Tab.11[[#This Row],[b77]]/(_xlfn.STDEV.P(Tab.11[b77])))</f>
        <v>0</v>
      </c>
      <c r="AA88" s="70" t="b">
        <f>IF(Tab.11[[#This Row],[a1]]=1,_xlfn.NORM.DIST(Tab.11[[#This Row],[b88]],$Z$1,$AA$1,FALSE))</f>
        <v>0</v>
      </c>
      <c r="AB88" s="74" t="b">
        <f>IF(Tab.11[[#This Row],[a1]]=1,IF($A$3=0,FALSE,1/Tab.11[[#This Row],[IN]]*$AC$2*IF(Tab.11[[#This Row],[a1]]=0,,$A$3*$AC$1*1/$V$3*(Tab.11[[#This Row],[b14]]))))</f>
        <v>0</v>
      </c>
      <c r="AC88" s="75" t="b">
        <f>IF(Tab.11[[#This Row],[a1]]=1,IF($AC$3=0,Tab.11[[#This Row],[φ1]],Tab.11[[#This Row],[φ1]]/MAX(Tab.11[φ1])))</f>
        <v>0</v>
      </c>
      <c r="AD88" s="74" t="b">
        <f>IF(Tab.11[[#This Row],[a1]]=1,1/Tab.11[[#This Row],[φ2]])</f>
        <v>0</v>
      </c>
      <c r="AE88" s="74" t="b">
        <f>IF(Tab.11[[#This Row],[a1]]=1,IF($AE$3=0,Tab.11[[#This Row],[w.0]],Tab.11[[#This Row],[w.0]]/SUM(Tab.11[w.0])))</f>
        <v>0</v>
      </c>
      <c r="AF88" s="76" t="str">
        <f>IF(Tab.11[[#This Row],[a1]]=0,"false",[3]!Tab.x5[[#This Row],[%_seN_C]])</f>
        <v>false</v>
      </c>
      <c r="AG88" s="77" t="b">
        <f>IF(Tab.11[[#This Row],[a1]]=1,AP88)</f>
        <v>0</v>
      </c>
      <c r="AH88" s="78" t="b">
        <f>IF(Tab.11[[#This Row],[a1]]=1,AQ88)</f>
        <v>0</v>
      </c>
      <c r="AI88" s="41">
        <v>3.0000000000000001E-3</v>
      </c>
      <c r="AJ88" s="79">
        <v>0.05</v>
      </c>
      <c r="AK88" s="80" t="b">
        <f>IF(Tab.11[[#This Row],[a1]]=1,1)</f>
        <v>0</v>
      </c>
      <c r="AZ88"/>
    </row>
    <row r="89" spans="1:52" ht="14.25" hidden="1" customHeight="1" x14ac:dyDescent="0.25">
      <c r="A89" s="61">
        <f t="shared" si="5"/>
        <v>0</v>
      </c>
      <c r="B89" s="62">
        <f t="shared" si="5"/>
        <v>0</v>
      </c>
      <c r="C89" s="62" t="b">
        <f>IF(Tab.11[[#This Row],[a1]]=1,[3]!Tab_x1[[#This Row],[Name]])</f>
        <v>0</v>
      </c>
      <c r="D89" s="63" t="b">
        <f>IF(Tab.11[[#This Row],[a1]]=1,AO89)</f>
        <v>0</v>
      </c>
      <c r="E89" s="63">
        <f t="shared" si="4"/>
        <v>0</v>
      </c>
      <c r="F89" s="64" t="b">
        <f>IF(Tab.11[[#This Row],[a1]]=1,Tab.11[[#This Row],[b1]])</f>
        <v>0</v>
      </c>
      <c r="G89" s="65" t="b">
        <f>IF(Tab.11[[#This Row],[a1]]=1,IF(Tab.11[[#This Row],[b3]]&gt;$L$989*$G$3,$L$989*$G$3,IF(Tab.11[[#This Row],[b3]]&lt;$M$989*$G$3,$M$989*$G$3,Tab.11[[#This Row],[b3]])))</f>
        <v>0</v>
      </c>
      <c r="H89" s="66" t="b">
        <f>IF(Tab.11[[#This Row],[a1]]=1,Tab.11[[#This Row],[b1]])</f>
        <v>0</v>
      </c>
      <c r="I89" s="67" t="b">
        <f>IF(Tab.11[[#This Row],[a1]]=1,Tab.11[[#This Row],[b1]])</f>
        <v>0</v>
      </c>
      <c r="J89" s="68" t="b">
        <f>IF(Tab.11[[#This Row],[a1]]=1,IF($I$3&lt;0,Tab.11[[#This Row],[b5]]-$I$3,Tab.11[[#This Row],[b5]]))</f>
        <v>0</v>
      </c>
      <c r="K89" s="68" t="b">
        <f>IF(Tab.11[[#This Row],[a1]]=1,IF($K$3=0,Tab.11[b6],Tab.11[[#This Row],[b6]]-AVERAGE(Tab.11[b6])))</f>
        <v>0</v>
      </c>
      <c r="L89" s="69" t="b">
        <f>IF(Tab.11[[#This Row],[a1]]=1,Tab.11[[#This Row],[data]]/(_xlfn.STDEV.P(Tab.11[data])*$B$989)+$A$989)</f>
        <v>0</v>
      </c>
      <c r="M89" s="69" t="b">
        <f>IF(Tab.11[[#This Row],[a1]]=1,Tab.11[[#This Row],[data]]/(_xlfn.STDEV.P(Tab.11[data])*$B$987)-$A$987)</f>
        <v>0</v>
      </c>
      <c r="N89" s="69" t="b">
        <f>IF(Tab.11[[#This Row],[a1]]=1,Tab.11[[#This Row],[data]]/(_xlfn.STDEV.P(Tab.11[data])*$B$988)+$A$988)</f>
        <v>0</v>
      </c>
      <c r="O89" s="70" t="b">
        <f>IF(Tab.11[[#This Row],[a1]]=1,_xlfn.NORM.DIST(Tab.11[[#This Row],[b8]],$P$1,$Q$1,FALSE))</f>
        <v>0</v>
      </c>
      <c r="P89" s="70" t="b">
        <f>IF(Tab.11[[#This Row],[a1]]=1,_xlfn.NORM.DIST(Tab.11[[#This Row],[b9]],$P$1,$Q$1,FALSE))</f>
        <v>0</v>
      </c>
      <c r="Q89" s="70" t="b">
        <f>IF(Tab.11[[#This Row],[a1]]=1,_xlfn.NORM.DIST(Tab.11[[#This Row],[b10]],$P$1,$Q$1,FALSE))</f>
        <v>0</v>
      </c>
      <c r="R89" s="67" t="b">
        <f>IF(Tab.11[[#This Row],[a1]]=1,$I$3+$A$989+IF($K$3=0,Tab.11[[#This Row],[b8]]*_xlfn.STDEV.P(Tab.11[data]),AVERAGE(Tab.11[b6])+Tab.11[[#This Row],[b8]]*_xlfn.STDEV.P(Tab.11[data])))</f>
        <v>0</v>
      </c>
      <c r="S89" s="71" t="b">
        <f>IF(Tab.11[[#This Row],[a1]]=1,$I$3+$A$987+IF($K$3=0,Tab.11[[#This Row],[b9]]*_xlfn.STDEV.P(Tab.11[data]),AVERAGE(Tab.11[b6])+Tab.11[[#This Row],[b9]]*_xlfn.STDEV.P(Tab.11[data])))</f>
        <v>0</v>
      </c>
      <c r="T89" s="71" t="b">
        <f>IF(Tab.11[[#This Row],[a1]]=1,$I$3+$A$988+IF($K$3=0,Tab.11[[#This Row],[b10]]*_xlfn.STDEV.P(Tab.11[data]),AVERAGE(Tab.11[b6])+Tab.11[[#This Row],[b10]]*_xlfn.STDEV.P(Tab.11[data])))</f>
        <v>0</v>
      </c>
      <c r="U89" s="72" t="b">
        <f>IF(Tab.11[[#This Row],[a1]]=1,Tab.11[[#This Row],[target]]-Tab.11[[#This Row],[Red]])</f>
        <v>0</v>
      </c>
      <c r="V89" s="72" t="b">
        <f>IF(Tab.11[[#This Row],[a1]]=1,Tab.11[[#This Row],[target]]-Tab.11[[#This Row],[Blue]])</f>
        <v>0</v>
      </c>
      <c r="W89" s="73" t="b">
        <f>IF(Tab.11[[#This Row],[a1]]=1,IF(ABS(Tab.11[[#This Row],[b17]])+ABS(Tab.11[[#This Row],[b18]])&lt;$W$2,$W$2,ABS(Tab.11[[#This Row],[b17]])+ABS(Tab.11[[#This Row],[b18]])))</f>
        <v>0</v>
      </c>
      <c r="X89" s="136" t="b">
        <f>IF(Tab.11[[#This Row],[a1]]=1,IF($W$3&lt;0,Tab.11[[#This Row],[IN]]-$I$3,Tab.11[[#This Row],[IN]]))</f>
        <v>0</v>
      </c>
      <c r="Y89" s="136" t="b">
        <f>IF(Tab.11[[#This Row],[a1]]=1,IF($X$3=0,Tab.11[b66],Tab.11[[#This Row],[b66]]-AVERAGE(Tab.11[b66])))</f>
        <v>0</v>
      </c>
      <c r="Z89" s="135" t="b">
        <f>IF(Tab.11[[#This Row],[a1]]=1,Tab.11[[#This Row],[b77]]/(_xlfn.STDEV.P(Tab.11[b77])))</f>
        <v>0</v>
      </c>
      <c r="AA89" s="70" t="b">
        <f>IF(Tab.11[[#This Row],[a1]]=1,_xlfn.NORM.DIST(Tab.11[[#This Row],[b88]],$Z$1,$AA$1,FALSE))</f>
        <v>0</v>
      </c>
      <c r="AB89" s="74" t="b">
        <f>IF(Tab.11[[#This Row],[a1]]=1,IF($A$3=0,FALSE,1/Tab.11[[#This Row],[IN]]*$AC$2*IF(Tab.11[[#This Row],[a1]]=0,,$A$3*$AC$1*1/$V$3*(Tab.11[[#This Row],[b14]]))))</f>
        <v>0</v>
      </c>
      <c r="AC89" s="75" t="b">
        <f>IF(Tab.11[[#This Row],[a1]]=1,IF($AC$3=0,Tab.11[[#This Row],[φ1]],Tab.11[[#This Row],[φ1]]/MAX(Tab.11[φ1])))</f>
        <v>0</v>
      </c>
      <c r="AD89" s="74" t="b">
        <f>IF(Tab.11[[#This Row],[a1]]=1,1/Tab.11[[#This Row],[φ2]])</f>
        <v>0</v>
      </c>
      <c r="AE89" s="74" t="b">
        <f>IF(Tab.11[[#This Row],[a1]]=1,IF($AE$3=0,Tab.11[[#This Row],[w.0]],Tab.11[[#This Row],[w.0]]/SUM(Tab.11[w.0])))</f>
        <v>0</v>
      </c>
      <c r="AF89" s="76" t="str">
        <f>IF(Tab.11[[#This Row],[a1]]=0,"false",[3]!Tab.x5[[#This Row],[%_seN_C]])</f>
        <v>false</v>
      </c>
      <c r="AG89" s="77" t="b">
        <f>IF(Tab.11[[#This Row],[a1]]=1,AP89)</f>
        <v>0</v>
      </c>
      <c r="AH89" s="78" t="b">
        <f>IF(Tab.11[[#This Row],[a1]]=1,AQ89)</f>
        <v>0</v>
      </c>
      <c r="AI89" s="41">
        <v>3.0000000000000001E-3</v>
      </c>
      <c r="AJ89" s="79">
        <v>-0.06</v>
      </c>
      <c r="AK89" s="80" t="b">
        <f>IF(Tab.11[[#This Row],[a1]]=1,1)</f>
        <v>0</v>
      </c>
      <c r="AZ89"/>
    </row>
    <row r="90" spans="1:52" ht="14.25" hidden="1" customHeight="1" x14ac:dyDescent="0.25">
      <c r="A90" s="61">
        <f t="shared" si="5"/>
        <v>0</v>
      </c>
      <c r="B90" s="62">
        <f t="shared" si="5"/>
        <v>0</v>
      </c>
      <c r="C90" s="62" t="b">
        <f>IF(Tab.11[[#This Row],[a1]]=1,[3]!Tab_x1[[#This Row],[Name]])</f>
        <v>0</v>
      </c>
      <c r="D90" s="63" t="b">
        <f>IF(Tab.11[[#This Row],[a1]]=1,AO90)</f>
        <v>0</v>
      </c>
      <c r="E90" s="63">
        <f t="shared" si="4"/>
        <v>0</v>
      </c>
      <c r="F90" s="64" t="b">
        <f>IF(Tab.11[[#This Row],[a1]]=1,Tab.11[[#This Row],[b1]])</f>
        <v>0</v>
      </c>
      <c r="G90" s="65" t="b">
        <f>IF(Tab.11[[#This Row],[a1]]=1,IF(Tab.11[[#This Row],[b3]]&gt;$L$989*$G$3,$L$989*$G$3,IF(Tab.11[[#This Row],[b3]]&lt;$M$989*$G$3,$M$989*$G$3,Tab.11[[#This Row],[b3]])))</f>
        <v>0</v>
      </c>
      <c r="H90" s="66" t="b">
        <f>IF(Tab.11[[#This Row],[a1]]=1,Tab.11[[#This Row],[b1]])</f>
        <v>0</v>
      </c>
      <c r="I90" s="67" t="b">
        <f>IF(Tab.11[[#This Row],[a1]]=1,Tab.11[[#This Row],[b1]])</f>
        <v>0</v>
      </c>
      <c r="J90" s="68" t="b">
        <f>IF(Tab.11[[#This Row],[a1]]=1,IF($I$3&lt;0,Tab.11[[#This Row],[b5]]-$I$3,Tab.11[[#This Row],[b5]]))</f>
        <v>0</v>
      </c>
      <c r="K90" s="68" t="b">
        <f>IF(Tab.11[[#This Row],[a1]]=1,IF($K$3=0,Tab.11[b6],Tab.11[[#This Row],[b6]]-AVERAGE(Tab.11[b6])))</f>
        <v>0</v>
      </c>
      <c r="L90" s="69" t="b">
        <f>IF(Tab.11[[#This Row],[a1]]=1,Tab.11[[#This Row],[data]]/(_xlfn.STDEV.P(Tab.11[data])*$B$989)+$A$989)</f>
        <v>0</v>
      </c>
      <c r="M90" s="69" t="b">
        <f>IF(Tab.11[[#This Row],[a1]]=1,Tab.11[[#This Row],[data]]/(_xlfn.STDEV.P(Tab.11[data])*$B$987)-$A$987)</f>
        <v>0</v>
      </c>
      <c r="N90" s="69" t="b">
        <f>IF(Tab.11[[#This Row],[a1]]=1,Tab.11[[#This Row],[data]]/(_xlfn.STDEV.P(Tab.11[data])*$B$988)+$A$988)</f>
        <v>0</v>
      </c>
      <c r="O90" s="70" t="b">
        <f>IF(Tab.11[[#This Row],[a1]]=1,_xlfn.NORM.DIST(Tab.11[[#This Row],[b8]],$P$1,$Q$1,FALSE))</f>
        <v>0</v>
      </c>
      <c r="P90" s="70" t="b">
        <f>IF(Tab.11[[#This Row],[a1]]=1,_xlfn.NORM.DIST(Tab.11[[#This Row],[b9]],$P$1,$Q$1,FALSE))</f>
        <v>0</v>
      </c>
      <c r="Q90" s="70" t="b">
        <f>IF(Tab.11[[#This Row],[a1]]=1,_xlfn.NORM.DIST(Tab.11[[#This Row],[b10]],$P$1,$Q$1,FALSE))</f>
        <v>0</v>
      </c>
      <c r="R90" s="67" t="b">
        <f>IF(Tab.11[[#This Row],[a1]]=1,$I$3+$A$989+IF($K$3=0,Tab.11[[#This Row],[b8]]*_xlfn.STDEV.P(Tab.11[data]),AVERAGE(Tab.11[b6])+Tab.11[[#This Row],[b8]]*_xlfn.STDEV.P(Tab.11[data])))</f>
        <v>0</v>
      </c>
      <c r="S90" s="71" t="b">
        <f>IF(Tab.11[[#This Row],[a1]]=1,$I$3+$A$987+IF($K$3=0,Tab.11[[#This Row],[b9]]*_xlfn.STDEV.P(Tab.11[data]),AVERAGE(Tab.11[b6])+Tab.11[[#This Row],[b9]]*_xlfn.STDEV.P(Tab.11[data])))</f>
        <v>0</v>
      </c>
      <c r="T90" s="71" t="b">
        <f>IF(Tab.11[[#This Row],[a1]]=1,$I$3+$A$988+IF($K$3=0,Tab.11[[#This Row],[b10]]*_xlfn.STDEV.P(Tab.11[data]),AVERAGE(Tab.11[b6])+Tab.11[[#This Row],[b10]]*_xlfn.STDEV.P(Tab.11[data])))</f>
        <v>0</v>
      </c>
      <c r="U90" s="72" t="b">
        <f>IF(Tab.11[[#This Row],[a1]]=1,Tab.11[[#This Row],[target]]-Tab.11[[#This Row],[Red]])</f>
        <v>0</v>
      </c>
      <c r="V90" s="72" t="b">
        <f>IF(Tab.11[[#This Row],[a1]]=1,Tab.11[[#This Row],[target]]-Tab.11[[#This Row],[Blue]])</f>
        <v>0</v>
      </c>
      <c r="W90" s="73" t="b">
        <f>IF(Tab.11[[#This Row],[a1]]=1,IF(ABS(Tab.11[[#This Row],[b17]])+ABS(Tab.11[[#This Row],[b18]])&lt;$W$2,$W$2,ABS(Tab.11[[#This Row],[b17]])+ABS(Tab.11[[#This Row],[b18]])))</f>
        <v>0</v>
      </c>
      <c r="X90" s="136" t="b">
        <f>IF(Tab.11[[#This Row],[a1]]=1,IF($W$3&lt;0,Tab.11[[#This Row],[IN]]-$I$3,Tab.11[[#This Row],[IN]]))</f>
        <v>0</v>
      </c>
      <c r="Y90" s="136" t="b">
        <f>IF(Tab.11[[#This Row],[a1]]=1,IF($X$3=0,Tab.11[b66],Tab.11[[#This Row],[b66]]-AVERAGE(Tab.11[b66])))</f>
        <v>0</v>
      </c>
      <c r="Z90" s="135" t="b">
        <f>IF(Tab.11[[#This Row],[a1]]=1,Tab.11[[#This Row],[b77]]/(_xlfn.STDEV.P(Tab.11[b77])))</f>
        <v>0</v>
      </c>
      <c r="AA90" s="70" t="b">
        <f>IF(Tab.11[[#This Row],[a1]]=1,_xlfn.NORM.DIST(Tab.11[[#This Row],[b88]],$Z$1,$AA$1,FALSE))</f>
        <v>0</v>
      </c>
      <c r="AB90" s="74" t="b">
        <f>IF(Tab.11[[#This Row],[a1]]=1,IF($A$3=0,FALSE,1/Tab.11[[#This Row],[IN]]*$AC$2*IF(Tab.11[[#This Row],[a1]]=0,,$A$3*$AC$1*1/$V$3*(Tab.11[[#This Row],[b14]]))))</f>
        <v>0</v>
      </c>
      <c r="AC90" s="75" t="b">
        <f>IF(Tab.11[[#This Row],[a1]]=1,IF($AC$3=0,Tab.11[[#This Row],[φ1]],Tab.11[[#This Row],[φ1]]/MAX(Tab.11[φ1])))</f>
        <v>0</v>
      </c>
      <c r="AD90" s="74" t="b">
        <f>IF(Tab.11[[#This Row],[a1]]=1,1/Tab.11[[#This Row],[φ2]])</f>
        <v>0</v>
      </c>
      <c r="AE90" s="74" t="b">
        <f>IF(Tab.11[[#This Row],[a1]]=1,IF($AE$3=0,Tab.11[[#This Row],[w.0]],Tab.11[[#This Row],[w.0]]/SUM(Tab.11[w.0])))</f>
        <v>0</v>
      </c>
      <c r="AF90" s="76" t="str">
        <f>IF(Tab.11[[#This Row],[a1]]=0,"false",[3]!Tab.x5[[#This Row],[%_seN_C]])</f>
        <v>false</v>
      </c>
      <c r="AG90" s="77" t="b">
        <f>IF(Tab.11[[#This Row],[a1]]=1,AP90)</f>
        <v>0</v>
      </c>
      <c r="AH90" s="78" t="b">
        <f>IF(Tab.11[[#This Row],[a1]]=1,AQ90)</f>
        <v>0</v>
      </c>
      <c r="AI90" s="41">
        <v>3.0000000000000001E-3</v>
      </c>
      <c r="AJ90" s="79">
        <v>-0.03</v>
      </c>
      <c r="AK90" s="80" t="b">
        <f>IF(Tab.11[[#This Row],[a1]]=1,1)</f>
        <v>0</v>
      </c>
      <c r="AZ90"/>
    </row>
    <row r="91" spans="1:52" ht="14.25" hidden="1" customHeight="1" x14ac:dyDescent="0.25">
      <c r="A91" s="61">
        <f t="shared" si="5"/>
        <v>0</v>
      </c>
      <c r="B91" s="62">
        <f t="shared" si="5"/>
        <v>0</v>
      </c>
      <c r="C91" s="62" t="b">
        <f>IF(Tab.11[[#This Row],[a1]]=1,[3]!Tab_x1[[#This Row],[Name]])</f>
        <v>0</v>
      </c>
      <c r="D91" s="63" t="b">
        <f>IF(Tab.11[[#This Row],[a1]]=1,AO91)</f>
        <v>0</v>
      </c>
      <c r="E91" s="63">
        <f t="shared" si="4"/>
        <v>0</v>
      </c>
      <c r="F91" s="64" t="b">
        <f>IF(Tab.11[[#This Row],[a1]]=1,Tab.11[[#This Row],[b1]])</f>
        <v>0</v>
      </c>
      <c r="G91" s="65" t="b">
        <f>IF(Tab.11[[#This Row],[a1]]=1,IF(Tab.11[[#This Row],[b3]]&gt;$L$989*$G$3,$L$989*$G$3,IF(Tab.11[[#This Row],[b3]]&lt;$M$989*$G$3,$M$989*$G$3,Tab.11[[#This Row],[b3]])))</f>
        <v>0</v>
      </c>
      <c r="H91" s="66" t="b">
        <f>IF(Tab.11[[#This Row],[a1]]=1,Tab.11[[#This Row],[b1]])</f>
        <v>0</v>
      </c>
      <c r="I91" s="67" t="b">
        <f>IF(Tab.11[[#This Row],[a1]]=1,Tab.11[[#This Row],[b1]])</f>
        <v>0</v>
      </c>
      <c r="J91" s="68" t="b">
        <f>IF(Tab.11[[#This Row],[a1]]=1,IF($I$3&lt;0,Tab.11[[#This Row],[b5]]-$I$3,Tab.11[[#This Row],[b5]]))</f>
        <v>0</v>
      </c>
      <c r="K91" s="68" t="b">
        <f>IF(Tab.11[[#This Row],[a1]]=1,IF($K$3=0,Tab.11[b6],Tab.11[[#This Row],[b6]]-AVERAGE(Tab.11[b6])))</f>
        <v>0</v>
      </c>
      <c r="L91" s="69" t="b">
        <f>IF(Tab.11[[#This Row],[a1]]=1,Tab.11[[#This Row],[data]]/(_xlfn.STDEV.P(Tab.11[data])*$B$989)+$A$989)</f>
        <v>0</v>
      </c>
      <c r="M91" s="69" t="b">
        <f>IF(Tab.11[[#This Row],[a1]]=1,Tab.11[[#This Row],[data]]/(_xlfn.STDEV.P(Tab.11[data])*$B$987)-$A$987)</f>
        <v>0</v>
      </c>
      <c r="N91" s="69" t="b">
        <f>IF(Tab.11[[#This Row],[a1]]=1,Tab.11[[#This Row],[data]]/(_xlfn.STDEV.P(Tab.11[data])*$B$988)+$A$988)</f>
        <v>0</v>
      </c>
      <c r="O91" s="70" t="b">
        <f>IF(Tab.11[[#This Row],[a1]]=1,_xlfn.NORM.DIST(Tab.11[[#This Row],[b8]],$P$1,$Q$1,FALSE))</f>
        <v>0</v>
      </c>
      <c r="P91" s="70" t="b">
        <f>IF(Tab.11[[#This Row],[a1]]=1,_xlfn.NORM.DIST(Tab.11[[#This Row],[b9]],$P$1,$Q$1,FALSE))</f>
        <v>0</v>
      </c>
      <c r="Q91" s="70" t="b">
        <f>IF(Tab.11[[#This Row],[a1]]=1,_xlfn.NORM.DIST(Tab.11[[#This Row],[b10]],$P$1,$Q$1,FALSE))</f>
        <v>0</v>
      </c>
      <c r="R91" s="67" t="b">
        <f>IF(Tab.11[[#This Row],[a1]]=1,$I$3+$A$989+IF($K$3=0,Tab.11[[#This Row],[b8]]*_xlfn.STDEV.P(Tab.11[data]),AVERAGE(Tab.11[b6])+Tab.11[[#This Row],[b8]]*_xlfn.STDEV.P(Tab.11[data])))</f>
        <v>0</v>
      </c>
      <c r="S91" s="71" t="b">
        <f>IF(Tab.11[[#This Row],[a1]]=1,$I$3+$A$987+IF($K$3=0,Tab.11[[#This Row],[b9]]*_xlfn.STDEV.P(Tab.11[data]),AVERAGE(Tab.11[b6])+Tab.11[[#This Row],[b9]]*_xlfn.STDEV.P(Tab.11[data])))</f>
        <v>0</v>
      </c>
      <c r="T91" s="71" t="b">
        <f>IF(Tab.11[[#This Row],[a1]]=1,$I$3+$A$988+IF($K$3=0,Tab.11[[#This Row],[b10]]*_xlfn.STDEV.P(Tab.11[data]),AVERAGE(Tab.11[b6])+Tab.11[[#This Row],[b10]]*_xlfn.STDEV.P(Tab.11[data])))</f>
        <v>0</v>
      </c>
      <c r="U91" s="72" t="b">
        <f>IF(Tab.11[[#This Row],[a1]]=1,Tab.11[[#This Row],[target]]-Tab.11[[#This Row],[Red]])</f>
        <v>0</v>
      </c>
      <c r="V91" s="72" t="b">
        <f>IF(Tab.11[[#This Row],[a1]]=1,Tab.11[[#This Row],[target]]-Tab.11[[#This Row],[Blue]])</f>
        <v>0</v>
      </c>
      <c r="W91" s="73" t="b">
        <f>IF(Tab.11[[#This Row],[a1]]=1,IF(ABS(Tab.11[[#This Row],[b17]])+ABS(Tab.11[[#This Row],[b18]])&lt;$W$2,$W$2,ABS(Tab.11[[#This Row],[b17]])+ABS(Tab.11[[#This Row],[b18]])))</f>
        <v>0</v>
      </c>
      <c r="X91" s="136" t="b">
        <f>IF(Tab.11[[#This Row],[a1]]=1,IF($W$3&lt;0,Tab.11[[#This Row],[IN]]-$I$3,Tab.11[[#This Row],[IN]]))</f>
        <v>0</v>
      </c>
      <c r="Y91" s="136" t="b">
        <f>IF(Tab.11[[#This Row],[a1]]=1,IF($X$3=0,Tab.11[b66],Tab.11[[#This Row],[b66]]-AVERAGE(Tab.11[b66])))</f>
        <v>0</v>
      </c>
      <c r="Z91" s="135" t="b">
        <f>IF(Tab.11[[#This Row],[a1]]=1,Tab.11[[#This Row],[b77]]/(_xlfn.STDEV.P(Tab.11[b77])))</f>
        <v>0</v>
      </c>
      <c r="AA91" s="70" t="b">
        <f>IF(Tab.11[[#This Row],[a1]]=1,_xlfn.NORM.DIST(Tab.11[[#This Row],[b88]],$Z$1,$AA$1,FALSE))</f>
        <v>0</v>
      </c>
      <c r="AB91" s="74" t="b">
        <f>IF(Tab.11[[#This Row],[a1]]=1,IF($A$3=0,FALSE,1/Tab.11[[#This Row],[IN]]*$AC$2*IF(Tab.11[[#This Row],[a1]]=0,,$A$3*$AC$1*1/$V$3*(Tab.11[[#This Row],[b14]]))))</f>
        <v>0</v>
      </c>
      <c r="AC91" s="75" t="b">
        <f>IF(Tab.11[[#This Row],[a1]]=1,IF($AC$3=0,Tab.11[[#This Row],[φ1]],Tab.11[[#This Row],[φ1]]/MAX(Tab.11[φ1])))</f>
        <v>0</v>
      </c>
      <c r="AD91" s="74" t="b">
        <f>IF(Tab.11[[#This Row],[a1]]=1,1/Tab.11[[#This Row],[φ2]])</f>
        <v>0</v>
      </c>
      <c r="AE91" s="74" t="b">
        <f>IF(Tab.11[[#This Row],[a1]]=1,IF($AE$3=0,Tab.11[[#This Row],[w.0]],Tab.11[[#This Row],[w.0]]/SUM(Tab.11[w.0])))</f>
        <v>0</v>
      </c>
      <c r="AF91" s="76" t="str">
        <f>IF(Tab.11[[#This Row],[a1]]=0,"false",[3]!Tab.x5[[#This Row],[%_seN_C]])</f>
        <v>false</v>
      </c>
      <c r="AG91" s="77" t="b">
        <f>IF(Tab.11[[#This Row],[a1]]=1,AP91)</f>
        <v>0</v>
      </c>
      <c r="AH91" s="78" t="b">
        <f>IF(Tab.11[[#This Row],[a1]]=1,AQ91)</f>
        <v>0</v>
      </c>
      <c r="AI91" s="41">
        <v>3.0000000000000001E-3</v>
      </c>
      <c r="AJ91" s="79">
        <v>-0.09</v>
      </c>
      <c r="AK91" s="80" t="b">
        <f>IF(Tab.11[[#This Row],[a1]]=1,1)</f>
        <v>0</v>
      </c>
      <c r="AZ91"/>
    </row>
    <row r="92" spans="1:52" ht="14.25" hidden="1" customHeight="1" x14ac:dyDescent="0.25">
      <c r="A92" s="61">
        <f t="shared" si="5"/>
        <v>0</v>
      </c>
      <c r="B92" s="62">
        <f t="shared" si="5"/>
        <v>0</v>
      </c>
      <c r="C92" s="62" t="b">
        <f>IF(Tab.11[[#This Row],[a1]]=1,[3]!Tab_x1[[#This Row],[Name]])</f>
        <v>0</v>
      </c>
      <c r="D92" s="63" t="b">
        <f>IF(Tab.11[[#This Row],[a1]]=1,AO92)</f>
        <v>0</v>
      </c>
      <c r="E92" s="63">
        <f t="shared" si="4"/>
        <v>0</v>
      </c>
      <c r="F92" s="64" t="b">
        <f>IF(Tab.11[[#This Row],[a1]]=1,Tab.11[[#This Row],[b1]])</f>
        <v>0</v>
      </c>
      <c r="G92" s="65" t="b">
        <f>IF(Tab.11[[#This Row],[a1]]=1,IF(Tab.11[[#This Row],[b3]]&gt;$L$989*$G$3,$L$989*$G$3,IF(Tab.11[[#This Row],[b3]]&lt;$M$989*$G$3,$M$989*$G$3,Tab.11[[#This Row],[b3]])))</f>
        <v>0</v>
      </c>
      <c r="H92" s="66" t="b">
        <f>IF(Tab.11[[#This Row],[a1]]=1,Tab.11[[#This Row],[b1]])</f>
        <v>0</v>
      </c>
      <c r="I92" s="67" t="b">
        <f>IF(Tab.11[[#This Row],[a1]]=1,Tab.11[[#This Row],[b1]])</f>
        <v>0</v>
      </c>
      <c r="J92" s="68" t="b">
        <f>IF(Tab.11[[#This Row],[a1]]=1,IF($I$3&lt;0,Tab.11[[#This Row],[b5]]-$I$3,Tab.11[[#This Row],[b5]]))</f>
        <v>0</v>
      </c>
      <c r="K92" s="68" t="b">
        <f>IF(Tab.11[[#This Row],[a1]]=1,IF($K$3=0,Tab.11[b6],Tab.11[[#This Row],[b6]]-AVERAGE(Tab.11[b6])))</f>
        <v>0</v>
      </c>
      <c r="L92" s="69" t="b">
        <f>IF(Tab.11[[#This Row],[a1]]=1,Tab.11[[#This Row],[data]]/(_xlfn.STDEV.P(Tab.11[data])*$B$989)+$A$989)</f>
        <v>0</v>
      </c>
      <c r="M92" s="69" t="b">
        <f>IF(Tab.11[[#This Row],[a1]]=1,Tab.11[[#This Row],[data]]/(_xlfn.STDEV.P(Tab.11[data])*$B$987)-$A$987)</f>
        <v>0</v>
      </c>
      <c r="N92" s="69" t="b">
        <f>IF(Tab.11[[#This Row],[a1]]=1,Tab.11[[#This Row],[data]]/(_xlfn.STDEV.P(Tab.11[data])*$B$988)+$A$988)</f>
        <v>0</v>
      </c>
      <c r="O92" s="70" t="b">
        <f>IF(Tab.11[[#This Row],[a1]]=1,_xlfn.NORM.DIST(Tab.11[[#This Row],[b8]],$P$1,$Q$1,FALSE))</f>
        <v>0</v>
      </c>
      <c r="P92" s="70" t="b">
        <f>IF(Tab.11[[#This Row],[a1]]=1,_xlfn.NORM.DIST(Tab.11[[#This Row],[b9]],$P$1,$Q$1,FALSE))</f>
        <v>0</v>
      </c>
      <c r="Q92" s="70" t="b">
        <f>IF(Tab.11[[#This Row],[a1]]=1,_xlfn.NORM.DIST(Tab.11[[#This Row],[b10]],$P$1,$Q$1,FALSE))</f>
        <v>0</v>
      </c>
      <c r="R92" s="67" t="b">
        <f>IF(Tab.11[[#This Row],[a1]]=1,$I$3+$A$989+IF($K$3=0,Tab.11[[#This Row],[b8]]*_xlfn.STDEV.P(Tab.11[data]),AVERAGE(Tab.11[b6])+Tab.11[[#This Row],[b8]]*_xlfn.STDEV.P(Tab.11[data])))</f>
        <v>0</v>
      </c>
      <c r="S92" s="71" t="b">
        <f>IF(Tab.11[[#This Row],[a1]]=1,$I$3+$A$987+IF($K$3=0,Tab.11[[#This Row],[b9]]*_xlfn.STDEV.P(Tab.11[data]),AVERAGE(Tab.11[b6])+Tab.11[[#This Row],[b9]]*_xlfn.STDEV.P(Tab.11[data])))</f>
        <v>0</v>
      </c>
      <c r="T92" s="71" t="b">
        <f>IF(Tab.11[[#This Row],[a1]]=1,$I$3+$A$988+IF($K$3=0,Tab.11[[#This Row],[b10]]*_xlfn.STDEV.P(Tab.11[data]),AVERAGE(Tab.11[b6])+Tab.11[[#This Row],[b10]]*_xlfn.STDEV.P(Tab.11[data])))</f>
        <v>0</v>
      </c>
      <c r="U92" s="72" t="b">
        <f>IF(Tab.11[[#This Row],[a1]]=1,Tab.11[[#This Row],[target]]-Tab.11[[#This Row],[Red]])</f>
        <v>0</v>
      </c>
      <c r="V92" s="72" t="b">
        <f>IF(Tab.11[[#This Row],[a1]]=1,Tab.11[[#This Row],[target]]-Tab.11[[#This Row],[Blue]])</f>
        <v>0</v>
      </c>
      <c r="W92" s="73" t="b">
        <f>IF(Tab.11[[#This Row],[a1]]=1,IF(ABS(Tab.11[[#This Row],[b17]])+ABS(Tab.11[[#This Row],[b18]])&lt;$W$2,$W$2,ABS(Tab.11[[#This Row],[b17]])+ABS(Tab.11[[#This Row],[b18]])))</f>
        <v>0</v>
      </c>
      <c r="X92" s="136" t="b">
        <f>IF(Tab.11[[#This Row],[a1]]=1,IF($W$3&lt;0,Tab.11[[#This Row],[IN]]-$I$3,Tab.11[[#This Row],[IN]]))</f>
        <v>0</v>
      </c>
      <c r="Y92" s="136" t="b">
        <f>IF(Tab.11[[#This Row],[a1]]=1,IF($X$3=0,Tab.11[b66],Tab.11[[#This Row],[b66]]-AVERAGE(Tab.11[b66])))</f>
        <v>0</v>
      </c>
      <c r="Z92" s="135" t="b">
        <f>IF(Tab.11[[#This Row],[a1]]=1,Tab.11[[#This Row],[b77]]/(_xlfn.STDEV.P(Tab.11[b77])))</f>
        <v>0</v>
      </c>
      <c r="AA92" s="70" t="b">
        <f>IF(Tab.11[[#This Row],[a1]]=1,_xlfn.NORM.DIST(Tab.11[[#This Row],[b88]],$Z$1,$AA$1,FALSE))</f>
        <v>0</v>
      </c>
      <c r="AB92" s="74" t="b">
        <f>IF(Tab.11[[#This Row],[a1]]=1,IF($A$3=0,FALSE,1/Tab.11[[#This Row],[IN]]*$AC$2*IF(Tab.11[[#This Row],[a1]]=0,,$A$3*$AC$1*1/$V$3*(Tab.11[[#This Row],[b14]]))))</f>
        <v>0</v>
      </c>
      <c r="AC92" s="75" t="b">
        <f>IF(Tab.11[[#This Row],[a1]]=1,IF($AC$3=0,Tab.11[[#This Row],[φ1]],Tab.11[[#This Row],[φ1]]/MAX(Tab.11[φ1])))</f>
        <v>0</v>
      </c>
      <c r="AD92" s="74" t="b">
        <f>IF(Tab.11[[#This Row],[a1]]=1,1/Tab.11[[#This Row],[φ2]])</f>
        <v>0</v>
      </c>
      <c r="AE92" s="74" t="b">
        <f>IF(Tab.11[[#This Row],[a1]]=1,IF($AE$3=0,Tab.11[[#This Row],[w.0]],Tab.11[[#This Row],[w.0]]/SUM(Tab.11[w.0])))</f>
        <v>0</v>
      </c>
      <c r="AF92" s="76" t="str">
        <f>IF(Tab.11[[#This Row],[a1]]=0,"false",[3]!Tab.x5[[#This Row],[%_seN_C]])</f>
        <v>false</v>
      </c>
      <c r="AG92" s="77" t="b">
        <f>IF(Tab.11[[#This Row],[a1]]=1,AP92)</f>
        <v>0</v>
      </c>
      <c r="AH92" s="78" t="b">
        <f>IF(Tab.11[[#This Row],[a1]]=1,AQ92)</f>
        <v>0</v>
      </c>
      <c r="AI92" s="41">
        <v>3.0000000000000001E-3</v>
      </c>
      <c r="AJ92" s="79">
        <v>-0.04</v>
      </c>
      <c r="AK92" s="80" t="b">
        <f>IF(Tab.11[[#This Row],[a1]]=1,1)</f>
        <v>0</v>
      </c>
      <c r="AZ92"/>
    </row>
    <row r="93" spans="1:52" ht="14.25" hidden="1" customHeight="1" x14ac:dyDescent="0.25">
      <c r="A93" s="61">
        <f t="shared" si="5"/>
        <v>0</v>
      </c>
      <c r="B93" s="62">
        <f t="shared" si="5"/>
        <v>0</v>
      </c>
      <c r="C93" s="62" t="b">
        <f>IF(Tab.11[[#This Row],[a1]]=1,[3]!Tab_x1[[#This Row],[Name]])</f>
        <v>0</v>
      </c>
      <c r="D93" s="63" t="b">
        <f>IF(Tab.11[[#This Row],[a1]]=1,AO93)</f>
        <v>0</v>
      </c>
      <c r="E93" s="63">
        <f t="shared" si="4"/>
        <v>0</v>
      </c>
      <c r="F93" s="64" t="b">
        <f>IF(Tab.11[[#This Row],[a1]]=1,Tab.11[[#This Row],[b1]])</f>
        <v>0</v>
      </c>
      <c r="G93" s="65" t="b">
        <f>IF(Tab.11[[#This Row],[a1]]=1,IF(Tab.11[[#This Row],[b3]]&gt;$L$989*$G$3,$L$989*$G$3,IF(Tab.11[[#This Row],[b3]]&lt;$M$989*$G$3,$M$989*$G$3,Tab.11[[#This Row],[b3]])))</f>
        <v>0</v>
      </c>
      <c r="H93" s="66" t="b">
        <f>IF(Tab.11[[#This Row],[a1]]=1,Tab.11[[#This Row],[b1]])</f>
        <v>0</v>
      </c>
      <c r="I93" s="67" t="b">
        <f>IF(Tab.11[[#This Row],[a1]]=1,Tab.11[[#This Row],[b1]])</f>
        <v>0</v>
      </c>
      <c r="J93" s="68" t="b">
        <f>IF(Tab.11[[#This Row],[a1]]=1,IF($I$3&lt;0,Tab.11[[#This Row],[b5]]-$I$3,Tab.11[[#This Row],[b5]]))</f>
        <v>0</v>
      </c>
      <c r="K93" s="68" t="b">
        <f>IF(Tab.11[[#This Row],[a1]]=1,IF($K$3=0,Tab.11[b6],Tab.11[[#This Row],[b6]]-AVERAGE(Tab.11[b6])))</f>
        <v>0</v>
      </c>
      <c r="L93" s="69" t="b">
        <f>IF(Tab.11[[#This Row],[a1]]=1,Tab.11[[#This Row],[data]]/(_xlfn.STDEV.P(Tab.11[data])*$B$989)+$A$989)</f>
        <v>0</v>
      </c>
      <c r="M93" s="69" t="b">
        <f>IF(Tab.11[[#This Row],[a1]]=1,Tab.11[[#This Row],[data]]/(_xlfn.STDEV.P(Tab.11[data])*$B$987)-$A$987)</f>
        <v>0</v>
      </c>
      <c r="N93" s="69" t="b">
        <f>IF(Tab.11[[#This Row],[a1]]=1,Tab.11[[#This Row],[data]]/(_xlfn.STDEV.P(Tab.11[data])*$B$988)+$A$988)</f>
        <v>0</v>
      </c>
      <c r="O93" s="70" t="b">
        <f>IF(Tab.11[[#This Row],[a1]]=1,_xlfn.NORM.DIST(Tab.11[[#This Row],[b8]],$P$1,$Q$1,FALSE))</f>
        <v>0</v>
      </c>
      <c r="P93" s="70" t="b">
        <f>IF(Tab.11[[#This Row],[a1]]=1,_xlfn.NORM.DIST(Tab.11[[#This Row],[b9]],$P$1,$Q$1,FALSE))</f>
        <v>0</v>
      </c>
      <c r="Q93" s="70" t="b">
        <f>IF(Tab.11[[#This Row],[a1]]=1,_xlfn.NORM.DIST(Tab.11[[#This Row],[b10]],$P$1,$Q$1,FALSE))</f>
        <v>0</v>
      </c>
      <c r="R93" s="67" t="b">
        <f>IF(Tab.11[[#This Row],[a1]]=1,$I$3+$A$989+IF($K$3=0,Tab.11[[#This Row],[b8]]*_xlfn.STDEV.P(Tab.11[data]),AVERAGE(Tab.11[b6])+Tab.11[[#This Row],[b8]]*_xlfn.STDEV.P(Tab.11[data])))</f>
        <v>0</v>
      </c>
      <c r="S93" s="71" t="b">
        <f>IF(Tab.11[[#This Row],[a1]]=1,$I$3+$A$987+IF($K$3=0,Tab.11[[#This Row],[b9]]*_xlfn.STDEV.P(Tab.11[data]),AVERAGE(Tab.11[b6])+Tab.11[[#This Row],[b9]]*_xlfn.STDEV.P(Tab.11[data])))</f>
        <v>0</v>
      </c>
      <c r="T93" s="71" t="b">
        <f>IF(Tab.11[[#This Row],[a1]]=1,$I$3+$A$988+IF($K$3=0,Tab.11[[#This Row],[b10]]*_xlfn.STDEV.P(Tab.11[data]),AVERAGE(Tab.11[b6])+Tab.11[[#This Row],[b10]]*_xlfn.STDEV.P(Tab.11[data])))</f>
        <v>0</v>
      </c>
      <c r="U93" s="72" t="b">
        <f>IF(Tab.11[[#This Row],[a1]]=1,Tab.11[[#This Row],[target]]-Tab.11[[#This Row],[Red]])</f>
        <v>0</v>
      </c>
      <c r="V93" s="72" t="b">
        <f>IF(Tab.11[[#This Row],[a1]]=1,Tab.11[[#This Row],[target]]-Tab.11[[#This Row],[Blue]])</f>
        <v>0</v>
      </c>
      <c r="W93" s="73" t="b">
        <f>IF(Tab.11[[#This Row],[a1]]=1,IF(ABS(Tab.11[[#This Row],[b17]])+ABS(Tab.11[[#This Row],[b18]])&lt;$W$2,$W$2,ABS(Tab.11[[#This Row],[b17]])+ABS(Tab.11[[#This Row],[b18]])))</f>
        <v>0</v>
      </c>
      <c r="X93" s="136" t="b">
        <f>IF(Tab.11[[#This Row],[a1]]=1,IF($W$3&lt;0,Tab.11[[#This Row],[IN]]-$I$3,Tab.11[[#This Row],[IN]]))</f>
        <v>0</v>
      </c>
      <c r="Y93" s="136" t="b">
        <f>IF(Tab.11[[#This Row],[a1]]=1,IF($X$3=0,Tab.11[b66],Tab.11[[#This Row],[b66]]-AVERAGE(Tab.11[b66])))</f>
        <v>0</v>
      </c>
      <c r="Z93" s="135" t="b">
        <f>IF(Tab.11[[#This Row],[a1]]=1,Tab.11[[#This Row],[b77]]/(_xlfn.STDEV.P(Tab.11[b77])))</f>
        <v>0</v>
      </c>
      <c r="AA93" s="70" t="b">
        <f>IF(Tab.11[[#This Row],[a1]]=1,_xlfn.NORM.DIST(Tab.11[[#This Row],[b88]],$Z$1,$AA$1,FALSE))</f>
        <v>0</v>
      </c>
      <c r="AB93" s="74" t="b">
        <f>IF(Tab.11[[#This Row],[a1]]=1,IF($A$3=0,FALSE,1/Tab.11[[#This Row],[IN]]*$AC$2*IF(Tab.11[[#This Row],[a1]]=0,,$A$3*$AC$1*1/$V$3*(Tab.11[[#This Row],[b14]]))))</f>
        <v>0</v>
      </c>
      <c r="AC93" s="75" t="b">
        <f>IF(Tab.11[[#This Row],[a1]]=1,IF($AC$3=0,Tab.11[[#This Row],[φ1]],Tab.11[[#This Row],[φ1]]/MAX(Tab.11[φ1])))</f>
        <v>0</v>
      </c>
      <c r="AD93" s="74" t="b">
        <f>IF(Tab.11[[#This Row],[a1]]=1,1/Tab.11[[#This Row],[φ2]])</f>
        <v>0</v>
      </c>
      <c r="AE93" s="74" t="b">
        <f>IF(Tab.11[[#This Row],[a1]]=1,IF($AE$3=0,Tab.11[[#This Row],[w.0]],Tab.11[[#This Row],[w.0]]/SUM(Tab.11[w.0])))</f>
        <v>0</v>
      </c>
      <c r="AF93" s="76" t="str">
        <f>IF(Tab.11[[#This Row],[a1]]=0,"false",[3]!Tab.x5[[#This Row],[%_seN_C]])</f>
        <v>false</v>
      </c>
      <c r="AG93" s="77" t="b">
        <f>IF(Tab.11[[#This Row],[a1]]=1,AP93)</f>
        <v>0</v>
      </c>
      <c r="AH93" s="78" t="b">
        <f>IF(Tab.11[[#This Row],[a1]]=1,AQ93)</f>
        <v>0</v>
      </c>
      <c r="AI93" s="41">
        <v>3.0000000000000001E-3</v>
      </c>
      <c r="AJ93" s="79">
        <v>7.0000000000000007E-2</v>
      </c>
      <c r="AK93" s="80" t="b">
        <f>IF(Tab.11[[#This Row],[a1]]=1,1)</f>
        <v>0</v>
      </c>
      <c r="AZ93"/>
    </row>
    <row r="94" spans="1:52" ht="14.25" hidden="1" customHeight="1" x14ac:dyDescent="0.25">
      <c r="A94" s="61">
        <f t="shared" si="5"/>
        <v>0</v>
      </c>
      <c r="B94" s="62">
        <f t="shared" si="5"/>
        <v>0</v>
      </c>
      <c r="C94" s="62" t="b">
        <f>IF(Tab.11[[#This Row],[a1]]=1,[3]!Tab_x1[[#This Row],[Name]])</f>
        <v>0</v>
      </c>
      <c r="D94" s="63" t="b">
        <f>IF(Tab.11[[#This Row],[a1]]=1,AO94)</f>
        <v>0</v>
      </c>
      <c r="E94" s="63">
        <f t="shared" si="4"/>
        <v>0</v>
      </c>
      <c r="F94" s="64" t="b">
        <f>IF(Tab.11[[#This Row],[a1]]=1,Tab.11[[#This Row],[b1]])</f>
        <v>0</v>
      </c>
      <c r="G94" s="65" t="b">
        <f>IF(Tab.11[[#This Row],[a1]]=1,IF(Tab.11[[#This Row],[b3]]&gt;$L$989*$G$3,$L$989*$G$3,IF(Tab.11[[#This Row],[b3]]&lt;$M$989*$G$3,$M$989*$G$3,Tab.11[[#This Row],[b3]])))</f>
        <v>0</v>
      </c>
      <c r="H94" s="66" t="b">
        <f>IF(Tab.11[[#This Row],[a1]]=1,Tab.11[[#This Row],[b1]])</f>
        <v>0</v>
      </c>
      <c r="I94" s="67" t="b">
        <f>IF(Tab.11[[#This Row],[a1]]=1,Tab.11[[#This Row],[b1]])</f>
        <v>0</v>
      </c>
      <c r="J94" s="68" t="b">
        <f>IF(Tab.11[[#This Row],[a1]]=1,IF($I$3&lt;0,Tab.11[[#This Row],[b5]]-$I$3,Tab.11[[#This Row],[b5]]))</f>
        <v>0</v>
      </c>
      <c r="K94" s="68" t="b">
        <f>IF(Tab.11[[#This Row],[a1]]=1,IF($K$3=0,Tab.11[b6],Tab.11[[#This Row],[b6]]-AVERAGE(Tab.11[b6])))</f>
        <v>0</v>
      </c>
      <c r="L94" s="69" t="b">
        <f>IF(Tab.11[[#This Row],[a1]]=1,Tab.11[[#This Row],[data]]/(_xlfn.STDEV.P(Tab.11[data])*$B$989)+$A$989)</f>
        <v>0</v>
      </c>
      <c r="M94" s="69" t="b">
        <f>IF(Tab.11[[#This Row],[a1]]=1,Tab.11[[#This Row],[data]]/(_xlfn.STDEV.P(Tab.11[data])*$B$987)-$A$987)</f>
        <v>0</v>
      </c>
      <c r="N94" s="69" t="b">
        <f>IF(Tab.11[[#This Row],[a1]]=1,Tab.11[[#This Row],[data]]/(_xlfn.STDEV.P(Tab.11[data])*$B$988)+$A$988)</f>
        <v>0</v>
      </c>
      <c r="O94" s="70" t="b">
        <f>IF(Tab.11[[#This Row],[a1]]=1,_xlfn.NORM.DIST(Tab.11[[#This Row],[b8]],$P$1,$Q$1,FALSE))</f>
        <v>0</v>
      </c>
      <c r="P94" s="70" t="b">
        <f>IF(Tab.11[[#This Row],[a1]]=1,_xlfn.NORM.DIST(Tab.11[[#This Row],[b9]],$P$1,$Q$1,FALSE))</f>
        <v>0</v>
      </c>
      <c r="Q94" s="70" t="b">
        <f>IF(Tab.11[[#This Row],[a1]]=1,_xlfn.NORM.DIST(Tab.11[[#This Row],[b10]],$P$1,$Q$1,FALSE))</f>
        <v>0</v>
      </c>
      <c r="R94" s="67" t="b">
        <f>IF(Tab.11[[#This Row],[a1]]=1,$I$3+$A$989+IF($K$3=0,Tab.11[[#This Row],[b8]]*_xlfn.STDEV.P(Tab.11[data]),AVERAGE(Tab.11[b6])+Tab.11[[#This Row],[b8]]*_xlfn.STDEV.P(Tab.11[data])))</f>
        <v>0</v>
      </c>
      <c r="S94" s="71" t="b">
        <f>IF(Tab.11[[#This Row],[a1]]=1,$I$3+$A$987+IF($K$3=0,Tab.11[[#This Row],[b9]]*_xlfn.STDEV.P(Tab.11[data]),AVERAGE(Tab.11[b6])+Tab.11[[#This Row],[b9]]*_xlfn.STDEV.P(Tab.11[data])))</f>
        <v>0</v>
      </c>
      <c r="T94" s="71" t="b">
        <f>IF(Tab.11[[#This Row],[a1]]=1,$I$3+$A$988+IF($K$3=0,Tab.11[[#This Row],[b10]]*_xlfn.STDEV.P(Tab.11[data]),AVERAGE(Tab.11[b6])+Tab.11[[#This Row],[b10]]*_xlfn.STDEV.P(Tab.11[data])))</f>
        <v>0</v>
      </c>
      <c r="U94" s="72" t="b">
        <f>IF(Tab.11[[#This Row],[a1]]=1,Tab.11[[#This Row],[target]]-Tab.11[[#This Row],[Red]])</f>
        <v>0</v>
      </c>
      <c r="V94" s="72" t="b">
        <f>IF(Tab.11[[#This Row],[a1]]=1,Tab.11[[#This Row],[target]]-Tab.11[[#This Row],[Blue]])</f>
        <v>0</v>
      </c>
      <c r="W94" s="73" t="b">
        <f>IF(Tab.11[[#This Row],[a1]]=1,IF(ABS(Tab.11[[#This Row],[b17]])+ABS(Tab.11[[#This Row],[b18]])&lt;$W$2,$W$2,ABS(Tab.11[[#This Row],[b17]])+ABS(Tab.11[[#This Row],[b18]])))</f>
        <v>0</v>
      </c>
      <c r="X94" s="136" t="b">
        <f>IF(Tab.11[[#This Row],[a1]]=1,IF($W$3&lt;0,Tab.11[[#This Row],[IN]]-$I$3,Tab.11[[#This Row],[IN]]))</f>
        <v>0</v>
      </c>
      <c r="Y94" s="136" t="b">
        <f>IF(Tab.11[[#This Row],[a1]]=1,IF($X$3=0,Tab.11[b66],Tab.11[[#This Row],[b66]]-AVERAGE(Tab.11[b66])))</f>
        <v>0</v>
      </c>
      <c r="Z94" s="135" t="b">
        <f>IF(Tab.11[[#This Row],[a1]]=1,Tab.11[[#This Row],[b77]]/(_xlfn.STDEV.P(Tab.11[b77])))</f>
        <v>0</v>
      </c>
      <c r="AA94" s="70" t="b">
        <f>IF(Tab.11[[#This Row],[a1]]=1,_xlfn.NORM.DIST(Tab.11[[#This Row],[b88]],$Z$1,$AA$1,FALSE))</f>
        <v>0</v>
      </c>
      <c r="AB94" s="74" t="b">
        <f>IF(Tab.11[[#This Row],[a1]]=1,IF($A$3=0,FALSE,1/Tab.11[[#This Row],[IN]]*$AC$2*IF(Tab.11[[#This Row],[a1]]=0,,$A$3*$AC$1*1/$V$3*(Tab.11[[#This Row],[b14]]))))</f>
        <v>0</v>
      </c>
      <c r="AC94" s="75" t="b">
        <f>IF(Tab.11[[#This Row],[a1]]=1,IF($AC$3=0,Tab.11[[#This Row],[φ1]],Tab.11[[#This Row],[φ1]]/MAX(Tab.11[φ1])))</f>
        <v>0</v>
      </c>
      <c r="AD94" s="74" t="b">
        <f>IF(Tab.11[[#This Row],[a1]]=1,1/Tab.11[[#This Row],[φ2]])</f>
        <v>0</v>
      </c>
      <c r="AE94" s="74" t="b">
        <f>IF(Tab.11[[#This Row],[a1]]=1,IF($AE$3=0,Tab.11[[#This Row],[w.0]],Tab.11[[#This Row],[w.0]]/SUM(Tab.11[w.0])))</f>
        <v>0</v>
      </c>
      <c r="AF94" s="76" t="str">
        <f>IF(Tab.11[[#This Row],[a1]]=0,"false",[3]!Tab.x5[[#This Row],[%_seN_C]])</f>
        <v>false</v>
      </c>
      <c r="AG94" s="77" t="b">
        <f>IF(Tab.11[[#This Row],[a1]]=1,AP94)</f>
        <v>0</v>
      </c>
      <c r="AH94" s="78" t="b">
        <f>IF(Tab.11[[#This Row],[a1]]=1,AQ94)</f>
        <v>0</v>
      </c>
      <c r="AI94" s="41">
        <v>3.0000000000000001E-3</v>
      </c>
      <c r="AJ94" s="79">
        <v>0.08</v>
      </c>
      <c r="AK94" s="80" t="b">
        <f>IF(Tab.11[[#This Row],[a1]]=1,1)</f>
        <v>0</v>
      </c>
      <c r="AZ94"/>
    </row>
    <row r="95" spans="1:52" ht="14.25" hidden="1" customHeight="1" x14ac:dyDescent="0.25">
      <c r="A95" s="61">
        <f t="shared" si="5"/>
        <v>0</v>
      </c>
      <c r="B95" s="62">
        <f t="shared" si="5"/>
        <v>0</v>
      </c>
      <c r="C95" s="62" t="b">
        <f>IF(Tab.11[[#This Row],[a1]]=1,[3]!Tab_x1[[#This Row],[Name]])</f>
        <v>0</v>
      </c>
      <c r="D95" s="63" t="b">
        <f>IF(Tab.11[[#This Row],[a1]]=1,AO95)</f>
        <v>0</v>
      </c>
      <c r="E95" s="63">
        <f t="shared" si="4"/>
        <v>0</v>
      </c>
      <c r="F95" s="64" t="b">
        <f>IF(Tab.11[[#This Row],[a1]]=1,Tab.11[[#This Row],[b1]])</f>
        <v>0</v>
      </c>
      <c r="G95" s="65" t="b">
        <f>IF(Tab.11[[#This Row],[a1]]=1,IF(Tab.11[[#This Row],[b3]]&gt;$L$989*$G$3,$L$989*$G$3,IF(Tab.11[[#This Row],[b3]]&lt;$M$989*$G$3,$M$989*$G$3,Tab.11[[#This Row],[b3]])))</f>
        <v>0</v>
      </c>
      <c r="H95" s="66" t="b">
        <f>IF(Tab.11[[#This Row],[a1]]=1,Tab.11[[#This Row],[b1]])</f>
        <v>0</v>
      </c>
      <c r="I95" s="67" t="b">
        <f>IF(Tab.11[[#This Row],[a1]]=1,Tab.11[[#This Row],[b1]])</f>
        <v>0</v>
      </c>
      <c r="J95" s="68" t="b">
        <f>IF(Tab.11[[#This Row],[a1]]=1,IF($I$3&lt;0,Tab.11[[#This Row],[b5]]-$I$3,Tab.11[[#This Row],[b5]]))</f>
        <v>0</v>
      </c>
      <c r="K95" s="68" t="b">
        <f>IF(Tab.11[[#This Row],[a1]]=1,IF($K$3=0,Tab.11[b6],Tab.11[[#This Row],[b6]]-AVERAGE(Tab.11[b6])))</f>
        <v>0</v>
      </c>
      <c r="L95" s="69" t="b">
        <f>IF(Tab.11[[#This Row],[a1]]=1,Tab.11[[#This Row],[data]]/(_xlfn.STDEV.P(Tab.11[data])*$B$989)+$A$989)</f>
        <v>0</v>
      </c>
      <c r="M95" s="69" t="b">
        <f>IF(Tab.11[[#This Row],[a1]]=1,Tab.11[[#This Row],[data]]/(_xlfn.STDEV.P(Tab.11[data])*$B$987)-$A$987)</f>
        <v>0</v>
      </c>
      <c r="N95" s="69" t="b">
        <f>IF(Tab.11[[#This Row],[a1]]=1,Tab.11[[#This Row],[data]]/(_xlfn.STDEV.P(Tab.11[data])*$B$988)+$A$988)</f>
        <v>0</v>
      </c>
      <c r="O95" s="70" t="b">
        <f>IF(Tab.11[[#This Row],[a1]]=1,_xlfn.NORM.DIST(Tab.11[[#This Row],[b8]],$P$1,$Q$1,FALSE))</f>
        <v>0</v>
      </c>
      <c r="P95" s="70" t="b">
        <f>IF(Tab.11[[#This Row],[a1]]=1,_xlfn.NORM.DIST(Tab.11[[#This Row],[b9]],$P$1,$Q$1,FALSE))</f>
        <v>0</v>
      </c>
      <c r="Q95" s="70" t="b">
        <f>IF(Tab.11[[#This Row],[a1]]=1,_xlfn.NORM.DIST(Tab.11[[#This Row],[b10]],$P$1,$Q$1,FALSE))</f>
        <v>0</v>
      </c>
      <c r="R95" s="67" t="b">
        <f>IF(Tab.11[[#This Row],[a1]]=1,$I$3+$A$989+IF($K$3=0,Tab.11[[#This Row],[b8]]*_xlfn.STDEV.P(Tab.11[data]),AVERAGE(Tab.11[b6])+Tab.11[[#This Row],[b8]]*_xlfn.STDEV.P(Tab.11[data])))</f>
        <v>0</v>
      </c>
      <c r="S95" s="71" t="b">
        <f>IF(Tab.11[[#This Row],[a1]]=1,$I$3+$A$987+IF($K$3=0,Tab.11[[#This Row],[b9]]*_xlfn.STDEV.P(Tab.11[data]),AVERAGE(Tab.11[b6])+Tab.11[[#This Row],[b9]]*_xlfn.STDEV.P(Tab.11[data])))</f>
        <v>0</v>
      </c>
      <c r="T95" s="71" t="b">
        <f>IF(Tab.11[[#This Row],[a1]]=1,$I$3+$A$988+IF($K$3=0,Tab.11[[#This Row],[b10]]*_xlfn.STDEV.P(Tab.11[data]),AVERAGE(Tab.11[b6])+Tab.11[[#This Row],[b10]]*_xlfn.STDEV.P(Tab.11[data])))</f>
        <v>0</v>
      </c>
      <c r="U95" s="72" t="b">
        <f>IF(Tab.11[[#This Row],[a1]]=1,Tab.11[[#This Row],[target]]-Tab.11[[#This Row],[Red]])</f>
        <v>0</v>
      </c>
      <c r="V95" s="72" t="b">
        <f>IF(Tab.11[[#This Row],[a1]]=1,Tab.11[[#This Row],[target]]-Tab.11[[#This Row],[Blue]])</f>
        <v>0</v>
      </c>
      <c r="W95" s="73" t="b">
        <f>IF(Tab.11[[#This Row],[a1]]=1,IF(ABS(Tab.11[[#This Row],[b17]])+ABS(Tab.11[[#This Row],[b18]])&lt;$W$2,$W$2,ABS(Tab.11[[#This Row],[b17]])+ABS(Tab.11[[#This Row],[b18]])))</f>
        <v>0</v>
      </c>
      <c r="X95" s="136" t="b">
        <f>IF(Tab.11[[#This Row],[a1]]=1,IF($W$3&lt;0,Tab.11[[#This Row],[IN]]-$I$3,Tab.11[[#This Row],[IN]]))</f>
        <v>0</v>
      </c>
      <c r="Y95" s="136" t="b">
        <f>IF(Tab.11[[#This Row],[a1]]=1,IF($X$3=0,Tab.11[b66],Tab.11[[#This Row],[b66]]-AVERAGE(Tab.11[b66])))</f>
        <v>0</v>
      </c>
      <c r="Z95" s="135" t="b">
        <f>IF(Tab.11[[#This Row],[a1]]=1,Tab.11[[#This Row],[b77]]/(_xlfn.STDEV.P(Tab.11[b77])))</f>
        <v>0</v>
      </c>
      <c r="AA95" s="70" t="b">
        <f>IF(Tab.11[[#This Row],[a1]]=1,_xlfn.NORM.DIST(Tab.11[[#This Row],[b88]],$Z$1,$AA$1,FALSE))</f>
        <v>0</v>
      </c>
      <c r="AB95" s="74" t="b">
        <f>IF(Tab.11[[#This Row],[a1]]=1,IF($A$3=0,FALSE,1/Tab.11[[#This Row],[IN]]*$AC$2*IF(Tab.11[[#This Row],[a1]]=0,,$A$3*$AC$1*1/$V$3*(Tab.11[[#This Row],[b14]]))))</f>
        <v>0</v>
      </c>
      <c r="AC95" s="75" t="b">
        <f>IF(Tab.11[[#This Row],[a1]]=1,IF($AC$3=0,Tab.11[[#This Row],[φ1]],Tab.11[[#This Row],[φ1]]/MAX(Tab.11[φ1])))</f>
        <v>0</v>
      </c>
      <c r="AD95" s="74" t="b">
        <f>IF(Tab.11[[#This Row],[a1]]=1,1/Tab.11[[#This Row],[φ2]])</f>
        <v>0</v>
      </c>
      <c r="AE95" s="74" t="b">
        <f>IF(Tab.11[[#This Row],[a1]]=1,IF($AE$3=0,Tab.11[[#This Row],[w.0]],Tab.11[[#This Row],[w.0]]/SUM(Tab.11[w.0])))</f>
        <v>0</v>
      </c>
      <c r="AF95" s="76" t="str">
        <f>IF(Tab.11[[#This Row],[a1]]=0,"false",[3]!Tab.x5[[#This Row],[%_seN_C]])</f>
        <v>false</v>
      </c>
      <c r="AG95" s="77" t="b">
        <f>IF(Tab.11[[#This Row],[a1]]=1,AP95)</f>
        <v>0</v>
      </c>
      <c r="AH95" s="78" t="b">
        <f>IF(Tab.11[[#This Row],[a1]]=1,AQ95)</f>
        <v>0</v>
      </c>
      <c r="AI95" s="41">
        <v>3.0000000000000001E-3</v>
      </c>
      <c r="AJ95" s="79">
        <v>0.03</v>
      </c>
      <c r="AK95" s="80" t="b">
        <f>IF(Tab.11[[#This Row],[a1]]=1,1)</f>
        <v>0</v>
      </c>
      <c r="AZ95"/>
    </row>
    <row r="96" spans="1:52" ht="14.25" hidden="1" customHeight="1" x14ac:dyDescent="0.25">
      <c r="A96" s="61">
        <f t="shared" si="5"/>
        <v>0</v>
      </c>
      <c r="B96" s="62">
        <f t="shared" si="5"/>
        <v>0</v>
      </c>
      <c r="C96" s="62" t="b">
        <f>IF(Tab.11[[#This Row],[a1]]=1,[3]!Tab_x1[[#This Row],[Name]])</f>
        <v>0</v>
      </c>
      <c r="D96" s="63" t="b">
        <f>IF(Tab.11[[#This Row],[a1]]=1,AO96)</f>
        <v>0</v>
      </c>
      <c r="E96" s="63">
        <f t="shared" si="4"/>
        <v>0</v>
      </c>
      <c r="F96" s="64" t="b">
        <f>IF(Tab.11[[#This Row],[a1]]=1,Tab.11[[#This Row],[b1]])</f>
        <v>0</v>
      </c>
      <c r="G96" s="65" t="b">
        <f>IF(Tab.11[[#This Row],[a1]]=1,IF(Tab.11[[#This Row],[b3]]&gt;$L$989*$G$3,$L$989*$G$3,IF(Tab.11[[#This Row],[b3]]&lt;$M$989*$G$3,$M$989*$G$3,Tab.11[[#This Row],[b3]])))</f>
        <v>0</v>
      </c>
      <c r="H96" s="66" t="b">
        <f>IF(Tab.11[[#This Row],[a1]]=1,Tab.11[[#This Row],[b1]])</f>
        <v>0</v>
      </c>
      <c r="I96" s="67" t="b">
        <f>IF(Tab.11[[#This Row],[a1]]=1,Tab.11[[#This Row],[b1]])</f>
        <v>0</v>
      </c>
      <c r="J96" s="68" t="b">
        <f>IF(Tab.11[[#This Row],[a1]]=1,IF($I$3&lt;0,Tab.11[[#This Row],[b5]]-$I$3,Tab.11[[#This Row],[b5]]))</f>
        <v>0</v>
      </c>
      <c r="K96" s="68" t="b">
        <f>IF(Tab.11[[#This Row],[a1]]=1,IF($K$3=0,Tab.11[b6],Tab.11[[#This Row],[b6]]-AVERAGE(Tab.11[b6])))</f>
        <v>0</v>
      </c>
      <c r="L96" s="69" t="b">
        <f>IF(Tab.11[[#This Row],[a1]]=1,Tab.11[[#This Row],[data]]/(_xlfn.STDEV.P(Tab.11[data])*$B$989)+$A$989)</f>
        <v>0</v>
      </c>
      <c r="M96" s="69" t="b">
        <f>IF(Tab.11[[#This Row],[a1]]=1,Tab.11[[#This Row],[data]]/(_xlfn.STDEV.P(Tab.11[data])*$B$987)-$A$987)</f>
        <v>0</v>
      </c>
      <c r="N96" s="69" t="b">
        <f>IF(Tab.11[[#This Row],[a1]]=1,Tab.11[[#This Row],[data]]/(_xlfn.STDEV.P(Tab.11[data])*$B$988)+$A$988)</f>
        <v>0</v>
      </c>
      <c r="O96" s="70" t="b">
        <f>IF(Tab.11[[#This Row],[a1]]=1,_xlfn.NORM.DIST(Tab.11[[#This Row],[b8]],$P$1,$Q$1,FALSE))</f>
        <v>0</v>
      </c>
      <c r="P96" s="70" t="b">
        <f>IF(Tab.11[[#This Row],[a1]]=1,_xlfn.NORM.DIST(Tab.11[[#This Row],[b9]],$P$1,$Q$1,FALSE))</f>
        <v>0</v>
      </c>
      <c r="Q96" s="70" t="b">
        <f>IF(Tab.11[[#This Row],[a1]]=1,_xlfn.NORM.DIST(Tab.11[[#This Row],[b10]],$P$1,$Q$1,FALSE))</f>
        <v>0</v>
      </c>
      <c r="R96" s="67" t="b">
        <f>IF(Tab.11[[#This Row],[a1]]=1,$I$3+$A$989+IF($K$3=0,Tab.11[[#This Row],[b8]]*_xlfn.STDEV.P(Tab.11[data]),AVERAGE(Tab.11[b6])+Tab.11[[#This Row],[b8]]*_xlfn.STDEV.P(Tab.11[data])))</f>
        <v>0</v>
      </c>
      <c r="S96" s="71" t="b">
        <f>IF(Tab.11[[#This Row],[a1]]=1,$I$3+$A$987+IF($K$3=0,Tab.11[[#This Row],[b9]]*_xlfn.STDEV.P(Tab.11[data]),AVERAGE(Tab.11[b6])+Tab.11[[#This Row],[b9]]*_xlfn.STDEV.P(Tab.11[data])))</f>
        <v>0</v>
      </c>
      <c r="T96" s="71" t="b">
        <f>IF(Tab.11[[#This Row],[a1]]=1,$I$3+$A$988+IF($K$3=0,Tab.11[[#This Row],[b10]]*_xlfn.STDEV.P(Tab.11[data]),AVERAGE(Tab.11[b6])+Tab.11[[#This Row],[b10]]*_xlfn.STDEV.P(Tab.11[data])))</f>
        <v>0</v>
      </c>
      <c r="U96" s="72" t="b">
        <f>IF(Tab.11[[#This Row],[a1]]=1,Tab.11[[#This Row],[target]]-Tab.11[[#This Row],[Red]])</f>
        <v>0</v>
      </c>
      <c r="V96" s="72" t="b">
        <f>IF(Tab.11[[#This Row],[a1]]=1,Tab.11[[#This Row],[target]]-Tab.11[[#This Row],[Blue]])</f>
        <v>0</v>
      </c>
      <c r="W96" s="73" t="b">
        <f>IF(Tab.11[[#This Row],[a1]]=1,IF(ABS(Tab.11[[#This Row],[b17]])+ABS(Tab.11[[#This Row],[b18]])&lt;$W$2,$W$2,ABS(Tab.11[[#This Row],[b17]])+ABS(Tab.11[[#This Row],[b18]])))</f>
        <v>0</v>
      </c>
      <c r="X96" s="136" t="b">
        <f>IF(Tab.11[[#This Row],[a1]]=1,IF($W$3&lt;0,Tab.11[[#This Row],[IN]]-$I$3,Tab.11[[#This Row],[IN]]))</f>
        <v>0</v>
      </c>
      <c r="Y96" s="136" t="b">
        <f>IF(Tab.11[[#This Row],[a1]]=1,IF($X$3=0,Tab.11[b66],Tab.11[[#This Row],[b66]]-AVERAGE(Tab.11[b66])))</f>
        <v>0</v>
      </c>
      <c r="Z96" s="135" t="b">
        <f>IF(Tab.11[[#This Row],[a1]]=1,Tab.11[[#This Row],[b77]]/(_xlfn.STDEV.P(Tab.11[b77])))</f>
        <v>0</v>
      </c>
      <c r="AA96" s="70" t="b">
        <f>IF(Tab.11[[#This Row],[a1]]=1,_xlfn.NORM.DIST(Tab.11[[#This Row],[b88]],$Z$1,$AA$1,FALSE))</f>
        <v>0</v>
      </c>
      <c r="AB96" s="74" t="b">
        <f>IF(Tab.11[[#This Row],[a1]]=1,IF($A$3=0,FALSE,1/Tab.11[[#This Row],[IN]]*$AC$2*IF(Tab.11[[#This Row],[a1]]=0,,$A$3*$AC$1*1/$V$3*(Tab.11[[#This Row],[b14]]))))</f>
        <v>0</v>
      </c>
      <c r="AC96" s="75" t="b">
        <f>IF(Tab.11[[#This Row],[a1]]=1,IF($AC$3=0,Tab.11[[#This Row],[φ1]],Tab.11[[#This Row],[φ1]]/MAX(Tab.11[φ1])))</f>
        <v>0</v>
      </c>
      <c r="AD96" s="74" t="b">
        <f>IF(Tab.11[[#This Row],[a1]]=1,1/Tab.11[[#This Row],[φ2]])</f>
        <v>0</v>
      </c>
      <c r="AE96" s="74" t="b">
        <f>IF(Tab.11[[#This Row],[a1]]=1,IF($AE$3=0,Tab.11[[#This Row],[w.0]],Tab.11[[#This Row],[w.0]]/SUM(Tab.11[w.0])))</f>
        <v>0</v>
      </c>
      <c r="AF96" s="76" t="str">
        <f>IF(Tab.11[[#This Row],[a1]]=0,"false",[3]!Tab.x5[[#This Row],[%_seN_C]])</f>
        <v>false</v>
      </c>
      <c r="AG96" s="77" t="b">
        <f>IF(Tab.11[[#This Row],[a1]]=1,AP96)</f>
        <v>0</v>
      </c>
      <c r="AH96" s="78" t="b">
        <f>IF(Tab.11[[#This Row],[a1]]=1,AQ96)</f>
        <v>0</v>
      </c>
      <c r="AI96" s="41">
        <v>3.0000000000000001E-3</v>
      </c>
      <c r="AJ96" s="79">
        <v>-0.06</v>
      </c>
      <c r="AK96" s="80" t="b">
        <f>IF(Tab.11[[#This Row],[a1]]=1,1)</f>
        <v>0</v>
      </c>
      <c r="AZ96"/>
    </row>
    <row r="97" spans="1:52" ht="14.25" hidden="1" customHeight="1" x14ac:dyDescent="0.25">
      <c r="A97" s="61">
        <f t="shared" si="5"/>
        <v>0</v>
      </c>
      <c r="B97" s="62">
        <f t="shared" si="5"/>
        <v>0</v>
      </c>
      <c r="C97" s="62" t="b">
        <f>IF(Tab.11[[#This Row],[a1]]=1,[3]!Tab_x1[[#This Row],[Name]])</f>
        <v>0</v>
      </c>
      <c r="D97" s="63" t="b">
        <f>IF(Tab.11[[#This Row],[a1]]=1,AO97)</f>
        <v>0</v>
      </c>
      <c r="E97" s="63">
        <f t="shared" si="4"/>
        <v>0</v>
      </c>
      <c r="F97" s="64" t="b">
        <f>IF(Tab.11[[#This Row],[a1]]=1,Tab.11[[#This Row],[b1]])</f>
        <v>0</v>
      </c>
      <c r="G97" s="65" t="b">
        <f>IF(Tab.11[[#This Row],[a1]]=1,IF(Tab.11[[#This Row],[b3]]&gt;$L$989*$G$3,$L$989*$G$3,IF(Tab.11[[#This Row],[b3]]&lt;$M$989*$G$3,$M$989*$G$3,Tab.11[[#This Row],[b3]])))</f>
        <v>0</v>
      </c>
      <c r="H97" s="66" t="b">
        <f>IF(Tab.11[[#This Row],[a1]]=1,Tab.11[[#This Row],[b1]])</f>
        <v>0</v>
      </c>
      <c r="I97" s="67" t="b">
        <f>IF(Tab.11[[#This Row],[a1]]=1,Tab.11[[#This Row],[b1]])</f>
        <v>0</v>
      </c>
      <c r="J97" s="68" t="b">
        <f>IF(Tab.11[[#This Row],[a1]]=1,IF($I$3&lt;0,Tab.11[[#This Row],[b5]]-$I$3,Tab.11[[#This Row],[b5]]))</f>
        <v>0</v>
      </c>
      <c r="K97" s="68" t="b">
        <f>IF(Tab.11[[#This Row],[a1]]=1,IF($K$3=0,Tab.11[b6],Tab.11[[#This Row],[b6]]-AVERAGE(Tab.11[b6])))</f>
        <v>0</v>
      </c>
      <c r="L97" s="69" t="b">
        <f>IF(Tab.11[[#This Row],[a1]]=1,Tab.11[[#This Row],[data]]/(_xlfn.STDEV.P(Tab.11[data])*$B$989)+$A$989)</f>
        <v>0</v>
      </c>
      <c r="M97" s="69" t="b">
        <f>IF(Tab.11[[#This Row],[a1]]=1,Tab.11[[#This Row],[data]]/(_xlfn.STDEV.P(Tab.11[data])*$B$987)-$A$987)</f>
        <v>0</v>
      </c>
      <c r="N97" s="69" t="b">
        <f>IF(Tab.11[[#This Row],[a1]]=1,Tab.11[[#This Row],[data]]/(_xlfn.STDEV.P(Tab.11[data])*$B$988)+$A$988)</f>
        <v>0</v>
      </c>
      <c r="O97" s="70" t="b">
        <f>IF(Tab.11[[#This Row],[a1]]=1,_xlfn.NORM.DIST(Tab.11[[#This Row],[b8]],$P$1,$Q$1,FALSE))</f>
        <v>0</v>
      </c>
      <c r="P97" s="70" t="b">
        <f>IF(Tab.11[[#This Row],[a1]]=1,_xlfn.NORM.DIST(Tab.11[[#This Row],[b9]],$P$1,$Q$1,FALSE))</f>
        <v>0</v>
      </c>
      <c r="Q97" s="70" t="b">
        <f>IF(Tab.11[[#This Row],[a1]]=1,_xlfn.NORM.DIST(Tab.11[[#This Row],[b10]],$P$1,$Q$1,FALSE))</f>
        <v>0</v>
      </c>
      <c r="R97" s="67" t="b">
        <f>IF(Tab.11[[#This Row],[a1]]=1,$I$3+$A$989+IF($K$3=0,Tab.11[[#This Row],[b8]]*_xlfn.STDEV.P(Tab.11[data]),AVERAGE(Tab.11[b6])+Tab.11[[#This Row],[b8]]*_xlfn.STDEV.P(Tab.11[data])))</f>
        <v>0</v>
      </c>
      <c r="S97" s="71" t="b">
        <f>IF(Tab.11[[#This Row],[a1]]=1,$I$3+$A$987+IF($K$3=0,Tab.11[[#This Row],[b9]]*_xlfn.STDEV.P(Tab.11[data]),AVERAGE(Tab.11[b6])+Tab.11[[#This Row],[b9]]*_xlfn.STDEV.P(Tab.11[data])))</f>
        <v>0</v>
      </c>
      <c r="T97" s="71" t="b">
        <f>IF(Tab.11[[#This Row],[a1]]=1,$I$3+$A$988+IF($K$3=0,Tab.11[[#This Row],[b10]]*_xlfn.STDEV.P(Tab.11[data]),AVERAGE(Tab.11[b6])+Tab.11[[#This Row],[b10]]*_xlfn.STDEV.P(Tab.11[data])))</f>
        <v>0</v>
      </c>
      <c r="U97" s="72" t="b">
        <f>IF(Tab.11[[#This Row],[a1]]=1,Tab.11[[#This Row],[target]]-Tab.11[[#This Row],[Red]])</f>
        <v>0</v>
      </c>
      <c r="V97" s="72" t="b">
        <f>IF(Tab.11[[#This Row],[a1]]=1,Tab.11[[#This Row],[target]]-Tab.11[[#This Row],[Blue]])</f>
        <v>0</v>
      </c>
      <c r="W97" s="73" t="b">
        <f>IF(Tab.11[[#This Row],[a1]]=1,IF(ABS(Tab.11[[#This Row],[b17]])+ABS(Tab.11[[#This Row],[b18]])&lt;$W$2,$W$2,ABS(Tab.11[[#This Row],[b17]])+ABS(Tab.11[[#This Row],[b18]])))</f>
        <v>0</v>
      </c>
      <c r="X97" s="136" t="b">
        <f>IF(Tab.11[[#This Row],[a1]]=1,IF($W$3&lt;0,Tab.11[[#This Row],[IN]]-$I$3,Tab.11[[#This Row],[IN]]))</f>
        <v>0</v>
      </c>
      <c r="Y97" s="136" t="b">
        <f>IF(Tab.11[[#This Row],[a1]]=1,IF($X$3=0,Tab.11[b66],Tab.11[[#This Row],[b66]]-AVERAGE(Tab.11[b66])))</f>
        <v>0</v>
      </c>
      <c r="Z97" s="135" t="b">
        <f>IF(Tab.11[[#This Row],[a1]]=1,Tab.11[[#This Row],[b77]]/(_xlfn.STDEV.P(Tab.11[b77])))</f>
        <v>0</v>
      </c>
      <c r="AA97" s="70" t="b">
        <f>IF(Tab.11[[#This Row],[a1]]=1,_xlfn.NORM.DIST(Tab.11[[#This Row],[b88]],$Z$1,$AA$1,FALSE))</f>
        <v>0</v>
      </c>
      <c r="AB97" s="74" t="b">
        <f>IF(Tab.11[[#This Row],[a1]]=1,IF($A$3=0,FALSE,1/Tab.11[[#This Row],[IN]]*$AC$2*IF(Tab.11[[#This Row],[a1]]=0,,$A$3*$AC$1*1/$V$3*(Tab.11[[#This Row],[b14]]))))</f>
        <v>0</v>
      </c>
      <c r="AC97" s="75" t="b">
        <f>IF(Tab.11[[#This Row],[a1]]=1,IF($AC$3=0,Tab.11[[#This Row],[φ1]],Tab.11[[#This Row],[φ1]]/MAX(Tab.11[φ1])))</f>
        <v>0</v>
      </c>
      <c r="AD97" s="74" t="b">
        <f>IF(Tab.11[[#This Row],[a1]]=1,1/Tab.11[[#This Row],[φ2]])</f>
        <v>0</v>
      </c>
      <c r="AE97" s="74" t="b">
        <f>IF(Tab.11[[#This Row],[a1]]=1,IF($AE$3=0,Tab.11[[#This Row],[w.0]],Tab.11[[#This Row],[w.0]]/SUM(Tab.11[w.0])))</f>
        <v>0</v>
      </c>
      <c r="AF97" s="76" t="str">
        <f>IF(Tab.11[[#This Row],[a1]]=0,"false",[3]!Tab.x5[[#This Row],[%_seN_C]])</f>
        <v>false</v>
      </c>
      <c r="AG97" s="77" t="b">
        <f>IF(Tab.11[[#This Row],[a1]]=1,AP97)</f>
        <v>0</v>
      </c>
      <c r="AH97" s="78" t="b">
        <f>IF(Tab.11[[#This Row],[a1]]=1,AQ97)</f>
        <v>0</v>
      </c>
      <c r="AI97" s="41">
        <v>3.0000000000000001E-3</v>
      </c>
      <c r="AJ97" s="79">
        <v>0.09</v>
      </c>
      <c r="AK97" s="80" t="b">
        <f>IF(Tab.11[[#This Row],[a1]]=1,1)</f>
        <v>0</v>
      </c>
      <c r="AZ97"/>
    </row>
    <row r="98" spans="1:52" ht="14.25" hidden="1" customHeight="1" x14ac:dyDescent="0.25">
      <c r="A98" s="61">
        <f t="shared" si="5"/>
        <v>0</v>
      </c>
      <c r="B98" s="62">
        <f t="shared" si="5"/>
        <v>0</v>
      </c>
      <c r="C98" s="62" t="b">
        <f>IF(Tab.11[[#This Row],[a1]]=1,[3]!Tab_x1[[#This Row],[Name]])</f>
        <v>0</v>
      </c>
      <c r="D98" s="63" t="b">
        <f>IF(Tab.11[[#This Row],[a1]]=1,AO98)</f>
        <v>0</v>
      </c>
      <c r="E98" s="63">
        <f t="shared" si="4"/>
        <v>0</v>
      </c>
      <c r="F98" s="64" t="b">
        <f>IF(Tab.11[[#This Row],[a1]]=1,Tab.11[[#This Row],[b1]])</f>
        <v>0</v>
      </c>
      <c r="G98" s="65" t="b">
        <f>IF(Tab.11[[#This Row],[a1]]=1,IF(Tab.11[[#This Row],[b3]]&gt;$L$989*$G$3,$L$989*$G$3,IF(Tab.11[[#This Row],[b3]]&lt;$M$989*$G$3,$M$989*$G$3,Tab.11[[#This Row],[b3]])))</f>
        <v>0</v>
      </c>
      <c r="H98" s="66" t="b">
        <f>IF(Tab.11[[#This Row],[a1]]=1,Tab.11[[#This Row],[b1]])</f>
        <v>0</v>
      </c>
      <c r="I98" s="67" t="b">
        <f>IF(Tab.11[[#This Row],[a1]]=1,Tab.11[[#This Row],[b1]])</f>
        <v>0</v>
      </c>
      <c r="J98" s="68" t="b">
        <f>IF(Tab.11[[#This Row],[a1]]=1,IF($I$3&lt;0,Tab.11[[#This Row],[b5]]-$I$3,Tab.11[[#This Row],[b5]]))</f>
        <v>0</v>
      </c>
      <c r="K98" s="68" t="b">
        <f>IF(Tab.11[[#This Row],[a1]]=1,IF($K$3=0,Tab.11[b6],Tab.11[[#This Row],[b6]]-AVERAGE(Tab.11[b6])))</f>
        <v>0</v>
      </c>
      <c r="L98" s="69" t="b">
        <f>IF(Tab.11[[#This Row],[a1]]=1,Tab.11[[#This Row],[data]]/(_xlfn.STDEV.P(Tab.11[data])*$B$989)+$A$989)</f>
        <v>0</v>
      </c>
      <c r="M98" s="69" t="b">
        <f>IF(Tab.11[[#This Row],[a1]]=1,Tab.11[[#This Row],[data]]/(_xlfn.STDEV.P(Tab.11[data])*$B$987)-$A$987)</f>
        <v>0</v>
      </c>
      <c r="N98" s="69" t="b">
        <f>IF(Tab.11[[#This Row],[a1]]=1,Tab.11[[#This Row],[data]]/(_xlfn.STDEV.P(Tab.11[data])*$B$988)+$A$988)</f>
        <v>0</v>
      </c>
      <c r="O98" s="70" t="b">
        <f>IF(Tab.11[[#This Row],[a1]]=1,_xlfn.NORM.DIST(Tab.11[[#This Row],[b8]],$P$1,$Q$1,FALSE))</f>
        <v>0</v>
      </c>
      <c r="P98" s="70" t="b">
        <f>IF(Tab.11[[#This Row],[a1]]=1,_xlfn.NORM.DIST(Tab.11[[#This Row],[b9]],$P$1,$Q$1,FALSE))</f>
        <v>0</v>
      </c>
      <c r="Q98" s="70" t="b">
        <f>IF(Tab.11[[#This Row],[a1]]=1,_xlfn.NORM.DIST(Tab.11[[#This Row],[b10]],$P$1,$Q$1,FALSE))</f>
        <v>0</v>
      </c>
      <c r="R98" s="67" t="b">
        <f>IF(Tab.11[[#This Row],[a1]]=1,$I$3+$A$989+IF($K$3=0,Tab.11[[#This Row],[b8]]*_xlfn.STDEV.P(Tab.11[data]),AVERAGE(Tab.11[b6])+Tab.11[[#This Row],[b8]]*_xlfn.STDEV.P(Tab.11[data])))</f>
        <v>0</v>
      </c>
      <c r="S98" s="71" t="b">
        <f>IF(Tab.11[[#This Row],[a1]]=1,$I$3+$A$987+IF($K$3=0,Tab.11[[#This Row],[b9]]*_xlfn.STDEV.P(Tab.11[data]),AVERAGE(Tab.11[b6])+Tab.11[[#This Row],[b9]]*_xlfn.STDEV.P(Tab.11[data])))</f>
        <v>0</v>
      </c>
      <c r="T98" s="71" t="b">
        <f>IF(Tab.11[[#This Row],[a1]]=1,$I$3+$A$988+IF($K$3=0,Tab.11[[#This Row],[b10]]*_xlfn.STDEV.P(Tab.11[data]),AVERAGE(Tab.11[b6])+Tab.11[[#This Row],[b10]]*_xlfn.STDEV.P(Tab.11[data])))</f>
        <v>0</v>
      </c>
      <c r="U98" s="72" t="b">
        <f>IF(Tab.11[[#This Row],[a1]]=1,Tab.11[[#This Row],[target]]-Tab.11[[#This Row],[Red]])</f>
        <v>0</v>
      </c>
      <c r="V98" s="72" t="b">
        <f>IF(Tab.11[[#This Row],[a1]]=1,Tab.11[[#This Row],[target]]-Tab.11[[#This Row],[Blue]])</f>
        <v>0</v>
      </c>
      <c r="W98" s="73" t="b">
        <f>IF(Tab.11[[#This Row],[a1]]=1,IF(ABS(Tab.11[[#This Row],[b17]])+ABS(Tab.11[[#This Row],[b18]])&lt;$W$2,$W$2,ABS(Tab.11[[#This Row],[b17]])+ABS(Tab.11[[#This Row],[b18]])))</f>
        <v>0</v>
      </c>
      <c r="X98" s="136" t="b">
        <f>IF(Tab.11[[#This Row],[a1]]=1,IF($W$3&lt;0,Tab.11[[#This Row],[IN]]-$I$3,Tab.11[[#This Row],[IN]]))</f>
        <v>0</v>
      </c>
      <c r="Y98" s="136" t="b">
        <f>IF(Tab.11[[#This Row],[a1]]=1,IF($X$3=0,Tab.11[b66],Tab.11[[#This Row],[b66]]-AVERAGE(Tab.11[b66])))</f>
        <v>0</v>
      </c>
      <c r="Z98" s="135" t="b">
        <f>IF(Tab.11[[#This Row],[a1]]=1,Tab.11[[#This Row],[b77]]/(_xlfn.STDEV.P(Tab.11[b77])))</f>
        <v>0</v>
      </c>
      <c r="AA98" s="70" t="b">
        <f>IF(Tab.11[[#This Row],[a1]]=1,_xlfn.NORM.DIST(Tab.11[[#This Row],[b88]],$Z$1,$AA$1,FALSE))</f>
        <v>0</v>
      </c>
      <c r="AB98" s="74" t="b">
        <f>IF(Tab.11[[#This Row],[a1]]=1,IF($A$3=0,FALSE,1/Tab.11[[#This Row],[IN]]*$AC$2*IF(Tab.11[[#This Row],[a1]]=0,,$A$3*$AC$1*1/$V$3*(Tab.11[[#This Row],[b14]]))))</f>
        <v>0</v>
      </c>
      <c r="AC98" s="75" t="b">
        <f>IF(Tab.11[[#This Row],[a1]]=1,IF($AC$3=0,Tab.11[[#This Row],[φ1]],Tab.11[[#This Row],[φ1]]/MAX(Tab.11[φ1])))</f>
        <v>0</v>
      </c>
      <c r="AD98" s="74" t="b">
        <f>IF(Tab.11[[#This Row],[a1]]=1,1/Tab.11[[#This Row],[φ2]])</f>
        <v>0</v>
      </c>
      <c r="AE98" s="74" t="b">
        <f>IF(Tab.11[[#This Row],[a1]]=1,IF($AE$3=0,Tab.11[[#This Row],[w.0]],Tab.11[[#This Row],[w.0]]/SUM(Tab.11[w.0])))</f>
        <v>0</v>
      </c>
      <c r="AF98" s="76" t="str">
        <f>IF(Tab.11[[#This Row],[a1]]=0,"false",[3]!Tab.x5[[#This Row],[%_seN_C]])</f>
        <v>false</v>
      </c>
      <c r="AG98" s="77" t="b">
        <f>IF(Tab.11[[#This Row],[a1]]=1,AP98)</f>
        <v>0</v>
      </c>
      <c r="AH98" s="78" t="b">
        <f>IF(Tab.11[[#This Row],[a1]]=1,AQ98)</f>
        <v>0</v>
      </c>
      <c r="AI98" s="41">
        <v>3.0000000000000001E-3</v>
      </c>
      <c r="AJ98" s="79">
        <v>0.06</v>
      </c>
      <c r="AK98" s="80" t="b">
        <f>IF(Tab.11[[#This Row],[a1]]=1,1)</f>
        <v>0</v>
      </c>
      <c r="AZ98"/>
    </row>
    <row r="99" spans="1:52" ht="14.25" hidden="1" customHeight="1" x14ac:dyDescent="0.25">
      <c r="A99" s="61">
        <f t="shared" si="5"/>
        <v>0</v>
      </c>
      <c r="B99" s="62">
        <f t="shared" si="5"/>
        <v>0</v>
      </c>
      <c r="C99" s="62" t="b">
        <f>IF(Tab.11[[#This Row],[a1]]=1,[3]!Tab_x1[[#This Row],[Name]])</f>
        <v>0</v>
      </c>
      <c r="D99" s="63" t="b">
        <f>IF(Tab.11[[#This Row],[a1]]=1,AO99)</f>
        <v>0</v>
      </c>
      <c r="E99" s="63">
        <f t="shared" si="4"/>
        <v>0</v>
      </c>
      <c r="F99" s="64" t="b">
        <f>IF(Tab.11[[#This Row],[a1]]=1,Tab.11[[#This Row],[b1]])</f>
        <v>0</v>
      </c>
      <c r="G99" s="65" t="b">
        <f>IF(Tab.11[[#This Row],[a1]]=1,IF(Tab.11[[#This Row],[b3]]&gt;$L$989*$G$3,$L$989*$G$3,IF(Tab.11[[#This Row],[b3]]&lt;$M$989*$G$3,$M$989*$G$3,Tab.11[[#This Row],[b3]])))</f>
        <v>0</v>
      </c>
      <c r="H99" s="66" t="b">
        <f>IF(Tab.11[[#This Row],[a1]]=1,Tab.11[[#This Row],[b1]])</f>
        <v>0</v>
      </c>
      <c r="I99" s="67" t="b">
        <f>IF(Tab.11[[#This Row],[a1]]=1,Tab.11[[#This Row],[b1]])</f>
        <v>0</v>
      </c>
      <c r="J99" s="68" t="b">
        <f>IF(Tab.11[[#This Row],[a1]]=1,IF($I$3&lt;0,Tab.11[[#This Row],[b5]]-$I$3,Tab.11[[#This Row],[b5]]))</f>
        <v>0</v>
      </c>
      <c r="K99" s="68" t="b">
        <f>IF(Tab.11[[#This Row],[a1]]=1,IF($K$3=0,Tab.11[b6],Tab.11[[#This Row],[b6]]-AVERAGE(Tab.11[b6])))</f>
        <v>0</v>
      </c>
      <c r="L99" s="69" t="b">
        <f>IF(Tab.11[[#This Row],[a1]]=1,Tab.11[[#This Row],[data]]/(_xlfn.STDEV.P(Tab.11[data])*$B$989)+$A$989)</f>
        <v>0</v>
      </c>
      <c r="M99" s="69" t="b">
        <f>IF(Tab.11[[#This Row],[a1]]=1,Tab.11[[#This Row],[data]]/(_xlfn.STDEV.P(Tab.11[data])*$B$987)-$A$987)</f>
        <v>0</v>
      </c>
      <c r="N99" s="69" t="b">
        <f>IF(Tab.11[[#This Row],[a1]]=1,Tab.11[[#This Row],[data]]/(_xlfn.STDEV.P(Tab.11[data])*$B$988)+$A$988)</f>
        <v>0</v>
      </c>
      <c r="O99" s="70" t="b">
        <f>IF(Tab.11[[#This Row],[a1]]=1,_xlfn.NORM.DIST(Tab.11[[#This Row],[b8]],$P$1,$Q$1,FALSE))</f>
        <v>0</v>
      </c>
      <c r="P99" s="70" t="b">
        <f>IF(Tab.11[[#This Row],[a1]]=1,_xlfn.NORM.DIST(Tab.11[[#This Row],[b9]],$P$1,$Q$1,FALSE))</f>
        <v>0</v>
      </c>
      <c r="Q99" s="70" t="b">
        <f>IF(Tab.11[[#This Row],[a1]]=1,_xlfn.NORM.DIST(Tab.11[[#This Row],[b10]],$P$1,$Q$1,FALSE))</f>
        <v>0</v>
      </c>
      <c r="R99" s="67" t="b">
        <f>IF(Tab.11[[#This Row],[a1]]=1,$I$3+$A$989+IF($K$3=0,Tab.11[[#This Row],[b8]]*_xlfn.STDEV.P(Tab.11[data]),AVERAGE(Tab.11[b6])+Tab.11[[#This Row],[b8]]*_xlfn.STDEV.P(Tab.11[data])))</f>
        <v>0</v>
      </c>
      <c r="S99" s="71" t="b">
        <f>IF(Tab.11[[#This Row],[a1]]=1,$I$3+$A$987+IF($K$3=0,Tab.11[[#This Row],[b9]]*_xlfn.STDEV.P(Tab.11[data]),AVERAGE(Tab.11[b6])+Tab.11[[#This Row],[b9]]*_xlfn.STDEV.P(Tab.11[data])))</f>
        <v>0</v>
      </c>
      <c r="T99" s="71" t="b">
        <f>IF(Tab.11[[#This Row],[a1]]=1,$I$3+$A$988+IF($K$3=0,Tab.11[[#This Row],[b10]]*_xlfn.STDEV.P(Tab.11[data]),AVERAGE(Tab.11[b6])+Tab.11[[#This Row],[b10]]*_xlfn.STDEV.P(Tab.11[data])))</f>
        <v>0</v>
      </c>
      <c r="U99" s="72" t="b">
        <f>IF(Tab.11[[#This Row],[a1]]=1,Tab.11[[#This Row],[target]]-Tab.11[[#This Row],[Red]])</f>
        <v>0</v>
      </c>
      <c r="V99" s="72" t="b">
        <f>IF(Tab.11[[#This Row],[a1]]=1,Tab.11[[#This Row],[target]]-Tab.11[[#This Row],[Blue]])</f>
        <v>0</v>
      </c>
      <c r="W99" s="73" t="b">
        <f>IF(Tab.11[[#This Row],[a1]]=1,IF(ABS(Tab.11[[#This Row],[b17]])+ABS(Tab.11[[#This Row],[b18]])&lt;$W$2,$W$2,ABS(Tab.11[[#This Row],[b17]])+ABS(Tab.11[[#This Row],[b18]])))</f>
        <v>0</v>
      </c>
      <c r="X99" s="136" t="b">
        <f>IF(Tab.11[[#This Row],[a1]]=1,IF($W$3&lt;0,Tab.11[[#This Row],[IN]]-$I$3,Tab.11[[#This Row],[IN]]))</f>
        <v>0</v>
      </c>
      <c r="Y99" s="136" t="b">
        <f>IF(Tab.11[[#This Row],[a1]]=1,IF($X$3=0,Tab.11[b66],Tab.11[[#This Row],[b66]]-AVERAGE(Tab.11[b66])))</f>
        <v>0</v>
      </c>
      <c r="Z99" s="135" t="b">
        <f>IF(Tab.11[[#This Row],[a1]]=1,Tab.11[[#This Row],[b77]]/(_xlfn.STDEV.P(Tab.11[b77])))</f>
        <v>0</v>
      </c>
      <c r="AA99" s="70" t="b">
        <f>IF(Tab.11[[#This Row],[a1]]=1,_xlfn.NORM.DIST(Tab.11[[#This Row],[b88]],$Z$1,$AA$1,FALSE))</f>
        <v>0</v>
      </c>
      <c r="AB99" s="74" t="b">
        <f>IF(Tab.11[[#This Row],[a1]]=1,IF($A$3=0,FALSE,1/Tab.11[[#This Row],[IN]]*$AC$2*IF(Tab.11[[#This Row],[a1]]=0,,$A$3*$AC$1*1/$V$3*(Tab.11[[#This Row],[b14]]))))</f>
        <v>0</v>
      </c>
      <c r="AC99" s="75" t="b">
        <f>IF(Tab.11[[#This Row],[a1]]=1,IF($AC$3=0,Tab.11[[#This Row],[φ1]],Tab.11[[#This Row],[φ1]]/MAX(Tab.11[φ1])))</f>
        <v>0</v>
      </c>
      <c r="AD99" s="74" t="b">
        <f>IF(Tab.11[[#This Row],[a1]]=1,1/Tab.11[[#This Row],[φ2]])</f>
        <v>0</v>
      </c>
      <c r="AE99" s="74" t="b">
        <f>IF(Tab.11[[#This Row],[a1]]=1,IF($AE$3=0,Tab.11[[#This Row],[w.0]],Tab.11[[#This Row],[w.0]]/SUM(Tab.11[w.0])))</f>
        <v>0</v>
      </c>
      <c r="AF99" s="76" t="str">
        <f>IF(Tab.11[[#This Row],[a1]]=0,"false",[3]!Tab.x5[[#This Row],[%_seN_C]])</f>
        <v>false</v>
      </c>
      <c r="AG99" s="77" t="b">
        <f>IF(Tab.11[[#This Row],[a1]]=1,AP99)</f>
        <v>0</v>
      </c>
      <c r="AH99" s="78" t="b">
        <f>IF(Tab.11[[#This Row],[a1]]=1,AQ99)</f>
        <v>0</v>
      </c>
      <c r="AI99" s="41">
        <v>3.0000000000000001E-3</v>
      </c>
      <c r="AJ99" s="79">
        <v>0.03</v>
      </c>
      <c r="AK99" s="80" t="b">
        <f>IF(Tab.11[[#This Row],[a1]]=1,1)</f>
        <v>0</v>
      </c>
      <c r="AZ99"/>
    </row>
    <row r="100" spans="1:52" ht="14.25" hidden="1" customHeight="1" x14ac:dyDescent="0.25">
      <c r="A100" s="61">
        <f t="shared" si="5"/>
        <v>0</v>
      </c>
      <c r="B100" s="62">
        <f t="shared" si="5"/>
        <v>0</v>
      </c>
      <c r="C100" s="62" t="b">
        <f>IF(Tab.11[[#This Row],[a1]]=1,[3]!Tab_x1[[#This Row],[Name]])</f>
        <v>0</v>
      </c>
      <c r="D100" s="63" t="b">
        <f>IF(Tab.11[[#This Row],[a1]]=1,AO100)</f>
        <v>0</v>
      </c>
      <c r="E100" s="63">
        <f t="shared" si="4"/>
        <v>0</v>
      </c>
      <c r="F100" s="64" t="b">
        <f>IF(Tab.11[[#This Row],[a1]]=1,Tab.11[[#This Row],[b1]])</f>
        <v>0</v>
      </c>
      <c r="G100" s="65" t="b">
        <f>IF(Tab.11[[#This Row],[a1]]=1,IF(Tab.11[[#This Row],[b3]]&gt;$L$989*$G$3,$L$989*$G$3,IF(Tab.11[[#This Row],[b3]]&lt;$M$989*$G$3,$M$989*$G$3,Tab.11[[#This Row],[b3]])))</f>
        <v>0</v>
      </c>
      <c r="H100" s="66" t="b">
        <f>IF(Tab.11[[#This Row],[a1]]=1,Tab.11[[#This Row],[b1]])</f>
        <v>0</v>
      </c>
      <c r="I100" s="67" t="b">
        <f>IF(Tab.11[[#This Row],[a1]]=1,Tab.11[[#This Row],[b1]])</f>
        <v>0</v>
      </c>
      <c r="J100" s="68" t="b">
        <f>IF(Tab.11[[#This Row],[a1]]=1,IF($I$3&lt;0,Tab.11[[#This Row],[b5]]-$I$3,Tab.11[[#This Row],[b5]]))</f>
        <v>0</v>
      </c>
      <c r="K100" s="68" t="b">
        <f>IF(Tab.11[[#This Row],[a1]]=1,IF($K$3=0,Tab.11[b6],Tab.11[[#This Row],[b6]]-AVERAGE(Tab.11[b6])))</f>
        <v>0</v>
      </c>
      <c r="L100" s="69" t="b">
        <f>IF(Tab.11[[#This Row],[a1]]=1,Tab.11[[#This Row],[data]]/(_xlfn.STDEV.P(Tab.11[data])*$B$989)+$A$989)</f>
        <v>0</v>
      </c>
      <c r="M100" s="69" t="b">
        <f>IF(Tab.11[[#This Row],[a1]]=1,Tab.11[[#This Row],[data]]/(_xlfn.STDEV.P(Tab.11[data])*$B$987)-$A$987)</f>
        <v>0</v>
      </c>
      <c r="N100" s="69" t="b">
        <f>IF(Tab.11[[#This Row],[a1]]=1,Tab.11[[#This Row],[data]]/(_xlfn.STDEV.P(Tab.11[data])*$B$988)+$A$988)</f>
        <v>0</v>
      </c>
      <c r="O100" s="70" t="b">
        <f>IF(Tab.11[[#This Row],[a1]]=1,_xlfn.NORM.DIST(Tab.11[[#This Row],[b8]],$P$1,$Q$1,FALSE))</f>
        <v>0</v>
      </c>
      <c r="P100" s="70" t="b">
        <f>IF(Tab.11[[#This Row],[a1]]=1,_xlfn.NORM.DIST(Tab.11[[#This Row],[b9]],$P$1,$Q$1,FALSE))</f>
        <v>0</v>
      </c>
      <c r="Q100" s="70" t="b">
        <f>IF(Tab.11[[#This Row],[a1]]=1,_xlfn.NORM.DIST(Tab.11[[#This Row],[b10]],$P$1,$Q$1,FALSE))</f>
        <v>0</v>
      </c>
      <c r="R100" s="67" t="b">
        <f>IF(Tab.11[[#This Row],[a1]]=1,$I$3+$A$989+IF($K$3=0,Tab.11[[#This Row],[b8]]*_xlfn.STDEV.P(Tab.11[data]),AVERAGE(Tab.11[b6])+Tab.11[[#This Row],[b8]]*_xlfn.STDEV.P(Tab.11[data])))</f>
        <v>0</v>
      </c>
      <c r="S100" s="71" t="b">
        <f>IF(Tab.11[[#This Row],[a1]]=1,$I$3+$A$987+IF($K$3=0,Tab.11[[#This Row],[b9]]*_xlfn.STDEV.P(Tab.11[data]),AVERAGE(Tab.11[b6])+Tab.11[[#This Row],[b9]]*_xlfn.STDEV.P(Tab.11[data])))</f>
        <v>0</v>
      </c>
      <c r="T100" s="71" t="b">
        <f>IF(Tab.11[[#This Row],[a1]]=1,$I$3+$A$988+IF($K$3=0,Tab.11[[#This Row],[b10]]*_xlfn.STDEV.P(Tab.11[data]),AVERAGE(Tab.11[b6])+Tab.11[[#This Row],[b10]]*_xlfn.STDEV.P(Tab.11[data])))</f>
        <v>0</v>
      </c>
      <c r="U100" s="72" t="b">
        <f>IF(Tab.11[[#This Row],[a1]]=1,Tab.11[[#This Row],[target]]-Tab.11[[#This Row],[Red]])</f>
        <v>0</v>
      </c>
      <c r="V100" s="72" t="b">
        <f>IF(Tab.11[[#This Row],[a1]]=1,Tab.11[[#This Row],[target]]-Tab.11[[#This Row],[Blue]])</f>
        <v>0</v>
      </c>
      <c r="W100" s="73" t="b">
        <f>IF(Tab.11[[#This Row],[a1]]=1,IF(ABS(Tab.11[[#This Row],[b17]])+ABS(Tab.11[[#This Row],[b18]])&lt;$W$2,$W$2,ABS(Tab.11[[#This Row],[b17]])+ABS(Tab.11[[#This Row],[b18]])))</f>
        <v>0</v>
      </c>
      <c r="X100" s="136" t="b">
        <f>IF(Tab.11[[#This Row],[a1]]=1,IF($W$3&lt;0,Tab.11[[#This Row],[IN]]-$I$3,Tab.11[[#This Row],[IN]]))</f>
        <v>0</v>
      </c>
      <c r="Y100" s="136" t="b">
        <f>IF(Tab.11[[#This Row],[a1]]=1,IF($X$3=0,Tab.11[b66],Tab.11[[#This Row],[b66]]-AVERAGE(Tab.11[b66])))</f>
        <v>0</v>
      </c>
      <c r="Z100" s="135" t="b">
        <f>IF(Tab.11[[#This Row],[a1]]=1,Tab.11[[#This Row],[b77]]/(_xlfn.STDEV.P(Tab.11[b77])))</f>
        <v>0</v>
      </c>
      <c r="AA100" s="70" t="b">
        <f>IF(Tab.11[[#This Row],[a1]]=1,_xlfn.NORM.DIST(Tab.11[[#This Row],[b88]],$Z$1,$AA$1,FALSE))</f>
        <v>0</v>
      </c>
      <c r="AB100" s="74" t="b">
        <f>IF(Tab.11[[#This Row],[a1]]=1,IF($A$3=0,FALSE,1/Tab.11[[#This Row],[IN]]*$AC$2*IF(Tab.11[[#This Row],[a1]]=0,,$A$3*$AC$1*1/$V$3*(Tab.11[[#This Row],[b14]]))))</f>
        <v>0</v>
      </c>
      <c r="AC100" s="75" t="b">
        <f>IF(Tab.11[[#This Row],[a1]]=1,IF($AC$3=0,Tab.11[[#This Row],[φ1]],Tab.11[[#This Row],[φ1]]/MAX(Tab.11[φ1])))</f>
        <v>0</v>
      </c>
      <c r="AD100" s="74" t="b">
        <f>IF(Tab.11[[#This Row],[a1]]=1,1/Tab.11[[#This Row],[φ2]])</f>
        <v>0</v>
      </c>
      <c r="AE100" s="74" t="b">
        <f>IF(Tab.11[[#This Row],[a1]]=1,IF($AE$3=0,Tab.11[[#This Row],[w.0]],Tab.11[[#This Row],[w.0]]/SUM(Tab.11[w.0])))</f>
        <v>0</v>
      </c>
      <c r="AF100" s="76" t="str">
        <f>IF(Tab.11[[#This Row],[a1]]=0,"false",[3]!Tab.x5[[#This Row],[%_seN_C]])</f>
        <v>false</v>
      </c>
      <c r="AG100" s="77" t="b">
        <f>IF(Tab.11[[#This Row],[a1]]=1,AP100)</f>
        <v>0</v>
      </c>
      <c r="AH100" s="78" t="b">
        <f>IF(Tab.11[[#This Row],[a1]]=1,AQ100)</f>
        <v>0</v>
      </c>
      <c r="AI100" s="41">
        <v>3.0000000000000001E-3</v>
      </c>
      <c r="AJ100" s="79">
        <v>7.0000000000000007E-2</v>
      </c>
      <c r="AK100" s="80" t="b">
        <f>IF(Tab.11[[#This Row],[a1]]=1,1)</f>
        <v>0</v>
      </c>
      <c r="AZ100"/>
    </row>
    <row r="101" spans="1:52" ht="14.25" hidden="1" customHeight="1" x14ac:dyDescent="0.25">
      <c r="A101" s="61">
        <f t="shared" si="5"/>
        <v>0</v>
      </c>
      <c r="B101" s="62">
        <f t="shared" si="5"/>
        <v>0</v>
      </c>
      <c r="C101" s="62" t="b">
        <f>IF(Tab.11[[#This Row],[a1]]=1,[3]!Tab_x1[[#This Row],[Name]])</f>
        <v>0</v>
      </c>
      <c r="D101" s="63" t="b">
        <f>IF(Tab.11[[#This Row],[a1]]=1,AO101)</f>
        <v>0</v>
      </c>
      <c r="E101" s="63">
        <f t="shared" si="4"/>
        <v>0</v>
      </c>
      <c r="F101" s="64" t="b">
        <f>IF(Tab.11[[#This Row],[a1]]=1,Tab.11[[#This Row],[b1]])</f>
        <v>0</v>
      </c>
      <c r="G101" s="65" t="b">
        <f>IF(Tab.11[[#This Row],[a1]]=1,IF(Tab.11[[#This Row],[b3]]&gt;$L$989*$G$3,$L$989*$G$3,IF(Tab.11[[#This Row],[b3]]&lt;$M$989*$G$3,$M$989*$G$3,Tab.11[[#This Row],[b3]])))</f>
        <v>0</v>
      </c>
      <c r="H101" s="66" t="b">
        <f>IF(Tab.11[[#This Row],[a1]]=1,Tab.11[[#This Row],[b1]])</f>
        <v>0</v>
      </c>
      <c r="I101" s="67" t="b">
        <f>IF(Tab.11[[#This Row],[a1]]=1,Tab.11[[#This Row],[b1]])</f>
        <v>0</v>
      </c>
      <c r="J101" s="68" t="b">
        <f>IF(Tab.11[[#This Row],[a1]]=1,IF($I$3&lt;0,Tab.11[[#This Row],[b5]]-$I$3,Tab.11[[#This Row],[b5]]))</f>
        <v>0</v>
      </c>
      <c r="K101" s="68" t="b">
        <f>IF(Tab.11[[#This Row],[a1]]=1,IF($K$3=0,Tab.11[b6],Tab.11[[#This Row],[b6]]-AVERAGE(Tab.11[b6])))</f>
        <v>0</v>
      </c>
      <c r="L101" s="69" t="b">
        <f>IF(Tab.11[[#This Row],[a1]]=1,Tab.11[[#This Row],[data]]/(_xlfn.STDEV.P(Tab.11[data])*$B$989)+$A$989)</f>
        <v>0</v>
      </c>
      <c r="M101" s="69" t="b">
        <f>IF(Tab.11[[#This Row],[a1]]=1,Tab.11[[#This Row],[data]]/(_xlfn.STDEV.P(Tab.11[data])*$B$987)-$A$987)</f>
        <v>0</v>
      </c>
      <c r="N101" s="69" t="b">
        <f>IF(Tab.11[[#This Row],[a1]]=1,Tab.11[[#This Row],[data]]/(_xlfn.STDEV.P(Tab.11[data])*$B$988)+$A$988)</f>
        <v>0</v>
      </c>
      <c r="O101" s="70" t="b">
        <f>IF(Tab.11[[#This Row],[a1]]=1,_xlfn.NORM.DIST(Tab.11[[#This Row],[b8]],$P$1,$Q$1,FALSE))</f>
        <v>0</v>
      </c>
      <c r="P101" s="70" t="b">
        <f>IF(Tab.11[[#This Row],[a1]]=1,_xlfn.NORM.DIST(Tab.11[[#This Row],[b9]],$P$1,$Q$1,FALSE))</f>
        <v>0</v>
      </c>
      <c r="Q101" s="70" t="b">
        <f>IF(Tab.11[[#This Row],[a1]]=1,_xlfn.NORM.DIST(Tab.11[[#This Row],[b10]],$P$1,$Q$1,FALSE))</f>
        <v>0</v>
      </c>
      <c r="R101" s="67" t="b">
        <f>IF(Tab.11[[#This Row],[a1]]=1,$I$3+$A$989+IF($K$3=0,Tab.11[[#This Row],[b8]]*_xlfn.STDEV.P(Tab.11[data]),AVERAGE(Tab.11[b6])+Tab.11[[#This Row],[b8]]*_xlfn.STDEV.P(Tab.11[data])))</f>
        <v>0</v>
      </c>
      <c r="S101" s="71" t="b">
        <f>IF(Tab.11[[#This Row],[a1]]=1,$I$3+$A$987+IF($K$3=0,Tab.11[[#This Row],[b9]]*_xlfn.STDEV.P(Tab.11[data]),AVERAGE(Tab.11[b6])+Tab.11[[#This Row],[b9]]*_xlfn.STDEV.P(Tab.11[data])))</f>
        <v>0</v>
      </c>
      <c r="T101" s="71" t="b">
        <f>IF(Tab.11[[#This Row],[a1]]=1,$I$3+$A$988+IF($K$3=0,Tab.11[[#This Row],[b10]]*_xlfn.STDEV.P(Tab.11[data]),AVERAGE(Tab.11[b6])+Tab.11[[#This Row],[b10]]*_xlfn.STDEV.P(Tab.11[data])))</f>
        <v>0</v>
      </c>
      <c r="U101" s="72" t="b">
        <f>IF(Tab.11[[#This Row],[a1]]=1,Tab.11[[#This Row],[target]]-Tab.11[[#This Row],[Red]])</f>
        <v>0</v>
      </c>
      <c r="V101" s="72" t="b">
        <f>IF(Tab.11[[#This Row],[a1]]=1,Tab.11[[#This Row],[target]]-Tab.11[[#This Row],[Blue]])</f>
        <v>0</v>
      </c>
      <c r="W101" s="73" t="b">
        <f>IF(Tab.11[[#This Row],[a1]]=1,IF(ABS(Tab.11[[#This Row],[b17]])+ABS(Tab.11[[#This Row],[b18]])&lt;$W$2,$W$2,ABS(Tab.11[[#This Row],[b17]])+ABS(Tab.11[[#This Row],[b18]])))</f>
        <v>0</v>
      </c>
      <c r="X101" s="136" t="b">
        <f>IF(Tab.11[[#This Row],[a1]]=1,IF($W$3&lt;0,Tab.11[[#This Row],[IN]]-$I$3,Tab.11[[#This Row],[IN]]))</f>
        <v>0</v>
      </c>
      <c r="Y101" s="136" t="b">
        <f>IF(Tab.11[[#This Row],[a1]]=1,IF($X$3=0,Tab.11[b66],Tab.11[[#This Row],[b66]]-AVERAGE(Tab.11[b66])))</f>
        <v>0</v>
      </c>
      <c r="Z101" s="135" t="b">
        <f>IF(Tab.11[[#This Row],[a1]]=1,Tab.11[[#This Row],[b77]]/(_xlfn.STDEV.P(Tab.11[b77])))</f>
        <v>0</v>
      </c>
      <c r="AA101" s="70" t="b">
        <f>IF(Tab.11[[#This Row],[a1]]=1,_xlfn.NORM.DIST(Tab.11[[#This Row],[b88]],$Z$1,$AA$1,FALSE))</f>
        <v>0</v>
      </c>
      <c r="AB101" s="74" t="b">
        <f>IF(Tab.11[[#This Row],[a1]]=1,IF($A$3=0,FALSE,1/Tab.11[[#This Row],[IN]]*$AC$2*IF(Tab.11[[#This Row],[a1]]=0,,$A$3*$AC$1*1/$V$3*(Tab.11[[#This Row],[b14]]))))</f>
        <v>0</v>
      </c>
      <c r="AC101" s="75" t="b">
        <f>IF(Tab.11[[#This Row],[a1]]=1,IF($AC$3=0,Tab.11[[#This Row],[φ1]],Tab.11[[#This Row],[φ1]]/MAX(Tab.11[φ1])))</f>
        <v>0</v>
      </c>
      <c r="AD101" s="74" t="b">
        <f>IF(Tab.11[[#This Row],[a1]]=1,1/Tab.11[[#This Row],[φ2]])</f>
        <v>0</v>
      </c>
      <c r="AE101" s="74" t="b">
        <f>IF(Tab.11[[#This Row],[a1]]=1,IF($AE$3=0,Tab.11[[#This Row],[w.0]],Tab.11[[#This Row],[w.0]]/SUM(Tab.11[w.0])))</f>
        <v>0</v>
      </c>
      <c r="AF101" s="76" t="str">
        <f>IF(Tab.11[[#This Row],[a1]]=0,"false",[3]!Tab.x5[[#This Row],[%_seN_C]])</f>
        <v>false</v>
      </c>
      <c r="AG101" s="77" t="b">
        <f>IF(Tab.11[[#This Row],[a1]]=1,AP101)</f>
        <v>0</v>
      </c>
      <c r="AH101" s="78" t="b">
        <f>IF(Tab.11[[#This Row],[a1]]=1,AQ101)</f>
        <v>0</v>
      </c>
      <c r="AI101" s="41">
        <v>3.0000000000000001E-3</v>
      </c>
      <c r="AJ101" s="79">
        <v>0.03</v>
      </c>
      <c r="AK101" s="80" t="b">
        <f>IF(Tab.11[[#This Row],[a1]]=1,1)</f>
        <v>0</v>
      </c>
      <c r="AZ101"/>
    </row>
    <row r="102" spans="1:52" ht="14.25" hidden="1" customHeight="1" x14ac:dyDescent="0.25">
      <c r="A102" s="61">
        <f t="shared" si="5"/>
        <v>0</v>
      </c>
      <c r="B102" s="62">
        <f t="shared" si="5"/>
        <v>0</v>
      </c>
      <c r="C102" s="62" t="b">
        <f>IF(Tab.11[[#This Row],[a1]]=1,[3]!Tab_x1[[#This Row],[Name]])</f>
        <v>0</v>
      </c>
      <c r="D102" s="63" t="b">
        <f>IF(Tab.11[[#This Row],[a1]]=1,AO102)</f>
        <v>0</v>
      </c>
      <c r="E102" s="63">
        <f t="shared" si="4"/>
        <v>0</v>
      </c>
      <c r="F102" s="64" t="b">
        <f>IF(Tab.11[[#This Row],[a1]]=1,Tab.11[[#This Row],[b1]])</f>
        <v>0</v>
      </c>
      <c r="G102" s="65" t="b">
        <f>IF(Tab.11[[#This Row],[a1]]=1,IF(Tab.11[[#This Row],[b3]]&gt;$L$989*$G$3,$L$989*$G$3,IF(Tab.11[[#This Row],[b3]]&lt;$M$989*$G$3,$M$989*$G$3,Tab.11[[#This Row],[b3]])))</f>
        <v>0</v>
      </c>
      <c r="H102" s="66" t="b">
        <f>IF(Tab.11[[#This Row],[a1]]=1,Tab.11[[#This Row],[b1]])</f>
        <v>0</v>
      </c>
      <c r="I102" s="67" t="b">
        <f>IF(Tab.11[[#This Row],[a1]]=1,Tab.11[[#This Row],[b1]])</f>
        <v>0</v>
      </c>
      <c r="J102" s="68" t="b">
        <f>IF(Tab.11[[#This Row],[a1]]=1,IF($I$3&lt;0,Tab.11[[#This Row],[b5]]-$I$3,Tab.11[[#This Row],[b5]]))</f>
        <v>0</v>
      </c>
      <c r="K102" s="68" t="b">
        <f>IF(Tab.11[[#This Row],[a1]]=1,IF($K$3=0,Tab.11[b6],Tab.11[[#This Row],[b6]]-AVERAGE(Tab.11[b6])))</f>
        <v>0</v>
      </c>
      <c r="L102" s="69" t="b">
        <f>IF(Tab.11[[#This Row],[a1]]=1,Tab.11[[#This Row],[data]]/(_xlfn.STDEV.P(Tab.11[data])*$B$989)+$A$989)</f>
        <v>0</v>
      </c>
      <c r="M102" s="69" t="b">
        <f>IF(Tab.11[[#This Row],[a1]]=1,Tab.11[[#This Row],[data]]/(_xlfn.STDEV.P(Tab.11[data])*$B$987)-$A$987)</f>
        <v>0</v>
      </c>
      <c r="N102" s="69" t="b">
        <f>IF(Tab.11[[#This Row],[a1]]=1,Tab.11[[#This Row],[data]]/(_xlfn.STDEV.P(Tab.11[data])*$B$988)+$A$988)</f>
        <v>0</v>
      </c>
      <c r="O102" s="70" t="b">
        <f>IF(Tab.11[[#This Row],[a1]]=1,_xlfn.NORM.DIST(Tab.11[[#This Row],[b8]],$P$1,$Q$1,FALSE))</f>
        <v>0</v>
      </c>
      <c r="P102" s="70" t="b">
        <f>IF(Tab.11[[#This Row],[a1]]=1,_xlfn.NORM.DIST(Tab.11[[#This Row],[b9]],$P$1,$Q$1,FALSE))</f>
        <v>0</v>
      </c>
      <c r="Q102" s="70" t="b">
        <f>IF(Tab.11[[#This Row],[a1]]=1,_xlfn.NORM.DIST(Tab.11[[#This Row],[b10]],$P$1,$Q$1,FALSE))</f>
        <v>0</v>
      </c>
      <c r="R102" s="67" t="b">
        <f>IF(Tab.11[[#This Row],[a1]]=1,$I$3+$A$989+IF($K$3=0,Tab.11[[#This Row],[b8]]*_xlfn.STDEV.P(Tab.11[data]),AVERAGE(Tab.11[b6])+Tab.11[[#This Row],[b8]]*_xlfn.STDEV.P(Tab.11[data])))</f>
        <v>0</v>
      </c>
      <c r="S102" s="71" t="b">
        <f>IF(Tab.11[[#This Row],[a1]]=1,$I$3+$A$987+IF($K$3=0,Tab.11[[#This Row],[b9]]*_xlfn.STDEV.P(Tab.11[data]),AVERAGE(Tab.11[b6])+Tab.11[[#This Row],[b9]]*_xlfn.STDEV.P(Tab.11[data])))</f>
        <v>0</v>
      </c>
      <c r="T102" s="71" t="b">
        <f>IF(Tab.11[[#This Row],[a1]]=1,$I$3+$A$988+IF($K$3=0,Tab.11[[#This Row],[b10]]*_xlfn.STDEV.P(Tab.11[data]),AVERAGE(Tab.11[b6])+Tab.11[[#This Row],[b10]]*_xlfn.STDEV.P(Tab.11[data])))</f>
        <v>0</v>
      </c>
      <c r="U102" s="72" t="b">
        <f>IF(Tab.11[[#This Row],[a1]]=1,Tab.11[[#This Row],[target]]-Tab.11[[#This Row],[Red]])</f>
        <v>0</v>
      </c>
      <c r="V102" s="72" t="b">
        <f>IF(Tab.11[[#This Row],[a1]]=1,Tab.11[[#This Row],[target]]-Tab.11[[#This Row],[Blue]])</f>
        <v>0</v>
      </c>
      <c r="W102" s="73" t="b">
        <f>IF(Tab.11[[#This Row],[a1]]=1,IF(ABS(Tab.11[[#This Row],[b17]])+ABS(Tab.11[[#This Row],[b18]])&lt;$W$2,$W$2,ABS(Tab.11[[#This Row],[b17]])+ABS(Tab.11[[#This Row],[b18]])))</f>
        <v>0</v>
      </c>
      <c r="X102" s="136" t="b">
        <f>IF(Tab.11[[#This Row],[a1]]=1,IF($W$3&lt;0,Tab.11[[#This Row],[IN]]-$I$3,Tab.11[[#This Row],[IN]]))</f>
        <v>0</v>
      </c>
      <c r="Y102" s="136" t="b">
        <f>IF(Tab.11[[#This Row],[a1]]=1,IF($X$3=0,Tab.11[b66],Tab.11[[#This Row],[b66]]-AVERAGE(Tab.11[b66])))</f>
        <v>0</v>
      </c>
      <c r="Z102" s="135" t="b">
        <f>IF(Tab.11[[#This Row],[a1]]=1,Tab.11[[#This Row],[b77]]/(_xlfn.STDEV.P(Tab.11[b77])))</f>
        <v>0</v>
      </c>
      <c r="AA102" s="70" t="b">
        <f>IF(Tab.11[[#This Row],[a1]]=1,_xlfn.NORM.DIST(Tab.11[[#This Row],[b88]],$Z$1,$AA$1,FALSE))</f>
        <v>0</v>
      </c>
      <c r="AB102" s="74" t="b">
        <f>IF(Tab.11[[#This Row],[a1]]=1,IF($A$3=0,FALSE,1/Tab.11[[#This Row],[IN]]*$AC$2*IF(Tab.11[[#This Row],[a1]]=0,,$A$3*$AC$1*1/$V$3*(Tab.11[[#This Row],[b14]]))))</f>
        <v>0</v>
      </c>
      <c r="AC102" s="75" t="b">
        <f>IF(Tab.11[[#This Row],[a1]]=1,IF($AC$3=0,Tab.11[[#This Row],[φ1]],Tab.11[[#This Row],[φ1]]/MAX(Tab.11[φ1])))</f>
        <v>0</v>
      </c>
      <c r="AD102" s="74" t="b">
        <f>IF(Tab.11[[#This Row],[a1]]=1,1/Tab.11[[#This Row],[φ2]])</f>
        <v>0</v>
      </c>
      <c r="AE102" s="74" t="b">
        <f>IF(Tab.11[[#This Row],[a1]]=1,IF($AE$3=0,Tab.11[[#This Row],[w.0]],Tab.11[[#This Row],[w.0]]/SUM(Tab.11[w.0])))</f>
        <v>0</v>
      </c>
      <c r="AF102" s="76" t="str">
        <f>IF(Tab.11[[#This Row],[a1]]=0,"false",[3]!Tab.x5[[#This Row],[%_seN_C]])</f>
        <v>false</v>
      </c>
      <c r="AG102" s="77" t="b">
        <f>IF(Tab.11[[#This Row],[a1]]=1,AP102)</f>
        <v>0</v>
      </c>
      <c r="AH102" s="78" t="b">
        <f>IF(Tab.11[[#This Row],[a1]]=1,AQ102)</f>
        <v>0</v>
      </c>
      <c r="AI102" s="41">
        <v>3.0000000000000001E-3</v>
      </c>
      <c r="AJ102" s="79">
        <v>-0.05</v>
      </c>
      <c r="AK102" s="80" t="b">
        <f>IF(Tab.11[[#This Row],[a1]]=1,1)</f>
        <v>0</v>
      </c>
      <c r="AZ102"/>
    </row>
    <row r="103" spans="1:52" ht="14.25" hidden="1" customHeight="1" x14ac:dyDescent="0.25">
      <c r="A103" s="61">
        <f t="shared" si="5"/>
        <v>0</v>
      </c>
      <c r="B103" s="62">
        <f t="shared" si="5"/>
        <v>0</v>
      </c>
      <c r="C103" s="62" t="b">
        <f>IF(Tab.11[[#This Row],[a1]]=1,[3]!Tab_x1[[#This Row],[Name]])</f>
        <v>0</v>
      </c>
      <c r="D103" s="63" t="b">
        <f>IF(Tab.11[[#This Row],[a1]]=1,AO103)</f>
        <v>0</v>
      </c>
      <c r="E103" s="63">
        <f t="shared" si="4"/>
        <v>0</v>
      </c>
      <c r="F103" s="64" t="b">
        <f>IF(Tab.11[[#This Row],[a1]]=1,Tab.11[[#This Row],[b1]])</f>
        <v>0</v>
      </c>
      <c r="G103" s="65" t="b">
        <f>IF(Tab.11[[#This Row],[a1]]=1,IF(Tab.11[[#This Row],[b3]]&gt;$L$989*$G$3,$L$989*$G$3,IF(Tab.11[[#This Row],[b3]]&lt;$M$989*$G$3,$M$989*$G$3,Tab.11[[#This Row],[b3]])))</f>
        <v>0</v>
      </c>
      <c r="H103" s="66" t="b">
        <f>IF(Tab.11[[#This Row],[a1]]=1,Tab.11[[#This Row],[b1]])</f>
        <v>0</v>
      </c>
      <c r="I103" s="67" t="b">
        <f>IF(Tab.11[[#This Row],[a1]]=1,Tab.11[[#This Row],[b1]])</f>
        <v>0</v>
      </c>
      <c r="J103" s="68" t="b">
        <f>IF(Tab.11[[#This Row],[a1]]=1,IF($I$3&lt;0,Tab.11[[#This Row],[b5]]-$I$3,Tab.11[[#This Row],[b5]]))</f>
        <v>0</v>
      </c>
      <c r="K103" s="68" t="b">
        <f>IF(Tab.11[[#This Row],[a1]]=1,IF($K$3=0,Tab.11[b6],Tab.11[[#This Row],[b6]]-AVERAGE(Tab.11[b6])))</f>
        <v>0</v>
      </c>
      <c r="L103" s="69" t="b">
        <f>IF(Tab.11[[#This Row],[a1]]=1,Tab.11[[#This Row],[data]]/(_xlfn.STDEV.P(Tab.11[data])*$B$989)+$A$989)</f>
        <v>0</v>
      </c>
      <c r="M103" s="69" t="b">
        <f>IF(Tab.11[[#This Row],[a1]]=1,Tab.11[[#This Row],[data]]/(_xlfn.STDEV.P(Tab.11[data])*$B$987)-$A$987)</f>
        <v>0</v>
      </c>
      <c r="N103" s="69" t="b">
        <f>IF(Tab.11[[#This Row],[a1]]=1,Tab.11[[#This Row],[data]]/(_xlfn.STDEV.P(Tab.11[data])*$B$988)+$A$988)</f>
        <v>0</v>
      </c>
      <c r="O103" s="70" t="b">
        <f>IF(Tab.11[[#This Row],[a1]]=1,_xlfn.NORM.DIST(Tab.11[[#This Row],[b8]],$P$1,$Q$1,FALSE))</f>
        <v>0</v>
      </c>
      <c r="P103" s="70" t="b">
        <f>IF(Tab.11[[#This Row],[a1]]=1,_xlfn.NORM.DIST(Tab.11[[#This Row],[b9]],$P$1,$Q$1,FALSE))</f>
        <v>0</v>
      </c>
      <c r="Q103" s="70" t="b">
        <f>IF(Tab.11[[#This Row],[a1]]=1,_xlfn.NORM.DIST(Tab.11[[#This Row],[b10]],$P$1,$Q$1,FALSE))</f>
        <v>0</v>
      </c>
      <c r="R103" s="67" t="b">
        <f>IF(Tab.11[[#This Row],[a1]]=1,$I$3+$A$989+IF($K$3=0,Tab.11[[#This Row],[b8]]*_xlfn.STDEV.P(Tab.11[data]),AVERAGE(Tab.11[b6])+Tab.11[[#This Row],[b8]]*_xlfn.STDEV.P(Tab.11[data])))</f>
        <v>0</v>
      </c>
      <c r="S103" s="71" t="b">
        <f>IF(Tab.11[[#This Row],[a1]]=1,$I$3+$A$987+IF($K$3=0,Tab.11[[#This Row],[b9]]*_xlfn.STDEV.P(Tab.11[data]),AVERAGE(Tab.11[b6])+Tab.11[[#This Row],[b9]]*_xlfn.STDEV.P(Tab.11[data])))</f>
        <v>0</v>
      </c>
      <c r="T103" s="71" t="b">
        <f>IF(Tab.11[[#This Row],[a1]]=1,$I$3+$A$988+IF($K$3=0,Tab.11[[#This Row],[b10]]*_xlfn.STDEV.P(Tab.11[data]),AVERAGE(Tab.11[b6])+Tab.11[[#This Row],[b10]]*_xlfn.STDEV.P(Tab.11[data])))</f>
        <v>0</v>
      </c>
      <c r="U103" s="72" t="b">
        <f>IF(Tab.11[[#This Row],[a1]]=1,Tab.11[[#This Row],[target]]-Tab.11[[#This Row],[Red]])</f>
        <v>0</v>
      </c>
      <c r="V103" s="72" t="b">
        <f>IF(Tab.11[[#This Row],[a1]]=1,Tab.11[[#This Row],[target]]-Tab.11[[#This Row],[Blue]])</f>
        <v>0</v>
      </c>
      <c r="W103" s="73" t="b">
        <f>IF(Tab.11[[#This Row],[a1]]=1,IF(ABS(Tab.11[[#This Row],[b17]])+ABS(Tab.11[[#This Row],[b18]])&lt;$W$2,$W$2,ABS(Tab.11[[#This Row],[b17]])+ABS(Tab.11[[#This Row],[b18]])))</f>
        <v>0</v>
      </c>
      <c r="X103" s="136" t="b">
        <f>IF(Tab.11[[#This Row],[a1]]=1,IF($W$3&lt;0,Tab.11[[#This Row],[IN]]-$I$3,Tab.11[[#This Row],[IN]]))</f>
        <v>0</v>
      </c>
      <c r="Y103" s="136" t="b">
        <f>IF(Tab.11[[#This Row],[a1]]=1,IF($X$3=0,Tab.11[b66],Tab.11[[#This Row],[b66]]-AVERAGE(Tab.11[b66])))</f>
        <v>0</v>
      </c>
      <c r="Z103" s="135" t="b">
        <f>IF(Tab.11[[#This Row],[a1]]=1,Tab.11[[#This Row],[b77]]/(_xlfn.STDEV.P(Tab.11[b77])))</f>
        <v>0</v>
      </c>
      <c r="AA103" s="70" t="b">
        <f>IF(Tab.11[[#This Row],[a1]]=1,_xlfn.NORM.DIST(Tab.11[[#This Row],[b88]],$Z$1,$AA$1,FALSE))</f>
        <v>0</v>
      </c>
      <c r="AB103" s="74" t="b">
        <f>IF(Tab.11[[#This Row],[a1]]=1,IF($A$3=0,FALSE,1/Tab.11[[#This Row],[IN]]*$AC$2*IF(Tab.11[[#This Row],[a1]]=0,,$A$3*$AC$1*1/$V$3*(Tab.11[[#This Row],[b14]]))))</f>
        <v>0</v>
      </c>
      <c r="AC103" s="75" t="b">
        <f>IF(Tab.11[[#This Row],[a1]]=1,IF($AC$3=0,Tab.11[[#This Row],[φ1]],Tab.11[[#This Row],[φ1]]/MAX(Tab.11[φ1])))</f>
        <v>0</v>
      </c>
      <c r="AD103" s="74" t="b">
        <f>IF(Tab.11[[#This Row],[a1]]=1,1/Tab.11[[#This Row],[φ2]])</f>
        <v>0</v>
      </c>
      <c r="AE103" s="74" t="b">
        <f>IF(Tab.11[[#This Row],[a1]]=1,IF($AE$3=0,Tab.11[[#This Row],[w.0]],Tab.11[[#This Row],[w.0]]/SUM(Tab.11[w.0])))</f>
        <v>0</v>
      </c>
      <c r="AF103" s="76" t="str">
        <f>IF(Tab.11[[#This Row],[a1]]=0,"false",[3]!Tab.x5[[#This Row],[%_seN_C]])</f>
        <v>false</v>
      </c>
      <c r="AG103" s="77" t="b">
        <f>IF(Tab.11[[#This Row],[a1]]=1,AP103)</f>
        <v>0</v>
      </c>
      <c r="AH103" s="78" t="b">
        <f>IF(Tab.11[[#This Row],[a1]]=1,AQ103)</f>
        <v>0</v>
      </c>
      <c r="AI103" s="41">
        <v>3.0000000000000001E-3</v>
      </c>
      <c r="AJ103" s="79">
        <v>0.01</v>
      </c>
      <c r="AK103" s="80" t="b">
        <f>IF(Tab.11[[#This Row],[a1]]=1,1)</f>
        <v>0</v>
      </c>
      <c r="AZ103"/>
    </row>
    <row r="104" spans="1:52" ht="14.25" hidden="1" customHeight="1" x14ac:dyDescent="0.25">
      <c r="A104" s="61">
        <f t="shared" si="5"/>
        <v>0</v>
      </c>
      <c r="B104" s="62">
        <f t="shared" si="5"/>
        <v>0</v>
      </c>
      <c r="C104" s="62" t="b">
        <f>IF(Tab.11[[#This Row],[a1]]=1,[3]!Tab_x1[[#This Row],[Name]])</f>
        <v>0</v>
      </c>
      <c r="D104" s="63" t="b">
        <f>IF(Tab.11[[#This Row],[a1]]=1,AO104)</f>
        <v>0</v>
      </c>
      <c r="E104" s="63">
        <f t="shared" si="4"/>
        <v>0</v>
      </c>
      <c r="F104" s="64" t="b">
        <f>IF(Tab.11[[#This Row],[a1]]=1,Tab.11[[#This Row],[b1]])</f>
        <v>0</v>
      </c>
      <c r="G104" s="65" t="b">
        <f>IF(Tab.11[[#This Row],[a1]]=1,IF(Tab.11[[#This Row],[b3]]&gt;$L$989*$G$3,$L$989*$G$3,IF(Tab.11[[#This Row],[b3]]&lt;$M$989*$G$3,$M$989*$G$3,Tab.11[[#This Row],[b3]])))</f>
        <v>0</v>
      </c>
      <c r="H104" s="66" t="b">
        <f>IF(Tab.11[[#This Row],[a1]]=1,Tab.11[[#This Row],[b1]])</f>
        <v>0</v>
      </c>
      <c r="I104" s="67" t="b">
        <f>IF(Tab.11[[#This Row],[a1]]=1,Tab.11[[#This Row],[b1]])</f>
        <v>0</v>
      </c>
      <c r="J104" s="68" t="b">
        <f>IF(Tab.11[[#This Row],[a1]]=1,IF($I$3&lt;0,Tab.11[[#This Row],[b5]]-$I$3,Tab.11[[#This Row],[b5]]))</f>
        <v>0</v>
      </c>
      <c r="K104" s="68" t="b">
        <f>IF(Tab.11[[#This Row],[a1]]=1,IF($K$3=0,Tab.11[b6],Tab.11[[#This Row],[b6]]-AVERAGE(Tab.11[b6])))</f>
        <v>0</v>
      </c>
      <c r="L104" s="69" t="b">
        <f>IF(Tab.11[[#This Row],[a1]]=1,Tab.11[[#This Row],[data]]/(_xlfn.STDEV.P(Tab.11[data])*$B$989)+$A$989)</f>
        <v>0</v>
      </c>
      <c r="M104" s="69" t="b">
        <f>IF(Tab.11[[#This Row],[a1]]=1,Tab.11[[#This Row],[data]]/(_xlfn.STDEV.P(Tab.11[data])*$B$987)-$A$987)</f>
        <v>0</v>
      </c>
      <c r="N104" s="69" t="b">
        <f>IF(Tab.11[[#This Row],[a1]]=1,Tab.11[[#This Row],[data]]/(_xlfn.STDEV.P(Tab.11[data])*$B$988)+$A$988)</f>
        <v>0</v>
      </c>
      <c r="O104" s="70" t="b">
        <f>IF(Tab.11[[#This Row],[a1]]=1,_xlfn.NORM.DIST(Tab.11[[#This Row],[b8]],$P$1,$Q$1,FALSE))</f>
        <v>0</v>
      </c>
      <c r="P104" s="70" t="b">
        <f>IF(Tab.11[[#This Row],[a1]]=1,_xlfn.NORM.DIST(Tab.11[[#This Row],[b9]],$P$1,$Q$1,FALSE))</f>
        <v>0</v>
      </c>
      <c r="Q104" s="70" t="b">
        <f>IF(Tab.11[[#This Row],[a1]]=1,_xlfn.NORM.DIST(Tab.11[[#This Row],[b10]],$P$1,$Q$1,FALSE))</f>
        <v>0</v>
      </c>
      <c r="R104" s="67" t="b">
        <f>IF(Tab.11[[#This Row],[a1]]=1,$I$3+$A$989+IF($K$3=0,Tab.11[[#This Row],[b8]]*_xlfn.STDEV.P(Tab.11[data]),AVERAGE(Tab.11[b6])+Tab.11[[#This Row],[b8]]*_xlfn.STDEV.P(Tab.11[data])))</f>
        <v>0</v>
      </c>
      <c r="S104" s="71" t="b">
        <f>IF(Tab.11[[#This Row],[a1]]=1,$I$3+$A$987+IF($K$3=0,Tab.11[[#This Row],[b9]]*_xlfn.STDEV.P(Tab.11[data]),AVERAGE(Tab.11[b6])+Tab.11[[#This Row],[b9]]*_xlfn.STDEV.P(Tab.11[data])))</f>
        <v>0</v>
      </c>
      <c r="T104" s="71" t="b">
        <f>IF(Tab.11[[#This Row],[a1]]=1,$I$3+$A$988+IF($K$3=0,Tab.11[[#This Row],[b10]]*_xlfn.STDEV.P(Tab.11[data]),AVERAGE(Tab.11[b6])+Tab.11[[#This Row],[b10]]*_xlfn.STDEV.P(Tab.11[data])))</f>
        <v>0</v>
      </c>
      <c r="U104" s="72" t="b">
        <f>IF(Tab.11[[#This Row],[a1]]=1,Tab.11[[#This Row],[target]]-Tab.11[[#This Row],[Red]])</f>
        <v>0</v>
      </c>
      <c r="V104" s="72" t="b">
        <f>IF(Tab.11[[#This Row],[a1]]=1,Tab.11[[#This Row],[target]]-Tab.11[[#This Row],[Blue]])</f>
        <v>0</v>
      </c>
      <c r="W104" s="73" t="b">
        <f>IF(Tab.11[[#This Row],[a1]]=1,IF(ABS(Tab.11[[#This Row],[b17]])+ABS(Tab.11[[#This Row],[b18]])&lt;$W$2,$W$2,ABS(Tab.11[[#This Row],[b17]])+ABS(Tab.11[[#This Row],[b18]])))</f>
        <v>0</v>
      </c>
      <c r="X104" s="136" t="b">
        <f>IF(Tab.11[[#This Row],[a1]]=1,IF($W$3&lt;0,Tab.11[[#This Row],[IN]]-$I$3,Tab.11[[#This Row],[IN]]))</f>
        <v>0</v>
      </c>
      <c r="Y104" s="136" t="b">
        <f>IF(Tab.11[[#This Row],[a1]]=1,IF($X$3=0,Tab.11[b66],Tab.11[[#This Row],[b66]]-AVERAGE(Tab.11[b66])))</f>
        <v>0</v>
      </c>
      <c r="Z104" s="135" t="b">
        <f>IF(Tab.11[[#This Row],[a1]]=1,Tab.11[[#This Row],[b77]]/(_xlfn.STDEV.P(Tab.11[b77])))</f>
        <v>0</v>
      </c>
      <c r="AA104" s="70" t="b">
        <f>IF(Tab.11[[#This Row],[a1]]=1,_xlfn.NORM.DIST(Tab.11[[#This Row],[b88]],$Z$1,$AA$1,FALSE))</f>
        <v>0</v>
      </c>
      <c r="AB104" s="74" t="b">
        <f>IF(Tab.11[[#This Row],[a1]]=1,IF($A$3=0,FALSE,1/Tab.11[[#This Row],[IN]]*$AC$2*IF(Tab.11[[#This Row],[a1]]=0,,$A$3*$AC$1*1/$V$3*(Tab.11[[#This Row],[b14]]))))</f>
        <v>0</v>
      </c>
      <c r="AC104" s="75" t="b">
        <f>IF(Tab.11[[#This Row],[a1]]=1,IF($AC$3=0,Tab.11[[#This Row],[φ1]],Tab.11[[#This Row],[φ1]]/MAX(Tab.11[φ1])))</f>
        <v>0</v>
      </c>
      <c r="AD104" s="74" t="b">
        <f>IF(Tab.11[[#This Row],[a1]]=1,1/Tab.11[[#This Row],[φ2]])</f>
        <v>0</v>
      </c>
      <c r="AE104" s="74" t="b">
        <f>IF(Tab.11[[#This Row],[a1]]=1,IF($AE$3=0,Tab.11[[#This Row],[w.0]],Tab.11[[#This Row],[w.0]]/SUM(Tab.11[w.0])))</f>
        <v>0</v>
      </c>
      <c r="AF104" s="76" t="str">
        <f>IF(Tab.11[[#This Row],[a1]]=0,"false",[3]!Tab.x5[[#This Row],[%_seN_C]])</f>
        <v>false</v>
      </c>
      <c r="AG104" s="77" t="b">
        <f>IF(Tab.11[[#This Row],[a1]]=1,AP104)</f>
        <v>0</v>
      </c>
      <c r="AH104" s="78" t="b">
        <f>IF(Tab.11[[#This Row],[a1]]=1,AQ104)</f>
        <v>0</v>
      </c>
      <c r="AI104" s="41">
        <v>3.0000000000000001E-3</v>
      </c>
      <c r="AJ104" s="79">
        <v>-0.06</v>
      </c>
      <c r="AK104" s="80" t="b">
        <f>IF(Tab.11[[#This Row],[a1]]=1,1)</f>
        <v>0</v>
      </c>
      <c r="AZ104"/>
    </row>
    <row r="105" spans="1:52" ht="14.25" hidden="1" customHeight="1" x14ac:dyDescent="0.25">
      <c r="A105" s="61">
        <f t="shared" si="5"/>
        <v>0</v>
      </c>
      <c r="B105" s="62">
        <f t="shared" si="5"/>
        <v>0</v>
      </c>
      <c r="C105" s="62" t="b">
        <f>IF(Tab.11[[#This Row],[a1]]=1,[3]!Tab_x1[[#This Row],[Name]])</f>
        <v>0</v>
      </c>
      <c r="D105" s="63" t="b">
        <f>IF(Tab.11[[#This Row],[a1]]=1,AO105)</f>
        <v>0</v>
      </c>
      <c r="E105" s="63">
        <f t="shared" si="4"/>
        <v>0</v>
      </c>
      <c r="F105" s="64" t="b">
        <f>IF(Tab.11[[#This Row],[a1]]=1,Tab.11[[#This Row],[b1]])</f>
        <v>0</v>
      </c>
      <c r="G105" s="65" t="b">
        <f>IF(Tab.11[[#This Row],[a1]]=1,IF(Tab.11[[#This Row],[b3]]&gt;$L$989*$G$3,$L$989*$G$3,IF(Tab.11[[#This Row],[b3]]&lt;$M$989*$G$3,$M$989*$G$3,Tab.11[[#This Row],[b3]])))</f>
        <v>0</v>
      </c>
      <c r="H105" s="66" t="b">
        <f>IF(Tab.11[[#This Row],[a1]]=1,Tab.11[[#This Row],[b1]])</f>
        <v>0</v>
      </c>
      <c r="I105" s="67" t="b">
        <f>IF(Tab.11[[#This Row],[a1]]=1,Tab.11[[#This Row],[b1]])</f>
        <v>0</v>
      </c>
      <c r="J105" s="68" t="b">
        <f>IF(Tab.11[[#This Row],[a1]]=1,IF($I$3&lt;0,Tab.11[[#This Row],[b5]]-$I$3,Tab.11[[#This Row],[b5]]))</f>
        <v>0</v>
      </c>
      <c r="K105" s="68" t="b">
        <f>IF(Tab.11[[#This Row],[a1]]=1,IF($K$3=0,Tab.11[b6],Tab.11[[#This Row],[b6]]-AVERAGE(Tab.11[b6])))</f>
        <v>0</v>
      </c>
      <c r="L105" s="69" t="b">
        <f>IF(Tab.11[[#This Row],[a1]]=1,Tab.11[[#This Row],[data]]/(_xlfn.STDEV.P(Tab.11[data])*$B$989)+$A$989)</f>
        <v>0</v>
      </c>
      <c r="M105" s="69" t="b">
        <f>IF(Tab.11[[#This Row],[a1]]=1,Tab.11[[#This Row],[data]]/(_xlfn.STDEV.P(Tab.11[data])*$B$987)-$A$987)</f>
        <v>0</v>
      </c>
      <c r="N105" s="69" t="b">
        <f>IF(Tab.11[[#This Row],[a1]]=1,Tab.11[[#This Row],[data]]/(_xlfn.STDEV.P(Tab.11[data])*$B$988)+$A$988)</f>
        <v>0</v>
      </c>
      <c r="O105" s="70" t="b">
        <f>IF(Tab.11[[#This Row],[a1]]=1,_xlfn.NORM.DIST(Tab.11[[#This Row],[b8]],$P$1,$Q$1,FALSE))</f>
        <v>0</v>
      </c>
      <c r="P105" s="70" t="b">
        <f>IF(Tab.11[[#This Row],[a1]]=1,_xlfn.NORM.DIST(Tab.11[[#This Row],[b9]],$P$1,$Q$1,FALSE))</f>
        <v>0</v>
      </c>
      <c r="Q105" s="70" t="b">
        <f>IF(Tab.11[[#This Row],[a1]]=1,_xlfn.NORM.DIST(Tab.11[[#This Row],[b10]],$P$1,$Q$1,FALSE))</f>
        <v>0</v>
      </c>
      <c r="R105" s="67" t="b">
        <f>IF(Tab.11[[#This Row],[a1]]=1,$I$3+$A$989+IF($K$3=0,Tab.11[[#This Row],[b8]]*_xlfn.STDEV.P(Tab.11[data]),AVERAGE(Tab.11[b6])+Tab.11[[#This Row],[b8]]*_xlfn.STDEV.P(Tab.11[data])))</f>
        <v>0</v>
      </c>
      <c r="S105" s="71" t="b">
        <f>IF(Tab.11[[#This Row],[a1]]=1,$I$3+$A$987+IF($K$3=0,Tab.11[[#This Row],[b9]]*_xlfn.STDEV.P(Tab.11[data]),AVERAGE(Tab.11[b6])+Tab.11[[#This Row],[b9]]*_xlfn.STDEV.P(Tab.11[data])))</f>
        <v>0</v>
      </c>
      <c r="T105" s="71" t="b">
        <f>IF(Tab.11[[#This Row],[a1]]=1,$I$3+$A$988+IF($K$3=0,Tab.11[[#This Row],[b10]]*_xlfn.STDEV.P(Tab.11[data]),AVERAGE(Tab.11[b6])+Tab.11[[#This Row],[b10]]*_xlfn.STDEV.P(Tab.11[data])))</f>
        <v>0</v>
      </c>
      <c r="U105" s="72" t="b">
        <f>IF(Tab.11[[#This Row],[a1]]=1,Tab.11[[#This Row],[target]]-Tab.11[[#This Row],[Red]])</f>
        <v>0</v>
      </c>
      <c r="V105" s="72" t="b">
        <f>IF(Tab.11[[#This Row],[a1]]=1,Tab.11[[#This Row],[target]]-Tab.11[[#This Row],[Blue]])</f>
        <v>0</v>
      </c>
      <c r="W105" s="73" t="b">
        <f>IF(Tab.11[[#This Row],[a1]]=1,IF(ABS(Tab.11[[#This Row],[b17]])+ABS(Tab.11[[#This Row],[b18]])&lt;$W$2,$W$2,ABS(Tab.11[[#This Row],[b17]])+ABS(Tab.11[[#This Row],[b18]])))</f>
        <v>0</v>
      </c>
      <c r="X105" s="136" t="b">
        <f>IF(Tab.11[[#This Row],[a1]]=1,IF($W$3&lt;0,Tab.11[[#This Row],[IN]]-$I$3,Tab.11[[#This Row],[IN]]))</f>
        <v>0</v>
      </c>
      <c r="Y105" s="136" t="b">
        <f>IF(Tab.11[[#This Row],[a1]]=1,IF($X$3=0,Tab.11[b66],Tab.11[[#This Row],[b66]]-AVERAGE(Tab.11[b66])))</f>
        <v>0</v>
      </c>
      <c r="Z105" s="135" t="b">
        <f>IF(Tab.11[[#This Row],[a1]]=1,Tab.11[[#This Row],[b77]]/(_xlfn.STDEV.P(Tab.11[b77])))</f>
        <v>0</v>
      </c>
      <c r="AA105" s="70" t="b">
        <f>IF(Tab.11[[#This Row],[a1]]=1,_xlfn.NORM.DIST(Tab.11[[#This Row],[b88]],$Z$1,$AA$1,FALSE))</f>
        <v>0</v>
      </c>
      <c r="AB105" s="74" t="b">
        <f>IF(Tab.11[[#This Row],[a1]]=1,IF($A$3=0,FALSE,1/Tab.11[[#This Row],[IN]]*$AC$2*IF(Tab.11[[#This Row],[a1]]=0,,$A$3*$AC$1*1/$V$3*(Tab.11[[#This Row],[b14]]))))</f>
        <v>0</v>
      </c>
      <c r="AC105" s="75" t="b">
        <f>IF(Tab.11[[#This Row],[a1]]=1,IF($AC$3=0,Tab.11[[#This Row],[φ1]],Tab.11[[#This Row],[φ1]]/MAX(Tab.11[φ1])))</f>
        <v>0</v>
      </c>
      <c r="AD105" s="74" t="b">
        <f>IF(Tab.11[[#This Row],[a1]]=1,1/Tab.11[[#This Row],[φ2]])</f>
        <v>0</v>
      </c>
      <c r="AE105" s="74" t="b">
        <f>IF(Tab.11[[#This Row],[a1]]=1,IF($AE$3=0,Tab.11[[#This Row],[w.0]],Tab.11[[#This Row],[w.0]]/SUM(Tab.11[w.0])))</f>
        <v>0</v>
      </c>
      <c r="AF105" s="76" t="str">
        <f>IF(Tab.11[[#This Row],[a1]]=0,"false",[3]!Tab.x5[[#This Row],[%_seN_C]])</f>
        <v>false</v>
      </c>
      <c r="AG105" s="77" t="b">
        <f>IF(Tab.11[[#This Row],[a1]]=1,AP105)</f>
        <v>0</v>
      </c>
      <c r="AH105" s="78" t="b">
        <f>IF(Tab.11[[#This Row],[a1]]=1,AQ105)</f>
        <v>0</v>
      </c>
      <c r="AI105" s="41">
        <v>3.0000000000000001E-3</v>
      </c>
      <c r="AJ105" s="79">
        <v>-0.1</v>
      </c>
      <c r="AK105" s="80" t="b">
        <f>IF(Tab.11[[#This Row],[a1]]=1,1)</f>
        <v>0</v>
      </c>
      <c r="AZ105"/>
    </row>
    <row r="106" spans="1:52" ht="14.25" hidden="1" customHeight="1" x14ac:dyDescent="0.25">
      <c r="A106" s="61">
        <f t="shared" si="5"/>
        <v>0</v>
      </c>
      <c r="B106" s="62">
        <f t="shared" si="5"/>
        <v>0</v>
      </c>
      <c r="C106" s="62" t="b">
        <f>IF(Tab.11[[#This Row],[a1]]=1,[3]!Tab_x1[[#This Row],[Name]])</f>
        <v>0</v>
      </c>
      <c r="D106" s="63" t="b">
        <f>IF(Tab.11[[#This Row],[a1]]=1,AO106)</f>
        <v>0</v>
      </c>
      <c r="E106" s="63">
        <f t="shared" si="4"/>
        <v>0</v>
      </c>
      <c r="F106" s="64" t="b">
        <f>IF(Tab.11[[#This Row],[a1]]=1,Tab.11[[#This Row],[b1]])</f>
        <v>0</v>
      </c>
      <c r="G106" s="65" t="b">
        <f>IF(Tab.11[[#This Row],[a1]]=1,IF(Tab.11[[#This Row],[b3]]&gt;$L$989*$G$3,$L$989*$G$3,IF(Tab.11[[#This Row],[b3]]&lt;$M$989*$G$3,$M$989*$G$3,Tab.11[[#This Row],[b3]])))</f>
        <v>0</v>
      </c>
      <c r="H106" s="66" t="b">
        <f>IF(Tab.11[[#This Row],[a1]]=1,Tab.11[[#This Row],[b1]])</f>
        <v>0</v>
      </c>
      <c r="I106" s="67" t="b">
        <f>IF(Tab.11[[#This Row],[a1]]=1,Tab.11[[#This Row],[b1]])</f>
        <v>0</v>
      </c>
      <c r="J106" s="68" t="b">
        <f>IF(Tab.11[[#This Row],[a1]]=1,IF($I$3&lt;0,Tab.11[[#This Row],[b5]]-$I$3,Tab.11[[#This Row],[b5]]))</f>
        <v>0</v>
      </c>
      <c r="K106" s="68" t="b">
        <f>IF(Tab.11[[#This Row],[a1]]=1,IF($K$3=0,Tab.11[b6],Tab.11[[#This Row],[b6]]-AVERAGE(Tab.11[b6])))</f>
        <v>0</v>
      </c>
      <c r="L106" s="69" t="b">
        <f>IF(Tab.11[[#This Row],[a1]]=1,Tab.11[[#This Row],[data]]/(_xlfn.STDEV.P(Tab.11[data])*$B$989)+$A$989)</f>
        <v>0</v>
      </c>
      <c r="M106" s="69" t="b">
        <f>IF(Tab.11[[#This Row],[a1]]=1,Tab.11[[#This Row],[data]]/(_xlfn.STDEV.P(Tab.11[data])*$B$987)-$A$987)</f>
        <v>0</v>
      </c>
      <c r="N106" s="69" t="b">
        <f>IF(Tab.11[[#This Row],[a1]]=1,Tab.11[[#This Row],[data]]/(_xlfn.STDEV.P(Tab.11[data])*$B$988)+$A$988)</f>
        <v>0</v>
      </c>
      <c r="O106" s="70" t="b">
        <f>IF(Tab.11[[#This Row],[a1]]=1,_xlfn.NORM.DIST(Tab.11[[#This Row],[b8]],$P$1,$Q$1,FALSE))</f>
        <v>0</v>
      </c>
      <c r="P106" s="70" t="b">
        <f>IF(Tab.11[[#This Row],[a1]]=1,_xlfn.NORM.DIST(Tab.11[[#This Row],[b9]],$P$1,$Q$1,FALSE))</f>
        <v>0</v>
      </c>
      <c r="Q106" s="70" t="b">
        <f>IF(Tab.11[[#This Row],[a1]]=1,_xlfn.NORM.DIST(Tab.11[[#This Row],[b10]],$P$1,$Q$1,FALSE))</f>
        <v>0</v>
      </c>
      <c r="R106" s="67" t="b">
        <f>IF(Tab.11[[#This Row],[a1]]=1,$I$3+$A$989+IF($K$3=0,Tab.11[[#This Row],[b8]]*_xlfn.STDEV.P(Tab.11[data]),AVERAGE(Tab.11[b6])+Tab.11[[#This Row],[b8]]*_xlfn.STDEV.P(Tab.11[data])))</f>
        <v>0</v>
      </c>
      <c r="S106" s="71" t="b">
        <f>IF(Tab.11[[#This Row],[a1]]=1,$I$3+$A$987+IF($K$3=0,Tab.11[[#This Row],[b9]]*_xlfn.STDEV.P(Tab.11[data]),AVERAGE(Tab.11[b6])+Tab.11[[#This Row],[b9]]*_xlfn.STDEV.P(Tab.11[data])))</f>
        <v>0</v>
      </c>
      <c r="T106" s="71" t="b">
        <f>IF(Tab.11[[#This Row],[a1]]=1,$I$3+$A$988+IF($K$3=0,Tab.11[[#This Row],[b10]]*_xlfn.STDEV.P(Tab.11[data]),AVERAGE(Tab.11[b6])+Tab.11[[#This Row],[b10]]*_xlfn.STDEV.P(Tab.11[data])))</f>
        <v>0</v>
      </c>
      <c r="U106" s="72" t="b">
        <f>IF(Tab.11[[#This Row],[a1]]=1,Tab.11[[#This Row],[target]]-Tab.11[[#This Row],[Red]])</f>
        <v>0</v>
      </c>
      <c r="V106" s="72" t="b">
        <f>IF(Tab.11[[#This Row],[a1]]=1,Tab.11[[#This Row],[target]]-Tab.11[[#This Row],[Blue]])</f>
        <v>0</v>
      </c>
      <c r="W106" s="73" t="b">
        <f>IF(Tab.11[[#This Row],[a1]]=1,IF(ABS(Tab.11[[#This Row],[b17]])+ABS(Tab.11[[#This Row],[b18]])&lt;$W$2,$W$2,ABS(Tab.11[[#This Row],[b17]])+ABS(Tab.11[[#This Row],[b18]])))</f>
        <v>0</v>
      </c>
      <c r="X106" s="136" t="b">
        <f>IF(Tab.11[[#This Row],[a1]]=1,IF($W$3&lt;0,Tab.11[[#This Row],[IN]]-$I$3,Tab.11[[#This Row],[IN]]))</f>
        <v>0</v>
      </c>
      <c r="Y106" s="136" t="b">
        <f>IF(Tab.11[[#This Row],[a1]]=1,IF($X$3=0,Tab.11[b66],Tab.11[[#This Row],[b66]]-AVERAGE(Tab.11[b66])))</f>
        <v>0</v>
      </c>
      <c r="Z106" s="135" t="b">
        <f>IF(Tab.11[[#This Row],[a1]]=1,Tab.11[[#This Row],[b77]]/(_xlfn.STDEV.P(Tab.11[b77])))</f>
        <v>0</v>
      </c>
      <c r="AA106" s="70" t="b">
        <f>IF(Tab.11[[#This Row],[a1]]=1,_xlfn.NORM.DIST(Tab.11[[#This Row],[b88]],$Z$1,$AA$1,FALSE))</f>
        <v>0</v>
      </c>
      <c r="AB106" s="74" t="b">
        <f>IF(Tab.11[[#This Row],[a1]]=1,IF($A$3=0,FALSE,1/Tab.11[[#This Row],[IN]]*$AC$2*IF(Tab.11[[#This Row],[a1]]=0,,$A$3*$AC$1*1/$V$3*(Tab.11[[#This Row],[b14]]))))</f>
        <v>0</v>
      </c>
      <c r="AC106" s="75" t="b">
        <f>IF(Tab.11[[#This Row],[a1]]=1,IF($AC$3=0,Tab.11[[#This Row],[φ1]],Tab.11[[#This Row],[φ1]]/MAX(Tab.11[φ1])))</f>
        <v>0</v>
      </c>
      <c r="AD106" s="74" t="b">
        <f>IF(Tab.11[[#This Row],[a1]]=1,1/Tab.11[[#This Row],[φ2]])</f>
        <v>0</v>
      </c>
      <c r="AE106" s="74" t="b">
        <f>IF(Tab.11[[#This Row],[a1]]=1,IF($AE$3=0,Tab.11[[#This Row],[w.0]],Tab.11[[#This Row],[w.0]]/SUM(Tab.11[w.0])))</f>
        <v>0</v>
      </c>
      <c r="AF106" s="76" t="str">
        <f>IF(Tab.11[[#This Row],[a1]]=0,"false",[3]!Tab.x5[[#This Row],[%_seN_C]])</f>
        <v>false</v>
      </c>
      <c r="AG106" s="77" t="b">
        <f>IF(Tab.11[[#This Row],[a1]]=1,AP106)</f>
        <v>0</v>
      </c>
      <c r="AH106" s="78" t="b">
        <f>IF(Tab.11[[#This Row],[a1]]=1,AQ106)</f>
        <v>0</v>
      </c>
      <c r="AI106" s="41">
        <v>3.0000000000000001E-3</v>
      </c>
      <c r="AJ106" s="79">
        <v>0.04</v>
      </c>
      <c r="AK106" s="80" t="b">
        <f>IF(Tab.11[[#This Row],[a1]]=1,1)</f>
        <v>0</v>
      </c>
      <c r="AZ106"/>
    </row>
    <row r="107" spans="1:52" ht="14.25" hidden="1" customHeight="1" x14ac:dyDescent="0.25">
      <c r="A107" s="61">
        <f t="shared" si="5"/>
        <v>0</v>
      </c>
      <c r="B107" s="62">
        <f t="shared" si="5"/>
        <v>0</v>
      </c>
      <c r="C107" s="62" t="b">
        <f>IF(Tab.11[[#This Row],[a1]]=1,[3]!Tab_x1[[#This Row],[Name]])</f>
        <v>0</v>
      </c>
      <c r="D107" s="63" t="b">
        <f>IF(Tab.11[[#This Row],[a1]]=1,AO107)</f>
        <v>0</v>
      </c>
      <c r="E107" s="63">
        <f t="shared" si="4"/>
        <v>0</v>
      </c>
      <c r="F107" s="64" t="b">
        <f>IF(Tab.11[[#This Row],[a1]]=1,Tab.11[[#This Row],[b1]])</f>
        <v>0</v>
      </c>
      <c r="G107" s="65" t="b">
        <f>IF(Tab.11[[#This Row],[a1]]=1,IF(Tab.11[[#This Row],[b3]]&gt;$L$989*$G$3,$L$989*$G$3,IF(Tab.11[[#This Row],[b3]]&lt;$M$989*$G$3,$M$989*$G$3,Tab.11[[#This Row],[b3]])))</f>
        <v>0</v>
      </c>
      <c r="H107" s="66" t="b">
        <f>IF(Tab.11[[#This Row],[a1]]=1,Tab.11[[#This Row],[b1]])</f>
        <v>0</v>
      </c>
      <c r="I107" s="67" t="b">
        <f>IF(Tab.11[[#This Row],[a1]]=1,Tab.11[[#This Row],[b1]])</f>
        <v>0</v>
      </c>
      <c r="J107" s="68" t="b">
        <f>IF(Tab.11[[#This Row],[a1]]=1,IF($I$3&lt;0,Tab.11[[#This Row],[b5]]-$I$3,Tab.11[[#This Row],[b5]]))</f>
        <v>0</v>
      </c>
      <c r="K107" s="68" t="b">
        <f>IF(Tab.11[[#This Row],[a1]]=1,IF($K$3=0,Tab.11[b6],Tab.11[[#This Row],[b6]]-AVERAGE(Tab.11[b6])))</f>
        <v>0</v>
      </c>
      <c r="L107" s="69" t="b">
        <f>IF(Tab.11[[#This Row],[a1]]=1,Tab.11[[#This Row],[data]]/(_xlfn.STDEV.P(Tab.11[data])*$B$989)+$A$989)</f>
        <v>0</v>
      </c>
      <c r="M107" s="69" t="b">
        <f>IF(Tab.11[[#This Row],[a1]]=1,Tab.11[[#This Row],[data]]/(_xlfn.STDEV.P(Tab.11[data])*$B$987)-$A$987)</f>
        <v>0</v>
      </c>
      <c r="N107" s="69" t="b">
        <f>IF(Tab.11[[#This Row],[a1]]=1,Tab.11[[#This Row],[data]]/(_xlfn.STDEV.P(Tab.11[data])*$B$988)+$A$988)</f>
        <v>0</v>
      </c>
      <c r="O107" s="70" t="b">
        <f>IF(Tab.11[[#This Row],[a1]]=1,_xlfn.NORM.DIST(Tab.11[[#This Row],[b8]],$P$1,$Q$1,FALSE))</f>
        <v>0</v>
      </c>
      <c r="P107" s="70" t="b">
        <f>IF(Tab.11[[#This Row],[a1]]=1,_xlfn.NORM.DIST(Tab.11[[#This Row],[b9]],$P$1,$Q$1,FALSE))</f>
        <v>0</v>
      </c>
      <c r="Q107" s="70" t="b">
        <f>IF(Tab.11[[#This Row],[a1]]=1,_xlfn.NORM.DIST(Tab.11[[#This Row],[b10]],$P$1,$Q$1,FALSE))</f>
        <v>0</v>
      </c>
      <c r="R107" s="67" t="b">
        <f>IF(Tab.11[[#This Row],[a1]]=1,$I$3+$A$989+IF($K$3=0,Tab.11[[#This Row],[b8]]*_xlfn.STDEV.P(Tab.11[data]),AVERAGE(Tab.11[b6])+Tab.11[[#This Row],[b8]]*_xlfn.STDEV.P(Tab.11[data])))</f>
        <v>0</v>
      </c>
      <c r="S107" s="71" t="b">
        <f>IF(Tab.11[[#This Row],[a1]]=1,$I$3+$A$987+IF($K$3=0,Tab.11[[#This Row],[b9]]*_xlfn.STDEV.P(Tab.11[data]),AVERAGE(Tab.11[b6])+Tab.11[[#This Row],[b9]]*_xlfn.STDEV.P(Tab.11[data])))</f>
        <v>0</v>
      </c>
      <c r="T107" s="71" t="b">
        <f>IF(Tab.11[[#This Row],[a1]]=1,$I$3+$A$988+IF($K$3=0,Tab.11[[#This Row],[b10]]*_xlfn.STDEV.P(Tab.11[data]),AVERAGE(Tab.11[b6])+Tab.11[[#This Row],[b10]]*_xlfn.STDEV.P(Tab.11[data])))</f>
        <v>0</v>
      </c>
      <c r="U107" s="72" t="b">
        <f>IF(Tab.11[[#This Row],[a1]]=1,Tab.11[[#This Row],[target]]-Tab.11[[#This Row],[Red]])</f>
        <v>0</v>
      </c>
      <c r="V107" s="72" t="b">
        <f>IF(Tab.11[[#This Row],[a1]]=1,Tab.11[[#This Row],[target]]-Tab.11[[#This Row],[Blue]])</f>
        <v>0</v>
      </c>
      <c r="W107" s="73" t="b">
        <f>IF(Tab.11[[#This Row],[a1]]=1,IF(ABS(Tab.11[[#This Row],[b17]])+ABS(Tab.11[[#This Row],[b18]])&lt;$W$2,$W$2,ABS(Tab.11[[#This Row],[b17]])+ABS(Tab.11[[#This Row],[b18]])))</f>
        <v>0</v>
      </c>
      <c r="X107" s="136" t="b">
        <f>IF(Tab.11[[#This Row],[a1]]=1,IF($W$3&lt;0,Tab.11[[#This Row],[IN]]-$I$3,Tab.11[[#This Row],[IN]]))</f>
        <v>0</v>
      </c>
      <c r="Y107" s="136" t="b">
        <f>IF(Tab.11[[#This Row],[a1]]=1,IF($X$3=0,Tab.11[b66],Tab.11[[#This Row],[b66]]-AVERAGE(Tab.11[b66])))</f>
        <v>0</v>
      </c>
      <c r="Z107" s="135" t="b">
        <f>IF(Tab.11[[#This Row],[a1]]=1,Tab.11[[#This Row],[b77]]/(_xlfn.STDEV.P(Tab.11[b77])))</f>
        <v>0</v>
      </c>
      <c r="AA107" s="70" t="b">
        <f>IF(Tab.11[[#This Row],[a1]]=1,_xlfn.NORM.DIST(Tab.11[[#This Row],[b88]],$Z$1,$AA$1,FALSE))</f>
        <v>0</v>
      </c>
      <c r="AB107" s="74" t="b">
        <f>IF(Tab.11[[#This Row],[a1]]=1,IF($A$3=0,FALSE,1/Tab.11[[#This Row],[IN]]*$AC$2*IF(Tab.11[[#This Row],[a1]]=0,,$A$3*$AC$1*1/$V$3*(Tab.11[[#This Row],[b14]]))))</f>
        <v>0</v>
      </c>
      <c r="AC107" s="75" t="b">
        <f>IF(Tab.11[[#This Row],[a1]]=1,IF($AC$3=0,Tab.11[[#This Row],[φ1]],Tab.11[[#This Row],[φ1]]/MAX(Tab.11[φ1])))</f>
        <v>0</v>
      </c>
      <c r="AD107" s="74" t="b">
        <f>IF(Tab.11[[#This Row],[a1]]=1,1/Tab.11[[#This Row],[φ2]])</f>
        <v>0</v>
      </c>
      <c r="AE107" s="74" t="b">
        <f>IF(Tab.11[[#This Row],[a1]]=1,IF($AE$3=0,Tab.11[[#This Row],[w.0]],Tab.11[[#This Row],[w.0]]/SUM(Tab.11[w.0])))</f>
        <v>0</v>
      </c>
      <c r="AF107" s="76" t="str">
        <f>IF(Tab.11[[#This Row],[a1]]=0,"false",[3]!Tab.x5[[#This Row],[%_seN_C]])</f>
        <v>false</v>
      </c>
      <c r="AG107" s="77" t="b">
        <f>IF(Tab.11[[#This Row],[a1]]=1,AP107)</f>
        <v>0</v>
      </c>
      <c r="AH107" s="78" t="b">
        <f>IF(Tab.11[[#This Row],[a1]]=1,AQ107)</f>
        <v>0</v>
      </c>
      <c r="AI107" s="41">
        <v>3.0000000000000001E-3</v>
      </c>
      <c r="AJ107" s="79">
        <v>0.01</v>
      </c>
      <c r="AK107" s="80" t="b">
        <f>IF(Tab.11[[#This Row],[a1]]=1,1)</f>
        <v>0</v>
      </c>
      <c r="AZ107"/>
    </row>
    <row r="108" spans="1:52" ht="14.25" hidden="1" customHeight="1" x14ac:dyDescent="0.25">
      <c r="A108" s="61">
        <f t="shared" si="5"/>
        <v>0</v>
      </c>
      <c r="B108" s="62">
        <f t="shared" si="5"/>
        <v>0</v>
      </c>
      <c r="C108" s="62" t="b">
        <f>IF(Tab.11[[#This Row],[a1]]=1,[3]!Tab_x1[[#This Row],[Name]])</f>
        <v>0</v>
      </c>
      <c r="D108" s="63" t="b">
        <f>IF(Tab.11[[#This Row],[a1]]=1,AO108)</f>
        <v>0</v>
      </c>
      <c r="E108" s="63">
        <f t="shared" si="4"/>
        <v>0</v>
      </c>
      <c r="F108" s="64" t="b">
        <f>IF(Tab.11[[#This Row],[a1]]=1,Tab.11[[#This Row],[b1]])</f>
        <v>0</v>
      </c>
      <c r="G108" s="65" t="b">
        <f>IF(Tab.11[[#This Row],[a1]]=1,IF(Tab.11[[#This Row],[b3]]&gt;$L$989*$G$3,$L$989*$G$3,IF(Tab.11[[#This Row],[b3]]&lt;$M$989*$G$3,$M$989*$G$3,Tab.11[[#This Row],[b3]])))</f>
        <v>0</v>
      </c>
      <c r="H108" s="66" t="b">
        <f>IF(Tab.11[[#This Row],[a1]]=1,Tab.11[[#This Row],[b1]])</f>
        <v>0</v>
      </c>
      <c r="I108" s="67" t="b">
        <f>IF(Tab.11[[#This Row],[a1]]=1,Tab.11[[#This Row],[b1]])</f>
        <v>0</v>
      </c>
      <c r="J108" s="68" t="b">
        <f>IF(Tab.11[[#This Row],[a1]]=1,IF($I$3&lt;0,Tab.11[[#This Row],[b5]]-$I$3,Tab.11[[#This Row],[b5]]))</f>
        <v>0</v>
      </c>
      <c r="K108" s="68" t="b">
        <f>IF(Tab.11[[#This Row],[a1]]=1,IF($K$3=0,Tab.11[b6],Tab.11[[#This Row],[b6]]-AVERAGE(Tab.11[b6])))</f>
        <v>0</v>
      </c>
      <c r="L108" s="69" t="b">
        <f>IF(Tab.11[[#This Row],[a1]]=1,Tab.11[[#This Row],[data]]/(_xlfn.STDEV.P(Tab.11[data])*$B$989)+$A$989)</f>
        <v>0</v>
      </c>
      <c r="M108" s="69" t="b">
        <f>IF(Tab.11[[#This Row],[a1]]=1,Tab.11[[#This Row],[data]]/(_xlfn.STDEV.P(Tab.11[data])*$B$987)-$A$987)</f>
        <v>0</v>
      </c>
      <c r="N108" s="69" t="b">
        <f>IF(Tab.11[[#This Row],[a1]]=1,Tab.11[[#This Row],[data]]/(_xlfn.STDEV.P(Tab.11[data])*$B$988)+$A$988)</f>
        <v>0</v>
      </c>
      <c r="O108" s="70" t="b">
        <f>IF(Tab.11[[#This Row],[a1]]=1,_xlfn.NORM.DIST(Tab.11[[#This Row],[b8]],$P$1,$Q$1,FALSE))</f>
        <v>0</v>
      </c>
      <c r="P108" s="70" t="b">
        <f>IF(Tab.11[[#This Row],[a1]]=1,_xlfn.NORM.DIST(Tab.11[[#This Row],[b9]],$P$1,$Q$1,FALSE))</f>
        <v>0</v>
      </c>
      <c r="Q108" s="70" t="b">
        <f>IF(Tab.11[[#This Row],[a1]]=1,_xlfn.NORM.DIST(Tab.11[[#This Row],[b10]],$P$1,$Q$1,FALSE))</f>
        <v>0</v>
      </c>
      <c r="R108" s="67" t="b">
        <f>IF(Tab.11[[#This Row],[a1]]=1,$I$3+$A$989+IF($K$3=0,Tab.11[[#This Row],[b8]]*_xlfn.STDEV.P(Tab.11[data]),AVERAGE(Tab.11[b6])+Tab.11[[#This Row],[b8]]*_xlfn.STDEV.P(Tab.11[data])))</f>
        <v>0</v>
      </c>
      <c r="S108" s="71" t="b">
        <f>IF(Tab.11[[#This Row],[a1]]=1,$I$3+$A$987+IF($K$3=0,Tab.11[[#This Row],[b9]]*_xlfn.STDEV.P(Tab.11[data]),AVERAGE(Tab.11[b6])+Tab.11[[#This Row],[b9]]*_xlfn.STDEV.P(Tab.11[data])))</f>
        <v>0</v>
      </c>
      <c r="T108" s="71" t="b">
        <f>IF(Tab.11[[#This Row],[a1]]=1,$I$3+$A$988+IF($K$3=0,Tab.11[[#This Row],[b10]]*_xlfn.STDEV.P(Tab.11[data]),AVERAGE(Tab.11[b6])+Tab.11[[#This Row],[b10]]*_xlfn.STDEV.P(Tab.11[data])))</f>
        <v>0</v>
      </c>
      <c r="U108" s="72" t="b">
        <f>IF(Tab.11[[#This Row],[a1]]=1,Tab.11[[#This Row],[target]]-Tab.11[[#This Row],[Red]])</f>
        <v>0</v>
      </c>
      <c r="V108" s="72" t="b">
        <f>IF(Tab.11[[#This Row],[a1]]=1,Tab.11[[#This Row],[target]]-Tab.11[[#This Row],[Blue]])</f>
        <v>0</v>
      </c>
      <c r="W108" s="73" t="b">
        <f>IF(Tab.11[[#This Row],[a1]]=1,IF(ABS(Tab.11[[#This Row],[b17]])+ABS(Tab.11[[#This Row],[b18]])&lt;$W$2,$W$2,ABS(Tab.11[[#This Row],[b17]])+ABS(Tab.11[[#This Row],[b18]])))</f>
        <v>0</v>
      </c>
      <c r="X108" s="136" t="b">
        <f>IF(Tab.11[[#This Row],[a1]]=1,IF($W$3&lt;0,Tab.11[[#This Row],[IN]]-$I$3,Tab.11[[#This Row],[IN]]))</f>
        <v>0</v>
      </c>
      <c r="Y108" s="136" t="b">
        <f>IF(Tab.11[[#This Row],[a1]]=1,IF($X$3=0,Tab.11[b66],Tab.11[[#This Row],[b66]]-AVERAGE(Tab.11[b66])))</f>
        <v>0</v>
      </c>
      <c r="Z108" s="135" t="b">
        <f>IF(Tab.11[[#This Row],[a1]]=1,Tab.11[[#This Row],[b77]]/(_xlfn.STDEV.P(Tab.11[b77])))</f>
        <v>0</v>
      </c>
      <c r="AA108" s="70" t="b">
        <f>IF(Tab.11[[#This Row],[a1]]=1,_xlfn.NORM.DIST(Tab.11[[#This Row],[b88]],$Z$1,$AA$1,FALSE))</f>
        <v>0</v>
      </c>
      <c r="AB108" s="74" t="b">
        <f>IF(Tab.11[[#This Row],[a1]]=1,IF($A$3=0,FALSE,1/Tab.11[[#This Row],[IN]]*$AC$2*IF(Tab.11[[#This Row],[a1]]=0,,$A$3*$AC$1*1/$V$3*(Tab.11[[#This Row],[b14]]))))</f>
        <v>0</v>
      </c>
      <c r="AC108" s="75" t="b">
        <f>IF(Tab.11[[#This Row],[a1]]=1,IF($AC$3=0,Tab.11[[#This Row],[φ1]],Tab.11[[#This Row],[φ1]]/MAX(Tab.11[φ1])))</f>
        <v>0</v>
      </c>
      <c r="AD108" s="74" t="b">
        <f>IF(Tab.11[[#This Row],[a1]]=1,1/Tab.11[[#This Row],[φ2]])</f>
        <v>0</v>
      </c>
      <c r="AE108" s="74" t="b">
        <f>IF(Tab.11[[#This Row],[a1]]=1,IF($AE$3=0,Tab.11[[#This Row],[w.0]],Tab.11[[#This Row],[w.0]]/SUM(Tab.11[w.0])))</f>
        <v>0</v>
      </c>
      <c r="AF108" s="76" t="str">
        <f>IF(Tab.11[[#This Row],[a1]]=0,"false",[3]!Tab.x5[[#This Row],[%_seN_C]])</f>
        <v>false</v>
      </c>
      <c r="AG108" s="77" t="b">
        <f>IF(Tab.11[[#This Row],[a1]]=1,AP108)</f>
        <v>0</v>
      </c>
      <c r="AH108" s="78" t="b">
        <f>IF(Tab.11[[#This Row],[a1]]=1,AQ108)</f>
        <v>0</v>
      </c>
      <c r="AI108" s="41">
        <v>3.0000000000000001E-3</v>
      </c>
      <c r="AJ108" s="79">
        <v>0.01</v>
      </c>
      <c r="AK108" s="80" t="b">
        <f>IF(Tab.11[[#This Row],[a1]]=1,1)</f>
        <v>0</v>
      </c>
      <c r="AZ108"/>
    </row>
    <row r="109" spans="1:52" ht="14.25" hidden="1" customHeight="1" x14ac:dyDescent="0.25">
      <c r="A109" s="61">
        <f t="shared" si="5"/>
        <v>0</v>
      </c>
      <c r="B109" s="62">
        <f t="shared" si="5"/>
        <v>0</v>
      </c>
      <c r="C109" s="62" t="b">
        <f>IF(Tab.11[[#This Row],[a1]]=1,[3]!Tab_x1[[#This Row],[Name]])</f>
        <v>0</v>
      </c>
      <c r="D109" s="63" t="b">
        <f>IF(Tab.11[[#This Row],[a1]]=1,AO109)</f>
        <v>0</v>
      </c>
      <c r="E109" s="63">
        <f t="shared" si="4"/>
        <v>0</v>
      </c>
      <c r="F109" s="64" t="b">
        <f>IF(Tab.11[[#This Row],[a1]]=1,Tab.11[[#This Row],[b1]])</f>
        <v>0</v>
      </c>
      <c r="G109" s="65" t="b">
        <f>IF(Tab.11[[#This Row],[a1]]=1,IF(Tab.11[[#This Row],[b3]]&gt;$L$989*$G$3,$L$989*$G$3,IF(Tab.11[[#This Row],[b3]]&lt;$M$989*$G$3,$M$989*$G$3,Tab.11[[#This Row],[b3]])))</f>
        <v>0</v>
      </c>
      <c r="H109" s="66" t="b">
        <f>IF(Tab.11[[#This Row],[a1]]=1,Tab.11[[#This Row],[b1]])</f>
        <v>0</v>
      </c>
      <c r="I109" s="67" t="b">
        <f>IF(Tab.11[[#This Row],[a1]]=1,Tab.11[[#This Row],[b1]])</f>
        <v>0</v>
      </c>
      <c r="J109" s="68" t="b">
        <f>IF(Tab.11[[#This Row],[a1]]=1,IF($I$3&lt;0,Tab.11[[#This Row],[b5]]-$I$3,Tab.11[[#This Row],[b5]]))</f>
        <v>0</v>
      </c>
      <c r="K109" s="68" t="b">
        <f>IF(Tab.11[[#This Row],[a1]]=1,IF($K$3=0,Tab.11[b6],Tab.11[[#This Row],[b6]]-AVERAGE(Tab.11[b6])))</f>
        <v>0</v>
      </c>
      <c r="L109" s="69" t="b">
        <f>IF(Tab.11[[#This Row],[a1]]=1,Tab.11[[#This Row],[data]]/(_xlfn.STDEV.P(Tab.11[data])*$B$989)+$A$989)</f>
        <v>0</v>
      </c>
      <c r="M109" s="69" t="b">
        <f>IF(Tab.11[[#This Row],[a1]]=1,Tab.11[[#This Row],[data]]/(_xlfn.STDEV.P(Tab.11[data])*$B$987)-$A$987)</f>
        <v>0</v>
      </c>
      <c r="N109" s="69" t="b">
        <f>IF(Tab.11[[#This Row],[a1]]=1,Tab.11[[#This Row],[data]]/(_xlfn.STDEV.P(Tab.11[data])*$B$988)+$A$988)</f>
        <v>0</v>
      </c>
      <c r="O109" s="70" t="b">
        <f>IF(Tab.11[[#This Row],[a1]]=1,_xlfn.NORM.DIST(Tab.11[[#This Row],[b8]],$P$1,$Q$1,FALSE))</f>
        <v>0</v>
      </c>
      <c r="P109" s="70" t="b">
        <f>IF(Tab.11[[#This Row],[a1]]=1,_xlfn.NORM.DIST(Tab.11[[#This Row],[b9]],$P$1,$Q$1,FALSE))</f>
        <v>0</v>
      </c>
      <c r="Q109" s="70" t="b">
        <f>IF(Tab.11[[#This Row],[a1]]=1,_xlfn.NORM.DIST(Tab.11[[#This Row],[b10]],$P$1,$Q$1,FALSE))</f>
        <v>0</v>
      </c>
      <c r="R109" s="67" t="b">
        <f>IF(Tab.11[[#This Row],[a1]]=1,$I$3+$A$989+IF($K$3=0,Tab.11[[#This Row],[b8]]*_xlfn.STDEV.P(Tab.11[data]),AVERAGE(Tab.11[b6])+Tab.11[[#This Row],[b8]]*_xlfn.STDEV.P(Tab.11[data])))</f>
        <v>0</v>
      </c>
      <c r="S109" s="71" t="b">
        <f>IF(Tab.11[[#This Row],[a1]]=1,$I$3+$A$987+IF($K$3=0,Tab.11[[#This Row],[b9]]*_xlfn.STDEV.P(Tab.11[data]),AVERAGE(Tab.11[b6])+Tab.11[[#This Row],[b9]]*_xlfn.STDEV.P(Tab.11[data])))</f>
        <v>0</v>
      </c>
      <c r="T109" s="71" t="b">
        <f>IF(Tab.11[[#This Row],[a1]]=1,$I$3+$A$988+IF($K$3=0,Tab.11[[#This Row],[b10]]*_xlfn.STDEV.P(Tab.11[data]),AVERAGE(Tab.11[b6])+Tab.11[[#This Row],[b10]]*_xlfn.STDEV.P(Tab.11[data])))</f>
        <v>0</v>
      </c>
      <c r="U109" s="72" t="b">
        <f>IF(Tab.11[[#This Row],[a1]]=1,Tab.11[[#This Row],[target]]-Tab.11[[#This Row],[Red]])</f>
        <v>0</v>
      </c>
      <c r="V109" s="72" t="b">
        <f>IF(Tab.11[[#This Row],[a1]]=1,Tab.11[[#This Row],[target]]-Tab.11[[#This Row],[Blue]])</f>
        <v>0</v>
      </c>
      <c r="W109" s="73" t="b">
        <f>IF(Tab.11[[#This Row],[a1]]=1,IF(ABS(Tab.11[[#This Row],[b17]])+ABS(Tab.11[[#This Row],[b18]])&lt;$W$2,$W$2,ABS(Tab.11[[#This Row],[b17]])+ABS(Tab.11[[#This Row],[b18]])))</f>
        <v>0</v>
      </c>
      <c r="X109" s="136" t="b">
        <f>IF(Tab.11[[#This Row],[a1]]=1,IF($W$3&lt;0,Tab.11[[#This Row],[IN]]-$I$3,Tab.11[[#This Row],[IN]]))</f>
        <v>0</v>
      </c>
      <c r="Y109" s="136" t="b">
        <f>IF(Tab.11[[#This Row],[a1]]=1,IF($X$3=0,Tab.11[b66],Tab.11[[#This Row],[b66]]-AVERAGE(Tab.11[b66])))</f>
        <v>0</v>
      </c>
      <c r="Z109" s="135" t="b">
        <f>IF(Tab.11[[#This Row],[a1]]=1,Tab.11[[#This Row],[b77]]/(_xlfn.STDEV.P(Tab.11[b77])))</f>
        <v>0</v>
      </c>
      <c r="AA109" s="70" t="b">
        <f>IF(Tab.11[[#This Row],[a1]]=1,_xlfn.NORM.DIST(Tab.11[[#This Row],[b88]],$Z$1,$AA$1,FALSE))</f>
        <v>0</v>
      </c>
      <c r="AB109" s="74" t="b">
        <f>IF(Tab.11[[#This Row],[a1]]=1,IF($A$3=0,FALSE,1/Tab.11[[#This Row],[IN]]*$AC$2*IF(Tab.11[[#This Row],[a1]]=0,,$A$3*$AC$1*1/$V$3*(Tab.11[[#This Row],[b14]]))))</f>
        <v>0</v>
      </c>
      <c r="AC109" s="75" t="b">
        <f>IF(Tab.11[[#This Row],[a1]]=1,IF($AC$3=0,Tab.11[[#This Row],[φ1]],Tab.11[[#This Row],[φ1]]/MAX(Tab.11[φ1])))</f>
        <v>0</v>
      </c>
      <c r="AD109" s="74" t="b">
        <f>IF(Tab.11[[#This Row],[a1]]=1,1/Tab.11[[#This Row],[φ2]])</f>
        <v>0</v>
      </c>
      <c r="AE109" s="74" t="b">
        <f>IF(Tab.11[[#This Row],[a1]]=1,IF($AE$3=0,Tab.11[[#This Row],[w.0]],Tab.11[[#This Row],[w.0]]/SUM(Tab.11[w.0])))</f>
        <v>0</v>
      </c>
      <c r="AF109" s="76" t="str">
        <f>IF(Tab.11[[#This Row],[a1]]=0,"false",[3]!Tab.x5[[#This Row],[%_seN_C]])</f>
        <v>false</v>
      </c>
      <c r="AG109" s="77" t="b">
        <f>IF(Tab.11[[#This Row],[a1]]=1,AP109)</f>
        <v>0</v>
      </c>
      <c r="AH109" s="78" t="b">
        <f>IF(Tab.11[[#This Row],[a1]]=1,AQ109)</f>
        <v>0</v>
      </c>
      <c r="AI109" s="41">
        <v>3.0000000000000001E-3</v>
      </c>
      <c r="AJ109" s="79">
        <v>-0.05</v>
      </c>
      <c r="AK109" s="80" t="b">
        <f>IF(Tab.11[[#This Row],[a1]]=1,1)</f>
        <v>0</v>
      </c>
      <c r="AZ109"/>
    </row>
    <row r="110" spans="1:52" ht="14.25" hidden="1" customHeight="1" x14ac:dyDescent="0.25">
      <c r="A110" s="61">
        <f t="shared" si="5"/>
        <v>0</v>
      </c>
      <c r="B110" s="62">
        <f t="shared" si="5"/>
        <v>0</v>
      </c>
      <c r="C110" s="62" t="b">
        <f>IF(Tab.11[[#This Row],[a1]]=1,[3]!Tab_x1[[#This Row],[Name]])</f>
        <v>0</v>
      </c>
      <c r="D110" s="63" t="b">
        <f>IF(Tab.11[[#This Row],[a1]]=1,AO110)</f>
        <v>0</v>
      </c>
      <c r="E110" s="63">
        <f t="shared" si="4"/>
        <v>0</v>
      </c>
      <c r="F110" s="64" t="b">
        <f>IF(Tab.11[[#This Row],[a1]]=1,Tab.11[[#This Row],[b1]])</f>
        <v>0</v>
      </c>
      <c r="G110" s="65" t="b">
        <f>IF(Tab.11[[#This Row],[a1]]=1,IF(Tab.11[[#This Row],[b3]]&gt;$L$989*$G$3,$L$989*$G$3,IF(Tab.11[[#This Row],[b3]]&lt;$M$989*$G$3,$M$989*$G$3,Tab.11[[#This Row],[b3]])))</f>
        <v>0</v>
      </c>
      <c r="H110" s="66" t="b">
        <f>IF(Tab.11[[#This Row],[a1]]=1,Tab.11[[#This Row],[b1]])</f>
        <v>0</v>
      </c>
      <c r="I110" s="67" t="b">
        <f>IF(Tab.11[[#This Row],[a1]]=1,Tab.11[[#This Row],[b1]])</f>
        <v>0</v>
      </c>
      <c r="J110" s="68" t="b">
        <f>IF(Tab.11[[#This Row],[a1]]=1,IF($I$3&lt;0,Tab.11[[#This Row],[b5]]-$I$3,Tab.11[[#This Row],[b5]]))</f>
        <v>0</v>
      </c>
      <c r="K110" s="68" t="b">
        <f>IF(Tab.11[[#This Row],[a1]]=1,IF($K$3=0,Tab.11[b6],Tab.11[[#This Row],[b6]]-AVERAGE(Tab.11[b6])))</f>
        <v>0</v>
      </c>
      <c r="L110" s="69" t="b">
        <f>IF(Tab.11[[#This Row],[a1]]=1,Tab.11[[#This Row],[data]]/(_xlfn.STDEV.P(Tab.11[data])*$B$989)+$A$989)</f>
        <v>0</v>
      </c>
      <c r="M110" s="69" t="b">
        <f>IF(Tab.11[[#This Row],[a1]]=1,Tab.11[[#This Row],[data]]/(_xlfn.STDEV.P(Tab.11[data])*$B$987)-$A$987)</f>
        <v>0</v>
      </c>
      <c r="N110" s="69" t="b">
        <f>IF(Tab.11[[#This Row],[a1]]=1,Tab.11[[#This Row],[data]]/(_xlfn.STDEV.P(Tab.11[data])*$B$988)+$A$988)</f>
        <v>0</v>
      </c>
      <c r="O110" s="70" t="b">
        <f>IF(Tab.11[[#This Row],[a1]]=1,_xlfn.NORM.DIST(Tab.11[[#This Row],[b8]],$P$1,$Q$1,FALSE))</f>
        <v>0</v>
      </c>
      <c r="P110" s="70" t="b">
        <f>IF(Tab.11[[#This Row],[a1]]=1,_xlfn.NORM.DIST(Tab.11[[#This Row],[b9]],$P$1,$Q$1,FALSE))</f>
        <v>0</v>
      </c>
      <c r="Q110" s="70" t="b">
        <f>IF(Tab.11[[#This Row],[a1]]=1,_xlfn.NORM.DIST(Tab.11[[#This Row],[b10]],$P$1,$Q$1,FALSE))</f>
        <v>0</v>
      </c>
      <c r="R110" s="67" t="b">
        <f>IF(Tab.11[[#This Row],[a1]]=1,$I$3+$A$989+IF($K$3=0,Tab.11[[#This Row],[b8]]*_xlfn.STDEV.P(Tab.11[data]),AVERAGE(Tab.11[b6])+Tab.11[[#This Row],[b8]]*_xlfn.STDEV.P(Tab.11[data])))</f>
        <v>0</v>
      </c>
      <c r="S110" s="71" t="b">
        <f>IF(Tab.11[[#This Row],[a1]]=1,$I$3+$A$987+IF($K$3=0,Tab.11[[#This Row],[b9]]*_xlfn.STDEV.P(Tab.11[data]),AVERAGE(Tab.11[b6])+Tab.11[[#This Row],[b9]]*_xlfn.STDEV.P(Tab.11[data])))</f>
        <v>0</v>
      </c>
      <c r="T110" s="71" t="b">
        <f>IF(Tab.11[[#This Row],[a1]]=1,$I$3+$A$988+IF($K$3=0,Tab.11[[#This Row],[b10]]*_xlfn.STDEV.P(Tab.11[data]),AVERAGE(Tab.11[b6])+Tab.11[[#This Row],[b10]]*_xlfn.STDEV.P(Tab.11[data])))</f>
        <v>0</v>
      </c>
      <c r="U110" s="72" t="b">
        <f>IF(Tab.11[[#This Row],[a1]]=1,Tab.11[[#This Row],[target]]-Tab.11[[#This Row],[Red]])</f>
        <v>0</v>
      </c>
      <c r="V110" s="72" t="b">
        <f>IF(Tab.11[[#This Row],[a1]]=1,Tab.11[[#This Row],[target]]-Tab.11[[#This Row],[Blue]])</f>
        <v>0</v>
      </c>
      <c r="W110" s="73" t="b">
        <f>IF(Tab.11[[#This Row],[a1]]=1,IF(ABS(Tab.11[[#This Row],[b17]])+ABS(Tab.11[[#This Row],[b18]])&lt;$W$2,$W$2,ABS(Tab.11[[#This Row],[b17]])+ABS(Tab.11[[#This Row],[b18]])))</f>
        <v>0</v>
      </c>
      <c r="X110" s="136" t="b">
        <f>IF(Tab.11[[#This Row],[a1]]=1,IF($W$3&lt;0,Tab.11[[#This Row],[IN]]-$I$3,Tab.11[[#This Row],[IN]]))</f>
        <v>0</v>
      </c>
      <c r="Y110" s="136" t="b">
        <f>IF(Tab.11[[#This Row],[a1]]=1,IF($X$3=0,Tab.11[b66],Tab.11[[#This Row],[b66]]-AVERAGE(Tab.11[b66])))</f>
        <v>0</v>
      </c>
      <c r="Z110" s="135" t="b">
        <f>IF(Tab.11[[#This Row],[a1]]=1,Tab.11[[#This Row],[b77]]/(_xlfn.STDEV.P(Tab.11[b77])))</f>
        <v>0</v>
      </c>
      <c r="AA110" s="70" t="b">
        <f>IF(Tab.11[[#This Row],[a1]]=1,_xlfn.NORM.DIST(Tab.11[[#This Row],[b88]],$Z$1,$AA$1,FALSE))</f>
        <v>0</v>
      </c>
      <c r="AB110" s="74" t="b">
        <f>IF(Tab.11[[#This Row],[a1]]=1,IF($A$3=0,FALSE,1/Tab.11[[#This Row],[IN]]*$AC$2*IF(Tab.11[[#This Row],[a1]]=0,,$A$3*$AC$1*1/$V$3*(Tab.11[[#This Row],[b14]]))))</f>
        <v>0</v>
      </c>
      <c r="AC110" s="75" t="b">
        <f>IF(Tab.11[[#This Row],[a1]]=1,IF($AC$3=0,Tab.11[[#This Row],[φ1]],Tab.11[[#This Row],[φ1]]/MAX(Tab.11[φ1])))</f>
        <v>0</v>
      </c>
      <c r="AD110" s="74" t="b">
        <f>IF(Tab.11[[#This Row],[a1]]=1,1/Tab.11[[#This Row],[φ2]])</f>
        <v>0</v>
      </c>
      <c r="AE110" s="74" t="b">
        <f>IF(Tab.11[[#This Row],[a1]]=1,IF($AE$3=0,Tab.11[[#This Row],[w.0]],Tab.11[[#This Row],[w.0]]/SUM(Tab.11[w.0])))</f>
        <v>0</v>
      </c>
      <c r="AF110" s="76" t="str">
        <f>IF(Tab.11[[#This Row],[a1]]=0,"false",[3]!Tab.x5[[#This Row],[%_seN_C]])</f>
        <v>false</v>
      </c>
      <c r="AG110" s="77" t="b">
        <f>IF(Tab.11[[#This Row],[a1]]=1,AP110)</f>
        <v>0</v>
      </c>
      <c r="AH110" s="78" t="b">
        <f>IF(Tab.11[[#This Row],[a1]]=1,AQ110)</f>
        <v>0</v>
      </c>
      <c r="AI110" s="41">
        <v>3.0000000000000001E-3</v>
      </c>
      <c r="AJ110" s="79">
        <v>-0.1</v>
      </c>
      <c r="AK110" s="80" t="b">
        <f>IF(Tab.11[[#This Row],[a1]]=1,1)</f>
        <v>0</v>
      </c>
      <c r="AZ110"/>
    </row>
    <row r="111" spans="1:52" ht="14.25" hidden="1" customHeight="1" x14ac:dyDescent="0.25">
      <c r="A111" s="61">
        <f t="shared" si="5"/>
        <v>0</v>
      </c>
      <c r="B111" s="62">
        <f t="shared" si="5"/>
        <v>0</v>
      </c>
      <c r="C111" s="62" t="b">
        <f>IF(Tab.11[[#This Row],[a1]]=1,[3]!Tab_x1[[#This Row],[Name]])</f>
        <v>0</v>
      </c>
      <c r="D111" s="63" t="b">
        <f>IF(Tab.11[[#This Row],[a1]]=1,AO111)</f>
        <v>0</v>
      </c>
      <c r="E111" s="63">
        <f t="shared" si="4"/>
        <v>0</v>
      </c>
      <c r="F111" s="64" t="b">
        <f>IF(Tab.11[[#This Row],[a1]]=1,Tab.11[[#This Row],[b1]])</f>
        <v>0</v>
      </c>
      <c r="G111" s="65" t="b">
        <f>IF(Tab.11[[#This Row],[a1]]=1,IF(Tab.11[[#This Row],[b3]]&gt;$L$989*$G$3,$L$989*$G$3,IF(Tab.11[[#This Row],[b3]]&lt;$M$989*$G$3,$M$989*$G$3,Tab.11[[#This Row],[b3]])))</f>
        <v>0</v>
      </c>
      <c r="H111" s="66" t="b">
        <f>IF(Tab.11[[#This Row],[a1]]=1,Tab.11[[#This Row],[b1]])</f>
        <v>0</v>
      </c>
      <c r="I111" s="67" t="b">
        <f>IF(Tab.11[[#This Row],[a1]]=1,Tab.11[[#This Row],[b1]])</f>
        <v>0</v>
      </c>
      <c r="J111" s="68" t="b">
        <f>IF(Tab.11[[#This Row],[a1]]=1,IF($I$3&lt;0,Tab.11[[#This Row],[b5]]-$I$3,Tab.11[[#This Row],[b5]]))</f>
        <v>0</v>
      </c>
      <c r="K111" s="68" t="b">
        <f>IF(Tab.11[[#This Row],[a1]]=1,IF($K$3=0,Tab.11[b6],Tab.11[[#This Row],[b6]]-AVERAGE(Tab.11[b6])))</f>
        <v>0</v>
      </c>
      <c r="L111" s="69" t="b">
        <f>IF(Tab.11[[#This Row],[a1]]=1,Tab.11[[#This Row],[data]]/(_xlfn.STDEV.P(Tab.11[data])*$B$989)+$A$989)</f>
        <v>0</v>
      </c>
      <c r="M111" s="69" t="b">
        <f>IF(Tab.11[[#This Row],[a1]]=1,Tab.11[[#This Row],[data]]/(_xlfn.STDEV.P(Tab.11[data])*$B$987)-$A$987)</f>
        <v>0</v>
      </c>
      <c r="N111" s="69" t="b">
        <f>IF(Tab.11[[#This Row],[a1]]=1,Tab.11[[#This Row],[data]]/(_xlfn.STDEV.P(Tab.11[data])*$B$988)+$A$988)</f>
        <v>0</v>
      </c>
      <c r="O111" s="70" t="b">
        <f>IF(Tab.11[[#This Row],[a1]]=1,_xlfn.NORM.DIST(Tab.11[[#This Row],[b8]],$P$1,$Q$1,FALSE))</f>
        <v>0</v>
      </c>
      <c r="P111" s="70" t="b">
        <f>IF(Tab.11[[#This Row],[a1]]=1,_xlfn.NORM.DIST(Tab.11[[#This Row],[b9]],$P$1,$Q$1,FALSE))</f>
        <v>0</v>
      </c>
      <c r="Q111" s="70" t="b">
        <f>IF(Tab.11[[#This Row],[a1]]=1,_xlfn.NORM.DIST(Tab.11[[#This Row],[b10]],$P$1,$Q$1,FALSE))</f>
        <v>0</v>
      </c>
      <c r="R111" s="67" t="b">
        <f>IF(Tab.11[[#This Row],[a1]]=1,$I$3+$A$989+IF($K$3=0,Tab.11[[#This Row],[b8]]*_xlfn.STDEV.P(Tab.11[data]),AVERAGE(Tab.11[b6])+Tab.11[[#This Row],[b8]]*_xlfn.STDEV.P(Tab.11[data])))</f>
        <v>0</v>
      </c>
      <c r="S111" s="71" t="b">
        <f>IF(Tab.11[[#This Row],[a1]]=1,$I$3+$A$987+IF($K$3=0,Tab.11[[#This Row],[b9]]*_xlfn.STDEV.P(Tab.11[data]),AVERAGE(Tab.11[b6])+Tab.11[[#This Row],[b9]]*_xlfn.STDEV.P(Tab.11[data])))</f>
        <v>0</v>
      </c>
      <c r="T111" s="71" t="b">
        <f>IF(Tab.11[[#This Row],[a1]]=1,$I$3+$A$988+IF($K$3=0,Tab.11[[#This Row],[b10]]*_xlfn.STDEV.P(Tab.11[data]),AVERAGE(Tab.11[b6])+Tab.11[[#This Row],[b10]]*_xlfn.STDEV.P(Tab.11[data])))</f>
        <v>0</v>
      </c>
      <c r="U111" s="72" t="b">
        <f>IF(Tab.11[[#This Row],[a1]]=1,Tab.11[[#This Row],[target]]-Tab.11[[#This Row],[Red]])</f>
        <v>0</v>
      </c>
      <c r="V111" s="72" t="b">
        <f>IF(Tab.11[[#This Row],[a1]]=1,Tab.11[[#This Row],[target]]-Tab.11[[#This Row],[Blue]])</f>
        <v>0</v>
      </c>
      <c r="W111" s="73" t="b">
        <f>IF(Tab.11[[#This Row],[a1]]=1,IF(ABS(Tab.11[[#This Row],[b17]])+ABS(Tab.11[[#This Row],[b18]])&lt;$W$2,$W$2,ABS(Tab.11[[#This Row],[b17]])+ABS(Tab.11[[#This Row],[b18]])))</f>
        <v>0</v>
      </c>
      <c r="X111" s="136" t="b">
        <f>IF(Tab.11[[#This Row],[a1]]=1,IF($W$3&lt;0,Tab.11[[#This Row],[IN]]-$I$3,Tab.11[[#This Row],[IN]]))</f>
        <v>0</v>
      </c>
      <c r="Y111" s="136" t="b">
        <f>IF(Tab.11[[#This Row],[a1]]=1,IF($X$3=0,Tab.11[b66],Tab.11[[#This Row],[b66]]-AVERAGE(Tab.11[b66])))</f>
        <v>0</v>
      </c>
      <c r="Z111" s="135" t="b">
        <f>IF(Tab.11[[#This Row],[a1]]=1,Tab.11[[#This Row],[b77]]/(_xlfn.STDEV.P(Tab.11[b77])))</f>
        <v>0</v>
      </c>
      <c r="AA111" s="70" t="b">
        <f>IF(Tab.11[[#This Row],[a1]]=1,_xlfn.NORM.DIST(Tab.11[[#This Row],[b88]],$Z$1,$AA$1,FALSE))</f>
        <v>0</v>
      </c>
      <c r="AB111" s="74" t="b">
        <f>IF(Tab.11[[#This Row],[a1]]=1,IF($A$3=0,FALSE,1/Tab.11[[#This Row],[IN]]*$AC$2*IF(Tab.11[[#This Row],[a1]]=0,,$A$3*$AC$1*1/$V$3*(Tab.11[[#This Row],[b14]]))))</f>
        <v>0</v>
      </c>
      <c r="AC111" s="75" t="b">
        <f>IF(Tab.11[[#This Row],[a1]]=1,IF($AC$3=0,Tab.11[[#This Row],[φ1]],Tab.11[[#This Row],[φ1]]/MAX(Tab.11[φ1])))</f>
        <v>0</v>
      </c>
      <c r="AD111" s="74" t="b">
        <f>IF(Tab.11[[#This Row],[a1]]=1,1/Tab.11[[#This Row],[φ2]])</f>
        <v>0</v>
      </c>
      <c r="AE111" s="74" t="b">
        <f>IF(Tab.11[[#This Row],[a1]]=1,IF($AE$3=0,Tab.11[[#This Row],[w.0]],Tab.11[[#This Row],[w.0]]/SUM(Tab.11[w.0])))</f>
        <v>0</v>
      </c>
      <c r="AF111" s="76" t="str">
        <f>IF(Tab.11[[#This Row],[a1]]=0,"false",[3]!Tab.x5[[#This Row],[%_seN_C]])</f>
        <v>false</v>
      </c>
      <c r="AG111" s="77" t="b">
        <f>IF(Tab.11[[#This Row],[a1]]=1,AP111)</f>
        <v>0</v>
      </c>
      <c r="AH111" s="78" t="b">
        <f>IF(Tab.11[[#This Row],[a1]]=1,AQ111)</f>
        <v>0</v>
      </c>
      <c r="AI111" s="41">
        <v>3.0000000000000001E-3</v>
      </c>
      <c r="AJ111" s="79">
        <v>-0.05</v>
      </c>
      <c r="AK111" s="80" t="b">
        <f>IF(Tab.11[[#This Row],[a1]]=1,1)</f>
        <v>0</v>
      </c>
      <c r="AZ111"/>
    </row>
    <row r="112" spans="1:52" ht="14.25" hidden="1" customHeight="1" x14ac:dyDescent="0.25">
      <c r="A112" s="61">
        <f t="shared" si="5"/>
        <v>0</v>
      </c>
      <c r="B112" s="62">
        <f t="shared" si="5"/>
        <v>0</v>
      </c>
      <c r="C112" s="62" t="b">
        <f>IF(Tab.11[[#This Row],[a1]]=1,[3]!Tab_x1[[#This Row],[Name]])</f>
        <v>0</v>
      </c>
      <c r="D112" s="63" t="b">
        <f>IF(Tab.11[[#This Row],[a1]]=1,AO112)</f>
        <v>0</v>
      </c>
      <c r="E112" s="63">
        <f t="shared" si="4"/>
        <v>0</v>
      </c>
      <c r="F112" s="64" t="b">
        <f>IF(Tab.11[[#This Row],[a1]]=1,Tab.11[[#This Row],[b1]])</f>
        <v>0</v>
      </c>
      <c r="G112" s="65" t="b">
        <f>IF(Tab.11[[#This Row],[a1]]=1,IF(Tab.11[[#This Row],[b3]]&gt;$L$989*$G$3,$L$989*$G$3,IF(Tab.11[[#This Row],[b3]]&lt;$M$989*$G$3,$M$989*$G$3,Tab.11[[#This Row],[b3]])))</f>
        <v>0</v>
      </c>
      <c r="H112" s="66" t="b">
        <f>IF(Tab.11[[#This Row],[a1]]=1,Tab.11[[#This Row],[b1]])</f>
        <v>0</v>
      </c>
      <c r="I112" s="67" t="b">
        <f>IF(Tab.11[[#This Row],[a1]]=1,Tab.11[[#This Row],[b1]])</f>
        <v>0</v>
      </c>
      <c r="J112" s="68" t="b">
        <f>IF(Tab.11[[#This Row],[a1]]=1,IF($I$3&lt;0,Tab.11[[#This Row],[b5]]-$I$3,Tab.11[[#This Row],[b5]]))</f>
        <v>0</v>
      </c>
      <c r="K112" s="68" t="b">
        <f>IF(Tab.11[[#This Row],[a1]]=1,IF($K$3=0,Tab.11[b6],Tab.11[[#This Row],[b6]]-AVERAGE(Tab.11[b6])))</f>
        <v>0</v>
      </c>
      <c r="L112" s="69" t="b">
        <f>IF(Tab.11[[#This Row],[a1]]=1,Tab.11[[#This Row],[data]]/(_xlfn.STDEV.P(Tab.11[data])*$B$989)+$A$989)</f>
        <v>0</v>
      </c>
      <c r="M112" s="69" t="b">
        <f>IF(Tab.11[[#This Row],[a1]]=1,Tab.11[[#This Row],[data]]/(_xlfn.STDEV.P(Tab.11[data])*$B$987)-$A$987)</f>
        <v>0</v>
      </c>
      <c r="N112" s="69" t="b">
        <f>IF(Tab.11[[#This Row],[a1]]=1,Tab.11[[#This Row],[data]]/(_xlfn.STDEV.P(Tab.11[data])*$B$988)+$A$988)</f>
        <v>0</v>
      </c>
      <c r="O112" s="70" t="b">
        <f>IF(Tab.11[[#This Row],[a1]]=1,_xlfn.NORM.DIST(Tab.11[[#This Row],[b8]],$P$1,$Q$1,FALSE))</f>
        <v>0</v>
      </c>
      <c r="P112" s="70" t="b">
        <f>IF(Tab.11[[#This Row],[a1]]=1,_xlfn.NORM.DIST(Tab.11[[#This Row],[b9]],$P$1,$Q$1,FALSE))</f>
        <v>0</v>
      </c>
      <c r="Q112" s="70" t="b">
        <f>IF(Tab.11[[#This Row],[a1]]=1,_xlfn.NORM.DIST(Tab.11[[#This Row],[b10]],$P$1,$Q$1,FALSE))</f>
        <v>0</v>
      </c>
      <c r="R112" s="67" t="b">
        <f>IF(Tab.11[[#This Row],[a1]]=1,$I$3+$A$989+IF($K$3=0,Tab.11[[#This Row],[b8]]*_xlfn.STDEV.P(Tab.11[data]),AVERAGE(Tab.11[b6])+Tab.11[[#This Row],[b8]]*_xlfn.STDEV.P(Tab.11[data])))</f>
        <v>0</v>
      </c>
      <c r="S112" s="71" t="b">
        <f>IF(Tab.11[[#This Row],[a1]]=1,$I$3+$A$987+IF($K$3=0,Tab.11[[#This Row],[b9]]*_xlfn.STDEV.P(Tab.11[data]),AVERAGE(Tab.11[b6])+Tab.11[[#This Row],[b9]]*_xlfn.STDEV.P(Tab.11[data])))</f>
        <v>0</v>
      </c>
      <c r="T112" s="71" t="b">
        <f>IF(Tab.11[[#This Row],[a1]]=1,$I$3+$A$988+IF($K$3=0,Tab.11[[#This Row],[b10]]*_xlfn.STDEV.P(Tab.11[data]),AVERAGE(Tab.11[b6])+Tab.11[[#This Row],[b10]]*_xlfn.STDEV.P(Tab.11[data])))</f>
        <v>0</v>
      </c>
      <c r="U112" s="72" t="b">
        <f>IF(Tab.11[[#This Row],[a1]]=1,Tab.11[[#This Row],[target]]-Tab.11[[#This Row],[Red]])</f>
        <v>0</v>
      </c>
      <c r="V112" s="72" t="b">
        <f>IF(Tab.11[[#This Row],[a1]]=1,Tab.11[[#This Row],[target]]-Tab.11[[#This Row],[Blue]])</f>
        <v>0</v>
      </c>
      <c r="W112" s="73" t="b">
        <f>IF(Tab.11[[#This Row],[a1]]=1,IF(ABS(Tab.11[[#This Row],[b17]])+ABS(Tab.11[[#This Row],[b18]])&lt;$W$2,$W$2,ABS(Tab.11[[#This Row],[b17]])+ABS(Tab.11[[#This Row],[b18]])))</f>
        <v>0</v>
      </c>
      <c r="X112" s="136" t="b">
        <f>IF(Tab.11[[#This Row],[a1]]=1,IF($W$3&lt;0,Tab.11[[#This Row],[IN]]-$I$3,Tab.11[[#This Row],[IN]]))</f>
        <v>0</v>
      </c>
      <c r="Y112" s="136" t="b">
        <f>IF(Tab.11[[#This Row],[a1]]=1,IF($X$3=0,Tab.11[b66],Tab.11[[#This Row],[b66]]-AVERAGE(Tab.11[b66])))</f>
        <v>0</v>
      </c>
      <c r="Z112" s="135" t="b">
        <f>IF(Tab.11[[#This Row],[a1]]=1,Tab.11[[#This Row],[b77]]/(_xlfn.STDEV.P(Tab.11[b77])))</f>
        <v>0</v>
      </c>
      <c r="AA112" s="70" t="b">
        <f>IF(Tab.11[[#This Row],[a1]]=1,_xlfn.NORM.DIST(Tab.11[[#This Row],[b88]],$Z$1,$AA$1,FALSE))</f>
        <v>0</v>
      </c>
      <c r="AB112" s="74" t="b">
        <f>IF(Tab.11[[#This Row],[a1]]=1,IF($A$3=0,FALSE,1/Tab.11[[#This Row],[IN]]*$AC$2*IF(Tab.11[[#This Row],[a1]]=0,,$A$3*$AC$1*1/$V$3*(Tab.11[[#This Row],[b14]]))))</f>
        <v>0</v>
      </c>
      <c r="AC112" s="75" t="b">
        <f>IF(Tab.11[[#This Row],[a1]]=1,IF($AC$3=0,Tab.11[[#This Row],[φ1]],Tab.11[[#This Row],[φ1]]/MAX(Tab.11[φ1])))</f>
        <v>0</v>
      </c>
      <c r="AD112" s="74" t="b">
        <f>IF(Tab.11[[#This Row],[a1]]=1,1/Tab.11[[#This Row],[φ2]])</f>
        <v>0</v>
      </c>
      <c r="AE112" s="74" t="b">
        <f>IF(Tab.11[[#This Row],[a1]]=1,IF($AE$3=0,Tab.11[[#This Row],[w.0]],Tab.11[[#This Row],[w.0]]/SUM(Tab.11[w.0])))</f>
        <v>0</v>
      </c>
      <c r="AF112" s="76" t="str">
        <f>IF(Tab.11[[#This Row],[a1]]=0,"false",[3]!Tab.x5[[#This Row],[%_seN_C]])</f>
        <v>false</v>
      </c>
      <c r="AG112" s="77" t="b">
        <f>IF(Tab.11[[#This Row],[a1]]=1,AP112)</f>
        <v>0</v>
      </c>
      <c r="AH112" s="78" t="b">
        <f>IF(Tab.11[[#This Row],[a1]]=1,AQ112)</f>
        <v>0</v>
      </c>
      <c r="AI112" s="41">
        <v>3.0000000000000001E-3</v>
      </c>
      <c r="AJ112" s="79">
        <v>7.0000000000000007E-2</v>
      </c>
      <c r="AK112" s="80" t="b">
        <f>IF(Tab.11[[#This Row],[a1]]=1,1)</f>
        <v>0</v>
      </c>
      <c r="AZ112"/>
    </row>
    <row r="113" spans="1:52" ht="14.25" hidden="1" customHeight="1" x14ac:dyDescent="0.25">
      <c r="A113" s="61">
        <f t="shared" si="5"/>
        <v>0</v>
      </c>
      <c r="B113" s="62">
        <f t="shared" si="5"/>
        <v>0</v>
      </c>
      <c r="C113" s="62" t="b">
        <f>IF(Tab.11[[#This Row],[a1]]=1,[3]!Tab_x1[[#This Row],[Name]])</f>
        <v>0</v>
      </c>
      <c r="D113" s="63" t="b">
        <f>IF(Tab.11[[#This Row],[a1]]=1,AO113)</f>
        <v>0</v>
      </c>
      <c r="E113" s="63">
        <f t="shared" si="4"/>
        <v>0</v>
      </c>
      <c r="F113" s="64" t="b">
        <f>IF(Tab.11[[#This Row],[a1]]=1,Tab.11[[#This Row],[b1]])</f>
        <v>0</v>
      </c>
      <c r="G113" s="65" t="b">
        <f>IF(Tab.11[[#This Row],[a1]]=1,IF(Tab.11[[#This Row],[b3]]&gt;$L$989*$G$3,$L$989*$G$3,IF(Tab.11[[#This Row],[b3]]&lt;$M$989*$G$3,$M$989*$G$3,Tab.11[[#This Row],[b3]])))</f>
        <v>0</v>
      </c>
      <c r="H113" s="66" t="b">
        <f>IF(Tab.11[[#This Row],[a1]]=1,Tab.11[[#This Row],[b1]])</f>
        <v>0</v>
      </c>
      <c r="I113" s="67" t="b">
        <f>IF(Tab.11[[#This Row],[a1]]=1,Tab.11[[#This Row],[b1]])</f>
        <v>0</v>
      </c>
      <c r="J113" s="68" t="b">
        <f>IF(Tab.11[[#This Row],[a1]]=1,IF($I$3&lt;0,Tab.11[[#This Row],[b5]]-$I$3,Tab.11[[#This Row],[b5]]))</f>
        <v>0</v>
      </c>
      <c r="K113" s="68" t="b">
        <f>IF(Tab.11[[#This Row],[a1]]=1,IF($K$3=0,Tab.11[b6],Tab.11[[#This Row],[b6]]-AVERAGE(Tab.11[b6])))</f>
        <v>0</v>
      </c>
      <c r="L113" s="69" t="b">
        <f>IF(Tab.11[[#This Row],[a1]]=1,Tab.11[[#This Row],[data]]/(_xlfn.STDEV.P(Tab.11[data])*$B$989)+$A$989)</f>
        <v>0</v>
      </c>
      <c r="M113" s="69" t="b">
        <f>IF(Tab.11[[#This Row],[a1]]=1,Tab.11[[#This Row],[data]]/(_xlfn.STDEV.P(Tab.11[data])*$B$987)-$A$987)</f>
        <v>0</v>
      </c>
      <c r="N113" s="69" t="b">
        <f>IF(Tab.11[[#This Row],[a1]]=1,Tab.11[[#This Row],[data]]/(_xlfn.STDEV.P(Tab.11[data])*$B$988)+$A$988)</f>
        <v>0</v>
      </c>
      <c r="O113" s="70" t="b">
        <f>IF(Tab.11[[#This Row],[a1]]=1,_xlfn.NORM.DIST(Tab.11[[#This Row],[b8]],$P$1,$Q$1,FALSE))</f>
        <v>0</v>
      </c>
      <c r="P113" s="70" t="b">
        <f>IF(Tab.11[[#This Row],[a1]]=1,_xlfn.NORM.DIST(Tab.11[[#This Row],[b9]],$P$1,$Q$1,FALSE))</f>
        <v>0</v>
      </c>
      <c r="Q113" s="70" t="b">
        <f>IF(Tab.11[[#This Row],[a1]]=1,_xlfn.NORM.DIST(Tab.11[[#This Row],[b10]],$P$1,$Q$1,FALSE))</f>
        <v>0</v>
      </c>
      <c r="R113" s="67" t="b">
        <f>IF(Tab.11[[#This Row],[a1]]=1,$I$3+$A$989+IF($K$3=0,Tab.11[[#This Row],[b8]]*_xlfn.STDEV.P(Tab.11[data]),AVERAGE(Tab.11[b6])+Tab.11[[#This Row],[b8]]*_xlfn.STDEV.P(Tab.11[data])))</f>
        <v>0</v>
      </c>
      <c r="S113" s="71" t="b">
        <f>IF(Tab.11[[#This Row],[a1]]=1,$I$3+$A$987+IF($K$3=0,Tab.11[[#This Row],[b9]]*_xlfn.STDEV.P(Tab.11[data]),AVERAGE(Tab.11[b6])+Tab.11[[#This Row],[b9]]*_xlfn.STDEV.P(Tab.11[data])))</f>
        <v>0</v>
      </c>
      <c r="T113" s="71" t="b">
        <f>IF(Tab.11[[#This Row],[a1]]=1,$I$3+$A$988+IF($K$3=0,Tab.11[[#This Row],[b10]]*_xlfn.STDEV.P(Tab.11[data]),AVERAGE(Tab.11[b6])+Tab.11[[#This Row],[b10]]*_xlfn.STDEV.P(Tab.11[data])))</f>
        <v>0</v>
      </c>
      <c r="U113" s="72" t="b">
        <f>IF(Tab.11[[#This Row],[a1]]=1,Tab.11[[#This Row],[target]]-Tab.11[[#This Row],[Red]])</f>
        <v>0</v>
      </c>
      <c r="V113" s="72" t="b">
        <f>IF(Tab.11[[#This Row],[a1]]=1,Tab.11[[#This Row],[target]]-Tab.11[[#This Row],[Blue]])</f>
        <v>0</v>
      </c>
      <c r="W113" s="73" t="b">
        <f>IF(Tab.11[[#This Row],[a1]]=1,IF(ABS(Tab.11[[#This Row],[b17]])+ABS(Tab.11[[#This Row],[b18]])&lt;$W$2,$W$2,ABS(Tab.11[[#This Row],[b17]])+ABS(Tab.11[[#This Row],[b18]])))</f>
        <v>0</v>
      </c>
      <c r="X113" s="136" t="b">
        <f>IF(Tab.11[[#This Row],[a1]]=1,IF($W$3&lt;0,Tab.11[[#This Row],[IN]]-$I$3,Tab.11[[#This Row],[IN]]))</f>
        <v>0</v>
      </c>
      <c r="Y113" s="136" t="b">
        <f>IF(Tab.11[[#This Row],[a1]]=1,IF($X$3=0,Tab.11[b66],Tab.11[[#This Row],[b66]]-AVERAGE(Tab.11[b66])))</f>
        <v>0</v>
      </c>
      <c r="Z113" s="135" t="b">
        <f>IF(Tab.11[[#This Row],[a1]]=1,Tab.11[[#This Row],[b77]]/(_xlfn.STDEV.P(Tab.11[b77])))</f>
        <v>0</v>
      </c>
      <c r="AA113" s="70" t="b">
        <f>IF(Tab.11[[#This Row],[a1]]=1,_xlfn.NORM.DIST(Tab.11[[#This Row],[b88]],$Z$1,$AA$1,FALSE))</f>
        <v>0</v>
      </c>
      <c r="AB113" s="74" t="b">
        <f>IF(Tab.11[[#This Row],[a1]]=1,IF($A$3=0,FALSE,1/Tab.11[[#This Row],[IN]]*$AC$2*IF(Tab.11[[#This Row],[a1]]=0,,$A$3*$AC$1*1/$V$3*(Tab.11[[#This Row],[b14]]))))</f>
        <v>0</v>
      </c>
      <c r="AC113" s="75" t="b">
        <f>IF(Tab.11[[#This Row],[a1]]=1,IF($AC$3=0,Tab.11[[#This Row],[φ1]],Tab.11[[#This Row],[φ1]]/MAX(Tab.11[φ1])))</f>
        <v>0</v>
      </c>
      <c r="AD113" s="74" t="b">
        <f>IF(Tab.11[[#This Row],[a1]]=1,1/Tab.11[[#This Row],[φ2]])</f>
        <v>0</v>
      </c>
      <c r="AE113" s="74" t="b">
        <f>IF(Tab.11[[#This Row],[a1]]=1,IF($AE$3=0,Tab.11[[#This Row],[w.0]],Tab.11[[#This Row],[w.0]]/SUM(Tab.11[w.0])))</f>
        <v>0</v>
      </c>
      <c r="AF113" s="76" t="str">
        <f>IF(Tab.11[[#This Row],[a1]]=0,"false",[3]!Tab.x5[[#This Row],[%_seN_C]])</f>
        <v>false</v>
      </c>
      <c r="AG113" s="77" t="b">
        <f>IF(Tab.11[[#This Row],[a1]]=1,AP113)</f>
        <v>0</v>
      </c>
      <c r="AH113" s="78" t="b">
        <f>IF(Tab.11[[#This Row],[a1]]=1,AQ113)</f>
        <v>0</v>
      </c>
      <c r="AI113" s="41">
        <v>3.0000000000000001E-3</v>
      </c>
      <c r="AJ113" s="79">
        <v>0.03</v>
      </c>
      <c r="AK113" s="80" t="b">
        <f>IF(Tab.11[[#This Row],[a1]]=1,1)</f>
        <v>0</v>
      </c>
      <c r="AZ113"/>
    </row>
    <row r="114" spans="1:52" ht="14.25" hidden="1" customHeight="1" x14ac:dyDescent="0.25">
      <c r="A114" s="61">
        <f t="shared" si="5"/>
        <v>0</v>
      </c>
      <c r="B114" s="62">
        <f t="shared" si="5"/>
        <v>0</v>
      </c>
      <c r="C114" s="62" t="b">
        <f>IF(Tab.11[[#This Row],[a1]]=1,[3]!Tab_x1[[#This Row],[Name]])</f>
        <v>0</v>
      </c>
      <c r="D114" s="63" t="b">
        <f>IF(Tab.11[[#This Row],[a1]]=1,AO114)</f>
        <v>0</v>
      </c>
      <c r="E114" s="63">
        <f t="shared" si="4"/>
        <v>0</v>
      </c>
      <c r="F114" s="64" t="b">
        <f>IF(Tab.11[[#This Row],[a1]]=1,Tab.11[[#This Row],[b1]])</f>
        <v>0</v>
      </c>
      <c r="G114" s="65" t="b">
        <f>IF(Tab.11[[#This Row],[a1]]=1,IF(Tab.11[[#This Row],[b3]]&gt;$L$989*$G$3,$L$989*$G$3,IF(Tab.11[[#This Row],[b3]]&lt;$M$989*$G$3,$M$989*$G$3,Tab.11[[#This Row],[b3]])))</f>
        <v>0</v>
      </c>
      <c r="H114" s="66" t="b">
        <f>IF(Tab.11[[#This Row],[a1]]=1,Tab.11[[#This Row],[b1]])</f>
        <v>0</v>
      </c>
      <c r="I114" s="67" t="b">
        <f>IF(Tab.11[[#This Row],[a1]]=1,Tab.11[[#This Row],[b1]])</f>
        <v>0</v>
      </c>
      <c r="J114" s="68" t="b">
        <f>IF(Tab.11[[#This Row],[a1]]=1,IF($I$3&lt;0,Tab.11[[#This Row],[b5]]-$I$3,Tab.11[[#This Row],[b5]]))</f>
        <v>0</v>
      </c>
      <c r="K114" s="68" t="b">
        <f>IF(Tab.11[[#This Row],[a1]]=1,IF($K$3=0,Tab.11[b6],Tab.11[[#This Row],[b6]]-AVERAGE(Tab.11[b6])))</f>
        <v>0</v>
      </c>
      <c r="L114" s="69" t="b">
        <f>IF(Tab.11[[#This Row],[a1]]=1,Tab.11[[#This Row],[data]]/(_xlfn.STDEV.P(Tab.11[data])*$B$989)+$A$989)</f>
        <v>0</v>
      </c>
      <c r="M114" s="69" t="b">
        <f>IF(Tab.11[[#This Row],[a1]]=1,Tab.11[[#This Row],[data]]/(_xlfn.STDEV.P(Tab.11[data])*$B$987)-$A$987)</f>
        <v>0</v>
      </c>
      <c r="N114" s="69" t="b">
        <f>IF(Tab.11[[#This Row],[a1]]=1,Tab.11[[#This Row],[data]]/(_xlfn.STDEV.P(Tab.11[data])*$B$988)+$A$988)</f>
        <v>0</v>
      </c>
      <c r="O114" s="70" t="b">
        <f>IF(Tab.11[[#This Row],[a1]]=1,_xlfn.NORM.DIST(Tab.11[[#This Row],[b8]],$P$1,$Q$1,FALSE))</f>
        <v>0</v>
      </c>
      <c r="P114" s="70" t="b">
        <f>IF(Tab.11[[#This Row],[a1]]=1,_xlfn.NORM.DIST(Tab.11[[#This Row],[b9]],$P$1,$Q$1,FALSE))</f>
        <v>0</v>
      </c>
      <c r="Q114" s="70" t="b">
        <f>IF(Tab.11[[#This Row],[a1]]=1,_xlfn.NORM.DIST(Tab.11[[#This Row],[b10]],$P$1,$Q$1,FALSE))</f>
        <v>0</v>
      </c>
      <c r="R114" s="67" t="b">
        <f>IF(Tab.11[[#This Row],[a1]]=1,$I$3+$A$989+IF($K$3=0,Tab.11[[#This Row],[b8]]*_xlfn.STDEV.P(Tab.11[data]),AVERAGE(Tab.11[b6])+Tab.11[[#This Row],[b8]]*_xlfn.STDEV.P(Tab.11[data])))</f>
        <v>0</v>
      </c>
      <c r="S114" s="71" t="b">
        <f>IF(Tab.11[[#This Row],[a1]]=1,$I$3+$A$987+IF($K$3=0,Tab.11[[#This Row],[b9]]*_xlfn.STDEV.P(Tab.11[data]),AVERAGE(Tab.11[b6])+Tab.11[[#This Row],[b9]]*_xlfn.STDEV.P(Tab.11[data])))</f>
        <v>0</v>
      </c>
      <c r="T114" s="71" t="b">
        <f>IF(Tab.11[[#This Row],[a1]]=1,$I$3+$A$988+IF($K$3=0,Tab.11[[#This Row],[b10]]*_xlfn.STDEV.P(Tab.11[data]),AVERAGE(Tab.11[b6])+Tab.11[[#This Row],[b10]]*_xlfn.STDEV.P(Tab.11[data])))</f>
        <v>0</v>
      </c>
      <c r="U114" s="72" t="b">
        <f>IF(Tab.11[[#This Row],[a1]]=1,Tab.11[[#This Row],[target]]-Tab.11[[#This Row],[Red]])</f>
        <v>0</v>
      </c>
      <c r="V114" s="72" t="b">
        <f>IF(Tab.11[[#This Row],[a1]]=1,Tab.11[[#This Row],[target]]-Tab.11[[#This Row],[Blue]])</f>
        <v>0</v>
      </c>
      <c r="W114" s="73" t="b">
        <f>IF(Tab.11[[#This Row],[a1]]=1,IF(ABS(Tab.11[[#This Row],[b17]])+ABS(Tab.11[[#This Row],[b18]])&lt;$W$2,$W$2,ABS(Tab.11[[#This Row],[b17]])+ABS(Tab.11[[#This Row],[b18]])))</f>
        <v>0</v>
      </c>
      <c r="X114" s="136" t="b">
        <f>IF(Tab.11[[#This Row],[a1]]=1,IF($W$3&lt;0,Tab.11[[#This Row],[IN]]-$I$3,Tab.11[[#This Row],[IN]]))</f>
        <v>0</v>
      </c>
      <c r="Y114" s="136" t="b">
        <f>IF(Tab.11[[#This Row],[a1]]=1,IF($X$3=0,Tab.11[b66],Tab.11[[#This Row],[b66]]-AVERAGE(Tab.11[b66])))</f>
        <v>0</v>
      </c>
      <c r="Z114" s="135" t="b">
        <f>IF(Tab.11[[#This Row],[a1]]=1,Tab.11[[#This Row],[b77]]/(_xlfn.STDEV.P(Tab.11[b77])))</f>
        <v>0</v>
      </c>
      <c r="AA114" s="70" t="b">
        <f>IF(Tab.11[[#This Row],[a1]]=1,_xlfn.NORM.DIST(Tab.11[[#This Row],[b88]],$Z$1,$AA$1,FALSE))</f>
        <v>0</v>
      </c>
      <c r="AB114" s="74" t="b">
        <f>IF(Tab.11[[#This Row],[a1]]=1,IF($A$3=0,FALSE,1/Tab.11[[#This Row],[IN]]*$AC$2*IF(Tab.11[[#This Row],[a1]]=0,,$A$3*$AC$1*1/$V$3*(Tab.11[[#This Row],[b14]]))))</f>
        <v>0</v>
      </c>
      <c r="AC114" s="75" t="b">
        <f>IF(Tab.11[[#This Row],[a1]]=1,IF($AC$3=0,Tab.11[[#This Row],[φ1]],Tab.11[[#This Row],[φ1]]/MAX(Tab.11[φ1])))</f>
        <v>0</v>
      </c>
      <c r="AD114" s="74" t="b">
        <f>IF(Tab.11[[#This Row],[a1]]=1,1/Tab.11[[#This Row],[φ2]])</f>
        <v>0</v>
      </c>
      <c r="AE114" s="74" t="b">
        <f>IF(Tab.11[[#This Row],[a1]]=1,IF($AE$3=0,Tab.11[[#This Row],[w.0]],Tab.11[[#This Row],[w.0]]/SUM(Tab.11[w.0])))</f>
        <v>0</v>
      </c>
      <c r="AF114" s="76" t="str">
        <f>IF(Tab.11[[#This Row],[a1]]=0,"false",[3]!Tab.x5[[#This Row],[%_seN_C]])</f>
        <v>false</v>
      </c>
      <c r="AG114" s="77" t="b">
        <f>IF(Tab.11[[#This Row],[a1]]=1,AP114)</f>
        <v>0</v>
      </c>
      <c r="AH114" s="78" t="b">
        <f>IF(Tab.11[[#This Row],[a1]]=1,AQ114)</f>
        <v>0</v>
      </c>
      <c r="AI114" s="41">
        <v>3.0000000000000001E-3</v>
      </c>
      <c r="AJ114" s="79">
        <v>0.08</v>
      </c>
      <c r="AK114" s="80" t="b">
        <f>IF(Tab.11[[#This Row],[a1]]=1,1)</f>
        <v>0</v>
      </c>
      <c r="AZ114"/>
    </row>
    <row r="115" spans="1:52" ht="14.25" hidden="1" customHeight="1" x14ac:dyDescent="0.25">
      <c r="A115" s="61">
        <f t="shared" si="5"/>
        <v>0</v>
      </c>
      <c r="B115" s="62">
        <f t="shared" si="5"/>
        <v>0</v>
      </c>
      <c r="C115" s="62" t="b">
        <f>IF(Tab.11[[#This Row],[a1]]=1,[3]!Tab_x1[[#This Row],[Name]])</f>
        <v>0</v>
      </c>
      <c r="D115" s="63" t="b">
        <f>IF(Tab.11[[#This Row],[a1]]=1,AO115)</f>
        <v>0</v>
      </c>
      <c r="E115" s="63">
        <f t="shared" si="4"/>
        <v>0</v>
      </c>
      <c r="F115" s="64" t="b">
        <f>IF(Tab.11[[#This Row],[a1]]=1,Tab.11[[#This Row],[b1]])</f>
        <v>0</v>
      </c>
      <c r="G115" s="65" t="b">
        <f>IF(Tab.11[[#This Row],[a1]]=1,IF(Tab.11[[#This Row],[b3]]&gt;$L$989*$G$3,$L$989*$G$3,IF(Tab.11[[#This Row],[b3]]&lt;$M$989*$G$3,$M$989*$G$3,Tab.11[[#This Row],[b3]])))</f>
        <v>0</v>
      </c>
      <c r="H115" s="66" t="b">
        <f>IF(Tab.11[[#This Row],[a1]]=1,Tab.11[[#This Row],[b1]])</f>
        <v>0</v>
      </c>
      <c r="I115" s="67" t="b">
        <f>IF(Tab.11[[#This Row],[a1]]=1,Tab.11[[#This Row],[b1]])</f>
        <v>0</v>
      </c>
      <c r="J115" s="68" t="b">
        <f>IF(Tab.11[[#This Row],[a1]]=1,IF($I$3&lt;0,Tab.11[[#This Row],[b5]]-$I$3,Tab.11[[#This Row],[b5]]))</f>
        <v>0</v>
      </c>
      <c r="K115" s="68" t="b">
        <f>IF(Tab.11[[#This Row],[a1]]=1,IF($K$3=0,Tab.11[b6],Tab.11[[#This Row],[b6]]-AVERAGE(Tab.11[b6])))</f>
        <v>0</v>
      </c>
      <c r="L115" s="69" t="b">
        <f>IF(Tab.11[[#This Row],[a1]]=1,Tab.11[[#This Row],[data]]/(_xlfn.STDEV.P(Tab.11[data])*$B$989)+$A$989)</f>
        <v>0</v>
      </c>
      <c r="M115" s="69" t="b">
        <f>IF(Tab.11[[#This Row],[a1]]=1,Tab.11[[#This Row],[data]]/(_xlfn.STDEV.P(Tab.11[data])*$B$987)-$A$987)</f>
        <v>0</v>
      </c>
      <c r="N115" s="69" t="b">
        <f>IF(Tab.11[[#This Row],[a1]]=1,Tab.11[[#This Row],[data]]/(_xlfn.STDEV.P(Tab.11[data])*$B$988)+$A$988)</f>
        <v>0</v>
      </c>
      <c r="O115" s="70" t="b">
        <f>IF(Tab.11[[#This Row],[a1]]=1,_xlfn.NORM.DIST(Tab.11[[#This Row],[b8]],$P$1,$Q$1,FALSE))</f>
        <v>0</v>
      </c>
      <c r="P115" s="70" t="b">
        <f>IF(Tab.11[[#This Row],[a1]]=1,_xlfn.NORM.DIST(Tab.11[[#This Row],[b9]],$P$1,$Q$1,FALSE))</f>
        <v>0</v>
      </c>
      <c r="Q115" s="70" t="b">
        <f>IF(Tab.11[[#This Row],[a1]]=1,_xlfn.NORM.DIST(Tab.11[[#This Row],[b10]],$P$1,$Q$1,FALSE))</f>
        <v>0</v>
      </c>
      <c r="R115" s="67" t="b">
        <f>IF(Tab.11[[#This Row],[a1]]=1,$I$3+$A$989+IF($K$3=0,Tab.11[[#This Row],[b8]]*_xlfn.STDEV.P(Tab.11[data]),AVERAGE(Tab.11[b6])+Tab.11[[#This Row],[b8]]*_xlfn.STDEV.P(Tab.11[data])))</f>
        <v>0</v>
      </c>
      <c r="S115" s="71" t="b">
        <f>IF(Tab.11[[#This Row],[a1]]=1,$I$3+$A$987+IF($K$3=0,Tab.11[[#This Row],[b9]]*_xlfn.STDEV.P(Tab.11[data]),AVERAGE(Tab.11[b6])+Tab.11[[#This Row],[b9]]*_xlfn.STDEV.P(Tab.11[data])))</f>
        <v>0</v>
      </c>
      <c r="T115" s="71" t="b">
        <f>IF(Tab.11[[#This Row],[a1]]=1,$I$3+$A$988+IF($K$3=0,Tab.11[[#This Row],[b10]]*_xlfn.STDEV.P(Tab.11[data]),AVERAGE(Tab.11[b6])+Tab.11[[#This Row],[b10]]*_xlfn.STDEV.P(Tab.11[data])))</f>
        <v>0</v>
      </c>
      <c r="U115" s="72" t="b">
        <f>IF(Tab.11[[#This Row],[a1]]=1,Tab.11[[#This Row],[target]]-Tab.11[[#This Row],[Red]])</f>
        <v>0</v>
      </c>
      <c r="V115" s="72" t="b">
        <f>IF(Tab.11[[#This Row],[a1]]=1,Tab.11[[#This Row],[target]]-Tab.11[[#This Row],[Blue]])</f>
        <v>0</v>
      </c>
      <c r="W115" s="73" t="b">
        <f>IF(Tab.11[[#This Row],[a1]]=1,IF(ABS(Tab.11[[#This Row],[b17]])+ABS(Tab.11[[#This Row],[b18]])&lt;$W$2,$W$2,ABS(Tab.11[[#This Row],[b17]])+ABS(Tab.11[[#This Row],[b18]])))</f>
        <v>0</v>
      </c>
      <c r="X115" s="136" t="b">
        <f>IF(Tab.11[[#This Row],[a1]]=1,IF($W$3&lt;0,Tab.11[[#This Row],[IN]]-$I$3,Tab.11[[#This Row],[IN]]))</f>
        <v>0</v>
      </c>
      <c r="Y115" s="136" t="b">
        <f>IF(Tab.11[[#This Row],[a1]]=1,IF($X$3=0,Tab.11[b66],Tab.11[[#This Row],[b66]]-AVERAGE(Tab.11[b66])))</f>
        <v>0</v>
      </c>
      <c r="Z115" s="135" t="b">
        <f>IF(Tab.11[[#This Row],[a1]]=1,Tab.11[[#This Row],[b77]]/(_xlfn.STDEV.P(Tab.11[b77])))</f>
        <v>0</v>
      </c>
      <c r="AA115" s="70" t="b">
        <f>IF(Tab.11[[#This Row],[a1]]=1,_xlfn.NORM.DIST(Tab.11[[#This Row],[b88]],$Z$1,$AA$1,FALSE))</f>
        <v>0</v>
      </c>
      <c r="AB115" s="74" t="b">
        <f>IF(Tab.11[[#This Row],[a1]]=1,IF($A$3=0,FALSE,1/Tab.11[[#This Row],[IN]]*$AC$2*IF(Tab.11[[#This Row],[a1]]=0,,$A$3*$AC$1*1/$V$3*(Tab.11[[#This Row],[b14]]))))</f>
        <v>0</v>
      </c>
      <c r="AC115" s="75" t="b">
        <f>IF(Tab.11[[#This Row],[a1]]=1,IF($AC$3=0,Tab.11[[#This Row],[φ1]],Tab.11[[#This Row],[φ1]]/MAX(Tab.11[φ1])))</f>
        <v>0</v>
      </c>
      <c r="AD115" s="74" t="b">
        <f>IF(Tab.11[[#This Row],[a1]]=1,1/Tab.11[[#This Row],[φ2]])</f>
        <v>0</v>
      </c>
      <c r="AE115" s="74" t="b">
        <f>IF(Tab.11[[#This Row],[a1]]=1,IF($AE$3=0,Tab.11[[#This Row],[w.0]],Tab.11[[#This Row],[w.0]]/SUM(Tab.11[w.0])))</f>
        <v>0</v>
      </c>
      <c r="AF115" s="76" t="str">
        <f>IF(Tab.11[[#This Row],[a1]]=0,"false",[3]!Tab.x5[[#This Row],[%_seN_C]])</f>
        <v>false</v>
      </c>
      <c r="AG115" s="77" t="b">
        <f>IF(Tab.11[[#This Row],[a1]]=1,AP115)</f>
        <v>0</v>
      </c>
      <c r="AH115" s="78" t="b">
        <f>IF(Tab.11[[#This Row],[a1]]=1,AQ115)</f>
        <v>0</v>
      </c>
      <c r="AI115" s="41">
        <v>3.0000000000000001E-3</v>
      </c>
      <c r="AJ115" s="79">
        <v>0.03</v>
      </c>
      <c r="AK115" s="80" t="b">
        <f>IF(Tab.11[[#This Row],[a1]]=1,1)</f>
        <v>0</v>
      </c>
      <c r="AZ115"/>
    </row>
    <row r="116" spans="1:52" ht="14.25" hidden="1" customHeight="1" x14ac:dyDescent="0.25">
      <c r="A116" s="61">
        <f t="shared" si="5"/>
        <v>0</v>
      </c>
      <c r="B116" s="62">
        <f t="shared" si="5"/>
        <v>0</v>
      </c>
      <c r="C116" s="62" t="b">
        <f>IF(Tab.11[[#This Row],[a1]]=1,[3]!Tab_x1[[#This Row],[Name]])</f>
        <v>0</v>
      </c>
      <c r="D116" s="63" t="b">
        <f>IF(Tab.11[[#This Row],[a1]]=1,AO116)</f>
        <v>0</v>
      </c>
      <c r="E116" s="63">
        <f t="shared" si="4"/>
        <v>0</v>
      </c>
      <c r="F116" s="64" t="b">
        <f>IF(Tab.11[[#This Row],[a1]]=1,Tab.11[[#This Row],[b1]])</f>
        <v>0</v>
      </c>
      <c r="G116" s="65" t="b">
        <f>IF(Tab.11[[#This Row],[a1]]=1,IF(Tab.11[[#This Row],[b3]]&gt;$L$989*$G$3,$L$989*$G$3,IF(Tab.11[[#This Row],[b3]]&lt;$M$989*$G$3,$M$989*$G$3,Tab.11[[#This Row],[b3]])))</f>
        <v>0</v>
      </c>
      <c r="H116" s="66" t="b">
        <f>IF(Tab.11[[#This Row],[a1]]=1,Tab.11[[#This Row],[b1]])</f>
        <v>0</v>
      </c>
      <c r="I116" s="67" t="b">
        <f>IF(Tab.11[[#This Row],[a1]]=1,Tab.11[[#This Row],[b1]])</f>
        <v>0</v>
      </c>
      <c r="J116" s="68" t="b">
        <f>IF(Tab.11[[#This Row],[a1]]=1,IF($I$3&lt;0,Tab.11[[#This Row],[b5]]-$I$3,Tab.11[[#This Row],[b5]]))</f>
        <v>0</v>
      </c>
      <c r="K116" s="68" t="b">
        <f>IF(Tab.11[[#This Row],[a1]]=1,IF($K$3=0,Tab.11[b6],Tab.11[[#This Row],[b6]]-AVERAGE(Tab.11[b6])))</f>
        <v>0</v>
      </c>
      <c r="L116" s="69" t="b">
        <f>IF(Tab.11[[#This Row],[a1]]=1,Tab.11[[#This Row],[data]]/(_xlfn.STDEV.P(Tab.11[data])*$B$989)+$A$989)</f>
        <v>0</v>
      </c>
      <c r="M116" s="69" t="b">
        <f>IF(Tab.11[[#This Row],[a1]]=1,Tab.11[[#This Row],[data]]/(_xlfn.STDEV.P(Tab.11[data])*$B$987)-$A$987)</f>
        <v>0</v>
      </c>
      <c r="N116" s="69" t="b">
        <f>IF(Tab.11[[#This Row],[a1]]=1,Tab.11[[#This Row],[data]]/(_xlfn.STDEV.P(Tab.11[data])*$B$988)+$A$988)</f>
        <v>0</v>
      </c>
      <c r="O116" s="70" t="b">
        <f>IF(Tab.11[[#This Row],[a1]]=1,_xlfn.NORM.DIST(Tab.11[[#This Row],[b8]],$P$1,$Q$1,FALSE))</f>
        <v>0</v>
      </c>
      <c r="P116" s="70" t="b">
        <f>IF(Tab.11[[#This Row],[a1]]=1,_xlfn.NORM.DIST(Tab.11[[#This Row],[b9]],$P$1,$Q$1,FALSE))</f>
        <v>0</v>
      </c>
      <c r="Q116" s="70" t="b">
        <f>IF(Tab.11[[#This Row],[a1]]=1,_xlfn.NORM.DIST(Tab.11[[#This Row],[b10]],$P$1,$Q$1,FALSE))</f>
        <v>0</v>
      </c>
      <c r="R116" s="67" t="b">
        <f>IF(Tab.11[[#This Row],[a1]]=1,$I$3+$A$989+IF($K$3=0,Tab.11[[#This Row],[b8]]*_xlfn.STDEV.P(Tab.11[data]),AVERAGE(Tab.11[b6])+Tab.11[[#This Row],[b8]]*_xlfn.STDEV.P(Tab.11[data])))</f>
        <v>0</v>
      </c>
      <c r="S116" s="71" t="b">
        <f>IF(Tab.11[[#This Row],[a1]]=1,$I$3+$A$987+IF($K$3=0,Tab.11[[#This Row],[b9]]*_xlfn.STDEV.P(Tab.11[data]),AVERAGE(Tab.11[b6])+Tab.11[[#This Row],[b9]]*_xlfn.STDEV.P(Tab.11[data])))</f>
        <v>0</v>
      </c>
      <c r="T116" s="71" t="b">
        <f>IF(Tab.11[[#This Row],[a1]]=1,$I$3+$A$988+IF($K$3=0,Tab.11[[#This Row],[b10]]*_xlfn.STDEV.P(Tab.11[data]),AVERAGE(Tab.11[b6])+Tab.11[[#This Row],[b10]]*_xlfn.STDEV.P(Tab.11[data])))</f>
        <v>0</v>
      </c>
      <c r="U116" s="72" t="b">
        <f>IF(Tab.11[[#This Row],[a1]]=1,Tab.11[[#This Row],[target]]-Tab.11[[#This Row],[Red]])</f>
        <v>0</v>
      </c>
      <c r="V116" s="72" t="b">
        <f>IF(Tab.11[[#This Row],[a1]]=1,Tab.11[[#This Row],[target]]-Tab.11[[#This Row],[Blue]])</f>
        <v>0</v>
      </c>
      <c r="W116" s="73" t="b">
        <f>IF(Tab.11[[#This Row],[a1]]=1,IF(ABS(Tab.11[[#This Row],[b17]])+ABS(Tab.11[[#This Row],[b18]])&lt;$W$2,$W$2,ABS(Tab.11[[#This Row],[b17]])+ABS(Tab.11[[#This Row],[b18]])))</f>
        <v>0</v>
      </c>
      <c r="X116" s="136" t="b">
        <f>IF(Tab.11[[#This Row],[a1]]=1,IF($W$3&lt;0,Tab.11[[#This Row],[IN]]-$I$3,Tab.11[[#This Row],[IN]]))</f>
        <v>0</v>
      </c>
      <c r="Y116" s="136" t="b">
        <f>IF(Tab.11[[#This Row],[a1]]=1,IF($X$3=0,Tab.11[b66],Tab.11[[#This Row],[b66]]-AVERAGE(Tab.11[b66])))</f>
        <v>0</v>
      </c>
      <c r="Z116" s="135" t="b">
        <f>IF(Tab.11[[#This Row],[a1]]=1,Tab.11[[#This Row],[b77]]/(_xlfn.STDEV.P(Tab.11[b77])))</f>
        <v>0</v>
      </c>
      <c r="AA116" s="70" t="b">
        <f>IF(Tab.11[[#This Row],[a1]]=1,_xlfn.NORM.DIST(Tab.11[[#This Row],[b88]],$Z$1,$AA$1,FALSE))</f>
        <v>0</v>
      </c>
      <c r="AB116" s="74" t="b">
        <f>IF(Tab.11[[#This Row],[a1]]=1,IF($A$3=0,FALSE,1/Tab.11[[#This Row],[IN]]*$AC$2*IF(Tab.11[[#This Row],[a1]]=0,,$A$3*$AC$1*1/$V$3*(Tab.11[[#This Row],[b14]]))))</f>
        <v>0</v>
      </c>
      <c r="AC116" s="75" t="b">
        <f>IF(Tab.11[[#This Row],[a1]]=1,IF($AC$3=0,Tab.11[[#This Row],[φ1]],Tab.11[[#This Row],[φ1]]/MAX(Tab.11[φ1])))</f>
        <v>0</v>
      </c>
      <c r="AD116" s="74" t="b">
        <f>IF(Tab.11[[#This Row],[a1]]=1,1/Tab.11[[#This Row],[φ2]])</f>
        <v>0</v>
      </c>
      <c r="AE116" s="74" t="b">
        <f>IF(Tab.11[[#This Row],[a1]]=1,IF($AE$3=0,Tab.11[[#This Row],[w.0]],Tab.11[[#This Row],[w.0]]/SUM(Tab.11[w.0])))</f>
        <v>0</v>
      </c>
      <c r="AF116" s="76" t="str">
        <f>IF(Tab.11[[#This Row],[a1]]=0,"false",[3]!Tab.x5[[#This Row],[%_seN_C]])</f>
        <v>false</v>
      </c>
      <c r="AG116" s="77" t="b">
        <f>IF(Tab.11[[#This Row],[a1]]=1,AP116)</f>
        <v>0</v>
      </c>
      <c r="AH116" s="78" t="b">
        <f>IF(Tab.11[[#This Row],[a1]]=1,AQ116)</f>
        <v>0</v>
      </c>
      <c r="AI116" s="41">
        <v>3.0000000000000001E-3</v>
      </c>
      <c r="AJ116" s="79">
        <v>-0.04</v>
      </c>
      <c r="AK116" s="80" t="b">
        <f>IF(Tab.11[[#This Row],[a1]]=1,1)</f>
        <v>0</v>
      </c>
      <c r="AZ116"/>
    </row>
    <row r="117" spans="1:52" ht="14.25" hidden="1" customHeight="1" x14ac:dyDescent="0.25">
      <c r="A117" s="61">
        <f t="shared" si="5"/>
        <v>0</v>
      </c>
      <c r="B117" s="62">
        <f t="shared" si="5"/>
        <v>0</v>
      </c>
      <c r="C117" s="62" t="b">
        <f>IF(Tab.11[[#This Row],[a1]]=1,[3]!Tab_x1[[#This Row],[Name]])</f>
        <v>0</v>
      </c>
      <c r="D117" s="63" t="b">
        <f>IF(Tab.11[[#This Row],[a1]]=1,AO117)</f>
        <v>0</v>
      </c>
      <c r="E117" s="63">
        <f t="shared" si="4"/>
        <v>0</v>
      </c>
      <c r="F117" s="64" t="b">
        <f>IF(Tab.11[[#This Row],[a1]]=1,Tab.11[[#This Row],[b1]])</f>
        <v>0</v>
      </c>
      <c r="G117" s="65" t="b">
        <f>IF(Tab.11[[#This Row],[a1]]=1,IF(Tab.11[[#This Row],[b3]]&gt;$L$989*$G$3,$L$989*$G$3,IF(Tab.11[[#This Row],[b3]]&lt;$M$989*$G$3,$M$989*$G$3,Tab.11[[#This Row],[b3]])))</f>
        <v>0</v>
      </c>
      <c r="H117" s="66" t="b">
        <f>IF(Tab.11[[#This Row],[a1]]=1,Tab.11[[#This Row],[b1]])</f>
        <v>0</v>
      </c>
      <c r="I117" s="67" t="b">
        <f>IF(Tab.11[[#This Row],[a1]]=1,Tab.11[[#This Row],[b1]])</f>
        <v>0</v>
      </c>
      <c r="J117" s="68" t="b">
        <f>IF(Tab.11[[#This Row],[a1]]=1,IF($I$3&lt;0,Tab.11[[#This Row],[b5]]-$I$3,Tab.11[[#This Row],[b5]]))</f>
        <v>0</v>
      </c>
      <c r="K117" s="68" t="b">
        <f>IF(Tab.11[[#This Row],[a1]]=1,IF($K$3=0,Tab.11[b6],Tab.11[[#This Row],[b6]]-AVERAGE(Tab.11[b6])))</f>
        <v>0</v>
      </c>
      <c r="L117" s="69" t="b">
        <f>IF(Tab.11[[#This Row],[a1]]=1,Tab.11[[#This Row],[data]]/(_xlfn.STDEV.P(Tab.11[data])*$B$989)+$A$989)</f>
        <v>0</v>
      </c>
      <c r="M117" s="69" t="b">
        <f>IF(Tab.11[[#This Row],[a1]]=1,Tab.11[[#This Row],[data]]/(_xlfn.STDEV.P(Tab.11[data])*$B$987)-$A$987)</f>
        <v>0</v>
      </c>
      <c r="N117" s="69" t="b">
        <f>IF(Tab.11[[#This Row],[a1]]=1,Tab.11[[#This Row],[data]]/(_xlfn.STDEV.P(Tab.11[data])*$B$988)+$A$988)</f>
        <v>0</v>
      </c>
      <c r="O117" s="70" t="b">
        <f>IF(Tab.11[[#This Row],[a1]]=1,_xlfn.NORM.DIST(Tab.11[[#This Row],[b8]],$P$1,$Q$1,FALSE))</f>
        <v>0</v>
      </c>
      <c r="P117" s="70" t="b">
        <f>IF(Tab.11[[#This Row],[a1]]=1,_xlfn.NORM.DIST(Tab.11[[#This Row],[b9]],$P$1,$Q$1,FALSE))</f>
        <v>0</v>
      </c>
      <c r="Q117" s="70" t="b">
        <f>IF(Tab.11[[#This Row],[a1]]=1,_xlfn.NORM.DIST(Tab.11[[#This Row],[b10]],$P$1,$Q$1,FALSE))</f>
        <v>0</v>
      </c>
      <c r="R117" s="67" t="b">
        <f>IF(Tab.11[[#This Row],[a1]]=1,$I$3+$A$989+IF($K$3=0,Tab.11[[#This Row],[b8]]*_xlfn.STDEV.P(Tab.11[data]),AVERAGE(Tab.11[b6])+Tab.11[[#This Row],[b8]]*_xlfn.STDEV.P(Tab.11[data])))</f>
        <v>0</v>
      </c>
      <c r="S117" s="71" t="b">
        <f>IF(Tab.11[[#This Row],[a1]]=1,$I$3+$A$987+IF($K$3=0,Tab.11[[#This Row],[b9]]*_xlfn.STDEV.P(Tab.11[data]),AVERAGE(Tab.11[b6])+Tab.11[[#This Row],[b9]]*_xlfn.STDEV.P(Tab.11[data])))</f>
        <v>0</v>
      </c>
      <c r="T117" s="71" t="b">
        <f>IF(Tab.11[[#This Row],[a1]]=1,$I$3+$A$988+IF($K$3=0,Tab.11[[#This Row],[b10]]*_xlfn.STDEV.P(Tab.11[data]),AVERAGE(Tab.11[b6])+Tab.11[[#This Row],[b10]]*_xlfn.STDEV.P(Tab.11[data])))</f>
        <v>0</v>
      </c>
      <c r="U117" s="72" t="b">
        <f>IF(Tab.11[[#This Row],[a1]]=1,Tab.11[[#This Row],[target]]-Tab.11[[#This Row],[Red]])</f>
        <v>0</v>
      </c>
      <c r="V117" s="72" t="b">
        <f>IF(Tab.11[[#This Row],[a1]]=1,Tab.11[[#This Row],[target]]-Tab.11[[#This Row],[Blue]])</f>
        <v>0</v>
      </c>
      <c r="W117" s="73" t="b">
        <f>IF(Tab.11[[#This Row],[a1]]=1,IF(ABS(Tab.11[[#This Row],[b17]])+ABS(Tab.11[[#This Row],[b18]])&lt;$W$2,$W$2,ABS(Tab.11[[#This Row],[b17]])+ABS(Tab.11[[#This Row],[b18]])))</f>
        <v>0</v>
      </c>
      <c r="X117" s="136" t="b">
        <f>IF(Tab.11[[#This Row],[a1]]=1,IF($W$3&lt;0,Tab.11[[#This Row],[IN]]-$I$3,Tab.11[[#This Row],[IN]]))</f>
        <v>0</v>
      </c>
      <c r="Y117" s="136" t="b">
        <f>IF(Tab.11[[#This Row],[a1]]=1,IF($X$3=0,Tab.11[b66],Tab.11[[#This Row],[b66]]-AVERAGE(Tab.11[b66])))</f>
        <v>0</v>
      </c>
      <c r="Z117" s="135" t="b">
        <f>IF(Tab.11[[#This Row],[a1]]=1,Tab.11[[#This Row],[b77]]/(_xlfn.STDEV.P(Tab.11[b77])))</f>
        <v>0</v>
      </c>
      <c r="AA117" s="70" t="b">
        <f>IF(Tab.11[[#This Row],[a1]]=1,_xlfn.NORM.DIST(Tab.11[[#This Row],[b88]],$Z$1,$AA$1,FALSE))</f>
        <v>0</v>
      </c>
      <c r="AB117" s="74" t="b">
        <f>IF(Tab.11[[#This Row],[a1]]=1,IF($A$3=0,FALSE,1/Tab.11[[#This Row],[IN]]*$AC$2*IF(Tab.11[[#This Row],[a1]]=0,,$A$3*$AC$1*1/$V$3*(Tab.11[[#This Row],[b14]]))))</f>
        <v>0</v>
      </c>
      <c r="AC117" s="75" t="b">
        <f>IF(Tab.11[[#This Row],[a1]]=1,IF($AC$3=0,Tab.11[[#This Row],[φ1]],Tab.11[[#This Row],[φ1]]/MAX(Tab.11[φ1])))</f>
        <v>0</v>
      </c>
      <c r="AD117" s="74" t="b">
        <f>IF(Tab.11[[#This Row],[a1]]=1,1/Tab.11[[#This Row],[φ2]])</f>
        <v>0</v>
      </c>
      <c r="AE117" s="74" t="b">
        <f>IF(Tab.11[[#This Row],[a1]]=1,IF($AE$3=0,Tab.11[[#This Row],[w.0]],Tab.11[[#This Row],[w.0]]/SUM(Tab.11[w.0])))</f>
        <v>0</v>
      </c>
      <c r="AF117" s="76" t="str">
        <f>IF(Tab.11[[#This Row],[a1]]=0,"false",[3]!Tab.x5[[#This Row],[%_seN_C]])</f>
        <v>false</v>
      </c>
      <c r="AG117" s="77" t="b">
        <f>IF(Tab.11[[#This Row],[a1]]=1,AP117)</f>
        <v>0</v>
      </c>
      <c r="AH117" s="78" t="b">
        <f>IF(Tab.11[[#This Row],[a1]]=1,AQ117)</f>
        <v>0</v>
      </c>
      <c r="AI117" s="41">
        <v>3.0000000000000001E-3</v>
      </c>
      <c r="AJ117" s="79">
        <v>-0.05</v>
      </c>
      <c r="AK117" s="80" t="b">
        <f>IF(Tab.11[[#This Row],[a1]]=1,1)</f>
        <v>0</v>
      </c>
      <c r="AZ117"/>
    </row>
    <row r="118" spans="1:52" ht="14.25" hidden="1" customHeight="1" x14ac:dyDescent="0.25">
      <c r="A118" s="61">
        <f t="shared" si="5"/>
        <v>0</v>
      </c>
      <c r="B118" s="62">
        <f t="shared" si="5"/>
        <v>0</v>
      </c>
      <c r="C118" s="62" t="b">
        <f>IF(Tab.11[[#This Row],[a1]]=1,[3]!Tab_x1[[#This Row],[Name]])</f>
        <v>0</v>
      </c>
      <c r="D118" s="63" t="b">
        <f>IF(Tab.11[[#This Row],[a1]]=1,AO118)</f>
        <v>0</v>
      </c>
      <c r="E118" s="63">
        <f t="shared" si="4"/>
        <v>0</v>
      </c>
      <c r="F118" s="64" t="b">
        <f>IF(Tab.11[[#This Row],[a1]]=1,Tab.11[[#This Row],[b1]])</f>
        <v>0</v>
      </c>
      <c r="G118" s="65" t="b">
        <f>IF(Tab.11[[#This Row],[a1]]=1,IF(Tab.11[[#This Row],[b3]]&gt;$L$989*$G$3,$L$989*$G$3,IF(Tab.11[[#This Row],[b3]]&lt;$M$989*$G$3,$M$989*$G$3,Tab.11[[#This Row],[b3]])))</f>
        <v>0</v>
      </c>
      <c r="H118" s="66" t="b">
        <f>IF(Tab.11[[#This Row],[a1]]=1,Tab.11[[#This Row],[b1]])</f>
        <v>0</v>
      </c>
      <c r="I118" s="67" t="b">
        <f>IF(Tab.11[[#This Row],[a1]]=1,Tab.11[[#This Row],[b1]])</f>
        <v>0</v>
      </c>
      <c r="J118" s="68" t="b">
        <f>IF(Tab.11[[#This Row],[a1]]=1,IF($I$3&lt;0,Tab.11[[#This Row],[b5]]-$I$3,Tab.11[[#This Row],[b5]]))</f>
        <v>0</v>
      </c>
      <c r="K118" s="68" t="b">
        <f>IF(Tab.11[[#This Row],[a1]]=1,IF($K$3=0,Tab.11[b6],Tab.11[[#This Row],[b6]]-AVERAGE(Tab.11[b6])))</f>
        <v>0</v>
      </c>
      <c r="L118" s="69" t="b">
        <f>IF(Tab.11[[#This Row],[a1]]=1,Tab.11[[#This Row],[data]]/(_xlfn.STDEV.P(Tab.11[data])*$B$989)+$A$989)</f>
        <v>0</v>
      </c>
      <c r="M118" s="69" t="b">
        <f>IF(Tab.11[[#This Row],[a1]]=1,Tab.11[[#This Row],[data]]/(_xlfn.STDEV.P(Tab.11[data])*$B$987)-$A$987)</f>
        <v>0</v>
      </c>
      <c r="N118" s="69" t="b">
        <f>IF(Tab.11[[#This Row],[a1]]=1,Tab.11[[#This Row],[data]]/(_xlfn.STDEV.P(Tab.11[data])*$B$988)+$A$988)</f>
        <v>0</v>
      </c>
      <c r="O118" s="70" t="b">
        <f>IF(Tab.11[[#This Row],[a1]]=1,_xlfn.NORM.DIST(Tab.11[[#This Row],[b8]],$P$1,$Q$1,FALSE))</f>
        <v>0</v>
      </c>
      <c r="P118" s="70" t="b">
        <f>IF(Tab.11[[#This Row],[a1]]=1,_xlfn.NORM.DIST(Tab.11[[#This Row],[b9]],$P$1,$Q$1,FALSE))</f>
        <v>0</v>
      </c>
      <c r="Q118" s="70" t="b">
        <f>IF(Tab.11[[#This Row],[a1]]=1,_xlfn.NORM.DIST(Tab.11[[#This Row],[b10]],$P$1,$Q$1,FALSE))</f>
        <v>0</v>
      </c>
      <c r="R118" s="67" t="b">
        <f>IF(Tab.11[[#This Row],[a1]]=1,$I$3+$A$989+IF($K$3=0,Tab.11[[#This Row],[b8]]*_xlfn.STDEV.P(Tab.11[data]),AVERAGE(Tab.11[b6])+Tab.11[[#This Row],[b8]]*_xlfn.STDEV.P(Tab.11[data])))</f>
        <v>0</v>
      </c>
      <c r="S118" s="71" t="b">
        <f>IF(Tab.11[[#This Row],[a1]]=1,$I$3+$A$987+IF($K$3=0,Tab.11[[#This Row],[b9]]*_xlfn.STDEV.P(Tab.11[data]),AVERAGE(Tab.11[b6])+Tab.11[[#This Row],[b9]]*_xlfn.STDEV.P(Tab.11[data])))</f>
        <v>0</v>
      </c>
      <c r="T118" s="71" t="b">
        <f>IF(Tab.11[[#This Row],[a1]]=1,$I$3+$A$988+IF($K$3=0,Tab.11[[#This Row],[b10]]*_xlfn.STDEV.P(Tab.11[data]),AVERAGE(Tab.11[b6])+Tab.11[[#This Row],[b10]]*_xlfn.STDEV.P(Tab.11[data])))</f>
        <v>0</v>
      </c>
      <c r="U118" s="72" t="b">
        <f>IF(Tab.11[[#This Row],[a1]]=1,Tab.11[[#This Row],[target]]-Tab.11[[#This Row],[Red]])</f>
        <v>0</v>
      </c>
      <c r="V118" s="72" t="b">
        <f>IF(Tab.11[[#This Row],[a1]]=1,Tab.11[[#This Row],[target]]-Tab.11[[#This Row],[Blue]])</f>
        <v>0</v>
      </c>
      <c r="W118" s="73" t="b">
        <f>IF(Tab.11[[#This Row],[a1]]=1,IF(ABS(Tab.11[[#This Row],[b17]])+ABS(Tab.11[[#This Row],[b18]])&lt;$W$2,$W$2,ABS(Tab.11[[#This Row],[b17]])+ABS(Tab.11[[#This Row],[b18]])))</f>
        <v>0</v>
      </c>
      <c r="X118" s="136" t="b">
        <f>IF(Tab.11[[#This Row],[a1]]=1,IF($W$3&lt;0,Tab.11[[#This Row],[IN]]-$I$3,Tab.11[[#This Row],[IN]]))</f>
        <v>0</v>
      </c>
      <c r="Y118" s="136" t="b">
        <f>IF(Tab.11[[#This Row],[a1]]=1,IF($X$3=0,Tab.11[b66],Tab.11[[#This Row],[b66]]-AVERAGE(Tab.11[b66])))</f>
        <v>0</v>
      </c>
      <c r="Z118" s="135" t="b">
        <f>IF(Tab.11[[#This Row],[a1]]=1,Tab.11[[#This Row],[b77]]/(_xlfn.STDEV.P(Tab.11[b77])))</f>
        <v>0</v>
      </c>
      <c r="AA118" s="70" t="b">
        <f>IF(Tab.11[[#This Row],[a1]]=1,_xlfn.NORM.DIST(Tab.11[[#This Row],[b88]],$Z$1,$AA$1,FALSE))</f>
        <v>0</v>
      </c>
      <c r="AB118" s="74" t="b">
        <f>IF(Tab.11[[#This Row],[a1]]=1,IF($A$3=0,FALSE,1/Tab.11[[#This Row],[IN]]*$AC$2*IF(Tab.11[[#This Row],[a1]]=0,,$A$3*$AC$1*1/$V$3*(Tab.11[[#This Row],[b14]]))))</f>
        <v>0</v>
      </c>
      <c r="AC118" s="75" t="b">
        <f>IF(Tab.11[[#This Row],[a1]]=1,IF($AC$3=0,Tab.11[[#This Row],[φ1]],Tab.11[[#This Row],[φ1]]/MAX(Tab.11[φ1])))</f>
        <v>0</v>
      </c>
      <c r="AD118" s="74" t="b">
        <f>IF(Tab.11[[#This Row],[a1]]=1,1/Tab.11[[#This Row],[φ2]])</f>
        <v>0</v>
      </c>
      <c r="AE118" s="74" t="b">
        <f>IF(Tab.11[[#This Row],[a1]]=1,IF($AE$3=0,Tab.11[[#This Row],[w.0]],Tab.11[[#This Row],[w.0]]/SUM(Tab.11[w.0])))</f>
        <v>0</v>
      </c>
      <c r="AF118" s="76" t="str">
        <f>IF(Tab.11[[#This Row],[a1]]=0,"false",[3]!Tab.x5[[#This Row],[%_seN_C]])</f>
        <v>false</v>
      </c>
      <c r="AG118" s="77" t="b">
        <f>IF(Tab.11[[#This Row],[a1]]=1,AP118)</f>
        <v>0</v>
      </c>
      <c r="AH118" s="78" t="b">
        <f>IF(Tab.11[[#This Row],[a1]]=1,AQ118)</f>
        <v>0</v>
      </c>
      <c r="AI118" s="41">
        <v>3.0000000000000001E-3</v>
      </c>
      <c r="AJ118" s="79">
        <v>0.04</v>
      </c>
      <c r="AK118" s="80" t="b">
        <f>IF(Tab.11[[#This Row],[a1]]=1,1)</f>
        <v>0</v>
      </c>
      <c r="AZ118"/>
    </row>
    <row r="119" spans="1:52" ht="14.25" hidden="1" customHeight="1" x14ac:dyDescent="0.25">
      <c r="A119" s="61">
        <f t="shared" si="5"/>
        <v>0</v>
      </c>
      <c r="B119" s="62">
        <f t="shared" si="5"/>
        <v>0</v>
      </c>
      <c r="C119" s="62" t="b">
        <f>IF(Tab.11[[#This Row],[a1]]=1,[3]!Tab_x1[[#This Row],[Name]])</f>
        <v>0</v>
      </c>
      <c r="D119" s="63" t="b">
        <f>IF(Tab.11[[#This Row],[a1]]=1,AO119)</f>
        <v>0</v>
      </c>
      <c r="E119" s="63">
        <f t="shared" si="4"/>
        <v>0</v>
      </c>
      <c r="F119" s="64" t="b">
        <f>IF(Tab.11[[#This Row],[a1]]=1,Tab.11[[#This Row],[b1]])</f>
        <v>0</v>
      </c>
      <c r="G119" s="65" t="b">
        <f>IF(Tab.11[[#This Row],[a1]]=1,IF(Tab.11[[#This Row],[b3]]&gt;$L$989*$G$3,$L$989*$G$3,IF(Tab.11[[#This Row],[b3]]&lt;$M$989*$G$3,$M$989*$G$3,Tab.11[[#This Row],[b3]])))</f>
        <v>0</v>
      </c>
      <c r="H119" s="66" t="b">
        <f>IF(Tab.11[[#This Row],[a1]]=1,Tab.11[[#This Row],[b1]])</f>
        <v>0</v>
      </c>
      <c r="I119" s="67" t="b">
        <f>IF(Tab.11[[#This Row],[a1]]=1,Tab.11[[#This Row],[b1]])</f>
        <v>0</v>
      </c>
      <c r="J119" s="68" t="b">
        <f>IF(Tab.11[[#This Row],[a1]]=1,IF($I$3&lt;0,Tab.11[[#This Row],[b5]]-$I$3,Tab.11[[#This Row],[b5]]))</f>
        <v>0</v>
      </c>
      <c r="K119" s="68" t="b">
        <f>IF(Tab.11[[#This Row],[a1]]=1,IF($K$3=0,Tab.11[b6],Tab.11[[#This Row],[b6]]-AVERAGE(Tab.11[b6])))</f>
        <v>0</v>
      </c>
      <c r="L119" s="69" t="b">
        <f>IF(Tab.11[[#This Row],[a1]]=1,Tab.11[[#This Row],[data]]/(_xlfn.STDEV.P(Tab.11[data])*$B$989)+$A$989)</f>
        <v>0</v>
      </c>
      <c r="M119" s="69" t="b">
        <f>IF(Tab.11[[#This Row],[a1]]=1,Tab.11[[#This Row],[data]]/(_xlfn.STDEV.P(Tab.11[data])*$B$987)-$A$987)</f>
        <v>0</v>
      </c>
      <c r="N119" s="69" t="b">
        <f>IF(Tab.11[[#This Row],[a1]]=1,Tab.11[[#This Row],[data]]/(_xlfn.STDEV.P(Tab.11[data])*$B$988)+$A$988)</f>
        <v>0</v>
      </c>
      <c r="O119" s="70" t="b">
        <f>IF(Tab.11[[#This Row],[a1]]=1,_xlfn.NORM.DIST(Tab.11[[#This Row],[b8]],$P$1,$Q$1,FALSE))</f>
        <v>0</v>
      </c>
      <c r="P119" s="70" t="b">
        <f>IF(Tab.11[[#This Row],[a1]]=1,_xlfn.NORM.DIST(Tab.11[[#This Row],[b9]],$P$1,$Q$1,FALSE))</f>
        <v>0</v>
      </c>
      <c r="Q119" s="70" t="b">
        <f>IF(Tab.11[[#This Row],[a1]]=1,_xlfn.NORM.DIST(Tab.11[[#This Row],[b10]],$P$1,$Q$1,FALSE))</f>
        <v>0</v>
      </c>
      <c r="R119" s="67" t="b">
        <f>IF(Tab.11[[#This Row],[a1]]=1,$I$3+$A$989+IF($K$3=0,Tab.11[[#This Row],[b8]]*_xlfn.STDEV.P(Tab.11[data]),AVERAGE(Tab.11[b6])+Tab.11[[#This Row],[b8]]*_xlfn.STDEV.P(Tab.11[data])))</f>
        <v>0</v>
      </c>
      <c r="S119" s="71" t="b">
        <f>IF(Tab.11[[#This Row],[a1]]=1,$I$3+$A$987+IF($K$3=0,Tab.11[[#This Row],[b9]]*_xlfn.STDEV.P(Tab.11[data]),AVERAGE(Tab.11[b6])+Tab.11[[#This Row],[b9]]*_xlfn.STDEV.P(Tab.11[data])))</f>
        <v>0</v>
      </c>
      <c r="T119" s="71" t="b">
        <f>IF(Tab.11[[#This Row],[a1]]=1,$I$3+$A$988+IF($K$3=0,Tab.11[[#This Row],[b10]]*_xlfn.STDEV.P(Tab.11[data]),AVERAGE(Tab.11[b6])+Tab.11[[#This Row],[b10]]*_xlfn.STDEV.P(Tab.11[data])))</f>
        <v>0</v>
      </c>
      <c r="U119" s="72" t="b">
        <f>IF(Tab.11[[#This Row],[a1]]=1,Tab.11[[#This Row],[target]]-Tab.11[[#This Row],[Red]])</f>
        <v>0</v>
      </c>
      <c r="V119" s="72" t="b">
        <f>IF(Tab.11[[#This Row],[a1]]=1,Tab.11[[#This Row],[target]]-Tab.11[[#This Row],[Blue]])</f>
        <v>0</v>
      </c>
      <c r="W119" s="73" t="b">
        <f>IF(Tab.11[[#This Row],[a1]]=1,IF(ABS(Tab.11[[#This Row],[b17]])+ABS(Tab.11[[#This Row],[b18]])&lt;$W$2,$W$2,ABS(Tab.11[[#This Row],[b17]])+ABS(Tab.11[[#This Row],[b18]])))</f>
        <v>0</v>
      </c>
      <c r="X119" s="136" t="b">
        <f>IF(Tab.11[[#This Row],[a1]]=1,IF($W$3&lt;0,Tab.11[[#This Row],[IN]]-$I$3,Tab.11[[#This Row],[IN]]))</f>
        <v>0</v>
      </c>
      <c r="Y119" s="136" t="b">
        <f>IF(Tab.11[[#This Row],[a1]]=1,IF($X$3=0,Tab.11[b66],Tab.11[[#This Row],[b66]]-AVERAGE(Tab.11[b66])))</f>
        <v>0</v>
      </c>
      <c r="Z119" s="135" t="b">
        <f>IF(Tab.11[[#This Row],[a1]]=1,Tab.11[[#This Row],[b77]]/(_xlfn.STDEV.P(Tab.11[b77])))</f>
        <v>0</v>
      </c>
      <c r="AA119" s="70" t="b">
        <f>IF(Tab.11[[#This Row],[a1]]=1,_xlfn.NORM.DIST(Tab.11[[#This Row],[b88]],$Z$1,$AA$1,FALSE))</f>
        <v>0</v>
      </c>
      <c r="AB119" s="74" t="b">
        <f>IF(Tab.11[[#This Row],[a1]]=1,IF($A$3=0,FALSE,1/Tab.11[[#This Row],[IN]]*$AC$2*IF(Tab.11[[#This Row],[a1]]=0,,$A$3*$AC$1*1/$V$3*(Tab.11[[#This Row],[b14]]))))</f>
        <v>0</v>
      </c>
      <c r="AC119" s="75" t="b">
        <f>IF(Tab.11[[#This Row],[a1]]=1,IF($AC$3=0,Tab.11[[#This Row],[φ1]],Tab.11[[#This Row],[φ1]]/MAX(Tab.11[φ1])))</f>
        <v>0</v>
      </c>
      <c r="AD119" s="74" t="b">
        <f>IF(Tab.11[[#This Row],[a1]]=1,1/Tab.11[[#This Row],[φ2]])</f>
        <v>0</v>
      </c>
      <c r="AE119" s="74" t="b">
        <f>IF(Tab.11[[#This Row],[a1]]=1,IF($AE$3=0,Tab.11[[#This Row],[w.0]],Tab.11[[#This Row],[w.0]]/SUM(Tab.11[w.0])))</f>
        <v>0</v>
      </c>
      <c r="AF119" s="76" t="str">
        <f>IF(Tab.11[[#This Row],[a1]]=0,"false",[3]!Tab.x5[[#This Row],[%_seN_C]])</f>
        <v>false</v>
      </c>
      <c r="AG119" s="77" t="b">
        <f>IF(Tab.11[[#This Row],[a1]]=1,AP119)</f>
        <v>0</v>
      </c>
      <c r="AH119" s="78" t="b">
        <f>IF(Tab.11[[#This Row],[a1]]=1,AQ119)</f>
        <v>0</v>
      </c>
      <c r="AI119" s="41">
        <v>3.0000000000000001E-3</v>
      </c>
      <c r="AJ119" s="79">
        <v>-0.04</v>
      </c>
      <c r="AK119" s="80" t="b">
        <f>IF(Tab.11[[#This Row],[a1]]=1,1)</f>
        <v>0</v>
      </c>
      <c r="AZ119"/>
    </row>
    <row r="120" spans="1:52" ht="14.25" hidden="1" customHeight="1" x14ac:dyDescent="0.25">
      <c r="A120" s="61">
        <f t="shared" si="5"/>
        <v>0</v>
      </c>
      <c r="B120" s="62">
        <f t="shared" si="5"/>
        <v>0</v>
      </c>
      <c r="C120" s="62" t="b">
        <f>IF(Tab.11[[#This Row],[a1]]=1,[3]!Tab_x1[[#This Row],[Name]])</f>
        <v>0</v>
      </c>
      <c r="D120" s="63" t="b">
        <f>IF(Tab.11[[#This Row],[a1]]=1,AO120)</f>
        <v>0</v>
      </c>
      <c r="E120" s="63">
        <f t="shared" si="4"/>
        <v>0</v>
      </c>
      <c r="F120" s="64" t="b">
        <f>IF(Tab.11[[#This Row],[a1]]=1,Tab.11[[#This Row],[b1]])</f>
        <v>0</v>
      </c>
      <c r="G120" s="65" t="b">
        <f>IF(Tab.11[[#This Row],[a1]]=1,IF(Tab.11[[#This Row],[b3]]&gt;$L$989*$G$3,$L$989*$G$3,IF(Tab.11[[#This Row],[b3]]&lt;$M$989*$G$3,$M$989*$G$3,Tab.11[[#This Row],[b3]])))</f>
        <v>0</v>
      </c>
      <c r="H120" s="66" t="b">
        <f>IF(Tab.11[[#This Row],[a1]]=1,Tab.11[[#This Row],[b1]])</f>
        <v>0</v>
      </c>
      <c r="I120" s="67" t="b">
        <f>IF(Tab.11[[#This Row],[a1]]=1,Tab.11[[#This Row],[b1]])</f>
        <v>0</v>
      </c>
      <c r="J120" s="68" t="b">
        <f>IF(Tab.11[[#This Row],[a1]]=1,IF($I$3&lt;0,Tab.11[[#This Row],[b5]]-$I$3,Tab.11[[#This Row],[b5]]))</f>
        <v>0</v>
      </c>
      <c r="K120" s="68" t="b">
        <f>IF(Tab.11[[#This Row],[a1]]=1,IF($K$3=0,Tab.11[b6],Tab.11[[#This Row],[b6]]-AVERAGE(Tab.11[b6])))</f>
        <v>0</v>
      </c>
      <c r="L120" s="69" t="b">
        <f>IF(Tab.11[[#This Row],[a1]]=1,Tab.11[[#This Row],[data]]/(_xlfn.STDEV.P(Tab.11[data])*$B$989)+$A$989)</f>
        <v>0</v>
      </c>
      <c r="M120" s="69" t="b">
        <f>IF(Tab.11[[#This Row],[a1]]=1,Tab.11[[#This Row],[data]]/(_xlfn.STDEV.P(Tab.11[data])*$B$987)-$A$987)</f>
        <v>0</v>
      </c>
      <c r="N120" s="69" t="b">
        <f>IF(Tab.11[[#This Row],[a1]]=1,Tab.11[[#This Row],[data]]/(_xlfn.STDEV.P(Tab.11[data])*$B$988)+$A$988)</f>
        <v>0</v>
      </c>
      <c r="O120" s="70" t="b">
        <f>IF(Tab.11[[#This Row],[a1]]=1,_xlfn.NORM.DIST(Tab.11[[#This Row],[b8]],$P$1,$Q$1,FALSE))</f>
        <v>0</v>
      </c>
      <c r="P120" s="70" t="b">
        <f>IF(Tab.11[[#This Row],[a1]]=1,_xlfn.NORM.DIST(Tab.11[[#This Row],[b9]],$P$1,$Q$1,FALSE))</f>
        <v>0</v>
      </c>
      <c r="Q120" s="70" t="b">
        <f>IF(Tab.11[[#This Row],[a1]]=1,_xlfn.NORM.DIST(Tab.11[[#This Row],[b10]],$P$1,$Q$1,FALSE))</f>
        <v>0</v>
      </c>
      <c r="R120" s="67" t="b">
        <f>IF(Tab.11[[#This Row],[a1]]=1,$I$3+$A$989+IF($K$3=0,Tab.11[[#This Row],[b8]]*_xlfn.STDEV.P(Tab.11[data]),AVERAGE(Tab.11[b6])+Tab.11[[#This Row],[b8]]*_xlfn.STDEV.P(Tab.11[data])))</f>
        <v>0</v>
      </c>
      <c r="S120" s="71" t="b">
        <f>IF(Tab.11[[#This Row],[a1]]=1,$I$3+$A$987+IF($K$3=0,Tab.11[[#This Row],[b9]]*_xlfn.STDEV.P(Tab.11[data]),AVERAGE(Tab.11[b6])+Tab.11[[#This Row],[b9]]*_xlfn.STDEV.P(Tab.11[data])))</f>
        <v>0</v>
      </c>
      <c r="T120" s="71" t="b">
        <f>IF(Tab.11[[#This Row],[a1]]=1,$I$3+$A$988+IF($K$3=0,Tab.11[[#This Row],[b10]]*_xlfn.STDEV.P(Tab.11[data]),AVERAGE(Tab.11[b6])+Tab.11[[#This Row],[b10]]*_xlfn.STDEV.P(Tab.11[data])))</f>
        <v>0</v>
      </c>
      <c r="U120" s="72" t="b">
        <f>IF(Tab.11[[#This Row],[a1]]=1,Tab.11[[#This Row],[target]]-Tab.11[[#This Row],[Red]])</f>
        <v>0</v>
      </c>
      <c r="V120" s="72" t="b">
        <f>IF(Tab.11[[#This Row],[a1]]=1,Tab.11[[#This Row],[target]]-Tab.11[[#This Row],[Blue]])</f>
        <v>0</v>
      </c>
      <c r="W120" s="73" t="b">
        <f>IF(Tab.11[[#This Row],[a1]]=1,IF(ABS(Tab.11[[#This Row],[b17]])+ABS(Tab.11[[#This Row],[b18]])&lt;$W$2,$W$2,ABS(Tab.11[[#This Row],[b17]])+ABS(Tab.11[[#This Row],[b18]])))</f>
        <v>0</v>
      </c>
      <c r="X120" s="136" t="b">
        <f>IF(Tab.11[[#This Row],[a1]]=1,IF($W$3&lt;0,Tab.11[[#This Row],[IN]]-$I$3,Tab.11[[#This Row],[IN]]))</f>
        <v>0</v>
      </c>
      <c r="Y120" s="136" t="b">
        <f>IF(Tab.11[[#This Row],[a1]]=1,IF($X$3=0,Tab.11[b66],Tab.11[[#This Row],[b66]]-AVERAGE(Tab.11[b66])))</f>
        <v>0</v>
      </c>
      <c r="Z120" s="135" t="b">
        <f>IF(Tab.11[[#This Row],[a1]]=1,Tab.11[[#This Row],[b77]]/(_xlfn.STDEV.P(Tab.11[b77])))</f>
        <v>0</v>
      </c>
      <c r="AA120" s="70" t="b">
        <f>IF(Tab.11[[#This Row],[a1]]=1,_xlfn.NORM.DIST(Tab.11[[#This Row],[b88]],$Z$1,$AA$1,FALSE))</f>
        <v>0</v>
      </c>
      <c r="AB120" s="74" t="b">
        <f>IF(Tab.11[[#This Row],[a1]]=1,IF($A$3=0,FALSE,1/Tab.11[[#This Row],[IN]]*$AC$2*IF(Tab.11[[#This Row],[a1]]=0,,$A$3*$AC$1*1/$V$3*(Tab.11[[#This Row],[b14]]))))</f>
        <v>0</v>
      </c>
      <c r="AC120" s="75" t="b">
        <f>IF(Tab.11[[#This Row],[a1]]=1,IF($AC$3=0,Tab.11[[#This Row],[φ1]],Tab.11[[#This Row],[φ1]]/MAX(Tab.11[φ1])))</f>
        <v>0</v>
      </c>
      <c r="AD120" s="74" t="b">
        <f>IF(Tab.11[[#This Row],[a1]]=1,1/Tab.11[[#This Row],[φ2]])</f>
        <v>0</v>
      </c>
      <c r="AE120" s="74" t="b">
        <f>IF(Tab.11[[#This Row],[a1]]=1,IF($AE$3=0,Tab.11[[#This Row],[w.0]],Tab.11[[#This Row],[w.0]]/SUM(Tab.11[w.0])))</f>
        <v>0</v>
      </c>
      <c r="AF120" s="76" t="str">
        <f>IF(Tab.11[[#This Row],[a1]]=0,"false",[3]!Tab.x5[[#This Row],[%_seN_C]])</f>
        <v>false</v>
      </c>
      <c r="AG120" s="77" t="b">
        <f>IF(Tab.11[[#This Row],[a1]]=1,AP120)</f>
        <v>0</v>
      </c>
      <c r="AH120" s="78" t="b">
        <f>IF(Tab.11[[#This Row],[a1]]=1,AQ120)</f>
        <v>0</v>
      </c>
      <c r="AI120" s="41">
        <v>3.0000000000000001E-3</v>
      </c>
      <c r="AJ120" s="79">
        <v>-0.04</v>
      </c>
      <c r="AK120" s="80" t="b">
        <f>IF(Tab.11[[#This Row],[a1]]=1,1)</f>
        <v>0</v>
      </c>
      <c r="AZ120"/>
    </row>
    <row r="121" spans="1:52" ht="14.25" hidden="1" customHeight="1" x14ac:dyDescent="0.25">
      <c r="A121" s="61">
        <f t="shared" si="5"/>
        <v>0</v>
      </c>
      <c r="B121" s="62">
        <f t="shared" si="5"/>
        <v>0</v>
      </c>
      <c r="C121" s="62" t="b">
        <f>IF(Tab.11[[#This Row],[a1]]=1,[3]!Tab_x1[[#This Row],[Name]])</f>
        <v>0</v>
      </c>
      <c r="D121" s="63" t="b">
        <f>IF(Tab.11[[#This Row],[a1]]=1,AO121)</f>
        <v>0</v>
      </c>
      <c r="E121" s="63">
        <f t="shared" si="4"/>
        <v>0</v>
      </c>
      <c r="F121" s="64" t="b">
        <f>IF(Tab.11[[#This Row],[a1]]=1,Tab.11[[#This Row],[b1]])</f>
        <v>0</v>
      </c>
      <c r="G121" s="65" t="b">
        <f>IF(Tab.11[[#This Row],[a1]]=1,IF(Tab.11[[#This Row],[b3]]&gt;$L$989*$G$3,$L$989*$G$3,IF(Tab.11[[#This Row],[b3]]&lt;$M$989*$G$3,$M$989*$G$3,Tab.11[[#This Row],[b3]])))</f>
        <v>0</v>
      </c>
      <c r="H121" s="66" t="b">
        <f>IF(Tab.11[[#This Row],[a1]]=1,Tab.11[[#This Row],[b1]])</f>
        <v>0</v>
      </c>
      <c r="I121" s="67" t="b">
        <f>IF(Tab.11[[#This Row],[a1]]=1,Tab.11[[#This Row],[b1]])</f>
        <v>0</v>
      </c>
      <c r="J121" s="68" t="b">
        <f>IF(Tab.11[[#This Row],[a1]]=1,IF($I$3&lt;0,Tab.11[[#This Row],[b5]]-$I$3,Tab.11[[#This Row],[b5]]))</f>
        <v>0</v>
      </c>
      <c r="K121" s="68" t="b">
        <f>IF(Tab.11[[#This Row],[a1]]=1,IF($K$3=0,Tab.11[b6],Tab.11[[#This Row],[b6]]-AVERAGE(Tab.11[b6])))</f>
        <v>0</v>
      </c>
      <c r="L121" s="69" t="b">
        <f>IF(Tab.11[[#This Row],[a1]]=1,Tab.11[[#This Row],[data]]/(_xlfn.STDEV.P(Tab.11[data])*$B$989)+$A$989)</f>
        <v>0</v>
      </c>
      <c r="M121" s="69" t="b">
        <f>IF(Tab.11[[#This Row],[a1]]=1,Tab.11[[#This Row],[data]]/(_xlfn.STDEV.P(Tab.11[data])*$B$987)-$A$987)</f>
        <v>0</v>
      </c>
      <c r="N121" s="69" t="b">
        <f>IF(Tab.11[[#This Row],[a1]]=1,Tab.11[[#This Row],[data]]/(_xlfn.STDEV.P(Tab.11[data])*$B$988)+$A$988)</f>
        <v>0</v>
      </c>
      <c r="O121" s="70" t="b">
        <f>IF(Tab.11[[#This Row],[a1]]=1,_xlfn.NORM.DIST(Tab.11[[#This Row],[b8]],$P$1,$Q$1,FALSE))</f>
        <v>0</v>
      </c>
      <c r="P121" s="70" t="b">
        <f>IF(Tab.11[[#This Row],[a1]]=1,_xlfn.NORM.DIST(Tab.11[[#This Row],[b9]],$P$1,$Q$1,FALSE))</f>
        <v>0</v>
      </c>
      <c r="Q121" s="70" t="b">
        <f>IF(Tab.11[[#This Row],[a1]]=1,_xlfn.NORM.DIST(Tab.11[[#This Row],[b10]],$P$1,$Q$1,FALSE))</f>
        <v>0</v>
      </c>
      <c r="R121" s="67" t="b">
        <f>IF(Tab.11[[#This Row],[a1]]=1,$I$3+$A$989+IF($K$3=0,Tab.11[[#This Row],[b8]]*_xlfn.STDEV.P(Tab.11[data]),AVERAGE(Tab.11[b6])+Tab.11[[#This Row],[b8]]*_xlfn.STDEV.P(Tab.11[data])))</f>
        <v>0</v>
      </c>
      <c r="S121" s="71" t="b">
        <f>IF(Tab.11[[#This Row],[a1]]=1,$I$3+$A$987+IF($K$3=0,Tab.11[[#This Row],[b9]]*_xlfn.STDEV.P(Tab.11[data]),AVERAGE(Tab.11[b6])+Tab.11[[#This Row],[b9]]*_xlfn.STDEV.P(Tab.11[data])))</f>
        <v>0</v>
      </c>
      <c r="T121" s="71" t="b">
        <f>IF(Tab.11[[#This Row],[a1]]=1,$I$3+$A$988+IF($K$3=0,Tab.11[[#This Row],[b10]]*_xlfn.STDEV.P(Tab.11[data]),AVERAGE(Tab.11[b6])+Tab.11[[#This Row],[b10]]*_xlfn.STDEV.P(Tab.11[data])))</f>
        <v>0</v>
      </c>
      <c r="U121" s="72" t="b">
        <f>IF(Tab.11[[#This Row],[a1]]=1,Tab.11[[#This Row],[target]]-Tab.11[[#This Row],[Red]])</f>
        <v>0</v>
      </c>
      <c r="V121" s="72" t="b">
        <f>IF(Tab.11[[#This Row],[a1]]=1,Tab.11[[#This Row],[target]]-Tab.11[[#This Row],[Blue]])</f>
        <v>0</v>
      </c>
      <c r="W121" s="73" t="b">
        <f>IF(Tab.11[[#This Row],[a1]]=1,IF(ABS(Tab.11[[#This Row],[b17]])+ABS(Tab.11[[#This Row],[b18]])&lt;$W$2,$W$2,ABS(Tab.11[[#This Row],[b17]])+ABS(Tab.11[[#This Row],[b18]])))</f>
        <v>0</v>
      </c>
      <c r="X121" s="136" t="b">
        <f>IF(Tab.11[[#This Row],[a1]]=1,IF($W$3&lt;0,Tab.11[[#This Row],[IN]]-$I$3,Tab.11[[#This Row],[IN]]))</f>
        <v>0</v>
      </c>
      <c r="Y121" s="136" t="b">
        <f>IF(Tab.11[[#This Row],[a1]]=1,IF($X$3=0,Tab.11[b66],Tab.11[[#This Row],[b66]]-AVERAGE(Tab.11[b66])))</f>
        <v>0</v>
      </c>
      <c r="Z121" s="135" t="b">
        <f>IF(Tab.11[[#This Row],[a1]]=1,Tab.11[[#This Row],[b77]]/(_xlfn.STDEV.P(Tab.11[b77])))</f>
        <v>0</v>
      </c>
      <c r="AA121" s="70" t="b">
        <f>IF(Tab.11[[#This Row],[a1]]=1,_xlfn.NORM.DIST(Tab.11[[#This Row],[b88]],$Z$1,$AA$1,FALSE))</f>
        <v>0</v>
      </c>
      <c r="AB121" s="74" t="b">
        <f>IF(Tab.11[[#This Row],[a1]]=1,IF($A$3=0,FALSE,1/Tab.11[[#This Row],[IN]]*$AC$2*IF(Tab.11[[#This Row],[a1]]=0,,$A$3*$AC$1*1/$V$3*(Tab.11[[#This Row],[b14]]))))</f>
        <v>0</v>
      </c>
      <c r="AC121" s="75" t="b">
        <f>IF(Tab.11[[#This Row],[a1]]=1,IF($AC$3=0,Tab.11[[#This Row],[φ1]],Tab.11[[#This Row],[φ1]]/MAX(Tab.11[φ1])))</f>
        <v>0</v>
      </c>
      <c r="AD121" s="74" t="b">
        <f>IF(Tab.11[[#This Row],[a1]]=1,1/Tab.11[[#This Row],[φ2]])</f>
        <v>0</v>
      </c>
      <c r="AE121" s="74" t="b">
        <f>IF(Tab.11[[#This Row],[a1]]=1,IF($AE$3=0,Tab.11[[#This Row],[w.0]],Tab.11[[#This Row],[w.0]]/SUM(Tab.11[w.0])))</f>
        <v>0</v>
      </c>
      <c r="AF121" s="76" t="str">
        <f>IF(Tab.11[[#This Row],[a1]]=0,"false",[3]!Tab.x5[[#This Row],[%_seN_C]])</f>
        <v>false</v>
      </c>
      <c r="AG121" s="77" t="b">
        <f>IF(Tab.11[[#This Row],[a1]]=1,AP121)</f>
        <v>0</v>
      </c>
      <c r="AH121" s="78" t="b">
        <f>IF(Tab.11[[#This Row],[a1]]=1,AQ121)</f>
        <v>0</v>
      </c>
      <c r="AI121" s="41">
        <v>3.0000000000000001E-3</v>
      </c>
      <c r="AJ121" s="79">
        <v>-0.09</v>
      </c>
      <c r="AK121" s="80" t="b">
        <f>IF(Tab.11[[#This Row],[a1]]=1,1)</f>
        <v>0</v>
      </c>
      <c r="AZ121"/>
    </row>
    <row r="122" spans="1:52" ht="14.25" hidden="1" customHeight="1" x14ac:dyDescent="0.25">
      <c r="A122" s="61">
        <f t="shared" si="5"/>
        <v>0</v>
      </c>
      <c r="B122" s="62">
        <f t="shared" si="5"/>
        <v>0</v>
      </c>
      <c r="C122" s="62" t="b">
        <f>IF(Tab.11[[#This Row],[a1]]=1,[3]!Tab_x1[[#This Row],[Name]])</f>
        <v>0</v>
      </c>
      <c r="D122" s="63" t="b">
        <f>IF(Tab.11[[#This Row],[a1]]=1,AO122)</f>
        <v>0</v>
      </c>
      <c r="E122" s="63">
        <f t="shared" si="4"/>
        <v>0</v>
      </c>
      <c r="F122" s="64" t="b">
        <f>IF(Tab.11[[#This Row],[a1]]=1,Tab.11[[#This Row],[b1]])</f>
        <v>0</v>
      </c>
      <c r="G122" s="65" t="b">
        <f>IF(Tab.11[[#This Row],[a1]]=1,IF(Tab.11[[#This Row],[b3]]&gt;$L$989*$G$3,$L$989*$G$3,IF(Tab.11[[#This Row],[b3]]&lt;$M$989*$G$3,$M$989*$G$3,Tab.11[[#This Row],[b3]])))</f>
        <v>0</v>
      </c>
      <c r="H122" s="66" t="b">
        <f>IF(Tab.11[[#This Row],[a1]]=1,Tab.11[[#This Row],[b1]])</f>
        <v>0</v>
      </c>
      <c r="I122" s="67" t="b">
        <f>IF(Tab.11[[#This Row],[a1]]=1,Tab.11[[#This Row],[b1]])</f>
        <v>0</v>
      </c>
      <c r="J122" s="68" t="b">
        <f>IF(Tab.11[[#This Row],[a1]]=1,IF($I$3&lt;0,Tab.11[[#This Row],[b5]]-$I$3,Tab.11[[#This Row],[b5]]))</f>
        <v>0</v>
      </c>
      <c r="K122" s="68" t="b">
        <f>IF(Tab.11[[#This Row],[a1]]=1,IF($K$3=0,Tab.11[b6],Tab.11[[#This Row],[b6]]-AVERAGE(Tab.11[b6])))</f>
        <v>0</v>
      </c>
      <c r="L122" s="69" t="b">
        <f>IF(Tab.11[[#This Row],[a1]]=1,Tab.11[[#This Row],[data]]/(_xlfn.STDEV.P(Tab.11[data])*$B$989)+$A$989)</f>
        <v>0</v>
      </c>
      <c r="M122" s="69" t="b">
        <f>IF(Tab.11[[#This Row],[a1]]=1,Tab.11[[#This Row],[data]]/(_xlfn.STDEV.P(Tab.11[data])*$B$987)-$A$987)</f>
        <v>0</v>
      </c>
      <c r="N122" s="69" t="b">
        <f>IF(Tab.11[[#This Row],[a1]]=1,Tab.11[[#This Row],[data]]/(_xlfn.STDEV.P(Tab.11[data])*$B$988)+$A$988)</f>
        <v>0</v>
      </c>
      <c r="O122" s="70" t="b">
        <f>IF(Tab.11[[#This Row],[a1]]=1,_xlfn.NORM.DIST(Tab.11[[#This Row],[b8]],$P$1,$Q$1,FALSE))</f>
        <v>0</v>
      </c>
      <c r="P122" s="70" t="b">
        <f>IF(Tab.11[[#This Row],[a1]]=1,_xlfn.NORM.DIST(Tab.11[[#This Row],[b9]],$P$1,$Q$1,FALSE))</f>
        <v>0</v>
      </c>
      <c r="Q122" s="70" t="b">
        <f>IF(Tab.11[[#This Row],[a1]]=1,_xlfn.NORM.DIST(Tab.11[[#This Row],[b10]],$P$1,$Q$1,FALSE))</f>
        <v>0</v>
      </c>
      <c r="R122" s="67" t="b">
        <f>IF(Tab.11[[#This Row],[a1]]=1,$I$3+$A$989+IF($K$3=0,Tab.11[[#This Row],[b8]]*_xlfn.STDEV.P(Tab.11[data]),AVERAGE(Tab.11[b6])+Tab.11[[#This Row],[b8]]*_xlfn.STDEV.P(Tab.11[data])))</f>
        <v>0</v>
      </c>
      <c r="S122" s="71" t="b">
        <f>IF(Tab.11[[#This Row],[a1]]=1,$I$3+$A$987+IF($K$3=0,Tab.11[[#This Row],[b9]]*_xlfn.STDEV.P(Tab.11[data]),AVERAGE(Tab.11[b6])+Tab.11[[#This Row],[b9]]*_xlfn.STDEV.P(Tab.11[data])))</f>
        <v>0</v>
      </c>
      <c r="T122" s="71" t="b">
        <f>IF(Tab.11[[#This Row],[a1]]=1,$I$3+$A$988+IF($K$3=0,Tab.11[[#This Row],[b10]]*_xlfn.STDEV.P(Tab.11[data]),AVERAGE(Tab.11[b6])+Tab.11[[#This Row],[b10]]*_xlfn.STDEV.P(Tab.11[data])))</f>
        <v>0</v>
      </c>
      <c r="U122" s="72" t="b">
        <f>IF(Tab.11[[#This Row],[a1]]=1,Tab.11[[#This Row],[target]]-Tab.11[[#This Row],[Red]])</f>
        <v>0</v>
      </c>
      <c r="V122" s="72" t="b">
        <f>IF(Tab.11[[#This Row],[a1]]=1,Tab.11[[#This Row],[target]]-Tab.11[[#This Row],[Blue]])</f>
        <v>0</v>
      </c>
      <c r="W122" s="73" t="b">
        <f>IF(Tab.11[[#This Row],[a1]]=1,IF(ABS(Tab.11[[#This Row],[b17]])+ABS(Tab.11[[#This Row],[b18]])&lt;$W$2,$W$2,ABS(Tab.11[[#This Row],[b17]])+ABS(Tab.11[[#This Row],[b18]])))</f>
        <v>0</v>
      </c>
      <c r="X122" s="136" t="b">
        <f>IF(Tab.11[[#This Row],[a1]]=1,IF($W$3&lt;0,Tab.11[[#This Row],[IN]]-$I$3,Tab.11[[#This Row],[IN]]))</f>
        <v>0</v>
      </c>
      <c r="Y122" s="136" t="b">
        <f>IF(Tab.11[[#This Row],[a1]]=1,IF($X$3=0,Tab.11[b66],Tab.11[[#This Row],[b66]]-AVERAGE(Tab.11[b66])))</f>
        <v>0</v>
      </c>
      <c r="Z122" s="135" t="b">
        <f>IF(Tab.11[[#This Row],[a1]]=1,Tab.11[[#This Row],[b77]]/(_xlfn.STDEV.P(Tab.11[b77])))</f>
        <v>0</v>
      </c>
      <c r="AA122" s="70" t="b">
        <f>IF(Tab.11[[#This Row],[a1]]=1,_xlfn.NORM.DIST(Tab.11[[#This Row],[b88]],$Z$1,$AA$1,FALSE))</f>
        <v>0</v>
      </c>
      <c r="AB122" s="74" t="b">
        <f>IF(Tab.11[[#This Row],[a1]]=1,IF($A$3=0,FALSE,1/Tab.11[[#This Row],[IN]]*$AC$2*IF(Tab.11[[#This Row],[a1]]=0,,$A$3*$AC$1*1/$V$3*(Tab.11[[#This Row],[b14]]))))</f>
        <v>0</v>
      </c>
      <c r="AC122" s="75" t="b">
        <f>IF(Tab.11[[#This Row],[a1]]=1,IF($AC$3=0,Tab.11[[#This Row],[φ1]],Tab.11[[#This Row],[φ1]]/MAX(Tab.11[φ1])))</f>
        <v>0</v>
      </c>
      <c r="AD122" s="74" t="b">
        <f>IF(Tab.11[[#This Row],[a1]]=1,1/Tab.11[[#This Row],[φ2]])</f>
        <v>0</v>
      </c>
      <c r="AE122" s="74" t="b">
        <f>IF(Tab.11[[#This Row],[a1]]=1,IF($AE$3=0,Tab.11[[#This Row],[w.0]],Tab.11[[#This Row],[w.0]]/SUM(Tab.11[w.0])))</f>
        <v>0</v>
      </c>
      <c r="AF122" s="76" t="str">
        <f>IF(Tab.11[[#This Row],[a1]]=0,"false",[3]!Tab.x5[[#This Row],[%_seN_C]])</f>
        <v>false</v>
      </c>
      <c r="AG122" s="77" t="b">
        <f>IF(Tab.11[[#This Row],[a1]]=1,AP122)</f>
        <v>0</v>
      </c>
      <c r="AH122" s="78" t="b">
        <f>IF(Tab.11[[#This Row],[a1]]=1,AQ122)</f>
        <v>0</v>
      </c>
      <c r="AI122" s="41">
        <v>3.0000000000000001E-3</v>
      </c>
      <c r="AJ122" s="79">
        <v>-7.0000000000000007E-2</v>
      </c>
      <c r="AK122" s="80" t="b">
        <f>IF(Tab.11[[#This Row],[a1]]=1,1)</f>
        <v>0</v>
      </c>
      <c r="AZ122"/>
    </row>
    <row r="123" spans="1:52" ht="14.25" hidden="1" customHeight="1" x14ac:dyDescent="0.25">
      <c r="A123" s="61">
        <f t="shared" si="5"/>
        <v>0</v>
      </c>
      <c r="B123" s="62">
        <f t="shared" si="5"/>
        <v>0</v>
      </c>
      <c r="C123" s="62" t="b">
        <f>IF(Tab.11[[#This Row],[a1]]=1,[3]!Tab_x1[[#This Row],[Name]])</f>
        <v>0</v>
      </c>
      <c r="D123" s="63" t="b">
        <f>IF(Tab.11[[#This Row],[a1]]=1,AO123)</f>
        <v>0</v>
      </c>
      <c r="E123" s="63">
        <f t="shared" si="4"/>
        <v>0</v>
      </c>
      <c r="F123" s="64" t="b">
        <f>IF(Tab.11[[#This Row],[a1]]=1,Tab.11[[#This Row],[b1]])</f>
        <v>0</v>
      </c>
      <c r="G123" s="65" t="b">
        <f>IF(Tab.11[[#This Row],[a1]]=1,IF(Tab.11[[#This Row],[b3]]&gt;$L$989*$G$3,$L$989*$G$3,IF(Tab.11[[#This Row],[b3]]&lt;$M$989*$G$3,$M$989*$G$3,Tab.11[[#This Row],[b3]])))</f>
        <v>0</v>
      </c>
      <c r="H123" s="66" t="b">
        <f>IF(Tab.11[[#This Row],[a1]]=1,Tab.11[[#This Row],[b1]])</f>
        <v>0</v>
      </c>
      <c r="I123" s="67" t="b">
        <f>IF(Tab.11[[#This Row],[a1]]=1,Tab.11[[#This Row],[b1]])</f>
        <v>0</v>
      </c>
      <c r="J123" s="68" t="b">
        <f>IF(Tab.11[[#This Row],[a1]]=1,IF($I$3&lt;0,Tab.11[[#This Row],[b5]]-$I$3,Tab.11[[#This Row],[b5]]))</f>
        <v>0</v>
      </c>
      <c r="K123" s="68" t="b">
        <f>IF(Tab.11[[#This Row],[a1]]=1,IF($K$3=0,Tab.11[b6],Tab.11[[#This Row],[b6]]-AVERAGE(Tab.11[b6])))</f>
        <v>0</v>
      </c>
      <c r="L123" s="69" t="b">
        <f>IF(Tab.11[[#This Row],[a1]]=1,Tab.11[[#This Row],[data]]/(_xlfn.STDEV.P(Tab.11[data])*$B$989)+$A$989)</f>
        <v>0</v>
      </c>
      <c r="M123" s="69" t="b">
        <f>IF(Tab.11[[#This Row],[a1]]=1,Tab.11[[#This Row],[data]]/(_xlfn.STDEV.P(Tab.11[data])*$B$987)-$A$987)</f>
        <v>0</v>
      </c>
      <c r="N123" s="69" t="b">
        <f>IF(Tab.11[[#This Row],[a1]]=1,Tab.11[[#This Row],[data]]/(_xlfn.STDEV.P(Tab.11[data])*$B$988)+$A$988)</f>
        <v>0</v>
      </c>
      <c r="O123" s="70" t="b">
        <f>IF(Tab.11[[#This Row],[a1]]=1,_xlfn.NORM.DIST(Tab.11[[#This Row],[b8]],$P$1,$Q$1,FALSE))</f>
        <v>0</v>
      </c>
      <c r="P123" s="70" t="b">
        <f>IF(Tab.11[[#This Row],[a1]]=1,_xlfn.NORM.DIST(Tab.11[[#This Row],[b9]],$P$1,$Q$1,FALSE))</f>
        <v>0</v>
      </c>
      <c r="Q123" s="70" t="b">
        <f>IF(Tab.11[[#This Row],[a1]]=1,_xlfn.NORM.DIST(Tab.11[[#This Row],[b10]],$P$1,$Q$1,FALSE))</f>
        <v>0</v>
      </c>
      <c r="R123" s="67" t="b">
        <f>IF(Tab.11[[#This Row],[a1]]=1,$I$3+$A$989+IF($K$3=0,Tab.11[[#This Row],[b8]]*_xlfn.STDEV.P(Tab.11[data]),AVERAGE(Tab.11[b6])+Tab.11[[#This Row],[b8]]*_xlfn.STDEV.P(Tab.11[data])))</f>
        <v>0</v>
      </c>
      <c r="S123" s="71" t="b">
        <f>IF(Tab.11[[#This Row],[a1]]=1,$I$3+$A$987+IF($K$3=0,Tab.11[[#This Row],[b9]]*_xlfn.STDEV.P(Tab.11[data]),AVERAGE(Tab.11[b6])+Tab.11[[#This Row],[b9]]*_xlfn.STDEV.P(Tab.11[data])))</f>
        <v>0</v>
      </c>
      <c r="T123" s="71" t="b">
        <f>IF(Tab.11[[#This Row],[a1]]=1,$I$3+$A$988+IF($K$3=0,Tab.11[[#This Row],[b10]]*_xlfn.STDEV.P(Tab.11[data]),AVERAGE(Tab.11[b6])+Tab.11[[#This Row],[b10]]*_xlfn.STDEV.P(Tab.11[data])))</f>
        <v>0</v>
      </c>
      <c r="U123" s="72" t="b">
        <f>IF(Tab.11[[#This Row],[a1]]=1,Tab.11[[#This Row],[target]]-Tab.11[[#This Row],[Red]])</f>
        <v>0</v>
      </c>
      <c r="V123" s="72" t="b">
        <f>IF(Tab.11[[#This Row],[a1]]=1,Tab.11[[#This Row],[target]]-Tab.11[[#This Row],[Blue]])</f>
        <v>0</v>
      </c>
      <c r="W123" s="73" t="b">
        <f>IF(Tab.11[[#This Row],[a1]]=1,IF(ABS(Tab.11[[#This Row],[b17]])+ABS(Tab.11[[#This Row],[b18]])&lt;$W$2,$W$2,ABS(Tab.11[[#This Row],[b17]])+ABS(Tab.11[[#This Row],[b18]])))</f>
        <v>0</v>
      </c>
      <c r="X123" s="136" t="b">
        <f>IF(Tab.11[[#This Row],[a1]]=1,IF($W$3&lt;0,Tab.11[[#This Row],[IN]]-$I$3,Tab.11[[#This Row],[IN]]))</f>
        <v>0</v>
      </c>
      <c r="Y123" s="136" t="b">
        <f>IF(Tab.11[[#This Row],[a1]]=1,IF($X$3=0,Tab.11[b66],Tab.11[[#This Row],[b66]]-AVERAGE(Tab.11[b66])))</f>
        <v>0</v>
      </c>
      <c r="Z123" s="135" t="b">
        <f>IF(Tab.11[[#This Row],[a1]]=1,Tab.11[[#This Row],[b77]]/(_xlfn.STDEV.P(Tab.11[b77])))</f>
        <v>0</v>
      </c>
      <c r="AA123" s="70" t="b">
        <f>IF(Tab.11[[#This Row],[a1]]=1,_xlfn.NORM.DIST(Tab.11[[#This Row],[b88]],$Z$1,$AA$1,FALSE))</f>
        <v>0</v>
      </c>
      <c r="AB123" s="74" t="b">
        <f>IF(Tab.11[[#This Row],[a1]]=1,IF($A$3=0,FALSE,1/Tab.11[[#This Row],[IN]]*$AC$2*IF(Tab.11[[#This Row],[a1]]=0,,$A$3*$AC$1*1/$V$3*(Tab.11[[#This Row],[b14]]))))</f>
        <v>0</v>
      </c>
      <c r="AC123" s="75" t="b">
        <f>IF(Tab.11[[#This Row],[a1]]=1,IF($AC$3=0,Tab.11[[#This Row],[φ1]],Tab.11[[#This Row],[φ1]]/MAX(Tab.11[φ1])))</f>
        <v>0</v>
      </c>
      <c r="AD123" s="74" t="b">
        <f>IF(Tab.11[[#This Row],[a1]]=1,1/Tab.11[[#This Row],[φ2]])</f>
        <v>0</v>
      </c>
      <c r="AE123" s="74" t="b">
        <f>IF(Tab.11[[#This Row],[a1]]=1,IF($AE$3=0,Tab.11[[#This Row],[w.0]],Tab.11[[#This Row],[w.0]]/SUM(Tab.11[w.0])))</f>
        <v>0</v>
      </c>
      <c r="AF123" s="76" t="str">
        <f>IF(Tab.11[[#This Row],[a1]]=0,"false",[3]!Tab.x5[[#This Row],[%_seN_C]])</f>
        <v>false</v>
      </c>
      <c r="AG123" s="77" t="b">
        <f>IF(Tab.11[[#This Row],[a1]]=1,AP123)</f>
        <v>0</v>
      </c>
      <c r="AH123" s="78" t="b">
        <f>IF(Tab.11[[#This Row],[a1]]=1,AQ123)</f>
        <v>0</v>
      </c>
      <c r="AI123" s="41">
        <v>3.0000000000000001E-3</v>
      </c>
      <c r="AJ123" s="79">
        <v>-0.04</v>
      </c>
      <c r="AK123" s="80" t="b">
        <f>IF(Tab.11[[#This Row],[a1]]=1,1)</f>
        <v>0</v>
      </c>
      <c r="AZ123"/>
    </row>
    <row r="124" spans="1:52" ht="14.25" hidden="1" customHeight="1" x14ac:dyDescent="0.25">
      <c r="A124" s="61">
        <f t="shared" si="5"/>
        <v>0</v>
      </c>
      <c r="B124" s="62">
        <f t="shared" si="5"/>
        <v>0</v>
      </c>
      <c r="C124" s="62" t="b">
        <f>IF(Tab.11[[#This Row],[a1]]=1,[3]!Tab_x1[[#This Row],[Name]])</f>
        <v>0</v>
      </c>
      <c r="D124" s="63" t="b">
        <f>IF(Tab.11[[#This Row],[a1]]=1,AO124)</f>
        <v>0</v>
      </c>
      <c r="E124" s="63">
        <f t="shared" si="4"/>
        <v>0</v>
      </c>
      <c r="F124" s="64" t="b">
        <f>IF(Tab.11[[#This Row],[a1]]=1,Tab.11[[#This Row],[b1]])</f>
        <v>0</v>
      </c>
      <c r="G124" s="65" t="b">
        <f>IF(Tab.11[[#This Row],[a1]]=1,IF(Tab.11[[#This Row],[b3]]&gt;$L$989*$G$3,$L$989*$G$3,IF(Tab.11[[#This Row],[b3]]&lt;$M$989*$G$3,$M$989*$G$3,Tab.11[[#This Row],[b3]])))</f>
        <v>0</v>
      </c>
      <c r="H124" s="66" t="b">
        <f>IF(Tab.11[[#This Row],[a1]]=1,Tab.11[[#This Row],[b1]])</f>
        <v>0</v>
      </c>
      <c r="I124" s="67" t="b">
        <f>IF(Tab.11[[#This Row],[a1]]=1,Tab.11[[#This Row],[b1]])</f>
        <v>0</v>
      </c>
      <c r="J124" s="68" t="b">
        <f>IF(Tab.11[[#This Row],[a1]]=1,IF($I$3&lt;0,Tab.11[[#This Row],[b5]]-$I$3,Tab.11[[#This Row],[b5]]))</f>
        <v>0</v>
      </c>
      <c r="K124" s="68" t="b">
        <f>IF(Tab.11[[#This Row],[a1]]=1,IF($K$3=0,Tab.11[b6],Tab.11[[#This Row],[b6]]-AVERAGE(Tab.11[b6])))</f>
        <v>0</v>
      </c>
      <c r="L124" s="69" t="b">
        <f>IF(Tab.11[[#This Row],[a1]]=1,Tab.11[[#This Row],[data]]/(_xlfn.STDEV.P(Tab.11[data])*$B$989)+$A$989)</f>
        <v>0</v>
      </c>
      <c r="M124" s="69" t="b">
        <f>IF(Tab.11[[#This Row],[a1]]=1,Tab.11[[#This Row],[data]]/(_xlfn.STDEV.P(Tab.11[data])*$B$987)-$A$987)</f>
        <v>0</v>
      </c>
      <c r="N124" s="69" t="b">
        <f>IF(Tab.11[[#This Row],[a1]]=1,Tab.11[[#This Row],[data]]/(_xlfn.STDEV.P(Tab.11[data])*$B$988)+$A$988)</f>
        <v>0</v>
      </c>
      <c r="O124" s="70" t="b">
        <f>IF(Tab.11[[#This Row],[a1]]=1,_xlfn.NORM.DIST(Tab.11[[#This Row],[b8]],$P$1,$Q$1,FALSE))</f>
        <v>0</v>
      </c>
      <c r="P124" s="70" t="b">
        <f>IF(Tab.11[[#This Row],[a1]]=1,_xlfn.NORM.DIST(Tab.11[[#This Row],[b9]],$P$1,$Q$1,FALSE))</f>
        <v>0</v>
      </c>
      <c r="Q124" s="70" t="b">
        <f>IF(Tab.11[[#This Row],[a1]]=1,_xlfn.NORM.DIST(Tab.11[[#This Row],[b10]],$P$1,$Q$1,FALSE))</f>
        <v>0</v>
      </c>
      <c r="R124" s="67" t="b">
        <f>IF(Tab.11[[#This Row],[a1]]=1,$I$3+$A$989+IF($K$3=0,Tab.11[[#This Row],[b8]]*_xlfn.STDEV.P(Tab.11[data]),AVERAGE(Tab.11[b6])+Tab.11[[#This Row],[b8]]*_xlfn.STDEV.P(Tab.11[data])))</f>
        <v>0</v>
      </c>
      <c r="S124" s="71" t="b">
        <f>IF(Tab.11[[#This Row],[a1]]=1,$I$3+$A$987+IF($K$3=0,Tab.11[[#This Row],[b9]]*_xlfn.STDEV.P(Tab.11[data]),AVERAGE(Tab.11[b6])+Tab.11[[#This Row],[b9]]*_xlfn.STDEV.P(Tab.11[data])))</f>
        <v>0</v>
      </c>
      <c r="T124" s="71" t="b">
        <f>IF(Tab.11[[#This Row],[a1]]=1,$I$3+$A$988+IF($K$3=0,Tab.11[[#This Row],[b10]]*_xlfn.STDEV.P(Tab.11[data]),AVERAGE(Tab.11[b6])+Tab.11[[#This Row],[b10]]*_xlfn.STDEV.P(Tab.11[data])))</f>
        <v>0</v>
      </c>
      <c r="U124" s="72" t="b">
        <f>IF(Tab.11[[#This Row],[a1]]=1,Tab.11[[#This Row],[target]]-Tab.11[[#This Row],[Red]])</f>
        <v>0</v>
      </c>
      <c r="V124" s="72" t="b">
        <f>IF(Tab.11[[#This Row],[a1]]=1,Tab.11[[#This Row],[target]]-Tab.11[[#This Row],[Blue]])</f>
        <v>0</v>
      </c>
      <c r="W124" s="73" t="b">
        <f>IF(Tab.11[[#This Row],[a1]]=1,IF(ABS(Tab.11[[#This Row],[b17]])+ABS(Tab.11[[#This Row],[b18]])&lt;$W$2,$W$2,ABS(Tab.11[[#This Row],[b17]])+ABS(Tab.11[[#This Row],[b18]])))</f>
        <v>0</v>
      </c>
      <c r="X124" s="136" t="b">
        <f>IF(Tab.11[[#This Row],[a1]]=1,IF($W$3&lt;0,Tab.11[[#This Row],[IN]]-$I$3,Tab.11[[#This Row],[IN]]))</f>
        <v>0</v>
      </c>
      <c r="Y124" s="136" t="b">
        <f>IF(Tab.11[[#This Row],[a1]]=1,IF($X$3=0,Tab.11[b66],Tab.11[[#This Row],[b66]]-AVERAGE(Tab.11[b66])))</f>
        <v>0</v>
      </c>
      <c r="Z124" s="135" t="b">
        <f>IF(Tab.11[[#This Row],[a1]]=1,Tab.11[[#This Row],[b77]]/(_xlfn.STDEV.P(Tab.11[b77])))</f>
        <v>0</v>
      </c>
      <c r="AA124" s="70" t="b">
        <f>IF(Tab.11[[#This Row],[a1]]=1,_xlfn.NORM.DIST(Tab.11[[#This Row],[b88]],$Z$1,$AA$1,FALSE))</f>
        <v>0</v>
      </c>
      <c r="AB124" s="74" t="b">
        <f>IF(Tab.11[[#This Row],[a1]]=1,IF($A$3=0,FALSE,1/Tab.11[[#This Row],[IN]]*$AC$2*IF(Tab.11[[#This Row],[a1]]=0,,$A$3*$AC$1*1/$V$3*(Tab.11[[#This Row],[b14]]))))</f>
        <v>0</v>
      </c>
      <c r="AC124" s="75" t="b">
        <f>IF(Tab.11[[#This Row],[a1]]=1,IF($AC$3=0,Tab.11[[#This Row],[φ1]],Tab.11[[#This Row],[φ1]]/MAX(Tab.11[φ1])))</f>
        <v>0</v>
      </c>
      <c r="AD124" s="74" t="b">
        <f>IF(Tab.11[[#This Row],[a1]]=1,1/Tab.11[[#This Row],[φ2]])</f>
        <v>0</v>
      </c>
      <c r="AE124" s="74" t="b">
        <f>IF(Tab.11[[#This Row],[a1]]=1,IF($AE$3=0,Tab.11[[#This Row],[w.0]],Tab.11[[#This Row],[w.0]]/SUM(Tab.11[w.0])))</f>
        <v>0</v>
      </c>
      <c r="AF124" s="76" t="str">
        <f>IF(Tab.11[[#This Row],[a1]]=0,"false",[3]!Tab.x5[[#This Row],[%_seN_C]])</f>
        <v>false</v>
      </c>
      <c r="AG124" s="77" t="b">
        <f>IF(Tab.11[[#This Row],[a1]]=1,AP124)</f>
        <v>0</v>
      </c>
      <c r="AH124" s="78" t="b">
        <f>IF(Tab.11[[#This Row],[a1]]=1,AQ124)</f>
        <v>0</v>
      </c>
      <c r="AI124" s="41">
        <v>3.0000000000000001E-3</v>
      </c>
      <c r="AJ124" s="79">
        <v>0.06</v>
      </c>
      <c r="AK124" s="80" t="b">
        <f>IF(Tab.11[[#This Row],[a1]]=1,1)</f>
        <v>0</v>
      </c>
      <c r="AZ124"/>
    </row>
    <row r="125" spans="1:52" ht="14.25" hidden="1" customHeight="1" x14ac:dyDescent="0.25">
      <c r="A125" s="61">
        <f t="shared" si="5"/>
        <v>0</v>
      </c>
      <c r="B125" s="62">
        <f t="shared" si="5"/>
        <v>0</v>
      </c>
      <c r="C125" s="62" t="b">
        <f>IF(Tab.11[[#This Row],[a1]]=1,[3]!Tab_x1[[#This Row],[Name]])</f>
        <v>0</v>
      </c>
      <c r="D125" s="63" t="b">
        <f>IF(Tab.11[[#This Row],[a1]]=1,AO125)</f>
        <v>0</v>
      </c>
      <c r="E125" s="63">
        <f t="shared" si="4"/>
        <v>0</v>
      </c>
      <c r="F125" s="64" t="b">
        <f>IF(Tab.11[[#This Row],[a1]]=1,Tab.11[[#This Row],[b1]])</f>
        <v>0</v>
      </c>
      <c r="G125" s="65" t="b">
        <f>IF(Tab.11[[#This Row],[a1]]=1,IF(Tab.11[[#This Row],[b3]]&gt;$L$989*$G$3,$L$989*$G$3,IF(Tab.11[[#This Row],[b3]]&lt;$M$989*$G$3,$M$989*$G$3,Tab.11[[#This Row],[b3]])))</f>
        <v>0</v>
      </c>
      <c r="H125" s="66" t="b">
        <f>IF(Tab.11[[#This Row],[a1]]=1,Tab.11[[#This Row],[b1]])</f>
        <v>0</v>
      </c>
      <c r="I125" s="67" t="b">
        <f>IF(Tab.11[[#This Row],[a1]]=1,Tab.11[[#This Row],[b1]])</f>
        <v>0</v>
      </c>
      <c r="J125" s="68" t="b">
        <f>IF(Tab.11[[#This Row],[a1]]=1,IF($I$3&lt;0,Tab.11[[#This Row],[b5]]-$I$3,Tab.11[[#This Row],[b5]]))</f>
        <v>0</v>
      </c>
      <c r="K125" s="68" t="b">
        <f>IF(Tab.11[[#This Row],[a1]]=1,IF($K$3=0,Tab.11[b6],Tab.11[[#This Row],[b6]]-AVERAGE(Tab.11[b6])))</f>
        <v>0</v>
      </c>
      <c r="L125" s="69" t="b">
        <f>IF(Tab.11[[#This Row],[a1]]=1,Tab.11[[#This Row],[data]]/(_xlfn.STDEV.P(Tab.11[data])*$B$989)+$A$989)</f>
        <v>0</v>
      </c>
      <c r="M125" s="69" t="b">
        <f>IF(Tab.11[[#This Row],[a1]]=1,Tab.11[[#This Row],[data]]/(_xlfn.STDEV.P(Tab.11[data])*$B$987)-$A$987)</f>
        <v>0</v>
      </c>
      <c r="N125" s="69" t="b">
        <f>IF(Tab.11[[#This Row],[a1]]=1,Tab.11[[#This Row],[data]]/(_xlfn.STDEV.P(Tab.11[data])*$B$988)+$A$988)</f>
        <v>0</v>
      </c>
      <c r="O125" s="70" t="b">
        <f>IF(Tab.11[[#This Row],[a1]]=1,_xlfn.NORM.DIST(Tab.11[[#This Row],[b8]],$P$1,$Q$1,FALSE))</f>
        <v>0</v>
      </c>
      <c r="P125" s="70" t="b">
        <f>IF(Tab.11[[#This Row],[a1]]=1,_xlfn.NORM.DIST(Tab.11[[#This Row],[b9]],$P$1,$Q$1,FALSE))</f>
        <v>0</v>
      </c>
      <c r="Q125" s="70" t="b">
        <f>IF(Tab.11[[#This Row],[a1]]=1,_xlfn.NORM.DIST(Tab.11[[#This Row],[b10]],$P$1,$Q$1,FALSE))</f>
        <v>0</v>
      </c>
      <c r="R125" s="67" t="b">
        <f>IF(Tab.11[[#This Row],[a1]]=1,$I$3+$A$989+IF($K$3=0,Tab.11[[#This Row],[b8]]*_xlfn.STDEV.P(Tab.11[data]),AVERAGE(Tab.11[b6])+Tab.11[[#This Row],[b8]]*_xlfn.STDEV.P(Tab.11[data])))</f>
        <v>0</v>
      </c>
      <c r="S125" s="71" t="b">
        <f>IF(Tab.11[[#This Row],[a1]]=1,$I$3+$A$987+IF($K$3=0,Tab.11[[#This Row],[b9]]*_xlfn.STDEV.P(Tab.11[data]),AVERAGE(Tab.11[b6])+Tab.11[[#This Row],[b9]]*_xlfn.STDEV.P(Tab.11[data])))</f>
        <v>0</v>
      </c>
      <c r="T125" s="71" t="b">
        <f>IF(Tab.11[[#This Row],[a1]]=1,$I$3+$A$988+IF($K$3=0,Tab.11[[#This Row],[b10]]*_xlfn.STDEV.P(Tab.11[data]),AVERAGE(Tab.11[b6])+Tab.11[[#This Row],[b10]]*_xlfn.STDEV.P(Tab.11[data])))</f>
        <v>0</v>
      </c>
      <c r="U125" s="72" t="b">
        <f>IF(Tab.11[[#This Row],[a1]]=1,Tab.11[[#This Row],[target]]-Tab.11[[#This Row],[Red]])</f>
        <v>0</v>
      </c>
      <c r="V125" s="72" t="b">
        <f>IF(Tab.11[[#This Row],[a1]]=1,Tab.11[[#This Row],[target]]-Tab.11[[#This Row],[Blue]])</f>
        <v>0</v>
      </c>
      <c r="W125" s="73" t="b">
        <f>IF(Tab.11[[#This Row],[a1]]=1,IF(ABS(Tab.11[[#This Row],[b17]])+ABS(Tab.11[[#This Row],[b18]])&lt;$W$2,$W$2,ABS(Tab.11[[#This Row],[b17]])+ABS(Tab.11[[#This Row],[b18]])))</f>
        <v>0</v>
      </c>
      <c r="X125" s="136" t="b">
        <f>IF(Tab.11[[#This Row],[a1]]=1,IF($W$3&lt;0,Tab.11[[#This Row],[IN]]-$I$3,Tab.11[[#This Row],[IN]]))</f>
        <v>0</v>
      </c>
      <c r="Y125" s="136" t="b">
        <f>IF(Tab.11[[#This Row],[a1]]=1,IF($X$3=0,Tab.11[b66],Tab.11[[#This Row],[b66]]-AVERAGE(Tab.11[b66])))</f>
        <v>0</v>
      </c>
      <c r="Z125" s="135" t="b">
        <f>IF(Tab.11[[#This Row],[a1]]=1,Tab.11[[#This Row],[b77]]/(_xlfn.STDEV.P(Tab.11[b77])))</f>
        <v>0</v>
      </c>
      <c r="AA125" s="70" t="b">
        <f>IF(Tab.11[[#This Row],[a1]]=1,_xlfn.NORM.DIST(Tab.11[[#This Row],[b88]],$Z$1,$AA$1,FALSE))</f>
        <v>0</v>
      </c>
      <c r="AB125" s="74" t="b">
        <f>IF(Tab.11[[#This Row],[a1]]=1,IF($A$3=0,FALSE,1/Tab.11[[#This Row],[IN]]*$AC$2*IF(Tab.11[[#This Row],[a1]]=0,,$A$3*$AC$1*1/$V$3*(Tab.11[[#This Row],[b14]]))))</f>
        <v>0</v>
      </c>
      <c r="AC125" s="75" t="b">
        <f>IF(Tab.11[[#This Row],[a1]]=1,IF($AC$3=0,Tab.11[[#This Row],[φ1]],Tab.11[[#This Row],[φ1]]/MAX(Tab.11[φ1])))</f>
        <v>0</v>
      </c>
      <c r="AD125" s="74" t="b">
        <f>IF(Tab.11[[#This Row],[a1]]=1,1/Tab.11[[#This Row],[φ2]])</f>
        <v>0</v>
      </c>
      <c r="AE125" s="74" t="b">
        <f>IF(Tab.11[[#This Row],[a1]]=1,IF($AE$3=0,Tab.11[[#This Row],[w.0]],Tab.11[[#This Row],[w.0]]/SUM(Tab.11[w.0])))</f>
        <v>0</v>
      </c>
      <c r="AF125" s="76" t="str">
        <f>IF(Tab.11[[#This Row],[a1]]=0,"false",[3]!Tab.x5[[#This Row],[%_seN_C]])</f>
        <v>false</v>
      </c>
      <c r="AG125" s="77" t="b">
        <f>IF(Tab.11[[#This Row],[a1]]=1,AP125)</f>
        <v>0</v>
      </c>
      <c r="AH125" s="78" t="b">
        <f>IF(Tab.11[[#This Row],[a1]]=1,AQ125)</f>
        <v>0</v>
      </c>
      <c r="AI125" s="41">
        <v>3.0000000000000001E-3</v>
      </c>
      <c r="AJ125" s="79">
        <v>0.02</v>
      </c>
      <c r="AK125" s="80" t="b">
        <f>IF(Tab.11[[#This Row],[a1]]=1,1)</f>
        <v>0</v>
      </c>
      <c r="AZ125"/>
    </row>
    <row r="126" spans="1:52" ht="14.25" hidden="1" customHeight="1" x14ac:dyDescent="0.25">
      <c r="A126" s="61">
        <f t="shared" si="5"/>
        <v>0</v>
      </c>
      <c r="B126" s="62">
        <f t="shared" si="5"/>
        <v>0</v>
      </c>
      <c r="C126" s="62" t="b">
        <f>IF(Tab.11[[#This Row],[a1]]=1,[3]!Tab_x1[[#This Row],[Name]])</f>
        <v>0</v>
      </c>
      <c r="D126" s="63" t="b">
        <f>IF(Tab.11[[#This Row],[a1]]=1,AO126)</f>
        <v>0</v>
      </c>
      <c r="E126" s="63">
        <f t="shared" si="4"/>
        <v>0</v>
      </c>
      <c r="F126" s="64" t="b">
        <f>IF(Tab.11[[#This Row],[a1]]=1,Tab.11[[#This Row],[b1]])</f>
        <v>0</v>
      </c>
      <c r="G126" s="65" t="b">
        <f>IF(Tab.11[[#This Row],[a1]]=1,IF(Tab.11[[#This Row],[b3]]&gt;$L$989*$G$3,$L$989*$G$3,IF(Tab.11[[#This Row],[b3]]&lt;$M$989*$G$3,$M$989*$G$3,Tab.11[[#This Row],[b3]])))</f>
        <v>0</v>
      </c>
      <c r="H126" s="66" t="b">
        <f>IF(Tab.11[[#This Row],[a1]]=1,Tab.11[[#This Row],[b1]])</f>
        <v>0</v>
      </c>
      <c r="I126" s="67" t="b">
        <f>IF(Tab.11[[#This Row],[a1]]=1,Tab.11[[#This Row],[b1]])</f>
        <v>0</v>
      </c>
      <c r="J126" s="68" t="b">
        <f>IF(Tab.11[[#This Row],[a1]]=1,IF($I$3&lt;0,Tab.11[[#This Row],[b5]]-$I$3,Tab.11[[#This Row],[b5]]))</f>
        <v>0</v>
      </c>
      <c r="K126" s="68" t="b">
        <f>IF(Tab.11[[#This Row],[a1]]=1,IF($K$3=0,Tab.11[b6],Tab.11[[#This Row],[b6]]-AVERAGE(Tab.11[b6])))</f>
        <v>0</v>
      </c>
      <c r="L126" s="69" t="b">
        <f>IF(Tab.11[[#This Row],[a1]]=1,Tab.11[[#This Row],[data]]/(_xlfn.STDEV.P(Tab.11[data])*$B$989)+$A$989)</f>
        <v>0</v>
      </c>
      <c r="M126" s="69" t="b">
        <f>IF(Tab.11[[#This Row],[a1]]=1,Tab.11[[#This Row],[data]]/(_xlfn.STDEV.P(Tab.11[data])*$B$987)-$A$987)</f>
        <v>0</v>
      </c>
      <c r="N126" s="69" t="b">
        <f>IF(Tab.11[[#This Row],[a1]]=1,Tab.11[[#This Row],[data]]/(_xlfn.STDEV.P(Tab.11[data])*$B$988)+$A$988)</f>
        <v>0</v>
      </c>
      <c r="O126" s="70" t="b">
        <f>IF(Tab.11[[#This Row],[a1]]=1,_xlfn.NORM.DIST(Tab.11[[#This Row],[b8]],$P$1,$Q$1,FALSE))</f>
        <v>0</v>
      </c>
      <c r="P126" s="70" t="b">
        <f>IF(Tab.11[[#This Row],[a1]]=1,_xlfn.NORM.DIST(Tab.11[[#This Row],[b9]],$P$1,$Q$1,FALSE))</f>
        <v>0</v>
      </c>
      <c r="Q126" s="70" t="b">
        <f>IF(Tab.11[[#This Row],[a1]]=1,_xlfn.NORM.DIST(Tab.11[[#This Row],[b10]],$P$1,$Q$1,FALSE))</f>
        <v>0</v>
      </c>
      <c r="R126" s="67" t="b">
        <f>IF(Tab.11[[#This Row],[a1]]=1,$I$3+$A$989+IF($K$3=0,Tab.11[[#This Row],[b8]]*_xlfn.STDEV.P(Tab.11[data]),AVERAGE(Tab.11[b6])+Tab.11[[#This Row],[b8]]*_xlfn.STDEV.P(Tab.11[data])))</f>
        <v>0</v>
      </c>
      <c r="S126" s="71" t="b">
        <f>IF(Tab.11[[#This Row],[a1]]=1,$I$3+$A$987+IF($K$3=0,Tab.11[[#This Row],[b9]]*_xlfn.STDEV.P(Tab.11[data]),AVERAGE(Tab.11[b6])+Tab.11[[#This Row],[b9]]*_xlfn.STDEV.P(Tab.11[data])))</f>
        <v>0</v>
      </c>
      <c r="T126" s="71" t="b">
        <f>IF(Tab.11[[#This Row],[a1]]=1,$I$3+$A$988+IF($K$3=0,Tab.11[[#This Row],[b10]]*_xlfn.STDEV.P(Tab.11[data]),AVERAGE(Tab.11[b6])+Tab.11[[#This Row],[b10]]*_xlfn.STDEV.P(Tab.11[data])))</f>
        <v>0</v>
      </c>
      <c r="U126" s="72" t="b">
        <f>IF(Tab.11[[#This Row],[a1]]=1,Tab.11[[#This Row],[target]]-Tab.11[[#This Row],[Red]])</f>
        <v>0</v>
      </c>
      <c r="V126" s="72" t="b">
        <f>IF(Tab.11[[#This Row],[a1]]=1,Tab.11[[#This Row],[target]]-Tab.11[[#This Row],[Blue]])</f>
        <v>0</v>
      </c>
      <c r="W126" s="73" t="b">
        <f>IF(Tab.11[[#This Row],[a1]]=1,IF(ABS(Tab.11[[#This Row],[b17]])+ABS(Tab.11[[#This Row],[b18]])&lt;$W$2,$W$2,ABS(Tab.11[[#This Row],[b17]])+ABS(Tab.11[[#This Row],[b18]])))</f>
        <v>0</v>
      </c>
      <c r="X126" s="136" t="b">
        <f>IF(Tab.11[[#This Row],[a1]]=1,IF($W$3&lt;0,Tab.11[[#This Row],[IN]]-$I$3,Tab.11[[#This Row],[IN]]))</f>
        <v>0</v>
      </c>
      <c r="Y126" s="136" t="b">
        <f>IF(Tab.11[[#This Row],[a1]]=1,IF($X$3=0,Tab.11[b66],Tab.11[[#This Row],[b66]]-AVERAGE(Tab.11[b66])))</f>
        <v>0</v>
      </c>
      <c r="Z126" s="135" t="b">
        <f>IF(Tab.11[[#This Row],[a1]]=1,Tab.11[[#This Row],[b77]]/(_xlfn.STDEV.P(Tab.11[b77])))</f>
        <v>0</v>
      </c>
      <c r="AA126" s="70" t="b">
        <f>IF(Tab.11[[#This Row],[a1]]=1,_xlfn.NORM.DIST(Tab.11[[#This Row],[b88]],$Z$1,$AA$1,FALSE))</f>
        <v>0</v>
      </c>
      <c r="AB126" s="74" t="b">
        <f>IF(Tab.11[[#This Row],[a1]]=1,IF($A$3=0,FALSE,1/Tab.11[[#This Row],[IN]]*$AC$2*IF(Tab.11[[#This Row],[a1]]=0,,$A$3*$AC$1*1/$V$3*(Tab.11[[#This Row],[b14]]))))</f>
        <v>0</v>
      </c>
      <c r="AC126" s="75" t="b">
        <f>IF(Tab.11[[#This Row],[a1]]=1,IF($AC$3=0,Tab.11[[#This Row],[φ1]],Tab.11[[#This Row],[φ1]]/MAX(Tab.11[φ1])))</f>
        <v>0</v>
      </c>
      <c r="AD126" s="74" t="b">
        <f>IF(Tab.11[[#This Row],[a1]]=1,1/Tab.11[[#This Row],[φ2]])</f>
        <v>0</v>
      </c>
      <c r="AE126" s="74" t="b">
        <f>IF(Tab.11[[#This Row],[a1]]=1,IF($AE$3=0,Tab.11[[#This Row],[w.0]],Tab.11[[#This Row],[w.0]]/SUM(Tab.11[w.0])))</f>
        <v>0</v>
      </c>
      <c r="AF126" s="76" t="str">
        <f>IF(Tab.11[[#This Row],[a1]]=0,"false",[3]!Tab.x5[[#This Row],[%_seN_C]])</f>
        <v>false</v>
      </c>
      <c r="AG126" s="77" t="b">
        <f>IF(Tab.11[[#This Row],[a1]]=1,AP126)</f>
        <v>0</v>
      </c>
      <c r="AH126" s="78" t="b">
        <f>IF(Tab.11[[#This Row],[a1]]=1,AQ126)</f>
        <v>0</v>
      </c>
      <c r="AI126" s="41">
        <v>3.0000000000000001E-3</v>
      </c>
      <c r="AJ126" s="79">
        <v>0.02</v>
      </c>
      <c r="AK126" s="80" t="b">
        <f>IF(Tab.11[[#This Row],[a1]]=1,1)</f>
        <v>0</v>
      </c>
      <c r="AZ126"/>
    </row>
    <row r="127" spans="1:52" ht="14.25" hidden="1" customHeight="1" x14ac:dyDescent="0.25">
      <c r="A127" s="61">
        <f t="shared" si="5"/>
        <v>0</v>
      </c>
      <c r="B127" s="62">
        <f t="shared" si="5"/>
        <v>0</v>
      </c>
      <c r="C127" s="62" t="b">
        <f>IF(Tab.11[[#This Row],[a1]]=1,[3]!Tab_x1[[#This Row],[Name]])</f>
        <v>0</v>
      </c>
      <c r="D127" s="63" t="b">
        <f>IF(Tab.11[[#This Row],[a1]]=1,AO127)</f>
        <v>0</v>
      </c>
      <c r="E127" s="63">
        <f t="shared" si="4"/>
        <v>0</v>
      </c>
      <c r="F127" s="64" t="b">
        <f>IF(Tab.11[[#This Row],[a1]]=1,Tab.11[[#This Row],[b1]])</f>
        <v>0</v>
      </c>
      <c r="G127" s="65" t="b">
        <f>IF(Tab.11[[#This Row],[a1]]=1,IF(Tab.11[[#This Row],[b3]]&gt;$L$989*$G$3,$L$989*$G$3,IF(Tab.11[[#This Row],[b3]]&lt;$M$989*$G$3,$M$989*$G$3,Tab.11[[#This Row],[b3]])))</f>
        <v>0</v>
      </c>
      <c r="H127" s="66" t="b">
        <f>IF(Tab.11[[#This Row],[a1]]=1,Tab.11[[#This Row],[b1]])</f>
        <v>0</v>
      </c>
      <c r="I127" s="67" t="b">
        <f>IF(Tab.11[[#This Row],[a1]]=1,Tab.11[[#This Row],[b1]])</f>
        <v>0</v>
      </c>
      <c r="J127" s="68" t="b">
        <f>IF(Tab.11[[#This Row],[a1]]=1,IF($I$3&lt;0,Tab.11[[#This Row],[b5]]-$I$3,Tab.11[[#This Row],[b5]]))</f>
        <v>0</v>
      </c>
      <c r="K127" s="68" t="b">
        <f>IF(Tab.11[[#This Row],[a1]]=1,IF($K$3=0,Tab.11[b6],Tab.11[[#This Row],[b6]]-AVERAGE(Tab.11[b6])))</f>
        <v>0</v>
      </c>
      <c r="L127" s="69" t="b">
        <f>IF(Tab.11[[#This Row],[a1]]=1,Tab.11[[#This Row],[data]]/(_xlfn.STDEV.P(Tab.11[data])*$B$989)+$A$989)</f>
        <v>0</v>
      </c>
      <c r="M127" s="69" t="b">
        <f>IF(Tab.11[[#This Row],[a1]]=1,Tab.11[[#This Row],[data]]/(_xlfn.STDEV.P(Tab.11[data])*$B$987)-$A$987)</f>
        <v>0</v>
      </c>
      <c r="N127" s="69" t="b">
        <f>IF(Tab.11[[#This Row],[a1]]=1,Tab.11[[#This Row],[data]]/(_xlfn.STDEV.P(Tab.11[data])*$B$988)+$A$988)</f>
        <v>0</v>
      </c>
      <c r="O127" s="70" t="b">
        <f>IF(Tab.11[[#This Row],[a1]]=1,_xlfn.NORM.DIST(Tab.11[[#This Row],[b8]],$P$1,$Q$1,FALSE))</f>
        <v>0</v>
      </c>
      <c r="P127" s="70" t="b">
        <f>IF(Tab.11[[#This Row],[a1]]=1,_xlfn.NORM.DIST(Tab.11[[#This Row],[b9]],$P$1,$Q$1,FALSE))</f>
        <v>0</v>
      </c>
      <c r="Q127" s="70" t="b">
        <f>IF(Tab.11[[#This Row],[a1]]=1,_xlfn.NORM.DIST(Tab.11[[#This Row],[b10]],$P$1,$Q$1,FALSE))</f>
        <v>0</v>
      </c>
      <c r="R127" s="67" t="b">
        <f>IF(Tab.11[[#This Row],[a1]]=1,$I$3+$A$989+IF($K$3=0,Tab.11[[#This Row],[b8]]*_xlfn.STDEV.P(Tab.11[data]),AVERAGE(Tab.11[b6])+Tab.11[[#This Row],[b8]]*_xlfn.STDEV.P(Tab.11[data])))</f>
        <v>0</v>
      </c>
      <c r="S127" s="71" t="b">
        <f>IF(Tab.11[[#This Row],[a1]]=1,$I$3+$A$987+IF($K$3=0,Tab.11[[#This Row],[b9]]*_xlfn.STDEV.P(Tab.11[data]),AVERAGE(Tab.11[b6])+Tab.11[[#This Row],[b9]]*_xlfn.STDEV.P(Tab.11[data])))</f>
        <v>0</v>
      </c>
      <c r="T127" s="71" t="b">
        <f>IF(Tab.11[[#This Row],[a1]]=1,$I$3+$A$988+IF($K$3=0,Tab.11[[#This Row],[b10]]*_xlfn.STDEV.P(Tab.11[data]),AVERAGE(Tab.11[b6])+Tab.11[[#This Row],[b10]]*_xlfn.STDEV.P(Tab.11[data])))</f>
        <v>0</v>
      </c>
      <c r="U127" s="72" t="b">
        <f>IF(Tab.11[[#This Row],[a1]]=1,Tab.11[[#This Row],[target]]-Tab.11[[#This Row],[Red]])</f>
        <v>0</v>
      </c>
      <c r="V127" s="72" t="b">
        <f>IF(Tab.11[[#This Row],[a1]]=1,Tab.11[[#This Row],[target]]-Tab.11[[#This Row],[Blue]])</f>
        <v>0</v>
      </c>
      <c r="W127" s="73" t="b">
        <f>IF(Tab.11[[#This Row],[a1]]=1,IF(ABS(Tab.11[[#This Row],[b17]])+ABS(Tab.11[[#This Row],[b18]])&lt;$W$2,$W$2,ABS(Tab.11[[#This Row],[b17]])+ABS(Tab.11[[#This Row],[b18]])))</f>
        <v>0</v>
      </c>
      <c r="X127" s="136" t="b">
        <f>IF(Tab.11[[#This Row],[a1]]=1,IF($W$3&lt;0,Tab.11[[#This Row],[IN]]-$I$3,Tab.11[[#This Row],[IN]]))</f>
        <v>0</v>
      </c>
      <c r="Y127" s="136" t="b">
        <f>IF(Tab.11[[#This Row],[a1]]=1,IF($X$3=0,Tab.11[b66],Tab.11[[#This Row],[b66]]-AVERAGE(Tab.11[b66])))</f>
        <v>0</v>
      </c>
      <c r="Z127" s="135" t="b">
        <f>IF(Tab.11[[#This Row],[a1]]=1,Tab.11[[#This Row],[b77]]/(_xlfn.STDEV.P(Tab.11[b77])))</f>
        <v>0</v>
      </c>
      <c r="AA127" s="70" t="b">
        <f>IF(Tab.11[[#This Row],[a1]]=1,_xlfn.NORM.DIST(Tab.11[[#This Row],[b88]],$Z$1,$AA$1,FALSE))</f>
        <v>0</v>
      </c>
      <c r="AB127" s="74" t="b">
        <f>IF(Tab.11[[#This Row],[a1]]=1,IF($A$3=0,FALSE,1/Tab.11[[#This Row],[IN]]*$AC$2*IF(Tab.11[[#This Row],[a1]]=0,,$A$3*$AC$1*1/$V$3*(Tab.11[[#This Row],[b14]]))))</f>
        <v>0</v>
      </c>
      <c r="AC127" s="75" t="b">
        <f>IF(Tab.11[[#This Row],[a1]]=1,IF($AC$3=0,Tab.11[[#This Row],[φ1]],Tab.11[[#This Row],[φ1]]/MAX(Tab.11[φ1])))</f>
        <v>0</v>
      </c>
      <c r="AD127" s="74" t="b">
        <f>IF(Tab.11[[#This Row],[a1]]=1,1/Tab.11[[#This Row],[φ2]])</f>
        <v>0</v>
      </c>
      <c r="AE127" s="74" t="b">
        <f>IF(Tab.11[[#This Row],[a1]]=1,IF($AE$3=0,Tab.11[[#This Row],[w.0]],Tab.11[[#This Row],[w.0]]/SUM(Tab.11[w.0])))</f>
        <v>0</v>
      </c>
      <c r="AF127" s="76" t="str">
        <f>IF(Tab.11[[#This Row],[a1]]=0,"false",[3]!Tab.x5[[#This Row],[%_seN_C]])</f>
        <v>false</v>
      </c>
      <c r="AG127" s="77" t="b">
        <f>IF(Tab.11[[#This Row],[a1]]=1,AP127)</f>
        <v>0</v>
      </c>
      <c r="AH127" s="78" t="b">
        <f>IF(Tab.11[[#This Row],[a1]]=1,AQ127)</f>
        <v>0</v>
      </c>
      <c r="AI127" s="41">
        <v>3.0000000000000001E-3</v>
      </c>
      <c r="AJ127" s="79">
        <v>0.06</v>
      </c>
      <c r="AK127" s="80" t="b">
        <f>IF(Tab.11[[#This Row],[a1]]=1,1)</f>
        <v>0</v>
      </c>
      <c r="AZ127"/>
    </row>
    <row r="128" spans="1:52" ht="14.25" hidden="1" customHeight="1" x14ac:dyDescent="0.25">
      <c r="A128" s="61">
        <f t="shared" si="5"/>
        <v>0</v>
      </c>
      <c r="B128" s="62">
        <f t="shared" si="5"/>
        <v>0</v>
      </c>
      <c r="C128" s="62" t="b">
        <f>IF(Tab.11[[#This Row],[a1]]=1,[3]!Tab_x1[[#This Row],[Name]])</f>
        <v>0</v>
      </c>
      <c r="D128" s="63" t="b">
        <f>IF(Tab.11[[#This Row],[a1]]=1,AO128)</f>
        <v>0</v>
      </c>
      <c r="E128" s="63">
        <f t="shared" si="4"/>
        <v>0</v>
      </c>
      <c r="F128" s="64" t="b">
        <f>IF(Tab.11[[#This Row],[a1]]=1,Tab.11[[#This Row],[b1]])</f>
        <v>0</v>
      </c>
      <c r="G128" s="65" t="b">
        <f>IF(Tab.11[[#This Row],[a1]]=1,IF(Tab.11[[#This Row],[b3]]&gt;$L$989*$G$3,$L$989*$G$3,IF(Tab.11[[#This Row],[b3]]&lt;$M$989*$G$3,$M$989*$G$3,Tab.11[[#This Row],[b3]])))</f>
        <v>0</v>
      </c>
      <c r="H128" s="66" t="b">
        <f>IF(Tab.11[[#This Row],[a1]]=1,Tab.11[[#This Row],[b1]])</f>
        <v>0</v>
      </c>
      <c r="I128" s="67" t="b">
        <f>IF(Tab.11[[#This Row],[a1]]=1,Tab.11[[#This Row],[b1]])</f>
        <v>0</v>
      </c>
      <c r="J128" s="68" t="b">
        <f>IF(Tab.11[[#This Row],[a1]]=1,IF($I$3&lt;0,Tab.11[[#This Row],[b5]]-$I$3,Tab.11[[#This Row],[b5]]))</f>
        <v>0</v>
      </c>
      <c r="K128" s="68" t="b">
        <f>IF(Tab.11[[#This Row],[a1]]=1,IF($K$3=0,Tab.11[b6],Tab.11[[#This Row],[b6]]-AVERAGE(Tab.11[b6])))</f>
        <v>0</v>
      </c>
      <c r="L128" s="69" t="b">
        <f>IF(Tab.11[[#This Row],[a1]]=1,Tab.11[[#This Row],[data]]/(_xlfn.STDEV.P(Tab.11[data])*$B$989)+$A$989)</f>
        <v>0</v>
      </c>
      <c r="M128" s="69" t="b">
        <f>IF(Tab.11[[#This Row],[a1]]=1,Tab.11[[#This Row],[data]]/(_xlfn.STDEV.P(Tab.11[data])*$B$987)-$A$987)</f>
        <v>0</v>
      </c>
      <c r="N128" s="69" t="b">
        <f>IF(Tab.11[[#This Row],[a1]]=1,Tab.11[[#This Row],[data]]/(_xlfn.STDEV.P(Tab.11[data])*$B$988)+$A$988)</f>
        <v>0</v>
      </c>
      <c r="O128" s="70" t="b">
        <f>IF(Tab.11[[#This Row],[a1]]=1,_xlfn.NORM.DIST(Tab.11[[#This Row],[b8]],$P$1,$Q$1,FALSE))</f>
        <v>0</v>
      </c>
      <c r="P128" s="70" t="b">
        <f>IF(Tab.11[[#This Row],[a1]]=1,_xlfn.NORM.DIST(Tab.11[[#This Row],[b9]],$P$1,$Q$1,FALSE))</f>
        <v>0</v>
      </c>
      <c r="Q128" s="70" t="b">
        <f>IF(Tab.11[[#This Row],[a1]]=1,_xlfn.NORM.DIST(Tab.11[[#This Row],[b10]],$P$1,$Q$1,FALSE))</f>
        <v>0</v>
      </c>
      <c r="R128" s="67" t="b">
        <f>IF(Tab.11[[#This Row],[a1]]=1,$I$3+$A$989+IF($K$3=0,Tab.11[[#This Row],[b8]]*_xlfn.STDEV.P(Tab.11[data]),AVERAGE(Tab.11[b6])+Tab.11[[#This Row],[b8]]*_xlfn.STDEV.P(Tab.11[data])))</f>
        <v>0</v>
      </c>
      <c r="S128" s="71" t="b">
        <f>IF(Tab.11[[#This Row],[a1]]=1,$I$3+$A$987+IF($K$3=0,Tab.11[[#This Row],[b9]]*_xlfn.STDEV.P(Tab.11[data]),AVERAGE(Tab.11[b6])+Tab.11[[#This Row],[b9]]*_xlfn.STDEV.P(Tab.11[data])))</f>
        <v>0</v>
      </c>
      <c r="T128" s="71" t="b">
        <f>IF(Tab.11[[#This Row],[a1]]=1,$I$3+$A$988+IF($K$3=0,Tab.11[[#This Row],[b10]]*_xlfn.STDEV.P(Tab.11[data]),AVERAGE(Tab.11[b6])+Tab.11[[#This Row],[b10]]*_xlfn.STDEV.P(Tab.11[data])))</f>
        <v>0</v>
      </c>
      <c r="U128" s="72" t="b">
        <f>IF(Tab.11[[#This Row],[a1]]=1,Tab.11[[#This Row],[target]]-Tab.11[[#This Row],[Red]])</f>
        <v>0</v>
      </c>
      <c r="V128" s="72" t="b">
        <f>IF(Tab.11[[#This Row],[a1]]=1,Tab.11[[#This Row],[target]]-Tab.11[[#This Row],[Blue]])</f>
        <v>0</v>
      </c>
      <c r="W128" s="73" t="b">
        <f>IF(Tab.11[[#This Row],[a1]]=1,IF(ABS(Tab.11[[#This Row],[b17]])+ABS(Tab.11[[#This Row],[b18]])&lt;$W$2,$W$2,ABS(Tab.11[[#This Row],[b17]])+ABS(Tab.11[[#This Row],[b18]])))</f>
        <v>0</v>
      </c>
      <c r="X128" s="136" t="b">
        <f>IF(Tab.11[[#This Row],[a1]]=1,IF($W$3&lt;0,Tab.11[[#This Row],[IN]]-$I$3,Tab.11[[#This Row],[IN]]))</f>
        <v>0</v>
      </c>
      <c r="Y128" s="136" t="b">
        <f>IF(Tab.11[[#This Row],[a1]]=1,IF($X$3=0,Tab.11[b66],Tab.11[[#This Row],[b66]]-AVERAGE(Tab.11[b66])))</f>
        <v>0</v>
      </c>
      <c r="Z128" s="135" t="b">
        <f>IF(Tab.11[[#This Row],[a1]]=1,Tab.11[[#This Row],[b77]]/(_xlfn.STDEV.P(Tab.11[b77])))</f>
        <v>0</v>
      </c>
      <c r="AA128" s="70" t="b">
        <f>IF(Tab.11[[#This Row],[a1]]=1,_xlfn.NORM.DIST(Tab.11[[#This Row],[b88]],$Z$1,$AA$1,FALSE))</f>
        <v>0</v>
      </c>
      <c r="AB128" s="74" t="b">
        <f>IF(Tab.11[[#This Row],[a1]]=1,IF($A$3=0,FALSE,1/Tab.11[[#This Row],[IN]]*$AC$2*IF(Tab.11[[#This Row],[a1]]=0,,$A$3*$AC$1*1/$V$3*(Tab.11[[#This Row],[b14]]))))</f>
        <v>0</v>
      </c>
      <c r="AC128" s="75" t="b">
        <f>IF(Tab.11[[#This Row],[a1]]=1,IF($AC$3=0,Tab.11[[#This Row],[φ1]],Tab.11[[#This Row],[φ1]]/MAX(Tab.11[φ1])))</f>
        <v>0</v>
      </c>
      <c r="AD128" s="74" t="b">
        <f>IF(Tab.11[[#This Row],[a1]]=1,1/Tab.11[[#This Row],[φ2]])</f>
        <v>0</v>
      </c>
      <c r="AE128" s="74" t="b">
        <f>IF(Tab.11[[#This Row],[a1]]=1,IF($AE$3=0,Tab.11[[#This Row],[w.0]],Tab.11[[#This Row],[w.0]]/SUM(Tab.11[w.0])))</f>
        <v>0</v>
      </c>
      <c r="AF128" s="76" t="str">
        <f>IF(Tab.11[[#This Row],[a1]]=0,"false",[3]!Tab.x5[[#This Row],[%_seN_C]])</f>
        <v>false</v>
      </c>
      <c r="AG128" s="77" t="b">
        <f>IF(Tab.11[[#This Row],[a1]]=1,AP128)</f>
        <v>0</v>
      </c>
      <c r="AH128" s="78" t="b">
        <f>IF(Tab.11[[#This Row],[a1]]=1,AQ128)</f>
        <v>0</v>
      </c>
      <c r="AI128" s="41">
        <v>3.0000000000000001E-3</v>
      </c>
      <c r="AJ128" s="79">
        <v>-0.09</v>
      </c>
      <c r="AK128" s="80" t="b">
        <f>IF(Tab.11[[#This Row],[a1]]=1,1)</f>
        <v>0</v>
      </c>
      <c r="AZ128"/>
    </row>
    <row r="129" spans="1:52" ht="14.25" hidden="1" customHeight="1" x14ac:dyDescent="0.25">
      <c r="A129" s="61">
        <f t="shared" si="5"/>
        <v>0</v>
      </c>
      <c r="B129" s="62">
        <f t="shared" si="5"/>
        <v>0</v>
      </c>
      <c r="C129" s="62" t="b">
        <f>IF(Tab.11[[#This Row],[a1]]=1,[3]!Tab_x1[[#This Row],[Name]])</f>
        <v>0</v>
      </c>
      <c r="D129" s="63" t="b">
        <f>IF(Tab.11[[#This Row],[a1]]=1,AO129)</f>
        <v>0</v>
      </c>
      <c r="E129" s="63">
        <f t="shared" si="4"/>
        <v>0</v>
      </c>
      <c r="F129" s="64" t="b">
        <f>IF(Tab.11[[#This Row],[a1]]=1,Tab.11[[#This Row],[b1]])</f>
        <v>0</v>
      </c>
      <c r="G129" s="65" t="b">
        <f>IF(Tab.11[[#This Row],[a1]]=1,IF(Tab.11[[#This Row],[b3]]&gt;$L$989*$G$3,$L$989*$G$3,IF(Tab.11[[#This Row],[b3]]&lt;$M$989*$G$3,$M$989*$G$3,Tab.11[[#This Row],[b3]])))</f>
        <v>0</v>
      </c>
      <c r="H129" s="66" t="b">
        <f>IF(Tab.11[[#This Row],[a1]]=1,Tab.11[[#This Row],[b1]])</f>
        <v>0</v>
      </c>
      <c r="I129" s="67" t="b">
        <f>IF(Tab.11[[#This Row],[a1]]=1,Tab.11[[#This Row],[b1]])</f>
        <v>0</v>
      </c>
      <c r="J129" s="68" t="b">
        <f>IF(Tab.11[[#This Row],[a1]]=1,IF($I$3&lt;0,Tab.11[[#This Row],[b5]]-$I$3,Tab.11[[#This Row],[b5]]))</f>
        <v>0</v>
      </c>
      <c r="K129" s="68" t="b">
        <f>IF(Tab.11[[#This Row],[a1]]=1,IF($K$3=0,Tab.11[b6],Tab.11[[#This Row],[b6]]-AVERAGE(Tab.11[b6])))</f>
        <v>0</v>
      </c>
      <c r="L129" s="69" t="b">
        <f>IF(Tab.11[[#This Row],[a1]]=1,Tab.11[[#This Row],[data]]/(_xlfn.STDEV.P(Tab.11[data])*$B$989)+$A$989)</f>
        <v>0</v>
      </c>
      <c r="M129" s="69" t="b">
        <f>IF(Tab.11[[#This Row],[a1]]=1,Tab.11[[#This Row],[data]]/(_xlfn.STDEV.P(Tab.11[data])*$B$987)-$A$987)</f>
        <v>0</v>
      </c>
      <c r="N129" s="69" t="b">
        <f>IF(Tab.11[[#This Row],[a1]]=1,Tab.11[[#This Row],[data]]/(_xlfn.STDEV.P(Tab.11[data])*$B$988)+$A$988)</f>
        <v>0</v>
      </c>
      <c r="O129" s="70" t="b">
        <f>IF(Tab.11[[#This Row],[a1]]=1,_xlfn.NORM.DIST(Tab.11[[#This Row],[b8]],$P$1,$Q$1,FALSE))</f>
        <v>0</v>
      </c>
      <c r="P129" s="70" t="b">
        <f>IF(Tab.11[[#This Row],[a1]]=1,_xlfn.NORM.DIST(Tab.11[[#This Row],[b9]],$P$1,$Q$1,FALSE))</f>
        <v>0</v>
      </c>
      <c r="Q129" s="70" t="b">
        <f>IF(Tab.11[[#This Row],[a1]]=1,_xlfn.NORM.DIST(Tab.11[[#This Row],[b10]],$P$1,$Q$1,FALSE))</f>
        <v>0</v>
      </c>
      <c r="R129" s="67" t="b">
        <f>IF(Tab.11[[#This Row],[a1]]=1,$I$3+$A$989+IF($K$3=0,Tab.11[[#This Row],[b8]]*_xlfn.STDEV.P(Tab.11[data]),AVERAGE(Tab.11[b6])+Tab.11[[#This Row],[b8]]*_xlfn.STDEV.P(Tab.11[data])))</f>
        <v>0</v>
      </c>
      <c r="S129" s="71" t="b">
        <f>IF(Tab.11[[#This Row],[a1]]=1,$I$3+$A$987+IF($K$3=0,Tab.11[[#This Row],[b9]]*_xlfn.STDEV.P(Tab.11[data]),AVERAGE(Tab.11[b6])+Tab.11[[#This Row],[b9]]*_xlfn.STDEV.P(Tab.11[data])))</f>
        <v>0</v>
      </c>
      <c r="T129" s="71" t="b">
        <f>IF(Tab.11[[#This Row],[a1]]=1,$I$3+$A$988+IF($K$3=0,Tab.11[[#This Row],[b10]]*_xlfn.STDEV.P(Tab.11[data]),AVERAGE(Tab.11[b6])+Tab.11[[#This Row],[b10]]*_xlfn.STDEV.P(Tab.11[data])))</f>
        <v>0</v>
      </c>
      <c r="U129" s="72" t="b">
        <f>IF(Tab.11[[#This Row],[a1]]=1,Tab.11[[#This Row],[target]]-Tab.11[[#This Row],[Red]])</f>
        <v>0</v>
      </c>
      <c r="V129" s="72" t="b">
        <f>IF(Tab.11[[#This Row],[a1]]=1,Tab.11[[#This Row],[target]]-Tab.11[[#This Row],[Blue]])</f>
        <v>0</v>
      </c>
      <c r="W129" s="73" t="b">
        <f>IF(Tab.11[[#This Row],[a1]]=1,IF(ABS(Tab.11[[#This Row],[b17]])+ABS(Tab.11[[#This Row],[b18]])&lt;$W$2,$W$2,ABS(Tab.11[[#This Row],[b17]])+ABS(Tab.11[[#This Row],[b18]])))</f>
        <v>0</v>
      </c>
      <c r="X129" s="136" t="b">
        <f>IF(Tab.11[[#This Row],[a1]]=1,IF($W$3&lt;0,Tab.11[[#This Row],[IN]]-$I$3,Tab.11[[#This Row],[IN]]))</f>
        <v>0</v>
      </c>
      <c r="Y129" s="136" t="b">
        <f>IF(Tab.11[[#This Row],[a1]]=1,IF($X$3=0,Tab.11[b66],Tab.11[[#This Row],[b66]]-AVERAGE(Tab.11[b66])))</f>
        <v>0</v>
      </c>
      <c r="Z129" s="135" t="b">
        <f>IF(Tab.11[[#This Row],[a1]]=1,Tab.11[[#This Row],[b77]]/(_xlfn.STDEV.P(Tab.11[b77])))</f>
        <v>0</v>
      </c>
      <c r="AA129" s="70" t="b">
        <f>IF(Tab.11[[#This Row],[a1]]=1,_xlfn.NORM.DIST(Tab.11[[#This Row],[b88]],$Z$1,$AA$1,FALSE))</f>
        <v>0</v>
      </c>
      <c r="AB129" s="74" t="b">
        <f>IF(Tab.11[[#This Row],[a1]]=1,IF($A$3=0,FALSE,1/Tab.11[[#This Row],[IN]]*$AC$2*IF(Tab.11[[#This Row],[a1]]=0,,$A$3*$AC$1*1/$V$3*(Tab.11[[#This Row],[b14]]))))</f>
        <v>0</v>
      </c>
      <c r="AC129" s="75" t="b">
        <f>IF(Tab.11[[#This Row],[a1]]=1,IF($AC$3=0,Tab.11[[#This Row],[φ1]],Tab.11[[#This Row],[φ1]]/MAX(Tab.11[φ1])))</f>
        <v>0</v>
      </c>
      <c r="AD129" s="74" t="b">
        <f>IF(Tab.11[[#This Row],[a1]]=1,1/Tab.11[[#This Row],[φ2]])</f>
        <v>0</v>
      </c>
      <c r="AE129" s="74" t="b">
        <f>IF(Tab.11[[#This Row],[a1]]=1,IF($AE$3=0,Tab.11[[#This Row],[w.0]],Tab.11[[#This Row],[w.0]]/SUM(Tab.11[w.0])))</f>
        <v>0</v>
      </c>
      <c r="AF129" s="76" t="str">
        <f>IF(Tab.11[[#This Row],[a1]]=0,"false",[3]!Tab.x5[[#This Row],[%_seN_C]])</f>
        <v>false</v>
      </c>
      <c r="AG129" s="77" t="b">
        <f>IF(Tab.11[[#This Row],[a1]]=1,AP129)</f>
        <v>0</v>
      </c>
      <c r="AH129" s="78" t="b">
        <f>IF(Tab.11[[#This Row],[a1]]=1,AQ129)</f>
        <v>0</v>
      </c>
      <c r="AI129" s="41">
        <v>3.0000000000000001E-3</v>
      </c>
      <c r="AJ129" s="79">
        <v>0.04</v>
      </c>
      <c r="AK129" s="80" t="b">
        <f>IF(Tab.11[[#This Row],[a1]]=1,1)</f>
        <v>0</v>
      </c>
      <c r="AZ129"/>
    </row>
    <row r="130" spans="1:52" ht="14.25" hidden="1" customHeight="1" x14ac:dyDescent="0.25">
      <c r="A130" s="61">
        <f t="shared" si="5"/>
        <v>0</v>
      </c>
      <c r="B130" s="62">
        <f t="shared" si="5"/>
        <v>0</v>
      </c>
      <c r="C130" s="62" t="b">
        <f>IF(Tab.11[[#This Row],[a1]]=1,[3]!Tab_x1[[#This Row],[Name]])</f>
        <v>0</v>
      </c>
      <c r="D130" s="63" t="b">
        <f>IF(Tab.11[[#This Row],[a1]]=1,AO130)</f>
        <v>0</v>
      </c>
      <c r="E130" s="63">
        <f t="shared" si="4"/>
        <v>0</v>
      </c>
      <c r="F130" s="64" t="b">
        <f>IF(Tab.11[[#This Row],[a1]]=1,Tab.11[[#This Row],[b1]])</f>
        <v>0</v>
      </c>
      <c r="G130" s="65" t="b">
        <f>IF(Tab.11[[#This Row],[a1]]=1,IF(Tab.11[[#This Row],[b3]]&gt;$L$989*$G$3,$L$989*$G$3,IF(Tab.11[[#This Row],[b3]]&lt;$M$989*$G$3,$M$989*$G$3,Tab.11[[#This Row],[b3]])))</f>
        <v>0</v>
      </c>
      <c r="H130" s="66" t="b">
        <f>IF(Tab.11[[#This Row],[a1]]=1,Tab.11[[#This Row],[b1]])</f>
        <v>0</v>
      </c>
      <c r="I130" s="67" t="b">
        <f>IF(Tab.11[[#This Row],[a1]]=1,Tab.11[[#This Row],[b1]])</f>
        <v>0</v>
      </c>
      <c r="J130" s="68" t="b">
        <f>IF(Tab.11[[#This Row],[a1]]=1,IF($I$3&lt;0,Tab.11[[#This Row],[b5]]-$I$3,Tab.11[[#This Row],[b5]]))</f>
        <v>0</v>
      </c>
      <c r="K130" s="68" t="b">
        <f>IF(Tab.11[[#This Row],[a1]]=1,IF($K$3=0,Tab.11[b6],Tab.11[[#This Row],[b6]]-AVERAGE(Tab.11[b6])))</f>
        <v>0</v>
      </c>
      <c r="L130" s="69" t="b">
        <f>IF(Tab.11[[#This Row],[a1]]=1,Tab.11[[#This Row],[data]]/(_xlfn.STDEV.P(Tab.11[data])*$B$989)+$A$989)</f>
        <v>0</v>
      </c>
      <c r="M130" s="69" t="b">
        <f>IF(Tab.11[[#This Row],[a1]]=1,Tab.11[[#This Row],[data]]/(_xlfn.STDEV.P(Tab.11[data])*$B$987)-$A$987)</f>
        <v>0</v>
      </c>
      <c r="N130" s="69" t="b">
        <f>IF(Tab.11[[#This Row],[a1]]=1,Tab.11[[#This Row],[data]]/(_xlfn.STDEV.P(Tab.11[data])*$B$988)+$A$988)</f>
        <v>0</v>
      </c>
      <c r="O130" s="70" t="b">
        <f>IF(Tab.11[[#This Row],[a1]]=1,_xlfn.NORM.DIST(Tab.11[[#This Row],[b8]],$P$1,$Q$1,FALSE))</f>
        <v>0</v>
      </c>
      <c r="P130" s="70" t="b">
        <f>IF(Tab.11[[#This Row],[a1]]=1,_xlfn.NORM.DIST(Tab.11[[#This Row],[b9]],$P$1,$Q$1,FALSE))</f>
        <v>0</v>
      </c>
      <c r="Q130" s="70" t="b">
        <f>IF(Tab.11[[#This Row],[a1]]=1,_xlfn.NORM.DIST(Tab.11[[#This Row],[b10]],$P$1,$Q$1,FALSE))</f>
        <v>0</v>
      </c>
      <c r="R130" s="67" t="b">
        <f>IF(Tab.11[[#This Row],[a1]]=1,$I$3+$A$989+IF($K$3=0,Tab.11[[#This Row],[b8]]*_xlfn.STDEV.P(Tab.11[data]),AVERAGE(Tab.11[b6])+Tab.11[[#This Row],[b8]]*_xlfn.STDEV.P(Tab.11[data])))</f>
        <v>0</v>
      </c>
      <c r="S130" s="71" t="b">
        <f>IF(Tab.11[[#This Row],[a1]]=1,$I$3+$A$987+IF($K$3=0,Tab.11[[#This Row],[b9]]*_xlfn.STDEV.P(Tab.11[data]),AVERAGE(Tab.11[b6])+Tab.11[[#This Row],[b9]]*_xlfn.STDEV.P(Tab.11[data])))</f>
        <v>0</v>
      </c>
      <c r="T130" s="71" t="b">
        <f>IF(Tab.11[[#This Row],[a1]]=1,$I$3+$A$988+IF($K$3=0,Tab.11[[#This Row],[b10]]*_xlfn.STDEV.P(Tab.11[data]),AVERAGE(Tab.11[b6])+Tab.11[[#This Row],[b10]]*_xlfn.STDEV.P(Tab.11[data])))</f>
        <v>0</v>
      </c>
      <c r="U130" s="72" t="b">
        <f>IF(Tab.11[[#This Row],[a1]]=1,Tab.11[[#This Row],[target]]-Tab.11[[#This Row],[Red]])</f>
        <v>0</v>
      </c>
      <c r="V130" s="72" t="b">
        <f>IF(Tab.11[[#This Row],[a1]]=1,Tab.11[[#This Row],[target]]-Tab.11[[#This Row],[Blue]])</f>
        <v>0</v>
      </c>
      <c r="W130" s="73" t="b">
        <f>IF(Tab.11[[#This Row],[a1]]=1,IF(ABS(Tab.11[[#This Row],[b17]])+ABS(Tab.11[[#This Row],[b18]])&lt;$W$2,$W$2,ABS(Tab.11[[#This Row],[b17]])+ABS(Tab.11[[#This Row],[b18]])))</f>
        <v>0</v>
      </c>
      <c r="X130" s="136" t="b">
        <f>IF(Tab.11[[#This Row],[a1]]=1,IF($W$3&lt;0,Tab.11[[#This Row],[IN]]-$I$3,Tab.11[[#This Row],[IN]]))</f>
        <v>0</v>
      </c>
      <c r="Y130" s="136" t="b">
        <f>IF(Tab.11[[#This Row],[a1]]=1,IF($X$3=0,Tab.11[b66],Tab.11[[#This Row],[b66]]-AVERAGE(Tab.11[b66])))</f>
        <v>0</v>
      </c>
      <c r="Z130" s="135" t="b">
        <f>IF(Tab.11[[#This Row],[a1]]=1,Tab.11[[#This Row],[b77]]/(_xlfn.STDEV.P(Tab.11[b77])))</f>
        <v>0</v>
      </c>
      <c r="AA130" s="70" t="b">
        <f>IF(Tab.11[[#This Row],[a1]]=1,_xlfn.NORM.DIST(Tab.11[[#This Row],[b88]],$Z$1,$AA$1,FALSE))</f>
        <v>0</v>
      </c>
      <c r="AB130" s="74" t="b">
        <f>IF(Tab.11[[#This Row],[a1]]=1,IF($A$3=0,FALSE,1/Tab.11[[#This Row],[IN]]*$AC$2*IF(Tab.11[[#This Row],[a1]]=0,,$A$3*$AC$1*1/$V$3*(Tab.11[[#This Row],[b14]]))))</f>
        <v>0</v>
      </c>
      <c r="AC130" s="75" t="b">
        <f>IF(Tab.11[[#This Row],[a1]]=1,IF($AC$3=0,Tab.11[[#This Row],[φ1]],Tab.11[[#This Row],[φ1]]/MAX(Tab.11[φ1])))</f>
        <v>0</v>
      </c>
      <c r="AD130" s="74" t="b">
        <f>IF(Tab.11[[#This Row],[a1]]=1,1/Tab.11[[#This Row],[φ2]])</f>
        <v>0</v>
      </c>
      <c r="AE130" s="74" t="b">
        <f>IF(Tab.11[[#This Row],[a1]]=1,IF($AE$3=0,Tab.11[[#This Row],[w.0]],Tab.11[[#This Row],[w.0]]/SUM(Tab.11[w.0])))</f>
        <v>0</v>
      </c>
      <c r="AF130" s="76" t="str">
        <f>IF(Tab.11[[#This Row],[a1]]=0,"false",[3]!Tab.x5[[#This Row],[%_seN_C]])</f>
        <v>false</v>
      </c>
      <c r="AG130" s="77" t="b">
        <f>IF(Tab.11[[#This Row],[a1]]=1,AP130)</f>
        <v>0</v>
      </c>
      <c r="AH130" s="78" t="b">
        <f>IF(Tab.11[[#This Row],[a1]]=1,AQ130)</f>
        <v>0</v>
      </c>
      <c r="AI130" s="41">
        <v>3.0000000000000001E-3</v>
      </c>
      <c r="AJ130" s="79">
        <v>0</v>
      </c>
      <c r="AK130" s="80" t="b">
        <f>IF(Tab.11[[#This Row],[a1]]=1,1)</f>
        <v>0</v>
      </c>
      <c r="AZ130"/>
    </row>
    <row r="131" spans="1:52" ht="14.25" hidden="1" customHeight="1" x14ac:dyDescent="0.25">
      <c r="A131" s="61">
        <f t="shared" si="5"/>
        <v>0</v>
      </c>
      <c r="B131" s="62">
        <f t="shared" si="5"/>
        <v>0</v>
      </c>
      <c r="C131" s="62" t="b">
        <f>IF(Tab.11[[#This Row],[a1]]=1,[3]!Tab_x1[[#This Row],[Name]])</f>
        <v>0</v>
      </c>
      <c r="D131" s="63" t="b">
        <f>IF(Tab.11[[#This Row],[a1]]=1,AO131)</f>
        <v>0</v>
      </c>
      <c r="E131" s="63">
        <f t="shared" si="4"/>
        <v>0</v>
      </c>
      <c r="F131" s="64" t="b">
        <f>IF(Tab.11[[#This Row],[a1]]=1,Tab.11[[#This Row],[b1]])</f>
        <v>0</v>
      </c>
      <c r="G131" s="65" t="b">
        <f>IF(Tab.11[[#This Row],[a1]]=1,IF(Tab.11[[#This Row],[b3]]&gt;$L$989*$G$3,$L$989*$G$3,IF(Tab.11[[#This Row],[b3]]&lt;$M$989*$G$3,$M$989*$G$3,Tab.11[[#This Row],[b3]])))</f>
        <v>0</v>
      </c>
      <c r="H131" s="66" t="b">
        <f>IF(Tab.11[[#This Row],[a1]]=1,Tab.11[[#This Row],[b1]])</f>
        <v>0</v>
      </c>
      <c r="I131" s="67" t="b">
        <f>IF(Tab.11[[#This Row],[a1]]=1,Tab.11[[#This Row],[b1]])</f>
        <v>0</v>
      </c>
      <c r="J131" s="68" t="b">
        <f>IF(Tab.11[[#This Row],[a1]]=1,IF($I$3&lt;0,Tab.11[[#This Row],[b5]]-$I$3,Tab.11[[#This Row],[b5]]))</f>
        <v>0</v>
      </c>
      <c r="K131" s="68" t="b">
        <f>IF(Tab.11[[#This Row],[a1]]=1,IF($K$3=0,Tab.11[b6],Tab.11[[#This Row],[b6]]-AVERAGE(Tab.11[b6])))</f>
        <v>0</v>
      </c>
      <c r="L131" s="69" t="b">
        <f>IF(Tab.11[[#This Row],[a1]]=1,Tab.11[[#This Row],[data]]/(_xlfn.STDEV.P(Tab.11[data])*$B$989)+$A$989)</f>
        <v>0</v>
      </c>
      <c r="M131" s="69" t="b">
        <f>IF(Tab.11[[#This Row],[a1]]=1,Tab.11[[#This Row],[data]]/(_xlfn.STDEV.P(Tab.11[data])*$B$987)-$A$987)</f>
        <v>0</v>
      </c>
      <c r="N131" s="69" t="b">
        <f>IF(Tab.11[[#This Row],[a1]]=1,Tab.11[[#This Row],[data]]/(_xlfn.STDEV.P(Tab.11[data])*$B$988)+$A$988)</f>
        <v>0</v>
      </c>
      <c r="O131" s="70" t="b">
        <f>IF(Tab.11[[#This Row],[a1]]=1,_xlfn.NORM.DIST(Tab.11[[#This Row],[b8]],$P$1,$Q$1,FALSE))</f>
        <v>0</v>
      </c>
      <c r="P131" s="70" t="b">
        <f>IF(Tab.11[[#This Row],[a1]]=1,_xlfn.NORM.DIST(Tab.11[[#This Row],[b9]],$P$1,$Q$1,FALSE))</f>
        <v>0</v>
      </c>
      <c r="Q131" s="70" t="b">
        <f>IF(Tab.11[[#This Row],[a1]]=1,_xlfn.NORM.DIST(Tab.11[[#This Row],[b10]],$P$1,$Q$1,FALSE))</f>
        <v>0</v>
      </c>
      <c r="R131" s="67" t="b">
        <f>IF(Tab.11[[#This Row],[a1]]=1,$I$3+$A$989+IF($K$3=0,Tab.11[[#This Row],[b8]]*_xlfn.STDEV.P(Tab.11[data]),AVERAGE(Tab.11[b6])+Tab.11[[#This Row],[b8]]*_xlfn.STDEV.P(Tab.11[data])))</f>
        <v>0</v>
      </c>
      <c r="S131" s="71" t="b">
        <f>IF(Tab.11[[#This Row],[a1]]=1,$I$3+$A$987+IF($K$3=0,Tab.11[[#This Row],[b9]]*_xlfn.STDEV.P(Tab.11[data]),AVERAGE(Tab.11[b6])+Tab.11[[#This Row],[b9]]*_xlfn.STDEV.P(Tab.11[data])))</f>
        <v>0</v>
      </c>
      <c r="T131" s="71" t="b">
        <f>IF(Tab.11[[#This Row],[a1]]=1,$I$3+$A$988+IF($K$3=0,Tab.11[[#This Row],[b10]]*_xlfn.STDEV.P(Tab.11[data]),AVERAGE(Tab.11[b6])+Tab.11[[#This Row],[b10]]*_xlfn.STDEV.P(Tab.11[data])))</f>
        <v>0</v>
      </c>
      <c r="U131" s="72" t="b">
        <f>IF(Tab.11[[#This Row],[a1]]=1,Tab.11[[#This Row],[target]]-Tab.11[[#This Row],[Red]])</f>
        <v>0</v>
      </c>
      <c r="V131" s="72" t="b">
        <f>IF(Tab.11[[#This Row],[a1]]=1,Tab.11[[#This Row],[target]]-Tab.11[[#This Row],[Blue]])</f>
        <v>0</v>
      </c>
      <c r="W131" s="73" t="b">
        <f>IF(Tab.11[[#This Row],[a1]]=1,IF(ABS(Tab.11[[#This Row],[b17]])+ABS(Tab.11[[#This Row],[b18]])&lt;$W$2,$W$2,ABS(Tab.11[[#This Row],[b17]])+ABS(Tab.11[[#This Row],[b18]])))</f>
        <v>0</v>
      </c>
      <c r="X131" s="136" t="b">
        <f>IF(Tab.11[[#This Row],[a1]]=1,IF($W$3&lt;0,Tab.11[[#This Row],[IN]]-$I$3,Tab.11[[#This Row],[IN]]))</f>
        <v>0</v>
      </c>
      <c r="Y131" s="136" t="b">
        <f>IF(Tab.11[[#This Row],[a1]]=1,IF($X$3=0,Tab.11[b66],Tab.11[[#This Row],[b66]]-AVERAGE(Tab.11[b66])))</f>
        <v>0</v>
      </c>
      <c r="Z131" s="135" t="b">
        <f>IF(Tab.11[[#This Row],[a1]]=1,Tab.11[[#This Row],[b77]]/(_xlfn.STDEV.P(Tab.11[b77])))</f>
        <v>0</v>
      </c>
      <c r="AA131" s="70" t="b">
        <f>IF(Tab.11[[#This Row],[a1]]=1,_xlfn.NORM.DIST(Tab.11[[#This Row],[b88]],$Z$1,$AA$1,FALSE))</f>
        <v>0</v>
      </c>
      <c r="AB131" s="74" t="b">
        <f>IF(Tab.11[[#This Row],[a1]]=1,IF($A$3=0,FALSE,1/Tab.11[[#This Row],[IN]]*$AC$2*IF(Tab.11[[#This Row],[a1]]=0,,$A$3*$AC$1*1/$V$3*(Tab.11[[#This Row],[b14]]))))</f>
        <v>0</v>
      </c>
      <c r="AC131" s="75" t="b">
        <f>IF(Tab.11[[#This Row],[a1]]=1,IF($AC$3=0,Tab.11[[#This Row],[φ1]],Tab.11[[#This Row],[φ1]]/MAX(Tab.11[φ1])))</f>
        <v>0</v>
      </c>
      <c r="AD131" s="74" t="b">
        <f>IF(Tab.11[[#This Row],[a1]]=1,1/Tab.11[[#This Row],[φ2]])</f>
        <v>0</v>
      </c>
      <c r="AE131" s="74" t="b">
        <f>IF(Tab.11[[#This Row],[a1]]=1,IF($AE$3=0,Tab.11[[#This Row],[w.0]],Tab.11[[#This Row],[w.0]]/SUM(Tab.11[w.0])))</f>
        <v>0</v>
      </c>
      <c r="AF131" s="76" t="str">
        <f>IF(Tab.11[[#This Row],[a1]]=0,"false",[3]!Tab.x5[[#This Row],[%_seN_C]])</f>
        <v>false</v>
      </c>
      <c r="AG131" s="77" t="b">
        <f>IF(Tab.11[[#This Row],[a1]]=1,AP131)</f>
        <v>0</v>
      </c>
      <c r="AH131" s="78" t="b">
        <f>IF(Tab.11[[#This Row],[a1]]=1,AQ131)</f>
        <v>0</v>
      </c>
      <c r="AI131" s="41">
        <v>3.0000000000000001E-3</v>
      </c>
      <c r="AJ131" s="79">
        <v>-0.02</v>
      </c>
      <c r="AK131" s="80" t="b">
        <f>IF(Tab.11[[#This Row],[a1]]=1,1)</f>
        <v>0</v>
      </c>
      <c r="AZ131"/>
    </row>
    <row r="132" spans="1:52" ht="14.25" hidden="1" customHeight="1" x14ac:dyDescent="0.25">
      <c r="A132" s="61">
        <f t="shared" si="5"/>
        <v>0</v>
      </c>
      <c r="B132" s="62">
        <f t="shared" si="5"/>
        <v>0</v>
      </c>
      <c r="C132" s="62" t="b">
        <f>IF(Tab.11[[#This Row],[a1]]=1,[3]!Tab_x1[[#This Row],[Name]])</f>
        <v>0</v>
      </c>
      <c r="D132" s="63" t="b">
        <f>IF(Tab.11[[#This Row],[a1]]=1,AO132)</f>
        <v>0</v>
      </c>
      <c r="E132" s="63">
        <f t="shared" si="4"/>
        <v>0</v>
      </c>
      <c r="F132" s="64" t="b">
        <f>IF(Tab.11[[#This Row],[a1]]=1,Tab.11[[#This Row],[b1]])</f>
        <v>0</v>
      </c>
      <c r="G132" s="65" t="b">
        <f>IF(Tab.11[[#This Row],[a1]]=1,IF(Tab.11[[#This Row],[b3]]&gt;$L$989*$G$3,$L$989*$G$3,IF(Tab.11[[#This Row],[b3]]&lt;$M$989*$G$3,$M$989*$G$3,Tab.11[[#This Row],[b3]])))</f>
        <v>0</v>
      </c>
      <c r="H132" s="66" t="b">
        <f>IF(Tab.11[[#This Row],[a1]]=1,Tab.11[[#This Row],[b1]])</f>
        <v>0</v>
      </c>
      <c r="I132" s="67" t="b">
        <f>IF(Tab.11[[#This Row],[a1]]=1,Tab.11[[#This Row],[b1]])</f>
        <v>0</v>
      </c>
      <c r="J132" s="68" t="b">
        <f>IF(Tab.11[[#This Row],[a1]]=1,IF($I$3&lt;0,Tab.11[[#This Row],[b5]]-$I$3,Tab.11[[#This Row],[b5]]))</f>
        <v>0</v>
      </c>
      <c r="K132" s="68" t="b">
        <f>IF(Tab.11[[#This Row],[a1]]=1,IF($K$3=0,Tab.11[b6],Tab.11[[#This Row],[b6]]-AVERAGE(Tab.11[b6])))</f>
        <v>0</v>
      </c>
      <c r="L132" s="69" t="b">
        <f>IF(Tab.11[[#This Row],[a1]]=1,Tab.11[[#This Row],[data]]/(_xlfn.STDEV.P(Tab.11[data])*$B$989)+$A$989)</f>
        <v>0</v>
      </c>
      <c r="M132" s="69" t="b">
        <f>IF(Tab.11[[#This Row],[a1]]=1,Tab.11[[#This Row],[data]]/(_xlfn.STDEV.P(Tab.11[data])*$B$987)-$A$987)</f>
        <v>0</v>
      </c>
      <c r="N132" s="69" t="b">
        <f>IF(Tab.11[[#This Row],[a1]]=1,Tab.11[[#This Row],[data]]/(_xlfn.STDEV.P(Tab.11[data])*$B$988)+$A$988)</f>
        <v>0</v>
      </c>
      <c r="O132" s="70" t="b">
        <f>IF(Tab.11[[#This Row],[a1]]=1,_xlfn.NORM.DIST(Tab.11[[#This Row],[b8]],$P$1,$Q$1,FALSE))</f>
        <v>0</v>
      </c>
      <c r="P132" s="70" t="b">
        <f>IF(Tab.11[[#This Row],[a1]]=1,_xlfn.NORM.DIST(Tab.11[[#This Row],[b9]],$P$1,$Q$1,FALSE))</f>
        <v>0</v>
      </c>
      <c r="Q132" s="70" t="b">
        <f>IF(Tab.11[[#This Row],[a1]]=1,_xlfn.NORM.DIST(Tab.11[[#This Row],[b10]],$P$1,$Q$1,FALSE))</f>
        <v>0</v>
      </c>
      <c r="R132" s="67" t="b">
        <f>IF(Tab.11[[#This Row],[a1]]=1,$I$3+$A$989+IF($K$3=0,Tab.11[[#This Row],[b8]]*_xlfn.STDEV.P(Tab.11[data]),AVERAGE(Tab.11[b6])+Tab.11[[#This Row],[b8]]*_xlfn.STDEV.P(Tab.11[data])))</f>
        <v>0</v>
      </c>
      <c r="S132" s="71" t="b">
        <f>IF(Tab.11[[#This Row],[a1]]=1,$I$3+$A$987+IF($K$3=0,Tab.11[[#This Row],[b9]]*_xlfn.STDEV.P(Tab.11[data]),AVERAGE(Tab.11[b6])+Tab.11[[#This Row],[b9]]*_xlfn.STDEV.P(Tab.11[data])))</f>
        <v>0</v>
      </c>
      <c r="T132" s="71" t="b">
        <f>IF(Tab.11[[#This Row],[a1]]=1,$I$3+$A$988+IF($K$3=0,Tab.11[[#This Row],[b10]]*_xlfn.STDEV.P(Tab.11[data]),AVERAGE(Tab.11[b6])+Tab.11[[#This Row],[b10]]*_xlfn.STDEV.P(Tab.11[data])))</f>
        <v>0</v>
      </c>
      <c r="U132" s="72" t="b">
        <f>IF(Tab.11[[#This Row],[a1]]=1,Tab.11[[#This Row],[target]]-Tab.11[[#This Row],[Red]])</f>
        <v>0</v>
      </c>
      <c r="V132" s="72" t="b">
        <f>IF(Tab.11[[#This Row],[a1]]=1,Tab.11[[#This Row],[target]]-Tab.11[[#This Row],[Blue]])</f>
        <v>0</v>
      </c>
      <c r="W132" s="73" t="b">
        <f>IF(Tab.11[[#This Row],[a1]]=1,IF(ABS(Tab.11[[#This Row],[b17]])+ABS(Tab.11[[#This Row],[b18]])&lt;$W$2,$W$2,ABS(Tab.11[[#This Row],[b17]])+ABS(Tab.11[[#This Row],[b18]])))</f>
        <v>0</v>
      </c>
      <c r="X132" s="136" t="b">
        <f>IF(Tab.11[[#This Row],[a1]]=1,IF($W$3&lt;0,Tab.11[[#This Row],[IN]]-$I$3,Tab.11[[#This Row],[IN]]))</f>
        <v>0</v>
      </c>
      <c r="Y132" s="136" t="b">
        <f>IF(Tab.11[[#This Row],[a1]]=1,IF($X$3=0,Tab.11[b66],Tab.11[[#This Row],[b66]]-AVERAGE(Tab.11[b66])))</f>
        <v>0</v>
      </c>
      <c r="Z132" s="135" t="b">
        <f>IF(Tab.11[[#This Row],[a1]]=1,Tab.11[[#This Row],[b77]]/(_xlfn.STDEV.P(Tab.11[b77])))</f>
        <v>0</v>
      </c>
      <c r="AA132" s="70" t="b">
        <f>IF(Tab.11[[#This Row],[a1]]=1,_xlfn.NORM.DIST(Tab.11[[#This Row],[b88]],$Z$1,$AA$1,FALSE))</f>
        <v>0</v>
      </c>
      <c r="AB132" s="74" t="b">
        <f>IF(Tab.11[[#This Row],[a1]]=1,IF($A$3=0,FALSE,1/Tab.11[[#This Row],[IN]]*$AC$2*IF(Tab.11[[#This Row],[a1]]=0,,$A$3*$AC$1*1/$V$3*(Tab.11[[#This Row],[b14]]))))</f>
        <v>0</v>
      </c>
      <c r="AC132" s="75" t="b">
        <f>IF(Tab.11[[#This Row],[a1]]=1,IF($AC$3=0,Tab.11[[#This Row],[φ1]],Tab.11[[#This Row],[φ1]]/MAX(Tab.11[φ1])))</f>
        <v>0</v>
      </c>
      <c r="AD132" s="74" t="b">
        <f>IF(Tab.11[[#This Row],[a1]]=1,1/Tab.11[[#This Row],[φ2]])</f>
        <v>0</v>
      </c>
      <c r="AE132" s="74" t="b">
        <f>IF(Tab.11[[#This Row],[a1]]=1,IF($AE$3=0,Tab.11[[#This Row],[w.0]],Tab.11[[#This Row],[w.0]]/SUM(Tab.11[w.0])))</f>
        <v>0</v>
      </c>
      <c r="AF132" s="76" t="str">
        <f>IF(Tab.11[[#This Row],[a1]]=0,"false",[3]!Tab.x5[[#This Row],[%_seN_C]])</f>
        <v>false</v>
      </c>
      <c r="AG132" s="77" t="b">
        <f>IF(Tab.11[[#This Row],[a1]]=1,AP132)</f>
        <v>0</v>
      </c>
      <c r="AH132" s="78" t="b">
        <f>IF(Tab.11[[#This Row],[a1]]=1,AQ132)</f>
        <v>0</v>
      </c>
      <c r="AI132" s="41">
        <v>3.0000000000000001E-3</v>
      </c>
      <c r="AJ132" s="79">
        <v>0.1</v>
      </c>
      <c r="AK132" s="80" t="b">
        <f>IF(Tab.11[[#This Row],[a1]]=1,1)</f>
        <v>0</v>
      </c>
      <c r="AZ132"/>
    </row>
    <row r="133" spans="1:52" ht="14.25" hidden="1" customHeight="1" x14ac:dyDescent="0.25">
      <c r="A133" s="61">
        <f t="shared" si="5"/>
        <v>0</v>
      </c>
      <c r="B133" s="62">
        <f t="shared" si="5"/>
        <v>0</v>
      </c>
      <c r="C133" s="62" t="b">
        <f>IF(Tab.11[[#This Row],[a1]]=1,[3]!Tab_x1[[#This Row],[Name]])</f>
        <v>0</v>
      </c>
      <c r="D133" s="63" t="b">
        <f>IF(Tab.11[[#This Row],[a1]]=1,AO133)</f>
        <v>0</v>
      </c>
      <c r="E133" s="63">
        <f t="shared" ref="E133:E196" si="6">AM133</f>
        <v>0</v>
      </c>
      <c r="F133" s="64" t="b">
        <f>IF(Tab.11[[#This Row],[a1]]=1,Tab.11[[#This Row],[b1]])</f>
        <v>0</v>
      </c>
      <c r="G133" s="65" t="b">
        <f>IF(Tab.11[[#This Row],[a1]]=1,IF(Tab.11[[#This Row],[b3]]&gt;$L$989*$G$3,$L$989*$G$3,IF(Tab.11[[#This Row],[b3]]&lt;$M$989*$G$3,$M$989*$G$3,Tab.11[[#This Row],[b3]])))</f>
        <v>0</v>
      </c>
      <c r="H133" s="66" t="b">
        <f>IF(Tab.11[[#This Row],[a1]]=1,Tab.11[[#This Row],[b1]])</f>
        <v>0</v>
      </c>
      <c r="I133" s="67" t="b">
        <f>IF(Tab.11[[#This Row],[a1]]=1,Tab.11[[#This Row],[b1]])</f>
        <v>0</v>
      </c>
      <c r="J133" s="68" t="b">
        <f>IF(Tab.11[[#This Row],[a1]]=1,IF($I$3&lt;0,Tab.11[[#This Row],[b5]]-$I$3,Tab.11[[#This Row],[b5]]))</f>
        <v>0</v>
      </c>
      <c r="K133" s="68" t="b">
        <f>IF(Tab.11[[#This Row],[a1]]=1,IF($K$3=0,Tab.11[b6],Tab.11[[#This Row],[b6]]-AVERAGE(Tab.11[b6])))</f>
        <v>0</v>
      </c>
      <c r="L133" s="69" t="b">
        <f>IF(Tab.11[[#This Row],[a1]]=1,Tab.11[[#This Row],[data]]/(_xlfn.STDEV.P(Tab.11[data])*$B$989)+$A$989)</f>
        <v>0</v>
      </c>
      <c r="M133" s="69" t="b">
        <f>IF(Tab.11[[#This Row],[a1]]=1,Tab.11[[#This Row],[data]]/(_xlfn.STDEV.P(Tab.11[data])*$B$987)-$A$987)</f>
        <v>0</v>
      </c>
      <c r="N133" s="69" t="b">
        <f>IF(Tab.11[[#This Row],[a1]]=1,Tab.11[[#This Row],[data]]/(_xlfn.STDEV.P(Tab.11[data])*$B$988)+$A$988)</f>
        <v>0</v>
      </c>
      <c r="O133" s="70" t="b">
        <f>IF(Tab.11[[#This Row],[a1]]=1,_xlfn.NORM.DIST(Tab.11[[#This Row],[b8]],$P$1,$Q$1,FALSE))</f>
        <v>0</v>
      </c>
      <c r="P133" s="70" t="b">
        <f>IF(Tab.11[[#This Row],[a1]]=1,_xlfn.NORM.DIST(Tab.11[[#This Row],[b9]],$P$1,$Q$1,FALSE))</f>
        <v>0</v>
      </c>
      <c r="Q133" s="70" t="b">
        <f>IF(Tab.11[[#This Row],[a1]]=1,_xlfn.NORM.DIST(Tab.11[[#This Row],[b10]],$P$1,$Q$1,FALSE))</f>
        <v>0</v>
      </c>
      <c r="R133" s="67" t="b">
        <f>IF(Tab.11[[#This Row],[a1]]=1,$I$3+$A$989+IF($K$3=0,Tab.11[[#This Row],[b8]]*_xlfn.STDEV.P(Tab.11[data]),AVERAGE(Tab.11[b6])+Tab.11[[#This Row],[b8]]*_xlfn.STDEV.P(Tab.11[data])))</f>
        <v>0</v>
      </c>
      <c r="S133" s="71" t="b">
        <f>IF(Tab.11[[#This Row],[a1]]=1,$I$3+$A$987+IF($K$3=0,Tab.11[[#This Row],[b9]]*_xlfn.STDEV.P(Tab.11[data]),AVERAGE(Tab.11[b6])+Tab.11[[#This Row],[b9]]*_xlfn.STDEV.P(Tab.11[data])))</f>
        <v>0</v>
      </c>
      <c r="T133" s="71" t="b">
        <f>IF(Tab.11[[#This Row],[a1]]=1,$I$3+$A$988+IF($K$3=0,Tab.11[[#This Row],[b10]]*_xlfn.STDEV.P(Tab.11[data]),AVERAGE(Tab.11[b6])+Tab.11[[#This Row],[b10]]*_xlfn.STDEV.P(Tab.11[data])))</f>
        <v>0</v>
      </c>
      <c r="U133" s="72" t="b">
        <f>IF(Tab.11[[#This Row],[a1]]=1,Tab.11[[#This Row],[target]]-Tab.11[[#This Row],[Red]])</f>
        <v>0</v>
      </c>
      <c r="V133" s="72" t="b">
        <f>IF(Tab.11[[#This Row],[a1]]=1,Tab.11[[#This Row],[target]]-Tab.11[[#This Row],[Blue]])</f>
        <v>0</v>
      </c>
      <c r="W133" s="73" t="b">
        <f>IF(Tab.11[[#This Row],[a1]]=1,IF(ABS(Tab.11[[#This Row],[b17]])+ABS(Tab.11[[#This Row],[b18]])&lt;$W$2,$W$2,ABS(Tab.11[[#This Row],[b17]])+ABS(Tab.11[[#This Row],[b18]])))</f>
        <v>0</v>
      </c>
      <c r="X133" s="136" t="b">
        <f>IF(Tab.11[[#This Row],[a1]]=1,IF($W$3&lt;0,Tab.11[[#This Row],[IN]]-$I$3,Tab.11[[#This Row],[IN]]))</f>
        <v>0</v>
      </c>
      <c r="Y133" s="136" t="b">
        <f>IF(Tab.11[[#This Row],[a1]]=1,IF($X$3=0,Tab.11[b66],Tab.11[[#This Row],[b66]]-AVERAGE(Tab.11[b66])))</f>
        <v>0</v>
      </c>
      <c r="Z133" s="135" t="b">
        <f>IF(Tab.11[[#This Row],[a1]]=1,Tab.11[[#This Row],[b77]]/(_xlfn.STDEV.P(Tab.11[b77])))</f>
        <v>0</v>
      </c>
      <c r="AA133" s="70" t="b">
        <f>IF(Tab.11[[#This Row],[a1]]=1,_xlfn.NORM.DIST(Tab.11[[#This Row],[b88]],$Z$1,$AA$1,FALSE))</f>
        <v>0</v>
      </c>
      <c r="AB133" s="74" t="b">
        <f>IF(Tab.11[[#This Row],[a1]]=1,IF($A$3=0,FALSE,1/Tab.11[[#This Row],[IN]]*$AC$2*IF(Tab.11[[#This Row],[a1]]=0,,$A$3*$AC$1*1/$V$3*(Tab.11[[#This Row],[b14]]))))</f>
        <v>0</v>
      </c>
      <c r="AC133" s="75" t="b">
        <f>IF(Tab.11[[#This Row],[a1]]=1,IF($AC$3=0,Tab.11[[#This Row],[φ1]],Tab.11[[#This Row],[φ1]]/MAX(Tab.11[φ1])))</f>
        <v>0</v>
      </c>
      <c r="AD133" s="74" t="b">
        <f>IF(Tab.11[[#This Row],[a1]]=1,1/Tab.11[[#This Row],[φ2]])</f>
        <v>0</v>
      </c>
      <c r="AE133" s="74" t="b">
        <f>IF(Tab.11[[#This Row],[a1]]=1,IF($AE$3=0,Tab.11[[#This Row],[w.0]],Tab.11[[#This Row],[w.0]]/SUM(Tab.11[w.0])))</f>
        <v>0</v>
      </c>
      <c r="AF133" s="76" t="str">
        <f>IF(Tab.11[[#This Row],[a1]]=0,"false",[3]!Tab.x5[[#This Row],[%_seN_C]])</f>
        <v>false</v>
      </c>
      <c r="AG133" s="77" t="b">
        <f>IF(Tab.11[[#This Row],[a1]]=1,AP133)</f>
        <v>0</v>
      </c>
      <c r="AH133" s="78" t="b">
        <f>IF(Tab.11[[#This Row],[a1]]=1,AQ133)</f>
        <v>0</v>
      </c>
      <c r="AI133" s="41">
        <v>3.0000000000000001E-3</v>
      </c>
      <c r="AJ133" s="79">
        <v>0.04</v>
      </c>
      <c r="AK133" s="80" t="b">
        <f>IF(Tab.11[[#This Row],[a1]]=1,1)</f>
        <v>0</v>
      </c>
      <c r="AZ133"/>
    </row>
    <row r="134" spans="1:52" ht="14.25" hidden="1" customHeight="1" x14ac:dyDescent="0.25">
      <c r="A134" s="61">
        <f t="shared" si="5"/>
        <v>0</v>
      </c>
      <c r="B134" s="62">
        <f t="shared" si="5"/>
        <v>0</v>
      </c>
      <c r="C134" s="62" t="b">
        <f>IF(Tab.11[[#This Row],[a1]]=1,[3]!Tab_x1[[#This Row],[Name]])</f>
        <v>0</v>
      </c>
      <c r="D134" s="63" t="b">
        <f>IF(Tab.11[[#This Row],[a1]]=1,AO134)</f>
        <v>0</v>
      </c>
      <c r="E134" s="63">
        <f t="shared" si="6"/>
        <v>0</v>
      </c>
      <c r="F134" s="64" t="b">
        <f>IF(Tab.11[[#This Row],[a1]]=1,Tab.11[[#This Row],[b1]])</f>
        <v>0</v>
      </c>
      <c r="G134" s="65" t="b">
        <f>IF(Tab.11[[#This Row],[a1]]=1,IF(Tab.11[[#This Row],[b3]]&gt;$L$989*$G$3,$L$989*$G$3,IF(Tab.11[[#This Row],[b3]]&lt;$M$989*$G$3,$M$989*$G$3,Tab.11[[#This Row],[b3]])))</f>
        <v>0</v>
      </c>
      <c r="H134" s="66" t="b">
        <f>IF(Tab.11[[#This Row],[a1]]=1,Tab.11[[#This Row],[b1]])</f>
        <v>0</v>
      </c>
      <c r="I134" s="67" t="b">
        <f>IF(Tab.11[[#This Row],[a1]]=1,Tab.11[[#This Row],[b1]])</f>
        <v>0</v>
      </c>
      <c r="J134" s="68" t="b">
        <f>IF(Tab.11[[#This Row],[a1]]=1,IF($I$3&lt;0,Tab.11[[#This Row],[b5]]-$I$3,Tab.11[[#This Row],[b5]]))</f>
        <v>0</v>
      </c>
      <c r="K134" s="68" t="b">
        <f>IF(Tab.11[[#This Row],[a1]]=1,IF($K$3=0,Tab.11[b6],Tab.11[[#This Row],[b6]]-AVERAGE(Tab.11[b6])))</f>
        <v>0</v>
      </c>
      <c r="L134" s="69" t="b">
        <f>IF(Tab.11[[#This Row],[a1]]=1,Tab.11[[#This Row],[data]]/(_xlfn.STDEV.P(Tab.11[data])*$B$989)+$A$989)</f>
        <v>0</v>
      </c>
      <c r="M134" s="69" t="b">
        <f>IF(Tab.11[[#This Row],[a1]]=1,Tab.11[[#This Row],[data]]/(_xlfn.STDEV.P(Tab.11[data])*$B$987)-$A$987)</f>
        <v>0</v>
      </c>
      <c r="N134" s="69" t="b">
        <f>IF(Tab.11[[#This Row],[a1]]=1,Tab.11[[#This Row],[data]]/(_xlfn.STDEV.P(Tab.11[data])*$B$988)+$A$988)</f>
        <v>0</v>
      </c>
      <c r="O134" s="70" t="b">
        <f>IF(Tab.11[[#This Row],[a1]]=1,_xlfn.NORM.DIST(Tab.11[[#This Row],[b8]],$P$1,$Q$1,FALSE))</f>
        <v>0</v>
      </c>
      <c r="P134" s="70" t="b">
        <f>IF(Tab.11[[#This Row],[a1]]=1,_xlfn.NORM.DIST(Tab.11[[#This Row],[b9]],$P$1,$Q$1,FALSE))</f>
        <v>0</v>
      </c>
      <c r="Q134" s="70" t="b">
        <f>IF(Tab.11[[#This Row],[a1]]=1,_xlfn.NORM.DIST(Tab.11[[#This Row],[b10]],$P$1,$Q$1,FALSE))</f>
        <v>0</v>
      </c>
      <c r="R134" s="67" t="b">
        <f>IF(Tab.11[[#This Row],[a1]]=1,$I$3+$A$989+IF($K$3=0,Tab.11[[#This Row],[b8]]*_xlfn.STDEV.P(Tab.11[data]),AVERAGE(Tab.11[b6])+Tab.11[[#This Row],[b8]]*_xlfn.STDEV.P(Tab.11[data])))</f>
        <v>0</v>
      </c>
      <c r="S134" s="71" t="b">
        <f>IF(Tab.11[[#This Row],[a1]]=1,$I$3+$A$987+IF($K$3=0,Tab.11[[#This Row],[b9]]*_xlfn.STDEV.P(Tab.11[data]),AVERAGE(Tab.11[b6])+Tab.11[[#This Row],[b9]]*_xlfn.STDEV.P(Tab.11[data])))</f>
        <v>0</v>
      </c>
      <c r="T134" s="71" t="b">
        <f>IF(Tab.11[[#This Row],[a1]]=1,$I$3+$A$988+IF($K$3=0,Tab.11[[#This Row],[b10]]*_xlfn.STDEV.P(Tab.11[data]),AVERAGE(Tab.11[b6])+Tab.11[[#This Row],[b10]]*_xlfn.STDEV.P(Tab.11[data])))</f>
        <v>0</v>
      </c>
      <c r="U134" s="72" t="b">
        <f>IF(Tab.11[[#This Row],[a1]]=1,Tab.11[[#This Row],[target]]-Tab.11[[#This Row],[Red]])</f>
        <v>0</v>
      </c>
      <c r="V134" s="72" t="b">
        <f>IF(Tab.11[[#This Row],[a1]]=1,Tab.11[[#This Row],[target]]-Tab.11[[#This Row],[Blue]])</f>
        <v>0</v>
      </c>
      <c r="W134" s="73" t="b">
        <f>IF(Tab.11[[#This Row],[a1]]=1,IF(ABS(Tab.11[[#This Row],[b17]])+ABS(Tab.11[[#This Row],[b18]])&lt;$W$2,$W$2,ABS(Tab.11[[#This Row],[b17]])+ABS(Tab.11[[#This Row],[b18]])))</f>
        <v>0</v>
      </c>
      <c r="X134" s="136" t="b">
        <f>IF(Tab.11[[#This Row],[a1]]=1,IF($W$3&lt;0,Tab.11[[#This Row],[IN]]-$I$3,Tab.11[[#This Row],[IN]]))</f>
        <v>0</v>
      </c>
      <c r="Y134" s="136" t="b">
        <f>IF(Tab.11[[#This Row],[a1]]=1,IF($X$3=0,Tab.11[b66],Tab.11[[#This Row],[b66]]-AVERAGE(Tab.11[b66])))</f>
        <v>0</v>
      </c>
      <c r="Z134" s="135" t="b">
        <f>IF(Tab.11[[#This Row],[a1]]=1,Tab.11[[#This Row],[b77]]/(_xlfn.STDEV.P(Tab.11[b77])))</f>
        <v>0</v>
      </c>
      <c r="AA134" s="70" t="b">
        <f>IF(Tab.11[[#This Row],[a1]]=1,_xlfn.NORM.DIST(Tab.11[[#This Row],[b88]],$Z$1,$AA$1,FALSE))</f>
        <v>0</v>
      </c>
      <c r="AB134" s="74" t="b">
        <f>IF(Tab.11[[#This Row],[a1]]=1,IF($A$3=0,FALSE,1/Tab.11[[#This Row],[IN]]*$AC$2*IF(Tab.11[[#This Row],[a1]]=0,,$A$3*$AC$1*1/$V$3*(Tab.11[[#This Row],[b14]]))))</f>
        <v>0</v>
      </c>
      <c r="AC134" s="75" t="b">
        <f>IF(Tab.11[[#This Row],[a1]]=1,IF($AC$3=0,Tab.11[[#This Row],[φ1]],Tab.11[[#This Row],[φ1]]/MAX(Tab.11[φ1])))</f>
        <v>0</v>
      </c>
      <c r="AD134" s="74" t="b">
        <f>IF(Tab.11[[#This Row],[a1]]=1,1/Tab.11[[#This Row],[φ2]])</f>
        <v>0</v>
      </c>
      <c r="AE134" s="74" t="b">
        <f>IF(Tab.11[[#This Row],[a1]]=1,IF($AE$3=0,Tab.11[[#This Row],[w.0]],Tab.11[[#This Row],[w.0]]/SUM(Tab.11[w.0])))</f>
        <v>0</v>
      </c>
      <c r="AF134" s="76" t="str">
        <f>IF(Tab.11[[#This Row],[a1]]=0,"false",[3]!Tab.x5[[#This Row],[%_seN_C]])</f>
        <v>false</v>
      </c>
      <c r="AG134" s="77" t="b">
        <f>IF(Tab.11[[#This Row],[a1]]=1,AP134)</f>
        <v>0</v>
      </c>
      <c r="AH134" s="78" t="b">
        <f>IF(Tab.11[[#This Row],[a1]]=1,AQ134)</f>
        <v>0</v>
      </c>
      <c r="AI134" s="41">
        <v>3.0000000000000001E-3</v>
      </c>
      <c r="AJ134" s="79">
        <v>0.1</v>
      </c>
      <c r="AK134" s="80" t="b">
        <f>IF(Tab.11[[#This Row],[a1]]=1,1)</f>
        <v>0</v>
      </c>
      <c r="AZ134"/>
    </row>
    <row r="135" spans="1:52" ht="14.25" hidden="1" customHeight="1" x14ac:dyDescent="0.25">
      <c r="A135" s="61">
        <f t="shared" si="5"/>
        <v>0</v>
      </c>
      <c r="B135" s="62">
        <f t="shared" si="5"/>
        <v>0</v>
      </c>
      <c r="C135" s="62" t="b">
        <f>IF(Tab.11[[#This Row],[a1]]=1,[3]!Tab_x1[[#This Row],[Name]])</f>
        <v>0</v>
      </c>
      <c r="D135" s="63" t="b">
        <f>IF(Tab.11[[#This Row],[a1]]=1,AO135)</f>
        <v>0</v>
      </c>
      <c r="E135" s="63">
        <f t="shared" si="6"/>
        <v>0</v>
      </c>
      <c r="F135" s="64" t="b">
        <f>IF(Tab.11[[#This Row],[a1]]=1,Tab.11[[#This Row],[b1]])</f>
        <v>0</v>
      </c>
      <c r="G135" s="65" t="b">
        <f>IF(Tab.11[[#This Row],[a1]]=1,IF(Tab.11[[#This Row],[b3]]&gt;$L$989*$G$3,$L$989*$G$3,IF(Tab.11[[#This Row],[b3]]&lt;$M$989*$G$3,$M$989*$G$3,Tab.11[[#This Row],[b3]])))</f>
        <v>0</v>
      </c>
      <c r="H135" s="66" t="b">
        <f>IF(Tab.11[[#This Row],[a1]]=1,Tab.11[[#This Row],[b1]])</f>
        <v>0</v>
      </c>
      <c r="I135" s="67" t="b">
        <f>IF(Tab.11[[#This Row],[a1]]=1,Tab.11[[#This Row],[b1]])</f>
        <v>0</v>
      </c>
      <c r="J135" s="68" t="b">
        <f>IF(Tab.11[[#This Row],[a1]]=1,IF($I$3&lt;0,Tab.11[[#This Row],[b5]]-$I$3,Tab.11[[#This Row],[b5]]))</f>
        <v>0</v>
      </c>
      <c r="K135" s="68" t="b">
        <f>IF(Tab.11[[#This Row],[a1]]=1,IF($K$3=0,Tab.11[b6],Tab.11[[#This Row],[b6]]-AVERAGE(Tab.11[b6])))</f>
        <v>0</v>
      </c>
      <c r="L135" s="69" t="b">
        <f>IF(Tab.11[[#This Row],[a1]]=1,Tab.11[[#This Row],[data]]/(_xlfn.STDEV.P(Tab.11[data])*$B$989)+$A$989)</f>
        <v>0</v>
      </c>
      <c r="M135" s="69" t="b">
        <f>IF(Tab.11[[#This Row],[a1]]=1,Tab.11[[#This Row],[data]]/(_xlfn.STDEV.P(Tab.11[data])*$B$987)-$A$987)</f>
        <v>0</v>
      </c>
      <c r="N135" s="69" t="b">
        <f>IF(Tab.11[[#This Row],[a1]]=1,Tab.11[[#This Row],[data]]/(_xlfn.STDEV.P(Tab.11[data])*$B$988)+$A$988)</f>
        <v>0</v>
      </c>
      <c r="O135" s="70" t="b">
        <f>IF(Tab.11[[#This Row],[a1]]=1,_xlfn.NORM.DIST(Tab.11[[#This Row],[b8]],$P$1,$Q$1,FALSE))</f>
        <v>0</v>
      </c>
      <c r="P135" s="70" t="b">
        <f>IF(Tab.11[[#This Row],[a1]]=1,_xlfn.NORM.DIST(Tab.11[[#This Row],[b9]],$P$1,$Q$1,FALSE))</f>
        <v>0</v>
      </c>
      <c r="Q135" s="70" t="b">
        <f>IF(Tab.11[[#This Row],[a1]]=1,_xlfn.NORM.DIST(Tab.11[[#This Row],[b10]],$P$1,$Q$1,FALSE))</f>
        <v>0</v>
      </c>
      <c r="R135" s="67" t="b">
        <f>IF(Tab.11[[#This Row],[a1]]=1,$I$3+$A$989+IF($K$3=0,Tab.11[[#This Row],[b8]]*_xlfn.STDEV.P(Tab.11[data]),AVERAGE(Tab.11[b6])+Tab.11[[#This Row],[b8]]*_xlfn.STDEV.P(Tab.11[data])))</f>
        <v>0</v>
      </c>
      <c r="S135" s="71" t="b">
        <f>IF(Tab.11[[#This Row],[a1]]=1,$I$3+$A$987+IF($K$3=0,Tab.11[[#This Row],[b9]]*_xlfn.STDEV.P(Tab.11[data]),AVERAGE(Tab.11[b6])+Tab.11[[#This Row],[b9]]*_xlfn.STDEV.P(Tab.11[data])))</f>
        <v>0</v>
      </c>
      <c r="T135" s="71" t="b">
        <f>IF(Tab.11[[#This Row],[a1]]=1,$I$3+$A$988+IF($K$3=0,Tab.11[[#This Row],[b10]]*_xlfn.STDEV.P(Tab.11[data]),AVERAGE(Tab.11[b6])+Tab.11[[#This Row],[b10]]*_xlfn.STDEV.P(Tab.11[data])))</f>
        <v>0</v>
      </c>
      <c r="U135" s="72" t="b">
        <f>IF(Tab.11[[#This Row],[a1]]=1,Tab.11[[#This Row],[target]]-Tab.11[[#This Row],[Red]])</f>
        <v>0</v>
      </c>
      <c r="V135" s="72" t="b">
        <f>IF(Tab.11[[#This Row],[a1]]=1,Tab.11[[#This Row],[target]]-Tab.11[[#This Row],[Blue]])</f>
        <v>0</v>
      </c>
      <c r="W135" s="73" t="b">
        <f>IF(Tab.11[[#This Row],[a1]]=1,IF(ABS(Tab.11[[#This Row],[b17]])+ABS(Tab.11[[#This Row],[b18]])&lt;$W$2,$W$2,ABS(Tab.11[[#This Row],[b17]])+ABS(Tab.11[[#This Row],[b18]])))</f>
        <v>0</v>
      </c>
      <c r="X135" s="136" t="b">
        <f>IF(Tab.11[[#This Row],[a1]]=1,IF($W$3&lt;0,Tab.11[[#This Row],[IN]]-$I$3,Tab.11[[#This Row],[IN]]))</f>
        <v>0</v>
      </c>
      <c r="Y135" s="136" t="b">
        <f>IF(Tab.11[[#This Row],[a1]]=1,IF($X$3=0,Tab.11[b66],Tab.11[[#This Row],[b66]]-AVERAGE(Tab.11[b66])))</f>
        <v>0</v>
      </c>
      <c r="Z135" s="135" t="b">
        <f>IF(Tab.11[[#This Row],[a1]]=1,Tab.11[[#This Row],[b77]]/(_xlfn.STDEV.P(Tab.11[b77])))</f>
        <v>0</v>
      </c>
      <c r="AA135" s="70" t="b">
        <f>IF(Tab.11[[#This Row],[a1]]=1,_xlfn.NORM.DIST(Tab.11[[#This Row],[b88]],$Z$1,$AA$1,FALSE))</f>
        <v>0</v>
      </c>
      <c r="AB135" s="74" t="b">
        <f>IF(Tab.11[[#This Row],[a1]]=1,IF($A$3=0,FALSE,1/Tab.11[[#This Row],[IN]]*$AC$2*IF(Tab.11[[#This Row],[a1]]=0,,$A$3*$AC$1*1/$V$3*(Tab.11[[#This Row],[b14]]))))</f>
        <v>0</v>
      </c>
      <c r="AC135" s="75" t="b">
        <f>IF(Tab.11[[#This Row],[a1]]=1,IF($AC$3=0,Tab.11[[#This Row],[φ1]],Tab.11[[#This Row],[φ1]]/MAX(Tab.11[φ1])))</f>
        <v>0</v>
      </c>
      <c r="AD135" s="74" t="b">
        <f>IF(Tab.11[[#This Row],[a1]]=1,1/Tab.11[[#This Row],[φ2]])</f>
        <v>0</v>
      </c>
      <c r="AE135" s="74" t="b">
        <f>IF(Tab.11[[#This Row],[a1]]=1,IF($AE$3=0,Tab.11[[#This Row],[w.0]],Tab.11[[#This Row],[w.0]]/SUM(Tab.11[w.0])))</f>
        <v>0</v>
      </c>
      <c r="AF135" s="76" t="str">
        <f>IF(Tab.11[[#This Row],[a1]]=0,"false",[3]!Tab.x5[[#This Row],[%_seN_C]])</f>
        <v>false</v>
      </c>
      <c r="AG135" s="77" t="b">
        <f>IF(Tab.11[[#This Row],[a1]]=1,AP135)</f>
        <v>0</v>
      </c>
      <c r="AH135" s="78" t="b">
        <f>IF(Tab.11[[#This Row],[a1]]=1,AQ135)</f>
        <v>0</v>
      </c>
      <c r="AI135" s="41">
        <v>3.0000000000000001E-3</v>
      </c>
      <c r="AJ135" s="79">
        <v>-0.1</v>
      </c>
      <c r="AK135" s="80" t="b">
        <f>IF(Tab.11[[#This Row],[a1]]=1,1)</f>
        <v>0</v>
      </c>
      <c r="AZ135"/>
    </row>
    <row r="136" spans="1:52" ht="14.25" hidden="1" customHeight="1" x14ac:dyDescent="0.25">
      <c r="A136" s="61">
        <f t="shared" si="5"/>
        <v>0</v>
      </c>
      <c r="B136" s="62">
        <f t="shared" si="5"/>
        <v>0</v>
      </c>
      <c r="C136" s="62" t="b">
        <f>IF(Tab.11[[#This Row],[a1]]=1,[3]!Tab_x1[[#This Row],[Name]])</f>
        <v>0</v>
      </c>
      <c r="D136" s="63" t="b">
        <f>IF(Tab.11[[#This Row],[a1]]=1,AO136)</f>
        <v>0</v>
      </c>
      <c r="E136" s="63">
        <f t="shared" si="6"/>
        <v>0</v>
      </c>
      <c r="F136" s="64" t="b">
        <f>IF(Tab.11[[#This Row],[a1]]=1,Tab.11[[#This Row],[b1]])</f>
        <v>0</v>
      </c>
      <c r="G136" s="65" t="b">
        <f>IF(Tab.11[[#This Row],[a1]]=1,IF(Tab.11[[#This Row],[b3]]&gt;$L$989*$G$3,$L$989*$G$3,IF(Tab.11[[#This Row],[b3]]&lt;$M$989*$G$3,$M$989*$G$3,Tab.11[[#This Row],[b3]])))</f>
        <v>0</v>
      </c>
      <c r="H136" s="66" t="b">
        <f>IF(Tab.11[[#This Row],[a1]]=1,Tab.11[[#This Row],[b1]])</f>
        <v>0</v>
      </c>
      <c r="I136" s="67" t="b">
        <f>IF(Tab.11[[#This Row],[a1]]=1,Tab.11[[#This Row],[b1]])</f>
        <v>0</v>
      </c>
      <c r="J136" s="68" t="b">
        <f>IF(Tab.11[[#This Row],[a1]]=1,IF($I$3&lt;0,Tab.11[[#This Row],[b5]]-$I$3,Tab.11[[#This Row],[b5]]))</f>
        <v>0</v>
      </c>
      <c r="K136" s="68" t="b">
        <f>IF(Tab.11[[#This Row],[a1]]=1,IF($K$3=0,Tab.11[b6],Tab.11[[#This Row],[b6]]-AVERAGE(Tab.11[b6])))</f>
        <v>0</v>
      </c>
      <c r="L136" s="69" t="b">
        <f>IF(Tab.11[[#This Row],[a1]]=1,Tab.11[[#This Row],[data]]/(_xlfn.STDEV.P(Tab.11[data])*$B$989)+$A$989)</f>
        <v>0</v>
      </c>
      <c r="M136" s="69" t="b">
        <f>IF(Tab.11[[#This Row],[a1]]=1,Tab.11[[#This Row],[data]]/(_xlfn.STDEV.P(Tab.11[data])*$B$987)-$A$987)</f>
        <v>0</v>
      </c>
      <c r="N136" s="69" t="b">
        <f>IF(Tab.11[[#This Row],[a1]]=1,Tab.11[[#This Row],[data]]/(_xlfn.STDEV.P(Tab.11[data])*$B$988)+$A$988)</f>
        <v>0</v>
      </c>
      <c r="O136" s="70" t="b">
        <f>IF(Tab.11[[#This Row],[a1]]=1,_xlfn.NORM.DIST(Tab.11[[#This Row],[b8]],$P$1,$Q$1,FALSE))</f>
        <v>0</v>
      </c>
      <c r="P136" s="70" t="b">
        <f>IF(Tab.11[[#This Row],[a1]]=1,_xlfn.NORM.DIST(Tab.11[[#This Row],[b9]],$P$1,$Q$1,FALSE))</f>
        <v>0</v>
      </c>
      <c r="Q136" s="70" t="b">
        <f>IF(Tab.11[[#This Row],[a1]]=1,_xlfn.NORM.DIST(Tab.11[[#This Row],[b10]],$P$1,$Q$1,FALSE))</f>
        <v>0</v>
      </c>
      <c r="R136" s="67" t="b">
        <f>IF(Tab.11[[#This Row],[a1]]=1,$I$3+$A$989+IF($K$3=0,Tab.11[[#This Row],[b8]]*_xlfn.STDEV.P(Tab.11[data]),AVERAGE(Tab.11[b6])+Tab.11[[#This Row],[b8]]*_xlfn.STDEV.P(Tab.11[data])))</f>
        <v>0</v>
      </c>
      <c r="S136" s="71" t="b">
        <f>IF(Tab.11[[#This Row],[a1]]=1,$I$3+$A$987+IF($K$3=0,Tab.11[[#This Row],[b9]]*_xlfn.STDEV.P(Tab.11[data]),AVERAGE(Tab.11[b6])+Tab.11[[#This Row],[b9]]*_xlfn.STDEV.P(Tab.11[data])))</f>
        <v>0</v>
      </c>
      <c r="T136" s="71" t="b">
        <f>IF(Tab.11[[#This Row],[a1]]=1,$I$3+$A$988+IF($K$3=0,Tab.11[[#This Row],[b10]]*_xlfn.STDEV.P(Tab.11[data]),AVERAGE(Tab.11[b6])+Tab.11[[#This Row],[b10]]*_xlfn.STDEV.P(Tab.11[data])))</f>
        <v>0</v>
      </c>
      <c r="U136" s="72" t="b">
        <f>IF(Tab.11[[#This Row],[a1]]=1,Tab.11[[#This Row],[target]]-Tab.11[[#This Row],[Red]])</f>
        <v>0</v>
      </c>
      <c r="V136" s="72" t="b">
        <f>IF(Tab.11[[#This Row],[a1]]=1,Tab.11[[#This Row],[target]]-Tab.11[[#This Row],[Blue]])</f>
        <v>0</v>
      </c>
      <c r="W136" s="73" t="b">
        <f>IF(Tab.11[[#This Row],[a1]]=1,IF(ABS(Tab.11[[#This Row],[b17]])+ABS(Tab.11[[#This Row],[b18]])&lt;$W$2,$W$2,ABS(Tab.11[[#This Row],[b17]])+ABS(Tab.11[[#This Row],[b18]])))</f>
        <v>0</v>
      </c>
      <c r="X136" s="136" t="b">
        <f>IF(Tab.11[[#This Row],[a1]]=1,IF($W$3&lt;0,Tab.11[[#This Row],[IN]]-$I$3,Tab.11[[#This Row],[IN]]))</f>
        <v>0</v>
      </c>
      <c r="Y136" s="136" t="b">
        <f>IF(Tab.11[[#This Row],[a1]]=1,IF($X$3=0,Tab.11[b66],Tab.11[[#This Row],[b66]]-AVERAGE(Tab.11[b66])))</f>
        <v>0</v>
      </c>
      <c r="Z136" s="135" t="b">
        <f>IF(Tab.11[[#This Row],[a1]]=1,Tab.11[[#This Row],[b77]]/(_xlfn.STDEV.P(Tab.11[b77])))</f>
        <v>0</v>
      </c>
      <c r="AA136" s="70" t="b">
        <f>IF(Tab.11[[#This Row],[a1]]=1,_xlfn.NORM.DIST(Tab.11[[#This Row],[b88]],$Z$1,$AA$1,FALSE))</f>
        <v>0</v>
      </c>
      <c r="AB136" s="74" t="b">
        <f>IF(Tab.11[[#This Row],[a1]]=1,IF($A$3=0,FALSE,1/Tab.11[[#This Row],[IN]]*$AC$2*IF(Tab.11[[#This Row],[a1]]=0,,$A$3*$AC$1*1/$V$3*(Tab.11[[#This Row],[b14]]))))</f>
        <v>0</v>
      </c>
      <c r="AC136" s="75" t="b">
        <f>IF(Tab.11[[#This Row],[a1]]=1,IF($AC$3=0,Tab.11[[#This Row],[φ1]],Tab.11[[#This Row],[φ1]]/MAX(Tab.11[φ1])))</f>
        <v>0</v>
      </c>
      <c r="AD136" s="74" t="b">
        <f>IF(Tab.11[[#This Row],[a1]]=1,1/Tab.11[[#This Row],[φ2]])</f>
        <v>0</v>
      </c>
      <c r="AE136" s="74" t="b">
        <f>IF(Tab.11[[#This Row],[a1]]=1,IF($AE$3=0,Tab.11[[#This Row],[w.0]],Tab.11[[#This Row],[w.0]]/SUM(Tab.11[w.0])))</f>
        <v>0</v>
      </c>
      <c r="AF136" s="76" t="str">
        <f>IF(Tab.11[[#This Row],[a1]]=0,"false",[3]!Tab.x5[[#This Row],[%_seN_C]])</f>
        <v>false</v>
      </c>
      <c r="AG136" s="77" t="b">
        <f>IF(Tab.11[[#This Row],[a1]]=1,AP136)</f>
        <v>0</v>
      </c>
      <c r="AH136" s="78" t="b">
        <f>IF(Tab.11[[#This Row],[a1]]=1,AQ136)</f>
        <v>0</v>
      </c>
      <c r="AI136" s="41">
        <v>3.0000000000000001E-3</v>
      </c>
      <c r="AJ136" s="79">
        <v>-7.0000000000000007E-2</v>
      </c>
      <c r="AK136" s="80" t="b">
        <f>IF(Tab.11[[#This Row],[a1]]=1,1)</f>
        <v>0</v>
      </c>
      <c r="AZ136"/>
    </row>
    <row r="137" spans="1:52" ht="14.25" hidden="1" customHeight="1" x14ac:dyDescent="0.25">
      <c r="A137" s="61">
        <f t="shared" si="5"/>
        <v>0</v>
      </c>
      <c r="B137" s="62">
        <f t="shared" si="5"/>
        <v>0</v>
      </c>
      <c r="C137" s="62" t="b">
        <f>IF(Tab.11[[#This Row],[a1]]=1,[3]!Tab_x1[[#This Row],[Name]])</f>
        <v>0</v>
      </c>
      <c r="D137" s="63" t="b">
        <f>IF(Tab.11[[#This Row],[a1]]=1,AO137)</f>
        <v>0</v>
      </c>
      <c r="E137" s="63">
        <f t="shared" si="6"/>
        <v>0</v>
      </c>
      <c r="F137" s="64" t="b">
        <f>IF(Tab.11[[#This Row],[a1]]=1,Tab.11[[#This Row],[b1]])</f>
        <v>0</v>
      </c>
      <c r="G137" s="65" t="b">
        <f>IF(Tab.11[[#This Row],[a1]]=1,IF(Tab.11[[#This Row],[b3]]&gt;$L$989*$G$3,$L$989*$G$3,IF(Tab.11[[#This Row],[b3]]&lt;$M$989*$G$3,$M$989*$G$3,Tab.11[[#This Row],[b3]])))</f>
        <v>0</v>
      </c>
      <c r="H137" s="66" t="b">
        <f>IF(Tab.11[[#This Row],[a1]]=1,Tab.11[[#This Row],[b1]])</f>
        <v>0</v>
      </c>
      <c r="I137" s="67" t="b">
        <f>IF(Tab.11[[#This Row],[a1]]=1,Tab.11[[#This Row],[b1]])</f>
        <v>0</v>
      </c>
      <c r="J137" s="68" t="b">
        <f>IF(Tab.11[[#This Row],[a1]]=1,IF($I$3&lt;0,Tab.11[[#This Row],[b5]]-$I$3,Tab.11[[#This Row],[b5]]))</f>
        <v>0</v>
      </c>
      <c r="K137" s="68" t="b">
        <f>IF(Tab.11[[#This Row],[a1]]=1,IF($K$3=0,Tab.11[b6],Tab.11[[#This Row],[b6]]-AVERAGE(Tab.11[b6])))</f>
        <v>0</v>
      </c>
      <c r="L137" s="69" t="b">
        <f>IF(Tab.11[[#This Row],[a1]]=1,Tab.11[[#This Row],[data]]/(_xlfn.STDEV.P(Tab.11[data])*$B$989)+$A$989)</f>
        <v>0</v>
      </c>
      <c r="M137" s="69" t="b">
        <f>IF(Tab.11[[#This Row],[a1]]=1,Tab.11[[#This Row],[data]]/(_xlfn.STDEV.P(Tab.11[data])*$B$987)-$A$987)</f>
        <v>0</v>
      </c>
      <c r="N137" s="69" t="b">
        <f>IF(Tab.11[[#This Row],[a1]]=1,Tab.11[[#This Row],[data]]/(_xlfn.STDEV.P(Tab.11[data])*$B$988)+$A$988)</f>
        <v>0</v>
      </c>
      <c r="O137" s="70" t="b">
        <f>IF(Tab.11[[#This Row],[a1]]=1,_xlfn.NORM.DIST(Tab.11[[#This Row],[b8]],$P$1,$Q$1,FALSE))</f>
        <v>0</v>
      </c>
      <c r="P137" s="70" t="b">
        <f>IF(Tab.11[[#This Row],[a1]]=1,_xlfn.NORM.DIST(Tab.11[[#This Row],[b9]],$P$1,$Q$1,FALSE))</f>
        <v>0</v>
      </c>
      <c r="Q137" s="70" t="b">
        <f>IF(Tab.11[[#This Row],[a1]]=1,_xlfn.NORM.DIST(Tab.11[[#This Row],[b10]],$P$1,$Q$1,FALSE))</f>
        <v>0</v>
      </c>
      <c r="R137" s="67" t="b">
        <f>IF(Tab.11[[#This Row],[a1]]=1,$I$3+$A$989+IF($K$3=0,Tab.11[[#This Row],[b8]]*_xlfn.STDEV.P(Tab.11[data]),AVERAGE(Tab.11[b6])+Tab.11[[#This Row],[b8]]*_xlfn.STDEV.P(Tab.11[data])))</f>
        <v>0</v>
      </c>
      <c r="S137" s="71" t="b">
        <f>IF(Tab.11[[#This Row],[a1]]=1,$I$3+$A$987+IF($K$3=0,Tab.11[[#This Row],[b9]]*_xlfn.STDEV.P(Tab.11[data]),AVERAGE(Tab.11[b6])+Tab.11[[#This Row],[b9]]*_xlfn.STDEV.P(Tab.11[data])))</f>
        <v>0</v>
      </c>
      <c r="T137" s="71" t="b">
        <f>IF(Tab.11[[#This Row],[a1]]=1,$I$3+$A$988+IF($K$3=0,Tab.11[[#This Row],[b10]]*_xlfn.STDEV.P(Tab.11[data]),AVERAGE(Tab.11[b6])+Tab.11[[#This Row],[b10]]*_xlfn.STDEV.P(Tab.11[data])))</f>
        <v>0</v>
      </c>
      <c r="U137" s="72" t="b">
        <f>IF(Tab.11[[#This Row],[a1]]=1,Tab.11[[#This Row],[target]]-Tab.11[[#This Row],[Red]])</f>
        <v>0</v>
      </c>
      <c r="V137" s="72" t="b">
        <f>IF(Tab.11[[#This Row],[a1]]=1,Tab.11[[#This Row],[target]]-Tab.11[[#This Row],[Blue]])</f>
        <v>0</v>
      </c>
      <c r="W137" s="73" t="b">
        <f>IF(Tab.11[[#This Row],[a1]]=1,IF(ABS(Tab.11[[#This Row],[b17]])+ABS(Tab.11[[#This Row],[b18]])&lt;$W$2,$W$2,ABS(Tab.11[[#This Row],[b17]])+ABS(Tab.11[[#This Row],[b18]])))</f>
        <v>0</v>
      </c>
      <c r="X137" s="136" t="b">
        <f>IF(Tab.11[[#This Row],[a1]]=1,IF($W$3&lt;0,Tab.11[[#This Row],[IN]]-$I$3,Tab.11[[#This Row],[IN]]))</f>
        <v>0</v>
      </c>
      <c r="Y137" s="136" t="b">
        <f>IF(Tab.11[[#This Row],[a1]]=1,IF($X$3=0,Tab.11[b66],Tab.11[[#This Row],[b66]]-AVERAGE(Tab.11[b66])))</f>
        <v>0</v>
      </c>
      <c r="Z137" s="135" t="b">
        <f>IF(Tab.11[[#This Row],[a1]]=1,Tab.11[[#This Row],[b77]]/(_xlfn.STDEV.P(Tab.11[b77])))</f>
        <v>0</v>
      </c>
      <c r="AA137" s="70" t="b">
        <f>IF(Tab.11[[#This Row],[a1]]=1,_xlfn.NORM.DIST(Tab.11[[#This Row],[b88]],$Z$1,$AA$1,FALSE))</f>
        <v>0</v>
      </c>
      <c r="AB137" s="74" t="b">
        <f>IF(Tab.11[[#This Row],[a1]]=1,IF($A$3=0,FALSE,1/Tab.11[[#This Row],[IN]]*$AC$2*IF(Tab.11[[#This Row],[a1]]=0,,$A$3*$AC$1*1/$V$3*(Tab.11[[#This Row],[b14]]))))</f>
        <v>0</v>
      </c>
      <c r="AC137" s="75" t="b">
        <f>IF(Tab.11[[#This Row],[a1]]=1,IF($AC$3=0,Tab.11[[#This Row],[φ1]],Tab.11[[#This Row],[φ1]]/MAX(Tab.11[φ1])))</f>
        <v>0</v>
      </c>
      <c r="AD137" s="74" t="b">
        <f>IF(Tab.11[[#This Row],[a1]]=1,1/Tab.11[[#This Row],[φ2]])</f>
        <v>0</v>
      </c>
      <c r="AE137" s="74" t="b">
        <f>IF(Tab.11[[#This Row],[a1]]=1,IF($AE$3=0,Tab.11[[#This Row],[w.0]],Tab.11[[#This Row],[w.0]]/SUM(Tab.11[w.0])))</f>
        <v>0</v>
      </c>
      <c r="AF137" s="76" t="str">
        <f>IF(Tab.11[[#This Row],[a1]]=0,"false",[3]!Tab.x5[[#This Row],[%_seN_C]])</f>
        <v>false</v>
      </c>
      <c r="AG137" s="77" t="b">
        <f>IF(Tab.11[[#This Row],[a1]]=1,AP137)</f>
        <v>0</v>
      </c>
      <c r="AH137" s="78" t="b">
        <f>IF(Tab.11[[#This Row],[a1]]=1,AQ137)</f>
        <v>0</v>
      </c>
      <c r="AI137" s="41">
        <v>3.0000000000000001E-3</v>
      </c>
      <c r="AJ137" s="79">
        <v>-0.05</v>
      </c>
      <c r="AK137" s="80" t="b">
        <f>IF(Tab.11[[#This Row],[a1]]=1,1)</f>
        <v>0</v>
      </c>
      <c r="AZ137"/>
    </row>
    <row r="138" spans="1:52" ht="14.25" hidden="1" customHeight="1" x14ac:dyDescent="0.25">
      <c r="A138" s="61">
        <f t="shared" si="5"/>
        <v>0</v>
      </c>
      <c r="B138" s="62">
        <f t="shared" si="5"/>
        <v>0</v>
      </c>
      <c r="C138" s="62" t="b">
        <f>IF(Tab.11[[#This Row],[a1]]=1,[3]!Tab_x1[[#This Row],[Name]])</f>
        <v>0</v>
      </c>
      <c r="D138" s="63" t="b">
        <f>IF(Tab.11[[#This Row],[a1]]=1,AO138)</f>
        <v>0</v>
      </c>
      <c r="E138" s="63">
        <f t="shared" si="6"/>
        <v>0</v>
      </c>
      <c r="F138" s="64" t="b">
        <f>IF(Tab.11[[#This Row],[a1]]=1,Tab.11[[#This Row],[b1]])</f>
        <v>0</v>
      </c>
      <c r="G138" s="65" t="b">
        <f>IF(Tab.11[[#This Row],[a1]]=1,IF(Tab.11[[#This Row],[b3]]&gt;$L$989*$G$3,$L$989*$G$3,IF(Tab.11[[#This Row],[b3]]&lt;$M$989*$G$3,$M$989*$G$3,Tab.11[[#This Row],[b3]])))</f>
        <v>0</v>
      </c>
      <c r="H138" s="66" t="b">
        <f>IF(Tab.11[[#This Row],[a1]]=1,Tab.11[[#This Row],[b1]])</f>
        <v>0</v>
      </c>
      <c r="I138" s="67" t="b">
        <f>IF(Tab.11[[#This Row],[a1]]=1,Tab.11[[#This Row],[b1]])</f>
        <v>0</v>
      </c>
      <c r="J138" s="68" t="b">
        <f>IF(Tab.11[[#This Row],[a1]]=1,IF($I$3&lt;0,Tab.11[[#This Row],[b5]]-$I$3,Tab.11[[#This Row],[b5]]))</f>
        <v>0</v>
      </c>
      <c r="K138" s="68" t="b">
        <f>IF(Tab.11[[#This Row],[a1]]=1,IF($K$3=0,Tab.11[b6],Tab.11[[#This Row],[b6]]-AVERAGE(Tab.11[b6])))</f>
        <v>0</v>
      </c>
      <c r="L138" s="69" t="b">
        <f>IF(Tab.11[[#This Row],[a1]]=1,Tab.11[[#This Row],[data]]/(_xlfn.STDEV.P(Tab.11[data])*$B$989)+$A$989)</f>
        <v>0</v>
      </c>
      <c r="M138" s="69" t="b">
        <f>IF(Tab.11[[#This Row],[a1]]=1,Tab.11[[#This Row],[data]]/(_xlfn.STDEV.P(Tab.11[data])*$B$987)-$A$987)</f>
        <v>0</v>
      </c>
      <c r="N138" s="69" t="b">
        <f>IF(Tab.11[[#This Row],[a1]]=1,Tab.11[[#This Row],[data]]/(_xlfn.STDEV.P(Tab.11[data])*$B$988)+$A$988)</f>
        <v>0</v>
      </c>
      <c r="O138" s="70" t="b">
        <f>IF(Tab.11[[#This Row],[a1]]=1,_xlfn.NORM.DIST(Tab.11[[#This Row],[b8]],$P$1,$Q$1,FALSE))</f>
        <v>0</v>
      </c>
      <c r="P138" s="70" t="b">
        <f>IF(Tab.11[[#This Row],[a1]]=1,_xlfn.NORM.DIST(Tab.11[[#This Row],[b9]],$P$1,$Q$1,FALSE))</f>
        <v>0</v>
      </c>
      <c r="Q138" s="70" t="b">
        <f>IF(Tab.11[[#This Row],[a1]]=1,_xlfn.NORM.DIST(Tab.11[[#This Row],[b10]],$P$1,$Q$1,FALSE))</f>
        <v>0</v>
      </c>
      <c r="R138" s="67" t="b">
        <f>IF(Tab.11[[#This Row],[a1]]=1,$I$3+$A$989+IF($K$3=0,Tab.11[[#This Row],[b8]]*_xlfn.STDEV.P(Tab.11[data]),AVERAGE(Tab.11[b6])+Tab.11[[#This Row],[b8]]*_xlfn.STDEV.P(Tab.11[data])))</f>
        <v>0</v>
      </c>
      <c r="S138" s="71" t="b">
        <f>IF(Tab.11[[#This Row],[a1]]=1,$I$3+$A$987+IF($K$3=0,Tab.11[[#This Row],[b9]]*_xlfn.STDEV.P(Tab.11[data]),AVERAGE(Tab.11[b6])+Tab.11[[#This Row],[b9]]*_xlfn.STDEV.P(Tab.11[data])))</f>
        <v>0</v>
      </c>
      <c r="T138" s="71" t="b">
        <f>IF(Tab.11[[#This Row],[a1]]=1,$I$3+$A$988+IF($K$3=0,Tab.11[[#This Row],[b10]]*_xlfn.STDEV.P(Tab.11[data]),AVERAGE(Tab.11[b6])+Tab.11[[#This Row],[b10]]*_xlfn.STDEV.P(Tab.11[data])))</f>
        <v>0</v>
      </c>
      <c r="U138" s="72" t="b">
        <f>IF(Tab.11[[#This Row],[a1]]=1,Tab.11[[#This Row],[target]]-Tab.11[[#This Row],[Red]])</f>
        <v>0</v>
      </c>
      <c r="V138" s="72" t="b">
        <f>IF(Tab.11[[#This Row],[a1]]=1,Tab.11[[#This Row],[target]]-Tab.11[[#This Row],[Blue]])</f>
        <v>0</v>
      </c>
      <c r="W138" s="73" t="b">
        <f>IF(Tab.11[[#This Row],[a1]]=1,IF(ABS(Tab.11[[#This Row],[b17]])+ABS(Tab.11[[#This Row],[b18]])&lt;$W$2,$W$2,ABS(Tab.11[[#This Row],[b17]])+ABS(Tab.11[[#This Row],[b18]])))</f>
        <v>0</v>
      </c>
      <c r="X138" s="136" t="b">
        <f>IF(Tab.11[[#This Row],[a1]]=1,IF($W$3&lt;0,Tab.11[[#This Row],[IN]]-$I$3,Tab.11[[#This Row],[IN]]))</f>
        <v>0</v>
      </c>
      <c r="Y138" s="136" t="b">
        <f>IF(Tab.11[[#This Row],[a1]]=1,IF($X$3=0,Tab.11[b66],Tab.11[[#This Row],[b66]]-AVERAGE(Tab.11[b66])))</f>
        <v>0</v>
      </c>
      <c r="Z138" s="135" t="b">
        <f>IF(Tab.11[[#This Row],[a1]]=1,Tab.11[[#This Row],[b77]]/(_xlfn.STDEV.P(Tab.11[b77])))</f>
        <v>0</v>
      </c>
      <c r="AA138" s="70" t="b">
        <f>IF(Tab.11[[#This Row],[a1]]=1,_xlfn.NORM.DIST(Tab.11[[#This Row],[b88]],$Z$1,$AA$1,FALSE))</f>
        <v>0</v>
      </c>
      <c r="AB138" s="74" t="b">
        <f>IF(Tab.11[[#This Row],[a1]]=1,IF($A$3=0,FALSE,1/Tab.11[[#This Row],[IN]]*$AC$2*IF(Tab.11[[#This Row],[a1]]=0,,$A$3*$AC$1*1/$V$3*(Tab.11[[#This Row],[b14]]))))</f>
        <v>0</v>
      </c>
      <c r="AC138" s="75" t="b">
        <f>IF(Tab.11[[#This Row],[a1]]=1,IF($AC$3=0,Tab.11[[#This Row],[φ1]],Tab.11[[#This Row],[φ1]]/MAX(Tab.11[φ1])))</f>
        <v>0</v>
      </c>
      <c r="AD138" s="74" t="b">
        <f>IF(Tab.11[[#This Row],[a1]]=1,1/Tab.11[[#This Row],[φ2]])</f>
        <v>0</v>
      </c>
      <c r="AE138" s="74" t="b">
        <f>IF(Tab.11[[#This Row],[a1]]=1,IF($AE$3=0,Tab.11[[#This Row],[w.0]],Tab.11[[#This Row],[w.0]]/SUM(Tab.11[w.0])))</f>
        <v>0</v>
      </c>
      <c r="AF138" s="76" t="str">
        <f>IF(Tab.11[[#This Row],[a1]]=0,"false",[3]!Tab.x5[[#This Row],[%_seN_C]])</f>
        <v>false</v>
      </c>
      <c r="AG138" s="77" t="b">
        <f>IF(Tab.11[[#This Row],[a1]]=1,AP138)</f>
        <v>0</v>
      </c>
      <c r="AH138" s="78" t="b">
        <f>IF(Tab.11[[#This Row],[a1]]=1,AQ138)</f>
        <v>0</v>
      </c>
      <c r="AI138" s="41">
        <v>3.0000000000000001E-3</v>
      </c>
      <c r="AJ138" s="79">
        <v>0.04</v>
      </c>
      <c r="AK138" s="80" t="b">
        <f>IF(Tab.11[[#This Row],[a1]]=1,1)</f>
        <v>0</v>
      </c>
      <c r="AZ138"/>
    </row>
    <row r="139" spans="1:52" ht="14.25" hidden="1" customHeight="1" x14ac:dyDescent="0.25">
      <c r="A139" s="61">
        <f t="shared" si="5"/>
        <v>0</v>
      </c>
      <c r="B139" s="62">
        <f t="shared" si="5"/>
        <v>0</v>
      </c>
      <c r="C139" s="62" t="b">
        <f>IF(Tab.11[[#This Row],[a1]]=1,[3]!Tab_x1[[#This Row],[Name]])</f>
        <v>0</v>
      </c>
      <c r="D139" s="63" t="b">
        <f>IF(Tab.11[[#This Row],[a1]]=1,AO139)</f>
        <v>0</v>
      </c>
      <c r="E139" s="63">
        <f t="shared" si="6"/>
        <v>0</v>
      </c>
      <c r="F139" s="64" t="b">
        <f>IF(Tab.11[[#This Row],[a1]]=1,Tab.11[[#This Row],[b1]])</f>
        <v>0</v>
      </c>
      <c r="G139" s="65" t="b">
        <f>IF(Tab.11[[#This Row],[a1]]=1,IF(Tab.11[[#This Row],[b3]]&gt;$L$989*$G$3,$L$989*$G$3,IF(Tab.11[[#This Row],[b3]]&lt;$M$989*$G$3,$M$989*$G$3,Tab.11[[#This Row],[b3]])))</f>
        <v>0</v>
      </c>
      <c r="H139" s="66" t="b">
        <f>IF(Tab.11[[#This Row],[a1]]=1,Tab.11[[#This Row],[b1]])</f>
        <v>0</v>
      </c>
      <c r="I139" s="67" t="b">
        <f>IF(Tab.11[[#This Row],[a1]]=1,Tab.11[[#This Row],[b1]])</f>
        <v>0</v>
      </c>
      <c r="J139" s="68" t="b">
        <f>IF(Tab.11[[#This Row],[a1]]=1,IF($I$3&lt;0,Tab.11[[#This Row],[b5]]-$I$3,Tab.11[[#This Row],[b5]]))</f>
        <v>0</v>
      </c>
      <c r="K139" s="68" t="b">
        <f>IF(Tab.11[[#This Row],[a1]]=1,IF($K$3=0,Tab.11[b6],Tab.11[[#This Row],[b6]]-AVERAGE(Tab.11[b6])))</f>
        <v>0</v>
      </c>
      <c r="L139" s="69" t="b">
        <f>IF(Tab.11[[#This Row],[a1]]=1,Tab.11[[#This Row],[data]]/(_xlfn.STDEV.P(Tab.11[data])*$B$989)+$A$989)</f>
        <v>0</v>
      </c>
      <c r="M139" s="69" t="b">
        <f>IF(Tab.11[[#This Row],[a1]]=1,Tab.11[[#This Row],[data]]/(_xlfn.STDEV.P(Tab.11[data])*$B$987)-$A$987)</f>
        <v>0</v>
      </c>
      <c r="N139" s="69" t="b">
        <f>IF(Tab.11[[#This Row],[a1]]=1,Tab.11[[#This Row],[data]]/(_xlfn.STDEV.P(Tab.11[data])*$B$988)+$A$988)</f>
        <v>0</v>
      </c>
      <c r="O139" s="70" t="b">
        <f>IF(Tab.11[[#This Row],[a1]]=1,_xlfn.NORM.DIST(Tab.11[[#This Row],[b8]],$P$1,$Q$1,FALSE))</f>
        <v>0</v>
      </c>
      <c r="P139" s="70" t="b">
        <f>IF(Tab.11[[#This Row],[a1]]=1,_xlfn.NORM.DIST(Tab.11[[#This Row],[b9]],$P$1,$Q$1,FALSE))</f>
        <v>0</v>
      </c>
      <c r="Q139" s="70" t="b">
        <f>IF(Tab.11[[#This Row],[a1]]=1,_xlfn.NORM.DIST(Tab.11[[#This Row],[b10]],$P$1,$Q$1,FALSE))</f>
        <v>0</v>
      </c>
      <c r="R139" s="67" t="b">
        <f>IF(Tab.11[[#This Row],[a1]]=1,$I$3+$A$989+IF($K$3=0,Tab.11[[#This Row],[b8]]*_xlfn.STDEV.P(Tab.11[data]),AVERAGE(Tab.11[b6])+Tab.11[[#This Row],[b8]]*_xlfn.STDEV.P(Tab.11[data])))</f>
        <v>0</v>
      </c>
      <c r="S139" s="71" t="b">
        <f>IF(Tab.11[[#This Row],[a1]]=1,$I$3+$A$987+IF($K$3=0,Tab.11[[#This Row],[b9]]*_xlfn.STDEV.P(Tab.11[data]),AVERAGE(Tab.11[b6])+Tab.11[[#This Row],[b9]]*_xlfn.STDEV.P(Tab.11[data])))</f>
        <v>0</v>
      </c>
      <c r="T139" s="71" t="b">
        <f>IF(Tab.11[[#This Row],[a1]]=1,$I$3+$A$988+IF($K$3=0,Tab.11[[#This Row],[b10]]*_xlfn.STDEV.P(Tab.11[data]),AVERAGE(Tab.11[b6])+Tab.11[[#This Row],[b10]]*_xlfn.STDEV.P(Tab.11[data])))</f>
        <v>0</v>
      </c>
      <c r="U139" s="72" t="b">
        <f>IF(Tab.11[[#This Row],[a1]]=1,Tab.11[[#This Row],[target]]-Tab.11[[#This Row],[Red]])</f>
        <v>0</v>
      </c>
      <c r="V139" s="72" t="b">
        <f>IF(Tab.11[[#This Row],[a1]]=1,Tab.11[[#This Row],[target]]-Tab.11[[#This Row],[Blue]])</f>
        <v>0</v>
      </c>
      <c r="W139" s="73" t="b">
        <f>IF(Tab.11[[#This Row],[a1]]=1,IF(ABS(Tab.11[[#This Row],[b17]])+ABS(Tab.11[[#This Row],[b18]])&lt;$W$2,$W$2,ABS(Tab.11[[#This Row],[b17]])+ABS(Tab.11[[#This Row],[b18]])))</f>
        <v>0</v>
      </c>
      <c r="X139" s="136" t="b">
        <f>IF(Tab.11[[#This Row],[a1]]=1,IF($W$3&lt;0,Tab.11[[#This Row],[IN]]-$I$3,Tab.11[[#This Row],[IN]]))</f>
        <v>0</v>
      </c>
      <c r="Y139" s="136" t="b">
        <f>IF(Tab.11[[#This Row],[a1]]=1,IF($X$3=0,Tab.11[b66],Tab.11[[#This Row],[b66]]-AVERAGE(Tab.11[b66])))</f>
        <v>0</v>
      </c>
      <c r="Z139" s="135" t="b">
        <f>IF(Tab.11[[#This Row],[a1]]=1,Tab.11[[#This Row],[b77]]/(_xlfn.STDEV.P(Tab.11[b77])))</f>
        <v>0</v>
      </c>
      <c r="AA139" s="70" t="b">
        <f>IF(Tab.11[[#This Row],[a1]]=1,_xlfn.NORM.DIST(Tab.11[[#This Row],[b88]],$Z$1,$AA$1,FALSE))</f>
        <v>0</v>
      </c>
      <c r="AB139" s="74" t="b">
        <f>IF(Tab.11[[#This Row],[a1]]=1,IF($A$3=0,FALSE,1/Tab.11[[#This Row],[IN]]*$AC$2*IF(Tab.11[[#This Row],[a1]]=0,,$A$3*$AC$1*1/$V$3*(Tab.11[[#This Row],[b14]]))))</f>
        <v>0</v>
      </c>
      <c r="AC139" s="75" t="b">
        <f>IF(Tab.11[[#This Row],[a1]]=1,IF($AC$3=0,Tab.11[[#This Row],[φ1]],Tab.11[[#This Row],[φ1]]/MAX(Tab.11[φ1])))</f>
        <v>0</v>
      </c>
      <c r="AD139" s="74" t="b">
        <f>IF(Tab.11[[#This Row],[a1]]=1,1/Tab.11[[#This Row],[φ2]])</f>
        <v>0</v>
      </c>
      <c r="AE139" s="74" t="b">
        <f>IF(Tab.11[[#This Row],[a1]]=1,IF($AE$3=0,Tab.11[[#This Row],[w.0]],Tab.11[[#This Row],[w.0]]/SUM(Tab.11[w.0])))</f>
        <v>0</v>
      </c>
      <c r="AF139" s="76" t="str">
        <f>IF(Tab.11[[#This Row],[a1]]=0,"false",[3]!Tab.x5[[#This Row],[%_seN_C]])</f>
        <v>false</v>
      </c>
      <c r="AG139" s="77" t="b">
        <f>IF(Tab.11[[#This Row],[a1]]=1,AP139)</f>
        <v>0</v>
      </c>
      <c r="AH139" s="78" t="b">
        <f>IF(Tab.11[[#This Row],[a1]]=1,AQ139)</f>
        <v>0</v>
      </c>
      <c r="AI139" s="41">
        <v>3.0000000000000001E-3</v>
      </c>
      <c r="AJ139" s="79">
        <v>-7.0000000000000007E-2</v>
      </c>
      <c r="AK139" s="80" t="b">
        <f>IF(Tab.11[[#This Row],[a1]]=1,1)</f>
        <v>0</v>
      </c>
      <c r="AZ139"/>
    </row>
    <row r="140" spans="1:52" ht="14.25" hidden="1" customHeight="1" x14ac:dyDescent="0.25">
      <c r="A140" s="61">
        <f t="shared" si="5"/>
        <v>0</v>
      </c>
      <c r="B140" s="62">
        <f t="shared" si="5"/>
        <v>0</v>
      </c>
      <c r="C140" s="62" t="b">
        <f>IF(Tab.11[[#This Row],[a1]]=1,[3]!Tab_x1[[#This Row],[Name]])</f>
        <v>0</v>
      </c>
      <c r="D140" s="63" t="b">
        <f>IF(Tab.11[[#This Row],[a1]]=1,AO140)</f>
        <v>0</v>
      </c>
      <c r="E140" s="63">
        <f t="shared" si="6"/>
        <v>0</v>
      </c>
      <c r="F140" s="64" t="b">
        <f>IF(Tab.11[[#This Row],[a1]]=1,Tab.11[[#This Row],[b1]])</f>
        <v>0</v>
      </c>
      <c r="G140" s="65" t="b">
        <f>IF(Tab.11[[#This Row],[a1]]=1,IF(Tab.11[[#This Row],[b3]]&gt;$L$989*$G$3,$L$989*$G$3,IF(Tab.11[[#This Row],[b3]]&lt;$M$989*$G$3,$M$989*$G$3,Tab.11[[#This Row],[b3]])))</f>
        <v>0</v>
      </c>
      <c r="H140" s="66" t="b">
        <f>IF(Tab.11[[#This Row],[a1]]=1,Tab.11[[#This Row],[b1]])</f>
        <v>0</v>
      </c>
      <c r="I140" s="67" t="b">
        <f>IF(Tab.11[[#This Row],[a1]]=1,Tab.11[[#This Row],[b1]])</f>
        <v>0</v>
      </c>
      <c r="J140" s="68" t="b">
        <f>IF(Tab.11[[#This Row],[a1]]=1,IF($I$3&lt;0,Tab.11[[#This Row],[b5]]-$I$3,Tab.11[[#This Row],[b5]]))</f>
        <v>0</v>
      </c>
      <c r="K140" s="68" t="b">
        <f>IF(Tab.11[[#This Row],[a1]]=1,IF($K$3=0,Tab.11[b6],Tab.11[[#This Row],[b6]]-AVERAGE(Tab.11[b6])))</f>
        <v>0</v>
      </c>
      <c r="L140" s="69" t="b">
        <f>IF(Tab.11[[#This Row],[a1]]=1,Tab.11[[#This Row],[data]]/(_xlfn.STDEV.P(Tab.11[data])*$B$989)+$A$989)</f>
        <v>0</v>
      </c>
      <c r="M140" s="69" t="b">
        <f>IF(Tab.11[[#This Row],[a1]]=1,Tab.11[[#This Row],[data]]/(_xlfn.STDEV.P(Tab.11[data])*$B$987)-$A$987)</f>
        <v>0</v>
      </c>
      <c r="N140" s="69" t="b">
        <f>IF(Tab.11[[#This Row],[a1]]=1,Tab.11[[#This Row],[data]]/(_xlfn.STDEV.P(Tab.11[data])*$B$988)+$A$988)</f>
        <v>0</v>
      </c>
      <c r="O140" s="70" t="b">
        <f>IF(Tab.11[[#This Row],[a1]]=1,_xlfn.NORM.DIST(Tab.11[[#This Row],[b8]],$P$1,$Q$1,FALSE))</f>
        <v>0</v>
      </c>
      <c r="P140" s="70" t="b">
        <f>IF(Tab.11[[#This Row],[a1]]=1,_xlfn.NORM.DIST(Tab.11[[#This Row],[b9]],$P$1,$Q$1,FALSE))</f>
        <v>0</v>
      </c>
      <c r="Q140" s="70" t="b">
        <f>IF(Tab.11[[#This Row],[a1]]=1,_xlfn.NORM.DIST(Tab.11[[#This Row],[b10]],$P$1,$Q$1,FALSE))</f>
        <v>0</v>
      </c>
      <c r="R140" s="67" t="b">
        <f>IF(Tab.11[[#This Row],[a1]]=1,$I$3+$A$989+IF($K$3=0,Tab.11[[#This Row],[b8]]*_xlfn.STDEV.P(Tab.11[data]),AVERAGE(Tab.11[b6])+Tab.11[[#This Row],[b8]]*_xlfn.STDEV.P(Tab.11[data])))</f>
        <v>0</v>
      </c>
      <c r="S140" s="71" t="b">
        <f>IF(Tab.11[[#This Row],[a1]]=1,$I$3+$A$987+IF($K$3=0,Tab.11[[#This Row],[b9]]*_xlfn.STDEV.P(Tab.11[data]),AVERAGE(Tab.11[b6])+Tab.11[[#This Row],[b9]]*_xlfn.STDEV.P(Tab.11[data])))</f>
        <v>0</v>
      </c>
      <c r="T140" s="71" t="b">
        <f>IF(Tab.11[[#This Row],[a1]]=1,$I$3+$A$988+IF($K$3=0,Tab.11[[#This Row],[b10]]*_xlfn.STDEV.P(Tab.11[data]),AVERAGE(Tab.11[b6])+Tab.11[[#This Row],[b10]]*_xlfn.STDEV.P(Tab.11[data])))</f>
        <v>0</v>
      </c>
      <c r="U140" s="72" t="b">
        <f>IF(Tab.11[[#This Row],[a1]]=1,Tab.11[[#This Row],[target]]-Tab.11[[#This Row],[Red]])</f>
        <v>0</v>
      </c>
      <c r="V140" s="72" t="b">
        <f>IF(Tab.11[[#This Row],[a1]]=1,Tab.11[[#This Row],[target]]-Tab.11[[#This Row],[Blue]])</f>
        <v>0</v>
      </c>
      <c r="W140" s="73" t="b">
        <f>IF(Tab.11[[#This Row],[a1]]=1,IF(ABS(Tab.11[[#This Row],[b17]])+ABS(Tab.11[[#This Row],[b18]])&lt;$W$2,$W$2,ABS(Tab.11[[#This Row],[b17]])+ABS(Tab.11[[#This Row],[b18]])))</f>
        <v>0</v>
      </c>
      <c r="X140" s="136" t="b">
        <f>IF(Tab.11[[#This Row],[a1]]=1,IF($W$3&lt;0,Tab.11[[#This Row],[IN]]-$I$3,Tab.11[[#This Row],[IN]]))</f>
        <v>0</v>
      </c>
      <c r="Y140" s="136" t="b">
        <f>IF(Tab.11[[#This Row],[a1]]=1,IF($X$3=0,Tab.11[b66],Tab.11[[#This Row],[b66]]-AVERAGE(Tab.11[b66])))</f>
        <v>0</v>
      </c>
      <c r="Z140" s="135" t="b">
        <f>IF(Tab.11[[#This Row],[a1]]=1,Tab.11[[#This Row],[b77]]/(_xlfn.STDEV.P(Tab.11[b77])))</f>
        <v>0</v>
      </c>
      <c r="AA140" s="70" t="b">
        <f>IF(Tab.11[[#This Row],[a1]]=1,_xlfn.NORM.DIST(Tab.11[[#This Row],[b88]],$Z$1,$AA$1,FALSE))</f>
        <v>0</v>
      </c>
      <c r="AB140" s="74" t="b">
        <f>IF(Tab.11[[#This Row],[a1]]=1,IF($A$3=0,FALSE,1/Tab.11[[#This Row],[IN]]*$AC$2*IF(Tab.11[[#This Row],[a1]]=0,,$A$3*$AC$1*1/$V$3*(Tab.11[[#This Row],[b14]]))))</f>
        <v>0</v>
      </c>
      <c r="AC140" s="75" t="b">
        <f>IF(Tab.11[[#This Row],[a1]]=1,IF($AC$3=0,Tab.11[[#This Row],[φ1]],Tab.11[[#This Row],[φ1]]/MAX(Tab.11[φ1])))</f>
        <v>0</v>
      </c>
      <c r="AD140" s="74" t="b">
        <f>IF(Tab.11[[#This Row],[a1]]=1,1/Tab.11[[#This Row],[φ2]])</f>
        <v>0</v>
      </c>
      <c r="AE140" s="74" t="b">
        <f>IF(Tab.11[[#This Row],[a1]]=1,IF($AE$3=0,Tab.11[[#This Row],[w.0]],Tab.11[[#This Row],[w.0]]/SUM(Tab.11[w.0])))</f>
        <v>0</v>
      </c>
      <c r="AF140" s="76" t="str">
        <f>IF(Tab.11[[#This Row],[a1]]=0,"false",[3]!Tab.x5[[#This Row],[%_seN_C]])</f>
        <v>false</v>
      </c>
      <c r="AG140" s="77" t="b">
        <f>IF(Tab.11[[#This Row],[a1]]=1,AP140)</f>
        <v>0</v>
      </c>
      <c r="AH140" s="78" t="b">
        <f>IF(Tab.11[[#This Row],[a1]]=1,AQ140)</f>
        <v>0</v>
      </c>
      <c r="AI140" s="41">
        <v>3.0000000000000001E-3</v>
      </c>
      <c r="AJ140" s="79">
        <v>-0.06</v>
      </c>
      <c r="AK140" s="80" t="b">
        <f>IF(Tab.11[[#This Row],[a1]]=1,1)</f>
        <v>0</v>
      </c>
      <c r="AZ140"/>
    </row>
    <row r="141" spans="1:52" ht="14.25" hidden="1" customHeight="1" x14ac:dyDescent="0.25">
      <c r="A141" s="61">
        <f t="shared" si="5"/>
        <v>0</v>
      </c>
      <c r="B141" s="62">
        <f t="shared" si="5"/>
        <v>0</v>
      </c>
      <c r="C141" s="62" t="b">
        <f>IF(Tab.11[[#This Row],[a1]]=1,[3]!Tab_x1[[#This Row],[Name]])</f>
        <v>0</v>
      </c>
      <c r="D141" s="63" t="b">
        <f>IF(Tab.11[[#This Row],[a1]]=1,AO141)</f>
        <v>0</v>
      </c>
      <c r="E141" s="63">
        <f t="shared" si="6"/>
        <v>0</v>
      </c>
      <c r="F141" s="64" t="b">
        <f>IF(Tab.11[[#This Row],[a1]]=1,Tab.11[[#This Row],[b1]])</f>
        <v>0</v>
      </c>
      <c r="G141" s="65" t="b">
        <f>IF(Tab.11[[#This Row],[a1]]=1,IF(Tab.11[[#This Row],[b3]]&gt;$L$989*$G$3,$L$989*$G$3,IF(Tab.11[[#This Row],[b3]]&lt;$M$989*$G$3,$M$989*$G$3,Tab.11[[#This Row],[b3]])))</f>
        <v>0</v>
      </c>
      <c r="H141" s="66" t="b">
        <f>IF(Tab.11[[#This Row],[a1]]=1,Tab.11[[#This Row],[b1]])</f>
        <v>0</v>
      </c>
      <c r="I141" s="67" t="b">
        <f>IF(Tab.11[[#This Row],[a1]]=1,Tab.11[[#This Row],[b1]])</f>
        <v>0</v>
      </c>
      <c r="J141" s="68" t="b">
        <f>IF(Tab.11[[#This Row],[a1]]=1,IF($I$3&lt;0,Tab.11[[#This Row],[b5]]-$I$3,Tab.11[[#This Row],[b5]]))</f>
        <v>0</v>
      </c>
      <c r="K141" s="68" t="b">
        <f>IF(Tab.11[[#This Row],[a1]]=1,IF($K$3=0,Tab.11[b6],Tab.11[[#This Row],[b6]]-AVERAGE(Tab.11[b6])))</f>
        <v>0</v>
      </c>
      <c r="L141" s="69" t="b">
        <f>IF(Tab.11[[#This Row],[a1]]=1,Tab.11[[#This Row],[data]]/(_xlfn.STDEV.P(Tab.11[data])*$B$989)+$A$989)</f>
        <v>0</v>
      </c>
      <c r="M141" s="69" t="b">
        <f>IF(Tab.11[[#This Row],[a1]]=1,Tab.11[[#This Row],[data]]/(_xlfn.STDEV.P(Tab.11[data])*$B$987)-$A$987)</f>
        <v>0</v>
      </c>
      <c r="N141" s="69" t="b">
        <f>IF(Tab.11[[#This Row],[a1]]=1,Tab.11[[#This Row],[data]]/(_xlfn.STDEV.P(Tab.11[data])*$B$988)+$A$988)</f>
        <v>0</v>
      </c>
      <c r="O141" s="70" t="b">
        <f>IF(Tab.11[[#This Row],[a1]]=1,_xlfn.NORM.DIST(Tab.11[[#This Row],[b8]],$P$1,$Q$1,FALSE))</f>
        <v>0</v>
      </c>
      <c r="P141" s="70" t="b">
        <f>IF(Tab.11[[#This Row],[a1]]=1,_xlfn.NORM.DIST(Tab.11[[#This Row],[b9]],$P$1,$Q$1,FALSE))</f>
        <v>0</v>
      </c>
      <c r="Q141" s="70" t="b">
        <f>IF(Tab.11[[#This Row],[a1]]=1,_xlfn.NORM.DIST(Tab.11[[#This Row],[b10]],$P$1,$Q$1,FALSE))</f>
        <v>0</v>
      </c>
      <c r="R141" s="67" t="b">
        <f>IF(Tab.11[[#This Row],[a1]]=1,$I$3+$A$989+IF($K$3=0,Tab.11[[#This Row],[b8]]*_xlfn.STDEV.P(Tab.11[data]),AVERAGE(Tab.11[b6])+Tab.11[[#This Row],[b8]]*_xlfn.STDEV.P(Tab.11[data])))</f>
        <v>0</v>
      </c>
      <c r="S141" s="71" t="b">
        <f>IF(Tab.11[[#This Row],[a1]]=1,$I$3+$A$987+IF($K$3=0,Tab.11[[#This Row],[b9]]*_xlfn.STDEV.P(Tab.11[data]),AVERAGE(Tab.11[b6])+Tab.11[[#This Row],[b9]]*_xlfn.STDEV.P(Tab.11[data])))</f>
        <v>0</v>
      </c>
      <c r="T141" s="71" t="b">
        <f>IF(Tab.11[[#This Row],[a1]]=1,$I$3+$A$988+IF($K$3=0,Tab.11[[#This Row],[b10]]*_xlfn.STDEV.P(Tab.11[data]),AVERAGE(Tab.11[b6])+Tab.11[[#This Row],[b10]]*_xlfn.STDEV.P(Tab.11[data])))</f>
        <v>0</v>
      </c>
      <c r="U141" s="72" t="b">
        <f>IF(Tab.11[[#This Row],[a1]]=1,Tab.11[[#This Row],[target]]-Tab.11[[#This Row],[Red]])</f>
        <v>0</v>
      </c>
      <c r="V141" s="72" t="b">
        <f>IF(Tab.11[[#This Row],[a1]]=1,Tab.11[[#This Row],[target]]-Tab.11[[#This Row],[Blue]])</f>
        <v>0</v>
      </c>
      <c r="W141" s="73" t="b">
        <f>IF(Tab.11[[#This Row],[a1]]=1,IF(ABS(Tab.11[[#This Row],[b17]])+ABS(Tab.11[[#This Row],[b18]])&lt;$W$2,$W$2,ABS(Tab.11[[#This Row],[b17]])+ABS(Tab.11[[#This Row],[b18]])))</f>
        <v>0</v>
      </c>
      <c r="X141" s="136" t="b">
        <f>IF(Tab.11[[#This Row],[a1]]=1,IF($W$3&lt;0,Tab.11[[#This Row],[IN]]-$I$3,Tab.11[[#This Row],[IN]]))</f>
        <v>0</v>
      </c>
      <c r="Y141" s="136" t="b">
        <f>IF(Tab.11[[#This Row],[a1]]=1,IF($X$3=0,Tab.11[b66],Tab.11[[#This Row],[b66]]-AVERAGE(Tab.11[b66])))</f>
        <v>0</v>
      </c>
      <c r="Z141" s="135" t="b">
        <f>IF(Tab.11[[#This Row],[a1]]=1,Tab.11[[#This Row],[b77]]/(_xlfn.STDEV.P(Tab.11[b77])))</f>
        <v>0</v>
      </c>
      <c r="AA141" s="70" t="b">
        <f>IF(Tab.11[[#This Row],[a1]]=1,_xlfn.NORM.DIST(Tab.11[[#This Row],[b88]],$Z$1,$AA$1,FALSE))</f>
        <v>0</v>
      </c>
      <c r="AB141" s="74" t="b">
        <f>IF(Tab.11[[#This Row],[a1]]=1,IF($A$3=0,FALSE,1/Tab.11[[#This Row],[IN]]*$AC$2*IF(Tab.11[[#This Row],[a1]]=0,,$A$3*$AC$1*1/$V$3*(Tab.11[[#This Row],[b14]]))))</f>
        <v>0</v>
      </c>
      <c r="AC141" s="75" t="b">
        <f>IF(Tab.11[[#This Row],[a1]]=1,IF($AC$3=0,Tab.11[[#This Row],[φ1]],Tab.11[[#This Row],[φ1]]/MAX(Tab.11[φ1])))</f>
        <v>0</v>
      </c>
      <c r="AD141" s="74" t="b">
        <f>IF(Tab.11[[#This Row],[a1]]=1,1/Tab.11[[#This Row],[φ2]])</f>
        <v>0</v>
      </c>
      <c r="AE141" s="74" t="b">
        <f>IF(Tab.11[[#This Row],[a1]]=1,IF($AE$3=0,Tab.11[[#This Row],[w.0]],Tab.11[[#This Row],[w.0]]/SUM(Tab.11[w.0])))</f>
        <v>0</v>
      </c>
      <c r="AF141" s="76" t="str">
        <f>IF(Tab.11[[#This Row],[a1]]=0,"false",[3]!Tab.x5[[#This Row],[%_seN_C]])</f>
        <v>false</v>
      </c>
      <c r="AG141" s="77" t="b">
        <f>IF(Tab.11[[#This Row],[a1]]=1,AP141)</f>
        <v>0</v>
      </c>
      <c r="AH141" s="78" t="b">
        <f>IF(Tab.11[[#This Row],[a1]]=1,AQ141)</f>
        <v>0</v>
      </c>
      <c r="AI141" s="41">
        <v>3.0000000000000001E-3</v>
      </c>
      <c r="AJ141" s="79">
        <v>-0.09</v>
      </c>
      <c r="AK141" s="80" t="b">
        <f>IF(Tab.11[[#This Row],[a1]]=1,1)</f>
        <v>0</v>
      </c>
      <c r="AZ141"/>
    </row>
    <row r="142" spans="1:52" ht="14.25" hidden="1" customHeight="1" x14ac:dyDescent="0.25">
      <c r="A142" s="61">
        <f t="shared" si="5"/>
        <v>0</v>
      </c>
      <c r="B142" s="62">
        <f t="shared" si="5"/>
        <v>0</v>
      </c>
      <c r="C142" s="62" t="b">
        <f>IF(Tab.11[[#This Row],[a1]]=1,[3]!Tab_x1[[#This Row],[Name]])</f>
        <v>0</v>
      </c>
      <c r="D142" s="63" t="b">
        <f>IF(Tab.11[[#This Row],[a1]]=1,AO142)</f>
        <v>0</v>
      </c>
      <c r="E142" s="63">
        <f t="shared" si="6"/>
        <v>0</v>
      </c>
      <c r="F142" s="64" t="b">
        <f>IF(Tab.11[[#This Row],[a1]]=1,Tab.11[[#This Row],[b1]])</f>
        <v>0</v>
      </c>
      <c r="G142" s="65" t="b">
        <f>IF(Tab.11[[#This Row],[a1]]=1,IF(Tab.11[[#This Row],[b3]]&gt;$L$989*$G$3,$L$989*$G$3,IF(Tab.11[[#This Row],[b3]]&lt;$M$989*$G$3,$M$989*$G$3,Tab.11[[#This Row],[b3]])))</f>
        <v>0</v>
      </c>
      <c r="H142" s="66" t="b">
        <f>IF(Tab.11[[#This Row],[a1]]=1,Tab.11[[#This Row],[b1]])</f>
        <v>0</v>
      </c>
      <c r="I142" s="67" t="b">
        <f>IF(Tab.11[[#This Row],[a1]]=1,Tab.11[[#This Row],[b1]])</f>
        <v>0</v>
      </c>
      <c r="J142" s="68" t="b">
        <f>IF(Tab.11[[#This Row],[a1]]=1,IF($I$3&lt;0,Tab.11[[#This Row],[b5]]-$I$3,Tab.11[[#This Row],[b5]]))</f>
        <v>0</v>
      </c>
      <c r="K142" s="68" t="b">
        <f>IF(Tab.11[[#This Row],[a1]]=1,IF($K$3=0,Tab.11[b6],Tab.11[[#This Row],[b6]]-AVERAGE(Tab.11[b6])))</f>
        <v>0</v>
      </c>
      <c r="L142" s="69" t="b">
        <f>IF(Tab.11[[#This Row],[a1]]=1,Tab.11[[#This Row],[data]]/(_xlfn.STDEV.P(Tab.11[data])*$B$989)+$A$989)</f>
        <v>0</v>
      </c>
      <c r="M142" s="69" t="b">
        <f>IF(Tab.11[[#This Row],[a1]]=1,Tab.11[[#This Row],[data]]/(_xlfn.STDEV.P(Tab.11[data])*$B$987)-$A$987)</f>
        <v>0</v>
      </c>
      <c r="N142" s="69" t="b">
        <f>IF(Tab.11[[#This Row],[a1]]=1,Tab.11[[#This Row],[data]]/(_xlfn.STDEV.P(Tab.11[data])*$B$988)+$A$988)</f>
        <v>0</v>
      </c>
      <c r="O142" s="70" t="b">
        <f>IF(Tab.11[[#This Row],[a1]]=1,_xlfn.NORM.DIST(Tab.11[[#This Row],[b8]],$P$1,$Q$1,FALSE))</f>
        <v>0</v>
      </c>
      <c r="P142" s="70" t="b">
        <f>IF(Tab.11[[#This Row],[a1]]=1,_xlfn.NORM.DIST(Tab.11[[#This Row],[b9]],$P$1,$Q$1,FALSE))</f>
        <v>0</v>
      </c>
      <c r="Q142" s="70" t="b">
        <f>IF(Tab.11[[#This Row],[a1]]=1,_xlfn.NORM.DIST(Tab.11[[#This Row],[b10]],$P$1,$Q$1,FALSE))</f>
        <v>0</v>
      </c>
      <c r="R142" s="67" t="b">
        <f>IF(Tab.11[[#This Row],[a1]]=1,$I$3+$A$989+IF($K$3=0,Tab.11[[#This Row],[b8]]*_xlfn.STDEV.P(Tab.11[data]),AVERAGE(Tab.11[b6])+Tab.11[[#This Row],[b8]]*_xlfn.STDEV.P(Tab.11[data])))</f>
        <v>0</v>
      </c>
      <c r="S142" s="71" t="b">
        <f>IF(Tab.11[[#This Row],[a1]]=1,$I$3+$A$987+IF($K$3=0,Tab.11[[#This Row],[b9]]*_xlfn.STDEV.P(Tab.11[data]),AVERAGE(Tab.11[b6])+Tab.11[[#This Row],[b9]]*_xlfn.STDEV.P(Tab.11[data])))</f>
        <v>0</v>
      </c>
      <c r="T142" s="71" t="b">
        <f>IF(Tab.11[[#This Row],[a1]]=1,$I$3+$A$988+IF($K$3=0,Tab.11[[#This Row],[b10]]*_xlfn.STDEV.P(Tab.11[data]),AVERAGE(Tab.11[b6])+Tab.11[[#This Row],[b10]]*_xlfn.STDEV.P(Tab.11[data])))</f>
        <v>0</v>
      </c>
      <c r="U142" s="72" t="b">
        <f>IF(Tab.11[[#This Row],[a1]]=1,Tab.11[[#This Row],[target]]-Tab.11[[#This Row],[Red]])</f>
        <v>0</v>
      </c>
      <c r="V142" s="72" t="b">
        <f>IF(Tab.11[[#This Row],[a1]]=1,Tab.11[[#This Row],[target]]-Tab.11[[#This Row],[Blue]])</f>
        <v>0</v>
      </c>
      <c r="W142" s="73" t="b">
        <f>IF(Tab.11[[#This Row],[a1]]=1,IF(ABS(Tab.11[[#This Row],[b17]])+ABS(Tab.11[[#This Row],[b18]])&lt;$W$2,$W$2,ABS(Tab.11[[#This Row],[b17]])+ABS(Tab.11[[#This Row],[b18]])))</f>
        <v>0</v>
      </c>
      <c r="X142" s="136" t="b">
        <f>IF(Tab.11[[#This Row],[a1]]=1,IF($W$3&lt;0,Tab.11[[#This Row],[IN]]-$I$3,Tab.11[[#This Row],[IN]]))</f>
        <v>0</v>
      </c>
      <c r="Y142" s="136" t="b">
        <f>IF(Tab.11[[#This Row],[a1]]=1,IF($X$3=0,Tab.11[b66],Tab.11[[#This Row],[b66]]-AVERAGE(Tab.11[b66])))</f>
        <v>0</v>
      </c>
      <c r="Z142" s="135" t="b">
        <f>IF(Tab.11[[#This Row],[a1]]=1,Tab.11[[#This Row],[b77]]/(_xlfn.STDEV.P(Tab.11[b77])))</f>
        <v>0</v>
      </c>
      <c r="AA142" s="70" t="b">
        <f>IF(Tab.11[[#This Row],[a1]]=1,_xlfn.NORM.DIST(Tab.11[[#This Row],[b88]],$Z$1,$AA$1,FALSE))</f>
        <v>0</v>
      </c>
      <c r="AB142" s="74" t="b">
        <f>IF(Tab.11[[#This Row],[a1]]=1,IF($A$3=0,FALSE,1/Tab.11[[#This Row],[IN]]*$AC$2*IF(Tab.11[[#This Row],[a1]]=0,,$A$3*$AC$1*1/$V$3*(Tab.11[[#This Row],[b14]]))))</f>
        <v>0</v>
      </c>
      <c r="AC142" s="75" t="b">
        <f>IF(Tab.11[[#This Row],[a1]]=1,IF($AC$3=0,Tab.11[[#This Row],[φ1]],Tab.11[[#This Row],[φ1]]/MAX(Tab.11[φ1])))</f>
        <v>0</v>
      </c>
      <c r="AD142" s="74" t="b">
        <f>IF(Tab.11[[#This Row],[a1]]=1,1/Tab.11[[#This Row],[φ2]])</f>
        <v>0</v>
      </c>
      <c r="AE142" s="74" t="b">
        <f>IF(Tab.11[[#This Row],[a1]]=1,IF($AE$3=0,Tab.11[[#This Row],[w.0]],Tab.11[[#This Row],[w.0]]/SUM(Tab.11[w.0])))</f>
        <v>0</v>
      </c>
      <c r="AF142" s="76" t="str">
        <f>IF(Tab.11[[#This Row],[a1]]=0,"false",[3]!Tab.x5[[#This Row],[%_seN_C]])</f>
        <v>false</v>
      </c>
      <c r="AG142" s="77" t="b">
        <f>IF(Tab.11[[#This Row],[a1]]=1,AP142)</f>
        <v>0</v>
      </c>
      <c r="AH142" s="78" t="b">
        <f>IF(Tab.11[[#This Row],[a1]]=1,AQ142)</f>
        <v>0</v>
      </c>
      <c r="AI142" s="41">
        <v>3.0000000000000001E-3</v>
      </c>
      <c r="AJ142" s="79">
        <v>-0.04</v>
      </c>
      <c r="AK142" s="80" t="b">
        <f>IF(Tab.11[[#This Row],[a1]]=1,1)</f>
        <v>0</v>
      </c>
      <c r="AZ142"/>
    </row>
    <row r="143" spans="1:52" ht="14.25" hidden="1" customHeight="1" x14ac:dyDescent="0.25">
      <c r="A143" s="61">
        <f t="shared" si="5"/>
        <v>0</v>
      </c>
      <c r="B143" s="62">
        <f t="shared" si="5"/>
        <v>0</v>
      </c>
      <c r="C143" s="62" t="b">
        <f>IF(Tab.11[[#This Row],[a1]]=1,[3]!Tab_x1[[#This Row],[Name]])</f>
        <v>0</v>
      </c>
      <c r="D143" s="63" t="b">
        <f>IF(Tab.11[[#This Row],[a1]]=1,AO143)</f>
        <v>0</v>
      </c>
      <c r="E143" s="63">
        <f t="shared" si="6"/>
        <v>0</v>
      </c>
      <c r="F143" s="64" t="b">
        <f>IF(Tab.11[[#This Row],[a1]]=1,Tab.11[[#This Row],[b1]])</f>
        <v>0</v>
      </c>
      <c r="G143" s="65" t="b">
        <f>IF(Tab.11[[#This Row],[a1]]=1,IF(Tab.11[[#This Row],[b3]]&gt;$L$989*$G$3,$L$989*$G$3,IF(Tab.11[[#This Row],[b3]]&lt;$M$989*$G$3,$M$989*$G$3,Tab.11[[#This Row],[b3]])))</f>
        <v>0</v>
      </c>
      <c r="H143" s="66" t="b">
        <f>IF(Tab.11[[#This Row],[a1]]=1,Tab.11[[#This Row],[b1]])</f>
        <v>0</v>
      </c>
      <c r="I143" s="67" t="b">
        <f>IF(Tab.11[[#This Row],[a1]]=1,Tab.11[[#This Row],[b1]])</f>
        <v>0</v>
      </c>
      <c r="J143" s="68" t="b">
        <f>IF(Tab.11[[#This Row],[a1]]=1,IF($I$3&lt;0,Tab.11[[#This Row],[b5]]-$I$3,Tab.11[[#This Row],[b5]]))</f>
        <v>0</v>
      </c>
      <c r="K143" s="68" t="b">
        <f>IF(Tab.11[[#This Row],[a1]]=1,IF($K$3=0,Tab.11[b6],Tab.11[[#This Row],[b6]]-AVERAGE(Tab.11[b6])))</f>
        <v>0</v>
      </c>
      <c r="L143" s="69" t="b">
        <f>IF(Tab.11[[#This Row],[a1]]=1,Tab.11[[#This Row],[data]]/(_xlfn.STDEV.P(Tab.11[data])*$B$989)+$A$989)</f>
        <v>0</v>
      </c>
      <c r="M143" s="69" t="b">
        <f>IF(Tab.11[[#This Row],[a1]]=1,Tab.11[[#This Row],[data]]/(_xlfn.STDEV.P(Tab.11[data])*$B$987)-$A$987)</f>
        <v>0</v>
      </c>
      <c r="N143" s="69" t="b">
        <f>IF(Tab.11[[#This Row],[a1]]=1,Tab.11[[#This Row],[data]]/(_xlfn.STDEV.P(Tab.11[data])*$B$988)+$A$988)</f>
        <v>0</v>
      </c>
      <c r="O143" s="70" t="b">
        <f>IF(Tab.11[[#This Row],[a1]]=1,_xlfn.NORM.DIST(Tab.11[[#This Row],[b8]],$P$1,$Q$1,FALSE))</f>
        <v>0</v>
      </c>
      <c r="P143" s="70" t="b">
        <f>IF(Tab.11[[#This Row],[a1]]=1,_xlfn.NORM.DIST(Tab.11[[#This Row],[b9]],$P$1,$Q$1,FALSE))</f>
        <v>0</v>
      </c>
      <c r="Q143" s="70" t="b">
        <f>IF(Tab.11[[#This Row],[a1]]=1,_xlfn.NORM.DIST(Tab.11[[#This Row],[b10]],$P$1,$Q$1,FALSE))</f>
        <v>0</v>
      </c>
      <c r="R143" s="67" t="b">
        <f>IF(Tab.11[[#This Row],[a1]]=1,$I$3+$A$989+IF($K$3=0,Tab.11[[#This Row],[b8]]*_xlfn.STDEV.P(Tab.11[data]),AVERAGE(Tab.11[b6])+Tab.11[[#This Row],[b8]]*_xlfn.STDEV.P(Tab.11[data])))</f>
        <v>0</v>
      </c>
      <c r="S143" s="71" t="b">
        <f>IF(Tab.11[[#This Row],[a1]]=1,$I$3+$A$987+IF($K$3=0,Tab.11[[#This Row],[b9]]*_xlfn.STDEV.P(Tab.11[data]),AVERAGE(Tab.11[b6])+Tab.11[[#This Row],[b9]]*_xlfn.STDEV.P(Tab.11[data])))</f>
        <v>0</v>
      </c>
      <c r="T143" s="71" t="b">
        <f>IF(Tab.11[[#This Row],[a1]]=1,$I$3+$A$988+IF($K$3=0,Tab.11[[#This Row],[b10]]*_xlfn.STDEV.P(Tab.11[data]),AVERAGE(Tab.11[b6])+Tab.11[[#This Row],[b10]]*_xlfn.STDEV.P(Tab.11[data])))</f>
        <v>0</v>
      </c>
      <c r="U143" s="72" t="b">
        <f>IF(Tab.11[[#This Row],[a1]]=1,Tab.11[[#This Row],[target]]-Tab.11[[#This Row],[Red]])</f>
        <v>0</v>
      </c>
      <c r="V143" s="72" t="b">
        <f>IF(Tab.11[[#This Row],[a1]]=1,Tab.11[[#This Row],[target]]-Tab.11[[#This Row],[Blue]])</f>
        <v>0</v>
      </c>
      <c r="W143" s="73" t="b">
        <f>IF(Tab.11[[#This Row],[a1]]=1,IF(ABS(Tab.11[[#This Row],[b17]])+ABS(Tab.11[[#This Row],[b18]])&lt;$W$2,$W$2,ABS(Tab.11[[#This Row],[b17]])+ABS(Tab.11[[#This Row],[b18]])))</f>
        <v>0</v>
      </c>
      <c r="X143" s="136" t="b">
        <f>IF(Tab.11[[#This Row],[a1]]=1,IF($W$3&lt;0,Tab.11[[#This Row],[IN]]-$I$3,Tab.11[[#This Row],[IN]]))</f>
        <v>0</v>
      </c>
      <c r="Y143" s="136" t="b">
        <f>IF(Tab.11[[#This Row],[a1]]=1,IF($X$3=0,Tab.11[b66],Tab.11[[#This Row],[b66]]-AVERAGE(Tab.11[b66])))</f>
        <v>0</v>
      </c>
      <c r="Z143" s="135" t="b">
        <f>IF(Tab.11[[#This Row],[a1]]=1,Tab.11[[#This Row],[b77]]/(_xlfn.STDEV.P(Tab.11[b77])))</f>
        <v>0</v>
      </c>
      <c r="AA143" s="70" t="b">
        <f>IF(Tab.11[[#This Row],[a1]]=1,_xlfn.NORM.DIST(Tab.11[[#This Row],[b88]],$Z$1,$AA$1,FALSE))</f>
        <v>0</v>
      </c>
      <c r="AB143" s="74" t="b">
        <f>IF(Tab.11[[#This Row],[a1]]=1,IF($A$3=0,FALSE,1/Tab.11[[#This Row],[IN]]*$AC$2*IF(Tab.11[[#This Row],[a1]]=0,,$A$3*$AC$1*1/$V$3*(Tab.11[[#This Row],[b14]]))))</f>
        <v>0</v>
      </c>
      <c r="AC143" s="75" t="b">
        <f>IF(Tab.11[[#This Row],[a1]]=1,IF($AC$3=0,Tab.11[[#This Row],[φ1]],Tab.11[[#This Row],[φ1]]/MAX(Tab.11[φ1])))</f>
        <v>0</v>
      </c>
      <c r="AD143" s="74" t="b">
        <f>IF(Tab.11[[#This Row],[a1]]=1,1/Tab.11[[#This Row],[φ2]])</f>
        <v>0</v>
      </c>
      <c r="AE143" s="74" t="b">
        <f>IF(Tab.11[[#This Row],[a1]]=1,IF($AE$3=0,Tab.11[[#This Row],[w.0]],Tab.11[[#This Row],[w.0]]/SUM(Tab.11[w.0])))</f>
        <v>0</v>
      </c>
      <c r="AF143" s="76" t="str">
        <f>IF(Tab.11[[#This Row],[a1]]=0,"false",[3]!Tab.x5[[#This Row],[%_seN_C]])</f>
        <v>false</v>
      </c>
      <c r="AG143" s="77" t="b">
        <f>IF(Tab.11[[#This Row],[a1]]=1,AP143)</f>
        <v>0</v>
      </c>
      <c r="AH143" s="78" t="b">
        <f>IF(Tab.11[[#This Row],[a1]]=1,AQ143)</f>
        <v>0</v>
      </c>
      <c r="AI143" s="41">
        <v>3.0000000000000001E-3</v>
      </c>
      <c r="AJ143" s="79">
        <v>0.02</v>
      </c>
      <c r="AK143" s="80" t="b">
        <f>IF(Tab.11[[#This Row],[a1]]=1,1)</f>
        <v>0</v>
      </c>
      <c r="AZ143"/>
    </row>
    <row r="144" spans="1:52" ht="14.25" hidden="1" customHeight="1" x14ac:dyDescent="0.25">
      <c r="A144" s="61">
        <f t="shared" si="5"/>
        <v>0</v>
      </c>
      <c r="B144" s="62">
        <f t="shared" si="5"/>
        <v>0</v>
      </c>
      <c r="C144" s="62" t="b">
        <f>IF(Tab.11[[#This Row],[a1]]=1,[3]!Tab_x1[[#This Row],[Name]])</f>
        <v>0</v>
      </c>
      <c r="D144" s="63" t="b">
        <f>IF(Tab.11[[#This Row],[a1]]=1,AO144)</f>
        <v>0</v>
      </c>
      <c r="E144" s="63">
        <f t="shared" si="6"/>
        <v>0</v>
      </c>
      <c r="F144" s="64" t="b">
        <f>IF(Tab.11[[#This Row],[a1]]=1,Tab.11[[#This Row],[b1]])</f>
        <v>0</v>
      </c>
      <c r="G144" s="65" t="b">
        <f>IF(Tab.11[[#This Row],[a1]]=1,IF(Tab.11[[#This Row],[b3]]&gt;$L$989*$G$3,$L$989*$G$3,IF(Tab.11[[#This Row],[b3]]&lt;$M$989*$G$3,$M$989*$G$3,Tab.11[[#This Row],[b3]])))</f>
        <v>0</v>
      </c>
      <c r="H144" s="66" t="b">
        <f>IF(Tab.11[[#This Row],[a1]]=1,Tab.11[[#This Row],[b1]])</f>
        <v>0</v>
      </c>
      <c r="I144" s="67" t="b">
        <f>IF(Tab.11[[#This Row],[a1]]=1,Tab.11[[#This Row],[b1]])</f>
        <v>0</v>
      </c>
      <c r="J144" s="68" t="b">
        <f>IF(Tab.11[[#This Row],[a1]]=1,IF($I$3&lt;0,Tab.11[[#This Row],[b5]]-$I$3,Tab.11[[#This Row],[b5]]))</f>
        <v>0</v>
      </c>
      <c r="K144" s="68" t="b">
        <f>IF(Tab.11[[#This Row],[a1]]=1,IF($K$3=0,Tab.11[b6],Tab.11[[#This Row],[b6]]-AVERAGE(Tab.11[b6])))</f>
        <v>0</v>
      </c>
      <c r="L144" s="69" t="b">
        <f>IF(Tab.11[[#This Row],[a1]]=1,Tab.11[[#This Row],[data]]/(_xlfn.STDEV.P(Tab.11[data])*$B$989)+$A$989)</f>
        <v>0</v>
      </c>
      <c r="M144" s="69" t="b">
        <f>IF(Tab.11[[#This Row],[a1]]=1,Tab.11[[#This Row],[data]]/(_xlfn.STDEV.P(Tab.11[data])*$B$987)-$A$987)</f>
        <v>0</v>
      </c>
      <c r="N144" s="69" t="b">
        <f>IF(Tab.11[[#This Row],[a1]]=1,Tab.11[[#This Row],[data]]/(_xlfn.STDEV.P(Tab.11[data])*$B$988)+$A$988)</f>
        <v>0</v>
      </c>
      <c r="O144" s="70" t="b">
        <f>IF(Tab.11[[#This Row],[a1]]=1,_xlfn.NORM.DIST(Tab.11[[#This Row],[b8]],$P$1,$Q$1,FALSE))</f>
        <v>0</v>
      </c>
      <c r="P144" s="70" t="b">
        <f>IF(Tab.11[[#This Row],[a1]]=1,_xlfn.NORM.DIST(Tab.11[[#This Row],[b9]],$P$1,$Q$1,FALSE))</f>
        <v>0</v>
      </c>
      <c r="Q144" s="70" t="b">
        <f>IF(Tab.11[[#This Row],[a1]]=1,_xlfn.NORM.DIST(Tab.11[[#This Row],[b10]],$P$1,$Q$1,FALSE))</f>
        <v>0</v>
      </c>
      <c r="R144" s="67" t="b">
        <f>IF(Tab.11[[#This Row],[a1]]=1,$I$3+$A$989+IF($K$3=0,Tab.11[[#This Row],[b8]]*_xlfn.STDEV.P(Tab.11[data]),AVERAGE(Tab.11[b6])+Tab.11[[#This Row],[b8]]*_xlfn.STDEV.P(Tab.11[data])))</f>
        <v>0</v>
      </c>
      <c r="S144" s="71" t="b">
        <f>IF(Tab.11[[#This Row],[a1]]=1,$I$3+$A$987+IF($K$3=0,Tab.11[[#This Row],[b9]]*_xlfn.STDEV.P(Tab.11[data]),AVERAGE(Tab.11[b6])+Tab.11[[#This Row],[b9]]*_xlfn.STDEV.P(Tab.11[data])))</f>
        <v>0</v>
      </c>
      <c r="T144" s="71" t="b">
        <f>IF(Tab.11[[#This Row],[a1]]=1,$I$3+$A$988+IF($K$3=0,Tab.11[[#This Row],[b10]]*_xlfn.STDEV.P(Tab.11[data]),AVERAGE(Tab.11[b6])+Tab.11[[#This Row],[b10]]*_xlfn.STDEV.P(Tab.11[data])))</f>
        <v>0</v>
      </c>
      <c r="U144" s="72" t="b">
        <f>IF(Tab.11[[#This Row],[a1]]=1,Tab.11[[#This Row],[target]]-Tab.11[[#This Row],[Red]])</f>
        <v>0</v>
      </c>
      <c r="V144" s="72" t="b">
        <f>IF(Tab.11[[#This Row],[a1]]=1,Tab.11[[#This Row],[target]]-Tab.11[[#This Row],[Blue]])</f>
        <v>0</v>
      </c>
      <c r="W144" s="73" t="b">
        <f>IF(Tab.11[[#This Row],[a1]]=1,IF(ABS(Tab.11[[#This Row],[b17]])+ABS(Tab.11[[#This Row],[b18]])&lt;$W$2,$W$2,ABS(Tab.11[[#This Row],[b17]])+ABS(Tab.11[[#This Row],[b18]])))</f>
        <v>0</v>
      </c>
      <c r="X144" s="136" t="b">
        <f>IF(Tab.11[[#This Row],[a1]]=1,IF($W$3&lt;0,Tab.11[[#This Row],[IN]]-$I$3,Tab.11[[#This Row],[IN]]))</f>
        <v>0</v>
      </c>
      <c r="Y144" s="136" t="b">
        <f>IF(Tab.11[[#This Row],[a1]]=1,IF($X$3=0,Tab.11[b66],Tab.11[[#This Row],[b66]]-AVERAGE(Tab.11[b66])))</f>
        <v>0</v>
      </c>
      <c r="Z144" s="135" t="b">
        <f>IF(Tab.11[[#This Row],[a1]]=1,Tab.11[[#This Row],[b77]]/(_xlfn.STDEV.P(Tab.11[b77])))</f>
        <v>0</v>
      </c>
      <c r="AA144" s="70" t="b">
        <f>IF(Tab.11[[#This Row],[a1]]=1,_xlfn.NORM.DIST(Tab.11[[#This Row],[b88]],$Z$1,$AA$1,FALSE))</f>
        <v>0</v>
      </c>
      <c r="AB144" s="74" t="b">
        <f>IF(Tab.11[[#This Row],[a1]]=1,IF($A$3=0,FALSE,1/Tab.11[[#This Row],[IN]]*$AC$2*IF(Tab.11[[#This Row],[a1]]=0,,$A$3*$AC$1*1/$V$3*(Tab.11[[#This Row],[b14]]))))</f>
        <v>0</v>
      </c>
      <c r="AC144" s="75" t="b">
        <f>IF(Tab.11[[#This Row],[a1]]=1,IF($AC$3=0,Tab.11[[#This Row],[φ1]],Tab.11[[#This Row],[φ1]]/MAX(Tab.11[φ1])))</f>
        <v>0</v>
      </c>
      <c r="AD144" s="74" t="b">
        <f>IF(Tab.11[[#This Row],[a1]]=1,1/Tab.11[[#This Row],[φ2]])</f>
        <v>0</v>
      </c>
      <c r="AE144" s="74" t="b">
        <f>IF(Tab.11[[#This Row],[a1]]=1,IF($AE$3=0,Tab.11[[#This Row],[w.0]],Tab.11[[#This Row],[w.0]]/SUM(Tab.11[w.0])))</f>
        <v>0</v>
      </c>
      <c r="AF144" s="76" t="str">
        <f>IF(Tab.11[[#This Row],[a1]]=0,"false",[3]!Tab.x5[[#This Row],[%_seN_C]])</f>
        <v>false</v>
      </c>
      <c r="AG144" s="77" t="b">
        <f>IF(Tab.11[[#This Row],[a1]]=1,AP144)</f>
        <v>0</v>
      </c>
      <c r="AH144" s="78" t="b">
        <f>IF(Tab.11[[#This Row],[a1]]=1,AQ144)</f>
        <v>0</v>
      </c>
      <c r="AI144" s="41">
        <v>3.0000000000000001E-3</v>
      </c>
      <c r="AJ144" s="79">
        <v>0.09</v>
      </c>
      <c r="AK144" s="80" t="b">
        <f>IF(Tab.11[[#This Row],[a1]]=1,1)</f>
        <v>0</v>
      </c>
      <c r="AZ144"/>
    </row>
    <row r="145" spans="1:52" ht="14.25" hidden="1" customHeight="1" x14ac:dyDescent="0.25">
      <c r="A145" s="61">
        <f t="shared" si="5"/>
        <v>0</v>
      </c>
      <c r="B145" s="62">
        <f t="shared" si="5"/>
        <v>0</v>
      </c>
      <c r="C145" s="62" t="b">
        <f>IF(Tab.11[[#This Row],[a1]]=1,[3]!Tab_x1[[#This Row],[Name]])</f>
        <v>0</v>
      </c>
      <c r="D145" s="63" t="b">
        <f>IF(Tab.11[[#This Row],[a1]]=1,AO145)</f>
        <v>0</v>
      </c>
      <c r="E145" s="63">
        <f t="shared" si="6"/>
        <v>0</v>
      </c>
      <c r="F145" s="64" t="b">
        <f>IF(Tab.11[[#This Row],[a1]]=1,Tab.11[[#This Row],[b1]])</f>
        <v>0</v>
      </c>
      <c r="G145" s="65" t="b">
        <f>IF(Tab.11[[#This Row],[a1]]=1,IF(Tab.11[[#This Row],[b3]]&gt;$L$989*$G$3,$L$989*$G$3,IF(Tab.11[[#This Row],[b3]]&lt;$M$989*$G$3,$M$989*$G$3,Tab.11[[#This Row],[b3]])))</f>
        <v>0</v>
      </c>
      <c r="H145" s="66" t="b">
        <f>IF(Tab.11[[#This Row],[a1]]=1,Tab.11[[#This Row],[b1]])</f>
        <v>0</v>
      </c>
      <c r="I145" s="67" t="b">
        <f>IF(Tab.11[[#This Row],[a1]]=1,Tab.11[[#This Row],[b1]])</f>
        <v>0</v>
      </c>
      <c r="J145" s="68" t="b">
        <f>IF(Tab.11[[#This Row],[a1]]=1,IF($I$3&lt;0,Tab.11[[#This Row],[b5]]-$I$3,Tab.11[[#This Row],[b5]]))</f>
        <v>0</v>
      </c>
      <c r="K145" s="68" t="b">
        <f>IF(Tab.11[[#This Row],[a1]]=1,IF($K$3=0,Tab.11[b6],Tab.11[[#This Row],[b6]]-AVERAGE(Tab.11[b6])))</f>
        <v>0</v>
      </c>
      <c r="L145" s="69" t="b">
        <f>IF(Tab.11[[#This Row],[a1]]=1,Tab.11[[#This Row],[data]]/(_xlfn.STDEV.P(Tab.11[data])*$B$989)+$A$989)</f>
        <v>0</v>
      </c>
      <c r="M145" s="69" t="b">
        <f>IF(Tab.11[[#This Row],[a1]]=1,Tab.11[[#This Row],[data]]/(_xlfn.STDEV.P(Tab.11[data])*$B$987)-$A$987)</f>
        <v>0</v>
      </c>
      <c r="N145" s="69" t="b">
        <f>IF(Tab.11[[#This Row],[a1]]=1,Tab.11[[#This Row],[data]]/(_xlfn.STDEV.P(Tab.11[data])*$B$988)+$A$988)</f>
        <v>0</v>
      </c>
      <c r="O145" s="70" t="b">
        <f>IF(Tab.11[[#This Row],[a1]]=1,_xlfn.NORM.DIST(Tab.11[[#This Row],[b8]],$P$1,$Q$1,FALSE))</f>
        <v>0</v>
      </c>
      <c r="P145" s="70" t="b">
        <f>IF(Tab.11[[#This Row],[a1]]=1,_xlfn.NORM.DIST(Tab.11[[#This Row],[b9]],$P$1,$Q$1,FALSE))</f>
        <v>0</v>
      </c>
      <c r="Q145" s="70" t="b">
        <f>IF(Tab.11[[#This Row],[a1]]=1,_xlfn.NORM.DIST(Tab.11[[#This Row],[b10]],$P$1,$Q$1,FALSE))</f>
        <v>0</v>
      </c>
      <c r="R145" s="67" t="b">
        <f>IF(Tab.11[[#This Row],[a1]]=1,$I$3+$A$989+IF($K$3=0,Tab.11[[#This Row],[b8]]*_xlfn.STDEV.P(Tab.11[data]),AVERAGE(Tab.11[b6])+Tab.11[[#This Row],[b8]]*_xlfn.STDEV.P(Tab.11[data])))</f>
        <v>0</v>
      </c>
      <c r="S145" s="71" t="b">
        <f>IF(Tab.11[[#This Row],[a1]]=1,$I$3+$A$987+IF($K$3=0,Tab.11[[#This Row],[b9]]*_xlfn.STDEV.P(Tab.11[data]),AVERAGE(Tab.11[b6])+Tab.11[[#This Row],[b9]]*_xlfn.STDEV.P(Tab.11[data])))</f>
        <v>0</v>
      </c>
      <c r="T145" s="71" t="b">
        <f>IF(Tab.11[[#This Row],[a1]]=1,$I$3+$A$988+IF($K$3=0,Tab.11[[#This Row],[b10]]*_xlfn.STDEV.P(Tab.11[data]),AVERAGE(Tab.11[b6])+Tab.11[[#This Row],[b10]]*_xlfn.STDEV.P(Tab.11[data])))</f>
        <v>0</v>
      </c>
      <c r="U145" s="72" t="b">
        <f>IF(Tab.11[[#This Row],[a1]]=1,Tab.11[[#This Row],[target]]-Tab.11[[#This Row],[Red]])</f>
        <v>0</v>
      </c>
      <c r="V145" s="72" t="b">
        <f>IF(Tab.11[[#This Row],[a1]]=1,Tab.11[[#This Row],[target]]-Tab.11[[#This Row],[Blue]])</f>
        <v>0</v>
      </c>
      <c r="W145" s="73" t="b">
        <f>IF(Tab.11[[#This Row],[a1]]=1,IF(ABS(Tab.11[[#This Row],[b17]])+ABS(Tab.11[[#This Row],[b18]])&lt;$W$2,$W$2,ABS(Tab.11[[#This Row],[b17]])+ABS(Tab.11[[#This Row],[b18]])))</f>
        <v>0</v>
      </c>
      <c r="X145" s="136" t="b">
        <f>IF(Tab.11[[#This Row],[a1]]=1,IF($W$3&lt;0,Tab.11[[#This Row],[IN]]-$I$3,Tab.11[[#This Row],[IN]]))</f>
        <v>0</v>
      </c>
      <c r="Y145" s="136" t="b">
        <f>IF(Tab.11[[#This Row],[a1]]=1,IF($X$3=0,Tab.11[b66],Tab.11[[#This Row],[b66]]-AVERAGE(Tab.11[b66])))</f>
        <v>0</v>
      </c>
      <c r="Z145" s="135" t="b">
        <f>IF(Tab.11[[#This Row],[a1]]=1,Tab.11[[#This Row],[b77]]/(_xlfn.STDEV.P(Tab.11[b77])))</f>
        <v>0</v>
      </c>
      <c r="AA145" s="70" t="b">
        <f>IF(Tab.11[[#This Row],[a1]]=1,_xlfn.NORM.DIST(Tab.11[[#This Row],[b88]],$Z$1,$AA$1,FALSE))</f>
        <v>0</v>
      </c>
      <c r="AB145" s="74" t="b">
        <f>IF(Tab.11[[#This Row],[a1]]=1,IF($A$3=0,FALSE,1/Tab.11[[#This Row],[IN]]*$AC$2*IF(Tab.11[[#This Row],[a1]]=0,,$A$3*$AC$1*1/$V$3*(Tab.11[[#This Row],[b14]]))))</f>
        <v>0</v>
      </c>
      <c r="AC145" s="75" t="b">
        <f>IF(Tab.11[[#This Row],[a1]]=1,IF($AC$3=0,Tab.11[[#This Row],[φ1]],Tab.11[[#This Row],[φ1]]/MAX(Tab.11[φ1])))</f>
        <v>0</v>
      </c>
      <c r="AD145" s="74" t="b">
        <f>IF(Tab.11[[#This Row],[a1]]=1,1/Tab.11[[#This Row],[φ2]])</f>
        <v>0</v>
      </c>
      <c r="AE145" s="74" t="b">
        <f>IF(Tab.11[[#This Row],[a1]]=1,IF($AE$3=0,Tab.11[[#This Row],[w.0]],Tab.11[[#This Row],[w.0]]/SUM(Tab.11[w.0])))</f>
        <v>0</v>
      </c>
      <c r="AF145" s="76" t="str">
        <f>IF(Tab.11[[#This Row],[a1]]=0,"false",[3]!Tab.x5[[#This Row],[%_seN_C]])</f>
        <v>false</v>
      </c>
      <c r="AG145" s="77" t="b">
        <f>IF(Tab.11[[#This Row],[a1]]=1,AP145)</f>
        <v>0</v>
      </c>
      <c r="AH145" s="78" t="b">
        <f>IF(Tab.11[[#This Row],[a1]]=1,AQ145)</f>
        <v>0</v>
      </c>
      <c r="AI145" s="41">
        <v>3.0000000000000001E-3</v>
      </c>
      <c r="AJ145" s="79">
        <v>0.04</v>
      </c>
      <c r="AK145" s="80" t="b">
        <f>IF(Tab.11[[#This Row],[a1]]=1,1)</f>
        <v>0</v>
      </c>
      <c r="AZ145"/>
    </row>
    <row r="146" spans="1:52" ht="14.25" hidden="1" customHeight="1" x14ac:dyDescent="0.25">
      <c r="A146" s="61">
        <f t="shared" si="5"/>
        <v>0</v>
      </c>
      <c r="B146" s="62">
        <f t="shared" si="5"/>
        <v>0</v>
      </c>
      <c r="C146" s="62" t="b">
        <f>IF(Tab.11[[#This Row],[a1]]=1,[3]!Tab_x1[[#This Row],[Name]])</f>
        <v>0</v>
      </c>
      <c r="D146" s="63" t="b">
        <f>IF(Tab.11[[#This Row],[a1]]=1,AO146)</f>
        <v>0</v>
      </c>
      <c r="E146" s="63">
        <f t="shared" si="6"/>
        <v>0</v>
      </c>
      <c r="F146" s="64" t="b">
        <f>IF(Tab.11[[#This Row],[a1]]=1,Tab.11[[#This Row],[b1]])</f>
        <v>0</v>
      </c>
      <c r="G146" s="65" t="b">
        <f>IF(Tab.11[[#This Row],[a1]]=1,IF(Tab.11[[#This Row],[b3]]&gt;$L$989*$G$3,$L$989*$G$3,IF(Tab.11[[#This Row],[b3]]&lt;$M$989*$G$3,$M$989*$G$3,Tab.11[[#This Row],[b3]])))</f>
        <v>0</v>
      </c>
      <c r="H146" s="66" t="b">
        <f>IF(Tab.11[[#This Row],[a1]]=1,Tab.11[[#This Row],[b1]])</f>
        <v>0</v>
      </c>
      <c r="I146" s="67" t="b">
        <f>IF(Tab.11[[#This Row],[a1]]=1,Tab.11[[#This Row],[b1]])</f>
        <v>0</v>
      </c>
      <c r="J146" s="68" t="b">
        <f>IF(Tab.11[[#This Row],[a1]]=1,IF($I$3&lt;0,Tab.11[[#This Row],[b5]]-$I$3,Tab.11[[#This Row],[b5]]))</f>
        <v>0</v>
      </c>
      <c r="K146" s="68" t="b">
        <f>IF(Tab.11[[#This Row],[a1]]=1,IF($K$3=0,Tab.11[b6],Tab.11[[#This Row],[b6]]-AVERAGE(Tab.11[b6])))</f>
        <v>0</v>
      </c>
      <c r="L146" s="69" t="b">
        <f>IF(Tab.11[[#This Row],[a1]]=1,Tab.11[[#This Row],[data]]/(_xlfn.STDEV.P(Tab.11[data])*$B$989)+$A$989)</f>
        <v>0</v>
      </c>
      <c r="M146" s="69" t="b">
        <f>IF(Tab.11[[#This Row],[a1]]=1,Tab.11[[#This Row],[data]]/(_xlfn.STDEV.P(Tab.11[data])*$B$987)-$A$987)</f>
        <v>0</v>
      </c>
      <c r="N146" s="69" t="b">
        <f>IF(Tab.11[[#This Row],[a1]]=1,Tab.11[[#This Row],[data]]/(_xlfn.STDEV.P(Tab.11[data])*$B$988)+$A$988)</f>
        <v>0</v>
      </c>
      <c r="O146" s="70" t="b">
        <f>IF(Tab.11[[#This Row],[a1]]=1,_xlfn.NORM.DIST(Tab.11[[#This Row],[b8]],$P$1,$Q$1,FALSE))</f>
        <v>0</v>
      </c>
      <c r="P146" s="70" t="b">
        <f>IF(Tab.11[[#This Row],[a1]]=1,_xlfn.NORM.DIST(Tab.11[[#This Row],[b9]],$P$1,$Q$1,FALSE))</f>
        <v>0</v>
      </c>
      <c r="Q146" s="70" t="b">
        <f>IF(Tab.11[[#This Row],[a1]]=1,_xlfn.NORM.DIST(Tab.11[[#This Row],[b10]],$P$1,$Q$1,FALSE))</f>
        <v>0</v>
      </c>
      <c r="R146" s="67" t="b">
        <f>IF(Tab.11[[#This Row],[a1]]=1,$I$3+$A$989+IF($K$3=0,Tab.11[[#This Row],[b8]]*_xlfn.STDEV.P(Tab.11[data]),AVERAGE(Tab.11[b6])+Tab.11[[#This Row],[b8]]*_xlfn.STDEV.P(Tab.11[data])))</f>
        <v>0</v>
      </c>
      <c r="S146" s="71" t="b">
        <f>IF(Tab.11[[#This Row],[a1]]=1,$I$3+$A$987+IF($K$3=0,Tab.11[[#This Row],[b9]]*_xlfn.STDEV.P(Tab.11[data]),AVERAGE(Tab.11[b6])+Tab.11[[#This Row],[b9]]*_xlfn.STDEV.P(Tab.11[data])))</f>
        <v>0</v>
      </c>
      <c r="T146" s="71" t="b">
        <f>IF(Tab.11[[#This Row],[a1]]=1,$I$3+$A$988+IF($K$3=0,Tab.11[[#This Row],[b10]]*_xlfn.STDEV.P(Tab.11[data]),AVERAGE(Tab.11[b6])+Tab.11[[#This Row],[b10]]*_xlfn.STDEV.P(Tab.11[data])))</f>
        <v>0</v>
      </c>
      <c r="U146" s="72" t="b">
        <f>IF(Tab.11[[#This Row],[a1]]=1,Tab.11[[#This Row],[target]]-Tab.11[[#This Row],[Red]])</f>
        <v>0</v>
      </c>
      <c r="V146" s="72" t="b">
        <f>IF(Tab.11[[#This Row],[a1]]=1,Tab.11[[#This Row],[target]]-Tab.11[[#This Row],[Blue]])</f>
        <v>0</v>
      </c>
      <c r="W146" s="73" t="b">
        <f>IF(Tab.11[[#This Row],[a1]]=1,IF(ABS(Tab.11[[#This Row],[b17]])+ABS(Tab.11[[#This Row],[b18]])&lt;$W$2,$W$2,ABS(Tab.11[[#This Row],[b17]])+ABS(Tab.11[[#This Row],[b18]])))</f>
        <v>0</v>
      </c>
      <c r="X146" s="136" t="b">
        <f>IF(Tab.11[[#This Row],[a1]]=1,IF($W$3&lt;0,Tab.11[[#This Row],[IN]]-$I$3,Tab.11[[#This Row],[IN]]))</f>
        <v>0</v>
      </c>
      <c r="Y146" s="136" t="b">
        <f>IF(Tab.11[[#This Row],[a1]]=1,IF($X$3=0,Tab.11[b66],Tab.11[[#This Row],[b66]]-AVERAGE(Tab.11[b66])))</f>
        <v>0</v>
      </c>
      <c r="Z146" s="135" t="b">
        <f>IF(Tab.11[[#This Row],[a1]]=1,Tab.11[[#This Row],[b77]]/(_xlfn.STDEV.P(Tab.11[b77])))</f>
        <v>0</v>
      </c>
      <c r="AA146" s="70" t="b">
        <f>IF(Tab.11[[#This Row],[a1]]=1,_xlfn.NORM.DIST(Tab.11[[#This Row],[b88]],$Z$1,$AA$1,FALSE))</f>
        <v>0</v>
      </c>
      <c r="AB146" s="74" t="b">
        <f>IF(Tab.11[[#This Row],[a1]]=1,IF($A$3=0,FALSE,1/Tab.11[[#This Row],[IN]]*$AC$2*IF(Tab.11[[#This Row],[a1]]=0,,$A$3*$AC$1*1/$V$3*(Tab.11[[#This Row],[b14]]))))</f>
        <v>0</v>
      </c>
      <c r="AC146" s="75" t="b">
        <f>IF(Tab.11[[#This Row],[a1]]=1,IF($AC$3=0,Tab.11[[#This Row],[φ1]],Tab.11[[#This Row],[φ1]]/MAX(Tab.11[φ1])))</f>
        <v>0</v>
      </c>
      <c r="AD146" s="74" t="b">
        <f>IF(Tab.11[[#This Row],[a1]]=1,1/Tab.11[[#This Row],[φ2]])</f>
        <v>0</v>
      </c>
      <c r="AE146" s="74" t="b">
        <f>IF(Tab.11[[#This Row],[a1]]=1,IF($AE$3=0,Tab.11[[#This Row],[w.0]],Tab.11[[#This Row],[w.0]]/SUM(Tab.11[w.0])))</f>
        <v>0</v>
      </c>
      <c r="AF146" s="76" t="str">
        <f>IF(Tab.11[[#This Row],[a1]]=0,"false",[3]!Tab.x5[[#This Row],[%_seN_C]])</f>
        <v>false</v>
      </c>
      <c r="AG146" s="77" t="b">
        <f>IF(Tab.11[[#This Row],[a1]]=1,AP146)</f>
        <v>0</v>
      </c>
      <c r="AH146" s="78" t="b">
        <f>IF(Tab.11[[#This Row],[a1]]=1,AQ146)</f>
        <v>0</v>
      </c>
      <c r="AI146" s="41">
        <v>3.0000000000000001E-3</v>
      </c>
      <c r="AJ146" s="79">
        <v>0.08</v>
      </c>
      <c r="AK146" s="80" t="b">
        <f>IF(Tab.11[[#This Row],[a1]]=1,1)</f>
        <v>0</v>
      </c>
      <c r="AZ146"/>
    </row>
    <row r="147" spans="1:52" ht="14.25" hidden="1" customHeight="1" x14ac:dyDescent="0.25">
      <c r="A147" s="61">
        <f t="shared" si="5"/>
        <v>0</v>
      </c>
      <c r="B147" s="62">
        <f t="shared" si="5"/>
        <v>0</v>
      </c>
      <c r="C147" s="62" t="b">
        <f>IF(Tab.11[[#This Row],[a1]]=1,[3]!Tab_x1[[#This Row],[Name]])</f>
        <v>0</v>
      </c>
      <c r="D147" s="63" t="b">
        <f>IF(Tab.11[[#This Row],[a1]]=1,AO147)</f>
        <v>0</v>
      </c>
      <c r="E147" s="63">
        <f t="shared" si="6"/>
        <v>0</v>
      </c>
      <c r="F147" s="64" t="b">
        <f>IF(Tab.11[[#This Row],[a1]]=1,Tab.11[[#This Row],[b1]])</f>
        <v>0</v>
      </c>
      <c r="G147" s="65" t="b">
        <f>IF(Tab.11[[#This Row],[a1]]=1,IF(Tab.11[[#This Row],[b3]]&gt;$L$989*$G$3,$L$989*$G$3,IF(Tab.11[[#This Row],[b3]]&lt;$M$989*$G$3,$M$989*$G$3,Tab.11[[#This Row],[b3]])))</f>
        <v>0</v>
      </c>
      <c r="H147" s="66" t="b">
        <f>IF(Tab.11[[#This Row],[a1]]=1,Tab.11[[#This Row],[b1]])</f>
        <v>0</v>
      </c>
      <c r="I147" s="67" t="b">
        <f>IF(Tab.11[[#This Row],[a1]]=1,Tab.11[[#This Row],[b1]])</f>
        <v>0</v>
      </c>
      <c r="J147" s="68" t="b">
        <f>IF(Tab.11[[#This Row],[a1]]=1,IF($I$3&lt;0,Tab.11[[#This Row],[b5]]-$I$3,Tab.11[[#This Row],[b5]]))</f>
        <v>0</v>
      </c>
      <c r="K147" s="68" t="b">
        <f>IF(Tab.11[[#This Row],[a1]]=1,IF($K$3=0,Tab.11[b6],Tab.11[[#This Row],[b6]]-AVERAGE(Tab.11[b6])))</f>
        <v>0</v>
      </c>
      <c r="L147" s="69" t="b">
        <f>IF(Tab.11[[#This Row],[a1]]=1,Tab.11[[#This Row],[data]]/(_xlfn.STDEV.P(Tab.11[data])*$B$989)+$A$989)</f>
        <v>0</v>
      </c>
      <c r="M147" s="69" t="b">
        <f>IF(Tab.11[[#This Row],[a1]]=1,Tab.11[[#This Row],[data]]/(_xlfn.STDEV.P(Tab.11[data])*$B$987)-$A$987)</f>
        <v>0</v>
      </c>
      <c r="N147" s="69" t="b">
        <f>IF(Tab.11[[#This Row],[a1]]=1,Tab.11[[#This Row],[data]]/(_xlfn.STDEV.P(Tab.11[data])*$B$988)+$A$988)</f>
        <v>0</v>
      </c>
      <c r="O147" s="70" t="b">
        <f>IF(Tab.11[[#This Row],[a1]]=1,_xlfn.NORM.DIST(Tab.11[[#This Row],[b8]],$P$1,$Q$1,FALSE))</f>
        <v>0</v>
      </c>
      <c r="P147" s="70" t="b">
        <f>IF(Tab.11[[#This Row],[a1]]=1,_xlfn.NORM.DIST(Tab.11[[#This Row],[b9]],$P$1,$Q$1,FALSE))</f>
        <v>0</v>
      </c>
      <c r="Q147" s="70" t="b">
        <f>IF(Tab.11[[#This Row],[a1]]=1,_xlfn.NORM.DIST(Tab.11[[#This Row],[b10]],$P$1,$Q$1,FALSE))</f>
        <v>0</v>
      </c>
      <c r="R147" s="67" t="b">
        <f>IF(Tab.11[[#This Row],[a1]]=1,$I$3+$A$989+IF($K$3=0,Tab.11[[#This Row],[b8]]*_xlfn.STDEV.P(Tab.11[data]),AVERAGE(Tab.11[b6])+Tab.11[[#This Row],[b8]]*_xlfn.STDEV.P(Tab.11[data])))</f>
        <v>0</v>
      </c>
      <c r="S147" s="71" t="b">
        <f>IF(Tab.11[[#This Row],[a1]]=1,$I$3+$A$987+IF($K$3=0,Tab.11[[#This Row],[b9]]*_xlfn.STDEV.P(Tab.11[data]),AVERAGE(Tab.11[b6])+Tab.11[[#This Row],[b9]]*_xlfn.STDEV.P(Tab.11[data])))</f>
        <v>0</v>
      </c>
      <c r="T147" s="71" t="b">
        <f>IF(Tab.11[[#This Row],[a1]]=1,$I$3+$A$988+IF($K$3=0,Tab.11[[#This Row],[b10]]*_xlfn.STDEV.P(Tab.11[data]),AVERAGE(Tab.11[b6])+Tab.11[[#This Row],[b10]]*_xlfn.STDEV.P(Tab.11[data])))</f>
        <v>0</v>
      </c>
      <c r="U147" s="72" t="b">
        <f>IF(Tab.11[[#This Row],[a1]]=1,Tab.11[[#This Row],[target]]-Tab.11[[#This Row],[Red]])</f>
        <v>0</v>
      </c>
      <c r="V147" s="72" t="b">
        <f>IF(Tab.11[[#This Row],[a1]]=1,Tab.11[[#This Row],[target]]-Tab.11[[#This Row],[Blue]])</f>
        <v>0</v>
      </c>
      <c r="W147" s="73" t="b">
        <f>IF(Tab.11[[#This Row],[a1]]=1,IF(ABS(Tab.11[[#This Row],[b17]])+ABS(Tab.11[[#This Row],[b18]])&lt;$W$2,$W$2,ABS(Tab.11[[#This Row],[b17]])+ABS(Tab.11[[#This Row],[b18]])))</f>
        <v>0</v>
      </c>
      <c r="X147" s="136" t="b">
        <f>IF(Tab.11[[#This Row],[a1]]=1,IF($W$3&lt;0,Tab.11[[#This Row],[IN]]-$I$3,Tab.11[[#This Row],[IN]]))</f>
        <v>0</v>
      </c>
      <c r="Y147" s="136" t="b">
        <f>IF(Tab.11[[#This Row],[a1]]=1,IF($X$3=0,Tab.11[b66],Tab.11[[#This Row],[b66]]-AVERAGE(Tab.11[b66])))</f>
        <v>0</v>
      </c>
      <c r="Z147" s="135" t="b">
        <f>IF(Tab.11[[#This Row],[a1]]=1,Tab.11[[#This Row],[b77]]/(_xlfn.STDEV.P(Tab.11[b77])))</f>
        <v>0</v>
      </c>
      <c r="AA147" s="70" t="b">
        <f>IF(Tab.11[[#This Row],[a1]]=1,_xlfn.NORM.DIST(Tab.11[[#This Row],[b88]],$Z$1,$AA$1,FALSE))</f>
        <v>0</v>
      </c>
      <c r="AB147" s="74" t="b">
        <f>IF(Tab.11[[#This Row],[a1]]=1,IF($A$3=0,FALSE,1/Tab.11[[#This Row],[IN]]*$AC$2*IF(Tab.11[[#This Row],[a1]]=0,,$A$3*$AC$1*1/$V$3*(Tab.11[[#This Row],[b14]]))))</f>
        <v>0</v>
      </c>
      <c r="AC147" s="75" t="b">
        <f>IF(Tab.11[[#This Row],[a1]]=1,IF($AC$3=0,Tab.11[[#This Row],[φ1]],Tab.11[[#This Row],[φ1]]/MAX(Tab.11[φ1])))</f>
        <v>0</v>
      </c>
      <c r="AD147" s="74" t="b">
        <f>IF(Tab.11[[#This Row],[a1]]=1,1/Tab.11[[#This Row],[φ2]])</f>
        <v>0</v>
      </c>
      <c r="AE147" s="74" t="b">
        <f>IF(Tab.11[[#This Row],[a1]]=1,IF($AE$3=0,Tab.11[[#This Row],[w.0]],Tab.11[[#This Row],[w.0]]/SUM(Tab.11[w.0])))</f>
        <v>0</v>
      </c>
      <c r="AF147" s="76" t="str">
        <f>IF(Tab.11[[#This Row],[a1]]=0,"false",[3]!Tab.x5[[#This Row],[%_seN_C]])</f>
        <v>false</v>
      </c>
      <c r="AG147" s="77" t="b">
        <f>IF(Tab.11[[#This Row],[a1]]=1,AP147)</f>
        <v>0</v>
      </c>
      <c r="AH147" s="78" t="b">
        <f>IF(Tab.11[[#This Row],[a1]]=1,AQ147)</f>
        <v>0</v>
      </c>
      <c r="AI147" s="41">
        <v>3.0000000000000001E-3</v>
      </c>
      <c r="AJ147" s="79">
        <v>-0.06</v>
      </c>
      <c r="AK147" s="80" t="b">
        <f>IF(Tab.11[[#This Row],[a1]]=1,1)</f>
        <v>0</v>
      </c>
      <c r="AZ147"/>
    </row>
    <row r="148" spans="1:52" ht="14.25" hidden="1" customHeight="1" x14ac:dyDescent="0.25">
      <c r="A148" s="61">
        <f t="shared" si="5"/>
        <v>0</v>
      </c>
      <c r="B148" s="62">
        <f t="shared" si="5"/>
        <v>0</v>
      </c>
      <c r="C148" s="62" t="b">
        <f>IF(Tab.11[[#This Row],[a1]]=1,[3]!Tab_x1[[#This Row],[Name]])</f>
        <v>0</v>
      </c>
      <c r="D148" s="63" t="b">
        <f>IF(Tab.11[[#This Row],[a1]]=1,AO148)</f>
        <v>0</v>
      </c>
      <c r="E148" s="63">
        <f t="shared" si="6"/>
        <v>0</v>
      </c>
      <c r="F148" s="64" t="b">
        <f>IF(Tab.11[[#This Row],[a1]]=1,Tab.11[[#This Row],[b1]])</f>
        <v>0</v>
      </c>
      <c r="G148" s="65" t="b">
        <f>IF(Tab.11[[#This Row],[a1]]=1,IF(Tab.11[[#This Row],[b3]]&gt;$L$989*$G$3,$L$989*$G$3,IF(Tab.11[[#This Row],[b3]]&lt;$M$989*$G$3,$M$989*$G$3,Tab.11[[#This Row],[b3]])))</f>
        <v>0</v>
      </c>
      <c r="H148" s="66" t="b">
        <f>IF(Tab.11[[#This Row],[a1]]=1,Tab.11[[#This Row],[b1]])</f>
        <v>0</v>
      </c>
      <c r="I148" s="67" t="b">
        <f>IF(Tab.11[[#This Row],[a1]]=1,Tab.11[[#This Row],[b1]])</f>
        <v>0</v>
      </c>
      <c r="J148" s="68" t="b">
        <f>IF(Tab.11[[#This Row],[a1]]=1,IF($I$3&lt;0,Tab.11[[#This Row],[b5]]-$I$3,Tab.11[[#This Row],[b5]]))</f>
        <v>0</v>
      </c>
      <c r="K148" s="68" t="b">
        <f>IF(Tab.11[[#This Row],[a1]]=1,IF($K$3=0,Tab.11[b6],Tab.11[[#This Row],[b6]]-AVERAGE(Tab.11[b6])))</f>
        <v>0</v>
      </c>
      <c r="L148" s="69" t="b">
        <f>IF(Tab.11[[#This Row],[a1]]=1,Tab.11[[#This Row],[data]]/(_xlfn.STDEV.P(Tab.11[data])*$B$989)+$A$989)</f>
        <v>0</v>
      </c>
      <c r="M148" s="69" t="b">
        <f>IF(Tab.11[[#This Row],[a1]]=1,Tab.11[[#This Row],[data]]/(_xlfn.STDEV.P(Tab.11[data])*$B$987)-$A$987)</f>
        <v>0</v>
      </c>
      <c r="N148" s="69" t="b">
        <f>IF(Tab.11[[#This Row],[a1]]=1,Tab.11[[#This Row],[data]]/(_xlfn.STDEV.P(Tab.11[data])*$B$988)+$A$988)</f>
        <v>0</v>
      </c>
      <c r="O148" s="70" t="b">
        <f>IF(Tab.11[[#This Row],[a1]]=1,_xlfn.NORM.DIST(Tab.11[[#This Row],[b8]],$P$1,$Q$1,FALSE))</f>
        <v>0</v>
      </c>
      <c r="P148" s="70" t="b">
        <f>IF(Tab.11[[#This Row],[a1]]=1,_xlfn.NORM.DIST(Tab.11[[#This Row],[b9]],$P$1,$Q$1,FALSE))</f>
        <v>0</v>
      </c>
      <c r="Q148" s="70" t="b">
        <f>IF(Tab.11[[#This Row],[a1]]=1,_xlfn.NORM.DIST(Tab.11[[#This Row],[b10]],$P$1,$Q$1,FALSE))</f>
        <v>0</v>
      </c>
      <c r="R148" s="67" t="b">
        <f>IF(Tab.11[[#This Row],[a1]]=1,$I$3+$A$989+IF($K$3=0,Tab.11[[#This Row],[b8]]*_xlfn.STDEV.P(Tab.11[data]),AVERAGE(Tab.11[b6])+Tab.11[[#This Row],[b8]]*_xlfn.STDEV.P(Tab.11[data])))</f>
        <v>0</v>
      </c>
      <c r="S148" s="71" t="b">
        <f>IF(Tab.11[[#This Row],[a1]]=1,$I$3+$A$987+IF($K$3=0,Tab.11[[#This Row],[b9]]*_xlfn.STDEV.P(Tab.11[data]),AVERAGE(Tab.11[b6])+Tab.11[[#This Row],[b9]]*_xlfn.STDEV.P(Tab.11[data])))</f>
        <v>0</v>
      </c>
      <c r="T148" s="71" t="b">
        <f>IF(Tab.11[[#This Row],[a1]]=1,$I$3+$A$988+IF($K$3=0,Tab.11[[#This Row],[b10]]*_xlfn.STDEV.P(Tab.11[data]),AVERAGE(Tab.11[b6])+Tab.11[[#This Row],[b10]]*_xlfn.STDEV.P(Tab.11[data])))</f>
        <v>0</v>
      </c>
      <c r="U148" s="72" t="b">
        <f>IF(Tab.11[[#This Row],[a1]]=1,Tab.11[[#This Row],[target]]-Tab.11[[#This Row],[Red]])</f>
        <v>0</v>
      </c>
      <c r="V148" s="72" t="b">
        <f>IF(Tab.11[[#This Row],[a1]]=1,Tab.11[[#This Row],[target]]-Tab.11[[#This Row],[Blue]])</f>
        <v>0</v>
      </c>
      <c r="W148" s="73" t="b">
        <f>IF(Tab.11[[#This Row],[a1]]=1,IF(ABS(Tab.11[[#This Row],[b17]])+ABS(Tab.11[[#This Row],[b18]])&lt;$W$2,$W$2,ABS(Tab.11[[#This Row],[b17]])+ABS(Tab.11[[#This Row],[b18]])))</f>
        <v>0</v>
      </c>
      <c r="X148" s="136" t="b">
        <f>IF(Tab.11[[#This Row],[a1]]=1,IF($W$3&lt;0,Tab.11[[#This Row],[IN]]-$I$3,Tab.11[[#This Row],[IN]]))</f>
        <v>0</v>
      </c>
      <c r="Y148" s="136" t="b">
        <f>IF(Tab.11[[#This Row],[a1]]=1,IF($X$3=0,Tab.11[b66],Tab.11[[#This Row],[b66]]-AVERAGE(Tab.11[b66])))</f>
        <v>0</v>
      </c>
      <c r="Z148" s="135" t="b">
        <f>IF(Tab.11[[#This Row],[a1]]=1,Tab.11[[#This Row],[b77]]/(_xlfn.STDEV.P(Tab.11[b77])))</f>
        <v>0</v>
      </c>
      <c r="AA148" s="70" t="b">
        <f>IF(Tab.11[[#This Row],[a1]]=1,_xlfn.NORM.DIST(Tab.11[[#This Row],[b88]],$Z$1,$AA$1,FALSE))</f>
        <v>0</v>
      </c>
      <c r="AB148" s="74" t="b">
        <f>IF(Tab.11[[#This Row],[a1]]=1,IF($A$3=0,FALSE,1/Tab.11[[#This Row],[IN]]*$AC$2*IF(Tab.11[[#This Row],[a1]]=0,,$A$3*$AC$1*1/$V$3*(Tab.11[[#This Row],[b14]]))))</f>
        <v>0</v>
      </c>
      <c r="AC148" s="75" t="b">
        <f>IF(Tab.11[[#This Row],[a1]]=1,IF($AC$3=0,Tab.11[[#This Row],[φ1]],Tab.11[[#This Row],[φ1]]/MAX(Tab.11[φ1])))</f>
        <v>0</v>
      </c>
      <c r="AD148" s="74" t="b">
        <f>IF(Tab.11[[#This Row],[a1]]=1,1/Tab.11[[#This Row],[φ2]])</f>
        <v>0</v>
      </c>
      <c r="AE148" s="74" t="b">
        <f>IF(Tab.11[[#This Row],[a1]]=1,IF($AE$3=0,Tab.11[[#This Row],[w.0]],Tab.11[[#This Row],[w.0]]/SUM(Tab.11[w.0])))</f>
        <v>0</v>
      </c>
      <c r="AF148" s="76" t="str">
        <f>IF(Tab.11[[#This Row],[a1]]=0,"false",[3]!Tab.x5[[#This Row],[%_seN_C]])</f>
        <v>false</v>
      </c>
      <c r="AG148" s="77" t="b">
        <f>IF(Tab.11[[#This Row],[a1]]=1,AP148)</f>
        <v>0</v>
      </c>
      <c r="AH148" s="78" t="b">
        <f>IF(Tab.11[[#This Row],[a1]]=1,AQ148)</f>
        <v>0</v>
      </c>
      <c r="AI148" s="41">
        <v>3.0000000000000001E-3</v>
      </c>
      <c r="AJ148" s="79">
        <v>-0.1</v>
      </c>
      <c r="AK148" s="80" t="b">
        <f>IF(Tab.11[[#This Row],[a1]]=1,1)</f>
        <v>0</v>
      </c>
      <c r="AZ148"/>
    </row>
    <row r="149" spans="1:52" ht="14.25" hidden="1" customHeight="1" x14ac:dyDescent="0.25">
      <c r="A149" s="61">
        <f t="shared" ref="A149:B212" si="7">AM149</f>
        <v>0</v>
      </c>
      <c r="B149" s="62">
        <f t="shared" si="7"/>
        <v>0</v>
      </c>
      <c r="C149" s="62" t="b">
        <f>IF(Tab.11[[#This Row],[a1]]=1,[3]!Tab_x1[[#This Row],[Name]])</f>
        <v>0</v>
      </c>
      <c r="D149" s="63" t="b">
        <f>IF(Tab.11[[#This Row],[a1]]=1,AO149)</f>
        <v>0</v>
      </c>
      <c r="E149" s="63">
        <f t="shared" si="6"/>
        <v>0</v>
      </c>
      <c r="F149" s="64" t="b">
        <f>IF(Tab.11[[#This Row],[a1]]=1,Tab.11[[#This Row],[b1]])</f>
        <v>0</v>
      </c>
      <c r="G149" s="65" t="b">
        <f>IF(Tab.11[[#This Row],[a1]]=1,IF(Tab.11[[#This Row],[b3]]&gt;$L$989*$G$3,$L$989*$G$3,IF(Tab.11[[#This Row],[b3]]&lt;$M$989*$G$3,$M$989*$G$3,Tab.11[[#This Row],[b3]])))</f>
        <v>0</v>
      </c>
      <c r="H149" s="66" t="b">
        <f>IF(Tab.11[[#This Row],[a1]]=1,Tab.11[[#This Row],[b1]])</f>
        <v>0</v>
      </c>
      <c r="I149" s="67" t="b">
        <f>IF(Tab.11[[#This Row],[a1]]=1,Tab.11[[#This Row],[b1]])</f>
        <v>0</v>
      </c>
      <c r="J149" s="68" t="b">
        <f>IF(Tab.11[[#This Row],[a1]]=1,IF($I$3&lt;0,Tab.11[[#This Row],[b5]]-$I$3,Tab.11[[#This Row],[b5]]))</f>
        <v>0</v>
      </c>
      <c r="K149" s="68" t="b">
        <f>IF(Tab.11[[#This Row],[a1]]=1,IF($K$3=0,Tab.11[b6],Tab.11[[#This Row],[b6]]-AVERAGE(Tab.11[b6])))</f>
        <v>0</v>
      </c>
      <c r="L149" s="69" t="b">
        <f>IF(Tab.11[[#This Row],[a1]]=1,Tab.11[[#This Row],[data]]/(_xlfn.STDEV.P(Tab.11[data])*$B$989)+$A$989)</f>
        <v>0</v>
      </c>
      <c r="M149" s="69" t="b">
        <f>IF(Tab.11[[#This Row],[a1]]=1,Tab.11[[#This Row],[data]]/(_xlfn.STDEV.P(Tab.11[data])*$B$987)-$A$987)</f>
        <v>0</v>
      </c>
      <c r="N149" s="69" t="b">
        <f>IF(Tab.11[[#This Row],[a1]]=1,Tab.11[[#This Row],[data]]/(_xlfn.STDEV.P(Tab.11[data])*$B$988)+$A$988)</f>
        <v>0</v>
      </c>
      <c r="O149" s="70" t="b">
        <f>IF(Tab.11[[#This Row],[a1]]=1,_xlfn.NORM.DIST(Tab.11[[#This Row],[b8]],$P$1,$Q$1,FALSE))</f>
        <v>0</v>
      </c>
      <c r="P149" s="70" t="b">
        <f>IF(Tab.11[[#This Row],[a1]]=1,_xlfn.NORM.DIST(Tab.11[[#This Row],[b9]],$P$1,$Q$1,FALSE))</f>
        <v>0</v>
      </c>
      <c r="Q149" s="70" t="b">
        <f>IF(Tab.11[[#This Row],[a1]]=1,_xlfn.NORM.DIST(Tab.11[[#This Row],[b10]],$P$1,$Q$1,FALSE))</f>
        <v>0</v>
      </c>
      <c r="R149" s="67" t="b">
        <f>IF(Tab.11[[#This Row],[a1]]=1,$I$3+$A$989+IF($K$3=0,Tab.11[[#This Row],[b8]]*_xlfn.STDEV.P(Tab.11[data]),AVERAGE(Tab.11[b6])+Tab.11[[#This Row],[b8]]*_xlfn.STDEV.P(Tab.11[data])))</f>
        <v>0</v>
      </c>
      <c r="S149" s="71" t="b">
        <f>IF(Tab.11[[#This Row],[a1]]=1,$I$3+$A$987+IF($K$3=0,Tab.11[[#This Row],[b9]]*_xlfn.STDEV.P(Tab.11[data]),AVERAGE(Tab.11[b6])+Tab.11[[#This Row],[b9]]*_xlfn.STDEV.P(Tab.11[data])))</f>
        <v>0</v>
      </c>
      <c r="T149" s="71" t="b">
        <f>IF(Tab.11[[#This Row],[a1]]=1,$I$3+$A$988+IF($K$3=0,Tab.11[[#This Row],[b10]]*_xlfn.STDEV.P(Tab.11[data]),AVERAGE(Tab.11[b6])+Tab.11[[#This Row],[b10]]*_xlfn.STDEV.P(Tab.11[data])))</f>
        <v>0</v>
      </c>
      <c r="U149" s="72" t="b">
        <f>IF(Tab.11[[#This Row],[a1]]=1,Tab.11[[#This Row],[target]]-Tab.11[[#This Row],[Red]])</f>
        <v>0</v>
      </c>
      <c r="V149" s="72" t="b">
        <f>IF(Tab.11[[#This Row],[a1]]=1,Tab.11[[#This Row],[target]]-Tab.11[[#This Row],[Blue]])</f>
        <v>0</v>
      </c>
      <c r="W149" s="73" t="b">
        <f>IF(Tab.11[[#This Row],[a1]]=1,IF(ABS(Tab.11[[#This Row],[b17]])+ABS(Tab.11[[#This Row],[b18]])&lt;$W$2,$W$2,ABS(Tab.11[[#This Row],[b17]])+ABS(Tab.11[[#This Row],[b18]])))</f>
        <v>0</v>
      </c>
      <c r="X149" s="136" t="b">
        <f>IF(Tab.11[[#This Row],[a1]]=1,IF($W$3&lt;0,Tab.11[[#This Row],[IN]]-$I$3,Tab.11[[#This Row],[IN]]))</f>
        <v>0</v>
      </c>
      <c r="Y149" s="136" t="b">
        <f>IF(Tab.11[[#This Row],[a1]]=1,IF($X$3=0,Tab.11[b66],Tab.11[[#This Row],[b66]]-AVERAGE(Tab.11[b66])))</f>
        <v>0</v>
      </c>
      <c r="Z149" s="135" t="b">
        <f>IF(Tab.11[[#This Row],[a1]]=1,Tab.11[[#This Row],[b77]]/(_xlfn.STDEV.P(Tab.11[b77])))</f>
        <v>0</v>
      </c>
      <c r="AA149" s="70" t="b">
        <f>IF(Tab.11[[#This Row],[a1]]=1,_xlfn.NORM.DIST(Tab.11[[#This Row],[b88]],$Z$1,$AA$1,FALSE))</f>
        <v>0</v>
      </c>
      <c r="AB149" s="74" t="b">
        <f>IF(Tab.11[[#This Row],[a1]]=1,IF($A$3=0,FALSE,1/Tab.11[[#This Row],[IN]]*$AC$2*IF(Tab.11[[#This Row],[a1]]=0,,$A$3*$AC$1*1/$V$3*(Tab.11[[#This Row],[b14]]))))</f>
        <v>0</v>
      </c>
      <c r="AC149" s="75" t="b">
        <f>IF(Tab.11[[#This Row],[a1]]=1,IF($AC$3=0,Tab.11[[#This Row],[φ1]],Tab.11[[#This Row],[φ1]]/MAX(Tab.11[φ1])))</f>
        <v>0</v>
      </c>
      <c r="AD149" s="74" t="b">
        <f>IF(Tab.11[[#This Row],[a1]]=1,1/Tab.11[[#This Row],[φ2]])</f>
        <v>0</v>
      </c>
      <c r="AE149" s="74" t="b">
        <f>IF(Tab.11[[#This Row],[a1]]=1,IF($AE$3=0,Tab.11[[#This Row],[w.0]],Tab.11[[#This Row],[w.0]]/SUM(Tab.11[w.0])))</f>
        <v>0</v>
      </c>
      <c r="AF149" s="76" t="str">
        <f>IF(Tab.11[[#This Row],[a1]]=0,"false",[3]!Tab.x5[[#This Row],[%_seN_C]])</f>
        <v>false</v>
      </c>
      <c r="AG149" s="77" t="b">
        <f>IF(Tab.11[[#This Row],[a1]]=1,AP149)</f>
        <v>0</v>
      </c>
      <c r="AH149" s="78" t="b">
        <f>IF(Tab.11[[#This Row],[a1]]=1,AQ149)</f>
        <v>0</v>
      </c>
      <c r="AI149" s="41">
        <v>3.0000000000000001E-3</v>
      </c>
      <c r="AJ149" s="79">
        <v>0.06</v>
      </c>
      <c r="AK149" s="80" t="b">
        <f>IF(Tab.11[[#This Row],[a1]]=1,1)</f>
        <v>0</v>
      </c>
      <c r="AZ149"/>
    </row>
    <row r="150" spans="1:52" ht="14.25" hidden="1" customHeight="1" x14ac:dyDescent="0.25">
      <c r="A150" s="61">
        <f t="shared" si="7"/>
        <v>0</v>
      </c>
      <c r="B150" s="62">
        <f t="shared" si="7"/>
        <v>0</v>
      </c>
      <c r="C150" s="62" t="b">
        <f>IF(Tab.11[[#This Row],[a1]]=1,[3]!Tab_x1[[#This Row],[Name]])</f>
        <v>0</v>
      </c>
      <c r="D150" s="63" t="b">
        <f>IF(Tab.11[[#This Row],[a1]]=1,AO150)</f>
        <v>0</v>
      </c>
      <c r="E150" s="63">
        <f t="shared" si="6"/>
        <v>0</v>
      </c>
      <c r="F150" s="64" t="b">
        <f>IF(Tab.11[[#This Row],[a1]]=1,Tab.11[[#This Row],[b1]])</f>
        <v>0</v>
      </c>
      <c r="G150" s="65" t="b">
        <f>IF(Tab.11[[#This Row],[a1]]=1,IF(Tab.11[[#This Row],[b3]]&gt;$L$989*$G$3,$L$989*$G$3,IF(Tab.11[[#This Row],[b3]]&lt;$M$989*$G$3,$M$989*$G$3,Tab.11[[#This Row],[b3]])))</f>
        <v>0</v>
      </c>
      <c r="H150" s="66" t="b">
        <f>IF(Tab.11[[#This Row],[a1]]=1,Tab.11[[#This Row],[b1]])</f>
        <v>0</v>
      </c>
      <c r="I150" s="67" t="b">
        <f>IF(Tab.11[[#This Row],[a1]]=1,Tab.11[[#This Row],[b1]])</f>
        <v>0</v>
      </c>
      <c r="J150" s="68" t="b">
        <f>IF(Tab.11[[#This Row],[a1]]=1,IF($I$3&lt;0,Tab.11[[#This Row],[b5]]-$I$3,Tab.11[[#This Row],[b5]]))</f>
        <v>0</v>
      </c>
      <c r="K150" s="68" t="b">
        <f>IF(Tab.11[[#This Row],[a1]]=1,IF($K$3=0,Tab.11[b6],Tab.11[[#This Row],[b6]]-AVERAGE(Tab.11[b6])))</f>
        <v>0</v>
      </c>
      <c r="L150" s="69" t="b">
        <f>IF(Tab.11[[#This Row],[a1]]=1,Tab.11[[#This Row],[data]]/(_xlfn.STDEV.P(Tab.11[data])*$B$989)+$A$989)</f>
        <v>0</v>
      </c>
      <c r="M150" s="69" t="b">
        <f>IF(Tab.11[[#This Row],[a1]]=1,Tab.11[[#This Row],[data]]/(_xlfn.STDEV.P(Tab.11[data])*$B$987)-$A$987)</f>
        <v>0</v>
      </c>
      <c r="N150" s="69" t="b">
        <f>IF(Tab.11[[#This Row],[a1]]=1,Tab.11[[#This Row],[data]]/(_xlfn.STDEV.P(Tab.11[data])*$B$988)+$A$988)</f>
        <v>0</v>
      </c>
      <c r="O150" s="70" t="b">
        <f>IF(Tab.11[[#This Row],[a1]]=1,_xlfn.NORM.DIST(Tab.11[[#This Row],[b8]],$P$1,$Q$1,FALSE))</f>
        <v>0</v>
      </c>
      <c r="P150" s="70" t="b">
        <f>IF(Tab.11[[#This Row],[a1]]=1,_xlfn.NORM.DIST(Tab.11[[#This Row],[b9]],$P$1,$Q$1,FALSE))</f>
        <v>0</v>
      </c>
      <c r="Q150" s="70" t="b">
        <f>IF(Tab.11[[#This Row],[a1]]=1,_xlfn.NORM.DIST(Tab.11[[#This Row],[b10]],$P$1,$Q$1,FALSE))</f>
        <v>0</v>
      </c>
      <c r="R150" s="67" t="b">
        <f>IF(Tab.11[[#This Row],[a1]]=1,$I$3+$A$989+IF($K$3=0,Tab.11[[#This Row],[b8]]*_xlfn.STDEV.P(Tab.11[data]),AVERAGE(Tab.11[b6])+Tab.11[[#This Row],[b8]]*_xlfn.STDEV.P(Tab.11[data])))</f>
        <v>0</v>
      </c>
      <c r="S150" s="71" t="b">
        <f>IF(Tab.11[[#This Row],[a1]]=1,$I$3+$A$987+IF($K$3=0,Tab.11[[#This Row],[b9]]*_xlfn.STDEV.P(Tab.11[data]),AVERAGE(Tab.11[b6])+Tab.11[[#This Row],[b9]]*_xlfn.STDEV.P(Tab.11[data])))</f>
        <v>0</v>
      </c>
      <c r="T150" s="71" t="b">
        <f>IF(Tab.11[[#This Row],[a1]]=1,$I$3+$A$988+IF($K$3=0,Tab.11[[#This Row],[b10]]*_xlfn.STDEV.P(Tab.11[data]),AVERAGE(Tab.11[b6])+Tab.11[[#This Row],[b10]]*_xlfn.STDEV.P(Tab.11[data])))</f>
        <v>0</v>
      </c>
      <c r="U150" s="72" t="b">
        <f>IF(Tab.11[[#This Row],[a1]]=1,Tab.11[[#This Row],[target]]-Tab.11[[#This Row],[Red]])</f>
        <v>0</v>
      </c>
      <c r="V150" s="72" t="b">
        <f>IF(Tab.11[[#This Row],[a1]]=1,Tab.11[[#This Row],[target]]-Tab.11[[#This Row],[Blue]])</f>
        <v>0</v>
      </c>
      <c r="W150" s="73" t="b">
        <f>IF(Tab.11[[#This Row],[a1]]=1,IF(ABS(Tab.11[[#This Row],[b17]])+ABS(Tab.11[[#This Row],[b18]])&lt;$W$2,$W$2,ABS(Tab.11[[#This Row],[b17]])+ABS(Tab.11[[#This Row],[b18]])))</f>
        <v>0</v>
      </c>
      <c r="X150" s="136" t="b">
        <f>IF(Tab.11[[#This Row],[a1]]=1,IF($W$3&lt;0,Tab.11[[#This Row],[IN]]-$I$3,Tab.11[[#This Row],[IN]]))</f>
        <v>0</v>
      </c>
      <c r="Y150" s="136" t="b">
        <f>IF(Tab.11[[#This Row],[a1]]=1,IF($X$3=0,Tab.11[b66],Tab.11[[#This Row],[b66]]-AVERAGE(Tab.11[b66])))</f>
        <v>0</v>
      </c>
      <c r="Z150" s="135" t="b">
        <f>IF(Tab.11[[#This Row],[a1]]=1,Tab.11[[#This Row],[b77]]/(_xlfn.STDEV.P(Tab.11[b77])))</f>
        <v>0</v>
      </c>
      <c r="AA150" s="70" t="b">
        <f>IF(Tab.11[[#This Row],[a1]]=1,_xlfn.NORM.DIST(Tab.11[[#This Row],[b88]],$Z$1,$AA$1,FALSE))</f>
        <v>0</v>
      </c>
      <c r="AB150" s="74" t="b">
        <f>IF(Tab.11[[#This Row],[a1]]=1,IF($A$3=0,FALSE,1/Tab.11[[#This Row],[IN]]*$AC$2*IF(Tab.11[[#This Row],[a1]]=0,,$A$3*$AC$1*1/$V$3*(Tab.11[[#This Row],[b14]]))))</f>
        <v>0</v>
      </c>
      <c r="AC150" s="75" t="b">
        <f>IF(Tab.11[[#This Row],[a1]]=1,IF($AC$3=0,Tab.11[[#This Row],[φ1]],Tab.11[[#This Row],[φ1]]/MAX(Tab.11[φ1])))</f>
        <v>0</v>
      </c>
      <c r="AD150" s="74" t="b">
        <f>IF(Tab.11[[#This Row],[a1]]=1,1/Tab.11[[#This Row],[φ2]])</f>
        <v>0</v>
      </c>
      <c r="AE150" s="74" t="b">
        <f>IF(Tab.11[[#This Row],[a1]]=1,IF($AE$3=0,Tab.11[[#This Row],[w.0]],Tab.11[[#This Row],[w.0]]/SUM(Tab.11[w.0])))</f>
        <v>0</v>
      </c>
      <c r="AF150" s="76" t="str">
        <f>IF(Tab.11[[#This Row],[a1]]=0,"false",[3]!Tab.x5[[#This Row],[%_seN_C]])</f>
        <v>false</v>
      </c>
      <c r="AG150" s="77" t="b">
        <f>IF(Tab.11[[#This Row],[a1]]=1,AP150)</f>
        <v>0</v>
      </c>
      <c r="AH150" s="78" t="b">
        <f>IF(Tab.11[[#This Row],[a1]]=1,AQ150)</f>
        <v>0</v>
      </c>
      <c r="AI150" s="41">
        <v>3.0000000000000001E-3</v>
      </c>
      <c r="AJ150" s="79">
        <v>0.06</v>
      </c>
      <c r="AK150" s="80" t="b">
        <f>IF(Tab.11[[#This Row],[a1]]=1,1)</f>
        <v>0</v>
      </c>
      <c r="AZ150"/>
    </row>
    <row r="151" spans="1:52" ht="14.25" hidden="1" customHeight="1" x14ac:dyDescent="0.25">
      <c r="A151" s="61">
        <f t="shared" si="7"/>
        <v>0</v>
      </c>
      <c r="B151" s="62">
        <f t="shared" si="7"/>
        <v>0</v>
      </c>
      <c r="C151" s="62" t="b">
        <f>IF(Tab.11[[#This Row],[a1]]=1,[3]!Tab_x1[[#This Row],[Name]])</f>
        <v>0</v>
      </c>
      <c r="D151" s="63" t="b">
        <f>IF(Tab.11[[#This Row],[a1]]=1,AO151)</f>
        <v>0</v>
      </c>
      <c r="E151" s="63">
        <f t="shared" si="6"/>
        <v>0</v>
      </c>
      <c r="F151" s="64" t="b">
        <f>IF(Tab.11[[#This Row],[a1]]=1,Tab.11[[#This Row],[b1]])</f>
        <v>0</v>
      </c>
      <c r="G151" s="65" t="b">
        <f>IF(Tab.11[[#This Row],[a1]]=1,IF(Tab.11[[#This Row],[b3]]&gt;$L$989*$G$3,$L$989*$G$3,IF(Tab.11[[#This Row],[b3]]&lt;$M$989*$G$3,$M$989*$G$3,Tab.11[[#This Row],[b3]])))</f>
        <v>0</v>
      </c>
      <c r="H151" s="66" t="b">
        <f>IF(Tab.11[[#This Row],[a1]]=1,Tab.11[[#This Row],[b1]])</f>
        <v>0</v>
      </c>
      <c r="I151" s="67" t="b">
        <f>IF(Tab.11[[#This Row],[a1]]=1,Tab.11[[#This Row],[b1]])</f>
        <v>0</v>
      </c>
      <c r="J151" s="68" t="b">
        <f>IF(Tab.11[[#This Row],[a1]]=1,IF($I$3&lt;0,Tab.11[[#This Row],[b5]]-$I$3,Tab.11[[#This Row],[b5]]))</f>
        <v>0</v>
      </c>
      <c r="K151" s="68" t="b">
        <f>IF(Tab.11[[#This Row],[a1]]=1,IF($K$3=0,Tab.11[b6],Tab.11[[#This Row],[b6]]-AVERAGE(Tab.11[b6])))</f>
        <v>0</v>
      </c>
      <c r="L151" s="69" t="b">
        <f>IF(Tab.11[[#This Row],[a1]]=1,Tab.11[[#This Row],[data]]/(_xlfn.STDEV.P(Tab.11[data])*$B$989)+$A$989)</f>
        <v>0</v>
      </c>
      <c r="M151" s="69" t="b">
        <f>IF(Tab.11[[#This Row],[a1]]=1,Tab.11[[#This Row],[data]]/(_xlfn.STDEV.P(Tab.11[data])*$B$987)-$A$987)</f>
        <v>0</v>
      </c>
      <c r="N151" s="69" t="b">
        <f>IF(Tab.11[[#This Row],[a1]]=1,Tab.11[[#This Row],[data]]/(_xlfn.STDEV.P(Tab.11[data])*$B$988)+$A$988)</f>
        <v>0</v>
      </c>
      <c r="O151" s="70" t="b">
        <f>IF(Tab.11[[#This Row],[a1]]=1,_xlfn.NORM.DIST(Tab.11[[#This Row],[b8]],$P$1,$Q$1,FALSE))</f>
        <v>0</v>
      </c>
      <c r="P151" s="70" t="b">
        <f>IF(Tab.11[[#This Row],[a1]]=1,_xlfn.NORM.DIST(Tab.11[[#This Row],[b9]],$P$1,$Q$1,FALSE))</f>
        <v>0</v>
      </c>
      <c r="Q151" s="70" t="b">
        <f>IF(Tab.11[[#This Row],[a1]]=1,_xlfn.NORM.DIST(Tab.11[[#This Row],[b10]],$P$1,$Q$1,FALSE))</f>
        <v>0</v>
      </c>
      <c r="R151" s="67" t="b">
        <f>IF(Tab.11[[#This Row],[a1]]=1,$I$3+$A$989+IF($K$3=0,Tab.11[[#This Row],[b8]]*_xlfn.STDEV.P(Tab.11[data]),AVERAGE(Tab.11[b6])+Tab.11[[#This Row],[b8]]*_xlfn.STDEV.P(Tab.11[data])))</f>
        <v>0</v>
      </c>
      <c r="S151" s="71" t="b">
        <f>IF(Tab.11[[#This Row],[a1]]=1,$I$3+$A$987+IF($K$3=0,Tab.11[[#This Row],[b9]]*_xlfn.STDEV.P(Tab.11[data]),AVERAGE(Tab.11[b6])+Tab.11[[#This Row],[b9]]*_xlfn.STDEV.P(Tab.11[data])))</f>
        <v>0</v>
      </c>
      <c r="T151" s="71" t="b">
        <f>IF(Tab.11[[#This Row],[a1]]=1,$I$3+$A$988+IF($K$3=0,Tab.11[[#This Row],[b10]]*_xlfn.STDEV.P(Tab.11[data]),AVERAGE(Tab.11[b6])+Tab.11[[#This Row],[b10]]*_xlfn.STDEV.P(Tab.11[data])))</f>
        <v>0</v>
      </c>
      <c r="U151" s="72" t="b">
        <f>IF(Tab.11[[#This Row],[a1]]=1,Tab.11[[#This Row],[target]]-Tab.11[[#This Row],[Red]])</f>
        <v>0</v>
      </c>
      <c r="V151" s="72" t="b">
        <f>IF(Tab.11[[#This Row],[a1]]=1,Tab.11[[#This Row],[target]]-Tab.11[[#This Row],[Blue]])</f>
        <v>0</v>
      </c>
      <c r="W151" s="73" t="b">
        <f>IF(Tab.11[[#This Row],[a1]]=1,IF(ABS(Tab.11[[#This Row],[b17]])+ABS(Tab.11[[#This Row],[b18]])&lt;$W$2,$W$2,ABS(Tab.11[[#This Row],[b17]])+ABS(Tab.11[[#This Row],[b18]])))</f>
        <v>0</v>
      </c>
      <c r="X151" s="136" t="b">
        <f>IF(Tab.11[[#This Row],[a1]]=1,IF($W$3&lt;0,Tab.11[[#This Row],[IN]]-$I$3,Tab.11[[#This Row],[IN]]))</f>
        <v>0</v>
      </c>
      <c r="Y151" s="136" t="b">
        <f>IF(Tab.11[[#This Row],[a1]]=1,IF($X$3=0,Tab.11[b66],Tab.11[[#This Row],[b66]]-AVERAGE(Tab.11[b66])))</f>
        <v>0</v>
      </c>
      <c r="Z151" s="135" t="b">
        <f>IF(Tab.11[[#This Row],[a1]]=1,Tab.11[[#This Row],[b77]]/(_xlfn.STDEV.P(Tab.11[b77])))</f>
        <v>0</v>
      </c>
      <c r="AA151" s="70" t="b">
        <f>IF(Tab.11[[#This Row],[a1]]=1,_xlfn.NORM.DIST(Tab.11[[#This Row],[b88]],$Z$1,$AA$1,FALSE))</f>
        <v>0</v>
      </c>
      <c r="AB151" s="74" t="b">
        <f>IF(Tab.11[[#This Row],[a1]]=1,IF($A$3=0,FALSE,1/Tab.11[[#This Row],[IN]]*$AC$2*IF(Tab.11[[#This Row],[a1]]=0,,$A$3*$AC$1*1/$V$3*(Tab.11[[#This Row],[b14]]))))</f>
        <v>0</v>
      </c>
      <c r="AC151" s="75" t="b">
        <f>IF(Tab.11[[#This Row],[a1]]=1,IF($AC$3=0,Tab.11[[#This Row],[φ1]],Tab.11[[#This Row],[φ1]]/MAX(Tab.11[φ1])))</f>
        <v>0</v>
      </c>
      <c r="AD151" s="74" t="b">
        <f>IF(Tab.11[[#This Row],[a1]]=1,1/Tab.11[[#This Row],[φ2]])</f>
        <v>0</v>
      </c>
      <c r="AE151" s="74" t="b">
        <f>IF(Tab.11[[#This Row],[a1]]=1,IF($AE$3=0,Tab.11[[#This Row],[w.0]],Tab.11[[#This Row],[w.0]]/SUM(Tab.11[w.0])))</f>
        <v>0</v>
      </c>
      <c r="AF151" s="76" t="str">
        <f>IF(Tab.11[[#This Row],[a1]]=0,"false",[3]!Tab.x5[[#This Row],[%_seN_C]])</f>
        <v>false</v>
      </c>
      <c r="AG151" s="77" t="b">
        <f>IF(Tab.11[[#This Row],[a1]]=1,AP151)</f>
        <v>0</v>
      </c>
      <c r="AH151" s="78" t="b">
        <f>IF(Tab.11[[#This Row],[a1]]=1,AQ151)</f>
        <v>0</v>
      </c>
      <c r="AI151" s="41">
        <v>3.0000000000000001E-3</v>
      </c>
      <c r="AJ151" s="79">
        <v>0.04</v>
      </c>
      <c r="AK151" s="80" t="b">
        <f>IF(Tab.11[[#This Row],[a1]]=1,1)</f>
        <v>0</v>
      </c>
      <c r="AZ151"/>
    </row>
    <row r="152" spans="1:52" ht="14.25" hidden="1" customHeight="1" x14ac:dyDescent="0.25">
      <c r="A152" s="61">
        <f t="shared" si="7"/>
        <v>0</v>
      </c>
      <c r="B152" s="62">
        <f t="shared" si="7"/>
        <v>0</v>
      </c>
      <c r="C152" s="62" t="b">
        <f>IF(Tab.11[[#This Row],[a1]]=1,[3]!Tab_x1[[#This Row],[Name]])</f>
        <v>0</v>
      </c>
      <c r="D152" s="63" t="b">
        <f>IF(Tab.11[[#This Row],[a1]]=1,AO152)</f>
        <v>0</v>
      </c>
      <c r="E152" s="63">
        <f t="shared" si="6"/>
        <v>0</v>
      </c>
      <c r="F152" s="64" t="b">
        <f>IF(Tab.11[[#This Row],[a1]]=1,Tab.11[[#This Row],[b1]])</f>
        <v>0</v>
      </c>
      <c r="G152" s="65" t="b">
        <f>IF(Tab.11[[#This Row],[a1]]=1,IF(Tab.11[[#This Row],[b3]]&gt;$L$989*$G$3,$L$989*$G$3,IF(Tab.11[[#This Row],[b3]]&lt;$M$989*$G$3,$M$989*$G$3,Tab.11[[#This Row],[b3]])))</f>
        <v>0</v>
      </c>
      <c r="H152" s="66" t="b">
        <f>IF(Tab.11[[#This Row],[a1]]=1,Tab.11[[#This Row],[b1]])</f>
        <v>0</v>
      </c>
      <c r="I152" s="67" t="b">
        <f>IF(Tab.11[[#This Row],[a1]]=1,Tab.11[[#This Row],[b1]])</f>
        <v>0</v>
      </c>
      <c r="J152" s="68" t="b">
        <f>IF(Tab.11[[#This Row],[a1]]=1,IF($I$3&lt;0,Tab.11[[#This Row],[b5]]-$I$3,Tab.11[[#This Row],[b5]]))</f>
        <v>0</v>
      </c>
      <c r="K152" s="68" t="b">
        <f>IF(Tab.11[[#This Row],[a1]]=1,IF($K$3=0,Tab.11[b6],Tab.11[[#This Row],[b6]]-AVERAGE(Tab.11[b6])))</f>
        <v>0</v>
      </c>
      <c r="L152" s="69" t="b">
        <f>IF(Tab.11[[#This Row],[a1]]=1,Tab.11[[#This Row],[data]]/(_xlfn.STDEV.P(Tab.11[data])*$B$989)+$A$989)</f>
        <v>0</v>
      </c>
      <c r="M152" s="69" t="b">
        <f>IF(Tab.11[[#This Row],[a1]]=1,Tab.11[[#This Row],[data]]/(_xlfn.STDEV.P(Tab.11[data])*$B$987)-$A$987)</f>
        <v>0</v>
      </c>
      <c r="N152" s="69" t="b">
        <f>IF(Tab.11[[#This Row],[a1]]=1,Tab.11[[#This Row],[data]]/(_xlfn.STDEV.P(Tab.11[data])*$B$988)+$A$988)</f>
        <v>0</v>
      </c>
      <c r="O152" s="70" t="b">
        <f>IF(Tab.11[[#This Row],[a1]]=1,_xlfn.NORM.DIST(Tab.11[[#This Row],[b8]],$P$1,$Q$1,FALSE))</f>
        <v>0</v>
      </c>
      <c r="P152" s="70" t="b">
        <f>IF(Tab.11[[#This Row],[a1]]=1,_xlfn.NORM.DIST(Tab.11[[#This Row],[b9]],$P$1,$Q$1,FALSE))</f>
        <v>0</v>
      </c>
      <c r="Q152" s="70" t="b">
        <f>IF(Tab.11[[#This Row],[a1]]=1,_xlfn.NORM.DIST(Tab.11[[#This Row],[b10]],$P$1,$Q$1,FALSE))</f>
        <v>0</v>
      </c>
      <c r="R152" s="67" t="b">
        <f>IF(Tab.11[[#This Row],[a1]]=1,$I$3+$A$989+IF($K$3=0,Tab.11[[#This Row],[b8]]*_xlfn.STDEV.P(Tab.11[data]),AVERAGE(Tab.11[b6])+Tab.11[[#This Row],[b8]]*_xlfn.STDEV.P(Tab.11[data])))</f>
        <v>0</v>
      </c>
      <c r="S152" s="71" t="b">
        <f>IF(Tab.11[[#This Row],[a1]]=1,$I$3+$A$987+IF($K$3=0,Tab.11[[#This Row],[b9]]*_xlfn.STDEV.P(Tab.11[data]),AVERAGE(Tab.11[b6])+Tab.11[[#This Row],[b9]]*_xlfn.STDEV.P(Tab.11[data])))</f>
        <v>0</v>
      </c>
      <c r="T152" s="71" t="b">
        <f>IF(Tab.11[[#This Row],[a1]]=1,$I$3+$A$988+IF($K$3=0,Tab.11[[#This Row],[b10]]*_xlfn.STDEV.P(Tab.11[data]),AVERAGE(Tab.11[b6])+Tab.11[[#This Row],[b10]]*_xlfn.STDEV.P(Tab.11[data])))</f>
        <v>0</v>
      </c>
      <c r="U152" s="72" t="b">
        <f>IF(Tab.11[[#This Row],[a1]]=1,Tab.11[[#This Row],[target]]-Tab.11[[#This Row],[Red]])</f>
        <v>0</v>
      </c>
      <c r="V152" s="72" t="b">
        <f>IF(Tab.11[[#This Row],[a1]]=1,Tab.11[[#This Row],[target]]-Tab.11[[#This Row],[Blue]])</f>
        <v>0</v>
      </c>
      <c r="W152" s="73" t="b">
        <f>IF(Tab.11[[#This Row],[a1]]=1,IF(ABS(Tab.11[[#This Row],[b17]])+ABS(Tab.11[[#This Row],[b18]])&lt;$W$2,$W$2,ABS(Tab.11[[#This Row],[b17]])+ABS(Tab.11[[#This Row],[b18]])))</f>
        <v>0</v>
      </c>
      <c r="X152" s="136" t="b">
        <f>IF(Tab.11[[#This Row],[a1]]=1,IF($W$3&lt;0,Tab.11[[#This Row],[IN]]-$I$3,Tab.11[[#This Row],[IN]]))</f>
        <v>0</v>
      </c>
      <c r="Y152" s="136" t="b">
        <f>IF(Tab.11[[#This Row],[a1]]=1,IF($X$3=0,Tab.11[b66],Tab.11[[#This Row],[b66]]-AVERAGE(Tab.11[b66])))</f>
        <v>0</v>
      </c>
      <c r="Z152" s="135" t="b">
        <f>IF(Tab.11[[#This Row],[a1]]=1,Tab.11[[#This Row],[b77]]/(_xlfn.STDEV.P(Tab.11[b77])))</f>
        <v>0</v>
      </c>
      <c r="AA152" s="70" t="b">
        <f>IF(Tab.11[[#This Row],[a1]]=1,_xlfn.NORM.DIST(Tab.11[[#This Row],[b88]],$Z$1,$AA$1,FALSE))</f>
        <v>0</v>
      </c>
      <c r="AB152" s="74" t="b">
        <f>IF(Tab.11[[#This Row],[a1]]=1,IF($A$3=0,FALSE,1/Tab.11[[#This Row],[IN]]*$AC$2*IF(Tab.11[[#This Row],[a1]]=0,,$A$3*$AC$1*1/$V$3*(Tab.11[[#This Row],[b14]]))))</f>
        <v>0</v>
      </c>
      <c r="AC152" s="75" t="b">
        <f>IF(Tab.11[[#This Row],[a1]]=1,IF($AC$3=0,Tab.11[[#This Row],[φ1]],Tab.11[[#This Row],[φ1]]/MAX(Tab.11[φ1])))</f>
        <v>0</v>
      </c>
      <c r="AD152" s="74" t="b">
        <f>IF(Tab.11[[#This Row],[a1]]=1,1/Tab.11[[#This Row],[φ2]])</f>
        <v>0</v>
      </c>
      <c r="AE152" s="74" t="b">
        <f>IF(Tab.11[[#This Row],[a1]]=1,IF($AE$3=0,Tab.11[[#This Row],[w.0]],Tab.11[[#This Row],[w.0]]/SUM(Tab.11[w.0])))</f>
        <v>0</v>
      </c>
      <c r="AF152" s="76" t="str">
        <f>IF(Tab.11[[#This Row],[a1]]=0,"false",[3]!Tab.x5[[#This Row],[%_seN_C]])</f>
        <v>false</v>
      </c>
      <c r="AG152" s="77" t="b">
        <f>IF(Tab.11[[#This Row],[a1]]=1,AP152)</f>
        <v>0</v>
      </c>
      <c r="AH152" s="78" t="b">
        <f>IF(Tab.11[[#This Row],[a1]]=1,AQ152)</f>
        <v>0</v>
      </c>
      <c r="AI152" s="41">
        <v>3.0000000000000001E-3</v>
      </c>
      <c r="AJ152" s="79">
        <v>0.03</v>
      </c>
      <c r="AK152" s="80" t="b">
        <f>IF(Tab.11[[#This Row],[a1]]=1,1)</f>
        <v>0</v>
      </c>
      <c r="AZ152"/>
    </row>
    <row r="153" spans="1:52" ht="14.25" hidden="1" customHeight="1" x14ac:dyDescent="0.25">
      <c r="A153" s="61">
        <f t="shared" si="7"/>
        <v>0</v>
      </c>
      <c r="B153" s="62">
        <f t="shared" si="7"/>
        <v>0</v>
      </c>
      <c r="C153" s="62" t="b">
        <f>IF(Tab.11[[#This Row],[a1]]=1,[3]!Tab_x1[[#This Row],[Name]])</f>
        <v>0</v>
      </c>
      <c r="D153" s="63" t="b">
        <f>IF(Tab.11[[#This Row],[a1]]=1,AO153)</f>
        <v>0</v>
      </c>
      <c r="E153" s="63">
        <f t="shared" si="6"/>
        <v>0</v>
      </c>
      <c r="F153" s="64" t="b">
        <f>IF(Tab.11[[#This Row],[a1]]=1,Tab.11[[#This Row],[b1]])</f>
        <v>0</v>
      </c>
      <c r="G153" s="65" t="b">
        <f>IF(Tab.11[[#This Row],[a1]]=1,IF(Tab.11[[#This Row],[b3]]&gt;$L$989*$G$3,$L$989*$G$3,IF(Tab.11[[#This Row],[b3]]&lt;$M$989*$G$3,$M$989*$G$3,Tab.11[[#This Row],[b3]])))</f>
        <v>0</v>
      </c>
      <c r="H153" s="66" t="b">
        <f>IF(Tab.11[[#This Row],[a1]]=1,Tab.11[[#This Row],[b1]])</f>
        <v>0</v>
      </c>
      <c r="I153" s="67" t="b">
        <f>IF(Tab.11[[#This Row],[a1]]=1,Tab.11[[#This Row],[b1]])</f>
        <v>0</v>
      </c>
      <c r="J153" s="68" t="b">
        <f>IF(Tab.11[[#This Row],[a1]]=1,IF($I$3&lt;0,Tab.11[[#This Row],[b5]]-$I$3,Tab.11[[#This Row],[b5]]))</f>
        <v>0</v>
      </c>
      <c r="K153" s="68" t="b">
        <f>IF(Tab.11[[#This Row],[a1]]=1,IF($K$3=0,Tab.11[b6],Tab.11[[#This Row],[b6]]-AVERAGE(Tab.11[b6])))</f>
        <v>0</v>
      </c>
      <c r="L153" s="69" t="b">
        <f>IF(Tab.11[[#This Row],[a1]]=1,Tab.11[[#This Row],[data]]/(_xlfn.STDEV.P(Tab.11[data])*$B$989)+$A$989)</f>
        <v>0</v>
      </c>
      <c r="M153" s="69" t="b">
        <f>IF(Tab.11[[#This Row],[a1]]=1,Tab.11[[#This Row],[data]]/(_xlfn.STDEV.P(Tab.11[data])*$B$987)-$A$987)</f>
        <v>0</v>
      </c>
      <c r="N153" s="69" t="b">
        <f>IF(Tab.11[[#This Row],[a1]]=1,Tab.11[[#This Row],[data]]/(_xlfn.STDEV.P(Tab.11[data])*$B$988)+$A$988)</f>
        <v>0</v>
      </c>
      <c r="O153" s="70" t="b">
        <f>IF(Tab.11[[#This Row],[a1]]=1,_xlfn.NORM.DIST(Tab.11[[#This Row],[b8]],$P$1,$Q$1,FALSE))</f>
        <v>0</v>
      </c>
      <c r="P153" s="70" t="b">
        <f>IF(Tab.11[[#This Row],[a1]]=1,_xlfn.NORM.DIST(Tab.11[[#This Row],[b9]],$P$1,$Q$1,FALSE))</f>
        <v>0</v>
      </c>
      <c r="Q153" s="70" t="b">
        <f>IF(Tab.11[[#This Row],[a1]]=1,_xlfn.NORM.DIST(Tab.11[[#This Row],[b10]],$P$1,$Q$1,FALSE))</f>
        <v>0</v>
      </c>
      <c r="R153" s="67" t="b">
        <f>IF(Tab.11[[#This Row],[a1]]=1,$I$3+$A$989+IF($K$3=0,Tab.11[[#This Row],[b8]]*_xlfn.STDEV.P(Tab.11[data]),AVERAGE(Tab.11[b6])+Tab.11[[#This Row],[b8]]*_xlfn.STDEV.P(Tab.11[data])))</f>
        <v>0</v>
      </c>
      <c r="S153" s="71" t="b">
        <f>IF(Tab.11[[#This Row],[a1]]=1,$I$3+$A$987+IF($K$3=0,Tab.11[[#This Row],[b9]]*_xlfn.STDEV.P(Tab.11[data]),AVERAGE(Tab.11[b6])+Tab.11[[#This Row],[b9]]*_xlfn.STDEV.P(Tab.11[data])))</f>
        <v>0</v>
      </c>
      <c r="T153" s="71" t="b">
        <f>IF(Tab.11[[#This Row],[a1]]=1,$I$3+$A$988+IF($K$3=0,Tab.11[[#This Row],[b10]]*_xlfn.STDEV.P(Tab.11[data]),AVERAGE(Tab.11[b6])+Tab.11[[#This Row],[b10]]*_xlfn.STDEV.P(Tab.11[data])))</f>
        <v>0</v>
      </c>
      <c r="U153" s="72" t="b">
        <f>IF(Tab.11[[#This Row],[a1]]=1,Tab.11[[#This Row],[target]]-Tab.11[[#This Row],[Red]])</f>
        <v>0</v>
      </c>
      <c r="V153" s="72" t="b">
        <f>IF(Tab.11[[#This Row],[a1]]=1,Tab.11[[#This Row],[target]]-Tab.11[[#This Row],[Blue]])</f>
        <v>0</v>
      </c>
      <c r="W153" s="73" t="b">
        <f>IF(Tab.11[[#This Row],[a1]]=1,IF(ABS(Tab.11[[#This Row],[b17]])+ABS(Tab.11[[#This Row],[b18]])&lt;$W$2,$W$2,ABS(Tab.11[[#This Row],[b17]])+ABS(Tab.11[[#This Row],[b18]])))</f>
        <v>0</v>
      </c>
      <c r="X153" s="136" t="b">
        <f>IF(Tab.11[[#This Row],[a1]]=1,IF($W$3&lt;0,Tab.11[[#This Row],[IN]]-$I$3,Tab.11[[#This Row],[IN]]))</f>
        <v>0</v>
      </c>
      <c r="Y153" s="136" t="b">
        <f>IF(Tab.11[[#This Row],[a1]]=1,IF($X$3=0,Tab.11[b66],Tab.11[[#This Row],[b66]]-AVERAGE(Tab.11[b66])))</f>
        <v>0</v>
      </c>
      <c r="Z153" s="135" t="b">
        <f>IF(Tab.11[[#This Row],[a1]]=1,Tab.11[[#This Row],[b77]]/(_xlfn.STDEV.P(Tab.11[b77])))</f>
        <v>0</v>
      </c>
      <c r="AA153" s="70" t="b">
        <f>IF(Tab.11[[#This Row],[a1]]=1,_xlfn.NORM.DIST(Tab.11[[#This Row],[b88]],$Z$1,$AA$1,FALSE))</f>
        <v>0</v>
      </c>
      <c r="AB153" s="74" t="b">
        <f>IF(Tab.11[[#This Row],[a1]]=1,IF($A$3=0,FALSE,1/Tab.11[[#This Row],[IN]]*$AC$2*IF(Tab.11[[#This Row],[a1]]=0,,$A$3*$AC$1*1/$V$3*(Tab.11[[#This Row],[b14]]))))</f>
        <v>0</v>
      </c>
      <c r="AC153" s="75" t="b">
        <f>IF(Tab.11[[#This Row],[a1]]=1,IF($AC$3=0,Tab.11[[#This Row],[φ1]],Tab.11[[#This Row],[φ1]]/MAX(Tab.11[φ1])))</f>
        <v>0</v>
      </c>
      <c r="AD153" s="74" t="b">
        <f>IF(Tab.11[[#This Row],[a1]]=1,1/Tab.11[[#This Row],[φ2]])</f>
        <v>0</v>
      </c>
      <c r="AE153" s="74" t="b">
        <f>IF(Tab.11[[#This Row],[a1]]=1,IF($AE$3=0,Tab.11[[#This Row],[w.0]],Tab.11[[#This Row],[w.0]]/SUM(Tab.11[w.0])))</f>
        <v>0</v>
      </c>
      <c r="AF153" s="76" t="str">
        <f>IF(Tab.11[[#This Row],[a1]]=0,"false",[3]!Tab.x5[[#This Row],[%_seN_C]])</f>
        <v>false</v>
      </c>
      <c r="AG153" s="77" t="b">
        <f>IF(Tab.11[[#This Row],[a1]]=1,AP153)</f>
        <v>0</v>
      </c>
      <c r="AH153" s="78" t="b">
        <f>IF(Tab.11[[#This Row],[a1]]=1,AQ153)</f>
        <v>0</v>
      </c>
      <c r="AI153" s="41">
        <v>3.0000000000000001E-3</v>
      </c>
      <c r="AJ153" s="79">
        <v>0.06</v>
      </c>
      <c r="AK153" s="80" t="b">
        <f>IF(Tab.11[[#This Row],[a1]]=1,1)</f>
        <v>0</v>
      </c>
      <c r="AZ153"/>
    </row>
    <row r="154" spans="1:52" ht="14.25" hidden="1" customHeight="1" x14ac:dyDescent="0.25">
      <c r="A154" s="61">
        <f t="shared" si="7"/>
        <v>0</v>
      </c>
      <c r="B154" s="62">
        <f t="shared" si="7"/>
        <v>0</v>
      </c>
      <c r="C154" s="62" t="b">
        <f>IF(Tab.11[[#This Row],[a1]]=1,[3]!Tab_x1[[#This Row],[Name]])</f>
        <v>0</v>
      </c>
      <c r="D154" s="63" t="b">
        <f>IF(Tab.11[[#This Row],[a1]]=1,AO154)</f>
        <v>0</v>
      </c>
      <c r="E154" s="63">
        <f t="shared" si="6"/>
        <v>0</v>
      </c>
      <c r="F154" s="64" t="b">
        <f>IF(Tab.11[[#This Row],[a1]]=1,Tab.11[[#This Row],[b1]])</f>
        <v>0</v>
      </c>
      <c r="G154" s="65" t="b">
        <f>IF(Tab.11[[#This Row],[a1]]=1,IF(Tab.11[[#This Row],[b3]]&gt;$L$989*$G$3,$L$989*$G$3,IF(Tab.11[[#This Row],[b3]]&lt;$M$989*$G$3,$M$989*$G$3,Tab.11[[#This Row],[b3]])))</f>
        <v>0</v>
      </c>
      <c r="H154" s="66" t="b">
        <f>IF(Tab.11[[#This Row],[a1]]=1,Tab.11[[#This Row],[b1]])</f>
        <v>0</v>
      </c>
      <c r="I154" s="67" t="b">
        <f>IF(Tab.11[[#This Row],[a1]]=1,Tab.11[[#This Row],[b1]])</f>
        <v>0</v>
      </c>
      <c r="J154" s="68" t="b">
        <f>IF(Tab.11[[#This Row],[a1]]=1,IF($I$3&lt;0,Tab.11[[#This Row],[b5]]-$I$3,Tab.11[[#This Row],[b5]]))</f>
        <v>0</v>
      </c>
      <c r="K154" s="68" t="b">
        <f>IF(Tab.11[[#This Row],[a1]]=1,IF($K$3=0,Tab.11[b6],Tab.11[[#This Row],[b6]]-AVERAGE(Tab.11[b6])))</f>
        <v>0</v>
      </c>
      <c r="L154" s="69" t="b">
        <f>IF(Tab.11[[#This Row],[a1]]=1,Tab.11[[#This Row],[data]]/(_xlfn.STDEV.P(Tab.11[data])*$B$989)+$A$989)</f>
        <v>0</v>
      </c>
      <c r="M154" s="69" t="b">
        <f>IF(Tab.11[[#This Row],[a1]]=1,Tab.11[[#This Row],[data]]/(_xlfn.STDEV.P(Tab.11[data])*$B$987)-$A$987)</f>
        <v>0</v>
      </c>
      <c r="N154" s="69" t="b">
        <f>IF(Tab.11[[#This Row],[a1]]=1,Tab.11[[#This Row],[data]]/(_xlfn.STDEV.P(Tab.11[data])*$B$988)+$A$988)</f>
        <v>0</v>
      </c>
      <c r="O154" s="70" t="b">
        <f>IF(Tab.11[[#This Row],[a1]]=1,_xlfn.NORM.DIST(Tab.11[[#This Row],[b8]],$P$1,$Q$1,FALSE))</f>
        <v>0</v>
      </c>
      <c r="P154" s="70" t="b">
        <f>IF(Tab.11[[#This Row],[a1]]=1,_xlfn.NORM.DIST(Tab.11[[#This Row],[b9]],$P$1,$Q$1,FALSE))</f>
        <v>0</v>
      </c>
      <c r="Q154" s="70" t="b">
        <f>IF(Tab.11[[#This Row],[a1]]=1,_xlfn.NORM.DIST(Tab.11[[#This Row],[b10]],$P$1,$Q$1,FALSE))</f>
        <v>0</v>
      </c>
      <c r="R154" s="67" t="b">
        <f>IF(Tab.11[[#This Row],[a1]]=1,$I$3+$A$989+IF($K$3=0,Tab.11[[#This Row],[b8]]*_xlfn.STDEV.P(Tab.11[data]),AVERAGE(Tab.11[b6])+Tab.11[[#This Row],[b8]]*_xlfn.STDEV.P(Tab.11[data])))</f>
        <v>0</v>
      </c>
      <c r="S154" s="71" t="b">
        <f>IF(Tab.11[[#This Row],[a1]]=1,$I$3+$A$987+IF($K$3=0,Tab.11[[#This Row],[b9]]*_xlfn.STDEV.P(Tab.11[data]),AVERAGE(Tab.11[b6])+Tab.11[[#This Row],[b9]]*_xlfn.STDEV.P(Tab.11[data])))</f>
        <v>0</v>
      </c>
      <c r="T154" s="71" t="b">
        <f>IF(Tab.11[[#This Row],[a1]]=1,$I$3+$A$988+IF($K$3=0,Tab.11[[#This Row],[b10]]*_xlfn.STDEV.P(Tab.11[data]),AVERAGE(Tab.11[b6])+Tab.11[[#This Row],[b10]]*_xlfn.STDEV.P(Tab.11[data])))</f>
        <v>0</v>
      </c>
      <c r="U154" s="72" t="b">
        <f>IF(Tab.11[[#This Row],[a1]]=1,Tab.11[[#This Row],[target]]-Tab.11[[#This Row],[Red]])</f>
        <v>0</v>
      </c>
      <c r="V154" s="72" t="b">
        <f>IF(Tab.11[[#This Row],[a1]]=1,Tab.11[[#This Row],[target]]-Tab.11[[#This Row],[Blue]])</f>
        <v>0</v>
      </c>
      <c r="W154" s="73" t="b">
        <f>IF(Tab.11[[#This Row],[a1]]=1,IF(ABS(Tab.11[[#This Row],[b17]])+ABS(Tab.11[[#This Row],[b18]])&lt;$W$2,$W$2,ABS(Tab.11[[#This Row],[b17]])+ABS(Tab.11[[#This Row],[b18]])))</f>
        <v>0</v>
      </c>
      <c r="X154" s="136" t="b">
        <f>IF(Tab.11[[#This Row],[a1]]=1,IF($W$3&lt;0,Tab.11[[#This Row],[IN]]-$I$3,Tab.11[[#This Row],[IN]]))</f>
        <v>0</v>
      </c>
      <c r="Y154" s="136" t="b">
        <f>IF(Tab.11[[#This Row],[a1]]=1,IF($X$3=0,Tab.11[b66],Tab.11[[#This Row],[b66]]-AVERAGE(Tab.11[b66])))</f>
        <v>0</v>
      </c>
      <c r="Z154" s="135" t="b">
        <f>IF(Tab.11[[#This Row],[a1]]=1,Tab.11[[#This Row],[b77]]/(_xlfn.STDEV.P(Tab.11[b77])))</f>
        <v>0</v>
      </c>
      <c r="AA154" s="70" t="b">
        <f>IF(Tab.11[[#This Row],[a1]]=1,_xlfn.NORM.DIST(Tab.11[[#This Row],[b88]],$Z$1,$AA$1,FALSE))</f>
        <v>0</v>
      </c>
      <c r="AB154" s="74" t="b">
        <f>IF(Tab.11[[#This Row],[a1]]=1,IF($A$3=0,FALSE,1/Tab.11[[#This Row],[IN]]*$AC$2*IF(Tab.11[[#This Row],[a1]]=0,,$A$3*$AC$1*1/$V$3*(Tab.11[[#This Row],[b14]]))))</f>
        <v>0</v>
      </c>
      <c r="AC154" s="75" t="b">
        <f>IF(Tab.11[[#This Row],[a1]]=1,IF($AC$3=0,Tab.11[[#This Row],[φ1]],Tab.11[[#This Row],[φ1]]/MAX(Tab.11[φ1])))</f>
        <v>0</v>
      </c>
      <c r="AD154" s="74" t="b">
        <f>IF(Tab.11[[#This Row],[a1]]=1,1/Tab.11[[#This Row],[φ2]])</f>
        <v>0</v>
      </c>
      <c r="AE154" s="74" t="b">
        <f>IF(Tab.11[[#This Row],[a1]]=1,IF($AE$3=0,Tab.11[[#This Row],[w.0]],Tab.11[[#This Row],[w.0]]/SUM(Tab.11[w.0])))</f>
        <v>0</v>
      </c>
      <c r="AF154" s="76" t="str">
        <f>IF(Tab.11[[#This Row],[a1]]=0,"false",[3]!Tab.x5[[#This Row],[%_seN_C]])</f>
        <v>false</v>
      </c>
      <c r="AG154" s="77" t="b">
        <f>IF(Tab.11[[#This Row],[a1]]=1,AP154)</f>
        <v>0</v>
      </c>
      <c r="AH154" s="78" t="b">
        <f>IF(Tab.11[[#This Row],[a1]]=1,AQ154)</f>
        <v>0</v>
      </c>
      <c r="AI154" s="41">
        <v>3.0000000000000001E-3</v>
      </c>
      <c r="AJ154" s="79">
        <v>-0.06</v>
      </c>
      <c r="AK154" s="80" t="b">
        <f>IF(Tab.11[[#This Row],[a1]]=1,1)</f>
        <v>0</v>
      </c>
      <c r="AZ154"/>
    </row>
    <row r="155" spans="1:52" ht="14.25" hidden="1" customHeight="1" x14ac:dyDescent="0.25">
      <c r="A155" s="61">
        <f t="shared" si="7"/>
        <v>0</v>
      </c>
      <c r="B155" s="62">
        <f t="shared" si="7"/>
        <v>0</v>
      </c>
      <c r="C155" s="62" t="b">
        <f>IF(Tab.11[[#This Row],[a1]]=1,[3]!Tab_x1[[#This Row],[Name]])</f>
        <v>0</v>
      </c>
      <c r="D155" s="63" t="b">
        <f>IF(Tab.11[[#This Row],[a1]]=1,AO155)</f>
        <v>0</v>
      </c>
      <c r="E155" s="63">
        <f t="shared" si="6"/>
        <v>0</v>
      </c>
      <c r="F155" s="64" t="b">
        <f>IF(Tab.11[[#This Row],[a1]]=1,Tab.11[[#This Row],[b1]])</f>
        <v>0</v>
      </c>
      <c r="G155" s="65" t="b">
        <f>IF(Tab.11[[#This Row],[a1]]=1,IF(Tab.11[[#This Row],[b3]]&gt;$L$989*$G$3,$L$989*$G$3,IF(Tab.11[[#This Row],[b3]]&lt;$M$989*$G$3,$M$989*$G$3,Tab.11[[#This Row],[b3]])))</f>
        <v>0</v>
      </c>
      <c r="H155" s="66" t="b">
        <f>IF(Tab.11[[#This Row],[a1]]=1,Tab.11[[#This Row],[b1]])</f>
        <v>0</v>
      </c>
      <c r="I155" s="67" t="b">
        <f>IF(Tab.11[[#This Row],[a1]]=1,Tab.11[[#This Row],[b1]])</f>
        <v>0</v>
      </c>
      <c r="J155" s="68" t="b">
        <f>IF(Tab.11[[#This Row],[a1]]=1,IF($I$3&lt;0,Tab.11[[#This Row],[b5]]-$I$3,Tab.11[[#This Row],[b5]]))</f>
        <v>0</v>
      </c>
      <c r="K155" s="68" t="b">
        <f>IF(Tab.11[[#This Row],[a1]]=1,IF($K$3=0,Tab.11[b6],Tab.11[[#This Row],[b6]]-AVERAGE(Tab.11[b6])))</f>
        <v>0</v>
      </c>
      <c r="L155" s="69" t="b">
        <f>IF(Tab.11[[#This Row],[a1]]=1,Tab.11[[#This Row],[data]]/(_xlfn.STDEV.P(Tab.11[data])*$B$989)+$A$989)</f>
        <v>0</v>
      </c>
      <c r="M155" s="69" t="b">
        <f>IF(Tab.11[[#This Row],[a1]]=1,Tab.11[[#This Row],[data]]/(_xlfn.STDEV.P(Tab.11[data])*$B$987)-$A$987)</f>
        <v>0</v>
      </c>
      <c r="N155" s="69" t="b">
        <f>IF(Tab.11[[#This Row],[a1]]=1,Tab.11[[#This Row],[data]]/(_xlfn.STDEV.P(Tab.11[data])*$B$988)+$A$988)</f>
        <v>0</v>
      </c>
      <c r="O155" s="70" t="b">
        <f>IF(Tab.11[[#This Row],[a1]]=1,_xlfn.NORM.DIST(Tab.11[[#This Row],[b8]],$P$1,$Q$1,FALSE))</f>
        <v>0</v>
      </c>
      <c r="P155" s="70" t="b">
        <f>IF(Tab.11[[#This Row],[a1]]=1,_xlfn.NORM.DIST(Tab.11[[#This Row],[b9]],$P$1,$Q$1,FALSE))</f>
        <v>0</v>
      </c>
      <c r="Q155" s="70" t="b">
        <f>IF(Tab.11[[#This Row],[a1]]=1,_xlfn.NORM.DIST(Tab.11[[#This Row],[b10]],$P$1,$Q$1,FALSE))</f>
        <v>0</v>
      </c>
      <c r="R155" s="67" t="b">
        <f>IF(Tab.11[[#This Row],[a1]]=1,$I$3+$A$989+IF($K$3=0,Tab.11[[#This Row],[b8]]*_xlfn.STDEV.P(Tab.11[data]),AVERAGE(Tab.11[b6])+Tab.11[[#This Row],[b8]]*_xlfn.STDEV.P(Tab.11[data])))</f>
        <v>0</v>
      </c>
      <c r="S155" s="71" t="b">
        <f>IF(Tab.11[[#This Row],[a1]]=1,$I$3+$A$987+IF($K$3=0,Tab.11[[#This Row],[b9]]*_xlfn.STDEV.P(Tab.11[data]),AVERAGE(Tab.11[b6])+Tab.11[[#This Row],[b9]]*_xlfn.STDEV.P(Tab.11[data])))</f>
        <v>0</v>
      </c>
      <c r="T155" s="71" t="b">
        <f>IF(Tab.11[[#This Row],[a1]]=1,$I$3+$A$988+IF($K$3=0,Tab.11[[#This Row],[b10]]*_xlfn.STDEV.P(Tab.11[data]),AVERAGE(Tab.11[b6])+Tab.11[[#This Row],[b10]]*_xlfn.STDEV.P(Tab.11[data])))</f>
        <v>0</v>
      </c>
      <c r="U155" s="72" t="b">
        <f>IF(Tab.11[[#This Row],[a1]]=1,Tab.11[[#This Row],[target]]-Tab.11[[#This Row],[Red]])</f>
        <v>0</v>
      </c>
      <c r="V155" s="72" t="b">
        <f>IF(Tab.11[[#This Row],[a1]]=1,Tab.11[[#This Row],[target]]-Tab.11[[#This Row],[Blue]])</f>
        <v>0</v>
      </c>
      <c r="W155" s="73" t="b">
        <f>IF(Tab.11[[#This Row],[a1]]=1,IF(ABS(Tab.11[[#This Row],[b17]])+ABS(Tab.11[[#This Row],[b18]])&lt;$W$2,$W$2,ABS(Tab.11[[#This Row],[b17]])+ABS(Tab.11[[#This Row],[b18]])))</f>
        <v>0</v>
      </c>
      <c r="X155" s="136" t="b">
        <f>IF(Tab.11[[#This Row],[a1]]=1,IF($W$3&lt;0,Tab.11[[#This Row],[IN]]-$I$3,Tab.11[[#This Row],[IN]]))</f>
        <v>0</v>
      </c>
      <c r="Y155" s="136" t="b">
        <f>IF(Tab.11[[#This Row],[a1]]=1,IF($X$3=0,Tab.11[b66],Tab.11[[#This Row],[b66]]-AVERAGE(Tab.11[b66])))</f>
        <v>0</v>
      </c>
      <c r="Z155" s="135" t="b">
        <f>IF(Tab.11[[#This Row],[a1]]=1,Tab.11[[#This Row],[b77]]/(_xlfn.STDEV.P(Tab.11[b77])))</f>
        <v>0</v>
      </c>
      <c r="AA155" s="70" t="b">
        <f>IF(Tab.11[[#This Row],[a1]]=1,_xlfn.NORM.DIST(Tab.11[[#This Row],[b88]],$Z$1,$AA$1,FALSE))</f>
        <v>0</v>
      </c>
      <c r="AB155" s="74" t="b">
        <f>IF(Tab.11[[#This Row],[a1]]=1,IF($A$3=0,FALSE,1/Tab.11[[#This Row],[IN]]*$AC$2*IF(Tab.11[[#This Row],[a1]]=0,,$A$3*$AC$1*1/$V$3*(Tab.11[[#This Row],[b14]]))))</f>
        <v>0</v>
      </c>
      <c r="AC155" s="75" t="b">
        <f>IF(Tab.11[[#This Row],[a1]]=1,IF($AC$3=0,Tab.11[[#This Row],[φ1]],Tab.11[[#This Row],[φ1]]/MAX(Tab.11[φ1])))</f>
        <v>0</v>
      </c>
      <c r="AD155" s="74" t="b">
        <f>IF(Tab.11[[#This Row],[a1]]=1,1/Tab.11[[#This Row],[φ2]])</f>
        <v>0</v>
      </c>
      <c r="AE155" s="74" t="b">
        <f>IF(Tab.11[[#This Row],[a1]]=1,IF($AE$3=0,Tab.11[[#This Row],[w.0]],Tab.11[[#This Row],[w.0]]/SUM(Tab.11[w.0])))</f>
        <v>0</v>
      </c>
      <c r="AF155" s="76" t="str">
        <f>IF(Tab.11[[#This Row],[a1]]=0,"false",[3]!Tab.x5[[#This Row],[%_seN_C]])</f>
        <v>false</v>
      </c>
      <c r="AG155" s="77" t="b">
        <f>IF(Tab.11[[#This Row],[a1]]=1,AP155)</f>
        <v>0</v>
      </c>
      <c r="AH155" s="78" t="b">
        <f>IF(Tab.11[[#This Row],[a1]]=1,AQ155)</f>
        <v>0</v>
      </c>
      <c r="AI155" s="41">
        <v>3.0000000000000001E-3</v>
      </c>
      <c r="AJ155" s="79">
        <v>0.05</v>
      </c>
      <c r="AK155" s="80" t="b">
        <f>IF(Tab.11[[#This Row],[a1]]=1,1)</f>
        <v>0</v>
      </c>
      <c r="AZ155"/>
    </row>
    <row r="156" spans="1:52" ht="14.25" hidden="1" customHeight="1" x14ac:dyDescent="0.25">
      <c r="A156" s="61">
        <f t="shared" si="7"/>
        <v>0</v>
      </c>
      <c r="B156" s="62">
        <f t="shared" si="7"/>
        <v>0</v>
      </c>
      <c r="C156" s="62" t="b">
        <f>IF(Tab.11[[#This Row],[a1]]=1,[3]!Tab_x1[[#This Row],[Name]])</f>
        <v>0</v>
      </c>
      <c r="D156" s="63" t="b">
        <f>IF(Tab.11[[#This Row],[a1]]=1,AO156)</f>
        <v>0</v>
      </c>
      <c r="E156" s="63">
        <f t="shared" si="6"/>
        <v>0</v>
      </c>
      <c r="F156" s="64" t="b">
        <f>IF(Tab.11[[#This Row],[a1]]=1,Tab.11[[#This Row],[b1]])</f>
        <v>0</v>
      </c>
      <c r="G156" s="65" t="b">
        <f>IF(Tab.11[[#This Row],[a1]]=1,IF(Tab.11[[#This Row],[b3]]&gt;$L$989*$G$3,$L$989*$G$3,IF(Tab.11[[#This Row],[b3]]&lt;$M$989*$G$3,$M$989*$G$3,Tab.11[[#This Row],[b3]])))</f>
        <v>0</v>
      </c>
      <c r="H156" s="66" t="b">
        <f>IF(Tab.11[[#This Row],[a1]]=1,Tab.11[[#This Row],[b1]])</f>
        <v>0</v>
      </c>
      <c r="I156" s="67" t="b">
        <f>IF(Tab.11[[#This Row],[a1]]=1,Tab.11[[#This Row],[b1]])</f>
        <v>0</v>
      </c>
      <c r="J156" s="68" t="b">
        <f>IF(Tab.11[[#This Row],[a1]]=1,IF($I$3&lt;0,Tab.11[[#This Row],[b5]]-$I$3,Tab.11[[#This Row],[b5]]))</f>
        <v>0</v>
      </c>
      <c r="K156" s="68" t="b">
        <f>IF(Tab.11[[#This Row],[a1]]=1,IF($K$3=0,Tab.11[b6],Tab.11[[#This Row],[b6]]-AVERAGE(Tab.11[b6])))</f>
        <v>0</v>
      </c>
      <c r="L156" s="69" t="b">
        <f>IF(Tab.11[[#This Row],[a1]]=1,Tab.11[[#This Row],[data]]/(_xlfn.STDEV.P(Tab.11[data])*$B$989)+$A$989)</f>
        <v>0</v>
      </c>
      <c r="M156" s="69" t="b">
        <f>IF(Tab.11[[#This Row],[a1]]=1,Tab.11[[#This Row],[data]]/(_xlfn.STDEV.P(Tab.11[data])*$B$987)-$A$987)</f>
        <v>0</v>
      </c>
      <c r="N156" s="69" t="b">
        <f>IF(Tab.11[[#This Row],[a1]]=1,Tab.11[[#This Row],[data]]/(_xlfn.STDEV.P(Tab.11[data])*$B$988)+$A$988)</f>
        <v>0</v>
      </c>
      <c r="O156" s="70" t="b">
        <f>IF(Tab.11[[#This Row],[a1]]=1,_xlfn.NORM.DIST(Tab.11[[#This Row],[b8]],$P$1,$Q$1,FALSE))</f>
        <v>0</v>
      </c>
      <c r="P156" s="70" t="b">
        <f>IF(Tab.11[[#This Row],[a1]]=1,_xlfn.NORM.DIST(Tab.11[[#This Row],[b9]],$P$1,$Q$1,FALSE))</f>
        <v>0</v>
      </c>
      <c r="Q156" s="70" t="b">
        <f>IF(Tab.11[[#This Row],[a1]]=1,_xlfn.NORM.DIST(Tab.11[[#This Row],[b10]],$P$1,$Q$1,FALSE))</f>
        <v>0</v>
      </c>
      <c r="R156" s="67" t="b">
        <f>IF(Tab.11[[#This Row],[a1]]=1,$I$3+$A$989+IF($K$3=0,Tab.11[[#This Row],[b8]]*_xlfn.STDEV.P(Tab.11[data]),AVERAGE(Tab.11[b6])+Tab.11[[#This Row],[b8]]*_xlfn.STDEV.P(Tab.11[data])))</f>
        <v>0</v>
      </c>
      <c r="S156" s="71" t="b">
        <f>IF(Tab.11[[#This Row],[a1]]=1,$I$3+$A$987+IF($K$3=0,Tab.11[[#This Row],[b9]]*_xlfn.STDEV.P(Tab.11[data]),AVERAGE(Tab.11[b6])+Tab.11[[#This Row],[b9]]*_xlfn.STDEV.P(Tab.11[data])))</f>
        <v>0</v>
      </c>
      <c r="T156" s="71" t="b">
        <f>IF(Tab.11[[#This Row],[a1]]=1,$I$3+$A$988+IF($K$3=0,Tab.11[[#This Row],[b10]]*_xlfn.STDEV.P(Tab.11[data]),AVERAGE(Tab.11[b6])+Tab.11[[#This Row],[b10]]*_xlfn.STDEV.P(Tab.11[data])))</f>
        <v>0</v>
      </c>
      <c r="U156" s="72" t="b">
        <f>IF(Tab.11[[#This Row],[a1]]=1,Tab.11[[#This Row],[target]]-Tab.11[[#This Row],[Red]])</f>
        <v>0</v>
      </c>
      <c r="V156" s="72" t="b">
        <f>IF(Tab.11[[#This Row],[a1]]=1,Tab.11[[#This Row],[target]]-Tab.11[[#This Row],[Blue]])</f>
        <v>0</v>
      </c>
      <c r="W156" s="73" t="b">
        <f>IF(Tab.11[[#This Row],[a1]]=1,IF(ABS(Tab.11[[#This Row],[b17]])+ABS(Tab.11[[#This Row],[b18]])&lt;$W$2,$W$2,ABS(Tab.11[[#This Row],[b17]])+ABS(Tab.11[[#This Row],[b18]])))</f>
        <v>0</v>
      </c>
      <c r="X156" s="136" t="b">
        <f>IF(Tab.11[[#This Row],[a1]]=1,IF($W$3&lt;0,Tab.11[[#This Row],[IN]]-$I$3,Tab.11[[#This Row],[IN]]))</f>
        <v>0</v>
      </c>
      <c r="Y156" s="136" t="b">
        <f>IF(Tab.11[[#This Row],[a1]]=1,IF($X$3=0,Tab.11[b66],Tab.11[[#This Row],[b66]]-AVERAGE(Tab.11[b66])))</f>
        <v>0</v>
      </c>
      <c r="Z156" s="135" t="b">
        <f>IF(Tab.11[[#This Row],[a1]]=1,Tab.11[[#This Row],[b77]]/(_xlfn.STDEV.P(Tab.11[b77])))</f>
        <v>0</v>
      </c>
      <c r="AA156" s="70" t="b">
        <f>IF(Tab.11[[#This Row],[a1]]=1,_xlfn.NORM.DIST(Tab.11[[#This Row],[b88]],$Z$1,$AA$1,FALSE))</f>
        <v>0</v>
      </c>
      <c r="AB156" s="74" t="b">
        <f>IF(Tab.11[[#This Row],[a1]]=1,IF($A$3=0,FALSE,1/Tab.11[[#This Row],[IN]]*$AC$2*IF(Tab.11[[#This Row],[a1]]=0,,$A$3*$AC$1*1/$V$3*(Tab.11[[#This Row],[b14]]))))</f>
        <v>0</v>
      </c>
      <c r="AC156" s="75" t="b">
        <f>IF(Tab.11[[#This Row],[a1]]=1,IF($AC$3=0,Tab.11[[#This Row],[φ1]],Tab.11[[#This Row],[φ1]]/MAX(Tab.11[φ1])))</f>
        <v>0</v>
      </c>
      <c r="AD156" s="74" t="b">
        <f>IF(Tab.11[[#This Row],[a1]]=1,1/Tab.11[[#This Row],[φ2]])</f>
        <v>0</v>
      </c>
      <c r="AE156" s="74" t="b">
        <f>IF(Tab.11[[#This Row],[a1]]=1,IF($AE$3=0,Tab.11[[#This Row],[w.0]],Tab.11[[#This Row],[w.0]]/SUM(Tab.11[w.0])))</f>
        <v>0</v>
      </c>
      <c r="AF156" s="76" t="str">
        <f>IF(Tab.11[[#This Row],[a1]]=0,"false",[3]!Tab.x5[[#This Row],[%_seN_C]])</f>
        <v>false</v>
      </c>
      <c r="AG156" s="77" t="b">
        <f>IF(Tab.11[[#This Row],[a1]]=1,AP156)</f>
        <v>0</v>
      </c>
      <c r="AH156" s="78" t="b">
        <f>IF(Tab.11[[#This Row],[a1]]=1,AQ156)</f>
        <v>0</v>
      </c>
      <c r="AI156" s="41">
        <v>3.0000000000000001E-3</v>
      </c>
      <c r="AJ156" s="79">
        <v>-0.02</v>
      </c>
      <c r="AK156" s="80" t="b">
        <f>IF(Tab.11[[#This Row],[a1]]=1,1)</f>
        <v>0</v>
      </c>
      <c r="AZ156"/>
    </row>
    <row r="157" spans="1:52" ht="14.25" hidden="1" customHeight="1" x14ac:dyDescent="0.25">
      <c r="A157" s="61">
        <f t="shared" si="7"/>
        <v>0</v>
      </c>
      <c r="B157" s="62">
        <f t="shared" si="7"/>
        <v>0</v>
      </c>
      <c r="C157" s="62" t="b">
        <f>IF(Tab.11[[#This Row],[a1]]=1,[3]!Tab_x1[[#This Row],[Name]])</f>
        <v>0</v>
      </c>
      <c r="D157" s="63" t="b">
        <f>IF(Tab.11[[#This Row],[a1]]=1,AO157)</f>
        <v>0</v>
      </c>
      <c r="E157" s="63">
        <f t="shared" si="6"/>
        <v>0</v>
      </c>
      <c r="F157" s="64" t="b">
        <f>IF(Tab.11[[#This Row],[a1]]=1,Tab.11[[#This Row],[b1]])</f>
        <v>0</v>
      </c>
      <c r="G157" s="65" t="b">
        <f>IF(Tab.11[[#This Row],[a1]]=1,IF(Tab.11[[#This Row],[b3]]&gt;$L$989*$G$3,$L$989*$G$3,IF(Tab.11[[#This Row],[b3]]&lt;$M$989*$G$3,$M$989*$G$3,Tab.11[[#This Row],[b3]])))</f>
        <v>0</v>
      </c>
      <c r="H157" s="66" t="b">
        <f>IF(Tab.11[[#This Row],[a1]]=1,Tab.11[[#This Row],[b1]])</f>
        <v>0</v>
      </c>
      <c r="I157" s="67" t="b">
        <f>IF(Tab.11[[#This Row],[a1]]=1,Tab.11[[#This Row],[b1]])</f>
        <v>0</v>
      </c>
      <c r="J157" s="68" t="b">
        <f>IF(Tab.11[[#This Row],[a1]]=1,IF($I$3&lt;0,Tab.11[[#This Row],[b5]]-$I$3,Tab.11[[#This Row],[b5]]))</f>
        <v>0</v>
      </c>
      <c r="K157" s="68" t="b">
        <f>IF(Tab.11[[#This Row],[a1]]=1,IF($K$3=0,Tab.11[b6],Tab.11[[#This Row],[b6]]-AVERAGE(Tab.11[b6])))</f>
        <v>0</v>
      </c>
      <c r="L157" s="69" t="b">
        <f>IF(Tab.11[[#This Row],[a1]]=1,Tab.11[[#This Row],[data]]/(_xlfn.STDEV.P(Tab.11[data])*$B$989)+$A$989)</f>
        <v>0</v>
      </c>
      <c r="M157" s="69" t="b">
        <f>IF(Tab.11[[#This Row],[a1]]=1,Tab.11[[#This Row],[data]]/(_xlfn.STDEV.P(Tab.11[data])*$B$987)-$A$987)</f>
        <v>0</v>
      </c>
      <c r="N157" s="69" t="b">
        <f>IF(Tab.11[[#This Row],[a1]]=1,Tab.11[[#This Row],[data]]/(_xlfn.STDEV.P(Tab.11[data])*$B$988)+$A$988)</f>
        <v>0</v>
      </c>
      <c r="O157" s="70" t="b">
        <f>IF(Tab.11[[#This Row],[a1]]=1,_xlfn.NORM.DIST(Tab.11[[#This Row],[b8]],$P$1,$Q$1,FALSE))</f>
        <v>0</v>
      </c>
      <c r="P157" s="70" t="b">
        <f>IF(Tab.11[[#This Row],[a1]]=1,_xlfn.NORM.DIST(Tab.11[[#This Row],[b9]],$P$1,$Q$1,FALSE))</f>
        <v>0</v>
      </c>
      <c r="Q157" s="70" t="b">
        <f>IF(Tab.11[[#This Row],[a1]]=1,_xlfn.NORM.DIST(Tab.11[[#This Row],[b10]],$P$1,$Q$1,FALSE))</f>
        <v>0</v>
      </c>
      <c r="R157" s="67" t="b">
        <f>IF(Tab.11[[#This Row],[a1]]=1,$I$3+$A$989+IF($K$3=0,Tab.11[[#This Row],[b8]]*_xlfn.STDEV.P(Tab.11[data]),AVERAGE(Tab.11[b6])+Tab.11[[#This Row],[b8]]*_xlfn.STDEV.P(Tab.11[data])))</f>
        <v>0</v>
      </c>
      <c r="S157" s="71" t="b">
        <f>IF(Tab.11[[#This Row],[a1]]=1,$I$3+$A$987+IF($K$3=0,Tab.11[[#This Row],[b9]]*_xlfn.STDEV.P(Tab.11[data]),AVERAGE(Tab.11[b6])+Tab.11[[#This Row],[b9]]*_xlfn.STDEV.P(Tab.11[data])))</f>
        <v>0</v>
      </c>
      <c r="T157" s="71" t="b">
        <f>IF(Tab.11[[#This Row],[a1]]=1,$I$3+$A$988+IF($K$3=0,Tab.11[[#This Row],[b10]]*_xlfn.STDEV.P(Tab.11[data]),AVERAGE(Tab.11[b6])+Tab.11[[#This Row],[b10]]*_xlfn.STDEV.P(Tab.11[data])))</f>
        <v>0</v>
      </c>
      <c r="U157" s="72" t="b">
        <f>IF(Tab.11[[#This Row],[a1]]=1,Tab.11[[#This Row],[target]]-Tab.11[[#This Row],[Red]])</f>
        <v>0</v>
      </c>
      <c r="V157" s="72" t="b">
        <f>IF(Tab.11[[#This Row],[a1]]=1,Tab.11[[#This Row],[target]]-Tab.11[[#This Row],[Blue]])</f>
        <v>0</v>
      </c>
      <c r="W157" s="73" t="b">
        <f>IF(Tab.11[[#This Row],[a1]]=1,IF(ABS(Tab.11[[#This Row],[b17]])+ABS(Tab.11[[#This Row],[b18]])&lt;$W$2,$W$2,ABS(Tab.11[[#This Row],[b17]])+ABS(Tab.11[[#This Row],[b18]])))</f>
        <v>0</v>
      </c>
      <c r="X157" s="136" t="b">
        <f>IF(Tab.11[[#This Row],[a1]]=1,IF($W$3&lt;0,Tab.11[[#This Row],[IN]]-$I$3,Tab.11[[#This Row],[IN]]))</f>
        <v>0</v>
      </c>
      <c r="Y157" s="136" t="b">
        <f>IF(Tab.11[[#This Row],[a1]]=1,IF($X$3=0,Tab.11[b66],Tab.11[[#This Row],[b66]]-AVERAGE(Tab.11[b66])))</f>
        <v>0</v>
      </c>
      <c r="Z157" s="135" t="b">
        <f>IF(Tab.11[[#This Row],[a1]]=1,Tab.11[[#This Row],[b77]]/(_xlfn.STDEV.P(Tab.11[b77])))</f>
        <v>0</v>
      </c>
      <c r="AA157" s="70" t="b">
        <f>IF(Tab.11[[#This Row],[a1]]=1,_xlfn.NORM.DIST(Tab.11[[#This Row],[b88]],$Z$1,$AA$1,FALSE))</f>
        <v>0</v>
      </c>
      <c r="AB157" s="74" t="b">
        <f>IF(Tab.11[[#This Row],[a1]]=1,IF($A$3=0,FALSE,1/Tab.11[[#This Row],[IN]]*$AC$2*IF(Tab.11[[#This Row],[a1]]=0,,$A$3*$AC$1*1/$V$3*(Tab.11[[#This Row],[b14]]))))</f>
        <v>0</v>
      </c>
      <c r="AC157" s="75" t="b">
        <f>IF(Tab.11[[#This Row],[a1]]=1,IF($AC$3=0,Tab.11[[#This Row],[φ1]],Tab.11[[#This Row],[φ1]]/MAX(Tab.11[φ1])))</f>
        <v>0</v>
      </c>
      <c r="AD157" s="74" t="b">
        <f>IF(Tab.11[[#This Row],[a1]]=1,1/Tab.11[[#This Row],[φ2]])</f>
        <v>0</v>
      </c>
      <c r="AE157" s="74" t="b">
        <f>IF(Tab.11[[#This Row],[a1]]=1,IF($AE$3=0,Tab.11[[#This Row],[w.0]],Tab.11[[#This Row],[w.0]]/SUM(Tab.11[w.0])))</f>
        <v>0</v>
      </c>
      <c r="AF157" s="76" t="str">
        <f>IF(Tab.11[[#This Row],[a1]]=0,"false",[3]!Tab.x5[[#This Row],[%_seN_C]])</f>
        <v>false</v>
      </c>
      <c r="AG157" s="77" t="b">
        <f>IF(Tab.11[[#This Row],[a1]]=1,AP157)</f>
        <v>0</v>
      </c>
      <c r="AH157" s="78" t="b">
        <f>IF(Tab.11[[#This Row],[a1]]=1,AQ157)</f>
        <v>0</v>
      </c>
      <c r="AI157" s="41">
        <v>3.0000000000000001E-3</v>
      </c>
      <c r="AJ157" s="79">
        <v>0.09</v>
      </c>
      <c r="AK157" s="80" t="b">
        <f>IF(Tab.11[[#This Row],[a1]]=1,1)</f>
        <v>0</v>
      </c>
      <c r="AZ157"/>
    </row>
    <row r="158" spans="1:52" ht="14.25" hidden="1" customHeight="1" x14ac:dyDescent="0.25">
      <c r="A158" s="61">
        <f t="shared" si="7"/>
        <v>0</v>
      </c>
      <c r="B158" s="62">
        <f t="shared" si="7"/>
        <v>0</v>
      </c>
      <c r="C158" s="62" t="b">
        <f>IF(Tab.11[[#This Row],[a1]]=1,[3]!Tab_x1[[#This Row],[Name]])</f>
        <v>0</v>
      </c>
      <c r="D158" s="63" t="b">
        <f>IF(Tab.11[[#This Row],[a1]]=1,AO158)</f>
        <v>0</v>
      </c>
      <c r="E158" s="63">
        <f t="shared" si="6"/>
        <v>0</v>
      </c>
      <c r="F158" s="64" t="b">
        <f>IF(Tab.11[[#This Row],[a1]]=1,Tab.11[[#This Row],[b1]])</f>
        <v>0</v>
      </c>
      <c r="G158" s="65" t="b">
        <f>IF(Tab.11[[#This Row],[a1]]=1,IF(Tab.11[[#This Row],[b3]]&gt;$L$989*$G$3,$L$989*$G$3,IF(Tab.11[[#This Row],[b3]]&lt;$M$989*$G$3,$M$989*$G$3,Tab.11[[#This Row],[b3]])))</f>
        <v>0</v>
      </c>
      <c r="H158" s="66" t="b">
        <f>IF(Tab.11[[#This Row],[a1]]=1,Tab.11[[#This Row],[b1]])</f>
        <v>0</v>
      </c>
      <c r="I158" s="67" t="b">
        <f>IF(Tab.11[[#This Row],[a1]]=1,Tab.11[[#This Row],[b1]])</f>
        <v>0</v>
      </c>
      <c r="J158" s="68" t="b">
        <f>IF(Tab.11[[#This Row],[a1]]=1,IF($I$3&lt;0,Tab.11[[#This Row],[b5]]-$I$3,Tab.11[[#This Row],[b5]]))</f>
        <v>0</v>
      </c>
      <c r="K158" s="68" t="b">
        <f>IF(Tab.11[[#This Row],[a1]]=1,IF($K$3=0,Tab.11[b6],Tab.11[[#This Row],[b6]]-AVERAGE(Tab.11[b6])))</f>
        <v>0</v>
      </c>
      <c r="L158" s="69" t="b">
        <f>IF(Tab.11[[#This Row],[a1]]=1,Tab.11[[#This Row],[data]]/(_xlfn.STDEV.P(Tab.11[data])*$B$989)+$A$989)</f>
        <v>0</v>
      </c>
      <c r="M158" s="69" t="b">
        <f>IF(Tab.11[[#This Row],[a1]]=1,Tab.11[[#This Row],[data]]/(_xlfn.STDEV.P(Tab.11[data])*$B$987)-$A$987)</f>
        <v>0</v>
      </c>
      <c r="N158" s="69" t="b">
        <f>IF(Tab.11[[#This Row],[a1]]=1,Tab.11[[#This Row],[data]]/(_xlfn.STDEV.P(Tab.11[data])*$B$988)+$A$988)</f>
        <v>0</v>
      </c>
      <c r="O158" s="70" t="b">
        <f>IF(Tab.11[[#This Row],[a1]]=1,_xlfn.NORM.DIST(Tab.11[[#This Row],[b8]],$P$1,$Q$1,FALSE))</f>
        <v>0</v>
      </c>
      <c r="P158" s="70" t="b">
        <f>IF(Tab.11[[#This Row],[a1]]=1,_xlfn.NORM.DIST(Tab.11[[#This Row],[b9]],$P$1,$Q$1,FALSE))</f>
        <v>0</v>
      </c>
      <c r="Q158" s="70" t="b">
        <f>IF(Tab.11[[#This Row],[a1]]=1,_xlfn.NORM.DIST(Tab.11[[#This Row],[b10]],$P$1,$Q$1,FALSE))</f>
        <v>0</v>
      </c>
      <c r="R158" s="67" t="b">
        <f>IF(Tab.11[[#This Row],[a1]]=1,$I$3+$A$989+IF($K$3=0,Tab.11[[#This Row],[b8]]*_xlfn.STDEV.P(Tab.11[data]),AVERAGE(Tab.11[b6])+Tab.11[[#This Row],[b8]]*_xlfn.STDEV.P(Tab.11[data])))</f>
        <v>0</v>
      </c>
      <c r="S158" s="71" t="b">
        <f>IF(Tab.11[[#This Row],[a1]]=1,$I$3+$A$987+IF($K$3=0,Tab.11[[#This Row],[b9]]*_xlfn.STDEV.P(Tab.11[data]),AVERAGE(Tab.11[b6])+Tab.11[[#This Row],[b9]]*_xlfn.STDEV.P(Tab.11[data])))</f>
        <v>0</v>
      </c>
      <c r="T158" s="71" t="b">
        <f>IF(Tab.11[[#This Row],[a1]]=1,$I$3+$A$988+IF($K$3=0,Tab.11[[#This Row],[b10]]*_xlfn.STDEV.P(Tab.11[data]),AVERAGE(Tab.11[b6])+Tab.11[[#This Row],[b10]]*_xlfn.STDEV.P(Tab.11[data])))</f>
        <v>0</v>
      </c>
      <c r="U158" s="72" t="b">
        <f>IF(Tab.11[[#This Row],[a1]]=1,Tab.11[[#This Row],[target]]-Tab.11[[#This Row],[Red]])</f>
        <v>0</v>
      </c>
      <c r="V158" s="72" t="b">
        <f>IF(Tab.11[[#This Row],[a1]]=1,Tab.11[[#This Row],[target]]-Tab.11[[#This Row],[Blue]])</f>
        <v>0</v>
      </c>
      <c r="W158" s="73" t="b">
        <f>IF(Tab.11[[#This Row],[a1]]=1,IF(ABS(Tab.11[[#This Row],[b17]])+ABS(Tab.11[[#This Row],[b18]])&lt;$W$2,$W$2,ABS(Tab.11[[#This Row],[b17]])+ABS(Tab.11[[#This Row],[b18]])))</f>
        <v>0</v>
      </c>
      <c r="X158" s="136" t="b">
        <f>IF(Tab.11[[#This Row],[a1]]=1,IF($W$3&lt;0,Tab.11[[#This Row],[IN]]-$I$3,Tab.11[[#This Row],[IN]]))</f>
        <v>0</v>
      </c>
      <c r="Y158" s="136" t="b">
        <f>IF(Tab.11[[#This Row],[a1]]=1,IF($X$3=0,Tab.11[b66],Tab.11[[#This Row],[b66]]-AVERAGE(Tab.11[b66])))</f>
        <v>0</v>
      </c>
      <c r="Z158" s="135" t="b">
        <f>IF(Tab.11[[#This Row],[a1]]=1,Tab.11[[#This Row],[b77]]/(_xlfn.STDEV.P(Tab.11[b77])))</f>
        <v>0</v>
      </c>
      <c r="AA158" s="70" t="b">
        <f>IF(Tab.11[[#This Row],[a1]]=1,_xlfn.NORM.DIST(Tab.11[[#This Row],[b88]],$Z$1,$AA$1,FALSE))</f>
        <v>0</v>
      </c>
      <c r="AB158" s="74" t="b">
        <f>IF(Tab.11[[#This Row],[a1]]=1,IF($A$3=0,FALSE,1/Tab.11[[#This Row],[IN]]*$AC$2*IF(Tab.11[[#This Row],[a1]]=0,,$A$3*$AC$1*1/$V$3*(Tab.11[[#This Row],[b14]]))))</f>
        <v>0</v>
      </c>
      <c r="AC158" s="75" t="b">
        <f>IF(Tab.11[[#This Row],[a1]]=1,IF($AC$3=0,Tab.11[[#This Row],[φ1]],Tab.11[[#This Row],[φ1]]/MAX(Tab.11[φ1])))</f>
        <v>0</v>
      </c>
      <c r="AD158" s="74" t="b">
        <f>IF(Tab.11[[#This Row],[a1]]=1,1/Tab.11[[#This Row],[φ2]])</f>
        <v>0</v>
      </c>
      <c r="AE158" s="74" t="b">
        <f>IF(Tab.11[[#This Row],[a1]]=1,IF($AE$3=0,Tab.11[[#This Row],[w.0]],Tab.11[[#This Row],[w.0]]/SUM(Tab.11[w.0])))</f>
        <v>0</v>
      </c>
      <c r="AF158" s="76" t="str">
        <f>IF(Tab.11[[#This Row],[a1]]=0,"false",[3]!Tab.x5[[#This Row],[%_seN_C]])</f>
        <v>false</v>
      </c>
      <c r="AG158" s="77" t="b">
        <f>IF(Tab.11[[#This Row],[a1]]=1,AP158)</f>
        <v>0</v>
      </c>
      <c r="AH158" s="78" t="b">
        <f>IF(Tab.11[[#This Row],[a1]]=1,AQ158)</f>
        <v>0</v>
      </c>
      <c r="AI158" s="41">
        <v>3.0000000000000001E-3</v>
      </c>
      <c r="AJ158" s="79">
        <v>0.05</v>
      </c>
      <c r="AK158" s="80" t="b">
        <f>IF(Tab.11[[#This Row],[a1]]=1,1)</f>
        <v>0</v>
      </c>
      <c r="AZ158"/>
    </row>
    <row r="159" spans="1:52" ht="14.25" hidden="1" customHeight="1" x14ac:dyDescent="0.25">
      <c r="A159" s="61">
        <f t="shared" si="7"/>
        <v>0</v>
      </c>
      <c r="B159" s="62">
        <f t="shared" si="7"/>
        <v>0</v>
      </c>
      <c r="C159" s="62" t="b">
        <f>IF(Tab.11[[#This Row],[a1]]=1,[3]!Tab_x1[[#This Row],[Name]])</f>
        <v>0</v>
      </c>
      <c r="D159" s="63" t="b">
        <f>IF(Tab.11[[#This Row],[a1]]=1,AO159)</f>
        <v>0</v>
      </c>
      <c r="E159" s="63">
        <f t="shared" si="6"/>
        <v>0</v>
      </c>
      <c r="F159" s="64" t="b">
        <f>IF(Tab.11[[#This Row],[a1]]=1,Tab.11[[#This Row],[b1]])</f>
        <v>0</v>
      </c>
      <c r="G159" s="65" t="b">
        <f>IF(Tab.11[[#This Row],[a1]]=1,IF(Tab.11[[#This Row],[b3]]&gt;$L$989*$G$3,$L$989*$G$3,IF(Tab.11[[#This Row],[b3]]&lt;$M$989*$G$3,$M$989*$G$3,Tab.11[[#This Row],[b3]])))</f>
        <v>0</v>
      </c>
      <c r="H159" s="66" t="b">
        <f>IF(Tab.11[[#This Row],[a1]]=1,Tab.11[[#This Row],[b1]])</f>
        <v>0</v>
      </c>
      <c r="I159" s="67" t="b">
        <f>IF(Tab.11[[#This Row],[a1]]=1,Tab.11[[#This Row],[b1]])</f>
        <v>0</v>
      </c>
      <c r="J159" s="68" t="b">
        <f>IF(Tab.11[[#This Row],[a1]]=1,IF($I$3&lt;0,Tab.11[[#This Row],[b5]]-$I$3,Tab.11[[#This Row],[b5]]))</f>
        <v>0</v>
      </c>
      <c r="K159" s="68" t="b">
        <f>IF(Tab.11[[#This Row],[a1]]=1,IF($K$3=0,Tab.11[b6],Tab.11[[#This Row],[b6]]-AVERAGE(Tab.11[b6])))</f>
        <v>0</v>
      </c>
      <c r="L159" s="69" t="b">
        <f>IF(Tab.11[[#This Row],[a1]]=1,Tab.11[[#This Row],[data]]/(_xlfn.STDEV.P(Tab.11[data])*$B$989)+$A$989)</f>
        <v>0</v>
      </c>
      <c r="M159" s="69" t="b">
        <f>IF(Tab.11[[#This Row],[a1]]=1,Tab.11[[#This Row],[data]]/(_xlfn.STDEV.P(Tab.11[data])*$B$987)-$A$987)</f>
        <v>0</v>
      </c>
      <c r="N159" s="69" t="b">
        <f>IF(Tab.11[[#This Row],[a1]]=1,Tab.11[[#This Row],[data]]/(_xlfn.STDEV.P(Tab.11[data])*$B$988)+$A$988)</f>
        <v>0</v>
      </c>
      <c r="O159" s="70" t="b">
        <f>IF(Tab.11[[#This Row],[a1]]=1,_xlfn.NORM.DIST(Tab.11[[#This Row],[b8]],$P$1,$Q$1,FALSE))</f>
        <v>0</v>
      </c>
      <c r="P159" s="70" t="b">
        <f>IF(Tab.11[[#This Row],[a1]]=1,_xlfn.NORM.DIST(Tab.11[[#This Row],[b9]],$P$1,$Q$1,FALSE))</f>
        <v>0</v>
      </c>
      <c r="Q159" s="70" t="b">
        <f>IF(Tab.11[[#This Row],[a1]]=1,_xlfn.NORM.DIST(Tab.11[[#This Row],[b10]],$P$1,$Q$1,FALSE))</f>
        <v>0</v>
      </c>
      <c r="R159" s="67" t="b">
        <f>IF(Tab.11[[#This Row],[a1]]=1,$I$3+$A$989+IF($K$3=0,Tab.11[[#This Row],[b8]]*_xlfn.STDEV.P(Tab.11[data]),AVERAGE(Tab.11[b6])+Tab.11[[#This Row],[b8]]*_xlfn.STDEV.P(Tab.11[data])))</f>
        <v>0</v>
      </c>
      <c r="S159" s="71" t="b">
        <f>IF(Tab.11[[#This Row],[a1]]=1,$I$3+$A$987+IF($K$3=0,Tab.11[[#This Row],[b9]]*_xlfn.STDEV.P(Tab.11[data]),AVERAGE(Tab.11[b6])+Tab.11[[#This Row],[b9]]*_xlfn.STDEV.P(Tab.11[data])))</f>
        <v>0</v>
      </c>
      <c r="T159" s="71" t="b">
        <f>IF(Tab.11[[#This Row],[a1]]=1,$I$3+$A$988+IF($K$3=0,Tab.11[[#This Row],[b10]]*_xlfn.STDEV.P(Tab.11[data]),AVERAGE(Tab.11[b6])+Tab.11[[#This Row],[b10]]*_xlfn.STDEV.P(Tab.11[data])))</f>
        <v>0</v>
      </c>
      <c r="U159" s="72" t="b">
        <f>IF(Tab.11[[#This Row],[a1]]=1,Tab.11[[#This Row],[target]]-Tab.11[[#This Row],[Red]])</f>
        <v>0</v>
      </c>
      <c r="V159" s="72" t="b">
        <f>IF(Tab.11[[#This Row],[a1]]=1,Tab.11[[#This Row],[target]]-Tab.11[[#This Row],[Blue]])</f>
        <v>0</v>
      </c>
      <c r="W159" s="73" t="b">
        <f>IF(Tab.11[[#This Row],[a1]]=1,IF(ABS(Tab.11[[#This Row],[b17]])+ABS(Tab.11[[#This Row],[b18]])&lt;$W$2,$W$2,ABS(Tab.11[[#This Row],[b17]])+ABS(Tab.11[[#This Row],[b18]])))</f>
        <v>0</v>
      </c>
      <c r="X159" s="136" t="b">
        <f>IF(Tab.11[[#This Row],[a1]]=1,IF($W$3&lt;0,Tab.11[[#This Row],[IN]]-$I$3,Tab.11[[#This Row],[IN]]))</f>
        <v>0</v>
      </c>
      <c r="Y159" s="136" t="b">
        <f>IF(Tab.11[[#This Row],[a1]]=1,IF($X$3=0,Tab.11[b66],Tab.11[[#This Row],[b66]]-AVERAGE(Tab.11[b66])))</f>
        <v>0</v>
      </c>
      <c r="Z159" s="135" t="b">
        <f>IF(Tab.11[[#This Row],[a1]]=1,Tab.11[[#This Row],[b77]]/(_xlfn.STDEV.P(Tab.11[b77])))</f>
        <v>0</v>
      </c>
      <c r="AA159" s="70" t="b">
        <f>IF(Tab.11[[#This Row],[a1]]=1,_xlfn.NORM.DIST(Tab.11[[#This Row],[b88]],$Z$1,$AA$1,FALSE))</f>
        <v>0</v>
      </c>
      <c r="AB159" s="74" t="b">
        <f>IF(Tab.11[[#This Row],[a1]]=1,IF($A$3=0,FALSE,1/Tab.11[[#This Row],[IN]]*$AC$2*IF(Tab.11[[#This Row],[a1]]=0,,$A$3*$AC$1*1/$V$3*(Tab.11[[#This Row],[b14]]))))</f>
        <v>0</v>
      </c>
      <c r="AC159" s="75" t="b">
        <f>IF(Tab.11[[#This Row],[a1]]=1,IF($AC$3=0,Tab.11[[#This Row],[φ1]],Tab.11[[#This Row],[φ1]]/MAX(Tab.11[φ1])))</f>
        <v>0</v>
      </c>
      <c r="AD159" s="74" t="b">
        <f>IF(Tab.11[[#This Row],[a1]]=1,1/Tab.11[[#This Row],[φ2]])</f>
        <v>0</v>
      </c>
      <c r="AE159" s="74" t="b">
        <f>IF(Tab.11[[#This Row],[a1]]=1,IF($AE$3=0,Tab.11[[#This Row],[w.0]],Tab.11[[#This Row],[w.0]]/SUM(Tab.11[w.0])))</f>
        <v>0</v>
      </c>
      <c r="AF159" s="76" t="str">
        <f>IF(Tab.11[[#This Row],[a1]]=0,"false",[3]!Tab.x5[[#This Row],[%_seN_C]])</f>
        <v>false</v>
      </c>
      <c r="AG159" s="77" t="b">
        <f>IF(Tab.11[[#This Row],[a1]]=1,AP159)</f>
        <v>0</v>
      </c>
      <c r="AH159" s="78" t="b">
        <f>IF(Tab.11[[#This Row],[a1]]=1,AQ159)</f>
        <v>0</v>
      </c>
      <c r="AI159" s="41">
        <v>3.0000000000000001E-3</v>
      </c>
      <c r="AJ159" s="79">
        <v>-0.05</v>
      </c>
      <c r="AK159" s="80" t="b">
        <f>IF(Tab.11[[#This Row],[a1]]=1,1)</f>
        <v>0</v>
      </c>
      <c r="AZ159"/>
    </row>
    <row r="160" spans="1:52" ht="14.25" hidden="1" customHeight="1" x14ac:dyDescent="0.25">
      <c r="A160" s="61">
        <f t="shared" si="7"/>
        <v>0</v>
      </c>
      <c r="B160" s="62">
        <f t="shared" si="7"/>
        <v>0</v>
      </c>
      <c r="C160" s="62" t="b">
        <f>IF(Tab.11[[#This Row],[a1]]=1,[3]!Tab_x1[[#This Row],[Name]])</f>
        <v>0</v>
      </c>
      <c r="D160" s="63" t="b">
        <f>IF(Tab.11[[#This Row],[a1]]=1,AO160)</f>
        <v>0</v>
      </c>
      <c r="E160" s="63">
        <f t="shared" si="6"/>
        <v>0</v>
      </c>
      <c r="F160" s="64" t="b">
        <f>IF(Tab.11[[#This Row],[a1]]=1,Tab.11[[#This Row],[b1]])</f>
        <v>0</v>
      </c>
      <c r="G160" s="65" t="b">
        <f>IF(Tab.11[[#This Row],[a1]]=1,IF(Tab.11[[#This Row],[b3]]&gt;$L$989*$G$3,$L$989*$G$3,IF(Tab.11[[#This Row],[b3]]&lt;$M$989*$G$3,$M$989*$G$3,Tab.11[[#This Row],[b3]])))</f>
        <v>0</v>
      </c>
      <c r="H160" s="66" t="b">
        <f>IF(Tab.11[[#This Row],[a1]]=1,Tab.11[[#This Row],[b1]])</f>
        <v>0</v>
      </c>
      <c r="I160" s="67" t="b">
        <f>IF(Tab.11[[#This Row],[a1]]=1,Tab.11[[#This Row],[b1]])</f>
        <v>0</v>
      </c>
      <c r="J160" s="68" t="b">
        <f>IF(Tab.11[[#This Row],[a1]]=1,IF($I$3&lt;0,Tab.11[[#This Row],[b5]]-$I$3,Tab.11[[#This Row],[b5]]))</f>
        <v>0</v>
      </c>
      <c r="K160" s="68" t="b">
        <f>IF(Tab.11[[#This Row],[a1]]=1,IF($K$3=0,Tab.11[b6],Tab.11[[#This Row],[b6]]-AVERAGE(Tab.11[b6])))</f>
        <v>0</v>
      </c>
      <c r="L160" s="69" t="b">
        <f>IF(Tab.11[[#This Row],[a1]]=1,Tab.11[[#This Row],[data]]/(_xlfn.STDEV.P(Tab.11[data])*$B$989)+$A$989)</f>
        <v>0</v>
      </c>
      <c r="M160" s="69" t="b">
        <f>IF(Tab.11[[#This Row],[a1]]=1,Tab.11[[#This Row],[data]]/(_xlfn.STDEV.P(Tab.11[data])*$B$987)-$A$987)</f>
        <v>0</v>
      </c>
      <c r="N160" s="69" t="b">
        <f>IF(Tab.11[[#This Row],[a1]]=1,Tab.11[[#This Row],[data]]/(_xlfn.STDEV.P(Tab.11[data])*$B$988)+$A$988)</f>
        <v>0</v>
      </c>
      <c r="O160" s="70" t="b">
        <f>IF(Tab.11[[#This Row],[a1]]=1,_xlfn.NORM.DIST(Tab.11[[#This Row],[b8]],$P$1,$Q$1,FALSE))</f>
        <v>0</v>
      </c>
      <c r="P160" s="70" t="b">
        <f>IF(Tab.11[[#This Row],[a1]]=1,_xlfn.NORM.DIST(Tab.11[[#This Row],[b9]],$P$1,$Q$1,FALSE))</f>
        <v>0</v>
      </c>
      <c r="Q160" s="70" t="b">
        <f>IF(Tab.11[[#This Row],[a1]]=1,_xlfn.NORM.DIST(Tab.11[[#This Row],[b10]],$P$1,$Q$1,FALSE))</f>
        <v>0</v>
      </c>
      <c r="R160" s="67" t="b">
        <f>IF(Tab.11[[#This Row],[a1]]=1,$I$3+$A$989+IF($K$3=0,Tab.11[[#This Row],[b8]]*_xlfn.STDEV.P(Tab.11[data]),AVERAGE(Tab.11[b6])+Tab.11[[#This Row],[b8]]*_xlfn.STDEV.P(Tab.11[data])))</f>
        <v>0</v>
      </c>
      <c r="S160" s="71" t="b">
        <f>IF(Tab.11[[#This Row],[a1]]=1,$I$3+$A$987+IF($K$3=0,Tab.11[[#This Row],[b9]]*_xlfn.STDEV.P(Tab.11[data]),AVERAGE(Tab.11[b6])+Tab.11[[#This Row],[b9]]*_xlfn.STDEV.P(Tab.11[data])))</f>
        <v>0</v>
      </c>
      <c r="T160" s="71" t="b">
        <f>IF(Tab.11[[#This Row],[a1]]=1,$I$3+$A$988+IF($K$3=0,Tab.11[[#This Row],[b10]]*_xlfn.STDEV.P(Tab.11[data]),AVERAGE(Tab.11[b6])+Tab.11[[#This Row],[b10]]*_xlfn.STDEV.P(Tab.11[data])))</f>
        <v>0</v>
      </c>
      <c r="U160" s="72" t="b">
        <f>IF(Tab.11[[#This Row],[a1]]=1,Tab.11[[#This Row],[target]]-Tab.11[[#This Row],[Red]])</f>
        <v>0</v>
      </c>
      <c r="V160" s="72" t="b">
        <f>IF(Tab.11[[#This Row],[a1]]=1,Tab.11[[#This Row],[target]]-Tab.11[[#This Row],[Blue]])</f>
        <v>0</v>
      </c>
      <c r="W160" s="73" t="b">
        <f>IF(Tab.11[[#This Row],[a1]]=1,IF(ABS(Tab.11[[#This Row],[b17]])+ABS(Tab.11[[#This Row],[b18]])&lt;$W$2,$W$2,ABS(Tab.11[[#This Row],[b17]])+ABS(Tab.11[[#This Row],[b18]])))</f>
        <v>0</v>
      </c>
      <c r="X160" s="136" t="b">
        <f>IF(Tab.11[[#This Row],[a1]]=1,IF($W$3&lt;0,Tab.11[[#This Row],[IN]]-$I$3,Tab.11[[#This Row],[IN]]))</f>
        <v>0</v>
      </c>
      <c r="Y160" s="136" t="b">
        <f>IF(Tab.11[[#This Row],[a1]]=1,IF($X$3=0,Tab.11[b66],Tab.11[[#This Row],[b66]]-AVERAGE(Tab.11[b66])))</f>
        <v>0</v>
      </c>
      <c r="Z160" s="135" t="b">
        <f>IF(Tab.11[[#This Row],[a1]]=1,Tab.11[[#This Row],[b77]]/(_xlfn.STDEV.P(Tab.11[b77])))</f>
        <v>0</v>
      </c>
      <c r="AA160" s="70" t="b">
        <f>IF(Tab.11[[#This Row],[a1]]=1,_xlfn.NORM.DIST(Tab.11[[#This Row],[b88]],$Z$1,$AA$1,FALSE))</f>
        <v>0</v>
      </c>
      <c r="AB160" s="74" t="b">
        <f>IF(Tab.11[[#This Row],[a1]]=1,IF($A$3=0,FALSE,1/Tab.11[[#This Row],[IN]]*$AC$2*IF(Tab.11[[#This Row],[a1]]=0,,$A$3*$AC$1*1/$V$3*(Tab.11[[#This Row],[b14]]))))</f>
        <v>0</v>
      </c>
      <c r="AC160" s="75" t="b">
        <f>IF(Tab.11[[#This Row],[a1]]=1,IF($AC$3=0,Tab.11[[#This Row],[φ1]],Tab.11[[#This Row],[φ1]]/MAX(Tab.11[φ1])))</f>
        <v>0</v>
      </c>
      <c r="AD160" s="74" t="b">
        <f>IF(Tab.11[[#This Row],[a1]]=1,1/Tab.11[[#This Row],[φ2]])</f>
        <v>0</v>
      </c>
      <c r="AE160" s="74" t="b">
        <f>IF(Tab.11[[#This Row],[a1]]=1,IF($AE$3=0,Tab.11[[#This Row],[w.0]],Tab.11[[#This Row],[w.0]]/SUM(Tab.11[w.0])))</f>
        <v>0</v>
      </c>
      <c r="AF160" s="76" t="str">
        <f>IF(Tab.11[[#This Row],[a1]]=0,"false",[3]!Tab.x5[[#This Row],[%_seN_C]])</f>
        <v>false</v>
      </c>
      <c r="AG160" s="77" t="b">
        <f>IF(Tab.11[[#This Row],[a1]]=1,AP160)</f>
        <v>0</v>
      </c>
      <c r="AH160" s="78" t="b">
        <f>IF(Tab.11[[#This Row],[a1]]=1,AQ160)</f>
        <v>0</v>
      </c>
      <c r="AI160" s="41">
        <v>3.0000000000000001E-3</v>
      </c>
      <c r="AJ160" s="79">
        <v>-0.02</v>
      </c>
      <c r="AK160" s="80" t="b">
        <f>IF(Tab.11[[#This Row],[a1]]=1,1)</f>
        <v>0</v>
      </c>
      <c r="AZ160"/>
    </row>
    <row r="161" spans="1:52" ht="14.25" hidden="1" customHeight="1" x14ac:dyDescent="0.25">
      <c r="A161" s="61">
        <f t="shared" si="7"/>
        <v>0</v>
      </c>
      <c r="B161" s="62">
        <f t="shared" si="7"/>
        <v>0</v>
      </c>
      <c r="C161" s="62" t="b">
        <f>IF(Tab.11[[#This Row],[a1]]=1,[3]!Tab_x1[[#This Row],[Name]])</f>
        <v>0</v>
      </c>
      <c r="D161" s="63" t="b">
        <f>IF(Tab.11[[#This Row],[a1]]=1,AO161)</f>
        <v>0</v>
      </c>
      <c r="E161" s="63">
        <f t="shared" si="6"/>
        <v>0</v>
      </c>
      <c r="F161" s="64" t="b">
        <f>IF(Tab.11[[#This Row],[a1]]=1,Tab.11[[#This Row],[b1]])</f>
        <v>0</v>
      </c>
      <c r="G161" s="65" t="b">
        <f>IF(Tab.11[[#This Row],[a1]]=1,IF(Tab.11[[#This Row],[b3]]&gt;$L$989*$G$3,$L$989*$G$3,IF(Tab.11[[#This Row],[b3]]&lt;$M$989*$G$3,$M$989*$G$3,Tab.11[[#This Row],[b3]])))</f>
        <v>0</v>
      </c>
      <c r="H161" s="66" t="b">
        <f>IF(Tab.11[[#This Row],[a1]]=1,Tab.11[[#This Row],[b1]])</f>
        <v>0</v>
      </c>
      <c r="I161" s="67" t="b">
        <f>IF(Tab.11[[#This Row],[a1]]=1,Tab.11[[#This Row],[b1]])</f>
        <v>0</v>
      </c>
      <c r="J161" s="68" t="b">
        <f>IF(Tab.11[[#This Row],[a1]]=1,IF($I$3&lt;0,Tab.11[[#This Row],[b5]]-$I$3,Tab.11[[#This Row],[b5]]))</f>
        <v>0</v>
      </c>
      <c r="K161" s="68" t="b">
        <f>IF(Tab.11[[#This Row],[a1]]=1,IF($K$3=0,Tab.11[b6],Tab.11[[#This Row],[b6]]-AVERAGE(Tab.11[b6])))</f>
        <v>0</v>
      </c>
      <c r="L161" s="69" t="b">
        <f>IF(Tab.11[[#This Row],[a1]]=1,Tab.11[[#This Row],[data]]/(_xlfn.STDEV.P(Tab.11[data])*$B$989)+$A$989)</f>
        <v>0</v>
      </c>
      <c r="M161" s="69" t="b">
        <f>IF(Tab.11[[#This Row],[a1]]=1,Tab.11[[#This Row],[data]]/(_xlfn.STDEV.P(Tab.11[data])*$B$987)-$A$987)</f>
        <v>0</v>
      </c>
      <c r="N161" s="69" t="b">
        <f>IF(Tab.11[[#This Row],[a1]]=1,Tab.11[[#This Row],[data]]/(_xlfn.STDEV.P(Tab.11[data])*$B$988)+$A$988)</f>
        <v>0</v>
      </c>
      <c r="O161" s="70" t="b">
        <f>IF(Tab.11[[#This Row],[a1]]=1,_xlfn.NORM.DIST(Tab.11[[#This Row],[b8]],$P$1,$Q$1,FALSE))</f>
        <v>0</v>
      </c>
      <c r="P161" s="70" t="b">
        <f>IF(Tab.11[[#This Row],[a1]]=1,_xlfn.NORM.DIST(Tab.11[[#This Row],[b9]],$P$1,$Q$1,FALSE))</f>
        <v>0</v>
      </c>
      <c r="Q161" s="70" t="b">
        <f>IF(Tab.11[[#This Row],[a1]]=1,_xlfn.NORM.DIST(Tab.11[[#This Row],[b10]],$P$1,$Q$1,FALSE))</f>
        <v>0</v>
      </c>
      <c r="R161" s="67" t="b">
        <f>IF(Tab.11[[#This Row],[a1]]=1,$I$3+$A$989+IF($K$3=0,Tab.11[[#This Row],[b8]]*_xlfn.STDEV.P(Tab.11[data]),AVERAGE(Tab.11[b6])+Tab.11[[#This Row],[b8]]*_xlfn.STDEV.P(Tab.11[data])))</f>
        <v>0</v>
      </c>
      <c r="S161" s="71" t="b">
        <f>IF(Tab.11[[#This Row],[a1]]=1,$I$3+$A$987+IF($K$3=0,Tab.11[[#This Row],[b9]]*_xlfn.STDEV.P(Tab.11[data]),AVERAGE(Tab.11[b6])+Tab.11[[#This Row],[b9]]*_xlfn.STDEV.P(Tab.11[data])))</f>
        <v>0</v>
      </c>
      <c r="T161" s="71" t="b">
        <f>IF(Tab.11[[#This Row],[a1]]=1,$I$3+$A$988+IF($K$3=0,Tab.11[[#This Row],[b10]]*_xlfn.STDEV.P(Tab.11[data]),AVERAGE(Tab.11[b6])+Tab.11[[#This Row],[b10]]*_xlfn.STDEV.P(Tab.11[data])))</f>
        <v>0</v>
      </c>
      <c r="U161" s="72" t="b">
        <f>IF(Tab.11[[#This Row],[a1]]=1,Tab.11[[#This Row],[target]]-Tab.11[[#This Row],[Red]])</f>
        <v>0</v>
      </c>
      <c r="V161" s="72" t="b">
        <f>IF(Tab.11[[#This Row],[a1]]=1,Tab.11[[#This Row],[target]]-Tab.11[[#This Row],[Blue]])</f>
        <v>0</v>
      </c>
      <c r="W161" s="73" t="b">
        <f>IF(Tab.11[[#This Row],[a1]]=1,IF(ABS(Tab.11[[#This Row],[b17]])+ABS(Tab.11[[#This Row],[b18]])&lt;$W$2,$W$2,ABS(Tab.11[[#This Row],[b17]])+ABS(Tab.11[[#This Row],[b18]])))</f>
        <v>0</v>
      </c>
      <c r="X161" s="136" t="b">
        <f>IF(Tab.11[[#This Row],[a1]]=1,IF($W$3&lt;0,Tab.11[[#This Row],[IN]]-$I$3,Tab.11[[#This Row],[IN]]))</f>
        <v>0</v>
      </c>
      <c r="Y161" s="136" t="b">
        <f>IF(Tab.11[[#This Row],[a1]]=1,IF($X$3=0,Tab.11[b66],Tab.11[[#This Row],[b66]]-AVERAGE(Tab.11[b66])))</f>
        <v>0</v>
      </c>
      <c r="Z161" s="135" t="b">
        <f>IF(Tab.11[[#This Row],[a1]]=1,Tab.11[[#This Row],[b77]]/(_xlfn.STDEV.P(Tab.11[b77])))</f>
        <v>0</v>
      </c>
      <c r="AA161" s="70" t="b">
        <f>IF(Tab.11[[#This Row],[a1]]=1,_xlfn.NORM.DIST(Tab.11[[#This Row],[b88]],$Z$1,$AA$1,FALSE))</f>
        <v>0</v>
      </c>
      <c r="AB161" s="74" t="b">
        <f>IF(Tab.11[[#This Row],[a1]]=1,IF($A$3=0,FALSE,1/Tab.11[[#This Row],[IN]]*$AC$2*IF(Tab.11[[#This Row],[a1]]=0,,$A$3*$AC$1*1/$V$3*(Tab.11[[#This Row],[b14]]))))</f>
        <v>0</v>
      </c>
      <c r="AC161" s="75" t="b">
        <f>IF(Tab.11[[#This Row],[a1]]=1,IF($AC$3=0,Tab.11[[#This Row],[φ1]],Tab.11[[#This Row],[φ1]]/MAX(Tab.11[φ1])))</f>
        <v>0</v>
      </c>
      <c r="AD161" s="74" t="b">
        <f>IF(Tab.11[[#This Row],[a1]]=1,1/Tab.11[[#This Row],[φ2]])</f>
        <v>0</v>
      </c>
      <c r="AE161" s="74" t="b">
        <f>IF(Tab.11[[#This Row],[a1]]=1,IF($AE$3=0,Tab.11[[#This Row],[w.0]],Tab.11[[#This Row],[w.0]]/SUM(Tab.11[w.0])))</f>
        <v>0</v>
      </c>
      <c r="AF161" s="76" t="str">
        <f>IF(Tab.11[[#This Row],[a1]]=0,"false",[3]!Tab.x5[[#This Row],[%_seN_C]])</f>
        <v>false</v>
      </c>
      <c r="AG161" s="77" t="b">
        <f>IF(Tab.11[[#This Row],[a1]]=1,AP161)</f>
        <v>0</v>
      </c>
      <c r="AH161" s="78" t="b">
        <f>IF(Tab.11[[#This Row],[a1]]=1,AQ161)</f>
        <v>0</v>
      </c>
      <c r="AI161" s="41">
        <v>3.0000000000000001E-3</v>
      </c>
      <c r="AJ161" s="79">
        <v>7.0000000000000007E-2</v>
      </c>
      <c r="AK161" s="80" t="b">
        <f>IF(Tab.11[[#This Row],[a1]]=1,1)</f>
        <v>0</v>
      </c>
      <c r="AZ161"/>
    </row>
    <row r="162" spans="1:52" ht="14.25" hidden="1" customHeight="1" x14ac:dyDescent="0.25">
      <c r="A162" s="61">
        <f t="shared" si="7"/>
        <v>0</v>
      </c>
      <c r="B162" s="62">
        <f t="shared" si="7"/>
        <v>0</v>
      </c>
      <c r="C162" s="62" t="b">
        <f>IF(Tab.11[[#This Row],[a1]]=1,[3]!Tab_x1[[#This Row],[Name]])</f>
        <v>0</v>
      </c>
      <c r="D162" s="63" t="b">
        <f>IF(Tab.11[[#This Row],[a1]]=1,AO162)</f>
        <v>0</v>
      </c>
      <c r="E162" s="63">
        <f t="shared" si="6"/>
        <v>0</v>
      </c>
      <c r="F162" s="64" t="b">
        <f>IF(Tab.11[[#This Row],[a1]]=1,Tab.11[[#This Row],[b1]])</f>
        <v>0</v>
      </c>
      <c r="G162" s="65" t="b">
        <f>IF(Tab.11[[#This Row],[a1]]=1,IF(Tab.11[[#This Row],[b3]]&gt;$L$989*$G$3,$L$989*$G$3,IF(Tab.11[[#This Row],[b3]]&lt;$M$989*$G$3,$M$989*$G$3,Tab.11[[#This Row],[b3]])))</f>
        <v>0</v>
      </c>
      <c r="H162" s="66" t="b">
        <f>IF(Tab.11[[#This Row],[a1]]=1,Tab.11[[#This Row],[b1]])</f>
        <v>0</v>
      </c>
      <c r="I162" s="67" t="b">
        <f>IF(Tab.11[[#This Row],[a1]]=1,Tab.11[[#This Row],[b1]])</f>
        <v>0</v>
      </c>
      <c r="J162" s="68" t="b">
        <f>IF(Tab.11[[#This Row],[a1]]=1,IF($I$3&lt;0,Tab.11[[#This Row],[b5]]-$I$3,Tab.11[[#This Row],[b5]]))</f>
        <v>0</v>
      </c>
      <c r="K162" s="68" t="b">
        <f>IF(Tab.11[[#This Row],[a1]]=1,IF($K$3=0,Tab.11[b6],Tab.11[[#This Row],[b6]]-AVERAGE(Tab.11[b6])))</f>
        <v>0</v>
      </c>
      <c r="L162" s="69" t="b">
        <f>IF(Tab.11[[#This Row],[a1]]=1,Tab.11[[#This Row],[data]]/(_xlfn.STDEV.P(Tab.11[data])*$B$989)+$A$989)</f>
        <v>0</v>
      </c>
      <c r="M162" s="69" t="b">
        <f>IF(Tab.11[[#This Row],[a1]]=1,Tab.11[[#This Row],[data]]/(_xlfn.STDEV.P(Tab.11[data])*$B$987)-$A$987)</f>
        <v>0</v>
      </c>
      <c r="N162" s="69" t="b">
        <f>IF(Tab.11[[#This Row],[a1]]=1,Tab.11[[#This Row],[data]]/(_xlfn.STDEV.P(Tab.11[data])*$B$988)+$A$988)</f>
        <v>0</v>
      </c>
      <c r="O162" s="70" t="b">
        <f>IF(Tab.11[[#This Row],[a1]]=1,_xlfn.NORM.DIST(Tab.11[[#This Row],[b8]],$P$1,$Q$1,FALSE))</f>
        <v>0</v>
      </c>
      <c r="P162" s="70" t="b">
        <f>IF(Tab.11[[#This Row],[a1]]=1,_xlfn.NORM.DIST(Tab.11[[#This Row],[b9]],$P$1,$Q$1,FALSE))</f>
        <v>0</v>
      </c>
      <c r="Q162" s="70" t="b">
        <f>IF(Tab.11[[#This Row],[a1]]=1,_xlfn.NORM.DIST(Tab.11[[#This Row],[b10]],$P$1,$Q$1,FALSE))</f>
        <v>0</v>
      </c>
      <c r="R162" s="67" t="b">
        <f>IF(Tab.11[[#This Row],[a1]]=1,$I$3+$A$989+IF($K$3=0,Tab.11[[#This Row],[b8]]*_xlfn.STDEV.P(Tab.11[data]),AVERAGE(Tab.11[b6])+Tab.11[[#This Row],[b8]]*_xlfn.STDEV.P(Tab.11[data])))</f>
        <v>0</v>
      </c>
      <c r="S162" s="71" t="b">
        <f>IF(Tab.11[[#This Row],[a1]]=1,$I$3+$A$987+IF($K$3=0,Tab.11[[#This Row],[b9]]*_xlfn.STDEV.P(Tab.11[data]),AVERAGE(Tab.11[b6])+Tab.11[[#This Row],[b9]]*_xlfn.STDEV.P(Tab.11[data])))</f>
        <v>0</v>
      </c>
      <c r="T162" s="71" t="b">
        <f>IF(Tab.11[[#This Row],[a1]]=1,$I$3+$A$988+IF($K$3=0,Tab.11[[#This Row],[b10]]*_xlfn.STDEV.P(Tab.11[data]),AVERAGE(Tab.11[b6])+Tab.11[[#This Row],[b10]]*_xlfn.STDEV.P(Tab.11[data])))</f>
        <v>0</v>
      </c>
      <c r="U162" s="72" t="b">
        <f>IF(Tab.11[[#This Row],[a1]]=1,Tab.11[[#This Row],[target]]-Tab.11[[#This Row],[Red]])</f>
        <v>0</v>
      </c>
      <c r="V162" s="72" t="b">
        <f>IF(Tab.11[[#This Row],[a1]]=1,Tab.11[[#This Row],[target]]-Tab.11[[#This Row],[Blue]])</f>
        <v>0</v>
      </c>
      <c r="W162" s="73" t="b">
        <f>IF(Tab.11[[#This Row],[a1]]=1,IF(ABS(Tab.11[[#This Row],[b17]])+ABS(Tab.11[[#This Row],[b18]])&lt;$W$2,$W$2,ABS(Tab.11[[#This Row],[b17]])+ABS(Tab.11[[#This Row],[b18]])))</f>
        <v>0</v>
      </c>
      <c r="X162" s="136" t="b">
        <f>IF(Tab.11[[#This Row],[a1]]=1,IF($W$3&lt;0,Tab.11[[#This Row],[IN]]-$I$3,Tab.11[[#This Row],[IN]]))</f>
        <v>0</v>
      </c>
      <c r="Y162" s="136" t="b">
        <f>IF(Tab.11[[#This Row],[a1]]=1,IF($X$3=0,Tab.11[b66],Tab.11[[#This Row],[b66]]-AVERAGE(Tab.11[b66])))</f>
        <v>0</v>
      </c>
      <c r="Z162" s="135" t="b">
        <f>IF(Tab.11[[#This Row],[a1]]=1,Tab.11[[#This Row],[b77]]/(_xlfn.STDEV.P(Tab.11[b77])))</f>
        <v>0</v>
      </c>
      <c r="AA162" s="70" t="b">
        <f>IF(Tab.11[[#This Row],[a1]]=1,_xlfn.NORM.DIST(Tab.11[[#This Row],[b88]],$Z$1,$AA$1,FALSE))</f>
        <v>0</v>
      </c>
      <c r="AB162" s="74" t="b">
        <f>IF(Tab.11[[#This Row],[a1]]=1,IF($A$3=0,FALSE,1/Tab.11[[#This Row],[IN]]*$AC$2*IF(Tab.11[[#This Row],[a1]]=0,,$A$3*$AC$1*1/$V$3*(Tab.11[[#This Row],[b14]]))))</f>
        <v>0</v>
      </c>
      <c r="AC162" s="75" t="b">
        <f>IF(Tab.11[[#This Row],[a1]]=1,IF($AC$3=0,Tab.11[[#This Row],[φ1]],Tab.11[[#This Row],[φ1]]/MAX(Tab.11[φ1])))</f>
        <v>0</v>
      </c>
      <c r="AD162" s="74" t="b">
        <f>IF(Tab.11[[#This Row],[a1]]=1,1/Tab.11[[#This Row],[φ2]])</f>
        <v>0</v>
      </c>
      <c r="AE162" s="74" t="b">
        <f>IF(Tab.11[[#This Row],[a1]]=1,IF($AE$3=0,Tab.11[[#This Row],[w.0]],Tab.11[[#This Row],[w.0]]/SUM(Tab.11[w.0])))</f>
        <v>0</v>
      </c>
      <c r="AF162" s="76" t="str">
        <f>IF(Tab.11[[#This Row],[a1]]=0,"false",[3]!Tab.x5[[#This Row],[%_seN_C]])</f>
        <v>false</v>
      </c>
      <c r="AG162" s="77" t="b">
        <f>IF(Tab.11[[#This Row],[a1]]=1,AP162)</f>
        <v>0</v>
      </c>
      <c r="AH162" s="78" t="b">
        <f>IF(Tab.11[[#This Row],[a1]]=1,AQ162)</f>
        <v>0</v>
      </c>
      <c r="AI162" s="41">
        <v>3.0000000000000001E-3</v>
      </c>
      <c r="AJ162" s="79">
        <v>0.06</v>
      </c>
      <c r="AK162" s="80" t="b">
        <f>IF(Tab.11[[#This Row],[a1]]=1,1)</f>
        <v>0</v>
      </c>
      <c r="AZ162"/>
    </row>
    <row r="163" spans="1:52" ht="14.25" hidden="1" customHeight="1" x14ac:dyDescent="0.25">
      <c r="A163" s="61">
        <f t="shared" si="7"/>
        <v>0</v>
      </c>
      <c r="B163" s="62">
        <f t="shared" si="7"/>
        <v>0</v>
      </c>
      <c r="C163" s="62" t="b">
        <f>IF(Tab.11[[#This Row],[a1]]=1,[3]!Tab_x1[[#This Row],[Name]])</f>
        <v>0</v>
      </c>
      <c r="D163" s="63" t="b">
        <f>IF(Tab.11[[#This Row],[a1]]=1,AO163)</f>
        <v>0</v>
      </c>
      <c r="E163" s="63">
        <f t="shared" si="6"/>
        <v>0</v>
      </c>
      <c r="F163" s="64" t="b">
        <f>IF(Tab.11[[#This Row],[a1]]=1,Tab.11[[#This Row],[b1]])</f>
        <v>0</v>
      </c>
      <c r="G163" s="65" t="b">
        <f>IF(Tab.11[[#This Row],[a1]]=1,IF(Tab.11[[#This Row],[b3]]&gt;$L$989*$G$3,$L$989*$G$3,IF(Tab.11[[#This Row],[b3]]&lt;$M$989*$G$3,$M$989*$G$3,Tab.11[[#This Row],[b3]])))</f>
        <v>0</v>
      </c>
      <c r="H163" s="66" t="b">
        <f>IF(Tab.11[[#This Row],[a1]]=1,Tab.11[[#This Row],[b1]])</f>
        <v>0</v>
      </c>
      <c r="I163" s="67" t="b">
        <f>IF(Tab.11[[#This Row],[a1]]=1,Tab.11[[#This Row],[b1]])</f>
        <v>0</v>
      </c>
      <c r="J163" s="68" t="b">
        <f>IF(Tab.11[[#This Row],[a1]]=1,IF($I$3&lt;0,Tab.11[[#This Row],[b5]]-$I$3,Tab.11[[#This Row],[b5]]))</f>
        <v>0</v>
      </c>
      <c r="K163" s="68" t="b">
        <f>IF(Tab.11[[#This Row],[a1]]=1,IF($K$3=0,Tab.11[b6],Tab.11[[#This Row],[b6]]-AVERAGE(Tab.11[b6])))</f>
        <v>0</v>
      </c>
      <c r="L163" s="69" t="b">
        <f>IF(Tab.11[[#This Row],[a1]]=1,Tab.11[[#This Row],[data]]/(_xlfn.STDEV.P(Tab.11[data])*$B$989)+$A$989)</f>
        <v>0</v>
      </c>
      <c r="M163" s="69" t="b">
        <f>IF(Tab.11[[#This Row],[a1]]=1,Tab.11[[#This Row],[data]]/(_xlfn.STDEV.P(Tab.11[data])*$B$987)-$A$987)</f>
        <v>0</v>
      </c>
      <c r="N163" s="69" t="b">
        <f>IF(Tab.11[[#This Row],[a1]]=1,Tab.11[[#This Row],[data]]/(_xlfn.STDEV.P(Tab.11[data])*$B$988)+$A$988)</f>
        <v>0</v>
      </c>
      <c r="O163" s="70" t="b">
        <f>IF(Tab.11[[#This Row],[a1]]=1,_xlfn.NORM.DIST(Tab.11[[#This Row],[b8]],$P$1,$Q$1,FALSE))</f>
        <v>0</v>
      </c>
      <c r="P163" s="70" t="b">
        <f>IF(Tab.11[[#This Row],[a1]]=1,_xlfn.NORM.DIST(Tab.11[[#This Row],[b9]],$P$1,$Q$1,FALSE))</f>
        <v>0</v>
      </c>
      <c r="Q163" s="70" t="b">
        <f>IF(Tab.11[[#This Row],[a1]]=1,_xlfn.NORM.DIST(Tab.11[[#This Row],[b10]],$P$1,$Q$1,FALSE))</f>
        <v>0</v>
      </c>
      <c r="R163" s="67" t="b">
        <f>IF(Tab.11[[#This Row],[a1]]=1,$I$3+$A$989+IF($K$3=0,Tab.11[[#This Row],[b8]]*_xlfn.STDEV.P(Tab.11[data]),AVERAGE(Tab.11[b6])+Tab.11[[#This Row],[b8]]*_xlfn.STDEV.P(Tab.11[data])))</f>
        <v>0</v>
      </c>
      <c r="S163" s="71" t="b">
        <f>IF(Tab.11[[#This Row],[a1]]=1,$I$3+$A$987+IF($K$3=0,Tab.11[[#This Row],[b9]]*_xlfn.STDEV.P(Tab.11[data]),AVERAGE(Tab.11[b6])+Tab.11[[#This Row],[b9]]*_xlfn.STDEV.P(Tab.11[data])))</f>
        <v>0</v>
      </c>
      <c r="T163" s="71" t="b">
        <f>IF(Tab.11[[#This Row],[a1]]=1,$I$3+$A$988+IF($K$3=0,Tab.11[[#This Row],[b10]]*_xlfn.STDEV.P(Tab.11[data]),AVERAGE(Tab.11[b6])+Tab.11[[#This Row],[b10]]*_xlfn.STDEV.P(Tab.11[data])))</f>
        <v>0</v>
      </c>
      <c r="U163" s="72" t="b">
        <f>IF(Tab.11[[#This Row],[a1]]=1,Tab.11[[#This Row],[target]]-Tab.11[[#This Row],[Red]])</f>
        <v>0</v>
      </c>
      <c r="V163" s="72" t="b">
        <f>IF(Tab.11[[#This Row],[a1]]=1,Tab.11[[#This Row],[target]]-Tab.11[[#This Row],[Blue]])</f>
        <v>0</v>
      </c>
      <c r="W163" s="73" t="b">
        <f>IF(Tab.11[[#This Row],[a1]]=1,IF(ABS(Tab.11[[#This Row],[b17]])+ABS(Tab.11[[#This Row],[b18]])&lt;$W$2,$W$2,ABS(Tab.11[[#This Row],[b17]])+ABS(Tab.11[[#This Row],[b18]])))</f>
        <v>0</v>
      </c>
      <c r="X163" s="136" t="b">
        <f>IF(Tab.11[[#This Row],[a1]]=1,IF($W$3&lt;0,Tab.11[[#This Row],[IN]]-$I$3,Tab.11[[#This Row],[IN]]))</f>
        <v>0</v>
      </c>
      <c r="Y163" s="136" t="b">
        <f>IF(Tab.11[[#This Row],[a1]]=1,IF($X$3=0,Tab.11[b66],Tab.11[[#This Row],[b66]]-AVERAGE(Tab.11[b66])))</f>
        <v>0</v>
      </c>
      <c r="Z163" s="135" t="b">
        <f>IF(Tab.11[[#This Row],[a1]]=1,Tab.11[[#This Row],[b77]]/(_xlfn.STDEV.P(Tab.11[b77])))</f>
        <v>0</v>
      </c>
      <c r="AA163" s="70" t="b">
        <f>IF(Tab.11[[#This Row],[a1]]=1,_xlfn.NORM.DIST(Tab.11[[#This Row],[b88]],$Z$1,$AA$1,FALSE))</f>
        <v>0</v>
      </c>
      <c r="AB163" s="74" t="b">
        <f>IF(Tab.11[[#This Row],[a1]]=1,IF($A$3=0,FALSE,1/Tab.11[[#This Row],[IN]]*$AC$2*IF(Tab.11[[#This Row],[a1]]=0,,$A$3*$AC$1*1/$V$3*(Tab.11[[#This Row],[b14]]))))</f>
        <v>0</v>
      </c>
      <c r="AC163" s="75" t="b">
        <f>IF(Tab.11[[#This Row],[a1]]=1,IF($AC$3=0,Tab.11[[#This Row],[φ1]],Tab.11[[#This Row],[φ1]]/MAX(Tab.11[φ1])))</f>
        <v>0</v>
      </c>
      <c r="AD163" s="74" t="b">
        <f>IF(Tab.11[[#This Row],[a1]]=1,1/Tab.11[[#This Row],[φ2]])</f>
        <v>0</v>
      </c>
      <c r="AE163" s="74" t="b">
        <f>IF(Tab.11[[#This Row],[a1]]=1,IF($AE$3=0,Tab.11[[#This Row],[w.0]],Tab.11[[#This Row],[w.0]]/SUM(Tab.11[w.0])))</f>
        <v>0</v>
      </c>
      <c r="AF163" s="76" t="str">
        <f>IF(Tab.11[[#This Row],[a1]]=0,"false",[3]!Tab.x5[[#This Row],[%_seN_C]])</f>
        <v>false</v>
      </c>
      <c r="AG163" s="77" t="b">
        <f>IF(Tab.11[[#This Row],[a1]]=1,AP163)</f>
        <v>0</v>
      </c>
      <c r="AH163" s="78" t="b">
        <f>IF(Tab.11[[#This Row],[a1]]=1,AQ163)</f>
        <v>0</v>
      </c>
      <c r="AI163" s="41">
        <v>3.0000000000000001E-3</v>
      </c>
      <c r="AJ163" s="79">
        <v>0</v>
      </c>
      <c r="AK163" s="80" t="b">
        <f>IF(Tab.11[[#This Row],[a1]]=1,1)</f>
        <v>0</v>
      </c>
      <c r="AZ163"/>
    </row>
    <row r="164" spans="1:52" ht="14.25" hidden="1" customHeight="1" x14ac:dyDescent="0.25">
      <c r="A164" s="61">
        <f t="shared" si="7"/>
        <v>0</v>
      </c>
      <c r="B164" s="62">
        <f t="shared" si="7"/>
        <v>0</v>
      </c>
      <c r="C164" s="62" t="b">
        <f>IF(Tab.11[[#This Row],[a1]]=1,[3]!Tab_x1[[#This Row],[Name]])</f>
        <v>0</v>
      </c>
      <c r="D164" s="63" t="b">
        <f>IF(Tab.11[[#This Row],[a1]]=1,AO164)</f>
        <v>0</v>
      </c>
      <c r="E164" s="63">
        <f t="shared" si="6"/>
        <v>0</v>
      </c>
      <c r="F164" s="64" t="b">
        <f>IF(Tab.11[[#This Row],[a1]]=1,Tab.11[[#This Row],[b1]])</f>
        <v>0</v>
      </c>
      <c r="G164" s="65" t="b">
        <f>IF(Tab.11[[#This Row],[a1]]=1,IF(Tab.11[[#This Row],[b3]]&gt;$L$989*$G$3,$L$989*$G$3,IF(Tab.11[[#This Row],[b3]]&lt;$M$989*$G$3,$M$989*$G$3,Tab.11[[#This Row],[b3]])))</f>
        <v>0</v>
      </c>
      <c r="H164" s="66" t="b">
        <f>IF(Tab.11[[#This Row],[a1]]=1,Tab.11[[#This Row],[b1]])</f>
        <v>0</v>
      </c>
      <c r="I164" s="67" t="b">
        <f>IF(Tab.11[[#This Row],[a1]]=1,Tab.11[[#This Row],[b1]])</f>
        <v>0</v>
      </c>
      <c r="J164" s="68" t="b">
        <f>IF(Tab.11[[#This Row],[a1]]=1,IF($I$3&lt;0,Tab.11[[#This Row],[b5]]-$I$3,Tab.11[[#This Row],[b5]]))</f>
        <v>0</v>
      </c>
      <c r="K164" s="68" t="b">
        <f>IF(Tab.11[[#This Row],[a1]]=1,IF($K$3=0,Tab.11[b6],Tab.11[[#This Row],[b6]]-AVERAGE(Tab.11[b6])))</f>
        <v>0</v>
      </c>
      <c r="L164" s="69" t="b">
        <f>IF(Tab.11[[#This Row],[a1]]=1,Tab.11[[#This Row],[data]]/(_xlfn.STDEV.P(Tab.11[data])*$B$989)+$A$989)</f>
        <v>0</v>
      </c>
      <c r="M164" s="69" t="b">
        <f>IF(Tab.11[[#This Row],[a1]]=1,Tab.11[[#This Row],[data]]/(_xlfn.STDEV.P(Tab.11[data])*$B$987)-$A$987)</f>
        <v>0</v>
      </c>
      <c r="N164" s="69" t="b">
        <f>IF(Tab.11[[#This Row],[a1]]=1,Tab.11[[#This Row],[data]]/(_xlfn.STDEV.P(Tab.11[data])*$B$988)+$A$988)</f>
        <v>0</v>
      </c>
      <c r="O164" s="70" t="b">
        <f>IF(Tab.11[[#This Row],[a1]]=1,_xlfn.NORM.DIST(Tab.11[[#This Row],[b8]],$P$1,$Q$1,FALSE))</f>
        <v>0</v>
      </c>
      <c r="P164" s="70" t="b">
        <f>IF(Tab.11[[#This Row],[a1]]=1,_xlfn.NORM.DIST(Tab.11[[#This Row],[b9]],$P$1,$Q$1,FALSE))</f>
        <v>0</v>
      </c>
      <c r="Q164" s="70" t="b">
        <f>IF(Tab.11[[#This Row],[a1]]=1,_xlfn.NORM.DIST(Tab.11[[#This Row],[b10]],$P$1,$Q$1,FALSE))</f>
        <v>0</v>
      </c>
      <c r="R164" s="67" t="b">
        <f>IF(Tab.11[[#This Row],[a1]]=1,$I$3+$A$989+IF($K$3=0,Tab.11[[#This Row],[b8]]*_xlfn.STDEV.P(Tab.11[data]),AVERAGE(Tab.11[b6])+Tab.11[[#This Row],[b8]]*_xlfn.STDEV.P(Tab.11[data])))</f>
        <v>0</v>
      </c>
      <c r="S164" s="71" t="b">
        <f>IF(Tab.11[[#This Row],[a1]]=1,$I$3+$A$987+IF($K$3=0,Tab.11[[#This Row],[b9]]*_xlfn.STDEV.P(Tab.11[data]),AVERAGE(Tab.11[b6])+Tab.11[[#This Row],[b9]]*_xlfn.STDEV.P(Tab.11[data])))</f>
        <v>0</v>
      </c>
      <c r="T164" s="71" t="b">
        <f>IF(Tab.11[[#This Row],[a1]]=1,$I$3+$A$988+IF($K$3=0,Tab.11[[#This Row],[b10]]*_xlfn.STDEV.P(Tab.11[data]),AVERAGE(Tab.11[b6])+Tab.11[[#This Row],[b10]]*_xlfn.STDEV.P(Tab.11[data])))</f>
        <v>0</v>
      </c>
      <c r="U164" s="72" t="b">
        <f>IF(Tab.11[[#This Row],[a1]]=1,Tab.11[[#This Row],[target]]-Tab.11[[#This Row],[Red]])</f>
        <v>0</v>
      </c>
      <c r="V164" s="72" t="b">
        <f>IF(Tab.11[[#This Row],[a1]]=1,Tab.11[[#This Row],[target]]-Tab.11[[#This Row],[Blue]])</f>
        <v>0</v>
      </c>
      <c r="W164" s="73" t="b">
        <f>IF(Tab.11[[#This Row],[a1]]=1,IF(ABS(Tab.11[[#This Row],[b17]])+ABS(Tab.11[[#This Row],[b18]])&lt;$W$2,$W$2,ABS(Tab.11[[#This Row],[b17]])+ABS(Tab.11[[#This Row],[b18]])))</f>
        <v>0</v>
      </c>
      <c r="X164" s="136" t="b">
        <f>IF(Tab.11[[#This Row],[a1]]=1,IF($W$3&lt;0,Tab.11[[#This Row],[IN]]-$I$3,Tab.11[[#This Row],[IN]]))</f>
        <v>0</v>
      </c>
      <c r="Y164" s="136" t="b">
        <f>IF(Tab.11[[#This Row],[a1]]=1,IF($X$3=0,Tab.11[b66],Tab.11[[#This Row],[b66]]-AVERAGE(Tab.11[b66])))</f>
        <v>0</v>
      </c>
      <c r="Z164" s="135" t="b">
        <f>IF(Tab.11[[#This Row],[a1]]=1,Tab.11[[#This Row],[b77]]/(_xlfn.STDEV.P(Tab.11[b77])))</f>
        <v>0</v>
      </c>
      <c r="AA164" s="70" t="b">
        <f>IF(Tab.11[[#This Row],[a1]]=1,_xlfn.NORM.DIST(Tab.11[[#This Row],[b88]],$Z$1,$AA$1,FALSE))</f>
        <v>0</v>
      </c>
      <c r="AB164" s="74" t="b">
        <f>IF(Tab.11[[#This Row],[a1]]=1,IF($A$3=0,FALSE,1/Tab.11[[#This Row],[IN]]*$AC$2*IF(Tab.11[[#This Row],[a1]]=0,,$A$3*$AC$1*1/$V$3*(Tab.11[[#This Row],[b14]]))))</f>
        <v>0</v>
      </c>
      <c r="AC164" s="75" t="b">
        <f>IF(Tab.11[[#This Row],[a1]]=1,IF($AC$3=0,Tab.11[[#This Row],[φ1]],Tab.11[[#This Row],[φ1]]/MAX(Tab.11[φ1])))</f>
        <v>0</v>
      </c>
      <c r="AD164" s="74" t="b">
        <f>IF(Tab.11[[#This Row],[a1]]=1,1/Tab.11[[#This Row],[φ2]])</f>
        <v>0</v>
      </c>
      <c r="AE164" s="74" t="b">
        <f>IF(Tab.11[[#This Row],[a1]]=1,IF($AE$3=0,Tab.11[[#This Row],[w.0]],Tab.11[[#This Row],[w.0]]/SUM(Tab.11[w.0])))</f>
        <v>0</v>
      </c>
      <c r="AF164" s="76" t="str">
        <f>IF(Tab.11[[#This Row],[a1]]=0,"false",[3]!Tab.x5[[#This Row],[%_seN_C]])</f>
        <v>false</v>
      </c>
      <c r="AG164" s="77" t="b">
        <f>IF(Tab.11[[#This Row],[a1]]=1,AP164)</f>
        <v>0</v>
      </c>
      <c r="AH164" s="78" t="b">
        <f>IF(Tab.11[[#This Row],[a1]]=1,AQ164)</f>
        <v>0</v>
      </c>
      <c r="AI164" s="41">
        <v>3.0000000000000001E-3</v>
      </c>
      <c r="AJ164" s="79">
        <v>0.01</v>
      </c>
      <c r="AK164" s="80" t="b">
        <f>IF(Tab.11[[#This Row],[a1]]=1,1)</f>
        <v>0</v>
      </c>
      <c r="AZ164"/>
    </row>
    <row r="165" spans="1:52" ht="14.25" hidden="1" customHeight="1" x14ac:dyDescent="0.25">
      <c r="A165" s="61">
        <f t="shared" si="7"/>
        <v>0</v>
      </c>
      <c r="B165" s="62">
        <f t="shared" si="7"/>
        <v>0</v>
      </c>
      <c r="C165" s="62" t="b">
        <f>IF(Tab.11[[#This Row],[a1]]=1,[3]!Tab_x1[[#This Row],[Name]])</f>
        <v>0</v>
      </c>
      <c r="D165" s="63" t="b">
        <f>IF(Tab.11[[#This Row],[a1]]=1,AO165)</f>
        <v>0</v>
      </c>
      <c r="E165" s="63">
        <f t="shared" si="6"/>
        <v>0</v>
      </c>
      <c r="F165" s="64" t="b">
        <f>IF(Tab.11[[#This Row],[a1]]=1,Tab.11[[#This Row],[b1]])</f>
        <v>0</v>
      </c>
      <c r="G165" s="65" t="b">
        <f>IF(Tab.11[[#This Row],[a1]]=1,IF(Tab.11[[#This Row],[b3]]&gt;$L$989*$G$3,$L$989*$G$3,IF(Tab.11[[#This Row],[b3]]&lt;$M$989*$G$3,$M$989*$G$3,Tab.11[[#This Row],[b3]])))</f>
        <v>0</v>
      </c>
      <c r="H165" s="66" t="b">
        <f>IF(Tab.11[[#This Row],[a1]]=1,Tab.11[[#This Row],[b1]])</f>
        <v>0</v>
      </c>
      <c r="I165" s="67" t="b">
        <f>IF(Tab.11[[#This Row],[a1]]=1,Tab.11[[#This Row],[b1]])</f>
        <v>0</v>
      </c>
      <c r="J165" s="68" t="b">
        <f>IF(Tab.11[[#This Row],[a1]]=1,IF($I$3&lt;0,Tab.11[[#This Row],[b5]]-$I$3,Tab.11[[#This Row],[b5]]))</f>
        <v>0</v>
      </c>
      <c r="K165" s="68" t="b">
        <f>IF(Tab.11[[#This Row],[a1]]=1,IF($K$3=0,Tab.11[b6],Tab.11[[#This Row],[b6]]-AVERAGE(Tab.11[b6])))</f>
        <v>0</v>
      </c>
      <c r="L165" s="69" t="b">
        <f>IF(Tab.11[[#This Row],[a1]]=1,Tab.11[[#This Row],[data]]/(_xlfn.STDEV.P(Tab.11[data])*$B$989)+$A$989)</f>
        <v>0</v>
      </c>
      <c r="M165" s="69" t="b">
        <f>IF(Tab.11[[#This Row],[a1]]=1,Tab.11[[#This Row],[data]]/(_xlfn.STDEV.P(Tab.11[data])*$B$987)-$A$987)</f>
        <v>0</v>
      </c>
      <c r="N165" s="69" t="b">
        <f>IF(Tab.11[[#This Row],[a1]]=1,Tab.11[[#This Row],[data]]/(_xlfn.STDEV.P(Tab.11[data])*$B$988)+$A$988)</f>
        <v>0</v>
      </c>
      <c r="O165" s="70" t="b">
        <f>IF(Tab.11[[#This Row],[a1]]=1,_xlfn.NORM.DIST(Tab.11[[#This Row],[b8]],$P$1,$Q$1,FALSE))</f>
        <v>0</v>
      </c>
      <c r="P165" s="70" t="b">
        <f>IF(Tab.11[[#This Row],[a1]]=1,_xlfn.NORM.DIST(Tab.11[[#This Row],[b9]],$P$1,$Q$1,FALSE))</f>
        <v>0</v>
      </c>
      <c r="Q165" s="70" t="b">
        <f>IF(Tab.11[[#This Row],[a1]]=1,_xlfn.NORM.DIST(Tab.11[[#This Row],[b10]],$P$1,$Q$1,FALSE))</f>
        <v>0</v>
      </c>
      <c r="R165" s="67" t="b">
        <f>IF(Tab.11[[#This Row],[a1]]=1,$I$3+$A$989+IF($K$3=0,Tab.11[[#This Row],[b8]]*_xlfn.STDEV.P(Tab.11[data]),AVERAGE(Tab.11[b6])+Tab.11[[#This Row],[b8]]*_xlfn.STDEV.P(Tab.11[data])))</f>
        <v>0</v>
      </c>
      <c r="S165" s="71" t="b">
        <f>IF(Tab.11[[#This Row],[a1]]=1,$I$3+$A$987+IF($K$3=0,Tab.11[[#This Row],[b9]]*_xlfn.STDEV.P(Tab.11[data]),AVERAGE(Tab.11[b6])+Tab.11[[#This Row],[b9]]*_xlfn.STDEV.P(Tab.11[data])))</f>
        <v>0</v>
      </c>
      <c r="T165" s="71" t="b">
        <f>IF(Tab.11[[#This Row],[a1]]=1,$I$3+$A$988+IF($K$3=0,Tab.11[[#This Row],[b10]]*_xlfn.STDEV.P(Tab.11[data]),AVERAGE(Tab.11[b6])+Tab.11[[#This Row],[b10]]*_xlfn.STDEV.P(Tab.11[data])))</f>
        <v>0</v>
      </c>
      <c r="U165" s="72" t="b">
        <f>IF(Tab.11[[#This Row],[a1]]=1,Tab.11[[#This Row],[target]]-Tab.11[[#This Row],[Red]])</f>
        <v>0</v>
      </c>
      <c r="V165" s="72" t="b">
        <f>IF(Tab.11[[#This Row],[a1]]=1,Tab.11[[#This Row],[target]]-Tab.11[[#This Row],[Blue]])</f>
        <v>0</v>
      </c>
      <c r="W165" s="73" t="b">
        <f>IF(Tab.11[[#This Row],[a1]]=1,IF(ABS(Tab.11[[#This Row],[b17]])+ABS(Tab.11[[#This Row],[b18]])&lt;$W$2,$W$2,ABS(Tab.11[[#This Row],[b17]])+ABS(Tab.11[[#This Row],[b18]])))</f>
        <v>0</v>
      </c>
      <c r="X165" s="136" t="b">
        <f>IF(Tab.11[[#This Row],[a1]]=1,IF($W$3&lt;0,Tab.11[[#This Row],[IN]]-$I$3,Tab.11[[#This Row],[IN]]))</f>
        <v>0</v>
      </c>
      <c r="Y165" s="136" t="b">
        <f>IF(Tab.11[[#This Row],[a1]]=1,IF($X$3=0,Tab.11[b66],Tab.11[[#This Row],[b66]]-AVERAGE(Tab.11[b66])))</f>
        <v>0</v>
      </c>
      <c r="Z165" s="135" t="b">
        <f>IF(Tab.11[[#This Row],[a1]]=1,Tab.11[[#This Row],[b77]]/(_xlfn.STDEV.P(Tab.11[b77])))</f>
        <v>0</v>
      </c>
      <c r="AA165" s="70" t="b">
        <f>IF(Tab.11[[#This Row],[a1]]=1,_xlfn.NORM.DIST(Tab.11[[#This Row],[b88]],$Z$1,$AA$1,FALSE))</f>
        <v>0</v>
      </c>
      <c r="AB165" s="74" t="b">
        <f>IF(Tab.11[[#This Row],[a1]]=1,IF($A$3=0,FALSE,1/Tab.11[[#This Row],[IN]]*$AC$2*IF(Tab.11[[#This Row],[a1]]=0,,$A$3*$AC$1*1/$V$3*(Tab.11[[#This Row],[b14]]))))</f>
        <v>0</v>
      </c>
      <c r="AC165" s="75" t="b">
        <f>IF(Tab.11[[#This Row],[a1]]=1,IF($AC$3=0,Tab.11[[#This Row],[φ1]],Tab.11[[#This Row],[φ1]]/MAX(Tab.11[φ1])))</f>
        <v>0</v>
      </c>
      <c r="AD165" s="74" t="b">
        <f>IF(Tab.11[[#This Row],[a1]]=1,1/Tab.11[[#This Row],[φ2]])</f>
        <v>0</v>
      </c>
      <c r="AE165" s="74" t="b">
        <f>IF(Tab.11[[#This Row],[a1]]=1,IF($AE$3=0,Tab.11[[#This Row],[w.0]],Tab.11[[#This Row],[w.0]]/SUM(Tab.11[w.0])))</f>
        <v>0</v>
      </c>
      <c r="AF165" s="76" t="str">
        <f>IF(Tab.11[[#This Row],[a1]]=0,"false",[3]!Tab.x5[[#This Row],[%_seN_C]])</f>
        <v>false</v>
      </c>
      <c r="AG165" s="77" t="b">
        <f>IF(Tab.11[[#This Row],[a1]]=1,AP165)</f>
        <v>0</v>
      </c>
      <c r="AH165" s="78" t="b">
        <f>IF(Tab.11[[#This Row],[a1]]=1,AQ165)</f>
        <v>0</v>
      </c>
      <c r="AI165" s="41">
        <v>3.0000000000000001E-3</v>
      </c>
      <c r="AJ165" s="79">
        <v>-0.02</v>
      </c>
      <c r="AK165" s="80" t="b">
        <f>IF(Tab.11[[#This Row],[a1]]=1,1)</f>
        <v>0</v>
      </c>
      <c r="AZ165"/>
    </row>
    <row r="166" spans="1:52" ht="14.25" hidden="1" customHeight="1" x14ac:dyDescent="0.25">
      <c r="A166" s="61">
        <f t="shared" si="7"/>
        <v>0</v>
      </c>
      <c r="B166" s="62">
        <f t="shared" si="7"/>
        <v>0</v>
      </c>
      <c r="C166" s="62" t="b">
        <f>IF(Tab.11[[#This Row],[a1]]=1,[3]!Tab_x1[[#This Row],[Name]])</f>
        <v>0</v>
      </c>
      <c r="D166" s="63" t="b">
        <f>IF(Tab.11[[#This Row],[a1]]=1,AO166)</f>
        <v>0</v>
      </c>
      <c r="E166" s="63">
        <f t="shared" si="6"/>
        <v>0</v>
      </c>
      <c r="F166" s="64" t="b">
        <f>IF(Tab.11[[#This Row],[a1]]=1,Tab.11[[#This Row],[b1]])</f>
        <v>0</v>
      </c>
      <c r="G166" s="65" t="b">
        <f>IF(Tab.11[[#This Row],[a1]]=1,IF(Tab.11[[#This Row],[b3]]&gt;$L$989*$G$3,$L$989*$G$3,IF(Tab.11[[#This Row],[b3]]&lt;$M$989*$G$3,$M$989*$G$3,Tab.11[[#This Row],[b3]])))</f>
        <v>0</v>
      </c>
      <c r="H166" s="66" t="b">
        <f>IF(Tab.11[[#This Row],[a1]]=1,Tab.11[[#This Row],[b1]])</f>
        <v>0</v>
      </c>
      <c r="I166" s="67" t="b">
        <f>IF(Tab.11[[#This Row],[a1]]=1,Tab.11[[#This Row],[b1]])</f>
        <v>0</v>
      </c>
      <c r="J166" s="68" t="b">
        <f>IF(Tab.11[[#This Row],[a1]]=1,IF($I$3&lt;0,Tab.11[[#This Row],[b5]]-$I$3,Tab.11[[#This Row],[b5]]))</f>
        <v>0</v>
      </c>
      <c r="K166" s="68" t="b">
        <f>IF(Tab.11[[#This Row],[a1]]=1,IF($K$3=0,Tab.11[b6],Tab.11[[#This Row],[b6]]-AVERAGE(Tab.11[b6])))</f>
        <v>0</v>
      </c>
      <c r="L166" s="69" t="b">
        <f>IF(Tab.11[[#This Row],[a1]]=1,Tab.11[[#This Row],[data]]/(_xlfn.STDEV.P(Tab.11[data])*$B$989)+$A$989)</f>
        <v>0</v>
      </c>
      <c r="M166" s="69" t="b">
        <f>IF(Tab.11[[#This Row],[a1]]=1,Tab.11[[#This Row],[data]]/(_xlfn.STDEV.P(Tab.11[data])*$B$987)-$A$987)</f>
        <v>0</v>
      </c>
      <c r="N166" s="69" t="b">
        <f>IF(Tab.11[[#This Row],[a1]]=1,Tab.11[[#This Row],[data]]/(_xlfn.STDEV.P(Tab.11[data])*$B$988)+$A$988)</f>
        <v>0</v>
      </c>
      <c r="O166" s="70" t="b">
        <f>IF(Tab.11[[#This Row],[a1]]=1,_xlfn.NORM.DIST(Tab.11[[#This Row],[b8]],$P$1,$Q$1,FALSE))</f>
        <v>0</v>
      </c>
      <c r="P166" s="70" t="b">
        <f>IF(Tab.11[[#This Row],[a1]]=1,_xlfn.NORM.DIST(Tab.11[[#This Row],[b9]],$P$1,$Q$1,FALSE))</f>
        <v>0</v>
      </c>
      <c r="Q166" s="70" t="b">
        <f>IF(Tab.11[[#This Row],[a1]]=1,_xlfn.NORM.DIST(Tab.11[[#This Row],[b10]],$P$1,$Q$1,FALSE))</f>
        <v>0</v>
      </c>
      <c r="R166" s="67" t="b">
        <f>IF(Tab.11[[#This Row],[a1]]=1,$I$3+$A$989+IF($K$3=0,Tab.11[[#This Row],[b8]]*_xlfn.STDEV.P(Tab.11[data]),AVERAGE(Tab.11[b6])+Tab.11[[#This Row],[b8]]*_xlfn.STDEV.P(Tab.11[data])))</f>
        <v>0</v>
      </c>
      <c r="S166" s="71" t="b">
        <f>IF(Tab.11[[#This Row],[a1]]=1,$I$3+$A$987+IF($K$3=0,Tab.11[[#This Row],[b9]]*_xlfn.STDEV.P(Tab.11[data]),AVERAGE(Tab.11[b6])+Tab.11[[#This Row],[b9]]*_xlfn.STDEV.P(Tab.11[data])))</f>
        <v>0</v>
      </c>
      <c r="T166" s="71" t="b">
        <f>IF(Tab.11[[#This Row],[a1]]=1,$I$3+$A$988+IF($K$3=0,Tab.11[[#This Row],[b10]]*_xlfn.STDEV.P(Tab.11[data]),AVERAGE(Tab.11[b6])+Tab.11[[#This Row],[b10]]*_xlfn.STDEV.P(Tab.11[data])))</f>
        <v>0</v>
      </c>
      <c r="U166" s="72" t="b">
        <f>IF(Tab.11[[#This Row],[a1]]=1,Tab.11[[#This Row],[target]]-Tab.11[[#This Row],[Red]])</f>
        <v>0</v>
      </c>
      <c r="V166" s="72" t="b">
        <f>IF(Tab.11[[#This Row],[a1]]=1,Tab.11[[#This Row],[target]]-Tab.11[[#This Row],[Blue]])</f>
        <v>0</v>
      </c>
      <c r="W166" s="73" t="b">
        <f>IF(Tab.11[[#This Row],[a1]]=1,IF(ABS(Tab.11[[#This Row],[b17]])+ABS(Tab.11[[#This Row],[b18]])&lt;$W$2,$W$2,ABS(Tab.11[[#This Row],[b17]])+ABS(Tab.11[[#This Row],[b18]])))</f>
        <v>0</v>
      </c>
      <c r="X166" s="136" t="b">
        <f>IF(Tab.11[[#This Row],[a1]]=1,IF($W$3&lt;0,Tab.11[[#This Row],[IN]]-$I$3,Tab.11[[#This Row],[IN]]))</f>
        <v>0</v>
      </c>
      <c r="Y166" s="136" t="b">
        <f>IF(Tab.11[[#This Row],[a1]]=1,IF($X$3=0,Tab.11[b66],Tab.11[[#This Row],[b66]]-AVERAGE(Tab.11[b66])))</f>
        <v>0</v>
      </c>
      <c r="Z166" s="135" t="b">
        <f>IF(Tab.11[[#This Row],[a1]]=1,Tab.11[[#This Row],[b77]]/(_xlfn.STDEV.P(Tab.11[b77])))</f>
        <v>0</v>
      </c>
      <c r="AA166" s="70" t="b">
        <f>IF(Tab.11[[#This Row],[a1]]=1,_xlfn.NORM.DIST(Tab.11[[#This Row],[b88]],$Z$1,$AA$1,FALSE))</f>
        <v>0</v>
      </c>
      <c r="AB166" s="74" t="b">
        <f>IF(Tab.11[[#This Row],[a1]]=1,IF($A$3=0,FALSE,1/Tab.11[[#This Row],[IN]]*$AC$2*IF(Tab.11[[#This Row],[a1]]=0,,$A$3*$AC$1*1/$V$3*(Tab.11[[#This Row],[b14]]))))</f>
        <v>0</v>
      </c>
      <c r="AC166" s="75" t="b">
        <f>IF(Tab.11[[#This Row],[a1]]=1,IF($AC$3=0,Tab.11[[#This Row],[φ1]],Tab.11[[#This Row],[φ1]]/MAX(Tab.11[φ1])))</f>
        <v>0</v>
      </c>
      <c r="AD166" s="74" t="b">
        <f>IF(Tab.11[[#This Row],[a1]]=1,1/Tab.11[[#This Row],[φ2]])</f>
        <v>0</v>
      </c>
      <c r="AE166" s="74" t="b">
        <f>IF(Tab.11[[#This Row],[a1]]=1,IF($AE$3=0,Tab.11[[#This Row],[w.0]],Tab.11[[#This Row],[w.0]]/SUM(Tab.11[w.0])))</f>
        <v>0</v>
      </c>
      <c r="AF166" s="76" t="str">
        <f>IF(Tab.11[[#This Row],[a1]]=0,"false",[3]!Tab.x5[[#This Row],[%_seN_C]])</f>
        <v>false</v>
      </c>
      <c r="AG166" s="77" t="b">
        <f>IF(Tab.11[[#This Row],[a1]]=1,AP166)</f>
        <v>0</v>
      </c>
      <c r="AH166" s="78" t="b">
        <f>IF(Tab.11[[#This Row],[a1]]=1,AQ166)</f>
        <v>0</v>
      </c>
      <c r="AI166" s="41">
        <v>3.0000000000000001E-3</v>
      </c>
      <c r="AJ166" s="79">
        <v>0.02</v>
      </c>
      <c r="AK166" s="80" t="b">
        <f>IF(Tab.11[[#This Row],[a1]]=1,1)</f>
        <v>0</v>
      </c>
      <c r="AZ166"/>
    </row>
    <row r="167" spans="1:52" ht="14.25" hidden="1" customHeight="1" x14ac:dyDescent="0.25">
      <c r="A167" s="61">
        <f t="shared" si="7"/>
        <v>0</v>
      </c>
      <c r="B167" s="62">
        <f t="shared" si="7"/>
        <v>0</v>
      </c>
      <c r="C167" s="62" t="b">
        <f>IF(Tab.11[[#This Row],[a1]]=1,[3]!Tab_x1[[#This Row],[Name]])</f>
        <v>0</v>
      </c>
      <c r="D167" s="63" t="b">
        <f>IF(Tab.11[[#This Row],[a1]]=1,AO167)</f>
        <v>0</v>
      </c>
      <c r="E167" s="63">
        <f t="shared" si="6"/>
        <v>0</v>
      </c>
      <c r="F167" s="64" t="b">
        <f>IF(Tab.11[[#This Row],[a1]]=1,Tab.11[[#This Row],[b1]])</f>
        <v>0</v>
      </c>
      <c r="G167" s="65" t="b">
        <f>IF(Tab.11[[#This Row],[a1]]=1,IF(Tab.11[[#This Row],[b3]]&gt;$L$989*$G$3,$L$989*$G$3,IF(Tab.11[[#This Row],[b3]]&lt;$M$989*$G$3,$M$989*$G$3,Tab.11[[#This Row],[b3]])))</f>
        <v>0</v>
      </c>
      <c r="H167" s="66" t="b">
        <f>IF(Tab.11[[#This Row],[a1]]=1,Tab.11[[#This Row],[b1]])</f>
        <v>0</v>
      </c>
      <c r="I167" s="67" t="b">
        <f>IF(Tab.11[[#This Row],[a1]]=1,Tab.11[[#This Row],[b1]])</f>
        <v>0</v>
      </c>
      <c r="J167" s="68" t="b">
        <f>IF(Tab.11[[#This Row],[a1]]=1,IF($I$3&lt;0,Tab.11[[#This Row],[b5]]-$I$3,Tab.11[[#This Row],[b5]]))</f>
        <v>0</v>
      </c>
      <c r="K167" s="68" t="b">
        <f>IF(Tab.11[[#This Row],[a1]]=1,IF($K$3=0,Tab.11[b6],Tab.11[[#This Row],[b6]]-AVERAGE(Tab.11[b6])))</f>
        <v>0</v>
      </c>
      <c r="L167" s="69" t="b">
        <f>IF(Tab.11[[#This Row],[a1]]=1,Tab.11[[#This Row],[data]]/(_xlfn.STDEV.P(Tab.11[data])*$B$989)+$A$989)</f>
        <v>0</v>
      </c>
      <c r="M167" s="69" t="b">
        <f>IF(Tab.11[[#This Row],[a1]]=1,Tab.11[[#This Row],[data]]/(_xlfn.STDEV.P(Tab.11[data])*$B$987)-$A$987)</f>
        <v>0</v>
      </c>
      <c r="N167" s="69" t="b">
        <f>IF(Tab.11[[#This Row],[a1]]=1,Tab.11[[#This Row],[data]]/(_xlfn.STDEV.P(Tab.11[data])*$B$988)+$A$988)</f>
        <v>0</v>
      </c>
      <c r="O167" s="70" t="b">
        <f>IF(Tab.11[[#This Row],[a1]]=1,_xlfn.NORM.DIST(Tab.11[[#This Row],[b8]],$P$1,$Q$1,FALSE))</f>
        <v>0</v>
      </c>
      <c r="P167" s="70" t="b">
        <f>IF(Tab.11[[#This Row],[a1]]=1,_xlfn.NORM.DIST(Tab.11[[#This Row],[b9]],$P$1,$Q$1,FALSE))</f>
        <v>0</v>
      </c>
      <c r="Q167" s="70" t="b">
        <f>IF(Tab.11[[#This Row],[a1]]=1,_xlfn.NORM.DIST(Tab.11[[#This Row],[b10]],$P$1,$Q$1,FALSE))</f>
        <v>0</v>
      </c>
      <c r="R167" s="67" t="b">
        <f>IF(Tab.11[[#This Row],[a1]]=1,$I$3+$A$989+IF($K$3=0,Tab.11[[#This Row],[b8]]*_xlfn.STDEV.P(Tab.11[data]),AVERAGE(Tab.11[b6])+Tab.11[[#This Row],[b8]]*_xlfn.STDEV.P(Tab.11[data])))</f>
        <v>0</v>
      </c>
      <c r="S167" s="71" t="b">
        <f>IF(Tab.11[[#This Row],[a1]]=1,$I$3+$A$987+IF($K$3=0,Tab.11[[#This Row],[b9]]*_xlfn.STDEV.P(Tab.11[data]),AVERAGE(Tab.11[b6])+Tab.11[[#This Row],[b9]]*_xlfn.STDEV.P(Tab.11[data])))</f>
        <v>0</v>
      </c>
      <c r="T167" s="71" t="b">
        <f>IF(Tab.11[[#This Row],[a1]]=1,$I$3+$A$988+IF($K$3=0,Tab.11[[#This Row],[b10]]*_xlfn.STDEV.P(Tab.11[data]),AVERAGE(Tab.11[b6])+Tab.11[[#This Row],[b10]]*_xlfn.STDEV.P(Tab.11[data])))</f>
        <v>0</v>
      </c>
      <c r="U167" s="72" t="b">
        <f>IF(Tab.11[[#This Row],[a1]]=1,Tab.11[[#This Row],[target]]-Tab.11[[#This Row],[Red]])</f>
        <v>0</v>
      </c>
      <c r="V167" s="72" t="b">
        <f>IF(Tab.11[[#This Row],[a1]]=1,Tab.11[[#This Row],[target]]-Tab.11[[#This Row],[Blue]])</f>
        <v>0</v>
      </c>
      <c r="W167" s="73" t="b">
        <f>IF(Tab.11[[#This Row],[a1]]=1,IF(ABS(Tab.11[[#This Row],[b17]])+ABS(Tab.11[[#This Row],[b18]])&lt;$W$2,$W$2,ABS(Tab.11[[#This Row],[b17]])+ABS(Tab.11[[#This Row],[b18]])))</f>
        <v>0</v>
      </c>
      <c r="X167" s="136" t="b">
        <f>IF(Tab.11[[#This Row],[a1]]=1,IF($W$3&lt;0,Tab.11[[#This Row],[IN]]-$I$3,Tab.11[[#This Row],[IN]]))</f>
        <v>0</v>
      </c>
      <c r="Y167" s="136" t="b">
        <f>IF(Tab.11[[#This Row],[a1]]=1,IF($X$3=0,Tab.11[b66],Tab.11[[#This Row],[b66]]-AVERAGE(Tab.11[b66])))</f>
        <v>0</v>
      </c>
      <c r="Z167" s="135" t="b">
        <f>IF(Tab.11[[#This Row],[a1]]=1,Tab.11[[#This Row],[b77]]/(_xlfn.STDEV.P(Tab.11[b77])))</f>
        <v>0</v>
      </c>
      <c r="AA167" s="70" t="b">
        <f>IF(Tab.11[[#This Row],[a1]]=1,_xlfn.NORM.DIST(Tab.11[[#This Row],[b88]],$Z$1,$AA$1,FALSE))</f>
        <v>0</v>
      </c>
      <c r="AB167" s="74" t="b">
        <f>IF(Tab.11[[#This Row],[a1]]=1,IF($A$3=0,FALSE,1/Tab.11[[#This Row],[IN]]*$AC$2*IF(Tab.11[[#This Row],[a1]]=0,,$A$3*$AC$1*1/$V$3*(Tab.11[[#This Row],[b14]]))))</f>
        <v>0</v>
      </c>
      <c r="AC167" s="75" t="b">
        <f>IF(Tab.11[[#This Row],[a1]]=1,IF($AC$3=0,Tab.11[[#This Row],[φ1]],Tab.11[[#This Row],[φ1]]/MAX(Tab.11[φ1])))</f>
        <v>0</v>
      </c>
      <c r="AD167" s="74" t="b">
        <f>IF(Tab.11[[#This Row],[a1]]=1,1/Tab.11[[#This Row],[φ2]])</f>
        <v>0</v>
      </c>
      <c r="AE167" s="74" t="b">
        <f>IF(Tab.11[[#This Row],[a1]]=1,IF($AE$3=0,Tab.11[[#This Row],[w.0]],Tab.11[[#This Row],[w.0]]/SUM(Tab.11[w.0])))</f>
        <v>0</v>
      </c>
      <c r="AF167" s="76" t="str">
        <f>IF(Tab.11[[#This Row],[a1]]=0,"false",[3]!Tab.x5[[#This Row],[%_seN_C]])</f>
        <v>false</v>
      </c>
      <c r="AG167" s="77" t="b">
        <f>IF(Tab.11[[#This Row],[a1]]=1,AP167)</f>
        <v>0</v>
      </c>
      <c r="AH167" s="78" t="b">
        <f>IF(Tab.11[[#This Row],[a1]]=1,AQ167)</f>
        <v>0</v>
      </c>
      <c r="AI167" s="41">
        <v>3.0000000000000001E-3</v>
      </c>
      <c r="AJ167" s="79">
        <v>0.01</v>
      </c>
      <c r="AK167" s="80" t="b">
        <f>IF(Tab.11[[#This Row],[a1]]=1,1)</f>
        <v>0</v>
      </c>
      <c r="AZ167"/>
    </row>
    <row r="168" spans="1:52" ht="14.25" hidden="1" customHeight="1" x14ac:dyDescent="0.25">
      <c r="A168" s="61">
        <f t="shared" si="7"/>
        <v>0</v>
      </c>
      <c r="B168" s="62">
        <f t="shared" si="7"/>
        <v>0</v>
      </c>
      <c r="C168" s="62" t="b">
        <f>IF(Tab.11[[#This Row],[a1]]=1,[3]!Tab_x1[[#This Row],[Name]])</f>
        <v>0</v>
      </c>
      <c r="D168" s="63" t="b">
        <f>IF(Tab.11[[#This Row],[a1]]=1,AO168)</f>
        <v>0</v>
      </c>
      <c r="E168" s="63">
        <f t="shared" si="6"/>
        <v>0</v>
      </c>
      <c r="F168" s="64" t="b">
        <f>IF(Tab.11[[#This Row],[a1]]=1,Tab.11[[#This Row],[b1]])</f>
        <v>0</v>
      </c>
      <c r="G168" s="65" t="b">
        <f>IF(Tab.11[[#This Row],[a1]]=1,IF(Tab.11[[#This Row],[b3]]&gt;$L$989*$G$3,$L$989*$G$3,IF(Tab.11[[#This Row],[b3]]&lt;$M$989*$G$3,$M$989*$G$3,Tab.11[[#This Row],[b3]])))</f>
        <v>0</v>
      </c>
      <c r="H168" s="66" t="b">
        <f>IF(Tab.11[[#This Row],[a1]]=1,Tab.11[[#This Row],[b1]])</f>
        <v>0</v>
      </c>
      <c r="I168" s="67" t="b">
        <f>IF(Tab.11[[#This Row],[a1]]=1,Tab.11[[#This Row],[b1]])</f>
        <v>0</v>
      </c>
      <c r="J168" s="68" t="b">
        <f>IF(Tab.11[[#This Row],[a1]]=1,IF($I$3&lt;0,Tab.11[[#This Row],[b5]]-$I$3,Tab.11[[#This Row],[b5]]))</f>
        <v>0</v>
      </c>
      <c r="K168" s="68" t="b">
        <f>IF(Tab.11[[#This Row],[a1]]=1,IF($K$3=0,Tab.11[b6],Tab.11[[#This Row],[b6]]-AVERAGE(Tab.11[b6])))</f>
        <v>0</v>
      </c>
      <c r="L168" s="69" t="b">
        <f>IF(Tab.11[[#This Row],[a1]]=1,Tab.11[[#This Row],[data]]/(_xlfn.STDEV.P(Tab.11[data])*$B$989)+$A$989)</f>
        <v>0</v>
      </c>
      <c r="M168" s="69" t="b">
        <f>IF(Tab.11[[#This Row],[a1]]=1,Tab.11[[#This Row],[data]]/(_xlfn.STDEV.P(Tab.11[data])*$B$987)-$A$987)</f>
        <v>0</v>
      </c>
      <c r="N168" s="69" t="b">
        <f>IF(Tab.11[[#This Row],[a1]]=1,Tab.11[[#This Row],[data]]/(_xlfn.STDEV.P(Tab.11[data])*$B$988)+$A$988)</f>
        <v>0</v>
      </c>
      <c r="O168" s="70" t="b">
        <f>IF(Tab.11[[#This Row],[a1]]=1,_xlfn.NORM.DIST(Tab.11[[#This Row],[b8]],$P$1,$Q$1,FALSE))</f>
        <v>0</v>
      </c>
      <c r="P168" s="70" t="b">
        <f>IF(Tab.11[[#This Row],[a1]]=1,_xlfn.NORM.DIST(Tab.11[[#This Row],[b9]],$P$1,$Q$1,FALSE))</f>
        <v>0</v>
      </c>
      <c r="Q168" s="70" t="b">
        <f>IF(Tab.11[[#This Row],[a1]]=1,_xlfn.NORM.DIST(Tab.11[[#This Row],[b10]],$P$1,$Q$1,FALSE))</f>
        <v>0</v>
      </c>
      <c r="R168" s="67" t="b">
        <f>IF(Tab.11[[#This Row],[a1]]=1,$I$3+$A$989+IF($K$3=0,Tab.11[[#This Row],[b8]]*_xlfn.STDEV.P(Tab.11[data]),AVERAGE(Tab.11[b6])+Tab.11[[#This Row],[b8]]*_xlfn.STDEV.P(Tab.11[data])))</f>
        <v>0</v>
      </c>
      <c r="S168" s="71" t="b">
        <f>IF(Tab.11[[#This Row],[a1]]=1,$I$3+$A$987+IF($K$3=0,Tab.11[[#This Row],[b9]]*_xlfn.STDEV.P(Tab.11[data]),AVERAGE(Tab.11[b6])+Tab.11[[#This Row],[b9]]*_xlfn.STDEV.P(Tab.11[data])))</f>
        <v>0</v>
      </c>
      <c r="T168" s="71" t="b">
        <f>IF(Tab.11[[#This Row],[a1]]=1,$I$3+$A$988+IF($K$3=0,Tab.11[[#This Row],[b10]]*_xlfn.STDEV.P(Tab.11[data]),AVERAGE(Tab.11[b6])+Tab.11[[#This Row],[b10]]*_xlfn.STDEV.P(Tab.11[data])))</f>
        <v>0</v>
      </c>
      <c r="U168" s="72" t="b">
        <f>IF(Tab.11[[#This Row],[a1]]=1,Tab.11[[#This Row],[target]]-Tab.11[[#This Row],[Red]])</f>
        <v>0</v>
      </c>
      <c r="V168" s="72" t="b">
        <f>IF(Tab.11[[#This Row],[a1]]=1,Tab.11[[#This Row],[target]]-Tab.11[[#This Row],[Blue]])</f>
        <v>0</v>
      </c>
      <c r="W168" s="73" t="b">
        <f>IF(Tab.11[[#This Row],[a1]]=1,IF(ABS(Tab.11[[#This Row],[b17]])+ABS(Tab.11[[#This Row],[b18]])&lt;$W$2,$W$2,ABS(Tab.11[[#This Row],[b17]])+ABS(Tab.11[[#This Row],[b18]])))</f>
        <v>0</v>
      </c>
      <c r="X168" s="136" t="b">
        <f>IF(Tab.11[[#This Row],[a1]]=1,IF($W$3&lt;0,Tab.11[[#This Row],[IN]]-$I$3,Tab.11[[#This Row],[IN]]))</f>
        <v>0</v>
      </c>
      <c r="Y168" s="136" t="b">
        <f>IF(Tab.11[[#This Row],[a1]]=1,IF($X$3=0,Tab.11[b66],Tab.11[[#This Row],[b66]]-AVERAGE(Tab.11[b66])))</f>
        <v>0</v>
      </c>
      <c r="Z168" s="135" t="b">
        <f>IF(Tab.11[[#This Row],[a1]]=1,Tab.11[[#This Row],[b77]]/(_xlfn.STDEV.P(Tab.11[b77])))</f>
        <v>0</v>
      </c>
      <c r="AA168" s="70" t="b">
        <f>IF(Tab.11[[#This Row],[a1]]=1,_xlfn.NORM.DIST(Tab.11[[#This Row],[b88]],$Z$1,$AA$1,FALSE))</f>
        <v>0</v>
      </c>
      <c r="AB168" s="74" t="b">
        <f>IF(Tab.11[[#This Row],[a1]]=1,IF($A$3=0,FALSE,1/Tab.11[[#This Row],[IN]]*$AC$2*IF(Tab.11[[#This Row],[a1]]=0,,$A$3*$AC$1*1/$V$3*(Tab.11[[#This Row],[b14]]))))</f>
        <v>0</v>
      </c>
      <c r="AC168" s="75" t="b">
        <f>IF(Tab.11[[#This Row],[a1]]=1,IF($AC$3=0,Tab.11[[#This Row],[φ1]],Tab.11[[#This Row],[φ1]]/MAX(Tab.11[φ1])))</f>
        <v>0</v>
      </c>
      <c r="AD168" s="74" t="b">
        <f>IF(Tab.11[[#This Row],[a1]]=1,1/Tab.11[[#This Row],[φ2]])</f>
        <v>0</v>
      </c>
      <c r="AE168" s="74" t="b">
        <f>IF(Tab.11[[#This Row],[a1]]=1,IF($AE$3=0,Tab.11[[#This Row],[w.0]],Tab.11[[#This Row],[w.0]]/SUM(Tab.11[w.0])))</f>
        <v>0</v>
      </c>
      <c r="AF168" s="76" t="str">
        <f>IF(Tab.11[[#This Row],[a1]]=0,"false",[3]!Tab.x5[[#This Row],[%_seN_C]])</f>
        <v>false</v>
      </c>
      <c r="AG168" s="77" t="b">
        <f>IF(Tab.11[[#This Row],[a1]]=1,AP168)</f>
        <v>0</v>
      </c>
      <c r="AH168" s="78" t="b">
        <f>IF(Tab.11[[#This Row],[a1]]=1,AQ168)</f>
        <v>0</v>
      </c>
      <c r="AI168" s="41">
        <v>3.0000000000000001E-3</v>
      </c>
      <c r="AJ168" s="79">
        <v>-0.03</v>
      </c>
      <c r="AK168" s="80" t="b">
        <f>IF(Tab.11[[#This Row],[a1]]=1,1)</f>
        <v>0</v>
      </c>
      <c r="AZ168"/>
    </row>
    <row r="169" spans="1:52" ht="14.25" hidden="1" customHeight="1" x14ac:dyDescent="0.25">
      <c r="A169" s="61">
        <f t="shared" si="7"/>
        <v>0</v>
      </c>
      <c r="B169" s="62">
        <f t="shared" si="7"/>
        <v>0</v>
      </c>
      <c r="C169" s="62" t="b">
        <f>IF(Tab.11[[#This Row],[a1]]=1,[3]!Tab_x1[[#This Row],[Name]])</f>
        <v>0</v>
      </c>
      <c r="D169" s="63" t="b">
        <f>IF(Tab.11[[#This Row],[a1]]=1,AO169)</f>
        <v>0</v>
      </c>
      <c r="E169" s="63">
        <f t="shared" si="6"/>
        <v>0</v>
      </c>
      <c r="F169" s="64" t="b">
        <f>IF(Tab.11[[#This Row],[a1]]=1,Tab.11[[#This Row],[b1]])</f>
        <v>0</v>
      </c>
      <c r="G169" s="65" t="b">
        <f>IF(Tab.11[[#This Row],[a1]]=1,IF(Tab.11[[#This Row],[b3]]&gt;$L$989*$G$3,$L$989*$G$3,IF(Tab.11[[#This Row],[b3]]&lt;$M$989*$G$3,$M$989*$G$3,Tab.11[[#This Row],[b3]])))</f>
        <v>0</v>
      </c>
      <c r="H169" s="66" t="b">
        <f>IF(Tab.11[[#This Row],[a1]]=1,Tab.11[[#This Row],[b1]])</f>
        <v>0</v>
      </c>
      <c r="I169" s="67" t="b">
        <f>IF(Tab.11[[#This Row],[a1]]=1,Tab.11[[#This Row],[b1]])</f>
        <v>0</v>
      </c>
      <c r="J169" s="68" t="b">
        <f>IF(Tab.11[[#This Row],[a1]]=1,IF($I$3&lt;0,Tab.11[[#This Row],[b5]]-$I$3,Tab.11[[#This Row],[b5]]))</f>
        <v>0</v>
      </c>
      <c r="K169" s="68" t="b">
        <f>IF(Tab.11[[#This Row],[a1]]=1,IF($K$3=0,Tab.11[b6],Tab.11[[#This Row],[b6]]-AVERAGE(Tab.11[b6])))</f>
        <v>0</v>
      </c>
      <c r="L169" s="69" t="b">
        <f>IF(Tab.11[[#This Row],[a1]]=1,Tab.11[[#This Row],[data]]/(_xlfn.STDEV.P(Tab.11[data])*$B$989)+$A$989)</f>
        <v>0</v>
      </c>
      <c r="M169" s="69" t="b">
        <f>IF(Tab.11[[#This Row],[a1]]=1,Tab.11[[#This Row],[data]]/(_xlfn.STDEV.P(Tab.11[data])*$B$987)-$A$987)</f>
        <v>0</v>
      </c>
      <c r="N169" s="69" t="b">
        <f>IF(Tab.11[[#This Row],[a1]]=1,Tab.11[[#This Row],[data]]/(_xlfn.STDEV.P(Tab.11[data])*$B$988)+$A$988)</f>
        <v>0</v>
      </c>
      <c r="O169" s="70" t="b">
        <f>IF(Tab.11[[#This Row],[a1]]=1,_xlfn.NORM.DIST(Tab.11[[#This Row],[b8]],$P$1,$Q$1,FALSE))</f>
        <v>0</v>
      </c>
      <c r="P169" s="70" t="b">
        <f>IF(Tab.11[[#This Row],[a1]]=1,_xlfn.NORM.DIST(Tab.11[[#This Row],[b9]],$P$1,$Q$1,FALSE))</f>
        <v>0</v>
      </c>
      <c r="Q169" s="70" t="b">
        <f>IF(Tab.11[[#This Row],[a1]]=1,_xlfn.NORM.DIST(Tab.11[[#This Row],[b10]],$P$1,$Q$1,FALSE))</f>
        <v>0</v>
      </c>
      <c r="R169" s="67" t="b">
        <f>IF(Tab.11[[#This Row],[a1]]=1,$I$3+$A$989+IF($K$3=0,Tab.11[[#This Row],[b8]]*_xlfn.STDEV.P(Tab.11[data]),AVERAGE(Tab.11[b6])+Tab.11[[#This Row],[b8]]*_xlfn.STDEV.P(Tab.11[data])))</f>
        <v>0</v>
      </c>
      <c r="S169" s="71" t="b">
        <f>IF(Tab.11[[#This Row],[a1]]=1,$I$3+$A$987+IF($K$3=0,Tab.11[[#This Row],[b9]]*_xlfn.STDEV.P(Tab.11[data]),AVERAGE(Tab.11[b6])+Tab.11[[#This Row],[b9]]*_xlfn.STDEV.P(Tab.11[data])))</f>
        <v>0</v>
      </c>
      <c r="T169" s="71" t="b">
        <f>IF(Tab.11[[#This Row],[a1]]=1,$I$3+$A$988+IF($K$3=0,Tab.11[[#This Row],[b10]]*_xlfn.STDEV.P(Tab.11[data]),AVERAGE(Tab.11[b6])+Tab.11[[#This Row],[b10]]*_xlfn.STDEV.P(Tab.11[data])))</f>
        <v>0</v>
      </c>
      <c r="U169" s="72" t="b">
        <f>IF(Tab.11[[#This Row],[a1]]=1,Tab.11[[#This Row],[target]]-Tab.11[[#This Row],[Red]])</f>
        <v>0</v>
      </c>
      <c r="V169" s="72" t="b">
        <f>IF(Tab.11[[#This Row],[a1]]=1,Tab.11[[#This Row],[target]]-Tab.11[[#This Row],[Blue]])</f>
        <v>0</v>
      </c>
      <c r="W169" s="73" t="b">
        <f>IF(Tab.11[[#This Row],[a1]]=1,IF(ABS(Tab.11[[#This Row],[b17]])+ABS(Tab.11[[#This Row],[b18]])&lt;$W$2,$W$2,ABS(Tab.11[[#This Row],[b17]])+ABS(Tab.11[[#This Row],[b18]])))</f>
        <v>0</v>
      </c>
      <c r="X169" s="136" t="b">
        <f>IF(Tab.11[[#This Row],[a1]]=1,IF($W$3&lt;0,Tab.11[[#This Row],[IN]]-$I$3,Tab.11[[#This Row],[IN]]))</f>
        <v>0</v>
      </c>
      <c r="Y169" s="136" t="b">
        <f>IF(Tab.11[[#This Row],[a1]]=1,IF($X$3=0,Tab.11[b66],Tab.11[[#This Row],[b66]]-AVERAGE(Tab.11[b66])))</f>
        <v>0</v>
      </c>
      <c r="Z169" s="135" t="b">
        <f>IF(Tab.11[[#This Row],[a1]]=1,Tab.11[[#This Row],[b77]]/(_xlfn.STDEV.P(Tab.11[b77])))</f>
        <v>0</v>
      </c>
      <c r="AA169" s="70" t="b">
        <f>IF(Tab.11[[#This Row],[a1]]=1,_xlfn.NORM.DIST(Tab.11[[#This Row],[b88]],$Z$1,$AA$1,FALSE))</f>
        <v>0</v>
      </c>
      <c r="AB169" s="74" t="b">
        <f>IF(Tab.11[[#This Row],[a1]]=1,IF($A$3=0,FALSE,1/Tab.11[[#This Row],[IN]]*$AC$2*IF(Tab.11[[#This Row],[a1]]=0,,$A$3*$AC$1*1/$V$3*(Tab.11[[#This Row],[b14]]))))</f>
        <v>0</v>
      </c>
      <c r="AC169" s="75" t="b">
        <f>IF(Tab.11[[#This Row],[a1]]=1,IF($AC$3=0,Tab.11[[#This Row],[φ1]],Tab.11[[#This Row],[φ1]]/MAX(Tab.11[φ1])))</f>
        <v>0</v>
      </c>
      <c r="AD169" s="74" t="b">
        <f>IF(Tab.11[[#This Row],[a1]]=1,1/Tab.11[[#This Row],[φ2]])</f>
        <v>0</v>
      </c>
      <c r="AE169" s="74" t="b">
        <f>IF(Tab.11[[#This Row],[a1]]=1,IF($AE$3=0,Tab.11[[#This Row],[w.0]],Tab.11[[#This Row],[w.0]]/SUM(Tab.11[w.0])))</f>
        <v>0</v>
      </c>
      <c r="AF169" s="76" t="str">
        <f>IF(Tab.11[[#This Row],[a1]]=0,"false",[3]!Tab.x5[[#This Row],[%_seN_C]])</f>
        <v>false</v>
      </c>
      <c r="AG169" s="77" t="b">
        <f>IF(Tab.11[[#This Row],[a1]]=1,AP169)</f>
        <v>0</v>
      </c>
      <c r="AH169" s="78" t="b">
        <f>IF(Tab.11[[#This Row],[a1]]=1,AQ169)</f>
        <v>0</v>
      </c>
      <c r="AI169" s="41">
        <v>3.0000000000000001E-3</v>
      </c>
      <c r="AJ169" s="79">
        <v>-0.04</v>
      </c>
      <c r="AK169" s="80" t="b">
        <f>IF(Tab.11[[#This Row],[a1]]=1,1)</f>
        <v>0</v>
      </c>
      <c r="AZ169"/>
    </row>
    <row r="170" spans="1:52" ht="14.25" hidden="1" customHeight="1" x14ac:dyDescent="0.25">
      <c r="A170" s="61">
        <f t="shared" si="7"/>
        <v>0</v>
      </c>
      <c r="B170" s="62">
        <f t="shared" si="7"/>
        <v>0</v>
      </c>
      <c r="C170" s="62" t="b">
        <f>IF(Tab.11[[#This Row],[a1]]=1,[3]!Tab_x1[[#This Row],[Name]])</f>
        <v>0</v>
      </c>
      <c r="D170" s="63" t="b">
        <f>IF(Tab.11[[#This Row],[a1]]=1,AO170)</f>
        <v>0</v>
      </c>
      <c r="E170" s="63">
        <f t="shared" si="6"/>
        <v>0</v>
      </c>
      <c r="F170" s="64" t="b">
        <f>IF(Tab.11[[#This Row],[a1]]=1,Tab.11[[#This Row],[b1]])</f>
        <v>0</v>
      </c>
      <c r="G170" s="65" t="b">
        <f>IF(Tab.11[[#This Row],[a1]]=1,IF(Tab.11[[#This Row],[b3]]&gt;$L$989*$G$3,$L$989*$G$3,IF(Tab.11[[#This Row],[b3]]&lt;$M$989*$G$3,$M$989*$G$3,Tab.11[[#This Row],[b3]])))</f>
        <v>0</v>
      </c>
      <c r="H170" s="66" t="b">
        <f>IF(Tab.11[[#This Row],[a1]]=1,Tab.11[[#This Row],[b1]])</f>
        <v>0</v>
      </c>
      <c r="I170" s="67" t="b">
        <f>IF(Tab.11[[#This Row],[a1]]=1,Tab.11[[#This Row],[b1]])</f>
        <v>0</v>
      </c>
      <c r="J170" s="68" t="b">
        <f>IF(Tab.11[[#This Row],[a1]]=1,IF($I$3&lt;0,Tab.11[[#This Row],[b5]]-$I$3,Tab.11[[#This Row],[b5]]))</f>
        <v>0</v>
      </c>
      <c r="K170" s="68" t="b">
        <f>IF(Tab.11[[#This Row],[a1]]=1,IF($K$3=0,Tab.11[b6],Tab.11[[#This Row],[b6]]-AVERAGE(Tab.11[b6])))</f>
        <v>0</v>
      </c>
      <c r="L170" s="69" t="b">
        <f>IF(Tab.11[[#This Row],[a1]]=1,Tab.11[[#This Row],[data]]/(_xlfn.STDEV.P(Tab.11[data])*$B$989)+$A$989)</f>
        <v>0</v>
      </c>
      <c r="M170" s="69" t="b">
        <f>IF(Tab.11[[#This Row],[a1]]=1,Tab.11[[#This Row],[data]]/(_xlfn.STDEV.P(Tab.11[data])*$B$987)-$A$987)</f>
        <v>0</v>
      </c>
      <c r="N170" s="69" t="b">
        <f>IF(Tab.11[[#This Row],[a1]]=1,Tab.11[[#This Row],[data]]/(_xlfn.STDEV.P(Tab.11[data])*$B$988)+$A$988)</f>
        <v>0</v>
      </c>
      <c r="O170" s="70" t="b">
        <f>IF(Tab.11[[#This Row],[a1]]=1,_xlfn.NORM.DIST(Tab.11[[#This Row],[b8]],$P$1,$Q$1,FALSE))</f>
        <v>0</v>
      </c>
      <c r="P170" s="70" t="b">
        <f>IF(Tab.11[[#This Row],[a1]]=1,_xlfn.NORM.DIST(Tab.11[[#This Row],[b9]],$P$1,$Q$1,FALSE))</f>
        <v>0</v>
      </c>
      <c r="Q170" s="70" t="b">
        <f>IF(Tab.11[[#This Row],[a1]]=1,_xlfn.NORM.DIST(Tab.11[[#This Row],[b10]],$P$1,$Q$1,FALSE))</f>
        <v>0</v>
      </c>
      <c r="R170" s="67" t="b">
        <f>IF(Tab.11[[#This Row],[a1]]=1,$I$3+$A$989+IF($K$3=0,Tab.11[[#This Row],[b8]]*_xlfn.STDEV.P(Tab.11[data]),AVERAGE(Tab.11[b6])+Tab.11[[#This Row],[b8]]*_xlfn.STDEV.P(Tab.11[data])))</f>
        <v>0</v>
      </c>
      <c r="S170" s="71" t="b">
        <f>IF(Tab.11[[#This Row],[a1]]=1,$I$3+$A$987+IF($K$3=0,Tab.11[[#This Row],[b9]]*_xlfn.STDEV.P(Tab.11[data]),AVERAGE(Tab.11[b6])+Tab.11[[#This Row],[b9]]*_xlfn.STDEV.P(Tab.11[data])))</f>
        <v>0</v>
      </c>
      <c r="T170" s="71" t="b">
        <f>IF(Tab.11[[#This Row],[a1]]=1,$I$3+$A$988+IF($K$3=0,Tab.11[[#This Row],[b10]]*_xlfn.STDEV.P(Tab.11[data]),AVERAGE(Tab.11[b6])+Tab.11[[#This Row],[b10]]*_xlfn.STDEV.P(Tab.11[data])))</f>
        <v>0</v>
      </c>
      <c r="U170" s="72" t="b">
        <f>IF(Tab.11[[#This Row],[a1]]=1,Tab.11[[#This Row],[target]]-Tab.11[[#This Row],[Red]])</f>
        <v>0</v>
      </c>
      <c r="V170" s="72" t="b">
        <f>IF(Tab.11[[#This Row],[a1]]=1,Tab.11[[#This Row],[target]]-Tab.11[[#This Row],[Blue]])</f>
        <v>0</v>
      </c>
      <c r="W170" s="73" t="b">
        <f>IF(Tab.11[[#This Row],[a1]]=1,IF(ABS(Tab.11[[#This Row],[b17]])+ABS(Tab.11[[#This Row],[b18]])&lt;$W$2,$W$2,ABS(Tab.11[[#This Row],[b17]])+ABS(Tab.11[[#This Row],[b18]])))</f>
        <v>0</v>
      </c>
      <c r="X170" s="136" t="b">
        <f>IF(Tab.11[[#This Row],[a1]]=1,IF($W$3&lt;0,Tab.11[[#This Row],[IN]]-$I$3,Tab.11[[#This Row],[IN]]))</f>
        <v>0</v>
      </c>
      <c r="Y170" s="136" t="b">
        <f>IF(Tab.11[[#This Row],[a1]]=1,IF($X$3=0,Tab.11[b66],Tab.11[[#This Row],[b66]]-AVERAGE(Tab.11[b66])))</f>
        <v>0</v>
      </c>
      <c r="Z170" s="135" t="b">
        <f>IF(Tab.11[[#This Row],[a1]]=1,Tab.11[[#This Row],[b77]]/(_xlfn.STDEV.P(Tab.11[b77])))</f>
        <v>0</v>
      </c>
      <c r="AA170" s="70" t="b">
        <f>IF(Tab.11[[#This Row],[a1]]=1,_xlfn.NORM.DIST(Tab.11[[#This Row],[b88]],$Z$1,$AA$1,FALSE))</f>
        <v>0</v>
      </c>
      <c r="AB170" s="74" t="b">
        <f>IF(Tab.11[[#This Row],[a1]]=1,IF($A$3=0,FALSE,1/Tab.11[[#This Row],[IN]]*$AC$2*IF(Tab.11[[#This Row],[a1]]=0,,$A$3*$AC$1*1/$V$3*(Tab.11[[#This Row],[b14]]))))</f>
        <v>0</v>
      </c>
      <c r="AC170" s="75" t="b">
        <f>IF(Tab.11[[#This Row],[a1]]=1,IF($AC$3=0,Tab.11[[#This Row],[φ1]],Tab.11[[#This Row],[φ1]]/MAX(Tab.11[φ1])))</f>
        <v>0</v>
      </c>
      <c r="AD170" s="74" t="b">
        <f>IF(Tab.11[[#This Row],[a1]]=1,1/Tab.11[[#This Row],[φ2]])</f>
        <v>0</v>
      </c>
      <c r="AE170" s="74" t="b">
        <f>IF(Tab.11[[#This Row],[a1]]=1,IF($AE$3=0,Tab.11[[#This Row],[w.0]],Tab.11[[#This Row],[w.0]]/SUM(Tab.11[w.0])))</f>
        <v>0</v>
      </c>
      <c r="AF170" s="76" t="str">
        <f>IF(Tab.11[[#This Row],[a1]]=0,"false",[3]!Tab.x5[[#This Row],[%_seN_C]])</f>
        <v>false</v>
      </c>
      <c r="AG170" s="77" t="b">
        <f>IF(Tab.11[[#This Row],[a1]]=1,AP170)</f>
        <v>0</v>
      </c>
      <c r="AH170" s="78" t="b">
        <f>IF(Tab.11[[#This Row],[a1]]=1,AQ170)</f>
        <v>0</v>
      </c>
      <c r="AI170" s="41">
        <v>3.0000000000000001E-3</v>
      </c>
      <c r="AJ170" s="79">
        <v>0.02</v>
      </c>
      <c r="AK170" s="80" t="b">
        <f>IF(Tab.11[[#This Row],[a1]]=1,1)</f>
        <v>0</v>
      </c>
      <c r="AZ170"/>
    </row>
    <row r="171" spans="1:52" ht="14.25" hidden="1" customHeight="1" x14ac:dyDescent="0.25">
      <c r="A171" s="61">
        <f t="shared" si="7"/>
        <v>0</v>
      </c>
      <c r="B171" s="62">
        <f t="shared" si="7"/>
        <v>0</v>
      </c>
      <c r="C171" s="62" t="b">
        <f>IF(Tab.11[[#This Row],[a1]]=1,[3]!Tab_x1[[#This Row],[Name]])</f>
        <v>0</v>
      </c>
      <c r="D171" s="63" t="b">
        <f>IF(Tab.11[[#This Row],[a1]]=1,AO171)</f>
        <v>0</v>
      </c>
      <c r="E171" s="63">
        <f t="shared" si="6"/>
        <v>0</v>
      </c>
      <c r="F171" s="64" t="b">
        <f>IF(Tab.11[[#This Row],[a1]]=1,Tab.11[[#This Row],[b1]])</f>
        <v>0</v>
      </c>
      <c r="G171" s="65" t="b">
        <f>IF(Tab.11[[#This Row],[a1]]=1,IF(Tab.11[[#This Row],[b3]]&gt;$L$989*$G$3,$L$989*$G$3,IF(Tab.11[[#This Row],[b3]]&lt;$M$989*$G$3,$M$989*$G$3,Tab.11[[#This Row],[b3]])))</f>
        <v>0</v>
      </c>
      <c r="H171" s="66" t="b">
        <f>IF(Tab.11[[#This Row],[a1]]=1,Tab.11[[#This Row],[b1]])</f>
        <v>0</v>
      </c>
      <c r="I171" s="67" t="b">
        <f>IF(Tab.11[[#This Row],[a1]]=1,Tab.11[[#This Row],[b1]])</f>
        <v>0</v>
      </c>
      <c r="J171" s="68" t="b">
        <f>IF(Tab.11[[#This Row],[a1]]=1,IF($I$3&lt;0,Tab.11[[#This Row],[b5]]-$I$3,Tab.11[[#This Row],[b5]]))</f>
        <v>0</v>
      </c>
      <c r="K171" s="68" t="b">
        <f>IF(Tab.11[[#This Row],[a1]]=1,IF($K$3=0,Tab.11[b6],Tab.11[[#This Row],[b6]]-AVERAGE(Tab.11[b6])))</f>
        <v>0</v>
      </c>
      <c r="L171" s="69" t="b">
        <f>IF(Tab.11[[#This Row],[a1]]=1,Tab.11[[#This Row],[data]]/(_xlfn.STDEV.P(Tab.11[data])*$B$989)+$A$989)</f>
        <v>0</v>
      </c>
      <c r="M171" s="69" t="b">
        <f>IF(Tab.11[[#This Row],[a1]]=1,Tab.11[[#This Row],[data]]/(_xlfn.STDEV.P(Tab.11[data])*$B$987)-$A$987)</f>
        <v>0</v>
      </c>
      <c r="N171" s="69" t="b">
        <f>IF(Tab.11[[#This Row],[a1]]=1,Tab.11[[#This Row],[data]]/(_xlfn.STDEV.P(Tab.11[data])*$B$988)+$A$988)</f>
        <v>0</v>
      </c>
      <c r="O171" s="70" t="b">
        <f>IF(Tab.11[[#This Row],[a1]]=1,_xlfn.NORM.DIST(Tab.11[[#This Row],[b8]],$P$1,$Q$1,FALSE))</f>
        <v>0</v>
      </c>
      <c r="P171" s="70" t="b">
        <f>IF(Tab.11[[#This Row],[a1]]=1,_xlfn.NORM.DIST(Tab.11[[#This Row],[b9]],$P$1,$Q$1,FALSE))</f>
        <v>0</v>
      </c>
      <c r="Q171" s="70" t="b">
        <f>IF(Tab.11[[#This Row],[a1]]=1,_xlfn.NORM.DIST(Tab.11[[#This Row],[b10]],$P$1,$Q$1,FALSE))</f>
        <v>0</v>
      </c>
      <c r="R171" s="67" t="b">
        <f>IF(Tab.11[[#This Row],[a1]]=1,$I$3+$A$989+IF($K$3=0,Tab.11[[#This Row],[b8]]*_xlfn.STDEV.P(Tab.11[data]),AVERAGE(Tab.11[b6])+Tab.11[[#This Row],[b8]]*_xlfn.STDEV.P(Tab.11[data])))</f>
        <v>0</v>
      </c>
      <c r="S171" s="71" t="b">
        <f>IF(Tab.11[[#This Row],[a1]]=1,$I$3+$A$987+IF($K$3=0,Tab.11[[#This Row],[b9]]*_xlfn.STDEV.P(Tab.11[data]),AVERAGE(Tab.11[b6])+Tab.11[[#This Row],[b9]]*_xlfn.STDEV.P(Tab.11[data])))</f>
        <v>0</v>
      </c>
      <c r="T171" s="71" t="b">
        <f>IF(Tab.11[[#This Row],[a1]]=1,$I$3+$A$988+IF($K$3=0,Tab.11[[#This Row],[b10]]*_xlfn.STDEV.P(Tab.11[data]),AVERAGE(Tab.11[b6])+Tab.11[[#This Row],[b10]]*_xlfn.STDEV.P(Tab.11[data])))</f>
        <v>0</v>
      </c>
      <c r="U171" s="72" t="b">
        <f>IF(Tab.11[[#This Row],[a1]]=1,Tab.11[[#This Row],[target]]-Tab.11[[#This Row],[Red]])</f>
        <v>0</v>
      </c>
      <c r="V171" s="72" t="b">
        <f>IF(Tab.11[[#This Row],[a1]]=1,Tab.11[[#This Row],[target]]-Tab.11[[#This Row],[Blue]])</f>
        <v>0</v>
      </c>
      <c r="W171" s="73" t="b">
        <f>IF(Tab.11[[#This Row],[a1]]=1,IF(ABS(Tab.11[[#This Row],[b17]])+ABS(Tab.11[[#This Row],[b18]])&lt;$W$2,$W$2,ABS(Tab.11[[#This Row],[b17]])+ABS(Tab.11[[#This Row],[b18]])))</f>
        <v>0</v>
      </c>
      <c r="X171" s="136" t="b">
        <f>IF(Tab.11[[#This Row],[a1]]=1,IF($W$3&lt;0,Tab.11[[#This Row],[IN]]-$I$3,Tab.11[[#This Row],[IN]]))</f>
        <v>0</v>
      </c>
      <c r="Y171" s="136" t="b">
        <f>IF(Tab.11[[#This Row],[a1]]=1,IF($X$3=0,Tab.11[b66],Tab.11[[#This Row],[b66]]-AVERAGE(Tab.11[b66])))</f>
        <v>0</v>
      </c>
      <c r="Z171" s="135" t="b">
        <f>IF(Tab.11[[#This Row],[a1]]=1,Tab.11[[#This Row],[b77]]/(_xlfn.STDEV.P(Tab.11[b77])))</f>
        <v>0</v>
      </c>
      <c r="AA171" s="70" t="b">
        <f>IF(Tab.11[[#This Row],[a1]]=1,_xlfn.NORM.DIST(Tab.11[[#This Row],[b88]],$Z$1,$AA$1,FALSE))</f>
        <v>0</v>
      </c>
      <c r="AB171" s="74" t="b">
        <f>IF(Tab.11[[#This Row],[a1]]=1,IF($A$3=0,FALSE,1/Tab.11[[#This Row],[IN]]*$AC$2*IF(Tab.11[[#This Row],[a1]]=0,,$A$3*$AC$1*1/$V$3*(Tab.11[[#This Row],[b14]]))))</f>
        <v>0</v>
      </c>
      <c r="AC171" s="75" t="b">
        <f>IF(Tab.11[[#This Row],[a1]]=1,IF($AC$3=0,Tab.11[[#This Row],[φ1]],Tab.11[[#This Row],[φ1]]/MAX(Tab.11[φ1])))</f>
        <v>0</v>
      </c>
      <c r="AD171" s="74" t="b">
        <f>IF(Tab.11[[#This Row],[a1]]=1,1/Tab.11[[#This Row],[φ2]])</f>
        <v>0</v>
      </c>
      <c r="AE171" s="74" t="b">
        <f>IF(Tab.11[[#This Row],[a1]]=1,IF($AE$3=0,Tab.11[[#This Row],[w.0]],Tab.11[[#This Row],[w.0]]/SUM(Tab.11[w.0])))</f>
        <v>0</v>
      </c>
      <c r="AF171" s="76" t="str">
        <f>IF(Tab.11[[#This Row],[a1]]=0,"false",[3]!Tab.x5[[#This Row],[%_seN_C]])</f>
        <v>false</v>
      </c>
      <c r="AG171" s="77" t="b">
        <f>IF(Tab.11[[#This Row],[a1]]=1,AP171)</f>
        <v>0</v>
      </c>
      <c r="AH171" s="78" t="b">
        <f>IF(Tab.11[[#This Row],[a1]]=1,AQ171)</f>
        <v>0</v>
      </c>
      <c r="AI171" s="41">
        <v>3.0000000000000001E-3</v>
      </c>
      <c r="AJ171" s="79">
        <v>0.1</v>
      </c>
      <c r="AK171" s="80" t="b">
        <f>IF(Tab.11[[#This Row],[a1]]=1,1)</f>
        <v>0</v>
      </c>
      <c r="AZ171"/>
    </row>
    <row r="172" spans="1:52" ht="14.25" hidden="1" customHeight="1" x14ac:dyDescent="0.25">
      <c r="A172" s="61">
        <f t="shared" si="7"/>
        <v>0</v>
      </c>
      <c r="B172" s="62">
        <f t="shared" si="7"/>
        <v>0</v>
      </c>
      <c r="C172" s="62" t="b">
        <f>IF(Tab.11[[#This Row],[a1]]=1,[3]!Tab_x1[[#This Row],[Name]])</f>
        <v>0</v>
      </c>
      <c r="D172" s="63" t="b">
        <f>IF(Tab.11[[#This Row],[a1]]=1,AO172)</f>
        <v>0</v>
      </c>
      <c r="E172" s="63">
        <f t="shared" si="6"/>
        <v>0</v>
      </c>
      <c r="F172" s="64" t="b">
        <f>IF(Tab.11[[#This Row],[a1]]=1,Tab.11[[#This Row],[b1]])</f>
        <v>0</v>
      </c>
      <c r="G172" s="65" t="b">
        <f>IF(Tab.11[[#This Row],[a1]]=1,IF(Tab.11[[#This Row],[b3]]&gt;$L$989*$G$3,$L$989*$G$3,IF(Tab.11[[#This Row],[b3]]&lt;$M$989*$G$3,$M$989*$G$3,Tab.11[[#This Row],[b3]])))</f>
        <v>0</v>
      </c>
      <c r="H172" s="66" t="b">
        <f>IF(Tab.11[[#This Row],[a1]]=1,Tab.11[[#This Row],[b1]])</f>
        <v>0</v>
      </c>
      <c r="I172" s="67" t="b">
        <f>IF(Tab.11[[#This Row],[a1]]=1,Tab.11[[#This Row],[b1]])</f>
        <v>0</v>
      </c>
      <c r="J172" s="68" t="b">
        <f>IF(Tab.11[[#This Row],[a1]]=1,IF($I$3&lt;0,Tab.11[[#This Row],[b5]]-$I$3,Tab.11[[#This Row],[b5]]))</f>
        <v>0</v>
      </c>
      <c r="K172" s="68" t="b">
        <f>IF(Tab.11[[#This Row],[a1]]=1,IF($K$3=0,Tab.11[b6],Tab.11[[#This Row],[b6]]-AVERAGE(Tab.11[b6])))</f>
        <v>0</v>
      </c>
      <c r="L172" s="69" t="b">
        <f>IF(Tab.11[[#This Row],[a1]]=1,Tab.11[[#This Row],[data]]/(_xlfn.STDEV.P(Tab.11[data])*$B$989)+$A$989)</f>
        <v>0</v>
      </c>
      <c r="M172" s="69" t="b">
        <f>IF(Tab.11[[#This Row],[a1]]=1,Tab.11[[#This Row],[data]]/(_xlfn.STDEV.P(Tab.11[data])*$B$987)-$A$987)</f>
        <v>0</v>
      </c>
      <c r="N172" s="69" t="b">
        <f>IF(Tab.11[[#This Row],[a1]]=1,Tab.11[[#This Row],[data]]/(_xlfn.STDEV.P(Tab.11[data])*$B$988)+$A$988)</f>
        <v>0</v>
      </c>
      <c r="O172" s="70" t="b">
        <f>IF(Tab.11[[#This Row],[a1]]=1,_xlfn.NORM.DIST(Tab.11[[#This Row],[b8]],$P$1,$Q$1,FALSE))</f>
        <v>0</v>
      </c>
      <c r="P172" s="70" t="b">
        <f>IF(Tab.11[[#This Row],[a1]]=1,_xlfn.NORM.DIST(Tab.11[[#This Row],[b9]],$P$1,$Q$1,FALSE))</f>
        <v>0</v>
      </c>
      <c r="Q172" s="70" t="b">
        <f>IF(Tab.11[[#This Row],[a1]]=1,_xlfn.NORM.DIST(Tab.11[[#This Row],[b10]],$P$1,$Q$1,FALSE))</f>
        <v>0</v>
      </c>
      <c r="R172" s="67" t="b">
        <f>IF(Tab.11[[#This Row],[a1]]=1,$I$3+$A$989+IF($K$3=0,Tab.11[[#This Row],[b8]]*_xlfn.STDEV.P(Tab.11[data]),AVERAGE(Tab.11[b6])+Tab.11[[#This Row],[b8]]*_xlfn.STDEV.P(Tab.11[data])))</f>
        <v>0</v>
      </c>
      <c r="S172" s="71" t="b">
        <f>IF(Tab.11[[#This Row],[a1]]=1,$I$3+$A$987+IF($K$3=0,Tab.11[[#This Row],[b9]]*_xlfn.STDEV.P(Tab.11[data]),AVERAGE(Tab.11[b6])+Tab.11[[#This Row],[b9]]*_xlfn.STDEV.P(Tab.11[data])))</f>
        <v>0</v>
      </c>
      <c r="T172" s="71" t="b">
        <f>IF(Tab.11[[#This Row],[a1]]=1,$I$3+$A$988+IF($K$3=0,Tab.11[[#This Row],[b10]]*_xlfn.STDEV.P(Tab.11[data]),AVERAGE(Tab.11[b6])+Tab.11[[#This Row],[b10]]*_xlfn.STDEV.P(Tab.11[data])))</f>
        <v>0</v>
      </c>
      <c r="U172" s="72" t="b">
        <f>IF(Tab.11[[#This Row],[a1]]=1,Tab.11[[#This Row],[target]]-Tab.11[[#This Row],[Red]])</f>
        <v>0</v>
      </c>
      <c r="V172" s="72" t="b">
        <f>IF(Tab.11[[#This Row],[a1]]=1,Tab.11[[#This Row],[target]]-Tab.11[[#This Row],[Blue]])</f>
        <v>0</v>
      </c>
      <c r="W172" s="73" t="b">
        <f>IF(Tab.11[[#This Row],[a1]]=1,IF(ABS(Tab.11[[#This Row],[b17]])+ABS(Tab.11[[#This Row],[b18]])&lt;$W$2,$W$2,ABS(Tab.11[[#This Row],[b17]])+ABS(Tab.11[[#This Row],[b18]])))</f>
        <v>0</v>
      </c>
      <c r="X172" s="136" t="b">
        <f>IF(Tab.11[[#This Row],[a1]]=1,IF($W$3&lt;0,Tab.11[[#This Row],[IN]]-$I$3,Tab.11[[#This Row],[IN]]))</f>
        <v>0</v>
      </c>
      <c r="Y172" s="136" t="b">
        <f>IF(Tab.11[[#This Row],[a1]]=1,IF($X$3=0,Tab.11[b66],Tab.11[[#This Row],[b66]]-AVERAGE(Tab.11[b66])))</f>
        <v>0</v>
      </c>
      <c r="Z172" s="135" t="b">
        <f>IF(Tab.11[[#This Row],[a1]]=1,Tab.11[[#This Row],[b77]]/(_xlfn.STDEV.P(Tab.11[b77])))</f>
        <v>0</v>
      </c>
      <c r="AA172" s="70" t="b">
        <f>IF(Tab.11[[#This Row],[a1]]=1,_xlfn.NORM.DIST(Tab.11[[#This Row],[b88]],$Z$1,$AA$1,FALSE))</f>
        <v>0</v>
      </c>
      <c r="AB172" s="74" t="b">
        <f>IF(Tab.11[[#This Row],[a1]]=1,IF($A$3=0,FALSE,1/Tab.11[[#This Row],[IN]]*$AC$2*IF(Tab.11[[#This Row],[a1]]=0,,$A$3*$AC$1*1/$V$3*(Tab.11[[#This Row],[b14]]))))</f>
        <v>0</v>
      </c>
      <c r="AC172" s="75" t="b">
        <f>IF(Tab.11[[#This Row],[a1]]=1,IF($AC$3=0,Tab.11[[#This Row],[φ1]],Tab.11[[#This Row],[φ1]]/MAX(Tab.11[φ1])))</f>
        <v>0</v>
      </c>
      <c r="AD172" s="74" t="b">
        <f>IF(Tab.11[[#This Row],[a1]]=1,1/Tab.11[[#This Row],[φ2]])</f>
        <v>0</v>
      </c>
      <c r="AE172" s="74" t="b">
        <f>IF(Tab.11[[#This Row],[a1]]=1,IF($AE$3=0,Tab.11[[#This Row],[w.0]],Tab.11[[#This Row],[w.0]]/SUM(Tab.11[w.0])))</f>
        <v>0</v>
      </c>
      <c r="AF172" s="76" t="str">
        <f>IF(Tab.11[[#This Row],[a1]]=0,"false",[3]!Tab.x5[[#This Row],[%_seN_C]])</f>
        <v>false</v>
      </c>
      <c r="AG172" s="77" t="b">
        <f>IF(Tab.11[[#This Row],[a1]]=1,AP172)</f>
        <v>0</v>
      </c>
      <c r="AH172" s="78" t="b">
        <f>IF(Tab.11[[#This Row],[a1]]=1,AQ172)</f>
        <v>0</v>
      </c>
      <c r="AI172" s="41">
        <v>3.0000000000000001E-3</v>
      </c>
      <c r="AJ172" s="79">
        <v>-0.1</v>
      </c>
      <c r="AK172" s="80" t="b">
        <f>IF(Tab.11[[#This Row],[a1]]=1,1)</f>
        <v>0</v>
      </c>
      <c r="AZ172"/>
    </row>
    <row r="173" spans="1:52" ht="14.25" hidden="1" customHeight="1" x14ac:dyDescent="0.25">
      <c r="A173" s="61">
        <f t="shared" si="7"/>
        <v>0</v>
      </c>
      <c r="B173" s="62">
        <f t="shared" si="7"/>
        <v>0</v>
      </c>
      <c r="C173" s="62" t="b">
        <f>IF(Tab.11[[#This Row],[a1]]=1,[3]!Tab_x1[[#This Row],[Name]])</f>
        <v>0</v>
      </c>
      <c r="D173" s="63" t="b">
        <f>IF(Tab.11[[#This Row],[a1]]=1,AO173)</f>
        <v>0</v>
      </c>
      <c r="E173" s="63">
        <f t="shared" si="6"/>
        <v>0</v>
      </c>
      <c r="F173" s="64" t="b">
        <f>IF(Tab.11[[#This Row],[a1]]=1,Tab.11[[#This Row],[b1]])</f>
        <v>0</v>
      </c>
      <c r="G173" s="65" t="b">
        <f>IF(Tab.11[[#This Row],[a1]]=1,IF(Tab.11[[#This Row],[b3]]&gt;$L$989*$G$3,$L$989*$G$3,IF(Tab.11[[#This Row],[b3]]&lt;$M$989*$G$3,$M$989*$G$3,Tab.11[[#This Row],[b3]])))</f>
        <v>0</v>
      </c>
      <c r="H173" s="66" t="b">
        <f>IF(Tab.11[[#This Row],[a1]]=1,Tab.11[[#This Row],[b1]])</f>
        <v>0</v>
      </c>
      <c r="I173" s="67" t="b">
        <f>IF(Tab.11[[#This Row],[a1]]=1,Tab.11[[#This Row],[b1]])</f>
        <v>0</v>
      </c>
      <c r="J173" s="68" t="b">
        <f>IF(Tab.11[[#This Row],[a1]]=1,IF($I$3&lt;0,Tab.11[[#This Row],[b5]]-$I$3,Tab.11[[#This Row],[b5]]))</f>
        <v>0</v>
      </c>
      <c r="K173" s="68" t="b">
        <f>IF(Tab.11[[#This Row],[a1]]=1,IF($K$3=0,Tab.11[b6],Tab.11[[#This Row],[b6]]-AVERAGE(Tab.11[b6])))</f>
        <v>0</v>
      </c>
      <c r="L173" s="69" t="b">
        <f>IF(Tab.11[[#This Row],[a1]]=1,Tab.11[[#This Row],[data]]/(_xlfn.STDEV.P(Tab.11[data])*$B$989)+$A$989)</f>
        <v>0</v>
      </c>
      <c r="M173" s="69" t="b">
        <f>IF(Tab.11[[#This Row],[a1]]=1,Tab.11[[#This Row],[data]]/(_xlfn.STDEV.P(Tab.11[data])*$B$987)-$A$987)</f>
        <v>0</v>
      </c>
      <c r="N173" s="69" t="b">
        <f>IF(Tab.11[[#This Row],[a1]]=1,Tab.11[[#This Row],[data]]/(_xlfn.STDEV.P(Tab.11[data])*$B$988)+$A$988)</f>
        <v>0</v>
      </c>
      <c r="O173" s="70" t="b">
        <f>IF(Tab.11[[#This Row],[a1]]=1,_xlfn.NORM.DIST(Tab.11[[#This Row],[b8]],$P$1,$Q$1,FALSE))</f>
        <v>0</v>
      </c>
      <c r="P173" s="70" t="b">
        <f>IF(Tab.11[[#This Row],[a1]]=1,_xlfn.NORM.DIST(Tab.11[[#This Row],[b9]],$P$1,$Q$1,FALSE))</f>
        <v>0</v>
      </c>
      <c r="Q173" s="70" t="b">
        <f>IF(Tab.11[[#This Row],[a1]]=1,_xlfn.NORM.DIST(Tab.11[[#This Row],[b10]],$P$1,$Q$1,FALSE))</f>
        <v>0</v>
      </c>
      <c r="R173" s="67" t="b">
        <f>IF(Tab.11[[#This Row],[a1]]=1,$I$3+$A$989+IF($K$3=0,Tab.11[[#This Row],[b8]]*_xlfn.STDEV.P(Tab.11[data]),AVERAGE(Tab.11[b6])+Tab.11[[#This Row],[b8]]*_xlfn.STDEV.P(Tab.11[data])))</f>
        <v>0</v>
      </c>
      <c r="S173" s="71" t="b">
        <f>IF(Tab.11[[#This Row],[a1]]=1,$I$3+$A$987+IF($K$3=0,Tab.11[[#This Row],[b9]]*_xlfn.STDEV.P(Tab.11[data]),AVERAGE(Tab.11[b6])+Tab.11[[#This Row],[b9]]*_xlfn.STDEV.P(Tab.11[data])))</f>
        <v>0</v>
      </c>
      <c r="T173" s="71" t="b">
        <f>IF(Tab.11[[#This Row],[a1]]=1,$I$3+$A$988+IF($K$3=0,Tab.11[[#This Row],[b10]]*_xlfn.STDEV.P(Tab.11[data]),AVERAGE(Tab.11[b6])+Tab.11[[#This Row],[b10]]*_xlfn.STDEV.P(Tab.11[data])))</f>
        <v>0</v>
      </c>
      <c r="U173" s="72" t="b">
        <f>IF(Tab.11[[#This Row],[a1]]=1,Tab.11[[#This Row],[target]]-Tab.11[[#This Row],[Red]])</f>
        <v>0</v>
      </c>
      <c r="V173" s="72" t="b">
        <f>IF(Tab.11[[#This Row],[a1]]=1,Tab.11[[#This Row],[target]]-Tab.11[[#This Row],[Blue]])</f>
        <v>0</v>
      </c>
      <c r="W173" s="73" t="b">
        <f>IF(Tab.11[[#This Row],[a1]]=1,IF(ABS(Tab.11[[#This Row],[b17]])+ABS(Tab.11[[#This Row],[b18]])&lt;$W$2,$W$2,ABS(Tab.11[[#This Row],[b17]])+ABS(Tab.11[[#This Row],[b18]])))</f>
        <v>0</v>
      </c>
      <c r="X173" s="136" t="b">
        <f>IF(Tab.11[[#This Row],[a1]]=1,IF($W$3&lt;0,Tab.11[[#This Row],[IN]]-$I$3,Tab.11[[#This Row],[IN]]))</f>
        <v>0</v>
      </c>
      <c r="Y173" s="136" t="b">
        <f>IF(Tab.11[[#This Row],[a1]]=1,IF($X$3=0,Tab.11[b66],Tab.11[[#This Row],[b66]]-AVERAGE(Tab.11[b66])))</f>
        <v>0</v>
      </c>
      <c r="Z173" s="135" t="b">
        <f>IF(Tab.11[[#This Row],[a1]]=1,Tab.11[[#This Row],[b77]]/(_xlfn.STDEV.P(Tab.11[b77])))</f>
        <v>0</v>
      </c>
      <c r="AA173" s="70" t="b">
        <f>IF(Tab.11[[#This Row],[a1]]=1,_xlfn.NORM.DIST(Tab.11[[#This Row],[b88]],$Z$1,$AA$1,FALSE))</f>
        <v>0</v>
      </c>
      <c r="AB173" s="74" t="b">
        <f>IF(Tab.11[[#This Row],[a1]]=1,IF($A$3=0,FALSE,1/Tab.11[[#This Row],[IN]]*$AC$2*IF(Tab.11[[#This Row],[a1]]=0,,$A$3*$AC$1*1/$V$3*(Tab.11[[#This Row],[b14]]))))</f>
        <v>0</v>
      </c>
      <c r="AC173" s="75" t="b">
        <f>IF(Tab.11[[#This Row],[a1]]=1,IF($AC$3=0,Tab.11[[#This Row],[φ1]],Tab.11[[#This Row],[φ1]]/MAX(Tab.11[φ1])))</f>
        <v>0</v>
      </c>
      <c r="AD173" s="74" t="b">
        <f>IF(Tab.11[[#This Row],[a1]]=1,1/Tab.11[[#This Row],[φ2]])</f>
        <v>0</v>
      </c>
      <c r="AE173" s="74" t="b">
        <f>IF(Tab.11[[#This Row],[a1]]=1,IF($AE$3=0,Tab.11[[#This Row],[w.0]],Tab.11[[#This Row],[w.0]]/SUM(Tab.11[w.0])))</f>
        <v>0</v>
      </c>
      <c r="AF173" s="76" t="str">
        <f>IF(Tab.11[[#This Row],[a1]]=0,"false",[3]!Tab.x5[[#This Row],[%_seN_C]])</f>
        <v>false</v>
      </c>
      <c r="AG173" s="77" t="b">
        <f>IF(Tab.11[[#This Row],[a1]]=1,AP173)</f>
        <v>0</v>
      </c>
      <c r="AH173" s="78" t="b">
        <f>IF(Tab.11[[#This Row],[a1]]=1,AQ173)</f>
        <v>0</v>
      </c>
      <c r="AI173" s="41">
        <v>3.0000000000000001E-3</v>
      </c>
      <c r="AJ173" s="79">
        <v>0.01</v>
      </c>
      <c r="AK173" s="80" t="b">
        <f>IF(Tab.11[[#This Row],[a1]]=1,1)</f>
        <v>0</v>
      </c>
      <c r="AZ173"/>
    </row>
    <row r="174" spans="1:52" ht="14.25" hidden="1" customHeight="1" x14ac:dyDescent="0.25">
      <c r="A174" s="61">
        <f t="shared" si="7"/>
        <v>0</v>
      </c>
      <c r="B174" s="62">
        <f t="shared" si="7"/>
        <v>0</v>
      </c>
      <c r="C174" s="62" t="b">
        <f>IF(Tab.11[[#This Row],[a1]]=1,[3]!Tab_x1[[#This Row],[Name]])</f>
        <v>0</v>
      </c>
      <c r="D174" s="63" t="b">
        <f>IF(Tab.11[[#This Row],[a1]]=1,AO174)</f>
        <v>0</v>
      </c>
      <c r="E174" s="63">
        <f t="shared" si="6"/>
        <v>0</v>
      </c>
      <c r="F174" s="64" t="b">
        <f>IF(Tab.11[[#This Row],[a1]]=1,Tab.11[[#This Row],[b1]])</f>
        <v>0</v>
      </c>
      <c r="G174" s="65" t="b">
        <f>IF(Tab.11[[#This Row],[a1]]=1,IF(Tab.11[[#This Row],[b3]]&gt;$L$989*$G$3,$L$989*$G$3,IF(Tab.11[[#This Row],[b3]]&lt;$M$989*$G$3,$M$989*$G$3,Tab.11[[#This Row],[b3]])))</f>
        <v>0</v>
      </c>
      <c r="H174" s="66" t="b">
        <f>IF(Tab.11[[#This Row],[a1]]=1,Tab.11[[#This Row],[b1]])</f>
        <v>0</v>
      </c>
      <c r="I174" s="67" t="b">
        <f>IF(Tab.11[[#This Row],[a1]]=1,Tab.11[[#This Row],[b1]])</f>
        <v>0</v>
      </c>
      <c r="J174" s="68" t="b">
        <f>IF(Tab.11[[#This Row],[a1]]=1,IF($I$3&lt;0,Tab.11[[#This Row],[b5]]-$I$3,Tab.11[[#This Row],[b5]]))</f>
        <v>0</v>
      </c>
      <c r="K174" s="68" t="b">
        <f>IF(Tab.11[[#This Row],[a1]]=1,IF($K$3=0,Tab.11[b6],Tab.11[[#This Row],[b6]]-AVERAGE(Tab.11[b6])))</f>
        <v>0</v>
      </c>
      <c r="L174" s="69" t="b">
        <f>IF(Tab.11[[#This Row],[a1]]=1,Tab.11[[#This Row],[data]]/(_xlfn.STDEV.P(Tab.11[data])*$B$989)+$A$989)</f>
        <v>0</v>
      </c>
      <c r="M174" s="69" t="b">
        <f>IF(Tab.11[[#This Row],[a1]]=1,Tab.11[[#This Row],[data]]/(_xlfn.STDEV.P(Tab.11[data])*$B$987)-$A$987)</f>
        <v>0</v>
      </c>
      <c r="N174" s="69" t="b">
        <f>IF(Tab.11[[#This Row],[a1]]=1,Tab.11[[#This Row],[data]]/(_xlfn.STDEV.P(Tab.11[data])*$B$988)+$A$988)</f>
        <v>0</v>
      </c>
      <c r="O174" s="70" t="b">
        <f>IF(Tab.11[[#This Row],[a1]]=1,_xlfn.NORM.DIST(Tab.11[[#This Row],[b8]],$P$1,$Q$1,FALSE))</f>
        <v>0</v>
      </c>
      <c r="P174" s="70" t="b">
        <f>IF(Tab.11[[#This Row],[a1]]=1,_xlfn.NORM.DIST(Tab.11[[#This Row],[b9]],$P$1,$Q$1,FALSE))</f>
        <v>0</v>
      </c>
      <c r="Q174" s="70" t="b">
        <f>IF(Tab.11[[#This Row],[a1]]=1,_xlfn.NORM.DIST(Tab.11[[#This Row],[b10]],$P$1,$Q$1,FALSE))</f>
        <v>0</v>
      </c>
      <c r="R174" s="67" t="b">
        <f>IF(Tab.11[[#This Row],[a1]]=1,$I$3+$A$989+IF($K$3=0,Tab.11[[#This Row],[b8]]*_xlfn.STDEV.P(Tab.11[data]),AVERAGE(Tab.11[b6])+Tab.11[[#This Row],[b8]]*_xlfn.STDEV.P(Tab.11[data])))</f>
        <v>0</v>
      </c>
      <c r="S174" s="71" t="b">
        <f>IF(Tab.11[[#This Row],[a1]]=1,$I$3+$A$987+IF($K$3=0,Tab.11[[#This Row],[b9]]*_xlfn.STDEV.P(Tab.11[data]),AVERAGE(Tab.11[b6])+Tab.11[[#This Row],[b9]]*_xlfn.STDEV.P(Tab.11[data])))</f>
        <v>0</v>
      </c>
      <c r="T174" s="71" t="b">
        <f>IF(Tab.11[[#This Row],[a1]]=1,$I$3+$A$988+IF($K$3=0,Tab.11[[#This Row],[b10]]*_xlfn.STDEV.P(Tab.11[data]),AVERAGE(Tab.11[b6])+Tab.11[[#This Row],[b10]]*_xlfn.STDEV.P(Tab.11[data])))</f>
        <v>0</v>
      </c>
      <c r="U174" s="72" t="b">
        <f>IF(Tab.11[[#This Row],[a1]]=1,Tab.11[[#This Row],[target]]-Tab.11[[#This Row],[Red]])</f>
        <v>0</v>
      </c>
      <c r="V174" s="72" t="b">
        <f>IF(Tab.11[[#This Row],[a1]]=1,Tab.11[[#This Row],[target]]-Tab.11[[#This Row],[Blue]])</f>
        <v>0</v>
      </c>
      <c r="W174" s="73" t="b">
        <f>IF(Tab.11[[#This Row],[a1]]=1,IF(ABS(Tab.11[[#This Row],[b17]])+ABS(Tab.11[[#This Row],[b18]])&lt;$W$2,$W$2,ABS(Tab.11[[#This Row],[b17]])+ABS(Tab.11[[#This Row],[b18]])))</f>
        <v>0</v>
      </c>
      <c r="X174" s="136" t="b">
        <f>IF(Tab.11[[#This Row],[a1]]=1,IF($W$3&lt;0,Tab.11[[#This Row],[IN]]-$I$3,Tab.11[[#This Row],[IN]]))</f>
        <v>0</v>
      </c>
      <c r="Y174" s="136" t="b">
        <f>IF(Tab.11[[#This Row],[a1]]=1,IF($X$3=0,Tab.11[b66],Tab.11[[#This Row],[b66]]-AVERAGE(Tab.11[b66])))</f>
        <v>0</v>
      </c>
      <c r="Z174" s="135" t="b">
        <f>IF(Tab.11[[#This Row],[a1]]=1,Tab.11[[#This Row],[b77]]/(_xlfn.STDEV.P(Tab.11[b77])))</f>
        <v>0</v>
      </c>
      <c r="AA174" s="70" t="b">
        <f>IF(Tab.11[[#This Row],[a1]]=1,_xlfn.NORM.DIST(Tab.11[[#This Row],[b88]],$Z$1,$AA$1,FALSE))</f>
        <v>0</v>
      </c>
      <c r="AB174" s="74" t="b">
        <f>IF(Tab.11[[#This Row],[a1]]=1,IF($A$3=0,FALSE,1/Tab.11[[#This Row],[IN]]*$AC$2*IF(Tab.11[[#This Row],[a1]]=0,,$A$3*$AC$1*1/$V$3*(Tab.11[[#This Row],[b14]]))))</f>
        <v>0</v>
      </c>
      <c r="AC174" s="75" t="b">
        <f>IF(Tab.11[[#This Row],[a1]]=1,IF($AC$3=0,Tab.11[[#This Row],[φ1]],Tab.11[[#This Row],[φ1]]/MAX(Tab.11[φ1])))</f>
        <v>0</v>
      </c>
      <c r="AD174" s="74" t="b">
        <f>IF(Tab.11[[#This Row],[a1]]=1,1/Tab.11[[#This Row],[φ2]])</f>
        <v>0</v>
      </c>
      <c r="AE174" s="74" t="b">
        <f>IF(Tab.11[[#This Row],[a1]]=1,IF($AE$3=0,Tab.11[[#This Row],[w.0]],Tab.11[[#This Row],[w.0]]/SUM(Tab.11[w.0])))</f>
        <v>0</v>
      </c>
      <c r="AF174" s="76" t="str">
        <f>IF(Tab.11[[#This Row],[a1]]=0,"false",[3]!Tab.x5[[#This Row],[%_seN_C]])</f>
        <v>false</v>
      </c>
      <c r="AG174" s="77" t="b">
        <f>IF(Tab.11[[#This Row],[a1]]=1,AP174)</f>
        <v>0</v>
      </c>
      <c r="AH174" s="78" t="b">
        <f>IF(Tab.11[[#This Row],[a1]]=1,AQ174)</f>
        <v>0</v>
      </c>
      <c r="AI174" s="41">
        <v>3.0000000000000001E-3</v>
      </c>
      <c r="AJ174" s="79">
        <v>-0.01</v>
      </c>
      <c r="AK174" s="80" t="b">
        <f>IF(Tab.11[[#This Row],[a1]]=1,1)</f>
        <v>0</v>
      </c>
      <c r="AZ174"/>
    </row>
    <row r="175" spans="1:52" ht="14.25" hidden="1" customHeight="1" x14ac:dyDescent="0.25">
      <c r="A175" s="61">
        <f t="shared" si="7"/>
        <v>0</v>
      </c>
      <c r="B175" s="62">
        <f t="shared" si="7"/>
        <v>0</v>
      </c>
      <c r="C175" s="62" t="b">
        <f>IF(Tab.11[[#This Row],[a1]]=1,[3]!Tab_x1[[#This Row],[Name]])</f>
        <v>0</v>
      </c>
      <c r="D175" s="63" t="b">
        <f>IF(Tab.11[[#This Row],[a1]]=1,AO175)</f>
        <v>0</v>
      </c>
      <c r="E175" s="63">
        <f t="shared" si="6"/>
        <v>0</v>
      </c>
      <c r="F175" s="64" t="b">
        <f>IF(Tab.11[[#This Row],[a1]]=1,Tab.11[[#This Row],[b1]])</f>
        <v>0</v>
      </c>
      <c r="G175" s="65" t="b">
        <f>IF(Tab.11[[#This Row],[a1]]=1,IF(Tab.11[[#This Row],[b3]]&gt;$L$989*$G$3,$L$989*$G$3,IF(Tab.11[[#This Row],[b3]]&lt;$M$989*$G$3,$M$989*$G$3,Tab.11[[#This Row],[b3]])))</f>
        <v>0</v>
      </c>
      <c r="H175" s="66" t="b">
        <f>IF(Tab.11[[#This Row],[a1]]=1,Tab.11[[#This Row],[b1]])</f>
        <v>0</v>
      </c>
      <c r="I175" s="67" t="b">
        <f>IF(Tab.11[[#This Row],[a1]]=1,Tab.11[[#This Row],[b1]])</f>
        <v>0</v>
      </c>
      <c r="J175" s="68" t="b">
        <f>IF(Tab.11[[#This Row],[a1]]=1,IF($I$3&lt;0,Tab.11[[#This Row],[b5]]-$I$3,Tab.11[[#This Row],[b5]]))</f>
        <v>0</v>
      </c>
      <c r="K175" s="68" t="b">
        <f>IF(Tab.11[[#This Row],[a1]]=1,IF($K$3=0,Tab.11[b6],Tab.11[[#This Row],[b6]]-AVERAGE(Tab.11[b6])))</f>
        <v>0</v>
      </c>
      <c r="L175" s="69" t="b">
        <f>IF(Tab.11[[#This Row],[a1]]=1,Tab.11[[#This Row],[data]]/(_xlfn.STDEV.P(Tab.11[data])*$B$989)+$A$989)</f>
        <v>0</v>
      </c>
      <c r="M175" s="69" t="b">
        <f>IF(Tab.11[[#This Row],[a1]]=1,Tab.11[[#This Row],[data]]/(_xlfn.STDEV.P(Tab.11[data])*$B$987)-$A$987)</f>
        <v>0</v>
      </c>
      <c r="N175" s="69" t="b">
        <f>IF(Tab.11[[#This Row],[a1]]=1,Tab.11[[#This Row],[data]]/(_xlfn.STDEV.P(Tab.11[data])*$B$988)+$A$988)</f>
        <v>0</v>
      </c>
      <c r="O175" s="70" t="b">
        <f>IF(Tab.11[[#This Row],[a1]]=1,_xlfn.NORM.DIST(Tab.11[[#This Row],[b8]],$P$1,$Q$1,FALSE))</f>
        <v>0</v>
      </c>
      <c r="P175" s="70" t="b">
        <f>IF(Tab.11[[#This Row],[a1]]=1,_xlfn.NORM.DIST(Tab.11[[#This Row],[b9]],$P$1,$Q$1,FALSE))</f>
        <v>0</v>
      </c>
      <c r="Q175" s="70" t="b">
        <f>IF(Tab.11[[#This Row],[a1]]=1,_xlfn.NORM.DIST(Tab.11[[#This Row],[b10]],$P$1,$Q$1,FALSE))</f>
        <v>0</v>
      </c>
      <c r="R175" s="67" t="b">
        <f>IF(Tab.11[[#This Row],[a1]]=1,$I$3+$A$989+IF($K$3=0,Tab.11[[#This Row],[b8]]*_xlfn.STDEV.P(Tab.11[data]),AVERAGE(Tab.11[b6])+Tab.11[[#This Row],[b8]]*_xlfn.STDEV.P(Tab.11[data])))</f>
        <v>0</v>
      </c>
      <c r="S175" s="71" t="b">
        <f>IF(Tab.11[[#This Row],[a1]]=1,$I$3+$A$987+IF($K$3=0,Tab.11[[#This Row],[b9]]*_xlfn.STDEV.P(Tab.11[data]),AVERAGE(Tab.11[b6])+Tab.11[[#This Row],[b9]]*_xlfn.STDEV.P(Tab.11[data])))</f>
        <v>0</v>
      </c>
      <c r="T175" s="71" t="b">
        <f>IF(Tab.11[[#This Row],[a1]]=1,$I$3+$A$988+IF($K$3=0,Tab.11[[#This Row],[b10]]*_xlfn.STDEV.P(Tab.11[data]),AVERAGE(Tab.11[b6])+Tab.11[[#This Row],[b10]]*_xlfn.STDEV.P(Tab.11[data])))</f>
        <v>0</v>
      </c>
      <c r="U175" s="72" t="b">
        <f>IF(Tab.11[[#This Row],[a1]]=1,Tab.11[[#This Row],[target]]-Tab.11[[#This Row],[Red]])</f>
        <v>0</v>
      </c>
      <c r="V175" s="72" t="b">
        <f>IF(Tab.11[[#This Row],[a1]]=1,Tab.11[[#This Row],[target]]-Tab.11[[#This Row],[Blue]])</f>
        <v>0</v>
      </c>
      <c r="W175" s="73" t="b">
        <f>IF(Tab.11[[#This Row],[a1]]=1,IF(ABS(Tab.11[[#This Row],[b17]])+ABS(Tab.11[[#This Row],[b18]])&lt;$W$2,$W$2,ABS(Tab.11[[#This Row],[b17]])+ABS(Tab.11[[#This Row],[b18]])))</f>
        <v>0</v>
      </c>
      <c r="X175" s="136" t="b">
        <f>IF(Tab.11[[#This Row],[a1]]=1,IF($W$3&lt;0,Tab.11[[#This Row],[IN]]-$I$3,Tab.11[[#This Row],[IN]]))</f>
        <v>0</v>
      </c>
      <c r="Y175" s="136" t="b">
        <f>IF(Tab.11[[#This Row],[a1]]=1,IF($X$3=0,Tab.11[b66],Tab.11[[#This Row],[b66]]-AVERAGE(Tab.11[b66])))</f>
        <v>0</v>
      </c>
      <c r="Z175" s="135" t="b">
        <f>IF(Tab.11[[#This Row],[a1]]=1,Tab.11[[#This Row],[b77]]/(_xlfn.STDEV.P(Tab.11[b77])))</f>
        <v>0</v>
      </c>
      <c r="AA175" s="70" t="b">
        <f>IF(Tab.11[[#This Row],[a1]]=1,_xlfn.NORM.DIST(Tab.11[[#This Row],[b88]],$Z$1,$AA$1,FALSE))</f>
        <v>0</v>
      </c>
      <c r="AB175" s="74" t="b">
        <f>IF(Tab.11[[#This Row],[a1]]=1,IF($A$3=0,FALSE,1/Tab.11[[#This Row],[IN]]*$AC$2*IF(Tab.11[[#This Row],[a1]]=0,,$A$3*$AC$1*1/$V$3*(Tab.11[[#This Row],[b14]]))))</f>
        <v>0</v>
      </c>
      <c r="AC175" s="75" t="b">
        <f>IF(Tab.11[[#This Row],[a1]]=1,IF($AC$3=0,Tab.11[[#This Row],[φ1]],Tab.11[[#This Row],[φ1]]/MAX(Tab.11[φ1])))</f>
        <v>0</v>
      </c>
      <c r="AD175" s="74" t="b">
        <f>IF(Tab.11[[#This Row],[a1]]=1,1/Tab.11[[#This Row],[φ2]])</f>
        <v>0</v>
      </c>
      <c r="AE175" s="74" t="b">
        <f>IF(Tab.11[[#This Row],[a1]]=1,IF($AE$3=0,Tab.11[[#This Row],[w.0]],Tab.11[[#This Row],[w.0]]/SUM(Tab.11[w.0])))</f>
        <v>0</v>
      </c>
      <c r="AF175" s="76" t="str">
        <f>IF(Tab.11[[#This Row],[a1]]=0,"false",[3]!Tab.x5[[#This Row],[%_seN_C]])</f>
        <v>false</v>
      </c>
      <c r="AG175" s="77" t="b">
        <f>IF(Tab.11[[#This Row],[a1]]=1,AP175)</f>
        <v>0</v>
      </c>
      <c r="AH175" s="78" t="b">
        <f>IF(Tab.11[[#This Row],[a1]]=1,AQ175)</f>
        <v>0</v>
      </c>
      <c r="AI175" s="41">
        <v>3.0000000000000001E-3</v>
      </c>
      <c r="AJ175" s="79">
        <v>0.02</v>
      </c>
      <c r="AK175" s="80" t="b">
        <f>IF(Tab.11[[#This Row],[a1]]=1,1)</f>
        <v>0</v>
      </c>
      <c r="AZ175"/>
    </row>
    <row r="176" spans="1:52" ht="14.25" hidden="1" customHeight="1" x14ac:dyDescent="0.25">
      <c r="A176" s="61">
        <f t="shared" si="7"/>
        <v>0</v>
      </c>
      <c r="B176" s="62">
        <f t="shared" si="7"/>
        <v>0</v>
      </c>
      <c r="C176" s="62" t="b">
        <f>IF(Tab.11[[#This Row],[a1]]=1,[3]!Tab_x1[[#This Row],[Name]])</f>
        <v>0</v>
      </c>
      <c r="D176" s="63" t="b">
        <f>IF(Tab.11[[#This Row],[a1]]=1,AO176)</f>
        <v>0</v>
      </c>
      <c r="E176" s="63">
        <f t="shared" si="6"/>
        <v>0</v>
      </c>
      <c r="F176" s="64" t="b">
        <f>IF(Tab.11[[#This Row],[a1]]=1,Tab.11[[#This Row],[b1]])</f>
        <v>0</v>
      </c>
      <c r="G176" s="65" t="b">
        <f>IF(Tab.11[[#This Row],[a1]]=1,IF(Tab.11[[#This Row],[b3]]&gt;$L$989*$G$3,$L$989*$G$3,IF(Tab.11[[#This Row],[b3]]&lt;$M$989*$G$3,$M$989*$G$3,Tab.11[[#This Row],[b3]])))</f>
        <v>0</v>
      </c>
      <c r="H176" s="66" t="b">
        <f>IF(Tab.11[[#This Row],[a1]]=1,Tab.11[[#This Row],[b1]])</f>
        <v>0</v>
      </c>
      <c r="I176" s="67" t="b">
        <f>IF(Tab.11[[#This Row],[a1]]=1,Tab.11[[#This Row],[b1]])</f>
        <v>0</v>
      </c>
      <c r="J176" s="68" t="b">
        <f>IF(Tab.11[[#This Row],[a1]]=1,IF($I$3&lt;0,Tab.11[[#This Row],[b5]]-$I$3,Tab.11[[#This Row],[b5]]))</f>
        <v>0</v>
      </c>
      <c r="K176" s="68" t="b">
        <f>IF(Tab.11[[#This Row],[a1]]=1,IF($K$3=0,Tab.11[b6],Tab.11[[#This Row],[b6]]-AVERAGE(Tab.11[b6])))</f>
        <v>0</v>
      </c>
      <c r="L176" s="69" t="b">
        <f>IF(Tab.11[[#This Row],[a1]]=1,Tab.11[[#This Row],[data]]/(_xlfn.STDEV.P(Tab.11[data])*$B$989)+$A$989)</f>
        <v>0</v>
      </c>
      <c r="M176" s="69" t="b">
        <f>IF(Tab.11[[#This Row],[a1]]=1,Tab.11[[#This Row],[data]]/(_xlfn.STDEV.P(Tab.11[data])*$B$987)-$A$987)</f>
        <v>0</v>
      </c>
      <c r="N176" s="69" t="b">
        <f>IF(Tab.11[[#This Row],[a1]]=1,Tab.11[[#This Row],[data]]/(_xlfn.STDEV.P(Tab.11[data])*$B$988)+$A$988)</f>
        <v>0</v>
      </c>
      <c r="O176" s="70" t="b">
        <f>IF(Tab.11[[#This Row],[a1]]=1,_xlfn.NORM.DIST(Tab.11[[#This Row],[b8]],$P$1,$Q$1,FALSE))</f>
        <v>0</v>
      </c>
      <c r="P176" s="70" t="b">
        <f>IF(Tab.11[[#This Row],[a1]]=1,_xlfn.NORM.DIST(Tab.11[[#This Row],[b9]],$P$1,$Q$1,FALSE))</f>
        <v>0</v>
      </c>
      <c r="Q176" s="70" t="b">
        <f>IF(Tab.11[[#This Row],[a1]]=1,_xlfn.NORM.DIST(Tab.11[[#This Row],[b10]],$P$1,$Q$1,FALSE))</f>
        <v>0</v>
      </c>
      <c r="R176" s="67" t="b">
        <f>IF(Tab.11[[#This Row],[a1]]=1,$I$3+$A$989+IF($K$3=0,Tab.11[[#This Row],[b8]]*_xlfn.STDEV.P(Tab.11[data]),AVERAGE(Tab.11[b6])+Tab.11[[#This Row],[b8]]*_xlfn.STDEV.P(Tab.11[data])))</f>
        <v>0</v>
      </c>
      <c r="S176" s="71" t="b">
        <f>IF(Tab.11[[#This Row],[a1]]=1,$I$3+$A$987+IF($K$3=0,Tab.11[[#This Row],[b9]]*_xlfn.STDEV.P(Tab.11[data]),AVERAGE(Tab.11[b6])+Tab.11[[#This Row],[b9]]*_xlfn.STDEV.P(Tab.11[data])))</f>
        <v>0</v>
      </c>
      <c r="T176" s="71" t="b">
        <f>IF(Tab.11[[#This Row],[a1]]=1,$I$3+$A$988+IF($K$3=0,Tab.11[[#This Row],[b10]]*_xlfn.STDEV.P(Tab.11[data]),AVERAGE(Tab.11[b6])+Tab.11[[#This Row],[b10]]*_xlfn.STDEV.P(Tab.11[data])))</f>
        <v>0</v>
      </c>
      <c r="U176" s="72" t="b">
        <f>IF(Tab.11[[#This Row],[a1]]=1,Tab.11[[#This Row],[target]]-Tab.11[[#This Row],[Red]])</f>
        <v>0</v>
      </c>
      <c r="V176" s="72" t="b">
        <f>IF(Tab.11[[#This Row],[a1]]=1,Tab.11[[#This Row],[target]]-Tab.11[[#This Row],[Blue]])</f>
        <v>0</v>
      </c>
      <c r="W176" s="73" t="b">
        <f>IF(Tab.11[[#This Row],[a1]]=1,IF(ABS(Tab.11[[#This Row],[b17]])+ABS(Tab.11[[#This Row],[b18]])&lt;$W$2,$W$2,ABS(Tab.11[[#This Row],[b17]])+ABS(Tab.11[[#This Row],[b18]])))</f>
        <v>0</v>
      </c>
      <c r="X176" s="136" t="b">
        <f>IF(Tab.11[[#This Row],[a1]]=1,IF($W$3&lt;0,Tab.11[[#This Row],[IN]]-$I$3,Tab.11[[#This Row],[IN]]))</f>
        <v>0</v>
      </c>
      <c r="Y176" s="136" t="b">
        <f>IF(Tab.11[[#This Row],[a1]]=1,IF($X$3=0,Tab.11[b66],Tab.11[[#This Row],[b66]]-AVERAGE(Tab.11[b66])))</f>
        <v>0</v>
      </c>
      <c r="Z176" s="135" t="b">
        <f>IF(Tab.11[[#This Row],[a1]]=1,Tab.11[[#This Row],[b77]]/(_xlfn.STDEV.P(Tab.11[b77])))</f>
        <v>0</v>
      </c>
      <c r="AA176" s="70" t="b">
        <f>IF(Tab.11[[#This Row],[a1]]=1,_xlfn.NORM.DIST(Tab.11[[#This Row],[b88]],$Z$1,$AA$1,FALSE))</f>
        <v>0</v>
      </c>
      <c r="AB176" s="74" t="b">
        <f>IF(Tab.11[[#This Row],[a1]]=1,IF($A$3=0,FALSE,1/Tab.11[[#This Row],[IN]]*$AC$2*IF(Tab.11[[#This Row],[a1]]=0,,$A$3*$AC$1*1/$V$3*(Tab.11[[#This Row],[b14]]))))</f>
        <v>0</v>
      </c>
      <c r="AC176" s="75" t="b">
        <f>IF(Tab.11[[#This Row],[a1]]=1,IF($AC$3=0,Tab.11[[#This Row],[φ1]],Tab.11[[#This Row],[φ1]]/MAX(Tab.11[φ1])))</f>
        <v>0</v>
      </c>
      <c r="AD176" s="74" t="b">
        <f>IF(Tab.11[[#This Row],[a1]]=1,1/Tab.11[[#This Row],[φ2]])</f>
        <v>0</v>
      </c>
      <c r="AE176" s="74" t="b">
        <f>IF(Tab.11[[#This Row],[a1]]=1,IF($AE$3=0,Tab.11[[#This Row],[w.0]],Tab.11[[#This Row],[w.0]]/SUM(Tab.11[w.0])))</f>
        <v>0</v>
      </c>
      <c r="AF176" s="76" t="str">
        <f>IF(Tab.11[[#This Row],[a1]]=0,"false",[3]!Tab.x5[[#This Row],[%_seN_C]])</f>
        <v>false</v>
      </c>
      <c r="AG176" s="77" t="b">
        <f>IF(Tab.11[[#This Row],[a1]]=1,AP176)</f>
        <v>0</v>
      </c>
      <c r="AH176" s="78" t="b">
        <f>IF(Tab.11[[#This Row],[a1]]=1,AQ176)</f>
        <v>0</v>
      </c>
      <c r="AI176" s="41">
        <v>3.0000000000000001E-3</v>
      </c>
      <c r="AJ176" s="79">
        <v>0.02</v>
      </c>
      <c r="AK176" s="80" t="b">
        <f>IF(Tab.11[[#This Row],[a1]]=1,1)</f>
        <v>0</v>
      </c>
      <c r="AZ176"/>
    </row>
    <row r="177" spans="1:52" ht="14.25" hidden="1" customHeight="1" x14ac:dyDescent="0.25">
      <c r="A177" s="61">
        <f t="shared" si="7"/>
        <v>0</v>
      </c>
      <c r="B177" s="62">
        <f t="shared" si="7"/>
        <v>0</v>
      </c>
      <c r="C177" s="62" t="b">
        <f>IF(Tab.11[[#This Row],[a1]]=1,[3]!Tab_x1[[#This Row],[Name]])</f>
        <v>0</v>
      </c>
      <c r="D177" s="63" t="b">
        <f>IF(Tab.11[[#This Row],[a1]]=1,AO177)</f>
        <v>0</v>
      </c>
      <c r="E177" s="63">
        <f t="shared" si="6"/>
        <v>0</v>
      </c>
      <c r="F177" s="64" t="b">
        <f>IF(Tab.11[[#This Row],[a1]]=1,Tab.11[[#This Row],[b1]])</f>
        <v>0</v>
      </c>
      <c r="G177" s="65" t="b">
        <f>IF(Tab.11[[#This Row],[a1]]=1,IF(Tab.11[[#This Row],[b3]]&gt;$L$989*$G$3,$L$989*$G$3,IF(Tab.11[[#This Row],[b3]]&lt;$M$989*$G$3,$M$989*$G$3,Tab.11[[#This Row],[b3]])))</f>
        <v>0</v>
      </c>
      <c r="H177" s="66" t="b">
        <f>IF(Tab.11[[#This Row],[a1]]=1,Tab.11[[#This Row],[b1]])</f>
        <v>0</v>
      </c>
      <c r="I177" s="67" t="b">
        <f>IF(Tab.11[[#This Row],[a1]]=1,Tab.11[[#This Row],[b1]])</f>
        <v>0</v>
      </c>
      <c r="J177" s="68" t="b">
        <f>IF(Tab.11[[#This Row],[a1]]=1,IF($I$3&lt;0,Tab.11[[#This Row],[b5]]-$I$3,Tab.11[[#This Row],[b5]]))</f>
        <v>0</v>
      </c>
      <c r="K177" s="68" t="b">
        <f>IF(Tab.11[[#This Row],[a1]]=1,IF($K$3=0,Tab.11[b6],Tab.11[[#This Row],[b6]]-AVERAGE(Tab.11[b6])))</f>
        <v>0</v>
      </c>
      <c r="L177" s="69" t="b">
        <f>IF(Tab.11[[#This Row],[a1]]=1,Tab.11[[#This Row],[data]]/(_xlfn.STDEV.P(Tab.11[data])*$B$989)+$A$989)</f>
        <v>0</v>
      </c>
      <c r="M177" s="69" t="b">
        <f>IF(Tab.11[[#This Row],[a1]]=1,Tab.11[[#This Row],[data]]/(_xlfn.STDEV.P(Tab.11[data])*$B$987)-$A$987)</f>
        <v>0</v>
      </c>
      <c r="N177" s="69" t="b">
        <f>IF(Tab.11[[#This Row],[a1]]=1,Tab.11[[#This Row],[data]]/(_xlfn.STDEV.P(Tab.11[data])*$B$988)+$A$988)</f>
        <v>0</v>
      </c>
      <c r="O177" s="70" t="b">
        <f>IF(Tab.11[[#This Row],[a1]]=1,_xlfn.NORM.DIST(Tab.11[[#This Row],[b8]],$P$1,$Q$1,FALSE))</f>
        <v>0</v>
      </c>
      <c r="P177" s="70" t="b">
        <f>IF(Tab.11[[#This Row],[a1]]=1,_xlfn.NORM.DIST(Tab.11[[#This Row],[b9]],$P$1,$Q$1,FALSE))</f>
        <v>0</v>
      </c>
      <c r="Q177" s="70" t="b">
        <f>IF(Tab.11[[#This Row],[a1]]=1,_xlfn.NORM.DIST(Tab.11[[#This Row],[b10]],$P$1,$Q$1,FALSE))</f>
        <v>0</v>
      </c>
      <c r="R177" s="67" t="b">
        <f>IF(Tab.11[[#This Row],[a1]]=1,$I$3+$A$989+IF($K$3=0,Tab.11[[#This Row],[b8]]*_xlfn.STDEV.P(Tab.11[data]),AVERAGE(Tab.11[b6])+Tab.11[[#This Row],[b8]]*_xlfn.STDEV.P(Tab.11[data])))</f>
        <v>0</v>
      </c>
      <c r="S177" s="71" t="b">
        <f>IF(Tab.11[[#This Row],[a1]]=1,$I$3+$A$987+IF($K$3=0,Tab.11[[#This Row],[b9]]*_xlfn.STDEV.P(Tab.11[data]),AVERAGE(Tab.11[b6])+Tab.11[[#This Row],[b9]]*_xlfn.STDEV.P(Tab.11[data])))</f>
        <v>0</v>
      </c>
      <c r="T177" s="71" t="b">
        <f>IF(Tab.11[[#This Row],[a1]]=1,$I$3+$A$988+IF($K$3=0,Tab.11[[#This Row],[b10]]*_xlfn.STDEV.P(Tab.11[data]),AVERAGE(Tab.11[b6])+Tab.11[[#This Row],[b10]]*_xlfn.STDEV.P(Tab.11[data])))</f>
        <v>0</v>
      </c>
      <c r="U177" s="72" t="b">
        <f>IF(Tab.11[[#This Row],[a1]]=1,Tab.11[[#This Row],[target]]-Tab.11[[#This Row],[Red]])</f>
        <v>0</v>
      </c>
      <c r="V177" s="72" t="b">
        <f>IF(Tab.11[[#This Row],[a1]]=1,Tab.11[[#This Row],[target]]-Tab.11[[#This Row],[Blue]])</f>
        <v>0</v>
      </c>
      <c r="W177" s="73" t="b">
        <f>IF(Tab.11[[#This Row],[a1]]=1,IF(ABS(Tab.11[[#This Row],[b17]])+ABS(Tab.11[[#This Row],[b18]])&lt;$W$2,$W$2,ABS(Tab.11[[#This Row],[b17]])+ABS(Tab.11[[#This Row],[b18]])))</f>
        <v>0</v>
      </c>
      <c r="X177" s="136" t="b">
        <f>IF(Tab.11[[#This Row],[a1]]=1,IF($W$3&lt;0,Tab.11[[#This Row],[IN]]-$I$3,Tab.11[[#This Row],[IN]]))</f>
        <v>0</v>
      </c>
      <c r="Y177" s="136" t="b">
        <f>IF(Tab.11[[#This Row],[a1]]=1,IF($X$3=0,Tab.11[b66],Tab.11[[#This Row],[b66]]-AVERAGE(Tab.11[b66])))</f>
        <v>0</v>
      </c>
      <c r="Z177" s="135" t="b">
        <f>IF(Tab.11[[#This Row],[a1]]=1,Tab.11[[#This Row],[b77]]/(_xlfn.STDEV.P(Tab.11[b77])))</f>
        <v>0</v>
      </c>
      <c r="AA177" s="70" t="b">
        <f>IF(Tab.11[[#This Row],[a1]]=1,_xlfn.NORM.DIST(Tab.11[[#This Row],[b88]],$Z$1,$AA$1,FALSE))</f>
        <v>0</v>
      </c>
      <c r="AB177" s="74" t="b">
        <f>IF(Tab.11[[#This Row],[a1]]=1,IF($A$3=0,FALSE,1/Tab.11[[#This Row],[IN]]*$AC$2*IF(Tab.11[[#This Row],[a1]]=0,,$A$3*$AC$1*1/$V$3*(Tab.11[[#This Row],[b14]]))))</f>
        <v>0</v>
      </c>
      <c r="AC177" s="75" t="b">
        <f>IF(Tab.11[[#This Row],[a1]]=1,IF($AC$3=0,Tab.11[[#This Row],[φ1]],Tab.11[[#This Row],[φ1]]/MAX(Tab.11[φ1])))</f>
        <v>0</v>
      </c>
      <c r="AD177" s="74" t="b">
        <f>IF(Tab.11[[#This Row],[a1]]=1,1/Tab.11[[#This Row],[φ2]])</f>
        <v>0</v>
      </c>
      <c r="AE177" s="74" t="b">
        <f>IF(Tab.11[[#This Row],[a1]]=1,IF($AE$3=0,Tab.11[[#This Row],[w.0]],Tab.11[[#This Row],[w.0]]/SUM(Tab.11[w.0])))</f>
        <v>0</v>
      </c>
      <c r="AF177" s="76" t="str">
        <f>IF(Tab.11[[#This Row],[a1]]=0,"false",[3]!Tab.x5[[#This Row],[%_seN_C]])</f>
        <v>false</v>
      </c>
      <c r="AG177" s="77" t="b">
        <f>IF(Tab.11[[#This Row],[a1]]=1,AP177)</f>
        <v>0</v>
      </c>
      <c r="AH177" s="78" t="b">
        <f>IF(Tab.11[[#This Row],[a1]]=1,AQ177)</f>
        <v>0</v>
      </c>
      <c r="AI177" s="41">
        <v>3.0000000000000001E-3</v>
      </c>
      <c r="AJ177" s="79">
        <v>0.1</v>
      </c>
      <c r="AK177" s="80" t="b">
        <f>IF(Tab.11[[#This Row],[a1]]=1,1)</f>
        <v>0</v>
      </c>
      <c r="AZ177"/>
    </row>
    <row r="178" spans="1:52" ht="14.25" hidden="1" customHeight="1" x14ac:dyDescent="0.25">
      <c r="A178" s="61">
        <f t="shared" si="7"/>
        <v>0</v>
      </c>
      <c r="B178" s="62">
        <f t="shared" si="7"/>
        <v>0</v>
      </c>
      <c r="C178" s="62" t="b">
        <f>IF(Tab.11[[#This Row],[a1]]=1,[3]!Tab_x1[[#This Row],[Name]])</f>
        <v>0</v>
      </c>
      <c r="D178" s="63" t="b">
        <f>IF(Tab.11[[#This Row],[a1]]=1,AO178)</f>
        <v>0</v>
      </c>
      <c r="E178" s="63">
        <f t="shared" si="6"/>
        <v>0</v>
      </c>
      <c r="F178" s="64" t="b">
        <f>IF(Tab.11[[#This Row],[a1]]=1,Tab.11[[#This Row],[b1]])</f>
        <v>0</v>
      </c>
      <c r="G178" s="65" t="b">
        <f>IF(Tab.11[[#This Row],[a1]]=1,IF(Tab.11[[#This Row],[b3]]&gt;$L$989*$G$3,$L$989*$G$3,IF(Tab.11[[#This Row],[b3]]&lt;$M$989*$G$3,$M$989*$G$3,Tab.11[[#This Row],[b3]])))</f>
        <v>0</v>
      </c>
      <c r="H178" s="66" t="b">
        <f>IF(Tab.11[[#This Row],[a1]]=1,Tab.11[[#This Row],[b1]])</f>
        <v>0</v>
      </c>
      <c r="I178" s="67" t="b">
        <f>IF(Tab.11[[#This Row],[a1]]=1,Tab.11[[#This Row],[b1]])</f>
        <v>0</v>
      </c>
      <c r="J178" s="68" t="b">
        <f>IF(Tab.11[[#This Row],[a1]]=1,IF($I$3&lt;0,Tab.11[[#This Row],[b5]]-$I$3,Tab.11[[#This Row],[b5]]))</f>
        <v>0</v>
      </c>
      <c r="K178" s="68" t="b">
        <f>IF(Tab.11[[#This Row],[a1]]=1,IF($K$3=0,Tab.11[b6],Tab.11[[#This Row],[b6]]-AVERAGE(Tab.11[b6])))</f>
        <v>0</v>
      </c>
      <c r="L178" s="69" t="b">
        <f>IF(Tab.11[[#This Row],[a1]]=1,Tab.11[[#This Row],[data]]/(_xlfn.STDEV.P(Tab.11[data])*$B$989)+$A$989)</f>
        <v>0</v>
      </c>
      <c r="M178" s="69" t="b">
        <f>IF(Tab.11[[#This Row],[a1]]=1,Tab.11[[#This Row],[data]]/(_xlfn.STDEV.P(Tab.11[data])*$B$987)-$A$987)</f>
        <v>0</v>
      </c>
      <c r="N178" s="69" t="b">
        <f>IF(Tab.11[[#This Row],[a1]]=1,Tab.11[[#This Row],[data]]/(_xlfn.STDEV.P(Tab.11[data])*$B$988)+$A$988)</f>
        <v>0</v>
      </c>
      <c r="O178" s="70" t="b">
        <f>IF(Tab.11[[#This Row],[a1]]=1,_xlfn.NORM.DIST(Tab.11[[#This Row],[b8]],$P$1,$Q$1,FALSE))</f>
        <v>0</v>
      </c>
      <c r="P178" s="70" t="b">
        <f>IF(Tab.11[[#This Row],[a1]]=1,_xlfn.NORM.DIST(Tab.11[[#This Row],[b9]],$P$1,$Q$1,FALSE))</f>
        <v>0</v>
      </c>
      <c r="Q178" s="70" t="b">
        <f>IF(Tab.11[[#This Row],[a1]]=1,_xlfn.NORM.DIST(Tab.11[[#This Row],[b10]],$P$1,$Q$1,FALSE))</f>
        <v>0</v>
      </c>
      <c r="R178" s="67" t="b">
        <f>IF(Tab.11[[#This Row],[a1]]=1,$I$3+$A$989+IF($K$3=0,Tab.11[[#This Row],[b8]]*_xlfn.STDEV.P(Tab.11[data]),AVERAGE(Tab.11[b6])+Tab.11[[#This Row],[b8]]*_xlfn.STDEV.P(Tab.11[data])))</f>
        <v>0</v>
      </c>
      <c r="S178" s="71" t="b">
        <f>IF(Tab.11[[#This Row],[a1]]=1,$I$3+$A$987+IF($K$3=0,Tab.11[[#This Row],[b9]]*_xlfn.STDEV.P(Tab.11[data]),AVERAGE(Tab.11[b6])+Tab.11[[#This Row],[b9]]*_xlfn.STDEV.P(Tab.11[data])))</f>
        <v>0</v>
      </c>
      <c r="T178" s="71" t="b">
        <f>IF(Tab.11[[#This Row],[a1]]=1,$I$3+$A$988+IF($K$3=0,Tab.11[[#This Row],[b10]]*_xlfn.STDEV.P(Tab.11[data]),AVERAGE(Tab.11[b6])+Tab.11[[#This Row],[b10]]*_xlfn.STDEV.P(Tab.11[data])))</f>
        <v>0</v>
      </c>
      <c r="U178" s="72" t="b">
        <f>IF(Tab.11[[#This Row],[a1]]=1,Tab.11[[#This Row],[target]]-Tab.11[[#This Row],[Red]])</f>
        <v>0</v>
      </c>
      <c r="V178" s="72" t="b">
        <f>IF(Tab.11[[#This Row],[a1]]=1,Tab.11[[#This Row],[target]]-Tab.11[[#This Row],[Blue]])</f>
        <v>0</v>
      </c>
      <c r="W178" s="73" t="b">
        <f>IF(Tab.11[[#This Row],[a1]]=1,IF(ABS(Tab.11[[#This Row],[b17]])+ABS(Tab.11[[#This Row],[b18]])&lt;$W$2,$W$2,ABS(Tab.11[[#This Row],[b17]])+ABS(Tab.11[[#This Row],[b18]])))</f>
        <v>0</v>
      </c>
      <c r="X178" s="136" t="b">
        <f>IF(Tab.11[[#This Row],[a1]]=1,IF($W$3&lt;0,Tab.11[[#This Row],[IN]]-$I$3,Tab.11[[#This Row],[IN]]))</f>
        <v>0</v>
      </c>
      <c r="Y178" s="136" t="b">
        <f>IF(Tab.11[[#This Row],[a1]]=1,IF($X$3=0,Tab.11[b66],Tab.11[[#This Row],[b66]]-AVERAGE(Tab.11[b66])))</f>
        <v>0</v>
      </c>
      <c r="Z178" s="135" t="b">
        <f>IF(Tab.11[[#This Row],[a1]]=1,Tab.11[[#This Row],[b77]]/(_xlfn.STDEV.P(Tab.11[b77])))</f>
        <v>0</v>
      </c>
      <c r="AA178" s="70" t="b">
        <f>IF(Tab.11[[#This Row],[a1]]=1,_xlfn.NORM.DIST(Tab.11[[#This Row],[b88]],$Z$1,$AA$1,FALSE))</f>
        <v>0</v>
      </c>
      <c r="AB178" s="74" t="b">
        <f>IF(Tab.11[[#This Row],[a1]]=1,IF($A$3=0,FALSE,1/Tab.11[[#This Row],[IN]]*$AC$2*IF(Tab.11[[#This Row],[a1]]=0,,$A$3*$AC$1*1/$V$3*(Tab.11[[#This Row],[b14]]))))</f>
        <v>0</v>
      </c>
      <c r="AC178" s="75" t="b">
        <f>IF(Tab.11[[#This Row],[a1]]=1,IF($AC$3=0,Tab.11[[#This Row],[φ1]],Tab.11[[#This Row],[φ1]]/MAX(Tab.11[φ1])))</f>
        <v>0</v>
      </c>
      <c r="AD178" s="74" t="b">
        <f>IF(Tab.11[[#This Row],[a1]]=1,1/Tab.11[[#This Row],[φ2]])</f>
        <v>0</v>
      </c>
      <c r="AE178" s="74" t="b">
        <f>IF(Tab.11[[#This Row],[a1]]=1,IF($AE$3=0,Tab.11[[#This Row],[w.0]],Tab.11[[#This Row],[w.0]]/SUM(Tab.11[w.0])))</f>
        <v>0</v>
      </c>
      <c r="AF178" s="76" t="str">
        <f>IF(Tab.11[[#This Row],[a1]]=0,"false",[3]!Tab.x5[[#This Row],[%_seN_C]])</f>
        <v>false</v>
      </c>
      <c r="AG178" s="77" t="b">
        <f>IF(Tab.11[[#This Row],[a1]]=1,AP178)</f>
        <v>0</v>
      </c>
      <c r="AH178" s="78" t="b">
        <f>IF(Tab.11[[#This Row],[a1]]=1,AQ178)</f>
        <v>0</v>
      </c>
      <c r="AI178" s="41">
        <v>3.0000000000000001E-3</v>
      </c>
      <c r="AJ178" s="79">
        <v>-0.1</v>
      </c>
      <c r="AK178" s="80" t="b">
        <f>IF(Tab.11[[#This Row],[a1]]=1,1)</f>
        <v>0</v>
      </c>
      <c r="AZ178"/>
    </row>
    <row r="179" spans="1:52" ht="14.25" hidden="1" customHeight="1" x14ac:dyDescent="0.25">
      <c r="A179" s="61">
        <f t="shared" si="7"/>
        <v>0</v>
      </c>
      <c r="B179" s="62">
        <f t="shared" si="7"/>
        <v>0</v>
      </c>
      <c r="C179" s="62" t="b">
        <f>IF(Tab.11[[#This Row],[a1]]=1,[3]!Tab_x1[[#This Row],[Name]])</f>
        <v>0</v>
      </c>
      <c r="D179" s="63" t="b">
        <f>IF(Tab.11[[#This Row],[a1]]=1,AO179)</f>
        <v>0</v>
      </c>
      <c r="E179" s="63">
        <f t="shared" si="6"/>
        <v>0</v>
      </c>
      <c r="F179" s="64" t="b">
        <f>IF(Tab.11[[#This Row],[a1]]=1,Tab.11[[#This Row],[b1]])</f>
        <v>0</v>
      </c>
      <c r="G179" s="65" t="b">
        <f>IF(Tab.11[[#This Row],[a1]]=1,IF(Tab.11[[#This Row],[b3]]&gt;$L$989*$G$3,$L$989*$G$3,IF(Tab.11[[#This Row],[b3]]&lt;$M$989*$G$3,$M$989*$G$3,Tab.11[[#This Row],[b3]])))</f>
        <v>0</v>
      </c>
      <c r="H179" s="66" t="b">
        <f>IF(Tab.11[[#This Row],[a1]]=1,Tab.11[[#This Row],[b1]])</f>
        <v>0</v>
      </c>
      <c r="I179" s="67" t="b">
        <f>IF(Tab.11[[#This Row],[a1]]=1,Tab.11[[#This Row],[b1]])</f>
        <v>0</v>
      </c>
      <c r="J179" s="68" t="b">
        <f>IF(Tab.11[[#This Row],[a1]]=1,IF($I$3&lt;0,Tab.11[[#This Row],[b5]]-$I$3,Tab.11[[#This Row],[b5]]))</f>
        <v>0</v>
      </c>
      <c r="K179" s="68" t="b">
        <f>IF(Tab.11[[#This Row],[a1]]=1,IF($K$3=0,Tab.11[b6],Tab.11[[#This Row],[b6]]-AVERAGE(Tab.11[b6])))</f>
        <v>0</v>
      </c>
      <c r="L179" s="69" t="b">
        <f>IF(Tab.11[[#This Row],[a1]]=1,Tab.11[[#This Row],[data]]/(_xlfn.STDEV.P(Tab.11[data])*$B$989)+$A$989)</f>
        <v>0</v>
      </c>
      <c r="M179" s="69" t="b">
        <f>IF(Tab.11[[#This Row],[a1]]=1,Tab.11[[#This Row],[data]]/(_xlfn.STDEV.P(Tab.11[data])*$B$987)-$A$987)</f>
        <v>0</v>
      </c>
      <c r="N179" s="69" t="b">
        <f>IF(Tab.11[[#This Row],[a1]]=1,Tab.11[[#This Row],[data]]/(_xlfn.STDEV.P(Tab.11[data])*$B$988)+$A$988)</f>
        <v>0</v>
      </c>
      <c r="O179" s="70" t="b">
        <f>IF(Tab.11[[#This Row],[a1]]=1,_xlfn.NORM.DIST(Tab.11[[#This Row],[b8]],$P$1,$Q$1,FALSE))</f>
        <v>0</v>
      </c>
      <c r="P179" s="70" t="b">
        <f>IF(Tab.11[[#This Row],[a1]]=1,_xlfn.NORM.DIST(Tab.11[[#This Row],[b9]],$P$1,$Q$1,FALSE))</f>
        <v>0</v>
      </c>
      <c r="Q179" s="70" t="b">
        <f>IF(Tab.11[[#This Row],[a1]]=1,_xlfn.NORM.DIST(Tab.11[[#This Row],[b10]],$P$1,$Q$1,FALSE))</f>
        <v>0</v>
      </c>
      <c r="R179" s="67" t="b">
        <f>IF(Tab.11[[#This Row],[a1]]=1,$I$3+$A$989+IF($K$3=0,Tab.11[[#This Row],[b8]]*_xlfn.STDEV.P(Tab.11[data]),AVERAGE(Tab.11[b6])+Tab.11[[#This Row],[b8]]*_xlfn.STDEV.P(Tab.11[data])))</f>
        <v>0</v>
      </c>
      <c r="S179" s="71" t="b">
        <f>IF(Tab.11[[#This Row],[a1]]=1,$I$3+$A$987+IF($K$3=0,Tab.11[[#This Row],[b9]]*_xlfn.STDEV.P(Tab.11[data]),AVERAGE(Tab.11[b6])+Tab.11[[#This Row],[b9]]*_xlfn.STDEV.P(Tab.11[data])))</f>
        <v>0</v>
      </c>
      <c r="T179" s="71" t="b">
        <f>IF(Tab.11[[#This Row],[a1]]=1,$I$3+$A$988+IF($K$3=0,Tab.11[[#This Row],[b10]]*_xlfn.STDEV.P(Tab.11[data]),AVERAGE(Tab.11[b6])+Tab.11[[#This Row],[b10]]*_xlfn.STDEV.P(Tab.11[data])))</f>
        <v>0</v>
      </c>
      <c r="U179" s="72" t="b">
        <f>IF(Tab.11[[#This Row],[a1]]=1,Tab.11[[#This Row],[target]]-Tab.11[[#This Row],[Red]])</f>
        <v>0</v>
      </c>
      <c r="V179" s="72" t="b">
        <f>IF(Tab.11[[#This Row],[a1]]=1,Tab.11[[#This Row],[target]]-Tab.11[[#This Row],[Blue]])</f>
        <v>0</v>
      </c>
      <c r="W179" s="73" t="b">
        <f>IF(Tab.11[[#This Row],[a1]]=1,IF(ABS(Tab.11[[#This Row],[b17]])+ABS(Tab.11[[#This Row],[b18]])&lt;$W$2,$W$2,ABS(Tab.11[[#This Row],[b17]])+ABS(Tab.11[[#This Row],[b18]])))</f>
        <v>0</v>
      </c>
      <c r="X179" s="136" t="b">
        <f>IF(Tab.11[[#This Row],[a1]]=1,IF($W$3&lt;0,Tab.11[[#This Row],[IN]]-$I$3,Tab.11[[#This Row],[IN]]))</f>
        <v>0</v>
      </c>
      <c r="Y179" s="136" t="b">
        <f>IF(Tab.11[[#This Row],[a1]]=1,IF($X$3=0,Tab.11[b66],Tab.11[[#This Row],[b66]]-AVERAGE(Tab.11[b66])))</f>
        <v>0</v>
      </c>
      <c r="Z179" s="135" t="b">
        <f>IF(Tab.11[[#This Row],[a1]]=1,Tab.11[[#This Row],[b77]]/(_xlfn.STDEV.P(Tab.11[b77])))</f>
        <v>0</v>
      </c>
      <c r="AA179" s="70" t="b">
        <f>IF(Tab.11[[#This Row],[a1]]=1,_xlfn.NORM.DIST(Tab.11[[#This Row],[b88]],$Z$1,$AA$1,FALSE))</f>
        <v>0</v>
      </c>
      <c r="AB179" s="74" t="b">
        <f>IF(Tab.11[[#This Row],[a1]]=1,IF($A$3=0,FALSE,1/Tab.11[[#This Row],[IN]]*$AC$2*IF(Tab.11[[#This Row],[a1]]=0,,$A$3*$AC$1*1/$V$3*(Tab.11[[#This Row],[b14]]))))</f>
        <v>0</v>
      </c>
      <c r="AC179" s="75" t="b">
        <f>IF(Tab.11[[#This Row],[a1]]=1,IF($AC$3=0,Tab.11[[#This Row],[φ1]],Tab.11[[#This Row],[φ1]]/MAX(Tab.11[φ1])))</f>
        <v>0</v>
      </c>
      <c r="AD179" s="74" t="b">
        <f>IF(Tab.11[[#This Row],[a1]]=1,1/Tab.11[[#This Row],[φ2]])</f>
        <v>0</v>
      </c>
      <c r="AE179" s="74" t="b">
        <f>IF(Tab.11[[#This Row],[a1]]=1,IF($AE$3=0,Tab.11[[#This Row],[w.0]],Tab.11[[#This Row],[w.0]]/SUM(Tab.11[w.0])))</f>
        <v>0</v>
      </c>
      <c r="AF179" s="76" t="str">
        <f>IF(Tab.11[[#This Row],[a1]]=0,"false",[3]!Tab.x5[[#This Row],[%_seN_C]])</f>
        <v>false</v>
      </c>
      <c r="AG179" s="77" t="b">
        <f>IF(Tab.11[[#This Row],[a1]]=1,AP179)</f>
        <v>0</v>
      </c>
      <c r="AH179" s="78" t="b">
        <f>IF(Tab.11[[#This Row],[a1]]=1,AQ179)</f>
        <v>0</v>
      </c>
      <c r="AI179" s="41">
        <v>3.0000000000000001E-3</v>
      </c>
      <c r="AJ179" s="79">
        <v>0</v>
      </c>
      <c r="AK179" s="80" t="b">
        <f>IF(Tab.11[[#This Row],[a1]]=1,1)</f>
        <v>0</v>
      </c>
      <c r="AZ179"/>
    </row>
    <row r="180" spans="1:52" ht="14.25" hidden="1" customHeight="1" x14ac:dyDescent="0.25">
      <c r="A180" s="61">
        <f t="shared" si="7"/>
        <v>0</v>
      </c>
      <c r="B180" s="62">
        <f t="shared" si="7"/>
        <v>0</v>
      </c>
      <c r="C180" s="62" t="b">
        <f>IF(Tab.11[[#This Row],[a1]]=1,[3]!Tab_x1[[#This Row],[Name]])</f>
        <v>0</v>
      </c>
      <c r="D180" s="63" t="b">
        <f>IF(Tab.11[[#This Row],[a1]]=1,AO180)</f>
        <v>0</v>
      </c>
      <c r="E180" s="63">
        <f t="shared" si="6"/>
        <v>0</v>
      </c>
      <c r="F180" s="64" t="b">
        <f>IF(Tab.11[[#This Row],[a1]]=1,Tab.11[[#This Row],[b1]])</f>
        <v>0</v>
      </c>
      <c r="G180" s="65" t="b">
        <f>IF(Tab.11[[#This Row],[a1]]=1,IF(Tab.11[[#This Row],[b3]]&gt;$L$989*$G$3,$L$989*$G$3,IF(Tab.11[[#This Row],[b3]]&lt;$M$989*$G$3,$M$989*$G$3,Tab.11[[#This Row],[b3]])))</f>
        <v>0</v>
      </c>
      <c r="H180" s="66" t="b">
        <f>IF(Tab.11[[#This Row],[a1]]=1,Tab.11[[#This Row],[b1]])</f>
        <v>0</v>
      </c>
      <c r="I180" s="67" t="b">
        <f>IF(Tab.11[[#This Row],[a1]]=1,Tab.11[[#This Row],[b1]])</f>
        <v>0</v>
      </c>
      <c r="J180" s="68" t="b">
        <f>IF(Tab.11[[#This Row],[a1]]=1,IF($I$3&lt;0,Tab.11[[#This Row],[b5]]-$I$3,Tab.11[[#This Row],[b5]]))</f>
        <v>0</v>
      </c>
      <c r="K180" s="68" t="b">
        <f>IF(Tab.11[[#This Row],[a1]]=1,IF($K$3=0,Tab.11[b6],Tab.11[[#This Row],[b6]]-AVERAGE(Tab.11[b6])))</f>
        <v>0</v>
      </c>
      <c r="L180" s="69" t="b">
        <f>IF(Tab.11[[#This Row],[a1]]=1,Tab.11[[#This Row],[data]]/(_xlfn.STDEV.P(Tab.11[data])*$B$989)+$A$989)</f>
        <v>0</v>
      </c>
      <c r="M180" s="69" t="b">
        <f>IF(Tab.11[[#This Row],[a1]]=1,Tab.11[[#This Row],[data]]/(_xlfn.STDEV.P(Tab.11[data])*$B$987)-$A$987)</f>
        <v>0</v>
      </c>
      <c r="N180" s="69" t="b">
        <f>IF(Tab.11[[#This Row],[a1]]=1,Tab.11[[#This Row],[data]]/(_xlfn.STDEV.P(Tab.11[data])*$B$988)+$A$988)</f>
        <v>0</v>
      </c>
      <c r="O180" s="70" t="b">
        <f>IF(Tab.11[[#This Row],[a1]]=1,_xlfn.NORM.DIST(Tab.11[[#This Row],[b8]],$P$1,$Q$1,FALSE))</f>
        <v>0</v>
      </c>
      <c r="P180" s="70" t="b">
        <f>IF(Tab.11[[#This Row],[a1]]=1,_xlfn.NORM.DIST(Tab.11[[#This Row],[b9]],$P$1,$Q$1,FALSE))</f>
        <v>0</v>
      </c>
      <c r="Q180" s="70" t="b">
        <f>IF(Tab.11[[#This Row],[a1]]=1,_xlfn.NORM.DIST(Tab.11[[#This Row],[b10]],$P$1,$Q$1,FALSE))</f>
        <v>0</v>
      </c>
      <c r="R180" s="67" t="b">
        <f>IF(Tab.11[[#This Row],[a1]]=1,$I$3+$A$989+IF($K$3=0,Tab.11[[#This Row],[b8]]*_xlfn.STDEV.P(Tab.11[data]),AVERAGE(Tab.11[b6])+Tab.11[[#This Row],[b8]]*_xlfn.STDEV.P(Tab.11[data])))</f>
        <v>0</v>
      </c>
      <c r="S180" s="71" t="b">
        <f>IF(Tab.11[[#This Row],[a1]]=1,$I$3+$A$987+IF($K$3=0,Tab.11[[#This Row],[b9]]*_xlfn.STDEV.P(Tab.11[data]),AVERAGE(Tab.11[b6])+Tab.11[[#This Row],[b9]]*_xlfn.STDEV.P(Tab.11[data])))</f>
        <v>0</v>
      </c>
      <c r="T180" s="71" t="b">
        <f>IF(Tab.11[[#This Row],[a1]]=1,$I$3+$A$988+IF($K$3=0,Tab.11[[#This Row],[b10]]*_xlfn.STDEV.P(Tab.11[data]),AVERAGE(Tab.11[b6])+Tab.11[[#This Row],[b10]]*_xlfn.STDEV.P(Tab.11[data])))</f>
        <v>0</v>
      </c>
      <c r="U180" s="72" t="b">
        <f>IF(Tab.11[[#This Row],[a1]]=1,Tab.11[[#This Row],[target]]-Tab.11[[#This Row],[Red]])</f>
        <v>0</v>
      </c>
      <c r="V180" s="72" t="b">
        <f>IF(Tab.11[[#This Row],[a1]]=1,Tab.11[[#This Row],[target]]-Tab.11[[#This Row],[Blue]])</f>
        <v>0</v>
      </c>
      <c r="W180" s="73" t="b">
        <f>IF(Tab.11[[#This Row],[a1]]=1,IF(ABS(Tab.11[[#This Row],[b17]])+ABS(Tab.11[[#This Row],[b18]])&lt;$W$2,$W$2,ABS(Tab.11[[#This Row],[b17]])+ABS(Tab.11[[#This Row],[b18]])))</f>
        <v>0</v>
      </c>
      <c r="X180" s="136" t="b">
        <f>IF(Tab.11[[#This Row],[a1]]=1,IF($W$3&lt;0,Tab.11[[#This Row],[IN]]-$I$3,Tab.11[[#This Row],[IN]]))</f>
        <v>0</v>
      </c>
      <c r="Y180" s="136" t="b">
        <f>IF(Tab.11[[#This Row],[a1]]=1,IF($X$3=0,Tab.11[b66],Tab.11[[#This Row],[b66]]-AVERAGE(Tab.11[b66])))</f>
        <v>0</v>
      </c>
      <c r="Z180" s="135" t="b">
        <f>IF(Tab.11[[#This Row],[a1]]=1,Tab.11[[#This Row],[b77]]/(_xlfn.STDEV.P(Tab.11[b77])))</f>
        <v>0</v>
      </c>
      <c r="AA180" s="70" t="b">
        <f>IF(Tab.11[[#This Row],[a1]]=1,_xlfn.NORM.DIST(Tab.11[[#This Row],[b88]],$Z$1,$AA$1,FALSE))</f>
        <v>0</v>
      </c>
      <c r="AB180" s="74" t="b">
        <f>IF(Tab.11[[#This Row],[a1]]=1,IF($A$3=0,FALSE,1/Tab.11[[#This Row],[IN]]*$AC$2*IF(Tab.11[[#This Row],[a1]]=0,,$A$3*$AC$1*1/$V$3*(Tab.11[[#This Row],[b14]]))))</f>
        <v>0</v>
      </c>
      <c r="AC180" s="75" t="b">
        <f>IF(Tab.11[[#This Row],[a1]]=1,IF($AC$3=0,Tab.11[[#This Row],[φ1]],Tab.11[[#This Row],[φ1]]/MAX(Tab.11[φ1])))</f>
        <v>0</v>
      </c>
      <c r="AD180" s="74" t="b">
        <f>IF(Tab.11[[#This Row],[a1]]=1,1/Tab.11[[#This Row],[φ2]])</f>
        <v>0</v>
      </c>
      <c r="AE180" s="74" t="b">
        <f>IF(Tab.11[[#This Row],[a1]]=1,IF($AE$3=0,Tab.11[[#This Row],[w.0]],Tab.11[[#This Row],[w.0]]/SUM(Tab.11[w.0])))</f>
        <v>0</v>
      </c>
      <c r="AF180" s="76" t="str">
        <f>IF(Tab.11[[#This Row],[a1]]=0,"false",[3]!Tab.x5[[#This Row],[%_seN_C]])</f>
        <v>false</v>
      </c>
      <c r="AG180" s="77" t="b">
        <f>IF(Tab.11[[#This Row],[a1]]=1,AP180)</f>
        <v>0</v>
      </c>
      <c r="AH180" s="78" t="b">
        <f>IF(Tab.11[[#This Row],[a1]]=1,AQ180)</f>
        <v>0</v>
      </c>
      <c r="AI180" s="41">
        <v>3.0000000000000001E-3</v>
      </c>
      <c r="AJ180" s="79">
        <v>-0.1</v>
      </c>
      <c r="AK180" s="80" t="b">
        <f>IF(Tab.11[[#This Row],[a1]]=1,1)</f>
        <v>0</v>
      </c>
      <c r="AZ180"/>
    </row>
    <row r="181" spans="1:52" ht="14.25" hidden="1" customHeight="1" x14ac:dyDescent="0.25">
      <c r="A181" s="61">
        <f t="shared" si="7"/>
        <v>0</v>
      </c>
      <c r="B181" s="62">
        <f t="shared" si="7"/>
        <v>0</v>
      </c>
      <c r="C181" s="62" t="b">
        <f>IF(Tab.11[[#This Row],[a1]]=1,[3]!Tab_x1[[#This Row],[Name]])</f>
        <v>0</v>
      </c>
      <c r="D181" s="63" t="b">
        <f>IF(Tab.11[[#This Row],[a1]]=1,AO181)</f>
        <v>0</v>
      </c>
      <c r="E181" s="63">
        <f t="shared" si="6"/>
        <v>0</v>
      </c>
      <c r="F181" s="64" t="b">
        <f>IF(Tab.11[[#This Row],[a1]]=1,Tab.11[[#This Row],[b1]])</f>
        <v>0</v>
      </c>
      <c r="G181" s="65" t="b">
        <f>IF(Tab.11[[#This Row],[a1]]=1,IF(Tab.11[[#This Row],[b3]]&gt;$L$989*$G$3,$L$989*$G$3,IF(Tab.11[[#This Row],[b3]]&lt;$M$989*$G$3,$M$989*$G$3,Tab.11[[#This Row],[b3]])))</f>
        <v>0</v>
      </c>
      <c r="H181" s="66" t="b">
        <f>IF(Tab.11[[#This Row],[a1]]=1,Tab.11[[#This Row],[b1]])</f>
        <v>0</v>
      </c>
      <c r="I181" s="67" t="b">
        <f>IF(Tab.11[[#This Row],[a1]]=1,Tab.11[[#This Row],[b1]])</f>
        <v>0</v>
      </c>
      <c r="J181" s="68" t="b">
        <f>IF(Tab.11[[#This Row],[a1]]=1,IF($I$3&lt;0,Tab.11[[#This Row],[b5]]-$I$3,Tab.11[[#This Row],[b5]]))</f>
        <v>0</v>
      </c>
      <c r="K181" s="68" t="b">
        <f>IF(Tab.11[[#This Row],[a1]]=1,IF($K$3=0,Tab.11[b6],Tab.11[[#This Row],[b6]]-AVERAGE(Tab.11[b6])))</f>
        <v>0</v>
      </c>
      <c r="L181" s="69" t="b">
        <f>IF(Tab.11[[#This Row],[a1]]=1,Tab.11[[#This Row],[data]]/(_xlfn.STDEV.P(Tab.11[data])*$B$989)+$A$989)</f>
        <v>0</v>
      </c>
      <c r="M181" s="69" t="b">
        <f>IF(Tab.11[[#This Row],[a1]]=1,Tab.11[[#This Row],[data]]/(_xlfn.STDEV.P(Tab.11[data])*$B$987)-$A$987)</f>
        <v>0</v>
      </c>
      <c r="N181" s="69" t="b">
        <f>IF(Tab.11[[#This Row],[a1]]=1,Tab.11[[#This Row],[data]]/(_xlfn.STDEV.P(Tab.11[data])*$B$988)+$A$988)</f>
        <v>0</v>
      </c>
      <c r="O181" s="70" t="b">
        <f>IF(Tab.11[[#This Row],[a1]]=1,_xlfn.NORM.DIST(Tab.11[[#This Row],[b8]],$P$1,$Q$1,FALSE))</f>
        <v>0</v>
      </c>
      <c r="P181" s="70" t="b">
        <f>IF(Tab.11[[#This Row],[a1]]=1,_xlfn.NORM.DIST(Tab.11[[#This Row],[b9]],$P$1,$Q$1,FALSE))</f>
        <v>0</v>
      </c>
      <c r="Q181" s="70" t="b">
        <f>IF(Tab.11[[#This Row],[a1]]=1,_xlfn.NORM.DIST(Tab.11[[#This Row],[b10]],$P$1,$Q$1,FALSE))</f>
        <v>0</v>
      </c>
      <c r="R181" s="67" t="b">
        <f>IF(Tab.11[[#This Row],[a1]]=1,$I$3+$A$989+IF($K$3=0,Tab.11[[#This Row],[b8]]*_xlfn.STDEV.P(Tab.11[data]),AVERAGE(Tab.11[b6])+Tab.11[[#This Row],[b8]]*_xlfn.STDEV.P(Tab.11[data])))</f>
        <v>0</v>
      </c>
      <c r="S181" s="71" t="b">
        <f>IF(Tab.11[[#This Row],[a1]]=1,$I$3+$A$987+IF($K$3=0,Tab.11[[#This Row],[b9]]*_xlfn.STDEV.P(Tab.11[data]),AVERAGE(Tab.11[b6])+Tab.11[[#This Row],[b9]]*_xlfn.STDEV.P(Tab.11[data])))</f>
        <v>0</v>
      </c>
      <c r="T181" s="71" t="b">
        <f>IF(Tab.11[[#This Row],[a1]]=1,$I$3+$A$988+IF($K$3=0,Tab.11[[#This Row],[b10]]*_xlfn.STDEV.P(Tab.11[data]),AVERAGE(Tab.11[b6])+Tab.11[[#This Row],[b10]]*_xlfn.STDEV.P(Tab.11[data])))</f>
        <v>0</v>
      </c>
      <c r="U181" s="72" t="b">
        <f>IF(Tab.11[[#This Row],[a1]]=1,Tab.11[[#This Row],[target]]-Tab.11[[#This Row],[Red]])</f>
        <v>0</v>
      </c>
      <c r="V181" s="72" t="b">
        <f>IF(Tab.11[[#This Row],[a1]]=1,Tab.11[[#This Row],[target]]-Tab.11[[#This Row],[Blue]])</f>
        <v>0</v>
      </c>
      <c r="W181" s="73" t="b">
        <f>IF(Tab.11[[#This Row],[a1]]=1,IF(ABS(Tab.11[[#This Row],[b17]])+ABS(Tab.11[[#This Row],[b18]])&lt;$W$2,$W$2,ABS(Tab.11[[#This Row],[b17]])+ABS(Tab.11[[#This Row],[b18]])))</f>
        <v>0</v>
      </c>
      <c r="X181" s="136" t="b">
        <f>IF(Tab.11[[#This Row],[a1]]=1,IF($W$3&lt;0,Tab.11[[#This Row],[IN]]-$I$3,Tab.11[[#This Row],[IN]]))</f>
        <v>0</v>
      </c>
      <c r="Y181" s="136" t="b">
        <f>IF(Tab.11[[#This Row],[a1]]=1,IF($X$3=0,Tab.11[b66],Tab.11[[#This Row],[b66]]-AVERAGE(Tab.11[b66])))</f>
        <v>0</v>
      </c>
      <c r="Z181" s="135" t="b">
        <f>IF(Tab.11[[#This Row],[a1]]=1,Tab.11[[#This Row],[b77]]/(_xlfn.STDEV.P(Tab.11[b77])))</f>
        <v>0</v>
      </c>
      <c r="AA181" s="70" t="b">
        <f>IF(Tab.11[[#This Row],[a1]]=1,_xlfn.NORM.DIST(Tab.11[[#This Row],[b88]],$Z$1,$AA$1,FALSE))</f>
        <v>0</v>
      </c>
      <c r="AB181" s="74" t="b">
        <f>IF(Tab.11[[#This Row],[a1]]=1,IF($A$3=0,FALSE,1/Tab.11[[#This Row],[IN]]*$AC$2*IF(Tab.11[[#This Row],[a1]]=0,,$A$3*$AC$1*1/$V$3*(Tab.11[[#This Row],[b14]]))))</f>
        <v>0</v>
      </c>
      <c r="AC181" s="75" t="b">
        <f>IF(Tab.11[[#This Row],[a1]]=1,IF($AC$3=0,Tab.11[[#This Row],[φ1]],Tab.11[[#This Row],[φ1]]/MAX(Tab.11[φ1])))</f>
        <v>0</v>
      </c>
      <c r="AD181" s="74" t="b">
        <f>IF(Tab.11[[#This Row],[a1]]=1,1/Tab.11[[#This Row],[φ2]])</f>
        <v>0</v>
      </c>
      <c r="AE181" s="74" t="b">
        <f>IF(Tab.11[[#This Row],[a1]]=1,IF($AE$3=0,Tab.11[[#This Row],[w.0]],Tab.11[[#This Row],[w.0]]/SUM(Tab.11[w.0])))</f>
        <v>0</v>
      </c>
      <c r="AF181" s="76" t="str">
        <f>IF(Tab.11[[#This Row],[a1]]=0,"false",[3]!Tab.x5[[#This Row],[%_seN_C]])</f>
        <v>false</v>
      </c>
      <c r="AG181" s="77" t="b">
        <f>IF(Tab.11[[#This Row],[a1]]=1,AP181)</f>
        <v>0</v>
      </c>
      <c r="AH181" s="78" t="b">
        <f>IF(Tab.11[[#This Row],[a1]]=1,AQ181)</f>
        <v>0</v>
      </c>
      <c r="AI181" s="41">
        <v>3.0000000000000001E-3</v>
      </c>
      <c r="AJ181" s="79">
        <v>-0.03</v>
      </c>
      <c r="AK181" s="80" t="b">
        <f>IF(Tab.11[[#This Row],[a1]]=1,1)</f>
        <v>0</v>
      </c>
      <c r="AZ181"/>
    </row>
    <row r="182" spans="1:52" ht="14.25" hidden="1" customHeight="1" x14ac:dyDescent="0.25">
      <c r="A182" s="61">
        <f t="shared" si="7"/>
        <v>0</v>
      </c>
      <c r="B182" s="62">
        <f t="shared" si="7"/>
        <v>0</v>
      </c>
      <c r="C182" s="62" t="b">
        <f>IF(Tab.11[[#This Row],[a1]]=1,[3]!Tab_x1[[#This Row],[Name]])</f>
        <v>0</v>
      </c>
      <c r="D182" s="63" t="b">
        <f>IF(Tab.11[[#This Row],[a1]]=1,AO182)</f>
        <v>0</v>
      </c>
      <c r="E182" s="63">
        <f t="shared" si="6"/>
        <v>0</v>
      </c>
      <c r="F182" s="64" t="b">
        <f>IF(Tab.11[[#This Row],[a1]]=1,Tab.11[[#This Row],[b1]])</f>
        <v>0</v>
      </c>
      <c r="G182" s="65" t="b">
        <f>IF(Tab.11[[#This Row],[a1]]=1,IF(Tab.11[[#This Row],[b3]]&gt;$L$989*$G$3,$L$989*$G$3,IF(Tab.11[[#This Row],[b3]]&lt;$M$989*$G$3,$M$989*$G$3,Tab.11[[#This Row],[b3]])))</f>
        <v>0</v>
      </c>
      <c r="H182" s="66" t="b">
        <f>IF(Tab.11[[#This Row],[a1]]=1,Tab.11[[#This Row],[b1]])</f>
        <v>0</v>
      </c>
      <c r="I182" s="67" t="b">
        <f>IF(Tab.11[[#This Row],[a1]]=1,Tab.11[[#This Row],[b1]])</f>
        <v>0</v>
      </c>
      <c r="J182" s="68" t="b">
        <f>IF(Tab.11[[#This Row],[a1]]=1,IF($I$3&lt;0,Tab.11[[#This Row],[b5]]-$I$3,Tab.11[[#This Row],[b5]]))</f>
        <v>0</v>
      </c>
      <c r="K182" s="68" t="b">
        <f>IF(Tab.11[[#This Row],[a1]]=1,IF($K$3=0,Tab.11[b6],Tab.11[[#This Row],[b6]]-AVERAGE(Tab.11[b6])))</f>
        <v>0</v>
      </c>
      <c r="L182" s="69" t="b">
        <f>IF(Tab.11[[#This Row],[a1]]=1,Tab.11[[#This Row],[data]]/(_xlfn.STDEV.P(Tab.11[data])*$B$989)+$A$989)</f>
        <v>0</v>
      </c>
      <c r="M182" s="69" t="b">
        <f>IF(Tab.11[[#This Row],[a1]]=1,Tab.11[[#This Row],[data]]/(_xlfn.STDEV.P(Tab.11[data])*$B$987)-$A$987)</f>
        <v>0</v>
      </c>
      <c r="N182" s="69" t="b">
        <f>IF(Tab.11[[#This Row],[a1]]=1,Tab.11[[#This Row],[data]]/(_xlfn.STDEV.P(Tab.11[data])*$B$988)+$A$988)</f>
        <v>0</v>
      </c>
      <c r="O182" s="70" t="b">
        <f>IF(Tab.11[[#This Row],[a1]]=1,_xlfn.NORM.DIST(Tab.11[[#This Row],[b8]],$P$1,$Q$1,FALSE))</f>
        <v>0</v>
      </c>
      <c r="P182" s="70" t="b">
        <f>IF(Tab.11[[#This Row],[a1]]=1,_xlfn.NORM.DIST(Tab.11[[#This Row],[b9]],$P$1,$Q$1,FALSE))</f>
        <v>0</v>
      </c>
      <c r="Q182" s="70" t="b">
        <f>IF(Tab.11[[#This Row],[a1]]=1,_xlfn.NORM.DIST(Tab.11[[#This Row],[b10]],$P$1,$Q$1,FALSE))</f>
        <v>0</v>
      </c>
      <c r="R182" s="67" t="b">
        <f>IF(Tab.11[[#This Row],[a1]]=1,$I$3+$A$989+IF($K$3=0,Tab.11[[#This Row],[b8]]*_xlfn.STDEV.P(Tab.11[data]),AVERAGE(Tab.11[b6])+Tab.11[[#This Row],[b8]]*_xlfn.STDEV.P(Tab.11[data])))</f>
        <v>0</v>
      </c>
      <c r="S182" s="71" t="b">
        <f>IF(Tab.11[[#This Row],[a1]]=1,$I$3+$A$987+IF($K$3=0,Tab.11[[#This Row],[b9]]*_xlfn.STDEV.P(Tab.11[data]),AVERAGE(Tab.11[b6])+Tab.11[[#This Row],[b9]]*_xlfn.STDEV.P(Tab.11[data])))</f>
        <v>0</v>
      </c>
      <c r="T182" s="71" t="b">
        <f>IF(Tab.11[[#This Row],[a1]]=1,$I$3+$A$988+IF($K$3=0,Tab.11[[#This Row],[b10]]*_xlfn.STDEV.P(Tab.11[data]),AVERAGE(Tab.11[b6])+Tab.11[[#This Row],[b10]]*_xlfn.STDEV.P(Tab.11[data])))</f>
        <v>0</v>
      </c>
      <c r="U182" s="72" t="b">
        <f>IF(Tab.11[[#This Row],[a1]]=1,Tab.11[[#This Row],[target]]-Tab.11[[#This Row],[Red]])</f>
        <v>0</v>
      </c>
      <c r="V182" s="72" t="b">
        <f>IF(Tab.11[[#This Row],[a1]]=1,Tab.11[[#This Row],[target]]-Tab.11[[#This Row],[Blue]])</f>
        <v>0</v>
      </c>
      <c r="W182" s="73" t="b">
        <f>IF(Tab.11[[#This Row],[a1]]=1,IF(ABS(Tab.11[[#This Row],[b17]])+ABS(Tab.11[[#This Row],[b18]])&lt;$W$2,$W$2,ABS(Tab.11[[#This Row],[b17]])+ABS(Tab.11[[#This Row],[b18]])))</f>
        <v>0</v>
      </c>
      <c r="X182" s="136" t="b">
        <f>IF(Tab.11[[#This Row],[a1]]=1,IF($W$3&lt;0,Tab.11[[#This Row],[IN]]-$I$3,Tab.11[[#This Row],[IN]]))</f>
        <v>0</v>
      </c>
      <c r="Y182" s="136" t="b">
        <f>IF(Tab.11[[#This Row],[a1]]=1,IF($X$3=0,Tab.11[b66],Tab.11[[#This Row],[b66]]-AVERAGE(Tab.11[b66])))</f>
        <v>0</v>
      </c>
      <c r="Z182" s="135" t="b">
        <f>IF(Tab.11[[#This Row],[a1]]=1,Tab.11[[#This Row],[b77]]/(_xlfn.STDEV.P(Tab.11[b77])))</f>
        <v>0</v>
      </c>
      <c r="AA182" s="70" t="b">
        <f>IF(Tab.11[[#This Row],[a1]]=1,_xlfn.NORM.DIST(Tab.11[[#This Row],[b88]],$Z$1,$AA$1,FALSE))</f>
        <v>0</v>
      </c>
      <c r="AB182" s="74" t="b">
        <f>IF(Tab.11[[#This Row],[a1]]=1,IF($A$3=0,FALSE,1/Tab.11[[#This Row],[IN]]*$AC$2*IF(Tab.11[[#This Row],[a1]]=0,,$A$3*$AC$1*1/$V$3*(Tab.11[[#This Row],[b14]]))))</f>
        <v>0</v>
      </c>
      <c r="AC182" s="75" t="b">
        <f>IF(Tab.11[[#This Row],[a1]]=1,IF($AC$3=0,Tab.11[[#This Row],[φ1]],Tab.11[[#This Row],[φ1]]/MAX(Tab.11[φ1])))</f>
        <v>0</v>
      </c>
      <c r="AD182" s="74" t="b">
        <f>IF(Tab.11[[#This Row],[a1]]=1,1/Tab.11[[#This Row],[φ2]])</f>
        <v>0</v>
      </c>
      <c r="AE182" s="74" t="b">
        <f>IF(Tab.11[[#This Row],[a1]]=1,IF($AE$3=0,Tab.11[[#This Row],[w.0]],Tab.11[[#This Row],[w.0]]/SUM(Tab.11[w.0])))</f>
        <v>0</v>
      </c>
      <c r="AF182" s="76" t="str">
        <f>IF(Tab.11[[#This Row],[a1]]=0,"false",[3]!Tab.x5[[#This Row],[%_seN_C]])</f>
        <v>false</v>
      </c>
      <c r="AG182" s="77" t="b">
        <f>IF(Tab.11[[#This Row],[a1]]=1,AP182)</f>
        <v>0</v>
      </c>
      <c r="AH182" s="78" t="b">
        <f>IF(Tab.11[[#This Row],[a1]]=1,AQ182)</f>
        <v>0</v>
      </c>
      <c r="AI182" s="41">
        <v>3.0000000000000001E-3</v>
      </c>
      <c r="AJ182" s="79">
        <v>7.0000000000000007E-2</v>
      </c>
      <c r="AK182" s="80" t="b">
        <f>IF(Tab.11[[#This Row],[a1]]=1,1)</f>
        <v>0</v>
      </c>
      <c r="AZ182"/>
    </row>
    <row r="183" spans="1:52" ht="14.25" hidden="1" customHeight="1" x14ac:dyDescent="0.25">
      <c r="A183" s="61">
        <f t="shared" si="7"/>
        <v>0</v>
      </c>
      <c r="B183" s="62">
        <f t="shared" si="7"/>
        <v>0</v>
      </c>
      <c r="C183" s="62" t="b">
        <f>IF(Tab.11[[#This Row],[a1]]=1,[3]!Tab_x1[[#This Row],[Name]])</f>
        <v>0</v>
      </c>
      <c r="D183" s="63" t="b">
        <f>IF(Tab.11[[#This Row],[a1]]=1,AO183)</f>
        <v>0</v>
      </c>
      <c r="E183" s="63">
        <f t="shared" si="6"/>
        <v>0</v>
      </c>
      <c r="F183" s="64" t="b">
        <f>IF(Tab.11[[#This Row],[a1]]=1,Tab.11[[#This Row],[b1]])</f>
        <v>0</v>
      </c>
      <c r="G183" s="65" t="b">
        <f>IF(Tab.11[[#This Row],[a1]]=1,IF(Tab.11[[#This Row],[b3]]&gt;$L$989*$G$3,$L$989*$G$3,IF(Tab.11[[#This Row],[b3]]&lt;$M$989*$G$3,$M$989*$G$3,Tab.11[[#This Row],[b3]])))</f>
        <v>0</v>
      </c>
      <c r="H183" s="66" t="b">
        <f>IF(Tab.11[[#This Row],[a1]]=1,Tab.11[[#This Row],[b1]])</f>
        <v>0</v>
      </c>
      <c r="I183" s="67" t="b">
        <f>IF(Tab.11[[#This Row],[a1]]=1,Tab.11[[#This Row],[b1]])</f>
        <v>0</v>
      </c>
      <c r="J183" s="68" t="b">
        <f>IF(Tab.11[[#This Row],[a1]]=1,IF($I$3&lt;0,Tab.11[[#This Row],[b5]]-$I$3,Tab.11[[#This Row],[b5]]))</f>
        <v>0</v>
      </c>
      <c r="K183" s="68" t="b">
        <f>IF(Tab.11[[#This Row],[a1]]=1,IF($K$3=0,Tab.11[b6],Tab.11[[#This Row],[b6]]-AVERAGE(Tab.11[b6])))</f>
        <v>0</v>
      </c>
      <c r="L183" s="69" t="b">
        <f>IF(Tab.11[[#This Row],[a1]]=1,Tab.11[[#This Row],[data]]/(_xlfn.STDEV.P(Tab.11[data])*$B$989)+$A$989)</f>
        <v>0</v>
      </c>
      <c r="M183" s="69" t="b">
        <f>IF(Tab.11[[#This Row],[a1]]=1,Tab.11[[#This Row],[data]]/(_xlfn.STDEV.P(Tab.11[data])*$B$987)-$A$987)</f>
        <v>0</v>
      </c>
      <c r="N183" s="69" t="b">
        <f>IF(Tab.11[[#This Row],[a1]]=1,Tab.11[[#This Row],[data]]/(_xlfn.STDEV.P(Tab.11[data])*$B$988)+$A$988)</f>
        <v>0</v>
      </c>
      <c r="O183" s="70" t="b">
        <f>IF(Tab.11[[#This Row],[a1]]=1,_xlfn.NORM.DIST(Tab.11[[#This Row],[b8]],$P$1,$Q$1,FALSE))</f>
        <v>0</v>
      </c>
      <c r="P183" s="70" t="b">
        <f>IF(Tab.11[[#This Row],[a1]]=1,_xlfn.NORM.DIST(Tab.11[[#This Row],[b9]],$P$1,$Q$1,FALSE))</f>
        <v>0</v>
      </c>
      <c r="Q183" s="70" t="b">
        <f>IF(Tab.11[[#This Row],[a1]]=1,_xlfn.NORM.DIST(Tab.11[[#This Row],[b10]],$P$1,$Q$1,FALSE))</f>
        <v>0</v>
      </c>
      <c r="R183" s="67" t="b">
        <f>IF(Tab.11[[#This Row],[a1]]=1,$I$3+$A$989+IF($K$3=0,Tab.11[[#This Row],[b8]]*_xlfn.STDEV.P(Tab.11[data]),AVERAGE(Tab.11[b6])+Tab.11[[#This Row],[b8]]*_xlfn.STDEV.P(Tab.11[data])))</f>
        <v>0</v>
      </c>
      <c r="S183" s="71" t="b">
        <f>IF(Tab.11[[#This Row],[a1]]=1,$I$3+$A$987+IF($K$3=0,Tab.11[[#This Row],[b9]]*_xlfn.STDEV.P(Tab.11[data]),AVERAGE(Tab.11[b6])+Tab.11[[#This Row],[b9]]*_xlfn.STDEV.P(Tab.11[data])))</f>
        <v>0</v>
      </c>
      <c r="T183" s="71" t="b">
        <f>IF(Tab.11[[#This Row],[a1]]=1,$I$3+$A$988+IF($K$3=0,Tab.11[[#This Row],[b10]]*_xlfn.STDEV.P(Tab.11[data]),AVERAGE(Tab.11[b6])+Tab.11[[#This Row],[b10]]*_xlfn.STDEV.P(Tab.11[data])))</f>
        <v>0</v>
      </c>
      <c r="U183" s="72" t="b">
        <f>IF(Tab.11[[#This Row],[a1]]=1,Tab.11[[#This Row],[target]]-Tab.11[[#This Row],[Red]])</f>
        <v>0</v>
      </c>
      <c r="V183" s="72" t="b">
        <f>IF(Tab.11[[#This Row],[a1]]=1,Tab.11[[#This Row],[target]]-Tab.11[[#This Row],[Blue]])</f>
        <v>0</v>
      </c>
      <c r="W183" s="73" t="b">
        <f>IF(Tab.11[[#This Row],[a1]]=1,IF(ABS(Tab.11[[#This Row],[b17]])+ABS(Tab.11[[#This Row],[b18]])&lt;$W$2,$W$2,ABS(Tab.11[[#This Row],[b17]])+ABS(Tab.11[[#This Row],[b18]])))</f>
        <v>0</v>
      </c>
      <c r="X183" s="136" t="b">
        <f>IF(Tab.11[[#This Row],[a1]]=1,IF($W$3&lt;0,Tab.11[[#This Row],[IN]]-$I$3,Tab.11[[#This Row],[IN]]))</f>
        <v>0</v>
      </c>
      <c r="Y183" s="136" t="b">
        <f>IF(Tab.11[[#This Row],[a1]]=1,IF($X$3=0,Tab.11[b66],Tab.11[[#This Row],[b66]]-AVERAGE(Tab.11[b66])))</f>
        <v>0</v>
      </c>
      <c r="Z183" s="135" t="b">
        <f>IF(Tab.11[[#This Row],[a1]]=1,Tab.11[[#This Row],[b77]]/(_xlfn.STDEV.P(Tab.11[b77])))</f>
        <v>0</v>
      </c>
      <c r="AA183" s="70" t="b">
        <f>IF(Tab.11[[#This Row],[a1]]=1,_xlfn.NORM.DIST(Tab.11[[#This Row],[b88]],$Z$1,$AA$1,FALSE))</f>
        <v>0</v>
      </c>
      <c r="AB183" s="74" t="b">
        <f>IF(Tab.11[[#This Row],[a1]]=1,IF($A$3=0,FALSE,1/Tab.11[[#This Row],[IN]]*$AC$2*IF(Tab.11[[#This Row],[a1]]=0,,$A$3*$AC$1*1/$V$3*(Tab.11[[#This Row],[b14]]))))</f>
        <v>0</v>
      </c>
      <c r="AC183" s="75" t="b">
        <f>IF(Tab.11[[#This Row],[a1]]=1,IF($AC$3=0,Tab.11[[#This Row],[φ1]],Tab.11[[#This Row],[φ1]]/MAX(Tab.11[φ1])))</f>
        <v>0</v>
      </c>
      <c r="AD183" s="74" t="b">
        <f>IF(Tab.11[[#This Row],[a1]]=1,1/Tab.11[[#This Row],[φ2]])</f>
        <v>0</v>
      </c>
      <c r="AE183" s="74" t="b">
        <f>IF(Tab.11[[#This Row],[a1]]=1,IF($AE$3=0,Tab.11[[#This Row],[w.0]],Tab.11[[#This Row],[w.0]]/SUM(Tab.11[w.0])))</f>
        <v>0</v>
      </c>
      <c r="AF183" s="76" t="str">
        <f>IF(Tab.11[[#This Row],[a1]]=0,"false",[3]!Tab.x5[[#This Row],[%_seN_C]])</f>
        <v>false</v>
      </c>
      <c r="AG183" s="77" t="b">
        <f>IF(Tab.11[[#This Row],[a1]]=1,AP183)</f>
        <v>0</v>
      </c>
      <c r="AH183" s="78" t="b">
        <f>IF(Tab.11[[#This Row],[a1]]=1,AQ183)</f>
        <v>0</v>
      </c>
      <c r="AI183" s="41">
        <v>3.0000000000000001E-3</v>
      </c>
      <c r="AJ183" s="79">
        <v>0.03</v>
      </c>
      <c r="AK183" s="80" t="b">
        <f>IF(Tab.11[[#This Row],[a1]]=1,1)</f>
        <v>0</v>
      </c>
      <c r="AZ183"/>
    </row>
    <row r="184" spans="1:52" ht="14.25" hidden="1" customHeight="1" x14ac:dyDescent="0.25">
      <c r="A184" s="61">
        <f t="shared" si="7"/>
        <v>0</v>
      </c>
      <c r="B184" s="62">
        <f t="shared" si="7"/>
        <v>0</v>
      </c>
      <c r="C184" s="62" t="b">
        <f>IF(Tab.11[[#This Row],[a1]]=1,[3]!Tab_x1[[#This Row],[Name]])</f>
        <v>0</v>
      </c>
      <c r="D184" s="63" t="b">
        <f>IF(Tab.11[[#This Row],[a1]]=1,AO184)</f>
        <v>0</v>
      </c>
      <c r="E184" s="63">
        <f t="shared" si="6"/>
        <v>0</v>
      </c>
      <c r="F184" s="64" t="b">
        <f>IF(Tab.11[[#This Row],[a1]]=1,Tab.11[[#This Row],[b1]])</f>
        <v>0</v>
      </c>
      <c r="G184" s="65" t="b">
        <f>IF(Tab.11[[#This Row],[a1]]=1,IF(Tab.11[[#This Row],[b3]]&gt;$L$989*$G$3,$L$989*$G$3,IF(Tab.11[[#This Row],[b3]]&lt;$M$989*$G$3,$M$989*$G$3,Tab.11[[#This Row],[b3]])))</f>
        <v>0</v>
      </c>
      <c r="H184" s="66" t="b">
        <f>IF(Tab.11[[#This Row],[a1]]=1,Tab.11[[#This Row],[b1]])</f>
        <v>0</v>
      </c>
      <c r="I184" s="67" t="b">
        <f>IF(Tab.11[[#This Row],[a1]]=1,Tab.11[[#This Row],[b1]])</f>
        <v>0</v>
      </c>
      <c r="J184" s="68" t="b">
        <f>IF(Tab.11[[#This Row],[a1]]=1,IF($I$3&lt;0,Tab.11[[#This Row],[b5]]-$I$3,Tab.11[[#This Row],[b5]]))</f>
        <v>0</v>
      </c>
      <c r="K184" s="68" t="b">
        <f>IF(Tab.11[[#This Row],[a1]]=1,IF($K$3=0,Tab.11[b6],Tab.11[[#This Row],[b6]]-AVERAGE(Tab.11[b6])))</f>
        <v>0</v>
      </c>
      <c r="L184" s="69" t="b">
        <f>IF(Tab.11[[#This Row],[a1]]=1,Tab.11[[#This Row],[data]]/(_xlfn.STDEV.P(Tab.11[data])*$B$989)+$A$989)</f>
        <v>0</v>
      </c>
      <c r="M184" s="69" t="b">
        <f>IF(Tab.11[[#This Row],[a1]]=1,Tab.11[[#This Row],[data]]/(_xlfn.STDEV.P(Tab.11[data])*$B$987)-$A$987)</f>
        <v>0</v>
      </c>
      <c r="N184" s="69" t="b">
        <f>IF(Tab.11[[#This Row],[a1]]=1,Tab.11[[#This Row],[data]]/(_xlfn.STDEV.P(Tab.11[data])*$B$988)+$A$988)</f>
        <v>0</v>
      </c>
      <c r="O184" s="70" t="b">
        <f>IF(Tab.11[[#This Row],[a1]]=1,_xlfn.NORM.DIST(Tab.11[[#This Row],[b8]],$P$1,$Q$1,FALSE))</f>
        <v>0</v>
      </c>
      <c r="P184" s="70" t="b">
        <f>IF(Tab.11[[#This Row],[a1]]=1,_xlfn.NORM.DIST(Tab.11[[#This Row],[b9]],$P$1,$Q$1,FALSE))</f>
        <v>0</v>
      </c>
      <c r="Q184" s="70" t="b">
        <f>IF(Tab.11[[#This Row],[a1]]=1,_xlfn.NORM.DIST(Tab.11[[#This Row],[b10]],$P$1,$Q$1,FALSE))</f>
        <v>0</v>
      </c>
      <c r="R184" s="67" t="b">
        <f>IF(Tab.11[[#This Row],[a1]]=1,$I$3+$A$989+IF($K$3=0,Tab.11[[#This Row],[b8]]*_xlfn.STDEV.P(Tab.11[data]),AVERAGE(Tab.11[b6])+Tab.11[[#This Row],[b8]]*_xlfn.STDEV.P(Tab.11[data])))</f>
        <v>0</v>
      </c>
      <c r="S184" s="71" t="b">
        <f>IF(Tab.11[[#This Row],[a1]]=1,$I$3+$A$987+IF($K$3=0,Tab.11[[#This Row],[b9]]*_xlfn.STDEV.P(Tab.11[data]),AVERAGE(Tab.11[b6])+Tab.11[[#This Row],[b9]]*_xlfn.STDEV.P(Tab.11[data])))</f>
        <v>0</v>
      </c>
      <c r="T184" s="71" t="b">
        <f>IF(Tab.11[[#This Row],[a1]]=1,$I$3+$A$988+IF($K$3=0,Tab.11[[#This Row],[b10]]*_xlfn.STDEV.P(Tab.11[data]),AVERAGE(Tab.11[b6])+Tab.11[[#This Row],[b10]]*_xlfn.STDEV.P(Tab.11[data])))</f>
        <v>0</v>
      </c>
      <c r="U184" s="72" t="b">
        <f>IF(Tab.11[[#This Row],[a1]]=1,Tab.11[[#This Row],[target]]-Tab.11[[#This Row],[Red]])</f>
        <v>0</v>
      </c>
      <c r="V184" s="72" t="b">
        <f>IF(Tab.11[[#This Row],[a1]]=1,Tab.11[[#This Row],[target]]-Tab.11[[#This Row],[Blue]])</f>
        <v>0</v>
      </c>
      <c r="W184" s="73" t="b">
        <f>IF(Tab.11[[#This Row],[a1]]=1,IF(ABS(Tab.11[[#This Row],[b17]])+ABS(Tab.11[[#This Row],[b18]])&lt;$W$2,$W$2,ABS(Tab.11[[#This Row],[b17]])+ABS(Tab.11[[#This Row],[b18]])))</f>
        <v>0</v>
      </c>
      <c r="X184" s="136" t="b">
        <f>IF(Tab.11[[#This Row],[a1]]=1,IF($W$3&lt;0,Tab.11[[#This Row],[IN]]-$I$3,Tab.11[[#This Row],[IN]]))</f>
        <v>0</v>
      </c>
      <c r="Y184" s="136" t="b">
        <f>IF(Tab.11[[#This Row],[a1]]=1,IF($X$3=0,Tab.11[b66],Tab.11[[#This Row],[b66]]-AVERAGE(Tab.11[b66])))</f>
        <v>0</v>
      </c>
      <c r="Z184" s="135" t="b">
        <f>IF(Tab.11[[#This Row],[a1]]=1,Tab.11[[#This Row],[b77]]/(_xlfn.STDEV.P(Tab.11[b77])))</f>
        <v>0</v>
      </c>
      <c r="AA184" s="70" t="b">
        <f>IF(Tab.11[[#This Row],[a1]]=1,_xlfn.NORM.DIST(Tab.11[[#This Row],[b88]],$Z$1,$AA$1,FALSE))</f>
        <v>0</v>
      </c>
      <c r="AB184" s="74" t="b">
        <f>IF(Tab.11[[#This Row],[a1]]=1,IF($A$3=0,FALSE,1/Tab.11[[#This Row],[IN]]*$AC$2*IF(Tab.11[[#This Row],[a1]]=0,,$A$3*$AC$1*1/$V$3*(Tab.11[[#This Row],[b14]]))))</f>
        <v>0</v>
      </c>
      <c r="AC184" s="75" t="b">
        <f>IF(Tab.11[[#This Row],[a1]]=1,IF($AC$3=0,Tab.11[[#This Row],[φ1]],Tab.11[[#This Row],[φ1]]/MAX(Tab.11[φ1])))</f>
        <v>0</v>
      </c>
      <c r="AD184" s="74" t="b">
        <f>IF(Tab.11[[#This Row],[a1]]=1,1/Tab.11[[#This Row],[φ2]])</f>
        <v>0</v>
      </c>
      <c r="AE184" s="74" t="b">
        <f>IF(Tab.11[[#This Row],[a1]]=1,IF($AE$3=0,Tab.11[[#This Row],[w.0]],Tab.11[[#This Row],[w.0]]/SUM(Tab.11[w.0])))</f>
        <v>0</v>
      </c>
      <c r="AF184" s="76" t="str">
        <f>IF(Tab.11[[#This Row],[a1]]=0,"false",[3]!Tab.x5[[#This Row],[%_seN_C]])</f>
        <v>false</v>
      </c>
      <c r="AG184" s="77" t="b">
        <f>IF(Tab.11[[#This Row],[a1]]=1,AP184)</f>
        <v>0</v>
      </c>
      <c r="AH184" s="78" t="b">
        <f>IF(Tab.11[[#This Row],[a1]]=1,AQ184)</f>
        <v>0</v>
      </c>
      <c r="AI184" s="41">
        <v>3.0000000000000001E-3</v>
      </c>
      <c r="AJ184" s="79">
        <v>-0.08</v>
      </c>
      <c r="AK184" s="80" t="b">
        <f>IF(Tab.11[[#This Row],[a1]]=1,1)</f>
        <v>0</v>
      </c>
      <c r="AZ184"/>
    </row>
    <row r="185" spans="1:52" ht="14.25" hidden="1" customHeight="1" x14ac:dyDescent="0.25">
      <c r="A185" s="61">
        <f t="shared" si="7"/>
        <v>0</v>
      </c>
      <c r="B185" s="62">
        <f t="shared" si="7"/>
        <v>0</v>
      </c>
      <c r="C185" s="62" t="b">
        <f>IF(Tab.11[[#This Row],[a1]]=1,[3]!Tab_x1[[#This Row],[Name]])</f>
        <v>0</v>
      </c>
      <c r="D185" s="63" t="b">
        <f>IF(Tab.11[[#This Row],[a1]]=1,AO185)</f>
        <v>0</v>
      </c>
      <c r="E185" s="63">
        <f t="shared" si="6"/>
        <v>0</v>
      </c>
      <c r="F185" s="64" t="b">
        <f>IF(Tab.11[[#This Row],[a1]]=1,Tab.11[[#This Row],[b1]])</f>
        <v>0</v>
      </c>
      <c r="G185" s="65" t="b">
        <f>IF(Tab.11[[#This Row],[a1]]=1,IF(Tab.11[[#This Row],[b3]]&gt;$L$989*$G$3,$L$989*$G$3,IF(Tab.11[[#This Row],[b3]]&lt;$M$989*$G$3,$M$989*$G$3,Tab.11[[#This Row],[b3]])))</f>
        <v>0</v>
      </c>
      <c r="H185" s="66" t="b">
        <f>IF(Tab.11[[#This Row],[a1]]=1,Tab.11[[#This Row],[b1]])</f>
        <v>0</v>
      </c>
      <c r="I185" s="67" t="b">
        <f>IF(Tab.11[[#This Row],[a1]]=1,Tab.11[[#This Row],[b1]])</f>
        <v>0</v>
      </c>
      <c r="J185" s="68" t="b">
        <f>IF(Tab.11[[#This Row],[a1]]=1,IF($I$3&lt;0,Tab.11[[#This Row],[b5]]-$I$3,Tab.11[[#This Row],[b5]]))</f>
        <v>0</v>
      </c>
      <c r="K185" s="68" t="b">
        <f>IF(Tab.11[[#This Row],[a1]]=1,IF($K$3=0,Tab.11[b6],Tab.11[[#This Row],[b6]]-AVERAGE(Tab.11[b6])))</f>
        <v>0</v>
      </c>
      <c r="L185" s="69" t="b">
        <f>IF(Tab.11[[#This Row],[a1]]=1,Tab.11[[#This Row],[data]]/(_xlfn.STDEV.P(Tab.11[data])*$B$989)+$A$989)</f>
        <v>0</v>
      </c>
      <c r="M185" s="69" t="b">
        <f>IF(Tab.11[[#This Row],[a1]]=1,Tab.11[[#This Row],[data]]/(_xlfn.STDEV.P(Tab.11[data])*$B$987)-$A$987)</f>
        <v>0</v>
      </c>
      <c r="N185" s="69" t="b">
        <f>IF(Tab.11[[#This Row],[a1]]=1,Tab.11[[#This Row],[data]]/(_xlfn.STDEV.P(Tab.11[data])*$B$988)+$A$988)</f>
        <v>0</v>
      </c>
      <c r="O185" s="70" t="b">
        <f>IF(Tab.11[[#This Row],[a1]]=1,_xlfn.NORM.DIST(Tab.11[[#This Row],[b8]],$P$1,$Q$1,FALSE))</f>
        <v>0</v>
      </c>
      <c r="P185" s="70" t="b">
        <f>IF(Tab.11[[#This Row],[a1]]=1,_xlfn.NORM.DIST(Tab.11[[#This Row],[b9]],$P$1,$Q$1,FALSE))</f>
        <v>0</v>
      </c>
      <c r="Q185" s="70" t="b">
        <f>IF(Tab.11[[#This Row],[a1]]=1,_xlfn.NORM.DIST(Tab.11[[#This Row],[b10]],$P$1,$Q$1,FALSE))</f>
        <v>0</v>
      </c>
      <c r="R185" s="67" t="b">
        <f>IF(Tab.11[[#This Row],[a1]]=1,$I$3+$A$989+IF($K$3=0,Tab.11[[#This Row],[b8]]*_xlfn.STDEV.P(Tab.11[data]),AVERAGE(Tab.11[b6])+Tab.11[[#This Row],[b8]]*_xlfn.STDEV.P(Tab.11[data])))</f>
        <v>0</v>
      </c>
      <c r="S185" s="71" t="b">
        <f>IF(Tab.11[[#This Row],[a1]]=1,$I$3+$A$987+IF($K$3=0,Tab.11[[#This Row],[b9]]*_xlfn.STDEV.P(Tab.11[data]),AVERAGE(Tab.11[b6])+Tab.11[[#This Row],[b9]]*_xlfn.STDEV.P(Tab.11[data])))</f>
        <v>0</v>
      </c>
      <c r="T185" s="71" t="b">
        <f>IF(Tab.11[[#This Row],[a1]]=1,$I$3+$A$988+IF($K$3=0,Tab.11[[#This Row],[b10]]*_xlfn.STDEV.P(Tab.11[data]),AVERAGE(Tab.11[b6])+Tab.11[[#This Row],[b10]]*_xlfn.STDEV.P(Tab.11[data])))</f>
        <v>0</v>
      </c>
      <c r="U185" s="72" t="b">
        <f>IF(Tab.11[[#This Row],[a1]]=1,Tab.11[[#This Row],[target]]-Tab.11[[#This Row],[Red]])</f>
        <v>0</v>
      </c>
      <c r="V185" s="72" t="b">
        <f>IF(Tab.11[[#This Row],[a1]]=1,Tab.11[[#This Row],[target]]-Tab.11[[#This Row],[Blue]])</f>
        <v>0</v>
      </c>
      <c r="W185" s="73" t="b">
        <f>IF(Tab.11[[#This Row],[a1]]=1,IF(ABS(Tab.11[[#This Row],[b17]])+ABS(Tab.11[[#This Row],[b18]])&lt;$W$2,$W$2,ABS(Tab.11[[#This Row],[b17]])+ABS(Tab.11[[#This Row],[b18]])))</f>
        <v>0</v>
      </c>
      <c r="X185" s="136" t="b">
        <f>IF(Tab.11[[#This Row],[a1]]=1,IF($W$3&lt;0,Tab.11[[#This Row],[IN]]-$I$3,Tab.11[[#This Row],[IN]]))</f>
        <v>0</v>
      </c>
      <c r="Y185" s="136" t="b">
        <f>IF(Tab.11[[#This Row],[a1]]=1,IF($X$3=0,Tab.11[b66],Tab.11[[#This Row],[b66]]-AVERAGE(Tab.11[b66])))</f>
        <v>0</v>
      </c>
      <c r="Z185" s="135" t="b">
        <f>IF(Tab.11[[#This Row],[a1]]=1,Tab.11[[#This Row],[b77]]/(_xlfn.STDEV.P(Tab.11[b77])))</f>
        <v>0</v>
      </c>
      <c r="AA185" s="70" t="b">
        <f>IF(Tab.11[[#This Row],[a1]]=1,_xlfn.NORM.DIST(Tab.11[[#This Row],[b88]],$Z$1,$AA$1,FALSE))</f>
        <v>0</v>
      </c>
      <c r="AB185" s="74" t="b">
        <f>IF(Tab.11[[#This Row],[a1]]=1,IF($A$3=0,FALSE,1/Tab.11[[#This Row],[IN]]*$AC$2*IF(Tab.11[[#This Row],[a1]]=0,,$A$3*$AC$1*1/$V$3*(Tab.11[[#This Row],[b14]]))))</f>
        <v>0</v>
      </c>
      <c r="AC185" s="75" t="b">
        <f>IF(Tab.11[[#This Row],[a1]]=1,IF($AC$3=0,Tab.11[[#This Row],[φ1]],Tab.11[[#This Row],[φ1]]/MAX(Tab.11[φ1])))</f>
        <v>0</v>
      </c>
      <c r="AD185" s="74" t="b">
        <f>IF(Tab.11[[#This Row],[a1]]=1,1/Tab.11[[#This Row],[φ2]])</f>
        <v>0</v>
      </c>
      <c r="AE185" s="74" t="b">
        <f>IF(Tab.11[[#This Row],[a1]]=1,IF($AE$3=0,Tab.11[[#This Row],[w.0]],Tab.11[[#This Row],[w.0]]/SUM(Tab.11[w.0])))</f>
        <v>0</v>
      </c>
      <c r="AF185" s="76" t="str">
        <f>IF(Tab.11[[#This Row],[a1]]=0,"false",[3]!Tab.x5[[#This Row],[%_seN_C]])</f>
        <v>false</v>
      </c>
      <c r="AG185" s="77" t="b">
        <f>IF(Tab.11[[#This Row],[a1]]=1,AP185)</f>
        <v>0</v>
      </c>
      <c r="AH185" s="78" t="b">
        <f>IF(Tab.11[[#This Row],[a1]]=1,AQ185)</f>
        <v>0</v>
      </c>
      <c r="AI185" s="41">
        <v>3.0000000000000001E-3</v>
      </c>
      <c r="AJ185" s="79">
        <v>0.06</v>
      </c>
      <c r="AK185" s="80" t="b">
        <f>IF(Tab.11[[#This Row],[a1]]=1,1)</f>
        <v>0</v>
      </c>
      <c r="AZ185"/>
    </row>
    <row r="186" spans="1:52" ht="14.25" hidden="1" customHeight="1" x14ac:dyDescent="0.25">
      <c r="A186" s="61">
        <f t="shared" si="7"/>
        <v>0</v>
      </c>
      <c r="B186" s="62">
        <f t="shared" si="7"/>
        <v>0</v>
      </c>
      <c r="C186" s="62" t="b">
        <f>IF(Tab.11[[#This Row],[a1]]=1,[3]!Tab_x1[[#This Row],[Name]])</f>
        <v>0</v>
      </c>
      <c r="D186" s="63" t="b">
        <f>IF(Tab.11[[#This Row],[a1]]=1,AO186)</f>
        <v>0</v>
      </c>
      <c r="E186" s="63">
        <f t="shared" si="6"/>
        <v>0</v>
      </c>
      <c r="F186" s="64" t="b">
        <f>IF(Tab.11[[#This Row],[a1]]=1,Tab.11[[#This Row],[b1]])</f>
        <v>0</v>
      </c>
      <c r="G186" s="65" t="b">
        <f>IF(Tab.11[[#This Row],[a1]]=1,IF(Tab.11[[#This Row],[b3]]&gt;$L$989*$G$3,$L$989*$G$3,IF(Tab.11[[#This Row],[b3]]&lt;$M$989*$G$3,$M$989*$G$3,Tab.11[[#This Row],[b3]])))</f>
        <v>0</v>
      </c>
      <c r="H186" s="66" t="b">
        <f>IF(Tab.11[[#This Row],[a1]]=1,Tab.11[[#This Row],[b1]])</f>
        <v>0</v>
      </c>
      <c r="I186" s="67" t="b">
        <f>IF(Tab.11[[#This Row],[a1]]=1,Tab.11[[#This Row],[b1]])</f>
        <v>0</v>
      </c>
      <c r="J186" s="68" t="b">
        <f>IF(Tab.11[[#This Row],[a1]]=1,IF($I$3&lt;0,Tab.11[[#This Row],[b5]]-$I$3,Tab.11[[#This Row],[b5]]))</f>
        <v>0</v>
      </c>
      <c r="K186" s="68" t="b">
        <f>IF(Tab.11[[#This Row],[a1]]=1,IF($K$3=0,Tab.11[b6],Tab.11[[#This Row],[b6]]-AVERAGE(Tab.11[b6])))</f>
        <v>0</v>
      </c>
      <c r="L186" s="69" t="b">
        <f>IF(Tab.11[[#This Row],[a1]]=1,Tab.11[[#This Row],[data]]/(_xlfn.STDEV.P(Tab.11[data])*$B$989)+$A$989)</f>
        <v>0</v>
      </c>
      <c r="M186" s="69" t="b">
        <f>IF(Tab.11[[#This Row],[a1]]=1,Tab.11[[#This Row],[data]]/(_xlfn.STDEV.P(Tab.11[data])*$B$987)-$A$987)</f>
        <v>0</v>
      </c>
      <c r="N186" s="69" t="b">
        <f>IF(Tab.11[[#This Row],[a1]]=1,Tab.11[[#This Row],[data]]/(_xlfn.STDEV.P(Tab.11[data])*$B$988)+$A$988)</f>
        <v>0</v>
      </c>
      <c r="O186" s="70" t="b">
        <f>IF(Tab.11[[#This Row],[a1]]=1,_xlfn.NORM.DIST(Tab.11[[#This Row],[b8]],$P$1,$Q$1,FALSE))</f>
        <v>0</v>
      </c>
      <c r="P186" s="70" t="b">
        <f>IF(Tab.11[[#This Row],[a1]]=1,_xlfn.NORM.DIST(Tab.11[[#This Row],[b9]],$P$1,$Q$1,FALSE))</f>
        <v>0</v>
      </c>
      <c r="Q186" s="70" t="b">
        <f>IF(Tab.11[[#This Row],[a1]]=1,_xlfn.NORM.DIST(Tab.11[[#This Row],[b10]],$P$1,$Q$1,FALSE))</f>
        <v>0</v>
      </c>
      <c r="R186" s="67" t="b">
        <f>IF(Tab.11[[#This Row],[a1]]=1,$I$3+$A$989+IF($K$3=0,Tab.11[[#This Row],[b8]]*_xlfn.STDEV.P(Tab.11[data]),AVERAGE(Tab.11[b6])+Tab.11[[#This Row],[b8]]*_xlfn.STDEV.P(Tab.11[data])))</f>
        <v>0</v>
      </c>
      <c r="S186" s="71" t="b">
        <f>IF(Tab.11[[#This Row],[a1]]=1,$I$3+$A$987+IF($K$3=0,Tab.11[[#This Row],[b9]]*_xlfn.STDEV.P(Tab.11[data]),AVERAGE(Tab.11[b6])+Tab.11[[#This Row],[b9]]*_xlfn.STDEV.P(Tab.11[data])))</f>
        <v>0</v>
      </c>
      <c r="T186" s="71" t="b">
        <f>IF(Tab.11[[#This Row],[a1]]=1,$I$3+$A$988+IF($K$3=0,Tab.11[[#This Row],[b10]]*_xlfn.STDEV.P(Tab.11[data]),AVERAGE(Tab.11[b6])+Tab.11[[#This Row],[b10]]*_xlfn.STDEV.P(Tab.11[data])))</f>
        <v>0</v>
      </c>
      <c r="U186" s="72" t="b">
        <f>IF(Tab.11[[#This Row],[a1]]=1,Tab.11[[#This Row],[target]]-Tab.11[[#This Row],[Red]])</f>
        <v>0</v>
      </c>
      <c r="V186" s="72" t="b">
        <f>IF(Tab.11[[#This Row],[a1]]=1,Tab.11[[#This Row],[target]]-Tab.11[[#This Row],[Blue]])</f>
        <v>0</v>
      </c>
      <c r="W186" s="73" t="b">
        <f>IF(Tab.11[[#This Row],[a1]]=1,IF(ABS(Tab.11[[#This Row],[b17]])+ABS(Tab.11[[#This Row],[b18]])&lt;$W$2,$W$2,ABS(Tab.11[[#This Row],[b17]])+ABS(Tab.11[[#This Row],[b18]])))</f>
        <v>0</v>
      </c>
      <c r="X186" s="136" t="b">
        <f>IF(Tab.11[[#This Row],[a1]]=1,IF($W$3&lt;0,Tab.11[[#This Row],[IN]]-$I$3,Tab.11[[#This Row],[IN]]))</f>
        <v>0</v>
      </c>
      <c r="Y186" s="136" t="b">
        <f>IF(Tab.11[[#This Row],[a1]]=1,IF($X$3=0,Tab.11[b66],Tab.11[[#This Row],[b66]]-AVERAGE(Tab.11[b66])))</f>
        <v>0</v>
      </c>
      <c r="Z186" s="135" t="b">
        <f>IF(Tab.11[[#This Row],[a1]]=1,Tab.11[[#This Row],[b77]]/(_xlfn.STDEV.P(Tab.11[b77])))</f>
        <v>0</v>
      </c>
      <c r="AA186" s="70" t="b">
        <f>IF(Tab.11[[#This Row],[a1]]=1,_xlfn.NORM.DIST(Tab.11[[#This Row],[b88]],$Z$1,$AA$1,FALSE))</f>
        <v>0</v>
      </c>
      <c r="AB186" s="74" t="b">
        <f>IF(Tab.11[[#This Row],[a1]]=1,IF($A$3=0,FALSE,1/Tab.11[[#This Row],[IN]]*$AC$2*IF(Tab.11[[#This Row],[a1]]=0,,$A$3*$AC$1*1/$V$3*(Tab.11[[#This Row],[b14]]))))</f>
        <v>0</v>
      </c>
      <c r="AC186" s="75" t="b">
        <f>IF(Tab.11[[#This Row],[a1]]=1,IF($AC$3=0,Tab.11[[#This Row],[φ1]],Tab.11[[#This Row],[φ1]]/MAX(Tab.11[φ1])))</f>
        <v>0</v>
      </c>
      <c r="AD186" s="74" t="b">
        <f>IF(Tab.11[[#This Row],[a1]]=1,1/Tab.11[[#This Row],[φ2]])</f>
        <v>0</v>
      </c>
      <c r="AE186" s="74" t="b">
        <f>IF(Tab.11[[#This Row],[a1]]=1,IF($AE$3=0,Tab.11[[#This Row],[w.0]],Tab.11[[#This Row],[w.0]]/SUM(Tab.11[w.0])))</f>
        <v>0</v>
      </c>
      <c r="AF186" s="76" t="str">
        <f>IF(Tab.11[[#This Row],[a1]]=0,"false",[3]!Tab.x5[[#This Row],[%_seN_C]])</f>
        <v>false</v>
      </c>
      <c r="AG186" s="77" t="b">
        <f>IF(Tab.11[[#This Row],[a1]]=1,AP186)</f>
        <v>0</v>
      </c>
      <c r="AH186" s="78" t="b">
        <f>IF(Tab.11[[#This Row],[a1]]=1,AQ186)</f>
        <v>0</v>
      </c>
      <c r="AI186" s="41">
        <v>3.0000000000000001E-3</v>
      </c>
      <c r="AJ186" s="79">
        <v>-7.0000000000000007E-2</v>
      </c>
      <c r="AK186" s="80" t="b">
        <f>IF(Tab.11[[#This Row],[a1]]=1,1)</f>
        <v>0</v>
      </c>
      <c r="AZ186"/>
    </row>
    <row r="187" spans="1:52" ht="14.25" hidden="1" customHeight="1" x14ac:dyDescent="0.25">
      <c r="A187" s="61">
        <f t="shared" si="7"/>
        <v>0</v>
      </c>
      <c r="B187" s="62">
        <f t="shared" si="7"/>
        <v>0</v>
      </c>
      <c r="C187" s="62" t="b">
        <f>IF(Tab.11[[#This Row],[a1]]=1,[3]!Tab_x1[[#This Row],[Name]])</f>
        <v>0</v>
      </c>
      <c r="D187" s="63" t="b">
        <f>IF(Tab.11[[#This Row],[a1]]=1,AO187)</f>
        <v>0</v>
      </c>
      <c r="E187" s="63">
        <f t="shared" si="6"/>
        <v>0</v>
      </c>
      <c r="F187" s="64" t="b">
        <f>IF(Tab.11[[#This Row],[a1]]=1,Tab.11[[#This Row],[b1]])</f>
        <v>0</v>
      </c>
      <c r="G187" s="65" t="b">
        <f>IF(Tab.11[[#This Row],[a1]]=1,IF(Tab.11[[#This Row],[b3]]&gt;$L$989*$G$3,$L$989*$G$3,IF(Tab.11[[#This Row],[b3]]&lt;$M$989*$G$3,$M$989*$G$3,Tab.11[[#This Row],[b3]])))</f>
        <v>0</v>
      </c>
      <c r="H187" s="66" t="b">
        <f>IF(Tab.11[[#This Row],[a1]]=1,Tab.11[[#This Row],[b1]])</f>
        <v>0</v>
      </c>
      <c r="I187" s="67" t="b">
        <f>IF(Tab.11[[#This Row],[a1]]=1,Tab.11[[#This Row],[b1]])</f>
        <v>0</v>
      </c>
      <c r="J187" s="68" t="b">
        <f>IF(Tab.11[[#This Row],[a1]]=1,IF($I$3&lt;0,Tab.11[[#This Row],[b5]]-$I$3,Tab.11[[#This Row],[b5]]))</f>
        <v>0</v>
      </c>
      <c r="K187" s="68" t="b">
        <f>IF(Tab.11[[#This Row],[a1]]=1,IF($K$3=0,Tab.11[b6],Tab.11[[#This Row],[b6]]-AVERAGE(Tab.11[b6])))</f>
        <v>0</v>
      </c>
      <c r="L187" s="69" t="b">
        <f>IF(Tab.11[[#This Row],[a1]]=1,Tab.11[[#This Row],[data]]/(_xlfn.STDEV.P(Tab.11[data])*$B$989)+$A$989)</f>
        <v>0</v>
      </c>
      <c r="M187" s="69" t="b">
        <f>IF(Tab.11[[#This Row],[a1]]=1,Tab.11[[#This Row],[data]]/(_xlfn.STDEV.P(Tab.11[data])*$B$987)-$A$987)</f>
        <v>0</v>
      </c>
      <c r="N187" s="69" t="b">
        <f>IF(Tab.11[[#This Row],[a1]]=1,Tab.11[[#This Row],[data]]/(_xlfn.STDEV.P(Tab.11[data])*$B$988)+$A$988)</f>
        <v>0</v>
      </c>
      <c r="O187" s="70" t="b">
        <f>IF(Tab.11[[#This Row],[a1]]=1,_xlfn.NORM.DIST(Tab.11[[#This Row],[b8]],$P$1,$Q$1,FALSE))</f>
        <v>0</v>
      </c>
      <c r="P187" s="70" t="b">
        <f>IF(Tab.11[[#This Row],[a1]]=1,_xlfn.NORM.DIST(Tab.11[[#This Row],[b9]],$P$1,$Q$1,FALSE))</f>
        <v>0</v>
      </c>
      <c r="Q187" s="70" t="b">
        <f>IF(Tab.11[[#This Row],[a1]]=1,_xlfn.NORM.DIST(Tab.11[[#This Row],[b10]],$P$1,$Q$1,FALSE))</f>
        <v>0</v>
      </c>
      <c r="R187" s="67" t="b">
        <f>IF(Tab.11[[#This Row],[a1]]=1,$I$3+$A$989+IF($K$3=0,Tab.11[[#This Row],[b8]]*_xlfn.STDEV.P(Tab.11[data]),AVERAGE(Tab.11[b6])+Tab.11[[#This Row],[b8]]*_xlfn.STDEV.P(Tab.11[data])))</f>
        <v>0</v>
      </c>
      <c r="S187" s="71" t="b">
        <f>IF(Tab.11[[#This Row],[a1]]=1,$I$3+$A$987+IF($K$3=0,Tab.11[[#This Row],[b9]]*_xlfn.STDEV.P(Tab.11[data]),AVERAGE(Tab.11[b6])+Tab.11[[#This Row],[b9]]*_xlfn.STDEV.P(Tab.11[data])))</f>
        <v>0</v>
      </c>
      <c r="T187" s="71" t="b">
        <f>IF(Tab.11[[#This Row],[a1]]=1,$I$3+$A$988+IF($K$3=0,Tab.11[[#This Row],[b10]]*_xlfn.STDEV.P(Tab.11[data]),AVERAGE(Tab.11[b6])+Tab.11[[#This Row],[b10]]*_xlfn.STDEV.P(Tab.11[data])))</f>
        <v>0</v>
      </c>
      <c r="U187" s="72" t="b">
        <f>IF(Tab.11[[#This Row],[a1]]=1,Tab.11[[#This Row],[target]]-Tab.11[[#This Row],[Red]])</f>
        <v>0</v>
      </c>
      <c r="V187" s="72" t="b">
        <f>IF(Tab.11[[#This Row],[a1]]=1,Tab.11[[#This Row],[target]]-Tab.11[[#This Row],[Blue]])</f>
        <v>0</v>
      </c>
      <c r="W187" s="73" t="b">
        <f>IF(Tab.11[[#This Row],[a1]]=1,IF(ABS(Tab.11[[#This Row],[b17]])+ABS(Tab.11[[#This Row],[b18]])&lt;$W$2,$W$2,ABS(Tab.11[[#This Row],[b17]])+ABS(Tab.11[[#This Row],[b18]])))</f>
        <v>0</v>
      </c>
      <c r="X187" s="136" t="b">
        <f>IF(Tab.11[[#This Row],[a1]]=1,IF($W$3&lt;0,Tab.11[[#This Row],[IN]]-$I$3,Tab.11[[#This Row],[IN]]))</f>
        <v>0</v>
      </c>
      <c r="Y187" s="136" t="b">
        <f>IF(Tab.11[[#This Row],[a1]]=1,IF($X$3=0,Tab.11[b66],Tab.11[[#This Row],[b66]]-AVERAGE(Tab.11[b66])))</f>
        <v>0</v>
      </c>
      <c r="Z187" s="135" t="b">
        <f>IF(Tab.11[[#This Row],[a1]]=1,Tab.11[[#This Row],[b77]]/(_xlfn.STDEV.P(Tab.11[b77])))</f>
        <v>0</v>
      </c>
      <c r="AA187" s="70" t="b">
        <f>IF(Tab.11[[#This Row],[a1]]=1,_xlfn.NORM.DIST(Tab.11[[#This Row],[b88]],$Z$1,$AA$1,FALSE))</f>
        <v>0</v>
      </c>
      <c r="AB187" s="74" t="b">
        <f>IF(Tab.11[[#This Row],[a1]]=1,IF($A$3=0,FALSE,1/Tab.11[[#This Row],[IN]]*$AC$2*IF(Tab.11[[#This Row],[a1]]=0,,$A$3*$AC$1*1/$V$3*(Tab.11[[#This Row],[b14]]))))</f>
        <v>0</v>
      </c>
      <c r="AC187" s="75" t="b">
        <f>IF(Tab.11[[#This Row],[a1]]=1,IF($AC$3=0,Tab.11[[#This Row],[φ1]],Tab.11[[#This Row],[φ1]]/MAX(Tab.11[φ1])))</f>
        <v>0</v>
      </c>
      <c r="AD187" s="74" t="b">
        <f>IF(Tab.11[[#This Row],[a1]]=1,1/Tab.11[[#This Row],[φ2]])</f>
        <v>0</v>
      </c>
      <c r="AE187" s="74" t="b">
        <f>IF(Tab.11[[#This Row],[a1]]=1,IF($AE$3=0,Tab.11[[#This Row],[w.0]],Tab.11[[#This Row],[w.0]]/SUM(Tab.11[w.0])))</f>
        <v>0</v>
      </c>
      <c r="AF187" s="76" t="str">
        <f>IF(Tab.11[[#This Row],[a1]]=0,"false",[3]!Tab.x5[[#This Row],[%_seN_C]])</f>
        <v>false</v>
      </c>
      <c r="AG187" s="77" t="b">
        <f>IF(Tab.11[[#This Row],[a1]]=1,AP187)</f>
        <v>0</v>
      </c>
      <c r="AH187" s="78" t="b">
        <f>IF(Tab.11[[#This Row],[a1]]=1,AQ187)</f>
        <v>0</v>
      </c>
      <c r="AI187" s="41">
        <v>3.0000000000000001E-3</v>
      </c>
      <c r="AJ187" s="79">
        <v>0.01</v>
      </c>
      <c r="AK187" s="80" t="b">
        <f>IF(Tab.11[[#This Row],[a1]]=1,1)</f>
        <v>0</v>
      </c>
      <c r="AZ187"/>
    </row>
    <row r="188" spans="1:52" ht="14.25" hidden="1" customHeight="1" x14ac:dyDescent="0.25">
      <c r="A188" s="61">
        <f t="shared" si="7"/>
        <v>0</v>
      </c>
      <c r="B188" s="62">
        <f t="shared" si="7"/>
        <v>0</v>
      </c>
      <c r="C188" s="62" t="b">
        <f>IF(Tab.11[[#This Row],[a1]]=1,[3]!Tab_x1[[#This Row],[Name]])</f>
        <v>0</v>
      </c>
      <c r="D188" s="63" t="b">
        <f>IF(Tab.11[[#This Row],[a1]]=1,AO188)</f>
        <v>0</v>
      </c>
      <c r="E188" s="63">
        <f t="shared" si="6"/>
        <v>0</v>
      </c>
      <c r="F188" s="64" t="b">
        <f>IF(Tab.11[[#This Row],[a1]]=1,Tab.11[[#This Row],[b1]])</f>
        <v>0</v>
      </c>
      <c r="G188" s="65" t="b">
        <f>IF(Tab.11[[#This Row],[a1]]=1,IF(Tab.11[[#This Row],[b3]]&gt;$L$989*$G$3,$L$989*$G$3,IF(Tab.11[[#This Row],[b3]]&lt;$M$989*$G$3,$M$989*$G$3,Tab.11[[#This Row],[b3]])))</f>
        <v>0</v>
      </c>
      <c r="H188" s="66" t="b">
        <f>IF(Tab.11[[#This Row],[a1]]=1,Tab.11[[#This Row],[b1]])</f>
        <v>0</v>
      </c>
      <c r="I188" s="67" t="b">
        <f>IF(Tab.11[[#This Row],[a1]]=1,Tab.11[[#This Row],[b1]])</f>
        <v>0</v>
      </c>
      <c r="J188" s="68" t="b">
        <f>IF(Tab.11[[#This Row],[a1]]=1,IF($I$3&lt;0,Tab.11[[#This Row],[b5]]-$I$3,Tab.11[[#This Row],[b5]]))</f>
        <v>0</v>
      </c>
      <c r="K188" s="68" t="b">
        <f>IF(Tab.11[[#This Row],[a1]]=1,IF($K$3=0,Tab.11[b6],Tab.11[[#This Row],[b6]]-AVERAGE(Tab.11[b6])))</f>
        <v>0</v>
      </c>
      <c r="L188" s="69" t="b">
        <f>IF(Tab.11[[#This Row],[a1]]=1,Tab.11[[#This Row],[data]]/(_xlfn.STDEV.P(Tab.11[data])*$B$989)+$A$989)</f>
        <v>0</v>
      </c>
      <c r="M188" s="69" t="b">
        <f>IF(Tab.11[[#This Row],[a1]]=1,Tab.11[[#This Row],[data]]/(_xlfn.STDEV.P(Tab.11[data])*$B$987)-$A$987)</f>
        <v>0</v>
      </c>
      <c r="N188" s="69" t="b">
        <f>IF(Tab.11[[#This Row],[a1]]=1,Tab.11[[#This Row],[data]]/(_xlfn.STDEV.P(Tab.11[data])*$B$988)+$A$988)</f>
        <v>0</v>
      </c>
      <c r="O188" s="70" t="b">
        <f>IF(Tab.11[[#This Row],[a1]]=1,_xlfn.NORM.DIST(Tab.11[[#This Row],[b8]],$P$1,$Q$1,FALSE))</f>
        <v>0</v>
      </c>
      <c r="P188" s="70" t="b">
        <f>IF(Tab.11[[#This Row],[a1]]=1,_xlfn.NORM.DIST(Tab.11[[#This Row],[b9]],$P$1,$Q$1,FALSE))</f>
        <v>0</v>
      </c>
      <c r="Q188" s="70" t="b">
        <f>IF(Tab.11[[#This Row],[a1]]=1,_xlfn.NORM.DIST(Tab.11[[#This Row],[b10]],$P$1,$Q$1,FALSE))</f>
        <v>0</v>
      </c>
      <c r="R188" s="67" t="b">
        <f>IF(Tab.11[[#This Row],[a1]]=1,$I$3+$A$989+IF($K$3=0,Tab.11[[#This Row],[b8]]*_xlfn.STDEV.P(Tab.11[data]),AVERAGE(Tab.11[b6])+Tab.11[[#This Row],[b8]]*_xlfn.STDEV.P(Tab.11[data])))</f>
        <v>0</v>
      </c>
      <c r="S188" s="71" t="b">
        <f>IF(Tab.11[[#This Row],[a1]]=1,$I$3+$A$987+IF($K$3=0,Tab.11[[#This Row],[b9]]*_xlfn.STDEV.P(Tab.11[data]),AVERAGE(Tab.11[b6])+Tab.11[[#This Row],[b9]]*_xlfn.STDEV.P(Tab.11[data])))</f>
        <v>0</v>
      </c>
      <c r="T188" s="71" t="b">
        <f>IF(Tab.11[[#This Row],[a1]]=1,$I$3+$A$988+IF($K$3=0,Tab.11[[#This Row],[b10]]*_xlfn.STDEV.P(Tab.11[data]),AVERAGE(Tab.11[b6])+Tab.11[[#This Row],[b10]]*_xlfn.STDEV.P(Tab.11[data])))</f>
        <v>0</v>
      </c>
      <c r="U188" s="72" t="b">
        <f>IF(Tab.11[[#This Row],[a1]]=1,Tab.11[[#This Row],[target]]-Tab.11[[#This Row],[Red]])</f>
        <v>0</v>
      </c>
      <c r="V188" s="72" t="b">
        <f>IF(Tab.11[[#This Row],[a1]]=1,Tab.11[[#This Row],[target]]-Tab.11[[#This Row],[Blue]])</f>
        <v>0</v>
      </c>
      <c r="W188" s="73" t="b">
        <f>IF(Tab.11[[#This Row],[a1]]=1,IF(ABS(Tab.11[[#This Row],[b17]])+ABS(Tab.11[[#This Row],[b18]])&lt;$W$2,$W$2,ABS(Tab.11[[#This Row],[b17]])+ABS(Tab.11[[#This Row],[b18]])))</f>
        <v>0</v>
      </c>
      <c r="X188" s="136" t="b">
        <f>IF(Tab.11[[#This Row],[a1]]=1,IF($W$3&lt;0,Tab.11[[#This Row],[IN]]-$I$3,Tab.11[[#This Row],[IN]]))</f>
        <v>0</v>
      </c>
      <c r="Y188" s="136" t="b">
        <f>IF(Tab.11[[#This Row],[a1]]=1,IF($X$3=0,Tab.11[b66],Tab.11[[#This Row],[b66]]-AVERAGE(Tab.11[b66])))</f>
        <v>0</v>
      </c>
      <c r="Z188" s="135" t="b">
        <f>IF(Tab.11[[#This Row],[a1]]=1,Tab.11[[#This Row],[b77]]/(_xlfn.STDEV.P(Tab.11[b77])))</f>
        <v>0</v>
      </c>
      <c r="AA188" s="70" t="b">
        <f>IF(Tab.11[[#This Row],[a1]]=1,_xlfn.NORM.DIST(Tab.11[[#This Row],[b88]],$Z$1,$AA$1,FALSE))</f>
        <v>0</v>
      </c>
      <c r="AB188" s="74" t="b">
        <f>IF(Tab.11[[#This Row],[a1]]=1,IF($A$3=0,FALSE,1/Tab.11[[#This Row],[IN]]*$AC$2*IF(Tab.11[[#This Row],[a1]]=0,,$A$3*$AC$1*1/$V$3*(Tab.11[[#This Row],[b14]]))))</f>
        <v>0</v>
      </c>
      <c r="AC188" s="75" t="b">
        <f>IF(Tab.11[[#This Row],[a1]]=1,IF($AC$3=0,Tab.11[[#This Row],[φ1]],Tab.11[[#This Row],[φ1]]/MAX(Tab.11[φ1])))</f>
        <v>0</v>
      </c>
      <c r="AD188" s="74" t="b">
        <f>IF(Tab.11[[#This Row],[a1]]=1,1/Tab.11[[#This Row],[φ2]])</f>
        <v>0</v>
      </c>
      <c r="AE188" s="74" t="b">
        <f>IF(Tab.11[[#This Row],[a1]]=1,IF($AE$3=0,Tab.11[[#This Row],[w.0]],Tab.11[[#This Row],[w.0]]/SUM(Tab.11[w.0])))</f>
        <v>0</v>
      </c>
      <c r="AF188" s="76" t="str">
        <f>IF(Tab.11[[#This Row],[a1]]=0,"false",[3]!Tab.x5[[#This Row],[%_seN_C]])</f>
        <v>false</v>
      </c>
      <c r="AG188" s="77" t="b">
        <f>IF(Tab.11[[#This Row],[a1]]=1,AP188)</f>
        <v>0</v>
      </c>
      <c r="AH188" s="78" t="b">
        <f>IF(Tab.11[[#This Row],[a1]]=1,AQ188)</f>
        <v>0</v>
      </c>
      <c r="AI188" s="41">
        <v>3.0000000000000001E-3</v>
      </c>
      <c r="AJ188" s="79">
        <v>0.1</v>
      </c>
      <c r="AK188" s="80" t="b">
        <f>IF(Tab.11[[#This Row],[a1]]=1,1)</f>
        <v>0</v>
      </c>
      <c r="AZ188"/>
    </row>
    <row r="189" spans="1:52" ht="14.25" hidden="1" customHeight="1" x14ac:dyDescent="0.25">
      <c r="A189" s="61">
        <f t="shared" si="7"/>
        <v>0</v>
      </c>
      <c r="B189" s="62">
        <f t="shared" si="7"/>
        <v>0</v>
      </c>
      <c r="C189" s="62" t="b">
        <f>IF(Tab.11[[#This Row],[a1]]=1,[3]!Tab_x1[[#This Row],[Name]])</f>
        <v>0</v>
      </c>
      <c r="D189" s="63" t="b">
        <f>IF(Tab.11[[#This Row],[a1]]=1,AO189)</f>
        <v>0</v>
      </c>
      <c r="E189" s="63">
        <f t="shared" si="6"/>
        <v>0</v>
      </c>
      <c r="F189" s="64" t="b">
        <f>IF(Tab.11[[#This Row],[a1]]=1,Tab.11[[#This Row],[b1]])</f>
        <v>0</v>
      </c>
      <c r="G189" s="65" t="b">
        <f>IF(Tab.11[[#This Row],[a1]]=1,IF(Tab.11[[#This Row],[b3]]&gt;$L$989*$G$3,$L$989*$G$3,IF(Tab.11[[#This Row],[b3]]&lt;$M$989*$G$3,$M$989*$G$3,Tab.11[[#This Row],[b3]])))</f>
        <v>0</v>
      </c>
      <c r="H189" s="66" t="b">
        <f>IF(Tab.11[[#This Row],[a1]]=1,Tab.11[[#This Row],[b1]])</f>
        <v>0</v>
      </c>
      <c r="I189" s="67" t="b">
        <f>IF(Tab.11[[#This Row],[a1]]=1,Tab.11[[#This Row],[b1]])</f>
        <v>0</v>
      </c>
      <c r="J189" s="68" t="b">
        <f>IF(Tab.11[[#This Row],[a1]]=1,IF($I$3&lt;0,Tab.11[[#This Row],[b5]]-$I$3,Tab.11[[#This Row],[b5]]))</f>
        <v>0</v>
      </c>
      <c r="K189" s="68" t="b">
        <f>IF(Tab.11[[#This Row],[a1]]=1,IF($K$3=0,Tab.11[b6],Tab.11[[#This Row],[b6]]-AVERAGE(Tab.11[b6])))</f>
        <v>0</v>
      </c>
      <c r="L189" s="69" t="b">
        <f>IF(Tab.11[[#This Row],[a1]]=1,Tab.11[[#This Row],[data]]/(_xlfn.STDEV.P(Tab.11[data])*$B$989)+$A$989)</f>
        <v>0</v>
      </c>
      <c r="M189" s="69" t="b">
        <f>IF(Tab.11[[#This Row],[a1]]=1,Tab.11[[#This Row],[data]]/(_xlfn.STDEV.P(Tab.11[data])*$B$987)-$A$987)</f>
        <v>0</v>
      </c>
      <c r="N189" s="69" t="b">
        <f>IF(Tab.11[[#This Row],[a1]]=1,Tab.11[[#This Row],[data]]/(_xlfn.STDEV.P(Tab.11[data])*$B$988)+$A$988)</f>
        <v>0</v>
      </c>
      <c r="O189" s="70" t="b">
        <f>IF(Tab.11[[#This Row],[a1]]=1,_xlfn.NORM.DIST(Tab.11[[#This Row],[b8]],$P$1,$Q$1,FALSE))</f>
        <v>0</v>
      </c>
      <c r="P189" s="70" t="b">
        <f>IF(Tab.11[[#This Row],[a1]]=1,_xlfn.NORM.DIST(Tab.11[[#This Row],[b9]],$P$1,$Q$1,FALSE))</f>
        <v>0</v>
      </c>
      <c r="Q189" s="70" t="b">
        <f>IF(Tab.11[[#This Row],[a1]]=1,_xlfn.NORM.DIST(Tab.11[[#This Row],[b10]],$P$1,$Q$1,FALSE))</f>
        <v>0</v>
      </c>
      <c r="R189" s="67" t="b">
        <f>IF(Tab.11[[#This Row],[a1]]=1,$I$3+$A$989+IF($K$3=0,Tab.11[[#This Row],[b8]]*_xlfn.STDEV.P(Tab.11[data]),AVERAGE(Tab.11[b6])+Tab.11[[#This Row],[b8]]*_xlfn.STDEV.P(Tab.11[data])))</f>
        <v>0</v>
      </c>
      <c r="S189" s="71" t="b">
        <f>IF(Tab.11[[#This Row],[a1]]=1,$I$3+$A$987+IF($K$3=0,Tab.11[[#This Row],[b9]]*_xlfn.STDEV.P(Tab.11[data]),AVERAGE(Tab.11[b6])+Tab.11[[#This Row],[b9]]*_xlfn.STDEV.P(Tab.11[data])))</f>
        <v>0</v>
      </c>
      <c r="T189" s="71" t="b">
        <f>IF(Tab.11[[#This Row],[a1]]=1,$I$3+$A$988+IF($K$3=0,Tab.11[[#This Row],[b10]]*_xlfn.STDEV.P(Tab.11[data]),AVERAGE(Tab.11[b6])+Tab.11[[#This Row],[b10]]*_xlfn.STDEV.P(Tab.11[data])))</f>
        <v>0</v>
      </c>
      <c r="U189" s="72" t="b">
        <f>IF(Tab.11[[#This Row],[a1]]=1,Tab.11[[#This Row],[target]]-Tab.11[[#This Row],[Red]])</f>
        <v>0</v>
      </c>
      <c r="V189" s="72" t="b">
        <f>IF(Tab.11[[#This Row],[a1]]=1,Tab.11[[#This Row],[target]]-Tab.11[[#This Row],[Blue]])</f>
        <v>0</v>
      </c>
      <c r="W189" s="73" t="b">
        <f>IF(Tab.11[[#This Row],[a1]]=1,IF(ABS(Tab.11[[#This Row],[b17]])+ABS(Tab.11[[#This Row],[b18]])&lt;$W$2,$W$2,ABS(Tab.11[[#This Row],[b17]])+ABS(Tab.11[[#This Row],[b18]])))</f>
        <v>0</v>
      </c>
      <c r="X189" s="136" t="b">
        <f>IF(Tab.11[[#This Row],[a1]]=1,IF($W$3&lt;0,Tab.11[[#This Row],[IN]]-$I$3,Tab.11[[#This Row],[IN]]))</f>
        <v>0</v>
      </c>
      <c r="Y189" s="136" t="b">
        <f>IF(Tab.11[[#This Row],[a1]]=1,IF($X$3=0,Tab.11[b66],Tab.11[[#This Row],[b66]]-AVERAGE(Tab.11[b66])))</f>
        <v>0</v>
      </c>
      <c r="Z189" s="135" t="b">
        <f>IF(Tab.11[[#This Row],[a1]]=1,Tab.11[[#This Row],[b77]]/(_xlfn.STDEV.P(Tab.11[b77])))</f>
        <v>0</v>
      </c>
      <c r="AA189" s="70" t="b">
        <f>IF(Tab.11[[#This Row],[a1]]=1,_xlfn.NORM.DIST(Tab.11[[#This Row],[b88]],$Z$1,$AA$1,FALSE))</f>
        <v>0</v>
      </c>
      <c r="AB189" s="74" t="b">
        <f>IF(Tab.11[[#This Row],[a1]]=1,IF($A$3=0,FALSE,1/Tab.11[[#This Row],[IN]]*$AC$2*IF(Tab.11[[#This Row],[a1]]=0,,$A$3*$AC$1*1/$V$3*(Tab.11[[#This Row],[b14]]))))</f>
        <v>0</v>
      </c>
      <c r="AC189" s="75" t="b">
        <f>IF(Tab.11[[#This Row],[a1]]=1,IF($AC$3=0,Tab.11[[#This Row],[φ1]],Tab.11[[#This Row],[φ1]]/MAX(Tab.11[φ1])))</f>
        <v>0</v>
      </c>
      <c r="AD189" s="74" t="b">
        <f>IF(Tab.11[[#This Row],[a1]]=1,1/Tab.11[[#This Row],[φ2]])</f>
        <v>0</v>
      </c>
      <c r="AE189" s="74" t="b">
        <f>IF(Tab.11[[#This Row],[a1]]=1,IF($AE$3=0,Tab.11[[#This Row],[w.0]],Tab.11[[#This Row],[w.0]]/SUM(Tab.11[w.0])))</f>
        <v>0</v>
      </c>
      <c r="AF189" s="76" t="str">
        <f>IF(Tab.11[[#This Row],[a1]]=0,"false",[3]!Tab.x5[[#This Row],[%_seN_C]])</f>
        <v>false</v>
      </c>
      <c r="AG189" s="77" t="b">
        <f>IF(Tab.11[[#This Row],[a1]]=1,AP189)</f>
        <v>0</v>
      </c>
      <c r="AH189" s="78" t="b">
        <f>IF(Tab.11[[#This Row],[a1]]=1,AQ189)</f>
        <v>0</v>
      </c>
      <c r="AI189" s="41">
        <v>3.0000000000000001E-3</v>
      </c>
      <c r="AJ189" s="79">
        <v>-0.03</v>
      </c>
      <c r="AK189" s="80" t="b">
        <f>IF(Tab.11[[#This Row],[a1]]=1,1)</f>
        <v>0</v>
      </c>
      <c r="AZ189"/>
    </row>
    <row r="190" spans="1:52" ht="14.25" hidden="1" customHeight="1" x14ac:dyDescent="0.25">
      <c r="A190" s="61">
        <f t="shared" si="7"/>
        <v>0</v>
      </c>
      <c r="B190" s="62">
        <f t="shared" si="7"/>
        <v>0</v>
      </c>
      <c r="C190" s="62" t="b">
        <f>IF(Tab.11[[#This Row],[a1]]=1,[3]!Tab_x1[[#This Row],[Name]])</f>
        <v>0</v>
      </c>
      <c r="D190" s="63" t="b">
        <f>IF(Tab.11[[#This Row],[a1]]=1,AO190)</f>
        <v>0</v>
      </c>
      <c r="E190" s="63">
        <f t="shared" si="6"/>
        <v>0</v>
      </c>
      <c r="F190" s="64" t="b">
        <f>IF(Tab.11[[#This Row],[a1]]=1,Tab.11[[#This Row],[b1]])</f>
        <v>0</v>
      </c>
      <c r="G190" s="65" t="b">
        <f>IF(Tab.11[[#This Row],[a1]]=1,IF(Tab.11[[#This Row],[b3]]&gt;$L$989*$G$3,$L$989*$G$3,IF(Tab.11[[#This Row],[b3]]&lt;$M$989*$G$3,$M$989*$G$3,Tab.11[[#This Row],[b3]])))</f>
        <v>0</v>
      </c>
      <c r="H190" s="66" t="b">
        <f>IF(Tab.11[[#This Row],[a1]]=1,Tab.11[[#This Row],[b1]])</f>
        <v>0</v>
      </c>
      <c r="I190" s="67" t="b">
        <f>IF(Tab.11[[#This Row],[a1]]=1,Tab.11[[#This Row],[b1]])</f>
        <v>0</v>
      </c>
      <c r="J190" s="68" t="b">
        <f>IF(Tab.11[[#This Row],[a1]]=1,IF($I$3&lt;0,Tab.11[[#This Row],[b5]]-$I$3,Tab.11[[#This Row],[b5]]))</f>
        <v>0</v>
      </c>
      <c r="K190" s="68" t="b">
        <f>IF(Tab.11[[#This Row],[a1]]=1,IF($K$3=0,Tab.11[b6],Tab.11[[#This Row],[b6]]-AVERAGE(Tab.11[b6])))</f>
        <v>0</v>
      </c>
      <c r="L190" s="69" t="b">
        <f>IF(Tab.11[[#This Row],[a1]]=1,Tab.11[[#This Row],[data]]/(_xlfn.STDEV.P(Tab.11[data])*$B$989)+$A$989)</f>
        <v>0</v>
      </c>
      <c r="M190" s="69" t="b">
        <f>IF(Tab.11[[#This Row],[a1]]=1,Tab.11[[#This Row],[data]]/(_xlfn.STDEV.P(Tab.11[data])*$B$987)-$A$987)</f>
        <v>0</v>
      </c>
      <c r="N190" s="69" t="b">
        <f>IF(Tab.11[[#This Row],[a1]]=1,Tab.11[[#This Row],[data]]/(_xlfn.STDEV.P(Tab.11[data])*$B$988)+$A$988)</f>
        <v>0</v>
      </c>
      <c r="O190" s="70" t="b">
        <f>IF(Tab.11[[#This Row],[a1]]=1,_xlfn.NORM.DIST(Tab.11[[#This Row],[b8]],$P$1,$Q$1,FALSE))</f>
        <v>0</v>
      </c>
      <c r="P190" s="70" t="b">
        <f>IF(Tab.11[[#This Row],[a1]]=1,_xlfn.NORM.DIST(Tab.11[[#This Row],[b9]],$P$1,$Q$1,FALSE))</f>
        <v>0</v>
      </c>
      <c r="Q190" s="70" t="b">
        <f>IF(Tab.11[[#This Row],[a1]]=1,_xlfn.NORM.DIST(Tab.11[[#This Row],[b10]],$P$1,$Q$1,FALSE))</f>
        <v>0</v>
      </c>
      <c r="R190" s="67" t="b">
        <f>IF(Tab.11[[#This Row],[a1]]=1,$I$3+$A$989+IF($K$3=0,Tab.11[[#This Row],[b8]]*_xlfn.STDEV.P(Tab.11[data]),AVERAGE(Tab.11[b6])+Tab.11[[#This Row],[b8]]*_xlfn.STDEV.P(Tab.11[data])))</f>
        <v>0</v>
      </c>
      <c r="S190" s="71" t="b">
        <f>IF(Tab.11[[#This Row],[a1]]=1,$I$3+$A$987+IF($K$3=0,Tab.11[[#This Row],[b9]]*_xlfn.STDEV.P(Tab.11[data]),AVERAGE(Tab.11[b6])+Tab.11[[#This Row],[b9]]*_xlfn.STDEV.P(Tab.11[data])))</f>
        <v>0</v>
      </c>
      <c r="T190" s="71" t="b">
        <f>IF(Tab.11[[#This Row],[a1]]=1,$I$3+$A$988+IF($K$3=0,Tab.11[[#This Row],[b10]]*_xlfn.STDEV.P(Tab.11[data]),AVERAGE(Tab.11[b6])+Tab.11[[#This Row],[b10]]*_xlfn.STDEV.P(Tab.11[data])))</f>
        <v>0</v>
      </c>
      <c r="U190" s="72" t="b">
        <f>IF(Tab.11[[#This Row],[a1]]=1,Tab.11[[#This Row],[target]]-Tab.11[[#This Row],[Red]])</f>
        <v>0</v>
      </c>
      <c r="V190" s="72" t="b">
        <f>IF(Tab.11[[#This Row],[a1]]=1,Tab.11[[#This Row],[target]]-Tab.11[[#This Row],[Blue]])</f>
        <v>0</v>
      </c>
      <c r="W190" s="73" t="b">
        <f>IF(Tab.11[[#This Row],[a1]]=1,IF(ABS(Tab.11[[#This Row],[b17]])+ABS(Tab.11[[#This Row],[b18]])&lt;$W$2,$W$2,ABS(Tab.11[[#This Row],[b17]])+ABS(Tab.11[[#This Row],[b18]])))</f>
        <v>0</v>
      </c>
      <c r="X190" s="136" t="b">
        <f>IF(Tab.11[[#This Row],[a1]]=1,IF($W$3&lt;0,Tab.11[[#This Row],[IN]]-$I$3,Tab.11[[#This Row],[IN]]))</f>
        <v>0</v>
      </c>
      <c r="Y190" s="136" t="b">
        <f>IF(Tab.11[[#This Row],[a1]]=1,IF($X$3=0,Tab.11[b66],Tab.11[[#This Row],[b66]]-AVERAGE(Tab.11[b66])))</f>
        <v>0</v>
      </c>
      <c r="Z190" s="135" t="b">
        <f>IF(Tab.11[[#This Row],[a1]]=1,Tab.11[[#This Row],[b77]]/(_xlfn.STDEV.P(Tab.11[b77])))</f>
        <v>0</v>
      </c>
      <c r="AA190" s="70" t="b">
        <f>IF(Tab.11[[#This Row],[a1]]=1,_xlfn.NORM.DIST(Tab.11[[#This Row],[b88]],$Z$1,$AA$1,FALSE))</f>
        <v>0</v>
      </c>
      <c r="AB190" s="74" t="b">
        <f>IF(Tab.11[[#This Row],[a1]]=1,IF($A$3=0,FALSE,1/Tab.11[[#This Row],[IN]]*$AC$2*IF(Tab.11[[#This Row],[a1]]=0,,$A$3*$AC$1*1/$V$3*(Tab.11[[#This Row],[b14]]))))</f>
        <v>0</v>
      </c>
      <c r="AC190" s="75" t="b">
        <f>IF(Tab.11[[#This Row],[a1]]=1,IF($AC$3=0,Tab.11[[#This Row],[φ1]],Tab.11[[#This Row],[φ1]]/MAX(Tab.11[φ1])))</f>
        <v>0</v>
      </c>
      <c r="AD190" s="74" t="b">
        <f>IF(Tab.11[[#This Row],[a1]]=1,1/Tab.11[[#This Row],[φ2]])</f>
        <v>0</v>
      </c>
      <c r="AE190" s="74" t="b">
        <f>IF(Tab.11[[#This Row],[a1]]=1,IF($AE$3=0,Tab.11[[#This Row],[w.0]],Tab.11[[#This Row],[w.0]]/SUM(Tab.11[w.0])))</f>
        <v>0</v>
      </c>
      <c r="AF190" s="76" t="str">
        <f>IF(Tab.11[[#This Row],[a1]]=0,"false",[3]!Tab.x5[[#This Row],[%_seN_C]])</f>
        <v>false</v>
      </c>
      <c r="AG190" s="77" t="b">
        <f>IF(Tab.11[[#This Row],[a1]]=1,AP190)</f>
        <v>0</v>
      </c>
      <c r="AH190" s="78" t="b">
        <f>IF(Tab.11[[#This Row],[a1]]=1,AQ190)</f>
        <v>0</v>
      </c>
      <c r="AI190" s="41">
        <v>3.0000000000000001E-3</v>
      </c>
      <c r="AJ190" s="79">
        <v>0.09</v>
      </c>
      <c r="AK190" s="80" t="b">
        <f>IF(Tab.11[[#This Row],[a1]]=1,1)</f>
        <v>0</v>
      </c>
      <c r="AZ190"/>
    </row>
    <row r="191" spans="1:52" ht="14.25" hidden="1" customHeight="1" x14ac:dyDescent="0.25">
      <c r="A191" s="61">
        <f t="shared" si="7"/>
        <v>0</v>
      </c>
      <c r="B191" s="62">
        <f t="shared" si="7"/>
        <v>0</v>
      </c>
      <c r="C191" s="62" t="b">
        <f>IF(Tab.11[[#This Row],[a1]]=1,[3]!Tab_x1[[#This Row],[Name]])</f>
        <v>0</v>
      </c>
      <c r="D191" s="63" t="b">
        <f>IF(Tab.11[[#This Row],[a1]]=1,AO191)</f>
        <v>0</v>
      </c>
      <c r="E191" s="63">
        <f t="shared" si="6"/>
        <v>0</v>
      </c>
      <c r="F191" s="64" t="b">
        <f>IF(Tab.11[[#This Row],[a1]]=1,Tab.11[[#This Row],[b1]])</f>
        <v>0</v>
      </c>
      <c r="G191" s="65" t="b">
        <f>IF(Tab.11[[#This Row],[a1]]=1,IF(Tab.11[[#This Row],[b3]]&gt;$L$989*$G$3,$L$989*$G$3,IF(Tab.11[[#This Row],[b3]]&lt;$M$989*$G$3,$M$989*$G$3,Tab.11[[#This Row],[b3]])))</f>
        <v>0</v>
      </c>
      <c r="H191" s="66" t="b">
        <f>IF(Tab.11[[#This Row],[a1]]=1,Tab.11[[#This Row],[b1]])</f>
        <v>0</v>
      </c>
      <c r="I191" s="67" t="b">
        <f>IF(Tab.11[[#This Row],[a1]]=1,Tab.11[[#This Row],[b1]])</f>
        <v>0</v>
      </c>
      <c r="J191" s="68" t="b">
        <f>IF(Tab.11[[#This Row],[a1]]=1,IF($I$3&lt;0,Tab.11[[#This Row],[b5]]-$I$3,Tab.11[[#This Row],[b5]]))</f>
        <v>0</v>
      </c>
      <c r="K191" s="68" t="b">
        <f>IF(Tab.11[[#This Row],[a1]]=1,IF($K$3=0,Tab.11[b6],Tab.11[[#This Row],[b6]]-AVERAGE(Tab.11[b6])))</f>
        <v>0</v>
      </c>
      <c r="L191" s="69" t="b">
        <f>IF(Tab.11[[#This Row],[a1]]=1,Tab.11[[#This Row],[data]]/(_xlfn.STDEV.P(Tab.11[data])*$B$989)+$A$989)</f>
        <v>0</v>
      </c>
      <c r="M191" s="69" t="b">
        <f>IF(Tab.11[[#This Row],[a1]]=1,Tab.11[[#This Row],[data]]/(_xlfn.STDEV.P(Tab.11[data])*$B$987)-$A$987)</f>
        <v>0</v>
      </c>
      <c r="N191" s="69" t="b">
        <f>IF(Tab.11[[#This Row],[a1]]=1,Tab.11[[#This Row],[data]]/(_xlfn.STDEV.P(Tab.11[data])*$B$988)+$A$988)</f>
        <v>0</v>
      </c>
      <c r="O191" s="70" t="b">
        <f>IF(Tab.11[[#This Row],[a1]]=1,_xlfn.NORM.DIST(Tab.11[[#This Row],[b8]],$P$1,$Q$1,FALSE))</f>
        <v>0</v>
      </c>
      <c r="P191" s="70" t="b">
        <f>IF(Tab.11[[#This Row],[a1]]=1,_xlfn.NORM.DIST(Tab.11[[#This Row],[b9]],$P$1,$Q$1,FALSE))</f>
        <v>0</v>
      </c>
      <c r="Q191" s="70" t="b">
        <f>IF(Tab.11[[#This Row],[a1]]=1,_xlfn.NORM.DIST(Tab.11[[#This Row],[b10]],$P$1,$Q$1,FALSE))</f>
        <v>0</v>
      </c>
      <c r="R191" s="67" t="b">
        <f>IF(Tab.11[[#This Row],[a1]]=1,$I$3+$A$989+IF($K$3=0,Tab.11[[#This Row],[b8]]*_xlfn.STDEV.P(Tab.11[data]),AVERAGE(Tab.11[b6])+Tab.11[[#This Row],[b8]]*_xlfn.STDEV.P(Tab.11[data])))</f>
        <v>0</v>
      </c>
      <c r="S191" s="71" t="b">
        <f>IF(Tab.11[[#This Row],[a1]]=1,$I$3+$A$987+IF($K$3=0,Tab.11[[#This Row],[b9]]*_xlfn.STDEV.P(Tab.11[data]),AVERAGE(Tab.11[b6])+Tab.11[[#This Row],[b9]]*_xlfn.STDEV.P(Tab.11[data])))</f>
        <v>0</v>
      </c>
      <c r="T191" s="71" t="b">
        <f>IF(Tab.11[[#This Row],[a1]]=1,$I$3+$A$988+IF($K$3=0,Tab.11[[#This Row],[b10]]*_xlfn.STDEV.P(Tab.11[data]),AVERAGE(Tab.11[b6])+Tab.11[[#This Row],[b10]]*_xlfn.STDEV.P(Tab.11[data])))</f>
        <v>0</v>
      </c>
      <c r="U191" s="72" t="b">
        <f>IF(Tab.11[[#This Row],[a1]]=1,Tab.11[[#This Row],[target]]-Tab.11[[#This Row],[Red]])</f>
        <v>0</v>
      </c>
      <c r="V191" s="72" t="b">
        <f>IF(Tab.11[[#This Row],[a1]]=1,Tab.11[[#This Row],[target]]-Tab.11[[#This Row],[Blue]])</f>
        <v>0</v>
      </c>
      <c r="W191" s="73" t="b">
        <f>IF(Tab.11[[#This Row],[a1]]=1,IF(ABS(Tab.11[[#This Row],[b17]])+ABS(Tab.11[[#This Row],[b18]])&lt;$W$2,$W$2,ABS(Tab.11[[#This Row],[b17]])+ABS(Tab.11[[#This Row],[b18]])))</f>
        <v>0</v>
      </c>
      <c r="X191" s="136" t="b">
        <f>IF(Tab.11[[#This Row],[a1]]=1,IF($W$3&lt;0,Tab.11[[#This Row],[IN]]-$I$3,Tab.11[[#This Row],[IN]]))</f>
        <v>0</v>
      </c>
      <c r="Y191" s="136" t="b">
        <f>IF(Tab.11[[#This Row],[a1]]=1,IF($X$3=0,Tab.11[b66],Tab.11[[#This Row],[b66]]-AVERAGE(Tab.11[b66])))</f>
        <v>0</v>
      </c>
      <c r="Z191" s="135" t="b">
        <f>IF(Tab.11[[#This Row],[a1]]=1,Tab.11[[#This Row],[b77]]/(_xlfn.STDEV.P(Tab.11[b77])))</f>
        <v>0</v>
      </c>
      <c r="AA191" s="70" t="b">
        <f>IF(Tab.11[[#This Row],[a1]]=1,_xlfn.NORM.DIST(Tab.11[[#This Row],[b88]],$Z$1,$AA$1,FALSE))</f>
        <v>0</v>
      </c>
      <c r="AB191" s="74" t="b">
        <f>IF(Tab.11[[#This Row],[a1]]=1,IF($A$3=0,FALSE,1/Tab.11[[#This Row],[IN]]*$AC$2*IF(Tab.11[[#This Row],[a1]]=0,,$A$3*$AC$1*1/$V$3*(Tab.11[[#This Row],[b14]]))))</f>
        <v>0</v>
      </c>
      <c r="AC191" s="75" t="b">
        <f>IF(Tab.11[[#This Row],[a1]]=1,IF($AC$3=0,Tab.11[[#This Row],[φ1]],Tab.11[[#This Row],[φ1]]/MAX(Tab.11[φ1])))</f>
        <v>0</v>
      </c>
      <c r="AD191" s="74" t="b">
        <f>IF(Tab.11[[#This Row],[a1]]=1,1/Tab.11[[#This Row],[φ2]])</f>
        <v>0</v>
      </c>
      <c r="AE191" s="74" t="b">
        <f>IF(Tab.11[[#This Row],[a1]]=1,IF($AE$3=0,Tab.11[[#This Row],[w.0]],Tab.11[[#This Row],[w.0]]/SUM(Tab.11[w.0])))</f>
        <v>0</v>
      </c>
      <c r="AF191" s="76" t="str">
        <f>IF(Tab.11[[#This Row],[a1]]=0,"false",[3]!Tab.x5[[#This Row],[%_seN_C]])</f>
        <v>false</v>
      </c>
      <c r="AG191" s="77" t="b">
        <f>IF(Tab.11[[#This Row],[a1]]=1,AP191)</f>
        <v>0</v>
      </c>
      <c r="AH191" s="78" t="b">
        <f>IF(Tab.11[[#This Row],[a1]]=1,AQ191)</f>
        <v>0</v>
      </c>
      <c r="AI191" s="41">
        <v>3.0000000000000001E-3</v>
      </c>
      <c r="AJ191" s="79">
        <v>0.08</v>
      </c>
      <c r="AK191" s="80" t="b">
        <f>IF(Tab.11[[#This Row],[a1]]=1,1)</f>
        <v>0</v>
      </c>
      <c r="AZ191"/>
    </row>
    <row r="192" spans="1:52" ht="14.25" hidden="1" customHeight="1" x14ac:dyDescent="0.25">
      <c r="A192" s="61">
        <f t="shared" si="7"/>
        <v>0</v>
      </c>
      <c r="B192" s="62">
        <f t="shared" si="7"/>
        <v>0</v>
      </c>
      <c r="C192" s="62" t="b">
        <f>IF(Tab.11[[#This Row],[a1]]=1,[3]!Tab_x1[[#This Row],[Name]])</f>
        <v>0</v>
      </c>
      <c r="D192" s="63" t="b">
        <f>IF(Tab.11[[#This Row],[a1]]=1,AO192)</f>
        <v>0</v>
      </c>
      <c r="E192" s="63">
        <f t="shared" si="6"/>
        <v>0</v>
      </c>
      <c r="F192" s="64" t="b">
        <f>IF(Tab.11[[#This Row],[a1]]=1,Tab.11[[#This Row],[b1]])</f>
        <v>0</v>
      </c>
      <c r="G192" s="65" t="b">
        <f>IF(Tab.11[[#This Row],[a1]]=1,IF(Tab.11[[#This Row],[b3]]&gt;$L$989*$G$3,$L$989*$G$3,IF(Tab.11[[#This Row],[b3]]&lt;$M$989*$G$3,$M$989*$G$3,Tab.11[[#This Row],[b3]])))</f>
        <v>0</v>
      </c>
      <c r="H192" s="66" t="b">
        <f>IF(Tab.11[[#This Row],[a1]]=1,Tab.11[[#This Row],[b1]])</f>
        <v>0</v>
      </c>
      <c r="I192" s="67" t="b">
        <f>IF(Tab.11[[#This Row],[a1]]=1,Tab.11[[#This Row],[b1]])</f>
        <v>0</v>
      </c>
      <c r="J192" s="68" t="b">
        <f>IF(Tab.11[[#This Row],[a1]]=1,IF($I$3&lt;0,Tab.11[[#This Row],[b5]]-$I$3,Tab.11[[#This Row],[b5]]))</f>
        <v>0</v>
      </c>
      <c r="K192" s="68" t="b">
        <f>IF(Tab.11[[#This Row],[a1]]=1,IF($K$3=0,Tab.11[b6],Tab.11[[#This Row],[b6]]-AVERAGE(Tab.11[b6])))</f>
        <v>0</v>
      </c>
      <c r="L192" s="69" t="b">
        <f>IF(Tab.11[[#This Row],[a1]]=1,Tab.11[[#This Row],[data]]/(_xlfn.STDEV.P(Tab.11[data])*$B$989)+$A$989)</f>
        <v>0</v>
      </c>
      <c r="M192" s="69" t="b">
        <f>IF(Tab.11[[#This Row],[a1]]=1,Tab.11[[#This Row],[data]]/(_xlfn.STDEV.P(Tab.11[data])*$B$987)-$A$987)</f>
        <v>0</v>
      </c>
      <c r="N192" s="69" t="b">
        <f>IF(Tab.11[[#This Row],[a1]]=1,Tab.11[[#This Row],[data]]/(_xlfn.STDEV.P(Tab.11[data])*$B$988)+$A$988)</f>
        <v>0</v>
      </c>
      <c r="O192" s="70" t="b">
        <f>IF(Tab.11[[#This Row],[a1]]=1,_xlfn.NORM.DIST(Tab.11[[#This Row],[b8]],$P$1,$Q$1,FALSE))</f>
        <v>0</v>
      </c>
      <c r="P192" s="70" t="b">
        <f>IF(Tab.11[[#This Row],[a1]]=1,_xlfn.NORM.DIST(Tab.11[[#This Row],[b9]],$P$1,$Q$1,FALSE))</f>
        <v>0</v>
      </c>
      <c r="Q192" s="70" t="b">
        <f>IF(Tab.11[[#This Row],[a1]]=1,_xlfn.NORM.DIST(Tab.11[[#This Row],[b10]],$P$1,$Q$1,FALSE))</f>
        <v>0</v>
      </c>
      <c r="R192" s="67" t="b">
        <f>IF(Tab.11[[#This Row],[a1]]=1,$I$3+$A$989+IF($K$3=0,Tab.11[[#This Row],[b8]]*_xlfn.STDEV.P(Tab.11[data]),AVERAGE(Tab.11[b6])+Tab.11[[#This Row],[b8]]*_xlfn.STDEV.P(Tab.11[data])))</f>
        <v>0</v>
      </c>
      <c r="S192" s="71" t="b">
        <f>IF(Tab.11[[#This Row],[a1]]=1,$I$3+$A$987+IF($K$3=0,Tab.11[[#This Row],[b9]]*_xlfn.STDEV.P(Tab.11[data]),AVERAGE(Tab.11[b6])+Tab.11[[#This Row],[b9]]*_xlfn.STDEV.P(Tab.11[data])))</f>
        <v>0</v>
      </c>
      <c r="T192" s="71" t="b">
        <f>IF(Tab.11[[#This Row],[a1]]=1,$I$3+$A$988+IF($K$3=0,Tab.11[[#This Row],[b10]]*_xlfn.STDEV.P(Tab.11[data]),AVERAGE(Tab.11[b6])+Tab.11[[#This Row],[b10]]*_xlfn.STDEV.P(Tab.11[data])))</f>
        <v>0</v>
      </c>
      <c r="U192" s="72" t="b">
        <f>IF(Tab.11[[#This Row],[a1]]=1,Tab.11[[#This Row],[target]]-Tab.11[[#This Row],[Red]])</f>
        <v>0</v>
      </c>
      <c r="V192" s="72" t="b">
        <f>IF(Tab.11[[#This Row],[a1]]=1,Tab.11[[#This Row],[target]]-Tab.11[[#This Row],[Blue]])</f>
        <v>0</v>
      </c>
      <c r="W192" s="73" t="b">
        <f>IF(Tab.11[[#This Row],[a1]]=1,IF(ABS(Tab.11[[#This Row],[b17]])+ABS(Tab.11[[#This Row],[b18]])&lt;$W$2,$W$2,ABS(Tab.11[[#This Row],[b17]])+ABS(Tab.11[[#This Row],[b18]])))</f>
        <v>0</v>
      </c>
      <c r="X192" s="136" t="b">
        <f>IF(Tab.11[[#This Row],[a1]]=1,IF($W$3&lt;0,Tab.11[[#This Row],[IN]]-$I$3,Tab.11[[#This Row],[IN]]))</f>
        <v>0</v>
      </c>
      <c r="Y192" s="136" t="b">
        <f>IF(Tab.11[[#This Row],[a1]]=1,IF($X$3=0,Tab.11[b66],Tab.11[[#This Row],[b66]]-AVERAGE(Tab.11[b66])))</f>
        <v>0</v>
      </c>
      <c r="Z192" s="135" t="b">
        <f>IF(Tab.11[[#This Row],[a1]]=1,Tab.11[[#This Row],[b77]]/(_xlfn.STDEV.P(Tab.11[b77])))</f>
        <v>0</v>
      </c>
      <c r="AA192" s="70" t="b">
        <f>IF(Tab.11[[#This Row],[a1]]=1,_xlfn.NORM.DIST(Tab.11[[#This Row],[b88]],$Z$1,$AA$1,FALSE))</f>
        <v>0</v>
      </c>
      <c r="AB192" s="74" t="b">
        <f>IF(Tab.11[[#This Row],[a1]]=1,IF($A$3=0,FALSE,1/Tab.11[[#This Row],[IN]]*$AC$2*IF(Tab.11[[#This Row],[a1]]=0,,$A$3*$AC$1*1/$V$3*(Tab.11[[#This Row],[b14]]))))</f>
        <v>0</v>
      </c>
      <c r="AC192" s="75" t="b">
        <f>IF(Tab.11[[#This Row],[a1]]=1,IF($AC$3=0,Tab.11[[#This Row],[φ1]],Tab.11[[#This Row],[φ1]]/MAX(Tab.11[φ1])))</f>
        <v>0</v>
      </c>
      <c r="AD192" s="74" t="b">
        <f>IF(Tab.11[[#This Row],[a1]]=1,1/Tab.11[[#This Row],[φ2]])</f>
        <v>0</v>
      </c>
      <c r="AE192" s="74" t="b">
        <f>IF(Tab.11[[#This Row],[a1]]=1,IF($AE$3=0,Tab.11[[#This Row],[w.0]],Tab.11[[#This Row],[w.0]]/SUM(Tab.11[w.0])))</f>
        <v>0</v>
      </c>
      <c r="AF192" s="76" t="str">
        <f>IF(Tab.11[[#This Row],[a1]]=0,"false",[3]!Tab.x5[[#This Row],[%_seN_C]])</f>
        <v>false</v>
      </c>
      <c r="AG192" s="77" t="b">
        <f>IF(Tab.11[[#This Row],[a1]]=1,AP192)</f>
        <v>0</v>
      </c>
      <c r="AH192" s="78" t="b">
        <f>IF(Tab.11[[#This Row],[a1]]=1,AQ192)</f>
        <v>0</v>
      </c>
      <c r="AI192" s="41">
        <v>3.0000000000000001E-3</v>
      </c>
      <c r="AJ192" s="79">
        <v>7.0000000000000007E-2</v>
      </c>
      <c r="AK192" s="80" t="b">
        <f>IF(Tab.11[[#This Row],[a1]]=1,1)</f>
        <v>0</v>
      </c>
      <c r="AZ192"/>
    </row>
    <row r="193" spans="1:52" ht="14.25" hidden="1" customHeight="1" x14ac:dyDescent="0.25">
      <c r="A193" s="61">
        <f t="shared" si="7"/>
        <v>0</v>
      </c>
      <c r="B193" s="62">
        <f t="shared" si="7"/>
        <v>0</v>
      </c>
      <c r="C193" s="62" t="b">
        <f>IF(Tab.11[[#This Row],[a1]]=1,[3]!Tab_x1[[#This Row],[Name]])</f>
        <v>0</v>
      </c>
      <c r="D193" s="63" t="b">
        <f>IF(Tab.11[[#This Row],[a1]]=1,AO193)</f>
        <v>0</v>
      </c>
      <c r="E193" s="63">
        <f t="shared" si="6"/>
        <v>0</v>
      </c>
      <c r="F193" s="64" t="b">
        <f>IF(Tab.11[[#This Row],[a1]]=1,Tab.11[[#This Row],[b1]])</f>
        <v>0</v>
      </c>
      <c r="G193" s="65" t="b">
        <f>IF(Tab.11[[#This Row],[a1]]=1,IF(Tab.11[[#This Row],[b3]]&gt;$L$989*$G$3,$L$989*$G$3,IF(Tab.11[[#This Row],[b3]]&lt;$M$989*$G$3,$M$989*$G$3,Tab.11[[#This Row],[b3]])))</f>
        <v>0</v>
      </c>
      <c r="H193" s="66" t="b">
        <f>IF(Tab.11[[#This Row],[a1]]=1,Tab.11[[#This Row],[b1]])</f>
        <v>0</v>
      </c>
      <c r="I193" s="67" t="b">
        <f>IF(Tab.11[[#This Row],[a1]]=1,Tab.11[[#This Row],[b1]])</f>
        <v>0</v>
      </c>
      <c r="J193" s="68" t="b">
        <f>IF(Tab.11[[#This Row],[a1]]=1,IF($I$3&lt;0,Tab.11[[#This Row],[b5]]-$I$3,Tab.11[[#This Row],[b5]]))</f>
        <v>0</v>
      </c>
      <c r="K193" s="68" t="b">
        <f>IF(Tab.11[[#This Row],[a1]]=1,IF($K$3=0,Tab.11[b6],Tab.11[[#This Row],[b6]]-AVERAGE(Tab.11[b6])))</f>
        <v>0</v>
      </c>
      <c r="L193" s="69" t="b">
        <f>IF(Tab.11[[#This Row],[a1]]=1,Tab.11[[#This Row],[data]]/(_xlfn.STDEV.P(Tab.11[data])*$B$989)+$A$989)</f>
        <v>0</v>
      </c>
      <c r="M193" s="69" t="b">
        <f>IF(Tab.11[[#This Row],[a1]]=1,Tab.11[[#This Row],[data]]/(_xlfn.STDEV.P(Tab.11[data])*$B$987)-$A$987)</f>
        <v>0</v>
      </c>
      <c r="N193" s="69" t="b">
        <f>IF(Tab.11[[#This Row],[a1]]=1,Tab.11[[#This Row],[data]]/(_xlfn.STDEV.P(Tab.11[data])*$B$988)+$A$988)</f>
        <v>0</v>
      </c>
      <c r="O193" s="70" t="b">
        <f>IF(Tab.11[[#This Row],[a1]]=1,_xlfn.NORM.DIST(Tab.11[[#This Row],[b8]],$P$1,$Q$1,FALSE))</f>
        <v>0</v>
      </c>
      <c r="P193" s="70" t="b">
        <f>IF(Tab.11[[#This Row],[a1]]=1,_xlfn.NORM.DIST(Tab.11[[#This Row],[b9]],$P$1,$Q$1,FALSE))</f>
        <v>0</v>
      </c>
      <c r="Q193" s="70" t="b">
        <f>IF(Tab.11[[#This Row],[a1]]=1,_xlfn.NORM.DIST(Tab.11[[#This Row],[b10]],$P$1,$Q$1,FALSE))</f>
        <v>0</v>
      </c>
      <c r="R193" s="67" t="b">
        <f>IF(Tab.11[[#This Row],[a1]]=1,$I$3+$A$989+IF($K$3=0,Tab.11[[#This Row],[b8]]*_xlfn.STDEV.P(Tab.11[data]),AVERAGE(Tab.11[b6])+Tab.11[[#This Row],[b8]]*_xlfn.STDEV.P(Tab.11[data])))</f>
        <v>0</v>
      </c>
      <c r="S193" s="71" t="b">
        <f>IF(Tab.11[[#This Row],[a1]]=1,$I$3+$A$987+IF($K$3=0,Tab.11[[#This Row],[b9]]*_xlfn.STDEV.P(Tab.11[data]),AVERAGE(Tab.11[b6])+Tab.11[[#This Row],[b9]]*_xlfn.STDEV.P(Tab.11[data])))</f>
        <v>0</v>
      </c>
      <c r="T193" s="71" t="b">
        <f>IF(Tab.11[[#This Row],[a1]]=1,$I$3+$A$988+IF($K$3=0,Tab.11[[#This Row],[b10]]*_xlfn.STDEV.P(Tab.11[data]),AVERAGE(Tab.11[b6])+Tab.11[[#This Row],[b10]]*_xlfn.STDEV.P(Tab.11[data])))</f>
        <v>0</v>
      </c>
      <c r="U193" s="72" t="b">
        <f>IF(Tab.11[[#This Row],[a1]]=1,Tab.11[[#This Row],[target]]-Tab.11[[#This Row],[Red]])</f>
        <v>0</v>
      </c>
      <c r="V193" s="72" t="b">
        <f>IF(Tab.11[[#This Row],[a1]]=1,Tab.11[[#This Row],[target]]-Tab.11[[#This Row],[Blue]])</f>
        <v>0</v>
      </c>
      <c r="W193" s="73" t="b">
        <f>IF(Tab.11[[#This Row],[a1]]=1,IF(ABS(Tab.11[[#This Row],[b17]])+ABS(Tab.11[[#This Row],[b18]])&lt;$W$2,$W$2,ABS(Tab.11[[#This Row],[b17]])+ABS(Tab.11[[#This Row],[b18]])))</f>
        <v>0</v>
      </c>
      <c r="X193" s="136" t="b">
        <f>IF(Tab.11[[#This Row],[a1]]=1,IF($W$3&lt;0,Tab.11[[#This Row],[IN]]-$I$3,Tab.11[[#This Row],[IN]]))</f>
        <v>0</v>
      </c>
      <c r="Y193" s="136" t="b">
        <f>IF(Tab.11[[#This Row],[a1]]=1,IF($X$3=0,Tab.11[b66],Tab.11[[#This Row],[b66]]-AVERAGE(Tab.11[b66])))</f>
        <v>0</v>
      </c>
      <c r="Z193" s="135" t="b">
        <f>IF(Tab.11[[#This Row],[a1]]=1,Tab.11[[#This Row],[b77]]/(_xlfn.STDEV.P(Tab.11[b77])))</f>
        <v>0</v>
      </c>
      <c r="AA193" s="70" t="b">
        <f>IF(Tab.11[[#This Row],[a1]]=1,_xlfn.NORM.DIST(Tab.11[[#This Row],[b88]],$Z$1,$AA$1,FALSE))</f>
        <v>0</v>
      </c>
      <c r="AB193" s="74" t="b">
        <f>IF(Tab.11[[#This Row],[a1]]=1,IF($A$3=0,FALSE,1/Tab.11[[#This Row],[IN]]*$AC$2*IF(Tab.11[[#This Row],[a1]]=0,,$A$3*$AC$1*1/$V$3*(Tab.11[[#This Row],[b14]]))))</f>
        <v>0</v>
      </c>
      <c r="AC193" s="75" t="b">
        <f>IF(Tab.11[[#This Row],[a1]]=1,IF($AC$3=0,Tab.11[[#This Row],[φ1]],Tab.11[[#This Row],[φ1]]/MAX(Tab.11[φ1])))</f>
        <v>0</v>
      </c>
      <c r="AD193" s="74" t="b">
        <f>IF(Tab.11[[#This Row],[a1]]=1,1/Tab.11[[#This Row],[φ2]])</f>
        <v>0</v>
      </c>
      <c r="AE193" s="74" t="b">
        <f>IF(Tab.11[[#This Row],[a1]]=1,IF($AE$3=0,Tab.11[[#This Row],[w.0]],Tab.11[[#This Row],[w.0]]/SUM(Tab.11[w.0])))</f>
        <v>0</v>
      </c>
      <c r="AF193" s="76" t="str">
        <f>IF(Tab.11[[#This Row],[a1]]=0,"false",[3]!Tab.x5[[#This Row],[%_seN_C]])</f>
        <v>false</v>
      </c>
      <c r="AG193" s="77" t="b">
        <f>IF(Tab.11[[#This Row],[a1]]=1,AP193)</f>
        <v>0</v>
      </c>
      <c r="AH193" s="78" t="b">
        <f>IF(Tab.11[[#This Row],[a1]]=1,AQ193)</f>
        <v>0</v>
      </c>
      <c r="AI193" s="41">
        <v>3.0000000000000001E-3</v>
      </c>
      <c r="AJ193" s="79">
        <v>0.1</v>
      </c>
      <c r="AK193" s="80" t="b">
        <f>IF(Tab.11[[#This Row],[a1]]=1,1)</f>
        <v>0</v>
      </c>
      <c r="AZ193"/>
    </row>
    <row r="194" spans="1:52" ht="14.25" hidden="1" customHeight="1" x14ac:dyDescent="0.25">
      <c r="A194" s="61">
        <f t="shared" si="7"/>
        <v>0</v>
      </c>
      <c r="B194" s="62">
        <f t="shared" si="7"/>
        <v>0</v>
      </c>
      <c r="C194" s="62" t="b">
        <f>IF(Tab.11[[#This Row],[a1]]=1,[3]!Tab_x1[[#This Row],[Name]])</f>
        <v>0</v>
      </c>
      <c r="D194" s="63" t="b">
        <f>IF(Tab.11[[#This Row],[a1]]=1,AO194)</f>
        <v>0</v>
      </c>
      <c r="E194" s="63">
        <f t="shared" si="6"/>
        <v>0</v>
      </c>
      <c r="F194" s="64" t="b">
        <f>IF(Tab.11[[#This Row],[a1]]=1,Tab.11[[#This Row],[b1]])</f>
        <v>0</v>
      </c>
      <c r="G194" s="65" t="b">
        <f>IF(Tab.11[[#This Row],[a1]]=1,IF(Tab.11[[#This Row],[b3]]&gt;$L$989*$G$3,$L$989*$G$3,IF(Tab.11[[#This Row],[b3]]&lt;$M$989*$G$3,$M$989*$G$3,Tab.11[[#This Row],[b3]])))</f>
        <v>0</v>
      </c>
      <c r="H194" s="66" t="b">
        <f>IF(Tab.11[[#This Row],[a1]]=1,Tab.11[[#This Row],[b1]])</f>
        <v>0</v>
      </c>
      <c r="I194" s="67" t="b">
        <f>IF(Tab.11[[#This Row],[a1]]=1,Tab.11[[#This Row],[b1]])</f>
        <v>0</v>
      </c>
      <c r="J194" s="68" t="b">
        <f>IF(Tab.11[[#This Row],[a1]]=1,IF($I$3&lt;0,Tab.11[[#This Row],[b5]]-$I$3,Tab.11[[#This Row],[b5]]))</f>
        <v>0</v>
      </c>
      <c r="K194" s="68" t="b">
        <f>IF(Tab.11[[#This Row],[a1]]=1,IF($K$3=0,Tab.11[b6],Tab.11[[#This Row],[b6]]-AVERAGE(Tab.11[b6])))</f>
        <v>0</v>
      </c>
      <c r="L194" s="69" t="b">
        <f>IF(Tab.11[[#This Row],[a1]]=1,Tab.11[[#This Row],[data]]/(_xlfn.STDEV.P(Tab.11[data])*$B$989)+$A$989)</f>
        <v>0</v>
      </c>
      <c r="M194" s="69" t="b">
        <f>IF(Tab.11[[#This Row],[a1]]=1,Tab.11[[#This Row],[data]]/(_xlfn.STDEV.P(Tab.11[data])*$B$987)-$A$987)</f>
        <v>0</v>
      </c>
      <c r="N194" s="69" t="b">
        <f>IF(Tab.11[[#This Row],[a1]]=1,Tab.11[[#This Row],[data]]/(_xlfn.STDEV.P(Tab.11[data])*$B$988)+$A$988)</f>
        <v>0</v>
      </c>
      <c r="O194" s="70" t="b">
        <f>IF(Tab.11[[#This Row],[a1]]=1,_xlfn.NORM.DIST(Tab.11[[#This Row],[b8]],$P$1,$Q$1,FALSE))</f>
        <v>0</v>
      </c>
      <c r="P194" s="70" t="b">
        <f>IF(Tab.11[[#This Row],[a1]]=1,_xlfn.NORM.DIST(Tab.11[[#This Row],[b9]],$P$1,$Q$1,FALSE))</f>
        <v>0</v>
      </c>
      <c r="Q194" s="70" t="b">
        <f>IF(Tab.11[[#This Row],[a1]]=1,_xlfn.NORM.DIST(Tab.11[[#This Row],[b10]],$P$1,$Q$1,FALSE))</f>
        <v>0</v>
      </c>
      <c r="R194" s="67" t="b">
        <f>IF(Tab.11[[#This Row],[a1]]=1,$I$3+$A$989+IF($K$3=0,Tab.11[[#This Row],[b8]]*_xlfn.STDEV.P(Tab.11[data]),AVERAGE(Tab.11[b6])+Tab.11[[#This Row],[b8]]*_xlfn.STDEV.P(Tab.11[data])))</f>
        <v>0</v>
      </c>
      <c r="S194" s="71" t="b">
        <f>IF(Tab.11[[#This Row],[a1]]=1,$I$3+$A$987+IF($K$3=0,Tab.11[[#This Row],[b9]]*_xlfn.STDEV.P(Tab.11[data]),AVERAGE(Tab.11[b6])+Tab.11[[#This Row],[b9]]*_xlfn.STDEV.P(Tab.11[data])))</f>
        <v>0</v>
      </c>
      <c r="T194" s="71" t="b">
        <f>IF(Tab.11[[#This Row],[a1]]=1,$I$3+$A$988+IF($K$3=0,Tab.11[[#This Row],[b10]]*_xlfn.STDEV.P(Tab.11[data]),AVERAGE(Tab.11[b6])+Tab.11[[#This Row],[b10]]*_xlfn.STDEV.P(Tab.11[data])))</f>
        <v>0</v>
      </c>
      <c r="U194" s="72" t="b">
        <f>IF(Tab.11[[#This Row],[a1]]=1,Tab.11[[#This Row],[target]]-Tab.11[[#This Row],[Red]])</f>
        <v>0</v>
      </c>
      <c r="V194" s="72" t="b">
        <f>IF(Tab.11[[#This Row],[a1]]=1,Tab.11[[#This Row],[target]]-Tab.11[[#This Row],[Blue]])</f>
        <v>0</v>
      </c>
      <c r="W194" s="73" t="b">
        <f>IF(Tab.11[[#This Row],[a1]]=1,IF(ABS(Tab.11[[#This Row],[b17]])+ABS(Tab.11[[#This Row],[b18]])&lt;$W$2,$W$2,ABS(Tab.11[[#This Row],[b17]])+ABS(Tab.11[[#This Row],[b18]])))</f>
        <v>0</v>
      </c>
      <c r="X194" s="136" t="b">
        <f>IF(Tab.11[[#This Row],[a1]]=1,IF($W$3&lt;0,Tab.11[[#This Row],[IN]]-$I$3,Tab.11[[#This Row],[IN]]))</f>
        <v>0</v>
      </c>
      <c r="Y194" s="136" t="b">
        <f>IF(Tab.11[[#This Row],[a1]]=1,IF($X$3=0,Tab.11[b66],Tab.11[[#This Row],[b66]]-AVERAGE(Tab.11[b66])))</f>
        <v>0</v>
      </c>
      <c r="Z194" s="135" t="b">
        <f>IF(Tab.11[[#This Row],[a1]]=1,Tab.11[[#This Row],[b77]]/(_xlfn.STDEV.P(Tab.11[b77])))</f>
        <v>0</v>
      </c>
      <c r="AA194" s="70" t="b">
        <f>IF(Tab.11[[#This Row],[a1]]=1,_xlfn.NORM.DIST(Tab.11[[#This Row],[b88]],$Z$1,$AA$1,FALSE))</f>
        <v>0</v>
      </c>
      <c r="AB194" s="74" t="b">
        <f>IF(Tab.11[[#This Row],[a1]]=1,IF($A$3=0,FALSE,1/Tab.11[[#This Row],[IN]]*$AC$2*IF(Tab.11[[#This Row],[a1]]=0,,$A$3*$AC$1*1/$V$3*(Tab.11[[#This Row],[b14]]))))</f>
        <v>0</v>
      </c>
      <c r="AC194" s="75" t="b">
        <f>IF(Tab.11[[#This Row],[a1]]=1,IF($AC$3=0,Tab.11[[#This Row],[φ1]],Tab.11[[#This Row],[φ1]]/MAX(Tab.11[φ1])))</f>
        <v>0</v>
      </c>
      <c r="AD194" s="74" t="b">
        <f>IF(Tab.11[[#This Row],[a1]]=1,1/Tab.11[[#This Row],[φ2]])</f>
        <v>0</v>
      </c>
      <c r="AE194" s="74" t="b">
        <f>IF(Tab.11[[#This Row],[a1]]=1,IF($AE$3=0,Tab.11[[#This Row],[w.0]],Tab.11[[#This Row],[w.0]]/SUM(Tab.11[w.0])))</f>
        <v>0</v>
      </c>
      <c r="AF194" s="76" t="str">
        <f>IF(Tab.11[[#This Row],[a1]]=0,"false",[3]!Tab.x5[[#This Row],[%_seN_C]])</f>
        <v>false</v>
      </c>
      <c r="AG194" s="77" t="b">
        <f>IF(Tab.11[[#This Row],[a1]]=1,AP194)</f>
        <v>0</v>
      </c>
      <c r="AH194" s="78" t="b">
        <f>IF(Tab.11[[#This Row],[a1]]=1,AQ194)</f>
        <v>0</v>
      </c>
      <c r="AI194" s="41">
        <v>3.0000000000000001E-3</v>
      </c>
      <c r="AJ194" s="79">
        <v>0</v>
      </c>
      <c r="AK194" s="80" t="b">
        <f>IF(Tab.11[[#This Row],[a1]]=1,1)</f>
        <v>0</v>
      </c>
      <c r="AZ194"/>
    </row>
    <row r="195" spans="1:52" ht="14.25" hidden="1" customHeight="1" x14ac:dyDescent="0.25">
      <c r="A195" s="61">
        <f t="shared" si="7"/>
        <v>0</v>
      </c>
      <c r="B195" s="62">
        <f t="shared" si="7"/>
        <v>0</v>
      </c>
      <c r="C195" s="62" t="b">
        <f>IF(Tab.11[[#This Row],[a1]]=1,[3]!Tab_x1[[#This Row],[Name]])</f>
        <v>0</v>
      </c>
      <c r="D195" s="63" t="b">
        <f>IF(Tab.11[[#This Row],[a1]]=1,AO195)</f>
        <v>0</v>
      </c>
      <c r="E195" s="63">
        <f t="shared" si="6"/>
        <v>0</v>
      </c>
      <c r="F195" s="64" t="b">
        <f>IF(Tab.11[[#This Row],[a1]]=1,Tab.11[[#This Row],[b1]])</f>
        <v>0</v>
      </c>
      <c r="G195" s="65" t="b">
        <f>IF(Tab.11[[#This Row],[a1]]=1,IF(Tab.11[[#This Row],[b3]]&gt;$L$989*$G$3,$L$989*$G$3,IF(Tab.11[[#This Row],[b3]]&lt;$M$989*$G$3,$M$989*$G$3,Tab.11[[#This Row],[b3]])))</f>
        <v>0</v>
      </c>
      <c r="H195" s="66" t="b">
        <f>IF(Tab.11[[#This Row],[a1]]=1,Tab.11[[#This Row],[b1]])</f>
        <v>0</v>
      </c>
      <c r="I195" s="67" t="b">
        <f>IF(Tab.11[[#This Row],[a1]]=1,Tab.11[[#This Row],[b1]])</f>
        <v>0</v>
      </c>
      <c r="J195" s="68" t="b">
        <f>IF(Tab.11[[#This Row],[a1]]=1,IF($I$3&lt;0,Tab.11[[#This Row],[b5]]-$I$3,Tab.11[[#This Row],[b5]]))</f>
        <v>0</v>
      </c>
      <c r="K195" s="68" t="b">
        <f>IF(Tab.11[[#This Row],[a1]]=1,IF($K$3=0,Tab.11[b6],Tab.11[[#This Row],[b6]]-AVERAGE(Tab.11[b6])))</f>
        <v>0</v>
      </c>
      <c r="L195" s="69" t="b">
        <f>IF(Tab.11[[#This Row],[a1]]=1,Tab.11[[#This Row],[data]]/(_xlfn.STDEV.P(Tab.11[data])*$B$989)+$A$989)</f>
        <v>0</v>
      </c>
      <c r="M195" s="69" t="b">
        <f>IF(Tab.11[[#This Row],[a1]]=1,Tab.11[[#This Row],[data]]/(_xlfn.STDEV.P(Tab.11[data])*$B$987)-$A$987)</f>
        <v>0</v>
      </c>
      <c r="N195" s="69" t="b">
        <f>IF(Tab.11[[#This Row],[a1]]=1,Tab.11[[#This Row],[data]]/(_xlfn.STDEV.P(Tab.11[data])*$B$988)+$A$988)</f>
        <v>0</v>
      </c>
      <c r="O195" s="70" t="b">
        <f>IF(Tab.11[[#This Row],[a1]]=1,_xlfn.NORM.DIST(Tab.11[[#This Row],[b8]],$P$1,$Q$1,FALSE))</f>
        <v>0</v>
      </c>
      <c r="P195" s="70" t="b">
        <f>IF(Tab.11[[#This Row],[a1]]=1,_xlfn.NORM.DIST(Tab.11[[#This Row],[b9]],$P$1,$Q$1,FALSE))</f>
        <v>0</v>
      </c>
      <c r="Q195" s="70" t="b">
        <f>IF(Tab.11[[#This Row],[a1]]=1,_xlfn.NORM.DIST(Tab.11[[#This Row],[b10]],$P$1,$Q$1,FALSE))</f>
        <v>0</v>
      </c>
      <c r="R195" s="67" t="b">
        <f>IF(Tab.11[[#This Row],[a1]]=1,$I$3+$A$989+IF($K$3=0,Tab.11[[#This Row],[b8]]*_xlfn.STDEV.P(Tab.11[data]),AVERAGE(Tab.11[b6])+Tab.11[[#This Row],[b8]]*_xlfn.STDEV.P(Tab.11[data])))</f>
        <v>0</v>
      </c>
      <c r="S195" s="71" t="b">
        <f>IF(Tab.11[[#This Row],[a1]]=1,$I$3+$A$987+IF($K$3=0,Tab.11[[#This Row],[b9]]*_xlfn.STDEV.P(Tab.11[data]),AVERAGE(Tab.11[b6])+Tab.11[[#This Row],[b9]]*_xlfn.STDEV.P(Tab.11[data])))</f>
        <v>0</v>
      </c>
      <c r="T195" s="71" t="b">
        <f>IF(Tab.11[[#This Row],[a1]]=1,$I$3+$A$988+IF($K$3=0,Tab.11[[#This Row],[b10]]*_xlfn.STDEV.P(Tab.11[data]),AVERAGE(Tab.11[b6])+Tab.11[[#This Row],[b10]]*_xlfn.STDEV.P(Tab.11[data])))</f>
        <v>0</v>
      </c>
      <c r="U195" s="72" t="b">
        <f>IF(Tab.11[[#This Row],[a1]]=1,Tab.11[[#This Row],[target]]-Tab.11[[#This Row],[Red]])</f>
        <v>0</v>
      </c>
      <c r="V195" s="72" t="b">
        <f>IF(Tab.11[[#This Row],[a1]]=1,Tab.11[[#This Row],[target]]-Tab.11[[#This Row],[Blue]])</f>
        <v>0</v>
      </c>
      <c r="W195" s="73" t="b">
        <f>IF(Tab.11[[#This Row],[a1]]=1,IF(ABS(Tab.11[[#This Row],[b17]])+ABS(Tab.11[[#This Row],[b18]])&lt;$W$2,$W$2,ABS(Tab.11[[#This Row],[b17]])+ABS(Tab.11[[#This Row],[b18]])))</f>
        <v>0</v>
      </c>
      <c r="X195" s="136" t="b">
        <f>IF(Tab.11[[#This Row],[a1]]=1,IF($W$3&lt;0,Tab.11[[#This Row],[IN]]-$I$3,Tab.11[[#This Row],[IN]]))</f>
        <v>0</v>
      </c>
      <c r="Y195" s="136" t="b">
        <f>IF(Tab.11[[#This Row],[a1]]=1,IF($X$3=0,Tab.11[b66],Tab.11[[#This Row],[b66]]-AVERAGE(Tab.11[b66])))</f>
        <v>0</v>
      </c>
      <c r="Z195" s="135" t="b">
        <f>IF(Tab.11[[#This Row],[a1]]=1,Tab.11[[#This Row],[b77]]/(_xlfn.STDEV.P(Tab.11[b77])))</f>
        <v>0</v>
      </c>
      <c r="AA195" s="70" t="b">
        <f>IF(Tab.11[[#This Row],[a1]]=1,_xlfn.NORM.DIST(Tab.11[[#This Row],[b88]],$Z$1,$AA$1,FALSE))</f>
        <v>0</v>
      </c>
      <c r="AB195" s="74" t="b">
        <f>IF(Tab.11[[#This Row],[a1]]=1,IF($A$3=0,FALSE,1/Tab.11[[#This Row],[IN]]*$AC$2*IF(Tab.11[[#This Row],[a1]]=0,,$A$3*$AC$1*1/$V$3*(Tab.11[[#This Row],[b14]]))))</f>
        <v>0</v>
      </c>
      <c r="AC195" s="75" t="b">
        <f>IF(Tab.11[[#This Row],[a1]]=1,IF($AC$3=0,Tab.11[[#This Row],[φ1]],Tab.11[[#This Row],[φ1]]/MAX(Tab.11[φ1])))</f>
        <v>0</v>
      </c>
      <c r="AD195" s="74" t="b">
        <f>IF(Tab.11[[#This Row],[a1]]=1,1/Tab.11[[#This Row],[φ2]])</f>
        <v>0</v>
      </c>
      <c r="AE195" s="74" t="b">
        <f>IF(Tab.11[[#This Row],[a1]]=1,IF($AE$3=0,Tab.11[[#This Row],[w.0]],Tab.11[[#This Row],[w.0]]/SUM(Tab.11[w.0])))</f>
        <v>0</v>
      </c>
      <c r="AF195" s="76" t="str">
        <f>IF(Tab.11[[#This Row],[a1]]=0,"false",[3]!Tab.x5[[#This Row],[%_seN_C]])</f>
        <v>false</v>
      </c>
      <c r="AG195" s="77" t="b">
        <f>IF(Tab.11[[#This Row],[a1]]=1,AP195)</f>
        <v>0</v>
      </c>
      <c r="AH195" s="78" t="b">
        <f>IF(Tab.11[[#This Row],[a1]]=1,AQ195)</f>
        <v>0</v>
      </c>
      <c r="AI195" s="41">
        <v>3.0000000000000001E-3</v>
      </c>
      <c r="AJ195" s="79">
        <v>0.09</v>
      </c>
      <c r="AK195" s="80" t="b">
        <f>IF(Tab.11[[#This Row],[a1]]=1,1)</f>
        <v>0</v>
      </c>
      <c r="AZ195"/>
    </row>
    <row r="196" spans="1:52" ht="14.25" hidden="1" customHeight="1" x14ac:dyDescent="0.25">
      <c r="A196" s="61">
        <f t="shared" si="7"/>
        <v>0</v>
      </c>
      <c r="B196" s="62">
        <f t="shared" si="7"/>
        <v>0</v>
      </c>
      <c r="C196" s="62" t="b">
        <f>IF(Tab.11[[#This Row],[a1]]=1,[3]!Tab_x1[[#This Row],[Name]])</f>
        <v>0</v>
      </c>
      <c r="D196" s="63" t="b">
        <f>IF(Tab.11[[#This Row],[a1]]=1,AO196)</f>
        <v>0</v>
      </c>
      <c r="E196" s="63">
        <f t="shared" si="6"/>
        <v>0</v>
      </c>
      <c r="F196" s="64" t="b">
        <f>IF(Tab.11[[#This Row],[a1]]=1,Tab.11[[#This Row],[b1]])</f>
        <v>0</v>
      </c>
      <c r="G196" s="65" t="b">
        <f>IF(Tab.11[[#This Row],[a1]]=1,IF(Tab.11[[#This Row],[b3]]&gt;$L$989*$G$3,$L$989*$G$3,IF(Tab.11[[#This Row],[b3]]&lt;$M$989*$G$3,$M$989*$G$3,Tab.11[[#This Row],[b3]])))</f>
        <v>0</v>
      </c>
      <c r="H196" s="66" t="b">
        <f>IF(Tab.11[[#This Row],[a1]]=1,Tab.11[[#This Row],[b1]])</f>
        <v>0</v>
      </c>
      <c r="I196" s="67" t="b">
        <f>IF(Tab.11[[#This Row],[a1]]=1,Tab.11[[#This Row],[b1]])</f>
        <v>0</v>
      </c>
      <c r="J196" s="68" t="b">
        <f>IF(Tab.11[[#This Row],[a1]]=1,IF($I$3&lt;0,Tab.11[[#This Row],[b5]]-$I$3,Tab.11[[#This Row],[b5]]))</f>
        <v>0</v>
      </c>
      <c r="K196" s="68" t="b">
        <f>IF(Tab.11[[#This Row],[a1]]=1,IF($K$3=0,Tab.11[b6],Tab.11[[#This Row],[b6]]-AVERAGE(Tab.11[b6])))</f>
        <v>0</v>
      </c>
      <c r="L196" s="69" t="b">
        <f>IF(Tab.11[[#This Row],[a1]]=1,Tab.11[[#This Row],[data]]/(_xlfn.STDEV.P(Tab.11[data])*$B$989)+$A$989)</f>
        <v>0</v>
      </c>
      <c r="M196" s="69" t="b">
        <f>IF(Tab.11[[#This Row],[a1]]=1,Tab.11[[#This Row],[data]]/(_xlfn.STDEV.P(Tab.11[data])*$B$987)-$A$987)</f>
        <v>0</v>
      </c>
      <c r="N196" s="69" t="b">
        <f>IF(Tab.11[[#This Row],[a1]]=1,Tab.11[[#This Row],[data]]/(_xlfn.STDEV.P(Tab.11[data])*$B$988)+$A$988)</f>
        <v>0</v>
      </c>
      <c r="O196" s="70" t="b">
        <f>IF(Tab.11[[#This Row],[a1]]=1,_xlfn.NORM.DIST(Tab.11[[#This Row],[b8]],$P$1,$Q$1,FALSE))</f>
        <v>0</v>
      </c>
      <c r="P196" s="70" t="b">
        <f>IF(Tab.11[[#This Row],[a1]]=1,_xlfn.NORM.DIST(Tab.11[[#This Row],[b9]],$P$1,$Q$1,FALSE))</f>
        <v>0</v>
      </c>
      <c r="Q196" s="70" t="b">
        <f>IF(Tab.11[[#This Row],[a1]]=1,_xlfn.NORM.DIST(Tab.11[[#This Row],[b10]],$P$1,$Q$1,FALSE))</f>
        <v>0</v>
      </c>
      <c r="R196" s="67" t="b">
        <f>IF(Tab.11[[#This Row],[a1]]=1,$I$3+$A$989+IF($K$3=0,Tab.11[[#This Row],[b8]]*_xlfn.STDEV.P(Tab.11[data]),AVERAGE(Tab.11[b6])+Tab.11[[#This Row],[b8]]*_xlfn.STDEV.P(Tab.11[data])))</f>
        <v>0</v>
      </c>
      <c r="S196" s="71" t="b">
        <f>IF(Tab.11[[#This Row],[a1]]=1,$I$3+$A$987+IF($K$3=0,Tab.11[[#This Row],[b9]]*_xlfn.STDEV.P(Tab.11[data]),AVERAGE(Tab.11[b6])+Tab.11[[#This Row],[b9]]*_xlfn.STDEV.P(Tab.11[data])))</f>
        <v>0</v>
      </c>
      <c r="T196" s="71" t="b">
        <f>IF(Tab.11[[#This Row],[a1]]=1,$I$3+$A$988+IF($K$3=0,Tab.11[[#This Row],[b10]]*_xlfn.STDEV.P(Tab.11[data]),AVERAGE(Tab.11[b6])+Tab.11[[#This Row],[b10]]*_xlfn.STDEV.P(Tab.11[data])))</f>
        <v>0</v>
      </c>
      <c r="U196" s="72" t="b">
        <f>IF(Tab.11[[#This Row],[a1]]=1,Tab.11[[#This Row],[target]]-Tab.11[[#This Row],[Red]])</f>
        <v>0</v>
      </c>
      <c r="V196" s="72" t="b">
        <f>IF(Tab.11[[#This Row],[a1]]=1,Tab.11[[#This Row],[target]]-Tab.11[[#This Row],[Blue]])</f>
        <v>0</v>
      </c>
      <c r="W196" s="73" t="b">
        <f>IF(Tab.11[[#This Row],[a1]]=1,IF(ABS(Tab.11[[#This Row],[b17]])+ABS(Tab.11[[#This Row],[b18]])&lt;$W$2,$W$2,ABS(Tab.11[[#This Row],[b17]])+ABS(Tab.11[[#This Row],[b18]])))</f>
        <v>0</v>
      </c>
      <c r="X196" s="136" t="b">
        <f>IF(Tab.11[[#This Row],[a1]]=1,IF($W$3&lt;0,Tab.11[[#This Row],[IN]]-$I$3,Tab.11[[#This Row],[IN]]))</f>
        <v>0</v>
      </c>
      <c r="Y196" s="136" t="b">
        <f>IF(Tab.11[[#This Row],[a1]]=1,IF($X$3=0,Tab.11[b66],Tab.11[[#This Row],[b66]]-AVERAGE(Tab.11[b66])))</f>
        <v>0</v>
      </c>
      <c r="Z196" s="135" t="b">
        <f>IF(Tab.11[[#This Row],[a1]]=1,Tab.11[[#This Row],[b77]]/(_xlfn.STDEV.P(Tab.11[b77])))</f>
        <v>0</v>
      </c>
      <c r="AA196" s="70" t="b">
        <f>IF(Tab.11[[#This Row],[a1]]=1,_xlfn.NORM.DIST(Tab.11[[#This Row],[b88]],$Z$1,$AA$1,FALSE))</f>
        <v>0</v>
      </c>
      <c r="AB196" s="74" t="b">
        <f>IF(Tab.11[[#This Row],[a1]]=1,IF($A$3=0,FALSE,1/Tab.11[[#This Row],[IN]]*$AC$2*IF(Tab.11[[#This Row],[a1]]=0,,$A$3*$AC$1*1/$V$3*(Tab.11[[#This Row],[b14]]))))</f>
        <v>0</v>
      </c>
      <c r="AC196" s="75" t="b">
        <f>IF(Tab.11[[#This Row],[a1]]=1,IF($AC$3=0,Tab.11[[#This Row],[φ1]],Tab.11[[#This Row],[φ1]]/MAX(Tab.11[φ1])))</f>
        <v>0</v>
      </c>
      <c r="AD196" s="74" t="b">
        <f>IF(Tab.11[[#This Row],[a1]]=1,1/Tab.11[[#This Row],[φ2]])</f>
        <v>0</v>
      </c>
      <c r="AE196" s="74" t="b">
        <f>IF(Tab.11[[#This Row],[a1]]=1,IF($AE$3=0,Tab.11[[#This Row],[w.0]],Tab.11[[#This Row],[w.0]]/SUM(Tab.11[w.0])))</f>
        <v>0</v>
      </c>
      <c r="AF196" s="76" t="str">
        <f>IF(Tab.11[[#This Row],[a1]]=0,"false",[3]!Tab.x5[[#This Row],[%_seN_C]])</f>
        <v>false</v>
      </c>
      <c r="AG196" s="77" t="b">
        <f>IF(Tab.11[[#This Row],[a1]]=1,AP196)</f>
        <v>0</v>
      </c>
      <c r="AH196" s="78" t="b">
        <f>IF(Tab.11[[#This Row],[a1]]=1,AQ196)</f>
        <v>0</v>
      </c>
      <c r="AI196" s="41">
        <v>3.0000000000000001E-3</v>
      </c>
      <c r="AJ196" s="79">
        <v>-0.04</v>
      </c>
      <c r="AK196" s="80" t="b">
        <f>IF(Tab.11[[#This Row],[a1]]=1,1)</f>
        <v>0</v>
      </c>
      <c r="AZ196"/>
    </row>
    <row r="197" spans="1:52" ht="14.25" hidden="1" customHeight="1" x14ac:dyDescent="0.25">
      <c r="A197" s="61">
        <f t="shared" si="7"/>
        <v>0</v>
      </c>
      <c r="B197" s="62">
        <f t="shared" si="7"/>
        <v>0</v>
      </c>
      <c r="C197" s="62" t="b">
        <f>IF(Tab.11[[#This Row],[a1]]=1,[3]!Tab_x1[[#This Row],[Name]])</f>
        <v>0</v>
      </c>
      <c r="D197" s="63" t="b">
        <f>IF(Tab.11[[#This Row],[a1]]=1,AO197)</f>
        <v>0</v>
      </c>
      <c r="E197" s="63">
        <f t="shared" ref="E197:E260" si="8">AM197</f>
        <v>0</v>
      </c>
      <c r="F197" s="64" t="b">
        <f>IF(Tab.11[[#This Row],[a1]]=1,Tab.11[[#This Row],[b1]])</f>
        <v>0</v>
      </c>
      <c r="G197" s="65" t="b">
        <f>IF(Tab.11[[#This Row],[a1]]=1,IF(Tab.11[[#This Row],[b3]]&gt;$L$989*$G$3,$L$989*$G$3,IF(Tab.11[[#This Row],[b3]]&lt;$M$989*$G$3,$M$989*$G$3,Tab.11[[#This Row],[b3]])))</f>
        <v>0</v>
      </c>
      <c r="H197" s="66" t="b">
        <f>IF(Tab.11[[#This Row],[a1]]=1,Tab.11[[#This Row],[b1]])</f>
        <v>0</v>
      </c>
      <c r="I197" s="67" t="b">
        <f>IF(Tab.11[[#This Row],[a1]]=1,Tab.11[[#This Row],[b1]])</f>
        <v>0</v>
      </c>
      <c r="J197" s="68" t="b">
        <f>IF(Tab.11[[#This Row],[a1]]=1,IF($I$3&lt;0,Tab.11[[#This Row],[b5]]-$I$3,Tab.11[[#This Row],[b5]]))</f>
        <v>0</v>
      </c>
      <c r="K197" s="68" t="b">
        <f>IF(Tab.11[[#This Row],[a1]]=1,IF($K$3=0,Tab.11[b6],Tab.11[[#This Row],[b6]]-AVERAGE(Tab.11[b6])))</f>
        <v>0</v>
      </c>
      <c r="L197" s="69" t="b">
        <f>IF(Tab.11[[#This Row],[a1]]=1,Tab.11[[#This Row],[data]]/(_xlfn.STDEV.P(Tab.11[data])*$B$989)+$A$989)</f>
        <v>0</v>
      </c>
      <c r="M197" s="69" t="b">
        <f>IF(Tab.11[[#This Row],[a1]]=1,Tab.11[[#This Row],[data]]/(_xlfn.STDEV.P(Tab.11[data])*$B$987)-$A$987)</f>
        <v>0</v>
      </c>
      <c r="N197" s="69" t="b">
        <f>IF(Tab.11[[#This Row],[a1]]=1,Tab.11[[#This Row],[data]]/(_xlfn.STDEV.P(Tab.11[data])*$B$988)+$A$988)</f>
        <v>0</v>
      </c>
      <c r="O197" s="70" t="b">
        <f>IF(Tab.11[[#This Row],[a1]]=1,_xlfn.NORM.DIST(Tab.11[[#This Row],[b8]],$P$1,$Q$1,FALSE))</f>
        <v>0</v>
      </c>
      <c r="P197" s="70" t="b">
        <f>IF(Tab.11[[#This Row],[a1]]=1,_xlfn.NORM.DIST(Tab.11[[#This Row],[b9]],$P$1,$Q$1,FALSE))</f>
        <v>0</v>
      </c>
      <c r="Q197" s="70" t="b">
        <f>IF(Tab.11[[#This Row],[a1]]=1,_xlfn.NORM.DIST(Tab.11[[#This Row],[b10]],$P$1,$Q$1,FALSE))</f>
        <v>0</v>
      </c>
      <c r="R197" s="67" t="b">
        <f>IF(Tab.11[[#This Row],[a1]]=1,$I$3+$A$989+IF($K$3=0,Tab.11[[#This Row],[b8]]*_xlfn.STDEV.P(Tab.11[data]),AVERAGE(Tab.11[b6])+Tab.11[[#This Row],[b8]]*_xlfn.STDEV.P(Tab.11[data])))</f>
        <v>0</v>
      </c>
      <c r="S197" s="71" t="b">
        <f>IF(Tab.11[[#This Row],[a1]]=1,$I$3+$A$987+IF($K$3=0,Tab.11[[#This Row],[b9]]*_xlfn.STDEV.P(Tab.11[data]),AVERAGE(Tab.11[b6])+Tab.11[[#This Row],[b9]]*_xlfn.STDEV.P(Tab.11[data])))</f>
        <v>0</v>
      </c>
      <c r="T197" s="71" t="b">
        <f>IF(Tab.11[[#This Row],[a1]]=1,$I$3+$A$988+IF($K$3=0,Tab.11[[#This Row],[b10]]*_xlfn.STDEV.P(Tab.11[data]),AVERAGE(Tab.11[b6])+Tab.11[[#This Row],[b10]]*_xlfn.STDEV.P(Tab.11[data])))</f>
        <v>0</v>
      </c>
      <c r="U197" s="72" t="b">
        <f>IF(Tab.11[[#This Row],[a1]]=1,Tab.11[[#This Row],[target]]-Tab.11[[#This Row],[Red]])</f>
        <v>0</v>
      </c>
      <c r="V197" s="72" t="b">
        <f>IF(Tab.11[[#This Row],[a1]]=1,Tab.11[[#This Row],[target]]-Tab.11[[#This Row],[Blue]])</f>
        <v>0</v>
      </c>
      <c r="W197" s="73" t="b">
        <f>IF(Tab.11[[#This Row],[a1]]=1,IF(ABS(Tab.11[[#This Row],[b17]])+ABS(Tab.11[[#This Row],[b18]])&lt;$W$2,$W$2,ABS(Tab.11[[#This Row],[b17]])+ABS(Tab.11[[#This Row],[b18]])))</f>
        <v>0</v>
      </c>
      <c r="X197" s="136" t="b">
        <f>IF(Tab.11[[#This Row],[a1]]=1,IF($W$3&lt;0,Tab.11[[#This Row],[IN]]-$I$3,Tab.11[[#This Row],[IN]]))</f>
        <v>0</v>
      </c>
      <c r="Y197" s="136" t="b">
        <f>IF(Tab.11[[#This Row],[a1]]=1,IF($X$3=0,Tab.11[b66],Tab.11[[#This Row],[b66]]-AVERAGE(Tab.11[b66])))</f>
        <v>0</v>
      </c>
      <c r="Z197" s="135" t="b">
        <f>IF(Tab.11[[#This Row],[a1]]=1,Tab.11[[#This Row],[b77]]/(_xlfn.STDEV.P(Tab.11[b77])))</f>
        <v>0</v>
      </c>
      <c r="AA197" s="70" t="b">
        <f>IF(Tab.11[[#This Row],[a1]]=1,_xlfn.NORM.DIST(Tab.11[[#This Row],[b88]],$Z$1,$AA$1,FALSE))</f>
        <v>0</v>
      </c>
      <c r="AB197" s="74" t="b">
        <f>IF(Tab.11[[#This Row],[a1]]=1,IF($A$3=0,FALSE,1/Tab.11[[#This Row],[IN]]*$AC$2*IF(Tab.11[[#This Row],[a1]]=0,,$A$3*$AC$1*1/$V$3*(Tab.11[[#This Row],[b14]]))))</f>
        <v>0</v>
      </c>
      <c r="AC197" s="75" t="b">
        <f>IF(Tab.11[[#This Row],[a1]]=1,IF($AC$3=0,Tab.11[[#This Row],[φ1]],Tab.11[[#This Row],[φ1]]/MAX(Tab.11[φ1])))</f>
        <v>0</v>
      </c>
      <c r="AD197" s="74" t="b">
        <f>IF(Tab.11[[#This Row],[a1]]=1,1/Tab.11[[#This Row],[φ2]])</f>
        <v>0</v>
      </c>
      <c r="AE197" s="74" t="b">
        <f>IF(Tab.11[[#This Row],[a1]]=1,IF($AE$3=0,Tab.11[[#This Row],[w.0]],Tab.11[[#This Row],[w.0]]/SUM(Tab.11[w.0])))</f>
        <v>0</v>
      </c>
      <c r="AF197" s="76" t="str">
        <f>IF(Tab.11[[#This Row],[a1]]=0,"false",[3]!Tab.x5[[#This Row],[%_seN_C]])</f>
        <v>false</v>
      </c>
      <c r="AG197" s="77" t="b">
        <f>IF(Tab.11[[#This Row],[a1]]=1,AP197)</f>
        <v>0</v>
      </c>
      <c r="AH197" s="78" t="b">
        <f>IF(Tab.11[[#This Row],[a1]]=1,AQ197)</f>
        <v>0</v>
      </c>
      <c r="AI197" s="41">
        <v>3.0000000000000001E-3</v>
      </c>
      <c r="AJ197" s="79">
        <v>-0.05</v>
      </c>
      <c r="AK197" s="80" t="b">
        <f>IF(Tab.11[[#This Row],[a1]]=1,1)</f>
        <v>0</v>
      </c>
      <c r="AZ197"/>
    </row>
    <row r="198" spans="1:52" ht="14.25" hidden="1" customHeight="1" x14ac:dyDescent="0.25">
      <c r="A198" s="61">
        <f t="shared" si="7"/>
        <v>0</v>
      </c>
      <c r="B198" s="62">
        <f t="shared" si="7"/>
        <v>0</v>
      </c>
      <c r="C198" s="62" t="b">
        <f>IF(Tab.11[[#This Row],[a1]]=1,[3]!Tab_x1[[#This Row],[Name]])</f>
        <v>0</v>
      </c>
      <c r="D198" s="63" t="b">
        <f>IF(Tab.11[[#This Row],[a1]]=1,AO198)</f>
        <v>0</v>
      </c>
      <c r="E198" s="63">
        <f t="shared" si="8"/>
        <v>0</v>
      </c>
      <c r="F198" s="64" t="b">
        <f>IF(Tab.11[[#This Row],[a1]]=1,Tab.11[[#This Row],[b1]])</f>
        <v>0</v>
      </c>
      <c r="G198" s="65" t="b">
        <f>IF(Tab.11[[#This Row],[a1]]=1,IF(Tab.11[[#This Row],[b3]]&gt;$L$989*$G$3,$L$989*$G$3,IF(Tab.11[[#This Row],[b3]]&lt;$M$989*$G$3,$M$989*$G$3,Tab.11[[#This Row],[b3]])))</f>
        <v>0</v>
      </c>
      <c r="H198" s="66" t="b">
        <f>IF(Tab.11[[#This Row],[a1]]=1,Tab.11[[#This Row],[b1]])</f>
        <v>0</v>
      </c>
      <c r="I198" s="67" t="b">
        <f>IF(Tab.11[[#This Row],[a1]]=1,Tab.11[[#This Row],[b1]])</f>
        <v>0</v>
      </c>
      <c r="J198" s="68" t="b">
        <f>IF(Tab.11[[#This Row],[a1]]=1,IF($I$3&lt;0,Tab.11[[#This Row],[b5]]-$I$3,Tab.11[[#This Row],[b5]]))</f>
        <v>0</v>
      </c>
      <c r="K198" s="68" t="b">
        <f>IF(Tab.11[[#This Row],[a1]]=1,IF($K$3=0,Tab.11[b6],Tab.11[[#This Row],[b6]]-AVERAGE(Tab.11[b6])))</f>
        <v>0</v>
      </c>
      <c r="L198" s="69" t="b">
        <f>IF(Tab.11[[#This Row],[a1]]=1,Tab.11[[#This Row],[data]]/(_xlfn.STDEV.P(Tab.11[data])*$B$989)+$A$989)</f>
        <v>0</v>
      </c>
      <c r="M198" s="69" t="b">
        <f>IF(Tab.11[[#This Row],[a1]]=1,Tab.11[[#This Row],[data]]/(_xlfn.STDEV.P(Tab.11[data])*$B$987)-$A$987)</f>
        <v>0</v>
      </c>
      <c r="N198" s="69" t="b">
        <f>IF(Tab.11[[#This Row],[a1]]=1,Tab.11[[#This Row],[data]]/(_xlfn.STDEV.P(Tab.11[data])*$B$988)+$A$988)</f>
        <v>0</v>
      </c>
      <c r="O198" s="70" t="b">
        <f>IF(Tab.11[[#This Row],[a1]]=1,_xlfn.NORM.DIST(Tab.11[[#This Row],[b8]],$P$1,$Q$1,FALSE))</f>
        <v>0</v>
      </c>
      <c r="P198" s="70" t="b">
        <f>IF(Tab.11[[#This Row],[a1]]=1,_xlfn.NORM.DIST(Tab.11[[#This Row],[b9]],$P$1,$Q$1,FALSE))</f>
        <v>0</v>
      </c>
      <c r="Q198" s="70" t="b">
        <f>IF(Tab.11[[#This Row],[a1]]=1,_xlfn.NORM.DIST(Tab.11[[#This Row],[b10]],$P$1,$Q$1,FALSE))</f>
        <v>0</v>
      </c>
      <c r="R198" s="67" t="b">
        <f>IF(Tab.11[[#This Row],[a1]]=1,$I$3+$A$989+IF($K$3=0,Tab.11[[#This Row],[b8]]*_xlfn.STDEV.P(Tab.11[data]),AVERAGE(Tab.11[b6])+Tab.11[[#This Row],[b8]]*_xlfn.STDEV.P(Tab.11[data])))</f>
        <v>0</v>
      </c>
      <c r="S198" s="71" t="b">
        <f>IF(Tab.11[[#This Row],[a1]]=1,$I$3+$A$987+IF($K$3=0,Tab.11[[#This Row],[b9]]*_xlfn.STDEV.P(Tab.11[data]),AVERAGE(Tab.11[b6])+Tab.11[[#This Row],[b9]]*_xlfn.STDEV.P(Tab.11[data])))</f>
        <v>0</v>
      </c>
      <c r="T198" s="71" t="b">
        <f>IF(Tab.11[[#This Row],[a1]]=1,$I$3+$A$988+IF($K$3=0,Tab.11[[#This Row],[b10]]*_xlfn.STDEV.P(Tab.11[data]),AVERAGE(Tab.11[b6])+Tab.11[[#This Row],[b10]]*_xlfn.STDEV.P(Tab.11[data])))</f>
        <v>0</v>
      </c>
      <c r="U198" s="72" t="b">
        <f>IF(Tab.11[[#This Row],[a1]]=1,Tab.11[[#This Row],[target]]-Tab.11[[#This Row],[Red]])</f>
        <v>0</v>
      </c>
      <c r="V198" s="72" t="b">
        <f>IF(Tab.11[[#This Row],[a1]]=1,Tab.11[[#This Row],[target]]-Tab.11[[#This Row],[Blue]])</f>
        <v>0</v>
      </c>
      <c r="W198" s="73" t="b">
        <f>IF(Tab.11[[#This Row],[a1]]=1,IF(ABS(Tab.11[[#This Row],[b17]])+ABS(Tab.11[[#This Row],[b18]])&lt;$W$2,$W$2,ABS(Tab.11[[#This Row],[b17]])+ABS(Tab.11[[#This Row],[b18]])))</f>
        <v>0</v>
      </c>
      <c r="X198" s="136" t="b">
        <f>IF(Tab.11[[#This Row],[a1]]=1,IF($W$3&lt;0,Tab.11[[#This Row],[IN]]-$I$3,Tab.11[[#This Row],[IN]]))</f>
        <v>0</v>
      </c>
      <c r="Y198" s="136" t="b">
        <f>IF(Tab.11[[#This Row],[a1]]=1,IF($X$3=0,Tab.11[b66],Tab.11[[#This Row],[b66]]-AVERAGE(Tab.11[b66])))</f>
        <v>0</v>
      </c>
      <c r="Z198" s="135" t="b">
        <f>IF(Tab.11[[#This Row],[a1]]=1,Tab.11[[#This Row],[b77]]/(_xlfn.STDEV.P(Tab.11[b77])))</f>
        <v>0</v>
      </c>
      <c r="AA198" s="70" t="b">
        <f>IF(Tab.11[[#This Row],[a1]]=1,_xlfn.NORM.DIST(Tab.11[[#This Row],[b88]],$Z$1,$AA$1,FALSE))</f>
        <v>0</v>
      </c>
      <c r="AB198" s="74" t="b">
        <f>IF(Tab.11[[#This Row],[a1]]=1,IF($A$3=0,FALSE,1/Tab.11[[#This Row],[IN]]*$AC$2*IF(Tab.11[[#This Row],[a1]]=0,,$A$3*$AC$1*1/$V$3*(Tab.11[[#This Row],[b14]]))))</f>
        <v>0</v>
      </c>
      <c r="AC198" s="75" t="b">
        <f>IF(Tab.11[[#This Row],[a1]]=1,IF($AC$3=0,Tab.11[[#This Row],[φ1]],Tab.11[[#This Row],[φ1]]/MAX(Tab.11[φ1])))</f>
        <v>0</v>
      </c>
      <c r="AD198" s="74" t="b">
        <f>IF(Tab.11[[#This Row],[a1]]=1,1/Tab.11[[#This Row],[φ2]])</f>
        <v>0</v>
      </c>
      <c r="AE198" s="74" t="b">
        <f>IF(Tab.11[[#This Row],[a1]]=1,IF($AE$3=0,Tab.11[[#This Row],[w.0]],Tab.11[[#This Row],[w.0]]/SUM(Tab.11[w.0])))</f>
        <v>0</v>
      </c>
      <c r="AF198" s="76" t="str">
        <f>IF(Tab.11[[#This Row],[a1]]=0,"false",[3]!Tab.x5[[#This Row],[%_seN_C]])</f>
        <v>false</v>
      </c>
      <c r="AG198" s="77" t="b">
        <f>IF(Tab.11[[#This Row],[a1]]=1,AP198)</f>
        <v>0</v>
      </c>
      <c r="AH198" s="78" t="b">
        <f>IF(Tab.11[[#This Row],[a1]]=1,AQ198)</f>
        <v>0</v>
      </c>
      <c r="AI198" s="41">
        <v>3.0000000000000001E-3</v>
      </c>
      <c r="AJ198" s="79">
        <v>0.03</v>
      </c>
      <c r="AK198" s="80" t="b">
        <f>IF(Tab.11[[#This Row],[a1]]=1,1)</f>
        <v>0</v>
      </c>
      <c r="AZ198"/>
    </row>
    <row r="199" spans="1:52" ht="14.25" hidden="1" customHeight="1" x14ac:dyDescent="0.25">
      <c r="A199" s="61">
        <f t="shared" si="7"/>
        <v>0</v>
      </c>
      <c r="B199" s="62">
        <f t="shared" si="7"/>
        <v>0</v>
      </c>
      <c r="C199" s="62" t="b">
        <f>IF(Tab.11[[#This Row],[a1]]=1,[3]!Tab_x1[[#This Row],[Name]])</f>
        <v>0</v>
      </c>
      <c r="D199" s="63" t="b">
        <f>IF(Tab.11[[#This Row],[a1]]=1,AO199)</f>
        <v>0</v>
      </c>
      <c r="E199" s="63">
        <f t="shared" si="8"/>
        <v>0</v>
      </c>
      <c r="F199" s="64" t="b">
        <f>IF(Tab.11[[#This Row],[a1]]=1,Tab.11[[#This Row],[b1]])</f>
        <v>0</v>
      </c>
      <c r="G199" s="65" t="b">
        <f>IF(Tab.11[[#This Row],[a1]]=1,IF(Tab.11[[#This Row],[b3]]&gt;$L$989*$G$3,$L$989*$G$3,IF(Tab.11[[#This Row],[b3]]&lt;$M$989*$G$3,$M$989*$G$3,Tab.11[[#This Row],[b3]])))</f>
        <v>0</v>
      </c>
      <c r="H199" s="66" t="b">
        <f>IF(Tab.11[[#This Row],[a1]]=1,Tab.11[[#This Row],[b1]])</f>
        <v>0</v>
      </c>
      <c r="I199" s="67" t="b">
        <f>IF(Tab.11[[#This Row],[a1]]=1,Tab.11[[#This Row],[b1]])</f>
        <v>0</v>
      </c>
      <c r="J199" s="68" t="b">
        <f>IF(Tab.11[[#This Row],[a1]]=1,IF($I$3&lt;0,Tab.11[[#This Row],[b5]]-$I$3,Tab.11[[#This Row],[b5]]))</f>
        <v>0</v>
      </c>
      <c r="K199" s="68" t="b">
        <f>IF(Tab.11[[#This Row],[a1]]=1,IF($K$3=0,Tab.11[b6],Tab.11[[#This Row],[b6]]-AVERAGE(Tab.11[b6])))</f>
        <v>0</v>
      </c>
      <c r="L199" s="69" t="b">
        <f>IF(Tab.11[[#This Row],[a1]]=1,Tab.11[[#This Row],[data]]/(_xlfn.STDEV.P(Tab.11[data])*$B$989)+$A$989)</f>
        <v>0</v>
      </c>
      <c r="M199" s="69" t="b">
        <f>IF(Tab.11[[#This Row],[a1]]=1,Tab.11[[#This Row],[data]]/(_xlfn.STDEV.P(Tab.11[data])*$B$987)-$A$987)</f>
        <v>0</v>
      </c>
      <c r="N199" s="69" t="b">
        <f>IF(Tab.11[[#This Row],[a1]]=1,Tab.11[[#This Row],[data]]/(_xlfn.STDEV.P(Tab.11[data])*$B$988)+$A$988)</f>
        <v>0</v>
      </c>
      <c r="O199" s="70" t="b">
        <f>IF(Tab.11[[#This Row],[a1]]=1,_xlfn.NORM.DIST(Tab.11[[#This Row],[b8]],$P$1,$Q$1,FALSE))</f>
        <v>0</v>
      </c>
      <c r="P199" s="70" t="b">
        <f>IF(Tab.11[[#This Row],[a1]]=1,_xlfn.NORM.DIST(Tab.11[[#This Row],[b9]],$P$1,$Q$1,FALSE))</f>
        <v>0</v>
      </c>
      <c r="Q199" s="70" t="b">
        <f>IF(Tab.11[[#This Row],[a1]]=1,_xlfn.NORM.DIST(Tab.11[[#This Row],[b10]],$P$1,$Q$1,FALSE))</f>
        <v>0</v>
      </c>
      <c r="R199" s="67" t="b">
        <f>IF(Tab.11[[#This Row],[a1]]=1,$I$3+$A$989+IF($K$3=0,Tab.11[[#This Row],[b8]]*_xlfn.STDEV.P(Tab.11[data]),AVERAGE(Tab.11[b6])+Tab.11[[#This Row],[b8]]*_xlfn.STDEV.P(Tab.11[data])))</f>
        <v>0</v>
      </c>
      <c r="S199" s="71" t="b">
        <f>IF(Tab.11[[#This Row],[a1]]=1,$I$3+$A$987+IF($K$3=0,Tab.11[[#This Row],[b9]]*_xlfn.STDEV.P(Tab.11[data]),AVERAGE(Tab.11[b6])+Tab.11[[#This Row],[b9]]*_xlfn.STDEV.P(Tab.11[data])))</f>
        <v>0</v>
      </c>
      <c r="T199" s="71" t="b">
        <f>IF(Tab.11[[#This Row],[a1]]=1,$I$3+$A$988+IF($K$3=0,Tab.11[[#This Row],[b10]]*_xlfn.STDEV.P(Tab.11[data]),AVERAGE(Tab.11[b6])+Tab.11[[#This Row],[b10]]*_xlfn.STDEV.P(Tab.11[data])))</f>
        <v>0</v>
      </c>
      <c r="U199" s="72" t="b">
        <f>IF(Tab.11[[#This Row],[a1]]=1,Tab.11[[#This Row],[target]]-Tab.11[[#This Row],[Red]])</f>
        <v>0</v>
      </c>
      <c r="V199" s="72" t="b">
        <f>IF(Tab.11[[#This Row],[a1]]=1,Tab.11[[#This Row],[target]]-Tab.11[[#This Row],[Blue]])</f>
        <v>0</v>
      </c>
      <c r="W199" s="73" t="b">
        <f>IF(Tab.11[[#This Row],[a1]]=1,IF(ABS(Tab.11[[#This Row],[b17]])+ABS(Tab.11[[#This Row],[b18]])&lt;$W$2,$W$2,ABS(Tab.11[[#This Row],[b17]])+ABS(Tab.11[[#This Row],[b18]])))</f>
        <v>0</v>
      </c>
      <c r="X199" s="136" t="b">
        <f>IF(Tab.11[[#This Row],[a1]]=1,IF($W$3&lt;0,Tab.11[[#This Row],[IN]]-$I$3,Tab.11[[#This Row],[IN]]))</f>
        <v>0</v>
      </c>
      <c r="Y199" s="136" t="b">
        <f>IF(Tab.11[[#This Row],[a1]]=1,IF($X$3=0,Tab.11[b66],Tab.11[[#This Row],[b66]]-AVERAGE(Tab.11[b66])))</f>
        <v>0</v>
      </c>
      <c r="Z199" s="135" t="b">
        <f>IF(Tab.11[[#This Row],[a1]]=1,Tab.11[[#This Row],[b77]]/(_xlfn.STDEV.P(Tab.11[b77])))</f>
        <v>0</v>
      </c>
      <c r="AA199" s="70" t="b">
        <f>IF(Tab.11[[#This Row],[a1]]=1,_xlfn.NORM.DIST(Tab.11[[#This Row],[b88]],$Z$1,$AA$1,FALSE))</f>
        <v>0</v>
      </c>
      <c r="AB199" s="74" t="b">
        <f>IF(Tab.11[[#This Row],[a1]]=1,IF($A$3=0,FALSE,1/Tab.11[[#This Row],[IN]]*$AC$2*IF(Tab.11[[#This Row],[a1]]=0,,$A$3*$AC$1*1/$V$3*(Tab.11[[#This Row],[b14]]))))</f>
        <v>0</v>
      </c>
      <c r="AC199" s="75" t="b">
        <f>IF(Tab.11[[#This Row],[a1]]=1,IF($AC$3=0,Tab.11[[#This Row],[φ1]],Tab.11[[#This Row],[φ1]]/MAX(Tab.11[φ1])))</f>
        <v>0</v>
      </c>
      <c r="AD199" s="74" t="b">
        <f>IF(Tab.11[[#This Row],[a1]]=1,1/Tab.11[[#This Row],[φ2]])</f>
        <v>0</v>
      </c>
      <c r="AE199" s="74" t="b">
        <f>IF(Tab.11[[#This Row],[a1]]=1,IF($AE$3=0,Tab.11[[#This Row],[w.0]],Tab.11[[#This Row],[w.0]]/SUM(Tab.11[w.0])))</f>
        <v>0</v>
      </c>
      <c r="AF199" s="76" t="str">
        <f>IF(Tab.11[[#This Row],[a1]]=0,"false",[3]!Tab.x5[[#This Row],[%_seN_C]])</f>
        <v>false</v>
      </c>
      <c r="AG199" s="77" t="b">
        <f>IF(Tab.11[[#This Row],[a1]]=1,AP199)</f>
        <v>0</v>
      </c>
      <c r="AH199" s="78" t="b">
        <f>IF(Tab.11[[#This Row],[a1]]=1,AQ199)</f>
        <v>0</v>
      </c>
      <c r="AI199" s="41">
        <v>3.0000000000000001E-3</v>
      </c>
      <c r="AJ199" s="79">
        <v>0.03</v>
      </c>
      <c r="AK199" s="80" t="b">
        <f>IF(Tab.11[[#This Row],[a1]]=1,1)</f>
        <v>0</v>
      </c>
      <c r="AZ199"/>
    </row>
    <row r="200" spans="1:52" ht="14.25" hidden="1" customHeight="1" x14ac:dyDescent="0.25">
      <c r="A200" s="61">
        <f t="shared" si="7"/>
        <v>0</v>
      </c>
      <c r="B200" s="62">
        <f t="shared" si="7"/>
        <v>0</v>
      </c>
      <c r="C200" s="62" t="b">
        <f>IF(Tab.11[[#This Row],[a1]]=1,[3]!Tab_x1[[#This Row],[Name]])</f>
        <v>0</v>
      </c>
      <c r="D200" s="63" t="b">
        <f>IF(Tab.11[[#This Row],[a1]]=1,AO200)</f>
        <v>0</v>
      </c>
      <c r="E200" s="63">
        <f t="shared" si="8"/>
        <v>0</v>
      </c>
      <c r="F200" s="64" t="b">
        <f>IF(Tab.11[[#This Row],[a1]]=1,Tab.11[[#This Row],[b1]])</f>
        <v>0</v>
      </c>
      <c r="G200" s="65" t="b">
        <f>IF(Tab.11[[#This Row],[a1]]=1,IF(Tab.11[[#This Row],[b3]]&gt;$L$989*$G$3,$L$989*$G$3,IF(Tab.11[[#This Row],[b3]]&lt;$M$989*$G$3,$M$989*$G$3,Tab.11[[#This Row],[b3]])))</f>
        <v>0</v>
      </c>
      <c r="H200" s="66" t="b">
        <f>IF(Tab.11[[#This Row],[a1]]=1,Tab.11[[#This Row],[b1]])</f>
        <v>0</v>
      </c>
      <c r="I200" s="67" t="b">
        <f>IF(Tab.11[[#This Row],[a1]]=1,Tab.11[[#This Row],[b1]])</f>
        <v>0</v>
      </c>
      <c r="J200" s="68" t="b">
        <f>IF(Tab.11[[#This Row],[a1]]=1,IF($I$3&lt;0,Tab.11[[#This Row],[b5]]-$I$3,Tab.11[[#This Row],[b5]]))</f>
        <v>0</v>
      </c>
      <c r="K200" s="68" t="b">
        <f>IF(Tab.11[[#This Row],[a1]]=1,IF($K$3=0,Tab.11[b6],Tab.11[[#This Row],[b6]]-AVERAGE(Tab.11[b6])))</f>
        <v>0</v>
      </c>
      <c r="L200" s="69" t="b">
        <f>IF(Tab.11[[#This Row],[a1]]=1,Tab.11[[#This Row],[data]]/(_xlfn.STDEV.P(Tab.11[data])*$B$989)+$A$989)</f>
        <v>0</v>
      </c>
      <c r="M200" s="69" t="b">
        <f>IF(Tab.11[[#This Row],[a1]]=1,Tab.11[[#This Row],[data]]/(_xlfn.STDEV.P(Tab.11[data])*$B$987)-$A$987)</f>
        <v>0</v>
      </c>
      <c r="N200" s="69" t="b">
        <f>IF(Tab.11[[#This Row],[a1]]=1,Tab.11[[#This Row],[data]]/(_xlfn.STDEV.P(Tab.11[data])*$B$988)+$A$988)</f>
        <v>0</v>
      </c>
      <c r="O200" s="70" t="b">
        <f>IF(Tab.11[[#This Row],[a1]]=1,_xlfn.NORM.DIST(Tab.11[[#This Row],[b8]],$P$1,$Q$1,FALSE))</f>
        <v>0</v>
      </c>
      <c r="P200" s="70" t="b">
        <f>IF(Tab.11[[#This Row],[a1]]=1,_xlfn.NORM.DIST(Tab.11[[#This Row],[b9]],$P$1,$Q$1,FALSE))</f>
        <v>0</v>
      </c>
      <c r="Q200" s="70" t="b">
        <f>IF(Tab.11[[#This Row],[a1]]=1,_xlfn.NORM.DIST(Tab.11[[#This Row],[b10]],$P$1,$Q$1,FALSE))</f>
        <v>0</v>
      </c>
      <c r="R200" s="67" t="b">
        <f>IF(Tab.11[[#This Row],[a1]]=1,$I$3+$A$989+IF($K$3=0,Tab.11[[#This Row],[b8]]*_xlfn.STDEV.P(Tab.11[data]),AVERAGE(Tab.11[b6])+Tab.11[[#This Row],[b8]]*_xlfn.STDEV.P(Tab.11[data])))</f>
        <v>0</v>
      </c>
      <c r="S200" s="71" t="b">
        <f>IF(Tab.11[[#This Row],[a1]]=1,$I$3+$A$987+IF($K$3=0,Tab.11[[#This Row],[b9]]*_xlfn.STDEV.P(Tab.11[data]),AVERAGE(Tab.11[b6])+Tab.11[[#This Row],[b9]]*_xlfn.STDEV.P(Tab.11[data])))</f>
        <v>0</v>
      </c>
      <c r="T200" s="71" t="b">
        <f>IF(Tab.11[[#This Row],[a1]]=1,$I$3+$A$988+IF($K$3=0,Tab.11[[#This Row],[b10]]*_xlfn.STDEV.P(Tab.11[data]),AVERAGE(Tab.11[b6])+Tab.11[[#This Row],[b10]]*_xlfn.STDEV.P(Tab.11[data])))</f>
        <v>0</v>
      </c>
      <c r="U200" s="72" t="b">
        <f>IF(Tab.11[[#This Row],[a1]]=1,Tab.11[[#This Row],[target]]-Tab.11[[#This Row],[Red]])</f>
        <v>0</v>
      </c>
      <c r="V200" s="72" t="b">
        <f>IF(Tab.11[[#This Row],[a1]]=1,Tab.11[[#This Row],[target]]-Tab.11[[#This Row],[Blue]])</f>
        <v>0</v>
      </c>
      <c r="W200" s="73" t="b">
        <f>IF(Tab.11[[#This Row],[a1]]=1,IF(ABS(Tab.11[[#This Row],[b17]])+ABS(Tab.11[[#This Row],[b18]])&lt;$W$2,$W$2,ABS(Tab.11[[#This Row],[b17]])+ABS(Tab.11[[#This Row],[b18]])))</f>
        <v>0</v>
      </c>
      <c r="X200" s="136" t="b">
        <f>IF(Tab.11[[#This Row],[a1]]=1,IF($W$3&lt;0,Tab.11[[#This Row],[IN]]-$I$3,Tab.11[[#This Row],[IN]]))</f>
        <v>0</v>
      </c>
      <c r="Y200" s="136" t="b">
        <f>IF(Tab.11[[#This Row],[a1]]=1,IF($X$3=0,Tab.11[b66],Tab.11[[#This Row],[b66]]-AVERAGE(Tab.11[b66])))</f>
        <v>0</v>
      </c>
      <c r="Z200" s="135" t="b">
        <f>IF(Tab.11[[#This Row],[a1]]=1,Tab.11[[#This Row],[b77]]/(_xlfn.STDEV.P(Tab.11[b77])))</f>
        <v>0</v>
      </c>
      <c r="AA200" s="70" t="b">
        <f>IF(Tab.11[[#This Row],[a1]]=1,_xlfn.NORM.DIST(Tab.11[[#This Row],[b88]],$Z$1,$AA$1,FALSE))</f>
        <v>0</v>
      </c>
      <c r="AB200" s="74" t="b">
        <f>IF(Tab.11[[#This Row],[a1]]=1,IF($A$3=0,FALSE,1/Tab.11[[#This Row],[IN]]*$AC$2*IF(Tab.11[[#This Row],[a1]]=0,,$A$3*$AC$1*1/$V$3*(Tab.11[[#This Row],[b14]]))))</f>
        <v>0</v>
      </c>
      <c r="AC200" s="75" t="b">
        <f>IF(Tab.11[[#This Row],[a1]]=1,IF($AC$3=0,Tab.11[[#This Row],[φ1]],Tab.11[[#This Row],[φ1]]/MAX(Tab.11[φ1])))</f>
        <v>0</v>
      </c>
      <c r="AD200" s="74" t="b">
        <f>IF(Tab.11[[#This Row],[a1]]=1,1/Tab.11[[#This Row],[φ2]])</f>
        <v>0</v>
      </c>
      <c r="AE200" s="74" t="b">
        <f>IF(Tab.11[[#This Row],[a1]]=1,IF($AE$3=0,Tab.11[[#This Row],[w.0]],Tab.11[[#This Row],[w.0]]/SUM(Tab.11[w.0])))</f>
        <v>0</v>
      </c>
      <c r="AF200" s="76" t="str">
        <f>IF(Tab.11[[#This Row],[a1]]=0,"false",[3]!Tab.x5[[#This Row],[%_seN_C]])</f>
        <v>false</v>
      </c>
      <c r="AG200" s="77" t="b">
        <f>IF(Tab.11[[#This Row],[a1]]=1,AP200)</f>
        <v>0</v>
      </c>
      <c r="AH200" s="78" t="b">
        <f>IF(Tab.11[[#This Row],[a1]]=1,AQ200)</f>
        <v>0</v>
      </c>
      <c r="AI200" s="41">
        <v>3.0000000000000001E-3</v>
      </c>
      <c r="AJ200" s="79">
        <v>-0.01</v>
      </c>
      <c r="AK200" s="80" t="b">
        <f>IF(Tab.11[[#This Row],[a1]]=1,1)</f>
        <v>0</v>
      </c>
      <c r="AZ200"/>
    </row>
    <row r="201" spans="1:52" ht="14.25" hidden="1" customHeight="1" x14ac:dyDescent="0.25">
      <c r="A201" s="61">
        <f t="shared" si="7"/>
        <v>0</v>
      </c>
      <c r="B201" s="62">
        <f t="shared" si="7"/>
        <v>0</v>
      </c>
      <c r="C201" s="62" t="b">
        <f>IF(Tab.11[[#This Row],[a1]]=1,[3]!Tab_x1[[#This Row],[Name]])</f>
        <v>0</v>
      </c>
      <c r="D201" s="63" t="b">
        <f>IF(Tab.11[[#This Row],[a1]]=1,AO201)</f>
        <v>0</v>
      </c>
      <c r="E201" s="63">
        <f t="shared" si="8"/>
        <v>0</v>
      </c>
      <c r="F201" s="64" t="b">
        <f>IF(Tab.11[[#This Row],[a1]]=1,Tab.11[[#This Row],[b1]])</f>
        <v>0</v>
      </c>
      <c r="G201" s="65" t="b">
        <f>IF(Tab.11[[#This Row],[a1]]=1,IF(Tab.11[[#This Row],[b3]]&gt;$L$989*$G$3,$L$989*$G$3,IF(Tab.11[[#This Row],[b3]]&lt;$M$989*$G$3,$M$989*$G$3,Tab.11[[#This Row],[b3]])))</f>
        <v>0</v>
      </c>
      <c r="H201" s="66" t="b">
        <f>IF(Tab.11[[#This Row],[a1]]=1,Tab.11[[#This Row],[b1]])</f>
        <v>0</v>
      </c>
      <c r="I201" s="67" t="b">
        <f>IF(Tab.11[[#This Row],[a1]]=1,Tab.11[[#This Row],[b1]])</f>
        <v>0</v>
      </c>
      <c r="J201" s="68" t="b">
        <f>IF(Tab.11[[#This Row],[a1]]=1,IF($I$3&lt;0,Tab.11[[#This Row],[b5]]-$I$3,Tab.11[[#This Row],[b5]]))</f>
        <v>0</v>
      </c>
      <c r="K201" s="68" t="b">
        <f>IF(Tab.11[[#This Row],[a1]]=1,IF($K$3=0,Tab.11[b6],Tab.11[[#This Row],[b6]]-AVERAGE(Tab.11[b6])))</f>
        <v>0</v>
      </c>
      <c r="L201" s="69" t="b">
        <f>IF(Tab.11[[#This Row],[a1]]=1,Tab.11[[#This Row],[data]]/(_xlfn.STDEV.P(Tab.11[data])*$B$989)+$A$989)</f>
        <v>0</v>
      </c>
      <c r="M201" s="69" t="b">
        <f>IF(Tab.11[[#This Row],[a1]]=1,Tab.11[[#This Row],[data]]/(_xlfn.STDEV.P(Tab.11[data])*$B$987)-$A$987)</f>
        <v>0</v>
      </c>
      <c r="N201" s="69" t="b">
        <f>IF(Tab.11[[#This Row],[a1]]=1,Tab.11[[#This Row],[data]]/(_xlfn.STDEV.P(Tab.11[data])*$B$988)+$A$988)</f>
        <v>0</v>
      </c>
      <c r="O201" s="70" t="b">
        <f>IF(Tab.11[[#This Row],[a1]]=1,_xlfn.NORM.DIST(Tab.11[[#This Row],[b8]],$P$1,$Q$1,FALSE))</f>
        <v>0</v>
      </c>
      <c r="P201" s="70" t="b">
        <f>IF(Tab.11[[#This Row],[a1]]=1,_xlfn.NORM.DIST(Tab.11[[#This Row],[b9]],$P$1,$Q$1,FALSE))</f>
        <v>0</v>
      </c>
      <c r="Q201" s="70" t="b">
        <f>IF(Tab.11[[#This Row],[a1]]=1,_xlfn.NORM.DIST(Tab.11[[#This Row],[b10]],$P$1,$Q$1,FALSE))</f>
        <v>0</v>
      </c>
      <c r="R201" s="67" t="b">
        <f>IF(Tab.11[[#This Row],[a1]]=1,$I$3+$A$989+IF($K$3=0,Tab.11[[#This Row],[b8]]*_xlfn.STDEV.P(Tab.11[data]),AVERAGE(Tab.11[b6])+Tab.11[[#This Row],[b8]]*_xlfn.STDEV.P(Tab.11[data])))</f>
        <v>0</v>
      </c>
      <c r="S201" s="71" t="b">
        <f>IF(Tab.11[[#This Row],[a1]]=1,$I$3+$A$987+IF($K$3=0,Tab.11[[#This Row],[b9]]*_xlfn.STDEV.P(Tab.11[data]),AVERAGE(Tab.11[b6])+Tab.11[[#This Row],[b9]]*_xlfn.STDEV.P(Tab.11[data])))</f>
        <v>0</v>
      </c>
      <c r="T201" s="71" t="b">
        <f>IF(Tab.11[[#This Row],[a1]]=1,$I$3+$A$988+IF($K$3=0,Tab.11[[#This Row],[b10]]*_xlfn.STDEV.P(Tab.11[data]),AVERAGE(Tab.11[b6])+Tab.11[[#This Row],[b10]]*_xlfn.STDEV.P(Tab.11[data])))</f>
        <v>0</v>
      </c>
      <c r="U201" s="72" t="b">
        <f>IF(Tab.11[[#This Row],[a1]]=1,Tab.11[[#This Row],[target]]-Tab.11[[#This Row],[Red]])</f>
        <v>0</v>
      </c>
      <c r="V201" s="72" t="b">
        <f>IF(Tab.11[[#This Row],[a1]]=1,Tab.11[[#This Row],[target]]-Tab.11[[#This Row],[Blue]])</f>
        <v>0</v>
      </c>
      <c r="W201" s="73" t="b">
        <f>IF(Tab.11[[#This Row],[a1]]=1,IF(ABS(Tab.11[[#This Row],[b17]])+ABS(Tab.11[[#This Row],[b18]])&lt;$W$2,$W$2,ABS(Tab.11[[#This Row],[b17]])+ABS(Tab.11[[#This Row],[b18]])))</f>
        <v>0</v>
      </c>
      <c r="X201" s="136" t="b">
        <f>IF(Tab.11[[#This Row],[a1]]=1,IF($W$3&lt;0,Tab.11[[#This Row],[IN]]-$I$3,Tab.11[[#This Row],[IN]]))</f>
        <v>0</v>
      </c>
      <c r="Y201" s="136" t="b">
        <f>IF(Tab.11[[#This Row],[a1]]=1,IF($X$3=0,Tab.11[b66],Tab.11[[#This Row],[b66]]-AVERAGE(Tab.11[b66])))</f>
        <v>0</v>
      </c>
      <c r="Z201" s="135" t="b">
        <f>IF(Tab.11[[#This Row],[a1]]=1,Tab.11[[#This Row],[b77]]/(_xlfn.STDEV.P(Tab.11[b77])))</f>
        <v>0</v>
      </c>
      <c r="AA201" s="70" t="b">
        <f>IF(Tab.11[[#This Row],[a1]]=1,_xlfn.NORM.DIST(Tab.11[[#This Row],[b88]],$Z$1,$AA$1,FALSE))</f>
        <v>0</v>
      </c>
      <c r="AB201" s="74" t="b">
        <f>IF(Tab.11[[#This Row],[a1]]=1,IF($A$3=0,FALSE,1/Tab.11[[#This Row],[IN]]*$AC$2*IF(Tab.11[[#This Row],[a1]]=0,,$A$3*$AC$1*1/$V$3*(Tab.11[[#This Row],[b14]]))))</f>
        <v>0</v>
      </c>
      <c r="AC201" s="75" t="b">
        <f>IF(Tab.11[[#This Row],[a1]]=1,IF($AC$3=0,Tab.11[[#This Row],[φ1]],Tab.11[[#This Row],[φ1]]/MAX(Tab.11[φ1])))</f>
        <v>0</v>
      </c>
      <c r="AD201" s="74" t="b">
        <f>IF(Tab.11[[#This Row],[a1]]=1,1/Tab.11[[#This Row],[φ2]])</f>
        <v>0</v>
      </c>
      <c r="AE201" s="74" t="b">
        <f>IF(Tab.11[[#This Row],[a1]]=1,IF($AE$3=0,Tab.11[[#This Row],[w.0]],Tab.11[[#This Row],[w.0]]/SUM(Tab.11[w.0])))</f>
        <v>0</v>
      </c>
      <c r="AF201" s="76" t="str">
        <f>IF(Tab.11[[#This Row],[a1]]=0,"false",[3]!Tab.x5[[#This Row],[%_seN_C]])</f>
        <v>false</v>
      </c>
      <c r="AG201" s="77" t="b">
        <f>IF(Tab.11[[#This Row],[a1]]=1,AP201)</f>
        <v>0</v>
      </c>
      <c r="AH201" s="78" t="b">
        <f>IF(Tab.11[[#This Row],[a1]]=1,AQ201)</f>
        <v>0</v>
      </c>
      <c r="AI201" s="41">
        <v>3.0000000000000001E-3</v>
      </c>
      <c r="AJ201" s="79">
        <v>-0.09</v>
      </c>
      <c r="AK201" s="80" t="b">
        <f>IF(Tab.11[[#This Row],[a1]]=1,1)</f>
        <v>0</v>
      </c>
      <c r="AZ201"/>
    </row>
    <row r="202" spans="1:52" ht="14.25" hidden="1" customHeight="1" x14ac:dyDescent="0.25">
      <c r="A202" s="61">
        <f t="shared" si="7"/>
        <v>0</v>
      </c>
      <c r="B202" s="62">
        <f t="shared" si="7"/>
        <v>0</v>
      </c>
      <c r="C202" s="62" t="b">
        <f>IF(Tab.11[[#This Row],[a1]]=1,[3]!Tab_x1[[#This Row],[Name]])</f>
        <v>0</v>
      </c>
      <c r="D202" s="63" t="b">
        <f>IF(Tab.11[[#This Row],[a1]]=1,AO202)</f>
        <v>0</v>
      </c>
      <c r="E202" s="63">
        <f t="shared" si="8"/>
        <v>0</v>
      </c>
      <c r="F202" s="64" t="b">
        <f>IF(Tab.11[[#This Row],[a1]]=1,Tab.11[[#This Row],[b1]])</f>
        <v>0</v>
      </c>
      <c r="G202" s="65" t="b">
        <f>IF(Tab.11[[#This Row],[a1]]=1,IF(Tab.11[[#This Row],[b3]]&gt;$L$989*$G$3,$L$989*$G$3,IF(Tab.11[[#This Row],[b3]]&lt;$M$989*$G$3,$M$989*$G$3,Tab.11[[#This Row],[b3]])))</f>
        <v>0</v>
      </c>
      <c r="H202" s="66" t="b">
        <f>IF(Tab.11[[#This Row],[a1]]=1,Tab.11[[#This Row],[b1]])</f>
        <v>0</v>
      </c>
      <c r="I202" s="67" t="b">
        <f>IF(Tab.11[[#This Row],[a1]]=1,Tab.11[[#This Row],[b1]])</f>
        <v>0</v>
      </c>
      <c r="J202" s="68" t="b">
        <f>IF(Tab.11[[#This Row],[a1]]=1,IF($I$3&lt;0,Tab.11[[#This Row],[b5]]-$I$3,Tab.11[[#This Row],[b5]]))</f>
        <v>0</v>
      </c>
      <c r="K202" s="68" t="b">
        <f>IF(Tab.11[[#This Row],[a1]]=1,IF($K$3=0,Tab.11[b6],Tab.11[[#This Row],[b6]]-AVERAGE(Tab.11[b6])))</f>
        <v>0</v>
      </c>
      <c r="L202" s="69" t="b">
        <f>IF(Tab.11[[#This Row],[a1]]=1,Tab.11[[#This Row],[data]]/(_xlfn.STDEV.P(Tab.11[data])*$B$989)+$A$989)</f>
        <v>0</v>
      </c>
      <c r="M202" s="69" t="b">
        <f>IF(Tab.11[[#This Row],[a1]]=1,Tab.11[[#This Row],[data]]/(_xlfn.STDEV.P(Tab.11[data])*$B$987)-$A$987)</f>
        <v>0</v>
      </c>
      <c r="N202" s="69" t="b">
        <f>IF(Tab.11[[#This Row],[a1]]=1,Tab.11[[#This Row],[data]]/(_xlfn.STDEV.P(Tab.11[data])*$B$988)+$A$988)</f>
        <v>0</v>
      </c>
      <c r="O202" s="70" t="b">
        <f>IF(Tab.11[[#This Row],[a1]]=1,_xlfn.NORM.DIST(Tab.11[[#This Row],[b8]],$P$1,$Q$1,FALSE))</f>
        <v>0</v>
      </c>
      <c r="P202" s="70" t="b">
        <f>IF(Tab.11[[#This Row],[a1]]=1,_xlfn.NORM.DIST(Tab.11[[#This Row],[b9]],$P$1,$Q$1,FALSE))</f>
        <v>0</v>
      </c>
      <c r="Q202" s="70" t="b">
        <f>IF(Tab.11[[#This Row],[a1]]=1,_xlfn.NORM.DIST(Tab.11[[#This Row],[b10]],$P$1,$Q$1,FALSE))</f>
        <v>0</v>
      </c>
      <c r="R202" s="67" t="b">
        <f>IF(Tab.11[[#This Row],[a1]]=1,$I$3+$A$989+IF($K$3=0,Tab.11[[#This Row],[b8]]*_xlfn.STDEV.P(Tab.11[data]),AVERAGE(Tab.11[b6])+Tab.11[[#This Row],[b8]]*_xlfn.STDEV.P(Tab.11[data])))</f>
        <v>0</v>
      </c>
      <c r="S202" s="71" t="b">
        <f>IF(Tab.11[[#This Row],[a1]]=1,$I$3+$A$987+IF($K$3=0,Tab.11[[#This Row],[b9]]*_xlfn.STDEV.P(Tab.11[data]),AVERAGE(Tab.11[b6])+Tab.11[[#This Row],[b9]]*_xlfn.STDEV.P(Tab.11[data])))</f>
        <v>0</v>
      </c>
      <c r="T202" s="71" t="b">
        <f>IF(Tab.11[[#This Row],[a1]]=1,$I$3+$A$988+IF($K$3=0,Tab.11[[#This Row],[b10]]*_xlfn.STDEV.P(Tab.11[data]),AVERAGE(Tab.11[b6])+Tab.11[[#This Row],[b10]]*_xlfn.STDEV.P(Tab.11[data])))</f>
        <v>0</v>
      </c>
      <c r="U202" s="72" t="b">
        <f>IF(Tab.11[[#This Row],[a1]]=1,Tab.11[[#This Row],[target]]-Tab.11[[#This Row],[Red]])</f>
        <v>0</v>
      </c>
      <c r="V202" s="72" t="b">
        <f>IF(Tab.11[[#This Row],[a1]]=1,Tab.11[[#This Row],[target]]-Tab.11[[#This Row],[Blue]])</f>
        <v>0</v>
      </c>
      <c r="W202" s="73" t="b">
        <f>IF(Tab.11[[#This Row],[a1]]=1,IF(ABS(Tab.11[[#This Row],[b17]])+ABS(Tab.11[[#This Row],[b18]])&lt;$W$2,$W$2,ABS(Tab.11[[#This Row],[b17]])+ABS(Tab.11[[#This Row],[b18]])))</f>
        <v>0</v>
      </c>
      <c r="X202" s="136" t="b">
        <f>IF(Tab.11[[#This Row],[a1]]=1,IF($W$3&lt;0,Tab.11[[#This Row],[IN]]-$I$3,Tab.11[[#This Row],[IN]]))</f>
        <v>0</v>
      </c>
      <c r="Y202" s="136" t="b">
        <f>IF(Tab.11[[#This Row],[a1]]=1,IF($X$3=0,Tab.11[b66],Tab.11[[#This Row],[b66]]-AVERAGE(Tab.11[b66])))</f>
        <v>0</v>
      </c>
      <c r="Z202" s="135" t="b">
        <f>IF(Tab.11[[#This Row],[a1]]=1,Tab.11[[#This Row],[b77]]/(_xlfn.STDEV.P(Tab.11[b77])))</f>
        <v>0</v>
      </c>
      <c r="AA202" s="70" t="b">
        <f>IF(Tab.11[[#This Row],[a1]]=1,_xlfn.NORM.DIST(Tab.11[[#This Row],[b88]],$Z$1,$AA$1,FALSE))</f>
        <v>0</v>
      </c>
      <c r="AB202" s="74" t="b">
        <f>IF(Tab.11[[#This Row],[a1]]=1,IF($A$3=0,FALSE,1/Tab.11[[#This Row],[IN]]*$AC$2*IF(Tab.11[[#This Row],[a1]]=0,,$A$3*$AC$1*1/$V$3*(Tab.11[[#This Row],[b14]]))))</f>
        <v>0</v>
      </c>
      <c r="AC202" s="75" t="b">
        <f>IF(Tab.11[[#This Row],[a1]]=1,IF($AC$3=0,Tab.11[[#This Row],[φ1]],Tab.11[[#This Row],[φ1]]/MAX(Tab.11[φ1])))</f>
        <v>0</v>
      </c>
      <c r="AD202" s="74" t="b">
        <f>IF(Tab.11[[#This Row],[a1]]=1,1/Tab.11[[#This Row],[φ2]])</f>
        <v>0</v>
      </c>
      <c r="AE202" s="74" t="b">
        <f>IF(Tab.11[[#This Row],[a1]]=1,IF($AE$3=0,Tab.11[[#This Row],[w.0]],Tab.11[[#This Row],[w.0]]/SUM(Tab.11[w.0])))</f>
        <v>0</v>
      </c>
      <c r="AF202" s="76" t="str">
        <f>IF(Tab.11[[#This Row],[a1]]=0,"false",[3]!Tab.x5[[#This Row],[%_seN_C]])</f>
        <v>false</v>
      </c>
      <c r="AG202" s="77" t="b">
        <f>IF(Tab.11[[#This Row],[a1]]=1,AP202)</f>
        <v>0</v>
      </c>
      <c r="AH202" s="78" t="b">
        <f>IF(Tab.11[[#This Row],[a1]]=1,AQ202)</f>
        <v>0</v>
      </c>
      <c r="AI202" s="41">
        <v>3.0000000000000001E-3</v>
      </c>
      <c r="AJ202" s="79">
        <v>-0.05</v>
      </c>
      <c r="AK202" s="80" t="b">
        <f>IF(Tab.11[[#This Row],[a1]]=1,1)</f>
        <v>0</v>
      </c>
      <c r="AZ202"/>
    </row>
    <row r="203" spans="1:52" ht="14.25" hidden="1" customHeight="1" x14ac:dyDescent="0.25">
      <c r="A203" s="61">
        <f t="shared" si="7"/>
        <v>0</v>
      </c>
      <c r="B203" s="62">
        <f t="shared" si="7"/>
        <v>0</v>
      </c>
      <c r="C203" s="62" t="b">
        <f>IF(Tab.11[[#This Row],[a1]]=1,[3]!Tab_x1[[#This Row],[Name]])</f>
        <v>0</v>
      </c>
      <c r="D203" s="63" t="b">
        <f>IF(Tab.11[[#This Row],[a1]]=1,AO203)</f>
        <v>0</v>
      </c>
      <c r="E203" s="63">
        <f t="shared" si="8"/>
        <v>0</v>
      </c>
      <c r="F203" s="64" t="b">
        <f>IF(Tab.11[[#This Row],[a1]]=1,Tab.11[[#This Row],[b1]])</f>
        <v>0</v>
      </c>
      <c r="G203" s="65" t="b">
        <f>IF(Tab.11[[#This Row],[a1]]=1,IF(Tab.11[[#This Row],[b3]]&gt;$L$989*$G$3,$L$989*$G$3,IF(Tab.11[[#This Row],[b3]]&lt;$M$989*$G$3,$M$989*$G$3,Tab.11[[#This Row],[b3]])))</f>
        <v>0</v>
      </c>
      <c r="H203" s="66" t="b">
        <f>IF(Tab.11[[#This Row],[a1]]=1,Tab.11[[#This Row],[b1]])</f>
        <v>0</v>
      </c>
      <c r="I203" s="67" t="b">
        <f>IF(Tab.11[[#This Row],[a1]]=1,Tab.11[[#This Row],[b1]])</f>
        <v>0</v>
      </c>
      <c r="J203" s="68" t="b">
        <f>IF(Tab.11[[#This Row],[a1]]=1,IF($I$3&lt;0,Tab.11[[#This Row],[b5]]-$I$3,Tab.11[[#This Row],[b5]]))</f>
        <v>0</v>
      </c>
      <c r="K203" s="68" t="b">
        <f>IF(Tab.11[[#This Row],[a1]]=1,IF($K$3=0,Tab.11[b6],Tab.11[[#This Row],[b6]]-AVERAGE(Tab.11[b6])))</f>
        <v>0</v>
      </c>
      <c r="L203" s="69" t="b">
        <f>IF(Tab.11[[#This Row],[a1]]=1,Tab.11[[#This Row],[data]]/(_xlfn.STDEV.P(Tab.11[data])*$B$989)+$A$989)</f>
        <v>0</v>
      </c>
      <c r="M203" s="69" t="b">
        <f>IF(Tab.11[[#This Row],[a1]]=1,Tab.11[[#This Row],[data]]/(_xlfn.STDEV.P(Tab.11[data])*$B$987)-$A$987)</f>
        <v>0</v>
      </c>
      <c r="N203" s="69" t="b">
        <f>IF(Tab.11[[#This Row],[a1]]=1,Tab.11[[#This Row],[data]]/(_xlfn.STDEV.P(Tab.11[data])*$B$988)+$A$988)</f>
        <v>0</v>
      </c>
      <c r="O203" s="70" t="b">
        <f>IF(Tab.11[[#This Row],[a1]]=1,_xlfn.NORM.DIST(Tab.11[[#This Row],[b8]],$P$1,$Q$1,FALSE))</f>
        <v>0</v>
      </c>
      <c r="P203" s="70" t="b">
        <f>IF(Tab.11[[#This Row],[a1]]=1,_xlfn.NORM.DIST(Tab.11[[#This Row],[b9]],$P$1,$Q$1,FALSE))</f>
        <v>0</v>
      </c>
      <c r="Q203" s="70" t="b">
        <f>IF(Tab.11[[#This Row],[a1]]=1,_xlfn.NORM.DIST(Tab.11[[#This Row],[b10]],$P$1,$Q$1,FALSE))</f>
        <v>0</v>
      </c>
      <c r="R203" s="67" t="b">
        <f>IF(Tab.11[[#This Row],[a1]]=1,$I$3+$A$989+IF($K$3=0,Tab.11[[#This Row],[b8]]*_xlfn.STDEV.P(Tab.11[data]),AVERAGE(Tab.11[b6])+Tab.11[[#This Row],[b8]]*_xlfn.STDEV.P(Tab.11[data])))</f>
        <v>0</v>
      </c>
      <c r="S203" s="71" t="b">
        <f>IF(Tab.11[[#This Row],[a1]]=1,$I$3+$A$987+IF($K$3=0,Tab.11[[#This Row],[b9]]*_xlfn.STDEV.P(Tab.11[data]),AVERAGE(Tab.11[b6])+Tab.11[[#This Row],[b9]]*_xlfn.STDEV.P(Tab.11[data])))</f>
        <v>0</v>
      </c>
      <c r="T203" s="71" t="b">
        <f>IF(Tab.11[[#This Row],[a1]]=1,$I$3+$A$988+IF($K$3=0,Tab.11[[#This Row],[b10]]*_xlfn.STDEV.P(Tab.11[data]),AVERAGE(Tab.11[b6])+Tab.11[[#This Row],[b10]]*_xlfn.STDEV.P(Tab.11[data])))</f>
        <v>0</v>
      </c>
      <c r="U203" s="72" t="b">
        <f>IF(Tab.11[[#This Row],[a1]]=1,Tab.11[[#This Row],[target]]-Tab.11[[#This Row],[Red]])</f>
        <v>0</v>
      </c>
      <c r="V203" s="72" t="b">
        <f>IF(Tab.11[[#This Row],[a1]]=1,Tab.11[[#This Row],[target]]-Tab.11[[#This Row],[Blue]])</f>
        <v>0</v>
      </c>
      <c r="W203" s="73" t="b">
        <f>IF(Tab.11[[#This Row],[a1]]=1,IF(ABS(Tab.11[[#This Row],[b17]])+ABS(Tab.11[[#This Row],[b18]])&lt;$W$2,$W$2,ABS(Tab.11[[#This Row],[b17]])+ABS(Tab.11[[#This Row],[b18]])))</f>
        <v>0</v>
      </c>
      <c r="X203" s="136" t="b">
        <f>IF(Tab.11[[#This Row],[a1]]=1,IF($W$3&lt;0,Tab.11[[#This Row],[IN]]-$I$3,Tab.11[[#This Row],[IN]]))</f>
        <v>0</v>
      </c>
      <c r="Y203" s="136" t="b">
        <f>IF(Tab.11[[#This Row],[a1]]=1,IF($X$3=0,Tab.11[b66],Tab.11[[#This Row],[b66]]-AVERAGE(Tab.11[b66])))</f>
        <v>0</v>
      </c>
      <c r="Z203" s="135" t="b">
        <f>IF(Tab.11[[#This Row],[a1]]=1,Tab.11[[#This Row],[b77]]/(_xlfn.STDEV.P(Tab.11[b77])))</f>
        <v>0</v>
      </c>
      <c r="AA203" s="70" t="b">
        <f>IF(Tab.11[[#This Row],[a1]]=1,_xlfn.NORM.DIST(Tab.11[[#This Row],[b88]],$Z$1,$AA$1,FALSE))</f>
        <v>0</v>
      </c>
      <c r="AB203" s="74" t="b">
        <f>IF(Tab.11[[#This Row],[a1]]=1,IF($A$3=0,FALSE,1/Tab.11[[#This Row],[IN]]*$AC$2*IF(Tab.11[[#This Row],[a1]]=0,,$A$3*$AC$1*1/$V$3*(Tab.11[[#This Row],[b14]]))))</f>
        <v>0</v>
      </c>
      <c r="AC203" s="75" t="b">
        <f>IF(Tab.11[[#This Row],[a1]]=1,IF($AC$3=0,Tab.11[[#This Row],[φ1]],Tab.11[[#This Row],[φ1]]/MAX(Tab.11[φ1])))</f>
        <v>0</v>
      </c>
      <c r="AD203" s="74" t="b">
        <f>IF(Tab.11[[#This Row],[a1]]=1,1/Tab.11[[#This Row],[φ2]])</f>
        <v>0</v>
      </c>
      <c r="AE203" s="74" t="b">
        <f>IF(Tab.11[[#This Row],[a1]]=1,IF($AE$3=0,Tab.11[[#This Row],[w.0]],Tab.11[[#This Row],[w.0]]/SUM(Tab.11[w.0])))</f>
        <v>0</v>
      </c>
      <c r="AF203" s="76" t="str">
        <f>IF(Tab.11[[#This Row],[a1]]=0,"false",[3]!Tab.x5[[#This Row],[%_seN_C]])</f>
        <v>false</v>
      </c>
      <c r="AG203" s="77" t="b">
        <f>IF(Tab.11[[#This Row],[a1]]=1,AP203)</f>
        <v>0</v>
      </c>
      <c r="AH203" s="78" t="b">
        <f>IF(Tab.11[[#This Row],[a1]]=1,AQ203)</f>
        <v>0</v>
      </c>
      <c r="AI203" s="41">
        <v>3.0000000000000001E-3</v>
      </c>
      <c r="AJ203" s="79">
        <v>0</v>
      </c>
      <c r="AK203" s="80" t="b">
        <f>IF(Tab.11[[#This Row],[a1]]=1,1)</f>
        <v>0</v>
      </c>
      <c r="AZ203"/>
    </row>
    <row r="204" spans="1:52" ht="14.25" hidden="1" customHeight="1" x14ac:dyDescent="0.25">
      <c r="A204" s="61">
        <f t="shared" si="7"/>
        <v>0</v>
      </c>
      <c r="B204" s="62">
        <f t="shared" si="7"/>
        <v>0</v>
      </c>
      <c r="C204" s="62" t="b">
        <f>IF(Tab.11[[#This Row],[a1]]=1,[3]!Tab_x1[[#This Row],[Name]])</f>
        <v>0</v>
      </c>
      <c r="D204" s="63" t="b">
        <f>IF(Tab.11[[#This Row],[a1]]=1,AO204)</f>
        <v>0</v>
      </c>
      <c r="E204" s="63">
        <f t="shared" si="8"/>
        <v>0</v>
      </c>
      <c r="F204" s="64" t="b">
        <f>IF(Tab.11[[#This Row],[a1]]=1,Tab.11[[#This Row],[b1]])</f>
        <v>0</v>
      </c>
      <c r="G204" s="65" t="b">
        <f>IF(Tab.11[[#This Row],[a1]]=1,IF(Tab.11[[#This Row],[b3]]&gt;$L$989*$G$3,$L$989*$G$3,IF(Tab.11[[#This Row],[b3]]&lt;$M$989*$G$3,$M$989*$G$3,Tab.11[[#This Row],[b3]])))</f>
        <v>0</v>
      </c>
      <c r="H204" s="66" t="b">
        <f>IF(Tab.11[[#This Row],[a1]]=1,Tab.11[[#This Row],[b1]])</f>
        <v>0</v>
      </c>
      <c r="I204" s="67" t="b">
        <f>IF(Tab.11[[#This Row],[a1]]=1,Tab.11[[#This Row],[b1]])</f>
        <v>0</v>
      </c>
      <c r="J204" s="68" t="b">
        <f>IF(Tab.11[[#This Row],[a1]]=1,IF($I$3&lt;0,Tab.11[[#This Row],[b5]]-$I$3,Tab.11[[#This Row],[b5]]))</f>
        <v>0</v>
      </c>
      <c r="K204" s="68" t="b">
        <f>IF(Tab.11[[#This Row],[a1]]=1,IF($K$3=0,Tab.11[b6],Tab.11[[#This Row],[b6]]-AVERAGE(Tab.11[b6])))</f>
        <v>0</v>
      </c>
      <c r="L204" s="69" t="b">
        <f>IF(Tab.11[[#This Row],[a1]]=1,Tab.11[[#This Row],[data]]/(_xlfn.STDEV.P(Tab.11[data])*$B$989)+$A$989)</f>
        <v>0</v>
      </c>
      <c r="M204" s="69" t="b">
        <f>IF(Tab.11[[#This Row],[a1]]=1,Tab.11[[#This Row],[data]]/(_xlfn.STDEV.P(Tab.11[data])*$B$987)-$A$987)</f>
        <v>0</v>
      </c>
      <c r="N204" s="69" t="b">
        <f>IF(Tab.11[[#This Row],[a1]]=1,Tab.11[[#This Row],[data]]/(_xlfn.STDEV.P(Tab.11[data])*$B$988)+$A$988)</f>
        <v>0</v>
      </c>
      <c r="O204" s="70" t="b">
        <f>IF(Tab.11[[#This Row],[a1]]=1,_xlfn.NORM.DIST(Tab.11[[#This Row],[b8]],$P$1,$Q$1,FALSE))</f>
        <v>0</v>
      </c>
      <c r="P204" s="70" t="b">
        <f>IF(Tab.11[[#This Row],[a1]]=1,_xlfn.NORM.DIST(Tab.11[[#This Row],[b9]],$P$1,$Q$1,FALSE))</f>
        <v>0</v>
      </c>
      <c r="Q204" s="70" t="b">
        <f>IF(Tab.11[[#This Row],[a1]]=1,_xlfn.NORM.DIST(Tab.11[[#This Row],[b10]],$P$1,$Q$1,FALSE))</f>
        <v>0</v>
      </c>
      <c r="R204" s="67" t="b">
        <f>IF(Tab.11[[#This Row],[a1]]=1,$I$3+$A$989+IF($K$3=0,Tab.11[[#This Row],[b8]]*_xlfn.STDEV.P(Tab.11[data]),AVERAGE(Tab.11[b6])+Tab.11[[#This Row],[b8]]*_xlfn.STDEV.P(Tab.11[data])))</f>
        <v>0</v>
      </c>
      <c r="S204" s="71" t="b">
        <f>IF(Tab.11[[#This Row],[a1]]=1,$I$3+$A$987+IF($K$3=0,Tab.11[[#This Row],[b9]]*_xlfn.STDEV.P(Tab.11[data]),AVERAGE(Tab.11[b6])+Tab.11[[#This Row],[b9]]*_xlfn.STDEV.P(Tab.11[data])))</f>
        <v>0</v>
      </c>
      <c r="T204" s="71" t="b">
        <f>IF(Tab.11[[#This Row],[a1]]=1,$I$3+$A$988+IF($K$3=0,Tab.11[[#This Row],[b10]]*_xlfn.STDEV.P(Tab.11[data]),AVERAGE(Tab.11[b6])+Tab.11[[#This Row],[b10]]*_xlfn.STDEV.P(Tab.11[data])))</f>
        <v>0</v>
      </c>
      <c r="U204" s="72" t="b">
        <f>IF(Tab.11[[#This Row],[a1]]=1,Tab.11[[#This Row],[target]]-Tab.11[[#This Row],[Red]])</f>
        <v>0</v>
      </c>
      <c r="V204" s="72" t="b">
        <f>IF(Tab.11[[#This Row],[a1]]=1,Tab.11[[#This Row],[target]]-Tab.11[[#This Row],[Blue]])</f>
        <v>0</v>
      </c>
      <c r="W204" s="73" t="b">
        <f>IF(Tab.11[[#This Row],[a1]]=1,IF(ABS(Tab.11[[#This Row],[b17]])+ABS(Tab.11[[#This Row],[b18]])&lt;$W$2,$W$2,ABS(Tab.11[[#This Row],[b17]])+ABS(Tab.11[[#This Row],[b18]])))</f>
        <v>0</v>
      </c>
      <c r="X204" s="136" t="b">
        <f>IF(Tab.11[[#This Row],[a1]]=1,IF($W$3&lt;0,Tab.11[[#This Row],[IN]]-$I$3,Tab.11[[#This Row],[IN]]))</f>
        <v>0</v>
      </c>
      <c r="Y204" s="136" t="b">
        <f>IF(Tab.11[[#This Row],[a1]]=1,IF($X$3=0,Tab.11[b66],Tab.11[[#This Row],[b66]]-AVERAGE(Tab.11[b66])))</f>
        <v>0</v>
      </c>
      <c r="Z204" s="135" t="b">
        <f>IF(Tab.11[[#This Row],[a1]]=1,Tab.11[[#This Row],[b77]]/(_xlfn.STDEV.P(Tab.11[b77])))</f>
        <v>0</v>
      </c>
      <c r="AA204" s="70" t="b">
        <f>IF(Tab.11[[#This Row],[a1]]=1,_xlfn.NORM.DIST(Tab.11[[#This Row],[b88]],$Z$1,$AA$1,FALSE))</f>
        <v>0</v>
      </c>
      <c r="AB204" s="74" t="b">
        <f>IF(Tab.11[[#This Row],[a1]]=1,IF($A$3=0,FALSE,1/Tab.11[[#This Row],[IN]]*$AC$2*IF(Tab.11[[#This Row],[a1]]=0,,$A$3*$AC$1*1/$V$3*(Tab.11[[#This Row],[b14]]))))</f>
        <v>0</v>
      </c>
      <c r="AC204" s="75" t="b">
        <f>IF(Tab.11[[#This Row],[a1]]=1,IF($AC$3=0,Tab.11[[#This Row],[φ1]],Tab.11[[#This Row],[φ1]]/MAX(Tab.11[φ1])))</f>
        <v>0</v>
      </c>
      <c r="AD204" s="74" t="b">
        <f>IF(Tab.11[[#This Row],[a1]]=1,1/Tab.11[[#This Row],[φ2]])</f>
        <v>0</v>
      </c>
      <c r="AE204" s="74" t="b">
        <f>IF(Tab.11[[#This Row],[a1]]=1,IF($AE$3=0,Tab.11[[#This Row],[w.0]],Tab.11[[#This Row],[w.0]]/SUM(Tab.11[w.0])))</f>
        <v>0</v>
      </c>
      <c r="AF204" s="76" t="str">
        <f>IF(Tab.11[[#This Row],[a1]]=0,"false",[3]!Tab.x5[[#This Row],[%_seN_C]])</f>
        <v>false</v>
      </c>
      <c r="AG204" s="77" t="b">
        <f>IF(Tab.11[[#This Row],[a1]]=1,AP204)</f>
        <v>0</v>
      </c>
      <c r="AH204" s="78" t="b">
        <f>IF(Tab.11[[#This Row],[a1]]=1,AQ204)</f>
        <v>0</v>
      </c>
      <c r="AI204" s="41">
        <v>3.0000000000000001E-3</v>
      </c>
      <c r="AJ204" s="79">
        <v>-0.09</v>
      </c>
      <c r="AK204" s="80" t="b">
        <f>IF(Tab.11[[#This Row],[a1]]=1,1)</f>
        <v>0</v>
      </c>
      <c r="AZ204"/>
    </row>
    <row r="205" spans="1:52" ht="14.25" hidden="1" customHeight="1" x14ac:dyDescent="0.25">
      <c r="A205" s="61">
        <f t="shared" si="7"/>
        <v>0</v>
      </c>
      <c r="B205" s="62">
        <f t="shared" si="7"/>
        <v>0</v>
      </c>
      <c r="C205" s="62" t="b">
        <f>IF(Tab.11[[#This Row],[a1]]=1,[3]!Tab_x1[[#This Row],[Name]])</f>
        <v>0</v>
      </c>
      <c r="D205" s="63" t="b">
        <f>IF(Tab.11[[#This Row],[a1]]=1,AO205)</f>
        <v>0</v>
      </c>
      <c r="E205" s="63">
        <f t="shared" si="8"/>
        <v>0</v>
      </c>
      <c r="F205" s="64" t="b">
        <f>IF(Tab.11[[#This Row],[a1]]=1,Tab.11[[#This Row],[b1]])</f>
        <v>0</v>
      </c>
      <c r="G205" s="65" t="b">
        <f>IF(Tab.11[[#This Row],[a1]]=1,IF(Tab.11[[#This Row],[b3]]&gt;$L$989*$G$3,$L$989*$G$3,IF(Tab.11[[#This Row],[b3]]&lt;$M$989*$G$3,$M$989*$G$3,Tab.11[[#This Row],[b3]])))</f>
        <v>0</v>
      </c>
      <c r="H205" s="66" t="b">
        <f>IF(Tab.11[[#This Row],[a1]]=1,Tab.11[[#This Row],[b1]])</f>
        <v>0</v>
      </c>
      <c r="I205" s="67" t="b">
        <f>IF(Tab.11[[#This Row],[a1]]=1,Tab.11[[#This Row],[b1]])</f>
        <v>0</v>
      </c>
      <c r="J205" s="68" t="b">
        <f>IF(Tab.11[[#This Row],[a1]]=1,IF($I$3&lt;0,Tab.11[[#This Row],[b5]]-$I$3,Tab.11[[#This Row],[b5]]))</f>
        <v>0</v>
      </c>
      <c r="K205" s="68" t="b">
        <f>IF(Tab.11[[#This Row],[a1]]=1,IF($K$3=0,Tab.11[b6],Tab.11[[#This Row],[b6]]-AVERAGE(Tab.11[b6])))</f>
        <v>0</v>
      </c>
      <c r="L205" s="69" t="b">
        <f>IF(Tab.11[[#This Row],[a1]]=1,Tab.11[[#This Row],[data]]/(_xlfn.STDEV.P(Tab.11[data])*$B$989)+$A$989)</f>
        <v>0</v>
      </c>
      <c r="M205" s="69" t="b">
        <f>IF(Tab.11[[#This Row],[a1]]=1,Tab.11[[#This Row],[data]]/(_xlfn.STDEV.P(Tab.11[data])*$B$987)-$A$987)</f>
        <v>0</v>
      </c>
      <c r="N205" s="69" t="b">
        <f>IF(Tab.11[[#This Row],[a1]]=1,Tab.11[[#This Row],[data]]/(_xlfn.STDEV.P(Tab.11[data])*$B$988)+$A$988)</f>
        <v>0</v>
      </c>
      <c r="O205" s="70" t="b">
        <f>IF(Tab.11[[#This Row],[a1]]=1,_xlfn.NORM.DIST(Tab.11[[#This Row],[b8]],$P$1,$Q$1,FALSE))</f>
        <v>0</v>
      </c>
      <c r="P205" s="70" t="b">
        <f>IF(Tab.11[[#This Row],[a1]]=1,_xlfn.NORM.DIST(Tab.11[[#This Row],[b9]],$P$1,$Q$1,FALSE))</f>
        <v>0</v>
      </c>
      <c r="Q205" s="70" t="b">
        <f>IF(Tab.11[[#This Row],[a1]]=1,_xlfn.NORM.DIST(Tab.11[[#This Row],[b10]],$P$1,$Q$1,FALSE))</f>
        <v>0</v>
      </c>
      <c r="R205" s="67" t="b">
        <f>IF(Tab.11[[#This Row],[a1]]=1,$I$3+$A$989+IF($K$3=0,Tab.11[[#This Row],[b8]]*_xlfn.STDEV.P(Tab.11[data]),AVERAGE(Tab.11[b6])+Tab.11[[#This Row],[b8]]*_xlfn.STDEV.P(Tab.11[data])))</f>
        <v>0</v>
      </c>
      <c r="S205" s="71" t="b">
        <f>IF(Tab.11[[#This Row],[a1]]=1,$I$3+$A$987+IF($K$3=0,Tab.11[[#This Row],[b9]]*_xlfn.STDEV.P(Tab.11[data]),AVERAGE(Tab.11[b6])+Tab.11[[#This Row],[b9]]*_xlfn.STDEV.P(Tab.11[data])))</f>
        <v>0</v>
      </c>
      <c r="T205" s="71" t="b">
        <f>IF(Tab.11[[#This Row],[a1]]=1,$I$3+$A$988+IF($K$3=0,Tab.11[[#This Row],[b10]]*_xlfn.STDEV.P(Tab.11[data]),AVERAGE(Tab.11[b6])+Tab.11[[#This Row],[b10]]*_xlfn.STDEV.P(Tab.11[data])))</f>
        <v>0</v>
      </c>
      <c r="U205" s="72" t="b">
        <f>IF(Tab.11[[#This Row],[a1]]=1,Tab.11[[#This Row],[target]]-Tab.11[[#This Row],[Red]])</f>
        <v>0</v>
      </c>
      <c r="V205" s="72" t="b">
        <f>IF(Tab.11[[#This Row],[a1]]=1,Tab.11[[#This Row],[target]]-Tab.11[[#This Row],[Blue]])</f>
        <v>0</v>
      </c>
      <c r="W205" s="73" t="b">
        <f>IF(Tab.11[[#This Row],[a1]]=1,IF(ABS(Tab.11[[#This Row],[b17]])+ABS(Tab.11[[#This Row],[b18]])&lt;$W$2,$W$2,ABS(Tab.11[[#This Row],[b17]])+ABS(Tab.11[[#This Row],[b18]])))</f>
        <v>0</v>
      </c>
      <c r="X205" s="136" t="b">
        <f>IF(Tab.11[[#This Row],[a1]]=1,IF($W$3&lt;0,Tab.11[[#This Row],[IN]]-$I$3,Tab.11[[#This Row],[IN]]))</f>
        <v>0</v>
      </c>
      <c r="Y205" s="136" t="b">
        <f>IF(Tab.11[[#This Row],[a1]]=1,IF($X$3=0,Tab.11[b66],Tab.11[[#This Row],[b66]]-AVERAGE(Tab.11[b66])))</f>
        <v>0</v>
      </c>
      <c r="Z205" s="135" t="b">
        <f>IF(Tab.11[[#This Row],[a1]]=1,Tab.11[[#This Row],[b77]]/(_xlfn.STDEV.P(Tab.11[b77])))</f>
        <v>0</v>
      </c>
      <c r="AA205" s="70" t="b">
        <f>IF(Tab.11[[#This Row],[a1]]=1,_xlfn.NORM.DIST(Tab.11[[#This Row],[b88]],$Z$1,$AA$1,FALSE))</f>
        <v>0</v>
      </c>
      <c r="AB205" s="74" t="b">
        <f>IF(Tab.11[[#This Row],[a1]]=1,IF($A$3=0,FALSE,1/Tab.11[[#This Row],[IN]]*$AC$2*IF(Tab.11[[#This Row],[a1]]=0,,$A$3*$AC$1*1/$V$3*(Tab.11[[#This Row],[b14]]))))</f>
        <v>0</v>
      </c>
      <c r="AC205" s="75" t="b">
        <f>IF(Tab.11[[#This Row],[a1]]=1,IF($AC$3=0,Tab.11[[#This Row],[φ1]],Tab.11[[#This Row],[φ1]]/MAX(Tab.11[φ1])))</f>
        <v>0</v>
      </c>
      <c r="AD205" s="74" t="b">
        <f>IF(Tab.11[[#This Row],[a1]]=1,1/Tab.11[[#This Row],[φ2]])</f>
        <v>0</v>
      </c>
      <c r="AE205" s="74" t="b">
        <f>IF(Tab.11[[#This Row],[a1]]=1,IF($AE$3=0,Tab.11[[#This Row],[w.0]],Tab.11[[#This Row],[w.0]]/SUM(Tab.11[w.0])))</f>
        <v>0</v>
      </c>
      <c r="AF205" s="76" t="str">
        <f>IF(Tab.11[[#This Row],[a1]]=0,"false",[3]!Tab.x5[[#This Row],[%_seN_C]])</f>
        <v>false</v>
      </c>
      <c r="AG205" s="77" t="b">
        <f>IF(Tab.11[[#This Row],[a1]]=1,AP205)</f>
        <v>0</v>
      </c>
      <c r="AH205" s="78" t="b">
        <f>IF(Tab.11[[#This Row],[a1]]=1,AQ205)</f>
        <v>0</v>
      </c>
      <c r="AI205" s="41">
        <v>3.0000000000000001E-3</v>
      </c>
      <c r="AJ205" s="79">
        <v>0.05</v>
      </c>
      <c r="AK205" s="80" t="b">
        <f>IF(Tab.11[[#This Row],[a1]]=1,1)</f>
        <v>0</v>
      </c>
      <c r="AZ205"/>
    </row>
    <row r="206" spans="1:52" ht="14.25" hidden="1" customHeight="1" x14ac:dyDescent="0.25">
      <c r="A206" s="61">
        <f t="shared" si="7"/>
        <v>0</v>
      </c>
      <c r="B206" s="62">
        <f t="shared" si="7"/>
        <v>0</v>
      </c>
      <c r="C206" s="62" t="b">
        <f>IF(Tab.11[[#This Row],[a1]]=1,[3]!Tab_x1[[#This Row],[Name]])</f>
        <v>0</v>
      </c>
      <c r="D206" s="63" t="b">
        <f>IF(Tab.11[[#This Row],[a1]]=1,AO206)</f>
        <v>0</v>
      </c>
      <c r="E206" s="63">
        <f t="shared" si="8"/>
        <v>0</v>
      </c>
      <c r="F206" s="64" t="b">
        <f>IF(Tab.11[[#This Row],[a1]]=1,Tab.11[[#This Row],[b1]])</f>
        <v>0</v>
      </c>
      <c r="G206" s="65" t="b">
        <f>IF(Tab.11[[#This Row],[a1]]=1,IF(Tab.11[[#This Row],[b3]]&gt;$L$989*$G$3,$L$989*$G$3,IF(Tab.11[[#This Row],[b3]]&lt;$M$989*$G$3,$M$989*$G$3,Tab.11[[#This Row],[b3]])))</f>
        <v>0</v>
      </c>
      <c r="H206" s="66" t="b">
        <f>IF(Tab.11[[#This Row],[a1]]=1,Tab.11[[#This Row],[b1]])</f>
        <v>0</v>
      </c>
      <c r="I206" s="67" t="b">
        <f>IF(Tab.11[[#This Row],[a1]]=1,Tab.11[[#This Row],[b1]])</f>
        <v>0</v>
      </c>
      <c r="J206" s="68" t="b">
        <f>IF(Tab.11[[#This Row],[a1]]=1,IF($I$3&lt;0,Tab.11[[#This Row],[b5]]-$I$3,Tab.11[[#This Row],[b5]]))</f>
        <v>0</v>
      </c>
      <c r="K206" s="68" t="b">
        <f>IF(Tab.11[[#This Row],[a1]]=1,IF($K$3=0,Tab.11[b6],Tab.11[[#This Row],[b6]]-AVERAGE(Tab.11[b6])))</f>
        <v>0</v>
      </c>
      <c r="L206" s="69" t="b">
        <f>IF(Tab.11[[#This Row],[a1]]=1,Tab.11[[#This Row],[data]]/(_xlfn.STDEV.P(Tab.11[data])*$B$989)+$A$989)</f>
        <v>0</v>
      </c>
      <c r="M206" s="69" t="b">
        <f>IF(Tab.11[[#This Row],[a1]]=1,Tab.11[[#This Row],[data]]/(_xlfn.STDEV.P(Tab.11[data])*$B$987)-$A$987)</f>
        <v>0</v>
      </c>
      <c r="N206" s="69" t="b">
        <f>IF(Tab.11[[#This Row],[a1]]=1,Tab.11[[#This Row],[data]]/(_xlfn.STDEV.P(Tab.11[data])*$B$988)+$A$988)</f>
        <v>0</v>
      </c>
      <c r="O206" s="70" t="b">
        <f>IF(Tab.11[[#This Row],[a1]]=1,_xlfn.NORM.DIST(Tab.11[[#This Row],[b8]],$P$1,$Q$1,FALSE))</f>
        <v>0</v>
      </c>
      <c r="P206" s="70" t="b">
        <f>IF(Tab.11[[#This Row],[a1]]=1,_xlfn.NORM.DIST(Tab.11[[#This Row],[b9]],$P$1,$Q$1,FALSE))</f>
        <v>0</v>
      </c>
      <c r="Q206" s="70" t="b">
        <f>IF(Tab.11[[#This Row],[a1]]=1,_xlfn.NORM.DIST(Tab.11[[#This Row],[b10]],$P$1,$Q$1,FALSE))</f>
        <v>0</v>
      </c>
      <c r="R206" s="67" t="b">
        <f>IF(Tab.11[[#This Row],[a1]]=1,$I$3+$A$989+IF($K$3=0,Tab.11[[#This Row],[b8]]*_xlfn.STDEV.P(Tab.11[data]),AVERAGE(Tab.11[b6])+Tab.11[[#This Row],[b8]]*_xlfn.STDEV.P(Tab.11[data])))</f>
        <v>0</v>
      </c>
      <c r="S206" s="71" t="b">
        <f>IF(Tab.11[[#This Row],[a1]]=1,$I$3+$A$987+IF($K$3=0,Tab.11[[#This Row],[b9]]*_xlfn.STDEV.P(Tab.11[data]),AVERAGE(Tab.11[b6])+Tab.11[[#This Row],[b9]]*_xlfn.STDEV.P(Tab.11[data])))</f>
        <v>0</v>
      </c>
      <c r="T206" s="71" t="b">
        <f>IF(Tab.11[[#This Row],[a1]]=1,$I$3+$A$988+IF($K$3=0,Tab.11[[#This Row],[b10]]*_xlfn.STDEV.P(Tab.11[data]),AVERAGE(Tab.11[b6])+Tab.11[[#This Row],[b10]]*_xlfn.STDEV.P(Tab.11[data])))</f>
        <v>0</v>
      </c>
      <c r="U206" s="72" t="b">
        <f>IF(Tab.11[[#This Row],[a1]]=1,Tab.11[[#This Row],[target]]-Tab.11[[#This Row],[Red]])</f>
        <v>0</v>
      </c>
      <c r="V206" s="72" t="b">
        <f>IF(Tab.11[[#This Row],[a1]]=1,Tab.11[[#This Row],[target]]-Tab.11[[#This Row],[Blue]])</f>
        <v>0</v>
      </c>
      <c r="W206" s="73" t="b">
        <f>IF(Tab.11[[#This Row],[a1]]=1,IF(ABS(Tab.11[[#This Row],[b17]])+ABS(Tab.11[[#This Row],[b18]])&lt;$W$2,$W$2,ABS(Tab.11[[#This Row],[b17]])+ABS(Tab.11[[#This Row],[b18]])))</f>
        <v>0</v>
      </c>
      <c r="X206" s="136" t="b">
        <f>IF(Tab.11[[#This Row],[a1]]=1,IF($W$3&lt;0,Tab.11[[#This Row],[IN]]-$I$3,Tab.11[[#This Row],[IN]]))</f>
        <v>0</v>
      </c>
      <c r="Y206" s="136" t="b">
        <f>IF(Tab.11[[#This Row],[a1]]=1,IF($X$3=0,Tab.11[b66],Tab.11[[#This Row],[b66]]-AVERAGE(Tab.11[b66])))</f>
        <v>0</v>
      </c>
      <c r="Z206" s="135" t="b">
        <f>IF(Tab.11[[#This Row],[a1]]=1,Tab.11[[#This Row],[b77]]/(_xlfn.STDEV.P(Tab.11[b77])))</f>
        <v>0</v>
      </c>
      <c r="AA206" s="70" t="b">
        <f>IF(Tab.11[[#This Row],[a1]]=1,_xlfn.NORM.DIST(Tab.11[[#This Row],[b88]],$Z$1,$AA$1,FALSE))</f>
        <v>0</v>
      </c>
      <c r="AB206" s="74" t="b">
        <f>IF(Tab.11[[#This Row],[a1]]=1,IF($A$3=0,FALSE,1/Tab.11[[#This Row],[IN]]*$AC$2*IF(Tab.11[[#This Row],[a1]]=0,,$A$3*$AC$1*1/$V$3*(Tab.11[[#This Row],[b14]]))))</f>
        <v>0</v>
      </c>
      <c r="AC206" s="75" t="b">
        <f>IF(Tab.11[[#This Row],[a1]]=1,IF($AC$3=0,Tab.11[[#This Row],[φ1]],Tab.11[[#This Row],[φ1]]/MAX(Tab.11[φ1])))</f>
        <v>0</v>
      </c>
      <c r="AD206" s="74" t="b">
        <f>IF(Tab.11[[#This Row],[a1]]=1,1/Tab.11[[#This Row],[φ2]])</f>
        <v>0</v>
      </c>
      <c r="AE206" s="74" t="b">
        <f>IF(Tab.11[[#This Row],[a1]]=1,IF($AE$3=0,Tab.11[[#This Row],[w.0]],Tab.11[[#This Row],[w.0]]/SUM(Tab.11[w.0])))</f>
        <v>0</v>
      </c>
      <c r="AF206" s="76" t="str">
        <f>IF(Tab.11[[#This Row],[a1]]=0,"false",[3]!Tab.x5[[#This Row],[%_seN_C]])</f>
        <v>false</v>
      </c>
      <c r="AG206" s="77" t="b">
        <f>IF(Tab.11[[#This Row],[a1]]=1,AP206)</f>
        <v>0</v>
      </c>
      <c r="AH206" s="78" t="b">
        <f>IF(Tab.11[[#This Row],[a1]]=1,AQ206)</f>
        <v>0</v>
      </c>
      <c r="AI206" s="41">
        <v>3.0000000000000001E-3</v>
      </c>
      <c r="AJ206" s="79">
        <v>-7.0000000000000007E-2</v>
      </c>
      <c r="AK206" s="80" t="b">
        <f>IF(Tab.11[[#This Row],[a1]]=1,1)</f>
        <v>0</v>
      </c>
      <c r="AZ206"/>
    </row>
    <row r="207" spans="1:52" ht="14.25" hidden="1" customHeight="1" x14ac:dyDescent="0.25">
      <c r="A207" s="61">
        <f t="shared" si="7"/>
        <v>0</v>
      </c>
      <c r="B207" s="62">
        <f t="shared" si="7"/>
        <v>0</v>
      </c>
      <c r="C207" s="62" t="b">
        <f>IF(Tab.11[[#This Row],[a1]]=1,[3]!Tab_x1[[#This Row],[Name]])</f>
        <v>0</v>
      </c>
      <c r="D207" s="63" t="b">
        <f>IF(Tab.11[[#This Row],[a1]]=1,AO207)</f>
        <v>0</v>
      </c>
      <c r="E207" s="63">
        <f t="shared" si="8"/>
        <v>0</v>
      </c>
      <c r="F207" s="64" t="b">
        <f>IF(Tab.11[[#This Row],[a1]]=1,Tab.11[[#This Row],[b1]])</f>
        <v>0</v>
      </c>
      <c r="G207" s="65" t="b">
        <f>IF(Tab.11[[#This Row],[a1]]=1,IF(Tab.11[[#This Row],[b3]]&gt;$L$989*$G$3,$L$989*$G$3,IF(Tab.11[[#This Row],[b3]]&lt;$M$989*$G$3,$M$989*$G$3,Tab.11[[#This Row],[b3]])))</f>
        <v>0</v>
      </c>
      <c r="H207" s="66" t="b">
        <f>IF(Tab.11[[#This Row],[a1]]=1,Tab.11[[#This Row],[b1]])</f>
        <v>0</v>
      </c>
      <c r="I207" s="67" t="b">
        <f>IF(Tab.11[[#This Row],[a1]]=1,Tab.11[[#This Row],[b1]])</f>
        <v>0</v>
      </c>
      <c r="J207" s="68" t="b">
        <f>IF(Tab.11[[#This Row],[a1]]=1,IF($I$3&lt;0,Tab.11[[#This Row],[b5]]-$I$3,Tab.11[[#This Row],[b5]]))</f>
        <v>0</v>
      </c>
      <c r="K207" s="68" t="b">
        <f>IF(Tab.11[[#This Row],[a1]]=1,IF($K$3=0,Tab.11[b6],Tab.11[[#This Row],[b6]]-AVERAGE(Tab.11[b6])))</f>
        <v>0</v>
      </c>
      <c r="L207" s="69" t="b">
        <f>IF(Tab.11[[#This Row],[a1]]=1,Tab.11[[#This Row],[data]]/(_xlfn.STDEV.P(Tab.11[data])*$B$989)+$A$989)</f>
        <v>0</v>
      </c>
      <c r="M207" s="69" t="b">
        <f>IF(Tab.11[[#This Row],[a1]]=1,Tab.11[[#This Row],[data]]/(_xlfn.STDEV.P(Tab.11[data])*$B$987)-$A$987)</f>
        <v>0</v>
      </c>
      <c r="N207" s="69" t="b">
        <f>IF(Tab.11[[#This Row],[a1]]=1,Tab.11[[#This Row],[data]]/(_xlfn.STDEV.P(Tab.11[data])*$B$988)+$A$988)</f>
        <v>0</v>
      </c>
      <c r="O207" s="70" t="b">
        <f>IF(Tab.11[[#This Row],[a1]]=1,_xlfn.NORM.DIST(Tab.11[[#This Row],[b8]],$P$1,$Q$1,FALSE))</f>
        <v>0</v>
      </c>
      <c r="P207" s="70" t="b">
        <f>IF(Tab.11[[#This Row],[a1]]=1,_xlfn.NORM.DIST(Tab.11[[#This Row],[b9]],$P$1,$Q$1,FALSE))</f>
        <v>0</v>
      </c>
      <c r="Q207" s="70" t="b">
        <f>IF(Tab.11[[#This Row],[a1]]=1,_xlfn.NORM.DIST(Tab.11[[#This Row],[b10]],$P$1,$Q$1,FALSE))</f>
        <v>0</v>
      </c>
      <c r="R207" s="67" t="b">
        <f>IF(Tab.11[[#This Row],[a1]]=1,$I$3+$A$989+IF($K$3=0,Tab.11[[#This Row],[b8]]*_xlfn.STDEV.P(Tab.11[data]),AVERAGE(Tab.11[b6])+Tab.11[[#This Row],[b8]]*_xlfn.STDEV.P(Tab.11[data])))</f>
        <v>0</v>
      </c>
      <c r="S207" s="71" t="b">
        <f>IF(Tab.11[[#This Row],[a1]]=1,$I$3+$A$987+IF($K$3=0,Tab.11[[#This Row],[b9]]*_xlfn.STDEV.P(Tab.11[data]),AVERAGE(Tab.11[b6])+Tab.11[[#This Row],[b9]]*_xlfn.STDEV.P(Tab.11[data])))</f>
        <v>0</v>
      </c>
      <c r="T207" s="71" t="b">
        <f>IF(Tab.11[[#This Row],[a1]]=1,$I$3+$A$988+IF($K$3=0,Tab.11[[#This Row],[b10]]*_xlfn.STDEV.P(Tab.11[data]),AVERAGE(Tab.11[b6])+Tab.11[[#This Row],[b10]]*_xlfn.STDEV.P(Tab.11[data])))</f>
        <v>0</v>
      </c>
      <c r="U207" s="72" t="b">
        <f>IF(Tab.11[[#This Row],[a1]]=1,Tab.11[[#This Row],[target]]-Tab.11[[#This Row],[Red]])</f>
        <v>0</v>
      </c>
      <c r="V207" s="72" t="b">
        <f>IF(Tab.11[[#This Row],[a1]]=1,Tab.11[[#This Row],[target]]-Tab.11[[#This Row],[Blue]])</f>
        <v>0</v>
      </c>
      <c r="W207" s="73" t="b">
        <f>IF(Tab.11[[#This Row],[a1]]=1,IF(ABS(Tab.11[[#This Row],[b17]])+ABS(Tab.11[[#This Row],[b18]])&lt;$W$2,$W$2,ABS(Tab.11[[#This Row],[b17]])+ABS(Tab.11[[#This Row],[b18]])))</f>
        <v>0</v>
      </c>
      <c r="X207" s="136" t="b">
        <f>IF(Tab.11[[#This Row],[a1]]=1,IF($W$3&lt;0,Tab.11[[#This Row],[IN]]-$I$3,Tab.11[[#This Row],[IN]]))</f>
        <v>0</v>
      </c>
      <c r="Y207" s="136" t="b">
        <f>IF(Tab.11[[#This Row],[a1]]=1,IF($X$3=0,Tab.11[b66],Tab.11[[#This Row],[b66]]-AVERAGE(Tab.11[b66])))</f>
        <v>0</v>
      </c>
      <c r="Z207" s="135" t="b">
        <f>IF(Tab.11[[#This Row],[a1]]=1,Tab.11[[#This Row],[b77]]/(_xlfn.STDEV.P(Tab.11[b77])))</f>
        <v>0</v>
      </c>
      <c r="AA207" s="70" t="b">
        <f>IF(Tab.11[[#This Row],[a1]]=1,_xlfn.NORM.DIST(Tab.11[[#This Row],[b88]],$Z$1,$AA$1,FALSE))</f>
        <v>0</v>
      </c>
      <c r="AB207" s="74" t="b">
        <f>IF(Tab.11[[#This Row],[a1]]=1,IF($A$3=0,FALSE,1/Tab.11[[#This Row],[IN]]*$AC$2*IF(Tab.11[[#This Row],[a1]]=0,,$A$3*$AC$1*1/$V$3*(Tab.11[[#This Row],[b14]]))))</f>
        <v>0</v>
      </c>
      <c r="AC207" s="75" t="b">
        <f>IF(Tab.11[[#This Row],[a1]]=1,IF($AC$3=0,Tab.11[[#This Row],[φ1]],Tab.11[[#This Row],[φ1]]/MAX(Tab.11[φ1])))</f>
        <v>0</v>
      </c>
      <c r="AD207" s="74" t="b">
        <f>IF(Tab.11[[#This Row],[a1]]=1,1/Tab.11[[#This Row],[φ2]])</f>
        <v>0</v>
      </c>
      <c r="AE207" s="74" t="b">
        <f>IF(Tab.11[[#This Row],[a1]]=1,IF($AE$3=0,Tab.11[[#This Row],[w.0]],Tab.11[[#This Row],[w.0]]/SUM(Tab.11[w.0])))</f>
        <v>0</v>
      </c>
      <c r="AF207" s="76" t="str">
        <f>IF(Tab.11[[#This Row],[a1]]=0,"false",[3]!Tab.x5[[#This Row],[%_seN_C]])</f>
        <v>false</v>
      </c>
      <c r="AG207" s="77" t="b">
        <f>IF(Tab.11[[#This Row],[a1]]=1,AP207)</f>
        <v>0</v>
      </c>
      <c r="AH207" s="78" t="b">
        <f>IF(Tab.11[[#This Row],[a1]]=1,AQ207)</f>
        <v>0</v>
      </c>
      <c r="AI207" s="41">
        <v>3.0000000000000001E-3</v>
      </c>
      <c r="AJ207" s="79">
        <v>-0.02</v>
      </c>
      <c r="AK207" s="80" t="b">
        <f>IF(Tab.11[[#This Row],[a1]]=1,1)</f>
        <v>0</v>
      </c>
      <c r="AZ207"/>
    </row>
    <row r="208" spans="1:52" ht="14.25" hidden="1" customHeight="1" x14ac:dyDescent="0.25">
      <c r="A208" s="61">
        <f t="shared" si="7"/>
        <v>0</v>
      </c>
      <c r="B208" s="62">
        <f t="shared" si="7"/>
        <v>0</v>
      </c>
      <c r="C208" s="62" t="b">
        <f>IF(Tab.11[[#This Row],[a1]]=1,[3]!Tab_x1[[#This Row],[Name]])</f>
        <v>0</v>
      </c>
      <c r="D208" s="63" t="b">
        <f>IF(Tab.11[[#This Row],[a1]]=1,AO208)</f>
        <v>0</v>
      </c>
      <c r="E208" s="63">
        <f t="shared" si="8"/>
        <v>0</v>
      </c>
      <c r="F208" s="64" t="b">
        <f>IF(Tab.11[[#This Row],[a1]]=1,Tab.11[[#This Row],[b1]])</f>
        <v>0</v>
      </c>
      <c r="G208" s="65" t="b">
        <f>IF(Tab.11[[#This Row],[a1]]=1,IF(Tab.11[[#This Row],[b3]]&gt;$L$989*$G$3,$L$989*$G$3,IF(Tab.11[[#This Row],[b3]]&lt;$M$989*$G$3,$M$989*$G$3,Tab.11[[#This Row],[b3]])))</f>
        <v>0</v>
      </c>
      <c r="H208" s="66" t="b">
        <f>IF(Tab.11[[#This Row],[a1]]=1,Tab.11[[#This Row],[b1]])</f>
        <v>0</v>
      </c>
      <c r="I208" s="67" t="b">
        <f>IF(Tab.11[[#This Row],[a1]]=1,Tab.11[[#This Row],[b1]])</f>
        <v>0</v>
      </c>
      <c r="J208" s="68" t="b">
        <f>IF(Tab.11[[#This Row],[a1]]=1,IF($I$3&lt;0,Tab.11[[#This Row],[b5]]-$I$3,Tab.11[[#This Row],[b5]]))</f>
        <v>0</v>
      </c>
      <c r="K208" s="68" t="b">
        <f>IF(Tab.11[[#This Row],[a1]]=1,IF($K$3=0,Tab.11[b6],Tab.11[[#This Row],[b6]]-AVERAGE(Tab.11[b6])))</f>
        <v>0</v>
      </c>
      <c r="L208" s="69" t="b">
        <f>IF(Tab.11[[#This Row],[a1]]=1,Tab.11[[#This Row],[data]]/(_xlfn.STDEV.P(Tab.11[data])*$B$989)+$A$989)</f>
        <v>0</v>
      </c>
      <c r="M208" s="69" t="b">
        <f>IF(Tab.11[[#This Row],[a1]]=1,Tab.11[[#This Row],[data]]/(_xlfn.STDEV.P(Tab.11[data])*$B$987)-$A$987)</f>
        <v>0</v>
      </c>
      <c r="N208" s="69" t="b">
        <f>IF(Tab.11[[#This Row],[a1]]=1,Tab.11[[#This Row],[data]]/(_xlfn.STDEV.P(Tab.11[data])*$B$988)+$A$988)</f>
        <v>0</v>
      </c>
      <c r="O208" s="70" t="b">
        <f>IF(Tab.11[[#This Row],[a1]]=1,_xlfn.NORM.DIST(Tab.11[[#This Row],[b8]],$P$1,$Q$1,FALSE))</f>
        <v>0</v>
      </c>
      <c r="P208" s="70" t="b">
        <f>IF(Tab.11[[#This Row],[a1]]=1,_xlfn.NORM.DIST(Tab.11[[#This Row],[b9]],$P$1,$Q$1,FALSE))</f>
        <v>0</v>
      </c>
      <c r="Q208" s="70" t="b">
        <f>IF(Tab.11[[#This Row],[a1]]=1,_xlfn.NORM.DIST(Tab.11[[#This Row],[b10]],$P$1,$Q$1,FALSE))</f>
        <v>0</v>
      </c>
      <c r="R208" s="67" t="b">
        <f>IF(Tab.11[[#This Row],[a1]]=1,$I$3+$A$989+IF($K$3=0,Tab.11[[#This Row],[b8]]*_xlfn.STDEV.P(Tab.11[data]),AVERAGE(Tab.11[b6])+Tab.11[[#This Row],[b8]]*_xlfn.STDEV.P(Tab.11[data])))</f>
        <v>0</v>
      </c>
      <c r="S208" s="71" t="b">
        <f>IF(Tab.11[[#This Row],[a1]]=1,$I$3+$A$987+IF($K$3=0,Tab.11[[#This Row],[b9]]*_xlfn.STDEV.P(Tab.11[data]),AVERAGE(Tab.11[b6])+Tab.11[[#This Row],[b9]]*_xlfn.STDEV.P(Tab.11[data])))</f>
        <v>0</v>
      </c>
      <c r="T208" s="71" t="b">
        <f>IF(Tab.11[[#This Row],[a1]]=1,$I$3+$A$988+IF($K$3=0,Tab.11[[#This Row],[b10]]*_xlfn.STDEV.P(Tab.11[data]),AVERAGE(Tab.11[b6])+Tab.11[[#This Row],[b10]]*_xlfn.STDEV.P(Tab.11[data])))</f>
        <v>0</v>
      </c>
      <c r="U208" s="72" t="b">
        <f>IF(Tab.11[[#This Row],[a1]]=1,Tab.11[[#This Row],[target]]-Tab.11[[#This Row],[Red]])</f>
        <v>0</v>
      </c>
      <c r="V208" s="72" t="b">
        <f>IF(Tab.11[[#This Row],[a1]]=1,Tab.11[[#This Row],[target]]-Tab.11[[#This Row],[Blue]])</f>
        <v>0</v>
      </c>
      <c r="W208" s="73" t="b">
        <f>IF(Tab.11[[#This Row],[a1]]=1,IF(ABS(Tab.11[[#This Row],[b17]])+ABS(Tab.11[[#This Row],[b18]])&lt;$W$2,$W$2,ABS(Tab.11[[#This Row],[b17]])+ABS(Tab.11[[#This Row],[b18]])))</f>
        <v>0</v>
      </c>
      <c r="X208" s="136" t="b">
        <f>IF(Tab.11[[#This Row],[a1]]=1,IF($W$3&lt;0,Tab.11[[#This Row],[IN]]-$I$3,Tab.11[[#This Row],[IN]]))</f>
        <v>0</v>
      </c>
      <c r="Y208" s="136" t="b">
        <f>IF(Tab.11[[#This Row],[a1]]=1,IF($X$3=0,Tab.11[b66],Tab.11[[#This Row],[b66]]-AVERAGE(Tab.11[b66])))</f>
        <v>0</v>
      </c>
      <c r="Z208" s="135" t="b">
        <f>IF(Tab.11[[#This Row],[a1]]=1,Tab.11[[#This Row],[b77]]/(_xlfn.STDEV.P(Tab.11[b77])))</f>
        <v>0</v>
      </c>
      <c r="AA208" s="70" t="b">
        <f>IF(Tab.11[[#This Row],[a1]]=1,_xlfn.NORM.DIST(Tab.11[[#This Row],[b88]],$Z$1,$AA$1,FALSE))</f>
        <v>0</v>
      </c>
      <c r="AB208" s="74" t="b">
        <f>IF(Tab.11[[#This Row],[a1]]=1,IF($A$3=0,FALSE,1/Tab.11[[#This Row],[IN]]*$AC$2*IF(Tab.11[[#This Row],[a1]]=0,,$A$3*$AC$1*1/$V$3*(Tab.11[[#This Row],[b14]]))))</f>
        <v>0</v>
      </c>
      <c r="AC208" s="75" t="b">
        <f>IF(Tab.11[[#This Row],[a1]]=1,IF($AC$3=0,Tab.11[[#This Row],[φ1]],Tab.11[[#This Row],[φ1]]/MAX(Tab.11[φ1])))</f>
        <v>0</v>
      </c>
      <c r="AD208" s="74" t="b">
        <f>IF(Tab.11[[#This Row],[a1]]=1,1/Tab.11[[#This Row],[φ2]])</f>
        <v>0</v>
      </c>
      <c r="AE208" s="74" t="b">
        <f>IF(Tab.11[[#This Row],[a1]]=1,IF($AE$3=0,Tab.11[[#This Row],[w.0]],Tab.11[[#This Row],[w.0]]/SUM(Tab.11[w.0])))</f>
        <v>0</v>
      </c>
      <c r="AF208" s="76" t="str">
        <f>IF(Tab.11[[#This Row],[a1]]=0,"false",[3]!Tab.x5[[#This Row],[%_seN_C]])</f>
        <v>false</v>
      </c>
      <c r="AG208" s="77" t="b">
        <f>IF(Tab.11[[#This Row],[a1]]=1,AP208)</f>
        <v>0</v>
      </c>
      <c r="AH208" s="78" t="b">
        <f>IF(Tab.11[[#This Row],[a1]]=1,AQ208)</f>
        <v>0</v>
      </c>
      <c r="AI208" s="41">
        <v>3.0000000000000001E-3</v>
      </c>
      <c r="AJ208" s="79">
        <v>0.03</v>
      </c>
      <c r="AK208" s="80" t="b">
        <f>IF(Tab.11[[#This Row],[a1]]=1,1)</f>
        <v>0</v>
      </c>
      <c r="AZ208"/>
    </row>
    <row r="209" spans="1:52" ht="14.25" hidden="1" customHeight="1" x14ac:dyDescent="0.25">
      <c r="A209" s="61">
        <f t="shared" si="7"/>
        <v>0</v>
      </c>
      <c r="B209" s="62">
        <f t="shared" si="7"/>
        <v>0</v>
      </c>
      <c r="C209" s="62" t="b">
        <f>IF(Tab.11[[#This Row],[a1]]=1,[3]!Tab_x1[[#This Row],[Name]])</f>
        <v>0</v>
      </c>
      <c r="D209" s="63" t="b">
        <f>IF(Tab.11[[#This Row],[a1]]=1,AO209)</f>
        <v>0</v>
      </c>
      <c r="E209" s="63">
        <f t="shared" si="8"/>
        <v>0</v>
      </c>
      <c r="F209" s="64" t="b">
        <f>IF(Tab.11[[#This Row],[a1]]=1,Tab.11[[#This Row],[b1]])</f>
        <v>0</v>
      </c>
      <c r="G209" s="65" t="b">
        <f>IF(Tab.11[[#This Row],[a1]]=1,IF(Tab.11[[#This Row],[b3]]&gt;$L$989*$G$3,$L$989*$G$3,IF(Tab.11[[#This Row],[b3]]&lt;$M$989*$G$3,$M$989*$G$3,Tab.11[[#This Row],[b3]])))</f>
        <v>0</v>
      </c>
      <c r="H209" s="66" t="b">
        <f>IF(Tab.11[[#This Row],[a1]]=1,Tab.11[[#This Row],[b1]])</f>
        <v>0</v>
      </c>
      <c r="I209" s="67" t="b">
        <f>IF(Tab.11[[#This Row],[a1]]=1,Tab.11[[#This Row],[b1]])</f>
        <v>0</v>
      </c>
      <c r="J209" s="68" t="b">
        <f>IF(Tab.11[[#This Row],[a1]]=1,IF($I$3&lt;0,Tab.11[[#This Row],[b5]]-$I$3,Tab.11[[#This Row],[b5]]))</f>
        <v>0</v>
      </c>
      <c r="K209" s="68" t="b">
        <f>IF(Tab.11[[#This Row],[a1]]=1,IF($K$3=0,Tab.11[b6],Tab.11[[#This Row],[b6]]-AVERAGE(Tab.11[b6])))</f>
        <v>0</v>
      </c>
      <c r="L209" s="69" t="b">
        <f>IF(Tab.11[[#This Row],[a1]]=1,Tab.11[[#This Row],[data]]/(_xlfn.STDEV.P(Tab.11[data])*$B$989)+$A$989)</f>
        <v>0</v>
      </c>
      <c r="M209" s="69" t="b">
        <f>IF(Tab.11[[#This Row],[a1]]=1,Tab.11[[#This Row],[data]]/(_xlfn.STDEV.P(Tab.11[data])*$B$987)-$A$987)</f>
        <v>0</v>
      </c>
      <c r="N209" s="69" t="b">
        <f>IF(Tab.11[[#This Row],[a1]]=1,Tab.11[[#This Row],[data]]/(_xlfn.STDEV.P(Tab.11[data])*$B$988)+$A$988)</f>
        <v>0</v>
      </c>
      <c r="O209" s="70" t="b">
        <f>IF(Tab.11[[#This Row],[a1]]=1,_xlfn.NORM.DIST(Tab.11[[#This Row],[b8]],$P$1,$Q$1,FALSE))</f>
        <v>0</v>
      </c>
      <c r="P209" s="70" t="b">
        <f>IF(Tab.11[[#This Row],[a1]]=1,_xlfn.NORM.DIST(Tab.11[[#This Row],[b9]],$P$1,$Q$1,FALSE))</f>
        <v>0</v>
      </c>
      <c r="Q209" s="70" t="b">
        <f>IF(Tab.11[[#This Row],[a1]]=1,_xlfn.NORM.DIST(Tab.11[[#This Row],[b10]],$P$1,$Q$1,FALSE))</f>
        <v>0</v>
      </c>
      <c r="R209" s="67" t="b">
        <f>IF(Tab.11[[#This Row],[a1]]=1,$I$3+$A$989+IF($K$3=0,Tab.11[[#This Row],[b8]]*_xlfn.STDEV.P(Tab.11[data]),AVERAGE(Tab.11[b6])+Tab.11[[#This Row],[b8]]*_xlfn.STDEV.P(Tab.11[data])))</f>
        <v>0</v>
      </c>
      <c r="S209" s="71" t="b">
        <f>IF(Tab.11[[#This Row],[a1]]=1,$I$3+$A$987+IF($K$3=0,Tab.11[[#This Row],[b9]]*_xlfn.STDEV.P(Tab.11[data]),AVERAGE(Tab.11[b6])+Tab.11[[#This Row],[b9]]*_xlfn.STDEV.P(Tab.11[data])))</f>
        <v>0</v>
      </c>
      <c r="T209" s="71" t="b">
        <f>IF(Tab.11[[#This Row],[a1]]=1,$I$3+$A$988+IF($K$3=0,Tab.11[[#This Row],[b10]]*_xlfn.STDEV.P(Tab.11[data]),AVERAGE(Tab.11[b6])+Tab.11[[#This Row],[b10]]*_xlfn.STDEV.P(Tab.11[data])))</f>
        <v>0</v>
      </c>
      <c r="U209" s="72" t="b">
        <f>IF(Tab.11[[#This Row],[a1]]=1,Tab.11[[#This Row],[target]]-Tab.11[[#This Row],[Red]])</f>
        <v>0</v>
      </c>
      <c r="V209" s="72" t="b">
        <f>IF(Tab.11[[#This Row],[a1]]=1,Tab.11[[#This Row],[target]]-Tab.11[[#This Row],[Blue]])</f>
        <v>0</v>
      </c>
      <c r="W209" s="73" t="b">
        <f>IF(Tab.11[[#This Row],[a1]]=1,IF(ABS(Tab.11[[#This Row],[b17]])+ABS(Tab.11[[#This Row],[b18]])&lt;$W$2,$W$2,ABS(Tab.11[[#This Row],[b17]])+ABS(Tab.11[[#This Row],[b18]])))</f>
        <v>0</v>
      </c>
      <c r="X209" s="136" t="b">
        <f>IF(Tab.11[[#This Row],[a1]]=1,IF($W$3&lt;0,Tab.11[[#This Row],[IN]]-$I$3,Tab.11[[#This Row],[IN]]))</f>
        <v>0</v>
      </c>
      <c r="Y209" s="136" t="b">
        <f>IF(Tab.11[[#This Row],[a1]]=1,IF($X$3=0,Tab.11[b66],Tab.11[[#This Row],[b66]]-AVERAGE(Tab.11[b66])))</f>
        <v>0</v>
      </c>
      <c r="Z209" s="135" t="b">
        <f>IF(Tab.11[[#This Row],[a1]]=1,Tab.11[[#This Row],[b77]]/(_xlfn.STDEV.P(Tab.11[b77])))</f>
        <v>0</v>
      </c>
      <c r="AA209" s="70" t="b">
        <f>IF(Tab.11[[#This Row],[a1]]=1,_xlfn.NORM.DIST(Tab.11[[#This Row],[b88]],$Z$1,$AA$1,FALSE))</f>
        <v>0</v>
      </c>
      <c r="AB209" s="74" t="b">
        <f>IF(Tab.11[[#This Row],[a1]]=1,IF($A$3=0,FALSE,1/Tab.11[[#This Row],[IN]]*$AC$2*IF(Tab.11[[#This Row],[a1]]=0,,$A$3*$AC$1*1/$V$3*(Tab.11[[#This Row],[b14]]))))</f>
        <v>0</v>
      </c>
      <c r="AC209" s="75" t="b">
        <f>IF(Tab.11[[#This Row],[a1]]=1,IF($AC$3=0,Tab.11[[#This Row],[φ1]],Tab.11[[#This Row],[φ1]]/MAX(Tab.11[φ1])))</f>
        <v>0</v>
      </c>
      <c r="AD209" s="74" t="b">
        <f>IF(Tab.11[[#This Row],[a1]]=1,1/Tab.11[[#This Row],[φ2]])</f>
        <v>0</v>
      </c>
      <c r="AE209" s="74" t="b">
        <f>IF(Tab.11[[#This Row],[a1]]=1,IF($AE$3=0,Tab.11[[#This Row],[w.0]],Tab.11[[#This Row],[w.0]]/SUM(Tab.11[w.0])))</f>
        <v>0</v>
      </c>
      <c r="AF209" s="76" t="str">
        <f>IF(Tab.11[[#This Row],[a1]]=0,"false",[3]!Tab.x5[[#This Row],[%_seN_C]])</f>
        <v>false</v>
      </c>
      <c r="AG209" s="77" t="b">
        <f>IF(Tab.11[[#This Row],[a1]]=1,AP209)</f>
        <v>0</v>
      </c>
      <c r="AH209" s="78" t="b">
        <f>IF(Tab.11[[#This Row],[a1]]=1,AQ209)</f>
        <v>0</v>
      </c>
      <c r="AI209" s="41">
        <v>3.0000000000000001E-3</v>
      </c>
      <c r="AJ209" s="79">
        <v>-0.08</v>
      </c>
      <c r="AK209" s="80" t="b">
        <f>IF(Tab.11[[#This Row],[a1]]=1,1)</f>
        <v>0</v>
      </c>
      <c r="AZ209"/>
    </row>
    <row r="210" spans="1:52" ht="14.25" hidden="1" customHeight="1" x14ac:dyDescent="0.25">
      <c r="A210" s="61">
        <f t="shared" si="7"/>
        <v>0</v>
      </c>
      <c r="B210" s="62">
        <f t="shared" si="7"/>
        <v>0</v>
      </c>
      <c r="C210" s="62" t="b">
        <f>IF(Tab.11[[#This Row],[a1]]=1,[3]!Tab_x1[[#This Row],[Name]])</f>
        <v>0</v>
      </c>
      <c r="D210" s="63" t="b">
        <f>IF(Tab.11[[#This Row],[a1]]=1,AO210)</f>
        <v>0</v>
      </c>
      <c r="E210" s="63">
        <f t="shared" si="8"/>
        <v>0</v>
      </c>
      <c r="F210" s="64" t="b">
        <f>IF(Tab.11[[#This Row],[a1]]=1,Tab.11[[#This Row],[b1]])</f>
        <v>0</v>
      </c>
      <c r="G210" s="65" t="b">
        <f>IF(Tab.11[[#This Row],[a1]]=1,IF(Tab.11[[#This Row],[b3]]&gt;$L$989*$G$3,$L$989*$G$3,IF(Tab.11[[#This Row],[b3]]&lt;$M$989*$G$3,$M$989*$G$3,Tab.11[[#This Row],[b3]])))</f>
        <v>0</v>
      </c>
      <c r="H210" s="66" t="b">
        <f>IF(Tab.11[[#This Row],[a1]]=1,Tab.11[[#This Row],[b1]])</f>
        <v>0</v>
      </c>
      <c r="I210" s="67" t="b">
        <f>IF(Tab.11[[#This Row],[a1]]=1,Tab.11[[#This Row],[b1]])</f>
        <v>0</v>
      </c>
      <c r="J210" s="68" t="b">
        <f>IF(Tab.11[[#This Row],[a1]]=1,IF($I$3&lt;0,Tab.11[[#This Row],[b5]]-$I$3,Tab.11[[#This Row],[b5]]))</f>
        <v>0</v>
      </c>
      <c r="K210" s="68" t="b">
        <f>IF(Tab.11[[#This Row],[a1]]=1,IF($K$3=0,Tab.11[b6],Tab.11[[#This Row],[b6]]-AVERAGE(Tab.11[b6])))</f>
        <v>0</v>
      </c>
      <c r="L210" s="69" t="b">
        <f>IF(Tab.11[[#This Row],[a1]]=1,Tab.11[[#This Row],[data]]/(_xlfn.STDEV.P(Tab.11[data])*$B$989)+$A$989)</f>
        <v>0</v>
      </c>
      <c r="M210" s="69" t="b">
        <f>IF(Tab.11[[#This Row],[a1]]=1,Tab.11[[#This Row],[data]]/(_xlfn.STDEV.P(Tab.11[data])*$B$987)-$A$987)</f>
        <v>0</v>
      </c>
      <c r="N210" s="69" t="b">
        <f>IF(Tab.11[[#This Row],[a1]]=1,Tab.11[[#This Row],[data]]/(_xlfn.STDEV.P(Tab.11[data])*$B$988)+$A$988)</f>
        <v>0</v>
      </c>
      <c r="O210" s="70" t="b">
        <f>IF(Tab.11[[#This Row],[a1]]=1,_xlfn.NORM.DIST(Tab.11[[#This Row],[b8]],$P$1,$Q$1,FALSE))</f>
        <v>0</v>
      </c>
      <c r="P210" s="70" t="b">
        <f>IF(Tab.11[[#This Row],[a1]]=1,_xlfn.NORM.DIST(Tab.11[[#This Row],[b9]],$P$1,$Q$1,FALSE))</f>
        <v>0</v>
      </c>
      <c r="Q210" s="70" t="b">
        <f>IF(Tab.11[[#This Row],[a1]]=1,_xlfn.NORM.DIST(Tab.11[[#This Row],[b10]],$P$1,$Q$1,FALSE))</f>
        <v>0</v>
      </c>
      <c r="R210" s="67" t="b">
        <f>IF(Tab.11[[#This Row],[a1]]=1,$I$3+$A$989+IF($K$3=0,Tab.11[[#This Row],[b8]]*_xlfn.STDEV.P(Tab.11[data]),AVERAGE(Tab.11[b6])+Tab.11[[#This Row],[b8]]*_xlfn.STDEV.P(Tab.11[data])))</f>
        <v>0</v>
      </c>
      <c r="S210" s="71" t="b">
        <f>IF(Tab.11[[#This Row],[a1]]=1,$I$3+$A$987+IF($K$3=0,Tab.11[[#This Row],[b9]]*_xlfn.STDEV.P(Tab.11[data]),AVERAGE(Tab.11[b6])+Tab.11[[#This Row],[b9]]*_xlfn.STDEV.P(Tab.11[data])))</f>
        <v>0</v>
      </c>
      <c r="T210" s="71" t="b">
        <f>IF(Tab.11[[#This Row],[a1]]=1,$I$3+$A$988+IF($K$3=0,Tab.11[[#This Row],[b10]]*_xlfn.STDEV.P(Tab.11[data]),AVERAGE(Tab.11[b6])+Tab.11[[#This Row],[b10]]*_xlfn.STDEV.P(Tab.11[data])))</f>
        <v>0</v>
      </c>
      <c r="U210" s="72" t="b">
        <f>IF(Tab.11[[#This Row],[a1]]=1,Tab.11[[#This Row],[target]]-Tab.11[[#This Row],[Red]])</f>
        <v>0</v>
      </c>
      <c r="V210" s="72" t="b">
        <f>IF(Tab.11[[#This Row],[a1]]=1,Tab.11[[#This Row],[target]]-Tab.11[[#This Row],[Blue]])</f>
        <v>0</v>
      </c>
      <c r="W210" s="73" t="b">
        <f>IF(Tab.11[[#This Row],[a1]]=1,IF(ABS(Tab.11[[#This Row],[b17]])+ABS(Tab.11[[#This Row],[b18]])&lt;$W$2,$W$2,ABS(Tab.11[[#This Row],[b17]])+ABS(Tab.11[[#This Row],[b18]])))</f>
        <v>0</v>
      </c>
      <c r="X210" s="136" t="b">
        <f>IF(Tab.11[[#This Row],[a1]]=1,IF($W$3&lt;0,Tab.11[[#This Row],[IN]]-$I$3,Tab.11[[#This Row],[IN]]))</f>
        <v>0</v>
      </c>
      <c r="Y210" s="136" t="b">
        <f>IF(Tab.11[[#This Row],[a1]]=1,IF($X$3=0,Tab.11[b66],Tab.11[[#This Row],[b66]]-AVERAGE(Tab.11[b66])))</f>
        <v>0</v>
      </c>
      <c r="Z210" s="135" t="b">
        <f>IF(Tab.11[[#This Row],[a1]]=1,Tab.11[[#This Row],[b77]]/(_xlfn.STDEV.P(Tab.11[b77])))</f>
        <v>0</v>
      </c>
      <c r="AA210" s="70" t="b">
        <f>IF(Tab.11[[#This Row],[a1]]=1,_xlfn.NORM.DIST(Tab.11[[#This Row],[b88]],$Z$1,$AA$1,FALSE))</f>
        <v>0</v>
      </c>
      <c r="AB210" s="74" t="b">
        <f>IF(Tab.11[[#This Row],[a1]]=1,IF($A$3=0,FALSE,1/Tab.11[[#This Row],[IN]]*$AC$2*IF(Tab.11[[#This Row],[a1]]=0,,$A$3*$AC$1*1/$V$3*(Tab.11[[#This Row],[b14]]))))</f>
        <v>0</v>
      </c>
      <c r="AC210" s="75" t="b">
        <f>IF(Tab.11[[#This Row],[a1]]=1,IF($AC$3=0,Tab.11[[#This Row],[φ1]],Tab.11[[#This Row],[φ1]]/MAX(Tab.11[φ1])))</f>
        <v>0</v>
      </c>
      <c r="AD210" s="74" t="b">
        <f>IF(Tab.11[[#This Row],[a1]]=1,1/Tab.11[[#This Row],[φ2]])</f>
        <v>0</v>
      </c>
      <c r="AE210" s="74" t="b">
        <f>IF(Tab.11[[#This Row],[a1]]=1,IF($AE$3=0,Tab.11[[#This Row],[w.0]],Tab.11[[#This Row],[w.0]]/SUM(Tab.11[w.0])))</f>
        <v>0</v>
      </c>
      <c r="AF210" s="76" t="str">
        <f>IF(Tab.11[[#This Row],[a1]]=0,"false",[3]!Tab.x5[[#This Row],[%_seN_C]])</f>
        <v>false</v>
      </c>
      <c r="AG210" s="77" t="b">
        <f>IF(Tab.11[[#This Row],[a1]]=1,AP210)</f>
        <v>0</v>
      </c>
      <c r="AH210" s="78" t="b">
        <f>IF(Tab.11[[#This Row],[a1]]=1,AQ210)</f>
        <v>0</v>
      </c>
      <c r="AI210" s="41">
        <v>3.0000000000000001E-3</v>
      </c>
      <c r="AJ210" s="79">
        <v>0.1</v>
      </c>
      <c r="AK210" s="80" t="b">
        <f>IF(Tab.11[[#This Row],[a1]]=1,1)</f>
        <v>0</v>
      </c>
      <c r="AZ210"/>
    </row>
    <row r="211" spans="1:52" ht="14.25" hidden="1" customHeight="1" x14ac:dyDescent="0.25">
      <c r="A211" s="61">
        <f t="shared" si="7"/>
        <v>0</v>
      </c>
      <c r="B211" s="62">
        <f t="shared" si="7"/>
        <v>0</v>
      </c>
      <c r="C211" s="62" t="b">
        <f>IF(Tab.11[[#This Row],[a1]]=1,[3]!Tab_x1[[#This Row],[Name]])</f>
        <v>0</v>
      </c>
      <c r="D211" s="63" t="b">
        <f>IF(Tab.11[[#This Row],[a1]]=1,AO211)</f>
        <v>0</v>
      </c>
      <c r="E211" s="63">
        <f t="shared" si="8"/>
        <v>0</v>
      </c>
      <c r="F211" s="64" t="b">
        <f>IF(Tab.11[[#This Row],[a1]]=1,Tab.11[[#This Row],[b1]])</f>
        <v>0</v>
      </c>
      <c r="G211" s="65" t="b">
        <f>IF(Tab.11[[#This Row],[a1]]=1,IF(Tab.11[[#This Row],[b3]]&gt;$L$989*$G$3,$L$989*$G$3,IF(Tab.11[[#This Row],[b3]]&lt;$M$989*$G$3,$M$989*$G$3,Tab.11[[#This Row],[b3]])))</f>
        <v>0</v>
      </c>
      <c r="H211" s="66" t="b">
        <f>IF(Tab.11[[#This Row],[a1]]=1,Tab.11[[#This Row],[b1]])</f>
        <v>0</v>
      </c>
      <c r="I211" s="67" t="b">
        <f>IF(Tab.11[[#This Row],[a1]]=1,Tab.11[[#This Row],[b1]])</f>
        <v>0</v>
      </c>
      <c r="J211" s="68" t="b">
        <f>IF(Tab.11[[#This Row],[a1]]=1,IF($I$3&lt;0,Tab.11[[#This Row],[b5]]-$I$3,Tab.11[[#This Row],[b5]]))</f>
        <v>0</v>
      </c>
      <c r="K211" s="68" t="b">
        <f>IF(Tab.11[[#This Row],[a1]]=1,IF($K$3=0,Tab.11[b6],Tab.11[[#This Row],[b6]]-AVERAGE(Tab.11[b6])))</f>
        <v>0</v>
      </c>
      <c r="L211" s="69" t="b">
        <f>IF(Tab.11[[#This Row],[a1]]=1,Tab.11[[#This Row],[data]]/(_xlfn.STDEV.P(Tab.11[data])*$B$989)+$A$989)</f>
        <v>0</v>
      </c>
      <c r="M211" s="69" t="b">
        <f>IF(Tab.11[[#This Row],[a1]]=1,Tab.11[[#This Row],[data]]/(_xlfn.STDEV.P(Tab.11[data])*$B$987)-$A$987)</f>
        <v>0</v>
      </c>
      <c r="N211" s="69" t="b">
        <f>IF(Tab.11[[#This Row],[a1]]=1,Tab.11[[#This Row],[data]]/(_xlfn.STDEV.P(Tab.11[data])*$B$988)+$A$988)</f>
        <v>0</v>
      </c>
      <c r="O211" s="70" t="b">
        <f>IF(Tab.11[[#This Row],[a1]]=1,_xlfn.NORM.DIST(Tab.11[[#This Row],[b8]],$P$1,$Q$1,FALSE))</f>
        <v>0</v>
      </c>
      <c r="P211" s="70" t="b">
        <f>IF(Tab.11[[#This Row],[a1]]=1,_xlfn.NORM.DIST(Tab.11[[#This Row],[b9]],$P$1,$Q$1,FALSE))</f>
        <v>0</v>
      </c>
      <c r="Q211" s="70" t="b">
        <f>IF(Tab.11[[#This Row],[a1]]=1,_xlfn.NORM.DIST(Tab.11[[#This Row],[b10]],$P$1,$Q$1,FALSE))</f>
        <v>0</v>
      </c>
      <c r="R211" s="67" t="b">
        <f>IF(Tab.11[[#This Row],[a1]]=1,$I$3+$A$989+IF($K$3=0,Tab.11[[#This Row],[b8]]*_xlfn.STDEV.P(Tab.11[data]),AVERAGE(Tab.11[b6])+Tab.11[[#This Row],[b8]]*_xlfn.STDEV.P(Tab.11[data])))</f>
        <v>0</v>
      </c>
      <c r="S211" s="71" t="b">
        <f>IF(Tab.11[[#This Row],[a1]]=1,$I$3+$A$987+IF($K$3=0,Tab.11[[#This Row],[b9]]*_xlfn.STDEV.P(Tab.11[data]),AVERAGE(Tab.11[b6])+Tab.11[[#This Row],[b9]]*_xlfn.STDEV.P(Tab.11[data])))</f>
        <v>0</v>
      </c>
      <c r="T211" s="71" t="b">
        <f>IF(Tab.11[[#This Row],[a1]]=1,$I$3+$A$988+IF($K$3=0,Tab.11[[#This Row],[b10]]*_xlfn.STDEV.P(Tab.11[data]),AVERAGE(Tab.11[b6])+Tab.11[[#This Row],[b10]]*_xlfn.STDEV.P(Tab.11[data])))</f>
        <v>0</v>
      </c>
      <c r="U211" s="72" t="b">
        <f>IF(Tab.11[[#This Row],[a1]]=1,Tab.11[[#This Row],[target]]-Tab.11[[#This Row],[Red]])</f>
        <v>0</v>
      </c>
      <c r="V211" s="72" t="b">
        <f>IF(Tab.11[[#This Row],[a1]]=1,Tab.11[[#This Row],[target]]-Tab.11[[#This Row],[Blue]])</f>
        <v>0</v>
      </c>
      <c r="W211" s="73" t="b">
        <f>IF(Tab.11[[#This Row],[a1]]=1,IF(ABS(Tab.11[[#This Row],[b17]])+ABS(Tab.11[[#This Row],[b18]])&lt;$W$2,$W$2,ABS(Tab.11[[#This Row],[b17]])+ABS(Tab.11[[#This Row],[b18]])))</f>
        <v>0</v>
      </c>
      <c r="X211" s="136" t="b">
        <f>IF(Tab.11[[#This Row],[a1]]=1,IF($W$3&lt;0,Tab.11[[#This Row],[IN]]-$I$3,Tab.11[[#This Row],[IN]]))</f>
        <v>0</v>
      </c>
      <c r="Y211" s="136" t="b">
        <f>IF(Tab.11[[#This Row],[a1]]=1,IF($X$3=0,Tab.11[b66],Tab.11[[#This Row],[b66]]-AVERAGE(Tab.11[b66])))</f>
        <v>0</v>
      </c>
      <c r="Z211" s="135" t="b">
        <f>IF(Tab.11[[#This Row],[a1]]=1,Tab.11[[#This Row],[b77]]/(_xlfn.STDEV.P(Tab.11[b77])))</f>
        <v>0</v>
      </c>
      <c r="AA211" s="70" t="b">
        <f>IF(Tab.11[[#This Row],[a1]]=1,_xlfn.NORM.DIST(Tab.11[[#This Row],[b88]],$Z$1,$AA$1,FALSE))</f>
        <v>0</v>
      </c>
      <c r="AB211" s="74" t="b">
        <f>IF(Tab.11[[#This Row],[a1]]=1,IF($A$3=0,FALSE,1/Tab.11[[#This Row],[IN]]*$AC$2*IF(Tab.11[[#This Row],[a1]]=0,,$A$3*$AC$1*1/$V$3*(Tab.11[[#This Row],[b14]]))))</f>
        <v>0</v>
      </c>
      <c r="AC211" s="75" t="b">
        <f>IF(Tab.11[[#This Row],[a1]]=1,IF($AC$3=0,Tab.11[[#This Row],[φ1]],Tab.11[[#This Row],[φ1]]/MAX(Tab.11[φ1])))</f>
        <v>0</v>
      </c>
      <c r="AD211" s="74" t="b">
        <f>IF(Tab.11[[#This Row],[a1]]=1,1/Tab.11[[#This Row],[φ2]])</f>
        <v>0</v>
      </c>
      <c r="AE211" s="74" t="b">
        <f>IF(Tab.11[[#This Row],[a1]]=1,IF($AE$3=0,Tab.11[[#This Row],[w.0]],Tab.11[[#This Row],[w.0]]/SUM(Tab.11[w.0])))</f>
        <v>0</v>
      </c>
      <c r="AF211" s="76" t="str">
        <f>IF(Tab.11[[#This Row],[a1]]=0,"false",[3]!Tab.x5[[#This Row],[%_seN_C]])</f>
        <v>false</v>
      </c>
      <c r="AG211" s="77" t="b">
        <f>IF(Tab.11[[#This Row],[a1]]=1,AP211)</f>
        <v>0</v>
      </c>
      <c r="AH211" s="78" t="b">
        <f>IF(Tab.11[[#This Row],[a1]]=1,AQ211)</f>
        <v>0</v>
      </c>
      <c r="AI211" s="41">
        <v>3.0000000000000001E-3</v>
      </c>
      <c r="AJ211" s="79">
        <v>0.08</v>
      </c>
      <c r="AK211" s="80" t="b">
        <f>IF(Tab.11[[#This Row],[a1]]=1,1)</f>
        <v>0</v>
      </c>
      <c r="AZ211"/>
    </row>
    <row r="212" spans="1:52" ht="14.25" hidden="1" customHeight="1" x14ac:dyDescent="0.25">
      <c r="A212" s="61">
        <f t="shared" si="7"/>
        <v>0</v>
      </c>
      <c r="B212" s="62">
        <f t="shared" si="7"/>
        <v>0</v>
      </c>
      <c r="C212" s="62" t="b">
        <f>IF(Tab.11[[#This Row],[a1]]=1,[3]!Tab_x1[[#This Row],[Name]])</f>
        <v>0</v>
      </c>
      <c r="D212" s="63" t="b">
        <f>IF(Tab.11[[#This Row],[a1]]=1,AO212)</f>
        <v>0</v>
      </c>
      <c r="E212" s="63">
        <f t="shared" si="8"/>
        <v>0</v>
      </c>
      <c r="F212" s="64" t="b">
        <f>IF(Tab.11[[#This Row],[a1]]=1,Tab.11[[#This Row],[b1]])</f>
        <v>0</v>
      </c>
      <c r="G212" s="65" t="b">
        <f>IF(Tab.11[[#This Row],[a1]]=1,IF(Tab.11[[#This Row],[b3]]&gt;$L$989*$G$3,$L$989*$G$3,IF(Tab.11[[#This Row],[b3]]&lt;$M$989*$G$3,$M$989*$G$3,Tab.11[[#This Row],[b3]])))</f>
        <v>0</v>
      </c>
      <c r="H212" s="66" t="b">
        <f>IF(Tab.11[[#This Row],[a1]]=1,Tab.11[[#This Row],[b1]])</f>
        <v>0</v>
      </c>
      <c r="I212" s="67" t="b">
        <f>IF(Tab.11[[#This Row],[a1]]=1,Tab.11[[#This Row],[b1]])</f>
        <v>0</v>
      </c>
      <c r="J212" s="68" t="b">
        <f>IF(Tab.11[[#This Row],[a1]]=1,IF($I$3&lt;0,Tab.11[[#This Row],[b5]]-$I$3,Tab.11[[#This Row],[b5]]))</f>
        <v>0</v>
      </c>
      <c r="K212" s="68" t="b">
        <f>IF(Tab.11[[#This Row],[a1]]=1,IF($K$3=0,Tab.11[b6],Tab.11[[#This Row],[b6]]-AVERAGE(Tab.11[b6])))</f>
        <v>0</v>
      </c>
      <c r="L212" s="69" t="b">
        <f>IF(Tab.11[[#This Row],[a1]]=1,Tab.11[[#This Row],[data]]/(_xlfn.STDEV.P(Tab.11[data])*$B$989)+$A$989)</f>
        <v>0</v>
      </c>
      <c r="M212" s="69" t="b">
        <f>IF(Tab.11[[#This Row],[a1]]=1,Tab.11[[#This Row],[data]]/(_xlfn.STDEV.P(Tab.11[data])*$B$987)-$A$987)</f>
        <v>0</v>
      </c>
      <c r="N212" s="69" t="b">
        <f>IF(Tab.11[[#This Row],[a1]]=1,Tab.11[[#This Row],[data]]/(_xlfn.STDEV.P(Tab.11[data])*$B$988)+$A$988)</f>
        <v>0</v>
      </c>
      <c r="O212" s="70" t="b">
        <f>IF(Tab.11[[#This Row],[a1]]=1,_xlfn.NORM.DIST(Tab.11[[#This Row],[b8]],$P$1,$Q$1,FALSE))</f>
        <v>0</v>
      </c>
      <c r="P212" s="70" t="b">
        <f>IF(Tab.11[[#This Row],[a1]]=1,_xlfn.NORM.DIST(Tab.11[[#This Row],[b9]],$P$1,$Q$1,FALSE))</f>
        <v>0</v>
      </c>
      <c r="Q212" s="70" t="b">
        <f>IF(Tab.11[[#This Row],[a1]]=1,_xlfn.NORM.DIST(Tab.11[[#This Row],[b10]],$P$1,$Q$1,FALSE))</f>
        <v>0</v>
      </c>
      <c r="R212" s="67" t="b">
        <f>IF(Tab.11[[#This Row],[a1]]=1,$I$3+$A$989+IF($K$3=0,Tab.11[[#This Row],[b8]]*_xlfn.STDEV.P(Tab.11[data]),AVERAGE(Tab.11[b6])+Tab.11[[#This Row],[b8]]*_xlfn.STDEV.P(Tab.11[data])))</f>
        <v>0</v>
      </c>
      <c r="S212" s="71" t="b">
        <f>IF(Tab.11[[#This Row],[a1]]=1,$I$3+$A$987+IF($K$3=0,Tab.11[[#This Row],[b9]]*_xlfn.STDEV.P(Tab.11[data]),AVERAGE(Tab.11[b6])+Tab.11[[#This Row],[b9]]*_xlfn.STDEV.P(Tab.11[data])))</f>
        <v>0</v>
      </c>
      <c r="T212" s="71" t="b">
        <f>IF(Tab.11[[#This Row],[a1]]=1,$I$3+$A$988+IF($K$3=0,Tab.11[[#This Row],[b10]]*_xlfn.STDEV.P(Tab.11[data]),AVERAGE(Tab.11[b6])+Tab.11[[#This Row],[b10]]*_xlfn.STDEV.P(Tab.11[data])))</f>
        <v>0</v>
      </c>
      <c r="U212" s="72" t="b">
        <f>IF(Tab.11[[#This Row],[a1]]=1,Tab.11[[#This Row],[target]]-Tab.11[[#This Row],[Red]])</f>
        <v>0</v>
      </c>
      <c r="V212" s="72" t="b">
        <f>IF(Tab.11[[#This Row],[a1]]=1,Tab.11[[#This Row],[target]]-Tab.11[[#This Row],[Blue]])</f>
        <v>0</v>
      </c>
      <c r="W212" s="73" t="b">
        <f>IF(Tab.11[[#This Row],[a1]]=1,IF(ABS(Tab.11[[#This Row],[b17]])+ABS(Tab.11[[#This Row],[b18]])&lt;$W$2,$W$2,ABS(Tab.11[[#This Row],[b17]])+ABS(Tab.11[[#This Row],[b18]])))</f>
        <v>0</v>
      </c>
      <c r="X212" s="136" t="b">
        <f>IF(Tab.11[[#This Row],[a1]]=1,IF($W$3&lt;0,Tab.11[[#This Row],[IN]]-$I$3,Tab.11[[#This Row],[IN]]))</f>
        <v>0</v>
      </c>
      <c r="Y212" s="136" t="b">
        <f>IF(Tab.11[[#This Row],[a1]]=1,IF($X$3=0,Tab.11[b66],Tab.11[[#This Row],[b66]]-AVERAGE(Tab.11[b66])))</f>
        <v>0</v>
      </c>
      <c r="Z212" s="135" t="b">
        <f>IF(Tab.11[[#This Row],[a1]]=1,Tab.11[[#This Row],[b77]]/(_xlfn.STDEV.P(Tab.11[b77])))</f>
        <v>0</v>
      </c>
      <c r="AA212" s="70" t="b">
        <f>IF(Tab.11[[#This Row],[a1]]=1,_xlfn.NORM.DIST(Tab.11[[#This Row],[b88]],$Z$1,$AA$1,FALSE))</f>
        <v>0</v>
      </c>
      <c r="AB212" s="74" t="b">
        <f>IF(Tab.11[[#This Row],[a1]]=1,IF($A$3=0,FALSE,1/Tab.11[[#This Row],[IN]]*$AC$2*IF(Tab.11[[#This Row],[a1]]=0,,$A$3*$AC$1*1/$V$3*(Tab.11[[#This Row],[b14]]))))</f>
        <v>0</v>
      </c>
      <c r="AC212" s="75" t="b">
        <f>IF(Tab.11[[#This Row],[a1]]=1,IF($AC$3=0,Tab.11[[#This Row],[φ1]],Tab.11[[#This Row],[φ1]]/MAX(Tab.11[φ1])))</f>
        <v>0</v>
      </c>
      <c r="AD212" s="74" t="b">
        <f>IF(Tab.11[[#This Row],[a1]]=1,1/Tab.11[[#This Row],[φ2]])</f>
        <v>0</v>
      </c>
      <c r="AE212" s="74" t="b">
        <f>IF(Tab.11[[#This Row],[a1]]=1,IF($AE$3=0,Tab.11[[#This Row],[w.0]],Tab.11[[#This Row],[w.0]]/SUM(Tab.11[w.0])))</f>
        <v>0</v>
      </c>
      <c r="AF212" s="76" t="str">
        <f>IF(Tab.11[[#This Row],[a1]]=0,"false",[3]!Tab.x5[[#This Row],[%_seN_C]])</f>
        <v>false</v>
      </c>
      <c r="AG212" s="77" t="b">
        <f>IF(Tab.11[[#This Row],[a1]]=1,AP212)</f>
        <v>0</v>
      </c>
      <c r="AH212" s="78" t="b">
        <f>IF(Tab.11[[#This Row],[a1]]=1,AQ212)</f>
        <v>0</v>
      </c>
      <c r="AI212" s="41">
        <v>3.0000000000000001E-3</v>
      </c>
      <c r="AJ212" s="79">
        <v>-0.1</v>
      </c>
      <c r="AK212" s="80" t="b">
        <f>IF(Tab.11[[#This Row],[a1]]=1,1)</f>
        <v>0</v>
      </c>
      <c r="AZ212"/>
    </row>
    <row r="213" spans="1:52" ht="14.25" hidden="1" customHeight="1" x14ac:dyDescent="0.25">
      <c r="A213" s="61">
        <f t="shared" ref="A213:B276" si="9">AM213</f>
        <v>0</v>
      </c>
      <c r="B213" s="62">
        <f t="shared" si="9"/>
        <v>0</v>
      </c>
      <c r="C213" s="62" t="b">
        <f>IF(Tab.11[[#This Row],[a1]]=1,[3]!Tab_x1[[#This Row],[Name]])</f>
        <v>0</v>
      </c>
      <c r="D213" s="63" t="b">
        <f>IF(Tab.11[[#This Row],[a1]]=1,AO213)</f>
        <v>0</v>
      </c>
      <c r="E213" s="63">
        <f t="shared" si="8"/>
        <v>0</v>
      </c>
      <c r="F213" s="64" t="b">
        <f>IF(Tab.11[[#This Row],[a1]]=1,Tab.11[[#This Row],[b1]])</f>
        <v>0</v>
      </c>
      <c r="G213" s="65" t="b">
        <f>IF(Tab.11[[#This Row],[a1]]=1,IF(Tab.11[[#This Row],[b3]]&gt;$L$989*$G$3,$L$989*$G$3,IF(Tab.11[[#This Row],[b3]]&lt;$M$989*$G$3,$M$989*$G$3,Tab.11[[#This Row],[b3]])))</f>
        <v>0</v>
      </c>
      <c r="H213" s="66" t="b">
        <f>IF(Tab.11[[#This Row],[a1]]=1,Tab.11[[#This Row],[b1]])</f>
        <v>0</v>
      </c>
      <c r="I213" s="67" t="b">
        <f>IF(Tab.11[[#This Row],[a1]]=1,Tab.11[[#This Row],[b1]])</f>
        <v>0</v>
      </c>
      <c r="J213" s="68" t="b">
        <f>IF(Tab.11[[#This Row],[a1]]=1,IF($I$3&lt;0,Tab.11[[#This Row],[b5]]-$I$3,Tab.11[[#This Row],[b5]]))</f>
        <v>0</v>
      </c>
      <c r="K213" s="68" t="b">
        <f>IF(Tab.11[[#This Row],[a1]]=1,IF($K$3=0,Tab.11[b6],Tab.11[[#This Row],[b6]]-AVERAGE(Tab.11[b6])))</f>
        <v>0</v>
      </c>
      <c r="L213" s="69" t="b">
        <f>IF(Tab.11[[#This Row],[a1]]=1,Tab.11[[#This Row],[data]]/(_xlfn.STDEV.P(Tab.11[data])*$B$989)+$A$989)</f>
        <v>0</v>
      </c>
      <c r="M213" s="69" t="b">
        <f>IF(Tab.11[[#This Row],[a1]]=1,Tab.11[[#This Row],[data]]/(_xlfn.STDEV.P(Tab.11[data])*$B$987)-$A$987)</f>
        <v>0</v>
      </c>
      <c r="N213" s="69" t="b">
        <f>IF(Tab.11[[#This Row],[a1]]=1,Tab.11[[#This Row],[data]]/(_xlfn.STDEV.P(Tab.11[data])*$B$988)+$A$988)</f>
        <v>0</v>
      </c>
      <c r="O213" s="70" t="b">
        <f>IF(Tab.11[[#This Row],[a1]]=1,_xlfn.NORM.DIST(Tab.11[[#This Row],[b8]],$P$1,$Q$1,FALSE))</f>
        <v>0</v>
      </c>
      <c r="P213" s="70" t="b">
        <f>IF(Tab.11[[#This Row],[a1]]=1,_xlfn.NORM.DIST(Tab.11[[#This Row],[b9]],$P$1,$Q$1,FALSE))</f>
        <v>0</v>
      </c>
      <c r="Q213" s="70" t="b">
        <f>IF(Tab.11[[#This Row],[a1]]=1,_xlfn.NORM.DIST(Tab.11[[#This Row],[b10]],$P$1,$Q$1,FALSE))</f>
        <v>0</v>
      </c>
      <c r="R213" s="67" t="b">
        <f>IF(Tab.11[[#This Row],[a1]]=1,$I$3+$A$989+IF($K$3=0,Tab.11[[#This Row],[b8]]*_xlfn.STDEV.P(Tab.11[data]),AVERAGE(Tab.11[b6])+Tab.11[[#This Row],[b8]]*_xlfn.STDEV.P(Tab.11[data])))</f>
        <v>0</v>
      </c>
      <c r="S213" s="71" t="b">
        <f>IF(Tab.11[[#This Row],[a1]]=1,$I$3+$A$987+IF($K$3=0,Tab.11[[#This Row],[b9]]*_xlfn.STDEV.P(Tab.11[data]),AVERAGE(Tab.11[b6])+Tab.11[[#This Row],[b9]]*_xlfn.STDEV.P(Tab.11[data])))</f>
        <v>0</v>
      </c>
      <c r="T213" s="71" t="b">
        <f>IF(Tab.11[[#This Row],[a1]]=1,$I$3+$A$988+IF($K$3=0,Tab.11[[#This Row],[b10]]*_xlfn.STDEV.P(Tab.11[data]),AVERAGE(Tab.11[b6])+Tab.11[[#This Row],[b10]]*_xlfn.STDEV.P(Tab.11[data])))</f>
        <v>0</v>
      </c>
      <c r="U213" s="72" t="b">
        <f>IF(Tab.11[[#This Row],[a1]]=1,Tab.11[[#This Row],[target]]-Tab.11[[#This Row],[Red]])</f>
        <v>0</v>
      </c>
      <c r="V213" s="72" t="b">
        <f>IF(Tab.11[[#This Row],[a1]]=1,Tab.11[[#This Row],[target]]-Tab.11[[#This Row],[Blue]])</f>
        <v>0</v>
      </c>
      <c r="W213" s="73" t="b">
        <f>IF(Tab.11[[#This Row],[a1]]=1,IF(ABS(Tab.11[[#This Row],[b17]])+ABS(Tab.11[[#This Row],[b18]])&lt;$W$2,$W$2,ABS(Tab.11[[#This Row],[b17]])+ABS(Tab.11[[#This Row],[b18]])))</f>
        <v>0</v>
      </c>
      <c r="X213" s="136" t="b">
        <f>IF(Tab.11[[#This Row],[a1]]=1,IF($W$3&lt;0,Tab.11[[#This Row],[IN]]-$I$3,Tab.11[[#This Row],[IN]]))</f>
        <v>0</v>
      </c>
      <c r="Y213" s="136" t="b">
        <f>IF(Tab.11[[#This Row],[a1]]=1,IF($X$3=0,Tab.11[b66],Tab.11[[#This Row],[b66]]-AVERAGE(Tab.11[b66])))</f>
        <v>0</v>
      </c>
      <c r="Z213" s="135" t="b">
        <f>IF(Tab.11[[#This Row],[a1]]=1,Tab.11[[#This Row],[b77]]/(_xlfn.STDEV.P(Tab.11[b77])))</f>
        <v>0</v>
      </c>
      <c r="AA213" s="70" t="b">
        <f>IF(Tab.11[[#This Row],[a1]]=1,_xlfn.NORM.DIST(Tab.11[[#This Row],[b88]],$Z$1,$AA$1,FALSE))</f>
        <v>0</v>
      </c>
      <c r="AB213" s="74" t="b">
        <f>IF(Tab.11[[#This Row],[a1]]=1,IF($A$3=0,FALSE,1/Tab.11[[#This Row],[IN]]*$AC$2*IF(Tab.11[[#This Row],[a1]]=0,,$A$3*$AC$1*1/$V$3*(Tab.11[[#This Row],[b14]]))))</f>
        <v>0</v>
      </c>
      <c r="AC213" s="75" t="b">
        <f>IF(Tab.11[[#This Row],[a1]]=1,IF($AC$3=0,Tab.11[[#This Row],[φ1]],Tab.11[[#This Row],[φ1]]/MAX(Tab.11[φ1])))</f>
        <v>0</v>
      </c>
      <c r="AD213" s="74" t="b">
        <f>IF(Tab.11[[#This Row],[a1]]=1,1/Tab.11[[#This Row],[φ2]])</f>
        <v>0</v>
      </c>
      <c r="AE213" s="74" t="b">
        <f>IF(Tab.11[[#This Row],[a1]]=1,IF($AE$3=0,Tab.11[[#This Row],[w.0]],Tab.11[[#This Row],[w.0]]/SUM(Tab.11[w.0])))</f>
        <v>0</v>
      </c>
      <c r="AF213" s="76" t="str">
        <f>IF(Tab.11[[#This Row],[a1]]=0,"false",[3]!Tab.x5[[#This Row],[%_seN_C]])</f>
        <v>false</v>
      </c>
      <c r="AG213" s="77" t="b">
        <f>IF(Tab.11[[#This Row],[a1]]=1,AP213)</f>
        <v>0</v>
      </c>
      <c r="AH213" s="78" t="b">
        <f>IF(Tab.11[[#This Row],[a1]]=1,AQ213)</f>
        <v>0</v>
      </c>
      <c r="AI213" s="41">
        <v>3.0000000000000001E-3</v>
      </c>
      <c r="AJ213" s="79">
        <v>0.06</v>
      </c>
      <c r="AK213" s="80" t="b">
        <f>IF(Tab.11[[#This Row],[a1]]=1,1)</f>
        <v>0</v>
      </c>
      <c r="AZ213"/>
    </row>
    <row r="214" spans="1:52" ht="14.25" hidden="1" customHeight="1" x14ac:dyDescent="0.25">
      <c r="A214" s="61">
        <f t="shared" si="9"/>
        <v>0</v>
      </c>
      <c r="B214" s="62">
        <f t="shared" si="9"/>
        <v>0</v>
      </c>
      <c r="C214" s="62" t="b">
        <f>IF(Tab.11[[#This Row],[a1]]=1,[3]!Tab_x1[[#This Row],[Name]])</f>
        <v>0</v>
      </c>
      <c r="D214" s="63" t="b">
        <f>IF(Tab.11[[#This Row],[a1]]=1,AO214)</f>
        <v>0</v>
      </c>
      <c r="E214" s="63">
        <f t="shared" si="8"/>
        <v>0</v>
      </c>
      <c r="F214" s="64" t="b">
        <f>IF(Tab.11[[#This Row],[a1]]=1,Tab.11[[#This Row],[b1]])</f>
        <v>0</v>
      </c>
      <c r="G214" s="65" t="b">
        <f>IF(Tab.11[[#This Row],[a1]]=1,IF(Tab.11[[#This Row],[b3]]&gt;$L$989*$G$3,$L$989*$G$3,IF(Tab.11[[#This Row],[b3]]&lt;$M$989*$G$3,$M$989*$G$3,Tab.11[[#This Row],[b3]])))</f>
        <v>0</v>
      </c>
      <c r="H214" s="66" t="b">
        <f>IF(Tab.11[[#This Row],[a1]]=1,Tab.11[[#This Row],[b1]])</f>
        <v>0</v>
      </c>
      <c r="I214" s="67" t="b">
        <f>IF(Tab.11[[#This Row],[a1]]=1,Tab.11[[#This Row],[b1]])</f>
        <v>0</v>
      </c>
      <c r="J214" s="68" t="b">
        <f>IF(Tab.11[[#This Row],[a1]]=1,IF($I$3&lt;0,Tab.11[[#This Row],[b5]]-$I$3,Tab.11[[#This Row],[b5]]))</f>
        <v>0</v>
      </c>
      <c r="K214" s="68" t="b">
        <f>IF(Tab.11[[#This Row],[a1]]=1,IF($K$3=0,Tab.11[b6],Tab.11[[#This Row],[b6]]-AVERAGE(Tab.11[b6])))</f>
        <v>0</v>
      </c>
      <c r="L214" s="69" t="b">
        <f>IF(Tab.11[[#This Row],[a1]]=1,Tab.11[[#This Row],[data]]/(_xlfn.STDEV.P(Tab.11[data])*$B$989)+$A$989)</f>
        <v>0</v>
      </c>
      <c r="M214" s="69" t="b">
        <f>IF(Tab.11[[#This Row],[a1]]=1,Tab.11[[#This Row],[data]]/(_xlfn.STDEV.P(Tab.11[data])*$B$987)-$A$987)</f>
        <v>0</v>
      </c>
      <c r="N214" s="69" t="b">
        <f>IF(Tab.11[[#This Row],[a1]]=1,Tab.11[[#This Row],[data]]/(_xlfn.STDEV.P(Tab.11[data])*$B$988)+$A$988)</f>
        <v>0</v>
      </c>
      <c r="O214" s="70" t="b">
        <f>IF(Tab.11[[#This Row],[a1]]=1,_xlfn.NORM.DIST(Tab.11[[#This Row],[b8]],$P$1,$Q$1,FALSE))</f>
        <v>0</v>
      </c>
      <c r="P214" s="70" t="b">
        <f>IF(Tab.11[[#This Row],[a1]]=1,_xlfn.NORM.DIST(Tab.11[[#This Row],[b9]],$P$1,$Q$1,FALSE))</f>
        <v>0</v>
      </c>
      <c r="Q214" s="70" t="b">
        <f>IF(Tab.11[[#This Row],[a1]]=1,_xlfn.NORM.DIST(Tab.11[[#This Row],[b10]],$P$1,$Q$1,FALSE))</f>
        <v>0</v>
      </c>
      <c r="R214" s="67" t="b">
        <f>IF(Tab.11[[#This Row],[a1]]=1,$I$3+$A$989+IF($K$3=0,Tab.11[[#This Row],[b8]]*_xlfn.STDEV.P(Tab.11[data]),AVERAGE(Tab.11[b6])+Tab.11[[#This Row],[b8]]*_xlfn.STDEV.P(Tab.11[data])))</f>
        <v>0</v>
      </c>
      <c r="S214" s="71" t="b">
        <f>IF(Tab.11[[#This Row],[a1]]=1,$I$3+$A$987+IF($K$3=0,Tab.11[[#This Row],[b9]]*_xlfn.STDEV.P(Tab.11[data]),AVERAGE(Tab.11[b6])+Tab.11[[#This Row],[b9]]*_xlfn.STDEV.P(Tab.11[data])))</f>
        <v>0</v>
      </c>
      <c r="T214" s="71" t="b">
        <f>IF(Tab.11[[#This Row],[a1]]=1,$I$3+$A$988+IF($K$3=0,Tab.11[[#This Row],[b10]]*_xlfn.STDEV.P(Tab.11[data]),AVERAGE(Tab.11[b6])+Tab.11[[#This Row],[b10]]*_xlfn.STDEV.P(Tab.11[data])))</f>
        <v>0</v>
      </c>
      <c r="U214" s="72" t="b">
        <f>IF(Tab.11[[#This Row],[a1]]=1,Tab.11[[#This Row],[target]]-Tab.11[[#This Row],[Red]])</f>
        <v>0</v>
      </c>
      <c r="V214" s="72" t="b">
        <f>IF(Tab.11[[#This Row],[a1]]=1,Tab.11[[#This Row],[target]]-Tab.11[[#This Row],[Blue]])</f>
        <v>0</v>
      </c>
      <c r="W214" s="73" t="b">
        <f>IF(Tab.11[[#This Row],[a1]]=1,IF(ABS(Tab.11[[#This Row],[b17]])+ABS(Tab.11[[#This Row],[b18]])&lt;$W$2,$W$2,ABS(Tab.11[[#This Row],[b17]])+ABS(Tab.11[[#This Row],[b18]])))</f>
        <v>0</v>
      </c>
      <c r="X214" s="136" t="b">
        <f>IF(Tab.11[[#This Row],[a1]]=1,IF($W$3&lt;0,Tab.11[[#This Row],[IN]]-$I$3,Tab.11[[#This Row],[IN]]))</f>
        <v>0</v>
      </c>
      <c r="Y214" s="136" t="b">
        <f>IF(Tab.11[[#This Row],[a1]]=1,IF($X$3=0,Tab.11[b66],Tab.11[[#This Row],[b66]]-AVERAGE(Tab.11[b66])))</f>
        <v>0</v>
      </c>
      <c r="Z214" s="135" t="b">
        <f>IF(Tab.11[[#This Row],[a1]]=1,Tab.11[[#This Row],[b77]]/(_xlfn.STDEV.P(Tab.11[b77])))</f>
        <v>0</v>
      </c>
      <c r="AA214" s="70" t="b">
        <f>IF(Tab.11[[#This Row],[a1]]=1,_xlfn.NORM.DIST(Tab.11[[#This Row],[b88]],$Z$1,$AA$1,FALSE))</f>
        <v>0</v>
      </c>
      <c r="AB214" s="74" t="b">
        <f>IF(Tab.11[[#This Row],[a1]]=1,IF($A$3=0,FALSE,1/Tab.11[[#This Row],[IN]]*$AC$2*IF(Tab.11[[#This Row],[a1]]=0,,$A$3*$AC$1*1/$V$3*(Tab.11[[#This Row],[b14]]))))</f>
        <v>0</v>
      </c>
      <c r="AC214" s="75" t="b">
        <f>IF(Tab.11[[#This Row],[a1]]=1,IF($AC$3=0,Tab.11[[#This Row],[φ1]],Tab.11[[#This Row],[φ1]]/MAX(Tab.11[φ1])))</f>
        <v>0</v>
      </c>
      <c r="AD214" s="74" t="b">
        <f>IF(Tab.11[[#This Row],[a1]]=1,1/Tab.11[[#This Row],[φ2]])</f>
        <v>0</v>
      </c>
      <c r="AE214" s="74" t="b">
        <f>IF(Tab.11[[#This Row],[a1]]=1,IF($AE$3=0,Tab.11[[#This Row],[w.0]],Tab.11[[#This Row],[w.0]]/SUM(Tab.11[w.0])))</f>
        <v>0</v>
      </c>
      <c r="AF214" s="76" t="str">
        <f>IF(Tab.11[[#This Row],[a1]]=0,"false",[3]!Tab.x5[[#This Row],[%_seN_C]])</f>
        <v>false</v>
      </c>
      <c r="AG214" s="77" t="b">
        <f>IF(Tab.11[[#This Row],[a1]]=1,AP214)</f>
        <v>0</v>
      </c>
      <c r="AH214" s="78" t="b">
        <f>IF(Tab.11[[#This Row],[a1]]=1,AQ214)</f>
        <v>0</v>
      </c>
      <c r="AI214" s="41">
        <v>3.0000000000000001E-3</v>
      </c>
      <c r="AJ214" s="79">
        <v>-0.1</v>
      </c>
      <c r="AK214" s="80" t="b">
        <f>IF(Tab.11[[#This Row],[a1]]=1,1)</f>
        <v>0</v>
      </c>
      <c r="AZ214"/>
    </row>
    <row r="215" spans="1:52" ht="14.25" hidden="1" customHeight="1" x14ac:dyDescent="0.25">
      <c r="A215" s="61">
        <f t="shared" si="9"/>
        <v>0</v>
      </c>
      <c r="B215" s="62">
        <f t="shared" si="9"/>
        <v>0</v>
      </c>
      <c r="C215" s="62" t="b">
        <f>IF(Tab.11[[#This Row],[a1]]=1,[3]!Tab_x1[[#This Row],[Name]])</f>
        <v>0</v>
      </c>
      <c r="D215" s="63" t="b">
        <f>IF(Tab.11[[#This Row],[a1]]=1,AO215)</f>
        <v>0</v>
      </c>
      <c r="E215" s="63">
        <f t="shared" si="8"/>
        <v>0</v>
      </c>
      <c r="F215" s="64" t="b">
        <f>IF(Tab.11[[#This Row],[a1]]=1,Tab.11[[#This Row],[b1]])</f>
        <v>0</v>
      </c>
      <c r="G215" s="65" t="b">
        <f>IF(Tab.11[[#This Row],[a1]]=1,IF(Tab.11[[#This Row],[b3]]&gt;$L$989*$G$3,$L$989*$G$3,IF(Tab.11[[#This Row],[b3]]&lt;$M$989*$G$3,$M$989*$G$3,Tab.11[[#This Row],[b3]])))</f>
        <v>0</v>
      </c>
      <c r="H215" s="66" t="b">
        <f>IF(Tab.11[[#This Row],[a1]]=1,Tab.11[[#This Row],[b1]])</f>
        <v>0</v>
      </c>
      <c r="I215" s="67" t="b">
        <f>IF(Tab.11[[#This Row],[a1]]=1,Tab.11[[#This Row],[b1]])</f>
        <v>0</v>
      </c>
      <c r="J215" s="68" t="b">
        <f>IF(Tab.11[[#This Row],[a1]]=1,IF($I$3&lt;0,Tab.11[[#This Row],[b5]]-$I$3,Tab.11[[#This Row],[b5]]))</f>
        <v>0</v>
      </c>
      <c r="K215" s="68" t="b">
        <f>IF(Tab.11[[#This Row],[a1]]=1,IF($K$3=0,Tab.11[b6],Tab.11[[#This Row],[b6]]-AVERAGE(Tab.11[b6])))</f>
        <v>0</v>
      </c>
      <c r="L215" s="69" t="b">
        <f>IF(Tab.11[[#This Row],[a1]]=1,Tab.11[[#This Row],[data]]/(_xlfn.STDEV.P(Tab.11[data])*$B$989)+$A$989)</f>
        <v>0</v>
      </c>
      <c r="M215" s="69" t="b">
        <f>IF(Tab.11[[#This Row],[a1]]=1,Tab.11[[#This Row],[data]]/(_xlfn.STDEV.P(Tab.11[data])*$B$987)-$A$987)</f>
        <v>0</v>
      </c>
      <c r="N215" s="69" t="b">
        <f>IF(Tab.11[[#This Row],[a1]]=1,Tab.11[[#This Row],[data]]/(_xlfn.STDEV.P(Tab.11[data])*$B$988)+$A$988)</f>
        <v>0</v>
      </c>
      <c r="O215" s="70" t="b">
        <f>IF(Tab.11[[#This Row],[a1]]=1,_xlfn.NORM.DIST(Tab.11[[#This Row],[b8]],$P$1,$Q$1,FALSE))</f>
        <v>0</v>
      </c>
      <c r="P215" s="70" t="b">
        <f>IF(Tab.11[[#This Row],[a1]]=1,_xlfn.NORM.DIST(Tab.11[[#This Row],[b9]],$P$1,$Q$1,FALSE))</f>
        <v>0</v>
      </c>
      <c r="Q215" s="70" t="b">
        <f>IF(Tab.11[[#This Row],[a1]]=1,_xlfn.NORM.DIST(Tab.11[[#This Row],[b10]],$P$1,$Q$1,FALSE))</f>
        <v>0</v>
      </c>
      <c r="R215" s="67" t="b">
        <f>IF(Tab.11[[#This Row],[a1]]=1,$I$3+$A$989+IF($K$3=0,Tab.11[[#This Row],[b8]]*_xlfn.STDEV.P(Tab.11[data]),AVERAGE(Tab.11[b6])+Tab.11[[#This Row],[b8]]*_xlfn.STDEV.P(Tab.11[data])))</f>
        <v>0</v>
      </c>
      <c r="S215" s="71" t="b">
        <f>IF(Tab.11[[#This Row],[a1]]=1,$I$3+$A$987+IF($K$3=0,Tab.11[[#This Row],[b9]]*_xlfn.STDEV.P(Tab.11[data]),AVERAGE(Tab.11[b6])+Tab.11[[#This Row],[b9]]*_xlfn.STDEV.P(Tab.11[data])))</f>
        <v>0</v>
      </c>
      <c r="T215" s="71" t="b">
        <f>IF(Tab.11[[#This Row],[a1]]=1,$I$3+$A$988+IF($K$3=0,Tab.11[[#This Row],[b10]]*_xlfn.STDEV.P(Tab.11[data]),AVERAGE(Tab.11[b6])+Tab.11[[#This Row],[b10]]*_xlfn.STDEV.P(Tab.11[data])))</f>
        <v>0</v>
      </c>
      <c r="U215" s="72" t="b">
        <f>IF(Tab.11[[#This Row],[a1]]=1,Tab.11[[#This Row],[target]]-Tab.11[[#This Row],[Red]])</f>
        <v>0</v>
      </c>
      <c r="V215" s="72" t="b">
        <f>IF(Tab.11[[#This Row],[a1]]=1,Tab.11[[#This Row],[target]]-Tab.11[[#This Row],[Blue]])</f>
        <v>0</v>
      </c>
      <c r="W215" s="73" t="b">
        <f>IF(Tab.11[[#This Row],[a1]]=1,IF(ABS(Tab.11[[#This Row],[b17]])+ABS(Tab.11[[#This Row],[b18]])&lt;$W$2,$W$2,ABS(Tab.11[[#This Row],[b17]])+ABS(Tab.11[[#This Row],[b18]])))</f>
        <v>0</v>
      </c>
      <c r="X215" s="136" t="b">
        <f>IF(Tab.11[[#This Row],[a1]]=1,IF($W$3&lt;0,Tab.11[[#This Row],[IN]]-$I$3,Tab.11[[#This Row],[IN]]))</f>
        <v>0</v>
      </c>
      <c r="Y215" s="136" t="b">
        <f>IF(Tab.11[[#This Row],[a1]]=1,IF($X$3=0,Tab.11[b66],Tab.11[[#This Row],[b66]]-AVERAGE(Tab.11[b66])))</f>
        <v>0</v>
      </c>
      <c r="Z215" s="135" t="b">
        <f>IF(Tab.11[[#This Row],[a1]]=1,Tab.11[[#This Row],[b77]]/(_xlfn.STDEV.P(Tab.11[b77])))</f>
        <v>0</v>
      </c>
      <c r="AA215" s="70" t="b">
        <f>IF(Tab.11[[#This Row],[a1]]=1,_xlfn.NORM.DIST(Tab.11[[#This Row],[b88]],$Z$1,$AA$1,FALSE))</f>
        <v>0</v>
      </c>
      <c r="AB215" s="74" t="b">
        <f>IF(Tab.11[[#This Row],[a1]]=1,IF($A$3=0,FALSE,1/Tab.11[[#This Row],[IN]]*$AC$2*IF(Tab.11[[#This Row],[a1]]=0,,$A$3*$AC$1*1/$V$3*(Tab.11[[#This Row],[b14]]))))</f>
        <v>0</v>
      </c>
      <c r="AC215" s="75" t="b">
        <f>IF(Tab.11[[#This Row],[a1]]=1,IF($AC$3=0,Tab.11[[#This Row],[φ1]],Tab.11[[#This Row],[φ1]]/MAX(Tab.11[φ1])))</f>
        <v>0</v>
      </c>
      <c r="AD215" s="74" t="b">
        <f>IF(Tab.11[[#This Row],[a1]]=1,1/Tab.11[[#This Row],[φ2]])</f>
        <v>0</v>
      </c>
      <c r="AE215" s="74" t="b">
        <f>IF(Tab.11[[#This Row],[a1]]=1,IF($AE$3=0,Tab.11[[#This Row],[w.0]],Tab.11[[#This Row],[w.0]]/SUM(Tab.11[w.0])))</f>
        <v>0</v>
      </c>
      <c r="AF215" s="76" t="str">
        <f>IF(Tab.11[[#This Row],[a1]]=0,"false",[3]!Tab.x5[[#This Row],[%_seN_C]])</f>
        <v>false</v>
      </c>
      <c r="AG215" s="77" t="b">
        <f>IF(Tab.11[[#This Row],[a1]]=1,AP215)</f>
        <v>0</v>
      </c>
      <c r="AH215" s="78" t="b">
        <f>IF(Tab.11[[#This Row],[a1]]=1,AQ215)</f>
        <v>0</v>
      </c>
      <c r="AI215" s="41">
        <v>3.0000000000000001E-3</v>
      </c>
      <c r="AJ215" s="79">
        <v>-0.09</v>
      </c>
      <c r="AK215" s="80" t="b">
        <f>IF(Tab.11[[#This Row],[a1]]=1,1)</f>
        <v>0</v>
      </c>
      <c r="AZ215"/>
    </row>
    <row r="216" spans="1:52" ht="14.25" hidden="1" customHeight="1" x14ac:dyDescent="0.25">
      <c r="A216" s="61">
        <f t="shared" si="9"/>
        <v>0</v>
      </c>
      <c r="B216" s="62">
        <f t="shared" si="9"/>
        <v>0</v>
      </c>
      <c r="C216" s="62" t="b">
        <f>IF(Tab.11[[#This Row],[a1]]=1,[3]!Tab_x1[[#This Row],[Name]])</f>
        <v>0</v>
      </c>
      <c r="D216" s="63" t="b">
        <f>IF(Tab.11[[#This Row],[a1]]=1,AO216)</f>
        <v>0</v>
      </c>
      <c r="E216" s="63">
        <f t="shared" si="8"/>
        <v>0</v>
      </c>
      <c r="F216" s="64" t="b">
        <f>IF(Tab.11[[#This Row],[a1]]=1,Tab.11[[#This Row],[b1]])</f>
        <v>0</v>
      </c>
      <c r="G216" s="65" t="b">
        <f>IF(Tab.11[[#This Row],[a1]]=1,IF(Tab.11[[#This Row],[b3]]&gt;$L$989*$G$3,$L$989*$G$3,IF(Tab.11[[#This Row],[b3]]&lt;$M$989*$G$3,$M$989*$G$3,Tab.11[[#This Row],[b3]])))</f>
        <v>0</v>
      </c>
      <c r="H216" s="66" t="b">
        <f>IF(Tab.11[[#This Row],[a1]]=1,Tab.11[[#This Row],[b1]])</f>
        <v>0</v>
      </c>
      <c r="I216" s="67" t="b">
        <f>IF(Tab.11[[#This Row],[a1]]=1,Tab.11[[#This Row],[b1]])</f>
        <v>0</v>
      </c>
      <c r="J216" s="68" t="b">
        <f>IF(Tab.11[[#This Row],[a1]]=1,IF($I$3&lt;0,Tab.11[[#This Row],[b5]]-$I$3,Tab.11[[#This Row],[b5]]))</f>
        <v>0</v>
      </c>
      <c r="K216" s="68" t="b">
        <f>IF(Tab.11[[#This Row],[a1]]=1,IF($K$3=0,Tab.11[b6],Tab.11[[#This Row],[b6]]-AVERAGE(Tab.11[b6])))</f>
        <v>0</v>
      </c>
      <c r="L216" s="69" t="b">
        <f>IF(Tab.11[[#This Row],[a1]]=1,Tab.11[[#This Row],[data]]/(_xlfn.STDEV.P(Tab.11[data])*$B$989)+$A$989)</f>
        <v>0</v>
      </c>
      <c r="M216" s="69" t="b">
        <f>IF(Tab.11[[#This Row],[a1]]=1,Tab.11[[#This Row],[data]]/(_xlfn.STDEV.P(Tab.11[data])*$B$987)-$A$987)</f>
        <v>0</v>
      </c>
      <c r="N216" s="69" t="b">
        <f>IF(Tab.11[[#This Row],[a1]]=1,Tab.11[[#This Row],[data]]/(_xlfn.STDEV.P(Tab.11[data])*$B$988)+$A$988)</f>
        <v>0</v>
      </c>
      <c r="O216" s="70" t="b">
        <f>IF(Tab.11[[#This Row],[a1]]=1,_xlfn.NORM.DIST(Tab.11[[#This Row],[b8]],$P$1,$Q$1,FALSE))</f>
        <v>0</v>
      </c>
      <c r="P216" s="70" t="b">
        <f>IF(Tab.11[[#This Row],[a1]]=1,_xlfn.NORM.DIST(Tab.11[[#This Row],[b9]],$P$1,$Q$1,FALSE))</f>
        <v>0</v>
      </c>
      <c r="Q216" s="70" t="b">
        <f>IF(Tab.11[[#This Row],[a1]]=1,_xlfn.NORM.DIST(Tab.11[[#This Row],[b10]],$P$1,$Q$1,FALSE))</f>
        <v>0</v>
      </c>
      <c r="R216" s="67" t="b">
        <f>IF(Tab.11[[#This Row],[a1]]=1,$I$3+$A$989+IF($K$3=0,Tab.11[[#This Row],[b8]]*_xlfn.STDEV.P(Tab.11[data]),AVERAGE(Tab.11[b6])+Tab.11[[#This Row],[b8]]*_xlfn.STDEV.P(Tab.11[data])))</f>
        <v>0</v>
      </c>
      <c r="S216" s="71" t="b">
        <f>IF(Tab.11[[#This Row],[a1]]=1,$I$3+$A$987+IF($K$3=0,Tab.11[[#This Row],[b9]]*_xlfn.STDEV.P(Tab.11[data]),AVERAGE(Tab.11[b6])+Tab.11[[#This Row],[b9]]*_xlfn.STDEV.P(Tab.11[data])))</f>
        <v>0</v>
      </c>
      <c r="T216" s="71" t="b">
        <f>IF(Tab.11[[#This Row],[a1]]=1,$I$3+$A$988+IF($K$3=0,Tab.11[[#This Row],[b10]]*_xlfn.STDEV.P(Tab.11[data]),AVERAGE(Tab.11[b6])+Tab.11[[#This Row],[b10]]*_xlfn.STDEV.P(Tab.11[data])))</f>
        <v>0</v>
      </c>
      <c r="U216" s="72" t="b">
        <f>IF(Tab.11[[#This Row],[a1]]=1,Tab.11[[#This Row],[target]]-Tab.11[[#This Row],[Red]])</f>
        <v>0</v>
      </c>
      <c r="V216" s="72" t="b">
        <f>IF(Tab.11[[#This Row],[a1]]=1,Tab.11[[#This Row],[target]]-Tab.11[[#This Row],[Blue]])</f>
        <v>0</v>
      </c>
      <c r="W216" s="73" t="b">
        <f>IF(Tab.11[[#This Row],[a1]]=1,IF(ABS(Tab.11[[#This Row],[b17]])+ABS(Tab.11[[#This Row],[b18]])&lt;$W$2,$W$2,ABS(Tab.11[[#This Row],[b17]])+ABS(Tab.11[[#This Row],[b18]])))</f>
        <v>0</v>
      </c>
      <c r="X216" s="136" t="b">
        <f>IF(Tab.11[[#This Row],[a1]]=1,IF($W$3&lt;0,Tab.11[[#This Row],[IN]]-$I$3,Tab.11[[#This Row],[IN]]))</f>
        <v>0</v>
      </c>
      <c r="Y216" s="136" t="b">
        <f>IF(Tab.11[[#This Row],[a1]]=1,IF($X$3=0,Tab.11[b66],Tab.11[[#This Row],[b66]]-AVERAGE(Tab.11[b66])))</f>
        <v>0</v>
      </c>
      <c r="Z216" s="135" t="b">
        <f>IF(Tab.11[[#This Row],[a1]]=1,Tab.11[[#This Row],[b77]]/(_xlfn.STDEV.P(Tab.11[b77])))</f>
        <v>0</v>
      </c>
      <c r="AA216" s="70" t="b">
        <f>IF(Tab.11[[#This Row],[a1]]=1,_xlfn.NORM.DIST(Tab.11[[#This Row],[b88]],$Z$1,$AA$1,FALSE))</f>
        <v>0</v>
      </c>
      <c r="AB216" s="74" t="b">
        <f>IF(Tab.11[[#This Row],[a1]]=1,IF($A$3=0,FALSE,1/Tab.11[[#This Row],[IN]]*$AC$2*IF(Tab.11[[#This Row],[a1]]=0,,$A$3*$AC$1*1/$V$3*(Tab.11[[#This Row],[b14]]))))</f>
        <v>0</v>
      </c>
      <c r="AC216" s="75" t="b">
        <f>IF(Tab.11[[#This Row],[a1]]=1,IF($AC$3=0,Tab.11[[#This Row],[φ1]],Tab.11[[#This Row],[φ1]]/MAX(Tab.11[φ1])))</f>
        <v>0</v>
      </c>
      <c r="AD216" s="74" t="b">
        <f>IF(Tab.11[[#This Row],[a1]]=1,1/Tab.11[[#This Row],[φ2]])</f>
        <v>0</v>
      </c>
      <c r="AE216" s="74" t="b">
        <f>IF(Tab.11[[#This Row],[a1]]=1,IF($AE$3=0,Tab.11[[#This Row],[w.0]],Tab.11[[#This Row],[w.0]]/SUM(Tab.11[w.0])))</f>
        <v>0</v>
      </c>
      <c r="AF216" s="76" t="str">
        <f>IF(Tab.11[[#This Row],[a1]]=0,"false",[3]!Tab.x5[[#This Row],[%_seN_C]])</f>
        <v>false</v>
      </c>
      <c r="AG216" s="77" t="b">
        <f>IF(Tab.11[[#This Row],[a1]]=1,AP216)</f>
        <v>0</v>
      </c>
      <c r="AH216" s="78" t="b">
        <f>IF(Tab.11[[#This Row],[a1]]=1,AQ216)</f>
        <v>0</v>
      </c>
      <c r="AI216" s="41">
        <v>3.0000000000000001E-3</v>
      </c>
      <c r="AJ216" s="79">
        <v>-0.04</v>
      </c>
      <c r="AK216" s="80" t="b">
        <f>IF(Tab.11[[#This Row],[a1]]=1,1)</f>
        <v>0</v>
      </c>
      <c r="AZ216"/>
    </row>
    <row r="217" spans="1:52" ht="14.25" hidden="1" customHeight="1" x14ac:dyDescent="0.25">
      <c r="A217" s="61">
        <f t="shared" si="9"/>
        <v>0</v>
      </c>
      <c r="B217" s="62">
        <f t="shared" si="9"/>
        <v>0</v>
      </c>
      <c r="C217" s="62" t="b">
        <f>IF(Tab.11[[#This Row],[a1]]=1,[3]!Tab_x1[[#This Row],[Name]])</f>
        <v>0</v>
      </c>
      <c r="D217" s="63" t="b">
        <f>IF(Tab.11[[#This Row],[a1]]=1,AO217)</f>
        <v>0</v>
      </c>
      <c r="E217" s="63">
        <f t="shared" si="8"/>
        <v>0</v>
      </c>
      <c r="F217" s="64" t="b">
        <f>IF(Tab.11[[#This Row],[a1]]=1,Tab.11[[#This Row],[b1]])</f>
        <v>0</v>
      </c>
      <c r="G217" s="65" t="b">
        <f>IF(Tab.11[[#This Row],[a1]]=1,IF(Tab.11[[#This Row],[b3]]&gt;$L$989*$G$3,$L$989*$G$3,IF(Tab.11[[#This Row],[b3]]&lt;$M$989*$G$3,$M$989*$G$3,Tab.11[[#This Row],[b3]])))</f>
        <v>0</v>
      </c>
      <c r="H217" s="66" t="b">
        <f>IF(Tab.11[[#This Row],[a1]]=1,Tab.11[[#This Row],[b1]])</f>
        <v>0</v>
      </c>
      <c r="I217" s="67" t="b">
        <f>IF(Tab.11[[#This Row],[a1]]=1,Tab.11[[#This Row],[b1]])</f>
        <v>0</v>
      </c>
      <c r="J217" s="68" t="b">
        <f>IF(Tab.11[[#This Row],[a1]]=1,IF($I$3&lt;0,Tab.11[[#This Row],[b5]]-$I$3,Tab.11[[#This Row],[b5]]))</f>
        <v>0</v>
      </c>
      <c r="K217" s="68" t="b">
        <f>IF(Tab.11[[#This Row],[a1]]=1,IF($K$3=0,Tab.11[b6],Tab.11[[#This Row],[b6]]-AVERAGE(Tab.11[b6])))</f>
        <v>0</v>
      </c>
      <c r="L217" s="69" t="b">
        <f>IF(Tab.11[[#This Row],[a1]]=1,Tab.11[[#This Row],[data]]/(_xlfn.STDEV.P(Tab.11[data])*$B$989)+$A$989)</f>
        <v>0</v>
      </c>
      <c r="M217" s="69" t="b">
        <f>IF(Tab.11[[#This Row],[a1]]=1,Tab.11[[#This Row],[data]]/(_xlfn.STDEV.P(Tab.11[data])*$B$987)-$A$987)</f>
        <v>0</v>
      </c>
      <c r="N217" s="69" t="b">
        <f>IF(Tab.11[[#This Row],[a1]]=1,Tab.11[[#This Row],[data]]/(_xlfn.STDEV.P(Tab.11[data])*$B$988)+$A$988)</f>
        <v>0</v>
      </c>
      <c r="O217" s="70" t="b">
        <f>IF(Tab.11[[#This Row],[a1]]=1,_xlfn.NORM.DIST(Tab.11[[#This Row],[b8]],$P$1,$Q$1,FALSE))</f>
        <v>0</v>
      </c>
      <c r="P217" s="70" t="b">
        <f>IF(Tab.11[[#This Row],[a1]]=1,_xlfn.NORM.DIST(Tab.11[[#This Row],[b9]],$P$1,$Q$1,FALSE))</f>
        <v>0</v>
      </c>
      <c r="Q217" s="70" t="b">
        <f>IF(Tab.11[[#This Row],[a1]]=1,_xlfn.NORM.DIST(Tab.11[[#This Row],[b10]],$P$1,$Q$1,FALSE))</f>
        <v>0</v>
      </c>
      <c r="R217" s="67" t="b">
        <f>IF(Tab.11[[#This Row],[a1]]=1,$I$3+$A$989+IF($K$3=0,Tab.11[[#This Row],[b8]]*_xlfn.STDEV.P(Tab.11[data]),AVERAGE(Tab.11[b6])+Tab.11[[#This Row],[b8]]*_xlfn.STDEV.P(Tab.11[data])))</f>
        <v>0</v>
      </c>
      <c r="S217" s="71" t="b">
        <f>IF(Tab.11[[#This Row],[a1]]=1,$I$3+$A$987+IF($K$3=0,Tab.11[[#This Row],[b9]]*_xlfn.STDEV.P(Tab.11[data]),AVERAGE(Tab.11[b6])+Tab.11[[#This Row],[b9]]*_xlfn.STDEV.P(Tab.11[data])))</f>
        <v>0</v>
      </c>
      <c r="T217" s="71" t="b">
        <f>IF(Tab.11[[#This Row],[a1]]=1,$I$3+$A$988+IF($K$3=0,Tab.11[[#This Row],[b10]]*_xlfn.STDEV.P(Tab.11[data]),AVERAGE(Tab.11[b6])+Tab.11[[#This Row],[b10]]*_xlfn.STDEV.P(Tab.11[data])))</f>
        <v>0</v>
      </c>
      <c r="U217" s="72" t="b">
        <f>IF(Tab.11[[#This Row],[a1]]=1,Tab.11[[#This Row],[target]]-Tab.11[[#This Row],[Red]])</f>
        <v>0</v>
      </c>
      <c r="V217" s="72" t="b">
        <f>IF(Tab.11[[#This Row],[a1]]=1,Tab.11[[#This Row],[target]]-Tab.11[[#This Row],[Blue]])</f>
        <v>0</v>
      </c>
      <c r="W217" s="73" t="b">
        <f>IF(Tab.11[[#This Row],[a1]]=1,IF(ABS(Tab.11[[#This Row],[b17]])+ABS(Tab.11[[#This Row],[b18]])&lt;$W$2,$W$2,ABS(Tab.11[[#This Row],[b17]])+ABS(Tab.11[[#This Row],[b18]])))</f>
        <v>0</v>
      </c>
      <c r="X217" s="136" t="b">
        <f>IF(Tab.11[[#This Row],[a1]]=1,IF($W$3&lt;0,Tab.11[[#This Row],[IN]]-$I$3,Tab.11[[#This Row],[IN]]))</f>
        <v>0</v>
      </c>
      <c r="Y217" s="136" t="b">
        <f>IF(Tab.11[[#This Row],[a1]]=1,IF($X$3=0,Tab.11[b66],Tab.11[[#This Row],[b66]]-AVERAGE(Tab.11[b66])))</f>
        <v>0</v>
      </c>
      <c r="Z217" s="135" t="b">
        <f>IF(Tab.11[[#This Row],[a1]]=1,Tab.11[[#This Row],[b77]]/(_xlfn.STDEV.P(Tab.11[b77])))</f>
        <v>0</v>
      </c>
      <c r="AA217" s="70" t="b">
        <f>IF(Tab.11[[#This Row],[a1]]=1,_xlfn.NORM.DIST(Tab.11[[#This Row],[b88]],$Z$1,$AA$1,FALSE))</f>
        <v>0</v>
      </c>
      <c r="AB217" s="74" t="b">
        <f>IF(Tab.11[[#This Row],[a1]]=1,IF($A$3=0,FALSE,1/Tab.11[[#This Row],[IN]]*$AC$2*IF(Tab.11[[#This Row],[a1]]=0,,$A$3*$AC$1*1/$V$3*(Tab.11[[#This Row],[b14]]))))</f>
        <v>0</v>
      </c>
      <c r="AC217" s="75" t="b">
        <f>IF(Tab.11[[#This Row],[a1]]=1,IF($AC$3=0,Tab.11[[#This Row],[φ1]],Tab.11[[#This Row],[φ1]]/MAX(Tab.11[φ1])))</f>
        <v>0</v>
      </c>
      <c r="AD217" s="74" t="b">
        <f>IF(Tab.11[[#This Row],[a1]]=1,1/Tab.11[[#This Row],[φ2]])</f>
        <v>0</v>
      </c>
      <c r="AE217" s="74" t="b">
        <f>IF(Tab.11[[#This Row],[a1]]=1,IF($AE$3=0,Tab.11[[#This Row],[w.0]],Tab.11[[#This Row],[w.0]]/SUM(Tab.11[w.0])))</f>
        <v>0</v>
      </c>
      <c r="AF217" s="76" t="str">
        <f>IF(Tab.11[[#This Row],[a1]]=0,"false",[3]!Tab.x5[[#This Row],[%_seN_C]])</f>
        <v>false</v>
      </c>
      <c r="AG217" s="77" t="b">
        <f>IF(Tab.11[[#This Row],[a1]]=1,AP217)</f>
        <v>0</v>
      </c>
      <c r="AH217" s="78" t="b">
        <f>IF(Tab.11[[#This Row],[a1]]=1,AQ217)</f>
        <v>0</v>
      </c>
      <c r="AI217" s="41">
        <v>3.0000000000000001E-3</v>
      </c>
      <c r="AJ217" s="79">
        <v>-7.0000000000000007E-2</v>
      </c>
      <c r="AK217" s="80" t="b">
        <f>IF(Tab.11[[#This Row],[a1]]=1,1)</f>
        <v>0</v>
      </c>
      <c r="AZ217"/>
    </row>
    <row r="218" spans="1:52" ht="14.25" hidden="1" customHeight="1" x14ac:dyDescent="0.25">
      <c r="A218" s="61">
        <f t="shared" si="9"/>
        <v>0</v>
      </c>
      <c r="B218" s="62">
        <f t="shared" si="9"/>
        <v>0</v>
      </c>
      <c r="C218" s="62" t="b">
        <f>IF(Tab.11[[#This Row],[a1]]=1,[3]!Tab_x1[[#This Row],[Name]])</f>
        <v>0</v>
      </c>
      <c r="D218" s="63" t="b">
        <f>IF(Tab.11[[#This Row],[a1]]=1,AO218)</f>
        <v>0</v>
      </c>
      <c r="E218" s="63">
        <f t="shared" si="8"/>
        <v>0</v>
      </c>
      <c r="F218" s="64" t="b">
        <f>IF(Tab.11[[#This Row],[a1]]=1,Tab.11[[#This Row],[b1]])</f>
        <v>0</v>
      </c>
      <c r="G218" s="65" t="b">
        <f>IF(Tab.11[[#This Row],[a1]]=1,IF(Tab.11[[#This Row],[b3]]&gt;$L$989*$G$3,$L$989*$G$3,IF(Tab.11[[#This Row],[b3]]&lt;$M$989*$G$3,$M$989*$G$3,Tab.11[[#This Row],[b3]])))</f>
        <v>0</v>
      </c>
      <c r="H218" s="66" t="b">
        <f>IF(Tab.11[[#This Row],[a1]]=1,Tab.11[[#This Row],[b1]])</f>
        <v>0</v>
      </c>
      <c r="I218" s="67" t="b">
        <f>IF(Tab.11[[#This Row],[a1]]=1,Tab.11[[#This Row],[b1]])</f>
        <v>0</v>
      </c>
      <c r="J218" s="68" t="b">
        <f>IF(Tab.11[[#This Row],[a1]]=1,IF($I$3&lt;0,Tab.11[[#This Row],[b5]]-$I$3,Tab.11[[#This Row],[b5]]))</f>
        <v>0</v>
      </c>
      <c r="K218" s="68" t="b">
        <f>IF(Tab.11[[#This Row],[a1]]=1,IF($K$3=0,Tab.11[b6],Tab.11[[#This Row],[b6]]-AVERAGE(Tab.11[b6])))</f>
        <v>0</v>
      </c>
      <c r="L218" s="69" t="b">
        <f>IF(Tab.11[[#This Row],[a1]]=1,Tab.11[[#This Row],[data]]/(_xlfn.STDEV.P(Tab.11[data])*$B$989)+$A$989)</f>
        <v>0</v>
      </c>
      <c r="M218" s="69" t="b">
        <f>IF(Tab.11[[#This Row],[a1]]=1,Tab.11[[#This Row],[data]]/(_xlfn.STDEV.P(Tab.11[data])*$B$987)-$A$987)</f>
        <v>0</v>
      </c>
      <c r="N218" s="69" t="b">
        <f>IF(Tab.11[[#This Row],[a1]]=1,Tab.11[[#This Row],[data]]/(_xlfn.STDEV.P(Tab.11[data])*$B$988)+$A$988)</f>
        <v>0</v>
      </c>
      <c r="O218" s="70" t="b">
        <f>IF(Tab.11[[#This Row],[a1]]=1,_xlfn.NORM.DIST(Tab.11[[#This Row],[b8]],$P$1,$Q$1,FALSE))</f>
        <v>0</v>
      </c>
      <c r="P218" s="70" t="b">
        <f>IF(Tab.11[[#This Row],[a1]]=1,_xlfn.NORM.DIST(Tab.11[[#This Row],[b9]],$P$1,$Q$1,FALSE))</f>
        <v>0</v>
      </c>
      <c r="Q218" s="70" t="b">
        <f>IF(Tab.11[[#This Row],[a1]]=1,_xlfn.NORM.DIST(Tab.11[[#This Row],[b10]],$P$1,$Q$1,FALSE))</f>
        <v>0</v>
      </c>
      <c r="R218" s="67" t="b">
        <f>IF(Tab.11[[#This Row],[a1]]=1,$I$3+$A$989+IF($K$3=0,Tab.11[[#This Row],[b8]]*_xlfn.STDEV.P(Tab.11[data]),AVERAGE(Tab.11[b6])+Tab.11[[#This Row],[b8]]*_xlfn.STDEV.P(Tab.11[data])))</f>
        <v>0</v>
      </c>
      <c r="S218" s="71" t="b">
        <f>IF(Tab.11[[#This Row],[a1]]=1,$I$3+$A$987+IF($K$3=0,Tab.11[[#This Row],[b9]]*_xlfn.STDEV.P(Tab.11[data]),AVERAGE(Tab.11[b6])+Tab.11[[#This Row],[b9]]*_xlfn.STDEV.P(Tab.11[data])))</f>
        <v>0</v>
      </c>
      <c r="T218" s="71" t="b">
        <f>IF(Tab.11[[#This Row],[a1]]=1,$I$3+$A$988+IF($K$3=0,Tab.11[[#This Row],[b10]]*_xlfn.STDEV.P(Tab.11[data]),AVERAGE(Tab.11[b6])+Tab.11[[#This Row],[b10]]*_xlfn.STDEV.P(Tab.11[data])))</f>
        <v>0</v>
      </c>
      <c r="U218" s="72" t="b">
        <f>IF(Tab.11[[#This Row],[a1]]=1,Tab.11[[#This Row],[target]]-Tab.11[[#This Row],[Red]])</f>
        <v>0</v>
      </c>
      <c r="V218" s="72" t="b">
        <f>IF(Tab.11[[#This Row],[a1]]=1,Tab.11[[#This Row],[target]]-Tab.11[[#This Row],[Blue]])</f>
        <v>0</v>
      </c>
      <c r="W218" s="73" t="b">
        <f>IF(Tab.11[[#This Row],[a1]]=1,IF(ABS(Tab.11[[#This Row],[b17]])+ABS(Tab.11[[#This Row],[b18]])&lt;$W$2,$W$2,ABS(Tab.11[[#This Row],[b17]])+ABS(Tab.11[[#This Row],[b18]])))</f>
        <v>0</v>
      </c>
      <c r="X218" s="136" t="b">
        <f>IF(Tab.11[[#This Row],[a1]]=1,IF($W$3&lt;0,Tab.11[[#This Row],[IN]]-$I$3,Tab.11[[#This Row],[IN]]))</f>
        <v>0</v>
      </c>
      <c r="Y218" s="136" t="b">
        <f>IF(Tab.11[[#This Row],[a1]]=1,IF($X$3=0,Tab.11[b66],Tab.11[[#This Row],[b66]]-AVERAGE(Tab.11[b66])))</f>
        <v>0</v>
      </c>
      <c r="Z218" s="135" t="b">
        <f>IF(Tab.11[[#This Row],[a1]]=1,Tab.11[[#This Row],[b77]]/(_xlfn.STDEV.P(Tab.11[b77])))</f>
        <v>0</v>
      </c>
      <c r="AA218" s="70" t="b">
        <f>IF(Tab.11[[#This Row],[a1]]=1,_xlfn.NORM.DIST(Tab.11[[#This Row],[b88]],$Z$1,$AA$1,FALSE))</f>
        <v>0</v>
      </c>
      <c r="AB218" s="74" t="b">
        <f>IF(Tab.11[[#This Row],[a1]]=1,IF($A$3=0,FALSE,1/Tab.11[[#This Row],[IN]]*$AC$2*IF(Tab.11[[#This Row],[a1]]=0,,$A$3*$AC$1*1/$V$3*(Tab.11[[#This Row],[b14]]))))</f>
        <v>0</v>
      </c>
      <c r="AC218" s="75" t="b">
        <f>IF(Tab.11[[#This Row],[a1]]=1,IF($AC$3=0,Tab.11[[#This Row],[φ1]],Tab.11[[#This Row],[φ1]]/MAX(Tab.11[φ1])))</f>
        <v>0</v>
      </c>
      <c r="AD218" s="74" t="b">
        <f>IF(Tab.11[[#This Row],[a1]]=1,1/Tab.11[[#This Row],[φ2]])</f>
        <v>0</v>
      </c>
      <c r="AE218" s="74" t="b">
        <f>IF(Tab.11[[#This Row],[a1]]=1,IF($AE$3=0,Tab.11[[#This Row],[w.0]],Tab.11[[#This Row],[w.0]]/SUM(Tab.11[w.0])))</f>
        <v>0</v>
      </c>
      <c r="AF218" s="76" t="str">
        <f>IF(Tab.11[[#This Row],[a1]]=0,"false",[3]!Tab.x5[[#This Row],[%_seN_C]])</f>
        <v>false</v>
      </c>
      <c r="AG218" s="77" t="b">
        <f>IF(Tab.11[[#This Row],[a1]]=1,AP218)</f>
        <v>0</v>
      </c>
      <c r="AH218" s="78" t="b">
        <f>IF(Tab.11[[#This Row],[a1]]=1,AQ218)</f>
        <v>0</v>
      </c>
      <c r="AI218" s="41">
        <v>3.0000000000000001E-3</v>
      </c>
      <c r="AJ218" s="79">
        <v>0.01</v>
      </c>
      <c r="AK218" s="80" t="b">
        <f>IF(Tab.11[[#This Row],[a1]]=1,1)</f>
        <v>0</v>
      </c>
      <c r="AZ218"/>
    </row>
    <row r="219" spans="1:52" ht="14.25" hidden="1" customHeight="1" x14ac:dyDescent="0.25">
      <c r="A219" s="61">
        <f t="shared" si="9"/>
        <v>0</v>
      </c>
      <c r="B219" s="62">
        <f t="shared" si="9"/>
        <v>0</v>
      </c>
      <c r="C219" s="62" t="b">
        <f>IF(Tab.11[[#This Row],[a1]]=1,[3]!Tab_x1[[#This Row],[Name]])</f>
        <v>0</v>
      </c>
      <c r="D219" s="63" t="b">
        <f>IF(Tab.11[[#This Row],[a1]]=1,AO219)</f>
        <v>0</v>
      </c>
      <c r="E219" s="63">
        <f t="shared" si="8"/>
        <v>0</v>
      </c>
      <c r="F219" s="64" t="b">
        <f>IF(Tab.11[[#This Row],[a1]]=1,Tab.11[[#This Row],[b1]])</f>
        <v>0</v>
      </c>
      <c r="G219" s="65" t="b">
        <f>IF(Tab.11[[#This Row],[a1]]=1,IF(Tab.11[[#This Row],[b3]]&gt;$L$989*$G$3,$L$989*$G$3,IF(Tab.11[[#This Row],[b3]]&lt;$M$989*$G$3,$M$989*$G$3,Tab.11[[#This Row],[b3]])))</f>
        <v>0</v>
      </c>
      <c r="H219" s="66" t="b">
        <f>IF(Tab.11[[#This Row],[a1]]=1,Tab.11[[#This Row],[b1]])</f>
        <v>0</v>
      </c>
      <c r="I219" s="67" t="b">
        <f>IF(Tab.11[[#This Row],[a1]]=1,Tab.11[[#This Row],[b1]])</f>
        <v>0</v>
      </c>
      <c r="J219" s="68" t="b">
        <f>IF(Tab.11[[#This Row],[a1]]=1,IF($I$3&lt;0,Tab.11[[#This Row],[b5]]-$I$3,Tab.11[[#This Row],[b5]]))</f>
        <v>0</v>
      </c>
      <c r="K219" s="68" t="b">
        <f>IF(Tab.11[[#This Row],[a1]]=1,IF($K$3=0,Tab.11[b6],Tab.11[[#This Row],[b6]]-AVERAGE(Tab.11[b6])))</f>
        <v>0</v>
      </c>
      <c r="L219" s="69" t="b">
        <f>IF(Tab.11[[#This Row],[a1]]=1,Tab.11[[#This Row],[data]]/(_xlfn.STDEV.P(Tab.11[data])*$B$989)+$A$989)</f>
        <v>0</v>
      </c>
      <c r="M219" s="69" t="b">
        <f>IF(Tab.11[[#This Row],[a1]]=1,Tab.11[[#This Row],[data]]/(_xlfn.STDEV.P(Tab.11[data])*$B$987)-$A$987)</f>
        <v>0</v>
      </c>
      <c r="N219" s="69" t="b">
        <f>IF(Tab.11[[#This Row],[a1]]=1,Tab.11[[#This Row],[data]]/(_xlfn.STDEV.P(Tab.11[data])*$B$988)+$A$988)</f>
        <v>0</v>
      </c>
      <c r="O219" s="70" t="b">
        <f>IF(Tab.11[[#This Row],[a1]]=1,_xlfn.NORM.DIST(Tab.11[[#This Row],[b8]],$P$1,$Q$1,FALSE))</f>
        <v>0</v>
      </c>
      <c r="P219" s="70" t="b">
        <f>IF(Tab.11[[#This Row],[a1]]=1,_xlfn.NORM.DIST(Tab.11[[#This Row],[b9]],$P$1,$Q$1,FALSE))</f>
        <v>0</v>
      </c>
      <c r="Q219" s="70" t="b">
        <f>IF(Tab.11[[#This Row],[a1]]=1,_xlfn.NORM.DIST(Tab.11[[#This Row],[b10]],$P$1,$Q$1,FALSE))</f>
        <v>0</v>
      </c>
      <c r="R219" s="67" t="b">
        <f>IF(Tab.11[[#This Row],[a1]]=1,$I$3+$A$989+IF($K$3=0,Tab.11[[#This Row],[b8]]*_xlfn.STDEV.P(Tab.11[data]),AVERAGE(Tab.11[b6])+Tab.11[[#This Row],[b8]]*_xlfn.STDEV.P(Tab.11[data])))</f>
        <v>0</v>
      </c>
      <c r="S219" s="71" t="b">
        <f>IF(Tab.11[[#This Row],[a1]]=1,$I$3+$A$987+IF($K$3=0,Tab.11[[#This Row],[b9]]*_xlfn.STDEV.P(Tab.11[data]),AVERAGE(Tab.11[b6])+Tab.11[[#This Row],[b9]]*_xlfn.STDEV.P(Tab.11[data])))</f>
        <v>0</v>
      </c>
      <c r="T219" s="71" t="b">
        <f>IF(Tab.11[[#This Row],[a1]]=1,$I$3+$A$988+IF($K$3=0,Tab.11[[#This Row],[b10]]*_xlfn.STDEV.P(Tab.11[data]),AVERAGE(Tab.11[b6])+Tab.11[[#This Row],[b10]]*_xlfn.STDEV.P(Tab.11[data])))</f>
        <v>0</v>
      </c>
      <c r="U219" s="72" t="b">
        <f>IF(Tab.11[[#This Row],[a1]]=1,Tab.11[[#This Row],[target]]-Tab.11[[#This Row],[Red]])</f>
        <v>0</v>
      </c>
      <c r="V219" s="72" t="b">
        <f>IF(Tab.11[[#This Row],[a1]]=1,Tab.11[[#This Row],[target]]-Tab.11[[#This Row],[Blue]])</f>
        <v>0</v>
      </c>
      <c r="W219" s="73" t="b">
        <f>IF(Tab.11[[#This Row],[a1]]=1,IF(ABS(Tab.11[[#This Row],[b17]])+ABS(Tab.11[[#This Row],[b18]])&lt;$W$2,$W$2,ABS(Tab.11[[#This Row],[b17]])+ABS(Tab.11[[#This Row],[b18]])))</f>
        <v>0</v>
      </c>
      <c r="X219" s="136" t="b">
        <f>IF(Tab.11[[#This Row],[a1]]=1,IF($W$3&lt;0,Tab.11[[#This Row],[IN]]-$I$3,Tab.11[[#This Row],[IN]]))</f>
        <v>0</v>
      </c>
      <c r="Y219" s="136" t="b">
        <f>IF(Tab.11[[#This Row],[a1]]=1,IF($X$3=0,Tab.11[b66],Tab.11[[#This Row],[b66]]-AVERAGE(Tab.11[b66])))</f>
        <v>0</v>
      </c>
      <c r="Z219" s="135" t="b">
        <f>IF(Tab.11[[#This Row],[a1]]=1,Tab.11[[#This Row],[b77]]/(_xlfn.STDEV.P(Tab.11[b77])))</f>
        <v>0</v>
      </c>
      <c r="AA219" s="70" t="b">
        <f>IF(Tab.11[[#This Row],[a1]]=1,_xlfn.NORM.DIST(Tab.11[[#This Row],[b88]],$Z$1,$AA$1,FALSE))</f>
        <v>0</v>
      </c>
      <c r="AB219" s="74" t="b">
        <f>IF(Tab.11[[#This Row],[a1]]=1,IF($A$3=0,FALSE,1/Tab.11[[#This Row],[IN]]*$AC$2*IF(Tab.11[[#This Row],[a1]]=0,,$A$3*$AC$1*1/$V$3*(Tab.11[[#This Row],[b14]]))))</f>
        <v>0</v>
      </c>
      <c r="AC219" s="75" t="b">
        <f>IF(Tab.11[[#This Row],[a1]]=1,IF($AC$3=0,Tab.11[[#This Row],[φ1]],Tab.11[[#This Row],[φ1]]/MAX(Tab.11[φ1])))</f>
        <v>0</v>
      </c>
      <c r="AD219" s="74" t="b">
        <f>IF(Tab.11[[#This Row],[a1]]=1,1/Tab.11[[#This Row],[φ2]])</f>
        <v>0</v>
      </c>
      <c r="AE219" s="74" t="b">
        <f>IF(Tab.11[[#This Row],[a1]]=1,IF($AE$3=0,Tab.11[[#This Row],[w.0]],Tab.11[[#This Row],[w.0]]/SUM(Tab.11[w.0])))</f>
        <v>0</v>
      </c>
      <c r="AF219" s="76" t="str">
        <f>IF(Tab.11[[#This Row],[a1]]=0,"false",[3]!Tab.x5[[#This Row],[%_seN_C]])</f>
        <v>false</v>
      </c>
      <c r="AG219" s="77" t="b">
        <f>IF(Tab.11[[#This Row],[a1]]=1,AP219)</f>
        <v>0</v>
      </c>
      <c r="AH219" s="78" t="b">
        <f>IF(Tab.11[[#This Row],[a1]]=1,AQ219)</f>
        <v>0</v>
      </c>
      <c r="AI219" s="41">
        <v>3.0000000000000001E-3</v>
      </c>
      <c r="AJ219" s="79">
        <v>0.05</v>
      </c>
      <c r="AK219" s="80" t="b">
        <f>IF(Tab.11[[#This Row],[a1]]=1,1)</f>
        <v>0</v>
      </c>
      <c r="AZ219"/>
    </row>
    <row r="220" spans="1:52" ht="14.25" hidden="1" customHeight="1" x14ac:dyDescent="0.25">
      <c r="A220" s="61">
        <f t="shared" si="9"/>
        <v>0</v>
      </c>
      <c r="B220" s="62">
        <f t="shared" si="9"/>
        <v>0</v>
      </c>
      <c r="C220" s="62" t="b">
        <f>IF(Tab.11[[#This Row],[a1]]=1,[3]!Tab_x1[[#This Row],[Name]])</f>
        <v>0</v>
      </c>
      <c r="D220" s="63" t="b">
        <f>IF(Tab.11[[#This Row],[a1]]=1,AO220)</f>
        <v>0</v>
      </c>
      <c r="E220" s="63">
        <f t="shared" si="8"/>
        <v>0</v>
      </c>
      <c r="F220" s="64" t="b">
        <f>IF(Tab.11[[#This Row],[a1]]=1,Tab.11[[#This Row],[b1]])</f>
        <v>0</v>
      </c>
      <c r="G220" s="65" t="b">
        <f>IF(Tab.11[[#This Row],[a1]]=1,IF(Tab.11[[#This Row],[b3]]&gt;$L$989*$G$3,$L$989*$G$3,IF(Tab.11[[#This Row],[b3]]&lt;$M$989*$G$3,$M$989*$G$3,Tab.11[[#This Row],[b3]])))</f>
        <v>0</v>
      </c>
      <c r="H220" s="66" t="b">
        <f>IF(Tab.11[[#This Row],[a1]]=1,Tab.11[[#This Row],[b1]])</f>
        <v>0</v>
      </c>
      <c r="I220" s="67" t="b">
        <f>IF(Tab.11[[#This Row],[a1]]=1,Tab.11[[#This Row],[b1]])</f>
        <v>0</v>
      </c>
      <c r="J220" s="68" t="b">
        <f>IF(Tab.11[[#This Row],[a1]]=1,IF($I$3&lt;0,Tab.11[[#This Row],[b5]]-$I$3,Tab.11[[#This Row],[b5]]))</f>
        <v>0</v>
      </c>
      <c r="K220" s="68" t="b">
        <f>IF(Tab.11[[#This Row],[a1]]=1,IF($K$3=0,Tab.11[b6],Tab.11[[#This Row],[b6]]-AVERAGE(Tab.11[b6])))</f>
        <v>0</v>
      </c>
      <c r="L220" s="69" t="b">
        <f>IF(Tab.11[[#This Row],[a1]]=1,Tab.11[[#This Row],[data]]/(_xlfn.STDEV.P(Tab.11[data])*$B$989)+$A$989)</f>
        <v>0</v>
      </c>
      <c r="M220" s="69" t="b">
        <f>IF(Tab.11[[#This Row],[a1]]=1,Tab.11[[#This Row],[data]]/(_xlfn.STDEV.P(Tab.11[data])*$B$987)-$A$987)</f>
        <v>0</v>
      </c>
      <c r="N220" s="69" t="b">
        <f>IF(Tab.11[[#This Row],[a1]]=1,Tab.11[[#This Row],[data]]/(_xlfn.STDEV.P(Tab.11[data])*$B$988)+$A$988)</f>
        <v>0</v>
      </c>
      <c r="O220" s="70" t="b">
        <f>IF(Tab.11[[#This Row],[a1]]=1,_xlfn.NORM.DIST(Tab.11[[#This Row],[b8]],$P$1,$Q$1,FALSE))</f>
        <v>0</v>
      </c>
      <c r="P220" s="70" t="b">
        <f>IF(Tab.11[[#This Row],[a1]]=1,_xlfn.NORM.DIST(Tab.11[[#This Row],[b9]],$P$1,$Q$1,FALSE))</f>
        <v>0</v>
      </c>
      <c r="Q220" s="70" t="b">
        <f>IF(Tab.11[[#This Row],[a1]]=1,_xlfn.NORM.DIST(Tab.11[[#This Row],[b10]],$P$1,$Q$1,FALSE))</f>
        <v>0</v>
      </c>
      <c r="R220" s="67" t="b">
        <f>IF(Tab.11[[#This Row],[a1]]=1,$I$3+$A$989+IF($K$3=0,Tab.11[[#This Row],[b8]]*_xlfn.STDEV.P(Tab.11[data]),AVERAGE(Tab.11[b6])+Tab.11[[#This Row],[b8]]*_xlfn.STDEV.P(Tab.11[data])))</f>
        <v>0</v>
      </c>
      <c r="S220" s="71" t="b">
        <f>IF(Tab.11[[#This Row],[a1]]=1,$I$3+$A$987+IF($K$3=0,Tab.11[[#This Row],[b9]]*_xlfn.STDEV.P(Tab.11[data]),AVERAGE(Tab.11[b6])+Tab.11[[#This Row],[b9]]*_xlfn.STDEV.P(Tab.11[data])))</f>
        <v>0</v>
      </c>
      <c r="T220" s="71" t="b">
        <f>IF(Tab.11[[#This Row],[a1]]=1,$I$3+$A$988+IF($K$3=0,Tab.11[[#This Row],[b10]]*_xlfn.STDEV.P(Tab.11[data]),AVERAGE(Tab.11[b6])+Tab.11[[#This Row],[b10]]*_xlfn.STDEV.P(Tab.11[data])))</f>
        <v>0</v>
      </c>
      <c r="U220" s="72" t="b">
        <f>IF(Tab.11[[#This Row],[a1]]=1,Tab.11[[#This Row],[target]]-Tab.11[[#This Row],[Red]])</f>
        <v>0</v>
      </c>
      <c r="V220" s="72" t="b">
        <f>IF(Tab.11[[#This Row],[a1]]=1,Tab.11[[#This Row],[target]]-Tab.11[[#This Row],[Blue]])</f>
        <v>0</v>
      </c>
      <c r="W220" s="73" t="b">
        <f>IF(Tab.11[[#This Row],[a1]]=1,IF(ABS(Tab.11[[#This Row],[b17]])+ABS(Tab.11[[#This Row],[b18]])&lt;$W$2,$W$2,ABS(Tab.11[[#This Row],[b17]])+ABS(Tab.11[[#This Row],[b18]])))</f>
        <v>0</v>
      </c>
      <c r="X220" s="136" t="b">
        <f>IF(Tab.11[[#This Row],[a1]]=1,IF($W$3&lt;0,Tab.11[[#This Row],[IN]]-$I$3,Tab.11[[#This Row],[IN]]))</f>
        <v>0</v>
      </c>
      <c r="Y220" s="136" t="b">
        <f>IF(Tab.11[[#This Row],[a1]]=1,IF($X$3=0,Tab.11[b66],Tab.11[[#This Row],[b66]]-AVERAGE(Tab.11[b66])))</f>
        <v>0</v>
      </c>
      <c r="Z220" s="135" t="b">
        <f>IF(Tab.11[[#This Row],[a1]]=1,Tab.11[[#This Row],[b77]]/(_xlfn.STDEV.P(Tab.11[b77])))</f>
        <v>0</v>
      </c>
      <c r="AA220" s="70" t="b">
        <f>IF(Tab.11[[#This Row],[a1]]=1,_xlfn.NORM.DIST(Tab.11[[#This Row],[b88]],$Z$1,$AA$1,FALSE))</f>
        <v>0</v>
      </c>
      <c r="AB220" s="74" t="b">
        <f>IF(Tab.11[[#This Row],[a1]]=1,IF($A$3=0,FALSE,1/Tab.11[[#This Row],[IN]]*$AC$2*IF(Tab.11[[#This Row],[a1]]=0,,$A$3*$AC$1*1/$V$3*(Tab.11[[#This Row],[b14]]))))</f>
        <v>0</v>
      </c>
      <c r="AC220" s="75" t="b">
        <f>IF(Tab.11[[#This Row],[a1]]=1,IF($AC$3=0,Tab.11[[#This Row],[φ1]],Tab.11[[#This Row],[φ1]]/MAX(Tab.11[φ1])))</f>
        <v>0</v>
      </c>
      <c r="AD220" s="74" t="b">
        <f>IF(Tab.11[[#This Row],[a1]]=1,1/Tab.11[[#This Row],[φ2]])</f>
        <v>0</v>
      </c>
      <c r="AE220" s="74" t="b">
        <f>IF(Tab.11[[#This Row],[a1]]=1,IF($AE$3=0,Tab.11[[#This Row],[w.0]],Tab.11[[#This Row],[w.0]]/SUM(Tab.11[w.0])))</f>
        <v>0</v>
      </c>
      <c r="AF220" s="76" t="str">
        <f>IF(Tab.11[[#This Row],[a1]]=0,"false",[3]!Tab.x5[[#This Row],[%_seN_C]])</f>
        <v>false</v>
      </c>
      <c r="AG220" s="77" t="b">
        <f>IF(Tab.11[[#This Row],[a1]]=1,AP220)</f>
        <v>0</v>
      </c>
      <c r="AH220" s="78" t="b">
        <f>IF(Tab.11[[#This Row],[a1]]=1,AQ220)</f>
        <v>0</v>
      </c>
      <c r="AI220" s="41">
        <v>3.0000000000000001E-3</v>
      </c>
      <c r="AJ220" s="79">
        <v>-0.02</v>
      </c>
      <c r="AK220" s="80" t="b">
        <f>IF(Tab.11[[#This Row],[a1]]=1,1)</f>
        <v>0</v>
      </c>
      <c r="AZ220"/>
    </row>
    <row r="221" spans="1:52" ht="14.25" hidden="1" customHeight="1" x14ac:dyDescent="0.25">
      <c r="A221" s="61">
        <f t="shared" si="9"/>
        <v>0</v>
      </c>
      <c r="B221" s="62">
        <f t="shared" si="9"/>
        <v>0</v>
      </c>
      <c r="C221" s="62" t="b">
        <f>IF(Tab.11[[#This Row],[a1]]=1,[3]!Tab_x1[[#This Row],[Name]])</f>
        <v>0</v>
      </c>
      <c r="D221" s="63" t="b">
        <f>IF(Tab.11[[#This Row],[a1]]=1,AO221)</f>
        <v>0</v>
      </c>
      <c r="E221" s="63">
        <f t="shared" si="8"/>
        <v>0</v>
      </c>
      <c r="F221" s="64" t="b">
        <f>IF(Tab.11[[#This Row],[a1]]=1,Tab.11[[#This Row],[b1]])</f>
        <v>0</v>
      </c>
      <c r="G221" s="65" t="b">
        <f>IF(Tab.11[[#This Row],[a1]]=1,IF(Tab.11[[#This Row],[b3]]&gt;$L$989*$G$3,$L$989*$G$3,IF(Tab.11[[#This Row],[b3]]&lt;$M$989*$G$3,$M$989*$G$3,Tab.11[[#This Row],[b3]])))</f>
        <v>0</v>
      </c>
      <c r="H221" s="66" t="b">
        <f>IF(Tab.11[[#This Row],[a1]]=1,Tab.11[[#This Row],[b1]])</f>
        <v>0</v>
      </c>
      <c r="I221" s="67" t="b">
        <f>IF(Tab.11[[#This Row],[a1]]=1,Tab.11[[#This Row],[b1]])</f>
        <v>0</v>
      </c>
      <c r="J221" s="68" t="b">
        <f>IF(Tab.11[[#This Row],[a1]]=1,IF($I$3&lt;0,Tab.11[[#This Row],[b5]]-$I$3,Tab.11[[#This Row],[b5]]))</f>
        <v>0</v>
      </c>
      <c r="K221" s="68" t="b">
        <f>IF(Tab.11[[#This Row],[a1]]=1,IF($K$3=0,Tab.11[b6],Tab.11[[#This Row],[b6]]-AVERAGE(Tab.11[b6])))</f>
        <v>0</v>
      </c>
      <c r="L221" s="69" t="b">
        <f>IF(Tab.11[[#This Row],[a1]]=1,Tab.11[[#This Row],[data]]/(_xlfn.STDEV.P(Tab.11[data])*$B$989)+$A$989)</f>
        <v>0</v>
      </c>
      <c r="M221" s="69" t="b">
        <f>IF(Tab.11[[#This Row],[a1]]=1,Tab.11[[#This Row],[data]]/(_xlfn.STDEV.P(Tab.11[data])*$B$987)-$A$987)</f>
        <v>0</v>
      </c>
      <c r="N221" s="69" t="b">
        <f>IF(Tab.11[[#This Row],[a1]]=1,Tab.11[[#This Row],[data]]/(_xlfn.STDEV.P(Tab.11[data])*$B$988)+$A$988)</f>
        <v>0</v>
      </c>
      <c r="O221" s="70" t="b">
        <f>IF(Tab.11[[#This Row],[a1]]=1,_xlfn.NORM.DIST(Tab.11[[#This Row],[b8]],$P$1,$Q$1,FALSE))</f>
        <v>0</v>
      </c>
      <c r="P221" s="70" t="b">
        <f>IF(Tab.11[[#This Row],[a1]]=1,_xlfn.NORM.DIST(Tab.11[[#This Row],[b9]],$P$1,$Q$1,FALSE))</f>
        <v>0</v>
      </c>
      <c r="Q221" s="70" t="b">
        <f>IF(Tab.11[[#This Row],[a1]]=1,_xlfn.NORM.DIST(Tab.11[[#This Row],[b10]],$P$1,$Q$1,FALSE))</f>
        <v>0</v>
      </c>
      <c r="R221" s="67" t="b">
        <f>IF(Tab.11[[#This Row],[a1]]=1,$I$3+$A$989+IF($K$3=0,Tab.11[[#This Row],[b8]]*_xlfn.STDEV.P(Tab.11[data]),AVERAGE(Tab.11[b6])+Tab.11[[#This Row],[b8]]*_xlfn.STDEV.P(Tab.11[data])))</f>
        <v>0</v>
      </c>
      <c r="S221" s="71" t="b">
        <f>IF(Tab.11[[#This Row],[a1]]=1,$I$3+$A$987+IF($K$3=0,Tab.11[[#This Row],[b9]]*_xlfn.STDEV.P(Tab.11[data]),AVERAGE(Tab.11[b6])+Tab.11[[#This Row],[b9]]*_xlfn.STDEV.P(Tab.11[data])))</f>
        <v>0</v>
      </c>
      <c r="T221" s="71" t="b">
        <f>IF(Tab.11[[#This Row],[a1]]=1,$I$3+$A$988+IF($K$3=0,Tab.11[[#This Row],[b10]]*_xlfn.STDEV.P(Tab.11[data]),AVERAGE(Tab.11[b6])+Tab.11[[#This Row],[b10]]*_xlfn.STDEV.P(Tab.11[data])))</f>
        <v>0</v>
      </c>
      <c r="U221" s="72" t="b">
        <f>IF(Tab.11[[#This Row],[a1]]=1,Tab.11[[#This Row],[target]]-Tab.11[[#This Row],[Red]])</f>
        <v>0</v>
      </c>
      <c r="V221" s="72" t="b">
        <f>IF(Tab.11[[#This Row],[a1]]=1,Tab.11[[#This Row],[target]]-Tab.11[[#This Row],[Blue]])</f>
        <v>0</v>
      </c>
      <c r="W221" s="73" t="b">
        <f>IF(Tab.11[[#This Row],[a1]]=1,IF(ABS(Tab.11[[#This Row],[b17]])+ABS(Tab.11[[#This Row],[b18]])&lt;$W$2,$W$2,ABS(Tab.11[[#This Row],[b17]])+ABS(Tab.11[[#This Row],[b18]])))</f>
        <v>0</v>
      </c>
      <c r="X221" s="136" t="b">
        <f>IF(Tab.11[[#This Row],[a1]]=1,IF($W$3&lt;0,Tab.11[[#This Row],[IN]]-$I$3,Tab.11[[#This Row],[IN]]))</f>
        <v>0</v>
      </c>
      <c r="Y221" s="136" t="b">
        <f>IF(Tab.11[[#This Row],[a1]]=1,IF($X$3=0,Tab.11[b66],Tab.11[[#This Row],[b66]]-AVERAGE(Tab.11[b66])))</f>
        <v>0</v>
      </c>
      <c r="Z221" s="135" t="b">
        <f>IF(Tab.11[[#This Row],[a1]]=1,Tab.11[[#This Row],[b77]]/(_xlfn.STDEV.P(Tab.11[b77])))</f>
        <v>0</v>
      </c>
      <c r="AA221" s="70" t="b">
        <f>IF(Tab.11[[#This Row],[a1]]=1,_xlfn.NORM.DIST(Tab.11[[#This Row],[b88]],$Z$1,$AA$1,FALSE))</f>
        <v>0</v>
      </c>
      <c r="AB221" s="74" t="b">
        <f>IF(Tab.11[[#This Row],[a1]]=1,IF($A$3=0,FALSE,1/Tab.11[[#This Row],[IN]]*$AC$2*IF(Tab.11[[#This Row],[a1]]=0,,$A$3*$AC$1*1/$V$3*(Tab.11[[#This Row],[b14]]))))</f>
        <v>0</v>
      </c>
      <c r="AC221" s="75" t="b">
        <f>IF(Tab.11[[#This Row],[a1]]=1,IF($AC$3=0,Tab.11[[#This Row],[φ1]],Tab.11[[#This Row],[φ1]]/MAX(Tab.11[φ1])))</f>
        <v>0</v>
      </c>
      <c r="AD221" s="74" t="b">
        <f>IF(Tab.11[[#This Row],[a1]]=1,1/Tab.11[[#This Row],[φ2]])</f>
        <v>0</v>
      </c>
      <c r="AE221" s="74" t="b">
        <f>IF(Tab.11[[#This Row],[a1]]=1,IF($AE$3=0,Tab.11[[#This Row],[w.0]],Tab.11[[#This Row],[w.0]]/SUM(Tab.11[w.0])))</f>
        <v>0</v>
      </c>
      <c r="AF221" s="76" t="str">
        <f>IF(Tab.11[[#This Row],[a1]]=0,"false",[3]!Tab.x5[[#This Row],[%_seN_C]])</f>
        <v>false</v>
      </c>
      <c r="AG221" s="77" t="b">
        <f>IF(Tab.11[[#This Row],[a1]]=1,AP221)</f>
        <v>0</v>
      </c>
      <c r="AH221" s="78" t="b">
        <f>IF(Tab.11[[#This Row],[a1]]=1,AQ221)</f>
        <v>0</v>
      </c>
      <c r="AI221" s="41">
        <v>3.0000000000000001E-3</v>
      </c>
      <c r="AJ221" s="79">
        <v>-0.02</v>
      </c>
      <c r="AK221" s="80" t="b">
        <f>IF(Tab.11[[#This Row],[a1]]=1,1)</f>
        <v>0</v>
      </c>
      <c r="AZ221"/>
    </row>
    <row r="222" spans="1:52" ht="14.25" hidden="1" customHeight="1" x14ac:dyDescent="0.25">
      <c r="A222" s="61">
        <f t="shared" si="9"/>
        <v>0</v>
      </c>
      <c r="B222" s="62">
        <f t="shared" si="9"/>
        <v>0</v>
      </c>
      <c r="C222" s="62" t="b">
        <f>IF(Tab.11[[#This Row],[a1]]=1,[3]!Tab_x1[[#This Row],[Name]])</f>
        <v>0</v>
      </c>
      <c r="D222" s="63" t="b">
        <f>IF(Tab.11[[#This Row],[a1]]=1,AO222)</f>
        <v>0</v>
      </c>
      <c r="E222" s="63">
        <f t="shared" si="8"/>
        <v>0</v>
      </c>
      <c r="F222" s="64" t="b">
        <f>IF(Tab.11[[#This Row],[a1]]=1,Tab.11[[#This Row],[b1]])</f>
        <v>0</v>
      </c>
      <c r="G222" s="65" t="b">
        <f>IF(Tab.11[[#This Row],[a1]]=1,IF(Tab.11[[#This Row],[b3]]&gt;$L$989*$G$3,$L$989*$G$3,IF(Tab.11[[#This Row],[b3]]&lt;$M$989*$G$3,$M$989*$G$3,Tab.11[[#This Row],[b3]])))</f>
        <v>0</v>
      </c>
      <c r="H222" s="66" t="b">
        <f>IF(Tab.11[[#This Row],[a1]]=1,Tab.11[[#This Row],[b1]])</f>
        <v>0</v>
      </c>
      <c r="I222" s="67" t="b">
        <f>IF(Tab.11[[#This Row],[a1]]=1,Tab.11[[#This Row],[b1]])</f>
        <v>0</v>
      </c>
      <c r="J222" s="68" t="b">
        <f>IF(Tab.11[[#This Row],[a1]]=1,IF($I$3&lt;0,Tab.11[[#This Row],[b5]]-$I$3,Tab.11[[#This Row],[b5]]))</f>
        <v>0</v>
      </c>
      <c r="K222" s="68" t="b">
        <f>IF(Tab.11[[#This Row],[a1]]=1,IF($K$3=0,Tab.11[b6],Tab.11[[#This Row],[b6]]-AVERAGE(Tab.11[b6])))</f>
        <v>0</v>
      </c>
      <c r="L222" s="69" t="b">
        <f>IF(Tab.11[[#This Row],[a1]]=1,Tab.11[[#This Row],[data]]/(_xlfn.STDEV.P(Tab.11[data])*$B$989)+$A$989)</f>
        <v>0</v>
      </c>
      <c r="M222" s="69" t="b">
        <f>IF(Tab.11[[#This Row],[a1]]=1,Tab.11[[#This Row],[data]]/(_xlfn.STDEV.P(Tab.11[data])*$B$987)-$A$987)</f>
        <v>0</v>
      </c>
      <c r="N222" s="69" t="b">
        <f>IF(Tab.11[[#This Row],[a1]]=1,Tab.11[[#This Row],[data]]/(_xlfn.STDEV.P(Tab.11[data])*$B$988)+$A$988)</f>
        <v>0</v>
      </c>
      <c r="O222" s="70" t="b">
        <f>IF(Tab.11[[#This Row],[a1]]=1,_xlfn.NORM.DIST(Tab.11[[#This Row],[b8]],$P$1,$Q$1,FALSE))</f>
        <v>0</v>
      </c>
      <c r="P222" s="70" t="b">
        <f>IF(Tab.11[[#This Row],[a1]]=1,_xlfn.NORM.DIST(Tab.11[[#This Row],[b9]],$P$1,$Q$1,FALSE))</f>
        <v>0</v>
      </c>
      <c r="Q222" s="70" t="b">
        <f>IF(Tab.11[[#This Row],[a1]]=1,_xlfn.NORM.DIST(Tab.11[[#This Row],[b10]],$P$1,$Q$1,FALSE))</f>
        <v>0</v>
      </c>
      <c r="R222" s="67" t="b">
        <f>IF(Tab.11[[#This Row],[a1]]=1,$I$3+$A$989+IF($K$3=0,Tab.11[[#This Row],[b8]]*_xlfn.STDEV.P(Tab.11[data]),AVERAGE(Tab.11[b6])+Tab.11[[#This Row],[b8]]*_xlfn.STDEV.P(Tab.11[data])))</f>
        <v>0</v>
      </c>
      <c r="S222" s="71" t="b">
        <f>IF(Tab.11[[#This Row],[a1]]=1,$I$3+$A$987+IF($K$3=0,Tab.11[[#This Row],[b9]]*_xlfn.STDEV.P(Tab.11[data]),AVERAGE(Tab.11[b6])+Tab.11[[#This Row],[b9]]*_xlfn.STDEV.P(Tab.11[data])))</f>
        <v>0</v>
      </c>
      <c r="T222" s="71" t="b">
        <f>IF(Tab.11[[#This Row],[a1]]=1,$I$3+$A$988+IF($K$3=0,Tab.11[[#This Row],[b10]]*_xlfn.STDEV.P(Tab.11[data]),AVERAGE(Tab.11[b6])+Tab.11[[#This Row],[b10]]*_xlfn.STDEV.P(Tab.11[data])))</f>
        <v>0</v>
      </c>
      <c r="U222" s="72" t="b">
        <f>IF(Tab.11[[#This Row],[a1]]=1,Tab.11[[#This Row],[target]]-Tab.11[[#This Row],[Red]])</f>
        <v>0</v>
      </c>
      <c r="V222" s="72" t="b">
        <f>IF(Tab.11[[#This Row],[a1]]=1,Tab.11[[#This Row],[target]]-Tab.11[[#This Row],[Blue]])</f>
        <v>0</v>
      </c>
      <c r="W222" s="73" t="b">
        <f>IF(Tab.11[[#This Row],[a1]]=1,IF(ABS(Tab.11[[#This Row],[b17]])+ABS(Tab.11[[#This Row],[b18]])&lt;$W$2,$W$2,ABS(Tab.11[[#This Row],[b17]])+ABS(Tab.11[[#This Row],[b18]])))</f>
        <v>0</v>
      </c>
      <c r="X222" s="136" t="b">
        <f>IF(Tab.11[[#This Row],[a1]]=1,IF($W$3&lt;0,Tab.11[[#This Row],[IN]]-$I$3,Tab.11[[#This Row],[IN]]))</f>
        <v>0</v>
      </c>
      <c r="Y222" s="136" t="b">
        <f>IF(Tab.11[[#This Row],[a1]]=1,IF($X$3=0,Tab.11[b66],Tab.11[[#This Row],[b66]]-AVERAGE(Tab.11[b66])))</f>
        <v>0</v>
      </c>
      <c r="Z222" s="135" t="b">
        <f>IF(Tab.11[[#This Row],[a1]]=1,Tab.11[[#This Row],[b77]]/(_xlfn.STDEV.P(Tab.11[b77])))</f>
        <v>0</v>
      </c>
      <c r="AA222" s="70" t="b">
        <f>IF(Tab.11[[#This Row],[a1]]=1,_xlfn.NORM.DIST(Tab.11[[#This Row],[b88]],$Z$1,$AA$1,FALSE))</f>
        <v>0</v>
      </c>
      <c r="AB222" s="74" t="b">
        <f>IF(Tab.11[[#This Row],[a1]]=1,IF($A$3=0,FALSE,1/Tab.11[[#This Row],[IN]]*$AC$2*IF(Tab.11[[#This Row],[a1]]=0,,$A$3*$AC$1*1/$V$3*(Tab.11[[#This Row],[b14]]))))</f>
        <v>0</v>
      </c>
      <c r="AC222" s="75" t="b">
        <f>IF(Tab.11[[#This Row],[a1]]=1,IF($AC$3=0,Tab.11[[#This Row],[φ1]],Tab.11[[#This Row],[φ1]]/MAX(Tab.11[φ1])))</f>
        <v>0</v>
      </c>
      <c r="AD222" s="74" t="b">
        <f>IF(Tab.11[[#This Row],[a1]]=1,1/Tab.11[[#This Row],[φ2]])</f>
        <v>0</v>
      </c>
      <c r="AE222" s="74" t="b">
        <f>IF(Tab.11[[#This Row],[a1]]=1,IF($AE$3=0,Tab.11[[#This Row],[w.0]],Tab.11[[#This Row],[w.0]]/SUM(Tab.11[w.0])))</f>
        <v>0</v>
      </c>
      <c r="AF222" s="76" t="str">
        <f>IF(Tab.11[[#This Row],[a1]]=0,"false",[3]!Tab.x5[[#This Row],[%_seN_C]])</f>
        <v>false</v>
      </c>
      <c r="AG222" s="77" t="b">
        <f>IF(Tab.11[[#This Row],[a1]]=1,AP222)</f>
        <v>0</v>
      </c>
      <c r="AH222" s="78" t="b">
        <f>IF(Tab.11[[#This Row],[a1]]=1,AQ222)</f>
        <v>0</v>
      </c>
      <c r="AI222" s="41">
        <v>3.0000000000000001E-3</v>
      </c>
      <c r="AJ222" s="79">
        <v>-0.09</v>
      </c>
      <c r="AK222" s="80" t="b">
        <f>IF(Tab.11[[#This Row],[a1]]=1,1)</f>
        <v>0</v>
      </c>
      <c r="AZ222"/>
    </row>
    <row r="223" spans="1:52" ht="14.25" hidden="1" customHeight="1" x14ac:dyDescent="0.25">
      <c r="A223" s="61">
        <f t="shared" si="9"/>
        <v>0</v>
      </c>
      <c r="B223" s="62">
        <f t="shared" si="9"/>
        <v>0</v>
      </c>
      <c r="C223" s="62" t="b">
        <f>IF(Tab.11[[#This Row],[a1]]=1,[3]!Tab_x1[[#This Row],[Name]])</f>
        <v>0</v>
      </c>
      <c r="D223" s="63" t="b">
        <f>IF(Tab.11[[#This Row],[a1]]=1,AO223)</f>
        <v>0</v>
      </c>
      <c r="E223" s="63">
        <f t="shared" si="8"/>
        <v>0</v>
      </c>
      <c r="F223" s="64" t="b">
        <f>IF(Tab.11[[#This Row],[a1]]=1,Tab.11[[#This Row],[b1]])</f>
        <v>0</v>
      </c>
      <c r="G223" s="65" t="b">
        <f>IF(Tab.11[[#This Row],[a1]]=1,IF(Tab.11[[#This Row],[b3]]&gt;$L$989*$G$3,$L$989*$G$3,IF(Tab.11[[#This Row],[b3]]&lt;$M$989*$G$3,$M$989*$G$3,Tab.11[[#This Row],[b3]])))</f>
        <v>0</v>
      </c>
      <c r="H223" s="66" t="b">
        <f>IF(Tab.11[[#This Row],[a1]]=1,Tab.11[[#This Row],[b1]])</f>
        <v>0</v>
      </c>
      <c r="I223" s="67" t="b">
        <f>IF(Tab.11[[#This Row],[a1]]=1,Tab.11[[#This Row],[b1]])</f>
        <v>0</v>
      </c>
      <c r="J223" s="68" t="b">
        <f>IF(Tab.11[[#This Row],[a1]]=1,IF($I$3&lt;0,Tab.11[[#This Row],[b5]]-$I$3,Tab.11[[#This Row],[b5]]))</f>
        <v>0</v>
      </c>
      <c r="K223" s="68" t="b">
        <f>IF(Tab.11[[#This Row],[a1]]=1,IF($K$3=0,Tab.11[b6],Tab.11[[#This Row],[b6]]-AVERAGE(Tab.11[b6])))</f>
        <v>0</v>
      </c>
      <c r="L223" s="69" t="b">
        <f>IF(Tab.11[[#This Row],[a1]]=1,Tab.11[[#This Row],[data]]/(_xlfn.STDEV.P(Tab.11[data])*$B$989)+$A$989)</f>
        <v>0</v>
      </c>
      <c r="M223" s="69" t="b">
        <f>IF(Tab.11[[#This Row],[a1]]=1,Tab.11[[#This Row],[data]]/(_xlfn.STDEV.P(Tab.11[data])*$B$987)-$A$987)</f>
        <v>0</v>
      </c>
      <c r="N223" s="69" t="b">
        <f>IF(Tab.11[[#This Row],[a1]]=1,Tab.11[[#This Row],[data]]/(_xlfn.STDEV.P(Tab.11[data])*$B$988)+$A$988)</f>
        <v>0</v>
      </c>
      <c r="O223" s="70" t="b">
        <f>IF(Tab.11[[#This Row],[a1]]=1,_xlfn.NORM.DIST(Tab.11[[#This Row],[b8]],$P$1,$Q$1,FALSE))</f>
        <v>0</v>
      </c>
      <c r="P223" s="70" t="b">
        <f>IF(Tab.11[[#This Row],[a1]]=1,_xlfn.NORM.DIST(Tab.11[[#This Row],[b9]],$P$1,$Q$1,FALSE))</f>
        <v>0</v>
      </c>
      <c r="Q223" s="70" t="b">
        <f>IF(Tab.11[[#This Row],[a1]]=1,_xlfn.NORM.DIST(Tab.11[[#This Row],[b10]],$P$1,$Q$1,FALSE))</f>
        <v>0</v>
      </c>
      <c r="R223" s="67" t="b">
        <f>IF(Tab.11[[#This Row],[a1]]=1,$I$3+$A$989+IF($K$3=0,Tab.11[[#This Row],[b8]]*_xlfn.STDEV.P(Tab.11[data]),AVERAGE(Tab.11[b6])+Tab.11[[#This Row],[b8]]*_xlfn.STDEV.P(Tab.11[data])))</f>
        <v>0</v>
      </c>
      <c r="S223" s="71" t="b">
        <f>IF(Tab.11[[#This Row],[a1]]=1,$I$3+$A$987+IF($K$3=0,Tab.11[[#This Row],[b9]]*_xlfn.STDEV.P(Tab.11[data]),AVERAGE(Tab.11[b6])+Tab.11[[#This Row],[b9]]*_xlfn.STDEV.P(Tab.11[data])))</f>
        <v>0</v>
      </c>
      <c r="T223" s="71" t="b">
        <f>IF(Tab.11[[#This Row],[a1]]=1,$I$3+$A$988+IF($K$3=0,Tab.11[[#This Row],[b10]]*_xlfn.STDEV.P(Tab.11[data]),AVERAGE(Tab.11[b6])+Tab.11[[#This Row],[b10]]*_xlfn.STDEV.P(Tab.11[data])))</f>
        <v>0</v>
      </c>
      <c r="U223" s="72" t="b">
        <f>IF(Tab.11[[#This Row],[a1]]=1,Tab.11[[#This Row],[target]]-Tab.11[[#This Row],[Red]])</f>
        <v>0</v>
      </c>
      <c r="V223" s="72" t="b">
        <f>IF(Tab.11[[#This Row],[a1]]=1,Tab.11[[#This Row],[target]]-Tab.11[[#This Row],[Blue]])</f>
        <v>0</v>
      </c>
      <c r="W223" s="73" t="b">
        <f>IF(Tab.11[[#This Row],[a1]]=1,IF(ABS(Tab.11[[#This Row],[b17]])+ABS(Tab.11[[#This Row],[b18]])&lt;$W$2,$W$2,ABS(Tab.11[[#This Row],[b17]])+ABS(Tab.11[[#This Row],[b18]])))</f>
        <v>0</v>
      </c>
      <c r="X223" s="136" t="b">
        <f>IF(Tab.11[[#This Row],[a1]]=1,IF($W$3&lt;0,Tab.11[[#This Row],[IN]]-$I$3,Tab.11[[#This Row],[IN]]))</f>
        <v>0</v>
      </c>
      <c r="Y223" s="136" t="b">
        <f>IF(Tab.11[[#This Row],[a1]]=1,IF($X$3=0,Tab.11[b66],Tab.11[[#This Row],[b66]]-AVERAGE(Tab.11[b66])))</f>
        <v>0</v>
      </c>
      <c r="Z223" s="135" t="b">
        <f>IF(Tab.11[[#This Row],[a1]]=1,Tab.11[[#This Row],[b77]]/(_xlfn.STDEV.P(Tab.11[b77])))</f>
        <v>0</v>
      </c>
      <c r="AA223" s="70" t="b">
        <f>IF(Tab.11[[#This Row],[a1]]=1,_xlfn.NORM.DIST(Tab.11[[#This Row],[b88]],$Z$1,$AA$1,FALSE))</f>
        <v>0</v>
      </c>
      <c r="AB223" s="74" t="b">
        <f>IF(Tab.11[[#This Row],[a1]]=1,IF($A$3=0,FALSE,1/Tab.11[[#This Row],[IN]]*$AC$2*IF(Tab.11[[#This Row],[a1]]=0,,$A$3*$AC$1*1/$V$3*(Tab.11[[#This Row],[b14]]))))</f>
        <v>0</v>
      </c>
      <c r="AC223" s="75" t="b">
        <f>IF(Tab.11[[#This Row],[a1]]=1,IF($AC$3=0,Tab.11[[#This Row],[φ1]],Tab.11[[#This Row],[φ1]]/MAX(Tab.11[φ1])))</f>
        <v>0</v>
      </c>
      <c r="AD223" s="74" t="b">
        <f>IF(Tab.11[[#This Row],[a1]]=1,1/Tab.11[[#This Row],[φ2]])</f>
        <v>0</v>
      </c>
      <c r="AE223" s="74" t="b">
        <f>IF(Tab.11[[#This Row],[a1]]=1,IF($AE$3=0,Tab.11[[#This Row],[w.0]],Tab.11[[#This Row],[w.0]]/SUM(Tab.11[w.0])))</f>
        <v>0</v>
      </c>
      <c r="AF223" s="76" t="str">
        <f>IF(Tab.11[[#This Row],[a1]]=0,"false",[3]!Tab.x5[[#This Row],[%_seN_C]])</f>
        <v>false</v>
      </c>
      <c r="AG223" s="77" t="b">
        <f>IF(Tab.11[[#This Row],[a1]]=1,AP223)</f>
        <v>0</v>
      </c>
      <c r="AH223" s="78" t="b">
        <f>IF(Tab.11[[#This Row],[a1]]=1,AQ223)</f>
        <v>0</v>
      </c>
      <c r="AI223" s="41">
        <v>3.0000000000000001E-3</v>
      </c>
      <c r="AJ223" s="79">
        <v>-0.01</v>
      </c>
      <c r="AK223" s="80" t="b">
        <f>IF(Tab.11[[#This Row],[a1]]=1,1)</f>
        <v>0</v>
      </c>
      <c r="AZ223"/>
    </row>
    <row r="224" spans="1:52" ht="14.25" hidden="1" customHeight="1" x14ac:dyDescent="0.25">
      <c r="A224" s="61">
        <f t="shared" si="9"/>
        <v>0</v>
      </c>
      <c r="B224" s="62">
        <f t="shared" si="9"/>
        <v>0</v>
      </c>
      <c r="C224" s="62" t="b">
        <f>IF(Tab.11[[#This Row],[a1]]=1,[3]!Tab_x1[[#This Row],[Name]])</f>
        <v>0</v>
      </c>
      <c r="D224" s="63" t="b">
        <f>IF(Tab.11[[#This Row],[a1]]=1,AO224)</f>
        <v>0</v>
      </c>
      <c r="E224" s="63">
        <f t="shared" si="8"/>
        <v>0</v>
      </c>
      <c r="F224" s="64" t="b">
        <f>IF(Tab.11[[#This Row],[a1]]=1,Tab.11[[#This Row],[b1]])</f>
        <v>0</v>
      </c>
      <c r="G224" s="65" t="b">
        <f>IF(Tab.11[[#This Row],[a1]]=1,IF(Tab.11[[#This Row],[b3]]&gt;$L$989*$G$3,$L$989*$G$3,IF(Tab.11[[#This Row],[b3]]&lt;$M$989*$G$3,$M$989*$G$3,Tab.11[[#This Row],[b3]])))</f>
        <v>0</v>
      </c>
      <c r="H224" s="66" t="b">
        <f>IF(Tab.11[[#This Row],[a1]]=1,Tab.11[[#This Row],[b1]])</f>
        <v>0</v>
      </c>
      <c r="I224" s="67" t="b">
        <f>IF(Tab.11[[#This Row],[a1]]=1,Tab.11[[#This Row],[b1]])</f>
        <v>0</v>
      </c>
      <c r="J224" s="68" t="b">
        <f>IF(Tab.11[[#This Row],[a1]]=1,IF($I$3&lt;0,Tab.11[[#This Row],[b5]]-$I$3,Tab.11[[#This Row],[b5]]))</f>
        <v>0</v>
      </c>
      <c r="K224" s="68" t="b">
        <f>IF(Tab.11[[#This Row],[a1]]=1,IF($K$3=0,Tab.11[b6],Tab.11[[#This Row],[b6]]-AVERAGE(Tab.11[b6])))</f>
        <v>0</v>
      </c>
      <c r="L224" s="69" t="b">
        <f>IF(Tab.11[[#This Row],[a1]]=1,Tab.11[[#This Row],[data]]/(_xlfn.STDEV.P(Tab.11[data])*$B$989)+$A$989)</f>
        <v>0</v>
      </c>
      <c r="M224" s="69" t="b">
        <f>IF(Tab.11[[#This Row],[a1]]=1,Tab.11[[#This Row],[data]]/(_xlfn.STDEV.P(Tab.11[data])*$B$987)-$A$987)</f>
        <v>0</v>
      </c>
      <c r="N224" s="69" t="b">
        <f>IF(Tab.11[[#This Row],[a1]]=1,Tab.11[[#This Row],[data]]/(_xlfn.STDEV.P(Tab.11[data])*$B$988)+$A$988)</f>
        <v>0</v>
      </c>
      <c r="O224" s="70" t="b">
        <f>IF(Tab.11[[#This Row],[a1]]=1,_xlfn.NORM.DIST(Tab.11[[#This Row],[b8]],$P$1,$Q$1,FALSE))</f>
        <v>0</v>
      </c>
      <c r="P224" s="70" t="b">
        <f>IF(Tab.11[[#This Row],[a1]]=1,_xlfn.NORM.DIST(Tab.11[[#This Row],[b9]],$P$1,$Q$1,FALSE))</f>
        <v>0</v>
      </c>
      <c r="Q224" s="70" t="b">
        <f>IF(Tab.11[[#This Row],[a1]]=1,_xlfn.NORM.DIST(Tab.11[[#This Row],[b10]],$P$1,$Q$1,FALSE))</f>
        <v>0</v>
      </c>
      <c r="R224" s="67" t="b">
        <f>IF(Tab.11[[#This Row],[a1]]=1,$I$3+$A$989+IF($K$3=0,Tab.11[[#This Row],[b8]]*_xlfn.STDEV.P(Tab.11[data]),AVERAGE(Tab.11[b6])+Tab.11[[#This Row],[b8]]*_xlfn.STDEV.P(Tab.11[data])))</f>
        <v>0</v>
      </c>
      <c r="S224" s="71" t="b">
        <f>IF(Tab.11[[#This Row],[a1]]=1,$I$3+$A$987+IF($K$3=0,Tab.11[[#This Row],[b9]]*_xlfn.STDEV.P(Tab.11[data]),AVERAGE(Tab.11[b6])+Tab.11[[#This Row],[b9]]*_xlfn.STDEV.P(Tab.11[data])))</f>
        <v>0</v>
      </c>
      <c r="T224" s="71" t="b">
        <f>IF(Tab.11[[#This Row],[a1]]=1,$I$3+$A$988+IF($K$3=0,Tab.11[[#This Row],[b10]]*_xlfn.STDEV.P(Tab.11[data]),AVERAGE(Tab.11[b6])+Tab.11[[#This Row],[b10]]*_xlfn.STDEV.P(Tab.11[data])))</f>
        <v>0</v>
      </c>
      <c r="U224" s="72" t="b">
        <f>IF(Tab.11[[#This Row],[a1]]=1,Tab.11[[#This Row],[target]]-Tab.11[[#This Row],[Red]])</f>
        <v>0</v>
      </c>
      <c r="V224" s="72" t="b">
        <f>IF(Tab.11[[#This Row],[a1]]=1,Tab.11[[#This Row],[target]]-Tab.11[[#This Row],[Blue]])</f>
        <v>0</v>
      </c>
      <c r="W224" s="73" t="b">
        <f>IF(Tab.11[[#This Row],[a1]]=1,IF(ABS(Tab.11[[#This Row],[b17]])+ABS(Tab.11[[#This Row],[b18]])&lt;$W$2,$W$2,ABS(Tab.11[[#This Row],[b17]])+ABS(Tab.11[[#This Row],[b18]])))</f>
        <v>0</v>
      </c>
      <c r="X224" s="136" t="b">
        <f>IF(Tab.11[[#This Row],[a1]]=1,IF($W$3&lt;0,Tab.11[[#This Row],[IN]]-$I$3,Tab.11[[#This Row],[IN]]))</f>
        <v>0</v>
      </c>
      <c r="Y224" s="136" t="b">
        <f>IF(Tab.11[[#This Row],[a1]]=1,IF($X$3=0,Tab.11[b66],Tab.11[[#This Row],[b66]]-AVERAGE(Tab.11[b66])))</f>
        <v>0</v>
      </c>
      <c r="Z224" s="135" t="b">
        <f>IF(Tab.11[[#This Row],[a1]]=1,Tab.11[[#This Row],[b77]]/(_xlfn.STDEV.P(Tab.11[b77])))</f>
        <v>0</v>
      </c>
      <c r="AA224" s="70" t="b">
        <f>IF(Tab.11[[#This Row],[a1]]=1,_xlfn.NORM.DIST(Tab.11[[#This Row],[b88]],$Z$1,$AA$1,FALSE))</f>
        <v>0</v>
      </c>
      <c r="AB224" s="74" t="b">
        <f>IF(Tab.11[[#This Row],[a1]]=1,IF($A$3=0,FALSE,1/Tab.11[[#This Row],[IN]]*$AC$2*IF(Tab.11[[#This Row],[a1]]=0,,$A$3*$AC$1*1/$V$3*(Tab.11[[#This Row],[b14]]))))</f>
        <v>0</v>
      </c>
      <c r="AC224" s="75" t="b">
        <f>IF(Tab.11[[#This Row],[a1]]=1,IF($AC$3=0,Tab.11[[#This Row],[φ1]],Tab.11[[#This Row],[φ1]]/MAX(Tab.11[φ1])))</f>
        <v>0</v>
      </c>
      <c r="AD224" s="74" t="b">
        <f>IF(Tab.11[[#This Row],[a1]]=1,1/Tab.11[[#This Row],[φ2]])</f>
        <v>0</v>
      </c>
      <c r="AE224" s="74" t="b">
        <f>IF(Tab.11[[#This Row],[a1]]=1,IF($AE$3=0,Tab.11[[#This Row],[w.0]],Tab.11[[#This Row],[w.0]]/SUM(Tab.11[w.0])))</f>
        <v>0</v>
      </c>
      <c r="AF224" s="76" t="str">
        <f>IF(Tab.11[[#This Row],[a1]]=0,"false",[3]!Tab.x5[[#This Row],[%_seN_C]])</f>
        <v>false</v>
      </c>
      <c r="AG224" s="77" t="b">
        <f>IF(Tab.11[[#This Row],[a1]]=1,AP224)</f>
        <v>0</v>
      </c>
      <c r="AH224" s="78" t="b">
        <f>IF(Tab.11[[#This Row],[a1]]=1,AQ224)</f>
        <v>0</v>
      </c>
      <c r="AI224" s="41">
        <v>3.0000000000000001E-3</v>
      </c>
      <c r="AJ224" s="79">
        <v>7.0000000000000007E-2</v>
      </c>
      <c r="AK224" s="80" t="b">
        <f>IF(Tab.11[[#This Row],[a1]]=1,1)</f>
        <v>0</v>
      </c>
      <c r="AZ224"/>
    </row>
    <row r="225" spans="1:52" ht="14.25" hidden="1" customHeight="1" x14ac:dyDescent="0.25">
      <c r="A225" s="61">
        <f t="shared" si="9"/>
        <v>0</v>
      </c>
      <c r="B225" s="62">
        <f t="shared" si="9"/>
        <v>0</v>
      </c>
      <c r="C225" s="62" t="b">
        <f>IF(Tab.11[[#This Row],[a1]]=1,[3]!Tab_x1[[#This Row],[Name]])</f>
        <v>0</v>
      </c>
      <c r="D225" s="63" t="b">
        <f>IF(Tab.11[[#This Row],[a1]]=1,AO225)</f>
        <v>0</v>
      </c>
      <c r="E225" s="63">
        <f t="shared" si="8"/>
        <v>0</v>
      </c>
      <c r="F225" s="64" t="b">
        <f>IF(Tab.11[[#This Row],[a1]]=1,Tab.11[[#This Row],[b1]])</f>
        <v>0</v>
      </c>
      <c r="G225" s="65" t="b">
        <f>IF(Tab.11[[#This Row],[a1]]=1,IF(Tab.11[[#This Row],[b3]]&gt;$L$989*$G$3,$L$989*$G$3,IF(Tab.11[[#This Row],[b3]]&lt;$M$989*$G$3,$M$989*$G$3,Tab.11[[#This Row],[b3]])))</f>
        <v>0</v>
      </c>
      <c r="H225" s="66" t="b">
        <f>IF(Tab.11[[#This Row],[a1]]=1,Tab.11[[#This Row],[b1]])</f>
        <v>0</v>
      </c>
      <c r="I225" s="67" t="b">
        <f>IF(Tab.11[[#This Row],[a1]]=1,Tab.11[[#This Row],[b1]])</f>
        <v>0</v>
      </c>
      <c r="J225" s="68" t="b">
        <f>IF(Tab.11[[#This Row],[a1]]=1,IF($I$3&lt;0,Tab.11[[#This Row],[b5]]-$I$3,Tab.11[[#This Row],[b5]]))</f>
        <v>0</v>
      </c>
      <c r="K225" s="68" t="b">
        <f>IF(Tab.11[[#This Row],[a1]]=1,IF($K$3=0,Tab.11[b6],Tab.11[[#This Row],[b6]]-AVERAGE(Tab.11[b6])))</f>
        <v>0</v>
      </c>
      <c r="L225" s="69" t="b">
        <f>IF(Tab.11[[#This Row],[a1]]=1,Tab.11[[#This Row],[data]]/(_xlfn.STDEV.P(Tab.11[data])*$B$989)+$A$989)</f>
        <v>0</v>
      </c>
      <c r="M225" s="69" t="b">
        <f>IF(Tab.11[[#This Row],[a1]]=1,Tab.11[[#This Row],[data]]/(_xlfn.STDEV.P(Tab.11[data])*$B$987)-$A$987)</f>
        <v>0</v>
      </c>
      <c r="N225" s="69" t="b">
        <f>IF(Tab.11[[#This Row],[a1]]=1,Tab.11[[#This Row],[data]]/(_xlfn.STDEV.P(Tab.11[data])*$B$988)+$A$988)</f>
        <v>0</v>
      </c>
      <c r="O225" s="70" t="b">
        <f>IF(Tab.11[[#This Row],[a1]]=1,_xlfn.NORM.DIST(Tab.11[[#This Row],[b8]],$P$1,$Q$1,FALSE))</f>
        <v>0</v>
      </c>
      <c r="P225" s="70" t="b">
        <f>IF(Tab.11[[#This Row],[a1]]=1,_xlfn.NORM.DIST(Tab.11[[#This Row],[b9]],$P$1,$Q$1,FALSE))</f>
        <v>0</v>
      </c>
      <c r="Q225" s="70" t="b">
        <f>IF(Tab.11[[#This Row],[a1]]=1,_xlfn.NORM.DIST(Tab.11[[#This Row],[b10]],$P$1,$Q$1,FALSE))</f>
        <v>0</v>
      </c>
      <c r="R225" s="67" t="b">
        <f>IF(Tab.11[[#This Row],[a1]]=1,$I$3+$A$989+IF($K$3=0,Tab.11[[#This Row],[b8]]*_xlfn.STDEV.P(Tab.11[data]),AVERAGE(Tab.11[b6])+Tab.11[[#This Row],[b8]]*_xlfn.STDEV.P(Tab.11[data])))</f>
        <v>0</v>
      </c>
      <c r="S225" s="71" t="b">
        <f>IF(Tab.11[[#This Row],[a1]]=1,$I$3+$A$987+IF($K$3=0,Tab.11[[#This Row],[b9]]*_xlfn.STDEV.P(Tab.11[data]),AVERAGE(Tab.11[b6])+Tab.11[[#This Row],[b9]]*_xlfn.STDEV.P(Tab.11[data])))</f>
        <v>0</v>
      </c>
      <c r="T225" s="71" t="b">
        <f>IF(Tab.11[[#This Row],[a1]]=1,$I$3+$A$988+IF($K$3=0,Tab.11[[#This Row],[b10]]*_xlfn.STDEV.P(Tab.11[data]),AVERAGE(Tab.11[b6])+Tab.11[[#This Row],[b10]]*_xlfn.STDEV.P(Tab.11[data])))</f>
        <v>0</v>
      </c>
      <c r="U225" s="72" t="b">
        <f>IF(Tab.11[[#This Row],[a1]]=1,Tab.11[[#This Row],[target]]-Tab.11[[#This Row],[Red]])</f>
        <v>0</v>
      </c>
      <c r="V225" s="72" t="b">
        <f>IF(Tab.11[[#This Row],[a1]]=1,Tab.11[[#This Row],[target]]-Tab.11[[#This Row],[Blue]])</f>
        <v>0</v>
      </c>
      <c r="W225" s="73" t="b">
        <f>IF(Tab.11[[#This Row],[a1]]=1,IF(ABS(Tab.11[[#This Row],[b17]])+ABS(Tab.11[[#This Row],[b18]])&lt;$W$2,$W$2,ABS(Tab.11[[#This Row],[b17]])+ABS(Tab.11[[#This Row],[b18]])))</f>
        <v>0</v>
      </c>
      <c r="X225" s="136" t="b">
        <f>IF(Tab.11[[#This Row],[a1]]=1,IF($W$3&lt;0,Tab.11[[#This Row],[IN]]-$I$3,Tab.11[[#This Row],[IN]]))</f>
        <v>0</v>
      </c>
      <c r="Y225" s="136" t="b">
        <f>IF(Tab.11[[#This Row],[a1]]=1,IF($X$3=0,Tab.11[b66],Tab.11[[#This Row],[b66]]-AVERAGE(Tab.11[b66])))</f>
        <v>0</v>
      </c>
      <c r="Z225" s="135" t="b">
        <f>IF(Tab.11[[#This Row],[a1]]=1,Tab.11[[#This Row],[b77]]/(_xlfn.STDEV.P(Tab.11[b77])))</f>
        <v>0</v>
      </c>
      <c r="AA225" s="70" t="b">
        <f>IF(Tab.11[[#This Row],[a1]]=1,_xlfn.NORM.DIST(Tab.11[[#This Row],[b88]],$Z$1,$AA$1,FALSE))</f>
        <v>0</v>
      </c>
      <c r="AB225" s="74" t="b">
        <f>IF(Tab.11[[#This Row],[a1]]=1,IF($A$3=0,FALSE,1/Tab.11[[#This Row],[IN]]*$AC$2*IF(Tab.11[[#This Row],[a1]]=0,,$A$3*$AC$1*1/$V$3*(Tab.11[[#This Row],[b14]]))))</f>
        <v>0</v>
      </c>
      <c r="AC225" s="75" t="b">
        <f>IF(Tab.11[[#This Row],[a1]]=1,IF($AC$3=0,Tab.11[[#This Row],[φ1]],Tab.11[[#This Row],[φ1]]/MAX(Tab.11[φ1])))</f>
        <v>0</v>
      </c>
      <c r="AD225" s="74" t="b">
        <f>IF(Tab.11[[#This Row],[a1]]=1,1/Tab.11[[#This Row],[φ2]])</f>
        <v>0</v>
      </c>
      <c r="AE225" s="74" t="b">
        <f>IF(Tab.11[[#This Row],[a1]]=1,IF($AE$3=0,Tab.11[[#This Row],[w.0]],Tab.11[[#This Row],[w.0]]/SUM(Tab.11[w.0])))</f>
        <v>0</v>
      </c>
      <c r="AF225" s="76" t="str">
        <f>IF(Tab.11[[#This Row],[a1]]=0,"false",[3]!Tab.x5[[#This Row],[%_seN_C]])</f>
        <v>false</v>
      </c>
      <c r="AG225" s="77" t="b">
        <f>IF(Tab.11[[#This Row],[a1]]=1,AP225)</f>
        <v>0</v>
      </c>
      <c r="AH225" s="78" t="b">
        <f>IF(Tab.11[[#This Row],[a1]]=1,AQ225)</f>
        <v>0</v>
      </c>
      <c r="AI225" s="41">
        <v>3.0000000000000001E-3</v>
      </c>
      <c r="AJ225" s="79">
        <v>-0.02</v>
      </c>
      <c r="AK225" s="80" t="b">
        <f>IF(Tab.11[[#This Row],[a1]]=1,1)</f>
        <v>0</v>
      </c>
      <c r="AZ225"/>
    </row>
    <row r="226" spans="1:52" ht="14.25" hidden="1" customHeight="1" x14ac:dyDescent="0.25">
      <c r="A226" s="61">
        <f t="shared" si="9"/>
        <v>0</v>
      </c>
      <c r="B226" s="62">
        <f t="shared" si="9"/>
        <v>0</v>
      </c>
      <c r="C226" s="62" t="b">
        <f>IF(Tab.11[[#This Row],[a1]]=1,[3]!Tab_x1[[#This Row],[Name]])</f>
        <v>0</v>
      </c>
      <c r="D226" s="63" t="b">
        <f>IF(Tab.11[[#This Row],[a1]]=1,AO226)</f>
        <v>0</v>
      </c>
      <c r="E226" s="63">
        <f t="shared" si="8"/>
        <v>0</v>
      </c>
      <c r="F226" s="64" t="b">
        <f>IF(Tab.11[[#This Row],[a1]]=1,Tab.11[[#This Row],[b1]])</f>
        <v>0</v>
      </c>
      <c r="G226" s="65" t="b">
        <f>IF(Tab.11[[#This Row],[a1]]=1,IF(Tab.11[[#This Row],[b3]]&gt;$L$989*$G$3,$L$989*$G$3,IF(Tab.11[[#This Row],[b3]]&lt;$M$989*$G$3,$M$989*$G$3,Tab.11[[#This Row],[b3]])))</f>
        <v>0</v>
      </c>
      <c r="H226" s="66" t="b">
        <f>IF(Tab.11[[#This Row],[a1]]=1,Tab.11[[#This Row],[b1]])</f>
        <v>0</v>
      </c>
      <c r="I226" s="67" t="b">
        <f>IF(Tab.11[[#This Row],[a1]]=1,Tab.11[[#This Row],[b1]])</f>
        <v>0</v>
      </c>
      <c r="J226" s="68" t="b">
        <f>IF(Tab.11[[#This Row],[a1]]=1,IF($I$3&lt;0,Tab.11[[#This Row],[b5]]-$I$3,Tab.11[[#This Row],[b5]]))</f>
        <v>0</v>
      </c>
      <c r="K226" s="68" t="b">
        <f>IF(Tab.11[[#This Row],[a1]]=1,IF($K$3=0,Tab.11[b6],Tab.11[[#This Row],[b6]]-AVERAGE(Tab.11[b6])))</f>
        <v>0</v>
      </c>
      <c r="L226" s="69" t="b">
        <f>IF(Tab.11[[#This Row],[a1]]=1,Tab.11[[#This Row],[data]]/(_xlfn.STDEV.P(Tab.11[data])*$B$989)+$A$989)</f>
        <v>0</v>
      </c>
      <c r="M226" s="69" t="b">
        <f>IF(Tab.11[[#This Row],[a1]]=1,Tab.11[[#This Row],[data]]/(_xlfn.STDEV.P(Tab.11[data])*$B$987)-$A$987)</f>
        <v>0</v>
      </c>
      <c r="N226" s="69" t="b">
        <f>IF(Tab.11[[#This Row],[a1]]=1,Tab.11[[#This Row],[data]]/(_xlfn.STDEV.P(Tab.11[data])*$B$988)+$A$988)</f>
        <v>0</v>
      </c>
      <c r="O226" s="70" t="b">
        <f>IF(Tab.11[[#This Row],[a1]]=1,_xlfn.NORM.DIST(Tab.11[[#This Row],[b8]],$P$1,$Q$1,FALSE))</f>
        <v>0</v>
      </c>
      <c r="P226" s="70" t="b">
        <f>IF(Tab.11[[#This Row],[a1]]=1,_xlfn.NORM.DIST(Tab.11[[#This Row],[b9]],$P$1,$Q$1,FALSE))</f>
        <v>0</v>
      </c>
      <c r="Q226" s="70" t="b">
        <f>IF(Tab.11[[#This Row],[a1]]=1,_xlfn.NORM.DIST(Tab.11[[#This Row],[b10]],$P$1,$Q$1,FALSE))</f>
        <v>0</v>
      </c>
      <c r="R226" s="67" t="b">
        <f>IF(Tab.11[[#This Row],[a1]]=1,$I$3+$A$989+IF($K$3=0,Tab.11[[#This Row],[b8]]*_xlfn.STDEV.P(Tab.11[data]),AVERAGE(Tab.11[b6])+Tab.11[[#This Row],[b8]]*_xlfn.STDEV.P(Tab.11[data])))</f>
        <v>0</v>
      </c>
      <c r="S226" s="71" t="b">
        <f>IF(Tab.11[[#This Row],[a1]]=1,$I$3+$A$987+IF($K$3=0,Tab.11[[#This Row],[b9]]*_xlfn.STDEV.P(Tab.11[data]),AVERAGE(Tab.11[b6])+Tab.11[[#This Row],[b9]]*_xlfn.STDEV.P(Tab.11[data])))</f>
        <v>0</v>
      </c>
      <c r="T226" s="71" t="b">
        <f>IF(Tab.11[[#This Row],[a1]]=1,$I$3+$A$988+IF($K$3=0,Tab.11[[#This Row],[b10]]*_xlfn.STDEV.P(Tab.11[data]),AVERAGE(Tab.11[b6])+Tab.11[[#This Row],[b10]]*_xlfn.STDEV.P(Tab.11[data])))</f>
        <v>0</v>
      </c>
      <c r="U226" s="72" t="b">
        <f>IF(Tab.11[[#This Row],[a1]]=1,Tab.11[[#This Row],[target]]-Tab.11[[#This Row],[Red]])</f>
        <v>0</v>
      </c>
      <c r="V226" s="72" t="b">
        <f>IF(Tab.11[[#This Row],[a1]]=1,Tab.11[[#This Row],[target]]-Tab.11[[#This Row],[Blue]])</f>
        <v>0</v>
      </c>
      <c r="W226" s="73" t="b">
        <f>IF(Tab.11[[#This Row],[a1]]=1,IF(ABS(Tab.11[[#This Row],[b17]])+ABS(Tab.11[[#This Row],[b18]])&lt;$W$2,$W$2,ABS(Tab.11[[#This Row],[b17]])+ABS(Tab.11[[#This Row],[b18]])))</f>
        <v>0</v>
      </c>
      <c r="X226" s="136" t="b">
        <f>IF(Tab.11[[#This Row],[a1]]=1,IF($W$3&lt;0,Tab.11[[#This Row],[IN]]-$I$3,Tab.11[[#This Row],[IN]]))</f>
        <v>0</v>
      </c>
      <c r="Y226" s="136" t="b">
        <f>IF(Tab.11[[#This Row],[a1]]=1,IF($X$3=0,Tab.11[b66],Tab.11[[#This Row],[b66]]-AVERAGE(Tab.11[b66])))</f>
        <v>0</v>
      </c>
      <c r="Z226" s="135" t="b">
        <f>IF(Tab.11[[#This Row],[a1]]=1,Tab.11[[#This Row],[b77]]/(_xlfn.STDEV.P(Tab.11[b77])))</f>
        <v>0</v>
      </c>
      <c r="AA226" s="70" t="b">
        <f>IF(Tab.11[[#This Row],[a1]]=1,_xlfn.NORM.DIST(Tab.11[[#This Row],[b88]],$Z$1,$AA$1,FALSE))</f>
        <v>0</v>
      </c>
      <c r="AB226" s="74" t="b">
        <f>IF(Tab.11[[#This Row],[a1]]=1,IF($A$3=0,FALSE,1/Tab.11[[#This Row],[IN]]*$AC$2*IF(Tab.11[[#This Row],[a1]]=0,,$A$3*$AC$1*1/$V$3*(Tab.11[[#This Row],[b14]]))))</f>
        <v>0</v>
      </c>
      <c r="AC226" s="75" t="b">
        <f>IF(Tab.11[[#This Row],[a1]]=1,IF($AC$3=0,Tab.11[[#This Row],[φ1]],Tab.11[[#This Row],[φ1]]/MAX(Tab.11[φ1])))</f>
        <v>0</v>
      </c>
      <c r="AD226" s="74" t="b">
        <f>IF(Tab.11[[#This Row],[a1]]=1,1/Tab.11[[#This Row],[φ2]])</f>
        <v>0</v>
      </c>
      <c r="AE226" s="74" t="b">
        <f>IF(Tab.11[[#This Row],[a1]]=1,IF($AE$3=0,Tab.11[[#This Row],[w.0]],Tab.11[[#This Row],[w.0]]/SUM(Tab.11[w.0])))</f>
        <v>0</v>
      </c>
      <c r="AF226" s="76" t="str">
        <f>IF(Tab.11[[#This Row],[a1]]=0,"false",[3]!Tab.x5[[#This Row],[%_seN_C]])</f>
        <v>false</v>
      </c>
      <c r="AG226" s="77" t="b">
        <f>IF(Tab.11[[#This Row],[a1]]=1,AP226)</f>
        <v>0</v>
      </c>
      <c r="AH226" s="78" t="b">
        <f>IF(Tab.11[[#This Row],[a1]]=1,AQ226)</f>
        <v>0</v>
      </c>
      <c r="AI226" s="41">
        <v>3.0000000000000001E-3</v>
      </c>
      <c r="AJ226" s="79">
        <v>0.08</v>
      </c>
      <c r="AK226" s="80" t="b">
        <f>IF(Tab.11[[#This Row],[a1]]=1,1)</f>
        <v>0</v>
      </c>
      <c r="AZ226"/>
    </row>
    <row r="227" spans="1:52" ht="14.25" hidden="1" customHeight="1" x14ac:dyDescent="0.25">
      <c r="A227" s="61">
        <f t="shared" si="9"/>
        <v>0</v>
      </c>
      <c r="B227" s="62">
        <f t="shared" si="9"/>
        <v>0</v>
      </c>
      <c r="C227" s="62" t="b">
        <f>IF(Tab.11[[#This Row],[a1]]=1,[3]!Tab_x1[[#This Row],[Name]])</f>
        <v>0</v>
      </c>
      <c r="D227" s="63" t="b">
        <f>IF(Tab.11[[#This Row],[a1]]=1,AO227)</f>
        <v>0</v>
      </c>
      <c r="E227" s="63">
        <f t="shared" si="8"/>
        <v>0</v>
      </c>
      <c r="F227" s="64" t="b">
        <f>IF(Tab.11[[#This Row],[a1]]=1,Tab.11[[#This Row],[b1]])</f>
        <v>0</v>
      </c>
      <c r="G227" s="65" t="b">
        <f>IF(Tab.11[[#This Row],[a1]]=1,IF(Tab.11[[#This Row],[b3]]&gt;$L$989*$G$3,$L$989*$G$3,IF(Tab.11[[#This Row],[b3]]&lt;$M$989*$G$3,$M$989*$G$3,Tab.11[[#This Row],[b3]])))</f>
        <v>0</v>
      </c>
      <c r="H227" s="66" t="b">
        <f>IF(Tab.11[[#This Row],[a1]]=1,Tab.11[[#This Row],[b1]])</f>
        <v>0</v>
      </c>
      <c r="I227" s="67" t="b">
        <f>IF(Tab.11[[#This Row],[a1]]=1,Tab.11[[#This Row],[b1]])</f>
        <v>0</v>
      </c>
      <c r="J227" s="68" t="b">
        <f>IF(Tab.11[[#This Row],[a1]]=1,IF($I$3&lt;0,Tab.11[[#This Row],[b5]]-$I$3,Tab.11[[#This Row],[b5]]))</f>
        <v>0</v>
      </c>
      <c r="K227" s="68" t="b">
        <f>IF(Tab.11[[#This Row],[a1]]=1,IF($K$3=0,Tab.11[b6],Tab.11[[#This Row],[b6]]-AVERAGE(Tab.11[b6])))</f>
        <v>0</v>
      </c>
      <c r="L227" s="69" t="b">
        <f>IF(Tab.11[[#This Row],[a1]]=1,Tab.11[[#This Row],[data]]/(_xlfn.STDEV.P(Tab.11[data])*$B$989)+$A$989)</f>
        <v>0</v>
      </c>
      <c r="M227" s="69" t="b">
        <f>IF(Tab.11[[#This Row],[a1]]=1,Tab.11[[#This Row],[data]]/(_xlfn.STDEV.P(Tab.11[data])*$B$987)-$A$987)</f>
        <v>0</v>
      </c>
      <c r="N227" s="69" t="b">
        <f>IF(Tab.11[[#This Row],[a1]]=1,Tab.11[[#This Row],[data]]/(_xlfn.STDEV.P(Tab.11[data])*$B$988)+$A$988)</f>
        <v>0</v>
      </c>
      <c r="O227" s="70" t="b">
        <f>IF(Tab.11[[#This Row],[a1]]=1,_xlfn.NORM.DIST(Tab.11[[#This Row],[b8]],$P$1,$Q$1,FALSE))</f>
        <v>0</v>
      </c>
      <c r="P227" s="70" t="b">
        <f>IF(Tab.11[[#This Row],[a1]]=1,_xlfn.NORM.DIST(Tab.11[[#This Row],[b9]],$P$1,$Q$1,FALSE))</f>
        <v>0</v>
      </c>
      <c r="Q227" s="70" t="b">
        <f>IF(Tab.11[[#This Row],[a1]]=1,_xlfn.NORM.DIST(Tab.11[[#This Row],[b10]],$P$1,$Q$1,FALSE))</f>
        <v>0</v>
      </c>
      <c r="R227" s="67" t="b">
        <f>IF(Tab.11[[#This Row],[a1]]=1,$I$3+$A$989+IF($K$3=0,Tab.11[[#This Row],[b8]]*_xlfn.STDEV.P(Tab.11[data]),AVERAGE(Tab.11[b6])+Tab.11[[#This Row],[b8]]*_xlfn.STDEV.P(Tab.11[data])))</f>
        <v>0</v>
      </c>
      <c r="S227" s="71" t="b">
        <f>IF(Tab.11[[#This Row],[a1]]=1,$I$3+$A$987+IF($K$3=0,Tab.11[[#This Row],[b9]]*_xlfn.STDEV.P(Tab.11[data]),AVERAGE(Tab.11[b6])+Tab.11[[#This Row],[b9]]*_xlfn.STDEV.P(Tab.11[data])))</f>
        <v>0</v>
      </c>
      <c r="T227" s="71" t="b">
        <f>IF(Tab.11[[#This Row],[a1]]=1,$I$3+$A$988+IF($K$3=0,Tab.11[[#This Row],[b10]]*_xlfn.STDEV.P(Tab.11[data]),AVERAGE(Tab.11[b6])+Tab.11[[#This Row],[b10]]*_xlfn.STDEV.P(Tab.11[data])))</f>
        <v>0</v>
      </c>
      <c r="U227" s="72" t="b">
        <f>IF(Tab.11[[#This Row],[a1]]=1,Tab.11[[#This Row],[target]]-Tab.11[[#This Row],[Red]])</f>
        <v>0</v>
      </c>
      <c r="V227" s="72" t="b">
        <f>IF(Tab.11[[#This Row],[a1]]=1,Tab.11[[#This Row],[target]]-Tab.11[[#This Row],[Blue]])</f>
        <v>0</v>
      </c>
      <c r="W227" s="73" t="b">
        <f>IF(Tab.11[[#This Row],[a1]]=1,IF(ABS(Tab.11[[#This Row],[b17]])+ABS(Tab.11[[#This Row],[b18]])&lt;$W$2,$W$2,ABS(Tab.11[[#This Row],[b17]])+ABS(Tab.11[[#This Row],[b18]])))</f>
        <v>0</v>
      </c>
      <c r="X227" s="136" t="b">
        <f>IF(Tab.11[[#This Row],[a1]]=1,IF($W$3&lt;0,Tab.11[[#This Row],[IN]]-$I$3,Tab.11[[#This Row],[IN]]))</f>
        <v>0</v>
      </c>
      <c r="Y227" s="136" t="b">
        <f>IF(Tab.11[[#This Row],[a1]]=1,IF($X$3=0,Tab.11[b66],Tab.11[[#This Row],[b66]]-AVERAGE(Tab.11[b66])))</f>
        <v>0</v>
      </c>
      <c r="Z227" s="135" t="b">
        <f>IF(Tab.11[[#This Row],[a1]]=1,Tab.11[[#This Row],[b77]]/(_xlfn.STDEV.P(Tab.11[b77])))</f>
        <v>0</v>
      </c>
      <c r="AA227" s="70" t="b">
        <f>IF(Tab.11[[#This Row],[a1]]=1,_xlfn.NORM.DIST(Tab.11[[#This Row],[b88]],$Z$1,$AA$1,FALSE))</f>
        <v>0</v>
      </c>
      <c r="AB227" s="74" t="b">
        <f>IF(Tab.11[[#This Row],[a1]]=1,IF($A$3=0,FALSE,1/Tab.11[[#This Row],[IN]]*$AC$2*IF(Tab.11[[#This Row],[a1]]=0,,$A$3*$AC$1*1/$V$3*(Tab.11[[#This Row],[b14]]))))</f>
        <v>0</v>
      </c>
      <c r="AC227" s="75" t="b">
        <f>IF(Tab.11[[#This Row],[a1]]=1,IF($AC$3=0,Tab.11[[#This Row],[φ1]],Tab.11[[#This Row],[φ1]]/MAX(Tab.11[φ1])))</f>
        <v>0</v>
      </c>
      <c r="AD227" s="74" t="b">
        <f>IF(Tab.11[[#This Row],[a1]]=1,1/Tab.11[[#This Row],[φ2]])</f>
        <v>0</v>
      </c>
      <c r="AE227" s="74" t="b">
        <f>IF(Tab.11[[#This Row],[a1]]=1,IF($AE$3=0,Tab.11[[#This Row],[w.0]],Tab.11[[#This Row],[w.0]]/SUM(Tab.11[w.0])))</f>
        <v>0</v>
      </c>
      <c r="AF227" s="76" t="str">
        <f>IF(Tab.11[[#This Row],[a1]]=0,"false",[3]!Tab.x5[[#This Row],[%_seN_C]])</f>
        <v>false</v>
      </c>
      <c r="AG227" s="77" t="b">
        <f>IF(Tab.11[[#This Row],[a1]]=1,AP227)</f>
        <v>0</v>
      </c>
      <c r="AH227" s="78" t="b">
        <f>IF(Tab.11[[#This Row],[a1]]=1,AQ227)</f>
        <v>0</v>
      </c>
      <c r="AI227" s="41">
        <v>3.0000000000000001E-3</v>
      </c>
      <c r="AJ227" s="79">
        <v>7.0000000000000007E-2</v>
      </c>
      <c r="AK227" s="80" t="b">
        <f>IF(Tab.11[[#This Row],[a1]]=1,1)</f>
        <v>0</v>
      </c>
      <c r="AZ227"/>
    </row>
    <row r="228" spans="1:52" ht="14.25" hidden="1" customHeight="1" x14ac:dyDescent="0.25">
      <c r="A228" s="61">
        <f t="shared" si="9"/>
        <v>0</v>
      </c>
      <c r="B228" s="62">
        <f t="shared" si="9"/>
        <v>0</v>
      </c>
      <c r="C228" s="62" t="b">
        <f>IF(Tab.11[[#This Row],[a1]]=1,[3]!Tab_x1[[#This Row],[Name]])</f>
        <v>0</v>
      </c>
      <c r="D228" s="63" t="b">
        <f>IF(Tab.11[[#This Row],[a1]]=1,AO228)</f>
        <v>0</v>
      </c>
      <c r="E228" s="63">
        <f t="shared" si="8"/>
        <v>0</v>
      </c>
      <c r="F228" s="64" t="b">
        <f>IF(Tab.11[[#This Row],[a1]]=1,Tab.11[[#This Row],[b1]])</f>
        <v>0</v>
      </c>
      <c r="G228" s="65" t="b">
        <f>IF(Tab.11[[#This Row],[a1]]=1,IF(Tab.11[[#This Row],[b3]]&gt;$L$989*$G$3,$L$989*$G$3,IF(Tab.11[[#This Row],[b3]]&lt;$M$989*$G$3,$M$989*$G$3,Tab.11[[#This Row],[b3]])))</f>
        <v>0</v>
      </c>
      <c r="H228" s="66" t="b">
        <f>IF(Tab.11[[#This Row],[a1]]=1,Tab.11[[#This Row],[b1]])</f>
        <v>0</v>
      </c>
      <c r="I228" s="67" t="b">
        <f>IF(Tab.11[[#This Row],[a1]]=1,Tab.11[[#This Row],[b1]])</f>
        <v>0</v>
      </c>
      <c r="J228" s="68" t="b">
        <f>IF(Tab.11[[#This Row],[a1]]=1,IF($I$3&lt;0,Tab.11[[#This Row],[b5]]-$I$3,Tab.11[[#This Row],[b5]]))</f>
        <v>0</v>
      </c>
      <c r="K228" s="68" t="b">
        <f>IF(Tab.11[[#This Row],[a1]]=1,IF($K$3=0,Tab.11[b6],Tab.11[[#This Row],[b6]]-AVERAGE(Tab.11[b6])))</f>
        <v>0</v>
      </c>
      <c r="L228" s="69" t="b">
        <f>IF(Tab.11[[#This Row],[a1]]=1,Tab.11[[#This Row],[data]]/(_xlfn.STDEV.P(Tab.11[data])*$B$989)+$A$989)</f>
        <v>0</v>
      </c>
      <c r="M228" s="69" t="b">
        <f>IF(Tab.11[[#This Row],[a1]]=1,Tab.11[[#This Row],[data]]/(_xlfn.STDEV.P(Tab.11[data])*$B$987)-$A$987)</f>
        <v>0</v>
      </c>
      <c r="N228" s="69" t="b">
        <f>IF(Tab.11[[#This Row],[a1]]=1,Tab.11[[#This Row],[data]]/(_xlfn.STDEV.P(Tab.11[data])*$B$988)+$A$988)</f>
        <v>0</v>
      </c>
      <c r="O228" s="70" t="b">
        <f>IF(Tab.11[[#This Row],[a1]]=1,_xlfn.NORM.DIST(Tab.11[[#This Row],[b8]],$P$1,$Q$1,FALSE))</f>
        <v>0</v>
      </c>
      <c r="P228" s="70" t="b">
        <f>IF(Tab.11[[#This Row],[a1]]=1,_xlfn.NORM.DIST(Tab.11[[#This Row],[b9]],$P$1,$Q$1,FALSE))</f>
        <v>0</v>
      </c>
      <c r="Q228" s="70" t="b">
        <f>IF(Tab.11[[#This Row],[a1]]=1,_xlfn.NORM.DIST(Tab.11[[#This Row],[b10]],$P$1,$Q$1,FALSE))</f>
        <v>0</v>
      </c>
      <c r="R228" s="67" t="b">
        <f>IF(Tab.11[[#This Row],[a1]]=1,$I$3+$A$989+IF($K$3=0,Tab.11[[#This Row],[b8]]*_xlfn.STDEV.P(Tab.11[data]),AVERAGE(Tab.11[b6])+Tab.11[[#This Row],[b8]]*_xlfn.STDEV.P(Tab.11[data])))</f>
        <v>0</v>
      </c>
      <c r="S228" s="71" t="b">
        <f>IF(Tab.11[[#This Row],[a1]]=1,$I$3+$A$987+IF($K$3=0,Tab.11[[#This Row],[b9]]*_xlfn.STDEV.P(Tab.11[data]),AVERAGE(Tab.11[b6])+Tab.11[[#This Row],[b9]]*_xlfn.STDEV.P(Tab.11[data])))</f>
        <v>0</v>
      </c>
      <c r="T228" s="71" t="b">
        <f>IF(Tab.11[[#This Row],[a1]]=1,$I$3+$A$988+IF($K$3=0,Tab.11[[#This Row],[b10]]*_xlfn.STDEV.P(Tab.11[data]),AVERAGE(Tab.11[b6])+Tab.11[[#This Row],[b10]]*_xlfn.STDEV.P(Tab.11[data])))</f>
        <v>0</v>
      </c>
      <c r="U228" s="72" t="b">
        <f>IF(Tab.11[[#This Row],[a1]]=1,Tab.11[[#This Row],[target]]-Tab.11[[#This Row],[Red]])</f>
        <v>0</v>
      </c>
      <c r="V228" s="72" t="b">
        <f>IF(Tab.11[[#This Row],[a1]]=1,Tab.11[[#This Row],[target]]-Tab.11[[#This Row],[Blue]])</f>
        <v>0</v>
      </c>
      <c r="W228" s="73" t="b">
        <f>IF(Tab.11[[#This Row],[a1]]=1,IF(ABS(Tab.11[[#This Row],[b17]])+ABS(Tab.11[[#This Row],[b18]])&lt;$W$2,$W$2,ABS(Tab.11[[#This Row],[b17]])+ABS(Tab.11[[#This Row],[b18]])))</f>
        <v>0</v>
      </c>
      <c r="X228" s="136" t="b">
        <f>IF(Tab.11[[#This Row],[a1]]=1,IF($W$3&lt;0,Tab.11[[#This Row],[IN]]-$I$3,Tab.11[[#This Row],[IN]]))</f>
        <v>0</v>
      </c>
      <c r="Y228" s="136" t="b">
        <f>IF(Tab.11[[#This Row],[a1]]=1,IF($X$3=0,Tab.11[b66],Tab.11[[#This Row],[b66]]-AVERAGE(Tab.11[b66])))</f>
        <v>0</v>
      </c>
      <c r="Z228" s="135" t="b">
        <f>IF(Tab.11[[#This Row],[a1]]=1,Tab.11[[#This Row],[b77]]/(_xlfn.STDEV.P(Tab.11[b77])))</f>
        <v>0</v>
      </c>
      <c r="AA228" s="70" t="b">
        <f>IF(Tab.11[[#This Row],[a1]]=1,_xlfn.NORM.DIST(Tab.11[[#This Row],[b88]],$Z$1,$AA$1,FALSE))</f>
        <v>0</v>
      </c>
      <c r="AB228" s="74" t="b">
        <f>IF(Tab.11[[#This Row],[a1]]=1,IF($A$3=0,FALSE,1/Tab.11[[#This Row],[IN]]*$AC$2*IF(Tab.11[[#This Row],[a1]]=0,,$A$3*$AC$1*1/$V$3*(Tab.11[[#This Row],[b14]]))))</f>
        <v>0</v>
      </c>
      <c r="AC228" s="75" t="b">
        <f>IF(Tab.11[[#This Row],[a1]]=1,IF($AC$3=0,Tab.11[[#This Row],[φ1]],Tab.11[[#This Row],[φ1]]/MAX(Tab.11[φ1])))</f>
        <v>0</v>
      </c>
      <c r="AD228" s="74" t="b">
        <f>IF(Tab.11[[#This Row],[a1]]=1,1/Tab.11[[#This Row],[φ2]])</f>
        <v>0</v>
      </c>
      <c r="AE228" s="74" t="b">
        <f>IF(Tab.11[[#This Row],[a1]]=1,IF($AE$3=0,Tab.11[[#This Row],[w.0]],Tab.11[[#This Row],[w.0]]/SUM(Tab.11[w.0])))</f>
        <v>0</v>
      </c>
      <c r="AF228" s="76" t="str">
        <f>IF(Tab.11[[#This Row],[a1]]=0,"false",[3]!Tab.x5[[#This Row],[%_seN_C]])</f>
        <v>false</v>
      </c>
      <c r="AG228" s="77" t="b">
        <f>IF(Tab.11[[#This Row],[a1]]=1,AP228)</f>
        <v>0</v>
      </c>
      <c r="AH228" s="78" t="b">
        <f>IF(Tab.11[[#This Row],[a1]]=1,AQ228)</f>
        <v>0</v>
      </c>
      <c r="AI228" s="41">
        <v>3.0000000000000001E-3</v>
      </c>
      <c r="AJ228" s="79">
        <v>0.03</v>
      </c>
      <c r="AK228" s="80" t="b">
        <f>IF(Tab.11[[#This Row],[a1]]=1,1)</f>
        <v>0</v>
      </c>
      <c r="AZ228"/>
    </row>
    <row r="229" spans="1:52" ht="14.25" hidden="1" customHeight="1" x14ac:dyDescent="0.25">
      <c r="A229" s="61">
        <f t="shared" si="9"/>
        <v>0</v>
      </c>
      <c r="B229" s="62">
        <f t="shared" si="9"/>
        <v>0</v>
      </c>
      <c r="C229" s="62" t="b">
        <f>IF(Tab.11[[#This Row],[a1]]=1,[3]!Tab_x1[[#This Row],[Name]])</f>
        <v>0</v>
      </c>
      <c r="D229" s="63" t="b">
        <f>IF(Tab.11[[#This Row],[a1]]=1,AO229)</f>
        <v>0</v>
      </c>
      <c r="E229" s="63">
        <f t="shared" si="8"/>
        <v>0</v>
      </c>
      <c r="F229" s="64" t="b">
        <f>IF(Tab.11[[#This Row],[a1]]=1,Tab.11[[#This Row],[b1]])</f>
        <v>0</v>
      </c>
      <c r="G229" s="65" t="b">
        <f>IF(Tab.11[[#This Row],[a1]]=1,IF(Tab.11[[#This Row],[b3]]&gt;$L$989*$G$3,$L$989*$G$3,IF(Tab.11[[#This Row],[b3]]&lt;$M$989*$G$3,$M$989*$G$3,Tab.11[[#This Row],[b3]])))</f>
        <v>0</v>
      </c>
      <c r="H229" s="66" t="b">
        <f>IF(Tab.11[[#This Row],[a1]]=1,Tab.11[[#This Row],[b1]])</f>
        <v>0</v>
      </c>
      <c r="I229" s="67" t="b">
        <f>IF(Tab.11[[#This Row],[a1]]=1,Tab.11[[#This Row],[b1]])</f>
        <v>0</v>
      </c>
      <c r="J229" s="68" t="b">
        <f>IF(Tab.11[[#This Row],[a1]]=1,IF($I$3&lt;0,Tab.11[[#This Row],[b5]]-$I$3,Tab.11[[#This Row],[b5]]))</f>
        <v>0</v>
      </c>
      <c r="K229" s="68" t="b">
        <f>IF(Tab.11[[#This Row],[a1]]=1,IF($K$3=0,Tab.11[b6],Tab.11[[#This Row],[b6]]-AVERAGE(Tab.11[b6])))</f>
        <v>0</v>
      </c>
      <c r="L229" s="69" t="b">
        <f>IF(Tab.11[[#This Row],[a1]]=1,Tab.11[[#This Row],[data]]/(_xlfn.STDEV.P(Tab.11[data])*$B$989)+$A$989)</f>
        <v>0</v>
      </c>
      <c r="M229" s="69" t="b">
        <f>IF(Tab.11[[#This Row],[a1]]=1,Tab.11[[#This Row],[data]]/(_xlfn.STDEV.P(Tab.11[data])*$B$987)-$A$987)</f>
        <v>0</v>
      </c>
      <c r="N229" s="69" t="b">
        <f>IF(Tab.11[[#This Row],[a1]]=1,Tab.11[[#This Row],[data]]/(_xlfn.STDEV.P(Tab.11[data])*$B$988)+$A$988)</f>
        <v>0</v>
      </c>
      <c r="O229" s="70" t="b">
        <f>IF(Tab.11[[#This Row],[a1]]=1,_xlfn.NORM.DIST(Tab.11[[#This Row],[b8]],$P$1,$Q$1,FALSE))</f>
        <v>0</v>
      </c>
      <c r="P229" s="70" t="b">
        <f>IF(Tab.11[[#This Row],[a1]]=1,_xlfn.NORM.DIST(Tab.11[[#This Row],[b9]],$P$1,$Q$1,FALSE))</f>
        <v>0</v>
      </c>
      <c r="Q229" s="70" t="b">
        <f>IF(Tab.11[[#This Row],[a1]]=1,_xlfn.NORM.DIST(Tab.11[[#This Row],[b10]],$P$1,$Q$1,FALSE))</f>
        <v>0</v>
      </c>
      <c r="R229" s="67" t="b">
        <f>IF(Tab.11[[#This Row],[a1]]=1,$I$3+$A$989+IF($K$3=0,Tab.11[[#This Row],[b8]]*_xlfn.STDEV.P(Tab.11[data]),AVERAGE(Tab.11[b6])+Tab.11[[#This Row],[b8]]*_xlfn.STDEV.P(Tab.11[data])))</f>
        <v>0</v>
      </c>
      <c r="S229" s="71" t="b">
        <f>IF(Tab.11[[#This Row],[a1]]=1,$I$3+$A$987+IF($K$3=0,Tab.11[[#This Row],[b9]]*_xlfn.STDEV.P(Tab.11[data]),AVERAGE(Tab.11[b6])+Tab.11[[#This Row],[b9]]*_xlfn.STDEV.P(Tab.11[data])))</f>
        <v>0</v>
      </c>
      <c r="T229" s="71" t="b">
        <f>IF(Tab.11[[#This Row],[a1]]=1,$I$3+$A$988+IF($K$3=0,Tab.11[[#This Row],[b10]]*_xlfn.STDEV.P(Tab.11[data]),AVERAGE(Tab.11[b6])+Tab.11[[#This Row],[b10]]*_xlfn.STDEV.P(Tab.11[data])))</f>
        <v>0</v>
      </c>
      <c r="U229" s="72" t="b">
        <f>IF(Tab.11[[#This Row],[a1]]=1,Tab.11[[#This Row],[target]]-Tab.11[[#This Row],[Red]])</f>
        <v>0</v>
      </c>
      <c r="V229" s="72" t="b">
        <f>IF(Tab.11[[#This Row],[a1]]=1,Tab.11[[#This Row],[target]]-Tab.11[[#This Row],[Blue]])</f>
        <v>0</v>
      </c>
      <c r="W229" s="73" t="b">
        <f>IF(Tab.11[[#This Row],[a1]]=1,IF(ABS(Tab.11[[#This Row],[b17]])+ABS(Tab.11[[#This Row],[b18]])&lt;$W$2,$W$2,ABS(Tab.11[[#This Row],[b17]])+ABS(Tab.11[[#This Row],[b18]])))</f>
        <v>0</v>
      </c>
      <c r="X229" s="136" t="b">
        <f>IF(Tab.11[[#This Row],[a1]]=1,IF($W$3&lt;0,Tab.11[[#This Row],[IN]]-$I$3,Tab.11[[#This Row],[IN]]))</f>
        <v>0</v>
      </c>
      <c r="Y229" s="136" t="b">
        <f>IF(Tab.11[[#This Row],[a1]]=1,IF($X$3=0,Tab.11[b66],Tab.11[[#This Row],[b66]]-AVERAGE(Tab.11[b66])))</f>
        <v>0</v>
      </c>
      <c r="Z229" s="135" t="b">
        <f>IF(Tab.11[[#This Row],[a1]]=1,Tab.11[[#This Row],[b77]]/(_xlfn.STDEV.P(Tab.11[b77])))</f>
        <v>0</v>
      </c>
      <c r="AA229" s="70" t="b">
        <f>IF(Tab.11[[#This Row],[a1]]=1,_xlfn.NORM.DIST(Tab.11[[#This Row],[b88]],$Z$1,$AA$1,FALSE))</f>
        <v>0</v>
      </c>
      <c r="AB229" s="74" t="b">
        <f>IF(Tab.11[[#This Row],[a1]]=1,IF($A$3=0,FALSE,1/Tab.11[[#This Row],[IN]]*$AC$2*IF(Tab.11[[#This Row],[a1]]=0,,$A$3*$AC$1*1/$V$3*(Tab.11[[#This Row],[b14]]))))</f>
        <v>0</v>
      </c>
      <c r="AC229" s="75" t="b">
        <f>IF(Tab.11[[#This Row],[a1]]=1,IF($AC$3=0,Tab.11[[#This Row],[φ1]],Tab.11[[#This Row],[φ1]]/MAX(Tab.11[φ1])))</f>
        <v>0</v>
      </c>
      <c r="AD229" s="74" t="b">
        <f>IF(Tab.11[[#This Row],[a1]]=1,1/Tab.11[[#This Row],[φ2]])</f>
        <v>0</v>
      </c>
      <c r="AE229" s="74" t="b">
        <f>IF(Tab.11[[#This Row],[a1]]=1,IF($AE$3=0,Tab.11[[#This Row],[w.0]],Tab.11[[#This Row],[w.0]]/SUM(Tab.11[w.0])))</f>
        <v>0</v>
      </c>
      <c r="AF229" s="76" t="str">
        <f>IF(Tab.11[[#This Row],[a1]]=0,"false",[3]!Tab.x5[[#This Row],[%_seN_C]])</f>
        <v>false</v>
      </c>
      <c r="AG229" s="77" t="b">
        <f>IF(Tab.11[[#This Row],[a1]]=1,AP229)</f>
        <v>0</v>
      </c>
      <c r="AH229" s="78" t="b">
        <f>IF(Tab.11[[#This Row],[a1]]=1,AQ229)</f>
        <v>0</v>
      </c>
      <c r="AI229" s="41">
        <v>3.0000000000000001E-3</v>
      </c>
      <c r="AJ229" s="79">
        <v>-0.02</v>
      </c>
      <c r="AK229" s="80" t="b">
        <f>IF(Tab.11[[#This Row],[a1]]=1,1)</f>
        <v>0</v>
      </c>
      <c r="AZ229"/>
    </row>
    <row r="230" spans="1:52" ht="14.25" hidden="1" customHeight="1" x14ac:dyDescent="0.25">
      <c r="A230" s="61">
        <f t="shared" si="9"/>
        <v>0</v>
      </c>
      <c r="B230" s="62">
        <f t="shared" si="9"/>
        <v>0</v>
      </c>
      <c r="C230" s="62" t="b">
        <f>IF(Tab.11[[#This Row],[a1]]=1,[3]!Tab_x1[[#This Row],[Name]])</f>
        <v>0</v>
      </c>
      <c r="D230" s="63" t="b">
        <f>IF(Tab.11[[#This Row],[a1]]=1,AO230)</f>
        <v>0</v>
      </c>
      <c r="E230" s="63">
        <f t="shared" si="8"/>
        <v>0</v>
      </c>
      <c r="F230" s="64" t="b">
        <f>IF(Tab.11[[#This Row],[a1]]=1,Tab.11[[#This Row],[b1]])</f>
        <v>0</v>
      </c>
      <c r="G230" s="65" t="b">
        <f>IF(Tab.11[[#This Row],[a1]]=1,IF(Tab.11[[#This Row],[b3]]&gt;$L$989*$G$3,$L$989*$G$3,IF(Tab.11[[#This Row],[b3]]&lt;$M$989*$G$3,$M$989*$G$3,Tab.11[[#This Row],[b3]])))</f>
        <v>0</v>
      </c>
      <c r="H230" s="66" t="b">
        <f>IF(Tab.11[[#This Row],[a1]]=1,Tab.11[[#This Row],[b1]])</f>
        <v>0</v>
      </c>
      <c r="I230" s="67" t="b">
        <f>IF(Tab.11[[#This Row],[a1]]=1,Tab.11[[#This Row],[b1]])</f>
        <v>0</v>
      </c>
      <c r="J230" s="68" t="b">
        <f>IF(Tab.11[[#This Row],[a1]]=1,IF($I$3&lt;0,Tab.11[[#This Row],[b5]]-$I$3,Tab.11[[#This Row],[b5]]))</f>
        <v>0</v>
      </c>
      <c r="K230" s="68" t="b">
        <f>IF(Tab.11[[#This Row],[a1]]=1,IF($K$3=0,Tab.11[b6],Tab.11[[#This Row],[b6]]-AVERAGE(Tab.11[b6])))</f>
        <v>0</v>
      </c>
      <c r="L230" s="69" t="b">
        <f>IF(Tab.11[[#This Row],[a1]]=1,Tab.11[[#This Row],[data]]/(_xlfn.STDEV.P(Tab.11[data])*$B$989)+$A$989)</f>
        <v>0</v>
      </c>
      <c r="M230" s="69" t="b">
        <f>IF(Tab.11[[#This Row],[a1]]=1,Tab.11[[#This Row],[data]]/(_xlfn.STDEV.P(Tab.11[data])*$B$987)-$A$987)</f>
        <v>0</v>
      </c>
      <c r="N230" s="69" t="b">
        <f>IF(Tab.11[[#This Row],[a1]]=1,Tab.11[[#This Row],[data]]/(_xlfn.STDEV.P(Tab.11[data])*$B$988)+$A$988)</f>
        <v>0</v>
      </c>
      <c r="O230" s="70" t="b">
        <f>IF(Tab.11[[#This Row],[a1]]=1,_xlfn.NORM.DIST(Tab.11[[#This Row],[b8]],$P$1,$Q$1,FALSE))</f>
        <v>0</v>
      </c>
      <c r="P230" s="70" t="b">
        <f>IF(Tab.11[[#This Row],[a1]]=1,_xlfn.NORM.DIST(Tab.11[[#This Row],[b9]],$P$1,$Q$1,FALSE))</f>
        <v>0</v>
      </c>
      <c r="Q230" s="70" t="b">
        <f>IF(Tab.11[[#This Row],[a1]]=1,_xlfn.NORM.DIST(Tab.11[[#This Row],[b10]],$P$1,$Q$1,FALSE))</f>
        <v>0</v>
      </c>
      <c r="R230" s="67" t="b">
        <f>IF(Tab.11[[#This Row],[a1]]=1,$I$3+$A$989+IF($K$3=0,Tab.11[[#This Row],[b8]]*_xlfn.STDEV.P(Tab.11[data]),AVERAGE(Tab.11[b6])+Tab.11[[#This Row],[b8]]*_xlfn.STDEV.P(Tab.11[data])))</f>
        <v>0</v>
      </c>
      <c r="S230" s="71" t="b">
        <f>IF(Tab.11[[#This Row],[a1]]=1,$I$3+$A$987+IF($K$3=0,Tab.11[[#This Row],[b9]]*_xlfn.STDEV.P(Tab.11[data]),AVERAGE(Tab.11[b6])+Tab.11[[#This Row],[b9]]*_xlfn.STDEV.P(Tab.11[data])))</f>
        <v>0</v>
      </c>
      <c r="T230" s="71" t="b">
        <f>IF(Tab.11[[#This Row],[a1]]=1,$I$3+$A$988+IF($K$3=0,Tab.11[[#This Row],[b10]]*_xlfn.STDEV.P(Tab.11[data]),AVERAGE(Tab.11[b6])+Tab.11[[#This Row],[b10]]*_xlfn.STDEV.P(Tab.11[data])))</f>
        <v>0</v>
      </c>
      <c r="U230" s="72" t="b">
        <f>IF(Tab.11[[#This Row],[a1]]=1,Tab.11[[#This Row],[target]]-Tab.11[[#This Row],[Red]])</f>
        <v>0</v>
      </c>
      <c r="V230" s="72" t="b">
        <f>IF(Tab.11[[#This Row],[a1]]=1,Tab.11[[#This Row],[target]]-Tab.11[[#This Row],[Blue]])</f>
        <v>0</v>
      </c>
      <c r="W230" s="73" t="b">
        <f>IF(Tab.11[[#This Row],[a1]]=1,IF(ABS(Tab.11[[#This Row],[b17]])+ABS(Tab.11[[#This Row],[b18]])&lt;$W$2,$W$2,ABS(Tab.11[[#This Row],[b17]])+ABS(Tab.11[[#This Row],[b18]])))</f>
        <v>0</v>
      </c>
      <c r="X230" s="136" t="b">
        <f>IF(Tab.11[[#This Row],[a1]]=1,IF($W$3&lt;0,Tab.11[[#This Row],[IN]]-$I$3,Tab.11[[#This Row],[IN]]))</f>
        <v>0</v>
      </c>
      <c r="Y230" s="136" t="b">
        <f>IF(Tab.11[[#This Row],[a1]]=1,IF($X$3=0,Tab.11[b66],Tab.11[[#This Row],[b66]]-AVERAGE(Tab.11[b66])))</f>
        <v>0</v>
      </c>
      <c r="Z230" s="135" t="b">
        <f>IF(Tab.11[[#This Row],[a1]]=1,Tab.11[[#This Row],[b77]]/(_xlfn.STDEV.P(Tab.11[b77])))</f>
        <v>0</v>
      </c>
      <c r="AA230" s="70" t="b">
        <f>IF(Tab.11[[#This Row],[a1]]=1,_xlfn.NORM.DIST(Tab.11[[#This Row],[b88]],$Z$1,$AA$1,FALSE))</f>
        <v>0</v>
      </c>
      <c r="AB230" s="74" t="b">
        <f>IF(Tab.11[[#This Row],[a1]]=1,IF($A$3=0,FALSE,1/Tab.11[[#This Row],[IN]]*$AC$2*IF(Tab.11[[#This Row],[a1]]=0,,$A$3*$AC$1*1/$V$3*(Tab.11[[#This Row],[b14]]))))</f>
        <v>0</v>
      </c>
      <c r="AC230" s="75" t="b">
        <f>IF(Tab.11[[#This Row],[a1]]=1,IF($AC$3=0,Tab.11[[#This Row],[φ1]],Tab.11[[#This Row],[φ1]]/MAX(Tab.11[φ1])))</f>
        <v>0</v>
      </c>
      <c r="AD230" s="74" t="b">
        <f>IF(Tab.11[[#This Row],[a1]]=1,1/Tab.11[[#This Row],[φ2]])</f>
        <v>0</v>
      </c>
      <c r="AE230" s="74" t="b">
        <f>IF(Tab.11[[#This Row],[a1]]=1,IF($AE$3=0,Tab.11[[#This Row],[w.0]],Tab.11[[#This Row],[w.0]]/SUM(Tab.11[w.0])))</f>
        <v>0</v>
      </c>
      <c r="AF230" s="76" t="str">
        <f>IF(Tab.11[[#This Row],[a1]]=0,"false",[3]!Tab.x5[[#This Row],[%_seN_C]])</f>
        <v>false</v>
      </c>
      <c r="AG230" s="77" t="b">
        <f>IF(Tab.11[[#This Row],[a1]]=1,AP230)</f>
        <v>0</v>
      </c>
      <c r="AH230" s="78" t="b">
        <f>IF(Tab.11[[#This Row],[a1]]=1,AQ230)</f>
        <v>0</v>
      </c>
      <c r="AI230" s="41">
        <v>3.0000000000000001E-3</v>
      </c>
      <c r="AJ230" s="79">
        <v>-0.05</v>
      </c>
      <c r="AK230" s="80" t="b">
        <f>IF(Tab.11[[#This Row],[a1]]=1,1)</f>
        <v>0</v>
      </c>
      <c r="AZ230"/>
    </row>
    <row r="231" spans="1:52" ht="14.25" hidden="1" customHeight="1" x14ac:dyDescent="0.25">
      <c r="A231" s="61">
        <f t="shared" si="9"/>
        <v>0</v>
      </c>
      <c r="B231" s="62">
        <f t="shared" si="9"/>
        <v>0</v>
      </c>
      <c r="C231" s="62" t="b">
        <f>IF(Tab.11[[#This Row],[a1]]=1,[3]!Tab_x1[[#This Row],[Name]])</f>
        <v>0</v>
      </c>
      <c r="D231" s="63" t="b">
        <f>IF(Tab.11[[#This Row],[a1]]=1,AO231)</f>
        <v>0</v>
      </c>
      <c r="E231" s="63">
        <f t="shared" si="8"/>
        <v>0</v>
      </c>
      <c r="F231" s="64" t="b">
        <f>IF(Tab.11[[#This Row],[a1]]=1,Tab.11[[#This Row],[b1]])</f>
        <v>0</v>
      </c>
      <c r="G231" s="65" t="b">
        <f>IF(Tab.11[[#This Row],[a1]]=1,IF(Tab.11[[#This Row],[b3]]&gt;$L$989*$G$3,$L$989*$G$3,IF(Tab.11[[#This Row],[b3]]&lt;$M$989*$G$3,$M$989*$G$3,Tab.11[[#This Row],[b3]])))</f>
        <v>0</v>
      </c>
      <c r="H231" s="66" t="b">
        <f>IF(Tab.11[[#This Row],[a1]]=1,Tab.11[[#This Row],[b1]])</f>
        <v>0</v>
      </c>
      <c r="I231" s="67" t="b">
        <f>IF(Tab.11[[#This Row],[a1]]=1,Tab.11[[#This Row],[b1]])</f>
        <v>0</v>
      </c>
      <c r="J231" s="68" t="b">
        <f>IF(Tab.11[[#This Row],[a1]]=1,IF($I$3&lt;0,Tab.11[[#This Row],[b5]]-$I$3,Tab.11[[#This Row],[b5]]))</f>
        <v>0</v>
      </c>
      <c r="K231" s="68" t="b">
        <f>IF(Tab.11[[#This Row],[a1]]=1,IF($K$3=0,Tab.11[b6],Tab.11[[#This Row],[b6]]-AVERAGE(Tab.11[b6])))</f>
        <v>0</v>
      </c>
      <c r="L231" s="69" t="b">
        <f>IF(Tab.11[[#This Row],[a1]]=1,Tab.11[[#This Row],[data]]/(_xlfn.STDEV.P(Tab.11[data])*$B$989)+$A$989)</f>
        <v>0</v>
      </c>
      <c r="M231" s="69" t="b">
        <f>IF(Tab.11[[#This Row],[a1]]=1,Tab.11[[#This Row],[data]]/(_xlfn.STDEV.P(Tab.11[data])*$B$987)-$A$987)</f>
        <v>0</v>
      </c>
      <c r="N231" s="69" t="b">
        <f>IF(Tab.11[[#This Row],[a1]]=1,Tab.11[[#This Row],[data]]/(_xlfn.STDEV.P(Tab.11[data])*$B$988)+$A$988)</f>
        <v>0</v>
      </c>
      <c r="O231" s="70" t="b">
        <f>IF(Tab.11[[#This Row],[a1]]=1,_xlfn.NORM.DIST(Tab.11[[#This Row],[b8]],$P$1,$Q$1,FALSE))</f>
        <v>0</v>
      </c>
      <c r="P231" s="70" t="b">
        <f>IF(Tab.11[[#This Row],[a1]]=1,_xlfn.NORM.DIST(Tab.11[[#This Row],[b9]],$P$1,$Q$1,FALSE))</f>
        <v>0</v>
      </c>
      <c r="Q231" s="70" t="b">
        <f>IF(Tab.11[[#This Row],[a1]]=1,_xlfn.NORM.DIST(Tab.11[[#This Row],[b10]],$P$1,$Q$1,FALSE))</f>
        <v>0</v>
      </c>
      <c r="R231" s="67" t="b">
        <f>IF(Tab.11[[#This Row],[a1]]=1,$I$3+$A$989+IF($K$3=0,Tab.11[[#This Row],[b8]]*_xlfn.STDEV.P(Tab.11[data]),AVERAGE(Tab.11[b6])+Tab.11[[#This Row],[b8]]*_xlfn.STDEV.P(Tab.11[data])))</f>
        <v>0</v>
      </c>
      <c r="S231" s="71" t="b">
        <f>IF(Tab.11[[#This Row],[a1]]=1,$I$3+$A$987+IF($K$3=0,Tab.11[[#This Row],[b9]]*_xlfn.STDEV.P(Tab.11[data]),AVERAGE(Tab.11[b6])+Tab.11[[#This Row],[b9]]*_xlfn.STDEV.P(Tab.11[data])))</f>
        <v>0</v>
      </c>
      <c r="T231" s="71" t="b">
        <f>IF(Tab.11[[#This Row],[a1]]=1,$I$3+$A$988+IF($K$3=0,Tab.11[[#This Row],[b10]]*_xlfn.STDEV.P(Tab.11[data]),AVERAGE(Tab.11[b6])+Tab.11[[#This Row],[b10]]*_xlfn.STDEV.P(Tab.11[data])))</f>
        <v>0</v>
      </c>
      <c r="U231" s="72" t="b">
        <f>IF(Tab.11[[#This Row],[a1]]=1,Tab.11[[#This Row],[target]]-Tab.11[[#This Row],[Red]])</f>
        <v>0</v>
      </c>
      <c r="V231" s="72" t="b">
        <f>IF(Tab.11[[#This Row],[a1]]=1,Tab.11[[#This Row],[target]]-Tab.11[[#This Row],[Blue]])</f>
        <v>0</v>
      </c>
      <c r="W231" s="73" t="b">
        <f>IF(Tab.11[[#This Row],[a1]]=1,IF(ABS(Tab.11[[#This Row],[b17]])+ABS(Tab.11[[#This Row],[b18]])&lt;$W$2,$W$2,ABS(Tab.11[[#This Row],[b17]])+ABS(Tab.11[[#This Row],[b18]])))</f>
        <v>0</v>
      </c>
      <c r="X231" s="136" t="b">
        <f>IF(Tab.11[[#This Row],[a1]]=1,IF($W$3&lt;0,Tab.11[[#This Row],[IN]]-$I$3,Tab.11[[#This Row],[IN]]))</f>
        <v>0</v>
      </c>
      <c r="Y231" s="136" t="b">
        <f>IF(Tab.11[[#This Row],[a1]]=1,IF($X$3=0,Tab.11[b66],Tab.11[[#This Row],[b66]]-AVERAGE(Tab.11[b66])))</f>
        <v>0</v>
      </c>
      <c r="Z231" s="135" t="b">
        <f>IF(Tab.11[[#This Row],[a1]]=1,Tab.11[[#This Row],[b77]]/(_xlfn.STDEV.P(Tab.11[b77])))</f>
        <v>0</v>
      </c>
      <c r="AA231" s="70" t="b">
        <f>IF(Tab.11[[#This Row],[a1]]=1,_xlfn.NORM.DIST(Tab.11[[#This Row],[b88]],$Z$1,$AA$1,FALSE))</f>
        <v>0</v>
      </c>
      <c r="AB231" s="74" t="b">
        <f>IF(Tab.11[[#This Row],[a1]]=1,IF($A$3=0,FALSE,1/Tab.11[[#This Row],[IN]]*$AC$2*IF(Tab.11[[#This Row],[a1]]=0,,$A$3*$AC$1*1/$V$3*(Tab.11[[#This Row],[b14]]))))</f>
        <v>0</v>
      </c>
      <c r="AC231" s="75" t="b">
        <f>IF(Tab.11[[#This Row],[a1]]=1,IF($AC$3=0,Tab.11[[#This Row],[φ1]],Tab.11[[#This Row],[φ1]]/MAX(Tab.11[φ1])))</f>
        <v>0</v>
      </c>
      <c r="AD231" s="74" t="b">
        <f>IF(Tab.11[[#This Row],[a1]]=1,1/Tab.11[[#This Row],[φ2]])</f>
        <v>0</v>
      </c>
      <c r="AE231" s="74" t="b">
        <f>IF(Tab.11[[#This Row],[a1]]=1,IF($AE$3=0,Tab.11[[#This Row],[w.0]],Tab.11[[#This Row],[w.0]]/SUM(Tab.11[w.0])))</f>
        <v>0</v>
      </c>
      <c r="AF231" s="76" t="str">
        <f>IF(Tab.11[[#This Row],[a1]]=0,"false",[3]!Tab.x5[[#This Row],[%_seN_C]])</f>
        <v>false</v>
      </c>
      <c r="AG231" s="77" t="b">
        <f>IF(Tab.11[[#This Row],[a1]]=1,AP231)</f>
        <v>0</v>
      </c>
      <c r="AH231" s="78" t="b">
        <f>IF(Tab.11[[#This Row],[a1]]=1,AQ231)</f>
        <v>0</v>
      </c>
      <c r="AI231" s="41">
        <v>3.0000000000000001E-3</v>
      </c>
      <c r="AJ231" s="79">
        <v>0.01</v>
      </c>
      <c r="AK231" s="80" t="b">
        <f>IF(Tab.11[[#This Row],[a1]]=1,1)</f>
        <v>0</v>
      </c>
      <c r="AZ231"/>
    </row>
    <row r="232" spans="1:52" ht="14.25" hidden="1" customHeight="1" x14ac:dyDescent="0.25">
      <c r="A232" s="61">
        <f t="shared" si="9"/>
        <v>0</v>
      </c>
      <c r="B232" s="62">
        <f t="shared" si="9"/>
        <v>0</v>
      </c>
      <c r="C232" s="62" t="b">
        <f>IF(Tab.11[[#This Row],[a1]]=1,[3]!Tab_x1[[#This Row],[Name]])</f>
        <v>0</v>
      </c>
      <c r="D232" s="63" t="b">
        <f>IF(Tab.11[[#This Row],[a1]]=1,AO232)</f>
        <v>0</v>
      </c>
      <c r="E232" s="63">
        <f t="shared" si="8"/>
        <v>0</v>
      </c>
      <c r="F232" s="64" t="b">
        <f>IF(Tab.11[[#This Row],[a1]]=1,Tab.11[[#This Row],[b1]])</f>
        <v>0</v>
      </c>
      <c r="G232" s="65" t="b">
        <f>IF(Tab.11[[#This Row],[a1]]=1,IF(Tab.11[[#This Row],[b3]]&gt;$L$989*$G$3,$L$989*$G$3,IF(Tab.11[[#This Row],[b3]]&lt;$M$989*$G$3,$M$989*$G$3,Tab.11[[#This Row],[b3]])))</f>
        <v>0</v>
      </c>
      <c r="H232" s="66" t="b">
        <f>IF(Tab.11[[#This Row],[a1]]=1,Tab.11[[#This Row],[b1]])</f>
        <v>0</v>
      </c>
      <c r="I232" s="67" t="b">
        <f>IF(Tab.11[[#This Row],[a1]]=1,Tab.11[[#This Row],[b1]])</f>
        <v>0</v>
      </c>
      <c r="J232" s="68" t="b">
        <f>IF(Tab.11[[#This Row],[a1]]=1,IF($I$3&lt;0,Tab.11[[#This Row],[b5]]-$I$3,Tab.11[[#This Row],[b5]]))</f>
        <v>0</v>
      </c>
      <c r="K232" s="68" t="b">
        <f>IF(Tab.11[[#This Row],[a1]]=1,IF($K$3=0,Tab.11[b6],Tab.11[[#This Row],[b6]]-AVERAGE(Tab.11[b6])))</f>
        <v>0</v>
      </c>
      <c r="L232" s="69" t="b">
        <f>IF(Tab.11[[#This Row],[a1]]=1,Tab.11[[#This Row],[data]]/(_xlfn.STDEV.P(Tab.11[data])*$B$989)+$A$989)</f>
        <v>0</v>
      </c>
      <c r="M232" s="69" t="b">
        <f>IF(Tab.11[[#This Row],[a1]]=1,Tab.11[[#This Row],[data]]/(_xlfn.STDEV.P(Tab.11[data])*$B$987)-$A$987)</f>
        <v>0</v>
      </c>
      <c r="N232" s="69" t="b">
        <f>IF(Tab.11[[#This Row],[a1]]=1,Tab.11[[#This Row],[data]]/(_xlfn.STDEV.P(Tab.11[data])*$B$988)+$A$988)</f>
        <v>0</v>
      </c>
      <c r="O232" s="70" t="b">
        <f>IF(Tab.11[[#This Row],[a1]]=1,_xlfn.NORM.DIST(Tab.11[[#This Row],[b8]],$P$1,$Q$1,FALSE))</f>
        <v>0</v>
      </c>
      <c r="P232" s="70" t="b">
        <f>IF(Tab.11[[#This Row],[a1]]=1,_xlfn.NORM.DIST(Tab.11[[#This Row],[b9]],$P$1,$Q$1,FALSE))</f>
        <v>0</v>
      </c>
      <c r="Q232" s="70" t="b">
        <f>IF(Tab.11[[#This Row],[a1]]=1,_xlfn.NORM.DIST(Tab.11[[#This Row],[b10]],$P$1,$Q$1,FALSE))</f>
        <v>0</v>
      </c>
      <c r="R232" s="67" t="b">
        <f>IF(Tab.11[[#This Row],[a1]]=1,$I$3+$A$989+IF($K$3=0,Tab.11[[#This Row],[b8]]*_xlfn.STDEV.P(Tab.11[data]),AVERAGE(Tab.11[b6])+Tab.11[[#This Row],[b8]]*_xlfn.STDEV.P(Tab.11[data])))</f>
        <v>0</v>
      </c>
      <c r="S232" s="71" t="b">
        <f>IF(Tab.11[[#This Row],[a1]]=1,$I$3+$A$987+IF($K$3=0,Tab.11[[#This Row],[b9]]*_xlfn.STDEV.P(Tab.11[data]),AVERAGE(Tab.11[b6])+Tab.11[[#This Row],[b9]]*_xlfn.STDEV.P(Tab.11[data])))</f>
        <v>0</v>
      </c>
      <c r="T232" s="71" t="b">
        <f>IF(Tab.11[[#This Row],[a1]]=1,$I$3+$A$988+IF($K$3=0,Tab.11[[#This Row],[b10]]*_xlfn.STDEV.P(Tab.11[data]),AVERAGE(Tab.11[b6])+Tab.11[[#This Row],[b10]]*_xlfn.STDEV.P(Tab.11[data])))</f>
        <v>0</v>
      </c>
      <c r="U232" s="72" t="b">
        <f>IF(Tab.11[[#This Row],[a1]]=1,Tab.11[[#This Row],[target]]-Tab.11[[#This Row],[Red]])</f>
        <v>0</v>
      </c>
      <c r="V232" s="72" t="b">
        <f>IF(Tab.11[[#This Row],[a1]]=1,Tab.11[[#This Row],[target]]-Tab.11[[#This Row],[Blue]])</f>
        <v>0</v>
      </c>
      <c r="W232" s="73" t="b">
        <f>IF(Tab.11[[#This Row],[a1]]=1,IF(ABS(Tab.11[[#This Row],[b17]])+ABS(Tab.11[[#This Row],[b18]])&lt;$W$2,$W$2,ABS(Tab.11[[#This Row],[b17]])+ABS(Tab.11[[#This Row],[b18]])))</f>
        <v>0</v>
      </c>
      <c r="X232" s="136" t="b">
        <f>IF(Tab.11[[#This Row],[a1]]=1,IF($W$3&lt;0,Tab.11[[#This Row],[IN]]-$I$3,Tab.11[[#This Row],[IN]]))</f>
        <v>0</v>
      </c>
      <c r="Y232" s="136" t="b">
        <f>IF(Tab.11[[#This Row],[a1]]=1,IF($X$3=0,Tab.11[b66],Tab.11[[#This Row],[b66]]-AVERAGE(Tab.11[b66])))</f>
        <v>0</v>
      </c>
      <c r="Z232" s="135" t="b">
        <f>IF(Tab.11[[#This Row],[a1]]=1,Tab.11[[#This Row],[b77]]/(_xlfn.STDEV.P(Tab.11[b77])))</f>
        <v>0</v>
      </c>
      <c r="AA232" s="70" t="b">
        <f>IF(Tab.11[[#This Row],[a1]]=1,_xlfn.NORM.DIST(Tab.11[[#This Row],[b88]],$Z$1,$AA$1,FALSE))</f>
        <v>0</v>
      </c>
      <c r="AB232" s="74" t="b">
        <f>IF(Tab.11[[#This Row],[a1]]=1,IF($A$3=0,FALSE,1/Tab.11[[#This Row],[IN]]*$AC$2*IF(Tab.11[[#This Row],[a1]]=0,,$A$3*$AC$1*1/$V$3*(Tab.11[[#This Row],[b14]]))))</f>
        <v>0</v>
      </c>
      <c r="AC232" s="75" t="b">
        <f>IF(Tab.11[[#This Row],[a1]]=1,IF($AC$3=0,Tab.11[[#This Row],[φ1]],Tab.11[[#This Row],[φ1]]/MAX(Tab.11[φ1])))</f>
        <v>0</v>
      </c>
      <c r="AD232" s="74" t="b">
        <f>IF(Tab.11[[#This Row],[a1]]=1,1/Tab.11[[#This Row],[φ2]])</f>
        <v>0</v>
      </c>
      <c r="AE232" s="74" t="b">
        <f>IF(Tab.11[[#This Row],[a1]]=1,IF($AE$3=0,Tab.11[[#This Row],[w.0]],Tab.11[[#This Row],[w.0]]/SUM(Tab.11[w.0])))</f>
        <v>0</v>
      </c>
      <c r="AF232" s="76" t="str">
        <f>IF(Tab.11[[#This Row],[a1]]=0,"false",[3]!Tab.x5[[#This Row],[%_seN_C]])</f>
        <v>false</v>
      </c>
      <c r="AG232" s="77" t="b">
        <f>IF(Tab.11[[#This Row],[a1]]=1,AP232)</f>
        <v>0</v>
      </c>
      <c r="AH232" s="78" t="b">
        <f>IF(Tab.11[[#This Row],[a1]]=1,AQ232)</f>
        <v>0</v>
      </c>
      <c r="AI232" s="41">
        <v>3.0000000000000001E-3</v>
      </c>
      <c r="AJ232" s="79">
        <v>0.1</v>
      </c>
      <c r="AK232" s="80" t="b">
        <f>IF(Tab.11[[#This Row],[a1]]=1,1)</f>
        <v>0</v>
      </c>
      <c r="AZ232"/>
    </row>
    <row r="233" spans="1:52" ht="14.25" hidden="1" customHeight="1" x14ac:dyDescent="0.25">
      <c r="A233" s="61">
        <f t="shared" si="9"/>
        <v>0</v>
      </c>
      <c r="B233" s="62">
        <f t="shared" si="9"/>
        <v>0</v>
      </c>
      <c r="C233" s="62" t="b">
        <f>IF(Tab.11[[#This Row],[a1]]=1,[3]!Tab_x1[[#This Row],[Name]])</f>
        <v>0</v>
      </c>
      <c r="D233" s="63" t="b">
        <f>IF(Tab.11[[#This Row],[a1]]=1,AO233)</f>
        <v>0</v>
      </c>
      <c r="E233" s="63">
        <f t="shared" si="8"/>
        <v>0</v>
      </c>
      <c r="F233" s="64" t="b">
        <f>IF(Tab.11[[#This Row],[a1]]=1,Tab.11[[#This Row],[b1]])</f>
        <v>0</v>
      </c>
      <c r="G233" s="65" t="b">
        <f>IF(Tab.11[[#This Row],[a1]]=1,IF(Tab.11[[#This Row],[b3]]&gt;$L$989*$G$3,$L$989*$G$3,IF(Tab.11[[#This Row],[b3]]&lt;$M$989*$G$3,$M$989*$G$3,Tab.11[[#This Row],[b3]])))</f>
        <v>0</v>
      </c>
      <c r="H233" s="66" t="b">
        <f>IF(Tab.11[[#This Row],[a1]]=1,Tab.11[[#This Row],[b1]])</f>
        <v>0</v>
      </c>
      <c r="I233" s="67" t="b">
        <f>IF(Tab.11[[#This Row],[a1]]=1,Tab.11[[#This Row],[b1]])</f>
        <v>0</v>
      </c>
      <c r="J233" s="68" t="b">
        <f>IF(Tab.11[[#This Row],[a1]]=1,IF($I$3&lt;0,Tab.11[[#This Row],[b5]]-$I$3,Tab.11[[#This Row],[b5]]))</f>
        <v>0</v>
      </c>
      <c r="K233" s="68" t="b">
        <f>IF(Tab.11[[#This Row],[a1]]=1,IF($K$3=0,Tab.11[b6],Tab.11[[#This Row],[b6]]-AVERAGE(Tab.11[b6])))</f>
        <v>0</v>
      </c>
      <c r="L233" s="69" t="b">
        <f>IF(Tab.11[[#This Row],[a1]]=1,Tab.11[[#This Row],[data]]/(_xlfn.STDEV.P(Tab.11[data])*$B$989)+$A$989)</f>
        <v>0</v>
      </c>
      <c r="M233" s="69" t="b">
        <f>IF(Tab.11[[#This Row],[a1]]=1,Tab.11[[#This Row],[data]]/(_xlfn.STDEV.P(Tab.11[data])*$B$987)-$A$987)</f>
        <v>0</v>
      </c>
      <c r="N233" s="69" t="b">
        <f>IF(Tab.11[[#This Row],[a1]]=1,Tab.11[[#This Row],[data]]/(_xlfn.STDEV.P(Tab.11[data])*$B$988)+$A$988)</f>
        <v>0</v>
      </c>
      <c r="O233" s="70" t="b">
        <f>IF(Tab.11[[#This Row],[a1]]=1,_xlfn.NORM.DIST(Tab.11[[#This Row],[b8]],$P$1,$Q$1,FALSE))</f>
        <v>0</v>
      </c>
      <c r="P233" s="70" t="b">
        <f>IF(Tab.11[[#This Row],[a1]]=1,_xlfn.NORM.DIST(Tab.11[[#This Row],[b9]],$P$1,$Q$1,FALSE))</f>
        <v>0</v>
      </c>
      <c r="Q233" s="70" t="b">
        <f>IF(Tab.11[[#This Row],[a1]]=1,_xlfn.NORM.DIST(Tab.11[[#This Row],[b10]],$P$1,$Q$1,FALSE))</f>
        <v>0</v>
      </c>
      <c r="R233" s="67" t="b">
        <f>IF(Tab.11[[#This Row],[a1]]=1,$I$3+$A$989+IF($K$3=0,Tab.11[[#This Row],[b8]]*_xlfn.STDEV.P(Tab.11[data]),AVERAGE(Tab.11[b6])+Tab.11[[#This Row],[b8]]*_xlfn.STDEV.P(Tab.11[data])))</f>
        <v>0</v>
      </c>
      <c r="S233" s="71" t="b">
        <f>IF(Tab.11[[#This Row],[a1]]=1,$I$3+$A$987+IF($K$3=0,Tab.11[[#This Row],[b9]]*_xlfn.STDEV.P(Tab.11[data]),AVERAGE(Tab.11[b6])+Tab.11[[#This Row],[b9]]*_xlfn.STDEV.P(Tab.11[data])))</f>
        <v>0</v>
      </c>
      <c r="T233" s="71" t="b">
        <f>IF(Tab.11[[#This Row],[a1]]=1,$I$3+$A$988+IF($K$3=0,Tab.11[[#This Row],[b10]]*_xlfn.STDEV.P(Tab.11[data]),AVERAGE(Tab.11[b6])+Tab.11[[#This Row],[b10]]*_xlfn.STDEV.P(Tab.11[data])))</f>
        <v>0</v>
      </c>
      <c r="U233" s="72" t="b">
        <f>IF(Tab.11[[#This Row],[a1]]=1,Tab.11[[#This Row],[target]]-Tab.11[[#This Row],[Red]])</f>
        <v>0</v>
      </c>
      <c r="V233" s="72" t="b">
        <f>IF(Tab.11[[#This Row],[a1]]=1,Tab.11[[#This Row],[target]]-Tab.11[[#This Row],[Blue]])</f>
        <v>0</v>
      </c>
      <c r="W233" s="73" t="b">
        <f>IF(Tab.11[[#This Row],[a1]]=1,IF(ABS(Tab.11[[#This Row],[b17]])+ABS(Tab.11[[#This Row],[b18]])&lt;$W$2,$W$2,ABS(Tab.11[[#This Row],[b17]])+ABS(Tab.11[[#This Row],[b18]])))</f>
        <v>0</v>
      </c>
      <c r="X233" s="136" t="b">
        <f>IF(Tab.11[[#This Row],[a1]]=1,IF($W$3&lt;0,Tab.11[[#This Row],[IN]]-$I$3,Tab.11[[#This Row],[IN]]))</f>
        <v>0</v>
      </c>
      <c r="Y233" s="136" t="b">
        <f>IF(Tab.11[[#This Row],[a1]]=1,IF($X$3=0,Tab.11[b66],Tab.11[[#This Row],[b66]]-AVERAGE(Tab.11[b66])))</f>
        <v>0</v>
      </c>
      <c r="Z233" s="135" t="b">
        <f>IF(Tab.11[[#This Row],[a1]]=1,Tab.11[[#This Row],[b77]]/(_xlfn.STDEV.P(Tab.11[b77])))</f>
        <v>0</v>
      </c>
      <c r="AA233" s="70" t="b">
        <f>IF(Tab.11[[#This Row],[a1]]=1,_xlfn.NORM.DIST(Tab.11[[#This Row],[b88]],$Z$1,$AA$1,FALSE))</f>
        <v>0</v>
      </c>
      <c r="AB233" s="74" t="b">
        <f>IF(Tab.11[[#This Row],[a1]]=1,IF($A$3=0,FALSE,1/Tab.11[[#This Row],[IN]]*$AC$2*IF(Tab.11[[#This Row],[a1]]=0,,$A$3*$AC$1*1/$V$3*(Tab.11[[#This Row],[b14]]))))</f>
        <v>0</v>
      </c>
      <c r="AC233" s="75" t="b">
        <f>IF(Tab.11[[#This Row],[a1]]=1,IF($AC$3=0,Tab.11[[#This Row],[φ1]],Tab.11[[#This Row],[φ1]]/MAX(Tab.11[φ1])))</f>
        <v>0</v>
      </c>
      <c r="AD233" s="74" t="b">
        <f>IF(Tab.11[[#This Row],[a1]]=1,1/Tab.11[[#This Row],[φ2]])</f>
        <v>0</v>
      </c>
      <c r="AE233" s="74" t="b">
        <f>IF(Tab.11[[#This Row],[a1]]=1,IF($AE$3=0,Tab.11[[#This Row],[w.0]],Tab.11[[#This Row],[w.0]]/SUM(Tab.11[w.0])))</f>
        <v>0</v>
      </c>
      <c r="AF233" s="76" t="str">
        <f>IF(Tab.11[[#This Row],[a1]]=0,"false",[3]!Tab.x5[[#This Row],[%_seN_C]])</f>
        <v>false</v>
      </c>
      <c r="AG233" s="77" t="b">
        <f>IF(Tab.11[[#This Row],[a1]]=1,AP233)</f>
        <v>0</v>
      </c>
      <c r="AH233" s="78" t="b">
        <f>IF(Tab.11[[#This Row],[a1]]=1,AQ233)</f>
        <v>0</v>
      </c>
      <c r="AI233" s="41">
        <v>3.0000000000000001E-3</v>
      </c>
      <c r="AJ233" s="79">
        <v>-0.09</v>
      </c>
      <c r="AK233" s="80" t="b">
        <f>IF(Tab.11[[#This Row],[a1]]=1,1)</f>
        <v>0</v>
      </c>
      <c r="AZ233"/>
    </row>
    <row r="234" spans="1:52" ht="14.25" hidden="1" customHeight="1" x14ac:dyDescent="0.25">
      <c r="A234" s="61">
        <f t="shared" si="9"/>
        <v>0</v>
      </c>
      <c r="B234" s="62">
        <f t="shared" si="9"/>
        <v>0</v>
      </c>
      <c r="C234" s="62" t="b">
        <f>IF(Tab.11[[#This Row],[a1]]=1,[3]!Tab_x1[[#This Row],[Name]])</f>
        <v>0</v>
      </c>
      <c r="D234" s="63" t="b">
        <f>IF(Tab.11[[#This Row],[a1]]=1,AO234)</f>
        <v>0</v>
      </c>
      <c r="E234" s="63">
        <f t="shared" si="8"/>
        <v>0</v>
      </c>
      <c r="F234" s="64" t="b">
        <f>IF(Tab.11[[#This Row],[a1]]=1,Tab.11[[#This Row],[b1]])</f>
        <v>0</v>
      </c>
      <c r="G234" s="65" t="b">
        <f>IF(Tab.11[[#This Row],[a1]]=1,IF(Tab.11[[#This Row],[b3]]&gt;$L$989*$G$3,$L$989*$G$3,IF(Tab.11[[#This Row],[b3]]&lt;$M$989*$G$3,$M$989*$G$3,Tab.11[[#This Row],[b3]])))</f>
        <v>0</v>
      </c>
      <c r="H234" s="66" t="b">
        <f>IF(Tab.11[[#This Row],[a1]]=1,Tab.11[[#This Row],[b1]])</f>
        <v>0</v>
      </c>
      <c r="I234" s="67" t="b">
        <f>IF(Tab.11[[#This Row],[a1]]=1,Tab.11[[#This Row],[b1]])</f>
        <v>0</v>
      </c>
      <c r="J234" s="68" t="b">
        <f>IF(Tab.11[[#This Row],[a1]]=1,IF($I$3&lt;0,Tab.11[[#This Row],[b5]]-$I$3,Tab.11[[#This Row],[b5]]))</f>
        <v>0</v>
      </c>
      <c r="K234" s="68" t="b">
        <f>IF(Tab.11[[#This Row],[a1]]=1,IF($K$3=0,Tab.11[b6],Tab.11[[#This Row],[b6]]-AVERAGE(Tab.11[b6])))</f>
        <v>0</v>
      </c>
      <c r="L234" s="69" t="b">
        <f>IF(Tab.11[[#This Row],[a1]]=1,Tab.11[[#This Row],[data]]/(_xlfn.STDEV.P(Tab.11[data])*$B$989)+$A$989)</f>
        <v>0</v>
      </c>
      <c r="M234" s="69" t="b">
        <f>IF(Tab.11[[#This Row],[a1]]=1,Tab.11[[#This Row],[data]]/(_xlfn.STDEV.P(Tab.11[data])*$B$987)-$A$987)</f>
        <v>0</v>
      </c>
      <c r="N234" s="69" t="b">
        <f>IF(Tab.11[[#This Row],[a1]]=1,Tab.11[[#This Row],[data]]/(_xlfn.STDEV.P(Tab.11[data])*$B$988)+$A$988)</f>
        <v>0</v>
      </c>
      <c r="O234" s="70" t="b">
        <f>IF(Tab.11[[#This Row],[a1]]=1,_xlfn.NORM.DIST(Tab.11[[#This Row],[b8]],$P$1,$Q$1,FALSE))</f>
        <v>0</v>
      </c>
      <c r="P234" s="70" t="b">
        <f>IF(Tab.11[[#This Row],[a1]]=1,_xlfn.NORM.DIST(Tab.11[[#This Row],[b9]],$P$1,$Q$1,FALSE))</f>
        <v>0</v>
      </c>
      <c r="Q234" s="70" t="b">
        <f>IF(Tab.11[[#This Row],[a1]]=1,_xlfn.NORM.DIST(Tab.11[[#This Row],[b10]],$P$1,$Q$1,FALSE))</f>
        <v>0</v>
      </c>
      <c r="R234" s="67" t="b">
        <f>IF(Tab.11[[#This Row],[a1]]=1,$I$3+$A$989+IF($K$3=0,Tab.11[[#This Row],[b8]]*_xlfn.STDEV.P(Tab.11[data]),AVERAGE(Tab.11[b6])+Tab.11[[#This Row],[b8]]*_xlfn.STDEV.P(Tab.11[data])))</f>
        <v>0</v>
      </c>
      <c r="S234" s="71" t="b">
        <f>IF(Tab.11[[#This Row],[a1]]=1,$I$3+$A$987+IF($K$3=0,Tab.11[[#This Row],[b9]]*_xlfn.STDEV.P(Tab.11[data]),AVERAGE(Tab.11[b6])+Tab.11[[#This Row],[b9]]*_xlfn.STDEV.P(Tab.11[data])))</f>
        <v>0</v>
      </c>
      <c r="T234" s="71" t="b">
        <f>IF(Tab.11[[#This Row],[a1]]=1,$I$3+$A$988+IF($K$3=0,Tab.11[[#This Row],[b10]]*_xlfn.STDEV.P(Tab.11[data]),AVERAGE(Tab.11[b6])+Tab.11[[#This Row],[b10]]*_xlfn.STDEV.P(Tab.11[data])))</f>
        <v>0</v>
      </c>
      <c r="U234" s="72" t="b">
        <f>IF(Tab.11[[#This Row],[a1]]=1,Tab.11[[#This Row],[target]]-Tab.11[[#This Row],[Red]])</f>
        <v>0</v>
      </c>
      <c r="V234" s="72" t="b">
        <f>IF(Tab.11[[#This Row],[a1]]=1,Tab.11[[#This Row],[target]]-Tab.11[[#This Row],[Blue]])</f>
        <v>0</v>
      </c>
      <c r="W234" s="73" t="b">
        <f>IF(Tab.11[[#This Row],[a1]]=1,IF(ABS(Tab.11[[#This Row],[b17]])+ABS(Tab.11[[#This Row],[b18]])&lt;$W$2,$W$2,ABS(Tab.11[[#This Row],[b17]])+ABS(Tab.11[[#This Row],[b18]])))</f>
        <v>0</v>
      </c>
      <c r="X234" s="136" t="b">
        <f>IF(Tab.11[[#This Row],[a1]]=1,IF($W$3&lt;0,Tab.11[[#This Row],[IN]]-$I$3,Tab.11[[#This Row],[IN]]))</f>
        <v>0</v>
      </c>
      <c r="Y234" s="136" t="b">
        <f>IF(Tab.11[[#This Row],[a1]]=1,IF($X$3=0,Tab.11[b66],Tab.11[[#This Row],[b66]]-AVERAGE(Tab.11[b66])))</f>
        <v>0</v>
      </c>
      <c r="Z234" s="135" t="b">
        <f>IF(Tab.11[[#This Row],[a1]]=1,Tab.11[[#This Row],[b77]]/(_xlfn.STDEV.P(Tab.11[b77])))</f>
        <v>0</v>
      </c>
      <c r="AA234" s="70" t="b">
        <f>IF(Tab.11[[#This Row],[a1]]=1,_xlfn.NORM.DIST(Tab.11[[#This Row],[b88]],$Z$1,$AA$1,FALSE))</f>
        <v>0</v>
      </c>
      <c r="AB234" s="74" t="b">
        <f>IF(Tab.11[[#This Row],[a1]]=1,IF($A$3=0,FALSE,1/Tab.11[[#This Row],[IN]]*$AC$2*IF(Tab.11[[#This Row],[a1]]=0,,$A$3*$AC$1*1/$V$3*(Tab.11[[#This Row],[b14]]))))</f>
        <v>0</v>
      </c>
      <c r="AC234" s="75" t="b">
        <f>IF(Tab.11[[#This Row],[a1]]=1,IF($AC$3=0,Tab.11[[#This Row],[φ1]],Tab.11[[#This Row],[φ1]]/MAX(Tab.11[φ1])))</f>
        <v>0</v>
      </c>
      <c r="AD234" s="74" t="b">
        <f>IF(Tab.11[[#This Row],[a1]]=1,1/Tab.11[[#This Row],[φ2]])</f>
        <v>0</v>
      </c>
      <c r="AE234" s="74" t="b">
        <f>IF(Tab.11[[#This Row],[a1]]=1,IF($AE$3=0,Tab.11[[#This Row],[w.0]],Tab.11[[#This Row],[w.0]]/SUM(Tab.11[w.0])))</f>
        <v>0</v>
      </c>
      <c r="AF234" s="76" t="str">
        <f>IF(Tab.11[[#This Row],[a1]]=0,"false",[3]!Tab.x5[[#This Row],[%_seN_C]])</f>
        <v>false</v>
      </c>
      <c r="AG234" s="77" t="b">
        <f>IF(Tab.11[[#This Row],[a1]]=1,AP234)</f>
        <v>0</v>
      </c>
      <c r="AH234" s="78" t="b">
        <f>IF(Tab.11[[#This Row],[a1]]=1,AQ234)</f>
        <v>0</v>
      </c>
      <c r="AI234" s="41">
        <v>3.0000000000000001E-3</v>
      </c>
      <c r="AJ234" s="79">
        <v>0.02</v>
      </c>
      <c r="AK234" s="80" t="b">
        <f>IF(Tab.11[[#This Row],[a1]]=1,1)</f>
        <v>0</v>
      </c>
      <c r="AZ234"/>
    </row>
    <row r="235" spans="1:52" ht="14.25" hidden="1" customHeight="1" x14ac:dyDescent="0.25">
      <c r="A235" s="61">
        <f t="shared" si="9"/>
        <v>0</v>
      </c>
      <c r="B235" s="62">
        <f t="shared" si="9"/>
        <v>0</v>
      </c>
      <c r="C235" s="62" t="b">
        <f>IF(Tab.11[[#This Row],[a1]]=1,[3]!Tab_x1[[#This Row],[Name]])</f>
        <v>0</v>
      </c>
      <c r="D235" s="63" t="b">
        <f>IF(Tab.11[[#This Row],[a1]]=1,AO235)</f>
        <v>0</v>
      </c>
      <c r="E235" s="63">
        <f t="shared" si="8"/>
        <v>0</v>
      </c>
      <c r="F235" s="64" t="b">
        <f>IF(Tab.11[[#This Row],[a1]]=1,Tab.11[[#This Row],[b1]])</f>
        <v>0</v>
      </c>
      <c r="G235" s="65" t="b">
        <f>IF(Tab.11[[#This Row],[a1]]=1,IF(Tab.11[[#This Row],[b3]]&gt;$L$989*$G$3,$L$989*$G$3,IF(Tab.11[[#This Row],[b3]]&lt;$M$989*$G$3,$M$989*$G$3,Tab.11[[#This Row],[b3]])))</f>
        <v>0</v>
      </c>
      <c r="H235" s="66" t="b">
        <f>IF(Tab.11[[#This Row],[a1]]=1,Tab.11[[#This Row],[b1]])</f>
        <v>0</v>
      </c>
      <c r="I235" s="67" t="b">
        <f>IF(Tab.11[[#This Row],[a1]]=1,Tab.11[[#This Row],[b1]])</f>
        <v>0</v>
      </c>
      <c r="J235" s="68" t="b">
        <f>IF(Tab.11[[#This Row],[a1]]=1,IF($I$3&lt;0,Tab.11[[#This Row],[b5]]-$I$3,Tab.11[[#This Row],[b5]]))</f>
        <v>0</v>
      </c>
      <c r="K235" s="68" t="b">
        <f>IF(Tab.11[[#This Row],[a1]]=1,IF($K$3=0,Tab.11[b6],Tab.11[[#This Row],[b6]]-AVERAGE(Tab.11[b6])))</f>
        <v>0</v>
      </c>
      <c r="L235" s="69" t="b">
        <f>IF(Tab.11[[#This Row],[a1]]=1,Tab.11[[#This Row],[data]]/(_xlfn.STDEV.P(Tab.11[data])*$B$989)+$A$989)</f>
        <v>0</v>
      </c>
      <c r="M235" s="69" t="b">
        <f>IF(Tab.11[[#This Row],[a1]]=1,Tab.11[[#This Row],[data]]/(_xlfn.STDEV.P(Tab.11[data])*$B$987)-$A$987)</f>
        <v>0</v>
      </c>
      <c r="N235" s="69" t="b">
        <f>IF(Tab.11[[#This Row],[a1]]=1,Tab.11[[#This Row],[data]]/(_xlfn.STDEV.P(Tab.11[data])*$B$988)+$A$988)</f>
        <v>0</v>
      </c>
      <c r="O235" s="70" t="b">
        <f>IF(Tab.11[[#This Row],[a1]]=1,_xlfn.NORM.DIST(Tab.11[[#This Row],[b8]],$P$1,$Q$1,FALSE))</f>
        <v>0</v>
      </c>
      <c r="P235" s="70" t="b">
        <f>IF(Tab.11[[#This Row],[a1]]=1,_xlfn.NORM.DIST(Tab.11[[#This Row],[b9]],$P$1,$Q$1,FALSE))</f>
        <v>0</v>
      </c>
      <c r="Q235" s="70" t="b">
        <f>IF(Tab.11[[#This Row],[a1]]=1,_xlfn.NORM.DIST(Tab.11[[#This Row],[b10]],$P$1,$Q$1,FALSE))</f>
        <v>0</v>
      </c>
      <c r="R235" s="67" t="b">
        <f>IF(Tab.11[[#This Row],[a1]]=1,$I$3+$A$989+IF($K$3=0,Tab.11[[#This Row],[b8]]*_xlfn.STDEV.P(Tab.11[data]),AVERAGE(Tab.11[b6])+Tab.11[[#This Row],[b8]]*_xlfn.STDEV.P(Tab.11[data])))</f>
        <v>0</v>
      </c>
      <c r="S235" s="71" t="b">
        <f>IF(Tab.11[[#This Row],[a1]]=1,$I$3+$A$987+IF($K$3=0,Tab.11[[#This Row],[b9]]*_xlfn.STDEV.P(Tab.11[data]),AVERAGE(Tab.11[b6])+Tab.11[[#This Row],[b9]]*_xlfn.STDEV.P(Tab.11[data])))</f>
        <v>0</v>
      </c>
      <c r="T235" s="71" t="b">
        <f>IF(Tab.11[[#This Row],[a1]]=1,$I$3+$A$988+IF($K$3=0,Tab.11[[#This Row],[b10]]*_xlfn.STDEV.P(Tab.11[data]),AVERAGE(Tab.11[b6])+Tab.11[[#This Row],[b10]]*_xlfn.STDEV.P(Tab.11[data])))</f>
        <v>0</v>
      </c>
      <c r="U235" s="72" t="b">
        <f>IF(Tab.11[[#This Row],[a1]]=1,Tab.11[[#This Row],[target]]-Tab.11[[#This Row],[Red]])</f>
        <v>0</v>
      </c>
      <c r="V235" s="72" t="b">
        <f>IF(Tab.11[[#This Row],[a1]]=1,Tab.11[[#This Row],[target]]-Tab.11[[#This Row],[Blue]])</f>
        <v>0</v>
      </c>
      <c r="W235" s="73" t="b">
        <f>IF(Tab.11[[#This Row],[a1]]=1,IF(ABS(Tab.11[[#This Row],[b17]])+ABS(Tab.11[[#This Row],[b18]])&lt;$W$2,$W$2,ABS(Tab.11[[#This Row],[b17]])+ABS(Tab.11[[#This Row],[b18]])))</f>
        <v>0</v>
      </c>
      <c r="X235" s="136" t="b">
        <f>IF(Tab.11[[#This Row],[a1]]=1,IF($W$3&lt;0,Tab.11[[#This Row],[IN]]-$I$3,Tab.11[[#This Row],[IN]]))</f>
        <v>0</v>
      </c>
      <c r="Y235" s="136" t="b">
        <f>IF(Tab.11[[#This Row],[a1]]=1,IF($X$3=0,Tab.11[b66],Tab.11[[#This Row],[b66]]-AVERAGE(Tab.11[b66])))</f>
        <v>0</v>
      </c>
      <c r="Z235" s="135" t="b">
        <f>IF(Tab.11[[#This Row],[a1]]=1,Tab.11[[#This Row],[b77]]/(_xlfn.STDEV.P(Tab.11[b77])))</f>
        <v>0</v>
      </c>
      <c r="AA235" s="70" t="b">
        <f>IF(Tab.11[[#This Row],[a1]]=1,_xlfn.NORM.DIST(Tab.11[[#This Row],[b88]],$Z$1,$AA$1,FALSE))</f>
        <v>0</v>
      </c>
      <c r="AB235" s="74" t="b">
        <f>IF(Tab.11[[#This Row],[a1]]=1,IF($A$3=0,FALSE,1/Tab.11[[#This Row],[IN]]*$AC$2*IF(Tab.11[[#This Row],[a1]]=0,,$A$3*$AC$1*1/$V$3*(Tab.11[[#This Row],[b14]]))))</f>
        <v>0</v>
      </c>
      <c r="AC235" s="75" t="b">
        <f>IF(Tab.11[[#This Row],[a1]]=1,IF($AC$3=0,Tab.11[[#This Row],[φ1]],Tab.11[[#This Row],[φ1]]/MAX(Tab.11[φ1])))</f>
        <v>0</v>
      </c>
      <c r="AD235" s="74" t="b">
        <f>IF(Tab.11[[#This Row],[a1]]=1,1/Tab.11[[#This Row],[φ2]])</f>
        <v>0</v>
      </c>
      <c r="AE235" s="74" t="b">
        <f>IF(Tab.11[[#This Row],[a1]]=1,IF($AE$3=0,Tab.11[[#This Row],[w.0]],Tab.11[[#This Row],[w.0]]/SUM(Tab.11[w.0])))</f>
        <v>0</v>
      </c>
      <c r="AF235" s="76" t="str">
        <f>IF(Tab.11[[#This Row],[a1]]=0,"false",[3]!Tab.x5[[#This Row],[%_seN_C]])</f>
        <v>false</v>
      </c>
      <c r="AG235" s="77" t="b">
        <f>IF(Tab.11[[#This Row],[a1]]=1,AP235)</f>
        <v>0</v>
      </c>
      <c r="AH235" s="78" t="b">
        <f>IF(Tab.11[[#This Row],[a1]]=1,AQ235)</f>
        <v>0</v>
      </c>
      <c r="AI235" s="41">
        <v>3.0000000000000001E-3</v>
      </c>
      <c r="AJ235" s="79">
        <v>0.08</v>
      </c>
      <c r="AK235" s="80" t="b">
        <f>IF(Tab.11[[#This Row],[a1]]=1,1)</f>
        <v>0</v>
      </c>
      <c r="AZ235"/>
    </row>
    <row r="236" spans="1:52" ht="14.25" hidden="1" customHeight="1" x14ac:dyDescent="0.25">
      <c r="A236" s="61">
        <f t="shared" si="9"/>
        <v>0</v>
      </c>
      <c r="B236" s="62">
        <f t="shared" si="9"/>
        <v>0</v>
      </c>
      <c r="C236" s="62" t="b">
        <f>IF(Tab.11[[#This Row],[a1]]=1,[3]!Tab_x1[[#This Row],[Name]])</f>
        <v>0</v>
      </c>
      <c r="D236" s="63" t="b">
        <f>IF(Tab.11[[#This Row],[a1]]=1,AO236)</f>
        <v>0</v>
      </c>
      <c r="E236" s="63">
        <f t="shared" si="8"/>
        <v>0</v>
      </c>
      <c r="F236" s="64" t="b">
        <f>IF(Tab.11[[#This Row],[a1]]=1,Tab.11[[#This Row],[b1]])</f>
        <v>0</v>
      </c>
      <c r="G236" s="65" t="b">
        <f>IF(Tab.11[[#This Row],[a1]]=1,IF(Tab.11[[#This Row],[b3]]&gt;$L$989*$G$3,$L$989*$G$3,IF(Tab.11[[#This Row],[b3]]&lt;$M$989*$G$3,$M$989*$G$3,Tab.11[[#This Row],[b3]])))</f>
        <v>0</v>
      </c>
      <c r="H236" s="66" t="b">
        <f>IF(Tab.11[[#This Row],[a1]]=1,Tab.11[[#This Row],[b1]])</f>
        <v>0</v>
      </c>
      <c r="I236" s="67" t="b">
        <f>IF(Tab.11[[#This Row],[a1]]=1,Tab.11[[#This Row],[b1]])</f>
        <v>0</v>
      </c>
      <c r="J236" s="68" t="b">
        <f>IF(Tab.11[[#This Row],[a1]]=1,IF($I$3&lt;0,Tab.11[[#This Row],[b5]]-$I$3,Tab.11[[#This Row],[b5]]))</f>
        <v>0</v>
      </c>
      <c r="K236" s="68" t="b">
        <f>IF(Tab.11[[#This Row],[a1]]=1,IF($K$3=0,Tab.11[b6],Tab.11[[#This Row],[b6]]-AVERAGE(Tab.11[b6])))</f>
        <v>0</v>
      </c>
      <c r="L236" s="69" t="b">
        <f>IF(Tab.11[[#This Row],[a1]]=1,Tab.11[[#This Row],[data]]/(_xlfn.STDEV.P(Tab.11[data])*$B$989)+$A$989)</f>
        <v>0</v>
      </c>
      <c r="M236" s="69" t="b">
        <f>IF(Tab.11[[#This Row],[a1]]=1,Tab.11[[#This Row],[data]]/(_xlfn.STDEV.P(Tab.11[data])*$B$987)-$A$987)</f>
        <v>0</v>
      </c>
      <c r="N236" s="69" t="b">
        <f>IF(Tab.11[[#This Row],[a1]]=1,Tab.11[[#This Row],[data]]/(_xlfn.STDEV.P(Tab.11[data])*$B$988)+$A$988)</f>
        <v>0</v>
      </c>
      <c r="O236" s="70" t="b">
        <f>IF(Tab.11[[#This Row],[a1]]=1,_xlfn.NORM.DIST(Tab.11[[#This Row],[b8]],$P$1,$Q$1,FALSE))</f>
        <v>0</v>
      </c>
      <c r="P236" s="70" t="b">
        <f>IF(Tab.11[[#This Row],[a1]]=1,_xlfn.NORM.DIST(Tab.11[[#This Row],[b9]],$P$1,$Q$1,FALSE))</f>
        <v>0</v>
      </c>
      <c r="Q236" s="70" t="b">
        <f>IF(Tab.11[[#This Row],[a1]]=1,_xlfn.NORM.DIST(Tab.11[[#This Row],[b10]],$P$1,$Q$1,FALSE))</f>
        <v>0</v>
      </c>
      <c r="R236" s="67" t="b">
        <f>IF(Tab.11[[#This Row],[a1]]=1,$I$3+$A$989+IF($K$3=0,Tab.11[[#This Row],[b8]]*_xlfn.STDEV.P(Tab.11[data]),AVERAGE(Tab.11[b6])+Tab.11[[#This Row],[b8]]*_xlfn.STDEV.P(Tab.11[data])))</f>
        <v>0</v>
      </c>
      <c r="S236" s="71" t="b">
        <f>IF(Tab.11[[#This Row],[a1]]=1,$I$3+$A$987+IF($K$3=0,Tab.11[[#This Row],[b9]]*_xlfn.STDEV.P(Tab.11[data]),AVERAGE(Tab.11[b6])+Tab.11[[#This Row],[b9]]*_xlfn.STDEV.P(Tab.11[data])))</f>
        <v>0</v>
      </c>
      <c r="T236" s="71" t="b">
        <f>IF(Tab.11[[#This Row],[a1]]=1,$I$3+$A$988+IF($K$3=0,Tab.11[[#This Row],[b10]]*_xlfn.STDEV.P(Tab.11[data]),AVERAGE(Tab.11[b6])+Tab.11[[#This Row],[b10]]*_xlfn.STDEV.P(Tab.11[data])))</f>
        <v>0</v>
      </c>
      <c r="U236" s="72" t="b">
        <f>IF(Tab.11[[#This Row],[a1]]=1,Tab.11[[#This Row],[target]]-Tab.11[[#This Row],[Red]])</f>
        <v>0</v>
      </c>
      <c r="V236" s="72" t="b">
        <f>IF(Tab.11[[#This Row],[a1]]=1,Tab.11[[#This Row],[target]]-Tab.11[[#This Row],[Blue]])</f>
        <v>0</v>
      </c>
      <c r="W236" s="73" t="b">
        <f>IF(Tab.11[[#This Row],[a1]]=1,IF(ABS(Tab.11[[#This Row],[b17]])+ABS(Tab.11[[#This Row],[b18]])&lt;$W$2,$W$2,ABS(Tab.11[[#This Row],[b17]])+ABS(Tab.11[[#This Row],[b18]])))</f>
        <v>0</v>
      </c>
      <c r="X236" s="136" t="b">
        <f>IF(Tab.11[[#This Row],[a1]]=1,IF($W$3&lt;0,Tab.11[[#This Row],[IN]]-$I$3,Tab.11[[#This Row],[IN]]))</f>
        <v>0</v>
      </c>
      <c r="Y236" s="136" t="b">
        <f>IF(Tab.11[[#This Row],[a1]]=1,IF($X$3=0,Tab.11[b66],Tab.11[[#This Row],[b66]]-AVERAGE(Tab.11[b66])))</f>
        <v>0</v>
      </c>
      <c r="Z236" s="135" t="b">
        <f>IF(Tab.11[[#This Row],[a1]]=1,Tab.11[[#This Row],[b77]]/(_xlfn.STDEV.P(Tab.11[b77])))</f>
        <v>0</v>
      </c>
      <c r="AA236" s="70" t="b">
        <f>IF(Tab.11[[#This Row],[a1]]=1,_xlfn.NORM.DIST(Tab.11[[#This Row],[b88]],$Z$1,$AA$1,FALSE))</f>
        <v>0</v>
      </c>
      <c r="AB236" s="74" t="b">
        <f>IF(Tab.11[[#This Row],[a1]]=1,IF($A$3=0,FALSE,1/Tab.11[[#This Row],[IN]]*$AC$2*IF(Tab.11[[#This Row],[a1]]=0,,$A$3*$AC$1*1/$V$3*(Tab.11[[#This Row],[b14]]))))</f>
        <v>0</v>
      </c>
      <c r="AC236" s="75" t="b">
        <f>IF(Tab.11[[#This Row],[a1]]=1,IF($AC$3=0,Tab.11[[#This Row],[φ1]],Tab.11[[#This Row],[φ1]]/MAX(Tab.11[φ1])))</f>
        <v>0</v>
      </c>
      <c r="AD236" s="74" t="b">
        <f>IF(Tab.11[[#This Row],[a1]]=1,1/Tab.11[[#This Row],[φ2]])</f>
        <v>0</v>
      </c>
      <c r="AE236" s="74" t="b">
        <f>IF(Tab.11[[#This Row],[a1]]=1,IF($AE$3=0,Tab.11[[#This Row],[w.0]],Tab.11[[#This Row],[w.0]]/SUM(Tab.11[w.0])))</f>
        <v>0</v>
      </c>
      <c r="AF236" s="76" t="str">
        <f>IF(Tab.11[[#This Row],[a1]]=0,"false",[3]!Tab.x5[[#This Row],[%_seN_C]])</f>
        <v>false</v>
      </c>
      <c r="AG236" s="77" t="b">
        <f>IF(Tab.11[[#This Row],[a1]]=1,AP236)</f>
        <v>0</v>
      </c>
      <c r="AH236" s="78" t="b">
        <f>IF(Tab.11[[#This Row],[a1]]=1,AQ236)</f>
        <v>0</v>
      </c>
      <c r="AI236" s="41">
        <v>3.0000000000000001E-3</v>
      </c>
      <c r="AJ236" s="79">
        <v>0.1</v>
      </c>
      <c r="AK236" s="80" t="b">
        <f>IF(Tab.11[[#This Row],[a1]]=1,1)</f>
        <v>0</v>
      </c>
      <c r="AZ236"/>
    </row>
    <row r="237" spans="1:52" ht="14.25" hidden="1" customHeight="1" x14ac:dyDescent="0.25">
      <c r="A237" s="61">
        <f t="shared" si="9"/>
        <v>0</v>
      </c>
      <c r="B237" s="62">
        <f t="shared" si="9"/>
        <v>0</v>
      </c>
      <c r="C237" s="62" t="b">
        <f>IF(Tab.11[[#This Row],[a1]]=1,[3]!Tab_x1[[#This Row],[Name]])</f>
        <v>0</v>
      </c>
      <c r="D237" s="63" t="b">
        <f>IF(Tab.11[[#This Row],[a1]]=1,AO237)</f>
        <v>0</v>
      </c>
      <c r="E237" s="63">
        <f t="shared" si="8"/>
        <v>0</v>
      </c>
      <c r="F237" s="64" t="b">
        <f>IF(Tab.11[[#This Row],[a1]]=1,Tab.11[[#This Row],[b1]])</f>
        <v>0</v>
      </c>
      <c r="G237" s="65" t="b">
        <f>IF(Tab.11[[#This Row],[a1]]=1,IF(Tab.11[[#This Row],[b3]]&gt;$L$989*$G$3,$L$989*$G$3,IF(Tab.11[[#This Row],[b3]]&lt;$M$989*$G$3,$M$989*$G$3,Tab.11[[#This Row],[b3]])))</f>
        <v>0</v>
      </c>
      <c r="H237" s="66" t="b">
        <f>IF(Tab.11[[#This Row],[a1]]=1,Tab.11[[#This Row],[b1]])</f>
        <v>0</v>
      </c>
      <c r="I237" s="67" t="b">
        <f>IF(Tab.11[[#This Row],[a1]]=1,Tab.11[[#This Row],[b1]])</f>
        <v>0</v>
      </c>
      <c r="J237" s="68" t="b">
        <f>IF(Tab.11[[#This Row],[a1]]=1,IF($I$3&lt;0,Tab.11[[#This Row],[b5]]-$I$3,Tab.11[[#This Row],[b5]]))</f>
        <v>0</v>
      </c>
      <c r="K237" s="68" t="b">
        <f>IF(Tab.11[[#This Row],[a1]]=1,IF($K$3=0,Tab.11[b6],Tab.11[[#This Row],[b6]]-AVERAGE(Tab.11[b6])))</f>
        <v>0</v>
      </c>
      <c r="L237" s="69" t="b">
        <f>IF(Tab.11[[#This Row],[a1]]=1,Tab.11[[#This Row],[data]]/(_xlfn.STDEV.P(Tab.11[data])*$B$989)+$A$989)</f>
        <v>0</v>
      </c>
      <c r="M237" s="69" t="b">
        <f>IF(Tab.11[[#This Row],[a1]]=1,Tab.11[[#This Row],[data]]/(_xlfn.STDEV.P(Tab.11[data])*$B$987)-$A$987)</f>
        <v>0</v>
      </c>
      <c r="N237" s="69" t="b">
        <f>IF(Tab.11[[#This Row],[a1]]=1,Tab.11[[#This Row],[data]]/(_xlfn.STDEV.P(Tab.11[data])*$B$988)+$A$988)</f>
        <v>0</v>
      </c>
      <c r="O237" s="70" t="b">
        <f>IF(Tab.11[[#This Row],[a1]]=1,_xlfn.NORM.DIST(Tab.11[[#This Row],[b8]],$P$1,$Q$1,FALSE))</f>
        <v>0</v>
      </c>
      <c r="P237" s="70" t="b">
        <f>IF(Tab.11[[#This Row],[a1]]=1,_xlfn.NORM.DIST(Tab.11[[#This Row],[b9]],$P$1,$Q$1,FALSE))</f>
        <v>0</v>
      </c>
      <c r="Q237" s="70" t="b">
        <f>IF(Tab.11[[#This Row],[a1]]=1,_xlfn.NORM.DIST(Tab.11[[#This Row],[b10]],$P$1,$Q$1,FALSE))</f>
        <v>0</v>
      </c>
      <c r="R237" s="67" t="b">
        <f>IF(Tab.11[[#This Row],[a1]]=1,$I$3+$A$989+IF($K$3=0,Tab.11[[#This Row],[b8]]*_xlfn.STDEV.P(Tab.11[data]),AVERAGE(Tab.11[b6])+Tab.11[[#This Row],[b8]]*_xlfn.STDEV.P(Tab.11[data])))</f>
        <v>0</v>
      </c>
      <c r="S237" s="71" t="b">
        <f>IF(Tab.11[[#This Row],[a1]]=1,$I$3+$A$987+IF($K$3=0,Tab.11[[#This Row],[b9]]*_xlfn.STDEV.P(Tab.11[data]),AVERAGE(Tab.11[b6])+Tab.11[[#This Row],[b9]]*_xlfn.STDEV.P(Tab.11[data])))</f>
        <v>0</v>
      </c>
      <c r="T237" s="71" t="b">
        <f>IF(Tab.11[[#This Row],[a1]]=1,$I$3+$A$988+IF($K$3=0,Tab.11[[#This Row],[b10]]*_xlfn.STDEV.P(Tab.11[data]),AVERAGE(Tab.11[b6])+Tab.11[[#This Row],[b10]]*_xlfn.STDEV.P(Tab.11[data])))</f>
        <v>0</v>
      </c>
      <c r="U237" s="72" t="b">
        <f>IF(Tab.11[[#This Row],[a1]]=1,Tab.11[[#This Row],[target]]-Tab.11[[#This Row],[Red]])</f>
        <v>0</v>
      </c>
      <c r="V237" s="72" t="b">
        <f>IF(Tab.11[[#This Row],[a1]]=1,Tab.11[[#This Row],[target]]-Tab.11[[#This Row],[Blue]])</f>
        <v>0</v>
      </c>
      <c r="W237" s="73" t="b">
        <f>IF(Tab.11[[#This Row],[a1]]=1,IF(ABS(Tab.11[[#This Row],[b17]])+ABS(Tab.11[[#This Row],[b18]])&lt;$W$2,$W$2,ABS(Tab.11[[#This Row],[b17]])+ABS(Tab.11[[#This Row],[b18]])))</f>
        <v>0</v>
      </c>
      <c r="X237" s="136" t="b">
        <f>IF(Tab.11[[#This Row],[a1]]=1,IF($W$3&lt;0,Tab.11[[#This Row],[IN]]-$I$3,Tab.11[[#This Row],[IN]]))</f>
        <v>0</v>
      </c>
      <c r="Y237" s="136" t="b">
        <f>IF(Tab.11[[#This Row],[a1]]=1,IF($X$3=0,Tab.11[b66],Tab.11[[#This Row],[b66]]-AVERAGE(Tab.11[b66])))</f>
        <v>0</v>
      </c>
      <c r="Z237" s="135" t="b">
        <f>IF(Tab.11[[#This Row],[a1]]=1,Tab.11[[#This Row],[b77]]/(_xlfn.STDEV.P(Tab.11[b77])))</f>
        <v>0</v>
      </c>
      <c r="AA237" s="70" t="b">
        <f>IF(Tab.11[[#This Row],[a1]]=1,_xlfn.NORM.DIST(Tab.11[[#This Row],[b88]],$Z$1,$AA$1,FALSE))</f>
        <v>0</v>
      </c>
      <c r="AB237" s="74" t="b">
        <f>IF(Tab.11[[#This Row],[a1]]=1,IF($A$3=0,FALSE,1/Tab.11[[#This Row],[IN]]*$AC$2*IF(Tab.11[[#This Row],[a1]]=0,,$A$3*$AC$1*1/$V$3*(Tab.11[[#This Row],[b14]]))))</f>
        <v>0</v>
      </c>
      <c r="AC237" s="75" t="b">
        <f>IF(Tab.11[[#This Row],[a1]]=1,IF($AC$3=0,Tab.11[[#This Row],[φ1]],Tab.11[[#This Row],[φ1]]/MAX(Tab.11[φ1])))</f>
        <v>0</v>
      </c>
      <c r="AD237" s="74" t="b">
        <f>IF(Tab.11[[#This Row],[a1]]=1,1/Tab.11[[#This Row],[φ2]])</f>
        <v>0</v>
      </c>
      <c r="AE237" s="74" t="b">
        <f>IF(Tab.11[[#This Row],[a1]]=1,IF($AE$3=0,Tab.11[[#This Row],[w.0]],Tab.11[[#This Row],[w.0]]/SUM(Tab.11[w.0])))</f>
        <v>0</v>
      </c>
      <c r="AF237" s="76" t="str">
        <f>IF(Tab.11[[#This Row],[a1]]=0,"false",[3]!Tab.x5[[#This Row],[%_seN_C]])</f>
        <v>false</v>
      </c>
      <c r="AG237" s="77" t="b">
        <f>IF(Tab.11[[#This Row],[a1]]=1,AP237)</f>
        <v>0</v>
      </c>
      <c r="AH237" s="78" t="b">
        <f>IF(Tab.11[[#This Row],[a1]]=1,AQ237)</f>
        <v>0</v>
      </c>
      <c r="AI237" s="41">
        <v>3.0000000000000001E-3</v>
      </c>
      <c r="AJ237" s="79">
        <v>-0.1</v>
      </c>
      <c r="AK237" s="80" t="b">
        <f>IF(Tab.11[[#This Row],[a1]]=1,1)</f>
        <v>0</v>
      </c>
      <c r="AZ237"/>
    </row>
    <row r="238" spans="1:52" ht="14.25" hidden="1" customHeight="1" x14ac:dyDescent="0.25">
      <c r="A238" s="61">
        <f t="shared" si="9"/>
        <v>0</v>
      </c>
      <c r="B238" s="62">
        <f t="shared" si="9"/>
        <v>0</v>
      </c>
      <c r="C238" s="62" t="b">
        <f>IF(Tab.11[[#This Row],[a1]]=1,[3]!Tab_x1[[#This Row],[Name]])</f>
        <v>0</v>
      </c>
      <c r="D238" s="63" t="b">
        <f>IF(Tab.11[[#This Row],[a1]]=1,AO238)</f>
        <v>0</v>
      </c>
      <c r="E238" s="63">
        <f t="shared" si="8"/>
        <v>0</v>
      </c>
      <c r="F238" s="64" t="b">
        <f>IF(Tab.11[[#This Row],[a1]]=1,Tab.11[[#This Row],[b1]])</f>
        <v>0</v>
      </c>
      <c r="G238" s="65" t="b">
        <f>IF(Tab.11[[#This Row],[a1]]=1,IF(Tab.11[[#This Row],[b3]]&gt;$L$989*$G$3,$L$989*$G$3,IF(Tab.11[[#This Row],[b3]]&lt;$M$989*$G$3,$M$989*$G$3,Tab.11[[#This Row],[b3]])))</f>
        <v>0</v>
      </c>
      <c r="H238" s="66" t="b">
        <f>IF(Tab.11[[#This Row],[a1]]=1,Tab.11[[#This Row],[b1]])</f>
        <v>0</v>
      </c>
      <c r="I238" s="67" t="b">
        <f>IF(Tab.11[[#This Row],[a1]]=1,Tab.11[[#This Row],[b1]])</f>
        <v>0</v>
      </c>
      <c r="J238" s="68" t="b">
        <f>IF(Tab.11[[#This Row],[a1]]=1,IF($I$3&lt;0,Tab.11[[#This Row],[b5]]-$I$3,Tab.11[[#This Row],[b5]]))</f>
        <v>0</v>
      </c>
      <c r="K238" s="68" t="b">
        <f>IF(Tab.11[[#This Row],[a1]]=1,IF($K$3=0,Tab.11[b6],Tab.11[[#This Row],[b6]]-AVERAGE(Tab.11[b6])))</f>
        <v>0</v>
      </c>
      <c r="L238" s="69" t="b">
        <f>IF(Tab.11[[#This Row],[a1]]=1,Tab.11[[#This Row],[data]]/(_xlfn.STDEV.P(Tab.11[data])*$B$989)+$A$989)</f>
        <v>0</v>
      </c>
      <c r="M238" s="69" t="b">
        <f>IF(Tab.11[[#This Row],[a1]]=1,Tab.11[[#This Row],[data]]/(_xlfn.STDEV.P(Tab.11[data])*$B$987)-$A$987)</f>
        <v>0</v>
      </c>
      <c r="N238" s="69" t="b">
        <f>IF(Tab.11[[#This Row],[a1]]=1,Tab.11[[#This Row],[data]]/(_xlfn.STDEV.P(Tab.11[data])*$B$988)+$A$988)</f>
        <v>0</v>
      </c>
      <c r="O238" s="70" t="b">
        <f>IF(Tab.11[[#This Row],[a1]]=1,_xlfn.NORM.DIST(Tab.11[[#This Row],[b8]],$P$1,$Q$1,FALSE))</f>
        <v>0</v>
      </c>
      <c r="P238" s="70" t="b">
        <f>IF(Tab.11[[#This Row],[a1]]=1,_xlfn.NORM.DIST(Tab.11[[#This Row],[b9]],$P$1,$Q$1,FALSE))</f>
        <v>0</v>
      </c>
      <c r="Q238" s="70" t="b">
        <f>IF(Tab.11[[#This Row],[a1]]=1,_xlfn.NORM.DIST(Tab.11[[#This Row],[b10]],$P$1,$Q$1,FALSE))</f>
        <v>0</v>
      </c>
      <c r="R238" s="67" t="b">
        <f>IF(Tab.11[[#This Row],[a1]]=1,$I$3+$A$989+IF($K$3=0,Tab.11[[#This Row],[b8]]*_xlfn.STDEV.P(Tab.11[data]),AVERAGE(Tab.11[b6])+Tab.11[[#This Row],[b8]]*_xlfn.STDEV.P(Tab.11[data])))</f>
        <v>0</v>
      </c>
      <c r="S238" s="71" t="b">
        <f>IF(Tab.11[[#This Row],[a1]]=1,$I$3+$A$987+IF($K$3=0,Tab.11[[#This Row],[b9]]*_xlfn.STDEV.P(Tab.11[data]),AVERAGE(Tab.11[b6])+Tab.11[[#This Row],[b9]]*_xlfn.STDEV.P(Tab.11[data])))</f>
        <v>0</v>
      </c>
      <c r="T238" s="71" t="b">
        <f>IF(Tab.11[[#This Row],[a1]]=1,$I$3+$A$988+IF($K$3=0,Tab.11[[#This Row],[b10]]*_xlfn.STDEV.P(Tab.11[data]),AVERAGE(Tab.11[b6])+Tab.11[[#This Row],[b10]]*_xlfn.STDEV.P(Tab.11[data])))</f>
        <v>0</v>
      </c>
      <c r="U238" s="72" t="b">
        <f>IF(Tab.11[[#This Row],[a1]]=1,Tab.11[[#This Row],[target]]-Tab.11[[#This Row],[Red]])</f>
        <v>0</v>
      </c>
      <c r="V238" s="72" t="b">
        <f>IF(Tab.11[[#This Row],[a1]]=1,Tab.11[[#This Row],[target]]-Tab.11[[#This Row],[Blue]])</f>
        <v>0</v>
      </c>
      <c r="W238" s="73" t="b">
        <f>IF(Tab.11[[#This Row],[a1]]=1,IF(ABS(Tab.11[[#This Row],[b17]])+ABS(Tab.11[[#This Row],[b18]])&lt;$W$2,$W$2,ABS(Tab.11[[#This Row],[b17]])+ABS(Tab.11[[#This Row],[b18]])))</f>
        <v>0</v>
      </c>
      <c r="X238" s="136" t="b">
        <f>IF(Tab.11[[#This Row],[a1]]=1,IF($W$3&lt;0,Tab.11[[#This Row],[IN]]-$I$3,Tab.11[[#This Row],[IN]]))</f>
        <v>0</v>
      </c>
      <c r="Y238" s="136" t="b">
        <f>IF(Tab.11[[#This Row],[a1]]=1,IF($X$3=0,Tab.11[b66],Tab.11[[#This Row],[b66]]-AVERAGE(Tab.11[b66])))</f>
        <v>0</v>
      </c>
      <c r="Z238" s="135" t="b">
        <f>IF(Tab.11[[#This Row],[a1]]=1,Tab.11[[#This Row],[b77]]/(_xlfn.STDEV.P(Tab.11[b77])))</f>
        <v>0</v>
      </c>
      <c r="AA238" s="70" t="b">
        <f>IF(Tab.11[[#This Row],[a1]]=1,_xlfn.NORM.DIST(Tab.11[[#This Row],[b88]],$Z$1,$AA$1,FALSE))</f>
        <v>0</v>
      </c>
      <c r="AB238" s="74" t="b">
        <f>IF(Tab.11[[#This Row],[a1]]=1,IF($A$3=0,FALSE,1/Tab.11[[#This Row],[IN]]*$AC$2*IF(Tab.11[[#This Row],[a1]]=0,,$A$3*$AC$1*1/$V$3*(Tab.11[[#This Row],[b14]]))))</f>
        <v>0</v>
      </c>
      <c r="AC238" s="75" t="b">
        <f>IF(Tab.11[[#This Row],[a1]]=1,IF($AC$3=0,Tab.11[[#This Row],[φ1]],Tab.11[[#This Row],[φ1]]/MAX(Tab.11[φ1])))</f>
        <v>0</v>
      </c>
      <c r="AD238" s="74" t="b">
        <f>IF(Tab.11[[#This Row],[a1]]=1,1/Tab.11[[#This Row],[φ2]])</f>
        <v>0</v>
      </c>
      <c r="AE238" s="74" t="b">
        <f>IF(Tab.11[[#This Row],[a1]]=1,IF($AE$3=0,Tab.11[[#This Row],[w.0]],Tab.11[[#This Row],[w.0]]/SUM(Tab.11[w.0])))</f>
        <v>0</v>
      </c>
      <c r="AF238" s="76" t="str">
        <f>IF(Tab.11[[#This Row],[a1]]=0,"false",[3]!Tab.x5[[#This Row],[%_seN_C]])</f>
        <v>false</v>
      </c>
      <c r="AG238" s="77" t="b">
        <f>IF(Tab.11[[#This Row],[a1]]=1,AP238)</f>
        <v>0</v>
      </c>
      <c r="AH238" s="78" t="b">
        <f>IF(Tab.11[[#This Row],[a1]]=1,AQ238)</f>
        <v>0</v>
      </c>
      <c r="AI238" s="41">
        <v>3.0000000000000001E-3</v>
      </c>
      <c r="AJ238" s="79">
        <v>-0.05</v>
      </c>
      <c r="AK238" s="80" t="b">
        <f>IF(Tab.11[[#This Row],[a1]]=1,1)</f>
        <v>0</v>
      </c>
      <c r="AZ238"/>
    </row>
    <row r="239" spans="1:52" ht="14.25" hidden="1" customHeight="1" x14ac:dyDescent="0.25">
      <c r="A239" s="61">
        <f t="shared" si="9"/>
        <v>0</v>
      </c>
      <c r="B239" s="62">
        <f t="shared" si="9"/>
        <v>0</v>
      </c>
      <c r="C239" s="62" t="b">
        <f>IF(Tab.11[[#This Row],[a1]]=1,[3]!Tab_x1[[#This Row],[Name]])</f>
        <v>0</v>
      </c>
      <c r="D239" s="63" t="b">
        <f>IF(Tab.11[[#This Row],[a1]]=1,AO239)</f>
        <v>0</v>
      </c>
      <c r="E239" s="63">
        <f t="shared" si="8"/>
        <v>0</v>
      </c>
      <c r="F239" s="64" t="b">
        <f>IF(Tab.11[[#This Row],[a1]]=1,Tab.11[[#This Row],[b1]])</f>
        <v>0</v>
      </c>
      <c r="G239" s="65" t="b">
        <f>IF(Tab.11[[#This Row],[a1]]=1,IF(Tab.11[[#This Row],[b3]]&gt;$L$989*$G$3,$L$989*$G$3,IF(Tab.11[[#This Row],[b3]]&lt;$M$989*$G$3,$M$989*$G$3,Tab.11[[#This Row],[b3]])))</f>
        <v>0</v>
      </c>
      <c r="H239" s="66" t="b">
        <f>IF(Tab.11[[#This Row],[a1]]=1,Tab.11[[#This Row],[b1]])</f>
        <v>0</v>
      </c>
      <c r="I239" s="67" t="b">
        <f>IF(Tab.11[[#This Row],[a1]]=1,Tab.11[[#This Row],[b1]])</f>
        <v>0</v>
      </c>
      <c r="J239" s="68" t="b">
        <f>IF(Tab.11[[#This Row],[a1]]=1,IF($I$3&lt;0,Tab.11[[#This Row],[b5]]-$I$3,Tab.11[[#This Row],[b5]]))</f>
        <v>0</v>
      </c>
      <c r="K239" s="68" t="b">
        <f>IF(Tab.11[[#This Row],[a1]]=1,IF($K$3=0,Tab.11[b6],Tab.11[[#This Row],[b6]]-AVERAGE(Tab.11[b6])))</f>
        <v>0</v>
      </c>
      <c r="L239" s="69" t="b">
        <f>IF(Tab.11[[#This Row],[a1]]=1,Tab.11[[#This Row],[data]]/(_xlfn.STDEV.P(Tab.11[data])*$B$989)+$A$989)</f>
        <v>0</v>
      </c>
      <c r="M239" s="69" t="b">
        <f>IF(Tab.11[[#This Row],[a1]]=1,Tab.11[[#This Row],[data]]/(_xlfn.STDEV.P(Tab.11[data])*$B$987)-$A$987)</f>
        <v>0</v>
      </c>
      <c r="N239" s="69" t="b">
        <f>IF(Tab.11[[#This Row],[a1]]=1,Tab.11[[#This Row],[data]]/(_xlfn.STDEV.P(Tab.11[data])*$B$988)+$A$988)</f>
        <v>0</v>
      </c>
      <c r="O239" s="70" t="b">
        <f>IF(Tab.11[[#This Row],[a1]]=1,_xlfn.NORM.DIST(Tab.11[[#This Row],[b8]],$P$1,$Q$1,FALSE))</f>
        <v>0</v>
      </c>
      <c r="P239" s="70" t="b">
        <f>IF(Tab.11[[#This Row],[a1]]=1,_xlfn.NORM.DIST(Tab.11[[#This Row],[b9]],$P$1,$Q$1,FALSE))</f>
        <v>0</v>
      </c>
      <c r="Q239" s="70" t="b">
        <f>IF(Tab.11[[#This Row],[a1]]=1,_xlfn.NORM.DIST(Tab.11[[#This Row],[b10]],$P$1,$Q$1,FALSE))</f>
        <v>0</v>
      </c>
      <c r="R239" s="67" t="b">
        <f>IF(Tab.11[[#This Row],[a1]]=1,$I$3+$A$989+IF($K$3=0,Tab.11[[#This Row],[b8]]*_xlfn.STDEV.P(Tab.11[data]),AVERAGE(Tab.11[b6])+Tab.11[[#This Row],[b8]]*_xlfn.STDEV.P(Tab.11[data])))</f>
        <v>0</v>
      </c>
      <c r="S239" s="71" t="b">
        <f>IF(Tab.11[[#This Row],[a1]]=1,$I$3+$A$987+IF($K$3=0,Tab.11[[#This Row],[b9]]*_xlfn.STDEV.P(Tab.11[data]),AVERAGE(Tab.11[b6])+Tab.11[[#This Row],[b9]]*_xlfn.STDEV.P(Tab.11[data])))</f>
        <v>0</v>
      </c>
      <c r="T239" s="71" t="b">
        <f>IF(Tab.11[[#This Row],[a1]]=1,$I$3+$A$988+IF($K$3=0,Tab.11[[#This Row],[b10]]*_xlfn.STDEV.P(Tab.11[data]),AVERAGE(Tab.11[b6])+Tab.11[[#This Row],[b10]]*_xlfn.STDEV.P(Tab.11[data])))</f>
        <v>0</v>
      </c>
      <c r="U239" s="72" t="b">
        <f>IF(Tab.11[[#This Row],[a1]]=1,Tab.11[[#This Row],[target]]-Tab.11[[#This Row],[Red]])</f>
        <v>0</v>
      </c>
      <c r="V239" s="72" t="b">
        <f>IF(Tab.11[[#This Row],[a1]]=1,Tab.11[[#This Row],[target]]-Tab.11[[#This Row],[Blue]])</f>
        <v>0</v>
      </c>
      <c r="W239" s="73" t="b">
        <f>IF(Tab.11[[#This Row],[a1]]=1,IF(ABS(Tab.11[[#This Row],[b17]])+ABS(Tab.11[[#This Row],[b18]])&lt;$W$2,$W$2,ABS(Tab.11[[#This Row],[b17]])+ABS(Tab.11[[#This Row],[b18]])))</f>
        <v>0</v>
      </c>
      <c r="X239" s="136" t="b">
        <f>IF(Tab.11[[#This Row],[a1]]=1,IF($W$3&lt;0,Tab.11[[#This Row],[IN]]-$I$3,Tab.11[[#This Row],[IN]]))</f>
        <v>0</v>
      </c>
      <c r="Y239" s="136" t="b">
        <f>IF(Tab.11[[#This Row],[a1]]=1,IF($X$3=0,Tab.11[b66],Tab.11[[#This Row],[b66]]-AVERAGE(Tab.11[b66])))</f>
        <v>0</v>
      </c>
      <c r="Z239" s="135" t="b">
        <f>IF(Tab.11[[#This Row],[a1]]=1,Tab.11[[#This Row],[b77]]/(_xlfn.STDEV.P(Tab.11[b77])))</f>
        <v>0</v>
      </c>
      <c r="AA239" s="70" t="b">
        <f>IF(Tab.11[[#This Row],[a1]]=1,_xlfn.NORM.DIST(Tab.11[[#This Row],[b88]],$Z$1,$AA$1,FALSE))</f>
        <v>0</v>
      </c>
      <c r="AB239" s="74" t="b">
        <f>IF(Tab.11[[#This Row],[a1]]=1,IF($A$3=0,FALSE,1/Tab.11[[#This Row],[IN]]*$AC$2*IF(Tab.11[[#This Row],[a1]]=0,,$A$3*$AC$1*1/$V$3*(Tab.11[[#This Row],[b14]]))))</f>
        <v>0</v>
      </c>
      <c r="AC239" s="75" t="b">
        <f>IF(Tab.11[[#This Row],[a1]]=1,IF($AC$3=0,Tab.11[[#This Row],[φ1]],Tab.11[[#This Row],[φ1]]/MAX(Tab.11[φ1])))</f>
        <v>0</v>
      </c>
      <c r="AD239" s="74" t="b">
        <f>IF(Tab.11[[#This Row],[a1]]=1,1/Tab.11[[#This Row],[φ2]])</f>
        <v>0</v>
      </c>
      <c r="AE239" s="74" t="b">
        <f>IF(Tab.11[[#This Row],[a1]]=1,IF($AE$3=0,Tab.11[[#This Row],[w.0]],Tab.11[[#This Row],[w.0]]/SUM(Tab.11[w.0])))</f>
        <v>0</v>
      </c>
      <c r="AF239" s="76" t="str">
        <f>IF(Tab.11[[#This Row],[a1]]=0,"false",[3]!Tab.x5[[#This Row],[%_seN_C]])</f>
        <v>false</v>
      </c>
      <c r="AG239" s="77" t="b">
        <f>IF(Tab.11[[#This Row],[a1]]=1,AP239)</f>
        <v>0</v>
      </c>
      <c r="AH239" s="78" t="b">
        <f>IF(Tab.11[[#This Row],[a1]]=1,AQ239)</f>
        <v>0</v>
      </c>
      <c r="AI239" s="41">
        <v>3.0000000000000001E-3</v>
      </c>
      <c r="AJ239" s="79">
        <v>-0.03</v>
      </c>
      <c r="AK239" s="80" t="b">
        <f>IF(Tab.11[[#This Row],[a1]]=1,1)</f>
        <v>0</v>
      </c>
      <c r="AZ239"/>
    </row>
    <row r="240" spans="1:52" ht="14.25" hidden="1" customHeight="1" x14ac:dyDescent="0.25">
      <c r="A240" s="61">
        <f t="shared" si="9"/>
        <v>0</v>
      </c>
      <c r="B240" s="62">
        <f t="shared" si="9"/>
        <v>0</v>
      </c>
      <c r="C240" s="62" t="b">
        <f>IF(Tab.11[[#This Row],[a1]]=1,[3]!Tab_x1[[#This Row],[Name]])</f>
        <v>0</v>
      </c>
      <c r="D240" s="63" t="b">
        <f>IF(Tab.11[[#This Row],[a1]]=1,AO240)</f>
        <v>0</v>
      </c>
      <c r="E240" s="63">
        <f t="shared" si="8"/>
        <v>0</v>
      </c>
      <c r="F240" s="64" t="b">
        <f>IF(Tab.11[[#This Row],[a1]]=1,Tab.11[[#This Row],[b1]])</f>
        <v>0</v>
      </c>
      <c r="G240" s="65" t="b">
        <f>IF(Tab.11[[#This Row],[a1]]=1,IF(Tab.11[[#This Row],[b3]]&gt;$L$989*$G$3,$L$989*$G$3,IF(Tab.11[[#This Row],[b3]]&lt;$M$989*$G$3,$M$989*$G$3,Tab.11[[#This Row],[b3]])))</f>
        <v>0</v>
      </c>
      <c r="H240" s="66" t="b">
        <f>IF(Tab.11[[#This Row],[a1]]=1,Tab.11[[#This Row],[b1]])</f>
        <v>0</v>
      </c>
      <c r="I240" s="67" t="b">
        <f>IF(Tab.11[[#This Row],[a1]]=1,Tab.11[[#This Row],[b1]])</f>
        <v>0</v>
      </c>
      <c r="J240" s="68" t="b">
        <f>IF(Tab.11[[#This Row],[a1]]=1,IF($I$3&lt;0,Tab.11[[#This Row],[b5]]-$I$3,Tab.11[[#This Row],[b5]]))</f>
        <v>0</v>
      </c>
      <c r="K240" s="68" t="b">
        <f>IF(Tab.11[[#This Row],[a1]]=1,IF($K$3=0,Tab.11[b6],Tab.11[[#This Row],[b6]]-AVERAGE(Tab.11[b6])))</f>
        <v>0</v>
      </c>
      <c r="L240" s="69" t="b">
        <f>IF(Tab.11[[#This Row],[a1]]=1,Tab.11[[#This Row],[data]]/(_xlfn.STDEV.P(Tab.11[data])*$B$989)+$A$989)</f>
        <v>0</v>
      </c>
      <c r="M240" s="69" t="b">
        <f>IF(Tab.11[[#This Row],[a1]]=1,Tab.11[[#This Row],[data]]/(_xlfn.STDEV.P(Tab.11[data])*$B$987)-$A$987)</f>
        <v>0</v>
      </c>
      <c r="N240" s="69" t="b">
        <f>IF(Tab.11[[#This Row],[a1]]=1,Tab.11[[#This Row],[data]]/(_xlfn.STDEV.P(Tab.11[data])*$B$988)+$A$988)</f>
        <v>0</v>
      </c>
      <c r="O240" s="70" t="b">
        <f>IF(Tab.11[[#This Row],[a1]]=1,_xlfn.NORM.DIST(Tab.11[[#This Row],[b8]],$P$1,$Q$1,FALSE))</f>
        <v>0</v>
      </c>
      <c r="P240" s="70" t="b">
        <f>IF(Tab.11[[#This Row],[a1]]=1,_xlfn.NORM.DIST(Tab.11[[#This Row],[b9]],$P$1,$Q$1,FALSE))</f>
        <v>0</v>
      </c>
      <c r="Q240" s="70" t="b">
        <f>IF(Tab.11[[#This Row],[a1]]=1,_xlfn.NORM.DIST(Tab.11[[#This Row],[b10]],$P$1,$Q$1,FALSE))</f>
        <v>0</v>
      </c>
      <c r="R240" s="67" t="b">
        <f>IF(Tab.11[[#This Row],[a1]]=1,$I$3+$A$989+IF($K$3=0,Tab.11[[#This Row],[b8]]*_xlfn.STDEV.P(Tab.11[data]),AVERAGE(Tab.11[b6])+Tab.11[[#This Row],[b8]]*_xlfn.STDEV.P(Tab.11[data])))</f>
        <v>0</v>
      </c>
      <c r="S240" s="71" t="b">
        <f>IF(Tab.11[[#This Row],[a1]]=1,$I$3+$A$987+IF($K$3=0,Tab.11[[#This Row],[b9]]*_xlfn.STDEV.P(Tab.11[data]),AVERAGE(Tab.11[b6])+Tab.11[[#This Row],[b9]]*_xlfn.STDEV.P(Tab.11[data])))</f>
        <v>0</v>
      </c>
      <c r="T240" s="71" t="b">
        <f>IF(Tab.11[[#This Row],[a1]]=1,$I$3+$A$988+IF($K$3=0,Tab.11[[#This Row],[b10]]*_xlfn.STDEV.P(Tab.11[data]),AVERAGE(Tab.11[b6])+Tab.11[[#This Row],[b10]]*_xlfn.STDEV.P(Tab.11[data])))</f>
        <v>0</v>
      </c>
      <c r="U240" s="72" t="b">
        <f>IF(Tab.11[[#This Row],[a1]]=1,Tab.11[[#This Row],[target]]-Tab.11[[#This Row],[Red]])</f>
        <v>0</v>
      </c>
      <c r="V240" s="72" t="b">
        <f>IF(Tab.11[[#This Row],[a1]]=1,Tab.11[[#This Row],[target]]-Tab.11[[#This Row],[Blue]])</f>
        <v>0</v>
      </c>
      <c r="W240" s="73" t="b">
        <f>IF(Tab.11[[#This Row],[a1]]=1,IF(ABS(Tab.11[[#This Row],[b17]])+ABS(Tab.11[[#This Row],[b18]])&lt;$W$2,$W$2,ABS(Tab.11[[#This Row],[b17]])+ABS(Tab.11[[#This Row],[b18]])))</f>
        <v>0</v>
      </c>
      <c r="X240" s="136" t="b">
        <f>IF(Tab.11[[#This Row],[a1]]=1,IF($W$3&lt;0,Tab.11[[#This Row],[IN]]-$I$3,Tab.11[[#This Row],[IN]]))</f>
        <v>0</v>
      </c>
      <c r="Y240" s="136" t="b">
        <f>IF(Tab.11[[#This Row],[a1]]=1,IF($X$3=0,Tab.11[b66],Tab.11[[#This Row],[b66]]-AVERAGE(Tab.11[b66])))</f>
        <v>0</v>
      </c>
      <c r="Z240" s="135" t="b">
        <f>IF(Tab.11[[#This Row],[a1]]=1,Tab.11[[#This Row],[b77]]/(_xlfn.STDEV.P(Tab.11[b77])))</f>
        <v>0</v>
      </c>
      <c r="AA240" s="70" t="b">
        <f>IF(Tab.11[[#This Row],[a1]]=1,_xlfn.NORM.DIST(Tab.11[[#This Row],[b88]],$Z$1,$AA$1,FALSE))</f>
        <v>0</v>
      </c>
      <c r="AB240" s="74" t="b">
        <f>IF(Tab.11[[#This Row],[a1]]=1,IF($A$3=0,FALSE,1/Tab.11[[#This Row],[IN]]*$AC$2*IF(Tab.11[[#This Row],[a1]]=0,,$A$3*$AC$1*1/$V$3*(Tab.11[[#This Row],[b14]]))))</f>
        <v>0</v>
      </c>
      <c r="AC240" s="75" t="b">
        <f>IF(Tab.11[[#This Row],[a1]]=1,IF($AC$3=0,Tab.11[[#This Row],[φ1]],Tab.11[[#This Row],[φ1]]/MAX(Tab.11[φ1])))</f>
        <v>0</v>
      </c>
      <c r="AD240" s="74" t="b">
        <f>IF(Tab.11[[#This Row],[a1]]=1,1/Tab.11[[#This Row],[φ2]])</f>
        <v>0</v>
      </c>
      <c r="AE240" s="74" t="b">
        <f>IF(Tab.11[[#This Row],[a1]]=1,IF($AE$3=0,Tab.11[[#This Row],[w.0]],Tab.11[[#This Row],[w.0]]/SUM(Tab.11[w.0])))</f>
        <v>0</v>
      </c>
      <c r="AF240" s="76" t="str">
        <f>IF(Tab.11[[#This Row],[a1]]=0,"false",[3]!Tab.x5[[#This Row],[%_seN_C]])</f>
        <v>false</v>
      </c>
      <c r="AG240" s="77" t="b">
        <f>IF(Tab.11[[#This Row],[a1]]=1,AP240)</f>
        <v>0</v>
      </c>
      <c r="AH240" s="78" t="b">
        <f>IF(Tab.11[[#This Row],[a1]]=1,AQ240)</f>
        <v>0</v>
      </c>
      <c r="AI240" s="41">
        <v>3.0000000000000001E-3</v>
      </c>
      <c r="AJ240" s="79">
        <v>-0.06</v>
      </c>
      <c r="AK240" s="80" t="b">
        <f>IF(Tab.11[[#This Row],[a1]]=1,1)</f>
        <v>0</v>
      </c>
      <c r="AZ240"/>
    </row>
    <row r="241" spans="1:83" ht="14.25" hidden="1" customHeight="1" x14ac:dyDescent="0.25">
      <c r="A241" s="61">
        <f t="shared" si="9"/>
        <v>0</v>
      </c>
      <c r="B241" s="62">
        <f t="shared" si="9"/>
        <v>0</v>
      </c>
      <c r="C241" s="62" t="b">
        <f>IF(Tab.11[[#This Row],[a1]]=1,[3]!Tab_x1[[#This Row],[Name]])</f>
        <v>0</v>
      </c>
      <c r="D241" s="63" t="b">
        <f>IF(Tab.11[[#This Row],[a1]]=1,AO241)</f>
        <v>0</v>
      </c>
      <c r="E241" s="63">
        <f t="shared" si="8"/>
        <v>0</v>
      </c>
      <c r="F241" s="64" t="b">
        <f>IF(Tab.11[[#This Row],[a1]]=1,Tab.11[[#This Row],[b1]])</f>
        <v>0</v>
      </c>
      <c r="G241" s="65" t="b">
        <f>IF(Tab.11[[#This Row],[a1]]=1,IF(Tab.11[[#This Row],[b3]]&gt;$L$989*$G$3,$L$989*$G$3,IF(Tab.11[[#This Row],[b3]]&lt;$M$989*$G$3,$M$989*$G$3,Tab.11[[#This Row],[b3]])))</f>
        <v>0</v>
      </c>
      <c r="H241" s="66" t="b">
        <f>IF(Tab.11[[#This Row],[a1]]=1,Tab.11[[#This Row],[b1]])</f>
        <v>0</v>
      </c>
      <c r="I241" s="67" t="b">
        <f>IF(Tab.11[[#This Row],[a1]]=1,Tab.11[[#This Row],[b1]])</f>
        <v>0</v>
      </c>
      <c r="J241" s="68" t="b">
        <f>IF(Tab.11[[#This Row],[a1]]=1,IF($I$3&lt;0,Tab.11[[#This Row],[b5]]-$I$3,Tab.11[[#This Row],[b5]]))</f>
        <v>0</v>
      </c>
      <c r="K241" s="68" t="b">
        <f>IF(Tab.11[[#This Row],[a1]]=1,IF($K$3=0,Tab.11[b6],Tab.11[[#This Row],[b6]]-AVERAGE(Tab.11[b6])))</f>
        <v>0</v>
      </c>
      <c r="L241" s="69" t="b">
        <f>IF(Tab.11[[#This Row],[a1]]=1,Tab.11[[#This Row],[data]]/(_xlfn.STDEV.P(Tab.11[data])*$B$989)+$A$989)</f>
        <v>0</v>
      </c>
      <c r="M241" s="69" t="b">
        <f>IF(Tab.11[[#This Row],[a1]]=1,Tab.11[[#This Row],[data]]/(_xlfn.STDEV.P(Tab.11[data])*$B$987)-$A$987)</f>
        <v>0</v>
      </c>
      <c r="N241" s="69" t="b">
        <f>IF(Tab.11[[#This Row],[a1]]=1,Tab.11[[#This Row],[data]]/(_xlfn.STDEV.P(Tab.11[data])*$B$988)+$A$988)</f>
        <v>0</v>
      </c>
      <c r="O241" s="70" t="b">
        <f>IF(Tab.11[[#This Row],[a1]]=1,_xlfn.NORM.DIST(Tab.11[[#This Row],[b8]],$P$1,$Q$1,FALSE))</f>
        <v>0</v>
      </c>
      <c r="P241" s="70" t="b">
        <f>IF(Tab.11[[#This Row],[a1]]=1,_xlfn.NORM.DIST(Tab.11[[#This Row],[b9]],$P$1,$Q$1,FALSE))</f>
        <v>0</v>
      </c>
      <c r="Q241" s="70" t="b">
        <f>IF(Tab.11[[#This Row],[a1]]=1,_xlfn.NORM.DIST(Tab.11[[#This Row],[b10]],$P$1,$Q$1,FALSE))</f>
        <v>0</v>
      </c>
      <c r="R241" s="67" t="b">
        <f>IF(Tab.11[[#This Row],[a1]]=1,$I$3+$A$989+IF($K$3=0,Tab.11[[#This Row],[b8]]*_xlfn.STDEV.P(Tab.11[data]),AVERAGE(Tab.11[b6])+Tab.11[[#This Row],[b8]]*_xlfn.STDEV.P(Tab.11[data])))</f>
        <v>0</v>
      </c>
      <c r="S241" s="71" t="b">
        <f>IF(Tab.11[[#This Row],[a1]]=1,$I$3+$A$987+IF($K$3=0,Tab.11[[#This Row],[b9]]*_xlfn.STDEV.P(Tab.11[data]),AVERAGE(Tab.11[b6])+Tab.11[[#This Row],[b9]]*_xlfn.STDEV.P(Tab.11[data])))</f>
        <v>0</v>
      </c>
      <c r="T241" s="71" t="b">
        <f>IF(Tab.11[[#This Row],[a1]]=1,$I$3+$A$988+IF($K$3=0,Tab.11[[#This Row],[b10]]*_xlfn.STDEV.P(Tab.11[data]),AVERAGE(Tab.11[b6])+Tab.11[[#This Row],[b10]]*_xlfn.STDEV.P(Tab.11[data])))</f>
        <v>0</v>
      </c>
      <c r="U241" s="72" t="b">
        <f>IF(Tab.11[[#This Row],[a1]]=1,Tab.11[[#This Row],[target]]-Tab.11[[#This Row],[Red]])</f>
        <v>0</v>
      </c>
      <c r="V241" s="72" t="b">
        <f>IF(Tab.11[[#This Row],[a1]]=1,Tab.11[[#This Row],[target]]-Tab.11[[#This Row],[Blue]])</f>
        <v>0</v>
      </c>
      <c r="W241" s="73" t="b">
        <f>IF(Tab.11[[#This Row],[a1]]=1,IF(ABS(Tab.11[[#This Row],[b17]])+ABS(Tab.11[[#This Row],[b18]])&lt;$W$2,$W$2,ABS(Tab.11[[#This Row],[b17]])+ABS(Tab.11[[#This Row],[b18]])))</f>
        <v>0</v>
      </c>
      <c r="X241" s="136" t="b">
        <f>IF(Tab.11[[#This Row],[a1]]=1,IF($W$3&lt;0,Tab.11[[#This Row],[IN]]-$I$3,Tab.11[[#This Row],[IN]]))</f>
        <v>0</v>
      </c>
      <c r="Y241" s="136" t="b">
        <f>IF(Tab.11[[#This Row],[a1]]=1,IF($X$3=0,Tab.11[b66],Tab.11[[#This Row],[b66]]-AVERAGE(Tab.11[b66])))</f>
        <v>0</v>
      </c>
      <c r="Z241" s="135" t="b">
        <f>IF(Tab.11[[#This Row],[a1]]=1,Tab.11[[#This Row],[b77]]/(_xlfn.STDEV.P(Tab.11[b77])))</f>
        <v>0</v>
      </c>
      <c r="AA241" s="70" t="b">
        <f>IF(Tab.11[[#This Row],[a1]]=1,_xlfn.NORM.DIST(Tab.11[[#This Row],[b88]],$Z$1,$AA$1,FALSE))</f>
        <v>0</v>
      </c>
      <c r="AB241" s="74" t="b">
        <f>IF(Tab.11[[#This Row],[a1]]=1,IF($A$3=0,FALSE,1/Tab.11[[#This Row],[IN]]*$AC$2*IF(Tab.11[[#This Row],[a1]]=0,,$A$3*$AC$1*1/$V$3*(Tab.11[[#This Row],[b14]]))))</f>
        <v>0</v>
      </c>
      <c r="AC241" s="75" t="b">
        <f>IF(Tab.11[[#This Row],[a1]]=1,IF($AC$3=0,Tab.11[[#This Row],[φ1]],Tab.11[[#This Row],[φ1]]/MAX(Tab.11[φ1])))</f>
        <v>0</v>
      </c>
      <c r="AD241" s="74" t="b">
        <f>IF(Tab.11[[#This Row],[a1]]=1,1/Tab.11[[#This Row],[φ2]])</f>
        <v>0</v>
      </c>
      <c r="AE241" s="74" t="b">
        <f>IF(Tab.11[[#This Row],[a1]]=1,IF($AE$3=0,Tab.11[[#This Row],[w.0]],Tab.11[[#This Row],[w.0]]/SUM(Tab.11[w.0])))</f>
        <v>0</v>
      </c>
      <c r="AF241" s="76" t="str">
        <f>IF(Tab.11[[#This Row],[a1]]=0,"false",[3]!Tab.x5[[#This Row],[%_seN_C]])</f>
        <v>false</v>
      </c>
      <c r="AG241" s="77" t="b">
        <f>IF(Tab.11[[#This Row],[a1]]=1,AP241)</f>
        <v>0</v>
      </c>
      <c r="AH241" s="78" t="b">
        <f>IF(Tab.11[[#This Row],[a1]]=1,AQ241)</f>
        <v>0</v>
      </c>
      <c r="AI241" s="41">
        <v>3.0000000000000001E-3</v>
      </c>
      <c r="AJ241" s="79">
        <v>0.01</v>
      </c>
      <c r="AK241" s="80" t="b">
        <f>IF(Tab.11[[#This Row],[a1]]=1,1)</f>
        <v>0</v>
      </c>
      <c r="AZ241"/>
    </row>
    <row r="242" spans="1:83" hidden="1" x14ac:dyDescent="0.25">
      <c r="A242" s="61">
        <f t="shared" si="9"/>
        <v>0</v>
      </c>
      <c r="B242" s="62">
        <f t="shared" si="9"/>
        <v>0</v>
      </c>
      <c r="C242" s="62" t="b">
        <f>IF(Tab.11[[#This Row],[a1]]=1,[3]!Tab_x1[[#This Row],[Name]])</f>
        <v>0</v>
      </c>
      <c r="D242" s="63" t="b">
        <f>IF(Tab.11[[#This Row],[a1]]=1,AO242)</f>
        <v>0</v>
      </c>
      <c r="E242" s="63">
        <f t="shared" si="8"/>
        <v>0</v>
      </c>
      <c r="F242" s="64" t="b">
        <f>IF(Tab.11[[#This Row],[a1]]=1,Tab.11[[#This Row],[b1]])</f>
        <v>0</v>
      </c>
      <c r="G242" s="65" t="b">
        <f>IF(Tab.11[[#This Row],[a1]]=1,IF(Tab.11[[#This Row],[b3]]&gt;$L$989*$G$3,$L$989*$G$3,IF(Tab.11[[#This Row],[b3]]&lt;$M$989*$G$3,$M$989*$G$3,Tab.11[[#This Row],[b3]])))</f>
        <v>0</v>
      </c>
      <c r="H242" s="66" t="b">
        <f>IF(Tab.11[[#This Row],[a1]]=1,Tab.11[[#This Row],[b1]])</f>
        <v>0</v>
      </c>
      <c r="I242" s="67" t="b">
        <f>IF(Tab.11[[#This Row],[a1]]=1,Tab.11[[#This Row],[b1]])</f>
        <v>0</v>
      </c>
      <c r="J242" s="68" t="b">
        <f>IF(Tab.11[[#This Row],[a1]]=1,IF($I$3&lt;0,Tab.11[[#This Row],[b5]]-$I$3,Tab.11[[#This Row],[b5]]))</f>
        <v>0</v>
      </c>
      <c r="K242" s="68" t="b">
        <f>IF(Tab.11[[#This Row],[a1]]=1,IF($K$3=0,Tab.11[b6],Tab.11[[#This Row],[b6]]-AVERAGE(Tab.11[b6])))</f>
        <v>0</v>
      </c>
      <c r="L242" s="69" t="b">
        <f>IF(Tab.11[[#This Row],[a1]]=1,Tab.11[[#This Row],[data]]/(_xlfn.STDEV.P(Tab.11[data])*$B$989)+$A$989)</f>
        <v>0</v>
      </c>
      <c r="M242" s="69" t="b">
        <f>IF(Tab.11[[#This Row],[a1]]=1,Tab.11[[#This Row],[data]]/(_xlfn.STDEV.P(Tab.11[data])*$B$987)-$A$987)</f>
        <v>0</v>
      </c>
      <c r="N242" s="69" t="b">
        <f>IF(Tab.11[[#This Row],[a1]]=1,Tab.11[[#This Row],[data]]/(_xlfn.STDEV.P(Tab.11[data])*$B$988)+$A$988)</f>
        <v>0</v>
      </c>
      <c r="O242" s="70" t="b">
        <f>IF(Tab.11[[#This Row],[a1]]=1,_xlfn.NORM.DIST(Tab.11[[#This Row],[b8]],$P$1,$Q$1,FALSE))</f>
        <v>0</v>
      </c>
      <c r="P242" s="70" t="b">
        <f>IF(Tab.11[[#This Row],[a1]]=1,_xlfn.NORM.DIST(Tab.11[[#This Row],[b9]],$P$1,$Q$1,FALSE))</f>
        <v>0</v>
      </c>
      <c r="Q242" s="70" t="b">
        <f>IF(Tab.11[[#This Row],[a1]]=1,_xlfn.NORM.DIST(Tab.11[[#This Row],[b10]],$P$1,$Q$1,FALSE))</f>
        <v>0</v>
      </c>
      <c r="R242" s="67" t="b">
        <f>IF(Tab.11[[#This Row],[a1]]=1,$I$3+$A$989+IF($K$3=0,Tab.11[[#This Row],[b8]]*_xlfn.STDEV.P(Tab.11[data]),AVERAGE(Tab.11[b6])+Tab.11[[#This Row],[b8]]*_xlfn.STDEV.P(Tab.11[data])))</f>
        <v>0</v>
      </c>
      <c r="S242" s="71" t="b">
        <f>IF(Tab.11[[#This Row],[a1]]=1,$I$3+$A$987+IF($K$3=0,Tab.11[[#This Row],[b9]]*_xlfn.STDEV.P(Tab.11[data]),AVERAGE(Tab.11[b6])+Tab.11[[#This Row],[b9]]*_xlfn.STDEV.P(Tab.11[data])))</f>
        <v>0</v>
      </c>
      <c r="T242" s="71" t="b">
        <f>IF(Tab.11[[#This Row],[a1]]=1,$I$3+$A$988+IF($K$3=0,Tab.11[[#This Row],[b10]]*_xlfn.STDEV.P(Tab.11[data]),AVERAGE(Tab.11[b6])+Tab.11[[#This Row],[b10]]*_xlfn.STDEV.P(Tab.11[data])))</f>
        <v>0</v>
      </c>
      <c r="U242" s="72" t="b">
        <f>IF(Tab.11[[#This Row],[a1]]=1,Tab.11[[#This Row],[target]]-Tab.11[[#This Row],[Red]])</f>
        <v>0</v>
      </c>
      <c r="V242" s="72" t="b">
        <f>IF(Tab.11[[#This Row],[a1]]=1,Tab.11[[#This Row],[target]]-Tab.11[[#This Row],[Blue]])</f>
        <v>0</v>
      </c>
      <c r="W242" s="73" t="b">
        <f>IF(Tab.11[[#This Row],[a1]]=1,IF(ABS(Tab.11[[#This Row],[b17]])+ABS(Tab.11[[#This Row],[b18]])&lt;$W$2,$W$2,ABS(Tab.11[[#This Row],[b17]])+ABS(Tab.11[[#This Row],[b18]])))</f>
        <v>0</v>
      </c>
      <c r="X242" s="136" t="b">
        <f>IF(Tab.11[[#This Row],[a1]]=1,IF($W$3&lt;0,Tab.11[[#This Row],[IN]]-$I$3,Tab.11[[#This Row],[IN]]))</f>
        <v>0</v>
      </c>
      <c r="Y242" s="136" t="b">
        <f>IF(Tab.11[[#This Row],[a1]]=1,IF($X$3=0,Tab.11[b66],Tab.11[[#This Row],[b66]]-AVERAGE(Tab.11[b66])))</f>
        <v>0</v>
      </c>
      <c r="Z242" s="135" t="b">
        <f>IF(Tab.11[[#This Row],[a1]]=1,Tab.11[[#This Row],[b77]]/(_xlfn.STDEV.P(Tab.11[b77])))</f>
        <v>0</v>
      </c>
      <c r="AA242" s="70" t="b">
        <f>IF(Tab.11[[#This Row],[a1]]=1,_xlfn.NORM.DIST(Tab.11[[#This Row],[b88]],$Z$1,$AA$1,FALSE))</f>
        <v>0</v>
      </c>
      <c r="AB242" s="74" t="b">
        <f>IF(Tab.11[[#This Row],[a1]]=1,IF($A$3=0,FALSE,1/Tab.11[[#This Row],[IN]]*$AC$2*IF(Tab.11[[#This Row],[a1]]=0,,$A$3*$AC$1*1/$V$3*(Tab.11[[#This Row],[b14]]))))</f>
        <v>0</v>
      </c>
      <c r="AC242" s="75" t="b">
        <f>IF(Tab.11[[#This Row],[a1]]=1,IF($AC$3=0,Tab.11[[#This Row],[φ1]],Tab.11[[#This Row],[φ1]]/MAX(Tab.11[φ1])))</f>
        <v>0</v>
      </c>
      <c r="AD242" s="74" t="b">
        <f>IF(Tab.11[[#This Row],[a1]]=1,1/Tab.11[[#This Row],[φ2]])</f>
        <v>0</v>
      </c>
      <c r="AE242" s="74" t="b">
        <f>IF(Tab.11[[#This Row],[a1]]=1,IF($AE$3=0,Tab.11[[#This Row],[w.0]],Tab.11[[#This Row],[w.0]]/SUM(Tab.11[w.0])))</f>
        <v>0</v>
      </c>
      <c r="AF242" s="76" t="str">
        <f>IF(Tab.11[[#This Row],[a1]]=0,"false",[3]!Tab.x5[[#This Row],[%_seN_C]])</f>
        <v>false</v>
      </c>
      <c r="AG242" s="77" t="b">
        <f>IF(Tab.11[[#This Row],[a1]]=1,AP242)</f>
        <v>0</v>
      </c>
      <c r="AH242" s="78" t="b">
        <f>IF(Tab.11[[#This Row],[a1]]=1,AQ242)</f>
        <v>0</v>
      </c>
      <c r="AI242" s="41">
        <v>3.0000000000000001E-3</v>
      </c>
      <c r="AJ242" s="79">
        <v>-0.08</v>
      </c>
      <c r="AK242" s="80" t="b">
        <f>IF(Tab.11[[#This Row],[a1]]=1,1)</f>
        <v>0</v>
      </c>
      <c r="AZ242"/>
    </row>
    <row r="243" spans="1:83" hidden="1" x14ac:dyDescent="0.25">
      <c r="A243" s="61">
        <f t="shared" si="9"/>
        <v>0</v>
      </c>
      <c r="B243" s="62">
        <f t="shared" si="9"/>
        <v>0</v>
      </c>
      <c r="C243" s="62" t="b">
        <f>IF(Tab.11[[#This Row],[a1]]=1,[3]!Tab_x1[[#This Row],[Name]])</f>
        <v>0</v>
      </c>
      <c r="D243" s="63" t="b">
        <f>IF(Tab.11[[#This Row],[a1]]=1,AO243)</f>
        <v>0</v>
      </c>
      <c r="E243" s="63">
        <f t="shared" si="8"/>
        <v>0</v>
      </c>
      <c r="F243" s="64" t="b">
        <f>IF(Tab.11[[#This Row],[a1]]=1,Tab.11[[#This Row],[b1]])</f>
        <v>0</v>
      </c>
      <c r="G243" s="65" t="b">
        <f>IF(Tab.11[[#This Row],[a1]]=1,IF(Tab.11[[#This Row],[b3]]&gt;$L$989*$G$3,$L$989*$G$3,IF(Tab.11[[#This Row],[b3]]&lt;$M$989*$G$3,$M$989*$G$3,Tab.11[[#This Row],[b3]])))</f>
        <v>0</v>
      </c>
      <c r="H243" s="66" t="b">
        <f>IF(Tab.11[[#This Row],[a1]]=1,Tab.11[[#This Row],[b1]])</f>
        <v>0</v>
      </c>
      <c r="I243" s="67" t="b">
        <f>IF(Tab.11[[#This Row],[a1]]=1,Tab.11[[#This Row],[b1]])</f>
        <v>0</v>
      </c>
      <c r="J243" s="68" t="b">
        <f>IF(Tab.11[[#This Row],[a1]]=1,IF($I$3&lt;0,Tab.11[[#This Row],[b5]]-$I$3,Tab.11[[#This Row],[b5]]))</f>
        <v>0</v>
      </c>
      <c r="K243" s="68" t="b">
        <f>IF(Tab.11[[#This Row],[a1]]=1,IF($K$3=0,Tab.11[b6],Tab.11[[#This Row],[b6]]-AVERAGE(Tab.11[b6])))</f>
        <v>0</v>
      </c>
      <c r="L243" s="69" t="b">
        <f>IF(Tab.11[[#This Row],[a1]]=1,Tab.11[[#This Row],[data]]/(_xlfn.STDEV.P(Tab.11[data])*$B$989)+$A$989)</f>
        <v>0</v>
      </c>
      <c r="M243" s="69" t="b">
        <f>IF(Tab.11[[#This Row],[a1]]=1,Tab.11[[#This Row],[data]]/(_xlfn.STDEV.P(Tab.11[data])*$B$987)-$A$987)</f>
        <v>0</v>
      </c>
      <c r="N243" s="69" t="b">
        <f>IF(Tab.11[[#This Row],[a1]]=1,Tab.11[[#This Row],[data]]/(_xlfn.STDEV.P(Tab.11[data])*$B$988)+$A$988)</f>
        <v>0</v>
      </c>
      <c r="O243" s="70" t="b">
        <f>IF(Tab.11[[#This Row],[a1]]=1,_xlfn.NORM.DIST(Tab.11[[#This Row],[b8]],$P$1,$Q$1,FALSE))</f>
        <v>0</v>
      </c>
      <c r="P243" s="70" t="b">
        <f>IF(Tab.11[[#This Row],[a1]]=1,_xlfn.NORM.DIST(Tab.11[[#This Row],[b9]],$P$1,$Q$1,FALSE))</f>
        <v>0</v>
      </c>
      <c r="Q243" s="70" t="b">
        <f>IF(Tab.11[[#This Row],[a1]]=1,_xlfn.NORM.DIST(Tab.11[[#This Row],[b10]],$P$1,$Q$1,FALSE))</f>
        <v>0</v>
      </c>
      <c r="R243" s="67" t="b">
        <f>IF(Tab.11[[#This Row],[a1]]=1,$I$3+$A$989+IF($K$3=0,Tab.11[[#This Row],[b8]]*_xlfn.STDEV.P(Tab.11[data]),AVERAGE(Tab.11[b6])+Tab.11[[#This Row],[b8]]*_xlfn.STDEV.P(Tab.11[data])))</f>
        <v>0</v>
      </c>
      <c r="S243" s="71" t="b">
        <f>IF(Tab.11[[#This Row],[a1]]=1,$I$3+$A$987+IF($K$3=0,Tab.11[[#This Row],[b9]]*_xlfn.STDEV.P(Tab.11[data]),AVERAGE(Tab.11[b6])+Tab.11[[#This Row],[b9]]*_xlfn.STDEV.P(Tab.11[data])))</f>
        <v>0</v>
      </c>
      <c r="T243" s="71" t="b">
        <f>IF(Tab.11[[#This Row],[a1]]=1,$I$3+$A$988+IF($K$3=0,Tab.11[[#This Row],[b10]]*_xlfn.STDEV.P(Tab.11[data]),AVERAGE(Tab.11[b6])+Tab.11[[#This Row],[b10]]*_xlfn.STDEV.P(Tab.11[data])))</f>
        <v>0</v>
      </c>
      <c r="U243" s="72" t="b">
        <f>IF(Tab.11[[#This Row],[a1]]=1,Tab.11[[#This Row],[target]]-Tab.11[[#This Row],[Red]])</f>
        <v>0</v>
      </c>
      <c r="V243" s="72" t="b">
        <f>IF(Tab.11[[#This Row],[a1]]=1,Tab.11[[#This Row],[target]]-Tab.11[[#This Row],[Blue]])</f>
        <v>0</v>
      </c>
      <c r="W243" s="73" t="b">
        <f>IF(Tab.11[[#This Row],[a1]]=1,IF(ABS(Tab.11[[#This Row],[b17]])+ABS(Tab.11[[#This Row],[b18]])&lt;$W$2,$W$2,ABS(Tab.11[[#This Row],[b17]])+ABS(Tab.11[[#This Row],[b18]])))</f>
        <v>0</v>
      </c>
      <c r="X243" s="136" t="b">
        <f>IF(Tab.11[[#This Row],[a1]]=1,IF($W$3&lt;0,Tab.11[[#This Row],[IN]]-$I$3,Tab.11[[#This Row],[IN]]))</f>
        <v>0</v>
      </c>
      <c r="Y243" s="136" t="b">
        <f>IF(Tab.11[[#This Row],[a1]]=1,IF($X$3=0,Tab.11[b66],Tab.11[[#This Row],[b66]]-AVERAGE(Tab.11[b66])))</f>
        <v>0</v>
      </c>
      <c r="Z243" s="135" t="b">
        <f>IF(Tab.11[[#This Row],[a1]]=1,Tab.11[[#This Row],[b77]]/(_xlfn.STDEV.P(Tab.11[b77])))</f>
        <v>0</v>
      </c>
      <c r="AA243" s="70" t="b">
        <f>IF(Tab.11[[#This Row],[a1]]=1,_xlfn.NORM.DIST(Tab.11[[#This Row],[b88]],$Z$1,$AA$1,FALSE))</f>
        <v>0</v>
      </c>
      <c r="AB243" s="74" t="b">
        <f>IF(Tab.11[[#This Row],[a1]]=1,IF($A$3=0,FALSE,1/Tab.11[[#This Row],[IN]]*$AC$2*IF(Tab.11[[#This Row],[a1]]=0,,$A$3*$AC$1*1/$V$3*(Tab.11[[#This Row],[b14]]))))</f>
        <v>0</v>
      </c>
      <c r="AC243" s="75" t="b">
        <f>IF(Tab.11[[#This Row],[a1]]=1,IF($AC$3=0,Tab.11[[#This Row],[φ1]],Tab.11[[#This Row],[φ1]]/MAX(Tab.11[φ1])))</f>
        <v>0</v>
      </c>
      <c r="AD243" s="74" t="b">
        <f>IF(Tab.11[[#This Row],[a1]]=1,1/Tab.11[[#This Row],[φ2]])</f>
        <v>0</v>
      </c>
      <c r="AE243" s="74" t="b">
        <f>IF(Tab.11[[#This Row],[a1]]=1,IF($AE$3=0,Tab.11[[#This Row],[w.0]],Tab.11[[#This Row],[w.0]]/SUM(Tab.11[w.0])))</f>
        <v>0</v>
      </c>
      <c r="AF243" s="76" t="str">
        <f>IF(Tab.11[[#This Row],[a1]]=0,"false",[3]!Tab.x5[[#This Row],[%_seN_C]])</f>
        <v>false</v>
      </c>
      <c r="AG243" s="77" t="b">
        <f>IF(Tab.11[[#This Row],[a1]]=1,AP243)</f>
        <v>0</v>
      </c>
      <c r="AH243" s="78" t="b">
        <f>IF(Tab.11[[#This Row],[a1]]=1,AQ243)</f>
        <v>0</v>
      </c>
      <c r="AI243" s="41">
        <v>3.0000000000000001E-3</v>
      </c>
      <c r="AJ243" s="79">
        <v>-0.1</v>
      </c>
      <c r="AK243" s="80" t="b">
        <f>IF(Tab.11[[#This Row],[a1]]=1,1)</f>
        <v>0</v>
      </c>
      <c r="AZ243"/>
    </row>
    <row r="244" spans="1:83" hidden="1" x14ac:dyDescent="0.25">
      <c r="A244" s="61">
        <f t="shared" si="9"/>
        <v>0</v>
      </c>
      <c r="B244" s="62">
        <f t="shared" si="9"/>
        <v>0</v>
      </c>
      <c r="C244" s="62" t="b">
        <f>IF(Tab.11[[#This Row],[a1]]=1,[3]!Tab_x1[[#This Row],[Name]])</f>
        <v>0</v>
      </c>
      <c r="D244" s="63" t="b">
        <f>IF(Tab.11[[#This Row],[a1]]=1,AO244)</f>
        <v>0</v>
      </c>
      <c r="E244" s="63">
        <f t="shared" si="8"/>
        <v>0</v>
      </c>
      <c r="F244" s="64" t="b">
        <f>IF(Tab.11[[#This Row],[a1]]=1,Tab.11[[#This Row],[b1]])</f>
        <v>0</v>
      </c>
      <c r="G244" s="65" t="b">
        <f>IF(Tab.11[[#This Row],[a1]]=1,IF(Tab.11[[#This Row],[b3]]&gt;$L$989*$G$3,$L$989*$G$3,IF(Tab.11[[#This Row],[b3]]&lt;$M$989*$G$3,$M$989*$G$3,Tab.11[[#This Row],[b3]])))</f>
        <v>0</v>
      </c>
      <c r="H244" s="66" t="b">
        <f>IF(Tab.11[[#This Row],[a1]]=1,Tab.11[[#This Row],[b1]])</f>
        <v>0</v>
      </c>
      <c r="I244" s="67" t="b">
        <f>IF(Tab.11[[#This Row],[a1]]=1,Tab.11[[#This Row],[b1]])</f>
        <v>0</v>
      </c>
      <c r="J244" s="68" t="b">
        <f>IF(Tab.11[[#This Row],[a1]]=1,IF($I$3&lt;0,Tab.11[[#This Row],[b5]]-$I$3,Tab.11[[#This Row],[b5]]))</f>
        <v>0</v>
      </c>
      <c r="K244" s="68" t="b">
        <f>IF(Tab.11[[#This Row],[a1]]=1,IF($K$3=0,Tab.11[b6],Tab.11[[#This Row],[b6]]-AVERAGE(Tab.11[b6])))</f>
        <v>0</v>
      </c>
      <c r="L244" s="69" t="b">
        <f>IF(Tab.11[[#This Row],[a1]]=1,Tab.11[[#This Row],[data]]/(_xlfn.STDEV.P(Tab.11[data])*$B$989)+$A$989)</f>
        <v>0</v>
      </c>
      <c r="M244" s="69" t="b">
        <f>IF(Tab.11[[#This Row],[a1]]=1,Tab.11[[#This Row],[data]]/(_xlfn.STDEV.P(Tab.11[data])*$B$987)-$A$987)</f>
        <v>0</v>
      </c>
      <c r="N244" s="69" t="b">
        <f>IF(Tab.11[[#This Row],[a1]]=1,Tab.11[[#This Row],[data]]/(_xlfn.STDEV.P(Tab.11[data])*$B$988)+$A$988)</f>
        <v>0</v>
      </c>
      <c r="O244" s="70" t="b">
        <f>IF(Tab.11[[#This Row],[a1]]=1,_xlfn.NORM.DIST(Tab.11[[#This Row],[b8]],$P$1,$Q$1,FALSE))</f>
        <v>0</v>
      </c>
      <c r="P244" s="70" t="b">
        <f>IF(Tab.11[[#This Row],[a1]]=1,_xlfn.NORM.DIST(Tab.11[[#This Row],[b9]],$P$1,$Q$1,FALSE))</f>
        <v>0</v>
      </c>
      <c r="Q244" s="70" t="b">
        <f>IF(Tab.11[[#This Row],[a1]]=1,_xlfn.NORM.DIST(Tab.11[[#This Row],[b10]],$P$1,$Q$1,FALSE))</f>
        <v>0</v>
      </c>
      <c r="R244" s="67" t="b">
        <f>IF(Tab.11[[#This Row],[a1]]=1,$I$3+$A$989+IF($K$3=0,Tab.11[[#This Row],[b8]]*_xlfn.STDEV.P(Tab.11[data]),AVERAGE(Tab.11[b6])+Tab.11[[#This Row],[b8]]*_xlfn.STDEV.P(Tab.11[data])))</f>
        <v>0</v>
      </c>
      <c r="S244" s="71" t="b">
        <f>IF(Tab.11[[#This Row],[a1]]=1,$I$3+$A$987+IF($K$3=0,Tab.11[[#This Row],[b9]]*_xlfn.STDEV.P(Tab.11[data]),AVERAGE(Tab.11[b6])+Tab.11[[#This Row],[b9]]*_xlfn.STDEV.P(Tab.11[data])))</f>
        <v>0</v>
      </c>
      <c r="T244" s="71" t="b">
        <f>IF(Tab.11[[#This Row],[a1]]=1,$I$3+$A$988+IF($K$3=0,Tab.11[[#This Row],[b10]]*_xlfn.STDEV.P(Tab.11[data]),AVERAGE(Tab.11[b6])+Tab.11[[#This Row],[b10]]*_xlfn.STDEV.P(Tab.11[data])))</f>
        <v>0</v>
      </c>
      <c r="U244" s="72" t="b">
        <f>IF(Tab.11[[#This Row],[a1]]=1,Tab.11[[#This Row],[target]]-Tab.11[[#This Row],[Red]])</f>
        <v>0</v>
      </c>
      <c r="V244" s="72" t="b">
        <f>IF(Tab.11[[#This Row],[a1]]=1,Tab.11[[#This Row],[target]]-Tab.11[[#This Row],[Blue]])</f>
        <v>0</v>
      </c>
      <c r="W244" s="73" t="b">
        <f>IF(Tab.11[[#This Row],[a1]]=1,IF(ABS(Tab.11[[#This Row],[b17]])+ABS(Tab.11[[#This Row],[b18]])&lt;$W$2,$W$2,ABS(Tab.11[[#This Row],[b17]])+ABS(Tab.11[[#This Row],[b18]])))</f>
        <v>0</v>
      </c>
      <c r="X244" s="136" t="b">
        <f>IF(Tab.11[[#This Row],[a1]]=1,IF($W$3&lt;0,Tab.11[[#This Row],[IN]]-$I$3,Tab.11[[#This Row],[IN]]))</f>
        <v>0</v>
      </c>
      <c r="Y244" s="136" t="b">
        <f>IF(Tab.11[[#This Row],[a1]]=1,IF($X$3=0,Tab.11[b66],Tab.11[[#This Row],[b66]]-AVERAGE(Tab.11[b66])))</f>
        <v>0</v>
      </c>
      <c r="Z244" s="135" t="b">
        <f>IF(Tab.11[[#This Row],[a1]]=1,Tab.11[[#This Row],[b77]]/(_xlfn.STDEV.P(Tab.11[b77])))</f>
        <v>0</v>
      </c>
      <c r="AA244" s="70" t="b">
        <f>IF(Tab.11[[#This Row],[a1]]=1,_xlfn.NORM.DIST(Tab.11[[#This Row],[b88]],$Z$1,$AA$1,FALSE))</f>
        <v>0</v>
      </c>
      <c r="AB244" s="74" t="b">
        <f>IF(Tab.11[[#This Row],[a1]]=1,IF($A$3=0,FALSE,1/Tab.11[[#This Row],[IN]]*$AC$2*IF(Tab.11[[#This Row],[a1]]=0,,$A$3*$AC$1*1/$V$3*(Tab.11[[#This Row],[b14]]))))</f>
        <v>0</v>
      </c>
      <c r="AC244" s="75" t="b">
        <f>IF(Tab.11[[#This Row],[a1]]=1,IF($AC$3=0,Tab.11[[#This Row],[φ1]],Tab.11[[#This Row],[φ1]]/MAX(Tab.11[φ1])))</f>
        <v>0</v>
      </c>
      <c r="AD244" s="74" t="b">
        <f>IF(Tab.11[[#This Row],[a1]]=1,1/Tab.11[[#This Row],[φ2]])</f>
        <v>0</v>
      </c>
      <c r="AE244" s="74" t="b">
        <f>IF(Tab.11[[#This Row],[a1]]=1,IF($AE$3=0,Tab.11[[#This Row],[w.0]],Tab.11[[#This Row],[w.0]]/SUM(Tab.11[w.0])))</f>
        <v>0</v>
      </c>
      <c r="AF244" s="76" t="str">
        <f>IF(Tab.11[[#This Row],[a1]]=0,"false",[3]!Tab.x5[[#This Row],[%_seN_C]])</f>
        <v>false</v>
      </c>
      <c r="AG244" s="77" t="b">
        <f>IF(Tab.11[[#This Row],[a1]]=1,AP244)</f>
        <v>0</v>
      </c>
      <c r="AH244" s="78" t="b">
        <f>IF(Tab.11[[#This Row],[a1]]=1,AQ244)</f>
        <v>0</v>
      </c>
      <c r="AI244" s="41">
        <v>3.0000000000000001E-3</v>
      </c>
      <c r="AJ244" s="79">
        <v>0.05</v>
      </c>
      <c r="AK244" s="80" t="b">
        <f>IF(Tab.11[[#This Row],[a1]]=1,1)</f>
        <v>0</v>
      </c>
      <c r="AT244" s="83"/>
      <c r="AU244" s="84"/>
      <c r="AV244" s="70"/>
      <c r="AW244" s="85"/>
      <c r="AX244" s="85"/>
      <c r="AY244" s="85"/>
      <c r="AZ244" s="86"/>
      <c r="BA244" s="87"/>
      <c r="BB244" s="88"/>
      <c r="BC244" s="88"/>
      <c r="BD244" s="88"/>
      <c r="BE244" s="88"/>
      <c r="BF244" s="89"/>
      <c r="BG244" s="90"/>
      <c r="BH244" s="83"/>
      <c r="BI244" s="91"/>
      <c r="BJ244" s="92"/>
      <c r="BK244" s="92"/>
      <c r="BL244" s="92"/>
      <c r="BM244" s="93"/>
      <c r="BN244" s="94"/>
      <c r="BO244" s="93"/>
      <c r="BP244" s="93"/>
      <c r="BQ244" s="92"/>
      <c r="BR244" s="95"/>
      <c r="BS244" s="96"/>
      <c r="BT244" s="97"/>
      <c r="BU244" s="96"/>
      <c r="BV244" s="92"/>
      <c r="BW244" s="98"/>
      <c r="BX244" s="99"/>
      <c r="BY244" s="93"/>
      <c r="BZ244" s="95"/>
      <c r="CA244" s="96"/>
      <c r="CB244" s="97"/>
      <c r="CC244" s="96"/>
      <c r="CD244" s="92"/>
      <c r="CE244" s="98"/>
    </row>
    <row r="245" spans="1:83" hidden="1" x14ac:dyDescent="0.25">
      <c r="A245" s="61">
        <f t="shared" si="9"/>
        <v>0</v>
      </c>
      <c r="B245" s="62">
        <f t="shared" si="9"/>
        <v>0</v>
      </c>
      <c r="C245" s="62" t="b">
        <f>IF(Tab.11[[#This Row],[a1]]=1,[3]!Tab_x1[[#This Row],[Name]])</f>
        <v>0</v>
      </c>
      <c r="D245" s="63" t="b">
        <f>IF(Tab.11[[#This Row],[a1]]=1,AO245)</f>
        <v>0</v>
      </c>
      <c r="E245" s="63">
        <f t="shared" si="8"/>
        <v>0</v>
      </c>
      <c r="F245" s="64" t="b">
        <f>IF(Tab.11[[#This Row],[a1]]=1,Tab.11[[#This Row],[b1]])</f>
        <v>0</v>
      </c>
      <c r="G245" s="65" t="b">
        <f>IF(Tab.11[[#This Row],[a1]]=1,IF(Tab.11[[#This Row],[b3]]&gt;$L$989*$G$3,$L$989*$G$3,IF(Tab.11[[#This Row],[b3]]&lt;$M$989*$G$3,$M$989*$G$3,Tab.11[[#This Row],[b3]])))</f>
        <v>0</v>
      </c>
      <c r="H245" s="66" t="b">
        <f>IF(Tab.11[[#This Row],[a1]]=1,Tab.11[[#This Row],[b1]])</f>
        <v>0</v>
      </c>
      <c r="I245" s="67" t="b">
        <f>IF(Tab.11[[#This Row],[a1]]=1,Tab.11[[#This Row],[b1]])</f>
        <v>0</v>
      </c>
      <c r="J245" s="68" t="b">
        <f>IF(Tab.11[[#This Row],[a1]]=1,IF($I$3&lt;0,Tab.11[[#This Row],[b5]]-$I$3,Tab.11[[#This Row],[b5]]))</f>
        <v>0</v>
      </c>
      <c r="K245" s="68" t="b">
        <f>IF(Tab.11[[#This Row],[a1]]=1,IF($K$3=0,Tab.11[b6],Tab.11[[#This Row],[b6]]-AVERAGE(Tab.11[b6])))</f>
        <v>0</v>
      </c>
      <c r="L245" s="69" t="b">
        <f>IF(Tab.11[[#This Row],[a1]]=1,Tab.11[[#This Row],[data]]/(_xlfn.STDEV.P(Tab.11[data])*$B$989)+$A$989)</f>
        <v>0</v>
      </c>
      <c r="M245" s="69" t="b">
        <f>IF(Tab.11[[#This Row],[a1]]=1,Tab.11[[#This Row],[data]]/(_xlfn.STDEV.P(Tab.11[data])*$B$987)-$A$987)</f>
        <v>0</v>
      </c>
      <c r="N245" s="69" t="b">
        <f>IF(Tab.11[[#This Row],[a1]]=1,Tab.11[[#This Row],[data]]/(_xlfn.STDEV.P(Tab.11[data])*$B$988)+$A$988)</f>
        <v>0</v>
      </c>
      <c r="O245" s="70" t="b">
        <f>IF(Tab.11[[#This Row],[a1]]=1,_xlfn.NORM.DIST(Tab.11[[#This Row],[b8]],$P$1,$Q$1,FALSE))</f>
        <v>0</v>
      </c>
      <c r="P245" s="70" t="b">
        <f>IF(Tab.11[[#This Row],[a1]]=1,_xlfn.NORM.DIST(Tab.11[[#This Row],[b9]],$P$1,$Q$1,FALSE))</f>
        <v>0</v>
      </c>
      <c r="Q245" s="70" t="b">
        <f>IF(Tab.11[[#This Row],[a1]]=1,_xlfn.NORM.DIST(Tab.11[[#This Row],[b10]],$P$1,$Q$1,FALSE))</f>
        <v>0</v>
      </c>
      <c r="R245" s="67" t="b">
        <f>IF(Tab.11[[#This Row],[a1]]=1,$I$3+$A$989+IF($K$3=0,Tab.11[[#This Row],[b8]]*_xlfn.STDEV.P(Tab.11[data]),AVERAGE(Tab.11[b6])+Tab.11[[#This Row],[b8]]*_xlfn.STDEV.P(Tab.11[data])))</f>
        <v>0</v>
      </c>
      <c r="S245" s="71" t="b">
        <f>IF(Tab.11[[#This Row],[a1]]=1,$I$3+$A$987+IF($K$3=0,Tab.11[[#This Row],[b9]]*_xlfn.STDEV.P(Tab.11[data]),AVERAGE(Tab.11[b6])+Tab.11[[#This Row],[b9]]*_xlfn.STDEV.P(Tab.11[data])))</f>
        <v>0</v>
      </c>
      <c r="T245" s="71" t="b">
        <f>IF(Tab.11[[#This Row],[a1]]=1,$I$3+$A$988+IF($K$3=0,Tab.11[[#This Row],[b10]]*_xlfn.STDEV.P(Tab.11[data]),AVERAGE(Tab.11[b6])+Tab.11[[#This Row],[b10]]*_xlfn.STDEV.P(Tab.11[data])))</f>
        <v>0</v>
      </c>
      <c r="U245" s="72" t="b">
        <f>IF(Tab.11[[#This Row],[a1]]=1,Tab.11[[#This Row],[target]]-Tab.11[[#This Row],[Red]])</f>
        <v>0</v>
      </c>
      <c r="V245" s="72" t="b">
        <f>IF(Tab.11[[#This Row],[a1]]=1,Tab.11[[#This Row],[target]]-Tab.11[[#This Row],[Blue]])</f>
        <v>0</v>
      </c>
      <c r="W245" s="73" t="b">
        <f>IF(Tab.11[[#This Row],[a1]]=1,IF(ABS(Tab.11[[#This Row],[b17]])+ABS(Tab.11[[#This Row],[b18]])&lt;$W$2,$W$2,ABS(Tab.11[[#This Row],[b17]])+ABS(Tab.11[[#This Row],[b18]])))</f>
        <v>0</v>
      </c>
      <c r="X245" s="136" t="b">
        <f>IF(Tab.11[[#This Row],[a1]]=1,IF($W$3&lt;0,Tab.11[[#This Row],[IN]]-$I$3,Tab.11[[#This Row],[IN]]))</f>
        <v>0</v>
      </c>
      <c r="Y245" s="136" t="b">
        <f>IF(Tab.11[[#This Row],[a1]]=1,IF($X$3=0,Tab.11[b66],Tab.11[[#This Row],[b66]]-AVERAGE(Tab.11[b66])))</f>
        <v>0</v>
      </c>
      <c r="Z245" s="135" t="b">
        <f>IF(Tab.11[[#This Row],[a1]]=1,Tab.11[[#This Row],[b77]]/(_xlfn.STDEV.P(Tab.11[b77])))</f>
        <v>0</v>
      </c>
      <c r="AA245" s="70" t="b">
        <f>IF(Tab.11[[#This Row],[a1]]=1,_xlfn.NORM.DIST(Tab.11[[#This Row],[b88]],$Z$1,$AA$1,FALSE))</f>
        <v>0</v>
      </c>
      <c r="AB245" s="74" t="b">
        <f>IF(Tab.11[[#This Row],[a1]]=1,IF($A$3=0,FALSE,1/Tab.11[[#This Row],[IN]]*$AC$2*IF(Tab.11[[#This Row],[a1]]=0,,$A$3*$AC$1*1/$V$3*(Tab.11[[#This Row],[b14]]))))</f>
        <v>0</v>
      </c>
      <c r="AC245" s="75" t="b">
        <f>IF(Tab.11[[#This Row],[a1]]=1,IF($AC$3=0,Tab.11[[#This Row],[φ1]],Tab.11[[#This Row],[φ1]]/MAX(Tab.11[φ1])))</f>
        <v>0</v>
      </c>
      <c r="AD245" s="74" t="b">
        <f>IF(Tab.11[[#This Row],[a1]]=1,1/Tab.11[[#This Row],[φ2]])</f>
        <v>0</v>
      </c>
      <c r="AE245" s="74" t="b">
        <f>IF(Tab.11[[#This Row],[a1]]=1,IF($AE$3=0,Tab.11[[#This Row],[w.0]],Tab.11[[#This Row],[w.0]]/SUM(Tab.11[w.0])))</f>
        <v>0</v>
      </c>
      <c r="AF245" s="76" t="str">
        <f>IF(Tab.11[[#This Row],[a1]]=0,"false",[3]!Tab.x5[[#This Row],[%_seN_C]])</f>
        <v>false</v>
      </c>
      <c r="AG245" s="77" t="b">
        <f>IF(Tab.11[[#This Row],[a1]]=1,AP245)</f>
        <v>0</v>
      </c>
      <c r="AH245" s="78" t="b">
        <f>IF(Tab.11[[#This Row],[a1]]=1,AQ245)</f>
        <v>0</v>
      </c>
      <c r="AI245" s="41">
        <v>3.0000000000000001E-3</v>
      </c>
      <c r="AJ245" s="79">
        <v>0.02</v>
      </c>
      <c r="AK245" s="80" t="b">
        <f>IF(Tab.11[[#This Row],[a1]]=1,1)</f>
        <v>0</v>
      </c>
      <c r="AT245" s="83"/>
      <c r="AU245" s="84"/>
      <c r="AV245" s="70"/>
      <c r="AW245" s="85"/>
      <c r="AX245" s="85"/>
      <c r="AY245" s="85"/>
      <c r="AZ245" s="86"/>
      <c r="BA245" s="87"/>
      <c r="BB245" s="88"/>
      <c r="BC245" s="88"/>
      <c r="BD245" s="88"/>
      <c r="BE245" s="88"/>
      <c r="BF245" s="89"/>
      <c r="BG245" s="90"/>
      <c r="BH245" s="83"/>
      <c r="BI245" s="91"/>
      <c r="BJ245" s="92"/>
      <c r="BK245" s="92"/>
      <c r="BL245" s="92"/>
      <c r="BM245" s="93"/>
      <c r="BN245" s="94"/>
      <c r="BO245" s="93"/>
      <c r="BP245" s="93"/>
      <c r="BQ245" s="92"/>
      <c r="BR245" s="95"/>
      <c r="BS245" s="96"/>
      <c r="BT245" s="97"/>
      <c r="BU245" s="96"/>
      <c r="BV245" s="92"/>
      <c r="BW245" s="98"/>
      <c r="BX245" s="99"/>
      <c r="BY245" s="93"/>
      <c r="BZ245" s="95"/>
      <c r="CA245" s="96"/>
      <c r="CB245" s="97"/>
      <c r="CC245" s="96"/>
      <c r="CD245" s="92"/>
      <c r="CE245" s="98"/>
    </row>
    <row r="246" spans="1:83" hidden="1" x14ac:dyDescent="0.25">
      <c r="A246" s="61">
        <f t="shared" si="9"/>
        <v>0</v>
      </c>
      <c r="B246" s="62">
        <f t="shared" si="9"/>
        <v>0</v>
      </c>
      <c r="C246" s="62" t="b">
        <f>IF(Tab.11[[#This Row],[a1]]=1,[3]!Tab_x1[[#This Row],[Name]])</f>
        <v>0</v>
      </c>
      <c r="D246" s="63" t="b">
        <f>IF(Tab.11[[#This Row],[a1]]=1,AO246)</f>
        <v>0</v>
      </c>
      <c r="E246" s="63">
        <f t="shared" si="8"/>
        <v>0</v>
      </c>
      <c r="F246" s="64" t="b">
        <f>IF(Tab.11[[#This Row],[a1]]=1,Tab.11[[#This Row],[b1]])</f>
        <v>0</v>
      </c>
      <c r="G246" s="65" t="b">
        <f>IF(Tab.11[[#This Row],[a1]]=1,IF(Tab.11[[#This Row],[b3]]&gt;$L$989*$G$3,$L$989*$G$3,IF(Tab.11[[#This Row],[b3]]&lt;$M$989*$G$3,$M$989*$G$3,Tab.11[[#This Row],[b3]])))</f>
        <v>0</v>
      </c>
      <c r="H246" s="66" t="b">
        <f>IF(Tab.11[[#This Row],[a1]]=1,Tab.11[[#This Row],[b1]])</f>
        <v>0</v>
      </c>
      <c r="I246" s="67" t="b">
        <f>IF(Tab.11[[#This Row],[a1]]=1,Tab.11[[#This Row],[b1]])</f>
        <v>0</v>
      </c>
      <c r="J246" s="68" t="b">
        <f>IF(Tab.11[[#This Row],[a1]]=1,IF($I$3&lt;0,Tab.11[[#This Row],[b5]]-$I$3,Tab.11[[#This Row],[b5]]))</f>
        <v>0</v>
      </c>
      <c r="K246" s="68" t="b">
        <f>IF(Tab.11[[#This Row],[a1]]=1,IF($K$3=0,Tab.11[b6],Tab.11[[#This Row],[b6]]-AVERAGE(Tab.11[b6])))</f>
        <v>0</v>
      </c>
      <c r="L246" s="69" t="b">
        <f>IF(Tab.11[[#This Row],[a1]]=1,Tab.11[[#This Row],[data]]/(_xlfn.STDEV.P(Tab.11[data])*$B$989)+$A$989)</f>
        <v>0</v>
      </c>
      <c r="M246" s="69" t="b">
        <f>IF(Tab.11[[#This Row],[a1]]=1,Tab.11[[#This Row],[data]]/(_xlfn.STDEV.P(Tab.11[data])*$B$987)-$A$987)</f>
        <v>0</v>
      </c>
      <c r="N246" s="69" t="b">
        <f>IF(Tab.11[[#This Row],[a1]]=1,Tab.11[[#This Row],[data]]/(_xlfn.STDEV.P(Tab.11[data])*$B$988)+$A$988)</f>
        <v>0</v>
      </c>
      <c r="O246" s="70" t="b">
        <f>IF(Tab.11[[#This Row],[a1]]=1,_xlfn.NORM.DIST(Tab.11[[#This Row],[b8]],$P$1,$Q$1,FALSE))</f>
        <v>0</v>
      </c>
      <c r="P246" s="70" t="b">
        <f>IF(Tab.11[[#This Row],[a1]]=1,_xlfn.NORM.DIST(Tab.11[[#This Row],[b9]],$P$1,$Q$1,FALSE))</f>
        <v>0</v>
      </c>
      <c r="Q246" s="70" t="b">
        <f>IF(Tab.11[[#This Row],[a1]]=1,_xlfn.NORM.DIST(Tab.11[[#This Row],[b10]],$P$1,$Q$1,FALSE))</f>
        <v>0</v>
      </c>
      <c r="R246" s="67" t="b">
        <f>IF(Tab.11[[#This Row],[a1]]=1,$I$3+$A$989+IF($K$3=0,Tab.11[[#This Row],[b8]]*_xlfn.STDEV.P(Tab.11[data]),AVERAGE(Tab.11[b6])+Tab.11[[#This Row],[b8]]*_xlfn.STDEV.P(Tab.11[data])))</f>
        <v>0</v>
      </c>
      <c r="S246" s="71" t="b">
        <f>IF(Tab.11[[#This Row],[a1]]=1,$I$3+$A$987+IF($K$3=0,Tab.11[[#This Row],[b9]]*_xlfn.STDEV.P(Tab.11[data]),AVERAGE(Tab.11[b6])+Tab.11[[#This Row],[b9]]*_xlfn.STDEV.P(Tab.11[data])))</f>
        <v>0</v>
      </c>
      <c r="T246" s="71" t="b">
        <f>IF(Tab.11[[#This Row],[a1]]=1,$I$3+$A$988+IF($K$3=0,Tab.11[[#This Row],[b10]]*_xlfn.STDEV.P(Tab.11[data]),AVERAGE(Tab.11[b6])+Tab.11[[#This Row],[b10]]*_xlfn.STDEV.P(Tab.11[data])))</f>
        <v>0</v>
      </c>
      <c r="U246" s="72" t="b">
        <f>IF(Tab.11[[#This Row],[a1]]=1,Tab.11[[#This Row],[target]]-Tab.11[[#This Row],[Red]])</f>
        <v>0</v>
      </c>
      <c r="V246" s="72" t="b">
        <f>IF(Tab.11[[#This Row],[a1]]=1,Tab.11[[#This Row],[target]]-Tab.11[[#This Row],[Blue]])</f>
        <v>0</v>
      </c>
      <c r="W246" s="73" t="b">
        <f>IF(Tab.11[[#This Row],[a1]]=1,IF(ABS(Tab.11[[#This Row],[b17]])+ABS(Tab.11[[#This Row],[b18]])&lt;$W$2,$W$2,ABS(Tab.11[[#This Row],[b17]])+ABS(Tab.11[[#This Row],[b18]])))</f>
        <v>0</v>
      </c>
      <c r="X246" s="136" t="b">
        <f>IF(Tab.11[[#This Row],[a1]]=1,IF($W$3&lt;0,Tab.11[[#This Row],[IN]]-$I$3,Tab.11[[#This Row],[IN]]))</f>
        <v>0</v>
      </c>
      <c r="Y246" s="136" t="b">
        <f>IF(Tab.11[[#This Row],[a1]]=1,IF($X$3=0,Tab.11[b66],Tab.11[[#This Row],[b66]]-AVERAGE(Tab.11[b66])))</f>
        <v>0</v>
      </c>
      <c r="Z246" s="135" t="b">
        <f>IF(Tab.11[[#This Row],[a1]]=1,Tab.11[[#This Row],[b77]]/(_xlfn.STDEV.P(Tab.11[b77])))</f>
        <v>0</v>
      </c>
      <c r="AA246" s="70" t="b">
        <f>IF(Tab.11[[#This Row],[a1]]=1,_xlfn.NORM.DIST(Tab.11[[#This Row],[b88]],$Z$1,$AA$1,FALSE))</f>
        <v>0</v>
      </c>
      <c r="AB246" s="74" t="b">
        <f>IF(Tab.11[[#This Row],[a1]]=1,IF($A$3=0,FALSE,1/Tab.11[[#This Row],[IN]]*$AC$2*IF(Tab.11[[#This Row],[a1]]=0,,$A$3*$AC$1*1/$V$3*(Tab.11[[#This Row],[b14]]))))</f>
        <v>0</v>
      </c>
      <c r="AC246" s="75" t="b">
        <f>IF(Tab.11[[#This Row],[a1]]=1,IF($AC$3=0,Tab.11[[#This Row],[φ1]],Tab.11[[#This Row],[φ1]]/MAX(Tab.11[φ1])))</f>
        <v>0</v>
      </c>
      <c r="AD246" s="74" t="b">
        <f>IF(Tab.11[[#This Row],[a1]]=1,1/Tab.11[[#This Row],[φ2]])</f>
        <v>0</v>
      </c>
      <c r="AE246" s="74" t="b">
        <f>IF(Tab.11[[#This Row],[a1]]=1,IF($AE$3=0,Tab.11[[#This Row],[w.0]],Tab.11[[#This Row],[w.0]]/SUM(Tab.11[w.0])))</f>
        <v>0</v>
      </c>
      <c r="AF246" s="76" t="str">
        <f>IF(Tab.11[[#This Row],[a1]]=0,"false",[3]!Tab.x5[[#This Row],[%_seN_C]])</f>
        <v>false</v>
      </c>
      <c r="AG246" s="77" t="b">
        <f>IF(Tab.11[[#This Row],[a1]]=1,AP246)</f>
        <v>0</v>
      </c>
      <c r="AH246" s="78" t="b">
        <f>IF(Tab.11[[#This Row],[a1]]=1,AQ246)</f>
        <v>0</v>
      </c>
      <c r="AI246" s="41">
        <v>3.0000000000000001E-3</v>
      </c>
      <c r="AJ246" s="79">
        <v>0.08</v>
      </c>
      <c r="AK246" s="80" t="b">
        <f>IF(Tab.11[[#This Row],[a1]]=1,1)</f>
        <v>0</v>
      </c>
      <c r="AT246" s="83"/>
      <c r="AU246" s="84"/>
      <c r="AV246" s="70"/>
      <c r="AW246" s="85"/>
      <c r="AX246" s="85"/>
      <c r="AY246" s="85"/>
      <c r="AZ246" s="86"/>
      <c r="BA246" s="87"/>
      <c r="BB246" s="88"/>
      <c r="BC246" s="88"/>
      <c r="BD246" s="88"/>
      <c r="BE246" s="88"/>
      <c r="BF246" s="89"/>
      <c r="BG246" s="90"/>
      <c r="BH246" s="83"/>
      <c r="BI246" s="91"/>
      <c r="BJ246" s="92"/>
      <c r="BK246" s="92"/>
      <c r="BL246" s="92"/>
      <c r="BM246" s="93"/>
      <c r="BN246" s="94"/>
      <c r="BO246" s="93"/>
      <c r="BP246" s="93"/>
      <c r="BQ246" s="92"/>
      <c r="BR246" s="95"/>
      <c r="BS246" s="96"/>
      <c r="BT246" s="97"/>
      <c r="BU246" s="96"/>
      <c r="BV246" s="92"/>
      <c r="BW246" s="98"/>
      <c r="BX246" s="99"/>
      <c r="BY246" s="93"/>
      <c r="BZ246" s="95"/>
      <c r="CA246" s="96"/>
      <c r="CB246" s="97"/>
      <c r="CC246" s="96"/>
      <c r="CD246" s="92"/>
      <c r="CE246" s="98"/>
    </row>
    <row r="247" spans="1:83" hidden="1" x14ac:dyDescent="0.25">
      <c r="A247" s="61">
        <f t="shared" si="9"/>
        <v>0</v>
      </c>
      <c r="B247" s="62">
        <f t="shared" si="9"/>
        <v>0</v>
      </c>
      <c r="C247" s="62" t="b">
        <f>IF(Tab.11[[#This Row],[a1]]=1,[3]!Tab_x1[[#This Row],[Name]])</f>
        <v>0</v>
      </c>
      <c r="D247" s="63" t="b">
        <f>IF(Tab.11[[#This Row],[a1]]=1,AO247)</f>
        <v>0</v>
      </c>
      <c r="E247" s="63">
        <f t="shared" si="8"/>
        <v>0</v>
      </c>
      <c r="F247" s="64" t="b">
        <f>IF(Tab.11[[#This Row],[a1]]=1,Tab.11[[#This Row],[b1]])</f>
        <v>0</v>
      </c>
      <c r="G247" s="65" t="b">
        <f>IF(Tab.11[[#This Row],[a1]]=1,IF(Tab.11[[#This Row],[b3]]&gt;$L$989*$G$3,$L$989*$G$3,IF(Tab.11[[#This Row],[b3]]&lt;$M$989*$G$3,$M$989*$G$3,Tab.11[[#This Row],[b3]])))</f>
        <v>0</v>
      </c>
      <c r="H247" s="66" t="b">
        <f>IF(Tab.11[[#This Row],[a1]]=1,Tab.11[[#This Row],[b1]])</f>
        <v>0</v>
      </c>
      <c r="I247" s="67" t="b">
        <f>IF(Tab.11[[#This Row],[a1]]=1,Tab.11[[#This Row],[b1]])</f>
        <v>0</v>
      </c>
      <c r="J247" s="68" t="b">
        <f>IF(Tab.11[[#This Row],[a1]]=1,IF($I$3&lt;0,Tab.11[[#This Row],[b5]]-$I$3,Tab.11[[#This Row],[b5]]))</f>
        <v>0</v>
      </c>
      <c r="K247" s="68" t="b">
        <f>IF(Tab.11[[#This Row],[a1]]=1,IF($K$3=0,Tab.11[b6],Tab.11[[#This Row],[b6]]-AVERAGE(Tab.11[b6])))</f>
        <v>0</v>
      </c>
      <c r="L247" s="69" t="b">
        <f>IF(Tab.11[[#This Row],[a1]]=1,Tab.11[[#This Row],[data]]/(_xlfn.STDEV.P(Tab.11[data])*$B$989)+$A$989)</f>
        <v>0</v>
      </c>
      <c r="M247" s="69" t="b">
        <f>IF(Tab.11[[#This Row],[a1]]=1,Tab.11[[#This Row],[data]]/(_xlfn.STDEV.P(Tab.11[data])*$B$987)-$A$987)</f>
        <v>0</v>
      </c>
      <c r="N247" s="69" t="b">
        <f>IF(Tab.11[[#This Row],[a1]]=1,Tab.11[[#This Row],[data]]/(_xlfn.STDEV.P(Tab.11[data])*$B$988)+$A$988)</f>
        <v>0</v>
      </c>
      <c r="O247" s="70" t="b">
        <f>IF(Tab.11[[#This Row],[a1]]=1,_xlfn.NORM.DIST(Tab.11[[#This Row],[b8]],$P$1,$Q$1,FALSE))</f>
        <v>0</v>
      </c>
      <c r="P247" s="70" t="b">
        <f>IF(Tab.11[[#This Row],[a1]]=1,_xlfn.NORM.DIST(Tab.11[[#This Row],[b9]],$P$1,$Q$1,FALSE))</f>
        <v>0</v>
      </c>
      <c r="Q247" s="70" t="b">
        <f>IF(Tab.11[[#This Row],[a1]]=1,_xlfn.NORM.DIST(Tab.11[[#This Row],[b10]],$P$1,$Q$1,FALSE))</f>
        <v>0</v>
      </c>
      <c r="R247" s="67" t="b">
        <f>IF(Tab.11[[#This Row],[a1]]=1,$I$3+$A$989+IF($K$3=0,Tab.11[[#This Row],[b8]]*_xlfn.STDEV.P(Tab.11[data]),AVERAGE(Tab.11[b6])+Tab.11[[#This Row],[b8]]*_xlfn.STDEV.P(Tab.11[data])))</f>
        <v>0</v>
      </c>
      <c r="S247" s="71" t="b">
        <f>IF(Tab.11[[#This Row],[a1]]=1,$I$3+$A$987+IF($K$3=0,Tab.11[[#This Row],[b9]]*_xlfn.STDEV.P(Tab.11[data]),AVERAGE(Tab.11[b6])+Tab.11[[#This Row],[b9]]*_xlfn.STDEV.P(Tab.11[data])))</f>
        <v>0</v>
      </c>
      <c r="T247" s="71" t="b">
        <f>IF(Tab.11[[#This Row],[a1]]=1,$I$3+$A$988+IF($K$3=0,Tab.11[[#This Row],[b10]]*_xlfn.STDEV.P(Tab.11[data]),AVERAGE(Tab.11[b6])+Tab.11[[#This Row],[b10]]*_xlfn.STDEV.P(Tab.11[data])))</f>
        <v>0</v>
      </c>
      <c r="U247" s="72" t="b">
        <f>IF(Tab.11[[#This Row],[a1]]=1,Tab.11[[#This Row],[target]]-Tab.11[[#This Row],[Red]])</f>
        <v>0</v>
      </c>
      <c r="V247" s="72" t="b">
        <f>IF(Tab.11[[#This Row],[a1]]=1,Tab.11[[#This Row],[target]]-Tab.11[[#This Row],[Blue]])</f>
        <v>0</v>
      </c>
      <c r="W247" s="73" t="b">
        <f>IF(Tab.11[[#This Row],[a1]]=1,IF(ABS(Tab.11[[#This Row],[b17]])+ABS(Tab.11[[#This Row],[b18]])&lt;$W$2,$W$2,ABS(Tab.11[[#This Row],[b17]])+ABS(Tab.11[[#This Row],[b18]])))</f>
        <v>0</v>
      </c>
      <c r="X247" s="136" t="b">
        <f>IF(Tab.11[[#This Row],[a1]]=1,IF($W$3&lt;0,Tab.11[[#This Row],[IN]]-$I$3,Tab.11[[#This Row],[IN]]))</f>
        <v>0</v>
      </c>
      <c r="Y247" s="136" t="b">
        <f>IF(Tab.11[[#This Row],[a1]]=1,IF($X$3=0,Tab.11[b66],Tab.11[[#This Row],[b66]]-AVERAGE(Tab.11[b66])))</f>
        <v>0</v>
      </c>
      <c r="Z247" s="135" t="b">
        <f>IF(Tab.11[[#This Row],[a1]]=1,Tab.11[[#This Row],[b77]]/(_xlfn.STDEV.P(Tab.11[b77])))</f>
        <v>0</v>
      </c>
      <c r="AA247" s="70" t="b">
        <f>IF(Tab.11[[#This Row],[a1]]=1,_xlfn.NORM.DIST(Tab.11[[#This Row],[b88]],$Z$1,$AA$1,FALSE))</f>
        <v>0</v>
      </c>
      <c r="AB247" s="74" t="b">
        <f>IF(Tab.11[[#This Row],[a1]]=1,IF($A$3=0,FALSE,1/Tab.11[[#This Row],[IN]]*$AC$2*IF(Tab.11[[#This Row],[a1]]=0,,$A$3*$AC$1*1/$V$3*(Tab.11[[#This Row],[b14]]))))</f>
        <v>0</v>
      </c>
      <c r="AC247" s="75" t="b">
        <f>IF(Tab.11[[#This Row],[a1]]=1,IF($AC$3=0,Tab.11[[#This Row],[φ1]],Tab.11[[#This Row],[φ1]]/MAX(Tab.11[φ1])))</f>
        <v>0</v>
      </c>
      <c r="AD247" s="74" t="b">
        <f>IF(Tab.11[[#This Row],[a1]]=1,1/Tab.11[[#This Row],[φ2]])</f>
        <v>0</v>
      </c>
      <c r="AE247" s="74" t="b">
        <f>IF(Tab.11[[#This Row],[a1]]=1,IF($AE$3=0,Tab.11[[#This Row],[w.0]],Tab.11[[#This Row],[w.0]]/SUM(Tab.11[w.0])))</f>
        <v>0</v>
      </c>
      <c r="AF247" s="76" t="str">
        <f>IF(Tab.11[[#This Row],[a1]]=0,"false",[3]!Tab.x5[[#This Row],[%_seN_C]])</f>
        <v>false</v>
      </c>
      <c r="AG247" s="77" t="b">
        <f>IF(Tab.11[[#This Row],[a1]]=1,AP247)</f>
        <v>0</v>
      </c>
      <c r="AH247" s="78" t="b">
        <f>IF(Tab.11[[#This Row],[a1]]=1,AQ247)</f>
        <v>0</v>
      </c>
      <c r="AI247" s="41">
        <v>3.0000000000000001E-3</v>
      </c>
      <c r="AJ247" s="79">
        <v>0.05</v>
      </c>
      <c r="AK247" s="80" t="b">
        <f>IF(Tab.11[[#This Row],[a1]]=1,1)</f>
        <v>0</v>
      </c>
      <c r="AT247" s="83"/>
      <c r="AU247" s="84"/>
      <c r="AV247" s="70"/>
      <c r="AW247" s="85"/>
      <c r="AX247" s="85"/>
      <c r="AY247" s="85"/>
      <c r="AZ247" s="86"/>
      <c r="BA247" s="87"/>
      <c r="BB247" s="88"/>
      <c r="BC247" s="88"/>
      <c r="BD247" s="88"/>
      <c r="BE247" s="88"/>
      <c r="BF247" s="89"/>
      <c r="BG247" s="90"/>
      <c r="BH247" s="83"/>
      <c r="BI247" s="91"/>
      <c r="BJ247" s="92"/>
      <c r="BK247" s="92"/>
      <c r="BL247" s="92"/>
      <c r="BM247" s="93"/>
      <c r="BN247" s="94"/>
      <c r="BO247" s="93"/>
      <c r="BP247" s="93"/>
      <c r="BQ247" s="92"/>
      <c r="BR247" s="95"/>
      <c r="BS247" s="96"/>
      <c r="BT247" s="97"/>
      <c r="BU247" s="96"/>
      <c r="BV247" s="92"/>
      <c r="BW247" s="98"/>
      <c r="BX247" s="99"/>
      <c r="BY247" s="93"/>
      <c r="BZ247" s="95"/>
      <c r="CA247" s="96"/>
      <c r="CB247" s="97"/>
      <c r="CC247" s="96"/>
      <c r="CD247" s="92"/>
      <c r="CE247" s="98"/>
    </row>
    <row r="248" spans="1:83" hidden="1" x14ac:dyDescent="0.25">
      <c r="A248" s="61">
        <f t="shared" si="9"/>
        <v>0</v>
      </c>
      <c r="B248" s="62">
        <f t="shared" si="9"/>
        <v>0</v>
      </c>
      <c r="C248" s="62" t="b">
        <f>IF(Tab.11[[#This Row],[a1]]=1,[3]!Tab_x1[[#This Row],[Name]])</f>
        <v>0</v>
      </c>
      <c r="D248" s="63" t="b">
        <f>IF(Tab.11[[#This Row],[a1]]=1,AO248)</f>
        <v>0</v>
      </c>
      <c r="E248" s="63">
        <f t="shared" si="8"/>
        <v>0</v>
      </c>
      <c r="F248" s="64" t="b">
        <f>IF(Tab.11[[#This Row],[a1]]=1,Tab.11[[#This Row],[b1]])</f>
        <v>0</v>
      </c>
      <c r="G248" s="65" t="b">
        <f>IF(Tab.11[[#This Row],[a1]]=1,IF(Tab.11[[#This Row],[b3]]&gt;$L$989*$G$3,$L$989*$G$3,IF(Tab.11[[#This Row],[b3]]&lt;$M$989*$G$3,$M$989*$G$3,Tab.11[[#This Row],[b3]])))</f>
        <v>0</v>
      </c>
      <c r="H248" s="66" t="b">
        <f>IF(Tab.11[[#This Row],[a1]]=1,Tab.11[[#This Row],[b1]])</f>
        <v>0</v>
      </c>
      <c r="I248" s="67" t="b">
        <f>IF(Tab.11[[#This Row],[a1]]=1,Tab.11[[#This Row],[b1]])</f>
        <v>0</v>
      </c>
      <c r="J248" s="68" t="b">
        <f>IF(Tab.11[[#This Row],[a1]]=1,IF($I$3&lt;0,Tab.11[[#This Row],[b5]]-$I$3,Tab.11[[#This Row],[b5]]))</f>
        <v>0</v>
      </c>
      <c r="K248" s="68" t="b">
        <f>IF(Tab.11[[#This Row],[a1]]=1,IF($K$3=0,Tab.11[b6],Tab.11[[#This Row],[b6]]-AVERAGE(Tab.11[b6])))</f>
        <v>0</v>
      </c>
      <c r="L248" s="69" t="b">
        <f>IF(Tab.11[[#This Row],[a1]]=1,Tab.11[[#This Row],[data]]/(_xlfn.STDEV.P(Tab.11[data])*$B$989)+$A$989)</f>
        <v>0</v>
      </c>
      <c r="M248" s="69" t="b">
        <f>IF(Tab.11[[#This Row],[a1]]=1,Tab.11[[#This Row],[data]]/(_xlfn.STDEV.P(Tab.11[data])*$B$987)-$A$987)</f>
        <v>0</v>
      </c>
      <c r="N248" s="69" t="b">
        <f>IF(Tab.11[[#This Row],[a1]]=1,Tab.11[[#This Row],[data]]/(_xlfn.STDEV.P(Tab.11[data])*$B$988)+$A$988)</f>
        <v>0</v>
      </c>
      <c r="O248" s="70" t="b">
        <f>IF(Tab.11[[#This Row],[a1]]=1,_xlfn.NORM.DIST(Tab.11[[#This Row],[b8]],$P$1,$Q$1,FALSE))</f>
        <v>0</v>
      </c>
      <c r="P248" s="70" t="b">
        <f>IF(Tab.11[[#This Row],[a1]]=1,_xlfn.NORM.DIST(Tab.11[[#This Row],[b9]],$P$1,$Q$1,FALSE))</f>
        <v>0</v>
      </c>
      <c r="Q248" s="70" t="b">
        <f>IF(Tab.11[[#This Row],[a1]]=1,_xlfn.NORM.DIST(Tab.11[[#This Row],[b10]],$P$1,$Q$1,FALSE))</f>
        <v>0</v>
      </c>
      <c r="R248" s="67" t="b">
        <f>IF(Tab.11[[#This Row],[a1]]=1,$I$3+$A$989+IF($K$3=0,Tab.11[[#This Row],[b8]]*_xlfn.STDEV.P(Tab.11[data]),AVERAGE(Tab.11[b6])+Tab.11[[#This Row],[b8]]*_xlfn.STDEV.P(Tab.11[data])))</f>
        <v>0</v>
      </c>
      <c r="S248" s="71" t="b">
        <f>IF(Tab.11[[#This Row],[a1]]=1,$I$3+$A$987+IF($K$3=0,Tab.11[[#This Row],[b9]]*_xlfn.STDEV.P(Tab.11[data]),AVERAGE(Tab.11[b6])+Tab.11[[#This Row],[b9]]*_xlfn.STDEV.P(Tab.11[data])))</f>
        <v>0</v>
      </c>
      <c r="T248" s="71" t="b">
        <f>IF(Tab.11[[#This Row],[a1]]=1,$I$3+$A$988+IF($K$3=0,Tab.11[[#This Row],[b10]]*_xlfn.STDEV.P(Tab.11[data]),AVERAGE(Tab.11[b6])+Tab.11[[#This Row],[b10]]*_xlfn.STDEV.P(Tab.11[data])))</f>
        <v>0</v>
      </c>
      <c r="U248" s="72" t="b">
        <f>IF(Tab.11[[#This Row],[a1]]=1,Tab.11[[#This Row],[target]]-Tab.11[[#This Row],[Red]])</f>
        <v>0</v>
      </c>
      <c r="V248" s="72" t="b">
        <f>IF(Tab.11[[#This Row],[a1]]=1,Tab.11[[#This Row],[target]]-Tab.11[[#This Row],[Blue]])</f>
        <v>0</v>
      </c>
      <c r="W248" s="73" t="b">
        <f>IF(Tab.11[[#This Row],[a1]]=1,IF(ABS(Tab.11[[#This Row],[b17]])+ABS(Tab.11[[#This Row],[b18]])&lt;$W$2,$W$2,ABS(Tab.11[[#This Row],[b17]])+ABS(Tab.11[[#This Row],[b18]])))</f>
        <v>0</v>
      </c>
      <c r="X248" s="136" t="b">
        <f>IF(Tab.11[[#This Row],[a1]]=1,IF($W$3&lt;0,Tab.11[[#This Row],[IN]]-$I$3,Tab.11[[#This Row],[IN]]))</f>
        <v>0</v>
      </c>
      <c r="Y248" s="136" t="b">
        <f>IF(Tab.11[[#This Row],[a1]]=1,IF($X$3=0,Tab.11[b66],Tab.11[[#This Row],[b66]]-AVERAGE(Tab.11[b66])))</f>
        <v>0</v>
      </c>
      <c r="Z248" s="135" t="b">
        <f>IF(Tab.11[[#This Row],[a1]]=1,Tab.11[[#This Row],[b77]]/(_xlfn.STDEV.P(Tab.11[b77])))</f>
        <v>0</v>
      </c>
      <c r="AA248" s="70" t="b">
        <f>IF(Tab.11[[#This Row],[a1]]=1,_xlfn.NORM.DIST(Tab.11[[#This Row],[b88]],$Z$1,$AA$1,FALSE))</f>
        <v>0</v>
      </c>
      <c r="AB248" s="74" t="b">
        <f>IF(Tab.11[[#This Row],[a1]]=1,IF($A$3=0,FALSE,1/Tab.11[[#This Row],[IN]]*$AC$2*IF(Tab.11[[#This Row],[a1]]=0,,$A$3*$AC$1*1/$V$3*(Tab.11[[#This Row],[b14]]))))</f>
        <v>0</v>
      </c>
      <c r="AC248" s="75" t="b">
        <f>IF(Tab.11[[#This Row],[a1]]=1,IF($AC$3=0,Tab.11[[#This Row],[φ1]],Tab.11[[#This Row],[φ1]]/MAX(Tab.11[φ1])))</f>
        <v>0</v>
      </c>
      <c r="AD248" s="74" t="b">
        <f>IF(Tab.11[[#This Row],[a1]]=1,1/Tab.11[[#This Row],[φ2]])</f>
        <v>0</v>
      </c>
      <c r="AE248" s="74" t="b">
        <f>IF(Tab.11[[#This Row],[a1]]=1,IF($AE$3=0,Tab.11[[#This Row],[w.0]],Tab.11[[#This Row],[w.0]]/SUM(Tab.11[w.0])))</f>
        <v>0</v>
      </c>
      <c r="AF248" s="76" t="str">
        <f>IF(Tab.11[[#This Row],[a1]]=0,"false",[3]!Tab.x5[[#This Row],[%_seN_C]])</f>
        <v>false</v>
      </c>
      <c r="AG248" s="77" t="b">
        <f>IF(Tab.11[[#This Row],[a1]]=1,AP248)</f>
        <v>0</v>
      </c>
      <c r="AH248" s="78" t="b">
        <f>IF(Tab.11[[#This Row],[a1]]=1,AQ248)</f>
        <v>0</v>
      </c>
      <c r="AI248" s="41">
        <v>3.0000000000000001E-3</v>
      </c>
      <c r="AJ248" s="79">
        <v>-0.03</v>
      </c>
      <c r="AK248" s="80" t="b">
        <f>IF(Tab.11[[#This Row],[a1]]=1,1)</f>
        <v>0</v>
      </c>
      <c r="AZ248"/>
    </row>
    <row r="249" spans="1:83" hidden="1" x14ac:dyDescent="0.25">
      <c r="A249" s="61">
        <f t="shared" si="9"/>
        <v>0</v>
      </c>
      <c r="B249" s="62">
        <f t="shared" si="9"/>
        <v>0</v>
      </c>
      <c r="C249" s="62" t="b">
        <f>IF(Tab.11[[#This Row],[a1]]=1,[3]!Tab_x1[[#This Row],[Name]])</f>
        <v>0</v>
      </c>
      <c r="D249" s="63" t="b">
        <f>IF(Tab.11[[#This Row],[a1]]=1,AO249)</f>
        <v>0</v>
      </c>
      <c r="E249" s="63">
        <f t="shared" si="8"/>
        <v>0</v>
      </c>
      <c r="F249" s="64" t="b">
        <f>IF(Tab.11[[#This Row],[a1]]=1,Tab.11[[#This Row],[b1]])</f>
        <v>0</v>
      </c>
      <c r="G249" s="65" t="b">
        <f>IF(Tab.11[[#This Row],[a1]]=1,IF(Tab.11[[#This Row],[b3]]&gt;$L$989*$G$3,$L$989*$G$3,IF(Tab.11[[#This Row],[b3]]&lt;$M$989*$G$3,$M$989*$G$3,Tab.11[[#This Row],[b3]])))</f>
        <v>0</v>
      </c>
      <c r="H249" s="66" t="b">
        <f>IF(Tab.11[[#This Row],[a1]]=1,Tab.11[[#This Row],[b1]])</f>
        <v>0</v>
      </c>
      <c r="I249" s="67" t="b">
        <f>IF(Tab.11[[#This Row],[a1]]=1,Tab.11[[#This Row],[b1]])</f>
        <v>0</v>
      </c>
      <c r="J249" s="68" t="b">
        <f>IF(Tab.11[[#This Row],[a1]]=1,IF($I$3&lt;0,Tab.11[[#This Row],[b5]]-$I$3,Tab.11[[#This Row],[b5]]))</f>
        <v>0</v>
      </c>
      <c r="K249" s="68" t="b">
        <f>IF(Tab.11[[#This Row],[a1]]=1,IF($K$3=0,Tab.11[b6],Tab.11[[#This Row],[b6]]-AVERAGE(Tab.11[b6])))</f>
        <v>0</v>
      </c>
      <c r="L249" s="69" t="b">
        <f>IF(Tab.11[[#This Row],[a1]]=1,Tab.11[[#This Row],[data]]/(_xlfn.STDEV.P(Tab.11[data])*$B$989)+$A$989)</f>
        <v>0</v>
      </c>
      <c r="M249" s="69" t="b">
        <f>IF(Tab.11[[#This Row],[a1]]=1,Tab.11[[#This Row],[data]]/(_xlfn.STDEV.P(Tab.11[data])*$B$987)-$A$987)</f>
        <v>0</v>
      </c>
      <c r="N249" s="69" t="b">
        <f>IF(Tab.11[[#This Row],[a1]]=1,Tab.11[[#This Row],[data]]/(_xlfn.STDEV.P(Tab.11[data])*$B$988)+$A$988)</f>
        <v>0</v>
      </c>
      <c r="O249" s="70" t="b">
        <f>IF(Tab.11[[#This Row],[a1]]=1,_xlfn.NORM.DIST(Tab.11[[#This Row],[b8]],$P$1,$Q$1,FALSE))</f>
        <v>0</v>
      </c>
      <c r="P249" s="70" t="b">
        <f>IF(Tab.11[[#This Row],[a1]]=1,_xlfn.NORM.DIST(Tab.11[[#This Row],[b9]],$P$1,$Q$1,FALSE))</f>
        <v>0</v>
      </c>
      <c r="Q249" s="70" t="b">
        <f>IF(Tab.11[[#This Row],[a1]]=1,_xlfn.NORM.DIST(Tab.11[[#This Row],[b10]],$P$1,$Q$1,FALSE))</f>
        <v>0</v>
      </c>
      <c r="R249" s="67" t="b">
        <f>IF(Tab.11[[#This Row],[a1]]=1,$I$3+$A$989+IF($K$3=0,Tab.11[[#This Row],[b8]]*_xlfn.STDEV.P(Tab.11[data]),AVERAGE(Tab.11[b6])+Tab.11[[#This Row],[b8]]*_xlfn.STDEV.P(Tab.11[data])))</f>
        <v>0</v>
      </c>
      <c r="S249" s="71" t="b">
        <f>IF(Tab.11[[#This Row],[a1]]=1,$I$3+$A$987+IF($K$3=0,Tab.11[[#This Row],[b9]]*_xlfn.STDEV.P(Tab.11[data]),AVERAGE(Tab.11[b6])+Tab.11[[#This Row],[b9]]*_xlfn.STDEV.P(Tab.11[data])))</f>
        <v>0</v>
      </c>
      <c r="T249" s="71" t="b">
        <f>IF(Tab.11[[#This Row],[a1]]=1,$I$3+$A$988+IF($K$3=0,Tab.11[[#This Row],[b10]]*_xlfn.STDEV.P(Tab.11[data]),AVERAGE(Tab.11[b6])+Tab.11[[#This Row],[b10]]*_xlfn.STDEV.P(Tab.11[data])))</f>
        <v>0</v>
      </c>
      <c r="U249" s="72" t="b">
        <f>IF(Tab.11[[#This Row],[a1]]=1,Tab.11[[#This Row],[target]]-Tab.11[[#This Row],[Red]])</f>
        <v>0</v>
      </c>
      <c r="V249" s="72" t="b">
        <f>IF(Tab.11[[#This Row],[a1]]=1,Tab.11[[#This Row],[target]]-Tab.11[[#This Row],[Blue]])</f>
        <v>0</v>
      </c>
      <c r="W249" s="73" t="b">
        <f>IF(Tab.11[[#This Row],[a1]]=1,IF(ABS(Tab.11[[#This Row],[b17]])+ABS(Tab.11[[#This Row],[b18]])&lt;$W$2,$W$2,ABS(Tab.11[[#This Row],[b17]])+ABS(Tab.11[[#This Row],[b18]])))</f>
        <v>0</v>
      </c>
      <c r="X249" s="136" t="b">
        <f>IF(Tab.11[[#This Row],[a1]]=1,IF($W$3&lt;0,Tab.11[[#This Row],[IN]]-$I$3,Tab.11[[#This Row],[IN]]))</f>
        <v>0</v>
      </c>
      <c r="Y249" s="136" t="b">
        <f>IF(Tab.11[[#This Row],[a1]]=1,IF($X$3=0,Tab.11[b66],Tab.11[[#This Row],[b66]]-AVERAGE(Tab.11[b66])))</f>
        <v>0</v>
      </c>
      <c r="Z249" s="135" t="b">
        <f>IF(Tab.11[[#This Row],[a1]]=1,Tab.11[[#This Row],[b77]]/(_xlfn.STDEV.P(Tab.11[b77])))</f>
        <v>0</v>
      </c>
      <c r="AA249" s="70" t="b">
        <f>IF(Tab.11[[#This Row],[a1]]=1,_xlfn.NORM.DIST(Tab.11[[#This Row],[b88]],$Z$1,$AA$1,FALSE))</f>
        <v>0</v>
      </c>
      <c r="AB249" s="74" t="b">
        <f>IF(Tab.11[[#This Row],[a1]]=1,IF($A$3=0,FALSE,1/Tab.11[[#This Row],[IN]]*$AC$2*IF(Tab.11[[#This Row],[a1]]=0,,$A$3*$AC$1*1/$V$3*(Tab.11[[#This Row],[b14]]))))</f>
        <v>0</v>
      </c>
      <c r="AC249" s="75" t="b">
        <f>IF(Tab.11[[#This Row],[a1]]=1,IF($AC$3=0,Tab.11[[#This Row],[φ1]],Tab.11[[#This Row],[φ1]]/MAX(Tab.11[φ1])))</f>
        <v>0</v>
      </c>
      <c r="AD249" s="74" t="b">
        <f>IF(Tab.11[[#This Row],[a1]]=1,1/Tab.11[[#This Row],[φ2]])</f>
        <v>0</v>
      </c>
      <c r="AE249" s="74" t="b">
        <f>IF(Tab.11[[#This Row],[a1]]=1,IF($AE$3=0,Tab.11[[#This Row],[w.0]],Tab.11[[#This Row],[w.0]]/SUM(Tab.11[w.0])))</f>
        <v>0</v>
      </c>
      <c r="AF249" s="76" t="str">
        <f>IF(Tab.11[[#This Row],[a1]]=0,"false",[3]!Tab.x5[[#This Row],[%_seN_C]])</f>
        <v>false</v>
      </c>
      <c r="AG249" s="77" t="b">
        <f>IF(Tab.11[[#This Row],[a1]]=1,AP249)</f>
        <v>0</v>
      </c>
      <c r="AH249" s="78" t="b">
        <f>IF(Tab.11[[#This Row],[a1]]=1,AQ249)</f>
        <v>0</v>
      </c>
      <c r="AI249" s="41">
        <v>3.0000000000000001E-3</v>
      </c>
      <c r="AJ249" s="79">
        <v>0.04</v>
      </c>
      <c r="AK249" s="80" t="b">
        <f>IF(Tab.11[[#This Row],[a1]]=1,1)</f>
        <v>0</v>
      </c>
      <c r="AZ249"/>
    </row>
    <row r="250" spans="1:83" hidden="1" x14ac:dyDescent="0.25">
      <c r="A250" s="61">
        <f t="shared" si="9"/>
        <v>0</v>
      </c>
      <c r="B250" s="62">
        <f t="shared" si="9"/>
        <v>0</v>
      </c>
      <c r="C250" s="62" t="b">
        <f>IF(Tab.11[[#This Row],[a1]]=1,[3]!Tab_x1[[#This Row],[Name]])</f>
        <v>0</v>
      </c>
      <c r="D250" s="63" t="b">
        <f>IF(Tab.11[[#This Row],[a1]]=1,AO250)</f>
        <v>0</v>
      </c>
      <c r="E250" s="63">
        <f t="shared" si="8"/>
        <v>0</v>
      </c>
      <c r="F250" s="64" t="b">
        <f>IF(Tab.11[[#This Row],[a1]]=1,Tab.11[[#This Row],[b1]])</f>
        <v>0</v>
      </c>
      <c r="G250" s="65" t="b">
        <f>IF(Tab.11[[#This Row],[a1]]=1,IF(Tab.11[[#This Row],[b3]]&gt;$L$989*$G$3,$L$989*$G$3,IF(Tab.11[[#This Row],[b3]]&lt;$M$989*$G$3,$M$989*$G$3,Tab.11[[#This Row],[b3]])))</f>
        <v>0</v>
      </c>
      <c r="H250" s="66" t="b">
        <f>IF(Tab.11[[#This Row],[a1]]=1,Tab.11[[#This Row],[b1]])</f>
        <v>0</v>
      </c>
      <c r="I250" s="67" t="b">
        <f>IF(Tab.11[[#This Row],[a1]]=1,Tab.11[[#This Row],[b1]])</f>
        <v>0</v>
      </c>
      <c r="J250" s="68" t="b">
        <f>IF(Tab.11[[#This Row],[a1]]=1,IF($I$3&lt;0,Tab.11[[#This Row],[b5]]-$I$3,Tab.11[[#This Row],[b5]]))</f>
        <v>0</v>
      </c>
      <c r="K250" s="68" t="b">
        <f>IF(Tab.11[[#This Row],[a1]]=1,IF($K$3=0,Tab.11[b6],Tab.11[[#This Row],[b6]]-AVERAGE(Tab.11[b6])))</f>
        <v>0</v>
      </c>
      <c r="L250" s="69" t="b">
        <f>IF(Tab.11[[#This Row],[a1]]=1,Tab.11[[#This Row],[data]]/(_xlfn.STDEV.P(Tab.11[data])*$B$989)+$A$989)</f>
        <v>0</v>
      </c>
      <c r="M250" s="69" t="b">
        <f>IF(Tab.11[[#This Row],[a1]]=1,Tab.11[[#This Row],[data]]/(_xlfn.STDEV.P(Tab.11[data])*$B$987)-$A$987)</f>
        <v>0</v>
      </c>
      <c r="N250" s="69" t="b">
        <f>IF(Tab.11[[#This Row],[a1]]=1,Tab.11[[#This Row],[data]]/(_xlfn.STDEV.P(Tab.11[data])*$B$988)+$A$988)</f>
        <v>0</v>
      </c>
      <c r="O250" s="70" t="b">
        <f>IF(Tab.11[[#This Row],[a1]]=1,_xlfn.NORM.DIST(Tab.11[[#This Row],[b8]],$P$1,$Q$1,FALSE))</f>
        <v>0</v>
      </c>
      <c r="P250" s="70" t="b">
        <f>IF(Tab.11[[#This Row],[a1]]=1,_xlfn.NORM.DIST(Tab.11[[#This Row],[b9]],$P$1,$Q$1,FALSE))</f>
        <v>0</v>
      </c>
      <c r="Q250" s="70" t="b">
        <f>IF(Tab.11[[#This Row],[a1]]=1,_xlfn.NORM.DIST(Tab.11[[#This Row],[b10]],$P$1,$Q$1,FALSE))</f>
        <v>0</v>
      </c>
      <c r="R250" s="67" t="b">
        <f>IF(Tab.11[[#This Row],[a1]]=1,$I$3+$A$989+IF($K$3=0,Tab.11[[#This Row],[b8]]*_xlfn.STDEV.P(Tab.11[data]),AVERAGE(Tab.11[b6])+Tab.11[[#This Row],[b8]]*_xlfn.STDEV.P(Tab.11[data])))</f>
        <v>0</v>
      </c>
      <c r="S250" s="71" t="b">
        <f>IF(Tab.11[[#This Row],[a1]]=1,$I$3+$A$987+IF($K$3=0,Tab.11[[#This Row],[b9]]*_xlfn.STDEV.P(Tab.11[data]),AVERAGE(Tab.11[b6])+Tab.11[[#This Row],[b9]]*_xlfn.STDEV.P(Tab.11[data])))</f>
        <v>0</v>
      </c>
      <c r="T250" s="71" t="b">
        <f>IF(Tab.11[[#This Row],[a1]]=1,$I$3+$A$988+IF($K$3=0,Tab.11[[#This Row],[b10]]*_xlfn.STDEV.P(Tab.11[data]),AVERAGE(Tab.11[b6])+Tab.11[[#This Row],[b10]]*_xlfn.STDEV.P(Tab.11[data])))</f>
        <v>0</v>
      </c>
      <c r="U250" s="72" t="b">
        <f>IF(Tab.11[[#This Row],[a1]]=1,Tab.11[[#This Row],[target]]-Tab.11[[#This Row],[Red]])</f>
        <v>0</v>
      </c>
      <c r="V250" s="72" t="b">
        <f>IF(Tab.11[[#This Row],[a1]]=1,Tab.11[[#This Row],[target]]-Tab.11[[#This Row],[Blue]])</f>
        <v>0</v>
      </c>
      <c r="W250" s="73" t="b">
        <f>IF(Tab.11[[#This Row],[a1]]=1,IF(ABS(Tab.11[[#This Row],[b17]])+ABS(Tab.11[[#This Row],[b18]])&lt;$W$2,$W$2,ABS(Tab.11[[#This Row],[b17]])+ABS(Tab.11[[#This Row],[b18]])))</f>
        <v>0</v>
      </c>
      <c r="X250" s="136" t="b">
        <f>IF(Tab.11[[#This Row],[a1]]=1,IF($W$3&lt;0,Tab.11[[#This Row],[IN]]-$I$3,Tab.11[[#This Row],[IN]]))</f>
        <v>0</v>
      </c>
      <c r="Y250" s="136" t="b">
        <f>IF(Tab.11[[#This Row],[a1]]=1,IF($X$3=0,Tab.11[b66],Tab.11[[#This Row],[b66]]-AVERAGE(Tab.11[b66])))</f>
        <v>0</v>
      </c>
      <c r="Z250" s="135" t="b">
        <f>IF(Tab.11[[#This Row],[a1]]=1,Tab.11[[#This Row],[b77]]/(_xlfn.STDEV.P(Tab.11[b77])))</f>
        <v>0</v>
      </c>
      <c r="AA250" s="70" t="b">
        <f>IF(Tab.11[[#This Row],[a1]]=1,_xlfn.NORM.DIST(Tab.11[[#This Row],[b88]],$Z$1,$AA$1,FALSE))</f>
        <v>0</v>
      </c>
      <c r="AB250" s="74" t="b">
        <f>IF(Tab.11[[#This Row],[a1]]=1,IF($A$3=0,FALSE,1/Tab.11[[#This Row],[IN]]*$AC$2*IF(Tab.11[[#This Row],[a1]]=0,,$A$3*$AC$1*1/$V$3*(Tab.11[[#This Row],[b14]]))))</f>
        <v>0</v>
      </c>
      <c r="AC250" s="75" t="b">
        <f>IF(Tab.11[[#This Row],[a1]]=1,IF($AC$3=0,Tab.11[[#This Row],[φ1]],Tab.11[[#This Row],[φ1]]/MAX(Tab.11[φ1])))</f>
        <v>0</v>
      </c>
      <c r="AD250" s="74" t="b">
        <f>IF(Tab.11[[#This Row],[a1]]=1,1/Tab.11[[#This Row],[φ2]])</f>
        <v>0</v>
      </c>
      <c r="AE250" s="74" t="b">
        <f>IF(Tab.11[[#This Row],[a1]]=1,IF($AE$3=0,Tab.11[[#This Row],[w.0]],Tab.11[[#This Row],[w.0]]/SUM(Tab.11[w.0])))</f>
        <v>0</v>
      </c>
      <c r="AF250" s="76" t="str">
        <f>IF(Tab.11[[#This Row],[a1]]=0,"false",[3]!Tab.x5[[#This Row],[%_seN_C]])</f>
        <v>false</v>
      </c>
      <c r="AG250" s="77" t="b">
        <f>IF(Tab.11[[#This Row],[a1]]=1,AP250)</f>
        <v>0</v>
      </c>
      <c r="AH250" s="78" t="b">
        <f>IF(Tab.11[[#This Row],[a1]]=1,AQ250)</f>
        <v>0</v>
      </c>
      <c r="AI250" s="41">
        <v>3.0000000000000001E-3</v>
      </c>
      <c r="AJ250" s="79">
        <v>0.04</v>
      </c>
      <c r="AK250" s="80" t="b">
        <f>IF(Tab.11[[#This Row],[a1]]=1,1)</f>
        <v>0</v>
      </c>
      <c r="AZ250"/>
    </row>
    <row r="251" spans="1:83" hidden="1" x14ac:dyDescent="0.25">
      <c r="A251" s="61">
        <f t="shared" si="9"/>
        <v>0</v>
      </c>
      <c r="B251" s="62">
        <f t="shared" si="9"/>
        <v>0</v>
      </c>
      <c r="C251" s="62" t="b">
        <f>IF(Tab.11[[#This Row],[a1]]=1,[3]!Tab_x1[[#This Row],[Name]])</f>
        <v>0</v>
      </c>
      <c r="D251" s="63" t="b">
        <f>IF(Tab.11[[#This Row],[a1]]=1,AO251)</f>
        <v>0</v>
      </c>
      <c r="E251" s="63">
        <f t="shared" si="8"/>
        <v>0</v>
      </c>
      <c r="F251" s="64" t="b">
        <f>IF(Tab.11[[#This Row],[a1]]=1,Tab.11[[#This Row],[b1]])</f>
        <v>0</v>
      </c>
      <c r="G251" s="65" t="b">
        <f>IF(Tab.11[[#This Row],[a1]]=1,IF(Tab.11[[#This Row],[b3]]&gt;$L$989*$G$3,$L$989*$G$3,IF(Tab.11[[#This Row],[b3]]&lt;$M$989*$G$3,$M$989*$G$3,Tab.11[[#This Row],[b3]])))</f>
        <v>0</v>
      </c>
      <c r="H251" s="66" t="b">
        <f>IF(Tab.11[[#This Row],[a1]]=1,Tab.11[[#This Row],[b1]])</f>
        <v>0</v>
      </c>
      <c r="I251" s="67" t="b">
        <f>IF(Tab.11[[#This Row],[a1]]=1,Tab.11[[#This Row],[b1]])</f>
        <v>0</v>
      </c>
      <c r="J251" s="68" t="b">
        <f>IF(Tab.11[[#This Row],[a1]]=1,IF($I$3&lt;0,Tab.11[[#This Row],[b5]]-$I$3,Tab.11[[#This Row],[b5]]))</f>
        <v>0</v>
      </c>
      <c r="K251" s="68" t="b">
        <f>IF(Tab.11[[#This Row],[a1]]=1,IF($K$3=0,Tab.11[b6],Tab.11[[#This Row],[b6]]-AVERAGE(Tab.11[b6])))</f>
        <v>0</v>
      </c>
      <c r="L251" s="69" t="b">
        <f>IF(Tab.11[[#This Row],[a1]]=1,Tab.11[[#This Row],[data]]/(_xlfn.STDEV.P(Tab.11[data])*$B$989)+$A$989)</f>
        <v>0</v>
      </c>
      <c r="M251" s="69" t="b">
        <f>IF(Tab.11[[#This Row],[a1]]=1,Tab.11[[#This Row],[data]]/(_xlfn.STDEV.P(Tab.11[data])*$B$987)-$A$987)</f>
        <v>0</v>
      </c>
      <c r="N251" s="69" t="b">
        <f>IF(Tab.11[[#This Row],[a1]]=1,Tab.11[[#This Row],[data]]/(_xlfn.STDEV.P(Tab.11[data])*$B$988)+$A$988)</f>
        <v>0</v>
      </c>
      <c r="O251" s="70" t="b">
        <f>IF(Tab.11[[#This Row],[a1]]=1,_xlfn.NORM.DIST(Tab.11[[#This Row],[b8]],$P$1,$Q$1,FALSE))</f>
        <v>0</v>
      </c>
      <c r="P251" s="70" t="b">
        <f>IF(Tab.11[[#This Row],[a1]]=1,_xlfn.NORM.DIST(Tab.11[[#This Row],[b9]],$P$1,$Q$1,FALSE))</f>
        <v>0</v>
      </c>
      <c r="Q251" s="70" t="b">
        <f>IF(Tab.11[[#This Row],[a1]]=1,_xlfn.NORM.DIST(Tab.11[[#This Row],[b10]],$P$1,$Q$1,FALSE))</f>
        <v>0</v>
      </c>
      <c r="R251" s="67" t="b">
        <f>IF(Tab.11[[#This Row],[a1]]=1,$I$3+$A$989+IF($K$3=0,Tab.11[[#This Row],[b8]]*_xlfn.STDEV.P(Tab.11[data]),AVERAGE(Tab.11[b6])+Tab.11[[#This Row],[b8]]*_xlfn.STDEV.P(Tab.11[data])))</f>
        <v>0</v>
      </c>
      <c r="S251" s="71" t="b">
        <f>IF(Tab.11[[#This Row],[a1]]=1,$I$3+$A$987+IF($K$3=0,Tab.11[[#This Row],[b9]]*_xlfn.STDEV.P(Tab.11[data]),AVERAGE(Tab.11[b6])+Tab.11[[#This Row],[b9]]*_xlfn.STDEV.P(Tab.11[data])))</f>
        <v>0</v>
      </c>
      <c r="T251" s="71" t="b">
        <f>IF(Tab.11[[#This Row],[a1]]=1,$I$3+$A$988+IF($K$3=0,Tab.11[[#This Row],[b10]]*_xlfn.STDEV.P(Tab.11[data]),AVERAGE(Tab.11[b6])+Tab.11[[#This Row],[b10]]*_xlfn.STDEV.P(Tab.11[data])))</f>
        <v>0</v>
      </c>
      <c r="U251" s="72" t="b">
        <f>IF(Tab.11[[#This Row],[a1]]=1,Tab.11[[#This Row],[target]]-Tab.11[[#This Row],[Red]])</f>
        <v>0</v>
      </c>
      <c r="V251" s="72" t="b">
        <f>IF(Tab.11[[#This Row],[a1]]=1,Tab.11[[#This Row],[target]]-Tab.11[[#This Row],[Blue]])</f>
        <v>0</v>
      </c>
      <c r="W251" s="73" t="b">
        <f>IF(Tab.11[[#This Row],[a1]]=1,IF(ABS(Tab.11[[#This Row],[b17]])+ABS(Tab.11[[#This Row],[b18]])&lt;$W$2,$W$2,ABS(Tab.11[[#This Row],[b17]])+ABS(Tab.11[[#This Row],[b18]])))</f>
        <v>0</v>
      </c>
      <c r="X251" s="136" t="b">
        <f>IF(Tab.11[[#This Row],[a1]]=1,IF($W$3&lt;0,Tab.11[[#This Row],[IN]]-$I$3,Tab.11[[#This Row],[IN]]))</f>
        <v>0</v>
      </c>
      <c r="Y251" s="136" t="b">
        <f>IF(Tab.11[[#This Row],[a1]]=1,IF($X$3=0,Tab.11[b66],Tab.11[[#This Row],[b66]]-AVERAGE(Tab.11[b66])))</f>
        <v>0</v>
      </c>
      <c r="Z251" s="135" t="b">
        <f>IF(Tab.11[[#This Row],[a1]]=1,Tab.11[[#This Row],[b77]]/(_xlfn.STDEV.P(Tab.11[b77])))</f>
        <v>0</v>
      </c>
      <c r="AA251" s="70" t="b">
        <f>IF(Tab.11[[#This Row],[a1]]=1,_xlfn.NORM.DIST(Tab.11[[#This Row],[b88]],$Z$1,$AA$1,FALSE))</f>
        <v>0</v>
      </c>
      <c r="AB251" s="74" t="b">
        <f>IF(Tab.11[[#This Row],[a1]]=1,IF($A$3=0,FALSE,1/Tab.11[[#This Row],[IN]]*$AC$2*IF(Tab.11[[#This Row],[a1]]=0,,$A$3*$AC$1*1/$V$3*(Tab.11[[#This Row],[b14]]))))</f>
        <v>0</v>
      </c>
      <c r="AC251" s="75" t="b">
        <f>IF(Tab.11[[#This Row],[a1]]=1,IF($AC$3=0,Tab.11[[#This Row],[φ1]],Tab.11[[#This Row],[φ1]]/MAX(Tab.11[φ1])))</f>
        <v>0</v>
      </c>
      <c r="AD251" s="74" t="b">
        <f>IF(Tab.11[[#This Row],[a1]]=1,1/Tab.11[[#This Row],[φ2]])</f>
        <v>0</v>
      </c>
      <c r="AE251" s="74" t="b">
        <f>IF(Tab.11[[#This Row],[a1]]=1,IF($AE$3=0,Tab.11[[#This Row],[w.0]],Tab.11[[#This Row],[w.0]]/SUM(Tab.11[w.0])))</f>
        <v>0</v>
      </c>
      <c r="AF251" s="76" t="str">
        <f>IF(Tab.11[[#This Row],[a1]]=0,"false",[3]!Tab.x5[[#This Row],[%_seN_C]])</f>
        <v>false</v>
      </c>
      <c r="AG251" s="77" t="b">
        <f>IF(Tab.11[[#This Row],[a1]]=1,AP251)</f>
        <v>0</v>
      </c>
      <c r="AH251" s="78" t="b">
        <f>IF(Tab.11[[#This Row],[a1]]=1,AQ251)</f>
        <v>0</v>
      </c>
      <c r="AI251" s="41">
        <v>3.0000000000000001E-3</v>
      </c>
      <c r="AJ251" s="79">
        <v>0.03</v>
      </c>
      <c r="AK251" s="80" t="b">
        <f>IF(Tab.11[[#This Row],[a1]]=1,1)</f>
        <v>0</v>
      </c>
      <c r="AZ251"/>
    </row>
    <row r="252" spans="1:83" hidden="1" x14ac:dyDescent="0.25">
      <c r="A252" s="61">
        <f t="shared" si="9"/>
        <v>0</v>
      </c>
      <c r="B252" s="62">
        <f t="shared" si="9"/>
        <v>0</v>
      </c>
      <c r="C252" s="62" t="b">
        <f>IF(Tab.11[[#This Row],[a1]]=1,[3]!Tab_x1[[#This Row],[Name]])</f>
        <v>0</v>
      </c>
      <c r="D252" s="63" t="b">
        <f>IF(Tab.11[[#This Row],[a1]]=1,AO252)</f>
        <v>0</v>
      </c>
      <c r="E252" s="63">
        <f t="shared" si="8"/>
        <v>0</v>
      </c>
      <c r="F252" s="64" t="b">
        <f>IF(Tab.11[[#This Row],[a1]]=1,Tab.11[[#This Row],[b1]])</f>
        <v>0</v>
      </c>
      <c r="G252" s="65" t="b">
        <f>IF(Tab.11[[#This Row],[a1]]=1,IF(Tab.11[[#This Row],[b3]]&gt;$L$989*$G$3,$L$989*$G$3,IF(Tab.11[[#This Row],[b3]]&lt;$M$989*$G$3,$M$989*$G$3,Tab.11[[#This Row],[b3]])))</f>
        <v>0</v>
      </c>
      <c r="H252" s="66" t="b">
        <f>IF(Tab.11[[#This Row],[a1]]=1,Tab.11[[#This Row],[b1]])</f>
        <v>0</v>
      </c>
      <c r="I252" s="67" t="b">
        <f>IF(Tab.11[[#This Row],[a1]]=1,Tab.11[[#This Row],[b1]])</f>
        <v>0</v>
      </c>
      <c r="J252" s="68" t="b">
        <f>IF(Tab.11[[#This Row],[a1]]=1,IF($I$3&lt;0,Tab.11[[#This Row],[b5]]-$I$3,Tab.11[[#This Row],[b5]]))</f>
        <v>0</v>
      </c>
      <c r="K252" s="68" t="b">
        <f>IF(Tab.11[[#This Row],[a1]]=1,IF($K$3=0,Tab.11[b6],Tab.11[[#This Row],[b6]]-AVERAGE(Tab.11[b6])))</f>
        <v>0</v>
      </c>
      <c r="L252" s="69" t="b">
        <f>IF(Tab.11[[#This Row],[a1]]=1,Tab.11[[#This Row],[data]]/(_xlfn.STDEV.P(Tab.11[data])*$B$989)+$A$989)</f>
        <v>0</v>
      </c>
      <c r="M252" s="69" t="b">
        <f>IF(Tab.11[[#This Row],[a1]]=1,Tab.11[[#This Row],[data]]/(_xlfn.STDEV.P(Tab.11[data])*$B$987)-$A$987)</f>
        <v>0</v>
      </c>
      <c r="N252" s="69" t="b">
        <f>IF(Tab.11[[#This Row],[a1]]=1,Tab.11[[#This Row],[data]]/(_xlfn.STDEV.P(Tab.11[data])*$B$988)+$A$988)</f>
        <v>0</v>
      </c>
      <c r="O252" s="70" t="b">
        <f>IF(Tab.11[[#This Row],[a1]]=1,_xlfn.NORM.DIST(Tab.11[[#This Row],[b8]],$P$1,$Q$1,FALSE))</f>
        <v>0</v>
      </c>
      <c r="P252" s="70" t="b">
        <f>IF(Tab.11[[#This Row],[a1]]=1,_xlfn.NORM.DIST(Tab.11[[#This Row],[b9]],$P$1,$Q$1,FALSE))</f>
        <v>0</v>
      </c>
      <c r="Q252" s="70" t="b">
        <f>IF(Tab.11[[#This Row],[a1]]=1,_xlfn.NORM.DIST(Tab.11[[#This Row],[b10]],$P$1,$Q$1,FALSE))</f>
        <v>0</v>
      </c>
      <c r="R252" s="67" t="b">
        <f>IF(Tab.11[[#This Row],[a1]]=1,$I$3+$A$989+IF($K$3=0,Tab.11[[#This Row],[b8]]*_xlfn.STDEV.P(Tab.11[data]),AVERAGE(Tab.11[b6])+Tab.11[[#This Row],[b8]]*_xlfn.STDEV.P(Tab.11[data])))</f>
        <v>0</v>
      </c>
      <c r="S252" s="71" t="b">
        <f>IF(Tab.11[[#This Row],[a1]]=1,$I$3+$A$987+IF($K$3=0,Tab.11[[#This Row],[b9]]*_xlfn.STDEV.P(Tab.11[data]),AVERAGE(Tab.11[b6])+Tab.11[[#This Row],[b9]]*_xlfn.STDEV.P(Tab.11[data])))</f>
        <v>0</v>
      </c>
      <c r="T252" s="71" t="b">
        <f>IF(Tab.11[[#This Row],[a1]]=1,$I$3+$A$988+IF($K$3=0,Tab.11[[#This Row],[b10]]*_xlfn.STDEV.P(Tab.11[data]),AVERAGE(Tab.11[b6])+Tab.11[[#This Row],[b10]]*_xlfn.STDEV.P(Tab.11[data])))</f>
        <v>0</v>
      </c>
      <c r="U252" s="72" t="b">
        <f>IF(Tab.11[[#This Row],[a1]]=1,Tab.11[[#This Row],[target]]-Tab.11[[#This Row],[Red]])</f>
        <v>0</v>
      </c>
      <c r="V252" s="72" t="b">
        <f>IF(Tab.11[[#This Row],[a1]]=1,Tab.11[[#This Row],[target]]-Tab.11[[#This Row],[Blue]])</f>
        <v>0</v>
      </c>
      <c r="W252" s="73" t="b">
        <f>IF(Tab.11[[#This Row],[a1]]=1,IF(ABS(Tab.11[[#This Row],[b17]])+ABS(Tab.11[[#This Row],[b18]])&lt;$W$2,$W$2,ABS(Tab.11[[#This Row],[b17]])+ABS(Tab.11[[#This Row],[b18]])))</f>
        <v>0</v>
      </c>
      <c r="X252" s="136" t="b">
        <f>IF(Tab.11[[#This Row],[a1]]=1,IF($W$3&lt;0,Tab.11[[#This Row],[IN]]-$I$3,Tab.11[[#This Row],[IN]]))</f>
        <v>0</v>
      </c>
      <c r="Y252" s="136" t="b">
        <f>IF(Tab.11[[#This Row],[a1]]=1,IF($X$3=0,Tab.11[b66],Tab.11[[#This Row],[b66]]-AVERAGE(Tab.11[b66])))</f>
        <v>0</v>
      </c>
      <c r="Z252" s="135" t="b">
        <f>IF(Tab.11[[#This Row],[a1]]=1,Tab.11[[#This Row],[b77]]/(_xlfn.STDEV.P(Tab.11[b77])))</f>
        <v>0</v>
      </c>
      <c r="AA252" s="70" t="b">
        <f>IF(Tab.11[[#This Row],[a1]]=1,_xlfn.NORM.DIST(Tab.11[[#This Row],[b88]],$Z$1,$AA$1,FALSE))</f>
        <v>0</v>
      </c>
      <c r="AB252" s="74" t="b">
        <f>IF(Tab.11[[#This Row],[a1]]=1,IF($A$3=0,FALSE,1/Tab.11[[#This Row],[IN]]*$AC$2*IF(Tab.11[[#This Row],[a1]]=0,,$A$3*$AC$1*1/$V$3*(Tab.11[[#This Row],[b14]]))))</f>
        <v>0</v>
      </c>
      <c r="AC252" s="75" t="b">
        <f>IF(Tab.11[[#This Row],[a1]]=1,IF($AC$3=0,Tab.11[[#This Row],[φ1]],Tab.11[[#This Row],[φ1]]/MAX(Tab.11[φ1])))</f>
        <v>0</v>
      </c>
      <c r="AD252" s="74" t="b">
        <f>IF(Tab.11[[#This Row],[a1]]=1,1/Tab.11[[#This Row],[φ2]])</f>
        <v>0</v>
      </c>
      <c r="AE252" s="74" t="b">
        <f>IF(Tab.11[[#This Row],[a1]]=1,IF($AE$3=0,Tab.11[[#This Row],[w.0]],Tab.11[[#This Row],[w.0]]/SUM(Tab.11[w.0])))</f>
        <v>0</v>
      </c>
      <c r="AF252" s="76" t="str">
        <f>IF(Tab.11[[#This Row],[a1]]=0,"false",[3]!Tab.x5[[#This Row],[%_seN_C]])</f>
        <v>false</v>
      </c>
      <c r="AG252" s="77" t="b">
        <f>IF(Tab.11[[#This Row],[a1]]=1,AP252)</f>
        <v>0</v>
      </c>
      <c r="AH252" s="78" t="b">
        <f>IF(Tab.11[[#This Row],[a1]]=1,AQ252)</f>
        <v>0</v>
      </c>
      <c r="AI252" s="41">
        <v>3.0000000000000001E-3</v>
      </c>
      <c r="AJ252" s="79">
        <v>0.1</v>
      </c>
      <c r="AK252" s="80" t="b">
        <f>IF(Tab.11[[#This Row],[a1]]=1,1)</f>
        <v>0</v>
      </c>
      <c r="AZ252"/>
    </row>
    <row r="253" spans="1:83" hidden="1" x14ac:dyDescent="0.25">
      <c r="A253" s="61">
        <f t="shared" si="9"/>
        <v>0</v>
      </c>
      <c r="B253" s="62">
        <f t="shared" si="9"/>
        <v>0</v>
      </c>
      <c r="C253" s="62" t="b">
        <f>IF(Tab.11[[#This Row],[a1]]=1,[3]!Tab_x1[[#This Row],[Name]])</f>
        <v>0</v>
      </c>
      <c r="D253" s="63" t="b">
        <f>IF(Tab.11[[#This Row],[a1]]=1,AO253)</f>
        <v>0</v>
      </c>
      <c r="E253" s="63">
        <f t="shared" si="8"/>
        <v>0</v>
      </c>
      <c r="F253" s="64" t="b">
        <f>IF(Tab.11[[#This Row],[a1]]=1,Tab.11[[#This Row],[b1]])</f>
        <v>0</v>
      </c>
      <c r="G253" s="65" t="b">
        <f>IF(Tab.11[[#This Row],[a1]]=1,IF(Tab.11[[#This Row],[b3]]&gt;$L$989*$G$3,$L$989*$G$3,IF(Tab.11[[#This Row],[b3]]&lt;$M$989*$G$3,$M$989*$G$3,Tab.11[[#This Row],[b3]])))</f>
        <v>0</v>
      </c>
      <c r="H253" s="66" t="b">
        <f>IF(Tab.11[[#This Row],[a1]]=1,Tab.11[[#This Row],[b1]])</f>
        <v>0</v>
      </c>
      <c r="I253" s="67" t="b">
        <f>IF(Tab.11[[#This Row],[a1]]=1,Tab.11[[#This Row],[b1]])</f>
        <v>0</v>
      </c>
      <c r="J253" s="68" t="b">
        <f>IF(Tab.11[[#This Row],[a1]]=1,IF($I$3&lt;0,Tab.11[[#This Row],[b5]]-$I$3,Tab.11[[#This Row],[b5]]))</f>
        <v>0</v>
      </c>
      <c r="K253" s="68" t="b">
        <f>IF(Tab.11[[#This Row],[a1]]=1,IF($K$3=0,Tab.11[b6],Tab.11[[#This Row],[b6]]-AVERAGE(Tab.11[b6])))</f>
        <v>0</v>
      </c>
      <c r="L253" s="69" t="b">
        <f>IF(Tab.11[[#This Row],[a1]]=1,Tab.11[[#This Row],[data]]/(_xlfn.STDEV.P(Tab.11[data])*$B$989)+$A$989)</f>
        <v>0</v>
      </c>
      <c r="M253" s="69" t="b">
        <f>IF(Tab.11[[#This Row],[a1]]=1,Tab.11[[#This Row],[data]]/(_xlfn.STDEV.P(Tab.11[data])*$B$987)-$A$987)</f>
        <v>0</v>
      </c>
      <c r="N253" s="69" t="b">
        <f>IF(Tab.11[[#This Row],[a1]]=1,Tab.11[[#This Row],[data]]/(_xlfn.STDEV.P(Tab.11[data])*$B$988)+$A$988)</f>
        <v>0</v>
      </c>
      <c r="O253" s="70" t="b">
        <f>IF(Tab.11[[#This Row],[a1]]=1,_xlfn.NORM.DIST(Tab.11[[#This Row],[b8]],$P$1,$Q$1,FALSE))</f>
        <v>0</v>
      </c>
      <c r="P253" s="70" t="b">
        <f>IF(Tab.11[[#This Row],[a1]]=1,_xlfn.NORM.DIST(Tab.11[[#This Row],[b9]],$P$1,$Q$1,FALSE))</f>
        <v>0</v>
      </c>
      <c r="Q253" s="70" t="b">
        <f>IF(Tab.11[[#This Row],[a1]]=1,_xlfn.NORM.DIST(Tab.11[[#This Row],[b10]],$P$1,$Q$1,FALSE))</f>
        <v>0</v>
      </c>
      <c r="R253" s="67" t="b">
        <f>IF(Tab.11[[#This Row],[a1]]=1,$I$3+$A$989+IF($K$3=0,Tab.11[[#This Row],[b8]]*_xlfn.STDEV.P(Tab.11[data]),AVERAGE(Tab.11[b6])+Tab.11[[#This Row],[b8]]*_xlfn.STDEV.P(Tab.11[data])))</f>
        <v>0</v>
      </c>
      <c r="S253" s="71" t="b">
        <f>IF(Tab.11[[#This Row],[a1]]=1,$I$3+$A$987+IF($K$3=0,Tab.11[[#This Row],[b9]]*_xlfn.STDEV.P(Tab.11[data]),AVERAGE(Tab.11[b6])+Tab.11[[#This Row],[b9]]*_xlfn.STDEV.P(Tab.11[data])))</f>
        <v>0</v>
      </c>
      <c r="T253" s="71" t="b">
        <f>IF(Tab.11[[#This Row],[a1]]=1,$I$3+$A$988+IF($K$3=0,Tab.11[[#This Row],[b10]]*_xlfn.STDEV.P(Tab.11[data]),AVERAGE(Tab.11[b6])+Tab.11[[#This Row],[b10]]*_xlfn.STDEV.P(Tab.11[data])))</f>
        <v>0</v>
      </c>
      <c r="U253" s="72" t="b">
        <f>IF(Tab.11[[#This Row],[a1]]=1,Tab.11[[#This Row],[target]]-Tab.11[[#This Row],[Red]])</f>
        <v>0</v>
      </c>
      <c r="V253" s="72" t="b">
        <f>IF(Tab.11[[#This Row],[a1]]=1,Tab.11[[#This Row],[target]]-Tab.11[[#This Row],[Blue]])</f>
        <v>0</v>
      </c>
      <c r="W253" s="73" t="b">
        <f>IF(Tab.11[[#This Row],[a1]]=1,IF(ABS(Tab.11[[#This Row],[b17]])+ABS(Tab.11[[#This Row],[b18]])&lt;$W$2,$W$2,ABS(Tab.11[[#This Row],[b17]])+ABS(Tab.11[[#This Row],[b18]])))</f>
        <v>0</v>
      </c>
      <c r="X253" s="136" t="b">
        <f>IF(Tab.11[[#This Row],[a1]]=1,IF($W$3&lt;0,Tab.11[[#This Row],[IN]]-$I$3,Tab.11[[#This Row],[IN]]))</f>
        <v>0</v>
      </c>
      <c r="Y253" s="136" t="b">
        <f>IF(Tab.11[[#This Row],[a1]]=1,IF($X$3=0,Tab.11[b66],Tab.11[[#This Row],[b66]]-AVERAGE(Tab.11[b66])))</f>
        <v>0</v>
      </c>
      <c r="Z253" s="135" t="b">
        <f>IF(Tab.11[[#This Row],[a1]]=1,Tab.11[[#This Row],[b77]]/(_xlfn.STDEV.P(Tab.11[b77])))</f>
        <v>0</v>
      </c>
      <c r="AA253" s="70" t="b">
        <f>IF(Tab.11[[#This Row],[a1]]=1,_xlfn.NORM.DIST(Tab.11[[#This Row],[b88]],$Z$1,$AA$1,FALSE))</f>
        <v>0</v>
      </c>
      <c r="AB253" s="74" t="b">
        <f>IF(Tab.11[[#This Row],[a1]]=1,IF($A$3=0,FALSE,1/Tab.11[[#This Row],[IN]]*$AC$2*IF(Tab.11[[#This Row],[a1]]=0,,$A$3*$AC$1*1/$V$3*(Tab.11[[#This Row],[b14]]))))</f>
        <v>0</v>
      </c>
      <c r="AC253" s="75" t="b">
        <f>IF(Tab.11[[#This Row],[a1]]=1,IF($AC$3=0,Tab.11[[#This Row],[φ1]],Tab.11[[#This Row],[φ1]]/MAX(Tab.11[φ1])))</f>
        <v>0</v>
      </c>
      <c r="AD253" s="74" t="b">
        <f>IF(Tab.11[[#This Row],[a1]]=1,1/Tab.11[[#This Row],[φ2]])</f>
        <v>0</v>
      </c>
      <c r="AE253" s="74" t="b">
        <f>IF(Tab.11[[#This Row],[a1]]=1,IF($AE$3=0,Tab.11[[#This Row],[w.0]],Tab.11[[#This Row],[w.0]]/SUM(Tab.11[w.0])))</f>
        <v>0</v>
      </c>
      <c r="AF253" s="76" t="str">
        <f>IF(Tab.11[[#This Row],[a1]]=0,"false",[3]!Tab.x5[[#This Row],[%_seN_C]])</f>
        <v>false</v>
      </c>
      <c r="AG253" s="77" t="b">
        <f>IF(Tab.11[[#This Row],[a1]]=1,AP253)</f>
        <v>0</v>
      </c>
      <c r="AH253" s="78" t="b">
        <f>IF(Tab.11[[#This Row],[a1]]=1,AQ253)</f>
        <v>0</v>
      </c>
      <c r="AI253" s="41">
        <v>3.0000000000000001E-3</v>
      </c>
      <c r="AJ253" s="79">
        <v>-7.0000000000000007E-2</v>
      </c>
      <c r="AK253" s="80" t="b">
        <f>IF(Tab.11[[#This Row],[a1]]=1,1)</f>
        <v>0</v>
      </c>
      <c r="AZ253"/>
    </row>
    <row r="254" spans="1:83" hidden="1" x14ac:dyDescent="0.25">
      <c r="A254" s="61">
        <f t="shared" si="9"/>
        <v>0</v>
      </c>
      <c r="B254" s="62">
        <f t="shared" si="9"/>
        <v>0</v>
      </c>
      <c r="C254" s="62" t="b">
        <f>IF(Tab.11[[#This Row],[a1]]=1,[3]!Tab_x1[[#This Row],[Name]])</f>
        <v>0</v>
      </c>
      <c r="D254" s="63" t="b">
        <f>IF(Tab.11[[#This Row],[a1]]=1,AO254)</f>
        <v>0</v>
      </c>
      <c r="E254" s="63">
        <f t="shared" si="8"/>
        <v>0</v>
      </c>
      <c r="F254" s="64" t="b">
        <f>IF(Tab.11[[#This Row],[a1]]=1,Tab.11[[#This Row],[b1]])</f>
        <v>0</v>
      </c>
      <c r="G254" s="65" t="b">
        <f>IF(Tab.11[[#This Row],[a1]]=1,IF(Tab.11[[#This Row],[b3]]&gt;$L$989*$G$3,$L$989*$G$3,IF(Tab.11[[#This Row],[b3]]&lt;$M$989*$G$3,$M$989*$G$3,Tab.11[[#This Row],[b3]])))</f>
        <v>0</v>
      </c>
      <c r="H254" s="66" t="b">
        <f>IF(Tab.11[[#This Row],[a1]]=1,Tab.11[[#This Row],[b1]])</f>
        <v>0</v>
      </c>
      <c r="I254" s="67" t="b">
        <f>IF(Tab.11[[#This Row],[a1]]=1,Tab.11[[#This Row],[b1]])</f>
        <v>0</v>
      </c>
      <c r="J254" s="68" t="b">
        <f>IF(Tab.11[[#This Row],[a1]]=1,IF($I$3&lt;0,Tab.11[[#This Row],[b5]]-$I$3,Tab.11[[#This Row],[b5]]))</f>
        <v>0</v>
      </c>
      <c r="K254" s="68" t="b">
        <f>IF(Tab.11[[#This Row],[a1]]=1,IF($K$3=0,Tab.11[b6],Tab.11[[#This Row],[b6]]-AVERAGE(Tab.11[b6])))</f>
        <v>0</v>
      </c>
      <c r="L254" s="69" t="b">
        <f>IF(Tab.11[[#This Row],[a1]]=1,Tab.11[[#This Row],[data]]/(_xlfn.STDEV.P(Tab.11[data])*$B$989)+$A$989)</f>
        <v>0</v>
      </c>
      <c r="M254" s="69" t="b">
        <f>IF(Tab.11[[#This Row],[a1]]=1,Tab.11[[#This Row],[data]]/(_xlfn.STDEV.P(Tab.11[data])*$B$987)-$A$987)</f>
        <v>0</v>
      </c>
      <c r="N254" s="69" t="b">
        <f>IF(Tab.11[[#This Row],[a1]]=1,Tab.11[[#This Row],[data]]/(_xlfn.STDEV.P(Tab.11[data])*$B$988)+$A$988)</f>
        <v>0</v>
      </c>
      <c r="O254" s="70" t="b">
        <f>IF(Tab.11[[#This Row],[a1]]=1,_xlfn.NORM.DIST(Tab.11[[#This Row],[b8]],$P$1,$Q$1,FALSE))</f>
        <v>0</v>
      </c>
      <c r="P254" s="70" t="b">
        <f>IF(Tab.11[[#This Row],[a1]]=1,_xlfn.NORM.DIST(Tab.11[[#This Row],[b9]],$P$1,$Q$1,FALSE))</f>
        <v>0</v>
      </c>
      <c r="Q254" s="70" t="b">
        <f>IF(Tab.11[[#This Row],[a1]]=1,_xlfn.NORM.DIST(Tab.11[[#This Row],[b10]],$P$1,$Q$1,FALSE))</f>
        <v>0</v>
      </c>
      <c r="R254" s="67" t="b">
        <f>IF(Tab.11[[#This Row],[a1]]=1,$I$3+$A$989+IF($K$3=0,Tab.11[[#This Row],[b8]]*_xlfn.STDEV.P(Tab.11[data]),AVERAGE(Tab.11[b6])+Tab.11[[#This Row],[b8]]*_xlfn.STDEV.P(Tab.11[data])))</f>
        <v>0</v>
      </c>
      <c r="S254" s="71" t="b">
        <f>IF(Tab.11[[#This Row],[a1]]=1,$I$3+$A$987+IF($K$3=0,Tab.11[[#This Row],[b9]]*_xlfn.STDEV.P(Tab.11[data]),AVERAGE(Tab.11[b6])+Tab.11[[#This Row],[b9]]*_xlfn.STDEV.P(Tab.11[data])))</f>
        <v>0</v>
      </c>
      <c r="T254" s="71" t="b">
        <f>IF(Tab.11[[#This Row],[a1]]=1,$I$3+$A$988+IF($K$3=0,Tab.11[[#This Row],[b10]]*_xlfn.STDEV.P(Tab.11[data]),AVERAGE(Tab.11[b6])+Tab.11[[#This Row],[b10]]*_xlfn.STDEV.P(Tab.11[data])))</f>
        <v>0</v>
      </c>
      <c r="U254" s="72" t="b">
        <f>IF(Tab.11[[#This Row],[a1]]=1,Tab.11[[#This Row],[target]]-Tab.11[[#This Row],[Red]])</f>
        <v>0</v>
      </c>
      <c r="V254" s="72" t="b">
        <f>IF(Tab.11[[#This Row],[a1]]=1,Tab.11[[#This Row],[target]]-Tab.11[[#This Row],[Blue]])</f>
        <v>0</v>
      </c>
      <c r="W254" s="73" t="b">
        <f>IF(Tab.11[[#This Row],[a1]]=1,IF(ABS(Tab.11[[#This Row],[b17]])+ABS(Tab.11[[#This Row],[b18]])&lt;$W$2,$W$2,ABS(Tab.11[[#This Row],[b17]])+ABS(Tab.11[[#This Row],[b18]])))</f>
        <v>0</v>
      </c>
      <c r="X254" s="136" t="b">
        <f>IF(Tab.11[[#This Row],[a1]]=1,IF($W$3&lt;0,Tab.11[[#This Row],[IN]]-$I$3,Tab.11[[#This Row],[IN]]))</f>
        <v>0</v>
      </c>
      <c r="Y254" s="136" t="b">
        <f>IF(Tab.11[[#This Row],[a1]]=1,IF($X$3=0,Tab.11[b66],Tab.11[[#This Row],[b66]]-AVERAGE(Tab.11[b66])))</f>
        <v>0</v>
      </c>
      <c r="Z254" s="135" t="b">
        <f>IF(Tab.11[[#This Row],[a1]]=1,Tab.11[[#This Row],[b77]]/(_xlfn.STDEV.P(Tab.11[b77])))</f>
        <v>0</v>
      </c>
      <c r="AA254" s="70" t="b">
        <f>IF(Tab.11[[#This Row],[a1]]=1,_xlfn.NORM.DIST(Tab.11[[#This Row],[b88]],$Z$1,$AA$1,FALSE))</f>
        <v>0</v>
      </c>
      <c r="AB254" s="74" t="b">
        <f>IF(Tab.11[[#This Row],[a1]]=1,IF($A$3=0,FALSE,1/Tab.11[[#This Row],[IN]]*$AC$2*IF(Tab.11[[#This Row],[a1]]=0,,$A$3*$AC$1*1/$V$3*(Tab.11[[#This Row],[b14]]))))</f>
        <v>0</v>
      </c>
      <c r="AC254" s="75" t="b">
        <f>IF(Tab.11[[#This Row],[a1]]=1,IF($AC$3=0,Tab.11[[#This Row],[φ1]],Tab.11[[#This Row],[φ1]]/MAX(Tab.11[φ1])))</f>
        <v>0</v>
      </c>
      <c r="AD254" s="74" t="b">
        <f>IF(Tab.11[[#This Row],[a1]]=1,1/Tab.11[[#This Row],[φ2]])</f>
        <v>0</v>
      </c>
      <c r="AE254" s="74" t="b">
        <f>IF(Tab.11[[#This Row],[a1]]=1,IF($AE$3=0,Tab.11[[#This Row],[w.0]],Tab.11[[#This Row],[w.0]]/SUM(Tab.11[w.0])))</f>
        <v>0</v>
      </c>
      <c r="AF254" s="76" t="str">
        <f>IF(Tab.11[[#This Row],[a1]]=0,"false",[3]!Tab.x5[[#This Row],[%_seN_C]])</f>
        <v>false</v>
      </c>
      <c r="AG254" s="77" t="b">
        <f>IF(Tab.11[[#This Row],[a1]]=1,AP254)</f>
        <v>0</v>
      </c>
      <c r="AH254" s="78" t="b">
        <f>IF(Tab.11[[#This Row],[a1]]=1,AQ254)</f>
        <v>0</v>
      </c>
      <c r="AI254" s="41">
        <v>3.0000000000000001E-3</v>
      </c>
      <c r="AJ254" s="79">
        <v>0</v>
      </c>
      <c r="AK254" s="80" t="b">
        <f>IF(Tab.11[[#This Row],[a1]]=1,1)</f>
        <v>0</v>
      </c>
      <c r="AZ254"/>
    </row>
    <row r="255" spans="1:83" hidden="1" x14ac:dyDescent="0.25">
      <c r="A255" s="61">
        <f t="shared" si="9"/>
        <v>0</v>
      </c>
      <c r="B255" s="62">
        <f t="shared" si="9"/>
        <v>0</v>
      </c>
      <c r="C255" s="62" t="b">
        <f>IF(Tab.11[[#This Row],[a1]]=1,[3]!Tab_x1[[#This Row],[Name]])</f>
        <v>0</v>
      </c>
      <c r="D255" s="63" t="b">
        <f>IF(Tab.11[[#This Row],[a1]]=1,AO255)</f>
        <v>0</v>
      </c>
      <c r="E255" s="63">
        <f t="shared" si="8"/>
        <v>0</v>
      </c>
      <c r="F255" s="64" t="b">
        <f>IF(Tab.11[[#This Row],[a1]]=1,Tab.11[[#This Row],[b1]])</f>
        <v>0</v>
      </c>
      <c r="G255" s="65" t="b">
        <f>IF(Tab.11[[#This Row],[a1]]=1,IF(Tab.11[[#This Row],[b3]]&gt;$L$989*$G$3,$L$989*$G$3,IF(Tab.11[[#This Row],[b3]]&lt;$M$989*$G$3,$M$989*$G$3,Tab.11[[#This Row],[b3]])))</f>
        <v>0</v>
      </c>
      <c r="H255" s="66" t="b">
        <f>IF(Tab.11[[#This Row],[a1]]=1,Tab.11[[#This Row],[b1]])</f>
        <v>0</v>
      </c>
      <c r="I255" s="67" t="b">
        <f>IF(Tab.11[[#This Row],[a1]]=1,Tab.11[[#This Row],[b1]])</f>
        <v>0</v>
      </c>
      <c r="J255" s="68" t="b">
        <f>IF(Tab.11[[#This Row],[a1]]=1,IF($I$3&lt;0,Tab.11[[#This Row],[b5]]-$I$3,Tab.11[[#This Row],[b5]]))</f>
        <v>0</v>
      </c>
      <c r="K255" s="68" t="b">
        <f>IF(Tab.11[[#This Row],[a1]]=1,IF($K$3=0,Tab.11[b6],Tab.11[[#This Row],[b6]]-AVERAGE(Tab.11[b6])))</f>
        <v>0</v>
      </c>
      <c r="L255" s="69" t="b">
        <f>IF(Tab.11[[#This Row],[a1]]=1,Tab.11[[#This Row],[data]]/(_xlfn.STDEV.P(Tab.11[data])*$B$989)+$A$989)</f>
        <v>0</v>
      </c>
      <c r="M255" s="69" t="b">
        <f>IF(Tab.11[[#This Row],[a1]]=1,Tab.11[[#This Row],[data]]/(_xlfn.STDEV.P(Tab.11[data])*$B$987)-$A$987)</f>
        <v>0</v>
      </c>
      <c r="N255" s="69" t="b">
        <f>IF(Tab.11[[#This Row],[a1]]=1,Tab.11[[#This Row],[data]]/(_xlfn.STDEV.P(Tab.11[data])*$B$988)+$A$988)</f>
        <v>0</v>
      </c>
      <c r="O255" s="70" t="b">
        <f>IF(Tab.11[[#This Row],[a1]]=1,_xlfn.NORM.DIST(Tab.11[[#This Row],[b8]],$P$1,$Q$1,FALSE))</f>
        <v>0</v>
      </c>
      <c r="P255" s="70" t="b">
        <f>IF(Tab.11[[#This Row],[a1]]=1,_xlfn.NORM.DIST(Tab.11[[#This Row],[b9]],$P$1,$Q$1,FALSE))</f>
        <v>0</v>
      </c>
      <c r="Q255" s="70" t="b">
        <f>IF(Tab.11[[#This Row],[a1]]=1,_xlfn.NORM.DIST(Tab.11[[#This Row],[b10]],$P$1,$Q$1,FALSE))</f>
        <v>0</v>
      </c>
      <c r="R255" s="67" t="b">
        <f>IF(Tab.11[[#This Row],[a1]]=1,$I$3+$A$989+IF($K$3=0,Tab.11[[#This Row],[b8]]*_xlfn.STDEV.P(Tab.11[data]),AVERAGE(Tab.11[b6])+Tab.11[[#This Row],[b8]]*_xlfn.STDEV.P(Tab.11[data])))</f>
        <v>0</v>
      </c>
      <c r="S255" s="71" t="b">
        <f>IF(Tab.11[[#This Row],[a1]]=1,$I$3+$A$987+IF($K$3=0,Tab.11[[#This Row],[b9]]*_xlfn.STDEV.P(Tab.11[data]),AVERAGE(Tab.11[b6])+Tab.11[[#This Row],[b9]]*_xlfn.STDEV.P(Tab.11[data])))</f>
        <v>0</v>
      </c>
      <c r="T255" s="71" t="b">
        <f>IF(Tab.11[[#This Row],[a1]]=1,$I$3+$A$988+IF($K$3=0,Tab.11[[#This Row],[b10]]*_xlfn.STDEV.P(Tab.11[data]),AVERAGE(Tab.11[b6])+Tab.11[[#This Row],[b10]]*_xlfn.STDEV.P(Tab.11[data])))</f>
        <v>0</v>
      </c>
      <c r="U255" s="72" t="b">
        <f>IF(Tab.11[[#This Row],[a1]]=1,Tab.11[[#This Row],[target]]-Tab.11[[#This Row],[Red]])</f>
        <v>0</v>
      </c>
      <c r="V255" s="72" t="b">
        <f>IF(Tab.11[[#This Row],[a1]]=1,Tab.11[[#This Row],[target]]-Tab.11[[#This Row],[Blue]])</f>
        <v>0</v>
      </c>
      <c r="W255" s="73" t="b">
        <f>IF(Tab.11[[#This Row],[a1]]=1,IF(ABS(Tab.11[[#This Row],[b17]])+ABS(Tab.11[[#This Row],[b18]])&lt;$W$2,$W$2,ABS(Tab.11[[#This Row],[b17]])+ABS(Tab.11[[#This Row],[b18]])))</f>
        <v>0</v>
      </c>
      <c r="X255" s="136" t="b">
        <f>IF(Tab.11[[#This Row],[a1]]=1,IF($W$3&lt;0,Tab.11[[#This Row],[IN]]-$I$3,Tab.11[[#This Row],[IN]]))</f>
        <v>0</v>
      </c>
      <c r="Y255" s="136" t="b">
        <f>IF(Tab.11[[#This Row],[a1]]=1,IF($X$3=0,Tab.11[b66],Tab.11[[#This Row],[b66]]-AVERAGE(Tab.11[b66])))</f>
        <v>0</v>
      </c>
      <c r="Z255" s="135" t="b">
        <f>IF(Tab.11[[#This Row],[a1]]=1,Tab.11[[#This Row],[b77]]/(_xlfn.STDEV.P(Tab.11[b77])))</f>
        <v>0</v>
      </c>
      <c r="AA255" s="70" t="b">
        <f>IF(Tab.11[[#This Row],[a1]]=1,_xlfn.NORM.DIST(Tab.11[[#This Row],[b88]],$Z$1,$AA$1,FALSE))</f>
        <v>0</v>
      </c>
      <c r="AB255" s="74" t="b">
        <f>IF(Tab.11[[#This Row],[a1]]=1,IF($A$3=0,FALSE,1/Tab.11[[#This Row],[IN]]*$AC$2*IF(Tab.11[[#This Row],[a1]]=0,,$A$3*$AC$1*1/$V$3*(Tab.11[[#This Row],[b14]]))))</f>
        <v>0</v>
      </c>
      <c r="AC255" s="75" t="b">
        <f>IF(Tab.11[[#This Row],[a1]]=1,IF($AC$3=0,Tab.11[[#This Row],[φ1]],Tab.11[[#This Row],[φ1]]/MAX(Tab.11[φ1])))</f>
        <v>0</v>
      </c>
      <c r="AD255" s="74" t="b">
        <f>IF(Tab.11[[#This Row],[a1]]=1,1/Tab.11[[#This Row],[φ2]])</f>
        <v>0</v>
      </c>
      <c r="AE255" s="74" t="b">
        <f>IF(Tab.11[[#This Row],[a1]]=1,IF($AE$3=0,Tab.11[[#This Row],[w.0]],Tab.11[[#This Row],[w.0]]/SUM(Tab.11[w.0])))</f>
        <v>0</v>
      </c>
      <c r="AF255" s="76" t="str">
        <f>IF(Tab.11[[#This Row],[a1]]=0,"false",[3]!Tab.x5[[#This Row],[%_seN_C]])</f>
        <v>false</v>
      </c>
      <c r="AG255" s="77" t="b">
        <f>IF(Tab.11[[#This Row],[a1]]=1,AP255)</f>
        <v>0</v>
      </c>
      <c r="AH255" s="78" t="b">
        <f>IF(Tab.11[[#This Row],[a1]]=1,AQ255)</f>
        <v>0</v>
      </c>
      <c r="AI255" s="41">
        <v>3.0000000000000001E-3</v>
      </c>
      <c r="AJ255" s="79">
        <v>-0.04</v>
      </c>
      <c r="AK255" s="80" t="b">
        <f>IF(Tab.11[[#This Row],[a1]]=1,1)</f>
        <v>0</v>
      </c>
      <c r="AZ255"/>
    </row>
    <row r="256" spans="1:83" hidden="1" x14ac:dyDescent="0.25">
      <c r="A256" s="61">
        <f t="shared" si="9"/>
        <v>0</v>
      </c>
      <c r="B256" s="62">
        <f t="shared" si="9"/>
        <v>0</v>
      </c>
      <c r="C256" s="62" t="b">
        <f>IF(Tab.11[[#This Row],[a1]]=1,[3]!Tab_x1[[#This Row],[Name]])</f>
        <v>0</v>
      </c>
      <c r="D256" s="63" t="b">
        <f>IF(Tab.11[[#This Row],[a1]]=1,AO256)</f>
        <v>0</v>
      </c>
      <c r="E256" s="63">
        <f t="shared" si="8"/>
        <v>0</v>
      </c>
      <c r="F256" s="64" t="b">
        <f>IF(Tab.11[[#This Row],[a1]]=1,Tab.11[[#This Row],[b1]])</f>
        <v>0</v>
      </c>
      <c r="G256" s="65" t="b">
        <f>IF(Tab.11[[#This Row],[a1]]=1,IF(Tab.11[[#This Row],[b3]]&gt;$L$989*$G$3,$L$989*$G$3,IF(Tab.11[[#This Row],[b3]]&lt;$M$989*$G$3,$M$989*$G$3,Tab.11[[#This Row],[b3]])))</f>
        <v>0</v>
      </c>
      <c r="H256" s="66" t="b">
        <f>IF(Tab.11[[#This Row],[a1]]=1,Tab.11[[#This Row],[b1]])</f>
        <v>0</v>
      </c>
      <c r="I256" s="67" t="b">
        <f>IF(Tab.11[[#This Row],[a1]]=1,Tab.11[[#This Row],[b1]])</f>
        <v>0</v>
      </c>
      <c r="J256" s="68" t="b">
        <f>IF(Tab.11[[#This Row],[a1]]=1,IF($I$3&lt;0,Tab.11[[#This Row],[b5]]-$I$3,Tab.11[[#This Row],[b5]]))</f>
        <v>0</v>
      </c>
      <c r="K256" s="68" t="b">
        <f>IF(Tab.11[[#This Row],[a1]]=1,IF($K$3=0,Tab.11[b6],Tab.11[[#This Row],[b6]]-AVERAGE(Tab.11[b6])))</f>
        <v>0</v>
      </c>
      <c r="L256" s="69" t="b">
        <f>IF(Tab.11[[#This Row],[a1]]=1,Tab.11[[#This Row],[data]]/(_xlfn.STDEV.P(Tab.11[data])*$B$989)+$A$989)</f>
        <v>0</v>
      </c>
      <c r="M256" s="69" t="b">
        <f>IF(Tab.11[[#This Row],[a1]]=1,Tab.11[[#This Row],[data]]/(_xlfn.STDEV.P(Tab.11[data])*$B$987)-$A$987)</f>
        <v>0</v>
      </c>
      <c r="N256" s="69" t="b">
        <f>IF(Tab.11[[#This Row],[a1]]=1,Tab.11[[#This Row],[data]]/(_xlfn.STDEV.P(Tab.11[data])*$B$988)+$A$988)</f>
        <v>0</v>
      </c>
      <c r="O256" s="70" t="b">
        <f>IF(Tab.11[[#This Row],[a1]]=1,_xlfn.NORM.DIST(Tab.11[[#This Row],[b8]],$P$1,$Q$1,FALSE))</f>
        <v>0</v>
      </c>
      <c r="P256" s="70" t="b">
        <f>IF(Tab.11[[#This Row],[a1]]=1,_xlfn.NORM.DIST(Tab.11[[#This Row],[b9]],$P$1,$Q$1,FALSE))</f>
        <v>0</v>
      </c>
      <c r="Q256" s="70" t="b">
        <f>IF(Tab.11[[#This Row],[a1]]=1,_xlfn.NORM.DIST(Tab.11[[#This Row],[b10]],$P$1,$Q$1,FALSE))</f>
        <v>0</v>
      </c>
      <c r="R256" s="67" t="b">
        <f>IF(Tab.11[[#This Row],[a1]]=1,$I$3+$A$989+IF($K$3=0,Tab.11[[#This Row],[b8]]*_xlfn.STDEV.P(Tab.11[data]),AVERAGE(Tab.11[b6])+Tab.11[[#This Row],[b8]]*_xlfn.STDEV.P(Tab.11[data])))</f>
        <v>0</v>
      </c>
      <c r="S256" s="71" t="b">
        <f>IF(Tab.11[[#This Row],[a1]]=1,$I$3+$A$987+IF($K$3=0,Tab.11[[#This Row],[b9]]*_xlfn.STDEV.P(Tab.11[data]),AVERAGE(Tab.11[b6])+Tab.11[[#This Row],[b9]]*_xlfn.STDEV.P(Tab.11[data])))</f>
        <v>0</v>
      </c>
      <c r="T256" s="71" t="b">
        <f>IF(Tab.11[[#This Row],[a1]]=1,$I$3+$A$988+IF($K$3=0,Tab.11[[#This Row],[b10]]*_xlfn.STDEV.P(Tab.11[data]),AVERAGE(Tab.11[b6])+Tab.11[[#This Row],[b10]]*_xlfn.STDEV.P(Tab.11[data])))</f>
        <v>0</v>
      </c>
      <c r="U256" s="72" t="b">
        <f>IF(Tab.11[[#This Row],[a1]]=1,Tab.11[[#This Row],[target]]-Tab.11[[#This Row],[Red]])</f>
        <v>0</v>
      </c>
      <c r="V256" s="72" t="b">
        <f>IF(Tab.11[[#This Row],[a1]]=1,Tab.11[[#This Row],[target]]-Tab.11[[#This Row],[Blue]])</f>
        <v>0</v>
      </c>
      <c r="W256" s="73" t="b">
        <f>IF(Tab.11[[#This Row],[a1]]=1,IF(ABS(Tab.11[[#This Row],[b17]])+ABS(Tab.11[[#This Row],[b18]])&lt;$W$2,$W$2,ABS(Tab.11[[#This Row],[b17]])+ABS(Tab.11[[#This Row],[b18]])))</f>
        <v>0</v>
      </c>
      <c r="X256" s="136" t="b">
        <f>IF(Tab.11[[#This Row],[a1]]=1,IF($W$3&lt;0,Tab.11[[#This Row],[IN]]-$I$3,Tab.11[[#This Row],[IN]]))</f>
        <v>0</v>
      </c>
      <c r="Y256" s="136" t="b">
        <f>IF(Tab.11[[#This Row],[a1]]=1,IF($X$3=0,Tab.11[b66],Tab.11[[#This Row],[b66]]-AVERAGE(Tab.11[b66])))</f>
        <v>0</v>
      </c>
      <c r="Z256" s="135" t="b">
        <f>IF(Tab.11[[#This Row],[a1]]=1,Tab.11[[#This Row],[b77]]/(_xlfn.STDEV.P(Tab.11[b77])))</f>
        <v>0</v>
      </c>
      <c r="AA256" s="70" t="b">
        <f>IF(Tab.11[[#This Row],[a1]]=1,_xlfn.NORM.DIST(Tab.11[[#This Row],[b88]],$Z$1,$AA$1,FALSE))</f>
        <v>0</v>
      </c>
      <c r="AB256" s="74" t="b">
        <f>IF(Tab.11[[#This Row],[a1]]=1,IF($A$3=0,FALSE,1/Tab.11[[#This Row],[IN]]*$AC$2*IF(Tab.11[[#This Row],[a1]]=0,,$A$3*$AC$1*1/$V$3*(Tab.11[[#This Row],[b14]]))))</f>
        <v>0</v>
      </c>
      <c r="AC256" s="75" t="b">
        <f>IF(Tab.11[[#This Row],[a1]]=1,IF($AC$3=0,Tab.11[[#This Row],[φ1]],Tab.11[[#This Row],[φ1]]/MAX(Tab.11[φ1])))</f>
        <v>0</v>
      </c>
      <c r="AD256" s="74" t="b">
        <f>IF(Tab.11[[#This Row],[a1]]=1,1/Tab.11[[#This Row],[φ2]])</f>
        <v>0</v>
      </c>
      <c r="AE256" s="74" t="b">
        <f>IF(Tab.11[[#This Row],[a1]]=1,IF($AE$3=0,Tab.11[[#This Row],[w.0]],Tab.11[[#This Row],[w.0]]/SUM(Tab.11[w.0])))</f>
        <v>0</v>
      </c>
      <c r="AF256" s="76" t="str">
        <f>IF(Tab.11[[#This Row],[a1]]=0,"false",[3]!Tab.x5[[#This Row],[%_seN_C]])</f>
        <v>false</v>
      </c>
      <c r="AG256" s="77" t="b">
        <f>IF(Tab.11[[#This Row],[a1]]=1,AP256)</f>
        <v>0</v>
      </c>
      <c r="AH256" s="78" t="b">
        <f>IF(Tab.11[[#This Row],[a1]]=1,AQ256)</f>
        <v>0</v>
      </c>
      <c r="AI256" s="41">
        <v>3.0000000000000001E-3</v>
      </c>
      <c r="AJ256" s="79">
        <v>0.08</v>
      </c>
      <c r="AK256" s="80" t="b">
        <f>IF(Tab.11[[#This Row],[a1]]=1,1)</f>
        <v>0</v>
      </c>
      <c r="AZ256"/>
    </row>
    <row r="257" spans="1:52" hidden="1" x14ac:dyDescent="0.25">
      <c r="A257" s="61">
        <f t="shared" si="9"/>
        <v>0</v>
      </c>
      <c r="B257" s="62">
        <f t="shared" si="9"/>
        <v>0</v>
      </c>
      <c r="C257" s="62" t="b">
        <f>IF(Tab.11[[#This Row],[a1]]=1,[3]!Tab_x1[[#This Row],[Name]])</f>
        <v>0</v>
      </c>
      <c r="D257" s="63" t="b">
        <f>IF(Tab.11[[#This Row],[a1]]=1,AO257)</f>
        <v>0</v>
      </c>
      <c r="E257" s="63">
        <f t="shared" si="8"/>
        <v>0</v>
      </c>
      <c r="F257" s="64" t="b">
        <f>IF(Tab.11[[#This Row],[a1]]=1,Tab.11[[#This Row],[b1]])</f>
        <v>0</v>
      </c>
      <c r="G257" s="65" t="b">
        <f>IF(Tab.11[[#This Row],[a1]]=1,IF(Tab.11[[#This Row],[b3]]&gt;$L$989*$G$3,$L$989*$G$3,IF(Tab.11[[#This Row],[b3]]&lt;$M$989*$G$3,$M$989*$G$3,Tab.11[[#This Row],[b3]])))</f>
        <v>0</v>
      </c>
      <c r="H257" s="66" t="b">
        <f>IF(Tab.11[[#This Row],[a1]]=1,Tab.11[[#This Row],[b1]])</f>
        <v>0</v>
      </c>
      <c r="I257" s="67" t="b">
        <f>IF(Tab.11[[#This Row],[a1]]=1,Tab.11[[#This Row],[b1]])</f>
        <v>0</v>
      </c>
      <c r="J257" s="68" t="b">
        <f>IF(Tab.11[[#This Row],[a1]]=1,IF($I$3&lt;0,Tab.11[[#This Row],[b5]]-$I$3,Tab.11[[#This Row],[b5]]))</f>
        <v>0</v>
      </c>
      <c r="K257" s="68" t="b">
        <f>IF(Tab.11[[#This Row],[a1]]=1,IF($K$3=0,Tab.11[b6],Tab.11[[#This Row],[b6]]-AVERAGE(Tab.11[b6])))</f>
        <v>0</v>
      </c>
      <c r="L257" s="69" t="b">
        <f>IF(Tab.11[[#This Row],[a1]]=1,Tab.11[[#This Row],[data]]/(_xlfn.STDEV.P(Tab.11[data])*$B$989)+$A$989)</f>
        <v>0</v>
      </c>
      <c r="M257" s="69" t="b">
        <f>IF(Tab.11[[#This Row],[a1]]=1,Tab.11[[#This Row],[data]]/(_xlfn.STDEV.P(Tab.11[data])*$B$987)-$A$987)</f>
        <v>0</v>
      </c>
      <c r="N257" s="69" t="b">
        <f>IF(Tab.11[[#This Row],[a1]]=1,Tab.11[[#This Row],[data]]/(_xlfn.STDEV.P(Tab.11[data])*$B$988)+$A$988)</f>
        <v>0</v>
      </c>
      <c r="O257" s="70" t="b">
        <f>IF(Tab.11[[#This Row],[a1]]=1,_xlfn.NORM.DIST(Tab.11[[#This Row],[b8]],$P$1,$Q$1,FALSE))</f>
        <v>0</v>
      </c>
      <c r="P257" s="70" t="b">
        <f>IF(Tab.11[[#This Row],[a1]]=1,_xlfn.NORM.DIST(Tab.11[[#This Row],[b9]],$P$1,$Q$1,FALSE))</f>
        <v>0</v>
      </c>
      <c r="Q257" s="70" t="b">
        <f>IF(Tab.11[[#This Row],[a1]]=1,_xlfn.NORM.DIST(Tab.11[[#This Row],[b10]],$P$1,$Q$1,FALSE))</f>
        <v>0</v>
      </c>
      <c r="R257" s="67" t="b">
        <f>IF(Tab.11[[#This Row],[a1]]=1,$I$3+$A$989+IF($K$3=0,Tab.11[[#This Row],[b8]]*_xlfn.STDEV.P(Tab.11[data]),AVERAGE(Tab.11[b6])+Tab.11[[#This Row],[b8]]*_xlfn.STDEV.P(Tab.11[data])))</f>
        <v>0</v>
      </c>
      <c r="S257" s="71" t="b">
        <f>IF(Tab.11[[#This Row],[a1]]=1,$I$3+$A$987+IF($K$3=0,Tab.11[[#This Row],[b9]]*_xlfn.STDEV.P(Tab.11[data]),AVERAGE(Tab.11[b6])+Tab.11[[#This Row],[b9]]*_xlfn.STDEV.P(Tab.11[data])))</f>
        <v>0</v>
      </c>
      <c r="T257" s="71" t="b">
        <f>IF(Tab.11[[#This Row],[a1]]=1,$I$3+$A$988+IF($K$3=0,Tab.11[[#This Row],[b10]]*_xlfn.STDEV.P(Tab.11[data]),AVERAGE(Tab.11[b6])+Tab.11[[#This Row],[b10]]*_xlfn.STDEV.P(Tab.11[data])))</f>
        <v>0</v>
      </c>
      <c r="U257" s="72" t="b">
        <f>IF(Tab.11[[#This Row],[a1]]=1,Tab.11[[#This Row],[target]]-Tab.11[[#This Row],[Red]])</f>
        <v>0</v>
      </c>
      <c r="V257" s="72" t="b">
        <f>IF(Tab.11[[#This Row],[a1]]=1,Tab.11[[#This Row],[target]]-Tab.11[[#This Row],[Blue]])</f>
        <v>0</v>
      </c>
      <c r="W257" s="73" t="b">
        <f>IF(Tab.11[[#This Row],[a1]]=1,IF(ABS(Tab.11[[#This Row],[b17]])+ABS(Tab.11[[#This Row],[b18]])&lt;$W$2,$W$2,ABS(Tab.11[[#This Row],[b17]])+ABS(Tab.11[[#This Row],[b18]])))</f>
        <v>0</v>
      </c>
      <c r="X257" s="136" t="b">
        <f>IF(Tab.11[[#This Row],[a1]]=1,IF($W$3&lt;0,Tab.11[[#This Row],[IN]]-$I$3,Tab.11[[#This Row],[IN]]))</f>
        <v>0</v>
      </c>
      <c r="Y257" s="136" t="b">
        <f>IF(Tab.11[[#This Row],[a1]]=1,IF($X$3=0,Tab.11[b66],Tab.11[[#This Row],[b66]]-AVERAGE(Tab.11[b66])))</f>
        <v>0</v>
      </c>
      <c r="Z257" s="135" t="b">
        <f>IF(Tab.11[[#This Row],[a1]]=1,Tab.11[[#This Row],[b77]]/(_xlfn.STDEV.P(Tab.11[b77])))</f>
        <v>0</v>
      </c>
      <c r="AA257" s="70" t="b">
        <f>IF(Tab.11[[#This Row],[a1]]=1,_xlfn.NORM.DIST(Tab.11[[#This Row],[b88]],$Z$1,$AA$1,FALSE))</f>
        <v>0</v>
      </c>
      <c r="AB257" s="74" t="b">
        <f>IF(Tab.11[[#This Row],[a1]]=1,IF($A$3=0,FALSE,1/Tab.11[[#This Row],[IN]]*$AC$2*IF(Tab.11[[#This Row],[a1]]=0,,$A$3*$AC$1*1/$V$3*(Tab.11[[#This Row],[b14]]))))</f>
        <v>0</v>
      </c>
      <c r="AC257" s="75" t="b">
        <f>IF(Tab.11[[#This Row],[a1]]=1,IF($AC$3=0,Tab.11[[#This Row],[φ1]],Tab.11[[#This Row],[φ1]]/MAX(Tab.11[φ1])))</f>
        <v>0</v>
      </c>
      <c r="AD257" s="74" t="b">
        <f>IF(Tab.11[[#This Row],[a1]]=1,1/Tab.11[[#This Row],[φ2]])</f>
        <v>0</v>
      </c>
      <c r="AE257" s="74" t="b">
        <f>IF(Tab.11[[#This Row],[a1]]=1,IF($AE$3=0,Tab.11[[#This Row],[w.0]],Tab.11[[#This Row],[w.0]]/SUM(Tab.11[w.0])))</f>
        <v>0</v>
      </c>
      <c r="AF257" s="76" t="str">
        <f>IF(Tab.11[[#This Row],[a1]]=0,"false",[3]!Tab.x5[[#This Row],[%_seN_C]])</f>
        <v>false</v>
      </c>
      <c r="AG257" s="77" t="b">
        <f>IF(Tab.11[[#This Row],[a1]]=1,AP257)</f>
        <v>0</v>
      </c>
      <c r="AH257" s="78" t="b">
        <f>IF(Tab.11[[#This Row],[a1]]=1,AQ257)</f>
        <v>0</v>
      </c>
      <c r="AI257" s="41">
        <v>3.0000000000000001E-3</v>
      </c>
      <c r="AJ257" s="79">
        <v>0.09</v>
      </c>
      <c r="AK257" s="80" t="b">
        <f>IF(Tab.11[[#This Row],[a1]]=1,1)</f>
        <v>0</v>
      </c>
      <c r="AZ257"/>
    </row>
    <row r="258" spans="1:52" hidden="1" x14ac:dyDescent="0.25">
      <c r="A258" s="61">
        <f t="shared" si="9"/>
        <v>0</v>
      </c>
      <c r="B258" s="62">
        <f t="shared" si="9"/>
        <v>0</v>
      </c>
      <c r="C258" s="62" t="b">
        <f>IF(Tab.11[[#This Row],[a1]]=1,[3]!Tab_x1[[#This Row],[Name]])</f>
        <v>0</v>
      </c>
      <c r="D258" s="63" t="b">
        <f>IF(Tab.11[[#This Row],[a1]]=1,AO258)</f>
        <v>0</v>
      </c>
      <c r="E258" s="63">
        <f t="shared" si="8"/>
        <v>0</v>
      </c>
      <c r="F258" s="64" t="b">
        <f>IF(Tab.11[[#This Row],[a1]]=1,Tab.11[[#This Row],[b1]])</f>
        <v>0</v>
      </c>
      <c r="G258" s="65" t="b">
        <f>IF(Tab.11[[#This Row],[a1]]=1,IF(Tab.11[[#This Row],[b3]]&gt;$L$989*$G$3,$L$989*$G$3,IF(Tab.11[[#This Row],[b3]]&lt;$M$989*$G$3,$M$989*$G$3,Tab.11[[#This Row],[b3]])))</f>
        <v>0</v>
      </c>
      <c r="H258" s="66" t="b">
        <f>IF(Tab.11[[#This Row],[a1]]=1,Tab.11[[#This Row],[b1]])</f>
        <v>0</v>
      </c>
      <c r="I258" s="67" t="b">
        <f>IF(Tab.11[[#This Row],[a1]]=1,Tab.11[[#This Row],[b1]])</f>
        <v>0</v>
      </c>
      <c r="J258" s="68" t="b">
        <f>IF(Tab.11[[#This Row],[a1]]=1,IF($I$3&lt;0,Tab.11[[#This Row],[b5]]-$I$3,Tab.11[[#This Row],[b5]]))</f>
        <v>0</v>
      </c>
      <c r="K258" s="68" t="b">
        <f>IF(Tab.11[[#This Row],[a1]]=1,IF($K$3=0,Tab.11[b6],Tab.11[[#This Row],[b6]]-AVERAGE(Tab.11[b6])))</f>
        <v>0</v>
      </c>
      <c r="L258" s="69" t="b">
        <f>IF(Tab.11[[#This Row],[a1]]=1,Tab.11[[#This Row],[data]]/(_xlfn.STDEV.P(Tab.11[data])*$B$989)+$A$989)</f>
        <v>0</v>
      </c>
      <c r="M258" s="69" t="b">
        <f>IF(Tab.11[[#This Row],[a1]]=1,Tab.11[[#This Row],[data]]/(_xlfn.STDEV.P(Tab.11[data])*$B$987)-$A$987)</f>
        <v>0</v>
      </c>
      <c r="N258" s="69" t="b">
        <f>IF(Tab.11[[#This Row],[a1]]=1,Tab.11[[#This Row],[data]]/(_xlfn.STDEV.P(Tab.11[data])*$B$988)+$A$988)</f>
        <v>0</v>
      </c>
      <c r="O258" s="70" t="b">
        <f>IF(Tab.11[[#This Row],[a1]]=1,_xlfn.NORM.DIST(Tab.11[[#This Row],[b8]],$P$1,$Q$1,FALSE))</f>
        <v>0</v>
      </c>
      <c r="P258" s="70" t="b">
        <f>IF(Tab.11[[#This Row],[a1]]=1,_xlfn.NORM.DIST(Tab.11[[#This Row],[b9]],$P$1,$Q$1,FALSE))</f>
        <v>0</v>
      </c>
      <c r="Q258" s="70" t="b">
        <f>IF(Tab.11[[#This Row],[a1]]=1,_xlfn.NORM.DIST(Tab.11[[#This Row],[b10]],$P$1,$Q$1,FALSE))</f>
        <v>0</v>
      </c>
      <c r="R258" s="67" t="b">
        <f>IF(Tab.11[[#This Row],[a1]]=1,$I$3+$A$989+IF($K$3=0,Tab.11[[#This Row],[b8]]*_xlfn.STDEV.P(Tab.11[data]),AVERAGE(Tab.11[b6])+Tab.11[[#This Row],[b8]]*_xlfn.STDEV.P(Tab.11[data])))</f>
        <v>0</v>
      </c>
      <c r="S258" s="71" t="b">
        <f>IF(Tab.11[[#This Row],[a1]]=1,$I$3+$A$987+IF($K$3=0,Tab.11[[#This Row],[b9]]*_xlfn.STDEV.P(Tab.11[data]),AVERAGE(Tab.11[b6])+Tab.11[[#This Row],[b9]]*_xlfn.STDEV.P(Tab.11[data])))</f>
        <v>0</v>
      </c>
      <c r="T258" s="71" t="b">
        <f>IF(Tab.11[[#This Row],[a1]]=1,$I$3+$A$988+IF($K$3=0,Tab.11[[#This Row],[b10]]*_xlfn.STDEV.P(Tab.11[data]),AVERAGE(Tab.11[b6])+Tab.11[[#This Row],[b10]]*_xlfn.STDEV.P(Tab.11[data])))</f>
        <v>0</v>
      </c>
      <c r="U258" s="72" t="b">
        <f>IF(Tab.11[[#This Row],[a1]]=1,Tab.11[[#This Row],[target]]-Tab.11[[#This Row],[Red]])</f>
        <v>0</v>
      </c>
      <c r="V258" s="72" t="b">
        <f>IF(Tab.11[[#This Row],[a1]]=1,Tab.11[[#This Row],[target]]-Tab.11[[#This Row],[Blue]])</f>
        <v>0</v>
      </c>
      <c r="W258" s="73" t="b">
        <f>IF(Tab.11[[#This Row],[a1]]=1,IF(ABS(Tab.11[[#This Row],[b17]])+ABS(Tab.11[[#This Row],[b18]])&lt;$W$2,$W$2,ABS(Tab.11[[#This Row],[b17]])+ABS(Tab.11[[#This Row],[b18]])))</f>
        <v>0</v>
      </c>
      <c r="X258" s="136" t="b">
        <f>IF(Tab.11[[#This Row],[a1]]=1,IF($W$3&lt;0,Tab.11[[#This Row],[IN]]-$I$3,Tab.11[[#This Row],[IN]]))</f>
        <v>0</v>
      </c>
      <c r="Y258" s="136" t="b">
        <f>IF(Tab.11[[#This Row],[a1]]=1,IF($X$3=0,Tab.11[b66],Tab.11[[#This Row],[b66]]-AVERAGE(Tab.11[b66])))</f>
        <v>0</v>
      </c>
      <c r="Z258" s="135" t="b">
        <f>IF(Tab.11[[#This Row],[a1]]=1,Tab.11[[#This Row],[b77]]/(_xlfn.STDEV.P(Tab.11[b77])))</f>
        <v>0</v>
      </c>
      <c r="AA258" s="70" t="b">
        <f>IF(Tab.11[[#This Row],[a1]]=1,_xlfn.NORM.DIST(Tab.11[[#This Row],[b88]],$Z$1,$AA$1,FALSE))</f>
        <v>0</v>
      </c>
      <c r="AB258" s="74" t="b">
        <f>IF(Tab.11[[#This Row],[a1]]=1,IF($A$3=0,FALSE,1/Tab.11[[#This Row],[IN]]*$AC$2*IF(Tab.11[[#This Row],[a1]]=0,,$A$3*$AC$1*1/$V$3*(Tab.11[[#This Row],[b14]]))))</f>
        <v>0</v>
      </c>
      <c r="AC258" s="75" t="b">
        <f>IF(Tab.11[[#This Row],[a1]]=1,IF($AC$3=0,Tab.11[[#This Row],[φ1]],Tab.11[[#This Row],[φ1]]/MAX(Tab.11[φ1])))</f>
        <v>0</v>
      </c>
      <c r="AD258" s="74" t="b">
        <f>IF(Tab.11[[#This Row],[a1]]=1,1/Tab.11[[#This Row],[φ2]])</f>
        <v>0</v>
      </c>
      <c r="AE258" s="74" t="b">
        <f>IF(Tab.11[[#This Row],[a1]]=1,IF($AE$3=0,Tab.11[[#This Row],[w.0]],Tab.11[[#This Row],[w.0]]/SUM(Tab.11[w.0])))</f>
        <v>0</v>
      </c>
      <c r="AF258" s="76" t="str">
        <f>IF(Tab.11[[#This Row],[a1]]=0,"false",[3]!Tab.x5[[#This Row],[%_seN_C]])</f>
        <v>false</v>
      </c>
      <c r="AG258" s="77" t="b">
        <f>IF(Tab.11[[#This Row],[a1]]=1,AP258)</f>
        <v>0</v>
      </c>
      <c r="AH258" s="78" t="b">
        <f>IF(Tab.11[[#This Row],[a1]]=1,AQ258)</f>
        <v>0</v>
      </c>
      <c r="AI258" s="41">
        <v>3.0000000000000001E-3</v>
      </c>
      <c r="AJ258" s="79">
        <v>0.09</v>
      </c>
      <c r="AK258" s="80" t="b">
        <f>IF(Tab.11[[#This Row],[a1]]=1,1)</f>
        <v>0</v>
      </c>
      <c r="AZ258"/>
    </row>
    <row r="259" spans="1:52" hidden="1" x14ac:dyDescent="0.25">
      <c r="A259" s="61">
        <f t="shared" si="9"/>
        <v>0</v>
      </c>
      <c r="B259" s="62">
        <f t="shared" si="9"/>
        <v>0</v>
      </c>
      <c r="C259" s="62" t="b">
        <f>IF(Tab.11[[#This Row],[a1]]=1,[3]!Tab_x1[[#This Row],[Name]])</f>
        <v>0</v>
      </c>
      <c r="D259" s="63" t="b">
        <f>IF(Tab.11[[#This Row],[a1]]=1,AO259)</f>
        <v>0</v>
      </c>
      <c r="E259" s="63">
        <f t="shared" si="8"/>
        <v>0</v>
      </c>
      <c r="F259" s="64" t="b">
        <f>IF(Tab.11[[#This Row],[a1]]=1,Tab.11[[#This Row],[b1]])</f>
        <v>0</v>
      </c>
      <c r="G259" s="65" t="b">
        <f>IF(Tab.11[[#This Row],[a1]]=1,IF(Tab.11[[#This Row],[b3]]&gt;$L$989*$G$3,$L$989*$G$3,IF(Tab.11[[#This Row],[b3]]&lt;$M$989*$G$3,$M$989*$G$3,Tab.11[[#This Row],[b3]])))</f>
        <v>0</v>
      </c>
      <c r="H259" s="66" t="b">
        <f>IF(Tab.11[[#This Row],[a1]]=1,Tab.11[[#This Row],[b1]])</f>
        <v>0</v>
      </c>
      <c r="I259" s="67" t="b">
        <f>IF(Tab.11[[#This Row],[a1]]=1,Tab.11[[#This Row],[b1]])</f>
        <v>0</v>
      </c>
      <c r="J259" s="68" t="b">
        <f>IF(Tab.11[[#This Row],[a1]]=1,IF($I$3&lt;0,Tab.11[[#This Row],[b5]]-$I$3,Tab.11[[#This Row],[b5]]))</f>
        <v>0</v>
      </c>
      <c r="K259" s="68" t="b">
        <f>IF(Tab.11[[#This Row],[a1]]=1,IF($K$3=0,Tab.11[b6],Tab.11[[#This Row],[b6]]-AVERAGE(Tab.11[b6])))</f>
        <v>0</v>
      </c>
      <c r="L259" s="69" t="b">
        <f>IF(Tab.11[[#This Row],[a1]]=1,Tab.11[[#This Row],[data]]/(_xlfn.STDEV.P(Tab.11[data])*$B$989)+$A$989)</f>
        <v>0</v>
      </c>
      <c r="M259" s="69" t="b">
        <f>IF(Tab.11[[#This Row],[a1]]=1,Tab.11[[#This Row],[data]]/(_xlfn.STDEV.P(Tab.11[data])*$B$987)-$A$987)</f>
        <v>0</v>
      </c>
      <c r="N259" s="69" t="b">
        <f>IF(Tab.11[[#This Row],[a1]]=1,Tab.11[[#This Row],[data]]/(_xlfn.STDEV.P(Tab.11[data])*$B$988)+$A$988)</f>
        <v>0</v>
      </c>
      <c r="O259" s="70" t="b">
        <f>IF(Tab.11[[#This Row],[a1]]=1,_xlfn.NORM.DIST(Tab.11[[#This Row],[b8]],$P$1,$Q$1,FALSE))</f>
        <v>0</v>
      </c>
      <c r="P259" s="70" t="b">
        <f>IF(Tab.11[[#This Row],[a1]]=1,_xlfn.NORM.DIST(Tab.11[[#This Row],[b9]],$P$1,$Q$1,FALSE))</f>
        <v>0</v>
      </c>
      <c r="Q259" s="70" t="b">
        <f>IF(Tab.11[[#This Row],[a1]]=1,_xlfn.NORM.DIST(Tab.11[[#This Row],[b10]],$P$1,$Q$1,FALSE))</f>
        <v>0</v>
      </c>
      <c r="R259" s="67" t="b">
        <f>IF(Tab.11[[#This Row],[a1]]=1,$I$3+$A$989+IF($K$3=0,Tab.11[[#This Row],[b8]]*_xlfn.STDEV.P(Tab.11[data]),AVERAGE(Tab.11[b6])+Tab.11[[#This Row],[b8]]*_xlfn.STDEV.P(Tab.11[data])))</f>
        <v>0</v>
      </c>
      <c r="S259" s="71" t="b">
        <f>IF(Tab.11[[#This Row],[a1]]=1,$I$3+$A$987+IF($K$3=0,Tab.11[[#This Row],[b9]]*_xlfn.STDEV.P(Tab.11[data]),AVERAGE(Tab.11[b6])+Tab.11[[#This Row],[b9]]*_xlfn.STDEV.P(Tab.11[data])))</f>
        <v>0</v>
      </c>
      <c r="T259" s="71" t="b">
        <f>IF(Tab.11[[#This Row],[a1]]=1,$I$3+$A$988+IF($K$3=0,Tab.11[[#This Row],[b10]]*_xlfn.STDEV.P(Tab.11[data]),AVERAGE(Tab.11[b6])+Tab.11[[#This Row],[b10]]*_xlfn.STDEV.P(Tab.11[data])))</f>
        <v>0</v>
      </c>
      <c r="U259" s="72" t="b">
        <f>IF(Tab.11[[#This Row],[a1]]=1,Tab.11[[#This Row],[target]]-Tab.11[[#This Row],[Red]])</f>
        <v>0</v>
      </c>
      <c r="V259" s="72" t="b">
        <f>IF(Tab.11[[#This Row],[a1]]=1,Tab.11[[#This Row],[target]]-Tab.11[[#This Row],[Blue]])</f>
        <v>0</v>
      </c>
      <c r="W259" s="73" t="b">
        <f>IF(Tab.11[[#This Row],[a1]]=1,IF(ABS(Tab.11[[#This Row],[b17]])+ABS(Tab.11[[#This Row],[b18]])&lt;$W$2,$W$2,ABS(Tab.11[[#This Row],[b17]])+ABS(Tab.11[[#This Row],[b18]])))</f>
        <v>0</v>
      </c>
      <c r="X259" s="136" t="b">
        <f>IF(Tab.11[[#This Row],[a1]]=1,IF($W$3&lt;0,Tab.11[[#This Row],[IN]]-$I$3,Tab.11[[#This Row],[IN]]))</f>
        <v>0</v>
      </c>
      <c r="Y259" s="136" t="b">
        <f>IF(Tab.11[[#This Row],[a1]]=1,IF($X$3=0,Tab.11[b66],Tab.11[[#This Row],[b66]]-AVERAGE(Tab.11[b66])))</f>
        <v>0</v>
      </c>
      <c r="Z259" s="135" t="b">
        <f>IF(Tab.11[[#This Row],[a1]]=1,Tab.11[[#This Row],[b77]]/(_xlfn.STDEV.P(Tab.11[b77])))</f>
        <v>0</v>
      </c>
      <c r="AA259" s="70" t="b">
        <f>IF(Tab.11[[#This Row],[a1]]=1,_xlfn.NORM.DIST(Tab.11[[#This Row],[b88]],$Z$1,$AA$1,FALSE))</f>
        <v>0</v>
      </c>
      <c r="AB259" s="74" t="b">
        <f>IF(Tab.11[[#This Row],[a1]]=1,IF($A$3=0,FALSE,1/Tab.11[[#This Row],[IN]]*$AC$2*IF(Tab.11[[#This Row],[a1]]=0,,$A$3*$AC$1*1/$V$3*(Tab.11[[#This Row],[b14]]))))</f>
        <v>0</v>
      </c>
      <c r="AC259" s="75" t="b">
        <f>IF(Tab.11[[#This Row],[a1]]=1,IF($AC$3=0,Tab.11[[#This Row],[φ1]],Tab.11[[#This Row],[φ1]]/MAX(Tab.11[φ1])))</f>
        <v>0</v>
      </c>
      <c r="AD259" s="74" t="b">
        <f>IF(Tab.11[[#This Row],[a1]]=1,1/Tab.11[[#This Row],[φ2]])</f>
        <v>0</v>
      </c>
      <c r="AE259" s="74" t="b">
        <f>IF(Tab.11[[#This Row],[a1]]=1,IF($AE$3=0,Tab.11[[#This Row],[w.0]],Tab.11[[#This Row],[w.0]]/SUM(Tab.11[w.0])))</f>
        <v>0</v>
      </c>
      <c r="AF259" s="76" t="str">
        <f>IF(Tab.11[[#This Row],[a1]]=0,"false",[3]!Tab.x5[[#This Row],[%_seN_C]])</f>
        <v>false</v>
      </c>
      <c r="AG259" s="77" t="b">
        <f>IF(Tab.11[[#This Row],[a1]]=1,AP259)</f>
        <v>0</v>
      </c>
      <c r="AH259" s="78" t="b">
        <f>IF(Tab.11[[#This Row],[a1]]=1,AQ259)</f>
        <v>0</v>
      </c>
      <c r="AI259" s="41">
        <v>3.0000000000000001E-3</v>
      </c>
      <c r="AJ259" s="79">
        <v>7.0000000000000007E-2</v>
      </c>
      <c r="AK259" s="80" t="b">
        <f>IF(Tab.11[[#This Row],[a1]]=1,1)</f>
        <v>0</v>
      </c>
      <c r="AZ259"/>
    </row>
    <row r="260" spans="1:52" hidden="1" x14ac:dyDescent="0.25">
      <c r="A260" s="61">
        <f t="shared" si="9"/>
        <v>0</v>
      </c>
      <c r="B260" s="62">
        <f t="shared" si="9"/>
        <v>0</v>
      </c>
      <c r="C260" s="62" t="b">
        <f>IF(Tab.11[[#This Row],[a1]]=1,[3]!Tab_x1[[#This Row],[Name]])</f>
        <v>0</v>
      </c>
      <c r="D260" s="63" t="b">
        <f>IF(Tab.11[[#This Row],[a1]]=1,AO260)</f>
        <v>0</v>
      </c>
      <c r="E260" s="63">
        <f t="shared" si="8"/>
        <v>0</v>
      </c>
      <c r="F260" s="64" t="b">
        <f>IF(Tab.11[[#This Row],[a1]]=1,Tab.11[[#This Row],[b1]])</f>
        <v>0</v>
      </c>
      <c r="G260" s="65" t="b">
        <f>IF(Tab.11[[#This Row],[a1]]=1,IF(Tab.11[[#This Row],[b3]]&gt;$L$989*$G$3,$L$989*$G$3,IF(Tab.11[[#This Row],[b3]]&lt;$M$989*$G$3,$M$989*$G$3,Tab.11[[#This Row],[b3]])))</f>
        <v>0</v>
      </c>
      <c r="H260" s="66" t="b">
        <f>IF(Tab.11[[#This Row],[a1]]=1,Tab.11[[#This Row],[b1]])</f>
        <v>0</v>
      </c>
      <c r="I260" s="67" t="b">
        <f>IF(Tab.11[[#This Row],[a1]]=1,Tab.11[[#This Row],[b1]])</f>
        <v>0</v>
      </c>
      <c r="J260" s="68" t="b">
        <f>IF(Tab.11[[#This Row],[a1]]=1,IF($I$3&lt;0,Tab.11[[#This Row],[b5]]-$I$3,Tab.11[[#This Row],[b5]]))</f>
        <v>0</v>
      </c>
      <c r="K260" s="68" t="b">
        <f>IF(Tab.11[[#This Row],[a1]]=1,IF($K$3=0,Tab.11[b6],Tab.11[[#This Row],[b6]]-AVERAGE(Tab.11[b6])))</f>
        <v>0</v>
      </c>
      <c r="L260" s="69" t="b">
        <f>IF(Tab.11[[#This Row],[a1]]=1,Tab.11[[#This Row],[data]]/(_xlfn.STDEV.P(Tab.11[data])*$B$989)+$A$989)</f>
        <v>0</v>
      </c>
      <c r="M260" s="69" t="b">
        <f>IF(Tab.11[[#This Row],[a1]]=1,Tab.11[[#This Row],[data]]/(_xlfn.STDEV.P(Tab.11[data])*$B$987)-$A$987)</f>
        <v>0</v>
      </c>
      <c r="N260" s="69" t="b">
        <f>IF(Tab.11[[#This Row],[a1]]=1,Tab.11[[#This Row],[data]]/(_xlfn.STDEV.P(Tab.11[data])*$B$988)+$A$988)</f>
        <v>0</v>
      </c>
      <c r="O260" s="70" t="b">
        <f>IF(Tab.11[[#This Row],[a1]]=1,_xlfn.NORM.DIST(Tab.11[[#This Row],[b8]],$P$1,$Q$1,FALSE))</f>
        <v>0</v>
      </c>
      <c r="P260" s="70" t="b">
        <f>IF(Tab.11[[#This Row],[a1]]=1,_xlfn.NORM.DIST(Tab.11[[#This Row],[b9]],$P$1,$Q$1,FALSE))</f>
        <v>0</v>
      </c>
      <c r="Q260" s="70" t="b">
        <f>IF(Tab.11[[#This Row],[a1]]=1,_xlfn.NORM.DIST(Tab.11[[#This Row],[b10]],$P$1,$Q$1,FALSE))</f>
        <v>0</v>
      </c>
      <c r="R260" s="67" t="b">
        <f>IF(Tab.11[[#This Row],[a1]]=1,$I$3+$A$989+IF($K$3=0,Tab.11[[#This Row],[b8]]*_xlfn.STDEV.P(Tab.11[data]),AVERAGE(Tab.11[b6])+Tab.11[[#This Row],[b8]]*_xlfn.STDEV.P(Tab.11[data])))</f>
        <v>0</v>
      </c>
      <c r="S260" s="71" t="b">
        <f>IF(Tab.11[[#This Row],[a1]]=1,$I$3+$A$987+IF($K$3=0,Tab.11[[#This Row],[b9]]*_xlfn.STDEV.P(Tab.11[data]),AVERAGE(Tab.11[b6])+Tab.11[[#This Row],[b9]]*_xlfn.STDEV.P(Tab.11[data])))</f>
        <v>0</v>
      </c>
      <c r="T260" s="71" t="b">
        <f>IF(Tab.11[[#This Row],[a1]]=1,$I$3+$A$988+IF($K$3=0,Tab.11[[#This Row],[b10]]*_xlfn.STDEV.P(Tab.11[data]),AVERAGE(Tab.11[b6])+Tab.11[[#This Row],[b10]]*_xlfn.STDEV.P(Tab.11[data])))</f>
        <v>0</v>
      </c>
      <c r="U260" s="72" t="b">
        <f>IF(Tab.11[[#This Row],[a1]]=1,Tab.11[[#This Row],[target]]-Tab.11[[#This Row],[Red]])</f>
        <v>0</v>
      </c>
      <c r="V260" s="72" t="b">
        <f>IF(Tab.11[[#This Row],[a1]]=1,Tab.11[[#This Row],[target]]-Tab.11[[#This Row],[Blue]])</f>
        <v>0</v>
      </c>
      <c r="W260" s="73" t="b">
        <f>IF(Tab.11[[#This Row],[a1]]=1,IF(ABS(Tab.11[[#This Row],[b17]])+ABS(Tab.11[[#This Row],[b18]])&lt;$W$2,$W$2,ABS(Tab.11[[#This Row],[b17]])+ABS(Tab.11[[#This Row],[b18]])))</f>
        <v>0</v>
      </c>
      <c r="X260" s="136" t="b">
        <f>IF(Tab.11[[#This Row],[a1]]=1,IF($W$3&lt;0,Tab.11[[#This Row],[IN]]-$I$3,Tab.11[[#This Row],[IN]]))</f>
        <v>0</v>
      </c>
      <c r="Y260" s="136" t="b">
        <f>IF(Tab.11[[#This Row],[a1]]=1,IF($X$3=0,Tab.11[b66],Tab.11[[#This Row],[b66]]-AVERAGE(Tab.11[b66])))</f>
        <v>0</v>
      </c>
      <c r="Z260" s="135" t="b">
        <f>IF(Tab.11[[#This Row],[a1]]=1,Tab.11[[#This Row],[b77]]/(_xlfn.STDEV.P(Tab.11[b77])))</f>
        <v>0</v>
      </c>
      <c r="AA260" s="70" t="b">
        <f>IF(Tab.11[[#This Row],[a1]]=1,_xlfn.NORM.DIST(Tab.11[[#This Row],[b88]],$Z$1,$AA$1,FALSE))</f>
        <v>0</v>
      </c>
      <c r="AB260" s="74" t="b">
        <f>IF(Tab.11[[#This Row],[a1]]=1,IF($A$3=0,FALSE,1/Tab.11[[#This Row],[IN]]*$AC$2*IF(Tab.11[[#This Row],[a1]]=0,,$A$3*$AC$1*1/$V$3*(Tab.11[[#This Row],[b14]]))))</f>
        <v>0</v>
      </c>
      <c r="AC260" s="75" t="b">
        <f>IF(Tab.11[[#This Row],[a1]]=1,IF($AC$3=0,Tab.11[[#This Row],[φ1]],Tab.11[[#This Row],[φ1]]/MAX(Tab.11[φ1])))</f>
        <v>0</v>
      </c>
      <c r="AD260" s="74" t="b">
        <f>IF(Tab.11[[#This Row],[a1]]=1,1/Tab.11[[#This Row],[φ2]])</f>
        <v>0</v>
      </c>
      <c r="AE260" s="74" t="b">
        <f>IF(Tab.11[[#This Row],[a1]]=1,IF($AE$3=0,Tab.11[[#This Row],[w.0]],Tab.11[[#This Row],[w.0]]/SUM(Tab.11[w.0])))</f>
        <v>0</v>
      </c>
      <c r="AF260" s="76" t="str">
        <f>IF(Tab.11[[#This Row],[a1]]=0,"false",[3]!Tab.x5[[#This Row],[%_seN_C]])</f>
        <v>false</v>
      </c>
      <c r="AG260" s="77" t="b">
        <f>IF(Tab.11[[#This Row],[a1]]=1,AP260)</f>
        <v>0</v>
      </c>
      <c r="AH260" s="78" t="b">
        <f>IF(Tab.11[[#This Row],[a1]]=1,AQ260)</f>
        <v>0</v>
      </c>
      <c r="AI260" s="41">
        <v>3.0000000000000001E-3</v>
      </c>
      <c r="AJ260" s="79">
        <v>7.0000000000000007E-2</v>
      </c>
      <c r="AK260" s="80" t="b">
        <f>IF(Tab.11[[#This Row],[a1]]=1,1)</f>
        <v>0</v>
      </c>
      <c r="AZ260"/>
    </row>
    <row r="261" spans="1:52" hidden="1" x14ac:dyDescent="0.25">
      <c r="A261" s="61">
        <f t="shared" si="9"/>
        <v>0</v>
      </c>
      <c r="B261" s="62">
        <f t="shared" si="9"/>
        <v>0</v>
      </c>
      <c r="C261" s="62" t="b">
        <f>IF(Tab.11[[#This Row],[a1]]=1,[3]!Tab_x1[[#This Row],[Name]])</f>
        <v>0</v>
      </c>
      <c r="D261" s="63" t="b">
        <f>IF(Tab.11[[#This Row],[a1]]=1,AO261)</f>
        <v>0</v>
      </c>
      <c r="E261" s="63">
        <f t="shared" ref="E261:E324" si="10">AM261</f>
        <v>0</v>
      </c>
      <c r="F261" s="64" t="b">
        <f>IF(Tab.11[[#This Row],[a1]]=1,Tab.11[[#This Row],[b1]])</f>
        <v>0</v>
      </c>
      <c r="G261" s="65" t="b">
        <f>IF(Tab.11[[#This Row],[a1]]=1,IF(Tab.11[[#This Row],[b3]]&gt;$L$989*$G$3,$L$989*$G$3,IF(Tab.11[[#This Row],[b3]]&lt;$M$989*$G$3,$M$989*$G$3,Tab.11[[#This Row],[b3]])))</f>
        <v>0</v>
      </c>
      <c r="H261" s="66" t="b">
        <f>IF(Tab.11[[#This Row],[a1]]=1,Tab.11[[#This Row],[b1]])</f>
        <v>0</v>
      </c>
      <c r="I261" s="67" t="b">
        <f>IF(Tab.11[[#This Row],[a1]]=1,Tab.11[[#This Row],[b1]])</f>
        <v>0</v>
      </c>
      <c r="J261" s="68" t="b">
        <f>IF(Tab.11[[#This Row],[a1]]=1,IF($I$3&lt;0,Tab.11[[#This Row],[b5]]-$I$3,Tab.11[[#This Row],[b5]]))</f>
        <v>0</v>
      </c>
      <c r="K261" s="68" t="b">
        <f>IF(Tab.11[[#This Row],[a1]]=1,IF($K$3=0,Tab.11[b6],Tab.11[[#This Row],[b6]]-AVERAGE(Tab.11[b6])))</f>
        <v>0</v>
      </c>
      <c r="L261" s="69" t="b">
        <f>IF(Tab.11[[#This Row],[a1]]=1,Tab.11[[#This Row],[data]]/(_xlfn.STDEV.P(Tab.11[data])*$B$989)+$A$989)</f>
        <v>0</v>
      </c>
      <c r="M261" s="69" t="b">
        <f>IF(Tab.11[[#This Row],[a1]]=1,Tab.11[[#This Row],[data]]/(_xlfn.STDEV.P(Tab.11[data])*$B$987)-$A$987)</f>
        <v>0</v>
      </c>
      <c r="N261" s="69" t="b">
        <f>IF(Tab.11[[#This Row],[a1]]=1,Tab.11[[#This Row],[data]]/(_xlfn.STDEV.P(Tab.11[data])*$B$988)+$A$988)</f>
        <v>0</v>
      </c>
      <c r="O261" s="70" t="b">
        <f>IF(Tab.11[[#This Row],[a1]]=1,_xlfn.NORM.DIST(Tab.11[[#This Row],[b8]],$P$1,$Q$1,FALSE))</f>
        <v>0</v>
      </c>
      <c r="P261" s="70" t="b">
        <f>IF(Tab.11[[#This Row],[a1]]=1,_xlfn.NORM.DIST(Tab.11[[#This Row],[b9]],$P$1,$Q$1,FALSE))</f>
        <v>0</v>
      </c>
      <c r="Q261" s="70" t="b">
        <f>IF(Tab.11[[#This Row],[a1]]=1,_xlfn.NORM.DIST(Tab.11[[#This Row],[b10]],$P$1,$Q$1,FALSE))</f>
        <v>0</v>
      </c>
      <c r="R261" s="67" t="b">
        <f>IF(Tab.11[[#This Row],[a1]]=1,$I$3+$A$989+IF($K$3=0,Tab.11[[#This Row],[b8]]*_xlfn.STDEV.P(Tab.11[data]),AVERAGE(Tab.11[b6])+Tab.11[[#This Row],[b8]]*_xlfn.STDEV.P(Tab.11[data])))</f>
        <v>0</v>
      </c>
      <c r="S261" s="71" t="b">
        <f>IF(Tab.11[[#This Row],[a1]]=1,$I$3+$A$987+IF($K$3=0,Tab.11[[#This Row],[b9]]*_xlfn.STDEV.P(Tab.11[data]),AVERAGE(Tab.11[b6])+Tab.11[[#This Row],[b9]]*_xlfn.STDEV.P(Tab.11[data])))</f>
        <v>0</v>
      </c>
      <c r="T261" s="71" t="b">
        <f>IF(Tab.11[[#This Row],[a1]]=1,$I$3+$A$988+IF($K$3=0,Tab.11[[#This Row],[b10]]*_xlfn.STDEV.P(Tab.11[data]),AVERAGE(Tab.11[b6])+Tab.11[[#This Row],[b10]]*_xlfn.STDEV.P(Tab.11[data])))</f>
        <v>0</v>
      </c>
      <c r="U261" s="72" t="b">
        <f>IF(Tab.11[[#This Row],[a1]]=1,Tab.11[[#This Row],[target]]-Tab.11[[#This Row],[Red]])</f>
        <v>0</v>
      </c>
      <c r="V261" s="72" t="b">
        <f>IF(Tab.11[[#This Row],[a1]]=1,Tab.11[[#This Row],[target]]-Tab.11[[#This Row],[Blue]])</f>
        <v>0</v>
      </c>
      <c r="W261" s="73" t="b">
        <f>IF(Tab.11[[#This Row],[a1]]=1,IF(ABS(Tab.11[[#This Row],[b17]])+ABS(Tab.11[[#This Row],[b18]])&lt;$W$2,$W$2,ABS(Tab.11[[#This Row],[b17]])+ABS(Tab.11[[#This Row],[b18]])))</f>
        <v>0</v>
      </c>
      <c r="X261" s="136" t="b">
        <f>IF(Tab.11[[#This Row],[a1]]=1,IF($W$3&lt;0,Tab.11[[#This Row],[IN]]-$I$3,Tab.11[[#This Row],[IN]]))</f>
        <v>0</v>
      </c>
      <c r="Y261" s="136" t="b">
        <f>IF(Tab.11[[#This Row],[a1]]=1,IF($X$3=0,Tab.11[b66],Tab.11[[#This Row],[b66]]-AVERAGE(Tab.11[b66])))</f>
        <v>0</v>
      </c>
      <c r="Z261" s="135" t="b">
        <f>IF(Tab.11[[#This Row],[a1]]=1,Tab.11[[#This Row],[b77]]/(_xlfn.STDEV.P(Tab.11[b77])))</f>
        <v>0</v>
      </c>
      <c r="AA261" s="70" t="b">
        <f>IF(Tab.11[[#This Row],[a1]]=1,_xlfn.NORM.DIST(Tab.11[[#This Row],[b88]],$Z$1,$AA$1,FALSE))</f>
        <v>0</v>
      </c>
      <c r="AB261" s="74" t="b">
        <f>IF(Tab.11[[#This Row],[a1]]=1,IF($A$3=0,FALSE,1/Tab.11[[#This Row],[IN]]*$AC$2*IF(Tab.11[[#This Row],[a1]]=0,,$A$3*$AC$1*1/$V$3*(Tab.11[[#This Row],[b14]]))))</f>
        <v>0</v>
      </c>
      <c r="AC261" s="75" t="b">
        <f>IF(Tab.11[[#This Row],[a1]]=1,IF($AC$3=0,Tab.11[[#This Row],[φ1]],Tab.11[[#This Row],[φ1]]/MAX(Tab.11[φ1])))</f>
        <v>0</v>
      </c>
      <c r="AD261" s="74" t="b">
        <f>IF(Tab.11[[#This Row],[a1]]=1,1/Tab.11[[#This Row],[φ2]])</f>
        <v>0</v>
      </c>
      <c r="AE261" s="74" t="b">
        <f>IF(Tab.11[[#This Row],[a1]]=1,IF($AE$3=0,Tab.11[[#This Row],[w.0]],Tab.11[[#This Row],[w.0]]/SUM(Tab.11[w.0])))</f>
        <v>0</v>
      </c>
      <c r="AF261" s="76" t="str">
        <f>IF(Tab.11[[#This Row],[a1]]=0,"false",[3]!Tab.x5[[#This Row],[%_seN_C]])</f>
        <v>false</v>
      </c>
      <c r="AG261" s="77" t="b">
        <f>IF(Tab.11[[#This Row],[a1]]=1,AP261)</f>
        <v>0</v>
      </c>
      <c r="AH261" s="78" t="b">
        <f>IF(Tab.11[[#This Row],[a1]]=1,AQ261)</f>
        <v>0</v>
      </c>
      <c r="AI261" s="41">
        <v>3.0000000000000001E-3</v>
      </c>
      <c r="AJ261" s="79">
        <v>0</v>
      </c>
      <c r="AK261" s="80" t="b">
        <f>IF(Tab.11[[#This Row],[a1]]=1,1)</f>
        <v>0</v>
      </c>
      <c r="AZ261"/>
    </row>
    <row r="262" spans="1:52" hidden="1" x14ac:dyDescent="0.25">
      <c r="A262" s="61">
        <f t="shared" si="9"/>
        <v>0</v>
      </c>
      <c r="B262" s="62">
        <f t="shared" si="9"/>
        <v>0</v>
      </c>
      <c r="C262" s="62" t="b">
        <f>IF(Tab.11[[#This Row],[a1]]=1,[3]!Tab_x1[[#This Row],[Name]])</f>
        <v>0</v>
      </c>
      <c r="D262" s="63" t="b">
        <f>IF(Tab.11[[#This Row],[a1]]=1,AO262)</f>
        <v>0</v>
      </c>
      <c r="E262" s="63">
        <f t="shared" si="10"/>
        <v>0</v>
      </c>
      <c r="F262" s="64" t="b">
        <f>IF(Tab.11[[#This Row],[a1]]=1,Tab.11[[#This Row],[b1]])</f>
        <v>0</v>
      </c>
      <c r="G262" s="65" t="b">
        <f>IF(Tab.11[[#This Row],[a1]]=1,IF(Tab.11[[#This Row],[b3]]&gt;$L$989*$G$3,$L$989*$G$3,IF(Tab.11[[#This Row],[b3]]&lt;$M$989*$G$3,$M$989*$G$3,Tab.11[[#This Row],[b3]])))</f>
        <v>0</v>
      </c>
      <c r="H262" s="66" t="b">
        <f>IF(Tab.11[[#This Row],[a1]]=1,Tab.11[[#This Row],[b1]])</f>
        <v>0</v>
      </c>
      <c r="I262" s="67" t="b">
        <f>IF(Tab.11[[#This Row],[a1]]=1,Tab.11[[#This Row],[b1]])</f>
        <v>0</v>
      </c>
      <c r="J262" s="68" t="b">
        <f>IF(Tab.11[[#This Row],[a1]]=1,IF($I$3&lt;0,Tab.11[[#This Row],[b5]]-$I$3,Tab.11[[#This Row],[b5]]))</f>
        <v>0</v>
      </c>
      <c r="K262" s="68" t="b">
        <f>IF(Tab.11[[#This Row],[a1]]=1,IF($K$3=0,Tab.11[b6],Tab.11[[#This Row],[b6]]-AVERAGE(Tab.11[b6])))</f>
        <v>0</v>
      </c>
      <c r="L262" s="69" t="b">
        <f>IF(Tab.11[[#This Row],[a1]]=1,Tab.11[[#This Row],[data]]/(_xlfn.STDEV.P(Tab.11[data])*$B$989)+$A$989)</f>
        <v>0</v>
      </c>
      <c r="M262" s="69" t="b">
        <f>IF(Tab.11[[#This Row],[a1]]=1,Tab.11[[#This Row],[data]]/(_xlfn.STDEV.P(Tab.11[data])*$B$987)-$A$987)</f>
        <v>0</v>
      </c>
      <c r="N262" s="69" t="b">
        <f>IF(Tab.11[[#This Row],[a1]]=1,Tab.11[[#This Row],[data]]/(_xlfn.STDEV.P(Tab.11[data])*$B$988)+$A$988)</f>
        <v>0</v>
      </c>
      <c r="O262" s="70" t="b">
        <f>IF(Tab.11[[#This Row],[a1]]=1,_xlfn.NORM.DIST(Tab.11[[#This Row],[b8]],$P$1,$Q$1,FALSE))</f>
        <v>0</v>
      </c>
      <c r="P262" s="70" t="b">
        <f>IF(Tab.11[[#This Row],[a1]]=1,_xlfn.NORM.DIST(Tab.11[[#This Row],[b9]],$P$1,$Q$1,FALSE))</f>
        <v>0</v>
      </c>
      <c r="Q262" s="70" t="b">
        <f>IF(Tab.11[[#This Row],[a1]]=1,_xlfn.NORM.DIST(Tab.11[[#This Row],[b10]],$P$1,$Q$1,FALSE))</f>
        <v>0</v>
      </c>
      <c r="R262" s="67" t="b">
        <f>IF(Tab.11[[#This Row],[a1]]=1,$I$3+$A$989+IF($K$3=0,Tab.11[[#This Row],[b8]]*_xlfn.STDEV.P(Tab.11[data]),AVERAGE(Tab.11[b6])+Tab.11[[#This Row],[b8]]*_xlfn.STDEV.P(Tab.11[data])))</f>
        <v>0</v>
      </c>
      <c r="S262" s="71" t="b">
        <f>IF(Tab.11[[#This Row],[a1]]=1,$I$3+$A$987+IF($K$3=0,Tab.11[[#This Row],[b9]]*_xlfn.STDEV.P(Tab.11[data]),AVERAGE(Tab.11[b6])+Tab.11[[#This Row],[b9]]*_xlfn.STDEV.P(Tab.11[data])))</f>
        <v>0</v>
      </c>
      <c r="T262" s="71" t="b">
        <f>IF(Tab.11[[#This Row],[a1]]=1,$I$3+$A$988+IF($K$3=0,Tab.11[[#This Row],[b10]]*_xlfn.STDEV.P(Tab.11[data]),AVERAGE(Tab.11[b6])+Tab.11[[#This Row],[b10]]*_xlfn.STDEV.P(Tab.11[data])))</f>
        <v>0</v>
      </c>
      <c r="U262" s="72" t="b">
        <f>IF(Tab.11[[#This Row],[a1]]=1,Tab.11[[#This Row],[target]]-Tab.11[[#This Row],[Red]])</f>
        <v>0</v>
      </c>
      <c r="V262" s="72" t="b">
        <f>IF(Tab.11[[#This Row],[a1]]=1,Tab.11[[#This Row],[target]]-Tab.11[[#This Row],[Blue]])</f>
        <v>0</v>
      </c>
      <c r="W262" s="73" t="b">
        <f>IF(Tab.11[[#This Row],[a1]]=1,IF(ABS(Tab.11[[#This Row],[b17]])+ABS(Tab.11[[#This Row],[b18]])&lt;$W$2,$W$2,ABS(Tab.11[[#This Row],[b17]])+ABS(Tab.11[[#This Row],[b18]])))</f>
        <v>0</v>
      </c>
      <c r="X262" s="136" t="b">
        <f>IF(Tab.11[[#This Row],[a1]]=1,IF($W$3&lt;0,Tab.11[[#This Row],[IN]]-$I$3,Tab.11[[#This Row],[IN]]))</f>
        <v>0</v>
      </c>
      <c r="Y262" s="136" t="b">
        <f>IF(Tab.11[[#This Row],[a1]]=1,IF($X$3=0,Tab.11[b66],Tab.11[[#This Row],[b66]]-AVERAGE(Tab.11[b66])))</f>
        <v>0</v>
      </c>
      <c r="Z262" s="135" t="b">
        <f>IF(Tab.11[[#This Row],[a1]]=1,Tab.11[[#This Row],[b77]]/(_xlfn.STDEV.P(Tab.11[b77])))</f>
        <v>0</v>
      </c>
      <c r="AA262" s="70" t="b">
        <f>IF(Tab.11[[#This Row],[a1]]=1,_xlfn.NORM.DIST(Tab.11[[#This Row],[b88]],$Z$1,$AA$1,FALSE))</f>
        <v>0</v>
      </c>
      <c r="AB262" s="74" t="b">
        <f>IF(Tab.11[[#This Row],[a1]]=1,IF($A$3=0,FALSE,1/Tab.11[[#This Row],[IN]]*$AC$2*IF(Tab.11[[#This Row],[a1]]=0,,$A$3*$AC$1*1/$V$3*(Tab.11[[#This Row],[b14]]))))</f>
        <v>0</v>
      </c>
      <c r="AC262" s="75" t="b">
        <f>IF(Tab.11[[#This Row],[a1]]=1,IF($AC$3=0,Tab.11[[#This Row],[φ1]],Tab.11[[#This Row],[φ1]]/MAX(Tab.11[φ1])))</f>
        <v>0</v>
      </c>
      <c r="AD262" s="74" t="b">
        <f>IF(Tab.11[[#This Row],[a1]]=1,1/Tab.11[[#This Row],[φ2]])</f>
        <v>0</v>
      </c>
      <c r="AE262" s="74" t="b">
        <f>IF(Tab.11[[#This Row],[a1]]=1,IF($AE$3=0,Tab.11[[#This Row],[w.0]],Tab.11[[#This Row],[w.0]]/SUM(Tab.11[w.0])))</f>
        <v>0</v>
      </c>
      <c r="AF262" s="76" t="str">
        <f>IF(Tab.11[[#This Row],[a1]]=0,"false",[3]!Tab.x5[[#This Row],[%_seN_C]])</f>
        <v>false</v>
      </c>
      <c r="AG262" s="77" t="b">
        <f>IF(Tab.11[[#This Row],[a1]]=1,AP262)</f>
        <v>0</v>
      </c>
      <c r="AH262" s="78" t="b">
        <f>IF(Tab.11[[#This Row],[a1]]=1,AQ262)</f>
        <v>0</v>
      </c>
      <c r="AI262" s="41">
        <v>3.0000000000000001E-3</v>
      </c>
      <c r="AJ262" s="79">
        <v>-0.09</v>
      </c>
      <c r="AK262" s="80" t="b">
        <f>IF(Tab.11[[#This Row],[a1]]=1,1)</f>
        <v>0</v>
      </c>
      <c r="AZ262"/>
    </row>
    <row r="263" spans="1:52" hidden="1" x14ac:dyDescent="0.25">
      <c r="A263" s="61">
        <f t="shared" si="9"/>
        <v>0</v>
      </c>
      <c r="B263" s="62">
        <f t="shared" si="9"/>
        <v>0</v>
      </c>
      <c r="C263" s="62" t="b">
        <f>IF(Tab.11[[#This Row],[a1]]=1,[3]!Tab_x1[[#This Row],[Name]])</f>
        <v>0</v>
      </c>
      <c r="D263" s="63" t="b">
        <f>IF(Tab.11[[#This Row],[a1]]=1,AO263)</f>
        <v>0</v>
      </c>
      <c r="E263" s="63">
        <f t="shared" si="10"/>
        <v>0</v>
      </c>
      <c r="F263" s="64" t="b">
        <f>IF(Tab.11[[#This Row],[a1]]=1,Tab.11[[#This Row],[b1]])</f>
        <v>0</v>
      </c>
      <c r="G263" s="65" t="b">
        <f>IF(Tab.11[[#This Row],[a1]]=1,IF(Tab.11[[#This Row],[b3]]&gt;$L$989*$G$3,$L$989*$G$3,IF(Tab.11[[#This Row],[b3]]&lt;$M$989*$G$3,$M$989*$G$3,Tab.11[[#This Row],[b3]])))</f>
        <v>0</v>
      </c>
      <c r="H263" s="66" t="b">
        <f>IF(Tab.11[[#This Row],[a1]]=1,Tab.11[[#This Row],[b1]])</f>
        <v>0</v>
      </c>
      <c r="I263" s="67" t="b">
        <f>IF(Tab.11[[#This Row],[a1]]=1,Tab.11[[#This Row],[b1]])</f>
        <v>0</v>
      </c>
      <c r="J263" s="68" t="b">
        <f>IF(Tab.11[[#This Row],[a1]]=1,IF($I$3&lt;0,Tab.11[[#This Row],[b5]]-$I$3,Tab.11[[#This Row],[b5]]))</f>
        <v>0</v>
      </c>
      <c r="K263" s="68" t="b">
        <f>IF(Tab.11[[#This Row],[a1]]=1,IF($K$3=0,Tab.11[b6],Tab.11[[#This Row],[b6]]-AVERAGE(Tab.11[b6])))</f>
        <v>0</v>
      </c>
      <c r="L263" s="69" t="b">
        <f>IF(Tab.11[[#This Row],[a1]]=1,Tab.11[[#This Row],[data]]/(_xlfn.STDEV.P(Tab.11[data])*$B$989)+$A$989)</f>
        <v>0</v>
      </c>
      <c r="M263" s="69" t="b">
        <f>IF(Tab.11[[#This Row],[a1]]=1,Tab.11[[#This Row],[data]]/(_xlfn.STDEV.P(Tab.11[data])*$B$987)-$A$987)</f>
        <v>0</v>
      </c>
      <c r="N263" s="69" t="b">
        <f>IF(Tab.11[[#This Row],[a1]]=1,Tab.11[[#This Row],[data]]/(_xlfn.STDEV.P(Tab.11[data])*$B$988)+$A$988)</f>
        <v>0</v>
      </c>
      <c r="O263" s="70" t="b">
        <f>IF(Tab.11[[#This Row],[a1]]=1,_xlfn.NORM.DIST(Tab.11[[#This Row],[b8]],$P$1,$Q$1,FALSE))</f>
        <v>0</v>
      </c>
      <c r="P263" s="70" t="b">
        <f>IF(Tab.11[[#This Row],[a1]]=1,_xlfn.NORM.DIST(Tab.11[[#This Row],[b9]],$P$1,$Q$1,FALSE))</f>
        <v>0</v>
      </c>
      <c r="Q263" s="70" t="b">
        <f>IF(Tab.11[[#This Row],[a1]]=1,_xlfn.NORM.DIST(Tab.11[[#This Row],[b10]],$P$1,$Q$1,FALSE))</f>
        <v>0</v>
      </c>
      <c r="R263" s="67" t="b">
        <f>IF(Tab.11[[#This Row],[a1]]=1,$I$3+$A$989+IF($K$3=0,Tab.11[[#This Row],[b8]]*_xlfn.STDEV.P(Tab.11[data]),AVERAGE(Tab.11[b6])+Tab.11[[#This Row],[b8]]*_xlfn.STDEV.P(Tab.11[data])))</f>
        <v>0</v>
      </c>
      <c r="S263" s="71" t="b">
        <f>IF(Tab.11[[#This Row],[a1]]=1,$I$3+$A$987+IF($K$3=0,Tab.11[[#This Row],[b9]]*_xlfn.STDEV.P(Tab.11[data]),AVERAGE(Tab.11[b6])+Tab.11[[#This Row],[b9]]*_xlfn.STDEV.P(Tab.11[data])))</f>
        <v>0</v>
      </c>
      <c r="T263" s="71" t="b">
        <f>IF(Tab.11[[#This Row],[a1]]=1,$I$3+$A$988+IF($K$3=0,Tab.11[[#This Row],[b10]]*_xlfn.STDEV.P(Tab.11[data]),AVERAGE(Tab.11[b6])+Tab.11[[#This Row],[b10]]*_xlfn.STDEV.P(Tab.11[data])))</f>
        <v>0</v>
      </c>
      <c r="U263" s="72" t="b">
        <f>IF(Tab.11[[#This Row],[a1]]=1,Tab.11[[#This Row],[target]]-Tab.11[[#This Row],[Red]])</f>
        <v>0</v>
      </c>
      <c r="V263" s="72" t="b">
        <f>IF(Tab.11[[#This Row],[a1]]=1,Tab.11[[#This Row],[target]]-Tab.11[[#This Row],[Blue]])</f>
        <v>0</v>
      </c>
      <c r="W263" s="73" t="b">
        <f>IF(Tab.11[[#This Row],[a1]]=1,IF(ABS(Tab.11[[#This Row],[b17]])+ABS(Tab.11[[#This Row],[b18]])&lt;$W$2,$W$2,ABS(Tab.11[[#This Row],[b17]])+ABS(Tab.11[[#This Row],[b18]])))</f>
        <v>0</v>
      </c>
      <c r="X263" s="136" t="b">
        <f>IF(Tab.11[[#This Row],[a1]]=1,IF($W$3&lt;0,Tab.11[[#This Row],[IN]]-$I$3,Tab.11[[#This Row],[IN]]))</f>
        <v>0</v>
      </c>
      <c r="Y263" s="136" t="b">
        <f>IF(Tab.11[[#This Row],[a1]]=1,IF($X$3=0,Tab.11[b66],Tab.11[[#This Row],[b66]]-AVERAGE(Tab.11[b66])))</f>
        <v>0</v>
      </c>
      <c r="Z263" s="135" t="b">
        <f>IF(Tab.11[[#This Row],[a1]]=1,Tab.11[[#This Row],[b77]]/(_xlfn.STDEV.P(Tab.11[b77])))</f>
        <v>0</v>
      </c>
      <c r="AA263" s="70" t="b">
        <f>IF(Tab.11[[#This Row],[a1]]=1,_xlfn.NORM.DIST(Tab.11[[#This Row],[b88]],$Z$1,$AA$1,FALSE))</f>
        <v>0</v>
      </c>
      <c r="AB263" s="74" t="b">
        <f>IF(Tab.11[[#This Row],[a1]]=1,IF($A$3=0,FALSE,1/Tab.11[[#This Row],[IN]]*$AC$2*IF(Tab.11[[#This Row],[a1]]=0,,$A$3*$AC$1*1/$V$3*(Tab.11[[#This Row],[b14]]))))</f>
        <v>0</v>
      </c>
      <c r="AC263" s="75" t="b">
        <f>IF(Tab.11[[#This Row],[a1]]=1,IF($AC$3=0,Tab.11[[#This Row],[φ1]],Tab.11[[#This Row],[φ1]]/MAX(Tab.11[φ1])))</f>
        <v>0</v>
      </c>
      <c r="AD263" s="74" t="b">
        <f>IF(Tab.11[[#This Row],[a1]]=1,1/Tab.11[[#This Row],[φ2]])</f>
        <v>0</v>
      </c>
      <c r="AE263" s="74" t="b">
        <f>IF(Tab.11[[#This Row],[a1]]=1,IF($AE$3=0,Tab.11[[#This Row],[w.0]],Tab.11[[#This Row],[w.0]]/SUM(Tab.11[w.0])))</f>
        <v>0</v>
      </c>
      <c r="AF263" s="76" t="str">
        <f>IF(Tab.11[[#This Row],[a1]]=0,"false",[3]!Tab.x5[[#This Row],[%_seN_C]])</f>
        <v>false</v>
      </c>
      <c r="AG263" s="77" t="b">
        <f>IF(Tab.11[[#This Row],[a1]]=1,AP263)</f>
        <v>0</v>
      </c>
      <c r="AH263" s="78" t="b">
        <f>IF(Tab.11[[#This Row],[a1]]=1,AQ263)</f>
        <v>0</v>
      </c>
      <c r="AI263" s="41">
        <v>3.0000000000000001E-3</v>
      </c>
      <c r="AJ263" s="79">
        <v>-0.02</v>
      </c>
      <c r="AK263" s="80" t="b">
        <f>IF(Tab.11[[#This Row],[a1]]=1,1)</f>
        <v>0</v>
      </c>
      <c r="AZ263"/>
    </row>
    <row r="264" spans="1:52" hidden="1" x14ac:dyDescent="0.25">
      <c r="A264" s="61">
        <f t="shared" si="9"/>
        <v>0</v>
      </c>
      <c r="B264" s="62">
        <f t="shared" si="9"/>
        <v>0</v>
      </c>
      <c r="C264" s="62" t="b">
        <f>IF(Tab.11[[#This Row],[a1]]=1,[3]!Tab_x1[[#This Row],[Name]])</f>
        <v>0</v>
      </c>
      <c r="D264" s="63" t="b">
        <f>IF(Tab.11[[#This Row],[a1]]=1,AO264)</f>
        <v>0</v>
      </c>
      <c r="E264" s="63">
        <f t="shared" si="10"/>
        <v>0</v>
      </c>
      <c r="F264" s="64" t="b">
        <f>IF(Tab.11[[#This Row],[a1]]=1,Tab.11[[#This Row],[b1]])</f>
        <v>0</v>
      </c>
      <c r="G264" s="65" t="b">
        <f>IF(Tab.11[[#This Row],[a1]]=1,IF(Tab.11[[#This Row],[b3]]&gt;$L$989*$G$3,$L$989*$G$3,IF(Tab.11[[#This Row],[b3]]&lt;$M$989*$G$3,$M$989*$G$3,Tab.11[[#This Row],[b3]])))</f>
        <v>0</v>
      </c>
      <c r="H264" s="66" t="b">
        <f>IF(Tab.11[[#This Row],[a1]]=1,Tab.11[[#This Row],[b1]])</f>
        <v>0</v>
      </c>
      <c r="I264" s="67" t="b">
        <f>IF(Tab.11[[#This Row],[a1]]=1,Tab.11[[#This Row],[b1]])</f>
        <v>0</v>
      </c>
      <c r="J264" s="68" t="b">
        <f>IF(Tab.11[[#This Row],[a1]]=1,IF($I$3&lt;0,Tab.11[[#This Row],[b5]]-$I$3,Tab.11[[#This Row],[b5]]))</f>
        <v>0</v>
      </c>
      <c r="K264" s="68" t="b">
        <f>IF(Tab.11[[#This Row],[a1]]=1,IF($K$3=0,Tab.11[b6],Tab.11[[#This Row],[b6]]-AVERAGE(Tab.11[b6])))</f>
        <v>0</v>
      </c>
      <c r="L264" s="69" t="b">
        <f>IF(Tab.11[[#This Row],[a1]]=1,Tab.11[[#This Row],[data]]/(_xlfn.STDEV.P(Tab.11[data])*$B$989)+$A$989)</f>
        <v>0</v>
      </c>
      <c r="M264" s="69" t="b">
        <f>IF(Tab.11[[#This Row],[a1]]=1,Tab.11[[#This Row],[data]]/(_xlfn.STDEV.P(Tab.11[data])*$B$987)-$A$987)</f>
        <v>0</v>
      </c>
      <c r="N264" s="69" t="b">
        <f>IF(Tab.11[[#This Row],[a1]]=1,Tab.11[[#This Row],[data]]/(_xlfn.STDEV.P(Tab.11[data])*$B$988)+$A$988)</f>
        <v>0</v>
      </c>
      <c r="O264" s="70" t="b">
        <f>IF(Tab.11[[#This Row],[a1]]=1,_xlfn.NORM.DIST(Tab.11[[#This Row],[b8]],$P$1,$Q$1,FALSE))</f>
        <v>0</v>
      </c>
      <c r="P264" s="70" t="b">
        <f>IF(Tab.11[[#This Row],[a1]]=1,_xlfn.NORM.DIST(Tab.11[[#This Row],[b9]],$P$1,$Q$1,FALSE))</f>
        <v>0</v>
      </c>
      <c r="Q264" s="70" t="b">
        <f>IF(Tab.11[[#This Row],[a1]]=1,_xlfn.NORM.DIST(Tab.11[[#This Row],[b10]],$P$1,$Q$1,FALSE))</f>
        <v>0</v>
      </c>
      <c r="R264" s="67" t="b">
        <f>IF(Tab.11[[#This Row],[a1]]=1,$I$3+$A$989+IF($K$3=0,Tab.11[[#This Row],[b8]]*_xlfn.STDEV.P(Tab.11[data]),AVERAGE(Tab.11[b6])+Tab.11[[#This Row],[b8]]*_xlfn.STDEV.P(Tab.11[data])))</f>
        <v>0</v>
      </c>
      <c r="S264" s="71" t="b">
        <f>IF(Tab.11[[#This Row],[a1]]=1,$I$3+$A$987+IF($K$3=0,Tab.11[[#This Row],[b9]]*_xlfn.STDEV.P(Tab.11[data]),AVERAGE(Tab.11[b6])+Tab.11[[#This Row],[b9]]*_xlfn.STDEV.P(Tab.11[data])))</f>
        <v>0</v>
      </c>
      <c r="T264" s="71" t="b">
        <f>IF(Tab.11[[#This Row],[a1]]=1,$I$3+$A$988+IF($K$3=0,Tab.11[[#This Row],[b10]]*_xlfn.STDEV.P(Tab.11[data]),AVERAGE(Tab.11[b6])+Tab.11[[#This Row],[b10]]*_xlfn.STDEV.P(Tab.11[data])))</f>
        <v>0</v>
      </c>
      <c r="U264" s="72" t="b">
        <f>IF(Tab.11[[#This Row],[a1]]=1,Tab.11[[#This Row],[target]]-Tab.11[[#This Row],[Red]])</f>
        <v>0</v>
      </c>
      <c r="V264" s="72" t="b">
        <f>IF(Tab.11[[#This Row],[a1]]=1,Tab.11[[#This Row],[target]]-Tab.11[[#This Row],[Blue]])</f>
        <v>0</v>
      </c>
      <c r="W264" s="73" t="b">
        <f>IF(Tab.11[[#This Row],[a1]]=1,IF(ABS(Tab.11[[#This Row],[b17]])+ABS(Tab.11[[#This Row],[b18]])&lt;$W$2,$W$2,ABS(Tab.11[[#This Row],[b17]])+ABS(Tab.11[[#This Row],[b18]])))</f>
        <v>0</v>
      </c>
      <c r="X264" s="136" t="b">
        <f>IF(Tab.11[[#This Row],[a1]]=1,IF($W$3&lt;0,Tab.11[[#This Row],[IN]]-$I$3,Tab.11[[#This Row],[IN]]))</f>
        <v>0</v>
      </c>
      <c r="Y264" s="136" t="b">
        <f>IF(Tab.11[[#This Row],[a1]]=1,IF($X$3=0,Tab.11[b66],Tab.11[[#This Row],[b66]]-AVERAGE(Tab.11[b66])))</f>
        <v>0</v>
      </c>
      <c r="Z264" s="135" t="b">
        <f>IF(Tab.11[[#This Row],[a1]]=1,Tab.11[[#This Row],[b77]]/(_xlfn.STDEV.P(Tab.11[b77])))</f>
        <v>0</v>
      </c>
      <c r="AA264" s="70" t="b">
        <f>IF(Tab.11[[#This Row],[a1]]=1,_xlfn.NORM.DIST(Tab.11[[#This Row],[b88]],$Z$1,$AA$1,FALSE))</f>
        <v>0</v>
      </c>
      <c r="AB264" s="74" t="b">
        <f>IF(Tab.11[[#This Row],[a1]]=1,IF($A$3=0,FALSE,1/Tab.11[[#This Row],[IN]]*$AC$2*IF(Tab.11[[#This Row],[a1]]=0,,$A$3*$AC$1*1/$V$3*(Tab.11[[#This Row],[b14]]))))</f>
        <v>0</v>
      </c>
      <c r="AC264" s="75" t="b">
        <f>IF(Tab.11[[#This Row],[a1]]=1,IF($AC$3=0,Tab.11[[#This Row],[φ1]],Tab.11[[#This Row],[φ1]]/MAX(Tab.11[φ1])))</f>
        <v>0</v>
      </c>
      <c r="AD264" s="74" t="b">
        <f>IF(Tab.11[[#This Row],[a1]]=1,1/Tab.11[[#This Row],[φ2]])</f>
        <v>0</v>
      </c>
      <c r="AE264" s="74" t="b">
        <f>IF(Tab.11[[#This Row],[a1]]=1,IF($AE$3=0,Tab.11[[#This Row],[w.0]],Tab.11[[#This Row],[w.0]]/SUM(Tab.11[w.0])))</f>
        <v>0</v>
      </c>
      <c r="AF264" s="76" t="str">
        <f>IF(Tab.11[[#This Row],[a1]]=0,"false",[3]!Tab.x5[[#This Row],[%_seN_C]])</f>
        <v>false</v>
      </c>
      <c r="AG264" s="77" t="b">
        <f>IF(Tab.11[[#This Row],[a1]]=1,AP264)</f>
        <v>0</v>
      </c>
      <c r="AH264" s="78" t="b">
        <f>IF(Tab.11[[#This Row],[a1]]=1,AQ264)</f>
        <v>0</v>
      </c>
      <c r="AI264" s="41">
        <v>3.0000000000000001E-3</v>
      </c>
      <c r="AJ264" s="79">
        <v>0.06</v>
      </c>
      <c r="AK264" s="80" t="b">
        <f>IF(Tab.11[[#This Row],[a1]]=1,1)</f>
        <v>0</v>
      </c>
      <c r="AZ264"/>
    </row>
    <row r="265" spans="1:52" hidden="1" x14ac:dyDescent="0.25">
      <c r="A265" s="61">
        <f t="shared" si="9"/>
        <v>0</v>
      </c>
      <c r="B265" s="62">
        <f t="shared" si="9"/>
        <v>0</v>
      </c>
      <c r="C265" s="62" t="b">
        <f>IF(Tab.11[[#This Row],[a1]]=1,[3]!Tab_x1[[#This Row],[Name]])</f>
        <v>0</v>
      </c>
      <c r="D265" s="63" t="b">
        <f>IF(Tab.11[[#This Row],[a1]]=1,AO265)</f>
        <v>0</v>
      </c>
      <c r="E265" s="63">
        <f t="shared" si="10"/>
        <v>0</v>
      </c>
      <c r="F265" s="64" t="b">
        <f>IF(Tab.11[[#This Row],[a1]]=1,Tab.11[[#This Row],[b1]])</f>
        <v>0</v>
      </c>
      <c r="G265" s="65" t="b">
        <f>IF(Tab.11[[#This Row],[a1]]=1,IF(Tab.11[[#This Row],[b3]]&gt;$L$989*$G$3,$L$989*$G$3,IF(Tab.11[[#This Row],[b3]]&lt;$M$989*$G$3,$M$989*$G$3,Tab.11[[#This Row],[b3]])))</f>
        <v>0</v>
      </c>
      <c r="H265" s="66" t="b">
        <f>IF(Tab.11[[#This Row],[a1]]=1,Tab.11[[#This Row],[b1]])</f>
        <v>0</v>
      </c>
      <c r="I265" s="67" t="b">
        <f>IF(Tab.11[[#This Row],[a1]]=1,Tab.11[[#This Row],[b1]])</f>
        <v>0</v>
      </c>
      <c r="J265" s="68" t="b">
        <f>IF(Tab.11[[#This Row],[a1]]=1,IF($I$3&lt;0,Tab.11[[#This Row],[b5]]-$I$3,Tab.11[[#This Row],[b5]]))</f>
        <v>0</v>
      </c>
      <c r="K265" s="68" t="b">
        <f>IF(Tab.11[[#This Row],[a1]]=1,IF($K$3=0,Tab.11[b6],Tab.11[[#This Row],[b6]]-AVERAGE(Tab.11[b6])))</f>
        <v>0</v>
      </c>
      <c r="L265" s="69" t="b">
        <f>IF(Tab.11[[#This Row],[a1]]=1,Tab.11[[#This Row],[data]]/(_xlfn.STDEV.P(Tab.11[data])*$B$989)+$A$989)</f>
        <v>0</v>
      </c>
      <c r="M265" s="69" t="b">
        <f>IF(Tab.11[[#This Row],[a1]]=1,Tab.11[[#This Row],[data]]/(_xlfn.STDEV.P(Tab.11[data])*$B$987)-$A$987)</f>
        <v>0</v>
      </c>
      <c r="N265" s="69" t="b">
        <f>IF(Tab.11[[#This Row],[a1]]=1,Tab.11[[#This Row],[data]]/(_xlfn.STDEV.P(Tab.11[data])*$B$988)+$A$988)</f>
        <v>0</v>
      </c>
      <c r="O265" s="70" t="b">
        <f>IF(Tab.11[[#This Row],[a1]]=1,_xlfn.NORM.DIST(Tab.11[[#This Row],[b8]],$P$1,$Q$1,FALSE))</f>
        <v>0</v>
      </c>
      <c r="P265" s="70" t="b">
        <f>IF(Tab.11[[#This Row],[a1]]=1,_xlfn.NORM.DIST(Tab.11[[#This Row],[b9]],$P$1,$Q$1,FALSE))</f>
        <v>0</v>
      </c>
      <c r="Q265" s="70" t="b">
        <f>IF(Tab.11[[#This Row],[a1]]=1,_xlfn.NORM.DIST(Tab.11[[#This Row],[b10]],$P$1,$Q$1,FALSE))</f>
        <v>0</v>
      </c>
      <c r="R265" s="67" t="b">
        <f>IF(Tab.11[[#This Row],[a1]]=1,$I$3+$A$989+IF($K$3=0,Tab.11[[#This Row],[b8]]*_xlfn.STDEV.P(Tab.11[data]),AVERAGE(Tab.11[b6])+Tab.11[[#This Row],[b8]]*_xlfn.STDEV.P(Tab.11[data])))</f>
        <v>0</v>
      </c>
      <c r="S265" s="71" t="b">
        <f>IF(Tab.11[[#This Row],[a1]]=1,$I$3+$A$987+IF($K$3=0,Tab.11[[#This Row],[b9]]*_xlfn.STDEV.P(Tab.11[data]),AVERAGE(Tab.11[b6])+Tab.11[[#This Row],[b9]]*_xlfn.STDEV.P(Tab.11[data])))</f>
        <v>0</v>
      </c>
      <c r="T265" s="71" t="b">
        <f>IF(Tab.11[[#This Row],[a1]]=1,$I$3+$A$988+IF($K$3=0,Tab.11[[#This Row],[b10]]*_xlfn.STDEV.P(Tab.11[data]),AVERAGE(Tab.11[b6])+Tab.11[[#This Row],[b10]]*_xlfn.STDEV.P(Tab.11[data])))</f>
        <v>0</v>
      </c>
      <c r="U265" s="72" t="b">
        <f>IF(Tab.11[[#This Row],[a1]]=1,Tab.11[[#This Row],[target]]-Tab.11[[#This Row],[Red]])</f>
        <v>0</v>
      </c>
      <c r="V265" s="72" t="b">
        <f>IF(Tab.11[[#This Row],[a1]]=1,Tab.11[[#This Row],[target]]-Tab.11[[#This Row],[Blue]])</f>
        <v>0</v>
      </c>
      <c r="W265" s="73" t="b">
        <f>IF(Tab.11[[#This Row],[a1]]=1,IF(ABS(Tab.11[[#This Row],[b17]])+ABS(Tab.11[[#This Row],[b18]])&lt;$W$2,$W$2,ABS(Tab.11[[#This Row],[b17]])+ABS(Tab.11[[#This Row],[b18]])))</f>
        <v>0</v>
      </c>
      <c r="X265" s="136" t="b">
        <f>IF(Tab.11[[#This Row],[a1]]=1,IF($W$3&lt;0,Tab.11[[#This Row],[IN]]-$I$3,Tab.11[[#This Row],[IN]]))</f>
        <v>0</v>
      </c>
      <c r="Y265" s="136" t="b">
        <f>IF(Tab.11[[#This Row],[a1]]=1,IF($X$3=0,Tab.11[b66],Tab.11[[#This Row],[b66]]-AVERAGE(Tab.11[b66])))</f>
        <v>0</v>
      </c>
      <c r="Z265" s="135" t="b">
        <f>IF(Tab.11[[#This Row],[a1]]=1,Tab.11[[#This Row],[b77]]/(_xlfn.STDEV.P(Tab.11[b77])))</f>
        <v>0</v>
      </c>
      <c r="AA265" s="70" t="b">
        <f>IF(Tab.11[[#This Row],[a1]]=1,_xlfn.NORM.DIST(Tab.11[[#This Row],[b88]],$Z$1,$AA$1,FALSE))</f>
        <v>0</v>
      </c>
      <c r="AB265" s="74" t="b">
        <f>IF(Tab.11[[#This Row],[a1]]=1,IF($A$3=0,FALSE,1/Tab.11[[#This Row],[IN]]*$AC$2*IF(Tab.11[[#This Row],[a1]]=0,,$A$3*$AC$1*1/$V$3*(Tab.11[[#This Row],[b14]]))))</f>
        <v>0</v>
      </c>
      <c r="AC265" s="75" t="b">
        <f>IF(Tab.11[[#This Row],[a1]]=1,IF($AC$3=0,Tab.11[[#This Row],[φ1]],Tab.11[[#This Row],[φ1]]/MAX(Tab.11[φ1])))</f>
        <v>0</v>
      </c>
      <c r="AD265" s="74" t="b">
        <f>IF(Tab.11[[#This Row],[a1]]=1,1/Tab.11[[#This Row],[φ2]])</f>
        <v>0</v>
      </c>
      <c r="AE265" s="74" t="b">
        <f>IF(Tab.11[[#This Row],[a1]]=1,IF($AE$3=0,Tab.11[[#This Row],[w.0]],Tab.11[[#This Row],[w.0]]/SUM(Tab.11[w.0])))</f>
        <v>0</v>
      </c>
      <c r="AF265" s="76" t="str">
        <f>IF(Tab.11[[#This Row],[a1]]=0,"false",[3]!Tab.x5[[#This Row],[%_seN_C]])</f>
        <v>false</v>
      </c>
      <c r="AG265" s="77" t="b">
        <f>IF(Tab.11[[#This Row],[a1]]=1,AP265)</f>
        <v>0</v>
      </c>
      <c r="AH265" s="78" t="b">
        <f>IF(Tab.11[[#This Row],[a1]]=1,AQ265)</f>
        <v>0</v>
      </c>
      <c r="AI265" s="41">
        <v>3.0000000000000001E-3</v>
      </c>
      <c r="AJ265" s="79">
        <v>-0.1</v>
      </c>
      <c r="AK265" s="80" t="b">
        <f>IF(Tab.11[[#This Row],[a1]]=1,1)</f>
        <v>0</v>
      </c>
      <c r="AZ265"/>
    </row>
    <row r="266" spans="1:52" hidden="1" x14ac:dyDescent="0.25">
      <c r="A266" s="61">
        <f t="shared" si="9"/>
        <v>0</v>
      </c>
      <c r="B266" s="62">
        <f t="shared" si="9"/>
        <v>0</v>
      </c>
      <c r="C266" s="62" t="b">
        <f>IF(Tab.11[[#This Row],[a1]]=1,[3]!Tab_x1[[#This Row],[Name]])</f>
        <v>0</v>
      </c>
      <c r="D266" s="63" t="b">
        <f>IF(Tab.11[[#This Row],[a1]]=1,AO266)</f>
        <v>0</v>
      </c>
      <c r="E266" s="63">
        <f t="shared" si="10"/>
        <v>0</v>
      </c>
      <c r="F266" s="64" t="b">
        <f>IF(Tab.11[[#This Row],[a1]]=1,Tab.11[[#This Row],[b1]])</f>
        <v>0</v>
      </c>
      <c r="G266" s="65" t="b">
        <f>IF(Tab.11[[#This Row],[a1]]=1,IF(Tab.11[[#This Row],[b3]]&gt;$L$989*$G$3,$L$989*$G$3,IF(Tab.11[[#This Row],[b3]]&lt;$M$989*$G$3,$M$989*$G$3,Tab.11[[#This Row],[b3]])))</f>
        <v>0</v>
      </c>
      <c r="H266" s="66" t="b">
        <f>IF(Tab.11[[#This Row],[a1]]=1,Tab.11[[#This Row],[b1]])</f>
        <v>0</v>
      </c>
      <c r="I266" s="67" t="b">
        <f>IF(Tab.11[[#This Row],[a1]]=1,Tab.11[[#This Row],[b1]])</f>
        <v>0</v>
      </c>
      <c r="J266" s="68" t="b">
        <f>IF(Tab.11[[#This Row],[a1]]=1,IF($I$3&lt;0,Tab.11[[#This Row],[b5]]-$I$3,Tab.11[[#This Row],[b5]]))</f>
        <v>0</v>
      </c>
      <c r="K266" s="68" t="b">
        <f>IF(Tab.11[[#This Row],[a1]]=1,IF($K$3=0,Tab.11[b6],Tab.11[[#This Row],[b6]]-AVERAGE(Tab.11[b6])))</f>
        <v>0</v>
      </c>
      <c r="L266" s="69" t="b">
        <f>IF(Tab.11[[#This Row],[a1]]=1,Tab.11[[#This Row],[data]]/(_xlfn.STDEV.P(Tab.11[data])*$B$989)+$A$989)</f>
        <v>0</v>
      </c>
      <c r="M266" s="69" t="b">
        <f>IF(Tab.11[[#This Row],[a1]]=1,Tab.11[[#This Row],[data]]/(_xlfn.STDEV.P(Tab.11[data])*$B$987)-$A$987)</f>
        <v>0</v>
      </c>
      <c r="N266" s="69" t="b">
        <f>IF(Tab.11[[#This Row],[a1]]=1,Tab.11[[#This Row],[data]]/(_xlfn.STDEV.P(Tab.11[data])*$B$988)+$A$988)</f>
        <v>0</v>
      </c>
      <c r="O266" s="70" t="b">
        <f>IF(Tab.11[[#This Row],[a1]]=1,_xlfn.NORM.DIST(Tab.11[[#This Row],[b8]],$P$1,$Q$1,FALSE))</f>
        <v>0</v>
      </c>
      <c r="P266" s="70" t="b">
        <f>IF(Tab.11[[#This Row],[a1]]=1,_xlfn.NORM.DIST(Tab.11[[#This Row],[b9]],$P$1,$Q$1,FALSE))</f>
        <v>0</v>
      </c>
      <c r="Q266" s="70" t="b">
        <f>IF(Tab.11[[#This Row],[a1]]=1,_xlfn.NORM.DIST(Tab.11[[#This Row],[b10]],$P$1,$Q$1,FALSE))</f>
        <v>0</v>
      </c>
      <c r="R266" s="67" t="b">
        <f>IF(Tab.11[[#This Row],[a1]]=1,$I$3+$A$989+IF($K$3=0,Tab.11[[#This Row],[b8]]*_xlfn.STDEV.P(Tab.11[data]),AVERAGE(Tab.11[b6])+Tab.11[[#This Row],[b8]]*_xlfn.STDEV.P(Tab.11[data])))</f>
        <v>0</v>
      </c>
      <c r="S266" s="71" t="b">
        <f>IF(Tab.11[[#This Row],[a1]]=1,$I$3+$A$987+IF($K$3=0,Tab.11[[#This Row],[b9]]*_xlfn.STDEV.P(Tab.11[data]),AVERAGE(Tab.11[b6])+Tab.11[[#This Row],[b9]]*_xlfn.STDEV.P(Tab.11[data])))</f>
        <v>0</v>
      </c>
      <c r="T266" s="71" t="b">
        <f>IF(Tab.11[[#This Row],[a1]]=1,$I$3+$A$988+IF($K$3=0,Tab.11[[#This Row],[b10]]*_xlfn.STDEV.P(Tab.11[data]),AVERAGE(Tab.11[b6])+Tab.11[[#This Row],[b10]]*_xlfn.STDEV.P(Tab.11[data])))</f>
        <v>0</v>
      </c>
      <c r="U266" s="72" t="b">
        <f>IF(Tab.11[[#This Row],[a1]]=1,Tab.11[[#This Row],[target]]-Tab.11[[#This Row],[Red]])</f>
        <v>0</v>
      </c>
      <c r="V266" s="72" t="b">
        <f>IF(Tab.11[[#This Row],[a1]]=1,Tab.11[[#This Row],[target]]-Tab.11[[#This Row],[Blue]])</f>
        <v>0</v>
      </c>
      <c r="W266" s="73" t="b">
        <f>IF(Tab.11[[#This Row],[a1]]=1,IF(ABS(Tab.11[[#This Row],[b17]])+ABS(Tab.11[[#This Row],[b18]])&lt;$W$2,$W$2,ABS(Tab.11[[#This Row],[b17]])+ABS(Tab.11[[#This Row],[b18]])))</f>
        <v>0</v>
      </c>
      <c r="X266" s="136" t="b">
        <f>IF(Tab.11[[#This Row],[a1]]=1,IF($W$3&lt;0,Tab.11[[#This Row],[IN]]-$I$3,Tab.11[[#This Row],[IN]]))</f>
        <v>0</v>
      </c>
      <c r="Y266" s="136" t="b">
        <f>IF(Tab.11[[#This Row],[a1]]=1,IF($X$3=0,Tab.11[b66],Tab.11[[#This Row],[b66]]-AVERAGE(Tab.11[b66])))</f>
        <v>0</v>
      </c>
      <c r="Z266" s="135" t="b">
        <f>IF(Tab.11[[#This Row],[a1]]=1,Tab.11[[#This Row],[b77]]/(_xlfn.STDEV.P(Tab.11[b77])))</f>
        <v>0</v>
      </c>
      <c r="AA266" s="70" t="b">
        <f>IF(Tab.11[[#This Row],[a1]]=1,_xlfn.NORM.DIST(Tab.11[[#This Row],[b88]],$Z$1,$AA$1,FALSE))</f>
        <v>0</v>
      </c>
      <c r="AB266" s="74" t="b">
        <f>IF(Tab.11[[#This Row],[a1]]=1,IF($A$3=0,FALSE,1/Tab.11[[#This Row],[IN]]*$AC$2*IF(Tab.11[[#This Row],[a1]]=0,,$A$3*$AC$1*1/$V$3*(Tab.11[[#This Row],[b14]]))))</f>
        <v>0</v>
      </c>
      <c r="AC266" s="75" t="b">
        <f>IF(Tab.11[[#This Row],[a1]]=1,IF($AC$3=0,Tab.11[[#This Row],[φ1]],Tab.11[[#This Row],[φ1]]/MAX(Tab.11[φ1])))</f>
        <v>0</v>
      </c>
      <c r="AD266" s="74" t="b">
        <f>IF(Tab.11[[#This Row],[a1]]=1,1/Tab.11[[#This Row],[φ2]])</f>
        <v>0</v>
      </c>
      <c r="AE266" s="74" t="b">
        <f>IF(Tab.11[[#This Row],[a1]]=1,IF($AE$3=0,Tab.11[[#This Row],[w.0]],Tab.11[[#This Row],[w.0]]/SUM(Tab.11[w.0])))</f>
        <v>0</v>
      </c>
      <c r="AF266" s="76" t="str">
        <f>IF(Tab.11[[#This Row],[a1]]=0,"false",[3]!Tab.x5[[#This Row],[%_seN_C]])</f>
        <v>false</v>
      </c>
      <c r="AG266" s="77" t="b">
        <f>IF(Tab.11[[#This Row],[a1]]=1,AP266)</f>
        <v>0</v>
      </c>
      <c r="AH266" s="78" t="b">
        <f>IF(Tab.11[[#This Row],[a1]]=1,AQ266)</f>
        <v>0</v>
      </c>
      <c r="AI266" s="41">
        <v>3.0000000000000001E-3</v>
      </c>
      <c r="AJ266" s="79">
        <v>0.1</v>
      </c>
      <c r="AK266" s="80" t="b">
        <f>IF(Tab.11[[#This Row],[a1]]=1,1)</f>
        <v>0</v>
      </c>
      <c r="AZ266"/>
    </row>
    <row r="267" spans="1:52" hidden="1" x14ac:dyDescent="0.25">
      <c r="A267" s="61">
        <f t="shared" si="9"/>
        <v>0</v>
      </c>
      <c r="B267" s="62">
        <f t="shared" si="9"/>
        <v>0</v>
      </c>
      <c r="C267" s="62" t="b">
        <f>IF(Tab.11[[#This Row],[a1]]=1,[3]!Tab_x1[[#This Row],[Name]])</f>
        <v>0</v>
      </c>
      <c r="D267" s="63" t="b">
        <f>IF(Tab.11[[#This Row],[a1]]=1,AO267)</f>
        <v>0</v>
      </c>
      <c r="E267" s="63">
        <f t="shared" si="10"/>
        <v>0</v>
      </c>
      <c r="F267" s="64" t="b">
        <f>IF(Tab.11[[#This Row],[a1]]=1,Tab.11[[#This Row],[b1]])</f>
        <v>0</v>
      </c>
      <c r="G267" s="65" t="b">
        <f>IF(Tab.11[[#This Row],[a1]]=1,IF(Tab.11[[#This Row],[b3]]&gt;$L$989*$G$3,$L$989*$G$3,IF(Tab.11[[#This Row],[b3]]&lt;$M$989*$G$3,$M$989*$G$3,Tab.11[[#This Row],[b3]])))</f>
        <v>0</v>
      </c>
      <c r="H267" s="66" t="b">
        <f>IF(Tab.11[[#This Row],[a1]]=1,Tab.11[[#This Row],[b1]])</f>
        <v>0</v>
      </c>
      <c r="I267" s="67" t="b">
        <f>IF(Tab.11[[#This Row],[a1]]=1,Tab.11[[#This Row],[b1]])</f>
        <v>0</v>
      </c>
      <c r="J267" s="68" t="b">
        <f>IF(Tab.11[[#This Row],[a1]]=1,IF($I$3&lt;0,Tab.11[[#This Row],[b5]]-$I$3,Tab.11[[#This Row],[b5]]))</f>
        <v>0</v>
      </c>
      <c r="K267" s="68" t="b">
        <f>IF(Tab.11[[#This Row],[a1]]=1,IF($K$3=0,Tab.11[b6],Tab.11[[#This Row],[b6]]-AVERAGE(Tab.11[b6])))</f>
        <v>0</v>
      </c>
      <c r="L267" s="69" t="b">
        <f>IF(Tab.11[[#This Row],[a1]]=1,Tab.11[[#This Row],[data]]/(_xlfn.STDEV.P(Tab.11[data])*$B$989)+$A$989)</f>
        <v>0</v>
      </c>
      <c r="M267" s="69" t="b">
        <f>IF(Tab.11[[#This Row],[a1]]=1,Tab.11[[#This Row],[data]]/(_xlfn.STDEV.P(Tab.11[data])*$B$987)-$A$987)</f>
        <v>0</v>
      </c>
      <c r="N267" s="69" t="b">
        <f>IF(Tab.11[[#This Row],[a1]]=1,Tab.11[[#This Row],[data]]/(_xlfn.STDEV.P(Tab.11[data])*$B$988)+$A$988)</f>
        <v>0</v>
      </c>
      <c r="O267" s="70" t="b">
        <f>IF(Tab.11[[#This Row],[a1]]=1,_xlfn.NORM.DIST(Tab.11[[#This Row],[b8]],$P$1,$Q$1,FALSE))</f>
        <v>0</v>
      </c>
      <c r="P267" s="70" t="b">
        <f>IF(Tab.11[[#This Row],[a1]]=1,_xlfn.NORM.DIST(Tab.11[[#This Row],[b9]],$P$1,$Q$1,FALSE))</f>
        <v>0</v>
      </c>
      <c r="Q267" s="70" t="b">
        <f>IF(Tab.11[[#This Row],[a1]]=1,_xlfn.NORM.DIST(Tab.11[[#This Row],[b10]],$P$1,$Q$1,FALSE))</f>
        <v>0</v>
      </c>
      <c r="R267" s="67" t="b">
        <f>IF(Tab.11[[#This Row],[a1]]=1,$I$3+$A$989+IF($K$3=0,Tab.11[[#This Row],[b8]]*_xlfn.STDEV.P(Tab.11[data]),AVERAGE(Tab.11[b6])+Tab.11[[#This Row],[b8]]*_xlfn.STDEV.P(Tab.11[data])))</f>
        <v>0</v>
      </c>
      <c r="S267" s="71" t="b">
        <f>IF(Tab.11[[#This Row],[a1]]=1,$I$3+$A$987+IF($K$3=0,Tab.11[[#This Row],[b9]]*_xlfn.STDEV.P(Tab.11[data]),AVERAGE(Tab.11[b6])+Tab.11[[#This Row],[b9]]*_xlfn.STDEV.P(Tab.11[data])))</f>
        <v>0</v>
      </c>
      <c r="T267" s="71" t="b">
        <f>IF(Tab.11[[#This Row],[a1]]=1,$I$3+$A$988+IF($K$3=0,Tab.11[[#This Row],[b10]]*_xlfn.STDEV.P(Tab.11[data]),AVERAGE(Tab.11[b6])+Tab.11[[#This Row],[b10]]*_xlfn.STDEV.P(Tab.11[data])))</f>
        <v>0</v>
      </c>
      <c r="U267" s="72" t="b">
        <f>IF(Tab.11[[#This Row],[a1]]=1,Tab.11[[#This Row],[target]]-Tab.11[[#This Row],[Red]])</f>
        <v>0</v>
      </c>
      <c r="V267" s="72" t="b">
        <f>IF(Tab.11[[#This Row],[a1]]=1,Tab.11[[#This Row],[target]]-Tab.11[[#This Row],[Blue]])</f>
        <v>0</v>
      </c>
      <c r="W267" s="73" t="b">
        <f>IF(Tab.11[[#This Row],[a1]]=1,IF(ABS(Tab.11[[#This Row],[b17]])+ABS(Tab.11[[#This Row],[b18]])&lt;$W$2,$W$2,ABS(Tab.11[[#This Row],[b17]])+ABS(Tab.11[[#This Row],[b18]])))</f>
        <v>0</v>
      </c>
      <c r="X267" s="136" t="b">
        <f>IF(Tab.11[[#This Row],[a1]]=1,IF($W$3&lt;0,Tab.11[[#This Row],[IN]]-$I$3,Tab.11[[#This Row],[IN]]))</f>
        <v>0</v>
      </c>
      <c r="Y267" s="136" t="b">
        <f>IF(Tab.11[[#This Row],[a1]]=1,IF($X$3=0,Tab.11[b66],Tab.11[[#This Row],[b66]]-AVERAGE(Tab.11[b66])))</f>
        <v>0</v>
      </c>
      <c r="Z267" s="135" t="b">
        <f>IF(Tab.11[[#This Row],[a1]]=1,Tab.11[[#This Row],[b77]]/(_xlfn.STDEV.P(Tab.11[b77])))</f>
        <v>0</v>
      </c>
      <c r="AA267" s="70" t="b">
        <f>IF(Tab.11[[#This Row],[a1]]=1,_xlfn.NORM.DIST(Tab.11[[#This Row],[b88]],$Z$1,$AA$1,FALSE))</f>
        <v>0</v>
      </c>
      <c r="AB267" s="74" t="b">
        <f>IF(Tab.11[[#This Row],[a1]]=1,IF($A$3=0,FALSE,1/Tab.11[[#This Row],[IN]]*$AC$2*IF(Tab.11[[#This Row],[a1]]=0,,$A$3*$AC$1*1/$V$3*(Tab.11[[#This Row],[b14]]))))</f>
        <v>0</v>
      </c>
      <c r="AC267" s="75" t="b">
        <f>IF(Tab.11[[#This Row],[a1]]=1,IF($AC$3=0,Tab.11[[#This Row],[φ1]],Tab.11[[#This Row],[φ1]]/MAX(Tab.11[φ1])))</f>
        <v>0</v>
      </c>
      <c r="AD267" s="74" t="b">
        <f>IF(Tab.11[[#This Row],[a1]]=1,1/Tab.11[[#This Row],[φ2]])</f>
        <v>0</v>
      </c>
      <c r="AE267" s="74" t="b">
        <f>IF(Tab.11[[#This Row],[a1]]=1,IF($AE$3=0,Tab.11[[#This Row],[w.0]],Tab.11[[#This Row],[w.0]]/SUM(Tab.11[w.0])))</f>
        <v>0</v>
      </c>
      <c r="AF267" s="76" t="str">
        <f>IF(Tab.11[[#This Row],[a1]]=0,"false",[3]!Tab.x5[[#This Row],[%_seN_C]])</f>
        <v>false</v>
      </c>
      <c r="AG267" s="77" t="b">
        <f>IF(Tab.11[[#This Row],[a1]]=1,AP267)</f>
        <v>0</v>
      </c>
      <c r="AH267" s="78" t="b">
        <f>IF(Tab.11[[#This Row],[a1]]=1,AQ267)</f>
        <v>0</v>
      </c>
      <c r="AI267" s="41">
        <v>3.0000000000000001E-3</v>
      </c>
      <c r="AJ267" s="79">
        <v>-0.09</v>
      </c>
      <c r="AK267" s="80" t="b">
        <f>IF(Tab.11[[#This Row],[a1]]=1,1)</f>
        <v>0</v>
      </c>
      <c r="AZ267"/>
    </row>
    <row r="268" spans="1:52" hidden="1" x14ac:dyDescent="0.25">
      <c r="A268" s="61">
        <f t="shared" si="9"/>
        <v>0</v>
      </c>
      <c r="B268" s="62">
        <f t="shared" si="9"/>
        <v>0</v>
      </c>
      <c r="C268" s="62" t="b">
        <f>IF(Tab.11[[#This Row],[a1]]=1,[3]!Tab_x1[[#This Row],[Name]])</f>
        <v>0</v>
      </c>
      <c r="D268" s="63" t="b">
        <f>IF(Tab.11[[#This Row],[a1]]=1,AO268)</f>
        <v>0</v>
      </c>
      <c r="E268" s="63">
        <f t="shared" si="10"/>
        <v>0</v>
      </c>
      <c r="F268" s="64" t="b">
        <f>IF(Tab.11[[#This Row],[a1]]=1,Tab.11[[#This Row],[b1]])</f>
        <v>0</v>
      </c>
      <c r="G268" s="65" t="b">
        <f>IF(Tab.11[[#This Row],[a1]]=1,IF(Tab.11[[#This Row],[b3]]&gt;$L$989*$G$3,$L$989*$G$3,IF(Tab.11[[#This Row],[b3]]&lt;$M$989*$G$3,$M$989*$G$3,Tab.11[[#This Row],[b3]])))</f>
        <v>0</v>
      </c>
      <c r="H268" s="66" t="b">
        <f>IF(Tab.11[[#This Row],[a1]]=1,Tab.11[[#This Row],[b1]])</f>
        <v>0</v>
      </c>
      <c r="I268" s="67" t="b">
        <f>IF(Tab.11[[#This Row],[a1]]=1,Tab.11[[#This Row],[b1]])</f>
        <v>0</v>
      </c>
      <c r="J268" s="68" t="b">
        <f>IF(Tab.11[[#This Row],[a1]]=1,IF($I$3&lt;0,Tab.11[[#This Row],[b5]]-$I$3,Tab.11[[#This Row],[b5]]))</f>
        <v>0</v>
      </c>
      <c r="K268" s="68" t="b">
        <f>IF(Tab.11[[#This Row],[a1]]=1,IF($K$3=0,Tab.11[b6],Tab.11[[#This Row],[b6]]-AVERAGE(Tab.11[b6])))</f>
        <v>0</v>
      </c>
      <c r="L268" s="69" t="b">
        <f>IF(Tab.11[[#This Row],[a1]]=1,Tab.11[[#This Row],[data]]/(_xlfn.STDEV.P(Tab.11[data])*$B$989)+$A$989)</f>
        <v>0</v>
      </c>
      <c r="M268" s="69" t="b">
        <f>IF(Tab.11[[#This Row],[a1]]=1,Tab.11[[#This Row],[data]]/(_xlfn.STDEV.P(Tab.11[data])*$B$987)-$A$987)</f>
        <v>0</v>
      </c>
      <c r="N268" s="69" t="b">
        <f>IF(Tab.11[[#This Row],[a1]]=1,Tab.11[[#This Row],[data]]/(_xlfn.STDEV.P(Tab.11[data])*$B$988)+$A$988)</f>
        <v>0</v>
      </c>
      <c r="O268" s="70" t="b">
        <f>IF(Tab.11[[#This Row],[a1]]=1,_xlfn.NORM.DIST(Tab.11[[#This Row],[b8]],$P$1,$Q$1,FALSE))</f>
        <v>0</v>
      </c>
      <c r="P268" s="70" t="b">
        <f>IF(Tab.11[[#This Row],[a1]]=1,_xlfn.NORM.DIST(Tab.11[[#This Row],[b9]],$P$1,$Q$1,FALSE))</f>
        <v>0</v>
      </c>
      <c r="Q268" s="70" t="b">
        <f>IF(Tab.11[[#This Row],[a1]]=1,_xlfn.NORM.DIST(Tab.11[[#This Row],[b10]],$P$1,$Q$1,FALSE))</f>
        <v>0</v>
      </c>
      <c r="R268" s="67" t="b">
        <f>IF(Tab.11[[#This Row],[a1]]=1,$I$3+$A$989+IF($K$3=0,Tab.11[[#This Row],[b8]]*_xlfn.STDEV.P(Tab.11[data]),AVERAGE(Tab.11[b6])+Tab.11[[#This Row],[b8]]*_xlfn.STDEV.P(Tab.11[data])))</f>
        <v>0</v>
      </c>
      <c r="S268" s="71" t="b">
        <f>IF(Tab.11[[#This Row],[a1]]=1,$I$3+$A$987+IF($K$3=0,Tab.11[[#This Row],[b9]]*_xlfn.STDEV.P(Tab.11[data]),AVERAGE(Tab.11[b6])+Tab.11[[#This Row],[b9]]*_xlfn.STDEV.P(Tab.11[data])))</f>
        <v>0</v>
      </c>
      <c r="T268" s="71" t="b">
        <f>IF(Tab.11[[#This Row],[a1]]=1,$I$3+$A$988+IF($K$3=0,Tab.11[[#This Row],[b10]]*_xlfn.STDEV.P(Tab.11[data]),AVERAGE(Tab.11[b6])+Tab.11[[#This Row],[b10]]*_xlfn.STDEV.P(Tab.11[data])))</f>
        <v>0</v>
      </c>
      <c r="U268" s="72" t="b">
        <f>IF(Tab.11[[#This Row],[a1]]=1,Tab.11[[#This Row],[target]]-Tab.11[[#This Row],[Red]])</f>
        <v>0</v>
      </c>
      <c r="V268" s="72" t="b">
        <f>IF(Tab.11[[#This Row],[a1]]=1,Tab.11[[#This Row],[target]]-Tab.11[[#This Row],[Blue]])</f>
        <v>0</v>
      </c>
      <c r="W268" s="73" t="b">
        <f>IF(Tab.11[[#This Row],[a1]]=1,IF(ABS(Tab.11[[#This Row],[b17]])+ABS(Tab.11[[#This Row],[b18]])&lt;$W$2,$W$2,ABS(Tab.11[[#This Row],[b17]])+ABS(Tab.11[[#This Row],[b18]])))</f>
        <v>0</v>
      </c>
      <c r="X268" s="136" t="b">
        <f>IF(Tab.11[[#This Row],[a1]]=1,IF($W$3&lt;0,Tab.11[[#This Row],[IN]]-$I$3,Tab.11[[#This Row],[IN]]))</f>
        <v>0</v>
      </c>
      <c r="Y268" s="136" t="b">
        <f>IF(Tab.11[[#This Row],[a1]]=1,IF($X$3=0,Tab.11[b66],Tab.11[[#This Row],[b66]]-AVERAGE(Tab.11[b66])))</f>
        <v>0</v>
      </c>
      <c r="Z268" s="135" t="b">
        <f>IF(Tab.11[[#This Row],[a1]]=1,Tab.11[[#This Row],[b77]]/(_xlfn.STDEV.P(Tab.11[b77])))</f>
        <v>0</v>
      </c>
      <c r="AA268" s="70" t="b">
        <f>IF(Tab.11[[#This Row],[a1]]=1,_xlfn.NORM.DIST(Tab.11[[#This Row],[b88]],$Z$1,$AA$1,FALSE))</f>
        <v>0</v>
      </c>
      <c r="AB268" s="74" t="b">
        <f>IF(Tab.11[[#This Row],[a1]]=1,IF($A$3=0,FALSE,1/Tab.11[[#This Row],[IN]]*$AC$2*IF(Tab.11[[#This Row],[a1]]=0,,$A$3*$AC$1*1/$V$3*(Tab.11[[#This Row],[b14]]))))</f>
        <v>0</v>
      </c>
      <c r="AC268" s="75" t="b">
        <f>IF(Tab.11[[#This Row],[a1]]=1,IF($AC$3=0,Tab.11[[#This Row],[φ1]],Tab.11[[#This Row],[φ1]]/MAX(Tab.11[φ1])))</f>
        <v>0</v>
      </c>
      <c r="AD268" s="74" t="b">
        <f>IF(Tab.11[[#This Row],[a1]]=1,1/Tab.11[[#This Row],[φ2]])</f>
        <v>0</v>
      </c>
      <c r="AE268" s="74" t="b">
        <f>IF(Tab.11[[#This Row],[a1]]=1,IF($AE$3=0,Tab.11[[#This Row],[w.0]],Tab.11[[#This Row],[w.0]]/SUM(Tab.11[w.0])))</f>
        <v>0</v>
      </c>
      <c r="AF268" s="76" t="str">
        <f>IF(Tab.11[[#This Row],[a1]]=0,"false",[3]!Tab.x5[[#This Row],[%_seN_C]])</f>
        <v>false</v>
      </c>
      <c r="AG268" s="77" t="b">
        <f>IF(Tab.11[[#This Row],[a1]]=1,AP268)</f>
        <v>0</v>
      </c>
      <c r="AH268" s="78" t="b">
        <f>IF(Tab.11[[#This Row],[a1]]=1,AQ268)</f>
        <v>0</v>
      </c>
      <c r="AI268" s="41">
        <v>3.0000000000000001E-3</v>
      </c>
      <c r="AJ268" s="79">
        <v>-0.1</v>
      </c>
      <c r="AK268" s="80" t="b">
        <f>IF(Tab.11[[#This Row],[a1]]=1,1)</f>
        <v>0</v>
      </c>
      <c r="AZ268"/>
    </row>
    <row r="269" spans="1:52" hidden="1" x14ac:dyDescent="0.25">
      <c r="A269" s="61">
        <f t="shared" si="9"/>
        <v>0</v>
      </c>
      <c r="B269" s="62">
        <f t="shared" si="9"/>
        <v>0</v>
      </c>
      <c r="C269" s="62" t="b">
        <f>IF(Tab.11[[#This Row],[a1]]=1,[3]!Tab_x1[[#This Row],[Name]])</f>
        <v>0</v>
      </c>
      <c r="D269" s="63" t="b">
        <f>IF(Tab.11[[#This Row],[a1]]=1,AO269)</f>
        <v>0</v>
      </c>
      <c r="E269" s="63">
        <f t="shared" si="10"/>
        <v>0</v>
      </c>
      <c r="F269" s="64" t="b">
        <f>IF(Tab.11[[#This Row],[a1]]=1,Tab.11[[#This Row],[b1]])</f>
        <v>0</v>
      </c>
      <c r="G269" s="65" t="b">
        <f>IF(Tab.11[[#This Row],[a1]]=1,IF(Tab.11[[#This Row],[b3]]&gt;$L$989*$G$3,$L$989*$G$3,IF(Tab.11[[#This Row],[b3]]&lt;$M$989*$G$3,$M$989*$G$3,Tab.11[[#This Row],[b3]])))</f>
        <v>0</v>
      </c>
      <c r="H269" s="66" t="b">
        <f>IF(Tab.11[[#This Row],[a1]]=1,Tab.11[[#This Row],[b1]])</f>
        <v>0</v>
      </c>
      <c r="I269" s="67" t="b">
        <f>IF(Tab.11[[#This Row],[a1]]=1,Tab.11[[#This Row],[b1]])</f>
        <v>0</v>
      </c>
      <c r="J269" s="68" t="b">
        <f>IF(Tab.11[[#This Row],[a1]]=1,IF($I$3&lt;0,Tab.11[[#This Row],[b5]]-$I$3,Tab.11[[#This Row],[b5]]))</f>
        <v>0</v>
      </c>
      <c r="K269" s="68" t="b">
        <f>IF(Tab.11[[#This Row],[a1]]=1,IF($K$3=0,Tab.11[b6],Tab.11[[#This Row],[b6]]-AVERAGE(Tab.11[b6])))</f>
        <v>0</v>
      </c>
      <c r="L269" s="69" t="b">
        <f>IF(Tab.11[[#This Row],[a1]]=1,Tab.11[[#This Row],[data]]/(_xlfn.STDEV.P(Tab.11[data])*$B$989)+$A$989)</f>
        <v>0</v>
      </c>
      <c r="M269" s="69" t="b">
        <f>IF(Tab.11[[#This Row],[a1]]=1,Tab.11[[#This Row],[data]]/(_xlfn.STDEV.P(Tab.11[data])*$B$987)-$A$987)</f>
        <v>0</v>
      </c>
      <c r="N269" s="69" t="b">
        <f>IF(Tab.11[[#This Row],[a1]]=1,Tab.11[[#This Row],[data]]/(_xlfn.STDEV.P(Tab.11[data])*$B$988)+$A$988)</f>
        <v>0</v>
      </c>
      <c r="O269" s="70" t="b">
        <f>IF(Tab.11[[#This Row],[a1]]=1,_xlfn.NORM.DIST(Tab.11[[#This Row],[b8]],$P$1,$Q$1,FALSE))</f>
        <v>0</v>
      </c>
      <c r="P269" s="70" t="b">
        <f>IF(Tab.11[[#This Row],[a1]]=1,_xlfn.NORM.DIST(Tab.11[[#This Row],[b9]],$P$1,$Q$1,FALSE))</f>
        <v>0</v>
      </c>
      <c r="Q269" s="70" t="b">
        <f>IF(Tab.11[[#This Row],[a1]]=1,_xlfn.NORM.DIST(Tab.11[[#This Row],[b10]],$P$1,$Q$1,FALSE))</f>
        <v>0</v>
      </c>
      <c r="R269" s="67" t="b">
        <f>IF(Tab.11[[#This Row],[a1]]=1,$I$3+$A$989+IF($K$3=0,Tab.11[[#This Row],[b8]]*_xlfn.STDEV.P(Tab.11[data]),AVERAGE(Tab.11[b6])+Tab.11[[#This Row],[b8]]*_xlfn.STDEV.P(Tab.11[data])))</f>
        <v>0</v>
      </c>
      <c r="S269" s="71" t="b">
        <f>IF(Tab.11[[#This Row],[a1]]=1,$I$3+$A$987+IF($K$3=0,Tab.11[[#This Row],[b9]]*_xlfn.STDEV.P(Tab.11[data]),AVERAGE(Tab.11[b6])+Tab.11[[#This Row],[b9]]*_xlfn.STDEV.P(Tab.11[data])))</f>
        <v>0</v>
      </c>
      <c r="T269" s="71" t="b">
        <f>IF(Tab.11[[#This Row],[a1]]=1,$I$3+$A$988+IF($K$3=0,Tab.11[[#This Row],[b10]]*_xlfn.STDEV.P(Tab.11[data]),AVERAGE(Tab.11[b6])+Tab.11[[#This Row],[b10]]*_xlfn.STDEV.P(Tab.11[data])))</f>
        <v>0</v>
      </c>
      <c r="U269" s="72" t="b">
        <f>IF(Tab.11[[#This Row],[a1]]=1,Tab.11[[#This Row],[target]]-Tab.11[[#This Row],[Red]])</f>
        <v>0</v>
      </c>
      <c r="V269" s="72" t="b">
        <f>IF(Tab.11[[#This Row],[a1]]=1,Tab.11[[#This Row],[target]]-Tab.11[[#This Row],[Blue]])</f>
        <v>0</v>
      </c>
      <c r="W269" s="73" t="b">
        <f>IF(Tab.11[[#This Row],[a1]]=1,IF(ABS(Tab.11[[#This Row],[b17]])+ABS(Tab.11[[#This Row],[b18]])&lt;$W$2,$W$2,ABS(Tab.11[[#This Row],[b17]])+ABS(Tab.11[[#This Row],[b18]])))</f>
        <v>0</v>
      </c>
      <c r="X269" s="136" t="b">
        <f>IF(Tab.11[[#This Row],[a1]]=1,IF($W$3&lt;0,Tab.11[[#This Row],[IN]]-$I$3,Tab.11[[#This Row],[IN]]))</f>
        <v>0</v>
      </c>
      <c r="Y269" s="136" t="b">
        <f>IF(Tab.11[[#This Row],[a1]]=1,IF($X$3=0,Tab.11[b66],Tab.11[[#This Row],[b66]]-AVERAGE(Tab.11[b66])))</f>
        <v>0</v>
      </c>
      <c r="Z269" s="135" t="b">
        <f>IF(Tab.11[[#This Row],[a1]]=1,Tab.11[[#This Row],[b77]]/(_xlfn.STDEV.P(Tab.11[b77])))</f>
        <v>0</v>
      </c>
      <c r="AA269" s="70" t="b">
        <f>IF(Tab.11[[#This Row],[a1]]=1,_xlfn.NORM.DIST(Tab.11[[#This Row],[b88]],$Z$1,$AA$1,FALSE))</f>
        <v>0</v>
      </c>
      <c r="AB269" s="74" t="b">
        <f>IF(Tab.11[[#This Row],[a1]]=1,IF($A$3=0,FALSE,1/Tab.11[[#This Row],[IN]]*$AC$2*IF(Tab.11[[#This Row],[a1]]=0,,$A$3*$AC$1*1/$V$3*(Tab.11[[#This Row],[b14]]))))</f>
        <v>0</v>
      </c>
      <c r="AC269" s="75" t="b">
        <f>IF(Tab.11[[#This Row],[a1]]=1,IF($AC$3=0,Tab.11[[#This Row],[φ1]],Tab.11[[#This Row],[φ1]]/MAX(Tab.11[φ1])))</f>
        <v>0</v>
      </c>
      <c r="AD269" s="74" t="b">
        <f>IF(Tab.11[[#This Row],[a1]]=1,1/Tab.11[[#This Row],[φ2]])</f>
        <v>0</v>
      </c>
      <c r="AE269" s="74" t="b">
        <f>IF(Tab.11[[#This Row],[a1]]=1,IF($AE$3=0,Tab.11[[#This Row],[w.0]],Tab.11[[#This Row],[w.0]]/SUM(Tab.11[w.0])))</f>
        <v>0</v>
      </c>
      <c r="AF269" s="76" t="str">
        <f>IF(Tab.11[[#This Row],[a1]]=0,"false",[3]!Tab.x5[[#This Row],[%_seN_C]])</f>
        <v>false</v>
      </c>
      <c r="AG269" s="77" t="b">
        <f>IF(Tab.11[[#This Row],[a1]]=1,AP269)</f>
        <v>0</v>
      </c>
      <c r="AH269" s="78" t="b">
        <f>IF(Tab.11[[#This Row],[a1]]=1,AQ269)</f>
        <v>0</v>
      </c>
      <c r="AI269" s="41">
        <v>3.0000000000000001E-3</v>
      </c>
      <c r="AJ269" s="79">
        <v>-0.09</v>
      </c>
      <c r="AK269" s="80" t="b">
        <f>IF(Tab.11[[#This Row],[a1]]=1,1)</f>
        <v>0</v>
      </c>
      <c r="AZ269"/>
    </row>
    <row r="270" spans="1:52" hidden="1" x14ac:dyDescent="0.25">
      <c r="A270" s="61">
        <f t="shared" si="9"/>
        <v>0</v>
      </c>
      <c r="B270" s="62">
        <f t="shared" si="9"/>
        <v>0</v>
      </c>
      <c r="C270" s="62" t="b">
        <f>IF(Tab.11[[#This Row],[a1]]=1,[3]!Tab_x1[[#This Row],[Name]])</f>
        <v>0</v>
      </c>
      <c r="D270" s="63" t="b">
        <f>IF(Tab.11[[#This Row],[a1]]=1,AO270)</f>
        <v>0</v>
      </c>
      <c r="E270" s="63">
        <f t="shared" si="10"/>
        <v>0</v>
      </c>
      <c r="F270" s="64" t="b">
        <f>IF(Tab.11[[#This Row],[a1]]=1,Tab.11[[#This Row],[b1]])</f>
        <v>0</v>
      </c>
      <c r="G270" s="65" t="b">
        <f>IF(Tab.11[[#This Row],[a1]]=1,IF(Tab.11[[#This Row],[b3]]&gt;$L$989*$G$3,$L$989*$G$3,IF(Tab.11[[#This Row],[b3]]&lt;$M$989*$G$3,$M$989*$G$3,Tab.11[[#This Row],[b3]])))</f>
        <v>0</v>
      </c>
      <c r="H270" s="66" t="b">
        <f>IF(Tab.11[[#This Row],[a1]]=1,Tab.11[[#This Row],[b1]])</f>
        <v>0</v>
      </c>
      <c r="I270" s="67" t="b">
        <f>IF(Tab.11[[#This Row],[a1]]=1,Tab.11[[#This Row],[b1]])</f>
        <v>0</v>
      </c>
      <c r="J270" s="68" t="b">
        <f>IF(Tab.11[[#This Row],[a1]]=1,IF($I$3&lt;0,Tab.11[[#This Row],[b5]]-$I$3,Tab.11[[#This Row],[b5]]))</f>
        <v>0</v>
      </c>
      <c r="K270" s="68" t="b">
        <f>IF(Tab.11[[#This Row],[a1]]=1,IF($K$3=0,Tab.11[b6],Tab.11[[#This Row],[b6]]-AVERAGE(Tab.11[b6])))</f>
        <v>0</v>
      </c>
      <c r="L270" s="69" t="b">
        <f>IF(Tab.11[[#This Row],[a1]]=1,Tab.11[[#This Row],[data]]/(_xlfn.STDEV.P(Tab.11[data])*$B$989)+$A$989)</f>
        <v>0</v>
      </c>
      <c r="M270" s="69" t="b">
        <f>IF(Tab.11[[#This Row],[a1]]=1,Tab.11[[#This Row],[data]]/(_xlfn.STDEV.P(Tab.11[data])*$B$987)-$A$987)</f>
        <v>0</v>
      </c>
      <c r="N270" s="69" t="b">
        <f>IF(Tab.11[[#This Row],[a1]]=1,Tab.11[[#This Row],[data]]/(_xlfn.STDEV.P(Tab.11[data])*$B$988)+$A$988)</f>
        <v>0</v>
      </c>
      <c r="O270" s="70" t="b">
        <f>IF(Tab.11[[#This Row],[a1]]=1,_xlfn.NORM.DIST(Tab.11[[#This Row],[b8]],$P$1,$Q$1,FALSE))</f>
        <v>0</v>
      </c>
      <c r="P270" s="70" t="b">
        <f>IF(Tab.11[[#This Row],[a1]]=1,_xlfn.NORM.DIST(Tab.11[[#This Row],[b9]],$P$1,$Q$1,FALSE))</f>
        <v>0</v>
      </c>
      <c r="Q270" s="70" t="b">
        <f>IF(Tab.11[[#This Row],[a1]]=1,_xlfn.NORM.DIST(Tab.11[[#This Row],[b10]],$P$1,$Q$1,FALSE))</f>
        <v>0</v>
      </c>
      <c r="R270" s="67" t="b">
        <f>IF(Tab.11[[#This Row],[a1]]=1,$I$3+$A$989+IF($K$3=0,Tab.11[[#This Row],[b8]]*_xlfn.STDEV.P(Tab.11[data]),AVERAGE(Tab.11[b6])+Tab.11[[#This Row],[b8]]*_xlfn.STDEV.P(Tab.11[data])))</f>
        <v>0</v>
      </c>
      <c r="S270" s="71" t="b">
        <f>IF(Tab.11[[#This Row],[a1]]=1,$I$3+$A$987+IF($K$3=0,Tab.11[[#This Row],[b9]]*_xlfn.STDEV.P(Tab.11[data]),AVERAGE(Tab.11[b6])+Tab.11[[#This Row],[b9]]*_xlfn.STDEV.P(Tab.11[data])))</f>
        <v>0</v>
      </c>
      <c r="T270" s="71" t="b">
        <f>IF(Tab.11[[#This Row],[a1]]=1,$I$3+$A$988+IF($K$3=0,Tab.11[[#This Row],[b10]]*_xlfn.STDEV.P(Tab.11[data]),AVERAGE(Tab.11[b6])+Tab.11[[#This Row],[b10]]*_xlfn.STDEV.P(Tab.11[data])))</f>
        <v>0</v>
      </c>
      <c r="U270" s="72" t="b">
        <f>IF(Tab.11[[#This Row],[a1]]=1,Tab.11[[#This Row],[target]]-Tab.11[[#This Row],[Red]])</f>
        <v>0</v>
      </c>
      <c r="V270" s="72" t="b">
        <f>IF(Tab.11[[#This Row],[a1]]=1,Tab.11[[#This Row],[target]]-Tab.11[[#This Row],[Blue]])</f>
        <v>0</v>
      </c>
      <c r="W270" s="73" t="b">
        <f>IF(Tab.11[[#This Row],[a1]]=1,IF(ABS(Tab.11[[#This Row],[b17]])+ABS(Tab.11[[#This Row],[b18]])&lt;$W$2,$W$2,ABS(Tab.11[[#This Row],[b17]])+ABS(Tab.11[[#This Row],[b18]])))</f>
        <v>0</v>
      </c>
      <c r="X270" s="136" t="b">
        <f>IF(Tab.11[[#This Row],[a1]]=1,IF($W$3&lt;0,Tab.11[[#This Row],[IN]]-$I$3,Tab.11[[#This Row],[IN]]))</f>
        <v>0</v>
      </c>
      <c r="Y270" s="136" t="b">
        <f>IF(Tab.11[[#This Row],[a1]]=1,IF($X$3=0,Tab.11[b66],Tab.11[[#This Row],[b66]]-AVERAGE(Tab.11[b66])))</f>
        <v>0</v>
      </c>
      <c r="Z270" s="135" t="b">
        <f>IF(Tab.11[[#This Row],[a1]]=1,Tab.11[[#This Row],[b77]]/(_xlfn.STDEV.P(Tab.11[b77])))</f>
        <v>0</v>
      </c>
      <c r="AA270" s="70" t="b">
        <f>IF(Tab.11[[#This Row],[a1]]=1,_xlfn.NORM.DIST(Tab.11[[#This Row],[b88]],$Z$1,$AA$1,FALSE))</f>
        <v>0</v>
      </c>
      <c r="AB270" s="74" t="b">
        <f>IF(Tab.11[[#This Row],[a1]]=1,IF($A$3=0,FALSE,1/Tab.11[[#This Row],[IN]]*$AC$2*IF(Tab.11[[#This Row],[a1]]=0,,$A$3*$AC$1*1/$V$3*(Tab.11[[#This Row],[b14]]))))</f>
        <v>0</v>
      </c>
      <c r="AC270" s="75" t="b">
        <f>IF(Tab.11[[#This Row],[a1]]=1,IF($AC$3=0,Tab.11[[#This Row],[φ1]],Tab.11[[#This Row],[φ1]]/MAX(Tab.11[φ1])))</f>
        <v>0</v>
      </c>
      <c r="AD270" s="74" t="b">
        <f>IF(Tab.11[[#This Row],[a1]]=1,1/Tab.11[[#This Row],[φ2]])</f>
        <v>0</v>
      </c>
      <c r="AE270" s="74" t="b">
        <f>IF(Tab.11[[#This Row],[a1]]=1,IF($AE$3=0,Tab.11[[#This Row],[w.0]],Tab.11[[#This Row],[w.0]]/SUM(Tab.11[w.0])))</f>
        <v>0</v>
      </c>
      <c r="AF270" s="76" t="str">
        <f>IF(Tab.11[[#This Row],[a1]]=0,"false",[3]!Tab.x5[[#This Row],[%_seN_C]])</f>
        <v>false</v>
      </c>
      <c r="AG270" s="77" t="b">
        <f>IF(Tab.11[[#This Row],[a1]]=1,AP270)</f>
        <v>0</v>
      </c>
      <c r="AH270" s="78" t="b">
        <f>IF(Tab.11[[#This Row],[a1]]=1,AQ270)</f>
        <v>0</v>
      </c>
      <c r="AI270" s="41">
        <v>3.0000000000000001E-3</v>
      </c>
      <c r="AJ270" s="79">
        <v>-0.01</v>
      </c>
      <c r="AK270" s="80" t="b">
        <f>IF(Tab.11[[#This Row],[a1]]=1,1)</f>
        <v>0</v>
      </c>
      <c r="AZ270"/>
    </row>
    <row r="271" spans="1:52" hidden="1" x14ac:dyDescent="0.25">
      <c r="A271" s="61">
        <f t="shared" si="9"/>
        <v>0</v>
      </c>
      <c r="B271" s="62">
        <f t="shared" si="9"/>
        <v>0</v>
      </c>
      <c r="C271" s="62" t="b">
        <f>IF(Tab.11[[#This Row],[a1]]=1,[3]!Tab_x1[[#This Row],[Name]])</f>
        <v>0</v>
      </c>
      <c r="D271" s="63" t="b">
        <f>IF(Tab.11[[#This Row],[a1]]=1,AO271)</f>
        <v>0</v>
      </c>
      <c r="E271" s="63">
        <f t="shared" si="10"/>
        <v>0</v>
      </c>
      <c r="F271" s="64" t="b">
        <f>IF(Tab.11[[#This Row],[a1]]=1,Tab.11[[#This Row],[b1]])</f>
        <v>0</v>
      </c>
      <c r="G271" s="65" t="b">
        <f>IF(Tab.11[[#This Row],[a1]]=1,IF(Tab.11[[#This Row],[b3]]&gt;$L$989*$G$3,$L$989*$G$3,IF(Tab.11[[#This Row],[b3]]&lt;$M$989*$G$3,$M$989*$G$3,Tab.11[[#This Row],[b3]])))</f>
        <v>0</v>
      </c>
      <c r="H271" s="66" t="b">
        <f>IF(Tab.11[[#This Row],[a1]]=1,Tab.11[[#This Row],[b1]])</f>
        <v>0</v>
      </c>
      <c r="I271" s="67" t="b">
        <f>IF(Tab.11[[#This Row],[a1]]=1,Tab.11[[#This Row],[b1]])</f>
        <v>0</v>
      </c>
      <c r="J271" s="68" t="b">
        <f>IF(Tab.11[[#This Row],[a1]]=1,IF($I$3&lt;0,Tab.11[[#This Row],[b5]]-$I$3,Tab.11[[#This Row],[b5]]))</f>
        <v>0</v>
      </c>
      <c r="K271" s="68" t="b">
        <f>IF(Tab.11[[#This Row],[a1]]=1,IF($K$3=0,Tab.11[b6],Tab.11[[#This Row],[b6]]-AVERAGE(Tab.11[b6])))</f>
        <v>0</v>
      </c>
      <c r="L271" s="69" t="b">
        <f>IF(Tab.11[[#This Row],[a1]]=1,Tab.11[[#This Row],[data]]/(_xlfn.STDEV.P(Tab.11[data])*$B$989)+$A$989)</f>
        <v>0</v>
      </c>
      <c r="M271" s="69" t="b">
        <f>IF(Tab.11[[#This Row],[a1]]=1,Tab.11[[#This Row],[data]]/(_xlfn.STDEV.P(Tab.11[data])*$B$987)-$A$987)</f>
        <v>0</v>
      </c>
      <c r="N271" s="69" t="b">
        <f>IF(Tab.11[[#This Row],[a1]]=1,Tab.11[[#This Row],[data]]/(_xlfn.STDEV.P(Tab.11[data])*$B$988)+$A$988)</f>
        <v>0</v>
      </c>
      <c r="O271" s="70" t="b">
        <f>IF(Tab.11[[#This Row],[a1]]=1,_xlfn.NORM.DIST(Tab.11[[#This Row],[b8]],$P$1,$Q$1,FALSE))</f>
        <v>0</v>
      </c>
      <c r="P271" s="70" t="b">
        <f>IF(Tab.11[[#This Row],[a1]]=1,_xlfn.NORM.DIST(Tab.11[[#This Row],[b9]],$P$1,$Q$1,FALSE))</f>
        <v>0</v>
      </c>
      <c r="Q271" s="70" t="b">
        <f>IF(Tab.11[[#This Row],[a1]]=1,_xlfn.NORM.DIST(Tab.11[[#This Row],[b10]],$P$1,$Q$1,FALSE))</f>
        <v>0</v>
      </c>
      <c r="R271" s="67" t="b">
        <f>IF(Tab.11[[#This Row],[a1]]=1,$I$3+$A$989+IF($K$3=0,Tab.11[[#This Row],[b8]]*_xlfn.STDEV.P(Tab.11[data]),AVERAGE(Tab.11[b6])+Tab.11[[#This Row],[b8]]*_xlfn.STDEV.P(Tab.11[data])))</f>
        <v>0</v>
      </c>
      <c r="S271" s="71" t="b">
        <f>IF(Tab.11[[#This Row],[a1]]=1,$I$3+$A$987+IF($K$3=0,Tab.11[[#This Row],[b9]]*_xlfn.STDEV.P(Tab.11[data]),AVERAGE(Tab.11[b6])+Tab.11[[#This Row],[b9]]*_xlfn.STDEV.P(Tab.11[data])))</f>
        <v>0</v>
      </c>
      <c r="T271" s="71" t="b">
        <f>IF(Tab.11[[#This Row],[a1]]=1,$I$3+$A$988+IF($K$3=0,Tab.11[[#This Row],[b10]]*_xlfn.STDEV.P(Tab.11[data]),AVERAGE(Tab.11[b6])+Tab.11[[#This Row],[b10]]*_xlfn.STDEV.P(Tab.11[data])))</f>
        <v>0</v>
      </c>
      <c r="U271" s="72" t="b">
        <f>IF(Tab.11[[#This Row],[a1]]=1,Tab.11[[#This Row],[target]]-Tab.11[[#This Row],[Red]])</f>
        <v>0</v>
      </c>
      <c r="V271" s="72" t="b">
        <f>IF(Tab.11[[#This Row],[a1]]=1,Tab.11[[#This Row],[target]]-Tab.11[[#This Row],[Blue]])</f>
        <v>0</v>
      </c>
      <c r="W271" s="73" t="b">
        <f>IF(Tab.11[[#This Row],[a1]]=1,IF(ABS(Tab.11[[#This Row],[b17]])+ABS(Tab.11[[#This Row],[b18]])&lt;$W$2,$W$2,ABS(Tab.11[[#This Row],[b17]])+ABS(Tab.11[[#This Row],[b18]])))</f>
        <v>0</v>
      </c>
      <c r="X271" s="136" t="b">
        <f>IF(Tab.11[[#This Row],[a1]]=1,IF($W$3&lt;0,Tab.11[[#This Row],[IN]]-$I$3,Tab.11[[#This Row],[IN]]))</f>
        <v>0</v>
      </c>
      <c r="Y271" s="136" t="b">
        <f>IF(Tab.11[[#This Row],[a1]]=1,IF($X$3=0,Tab.11[b66],Tab.11[[#This Row],[b66]]-AVERAGE(Tab.11[b66])))</f>
        <v>0</v>
      </c>
      <c r="Z271" s="135" t="b">
        <f>IF(Tab.11[[#This Row],[a1]]=1,Tab.11[[#This Row],[b77]]/(_xlfn.STDEV.P(Tab.11[b77])))</f>
        <v>0</v>
      </c>
      <c r="AA271" s="70" t="b">
        <f>IF(Tab.11[[#This Row],[a1]]=1,_xlfn.NORM.DIST(Tab.11[[#This Row],[b88]],$Z$1,$AA$1,FALSE))</f>
        <v>0</v>
      </c>
      <c r="AB271" s="74" t="b">
        <f>IF(Tab.11[[#This Row],[a1]]=1,IF($A$3=0,FALSE,1/Tab.11[[#This Row],[IN]]*$AC$2*IF(Tab.11[[#This Row],[a1]]=0,,$A$3*$AC$1*1/$V$3*(Tab.11[[#This Row],[b14]]))))</f>
        <v>0</v>
      </c>
      <c r="AC271" s="75" t="b">
        <f>IF(Tab.11[[#This Row],[a1]]=1,IF($AC$3=0,Tab.11[[#This Row],[φ1]],Tab.11[[#This Row],[φ1]]/MAX(Tab.11[φ1])))</f>
        <v>0</v>
      </c>
      <c r="AD271" s="74" t="b">
        <f>IF(Tab.11[[#This Row],[a1]]=1,1/Tab.11[[#This Row],[φ2]])</f>
        <v>0</v>
      </c>
      <c r="AE271" s="74" t="b">
        <f>IF(Tab.11[[#This Row],[a1]]=1,IF($AE$3=0,Tab.11[[#This Row],[w.0]],Tab.11[[#This Row],[w.0]]/SUM(Tab.11[w.0])))</f>
        <v>0</v>
      </c>
      <c r="AF271" s="76" t="str">
        <f>IF(Tab.11[[#This Row],[a1]]=0,"false",[3]!Tab.x5[[#This Row],[%_seN_C]])</f>
        <v>false</v>
      </c>
      <c r="AG271" s="77" t="b">
        <f>IF(Tab.11[[#This Row],[a1]]=1,AP271)</f>
        <v>0</v>
      </c>
      <c r="AH271" s="78" t="b">
        <f>IF(Tab.11[[#This Row],[a1]]=1,AQ271)</f>
        <v>0</v>
      </c>
      <c r="AI271" s="41">
        <v>3.0000000000000001E-3</v>
      </c>
      <c r="AJ271" s="79">
        <v>0.09</v>
      </c>
      <c r="AK271" s="80" t="b">
        <f>IF(Tab.11[[#This Row],[a1]]=1,1)</f>
        <v>0</v>
      </c>
      <c r="AZ271"/>
    </row>
    <row r="272" spans="1:52" hidden="1" x14ac:dyDescent="0.25">
      <c r="A272" s="61">
        <f t="shared" si="9"/>
        <v>0</v>
      </c>
      <c r="B272" s="62">
        <f t="shared" si="9"/>
        <v>0</v>
      </c>
      <c r="C272" s="62" t="b">
        <f>IF(Tab.11[[#This Row],[a1]]=1,[3]!Tab_x1[[#This Row],[Name]])</f>
        <v>0</v>
      </c>
      <c r="D272" s="63" t="b">
        <f>IF(Tab.11[[#This Row],[a1]]=1,AO272)</f>
        <v>0</v>
      </c>
      <c r="E272" s="63">
        <f t="shared" si="10"/>
        <v>0</v>
      </c>
      <c r="F272" s="64" t="b">
        <f>IF(Tab.11[[#This Row],[a1]]=1,Tab.11[[#This Row],[b1]])</f>
        <v>0</v>
      </c>
      <c r="G272" s="65" t="b">
        <f>IF(Tab.11[[#This Row],[a1]]=1,IF(Tab.11[[#This Row],[b3]]&gt;$L$989*$G$3,$L$989*$G$3,IF(Tab.11[[#This Row],[b3]]&lt;$M$989*$G$3,$M$989*$G$3,Tab.11[[#This Row],[b3]])))</f>
        <v>0</v>
      </c>
      <c r="H272" s="66" t="b">
        <f>IF(Tab.11[[#This Row],[a1]]=1,Tab.11[[#This Row],[b1]])</f>
        <v>0</v>
      </c>
      <c r="I272" s="67" t="b">
        <f>IF(Tab.11[[#This Row],[a1]]=1,Tab.11[[#This Row],[b1]])</f>
        <v>0</v>
      </c>
      <c r="J272" s="68" t="b">
        <f>IF(Tab.11[[#This Row],[a1]]=1,IF($I$3&lt;0,Tab.11[[#This Row],[b5]]-$I$3,Tab.11[[#This Row],[b5]]))</f>
        <v>0</v>
      </c>
      <c r="K272" s="68" t="b">
        <f>IF(Tab.11[[#This Row],[a1]]=1,IF($K$3=0,Tab.11[b6],Tab.11[[#This Row],[b6]]-AVERAGE(Tab.11[b6])))</f>
        <v>0</v>
      </c>
      <c r="L272" s="69" t="b">
        <f>IF(Tab.11[[#This Row],[a1]]=1,Tab.11[[#This Row],[data]]/(_xlfn.STDEV.P(Tab.11[data])*$B$989)+$A$989)</f>
        <v>0</v>
      </c>
      <c r="M272" s="69" t="b">
        <f>IF(Tab.11[[#This Row],[a1]]=1,Tab.11[[#This Row],[data]]/(_xlfn.STDEV.P(Tab.11[data])*$B$987)-$A$987)</f>
        <v>0</v>
      </c>
      <c r="N272" s="69" t="b">
        <f>IF(Tab.11[[#This Row],[a1]]=1,Tab.11[[#This Row],[data]]/(_xlfn.STDEV.P(Tab.11[data])*$B$988)+$A$988)</f>
        <v>0</v>
      </c>
      <c r="O272" s="70" t="b">
        <f>IF(Tab.11[[#This Row],[a1]]=1,_xlfn.NORM.DIST(Tab.11[[#This Row],[b8]],$P$1,$Q$1,FALSE))</f>
        <v>0</v>
      </c>
      <c r="P272" s="70" t="b">
        <f>IF(Tab.11[[#This Row],[a1]]=1,_xlfn.NORM.DIST(Tab.11[[#This Row],[b9]],$P$1,$Q$1,FALSE))</f>
        <v>0</v>
      </c>
      <c r="Q272" s="70" t="b">
        <f>IF(Tab.11[[#This Row],[a1]]=1,_xlfn.NORM.DIST(Tab.11[[#This Row],[b10]],$P$1,$Q$1,FALSE))</f>
        <v>0</v>
      </c>
      <c r="R272" s="67" t="b">
        <f>IF(Tab.11[[#This Row],[a1]]=1,$I$3+$A$989+IF($K$3=0,Tab.11[[#This Row],[b8]]*_xlfn.STDEV.P(Tab.11[data]),AVERAGE(Tab.11[b6])+Tab.11[[#This Row],[b8]]*_xlfn.STDEV.P(Tab.11[data])))</f>
        <v>0</v>
      </c>
      <c r="S272" s="71" t="b">
        <f>IF(Tab.11[[#This Row],[a1]]=1,$I$3+$A$987+IF($K$3=0,Tab.11[[#This Row],[b9]]*_xlfn.STDEV.P(Tab.11[data]),AVERAGE(Tab.11[b6])+Tab.11[[#This Row],[b9]]*_xlfn.STDEV.P(Tab.11[data])))</f>
        <v>0</v>
      </c>
      <c r="T272" s="71" t="b">
        <f>IF(Tab.11[[#This Row],[a1]]=1,$I$3+$A$988+IF($K$3=0,Tab.11[[#This Row],[b10]]*_xlfn.STDEV.P(Tab.11[data]),AVERAGE(Tab.11[b6])+Tab.11[[#This Row],[b10]]*_xlfn.STDEV.P(Tab.11[data])))</f>
        <v>0</v>
      </c>
      <c r="U272" s="72" t="b">
        <f>IF(Tab.11[[#This Row],[a1]]=1,Tab.11[[#This Row],[target]]-Tab.11[[#This Row],[Red]])</f>
        <v>0</v>
      </c>
      <c r="V272" s="72" t="b">
        <f>IF(Tab.11[[#This Row],[a1]]=1,Tab.11[[#This Row],[target]]-Tab.11[[#This Row],[Blue]])</f>
        <v>0</v>
      </c>
      <c r="W272" s="73" t="b">
        <f>IF(Tab.11[[#This Row],[a1]]=1,IF(ABS(Tab.11[[#This Row],[b17]])+ABS(Tab.11[[#This Row],[b18]])&lt;$W$2,$W$2,ABS(Tab.11[[#This Row],[b17]])+ABS(Tab.11[[#This Row],[b18]])))</f>
        <v>0</v>
      </c>
      <c r="X272" s="136" t="b">
        <f>IF(Tab.11[[#This Row],[a1]]=1,IF($W$3&lt;0,Tab.11[[#This Row],[IN]]-$I$3,Tab.11[[#This Row],[IN]]))</f>
        <v>0</v>
      </c>
      <c r="Y272" s="136" t="b">
        <f>IF(Tab.11[[#This Row],[a1]]=1,IF($X$3=0,Tab.11[b66],Tab.11[[#This Row],[b66]]-AVERAGE(Tab.11[b66])))</f>
        <v>0</v>
      </c>
      <c r="Z272" s="135" t="b">
        <f>IF(Tab.11[[#This Row],[a1]]=1,Tab.11[[#This Row],[b77]]/(_xlfn.STDEV.P(Tab.11[b77])))</f>
        <v>0</v>
      </c>
      <c r="AA272" s="70" t="b">
        <f>IF(Tab.11[[#This Row],[a1]]=1,_xlfn.NORM.DIST(Tab.11[[#This Row],[b88]],$Z$1,$AA$1,FALSE))</f>
        <v>0</v>
      </c>
      <c r="AB272" s="74" t="b">
        <f>IF(Tab.11[[#This Row],[a1]]=1,IF($A$3=0,FALSE,1/Tab.11[[#This Row],[IN]]*$AC$2*IF(Tab.11[[#This Row],[a1]]=0,,$A$3*$AC$1*1/$V$3*(Tab.11[[#This Row],[b14]]))))</f>
        <v>0</v>
      </c>
      <c r="AC272" s="75" t="b">
        <f>IF(Tab.11[[#This Row],[a1]]=1,IF($AC$3=0,Tab.11[[#This Row],[φ1]],Tab.11[[#This Row],[φ1]]/MAX(Tab.11[φ1])))</f>
        <v>0</v>
      </c>
      <c r="AD272" s="74" t="b">
        <f>IF(Tab.11[[#This Row],[a1]]=1,1/Tab.11[[#This Row],[φ2]])</f>
        <v>0</v>
      </c>
      <c r="AE272" s="74" t="b">
        <f>IF(Tab.11[[#This Row],[a1]]=1,IF($AE$3=0,Tab.11[[#This Row],[w.0]],Tab.11[[#This Row],[w.0]]/SUM(Tab.11[w.0])))</f>
        <v>0</v>
      </c>
      <c r="AF272" s="76" t="str">
        <f>IF(Tab.11[[#This Row],[a1]]=0,"false",[3]!Tab.x5[[#This Row],[%_seN_C]])</f>
        <v>false</v>
      </c>
      <c r="AG272" s="77" t="b">
        <f>IF(Tab.11[[#This Row],[a1]]=1,AP272)</f>
        <v>0</v>
      </c>
      <c r="AH272" s="78" t="b">
        <f>IF(Tab.11[[#This Row],[a1]]=1,AQ272)</f>
        <v>0</v>
      </c>
      <c r="AI272" s="41">
        <v>3.0000000000000001E-3</v>
      </c>
      <c r="AJ272" s="79">
        <v>0.02</v>
      </c>
      <c r="AK272" s="80" t="b">
        <f>IF(Tab.11[[#This Row],[a1]]=1,1)</f>
        <v>0</v>
      </c>
      <c r="AZ272"/>
    </row>
    <row r="273" spans="1:52" hidden="1" x14ac:dyDescent="0.25">
      <c r="A273" s="61">
        <f t="shared" si="9"/>
        <v>0</v>
      </c>
      <c r="B273" s="62">
        <f t="shared" si="9"/>
        <v>0</v>
      </c>
      <c r="C273" s="62" t="b">
        <f>IF(Tab.11[[#This Row],[a1]]=1,[3]!Tab_x1[[#This Row],[Name]])</f>
        <v>0</v>
      </c>
      <c r="D273" s="63" t="b">
        <f>IF(Tab.11[[#This Row],[a1]]=1,AO273)</f>
        <v>0</v>
      </c>
      <c r="E273" s="63">
        <f t="shared" si="10"/>
        <v>0</v>
      </c>
      <c r="F273" s="64" t="b">
        <f>IF(Tab.11[[#This Row],[a1]]=1,Tab.11[[#This Row],[b1]])</f>
        <v>0</v>
      </c>
      <c r="G273" s="65" t="b">
        <f>IF(Tab.11[[#This Row],[a1]]=1,IF(Tab.11[[#This Row],[b3]]&gt;$L$989*$G$3,$L$989*$G$3,IF(Tab.11[[#This Row],[b3]]&lt;$M$989*$G$3,$M$989*$G$3,Tab.11[[#This Row],[b3]])))</f>
        <v>0</v>
      </c>
      <c r="H273" s="66" t="b">
        <f>IF(Tab.11[[#This Row],[a1]]=1,Tab.11[[#This Row],[b1]])</f>
        <v>0</v>
      </c>
      <c r="I273" s="67" t="b">
        <f>IF(Tab.11[[#This Row],[a1]]=1,Tab.11[[#This Row],[b1]])</f>
        <v>0</v>
      </c>
      <c r="J273" s="68" t="b">
        <f>IF(Tab.11[[#This Row],[a1]]=1,IF($I$3&lt;0,Tab.11[[#This Row],[b5]]-$I$3,Tab.11[[#This Row],[b5]]))</f>
        <v>0</v>
      </c>
      <c r="K273" s="68" t="b">
        <f>IF(Tab.11[[#This Row],[a1]]=1,IF($K$3=0,Tab.11[b6],Tab.11[[#This Row],[b6]]-AVERAGE(Tab.11[b6])))</f>
        <v>0</v>
      </c>
      <c r="L273" s="69" t="b">
        <f>IF(Tab.11[[#This Row],[a1]]=1,Tab.11[[#This Row],[data]]/(_xlfn.STDEV.P(Tab.11[data])*$B$989)+$A$989)</f>
        <v>0</v>
      </c>
      <c r="M273" s="69" t="b">
        <f>IF(Tab.11[[#This Row],[a1]]=1,Tab.11[[#This Row],[data]]/(_xlfn.STDEV.P(Tab.11[data])*$B$987)-$A$987)</f>
        <v>0</v>
      </c>
      <c r="N273" s="69" t="b">
        <f>IF(Tab.11[[#This Row],[a1]]=1,Tab.11[[#This Row],[data]]/(_xlfn.STDEV.P(Tab.11[data])*$B$988)+$A$988)</f>
        <v>0</v>
      </c>
      <c r="O273" s="70" t="b">
        <f>IF(Tab.11[[#This Row],[a1]]=1,_xlfn.NORM.DIST(Tab.11[[#This Row],[b8]],$P$1,$Q$1,FALSE))</f>
        <v>0</v>
      </c>
      <c r="P273" s="70" t="b">
        <f>IF(Tab.11[[#This Row],[a1]]=1,_xlfn.NORM.DIST(Tab.11[[#This Row],[b9]],$P$1,$Q$1,FALSE))</f>
        <v>0</v>
      </c>
      <c r="Q273" s="70" t="b">
        <f>IF(Tab.11[[#This Row],[a1]]=1,_xlfn.NORM.DIST(Tab.11[[#This Row],[b10]],$P$1,$Q$1,FALSE))</f>
        <v>0</v>
      </c>
      <c r="R273" s="67" t="b">
        <f>IF(Tab.11[[#This Row],[a1]]=1,$I$3+$A$989+IF($K$3=0,Tab.11[[#This Row],[b8]]*_xlfn.STDEV.P(Tab.11[data]),AVERAGE(Tab.11[b6])+Tab.11[[#This Row],[b8]]*_xlfn.STDEV.P(Tab.11[data])))</f>
        <v>0</v>
      </c>
      <c r="S273" s="71" t="b">
        <f>IF(Tab.11[[#This Row],[a1]]=1,$I$3+$A$987+IF($K$3=0,Tab.11[[#This Row],[b9]]*_xlfn.STDEV.P(Tab.11[data]),AVERAGE(Tab.11[b6])+Tab.11[[#This Row],[b9]]*_xlfn.STDEV.P(Tab.11[data])))</f>
        <v>0</v>
      </c>
      <c r="T273" s="71" t="b">
        <f>IF(Tab.11[[#This Row],[a1]]=1,$I$3+$A$988+IF($K$3=0,Tab.11[[#This Row],[b10]]*_xlfn.STDEV.P(Tab.11[data]),AVERAGE(Tab.11[b6])+Tab.11[[#This Row],[b10]]*_xlfn.STDEV.P(Tab.11[data])))</f>
        <v>0</v>
      </c>
      <c r="U273" s="72" t="b">
        <f>IF(Tab.11[[#This Row],[a1]]=1,Tab.11[[#This Row],[target]]-Tab.11[[#This Row],[Red]])</f>
        <v>0</v>
      </c>
      <c r="V273" s="72" t="b">
        <f>IF(Tab.11[[#This Row],[a1]]=1,Tab.11[[#This Row],[target]]-Tab.11[[#This Row],[Blue]])</f>
        <v>0</v>
      </c>
      <c r="W273" s="73" t="b">
        <f>IF(Tab.11[[#This Row],[a1]]=1,IF(ABS(Tab.11[[#This Row],[b17]])+ABS(Tab.11[[#This Row],[b18]])&lt;$W$2,$W$2,ABS(Tab.11[[#This Row],[b17]])+ABS(Tab.11[[#This Row],[b18]])))</f>
        <v>0</v>
      </c>
      <c r="X273" s="136" t="b">
        <f>IF(Tab.11[[#This Row],[a1]]=1,IF($W$3&lt;0,Tab.11[[#This Row],[IN]]-$I$3,Tab.11[[#This Row],[IN]]))</f>
        <v>0</v>
      </c>
      <c r="Y273" s="136" t="b">
        <f>IF(Tab.11[[#This Row],[a1]]=1,IF($X$3=0,Tab.11[b66],Tab.11[[#This Row],[b66]]-AVERAGE(Tab.11[b66])))</f>
        <v>0</v>
      </c>
      <c r="Z273" s="135" t="b">
        <f>IF(Tab.11[[#This Row],[a1]]=1,Tab.11[[#This Row],[b77]]/(_xlfn.STDEV.P(Tab.11[b77])))</f>
        <v>0</v>
      </c>
      <c r="AA273" s="70" t="b">
        <f>IF(Tab.11[[#This Row],[a1]]=1,_xlfn.NORM.DIST(Tab.11[[#This Row],[b88]],$Z$1,$AA$1,FALSE))</f>
        <v>0</v>
      </c>
      <c r="AB273" s="74" t="b">
        <f>IF(Tab.11[[#This Row],[a1]]=1,IF($A$3=0,FALSE,1/Tab.11[[#This Row],[IN]]*$AC$2*IF(Tab.11[[#This Row],[a1]]=0,,$A$3*$AC$1*1/$V$3*(Tab.11[[#This Row],[b14]]))))</f>
        <v>0</v>
      </c>
      <c r="AC273" s="75" t="b">
        <f>IF(Tab.11[[#This Row],[a1]]=1,IF($AC$3=0,Tab.11[[#This Row],[φ1]],Tab.11[[#This Row],[φ1]]/MAX(Tab.11[φ1])))</f>
        <v>0</v>
      </c>
      <c r="AD273" s="74" t="b">
        <f>IF(Tab.11[[#This Row],[a1]]=1,1/Tab.11[[#This Row],[φ2]])</f>
        <v>0</v>
      </c>
      <c r="AE273" s="74" t="b">
        <f>IF(Tab.11[[#This Row],[a1]]=1,IF($AE$3=0,Tab.11[[#This Row],[w.0]],Tab.11[[#This Row],[w.0]]/SUM(Tab.11[w.0])))</f>
        <v>0</v>
      </c>
      <c r="AF273" s="76" t="str">
        <f>IF(Tab.11[[#This Row],[a1]]=0,"false",[3]!Tab.x5[[#This Row],[%_seN_C]])</f>
        <v>false</v>
      </c>
      <c r="AG273" s="77" t="b">
        <f>IF(Tab.11[[#This Row],[a1]]=1,AP273)</f>
        <v>0</v>
      </c>
      <c r="AH273" s="78" t="b">
        <f>IF(Tab.11[[#This Row],[a1]]=1,AQ273)</f>
        <v>0</v>
      </c>
      <c r="AI273" s="41">
        <v>3.0000000000000001E-3</v>
      </c>
      <c r="AJ273" s="79">
        <v>-0.1</v>
      </c>
      <c r="AK273" s="80" t="b">
        <f>IF(Tab.11[[#This Row],[a1]]=1,1)</f>
        <v>0</v>
      </c>
      <c r="AZ273"/>
    </row>
    <row r="274" spans="1:52" hidden="1" x14ac:dyDescent="0.25">
      <c r="A274" s="61">
        <f t="shared" si="9"/>
        <v>0</v>
      </c>
      <c r="B274" s="62">
        <f t="shared" si="9"/>
        <v>0</v>
      </c>
      <c r="C274" s="62" t="b">
        <f>IF(Tab.11[[#This Row],[a1]]=1,[3]!Tab_x1[[#This Row],[Name]])</f>
        <v>0</v>
      </c>
      <c r="D274" s="63" t="b">
        <f>IF(Tab.11[[#This Row],[a1]]=1,AO274)</f>
        <v>0</v>
      </c>
      <c r="E274" s="63">
        <f t="shared" si="10"/>
        <v>0</v>
      </c>
      <c r="F274" s="64" t="b">
        <f>IF(Tab.11[[#This Row],[a1]]=1,Tab.11[[#This Row],[b1]])</f>
        <v>0</v>
      </c>
      <c r="G274" s="65" t="b">
        <f>IF(Tab.11[[#This Row],[a1]]=1,IF(Tab.11[[#This Row],[b3]]&gt;$L$989*$G$3,$L$989*$G$3,IF(Tab.11[[#This Row],[b3]]&lt;$M$989*$G$3,$M$989*$G$3,Tab.11[[#This Row],[b3]])))</f>
        <v>0</v>
      </c>
      <c r="H274" s="66" t="b">
        <f>IF(Tab.11[[#This Row],[a1]]=1,Tab.11[[#This Row],[b1]])</f>
        <v>0</v>
      </c>
      <c r="I274" s="67" t="b">
        <f>IF(Tab.11[[#This Row],[a1]]=1,Tab.11[[#This Row],[b1]])</f>
        <v>0</v>
      </c>
      <c r="J274" s="68" t="b">
        <f>IF(Tab.11[[#This Row],[a1]]=1,IF($I$3&lt;0,Tab.11[[#This Row],[b5]]-$I$3,Tab.11[[#This Row],[b5]]))</f>
        <v>0</v>
      </c>
      <c r="K274" s="68" t="b">
        <f>IF(Tab.11[[#This Row],[a1]]=1,IF($K$3=0,Tab.11[b6],Tab.11[[#This Row],[b6]]-AVERAGE(Tab.11[b6])))</f>
        <v>0</v>
      </c>
      <c r="L274" s="69" t="b">
        <f>IF(Tab.11[[#This Row],[a1]]=1,Tab.11[[#This Row],[data]]/(_xlfn.STDEV.P(Tab.11[data])*$B$989)+$A$989)</f>
        <v>0</v>
      </c>
      <c r="M274" s="69" t="b">
        <f>IF(Tab.11[[#This Row],[a1]]=1,Tab.11[[#This Row],[data]]/(_xlfn.STDEV.P(Tab.11[data])*$B$987)-$A$987)</f>
        <v>0</v>
      </c>
      <c r="N274" s="69" t="b">
        <f>IF(Tab.11[[#This Row],[a1]]=1,Tab.11[[#This Row],[data]]/(_xlfn.STDEV.P(Tab.11[data])*$B$988)+$A$988)</f>
        <v>0</v>
      </c>
      <c r="O274" s="70" t="b">
        <f>IF(Tab.11[[#This Row],[a1]]=1,_xlfn.NORM.DIST(Tab.11[[#This Row],[b8]],$P$1,$Q$1,FALSE))</f>
        <v>0</v>
      </c>
      <c r="P274" s="70" t="b">
        <f>IF(Tab.11[[#This Row],[a1]]=1,_xlfn.NORM.DIST(Tab.11[[#This Row],[b9]],$P$1,$Q$1,FALSE))</f>
        <v>0</v>
      </c>
      <c r="Q274" s="70" t="b">
        <f>IF(Tab.11[[#This Row],[a1]]=1,_xlfn.NORM.DIST(Tab.11[[#This Row],[b10]],$P$1,$Q$1,FALSE))</f>
        <v>0</v>
      </c>
      <c r="R274" s="67" t="b">
        <f>IF(Tab.11[[#This Row],[a1]]=1,$I$3+$A$989+IF($K$3=0,Tab.11[[#This Row],[b8]]*_xlfn.STDEV.P(Tab.11[data]),AVERAGE(Tab.11[b6])+Tab.11[[#This Row],[b8]]*_xlfn.STDEV.P(Tab.11[data])))</f>
        <v>0</v>
      </c>
      <c r="S274" s="71" t="b">
        <f>IF(Tab.11[[#This Row],[a1]]=1,$I$3+$A$987+IF($K$3=0,Tab.11[[#This Row],[b9]]*_xlfn.STDEV.P(Tab.11[data]),AVERAGE(Tab.11[b6])+Tab.11[[#This Row],[b9]]*_xlfn.STDEV.P(Tab.11[data])))</f>
        <v>0</v>
      </c>
      <c r="T274" s="71" t="b">
        <f>IF(Tab.11[[#This Row],[a1]]=1,$I$3+$A$988+IF($K$3=0,Tab.11[[#This Row],[b10]]*_xlfn.STDEV.P(Tab.11[data]),AVERAGE(Tab.11[b6])+Tab.11[[#This Row],[b10]]*_xlfn.STDEV.P(Tab.11[data])))</f>
        <v>0</v>
      </c>
      <c r="U274" s="72" t="b">
        <f>IF(Tab.11[[#This Row],[a1]]=1,Tab.11[[#This Row],[target]]-Tab.11[[#This Row],[Red]])</f>
        <v>0</v>
      </c>
      <c r="V274" s="72" t="b">
        <f>IF(Tab.11[[#This Row],[a1]]=1,Tab.11[[#This Row],[target]]-Tab.11[[#This Row],[Blue]])</f>
        <v>0</v>
      </c>
      <c r="W274" s="73" t="b">
        <f>IF(Tab.11[[#This Row],[a1]]=1,IF(ABS(Tab.11[[#This Row],[b17]])+ABS(Tab.11[[#This Row],[b18]])&lt;$W$2,$W$2,ABS(Tab.11[[#This Row],[b17]])+ABS(Tab.11[[#This Row],[b18]])))</f>
        <v>0</v>
      </c>
      <c r="X274" s="136" t="b">
        <f>IF(Tab.11[[#This Row],[a1]]=1,IF($W$3&lt;0,Tab.11[[#This Row],[IN]]-$I$3,Tab.11[[#This Row],[IN]]))</f>
        <v>0</v>
      </c>
      <c r="Y274" s="136" t="b">
        <f>IF(Tab.11[[#This Row],[a1]]=1,IF($X$3=0,Tab.11[b66],Tab.11[[#This Row],[b66]]-AVERAGE(Tab.11[b66])))</f>
        <v>0</v>
      </c>
      <c r="Z274" s="135" t="b">
        <f>IF(Tab.11[[#This Row],[a1]]=1,Tab.11[[#This Row],[b77]]/(_xlfn.STDEV.P(Tab.11[b77])))</f>
        <v>0</v>
      </c>
      <c r="AA274" s="70" t="b">
        <f>IF(Tab.11[[#This Row],[a1]]=1,_xlfn.NORM.DIST(Tab.11[[#This Row],[b88]],$Z$1,$AA$1,FALSE))</f>
        <v>0</v>
      </c>
      <c r="AB274" s="74" t="b">
        <f>IF(Tab.11[[#This Row],[a1]]=1,IF($A$3=0,FALSE,1/Tab.11[[#This Row],[IN]]*$AC$2*IF(Tab.11[[#This Row],[a1]]=0,,$A$3*$AC$1*1/$V$3*(Tab.11[[#This Row],[b14]]))))</f>
        <v>0</v>
      </c>
      <c r="AC274" s="75" t="b">
        <f>IF(Tab.11[[#This Row],[a1]]=1,IF($AC$3=0,Tab.11[[#This Row],[φ1]],Tab.11[[#This Row],[φ1]]/MAX(Tab.11[φ1])))</f>
        <v>0</v>
      </c>
      <c r="AD274" s="74" t="b">
        <f>IF(Tab.11[[#This Row],[a1]]=1,1/Tab.11[[#This Row],[φ2]])</f>
        <v>0</v>
      </c>
      <c r="AE274" s="74" t="b">
        <f>IF(Tab.11[[#This Row],[a1]]=1,IF($AE$3=0,Tab.11[[#This Row],[w.0]],Tab.11[[#This Row],[w.0]]/SUM(Tab.11[w.0])))</f>
        <v>0</v>
      </c>
      <c r="AF274" s="76" t="str">
        <f>IF(Tab.11[[#This Row],[a1]]=0,"false",[3]!Tab.x5[[#This Row],[%_seN_C]])</f>
        <v>false</v>
      </c>
      <c r="AG274" s="77" t="b">
        <f>IF(Tab.11[[#This Row],[a1]]=1,AP274)</f>
        <v>0</v>
      </c>
      <c r="AH274" s="78" t="b">
        <f>IF(Tab.11[[#This Row],[a1]]=1,AQ274)</f>
        <v>0</v>
      </c>
      <c r="AI274" s="41">
        <v>3.0000000000000001E-3</v>
      </c>
      <c r="AJ274" s="79">
        <v>-0.05</v>
      </c>
      <c r="AK274" s="80" t="b">
        <f>IF(Tab.11[[#This Row],[a1]]=1,1)</f>
        <v>0</v>
      </c>
      <c r="AZ274"/>
    </row>
    <row r="275" spans="1:52" hidden="1" x14ac:dyDescent="0.25">
      <c r="A275" s="61">
        <f t="shared" si="9"/>
        <v>0</v>
      </c>
      <c r="B275" s="62">
        <f t="shared" si="9"/>
        <v>0</v>
      </c>
      <c r="C275" s="62" t="b">
        <f>IF(Tab.11[[#This Row],[a1]]=1,[3]!Tab_x1[[#This Row],[Name]])</f>
        <v>0</v>
      </c>
      <c r="D275" s="63" t="b">
        <f>IF(Tab.11[[#This Row],[a1]]=1,AO275)</f>
        <v>0</v>
      </c>
      <c r="E275" s="63">
        <f t="shared" si="10"/>
        <v>0</v>
      </c>
      <c r="F275" s="64" t="b">
        <f>IF(Tab.11[[#This Row],[a1]]=1,Tab.11[[#This Row],[b1]])</f>
        <v>0</v>
      </c>
      <c r="G275" s="65" t="b">
        <f>IF(Tab.11[[#This Row],[a1]]=1,IF(Tab.11[[#This Row],[b3]]&gt;$L$989*$G$3,$L$989*$G$3,IF(Tab.11[[#This Row],[b3]]&lt;$M$989*$G$3,$M$989*$G$3,Tab.11[[#This Row],[b3]])))</f>
        <v>0</v>
      </c>
      <c r="H275" s="66" t="b">
        <f>IF(Tab.11[[#This Row],[a1]]=1,Tab.11[[#This Row],[b1]])</f>
        <v>0</v>
      </c>
      <c r="I275" s="67" t="b">
        <f>IF(Tab.11[[#This Row],[a1]]=1,Tab.11[[#This Row],[b1]])</f>
        <v>0</v>
      </c>
      <c r="J275" s="68" t="b">
        <f>IF(Tab.11[[#This Row],[a1]]=1,IF($I$3&lt;0,Tab.11[[#This Row],[b5]]-$I$3,Tab.11[[#This Row],[b5]]))</f>
        <v>0</v>
      </c>
      <c r="K275" s="68" t="b">
        <f>IF(Tab.11[[#This Row],[a1]]=1,IF($K$3=0,Tab.11[b6],Tab.11[[#This Row],[b6]]-AVERAGE(Tab.11[b6])))</f>
        <v>0</v>
      </c>
      <c r="L275" s="69" t="b">
        <f>IF(Tab.11[[#This Row],[a1]]=1,Tab.11[[#This Row],[data]]/(_xlfn.STDEV.P(Tab.11[data])*$B$989)+$A$989)</f>
        <v>0</v>
      </c>
      <c r="M275" s="69" t="b">
        <f>IF(Tab.11[[#This Row],[a1]]=1,Tab.11[[#This Row],[data]]/(_xlfn.STDEV.P(Tab.11[data])*$B$987)-$A$987)</f>
        <v>0</v>
      </c>
      <c r="N275" s="69" t="b">
        <f>IF(Tab.11[[#This Row],[a1]]=1,Tab.11[[#This Row],[data]]/(_xlfn.STDEV.P(Tab.11[data])*$B$988)+$A$988)</f>
        <v>0</v>
      </c>
      <c r="O275" s="70" t="b">
        <f>IF(Tab.11[[#This Row],[a1]]=1,_xlfn.NORM.DIST(Tab.11[[#This Row],[b8]],$P$1,$Q$1,FALSE))</f>
        <v>0</v>
      </c>
      <c r="P275" s="70" t="b">
        <f>IF(Tab.11[[#This Row],[a1]]=1,_xlfn.NORM.DIST(Tab.11[[#This Row],[b9]],$P$1,$Q$1,FALSE))</f>
        <v>0</v>
      </c>
      <c r="Q275" s="70" t="b">
        <f>IF(Tab.11[[#This Row],[a1]]=1,_xlfn.NORM.DIST(Tab.11[[#This Row],[b10]],$P$1,$Q$1,FALSE))</f>
        <v>0</v>
      </c>
      <c r="R275" s="67" t="b">
        <f>IF(Tab.11[[#This Row],[a1]]=1,$I$3+$A$989+IF($K$3=0,Tab.11[[#This Row],[b8]]*_xlfn.STDEV.P(Tab.11[data]),AVERAGE(Tab.11[b6])+Tab.11[[#This Row],[b8]]*_xlfn.STDEV.P(Tab.11[data])))</f>
        <v>0</v>
      </c>
      <c r="S275" s="71" t="b">
        <f>IF(Tab.11[[#This Row],[a1]]=1,$I$3+$A$987+IF($K$3=0,Tab.11[[#This Row],[b9]]*_xlfn.STDEV.P(Tab.11[data]),AVERAGE(Tab.11[b6])+Tab.11[[#This Row],[b9]]*_xlfn.STDEV.P(Tab.11[data])))</f>
        <v>0</v>
      </c>
      <c r="T275" s="71" t="b">
        <f>IF(Tab.11[[#This Row],[a1]]=1,$I$3+$A$988+IF($K$3=0,Tab.11[[#This Row],[b10]]*_xlfn.STDEV.P(Tab.11[data]),AVERAGE(Tab.11[b6])+Tab.11[[#This Row],[b10]]*_xlfn.STDEV.P(Tab.11[data])))</f>
        <v>0</v>
      </c>
      <c r="U275" s="72" t="b">
        <f>IF(Tab.11[[#This Row],[a1]]=1,Tab.11[[#This Row],[target]]-Tab.11[[#This Row],[Red]])</f>
        <v>0</v>
      </c>
      <c r="V275" s="72" t="b">
        <f>IF(Tab.11[[#This Row],[a1]]=1,Tab.11[[#This Row],[target]]-Tab.11[[#This Row],[Blue]])</f>
        <v>0</v>
      </c>
      <c r="W275" s="73" t="b">
        <f>IF(Tab.11[[#This Row],[a1]]=1,IF(ABS(Tab.11[[#This Row],[b17]])+ABS(Tab.11[[#This Row],[b18]])&lt;$W$2,$W$2,ABS(Tab.11[[#This Row],[b17]])+ABS(Tab.11[[#This Row],[b18]])))</f>
        <v>0</v>
      </c>
      <c r="X275" s="136" t="b">
        <f>IF(Tab.11[[#This Row],[a1]]=1,IF($W$3&lt;0,Tab.11[[#This Row],[IN]]-$I$3,Tab.11[[#This Row],[IN]]))</f>
        <v>0</v>
      </c>
      <c r="Y275" s="136" t="b">
        <f>IF(Tab.11[[#This Row],[a1]]=1,IF($X$3=0,Tab.11[b66],Tab.11[[#This Row],[b66]]-AVERAGE(Tab.11[b66])))</f>
        <v>0</v>
      </c>
      <c r="Z275" s="135" t="b">
        <f>IF(Tab.11[[#This Row],[a1]]=1,Tab.11[[#This Row],[b77]]/(_xlfn.STDEV.P(Tab.11[b77])))</f>
        <v>0</v>
      </c>
      <c r="AA275" s="70" t="b">
        <f>IF(Tab.11[[#This Row],[a1]]=1,_xlfn.NORM.DIST(Tab.11[[#This Row],[b88]],$Z$1,$AA$1,FALSE))</f>
        <v>0</v>
      </c>
      <c r="AB275" s="74" t="b">
        <f>IF(Tab.11[[#This Row],[a1]]=1,IF($A$3=0,FALSE,1/Tab.11[[#This Row],[IN]]*$AC$2*IF(Tab.11[[#This Row],[a1]]=0,,$A$3*$AC$1*1/$V$3*(Tab.11[[#This Row],[b14]]))))</f>
        <v>0</v>
      </c>
      <c r="AC275" s="75" t="b">
        <f>IF(Tab.11[[#This Row],[a1]]=1,IF($AC$3=0,Tab.11[[#This Row],[φ1]],Tab.11[[#This Row],[φ1]]/MAX(Tab.11[φ1])))</f>
        <v>0</v>
      </c>
      <c r="AD275" s="74" t="b">
        <f>IF(Tab.11[[#This Row],[a1]]=1,1/Tab.11[[#This Row],[φ2]])</f>
        <v>0</v>
      </c>
      <c r="AE275" s="74" t="b">
        <f>IF(Tab.11[[#This Row],[a1]]=1,IF($AE$3=0,Tab.11[[#This Row],[w.0]],Tab.11[[#This Row],[w.0]]/SUM(Tab.11[w.0])))</f>
        <v>0</v>
      </c>
      <c r="AF275" s="76" t="str">
        <f>IF(Tab.11[[#This Row],[a1]]=0,"false",[3]!Tab.x5[[#This Row],[%_seN_C]])</f>
        <v>false</v>
      </c>
      <c r="AG275" s="77" t="b">
        <f>IF(Tab.11[[#This Row],[a1]]=1,AP275)</f>
        <v>0</v>
      </c>
      <c r="AH275" s="78" t="b">
        <f>IF(Tab.11[[#This Row],[a1]]=1,AQ275)</f>
        <v>0</v>
      </c>
      <c r="AI275" s="41">
        <v>3.0000000000000001E-3</v>
      </c>
      <c r="AJ275" s="79">
        <v>0.04</v>
      </c>
      <c r="AK275" s="80" t="b">
        <f>IF(Tab.11[[#This Row],[a1]]=1,1)</f>
        <v>0</v>
      </c>
      <c r="AZ275"/>
    </row>
    <row r="276" spans="1:52" hidden="1" x14ac:dyDescent="0.25">
      <c r="A276" s="61">
        <f t="shared" si="9"/>
        <v>0</v>
      </c>
      <c r="B276" s="62">
        <f t="shared" si="9"/>
        <v>0</v>
      </c>
      <c r="C276" s="62" t="b">
        <f>IF(Tab.11[[#This Row],[a1]]=1,[3]!Tab_x1[[#This Row],[Name]])</f>
        <v>0</v>
      </c>
      <c r="D276" s="63" t="b">
        <f>IF(Tab.11[[#This Row],[a1]]=1,AO276)</f>
        <v>0</v>
      </c>
      <c r="E276" s="63">
        <f t="shared" si="10"/>
        <v>0</v>
      </c>
      <c r="F276" s="64" t="b">
        <f>IF(Tab.11[[#This Row],[a1]]=1,Tab.11[[#This Row],[b1]])</f>
        <v>0</v>
      </c>
      <c r="G276" s="65" t="b">
        <f>IF(Tab.11[[#This Row],[a1]]=1,IF(Tab.11[[#This Row],[b3]]&gt;$L$989*$G$3,$L$989*$G$3,IF(Tab.11[[#This Row],[b3]]&lt;$M$989*$G$3,$M$989*$G$3,Tab.11[[#This Row],[b3]])))</f>
        <v>0</v>
      </c>
      <c r="H276" s="66" t="b">
        <f>IF(Tab.11[[#This Row],[a1]]=1,Tab.11[[#This Row],[b1]])</f>
        <v>0</v>
      </c>
      <c r="I276" s="67" t="b">
        <f>IF(Tab.11[[#This Row],[a1]]=1,Tab.11[[#This Row],[b1]])</f>
        <v>0</v>
      </c>
      <c r="J276" s="68" t="b">
        <f>IF(Tab.11[[#This Row],[a1]]=1,IF($I$3&lt;0,Tab.11[[#This Row],[b5]]-$I$3,Tab.11[[#This Row],[b5]]))</f>
        <v>0</v>
      </c>
      <c r="K276" s="68" t="b">
        <f>IF(Tab.11[[#This Row],[a1]]=1,IF($K$3=0,Tab.11[b6],Tab.11[[#This Row],[b6]]-AVERAGE(Tab.11[b6])))</f>
        <v>0</v>
      </c>
      <c r="L276" s="69" t="b">
        <f>IF(Tab.11[[#This Row],[a1]]=1,Tab.11[[#This Row],[data]]/(_xlfn.STDEV.P(Tab.11[data])*$B$989)+$A$989)</f>
        <v>0</v>
      </c>
      <c r="M276" s="69" t="b">
        <f>IF(Tab.11[[#This Row],[a1]]=1,Tab.11[[#This Row],[data]]/(_xlfn.STDEV.P(Tab.11[data])*$B$987)-$A$987)</f>
        <v>0</v>
      </c>
      <c r="N276" s="69" t="b">
        <f>IF(Tab.11[[#This Row],[a1]]=1,Tab.11[[#This Row],[data]]/(_xlfn.STDEV.P(Tab.11[data])*$B$988)+$A$988)</f>
        <v>0</v>
      </c>
      <c r="O276" s="70" t="b">
        <f>IF(Tab.11[[#This Row],[a1]]=1,_xlfn.NORM.DIST(Tab.11[[#This Row],[b8]],$P$1,$Q$1,FALSE))</f>
        <v>0</v>
      </c>
      <c r="P276" s="70" t="b">
        <f>IF(Tab.11[[#This Row],[a1]]=1,_xlfn.NORM.DIST(Tab.11[[#This Row],[b9]],$P$1,$Q$1,FALSE))</f>
        <v>0</v>
      </c>
      <c r="Q276" s="70" t="b">
        <f>IF(Tab.11[[#This Row],[a1]]=1,_xlfn.NORM.DIST(Tab.11[[#This Row],[b10]],$P$1,$Q$1,FALSE))</f>
        <v>0</v>
      </c>
      <c r="R276" s="67" t="b">
        <f>IF(Tab.11[[#This Row],[a1]]=1,$I$3+$A$989+IF($K$3=0,Tab.11[[#This Row],[b8]]*_xlfn.STDEV.P(Tab.11[data]),AVERAGE(Tab.11[b6])+Tab.11[[#This Row],[b8]]*_xlfn.STDEV.P(Tab.11[data])))</f>
        <v>0</v>
      </c>
      <c r="S276" s="71" t="b">
        <f>IF(Tab.11[[#This Row],[a1]]=1,$I$3+$A$987+IF($K$3=0,Tab.11[[#This Row],[b9]]*_xlfn.STDEV.P(Tab.11[data]),AVERAGE(Tab.11[b6])+Tab.11[[#This Row],[b9]]*_xlfn.STDEV.P(Tab.11[data])))</f>
        <v>0</v>
      </c>
      <c r="T276" s="71" t="b">
        <f>IF(Tab.11[[#This Row],[a1]]=1,$I$3+$A$988+IF($K$3=0,Tab.11[[#This Row],[b10]]*_xlfn.STDEV.P(Tab.11[data]),AVERAGE(Tab.11[b6])+Tab.11[[#This Row],[b10]]*_xlfn.STDEV.P(Tab.11[data])))</f>
        <v>0</v>
      </c>
      <c r="U276" s="72" t="b">
        <f>IF(Tab.11[[#This Row],[a1]]=1,Tab.11[[#This Row],[target]]-Tab.11[[#This Row],[Red]])</f>
        <v>0</v>
      </c>
      <c r="V276" s="72" t="b">
        <f>IF(Tab.11[[#This Row],[a1]]=1,Tab.11[[#This Row],[target]]-Tab.11[[#This Row],[Blue]])</f>
        <v>0</v>
      </c>
      <c r="W276" s="73" t="b">
        <f>IF(Tab.11[[#This Row],[a1]]=1,IF(ABS(Tab.11[[#This Row],[b17]])+ABS(Tab.11[[#This Row],[b18]])&lt;$W$2,$W$2,ABS(Tab.11[[#This Row],[b17]])+ABS(Tab.11[[#This Row],[b18]])))</f>
        <v>0</v>
      </c>
      <c r="X276" s="136" t="b">
        <f>IF(Tab.11[[#This Row],[a1]]=1,IF($W$3&lt;0,Tab.11[[#This Row],[IN]]-$I$3,Tab.11[[#This Row],[IN]]))</f>
        <v>0</v>
      </c>
      <c r="Y276" s="136" t="b">
        <f>IF(Tab.11[[#This Row],[a1]]=1,IF($X$3=0,Tab.11[b66],Tab.11[[#This Row],[b66]]-AVERAGE(Tab.11[b66])))</f>
        <v>0</v>
      </c>
      <c r="Z276" s="135" t="b">
        <f>IF(Tab.11[[#This Row],[a1]]=1,Tab.11[[#This Row],[b77]]/(_xlfn.STDEV.P(Tab.11[b77])))</f>
        <v>0</v>
      </c>
      <c r="AA276" s="70" t="b">
        <f>IF(Tab.11[[#This Row],[a1]]=1,_xlfn.NORM.DIST(Tab.11[[#This Row],[b88]],$Z$1,$AA$1,FALSE))</f>
        <v>0</v>
      </c>
      <c r="AB276" s="74" t="b">
        <f>IF(Tab.11[[#This Row],[a1]]=1,IF($A$3=0,FALSE,1/Tab.11[[#This Row],[IN]]*$AC$2*IF(Tab.11[[#This Row],[a1]]=0,,$A$3*$AC$1*1/$V$3*(Tab.11[[#This Row],[b14]]))))</f>
        <v>0</v>
      </c>
      <c r="AC276" s="75" t="b">
        <f>IF(Tab.11[[#This Row],[a1]]=1,IF($AC$3=0,Tab.11[[#This Row],[φ1]],Tab.11[[#This Row],[φ1]]/MAX(Tab.11[φ1])))</f>
        <v>0</v>
      </c>
      <c r="AD276" s="74" t="b">
        <f>IF(Tab.11[[#This Row],[a1]]=1,1/Tab.11[[#This Row],[φ2]])</f>
        <v>0</v>
      </c>
      <c r="AE276" s="74" t="b">
        <f>IF(Tab.11[[#This Row],[a1]]=1,IF($AE$3=0,Tab.11[[#This Row],[w.0]],Tab.11[[#This Row],[w.0]]/SUM(Tab.11[w.0])))</f>
        <v>0</v>
      </c>
      <c r="AF276" s="76" t="str">
        <f>IF(Tab.11[[#This Row],[a1]]=0,"false",[3]!Tab.x5[[#This Row],[%_seN_C]])</f>
        <v>false</v>
      </c>
      <c r="AG276" s="77" t="b">
        <f>IF(Tab.11[[#This Row],[a1]]=1,AP276)</f>
        <v>0</v>
      </c>
      <c r="AH276" s="78" t="b">
        <f>IF(Tab.11[[#This Row],[a1]]=1,AQ276)</f>
        <v>0</v>
      </c>
      <c r="AI276" s="41">
        <v>3.0000000000000001E-3</v>
      </c>
      <c r="AJ276" s="79">
        <v>-7.0000000000000007E-2</v>
      </c>
      <c r="AK276" s="80" t="b">
        <f>IF(Tab.11[[#This Row],[a1]]=1,1)</f>
        <v>0</v>
      </c>
      <c r="AZ276"/>
    </row>
    <row r="277" spans="1:52" hidden="1" x14ac:dyDescent="0.25">
      <c r="A277" s="61">
        <f t="shared" ref="A277:B340" si="11">AM277</f>
        <v>0</v>
      </c>
      <c r="B277" s="62">
        <f t="shared" si="11"/>
        <v>0</v>
      </c>
      <c r="C277" s="62" t="b">
        <f>IF(Tab.11[[#This Row],[a1]]=1,[3]!Tab_x1[[#This Row],[Name]])</f>
        <v>0</v>
      </c>
      <c r="D277" s="63" t="b">
        <f>IF(Tab.11[[#This Row],[a1]]=1,AO277)</f>
        <v>0</v>
      </c>
      <c r="E277" s="63">
        <f t="shared" si="10"/>
        <v>0</v>
      </c>
      <c r="F277" s="64" t="b">
        <f>IF(Tab.11[[#This Row],[a1]]=1,Tab.11[[#This Row],[b1]])</f>
        <v>0</v>
      </c>
      <c r="G277" s="65" t="b">
        <f>IF(Tab.11[[#This Row],[a1]]=1,IF(Tab.11[[#This Row],[b3]]&gt;$L$989*$G$3,$L$989*$G$3,IF(Tab.11[[#This Row],[b3]]&lt;$M$989*$G$3,$M$989*$G$3,Tab.11[[#This Row],[b3]])))</f>
        <v>0</v>
      </c>
      <c r="H277" s="66" t="b">
        <f>IF(Tab.11[[#This Row],[a1]]=1,Tab.11[[#This Row],[b1]])</f>
        <v>0</v>
      </c>
      <c r="I277" s="67" t="b">
        <f>IF(Tab.11[[#This Row],[a1]]=1,Tab.11[[#This Row],[b1]])</f>
        <v>0</v>
      </c>
      <c r="J277" s="68" t="b">
        <f>IF(Tab.11[[#This Row],[a1]]=1,IF($I$3&lt;0,Tab.11[[#This Row],[b5]]-$I$3,Tab.11[[#This Row],[b5]]))</f>
        <v>0</v>
      </c>
      <c r="K277" s="68" t="b">
        <f>IF(Tab.11[[#This Row],[a1]]=1,IF($K$3=0,Tab.11[b6],Tab.11[[#This Row],[b6]]-AVERAGE(Tab.11[b6])))</f>
        <v>0</v>
      </c>
      <c r="L277" s="69" t="b">
        <f>IF(Tab.11[[#This Row],[a1]]=1,Tab.11[[#This Row],[data]]/(_xlfn.STDEV.P(Tab.11[data])*$B$989)+$A$989)</f>
        <v>0</v>
      </c>
      <c r="M277" s="69" t="b">
        <f>IF(Tab.11[[#This Row],[a1]]=1,Tab.11[[#This Row],[data]]/(_xlfn.STDEV.P(Tab.11[data])*$B$987)-$A$987)</f>
        <v>0</v>
      </c>
      <c r="N277" s="69" t="b">
        <f>IF(Tab.11[[#This Row],[a1]]=1,Tab.11[[#This Row],[data]]/(_xlfn.STDEV.P(Tab.11[data])*$B$988)+$A$988)</f>
        <v>0</v>
      </c>
      <c r="O277" s="70" t="b">
        <f>IF(Tab.11[[#This Row],[a1]]=1,_xlfn.NORM.DIST(Tab.11[[#This Row],[b8]],$P$1,$Q$1,FALSE))</f>
        <v>0</v>
      </c>
      <c r="P277" s="70" t="b">
        <f>IF(Tab.11[[#This Row],[a1]]=1,_xlfn.NORM.DIST(Tab.11[[#This Row],[b9]],$P$1,$Q$1,FALSE))</f>
        <v>0</v>
      </c>
      <c r="Q277" s="70" t="b">
        <f>IF(Tab.11[[#This Row],[a1]]=1,_xlfn.NORM.DIST(Tab.11[[#This Row],[b10]],$P$1,$Q$1,FALSE))</f>
        <v>0</v>
      </c>
      <c r="R277" s="67" t="b">
        <f>IF(Tab.11[[#This Row],[a1]]=1,$I$3+$A$989+IF($K$3=0,Tab.11[[#This Row],[b8]]*_xlfn.STDEV.P(Tab.11[data]),AVERAGE(Tab.11[b6])+Tab.11[[#This Row],[b8]]*_xlfn.STDEV.P(Tab.11[data])))</f>
        <v>0</v>
      </c>
      <c r="S277" s="71" t="b">
        <f>IF(Tab.11[[#This Row],[a1]]=1,$I$3+$A$987+IF($K$3=0,Tab.11[[#This Row],[b9]]*_xlfn.STDEV.P(Tab.11[data]),AVERAGE(Tab.11[b6])+Tab.11[[#This Row],[b9]]*_xlfn.STDEV.P(Tab.11[data])))</f>
        <v>0</v>
      </c>
      <c r="T277" s="71" t="b">
        <f>IF(Tab.11[[#This Row],[a1]]=1,$I$3+$A$988+IF($K$3=0,Tab.11[[#This Row],[b10]]*_xlfn.STDEV.P(Tab.11[data]),AVERAGE(Tab.11[b6])+Tab.11[[#This Row],[b10]]*_xlfn.STDEV.P(Tab.11[data])))</f>
        <v>0</v>
      </c>
      <c r="U277" s="72" t="b">
        <f>IF(Tab.11[[#This Row],[a1]]=1,Tab.11[[#This Row],[target]]-Tab.11[[#This Row],[Red]])</f>
        <v>0</v>
      </c>
      <c r="V277" s="72" t="b">
        <f>IF(Tab.11[[#This Row],[a1]]=1,Tab.11[[#This Row],[target]]-Tab.11[[#This Row],[Blue]])</f>
        <v>0</v>
      </c>
      <c r="W277" s="73" t="b">
        <f>IF(Tab.11[[#This Row],[a1]]=1,IF(ABS(Tab.11[[#This Row],[b17]])+ABS(Tab.11[[#This Row],[b18]])&lt;$W$2,$W$2,ABS(Tab.11[[#This Row],[b17]])+ABS(Tab.11[[#This Row],[b18]])))</f>
        <v>0</v>
      </c>
      <c r="X277" s="136" t="b">
        <f>IF(Tab.11[[#This Row],[a1]]=1,IF($W$3&lt;0,Tab.11[[#This Row],[IN]]-$I$3,Tab.11[[#This Row],[IN]]))</f>
        <v>0</v>
      </c>
      <c r="Y277" s="136" t="b">
        <f>IF(Tab.11[[#This Row],[a1]]=1,IF($X$3=0,Tab.11[b66],Tab.11[[#This Row],[b66]]-AVERAGE(Tab.11[b66])))</f>
        <v>0</v>
      </c>
      <c r="Z277" s="135" t="b">
        <f>IF(Tab.11[[#This Row],[a1]]=1,Tab.11[[#This Row],[b77]]/(_xlfn.STDEV.P(Tab.11[b77])))</f>
        <v>0</v>
      </c>
      <c r="AA277" s="70" t="b">
        <f>IF(Tab.11[[#This Row],[a1]]=1,_xlfn.NORM.DIST(Tab.11[[#This Row],[b88]],$Z$1,$AA$1,FALSE))</f>
        <v>0</v>
      </c>
      <c r="AB277" s="74" t="b">
        <f>IF(Tab.11[[#This Row],[a1]]=1,IF($A$3=0,FALSE,1/Tab.11[[#This Row],[IN]]*$AC$2*IF(Tab.11[[#This Row],[a1]]=0,,$A$3*$AC$1*1/$V$3*(Tab.11[[#This Row],[b14]]))))</f>
        <v>0</v>
      </c>
      <c r="AC277" s="75" t="b">
        <f>IF(Tab.11[[#This Row],[a1]]=1,IF($AC$3=0,Tab.11[[#This Row],[φ1]],Tab.11[[#This Row],[φ1]]/MAX(Tab.11[φ1])))</f>
        <v>0</v>
      </c>
      <c r="AD277" s="74" t="b">
        <f>IF(Tab.11[[#This Row],[a1]]=1,1/Tab.11[[#This Row],[φ2]])</f>
        <v>0</v>
      </c>
      <c r="AE277" s="74" t="b">
        <f>IF(Tab.11[[#This Row],[a1]]=1,IF($AE$3=0,Tab.11[[#This Row],[w.0]],Tab.11[[#This Row],[w.0]]/SUM(Tab.11[w.0])))</f>
        <v>0</v>
      </c>
      <c r="AF277" s="76" t="str">
        <f>IF(Tab.11[[#This Row],[a1]]=0,"false",[3]!Tab.x5[[#This Row],[%_seN_C]])</f>
        <v>false</v>
      </c>
      <c r="AG277" s="77" t="b">
        <f>IF(Tab.11[[#This Row],[a1]]=1,AP277)</f>
        <v>0</v>
      </c>
      <c r="AH277" s="78" t="b">
        <f>IF(Tab.11[[#This Row],[a1]]=1,AQ277)</f>
        <v>0</v>
      </c>
      <c r="AI277" s="41">
        <v>3.0000000000000001E-3</v>
      </c>
      <c r="AJ277" s="79">
        <v>-0.09</v>
      </c>
      <c r="AK277" s="80" t="b">
        <f>IF(Tab.11[[#This Row],[a1]]=1,1)</f>
        <v>0</v>
      </c>
      <c r="AZ277"/>
    </row>
    <row r="278" spans="1:52" hidden="1" x14ac:dyDescent="0.25">
      <c r="A278" s="61">
        <f t="shared" si="11"/>
        <v>0</v>
      </c>
      <c r="B278" s="62">
        <f t="shared" si="11"/>
        <v>0</v>
      </c>
      <c r="C278" s="62" t="b">
        <f>IF(Tab.11[[#This Row],[a1]]=1,[3]!Tab_x1[[#This Row],[Name]])</f>
        <v>0</v>
      </c>
      <c r="D278" s="63" t="b">
        <f>IF(Tab.11[[#This Row],[a1]]=1,AO278)</f>
        <v>0</v>
      </c>
      <c r="E278" s="63">
        <f t="shared" si="10"/>
        <v>0</v>
      </c>
      <c r="F278" s="64" t="b">
        <f>IF(Tab.11[[#This Row],[a1]]=1,Tab.11[[#This Row],[b1]])</f>
        <v>0</v>
      </c>
      <c r="G278" s="65" t="b">
        <f>IF(Tab.11[[#This Row],[a1]]=1,IF(Tab.11[[#This Row],[b3]]&gt;$L$989*$G$3,$L$989*$G$3,IF(Tab.11[[#This Row],[b3]]&lt;$M$989*$G$3,$M$989*$G$3,Tab.11[[#This Row],[b3]])))</f>
        <v>0</v>
      </c>
      <c r="H278" s="66" t="b">
        <f>IF(Tab.11[[#This Row],[a1]]=1,Tab.11[[#This Row],[b1]])</f>
        <v>0</v>
      </c>
      <c r="I278" s="67" t="b">
        <f>IF(Tab.11[[#This Row],[a1]]=1,Tab.11[[#This Row],[b1]])</f>
        <v>0</v>
      </c>
      <c r="J278" s="68" t="b">
        <f>IF(Tab.11[[#This Row],[a1]]=1,IF($I$3&lt;0,Tab.11[[#This Row],[b5]]-$I$3,Tab.11[[#This Row],[b5]]))</f>
        <v>0</v>
      </c>
      <c r="K278" s="68" t="b">
        <f>IF(Tab.11[[#This Row],[a1]]=1,IF($K$3=0,Tab.11[b6],Tab.11[[#This Row],[b6]]-AVERAGE(Tab.11[b6])))</f>
        <v>0</v>
      </c>
      <c r="L278" s="69" t="b">
        <f>IF(Tab.11[[#This Row],[a1]]=1,Tab.11[[#This Row],[data]]/(_xlfn.STDEV.P(Tab.11[data])*$B$989)+$A$989)</f>
        <v>0</v>
      </c>
      <c r="M278" s="69" t="b">
        <f>IF(Tab.11[[#This Row],[a1]]=1,Tab.11[[#This Row],[data]]/(_xlfn.STDEV.P(Tab.11[data])*$B$987)-$A$987)</f>
        <v>0</v>
      </c>
      <c r="N278" s="69" t="b">
        <f>IF(Tab.11[[#This Row],[a1]]=1,Tab.11[[#This Row],[data]]/(_xlfn.STDEV.P(Tab.11[data])*$B$988)+$A$988)</f>
        <v>0</v>
      </c>
      <c r="O278" s="70" t="b">
        <f>IF(Tab.11[[#This Row],[a1]]=1,_xlfn.NORM.DIST(Tab.11[[#This Row],[b8]],$P$1,$Q$1,FALSE))</f>
        <v>0</v>
      </c>
      <c r="P278" s="70" t="b">
        <f>IF(Tab.11[[#This Row],[a1]]=1,_xlfn.NORM.DIST(Tab.11[[#This Row],[b9]],$P$1,$Q$1,FALSE))</f>
        <v>0</v>
      </c>
      <c r="Q278" s="70" t="b">
        <f>IF(Tab.11[[#This Row],[a1]]=1,_xlfn.NORM.DIST(Tab.11[[#This Row],[b10]],$P$1,$Q$1,FALSE))</f>
        <v>0</v>
      </c>
      <c r="R278" s="67" t="b">
        <f>IF(Tab.11[[#This Row],[a1]]=1,$I$3+$A$989+IF($K$3=0,Tab.11[[#This Row],[b8]]*_xlfn.STDEV.P(Tab.11[data]),AVERAGE(Tab.11[b6])+Tab.11[[#This Row],[b8]]*_xlfn.STDEV.P(Tab.11[data])))</f>
        <v>0</v>
      </c>
      <c r="S278" s="71" t="b">
        <f>IF(Tab.11[[#This Row],[a1]]=1,$I$3+$A$987+IF($K$3=0,Tab.11[[#This Row],[b9]]*_xlfn.STDEV.P(Tab.11[data]),AVERAGE(Tab.11[b6])+Tab.11[[#This Row],[b9]]*_xlfn.STDEV.P(Tab.11[data])))</f>
        <v>0</v>
      </c>
      <c r="T278" s="71" t="b">
        <f>IF(Tab.11[[#This Row],[a1]]=1,$I$3+$A$988+IF($K$3=0,Tab.11[[#This Row],[b10]]*_xlfn.STDEV.P(Tab.11[data]),AVERAGE(Tab.11[b6])+Tab.11[[#This Row],[b10]]*_xlfn.STDEV.P(Tab.11[data])))</f>
        <v>0</v>
      </c>
      <c r="U278" s="72" t="b">
        <f>IF(Tab.11[[#This Row],[a1]]=1,Tab.11[[#This Row],[target]]-Tab.11[[#This Row],[Red]])</f>
        <v>0</v>
      </c>
      <c r="V278" s="72" t="b">
        <f>IF(Tab.11[[#This Row],[a1]]=1,Tab.11[[#This Row],[target]]-Tab.11[[#This Row],[Blue]])</f>
        <v>0</v>
      </c>
      <c r="W278" s="73" t="b">
        <f>IF(Tab.11[[#This Row],[a1]]=1,IF(ABS(Tab.11[[#This Row],[b17]])+ABS(Tab.11[[#This Row],[b18]])&lt;$W$2,$W$2,ABS(Tab.11[[#This Row],[b17]])+ABS(Tab.11[[#This Row],[b18]])))</f>
        <v>0</v>
      </c>
      <c r="X278" s="136" t="b">
        <f>IF(Tab.11[[#This Row],[a1]]=1,IF($W$3&lt;0,Tab.11[[#This Row],[IN]]-$I$3,Tab.11[[#This Row],[IN]]))</f>
        <v>0</v>
      </c>
      <c r="Y278" s="136" t="b">
        <f>IF(Tab.11[[#This Row],[a1]]=1,IF($X$3=0,Tab.11[b66],Tab.11[[#This Row],[b66]]-AVERAGE(Tab.11[b66])))</f>
        <v>0</v>
      </c>
      <c r="Z278" s="135" t="b">
        <f>IF(Tab.11[[#This Row],[a1]]=1,Tab.11[[#This Row],[b77]]/(_xlfn.STDEV.P(Tab.11[b77])))</f>
        <v>0</v>
      </c>
      <c r="AA278" s="70" t="b">
        <f>IF(Tab.11[[#This Row],[a1]]=1,_xlfn.NORM.DIST(Tab.11[[#This Row],[b88]],$Z$1,$AA$1,FALSE))</f>
        <v>0</v>
      </c>
      <c r="AB278" s="74" t="b">
        <f>IF(Tab.11[[#This Row],[a1]]=1,IF($A$3=0,FALSE,1/Tab.11[[#This Row],[IN]]*$AC$2*IF(Tab.11[[#This Row],[a1]]=0,,$A$3*$AC$1*1/$V$3*(Tab.11[[#This Row],[b14]]))))</f>
        <v>0</v>
      </c>
      <c r="AC278" s="75" t="b">
        <f>IF(Tab.11[[#This Row],[a1]]=1,IF($AC$3=0,Tab.11[[#This Row],[φ1]],Tab.11[[#This Row],[φ1]]/MAX(Tab.11[φ1])))</f>
        <v>0</v>
      </c>
      <c r="AD278" s="74" t="b">
        <f>IF(Tab.11[[#This Row],[a1]]=1,1/Tab.11[[#This Row],[φ2]])</f>
        <v>0</v>
      </c>
      <c r="AE278" s="74" t="b">
        <f>IF(Tab.11[[#This Row],[a1]]=1,IF($AE$3=0,Tab.11[[#This Row],[w.0]],Tab.11[[#This Row],[w.0]]/SUM(Tab.11[w.0])))</f>
        <v>0</v>
      </c>
      <c r="AF278" s="76" t="str">
        <f>IF(Tab.11[[#This Row],[a1]]=0,"false",[3]!Tab.x5[[#This Row],[%_seN_C]])</f>
        <v>false</v>
      </c>
      <c r="AG278" s="77" t="b">
        <f>IF(Tab.11[[#This Row],[a1]]=1,AP278)</f>
        <v>0</v>
      </c>
      <c r="AH278" s="78" t="b">
        <f>IF(Tab.11[[#This Row],[a1]]=1,AQ278)</f>
        <v>0</v>
      </c>
      <c r="AI278" s="41">
        <v>3.0000000000000001E-3</v>
      </c>
      <c r="AJ278" s="79">
        <v>0.08</v>
      </c>
      <c r="AK278" s="80" t="b">
        <f>IF(Tab.11[[#This Row],[a1]]=1,1)</f>
        <v>0</v>
      </c>
      <c r="AZ278"/>
    </row>
    <row r="279" spans="1:52" hidden="1" x14ac:dyDescent="0.25">
      <c r="A279" s="61">
        <f t="shared" si="11"/>
        <v>0</v>
      </c>
      <c r="B279" s="62">
        <f t="shared" si="11"/>
        <v>0</v>
      </c>
      <c r="C279" s="62" t="b">
        <f>IF(Tab.11[[#This Row],[a1]]=1,[3]!Tab_x1[[#This Row],[Name]])</f>
        <v>0</v>
      </c>
      <c r="D279" s="63" t="b">
        <f>IF(Tab.11[[#This Row],[a1]]=1,AO279)</f>
        <v>0</v>
      </c>
      <c r="E279" s="63">
        <f t="shared" si="10"/>
        <v>0</v>
      </c>
      <c r="F279" s="64" t="b">
        <f>IF(Tab.11[[#This Row],[a1]]=1,Tab.11[[#This Row],[b1]])</f>
        <v>0</v>
      </c>
      <c r="G279" s="65" t="b">
        <f>IF(Tab.11[[#This Row],[a1]]=1,IF(Tab.11[[#This Row],[b3]]&gt;$L$989*$G$3,$L$989*$G$3,IF(Tab.11[[#This Row],[b3]]&lt;$M$989*$G$3,$M$989*$G$3,Tab.11[[#This Row],[b3]])))</f>
        <v>0</v>
      </c>
      <c r="H279" s="66" t="b">
        <f>IF(Tab.11[[#This Row],[a1]]=1,Tab.11[[#This Row],[b1]])</f>
        <v>0</v>
      </c>
      <c r="I279" s="67" t="b">
        <f>IF(Tab.11[[#This Row],[a1]]=1,Tab.11[[#This Row],[b1]])</f>
        <v>0</v>
      </c>
      <c r="J279" s="68" t="b">
        <f>IF(Tab.11[[#This Row],[a1]]=1,IF($I$3&lt;0,Tab.11[[#This Row],[b5]]-$I$3,Tab.11[[#This Row],[b5]]))</f>
        <v>0</v>
      </c>
      <c r="K279" s="68" t="b">
        <f>IF(Tab.11[[#This Row],[a1]]=1,IF($K$3=0,Tab.11[b6],Tab.11[[#This Row],[b6]]-AVERAGE(Tab.11[b6])))</f>
        <v>0</v>
      </c>
      <c r="L279" s="69" t="b">
        <f>IF(Tab.11[[#This Row],[a1]]=1,Tab.11[[#This Row],[data]]/(_xlfn.STDEV.P(Tab.11[data])*$B$989)+$A$989)</f>
        <v>0</v>
      </c>
      <c r="M279" s="69" t="b">
        <f>IF(Tab.11[[#This Row],[a1]]=1,Tab.11[[#This Row],[data]]/(_xlfn.STDEV.P(Tab.11[data])*$B$987)-$A$987)</f>
        <v>0</v>
      </c>
      <c r="N279" s="69" t="b">
        <f>IF(Tab.11[[#This Row],[a1]]=1,Tab.11[[#This Row],[data]]/(_xlfn.STDEV.P(Tab.11[data])*$B$988)+$A$988)</f>
        <v>0</v>
      </c>
      <c r="O279" s="70" t="b">
        <f>IF(Tab.11[[#This Row],[a1]]=1,_xlfn.NORM.DIST(Tab.11[[#This Row],[b8]],$P$1,$Q$1,FALSE))</f>
        <v>0</v>
      </c>
      <c r="P279" s="70" t="b">
        <f>IF(Tab.11[[#This Row],[a1]]=1,_xlfn.NORM.DIST(Tab.11[[#This Row],[b9]],$P$1,$Q$1,FALSE))</f>
        <v>0</v>
      </c>
      <c r="Q279" s="70" t="b">
        <f>IF(Tab.11[[#This Row],[a1]]=1,_xlfn.NORM.DIST(Tab.11[[#This Row],[b10]],$P$1,$Q$1,FALSE))</f>
        <v>0</v>
      </c>
      <c r="R279" s="67" t="b">
        <f>IF(Tab.11[[#This Row],[a1]]=1,$I$3+$A$989+IF($K$3=0,Tab.11[[#This Row],[b8]]*_xlfn.STDEV.P(Tab.11[data]),AVERAGE(Tab.11[b6])+Tab.11[[#This Row],[b8]]*_xlfn.STDEV.P(Tab.11[data])))</f>
        <v>0</v>
      </c>
      <c r="S279" s="71" t="b">
        <f>IF(Tab.11[[#This Row],[a1]]=1,$I$3+$A$987+IF($K$3=0,Tab.11[[#This Row],[b9]]*_xlfn.STDEV.P(Tab.11[data]),AVERAGE(Tab.11[b6])+Tab.11[[#This Row],[b9]]*_xlfn.STDEV.P(Tab.11[data])))</f>
        <v>0</v>
      </c>
      <c r="T279" s="71" t="b">
        <f>IF(Tab.11[[#This Row],[a1]]=1,$I$3+$A$988+IF($K$3=0,Tab.11[[#This Row],[b10]]*_xlfn.STDEV.P(Tab.11[data]),AVERAGE(Tab.11[b6])+Tab.11[[#This Row],[b10]]*_xlfn.STDEV.P(Tab.11[data])))</f>
        <v>0</v>
      </c>
      <c r="U279" s="72" t="b">
        <f>IF(Tab.11[[#This Row],[a1]]=1,Tab.11[[#This Row],[target]]-Tab.11[[#This Row],[Red]])</f>
        <v>0</v>
      </c>
      <c r="V279" s="72" t="b">
        <f>IF(Tab.11[[#This Row],[a1]]=1,Tab.11[[#This Row],[target]]-Tab.11[[#This Row],[Blue]])</f>
        <v>0</v>
      </c>
      <c r="W279" s="73" t="b">
        <f>IF(Tab.11[[#This Row],[a1]]=1,IF(ABS(Tab.11[[#This Row],[b17]])+ABS(Tab.11[[#This Row],[b18]])&lt;$W$2,$W$2,ABS(Tab.11[[#This Row],[b17]])+ABS(Tab.11[[#This Row],[b18]])))</f>
        <v>0</v>
      </c>
      <c r="X279" s="136" t="b">
        <f>IF(Tab.11[[#This Row],[a1]]=1,IF($W$3&lt;0,Tab.11[[#This Row],[IN]]-$I$3,Tab.11[[#This Row],[IN]]))</f>
        <v>0</v>
      </c>
      <c r="Y279" s="136" t="b">
        <f>IF(Tab.11[[#This Row],[a1]]=1,IF($X$3=0,Tab.11[b66],Tab.11[[#This Row],[b66]]-AVERAGE(Tab.11[b66])))</f>
        <v>0</v>
      </c>
      <c r="Z279" s="135" t="b">
        <f>IF(Tab.11[[#This Row],[a1]]=1,Tab.11[[#This Row],[b77]]/(_xlfn.STDEV.P(Tab.11[b77])))</f>
        <v>0</v>
      </c>
      <c r="AA279" s="70" t="b">
        <f>IF(Tab.11[[#This Row],[a1]]=1,_xlfn.NORM.DIST(Tab.11[[#This Row],[b88]],$Z$1,$AA$1,FALSE))</f>
        <v>0</v>
      </c>
      <c r="AB279" s="74" t="b">
        <f>IF(Tab.11[[#This Row],[a1]]=1,IF($A$3=0,FALSE,1/Tab.11[[#This Row],[IN]]*$AC$2*IF(Tab.11[[#This Row],[a1]]=0,,$A$3*$AC$1*1/$V$3*(Tab.11[[#This Row],[b14]]))))</f>
        <v>0</v>
      </c>
      <c r="AC279" s="75" t="b">
        <f>IF(Tab.11[[#This Row],[a1]]=1,IF($AC$3=0,Tab.11[[#This Row],[φ1]],Tab.11[[#This Row],[φ1]]/MAX(Tab.11[φ1])))</f>
        <v>0</v>
      </c>
      <c r="AD279" s="74" t="b">
        <f>IF(Tab.11[[#This Row],[a1]]=1,1/Tab.11[[#This Row],[φ2]])</f>
        <v>0</v>
      </c>
      <c r="AE279" s="74" t="b">
        <f>IF(Tab.11[[#This Row],[a1]]=1,IF($AE$3=0,Tab.11[[#This Row],[w.0]],Tab.11[[#This Row],[w.0]]/SUM(Tab.11[w.0])))</f>
        <v>0</v>
      </c>
      <c r="AF279" s="76" t="str">
        <f>IF(Tab.11[[#This Row],[a1]]=0,"false",[3]!Tab.x5[[#This Row],[%_seN_C]])</f>
        <v>false</v>
      </c>
      <c r="AG279" s="77" t="b">
        <f>IF(Tab.11[[#This Row],[a1]]=1,AP279)</f>
        <v>0</v>
      </c>
      <c r="AH279" s="78" t="b">
        <f>IF(Tab.11[[#This Row],[a1]]=1,AQ279)</f>
        <v>0</v>
      </c>
      <c r="AI279" s="41">
        <v>3.0000000000000001E-3</v>
      </c>
      <c r="AJ279" s="79">
        <v>0.03</v>
      </c>
      <c r="AK279" s="80" t="b">
        <f>IF(Tab.11[[#This Row],[a1]]=1,1)</f>
        <v>0</v>
      </c>
      <c r="AZ279"/>
    </row>
    <row r="280" spans="1:52" hidden="1" x14ac:dyDescent="0.25">
      <c r="A280" s="61">
        <f t="shared" si="11"/>
        <v>0</v>
      </c>
      <c r="B280" s="62">
        <f t="shared" si="11"/>
        <v>0</v>
      </c>
      <c r="C280" s="62" t="b">
        <f>IF(Tab.11[[#This Row],[a1]]=1,[3]!Tab_x1[[#This Row],[Name]])</f>
        <v>0</v>
      </c>
      <c r="D280" s="63" t="b">
        <f>IF(Tab.11[[#This Row],[a1]]=1,AO280)</f>
        <v>0</v>
      </c>
      <c r="E280" s="63">
        <f t="shared" si="10"/>
        <v>0</v>
      </c>
      <c r="F280" s="64" t="b">
        <f>IF(Tab.11[[#This Row],[a1]]=1,Tab.11[[#This Row],[b1]])</f>
        <v>0</v>
      </c>
      <c r="G280" s="65" t="b">
        <f>IF(Tab.11[[#This Row],[a1]]=1,IF(Tab.11[[#This Row],[b3]]&gt;$L$989*$G$3,$L$989*$G$3,IF(Tab.11[[#This Row],[b3]]&lt;$M$989*$G$3,$M$989*$G$3,Tab.11[[#This Row],[b3]])))</f>
        <v>0</v>
      </c>
      <c r="H280" s="66" t="b">
        <f>IF(Tab.11[[#This Row],[a1]]=1,Tab.11[[#This Row],[b1]])</f>
        <v>0</v>
      </c>
      <c r="I280" s="67" t="b">
        <f>IF(Tab.11[[#This Row],[a1]]=1,Tab.11[[#This Row],[b1]])</f>
        <v>0</v>
      </c>
      <c r="J280" s="68" t="b">
        <f>IF(Tab.11[[#This Row],[a1]]=1,IF($I$3&lt;0,Tab.11[[#This Row],[b5]]-$I$3,Tab.11[[#This Row],[b5]]))</f>
        <v>0</v>
      </c>
      <c r="K280" s="68" t="b">
        <f>IF(Tab.11[[#This Row],[a1]]=1,IF($K$3=0,Tab.11[b6],Tab.11[[#This Row],[b6]]-AVERAGE(Tab.11[b6])))</f>
        <v>0</v>
      </c>
      <c r="L280" s="69" t="b">
        <f>IF(Tab.11[[#This Row],[a1]]=1,Tab.11[[#This Row],[data]]/(_xlfn.STDEV.P(Tab.11[data])*$B$989)+$A$989)</f>
        <v>0</v>
      </c>
      <c r="M280" s="69" t="b">
        <f>IF(Tab.11[[#This Row],[a1]]=1,Tab.11[[#This Row],[data]]/(_xlfn.STDEV.P(Tab.11[data])*$B$987)-$A$987)</f>
        <v>0</v>
      </c>
      <c r="N280" s="69" t="b">
        <f>IF(Tab.11[[#This Row],[a1]]=1,Tab.11[[#This Row],[data]]/(_xlfn.STDEV.P(Tab.11[data])*$B$988)+$A$988)</f>
        <v>0</v>
      </c>
      <c r="O280" s="70" t="b">
        <f>IF(Tab.11[[#This Row],[a1]]=1,_xlfn.NORM.DIST(Tab.11[[#This Row],[b8]],$P$1,$Q$1,FALSE))</f>
        <v>0</v>
      </c>
      <c r="P280" s="70" t="b">
        <f>IF(Tab.11[[#This Row],[a1]]=1,_xlfn.NORM.DIST(Tab.11[[#This Row],[b9]],$P$1,$Q$1,FALSE))</f>
        <v>0</v>
      </c>
      <c r="Q280" s="70" t="b">
        <f>IF(Tab.11[[#This Row],[a1]]=1,_xlfn.NORM.DIST(Tab.11[[#This Row],[b10]],$P$1,$Q$1,FALSE))</f>
        <v>0</v>
      </c>
      <c r="R280" s="67" t="b">
        <f>IF(Tab.11[[#This Row],[a1]]=1,$I$3+$A$989+IF($K$3=0,Tab.11[[#This Row],[b8]]*_xlfn.STDEV.P(Tab.11[data]),AVERAGE(Tab.11[b6])+Tab.11[[#This Row],[b8]]*_xlfn.STDEV.P(Tab.11[data])))</f>
        <v>0</v>
      </c>
      <c r="S280" s="71" t="b">
        <f>IF(Tab.11[[#This Row],[a1]]=1,$I$3+$A$987+IF($K$3=0,Tab.11[[#This Row],[b9]]*_xlfn.STDEV.P(Tab.11[data]),AVERAGE(Tab.11[b6])+Tab.11[[#This Row],[b9]]*_xlfn.STDEV.P(Tab.11[data])))</f>
        <v>0</v>
      </c>
      <c r="T280" s="71" t="b">
        <f>IF(Tab.11[[#This Row],[a1]]=1,$I$3+$A$988+IF($K$3=0,Tab.11[[#This Row],[b10]]*_xlfn.STDEV.P(Tab.11[data]),AVERAGE(Tab.11[b6])+Tab.11[[#This Row],[b10]]*_xlfn.STDEV.P(Tab.11[data])))</f>
        <v>0</v>
      </c>
      <c r="U280" s="72" t="b">
        <f>IF(Tab.11[[#This Row],[a1]]=1,Tab.11[[#This Row],[target]]-Tab.11[[#This Row],[Red]])</f>
        <v>0</v>
      </c>
      <c r="V280" s="72" t="b">
        <f>IF(Tab.11[[#This Row],[a1]]=1,Tab.11[[#This Row],[target]]-Tab.11[[#This Row],[Blue]])</f>
        <v>0</v>
      </c>
      <c r="W280" s="73" t="b">
        <f>IF(Tab.11[[#This Row],[a1]]=1,IF(ABS(Tab.11[[#This Row],[b17]])+ABS(Tab.11[[#This Row],[b18]])&lt;$W$2,$W$2,ABS(Tab.11[[#This Row],[b17]])+ABS(Tab.11[[#This Row],[b18]])))</f>
        <v>0</v>
      </c>
      <c r="X280" s="136" t="b">
        <f>IF(Tab.11[[#This Row],[a1]]=1,IF($W$3&lt;0,Tab.11[[#This Row],[IN]]-$I$3,Tab.11[[#This Row],[IN]]))</f>
        <v>0</v>
      </c>
      <c r="Y280" s="136" t="b">
        <f>IF(Tab.11[[#This Row],[a1]]=1,IF($X$3=0,Tab.11[b66],Tab.11[[#This Row],[b66]]-AVERAGE(Tab.11[b66])))</f>
        <v>0</v>
      </c>
      <c r="Z280" s="135" t="b">
        <f>IF(Tab.11[[#This Row],[a1]]=1,Tab.11[[#This Row],[b77]]/(_xlfn.STDEV.P(Tab.11[b77])))</f>
        <v>0</v>
      </c>
      <c r="AA280" s="70" t="b">
        <f>IF(Tab.11[[#This Row],[a1]]=1,_xlfn.NORM.DIST(Tab.11[[#This Row],[b88]],$Z$1,$AA$1,FALSE))</f>
        <v>0</v>
      </c>
      <c r="AB280" s="74" t="b">
        <f>IF(Tab.11[[#This Row],[a1]]=1,IF($A$3=0,FALSE,1/Tab.11[[#This Row],[IN]]*$AC$2*IF(Tab.11[[#This Row],[a1]]=0,,$A$3*$AC$1*1/$V$3*(Tab.11[[#This Row],[b14]]))))</f>
        <v>0</v>
      </c>
      <c r="AC280" s="75" t="b">
        <f>IF(Tab.11[[#This Row],[a1]]=1,IF($AC$3=0,Tab.11[[#This Row],[φ1]],Tab.11[[#This Row],[φ1]]/MAX(Tab.11[φ1])))</f>
        <v>0</v>
      </c>
      <c r="AD280" s="74" t="b">
        <f>IF(Tab.11[[#This Row],[a1]]=1,1/Tab.11[[#This Row],[φ2]])</f>
        <v>0</v>
      </c>
      <c r="AE280" s="74" t="b">
        <f>IF(Tab.11[[#This Row],[a1]]=1,IF($AE$3=0,Tab.11[[#This Row],[w.0]],Tab.11[[#This Row],[w.0]]/SUM(Tab.11[w.0])))</f>
        <v>0</v>
      </c>
      <c r="AF280" s="76" t="str">
        <f>IF(Tab.11[[#This Row],[a1]]=0,"false",[3]!Tab.x5[[#This Row],[%_seN_C]])</f>
        <v>false</v>
      </c>
      <c r="AG280" s="77" t="b">
        <f>IF(Tab.11[[#This Row],[a1]]=1,AP280)</f>
        <v>0</v>
      </c>
      <c r="AH280" s="78" t="b">
        <f>IF(Tab.11[[#This Row],[a1]]=1,AQ280)</f>
        <v>0</v>
      </c>
      <c r="AI280" s="41">
        <v>3.0000000000000001E-3</v>
      </c>
      <c r="AJ280" s="79">
        <v>0.08</v>
      </c>
      <c r="AK280" s="80" t="b">
        <f>IF(Tab.11[[#This Row],[a1]]=1,1)</f>
        <v>0</v>
      </c>
      <c r="AZ280"/>
    </row>
    <row r="281" spans="1:52" hidden="1" x14ac:dyDescent="0.25">
      <c r="A281" s="61">
        <f t="shared" si="11"/>
        <v>0</v>
      </c>
      <c r="B281" s="62">
        <f t="shared" si="11"/>
        <v>0</v>
      </c>
      <c r="C281" s="62" t="b">
        <f>IF(Tab.11[[#This Row],[a1]]=1,[3]!Tab_x1[[#This Row],[Name]])</f>
        <v>0</v>
      </c>
      <c r="D281" s="63" t="b">
        <f>IF(Tab.11[[#This Row],[a1]]=1,AO281)</f>
        <v>0</v>
      </c>
      <c r="E281" s="63">
        <f t="shared" si="10"/>
        <v>0</v>
      </c>
      <c r="F281" s="64" t="b">
        <f>IF(Tab.11[[#This Row],[a1]]=1,Tab.11[[#This Row],[b1]])</f>
        <v>0</v>
      </c>
      <c r="G281" s="65" t="b">
        <f>IF(Tab.11[[#This Row],[a1]]=1,IF(Tab.11[[#This Row],[b3]]&gt;$L$989*$G$3,$L$989*$G$3,IF(Tab.11[[#This Row],[b3]]&lt;$M$989*$G$3,$M$989*$G$3,Tab.11[[#This Row],[b3]])))</f>
        <v>0</v>
      </c>
      <c r="H281" s="66" t="b">
        <f>IF(Tab.11[[#This Row],[a1]]=1,Tab.11[[#This Row],[b1]])</f>
        <v>0</v>
      </c>
      <c r="I281" s="67" t="b">
        <f>IF(Tab.11[[#This Row],[a1]]=1,Tab.11[[#This Row],[b1]])</f>
        <v>0</v>
      </c>
      <c r="J281" s="68" t="b">
        <f>IF(Tab.11[[#This Row],[a1]]=1,IF($I$3&lt;0,Tab.11[[#This Row],[b5]]-$I$3,Tab.11[[#This Row],[b5]]))</f>
        <v>0</v>
      </c>
      <c r="K281" s="68" t="b">
        <f>IF(Tab.11[[#This Row],[a1]]=1,IF($K$3=0,Tab.11[b6],Tab.11[[#This Row],[b6]]-AVERAGE(Tab.11[b6])))</f>
        <v>0</v>
      </c>
      <c r="L281" s="69" t="b">
        <f>IF(Tab.11[[#This Row],[a1]]=1,Tab.11[[#This Row],[data]]/(_xlfn.STDEV.P(Tab.11[data])*$B$989)+$A$989)</f>
        <v>0</v>
      </c>
      <c r="M281" s="69" t="b">
        <f>IF(Tab.11[[#This Row],[a1]]=1,Tab.11[[#This Row],[data]]/(_xlfn.STDEV.P(Tab.11[data])*$B$987)-$A$987)</f>
        <v>0</v>
      </c>
      <c r="N281" s="69" t="b">
        <f>IF(Tab.11[[#This Row],[a1]]=1,Tab.11[[#This Row],[data]]/(_xlfn.STDEV.P(Tab.11[data])*$B$988)+$A$988)</f>
        <v>0</v>
      </c>
      <c r="O281" s="70" t="b">
        <f>IF(Tab.11[[#This Row],[a1]]=1,_xlfn.NORM.DIST(Tab.11[[#This Row],[b8]],$P$1,$Q$1,FALSE))</f>
        <v>0</v>
      </c>
      <c r="P281" s="70" t="b">
        <f>IF(Tab.11[[#This Row],[a1]]=1,_xlfn.NORM.DIST(Tab.11[[#This Row],[b9]],$P$1,$Q$1,FALSE))</f>
        <v>0</v>
      </c>
      <c r="Q281" s="70" t="b">
        <f>IF(Tab.11[[#This Row],[a1]]=1,_xlfn.NORM.DIST(Tab.11[[#This Row],[b10]],$P$1,$Q$1,FALSE))</f>
        <v>0</v>
      </c>
      <c r="R281" s="67" t="b">
        <f>IF(Tab.11[[#This Row],[a1]]=1,$I$3+$A$989+IF($K$3=0,Tab.11[[#This Row],[b8]]*_xlfn.STDEV.P(Tab.11[data]),AVERAGE(Tab.11[b6])+Tab.11[[#This Row],[b8]]*_xlfn.STDEV.P(Tab.11[data])))</f>
        <v>0</v>
      </c>
      <c r="S281" s="71" t="b">
        <f>IF(Tab.11[[#This Row],[a1]]=1,$I$3+$A$987+IF($K$3=0,Tab.11[[#This Row],[b9]]*_xlfn.STDEV.P(Tab.11[data]),AVERAGE(Tab.11[b6])+Tab.11[[#This Row],[b9]]*_xlfn.STDEV.P(Tab.11[data])))</f>
        <v>0</v>
      </c>
      <c r="T281" s="71" t="b">
        <f>IF(Tab.11[[#This Row],[a1]]=1,$I$3+$A$988+IF($K$3=0,Tab.11[[#This Row],[b10]]*_xlfn.STDEV.P(Tab.11[data]),AVERAGE(Tab.11[b6])+Tab.11[[#This Row],[b10]]*_xlfn.STDEV.P(Tab.11[data])))</f>
        <v>0</v>
      </c>
      <c r="U281" s="72" t="b">
        <f>IF(Tab.11[[#This Row],[a1]]=1,Tab.11[[#This Row],[target]]-Tab.11[[#This Row],[Red]])</f>
        <v>0</v>
      </c>
      <c r="V281" s="72" t="b">
        <f>IF(Tab.11[[#This Row],[a1]]=1,Tab.11[[#This Row],[target]]-Tab.11[[#This Row],[Blue]])</f>
        <v>0</v>
      </c>
      <c r="W281" s="73" t="b">
        <f>IF(Tab.11[[#This Row],[a1]]=1,IF(ABS(Tab.11[[#This Row],[b17]])+ABS(Tab.11[[#This Row],[b18]])&lt;$W$2,$W$2,ABS(Tab.11[[#This Row],[b17]])+ABS(Tab.11[[#This Row],[b18]])))</f>
        <v>0</v>
      </c>
      <c r="X281" s="136" t="b">
        <f>IF(Tab.11[[#This Row],[a1]]=1,IF($W$3&lt;0,Tab.11[[#This Row],[IN]]-$I$3,Tab.11[[#This Row],[IN]]))</f>
        <v>0</v>
      </c>
      <c r="Y281" s="136" t="b">
        <f>IF(Tab.11[[#This Row],[a1]]=1,IF($X$3=0,Tab.11[b66],Tab.11[[#This Row],[b66]]-AVERAGE(Tab.11[b66])))</f>
        <v>0</v>
      </c>
      <c r="Z281" s="135" t="b">
        <f>IF(Tab.11[[#This Row],[a1]]=1,Tab.11[[#This Row],[b77]]/(_xlfn.STDEV.P(Tab.11[b77])))</f>
        <v>0</v>
      </c>
      <c r="AA281" s="70" t="b">
        <f>IF(Tab.11[[#This Row],[a1]]=1,_xlfn.NORM.DIST(Tab.11[[#This Row],[b88]],$Z$1,$AA$1,FALSE))</f>
        <v>0</v>
      </c>
      <c r="AB281" s="74" t="b">
        <f>IF(Tab.11[[#This Row],[a1]]=1,IF($A$3=0,FALSE,1/Tab.11[[#This Row],[IN]]*$AC$2*IF(Tab.11[[#This Row],[a1]]=0,,$A$3*$AC$1*1/$V$3*(Tab.11[[#This Row],[b14]]))))</f>
        <v>0</v>
      </c>
      <c r="AC281" s="75" t="b">
        <f>IF(Tab.11[[#This Row],[a1]]=1,IF($AC$3=0,Tab.11[[#This Row],[φ1]],Tab.11[[#This Row],[φ1]]/MAX(Tab.11[φ1])))</f>
        <v>0</v>
      </c>
      <c r="AD281" s="74" t="b">
        <f>IF(Tab.11[[#This Row],[a1]]=1,1/Tab.11[[#This Row],[φ2]])</f>
        <v>0</v>
      </c>
      <c r="AE281" s="74" t="b">
        <f>IF(Tab.11[[#This Row],[a1]]=1,IF($AE$3=0,Tab.11[[#This Row],[w.0]],Tab.11[[#This Row],[w.0]]/SUM(Tab.11[w.0])))</f>
        <v>0</v>
      </c>
      <c r="AF281" s="76" t="str">
        <f>IF(Tab.11[[#This Row],[a1]]=0,"false",[3]!Tab.x5[[#This Row],[%_seN_C]])</f>
        <v>false</v>
      </c>
      <c r="AG281" s="77" t="b">
        <f>IF(Tab.11[[#This Row],[a1]]=1,AP281)</f>
        <v>0</v>
      </c>
      <c r="AH281" s="78" t="b">
        <f>IF(Tab.11[[#This Row],[a1]]=1,AQ281)</f>
        <v>0</v>
      </c>
      <c r="AI281" s="41">
        <v>3.0000000000000001E-3</v>
      </c>
      <c r="AJ281" s="79">
        <v>-0.04</v>
      </c>
      <c r="AK281" s="80" t="b">
        <f>IF(Tab.11[[#This Row],[a1]]=1,1)</f>
        <v>0</v>
      </c>
      <c r="AZ281"/>
    </row>
    <row r="282" spans="1:52" hidden="1" x14ac:dyDescent="0.25">
      <c r="A282" s="61">
        <f t="shared" si="11"/>
        <v>0</v>
      </c>
      <c r="B282" s="62">
        <f t="shared" si="11"/>
        <v>0</v>
      </c>
      <c r="C282" s="62" t="b">
        <f>IF(Tab.11[[#This Row],[a1]]=1,[3]!Tab_x1[[#This Row],[Name]])</f>
        <v>0</v>
      </c>
      <c r="D282" s="63" t="b">
        <f>IF(Tab.11[[#This Row],[a1]]=1,AO282)</f>
        <v>0</v>
      </c>
      <c r="E282" s="63">
        <f t="shared" si="10"/>
        <v>0</v>
      </c>
      <c r="F282" s="64" t="b">
        <f>IF(Tab.11[[#This Row],[a1]]=1,Tab.11[[#This Row],[b1]])</f>
        <v>0</v>
      </c>
      <c r="G282" s="65" t="b">
        <f>IF(Tab.11[[#This Row],[a1]]=1,IF(Tab.11[[#This Row],[b3]]&gt;$L$989*$G$3,$L$989*$G$3,IF(Tab.11[[#This Row],[b3]]&lt;$M$989*$G$3,$M$989*$G$3,Tab.11[[#This Row],[b3]])))</f>
        <v>0</v>
      </c>
      <c r="H282" s="66" t="b">
        <f>IF(Tab.11[[#This Row],[a1]]=1,Tab.11[[#This Row],[b1]])</f>
        <v>0</v>
      </c>
      <c r="I282" s="67" t="b">
        <f>IF(Tab.11[[#This Row],[a1]]=1,Tab.11[[#This Row],[b1]])</f>
        <v>0</v>
      </c>
      <c r="J282" s="68" t="b">
        <f>IF(Tab.11[[#This Row],[a1]]=1,IF($I$3&lt;0,Tab.11[[#This Row],[b5]]-$I$3,Tab.11[[#This Row],[b5]]))</f>
        <v>0</v>
      </c>
      <c r="K282" s="68" t="b">
        <f>IF(Tab.11[[#This Row],[a1]]=1,IF($K$3=0,Tab.11[b6],Tab.11[[#This Row],[b6]]-AVERAGE(Tab.11[b6])))</f>
        <v>0</v>
      </c>
      <c r="L282" s="69" t="b">
        <f>IF(Tab.11[[#This Row],[a1]]=1,Tab.11[[#This Row],[data]]/(_xlfn.STDEV.P(Tab.11[data])*$B$989)+$A$989)</f>
        <v>0</v>
      </c>
      <c r="M282" s="69" t="b">
        <f>IF(Tab.11[[#This Row],[a1]]=1,Tab.11[[#This Row],[data]]/(_xlfn.STDEV.P(Tab.11[data])*$B$987)-$A$987)</f>
        <v>0</v>
      </c>
      <c r="N282" s="69" t="b">
        <f>IF(Tab.11[[#This Row],[a1]]=1,Tab.11[[#This Row],[data]]/(_xlfn.STDEV.P(Tab.11[data])*$B$988)+$A$988)</f>
        <v>0</v>
      </c>
      <c r="O282" s="70" t="b">
        <f>IF(Tab.11[[#This Row],[a1]]=1,_xlfn.NORM.DIST(Tab.11[[#This Row],[b8]],$P$1,$Q$1,FALSE))</f>
        <v>0</v>
      </c>
      <c r="P282" s="70" t="b">
        <f>IF(Tab.11[[#This Row],[a1]]=1,_xlfn.NORM.DIST(Tab.11[[#This Row],[b9]],$P$1,$Q$1,FALSE))</f>
        <v>0</v>
      </c>
      <c r="Q282" s="70" t="b">
        <f>IF(Tab.11[[#This Row],[a1]]=1,_xlfn.NORM.DIST(Tab.11[[#This Row],[b10]],$P$1,$Q$1,FALSE))</f>
        <v>0</v>
      </c>
      <c r="R282" s="67" t="b">
        <f>IF(Tab.11[[#This Row],[a1]]=1,$I$3+$A$989+IF($K$3=0,Tab.11[[#This Row],[b8]]*_xlfn.STDEV.P(Tab.11[data]),AVERAGE(Tab.11[b6])+Tab.11[[#This Row],[b8]]*_xlfn.STDEV.P(Tab.11[data])))</f>
        <v>0</v>
      </c>
      <c r="S282" s="71" t="b">
        <f>IF(Tab.11[[#This Row],[a1]]=1,$I$3+$A$987+IF($K$3=0,Tab.11[[#This Row],[b9]]*_xlfn.STDEV.P(Tab.11[data]),AVERAGE(Tab.11[b6])+Tab.11[[#This Row],[b9]]*_xlfn.STDEV.P(Tab.11[data])))</f>
        <v>0</v>
      </c>
      <c r="T282" s="71" t="b">
        <f>IF(Tab.11[[#This Row],[a1]]=1,$I$3+$A$988+IF($K$3=0,Tab.11[[#This Row],[b10]]*_xlfn.STDEV.P(Tab.11[data]),AVERAGE(Tab.11[b6])+Tab.11[[#This Row],[b10]]*_xlfn.STDEV.P(Tab.11[data])))</f>
        <v>0</v>
      </c>
      <c r="U282" s="72" t="b">
        <f>IF(Tab.11[[#This Row],[a1]]=1,Tab.11[[#This Row],[target]]-Tab.11[[#This Row],[Red]])</f>
        <v>0</v>
      </c>
      <c r="V282" s="72" t="b">
        <f>IF(Tab.11[[#This Row],[a1]]=1,Tab.11[[#This Row],[target]]-Tab.11[[#This Row],[Blue]])</f>
        <v>0</v>
      </c>
      <c r="W282" s="73" t="b">
        <f>IF(Tab.11[[#This Row],[a1]]=1,IF(ABS(Tab.11[[#This Row],[b17]])+ABS(Tab.11[[#This Row],[b18]])&lt;$W$2,$W$2,ABS(Tab.11[[#This Row],[b17]])+ABS(Tab.11[[#This Row],[b18]])))</f>
        <v>0</v>
      </c>
      <c r="X282" s="136" t="b">
        <f>IF(Tab.11[[#This Row],[a1]]=1,IF($W$3&lt;0,Tab.11[[#This Row],[IN]]-$I$3,Tab.11[[#This Row],[IN]]))</f>
        <v>0</v>
      </c>
      <c r="Y282" s="136" t="b">
        <f>IF(Tab.11[[#This Row],[a1]]=1,IF($X$3=0,Tab.11[b66],Tab.11[[#This Row],[b66]]-AVERAGE(Tab.11[b66])))</f>
        <v>0</v>
      </c>
      <c r="Z282" s="135" t="b">
        <f>IF(Tab.11[[#This Row],[a1]]=1,Tab.11[[#This Row],[b77]]/(_xlfn.STDEV.P(Tab.11[b77])))</f>
        <v>0</v>
      </c>
      <c r="AA282" s="70" t="b">
        <f>IF(Tab.11[[#This Row],[a1]]=1,_xlfn.NORM.DIST(Tab.11[[#This Row],[b88]],$Z$1,$AA$1,FALSE))</f>
        <v>0</v>
      </c>
      <c r="AB282" s="74" t="b">
        <f>IF(Tab.11[[#This Row],[a1]]=1,IF($A$3=0,FALSE,1/Tab.11[[#This Row],[IN]]*$AC$2*IF(Tab.11[[#This Row],[a1]]=0,,$A$3*$AC$1*1/$V$3*(Tab.11[[#This Row],[b14]]))))</f>
        <v>0</v>
      </c>
      <c r="AC282" s="75" t="b">
        <f>IF(Tab.11[[#This Row],[a1]]=1,IF($AC$3=0,Tab.11[[#This Row],[φ1]],Tab.11[[#This Row],[φ1]]/MAX(Tab.11[φ1])))</f>
        <v>0</v>
      </c>
      <c r="AD282" s="74" t="b">
        <f>IF(Tab.11[[#This Row],[a1]]=1,1/Tab.11[[#This Row],[φ2]])</f>
        <v>0</v>
      </c>
      <c r="AE282" s="74" t="b">
        <f>IF(Tab.11[[#This Row],[a1]]=1,IF($AE$3=0,Tab.11[[#This Row],[w.0]],Tab.11[[#This Row],[w.0]]/SUM(Tab.11[w.0])))</f>
        <v>0</v>
      </c>
      <c r="AF282" s="76" t="str">
        <f>IF(Tab.11[[#This Row],[a1]]=0,"false",[3]!Tab.x5[[#This Row],[%_seN_C]])</f>
        <v>false</v>
      </c>
      <c r="AG282" s="77" t="b">
        <f>IF(Tab.11[[#This Row],[a1]]=1,AP282)</f>
        <v>0</v>
      </c>
      <c r="AH282" s="78" t="b">
        <f>IF(Tab.11[[#This Row],[a1]]=1,AQ282)</f>
        <v>0</v>
      </c>
      <c r="AI282" s="41">
        <v>3.0000000000000001E-3</v>
      </c>
      <c r="AJ282" s="79">
        <v>-0.09</v>
      </c>
      <c r="AK282" s="80" t="b">
        <f>IF(Tab.11[[#This Row],[a1]]=1,1)</f>
        <v>0</v>
      </c>
      <c r="AZ282"/>
    </row>
    <row r="283" spans="1:52" hidden="1" x14ac:dyDescent="0.25">
      <c r="A283" s="61">
        <f t="shared" si="11"/>
        <v>0</v>
      </c>
      <c r="B283" s="62">
        <f t="shared" si="11"/>
        <v>0</v>
      </c>
      <c r="C283" s="62" t="b">
        <f>IF(Tab.11[[#This Row],[a1]]=1,[3]!Tab_x1[[#This Row],[Name]])</f>
        <v>0</v>
      </c>
      <c r="D283" s="63" t="b">
        <f>IF(Tab.11[[#This Row],[a1]]=1,AO283)</f>
        <v>0</v>
      </c>
      <c r="E283" s="63">
        <f t="shared" si="10"/>
        <v>0</v>
      </c>
      <c r="F283" s="64" t="b">
        <f>IF(Tab.11[[#This Row],[a1]]=1,Tab.11[[#This Row],[b1]])</f>
        <v>0</v>
      </c>
      <c r="G283" s="65" t="b">
        <f>IF(Tab.11[[#This Row],[a1]]=1,IF(Tab.11[[#This Row],[b3]]&gt;$L$989*$G$3,$L$989*$G$3,IF(Tab.11[[#This Row],[b3]]&lt;$M$989*$G$3,$M$989*$G$3,Tab.11[[#This Row],[b3]])))</f>
        <v>0</v>
      </c>
      <c r="H283" s="66" t="b">
        <f>IF(Tab.11[[#This Row],[a1]]=1,Tab.11[[#This Row],[b1]])</f>
        <v>0</v>
      </c>
      <c r="I283" s="67" t="b">
        <f>IF(Tab.11[[#This Row],[a1]]=1,Tab.11[[#This Row],[b1]])</f>
        <v>0</v>
      </c>
      <c r="J283" s="68" t="b">
        <f>IF(Tab.11[[#This Row],[a1]]=1,IF($I$3&lt;0,Tab.11[[#This Row],[b5]]-$I$3,Tab.11[[#This Row],[b5]]))</f>
        <v>0</v>
      </c>
      <c r="K283" s="68" t="b">
        <f>IF(Tab.11[[#This Row],[a1]]=1,IF($K$3=0,Tab.11[b6],Tab.11[[#This Row],[b6]]-AVERAGE(Tab.11[b6])))</f>
        <v>0</v>
      </c>
      <c r="L283" s="69" t="b">
        <f>IF(Tab.11[[#This Row],[a1]]=1,Tab.11[[#This Row],[data]]/(_xlfn.STDEV.P(Tab.11[data])*$B$989)+$A$989)</f>
        <v>0</v>
      </c>
      <c r="M283" s="69" t="b">
        <f>IF(Tab.11[[#This Row],[a1]]=1,Tab.11[[#This Row],[data]]/(_xlfn.STDEV.P(Tab.11[data])*$B$987)-$A$987)</f>
        <v>0</v>
      </c>
      <c r="N283" s="69" t="b">
        <f>IF(Tab.11[[#This Row],[a1]]=1,Tab.11[[#This Row],[data]]/(_xlfn.STDEV.P(Tab.11[data])*$B$988)+$A$988)</f>
        <v>0</v>
      </c>
      <c r="O283" s="70" t="b">
        <f>IF(Tab.11[[#This Row],[a1]]=1,_xlfn.NORM.DIST(Tab.11[[#This Row],[b8]],$P$1,$Q$1,FALSE))</f>
        <v>0</v>
      </c>
      <c r="P283" s="70" t="b">
        <f>IF(Tab.11[[#This Row],[a1]]=1,_xlfn.NORM.DIST(Tab.11[[#This Row],[b9]],$P$1,$Q$1,FALSE))</f>
        <v>0</v>
      </c>
      <c r="Q283" s="70" t="b">
        <f>IF(Tab.11[[#This Row],[a1]]=1,_xlfn.NORM.DIST(Tab.11[[#This Row],[b10]],$P$1,$Q$1,FALSE))</f>
        <v>0</v>
      </c>
      <c r="R283" s="67" t="b">
        <f>IF(Tab.11[[#This Row],[a1]]=1,$I$3+$A$989+IF($K$3=0,Tab.11[[#This Row],[b8]]*_xlfn.STDEV.P(Tab.11[data]),AVERAGE(Tab.11[b6])+Tab.11[[#This Row],[b8]]*_xlfn.STDEV.P(Tab.11[data])))</f>
        <v>0</v>
      </c>
      <c r="S283" s="71" t="b">
        <f>IF(Tab.11[[#This Row],[a1]]=1,$I$3+$A$987+IF($K$3=0,Tab.11[[#This Row],[b9]]*_xlfn.STDEV.P(Tab.11[data]),AVERAGE(Tab.11[b6])+Tab.11[[#This Row],[b9]]*_xlfn.STDEV.P(Tab.11[data])))</f>
        <v>0</v>
      </c>
      <c r="T283" s="71" t="b">
        <f>IF(Tab.11[[#This Row],[a1]]=1,$I$3+$A$988+IF($K$3=0,Tab.11[[#This Row],[b10]]*_xlfn.STDEV.P(Tab.11[data]),AVERAGE(Tab.11[b6])+Tab.11[[#This Row],[b10]]*_xlfn.STDEV.P(Tab.11[data])))</f>
        <v>0</v>
      </c>
      <c r="U283" s="72" t="b">
        <f>IF(Tab.11[[#This Row],[a1]]=1,Tab.11[[#This Row],[target]]-Tab.11[[#This Row],[Red]])</f>
        <v>0</v>
      </c>
      <c r="V283" s="72" t="b">
        <f>IF(Tab.11[[#This Row],[a1]]=1,Tab.11[[#This Row],[target]]-Tab.11[[#This Row],[Blue]])</f>
        <v>0</v>
      </c>
      <c r="W283" s="73" t="b">
        <f>IF(Tab.11[[#This Row],[a1]]=1,IF(ABS(Tab.11[[#This Row],[b17]])+ABS(Tab.11[[#This Row],[b18]])&lt;$W$2,$W$2,ABS(Tab.11[[#This Row],[b17]])+ABS(Tab.11[[#This Row],[b18]])))</f>
        <v>0</v>
      </c>
      <c r="X283" s="136" t="b">
        <f>IF(Tab.11[[#This Row],[a1]]=1,IF($W$3&lt;0,Tab.11[[#This Row],[IN]]-$I$3,Tab.11[[#This Row],[IN]]))</f>
        <v>0</v>
      </c>
      <c r="Y283" s="136" t="b">
        <f>IF(Tab.11[[#This Row],[a1]]=1,IF($X$3=0,Tab.11[b66],Tab.11[[#This Row],[b66]]-AVERAGE(Tab.11[b66])))</f>
        <v>0</v>
      </c>
      <c r="Z283" s="135" t="b">
        <f>IF(Tab.11[[#This Row],[a1]]=1,Tab.11[[#This Row],[b77]]/(_xlfn.STDEV.P(Tab.11[b77])))</f>
        <v>0</v>
      </c>
      <c r="AA283" s="70" t="b">
        <f>IF(Tab.11[[#This Row],[a1]]=1,_xlfn.NORM.DIST(Tab.11[[#This Row],[b88]],$Z$1,$AA$1,FALSE))</f>
        <v>0</v>
      </c>
      <c r="AB283" s="74" t="b">
        <f>IF(Tab.11[[#This Row],[a1]]=1,IF($A$3=0,FALSE,1/Tab.11[[#This Row],[IN]]*$AC$2*IF(Tab.11[[#This Row],[a1]]=0,,$A$3*$AC$1*1/$V$3*(Tab.11[[#This Row],[b14]]))))</f>
        <v>0</v>
      </c>
      <c r="AC283" s="75" t="b">
        <f>IF(Tab.11[[#This Row],[a1]]=1,IF($AC$3=0,Tab.11[[#This Row],[φ1]],Tab.11[[#This Row],[φ1]]/MAX(Tab.11[φ1])))</f>
        <v>0</v>
      </c>
      <c r="AD283" s="74" t="b">
        <f>IF(Tab.11[[#This Row],[a1]]=1,1/Tab.11[[#This Row],[φ2]])</f>
        <v>0</v>
      </c>
      <c r="AE283" s="74" t="b">
        <f>IF(Tab.11[[#This Row],[a1]]=1,IF($AE$3=0,Tab.11[[#This Row],[w.0]],Tab.11[[#This Row],[w.0]]/SUM(Tab.11[w.0])))</f>
        <v>0</v>
      </c>
      <c r="AF283" s="76" t="str">
        <f>IF(Tab.11[[#This Row],[a1]]=0,"false",[3]!Tab.x5[[#This Row],[%_seN_C]])</f>
        <v>false</v>
      </c>
      <c r="AG283" s="77" t="b">
        <f>IF(Tab.11[[#This Row],[a1]]=1,AP283)</f>
        <v>0</v>
      </c>
      <c r="AH283" s="78" t="b">
        <f>IF(Tab.11[[#This Row],[a1]]=1,AQ283)</f>
        <v>0</v>
      </c>
      <c r="AI283" s="41">
        <v>3.0000000000000001E-3</v>
      </c>
      <c r="AJ283" s="79">
        <v>7.0000000000000007E-2</v>
      </c>
      <c r="AK283" s="80" t="b">
        <f>IF(Tab.11[[#This Row],[a1]]=1,1)</f>
        <v>0</v>
      </c>
      <c r="AZ283"/>
    </row>
    <row r="284" spans="1:52" hidden="1" x14ac:dyDescent="0.25">
      <c r="A284" s="61">
        <f t="shared" si="11"/>
        <v>0</v>
      </c>
      <c r="B284" s="62">
        <f t="shared" si="11"/>
        <v>0</v>
      </c>
      <c r="C284" s="62" t="b">
        <f>IF(Tab.11[[#This Row],[a1]]=1,[3]!Tab_x1[[#This Row],[Name]])</f>
        <v>0</v>
      </c>
      <c r="D284" s="63" t="b">
        <f>IF(Tab.11[[#This Row],[a1]]=1,AO284)</f>
        <v>0</v>
      </c>
      <c r="E284" s="63">
        <f t="shared" si="10"/>
        <v>0</v>
      </c>
      <c r="F284" s="64" t="b">
        <f>IF(Tab.11[[#This Row],[a1]]=1,Tab.11[[#This Row],[b1]])</f>
        <v>0</v>
      </c>
      <c r="G284" s="65" t="b">
        <f>IF(Tab.11[[#This Row],[a1]]=1,IF(Tab.11[[#This Row],[b3]]&gt;$L$989*$G$3,$L$989*$G$3,IF(Tab.11[[#This Row],[b3]]&lt;$M$989*$G$3,$M$989*$G$3,Tab.11[[#This Row],[b3]])))</f>
        <v>0</v>
      </c>
      <c r="H284" s="66" t="b">
        <f>IF(Tab.11[[#This Row],[a1]]=1,Tab.11[[#This Row],[b1]])</f>
        <v>0</v>
      </c>
      <c r="I284" s="67" t="b">
        <f>IF(Tab.11[[#This Row],[a1]]=1,Tab.11[[#This Row],[b1]])</f>
        <v>0</v>
      </c>
      <c r="J284" s="68" t="b">
        <f>IF(Tab.11[[#This Row],[a1]]=1,IF($I$3&lt;0,Tab.11[[#This Row],[b5]]-$I$3,Tab.11[[#This Row],[b5]]))</f>
        <v>0</v>
      </c>
      <c r="K284" s="68" t="b">
        <f>IF(Tab.11[[#This Row],[a1]]=1,IF($K$3=0,Tab.11[b6],Tab.11[[#This Row],[b6]]-AVERAGE(Tab.11[b6])))</f>
        <v>0</v>
      </c>
      <c r="L284" s="69" t="b">
        <f>IF(Tab.11[[#This Row],[a1]]=1,Tab.11[[#This Row],[data]]/(_xlfn.STDEV.P(Tab.11[data])*$B$989)+$A$989)</f>
        <v>0</v>
      </c>
      <c r="M284" s="69" t="b">
        <f>IF(Tab.11[[#This Row],[a1]]=1,Tab.11[[#This Row],[data]]/(_xlfn.STDEV.P(Tab.11[data])*$B$987)-$A$987)</f>
        <v>0</v>
      </c>
      <c r="N284" s="69" t="b">
        <f>IF(Tab.11[[#This Row],[a1]]=1,Tab.11[[#This Row],[data]]/(_xlfn.STDEV.P(Tab.11[data])*$B$988)+$A$988)</f>
        <v>0</v>
      </c>
      <c r="O284" s="70" t="b">
        <f>IF(Tab.11[[#This Row],[a1]]=1,_xlfn.NORM.DIST(Tab.11[[#This Row],[b8]],$P$1,$Q$1,FALSE))</f>
        <v>0</v>
      </c>
      <c r="P284" s="70" t="b">
        <f>IF(Tab.11[[#This Row],[a1]]=1,_xlfn.NORM.DIST(Tab.11[[#This Row],[b9]],$P$1,$Q$1,FALSE))</f>
        <v>0</v>
      </c>
      <c r="Q284" s="70" t="b">
        <f>IF(Tab.11[[#This Row],[a1]]=1,_xlfn.NORM.DIST(Tab.11[[#This Row],[b10]],$P$1,$Q$1,FALSE))</f>
        <v>0</v>
      </c>
      <c r="R284" s="67" t="b">
        <f>IF(Tab.11[[#This Row],[a1]]=1,$I$3+$A$989+IF($K$3=0,Tab.11[[#This Row],[b8]]*_xlfn.STDEV.P(Tab.11[data]),AVERAGE(Tab.11[b6])+Tab.11[[#This Row],[b8]]*_xlfn.STDEV.P(Tab.11[data])))</f>
        <v>0</v>
      </c>
      <c r="S284" s="71" t="b">
        <f>IF(Tab.11[[#This Row],[a1]]=1,$I$3+$A$987+IF($K$3=0,Tab.11[[#This Row],[b9]]*_xlfn.STDEV.P(Tab.11[data]),AVERAGE(Tab.11[b6])+Tab.11[[#This Row],[b9]]*_xlfn.STDEV.P(Tab.11[data])))</f>
        <v>0</v>
      </c>
      <c r="T284" s="71" t="b">
        <f>IF(Tab.11[[#This Row],[a1]]=1,$I$3+$A$988+IF($K$3=0,Tab.11[[#This Row],[b10]]*_xlfn.STDEV.P(Tab.11[data]),AVERAGE(Tab.11[b6])+Tab.11[[#This Row],[b10]]*_xlfn.STDEV.P(Tab.11[data])))</f>
        <v>0</v>
      </c>
      <c r="U284" s="72" t="b">
        <f>IF(Tab.11[[#This Row],[a1]]=1,Tab.11[[#This Row],[target]]-Tab.11[[#This Row],[Red]])</f>
        <v>0</v>
      </c>
      <c r="V284" s="72" t="b">
        <f>IF(Tab.11[[#This Row],[a1]]=1,Tab.11[[#This Row],[target]]-Tab.11[[#This Row],[Blue]])</f>
        <v>0</v>
      </c>
      <c r="W284" s="73" t="b">
        <f>IF(Tab.11[[#This Row],[a1]]=1,IF(ABS(Tab.11[[#This Row],[b17]])+ABS(Tab.11[[#This Row],[b18]])&lt;$W$2,$W$2,ABS(Tab.11[[#This Row],[b17]])+ABS(Tab.11[[#This Row],[b18]])))</f>
        <v>0</v>
      </c>
      <c r="X284" s="136" t="b">
        <f>IF(Tab.11[[#This Row],[a1]]=1,IF($W$3&lt;0,Tab.11[[#This Row],[IN]]-$I$3,Tab.11[[#This Row],[IN]]))</f>
        <v>0</v>
      </c>
      <c r="Y284" s="136" t="b">
        <f>IF(Tab.11[[#This Row],[a1]]=1,IF($X$3=0,Tab.11[b66],Tab.11[[#This Row],[b66]]-AVERAGE(Tab.11[b66])))</f>
        <v>0</v>
      </c>
      <c r="Z284" s="135" t="b">
        <f>IF(Tab.11[[#This Row],[a1]]=1,Tab.11[[#This Row],[b77]]/(_xlfn.STDEV.P(Tab.11[b77])))</f>
        <v>0</v>
      </c>
      <c r="AA284" s="70" t="b">
        <f>IF(Tab.11[[#This Row],[a1]]=1,_xlfn.NORM.DIST(Tab.11[[#This Row],[b88]],$Z$1,$AA$1,FALSE))</f>
        <v>0</v>
      </c>
      <c r="AB284" s="74" t="b">
        <f>IF(Tab.11[[#This Row],[a1]]=1,IF($A$3=0,FALSE,1/Tab.11[[#This Row],[IN]]*$AC$2*IF(Tab.11[[#This Row],[a1]]=0,,$A$3*$AC$1*1/$V$3*(Tab.11[[#This Row],[b14]]))))</f>
        <v>0</v>
      </c>
      <c r="AC284" s="75" t="b">
        <f>IF(Tab.11[[#This Row],[a1]]=1,IF($AC$3=0,Tab.11[[#This Row],[φ1]],Tab.11[[#This Row],[φ1]]/MAX(Tab.11[φ1])))</f>
        <v>0</v>
      </c>
      <c r="AD284" s="74" t="b">
        <f>IF(Tab.11[[#This Row],[a1]]=1,1/Tab.11[[#This Row],[φ2]])</f>
        <v>0</v>
      </c>
      <c r="AE284" s="74" t="b">
        <f>IF(Tab.11[[#This Row],[a1]]=1,IF($AE$3=0,Tab.11[[#This Row],[w.0]],Tab.11[[#This Row],[w.0]]/SUM(Tab.11[w.0])))</f>
        <v>0</v>
      </c>
      <c r="AF284" s="76" t="str">
        <f>IF(Tab.11[[#This Row],[a1]]=0,"false",[3]!Tab.x5[[#This Row],[%_seN_C]])</f>
        <v>false</v>
      </c>
      <c r="AG284" s="77" t="b">
        <f>IF(Tab.11[[#This Row],[a1]]=1,AP284)</f>
        <v>0</v>
      </c>
      <c r="AH284" s="78" t="b">
        <f>IF(Tab.11[[#This Row],[a1]]=1,AQ284)</f>
        <v>0</v>
      </c>
      <c r="AI284" s="41">
        <v>3.0000000000000001E-3</v>
      </c>
      <c r="AJ284" s="79">
        <v>0.06</v>
      </c>
      <c r="AK284" s="80" t="b">
        <f>IF(Tab.11[[#This Row],[a1]]=1,1)</f>
        <v>0</v>
      </c>
      <c r="AZ284"/>
    </row>
    <row r="285" spans="1:52" hidden="1" x14ac:dyDescent="0.25">
      <c r="A285" s="61">
        <f t="shared" si="11"/>
        <v>0</v>
      </c>
      <c r="B285" s="62">
        <f t="shared" si="11"/>
        <v>0</v>
      </c>
      <c r="C285" s="62" t="b">
        <f>IF(Tab.11[[#This Row],[a1]]=1,[3]!Tab_x1[[#This Row],[Name]])</f>
        <v>0</v>
      </c>
      <c r="D285" s="63" t="b">
        <f>IF(Tab.11[[#This Row],[a1]]=1,AO285)</f>
        <v>0</v>
      </c>
      <c r="E285" s="63">
        <f t="shared" si="10"/>
        <v>0</v>
      </c>
      <c r="F285" s="64" t="b">
        <f>IF(Tab.11[[#This Row],[a1]]=1,Tab.11[[#This Row],[b1]])</f>
        <v>0</v>
      </c>
      <c r="G285" s="65" t="b">
        <f>IF(Tab.11[[#This Row],[a1]]=1,IF(Tab.11[[#This Row],[b3]]&gt;$L$989*$G$3,$L$989*$G$3,IF(Tab.11[[#This Row],[b3]]&lt;$M$989*$G$3,$M$989*$G$3,Tab.11[[#This Row],[b3]])))</f>
        <v>0</v>
      </c>
      <c r="H285" s="66" t="b">
        <f>IF(Tab.11[[#This Row],[a1]]=1,Tab.11[[#This Row],[b1]])</f>
        <v>0</v>
      </c>
      <c r="I285" s="67" t="b">
        <f>IF(Tab.11[[#This Row],[a1]]=1,Tab.11[[#This Row],[b1]])</f>
        <v>0</v>
      </c>
      <c r="J285" s="68" t="b">
        <f>IF(Tab.11[[#This Row],[a1]]=1,IF($I$3&lt;0,Tab.11[[#This Row],[b5]]-$I$3,Tab.11[[#This Row],[b5]]))</f>
        <v>0</v>
      </c>
      <c r="K285" s="68" t="b">
        <f>IF(Tab.11[[#This Row],[a1]]=1,IF($K$3=0,Tab.11[b6],Tab.11[[#This Row],[b6]]-AVERAGE(Tab.11[b6])))</f>
        <v>0</v>
      </c>
      <c r="L285" s="69" t="b">
        <f>IF(Tab.11[[#This Row],[a1]]=1,Tab.11[[#This Row],[data]]/(_xlfn.STDEV.P(Tab.11[data])*$B$989)+$A$989)</f>
        <v>0</v>
      </c>
      <c r="M285" s="69" t="b">
        <f>IF(Tab.11[[#This Row],[a1]]=1,Tab.11[[#This Row],[data]]/(_xlfn.STDEV.P(Tab.11[data])*$B$987)-$A$987)</f>
        <v>0</v>
      </c>
      <c r="N285" s="69" t="b">
        <f>IF(Tab.11[[#This Row],[a1]]=1,Tab.11[[#This Row],[data]]/(_xlfn.STDEV.P(Tab.11[data])*$B$988)+$A$988)</f>
        <v>0</v>
      </c>
      <c r="O285" s="70" t="b">
        <f>IF(Tab.11[[#This Row],[a1]]=1,_xlfn.NORM.DIST(Tab.11[[#This Row],[b8]],$P$1,$Q$1,FALSE))</f>
        <v>0</v>
      </c>
      <c r="P285" s="70" t="b">
        <f>IF(Tab.11[[#This Row],[a1]]=1,_xlfn.NORM.DIST(Tab.11[[#This Row],[b9]],$P$1,$Q$1,FALSE))</f>
        <v>0</v>
      </c>
      <c r="Q285" s="70" t="b">
        <f>IF(Tab.11[[#This Row],[a1]]=1,_xlfn.NORM.DIST(Tab.11[[#This Row],[b10]],$P$1,$Q$1,FALSE))</f>
        <v>0</v>
      </c>
      <c r="R285" s="67" t="b">
        <f>IF(Tab.11[[#This Row],[a1]]=1,$I$3+$A$989+IF($K$3=0,Tab.11[[#This Row],[b8]]*_xlfn.STDEV.P(Tab.11[data]),AVERAGE(Tab.11[b6])+Tab.11[[#This Row],[b8]]*_xlfn.STDEV.P(Tab.11[data])))</f>
        <v>0</v>
      </c>
      <c r="S285" s="71" t="b">
        <f>IF(Tab.11[[#This Row],[a1]]=1,$I$3+$A$987+IF($K$3=0,Tab.11[[#This Row],[b9]]*_xlfn.STDEV.P(Tab.11[data]),AVERAGE(Tab.11[b6])+Tab.11[[#This Row],[b9]]*_xlfn.STDEV.P(Tab.11[data])))</f>
        <v>0</v>
      </c>
      <c r="T285" s="71" t="b">
        <f>IF(Tab.11[[#This Row],[a1]]=1,$I$3+$A$988+IF($K$3=0,Tab.11[[#This Row],[b10]]*_xlfn.STDEV.P(Tab.11[data]),AVERAGE(Tab.11[b6])+Tab.11[[#This Row],[b10]]*_xlfn.STDEV.P(Tab.11[data])))</f>
        <v>0</v>
      </c>
      <c r="U285" s="72" t="b">
        <f>IF(Tab.11[[#This Row],[a1]]=1,Tab.11[[#This Row],[target]]-Tab.11[[#This Row],[Red]])</f>
        <v>0</v>
      </c>
      <c r="V285" s="72" t="b">
        <f>IF(Tab.11[[#This Row],[a1]]=1,Tab.11[[#This Row],[target]]-Tab.11[[#This Row],[Blue]])</f>
        <v>0</v>
      </c>
      <c r="W285" s="73" t="b">
        <f>IF(Tab.11[[#This Row],[a1]]=1,IF(ABS(Tab.11[[#This Row],[b17]])+ABS(Tab.11[[#This Row],[b18]])&lt;$W$2,$W$2,ABS(Tab.11[[#This Row],[b17]])+ABS(Tab.11[[#This Row],[b18]])))</f>
        <v>0</v>
      </c>
      <c r="X285" s="136" t="b">
        <f>IF(Tab.11[[#This Row],[a1]]=1,IF($W$3&lt;0,Tab.11[[#This Row],[IN]]-$I$3,Tab.11[[#This Row],[IN]]))</f>
        <v>0</v>
      </c>
      <c r="Y285" s="136" t="b">
        <f>IF(Tab.11[[#This Row],[a1]]=1,IF($X$3=0,Tab.11[b66],Tab.11[[#This Row],[b66]]-AVERAGE(Tab.11[b66])))</f>
        <v>0</v>
      </c>
      <c r="Z285" s="135" t="b">
        <f>IF(Tab.11[[#This Row],[a1]]=1,Tab.11[[#This Row],[b77]]/(_xlfn.STDEV.P(Tab.11[b77])))</f>
        <v>0</v>
      </c>
      <c r="AA285" s="70" t="b">
        <f>IF(Tab.11[[#This Row],[a1]]=1,_xlfn.NORM.DIST(Tab.11[[#This Row],[b88]],$Z$1,$AA$1,FALSE))</f>
        <v>0</v>
      </c>
      <c r="AB285" s="74" t="b">
        <f>IF(Tab.11[[#This Row],[a1]]=1,IF($A$3=0,FALSE,1/Tab.11[[#This Row],[IN]]*$AC$2*IF(Tab.11[[#This Row],[a1]]=0,,$A$3*$AC$1*1/$V$3*(Tab.11[[#This Row],[b14]]))))</f>
        <v>0</v>
      </c>
      <c r="AC285" s="75" t="b">
        <f>IF(Tab.11[[#This Row],[a1]]=1,IF($AC$3=0,Tab.11[[#This Row],[φ1]],Tab.11[[#This Row],[φ1]]/MAX(Tab.11[φ1])))</f>
        <v>0</v>
      </c>
      <c r="AD285" s="74" t="b">
        <f>IF(Tab.11[[#This Row],[a1]]=1,1/Tab.11[[#This Row],[φ2]])</f>
        <v>0</v>
      </c>
      <c r="AE285" s="74" t="b">
        <f>IF(Tab.11[[#This Row],[a1]]=1,IF($AE$3=0,Tab.11[[#This Row],[w.0]],Tab.11[[#This Row],[w.0]]/SUM(Tab.11[w.0])))</f>
        <v>0</v>
      </c>
      <c r="AF285" s="76" t="str">
        <f>IF(Tab.11[[#This Row],[a1]]=0,"false",[3]!Tab.x5[[#This Row],[%_seN_C]])</f>
        <v>false</v>
      </c>
      <c r="AG285" s="77" t="b">
        <f>IF(Tab.11[[#This Row],[a1]]=1,AP285)</f>
        <v>0</v>
      </c>
      <c r="AH285" s="78" t="b">
        <f>IF(Tab.11[[#This Row],[a1]]=1,AQ285)</f>
        <v>0</v>
      </c>
      <c r="AI285" s="41">
        <v>3.0000000000000001E-3</v>
      </c>
      <c r="AJ285" s="79">
        <v>0.1</v>
      </c>
      <c r="AK285" s="80" t="b">
        <f>IF(Tab.11[[#This Row],[a1]]=1,1)</f>
        <v>0</v>
      </c>
      <c r="AZ285"/>
    </row>
    <row r="286" spans="1:52" hidden="1" x14ac:dyDescent="0.25">
      <c r="A286" s="61">
        <f t="shared" si="11"/>
        <v>0</v>
      </c>
      <c r="B286" s="62">
        <f t="shared" si="11"/>
        <v>0</v>
      </c>
      <c r="C286" s="62" t="b">
        <f>IF(Tab.11[[#This Row],[a1]]=1,[3]!Tab_x1[[#This Row],[Name]])</f>
        <v>0</v>
      </c>
      <c r="D286" s="63" t="b">
        <f>IF(Tab.11[[#This Row],[a1]]=1,AO286)</f>
        <v>0</v>
      </c>
      <c r="E286" s="63">
        <f t="shared" si="10"/>
        <v>0</v>
      </c>
      <c r="F286" s="64" t="b">
        <f>IF(Tab.11[[#This Row],[a1]]=1,Tab.11[[#This Row],[b1]])</f>
        <v>0</v>
      </c>
      <c r="G286" s="65" t="b">
        <f>IF(Tab.11[[#This Row],[a1]]=1,IF(Tab.11[[#This Row],[b3]]&gt;$L$989*$G$3,$L$989*$G$3,IF(Tab.11[[#This Row],[b3]]&lt;$M$989*$G$3,$M$989*$G$3,Tab.11[[#This Row],[b3]])))</f>
        <v>0</v>
      </c>
      <c r="H286" s="66" t="b">
        <f>IF(Tab.11[[#This Row],[a1]]=1,Tab.11[[#This Row],[b1]])</f>
        <v>0</v>
      </c>
      <c r="I286" s="67" t="b">
        <f>IF(Tab.11[[#This Row],[a1]]=1,Tab.11[[#This Row],[b1]])</f>
        <v>0</v>
      </c>
      <c r="J286" s="68" t="b">
        <f>IF(Tab.11[[#This Row],[a1]]=1,IF($I$3&lt;0,Tab.11[[#This Row],[b5]]-$I$3,Tab.11[[#This Row],[b5]]))</f>
        <v>0</v>
      </c>
      <c r="K286" s="68" t="b">
        <f>IF(Tab.11[[#This Row],[a1]]=1,IF($K$3=0,Tab.11[b6],Tab.11[[#This Row],[b6]]-AVERAGE(Tab.11[b6])))</f>
        <v>0</v>
      </c>
      <c r="L286" s="69" t="b">
        <f>IF(Tab.11[[#This Row],[a1]]=1,Tab.11[[#This Row],[data]]/(_xlfn.STDEV.P(Tab.11[data])*$B$989)+$A$989)</f>
        <v>0</v>
      </c>
      <c r="M286" s="69" t="b">
        <f>IF(Tab.11[[#This Row],[a1]]=1,Tab.11[[#This Row],[data]]/(_xlfn.STDEV.P(Tab.11[data])*$B$987)-$A$987)</f>
        <v>0</v>
      </c>
      <c r="N286" s="69" t="b">
        <f>IF(Tab.11[[#This Row],[a1]]=1,Tab.11[[#This Row],[data]]/(_xlfn.STDEV.P(Tab.11[data])*$B$988)+$A$988)</f>
        <v>0</v>
      </c>
      <c r="O286" s="70" t="b">
        <f>IF(Tab.11[[#This Row],[a1]]=1,_xlfn.NORM.DIST(Tab.11[[#This Row],[b8]],$P$1,$Q$1,FALSE))</f>
        <v>0</v>
      </c>
      <c r="P286" s="70" t="b">
        <f>IF(Tab.11[[#This Row],[a1]]=1,_xlfn.NORM.DIST(Tab.11[[#This Row],[b9]],$P$1,$Q$1,FALSE))</f>
        <v>0</v>
      </c>
      <c r="Q286" s="70" t="b">
        <f>IF(Tab.11[[#This Row],[a1]]=1,_xlfn.NORM.DIST(Tab.11[[#This Row],[b10]],$P$1,$Q$1,FALSE))</f>
        <v>0</v>
      </c>
      <c r="R286" s="67" t="b">
        <f>IF(Tab.11[[#This Row],[a1]]=1,$I$3+$A$989+IF($K$3=0,Tab.11[[#This Row],[b8]]*_xlfn.STDEV.P(Tab.11[data]),AVERAGE(Tab.11[b6])+Tab.11[[#This Row],[b8]]*_xlfn.STDEV.P(Tab.11[data])))</f>
        <v>0</v>
      </c>
      <c r="S286" s="71" t="b">
        <f>IF(Tab.11[[#This Row],[a1]]=1,$I$3+$A$987+IF($K$3=0,Tab.11[[#This Row],[b9]]*_xlfn.STDEV.P(Tab.11[data]),AVERAGE(Tab.11[b6])+Tab.11[[#This Row],[b9]]*_xlfn.STDEV.P(Tab.11[data])))</f>
        <v>0</v>
      </c>
      <c r="T286" s="71" t="b">
        <f>IF(Tab.11[[#This Row],[a1]]=1,$I$3+$A$988+IF($K$3=0,Tab.11[[#This Row],[b10]]*_xlfn.STDEV.P(Tab.11[data]),AVERAGE(Tab.11[b6])+Tab.11[[#This Row],[b10]]*_xlfn.STDEV.P(Tab.11[data])))</f>
        <v>0</v>
      </c>
      <c r="U286" s="72" t="b">
        <f>IF(Tab.11[[#This Row],[a1]]=1,Tab.11[[#This Row],[target]]-Tab.11[[#This Row],[Red]])</f>
        <v>0</v>
      </c>
      <c r="V286" s="72" t="b">
        <f>IF(Tab.11[[#This Row],[a1]]=1,Tab.11[[#This Row],[target]]-Tab.11[[#This Row],[Blue]])</f>
        <v>0</v>
      </c>
      <c r="W286" s="73" t="b">
        <f>IF(Tab.11[[#This Row],[a1]]=1,IF(ABS(Tab.11[[#This Row],[b17]])+ABS(Tab.11[[#This Row],[b18]])&lt;$W$2,$W$2,ABS(Tab.11[[#This Row],[b17]])+ABS(Tab.11[[#This Row],[b18]])))</f>
        <v>0</v>
      </c>
      <c r="X286" s="136" t="b">
        <f>IF(Tab.11[[#This Row],[a1]]=1,IF($W$3&lt;0,Tab.11[[#This Row],[IN]]-$I$3,Tab.11[[#This Row],[IN]]))</f>
        <v>0</v>
      </c>
      <c r="Y286" s="136" t="b">
        <f>IF(Tab.11[[#This Row],[a1]]=1,IF($X$3=0,Tab.11[b66],Tab.11[[#This Row],[b66]]-AVERAGE(Tab.11[b66])))</f>
        <v>0</v>
      </c>
      <c r="Z286" s="135" t="b">
        <f>IF(Tab.11[[#This Row],[a1]]=1,Tab.11[[#This Row],[b77]]/(_xlfn.STDEV.P(Tab.11[b77])))</f>
        <v>0</v>
      </c>
      <c r="AA286" s="70" t="b">
        <f>IF(Tab.11[[#This Row],[a1]]=1,_xlfn.NORM.DIST(Tab.11[[#This Row],[b88]],$Z$1,$AA$1,FALSE))</f>
        <v>0</v>
      </c>
      <c r="AB286" s="74" t="b">
        <f>IF(Tab.11[[#This Row],[a1]]=1,IF($A$3=0,FALSE,1/Tab.11[[#This Row],[IN]]*$AC$2*IF(Tab.11[[#This Row],[a1]]=0,,$A$3*$AC$1*1/$V$3*(Tab.11[[#This Row],[b14]]))))</f>
        <v>0</v>
      </c>
      <c r="AC286" s="75" t="b">
        <f>IF(Tab.11[[#This Row],[a1]]=1,IF($AC$3=0,Tab.11[[#This Row],[φ1]],Tab.11[[#This Row],[φ1]]/MAX(Tab.11[φ1])))</f>
        <v>0</v>
      </c>
      <c r="AD286" s="74" t="b">
        <f>IF(Tab.11[[#This Row],[a1]]=1,1/Tab.11[[#This Row],[φ2]])</f>
        <v>0</v>
      </c>
      <c r="AE286" s="74" t="b">
        <f>IF(Tab.11[[#This Row],[a1]]=1,IF($AE$3=0,Tab.11[[#This Row],[w.0]],Tab.11[[#This Row],[w.0]]/SUM(Tab.11[w.0])))</f>
        <v>0</v>
      </c>
      <c r="AF286" s="76" t="str">
        <f>IF(Tab.11[[#This Row],[a1]]=0,"false",[3]!Tab.x5[[#This Row],[%_seN_C]])</f>
        <v>false</v>
      </c>
      <c r="AG286" s="77" t="b">
        <f>IF(Tab.11[[#This Row],[a1]]=1,AP286)</f>
        <v>0</v>
      </c>
      <c r="AH286" s="78" t="b">
        <f>IF(Tab.11[[#This Row],[a1]]=1,AQ286)</f>
        <v>0</v>
      </c>
      <c r="AI286" s="41">
        <v>3.0000000000000001E-3</v>
      </c>
      <c r="AJ286" s="79">
        <v>-0.09</v>
      </c>
      <c r="AK286" s="80" t="b">
        <f>IF(Tab.11[[#This Row],[a1]]=1,1)</f>
        <v>0</v>
      </c>
      <c r="AZ286"/>
    </row>
    <row r="287" spans="1:52" hidden="1" x14ac:dyDescent="0.25">
      <c r="A287" s="61">
        <f t="shared" si="11"/>
        <v>0</v>
      </c>
      <c r="B287" s="62">
        <f t="shared" si="11"/>
        <v>0</v>
      </c>
      <c r="C287" s="62" t="b">
        <f>IF(Tab.11[[#This Row],[a1]]=1,[3]!Tab_x1[[#This Row],[Name]])</f>
        <v>0</v>
      </c>
      <c r="D287" s="63" t="b">
        <f>IF(Tab.11[[#This Row],[a1]]=1,AO287)</f>
        <v>0</v>
      </c>
      <c r="E287" s="63">
        <f t="shared" si="10"/>
        <v>0</v>
      </c>
      <c r="F287" s="64" t="b">
        <f>IF(Tab.11[[#This Row],[a1]]=1,Tab.11[[#This Row],[b1]])</f>
        <v>0</v>
      </c>
      <c r="G287" s="65" t="b">
        <f>IF(Tab.11[[#This Row],[a1]]=1,IF(Tab.11[[#This Row],[b3]]&gt;$L$989*$G$3,$L$989*$G$3,IF(Tab.11[[#This Row],[b3]]&lt;$M$989*$G$3,$M$989*$G$3,Tab.11[[#This Row],[b3]])))</f>
        <v>0</v>
      </c>
      <c r="H287" s="66" t="b">
        <f>IF(Tab.11[[#This Row],[a1]]=1,Tab.11[[#This Row],[b1]])</f>
        <v>0</v>
      </c>
      <c r="I287" s="67" t="b">
        <f>IF(Tab.11[[#This Row],[a1]]=1,Tab.11[[#This Row],[b1]])</f>
        <v>0</v>
      </c>
      <c r="J287" s="68" t="b">
        <f>IF(Tab.11[[#This Row],[a1]]=1,IF($I$3&lt;0,Tab.11[[#This Row],[b5]]-$I$3,Tab.11[[#This Row],[b5]]))</f>
        <v>0</v>
      </c>
      <c r="K287" s="68" t="b">
        <f>IF(Tab.11[[#This Row],[a1]]=1,IF($K$3=0,Tab.11[b6],Tab.11[[#This Row],[b6]]-AVERAGE(Tab.11[b6])))</f>
        <v>0</v>
      </c>
      <c r="L287" s="69" t="b">
        <f>IF(Tab.11[[#This Row],[a1]]=1,Tab.11[[#This Row],[data]]/(_xlfn.STDEV.P(Tab.11[data])*$B$989)+$A$989)</f>
        <v>0</v>
      </c>
      <c r="M287" s="69" t="b">
        <f>IF(Tab.11[[#This Row],[a1]]=1,Tab.11[[#This Row],[data]]/(_xlfn.STDEV.P(Tab.11[data])*$B$987)-$A$987)</f>
        <v>0</v>
      </c>
      <c r="N287" s="69" t="b">
        <f>IF(Tab.11[[#This Row],[a1]]=1,Tab.11[[#This Row],[data]]/(_xlfn.STDEV.P(Tab.11[data])*$B$988)+$A$988)</f>
        <v>0</v>
      </c>
      <c r="O287" s="70" t="b">
        <f>IF(Tab.11[[#This Row],[a1]]=1,_xlfn.NORM.DIST(Tab.11[[#This Row],[b8]],$P$1,$Q$1,FALSE))</f>
        <v>0</v>
      </c>
      <c r="P287" s="70" t="b">
        <f>IF(Tab.11[[#This Row],[a1]]=1,_xlfn.NORM.DIST(Tab.11[[#This Row],[b9]],$P$1,$Q$1,FALSE))</f>
        <v>0</v>
      </c>
      <c r="Q287" s="70" t="b">
        <f>IF(Tab.11[[#This Row],[a1]]=1,_xlfn.NORM.DIST(Tab.11[[#This Row],[b10]],$P$1,$Q$1,FALSE))</f>
        <v>0</v>
      </c>
      <c r="R287" s="67" t="b">
        <f>IF(Tab.11[[#This Row],[a1]]=1,$I$3+$A$989+IF($K$3=0,Tab.11[[#This Row],[b8]]*_xlfn.STDEV.P(Tab.11[data]),AVERAGE(Tab.11[b6])+Tab.11[[#This Row],[b8]]*_xlfn.STDEV.P(Tab.11[data])))</f>
        <v>0</v>
      </c>
      <c r="S287" s="71" t="b">
        <f>IF(Tab.11[[#This Row],[a1]]=1,$I$3+$A$987+IF($K$3=0,Tab.11[[#This Row],[b9]]*_xlfn.STDEV.P(Tab.11[data]),AVERAGE(Tab.11[b6])+Tab.11[[#This Row],[b9]]*_xlfn.STDEV.P(Tab.11[data])))</f>
        <v>0</v>
      </c>
      <c r="T287" s="71" t="b">
        <f>IF(Tab.11[[#This Row],[a1]]=1,$I$3+$A$988+IF($K$3=0,Tab.11[[#This Row],[b10]]*_xlfn.STDEV.P(Tab.11[data]),AVERAGE(Tab.11[b6])+Tab.11[[#This Row],[b10]]*_xlfn.STDEV.P(Tab.11[data])))</f>
        <v>0</v>
      </c>
      <c r="U287" s="72" t="b">
        <f>IF(Tab.11[[#This Row],[a1]]=1,Tab.11[[#This Row],[target]]-Tab.11[[#This Row],[Red]])</f>
        <v>0</v>
      </c>
      <c r="V287" s="72" t="b">
        <f>IF(Tab.11[[#This Row],[a1]]=1,Tab.11[[#This Row],[target]]-Tab.11[[#This Row],[Blue]])</f>
        <v>0</v>
      </c>
      <c r="W287" s="73" t="b">
        <f>IF(Tab.11[[#This Row],[a1]]=1,IF(ABS(Tab.11[[#This Row],[b17]])+ABS(Tab.11[[#This Row],[b18]])&lt;$W$2,$W$2,ABS(Tab.11[[#This Row],[b17]])+ABS(Tab.11[[#This Row],[b18]])))</f>
        <v>0</v>
      </c>
      <c r="X287" s="136" t="b">
        <f>IF(Tab.11[[#This Row],[a1]]=1,IF($W$3&lt;0,Tab.11[[#This Row],[IN]]-$I$3,Tab.11[[#This Row],[IN]]))</f>
        <v>0</v>
      </c>
      <c r="Y287" s="136" t="b">
        <f>IF(Tab.11[[#This Row],[a1]]=1,IF($X$3=0,Tab.11[b66],Tab.11[[#This Row],[b66]]-AVERAGE(Tab.11[b66])))</f>
        <v>0</v>
      </c>
      <c r="Z287" s="135" t="b">
        <f>IF(Tab.11[[#This Row],[a1]]=1,Tab.11[[#This Row],[b77]]/(_xlfn.STDEV.P(Tab.11[b77])))</f>
        <v>0</v>
      </c>
      <c r="AA287" s="70" t="b">
        <f>IF(Tab.11[[#This Row],[a1]]=1,_xlfn.NORM.DIST(Tab.11[[#This Row],[b88]],$Z$1,$AA$1,FALSE))</f>
        <v>0</v>
      </c>
      <c r="AB287" s="74" t="b">
        <f>IF(Tab.11[[#This Row],[a1]]=1,IF($A$3=0,FALSE,1/Tab.11[[#This Row],[IN]]*$AC$2*IF(Tab.11[[#This Row],[a1]]=0,,$A$3*$AC$1*1/$V$3*(Tab.11[[#This Row],[b14]]))))</f>
        <v>0</v>
      </c>
      <c r="AC287" s="75" t="b">
        <f>IF(Tab.11[[#This Row],[a1]]=1,IF($AC$3=0,Tab.11[[#This Row],[φ1]],Tab.11[[#This Row],[φ1]]/MAX(Tab.11[φ1])))</f>
        <v>0</v>
      </c>
      <c r="AD287" s="74" t="b">
        <f>IF(Tab.11[[#This Row],[a1]]=1,1/Tab.11[[#This Row],[φ2]])</f>
        <v>0</v>
      </c>
      <c r="AE287" s="74" t="b">
        <f>IF(Tab.11[[#This Row],[a1]]=1,IF($AE$3=0,Tab.11[[#This Row],[w.0]],Tab.11[[#This Row],[w.0]]/SUM(Tab.11[w.0])))</f>
        <v>0</v>
      </c>
      <c r="AF287" s="76" t="str">
        <f>IF(Tab.11[[#This Row],[a1]]=0,"false",[3]!Tab.x5[[#This Row],[%_seN_C]])</f>
        <v>false</v>
      </c>
      <c r="AG287" s="77" t="b">
        <f>IF(Tab.11[[#This Row],[a1]]=1,AP287)</f>
        <v>0</v>
      </c>
      <c r="AH287" s="78" t="b">
        <f>IF(Tab.11[[#This Row],[a1]]=1,AQ287)</f>
        <v>0</v>
      </c>
      <c r="AI287" s="41">
        <v>3.0000000000000001E-3</v>
      </c>
      <c r="AJ287" s="79">
        <v>0</v>
      </c>
      <c r="AK287" s="80" t="b">
        <f>IF(Tab.11[[#This Row],[a1]]=1,1)</f>
        <v>0</v>
      </c>
      <c r="AZ287"/>
    </row>
    <row r="288" spans="1:52" hidden="1" x14ac:dyDescent="0.25">
      <c r="A288" s="61">
        <f t="shared" si="11"/>
        <v>0</v>
      </c>
      <c r="B288" s="62">
        <f t="shared" si="11"/>
        <v>0</v>
      </c>
      <c r="C288" s="62" t="b">
        <f>IF(Tab.11[[#This Row],[a1]]=1,[3]!Tab_x1[[#This Row],[Name]])</f>
        <v>0</v>
      </c>
      <c r="D288" s="63" t="b">
        <f>IF(Tab.11[[#This Row],[a1]]=1,AO288)</f>
        <v>0</v>
      </c>
      <c r="E288" s="63">
        <f t="shared" si="10"/>
        <v>0</v>
      </c>
      <c r="F288" s="64" t="b">
        <f>IF(Tab.11[[#This Row],[a1]]=1,Tab.11[[#This Row],[b1]])</f>
        <v>0</v>
      </c>
      <c r="G288" s="65" t="b">
        <f>IF(Tab.11[[#This Row],[a1]]=1,IF(Tab.11[[#This Row],[b3]]&gt;$L$989*$G$3,$L$989*$G$3,IF(Tab.11[[#This Row],[b3]]&lt;$M$989*$G$3,$M$989*$G$3,Tab.11[[#This Row],[b3]])))</f>
        <v>0</v>
      </c>
      <c r="H288" s="66" t="b">
        <f>IF(Tab.11[[#This Row],[a1]]=1,Tab.11[[#This Row],[b1]])</f>
        <v>0</v>
      </c>
      <c r="I288" s="67" t="b">
        <f>IF(Tab.11[[#This Row],[a1]]=1,Tab.11[[#This Row],[b1]])</f>
        <v>0</v>
      </c>
      <c r="J288" s="68" t="b">
        <f>IF(Tab.11[[#This Row],[a1]]=1,IF($I$3&lt;0,Tab.11[[#This Row],[b5]]-$I$3,Tab.11[[#This Row],[b5]]))</f>
        <v>0</v>
      </c>
      <c r="K288" s="68" t="b">
        <f>IF(Tab.11[[#This Row],[a1]]=1,IF($K$3=0,Tab.11[b6],Tab.11[[#This Row],[b6]]-AVERAGE(Tab.11[b6])))</f>
        <v>0</v>
      </c>
      <c r="L288" s="69" t="b">
        <f>IF(Tab.11[[#This Row],[a1]]=1,Tab.11[[#This Row],[data]]/(_xlfn.STDEV.P(Tab.11[data])*$B$989)+$A$989)</f>
        <v>0</v>
      </c>
      <c r="M288" s="69" t="b">
        <f>IF(Tab.11[[#This Row],[a1]]=1,Tab.11[[#This Row],[data]]/(_xlfn.STDEV.P(Tab.11[data])*$B$987)-$A$987)</f>
        <v>0</v>
      </c>
      <c r="N288" s="69" t="b">
        <f>IF(Tab.11[[#This Row],[a1]]=1,Tab.11[[#This Row],[data]]/(_xlfn.STDEV.P(Tab.11[data])*$B$988)+$A$988)</f>
        <v>0</v>
      </c>
      <c r="O288" s="70" t="b">
        <f>IF(Tab.11[[#This Row],[a1]]=1,_xlfn.NORM.DIST(Tab.11[[#This Row],[b8]],$P$1,$Q$1,FALSE))</f>
        <v>0</v>
      </c>
      <c r="P288" s="70" t="b">
        <f>IF(Tab.11[[#This Row],[a1]]=1,_xlfn.NORM.DIST(Tab.11[[#This Row],[b9]],$P$1,$Q$1,FALSE))</f>
        <v>0</v>
      </c>
      <c r="Q288" s="70" t="b">
        <f>IF(Tab.11[[#This Row],[a1]]=1,_xlfn.NORM.DIST(Tab.11[[#This Row],[b10]],$P$1,$Q$1,FALSE))</f>
        <v>0</v>
      </c>
      <c r="R288" s="67" t="b">
        <f>IF(Tab.11[[#This Row],[a1]]=1,$I$3+$A$989+IF($K$3=0,Tab.11[[#This Row],[b8]]*_xlfn.STDEV.P(Tab.11[data]),AVERAGE(Tab.11[b6])+Tab.11[[#This Row],[b8]]*_xlfn.STDEV.P(Tab.11[data])))</f>
        <v>0</v>
      </c>
      <c r="S288" s="71" t="b">
        <f>IF(Tab.11[[#This Row],[a1]]=1,$I$3+$A$987+IF($K$3=0,Tab.11[[#This Row],[b9]]*_xlfn.STDEV.P(Tab.11[data]),AVERAGE(Tab.11[b6])+Tab.11[[#This Row],[b9]]*_xlfn.STDEV.P(Tab.11[data])))</f>
        <v>0</v>
      </c>
      <c r="T288" s="71" t="b">
        <f>IF(Tab.11[[#This Row],[a1]]=1,$I$3+$A$988+IF($K$3=0,Tab.11[[#This Row],[b10]]*_xlfn.STDEV.P(Tab.11[data]),AVERAGE(Tab.11[b6])+Tab.11[[#This Row],[b10]]*_xlfn.STDEV.P(Tab.11[data])))</f>
        <v>0</v>
      </c>
      <c r="U288" s="72" t="b">
        <f>IF(Tab.11[[#This Row],[a1]]=1,Tab.11[[#This Row],[target]]-Tab.11[[#This Row],[Red]])</f>
        <v>0</v>
      </c>
      <c r="V288" s="72" t="b">
        <f>IF(Tab.11[[#This Row],[a1]]=1,Tab.11[[#This Row],[target]]-Tab.11[[#This Row],[Blue]])</f>
        <v>0</v>
      </c>
      <c r="W288" s="73" t="b">
        <f>IF(Tab.11[[#This Row],[a1]]=1,IF(ABS(Tab.11[[#This Row],[b17]])+ABS(Tab.11[[#This Row],[b18]])&lt;$W$2,$W$2,ABS(Tab.11[[#This Row],[b17]])+ABS(Tab.11[[#This Row],[b18]])))</f>
        <v>0</v>
      </c>
      <c r="X288" s="136" t="b">
        <f>IF(Tab.11[[#This Row],[a1]]=1,IF($W$3&lt;0,Tab.11[[#This Row],[IN]]-$I$3,Tab.11[[#This Row],[IN]]))</f>
        <v>0</v>
      </c>
      <c r="Y288" s="136" t="b">
        <f>IF(Tab.11[[#This Row],[a1]]=1,IF($X$3=0,Tab.11[b66],Tab.11[[#This Row],[b66]]-AVERAGE(Tab.11[b66])))</f>
        <v>0</v>
      </c>
      <c r="Z288" s="135" t="b">
        <f>IF(Tab.11[[#This Row],[a1]]=1,Tab.11[[#This Row],[b77]]/(_xlfn.STDEV.P(Tab.11[b77])))</f>
        <v>0</v>
      </c>
      <c r="AA288" s="70" t="b">
        <f>IF(Tab.11[[#This Row],[a1]]=1,_xlfn.NORM.DIST(Tab.11[[#This Row],[b88]],$Z$1,$AA$1,FALSE))</f>
        <v>0</v>
      </c>
      <c r="AB288" s="74" t="b">
        <f>IF(Tab.11[[#This Row],[a1]]=1,IF($A$3=0,FALSE,1/Tab.11[[#This Row],[IN]]*$AC$2*IF(Tab.11[[#This Row],[a1]]=0,,$A$3*$AC$1*1/$V$3*(Tab.11[[#This Row],[b14]]))))</f>
        <v>0</v>
      </c>
      <c r="AC288" s="75" t="b">
        <f>IF(Tab.11[[#This Row],[a1]]=1,IF($AC$3=0,Tab.11[[#This Row],[φ1]],Tab.11[[#This Row],[φ1]]/MAX(Tab.11[φ1])))</f>
        <v>0</v>
      </c>
      <c r="AD288" s="74" t="b">
        <f>IF(Tab.11[[#This Row],[a1]]=1,1/Tab.11[[#This Row],[φ2]])</f>
        <v>0</v>
      </c>
      <c r="AE288" s="74" t="b">
        <f>IF(Tab.11[[#This Row],[a1]]=1,IF($AE$3=0,Tab.11[[#This Row],[w.0]],Tab.11[[#This Row],[w.0]]/SUM(Tab.11[w.0])))</f>
        <v>0</v>
      </c>
      <c r="AF288" s="76" t="str">
        <f>IF(Tab.11[[#This Row],[a1]]=0,"false",[3]!Tab.x5[[#This Row],[%_seN_C]])</f>
        <v>false</v>
      </c>
      <c r="AG288" s="77" t="b">
        <f>IF(Tab.11[[#This Row],[a1]]=1,AP288)</f>
        <v>0</v>
      </c>
      <c r="AH288" s="78" t="b">
        <f>IF(Tab.11[[#This Row],[a1]]=1,AQ288)</f>
        <v>0</v>
      </c>
      <c r="AI288" s="41">
        <v>3.0000000000000001E-3</v>
      </c>
      <c r="AJ288" s="79">
        <v>-0.09</v>
      </c>
      <c r="AK288" s="80" t="b">
        <f>IF(Tab.11[[#This Row],[a1]]=1,1)</f>
        <v>0</v>
      </c>
      <c r="AZ288"/>
    </row>
    <row r="289" spans="1:52" hidden="1" x14ac:dyDescent="0.25">
      <c r="A289" s="61">
        <f t="shared" si="11"/>
        <v>0</v>
      </c>
      <c r="B289" s="62">
        <f t="shared" si="11"/>
        <v>0</v>
      </c>
      <c r="C289" s="62" t="b">
        <f>IF(Tab.11[[#This Row],[a1]]=1,[3]!Tab_x1[[#This Row],[Name]])</f>
        <v>0</v>
      </c>
      <c r="D289" s="63" t="b">
        <f>IF(Tab.11[[#This Row],[a1]]=1,AO289)</f>
        <v>0</v>
      </c>
      <c r="E289" s="63">
        <f t="shared" si="10"/>
        <v>0</v>
      </c>
      <c r="F289" s="64" t="b">
        <f>IF(Tab.11[[#This Row],[a1]]=1,Tab.11[[#This Row],[b1]])</f>
        <v>0</v>
      </c>
      <c r="G289" s="65" t="b">
        <f>IF(Tab.11[[#This Row],[a1]]=1,IF(Tab.11[[#This Row],[b3]]&gt;$L$989*$G$3,$L$989*$G$3,IF(Tab.11[[#This Row],[b3]]&lt;$M$989*$G$3,$M$989*$G$3,Tab.11[[#This Row],[b3]])))</f>
        <v>0</v>
      </c>
      <c r="H289" s="66" t="b">
        <f>IF(Tab.11[[#This Row],[a1]]=1,Tab.11[[#This Row],[b1]])</f>
        <v>0</v>
      </c>
      <c r="I289" s="67" t="b">
        <f>IF(Tab.11[[#This Row],[a1]]=1,Tab.11[[#This Row],[b1]])</f>
        <v>0</v>
      </c>
      <c r="J289" s="68" t="b">
        <f>IF(Tab.11[[#This Row],[a1]]=1,IF($I$3&lt;0,Tab.11[[#This Row],[b5]]-$I$3,Tab.11[[#This Row],[b5]]))</f>
        <v>0</v>
      </c>
      <c r="K289" s="68" t="b">
        <f>IF(Tab.11[[#This Row],[a1]]=1,IF($K$3=0,Tab.11[b6],Tab.11[[#This Row],[b6]]-AVERAGE(Tab.11[b6])))</f>
        <v>0</v>
      </c>
      <c r="L289" s="69" t="b">
        <f>IF(Tab.11[[#This Row],[a1]]=1,Tab.11[[#This Row],[data]]/(_xlfn.STDEV.P(Tab.11[data])*$B$989)+$A$989)</f>
        <v>0</v>
      </c>
      <c r="M289" s="69" t="b">
        <f>IF(Tab.11[[#This Row],[a1]]=1,Tab.11[[#This Row],[data]]/(_xlfn.STDEV.P(Tab.11[data])*$B$987)-$A$987)</f>
        <v>0</v>
      </c>
      <c r="N289" s="69" t="b">
        <f>IF(Tab.11[[#This Row],[a1]]=1,Tab.11[[#This Row],[data]]/(_xlfn.STDEV.P(Tab.11[data])*$B$988)+$A$988)</f>
        <v>0</v>
      </c>
      <c r="O289" s="70" t="b">
        <f>IF(Tab.11[[#This Row],[a1]]=1,_xlfn.NORM.DIST(Tab.11[[#This Row],[b8]],$P$1,$Q$1,FALSE))</f>
        <v>0</v>
      </c>
      <c r="P289" s="70" t="b">
        <f>IF(Tab.11[[#This Row],[a1]]=1,_xlfn.NORM.DIST(Tab.11[[#This Row],[b9]],$P$1,$Q$1,FALSE))</f>
        <v>0</v>
      </c>
      <c r="Q289" s="70" t="b">
        <f>IF(Tab.11[[#This Row],[a1]]=1,_xlfn.NORM.DIST(Tab.11[[#This Row],[b10]],$P$1,$Q$1,FALSE))</f>
        <v>0</v>
      </c>
      <c r="R289" s="67" t="b">
        <f>IF(Tab.11[[#This Row],[a1]]=1,$I$3+$A$989+IF($K$3=0,Tab.11[[#This Row],[b8]]*_xlfn.STDEV.P(Tab.11[data]),AVERAGE(Tab.11[b6])+Tab.11[[#This Row],[b8]]*_xlfn.STDEV.P(Tab.11[data])))</f>
        <v>0</v>
      </c>
      <c r="S289" s="71" t="b">
        <f>IF(Tab.11[[#This Row],[a1]]=1,$I$3+$A$987+IF($K$3=0,Tab.11[[#This Row],[b9]]*_xlfn.STDEV.P(Tab.11[data]),AVERAGE(Tab.11[b6])+Tab.11[[#This Row],[b9]]*_xlfn.STDEV.P(Tab.11[data])))</f>
        <v>0</v>
      </c>
      <c r="T289" s="71" t="b">
        <f>IF(Tab.11[[#This Row],[a1]]=1,$I$3+$A$988+IF($K$3=0,Tab.11[[#This Row],[b10]]*_xlfn.STDEV.P(Tab.11[data]),AVERAGE(Tab.11[b6])+Tab.11[[#This Row],[b10]]*_xlfn.STDEV.P(Tab.11[data])))</f>
        <v>0</v>
      </c>
      <c r="U289" s="72" t="b">
        <f>IF(Tab.11[[#This Row],[a1]]=1,Tab.11[[#This Row],[target]]-Tab.11[[#This Row],[Red]])</f>
        <v>0</v>
      </c>
      <c r="V289" s="72" t="b">
        <f>IF(Tab.11[[#This Row],[a1]]=1,Tab.11[[#This Row],[target]]-Tab.11[[#This Row],[Blue]])</f>
        <v>0</v>
      </c>
      <c r="W289" s="73" t="b">
        <f>IF(Tab.11[[#This Row],[a1]]=1,IF(ABS(Tab.11[[#This Row],[b17]])+ABS(Tab.11[[#This Row],[b18]])&lt;$W$2,$W$2,ABS(Tab.11[[#This Row],[b17]])+ABS(Tab.11[[#This Row],[b18]])))</f>
        <v>0</v>
      </c>
      <c r="X289" s="136" t="b">
        <f>IF(Tab.11[[#This Row],[a1]]=1,IF($W$3&lt;0,Tab.11[[#This Row],[IN]]-$I$3,Tab.11[[#This Row],[IN]]))</f>
        <v>0</v>
      </c>
      <c r="Y289" s="136" t="b">
        <f>IF(Tab.11[[#This Row],[a1]]=1,IF($X$3=0,Tab.11[b66],Tab.11[[#This Row],[b66]]-AVERAGE(Tab.11[b66])))</f>
        <v>0</v>
      </c>
      <c r="Z289" s="135" t="b">
        <f>IF(Tab.11[[#This Row],[a1]]=1,Tab.11[[#This Row],[b77]]/(_xlfn.STDEV.P(Tab.11[b77])))</f>
        <v>0</v>
      </c>
      <c r="AA289" s="70" t="b">
        <f>IF(Tab.11[[#This Row],[a1]]=1,_xlfn.NORM.DIST(Tab.11[[#This Row],[b88]],$Z$1,$AA$1,FALSE))</f>
        <v>0</v>
      </c>
      <c r="AB289" s="74" t="b">
        <f>IF(Tab.11[[#This Row],[a1]]=1,IF($A$3=0,FALSE,1/Tab.11[[#This Row],[IN]]*$AC$2*IF(Tab.11[[#This Row],[a1]]=0,,$A$3*$AC$1*1/$V$3*(Tab.11[[#This Row],[b14]]))))</f>
        <v>0</v>
      </c>
      <c r="AC289" s="75" t="b">
        <f>IF(Tab.11[[#This Row],[a1]]=1,IF($AC$3=0,Tab.11[[#This Row],[φ1]],Tab.11[[#This Row],[φ1]]/MAX(Tab.11[φ1])))</f>
        <v>0</v>
      </c>
      <c r="AD289" s="74" t="b">
        <f>IF(Tab.11[[#This Row],[a1]]=1,1/Tab.11[[#This Row],[φ2]])</f>
        <v>0</v>
      </c>
      <c r="AE289" s="74" t="b">
        <f>IF(Tab.11[[#This Row],[a1]]=1,IF($AE$3=0,Tab.11[[#This Row],[w.0]],Tab.11[[#This Row],[w.0]]/SUM(Tab.11[w.0])))</f>
        <v>0</v>
      </c>
      <c r="AF289" s="76" t="str">
        <f>IF(Tab.11[[#This Row],[a1]]=0,"false",[3]!Tab.x5[[#This Row],[%_seN_C]])</f>
        <v>false</v>
      </c>
      <c r="AG289" s="77" t="b">
        <f>IF(Tab.11[[#This Row],[a1]]=1,AP289)</f>
        <v>0</v>
      </c>
      <c r="AH289" s="78" t="b">
        <f>IF(Tab.11[[#This Row],[a1]]=1,AQ289)</f>
        <v>0</v>
      </c>
      <c r="AI289" s="41">
        <v>3.0000000000000001E-3</v>
      </c>
      <c r="AJ289" s="79">
        <v>-0.05</v>
      </c>
      <c r="AK289" s="80" t="b">
        <f>IF(Tab.11[[#This Row],[a1]]=1,1)</f>
        <v>0</v>
      </c>
      <c r="AZ289"/>
    </row>
    <row r="290" spans="1:52" hidden="1" x14ac:dyDescent="0.25">
      <c r="A290" s="61">
        <f t="shared" si="11"/>
        <v>0</v>
      </c>
      <c r="B290" s="62">
        <f t="shared" si="11"/>
        <v>0</v>
      </c>
      <c r="C290" s="62" t="b">
        <f>IF(Tab.11[[#This Row],[a1]]=1,[3]!Tab_x1[[#This Row],[Name]])</f>
        <v>0</v>
      </c>
      <c r="D290" s="63" t="b">
        <f>IF(Tab.11[[#This Row],[a1]]=1,AO290)</f>
        <v>0</v>
      </c>
      <c r="E290" s="63">
        <f t="shared" si="10"/>
        <v>0</v>
      </c>
      <c r="F290" s="64" t="b">
        <f>IF(Tab.11[[#This Row],[a1]]=1,Tab.11[[#This Row],[b1]])</f>
        <v>0</v>
      </c>
      <c r="G290" s="65" t="b">
        <f>IF(Tab.11[[#This Row],[a1]]=1,IF(Tab.11[[#This Row],[b3]]&gt;$L$989*$G$3,$L$989*$G$3,IF(Tab.11[[#This Row],[b3]]&lt;$M$989*$G$3,$M$989*$G$3,Tab.11[[#This Row],[b3]])))</f>
        <v>0</v>
      </c>
      <c r="H290" s="66" t="b">
        <f>IF(Tab.11[[#This Row],[a1]]=1,Tab.11[[#This Row],[b1]])</f>
        <v>0</v>
      </c>
      <c r="I290" s="67" t="b">
        <f>IF(Tab.11[[#This Row],[a1]]=1,Tab.11[[#This Row],[b1]])</f>
        <v>0</v>
      </c>
      <c r="J290" s="68" t="b">
        <f>IF(Tab.11[[#This Row],[a1]]=1,IF($I$3&lt;0,Tab.11[[#This Row],[b5]]-$I$3,Tab.11[[#This Row],[b5]]))</f>
        <v>0</v>
      </c>
      <c r="K290" s="68" t="b">
        <f>IF(Tab.11[[#This Row],[a1]]=1,IF($K$3=0,Tab.11[b6],Tab.11[[#This Row],[b6]]-AVERAGE(Tab.11[b6])))</f>
        <v>0</v>
      </c>
      <c r="L290" s="69" t="b">
        <f>IF(Tab.11[[#This Row],[a1]]=1,Tab.11[[#This Row],[data]]/(_xlfn.STDEV.P(Tab.11[data])*$B$989)+$A$989)</f>
        <v>0</v>
      </c>
      <c r="M290" s="69" t="b">
        <f>IF(Tab.11[[#This Row],[a1]]=1,Tab.11[[#This Row],[data]]/(_xlfn.STDEV.P(Tab.11[data])*$B$987)-$A$987)</f>
        <v>0</v>
      </c>
      <c r="N290" s="69" t="b">
        <f>IF(Tab.11[[#This Row],[a1]]=1,Tab.11[[#This Row],[data]]/(_xlfn.STDEV.P(Tab.11[data])*$B$988)+$A$988)</f>
        <v>0</v>
      </c>
      <c r="O290" s="70" t="b">
        <f>IF(Tab.11[[#This Row],[a1]]=1,_xlfn.NORM.DIST(Tab.11[[#This Row],[b8]],$P$1,$Q$1,FALSE))</f>
        <v>0</v>
      </c>
      <c r="P290" s="70" t="b">
        <f>IF(Tab.11[[#This Row],[a1]]=1,_xlfn.NORM.DIST(Tab.11[[#This Row],[b9]],$P$1,$Q$1,FALSE))</f>
        <v>0</v>
      </c>
      <c r="Q290" s="70" t="b">
        <f>IF(Tab.11[[#This Row],[a1]]=1,_xlfn.NORM.DIST(Tab.11[[#This Row],[b10]],$P$1,$Q$1,FALSE))</f>
        <v>0</v>
      </c>
      <c r="R290" s="67" t="b">
        <f>IF(Tab.11[[#This Row],[a1]]=1,$I$3+$A$989+IF($K$3=0,Tab.11[[#This Row],[b8]]*_xlfn.STDEV.P(Tab.11[data]),AVERAGE(Tab.11[b6])+Tab.11[[#This Row],[b8]]*_xlfn.STDEV.P(Tab.11[data])))</f>
        <v>0</v>
      </c>
      <c r="S290" s="71" t="b">
        <f>IF(Tab.11[[#This Row],[a1]]=1,$I$3+$A$987+IF($K$3=0,Tab.11[[#This Row],[b9]]*_xlfn.STDEV.P(Tab.11[data]),AVERAGE(Tab.11[b6])+Tab.11[[#This Row],[b9]]*_xlfn.STDEV.P(Tab.11[data])))</f>
        <v>0</v>
      </c>
      <c r="T290" s="71" t="b">
        <f>IF(Tab.11[[#This Row],[a1]]=1,$I$3+$A$988+IF($K$3=0,Tab.11[[#This Row],[b10]]*_xlfn.STDEV.P(Tab.11[data]),AVERAGE(Tab.11[b6])+Tab.11[[#This Row],[b10]]*_xlfn.STDEV.P(Tab.11[data])))</f>
        <v>0</v>
      </c>
      <c r="U290" s="72" t="b">
        <f>IF(Tab.11[[#This Row],[a1]]=1,Tab.11[[#This Row],[target]]-Tab.11[[#This Row],[Red]])</f>
        <v>0</v>
      </c>
      <c r="V290" s="72" t="b">
        <f>IF(Tab.11[[#This Row],[a1]]=1,Tab.11[[#This Row],[target]]-Tab.11[[#This Row],[Blue]])</f>
        <v>0</v>
      </c>
      <c r="W290" s="73" t="b">
        <f>IF(Tab.11[[#This Row],[a1]]=1,IF(ABS(Tab.11[[#This Row],[b17]])+ABS(Tab.11[[#This Row],[b18]])&lt;$W$2,$W$2,ABS(Tab.11[[#This Row],[b17]])+ABS(Tab.11[[#This Row],[b18]])))</f>
        <v>0</v>
      </c>
      <c r="X290" s="136" t="b">
        <f>IF(Tab.11[[#This Row],[a1]]=1,IF($W$3&lt;0,Tab.11[[#This Row],[IN]]-$I$3,Tab.11[[#This Row],[IN]]))</f>
        <v>0</v>
      </c>
      <c r="Y290" s="136" t="b">
        <f>IF(Tab.11[[#This Row],[a1]]=1,IF($X$3=0,Tab.11[b66],Tab.11[[#This Row],[b66]]-AVERAGE(Tab.11[b66])))</f>
        <v>0</v>
      </c>
      <c r="Z290" s="135" t="b">
        <f>IF(Tab.11[[#This Row],[a1]]=1,Tab.11[[#This Row],[b77]]/(_xlfn.STDEV.P(Tab.11[b77])))</f>
        <v>0</v>
      </c>
      <c r="AA290" s="70" t="b">
        <f>IF(Tab.11[[#This Row],[a1]]=1,_xlfn.NORM.DIST(Tab.11[[#This Row],[b88]],$Z$1,$AA$1,FALSE))</f>
        <v>0</v>
      </c>
      <c r="AB290" s="74" t="b">
        <f>IF(Tab.11[[#This Row],[a1]]=1,IF($A$3=0,FALSE,1/Tab.11[[#This Row],[IN]]*$AC$2*IF(Tab.11[[#This Row],[a1]]=0,,$A$3*$AC$1*1/$V$3*(Tab.11[[#This Row],[b14]]))))</f>
        <v>0</v>
      </c>
      <c r="AC290" s="75" t="b">
        <f>IF(Tab.11[[#This Row],[a1]]=1,IF($AC$3=0,Tab.11[[#This Row],[φ1]],Tab.11[[#This Row],[φ1]]/MAX(Tab.11[φ1])))</f>
        <v>0</v>
      </c>
      <c r="AD290" s="74" t="b">
        <f>IF(Tab.11[[#This Row],[a1]]=1,1/Tab.11[[#This Row],[φ2]])</f>
        <v>0</v>
      </c>
      <c r="AE290" s="74" t="b">
        <f>IF(Tab.11[[#This Row],[a1]]=1,IF($AE$3=0,Tab.11[[#This Row],[w.0]],Tab.11[[#This Row],[w.0]]/SUM(Tab.11[w.0])))</f>
        <v>0</v>
      </c>
      <c r="AF290" s="76" t="str">
        <f>IF(Tab.11[[#This Row],[a1]]=0,"false",[3]!Tab.x5[[#This Row],[%_seN_C]])</f>
        <v>false</v>
      </c>
      <c r="AG290" s="77" t="b">
        <f>IF(Tab.11[[#This Row],[a1]]=1,AP290)</f>
        <v>0</v>
      </c>
      <c r="AH290" s="78" t="b">
        <f>IF(Tab.11[[#This Row],[a1]]=1,AQ290)</f>
        <v>0</v>
      </c>
      <c r="AI290" s="41">
        <v>3.0000000000000001E-3</v>
      </c>
      <c r="AJ290" s="79">
        <v>0.05</v>
      </c>
      <c r="AK290" s="80" t="b">
        <f>IF(Tab.11[[#This Row],[a1]]=1,1)</f>
        <v>0</v>
      </c>
      <c r="AZ290"/>
    </row>
    <row r="291" spans="1:52" hidden="1" x14ac:dyDescent="0.25">
      <c r="A291" s="61">
        <f t="shared" si="11"/>
        <v>0</v>
      </c>
      <c r="B291" s="62">
        <f t="shared" si="11"/>
        <v>0</v>
      </c>
      <c r="C291" s="62" t="b">
        <f>IF(Tab.11[[#This Row],[a1]]=1,[3]!Tab_x1[[#This Row],[Name]])</f>
        <v>0</v>
      </c>
      <c r="D291" s="63" t="b">
        <f>IF(Tab.11[[#This Row],[a1]]=1,AO291)</f>
        <v>0</v>
      </c>
      <c r="E291" s="63">
        <f t="shared" si="10"/>
        <v>0</v>
      </c>
      <c r="F291" s="64" t="b">
        <f>IF(Tab.11[[#This Row],[a1]]=1,Tab.11[[#This Row],[b1]])</f>
        <v>0</v>
      </c>
      <c r="G291" s="65" t="b">
        <f>IF(Tab.11[[#This Row],[a1]]=1,IF(Tab.11[[#This Row],[b3]]&gt;$L$989*$G$3,$L$989*$G$3,IF(Tab.11[[#This Row],[b3]]&lt;$M$989*$G$3,$M$989*$G$3,Tab.11[[#This Row],[b3]])))</f>
        <v>0</v>
      </c>
      <c r="H291" s="66" t="b">
        <f>IF(Tab.11[[#This Row],[a1]]=1,Tab.11[[#This Row],[b1]])</f>
        <v>0</v>
      </c>
      <c r="I291" s="67" t="b">
        <f>IF(Tab.11[[#This Row],[a1]]=1,Tab.11[[#This Row],[b1]])</f>
        <v>0</v>
      </c>
      <c r="J291" s="68" t="b">
        <f>IF(Tab.11[[#This Row],[a1]]=1,IF($I$3&lt;0,Tab.11[[#This Row],[b5]]-$I$3,Tab.11[[#This Row],[b5]]))</f>
        <v>0</v>
      </c>
      <c r="K291" s="68" t="b">
        <f>IF(Tab.11[[#This Row],[a1]]=1,IF($K$3=0,Tab.11[b6],Tab.11[[#This Row],[b6]]-AVERAGE(Tab.11[b6])))</f>
        <v>0</v>
      </c>
      <c r="L291" s="69" t="b">
        <f>IF(Tab.11[[#This Row],[a1]]=1,Tab.11[[#This Row],[data]]/(_xlfn.STDEV.P(Tab.11[data])*$B$989)+$A$989)</f>
        <v>0</v>
      </c>
      <c r="M291" s="69" t="b">
        <f>IF(Tab.11[[#This Row],[a1]]=1,Tab.11[[#This Row],[data]]/(_xlfn.STDEV.P(Tab.11[data])*$B$987)-$A$987)</f>
        <v>0</v>
      </c>
      <c r="N291" s="69" t="b">
        <f>IF(Tab.11[[#This Row],[a1]]=1,Tab.11[[#This Row],[data]]/(_xlfn.STDEV.P(Tab.11[data])*$B$988)+$A$988)</f>
        <v>0</v>
      </c>
      <c r="O291" s="70" t="b">
        <f>IF(Tab.11[[#This Row],[a1]]=1,_xlfn.NORM.DIST(Tab.11[[#This Row],[b8]],$P$1,$Q$1,FALSE))</f>
        <v>0</v>
      </c>
      <c r="P291" s="70" t="b">
        <f>IF(Tab.11[[#This Row],[a1]]=1,_xlfn.NORM.DIST(Tab.11[[#This Row],[b9]],$P$1,$Q$1,FALSE))</f>
        <v>0</v>
      </c>
      <c r="Q291" s="70" t="b">
        <f>IF(Tab.11[[#This Row],[a1]]=1,_xlfn.NORM.DIST(Tab.11[[#This Row],[b10]],$P$1,$Q$1,FALSE))</f>
        <v>0</v>
      </c>
      <c r="R291" s="67" t="b">
        <f>IF(Tab.11[[#This Row],[a1]]=1,$I$3+$A$989+IF($K$3=0,Tab.11[[#This Row],[b8]]*_xlfn.STDEV.P(Tab.11[data]),AVERAGE(Tab.11[b6])+Tab.11[[#This Row],[b8]]*_xlfn.STDEV.P(Tab.11[data])))</f>
        <v>0</v>
      </c>
      <c r="S291" s="71" t="b">
        <f>IF(Tab.11[[#This Row],[a1]]=1,$I$3+$A$987+IF($K$3=0,Tab.11[[#This Row],[b9]]*_xlfn.STDEV.P(Tab.11[data]),AVERAGE(Tab.11[b6])+Tab.11[[#This Row],[b9]]*_xlfn.STDEV.P(Tab.11[data])))</f>
        <v>0</v>
      </c>
      <c r="T291" s="71" t="b">
        <f>IF(Tab.11[[#This Row],[a1]]=1,$I$3+$A$988+IF($K$3=0,Tab.11[[#This Row],[b10]]*_xlfn.STDEV.P(Tab.11[data]),AVERAGE(Tab.11[b6])+Tab.11[[#This Row],[b10]]*_xlfn.STDEV.P(Tab.11[data])))</f>
        <v>0</v>
      </c>
      <c r="U291" s="72" t="b">
        <f>IF(Tab.11[[#This Row],[a1]]=1,Tab.11[[#This Row],[target]]-Tab.11[[#This Row],[Red]])</f>
        <v>0</v>
      </c>
      <c r="V291" s="72" t="b">
        <f>IF(Tab.11[[#This Row],[a1]]=1,Tab.11[[#This Row],[target]]-Tab.11[[#This Row],[Blue]])</f>
        <v>0</v>
      </c>
      <c r="W291" s="73" t="b">
        <f>IF(Tab.11[[#This Row],[a1]]=1,IF(ABS(Tab.11[[#This Row],[b17]])+ABS(Tab.11[[#This Row],[b18]])&lt;$W$2,$W$2,ABS(Tab.11[[#This Row],[b17]])+ABS(Tab.11[[#This Row],[b18]])))</f>
        <v>0</v>
      </c>
      <c r="X291" s="136" t="b">
        <f>IF(Tab.11[[#This Row],[a1]]=1,IF($W$3&lt;0,Tab.11[[#This Row],[IN]]-$I$3,Tab.11[[#This Row],[IN]]))</f>
        <v>0</v>
      </c>
      <c r="Y291" s="136" t="b">
        <f>IF(Tab.11[[#This Row],[a1]]=1,IF($X$3=0,Tab.11[b66],Tab.11[[#This Row],[b66]]-AVERAGE(Tab.11[b66])))</f>
        <v>0</v>
      </c>
      <c r="Z291" s="135" t="b">
        <f>IF(Tab.11[[#This Row],[a1]]=1,Tab.11[[#This Row],[b77]]/(_xlfn.STDEV.P(Tab.11[b77])))</f>
        <v>0</v>
      </c>
      <c r="AA291" s="70" t="b">
        <f>IF(Tab.11[[#This Row],[a1]]=1,_xlfn.NORM.DIST(Tab.11[[#This Row],[b88]],$Z$1,$AA$1,FALSE))</f>
        <v>0</v>
      </c>
      <c r="AB291" s="74" t="b">
        <f>IF(Tab.11[[#This Row],[a1]]=1,IF($A$3=0,FALSE,1/Tab.11[[#This Row],[IN]]*$AC$2*IF(Tab.11[[#This Row],[a1]]=0,,$A$3*$AC$1*1/$V$3*(Tab.11[[#This Row],[b14]]))))</f>
        <v>0</v>
      </c>
      <c r="AC291" s="75" t="b">
        <f>IF(Tab.11[[#This Row],[a1]]=1,IF($AC$3=0,Tab.11[[#This Row],[φ1]],Tab.11[[#This Row],[φ1]]/MAX(Tab.11[φ1])))</f>
        <v>0</v>
      </c>
      <c r="AD291" s="74" t="b">
        <f>IF(Tab.11[[#This Row],[a1]]=1,1/Tab.11[[#This Row],[φ2]])</f>
        <v>0</v>
      </c>
      <c r="AE291" s="74" t="b">
        <f>IF(Tab.11[[#This Row],[a1]]=1,IF($AE$3=0,Tab.11[[#This Row],[w.0]],Tab.11[[#This Row],[w.0]]/SUM(Tab.11[w.0])))</f>
        <v>0</v>
      </c>
      <c r="AF291" s="76" t="str">
        <f>IF(Tab.11[[#This Row],[a1]]=0,"false",[3]!Tab.x5[[#This Row],[%_seN_C]])</f>
        <v>false</v>
      </c>
      <c r="AG291" s="77" t="b">
        <f>IF(Tab.11[[#This Row],[a1]]=1,AP291)</f>
        <v>0</v>
      </c>
      <c r="AH291" s="78" t="b">
        <f>IF(Tab.11[[#This Row],[a1]]=1,AQ291)</f>
        <v>0</v>
      </c>
      <c r="AI291" s="41">
        <v>3.0000000000000001E-3</v>
      </c>
      <c r="AJ291" s="79">
        <v>0.05</v>
      </c>
      <c r="AK291" s="80" t="b">
        <f>IF(Tab.11[[#This Row],[a1]]=1,1)</f>
        <v>0</v>
      </c>
      <c r="AZ291"/>
    </row>
    <row r="292" spans="1:52" hidden="1" x14ac:dyDescent="0.25">
      <c r="A292" s="61">
        <f t="shared" si="11"/>
        <v>0</v>
      </c>
      <c r="B292" s="62">
        <f t="shared" si="11"/>
        <v>0</v>
      </c>
      <c r="C292" s="62" t="b">
        <f>IF(Tab.11[[#This Row],[a1]]=1,[3]!Tab_x1[[#This Row],[Name]])</f>
        <v>0</v>
      </c>
      <c r="D292" s="63" t="b">
        <f>IF(Tab.11[[#This Row],[a1]]=1,AO292)</f>
        <v>0</v>
      </c>
      <c r="E292" s="63">
        <f t="shared" si="10"/>
        <v>0</v>
      </c>
      <c r="F292" s="64" t="b">
        <f>IF(Tab.11[[#This Row],[a1]]=1,Tab.11[[#This Row],[b1]])</f>
        <v>0</v>
      </c>
      <c r="G292" s="65" t="b">
        <f>IF(Tab.11[[#This Row],[a1]]=1,IF(Tab.11[[#This Row],[b3]]&gt;$L$989*$G$3,$L$989*$G$3,IF(Tab.11[[#This Row],[b3]]&lt;$M$989*$G$3,$M$989*$G$3,Tab.11[[#This Row],[b3]])))</f>
        <v>0</v>
      </c>
      <c r="H292" s="66" t="b">
        <f>IF(Tab.11[[#This Row],[a1]]=1,Tab.11[[#This Row],[b1]])</f>
        <v>0</v>
      </c>
      <c r="I292" s="67" t="b">
        <f>IF(Tab.11[[#This Row],[a1]]=1,Tab.11[[#This Row],[b1]])</f>
        <v>0</v>
      </c>
      <c r="J292" s="68" t="b">
        <f>IF(Tab.11[[#This Row],[a1]]=1,IF($I$3&lt;0,Tab.11[[#This Row],[b5]]-$I$3,Tab.11[[#This Row],[b5]]))</f>
        <v>0</v>
      </c>
      <c r="K292" s="68" t="b">
        <f>IF(Tab.11[[#This Row],[a1]]=1,IF($K$3=0,Tab.11[b6],Tab.11[[#This Row],[b6]]-AVERAGE(Tab.11[b6])))</f>
        <v>0</v>
      </c>
      <c r="L292" s="69" t="b">
        <f>IF(Tab.11[[#This Row],[a1]]=1,Tab.11[[#This Row],[data]]/(_xlfn.STDEV.P(Tab.11[data])*$B$989)+$A$989)</f>
        <v>0</v>
      </c>
      <c r="M292" s="69" t="b">
        <f>IF(Tab.11[[#This Row],[a1]]=1,Tab.11[[#This Row],[data]]/(_xlfn.STDEV.P(Tab.11[data])*$B$987)-$A$987)</f>
        <v>0</v>
      </c>
      <c r="N292" s="69" t="b">
        <f>IF(Tab.11[[#This Row],[a1]]=1,Tab.11[[#This Row],[data]]/(_xlfn.STDEV.P(Tab.11[data])*$B$988)+$A$988)</f>
        <v>0</v>
      </c>
      <c r="O292" s="70" t="b">
        <f>IF(Tab.11[[#This Row],[a1]]=1,_xlfn.NORM.DIST(Tab.11[[#This Row],[b8]],$P$1,$Q$1,FALSE))</f>
        <v>0</v>
      </c>
      <c r="P292" s="70" t="b">
        <f>IF(Tab.11[[#This Row],[a1]]=1,_xlfn.NORM.DIST(Tab.11[[#This Row],[b9]],$P$1,$Q$1,FALSE))</f>
        <v>0</v>
      </c>
      <c r="Q292" s="70" t="b">
        <f>IF(Tab.11[[#This Row],[a1]]=1,_xlfn.NORM.DIST(Tab.11[[#This Row],[b10]],$P$1,$Q$1,FALSE))</f>
        <v>0</v>
      </c>
      <c r="R292" s="67" t="b">
        <f>IF(Tab.11[[#This Row],[a1]]=1,$I$3+$A$989+IF($K$3=0,Tab.11[[#This Row],[b8]]*_xlfn.STDEV.P(Tab.11[data]),AVERAGE(Tab.11[b6])+Tab.11[[#This Row],[b8]]*_xlfn.STDEV.P(Tab.11[data])))</f>
        <v>0</v>
      </c>
      <c r="S292" s="71" t="b">
        <f>IF(Tab.11[[#This Row],[a1]]=1,$I$3+$A$987+IF($K$3=0,Tab.11[[#This Row],[b9]]*_xlfn.STDEV.P(Tab.11[data]),AVERAGE(Tab.11[b6])+Tab.11[[#This Row],[b9]]*_xlfn.STDEV.P(Tab.11[data])))</f>
        <v>0</v>
      </c>
      <c r="T292" s="71" t="b">
        <f>IF(Tab.11[[#This Row],[a1]]=1,$I$3+$A$988+IF($K$3=0,Tab.11[[#This Row],[b10]]*_xlfn.STDEV.P(Tab.11[data]),AVERAGE(Tab.11[b6])+Tab.11[[#This Row],[b10]]*_xlfn.STDEV.P(Tab.11[data])))</f>
        <v>0</v>
      </c>
      <c r="U292" s="72" t="b">
        <f>IF(Tab.11[[#This Row],[a1]]=1,Tab.11[[#This Row],[target]]-Tab.11[[#This Row],[Red]])</f>
        <v>0</v>
      </c>
      <c r="V292" s="72" t="b">
        <f>IF(Tab.11[[#This Row],[a1]]=1,Tab.11[[#This Row],[target]]-Tab.11[[#This Row],[Blue]])</f>
        <v>0</v>
      </c>
      <c r="W292" s="73" t="b">
        <f>IF(Tab.11[[#This Row],[a1]]=1,IF(ABS(Tab.11[[#This Row],[b17]])+ABS(Tab.11[[#This Row],[b18]])&lt;$W$2,$W$2,ABS(Tab.11[[#This Row],[b17]])+ABS(Tab.11[[#This Row],[b18]])))</f>
        <v>0</v>
      </c>
      <c r="X292" s="136" t="b">
        <f>IF(Tab.11[[#This Row],[a1]]=1,IF($W$3&lt;0,Tab.11[[#This Row],[IN]]-$I$3,Tab.11[[#This Row],[IN]]))</f>
        <v>0</v>
      </c>
      <c r="Y292" s="136" t="b">
        <f>IF(Tab.11[[#This Row],[a1]]=1,IF($X$3=0,Tab.11[b66],Tab.11[[#This Row],[b66]]-AVERAGE(Tab.11[b66])))</f>
        <v>0</v>
      </c>
      <c r="Z292" s="135" t="b">
        <f>IF(Tab.11[[#This Row],[a1]]=1,Tab.11[[#This Row],[b77]]/(_xlfn.STDEV.P(Tab.11[b77])))</f>
        <v>0</v>
      </c>
      <c r="AA292" s="70" t="b">
        <f>IF(Tab.11[[#This Row],[a1]]=1,_xlfn.NORM.DIST(Tab.11[[#This Row],[b88]],$Z$1,$AA$1,FALSE))</f>
        <v>0</v>
      </c>
      <c r="AB292" s="74" t="b">
        <f>IF(Tab.11[[#This Row],[a1]]=1,IF($A$3=0,FALSE,1/Tab.11[[#This Row],[IN]]*$AC$2*IF(Tab.11[[#This Row],[a1]]=0,,$A$3*$AC$1*1/$V$3*(Tab.11[[#This Row],[b14]]))))</f>
        <v>0</v>
      </c>
      <c r="AC292" s="75" t="b">
        <f>IF(Tab.11[[#This Row],[a1]]=1,IF($AC$3=0,Tab.11[[#This Row],[φ1]],Tab.11[[#This Row],[φ1]]/MAX(Tab.11[φ1])))</f>
        <v>0</v>
      </c>
      <c r="AD292" s="74" t="b">
        <f>IF(Tab.11[[#This Row],[a1]]=1,1/Tab.11[[#This Row],[φ2]])</f>
        <v>0</v>
      </c>
      <c r="AE292" s="74" t="b">
        <f>IF(Tab.11[[#This Row],[a1]]=1,IF($AE$3=0,Tab.11[[#This Row],[w.0]],Tab.11[[#This Row],[w.0]]/SUM(Tab.11[w.0])))</f>
        <v>0</v>
      </c>
      <c r="AF292" s="76" t="str">
        <f>IF(Tab.11[[#This Row],[a1]]=0,"false",[3]!Tab.x5[[#This Row],[%_seN_C]])</f>
        <v>false</v>
      </c>
      <c r="AG292" s="77" t="b">
        <f>IF(Tab.11[[#This Row],[a1]]=1,AP292)</f>
        <v>0</v>
      </c>
      <c r="AH292" s="78" t="b">
        <f>IF(Tab.11[[#This Row],[a1]]=1,AQ292)</f>
        <v>0</v>
      </c>
      <c r="AI292" s="41">
        <v>3.0000000000000001E-3</v>
      </c>
      <c r="AJ292" s="79">
        <v>0.04</v>
      </c>
      <c r="AK292" s="80" t="b">
        <f>IF(Tab.11[[#This Row],[a1]]=1,1)</f>
        <v>0</v>
      </c>
      <c r="AZ292"/>
    </row>
    <row r="293" spans="1:52" hidden="1" x14ac:dyDescent="0.25">
      <c r="A293" s="61">
        <f t="shared" si="11"/>
        <v>0</v>
      </c>
      <c r="B293" s="62">
        <f t="shared" si="11"/>
        <v>0</v>
      </c>
      <c r="C293" s="62" t="b">
        <f>IF(Tab.11[[#This Row],[a1]]=1,[3]!Tab_x1[[#This Row],[Name]])</f>
        <v>0</v>
      </c>
      <c r="D293" s="63" t="b">
        <f>IF(Tab.11[[#This Row],[a1]]=1,AO293)</f>
        <v>0</v>
      </c>
      <c r="E293" s="63">
        <f t="shared" si="10"/>
        <v>0</v>
      </c>
      <c r="F293" s="64" t="b">
        <f>IF(Tab.11[[#This Row],[a1]]=1,Tab.11[[#This Row],[b1]])</f>
        <v>0</v>
      </c>
      <c r="G293" s="65" t="b">
        <f>IF(Tab.11[[#This Row],[a1]]=1,IF(Tab.11[[#This Row],[b3]]&gt;$L$989*$G$3,$L$989*$G$3,IF(Tab.11[[#This Row],[b3]]&lt;$M$989*$G$3,$M$989*$G$3,Tab.11[[#This Row],[b3]])))</f>
        <v>0</v>
      </c>
      <c r="H293" s="66" t="b">
        <f>IF(Tab.11[[#This Row],[a1]]=1,Tab.11[[#This Row],[b1]])</f>
        <v>0</v>
      </c>
      <c r="I293" s="67" t="b">
        <f>IF(Tab.11[[#This Row],[a1]]=1,Tab.11[[#This Row],[b1]])</f>
        <v>0</v>
      </c>
      <c r="J293" s="68" t="b">
        <f>IF(Tab.11[[#This Row],[a1]]=1,IF($I$3&lt;0,Tab.11[[#This Row],[b5]]-$I$3,Tab.11[[#This Row],[b5]]))</f>
        <v>0</v>
      </c>
      <c r="K293" s="68" t="b">
        <f>IF(Tab.11[[#This Row],[a1]]=1,IF($K$3=0,Tab.11[b6],Tab.11[[#This Row],[b6]]-AVERAGE(Tab.11[b6])))</f>
        <v>0</v>
      </c>
      <c r="L293" s="69" t="b">
        <f>IF(Tab.11[[#This Row],[a1]]=1,Tab.11[[#This Row],[data]]/(_xlfn.STDEV.P(Tab.11[data])*$B$989)+$A$989)</f>
        <v>0</v>
      </c>
      <c r="M293" s="69" t="b">
        <f>IF(Tab.11[[#This Row],[a1]]=1,Tab.11[[#This Row],[data]]/(_xlfn.STDEV.P(Tab.11[data])*$B$987)-$A$987)</f>
        <v>0</v>
      </c>
      <c r="N293" s="69" t="b">
        <f>IF(Tab.11[[#This Row],[a1]]=1,Tab.11[[#This Row],[data]]/(_xlfn.STDEV.P(Tab.11[data])*$B$988)+$A$988)</f>
        <v>0</v>
      </c>
      <c r="O293" s="70" t="b">
        <f>IF(Tab.11[[#This Row],[a1]]=1,_xlfn.NORM.DIST(Tab.11[[#This Row],[b8]],$P$1,$Q$1,FALSE))</f>
        <v>0</v>
      </c>
      <c r="P293" s="70" t="b">
        <f>IF(Tab.11[[#This Row],[a1]]=1,_xlfn.NORM.DIST(Tab.11[[#This Row],[b9]],$P$1,$Q$1,FALSE))</f>
        <v>0</v>
      </c>
      <c r="Q293" s="70" t="b">
        <f>IF(Tab.11[[#This Row],[a1]]=1,_xlfn.NORM.DIST(Tab.11[[#This Row],[b10]],$P$1,$Q$1,FALSE))</f>
        <v>0</v>
      </c>
      <c r="R293" s="67" t="b">
        <f>IF(Tab.11[[#This Row],[a1]]=1,$I$3+$A$989+IF($K$3=0,Tab.11[[#This Row],[b8]]*_xlfn.STDEV.P(Tab.11[data]),AVERAGE(Tab.11[b6])+Tab.11[[#This Row],[b8]]*_xlfn.STDEV.P(Tab.11[data])))</f>
        <v>0</v>
      </c>
      <c r="S293" s="71" t="b">
        <f>IF(Tab.11[[#This Row],[a1]]=1,$I$3+$A$987+IF($K$3=0,Tab.11[[#This Row],[b9]]*_xlfn.STDEV.P(Tab.11[data]),AVERAGE(Tab.11[b6])+Tab.11[[#This Row],[b9]]*_xlfn.STDEV.P(Tab.11[data])))</f>
        <v>0</v>
      </c>
      <c r="T293" s="71" t="b">
        <f>IF(Tab.11[[#This Row],[a1]]=1,$I$3+$A$988+IF($K$3=0,Tab.11[[#This Row],[b10]]*_xlfn.STDEV.P(Tab.11[data]),AVERAGE(Tab.11[b6])+Tab.11[[#This Row],[b10]]*_xlfn.STDEV.P(Tab.11[data])))</f>
        <v>0</v>
      </c>
      <c r="U293" s="72" t="b">
        <f>IF(Tab.11[[#This Row],[a1]]=1,Tab.11[[#This Row],[target]]-Tab.11[[#This Row],[Red]])</f>
        <v>0</v>
      </c>
      <c r="V293" s="72" t="b">
        <f>IF(Tab.11[[#This Row],[a1]]=1,Tab.11[[#This Row],[target]]-Tab.11[[#This Row],[Blue]])</f>
        <v>0</v>
      </c>
      <c r="W293" s="73" t="b">
        <f>IF(Tab.11[[#This Row],[a1]]=1,IF(ABS(Tab.11[[#This Row],[b17]])+ABS(Tab.11[[#This Row],[b18]])&lt;$W$2,$W$2,ABS(Tab.11[[#This Row],[b17]])+ABS(Tab.11[[#This Row],[b18]])))</f>
        <v>0</v>
      </c>
      <c r="X293" s="136" t="b">
        <f>IF(Tab.11[[#This Row],[a1]]=1,IF($W$3&lt;0,Tab.11[[#This Row],[IN]]-$I$3,Tab.11[[#This Row],[IN]]))</f>
        <v>0</v>
      </c>
      <c r="Y293" s="136" t="b">
        <f>IF(Tab.11[[#This Row],[a1]]=1,IF($X$3=0,Tab.11[b66],Tab.11[[#This Row],[b66]]-AVERAGE(Tab.11[b66])))</f>
        <v>0</v>
      </c>
      <c r="Z293" s="135" t="b">
        <f>IF(Tab.11[[#This Row],[a1]]=1,Tab.11[[#This Row],[b77]]/(_xlfn.STDEV.P(Tab.11[b77])))</f>
        <v>0</v>
      </c>
      <c r="AA293" s="70" t="b">
        <f>IF(Tab.11[[#This Row],[a1]]=1,_xlfn.NORM.DIST(Tab.11[[#This Row],[b88]],$Z$1,$AA$1,FALSE))</f>
        <v>0</v>
      </c>
      <c r="AB293" s="74" t="b">
        <f>IF(Tab.11[[#This Row],[a1]]=1,IF($A$3=0,FALSE,1/Tab.11[[#This Row],[IN]]*$AC$2*IF(Tab.11[[#This Row],[a1]]=0,,$A$3*$AC$1*1/$V$3*(Tab.11[[#This Row],[b14]]))))</f>
        <v>0</v>
      </c>
      <c r="AC293" s="75" t="b">
        <f>IF(Tab.11[[#This Row],[a1]]=1,IF($AC$3=0,Tab.11[[#This Row],[φ1]],Tab.11[[#This Row],[φ1]]/MAX(Tab.11[φ1])))</f>
        <v>0</v>
      </c>
      <c r="AD293" s="74" t="b">
        <f>IF(Tab.11[[#This Row],[a1]]=1,1/Tab.11[[#This Row],[φ2]])</f>
        <v>0</v>
      </c>
      <c r="AE293" s="74" t="b">
        <f>IF(Tab.11[[#This Row],[a1]]=1,IF($AE$3=0,Tab.11[[#This Row],[w.0]],Tab.11[[#This Row],[w.0]]/SUM(Tab.11[w.0])))</f>
        <v>0</v>
      </c>
      <c r="AF293" s="76" t="str">
        <f>IF(Tab.11[[#This Row],[a1]]=0,"false",[3]!Tab.x5[[#This Row],[%_seN_C]])</f>
        <v>false</v>
      </c>
      <c r="AG293" s="77" t="b">
        <f>IF(Tab.11[[#This Row],[a1]]=1,AP293)</f>
        <v>0</v>
      </c>
      <c r="AH293" s="78" t="b">
        <f>IF(Tab.11[[#This Row],[a1]]=1,AQ293)</f>
        <v>0</v>
      </c>
      <c r="AI293" s="41">
        <v>3.0000000000000001E-3</v>
      </c>
      <c r="AJ293" s="79">
        <v>-0.01</v>
      </c>
      <c r="AK293" s="80" t="b">
        <f>IF(Tab.11[[#This Row],[a1]]=1,1)</f>
        <v>0</v>
      </c>
      <c r="AZ293"/>
    </row>
    <row r="294" spans="1:52" hidden="1" x14ac:dyDescent="0.25">
      <c r="A294" s="61">
        <f t="shared" si="11"/>
        <v>0</v>
      </c>
      <c r="B294" s="62">
        <f t="shared" si="11"/>
        <v>0</v>
      </c>
      <c r="C294" s="62" t="b">
        <f>IF(Tab.11[[#This Row],[a1]]=1,[3]!Tab_x1[[#This Row],[Name]])</f>
        <v>0</v>
      </c>
      <c r="D294" s="63" t="b">
        <f>IF(Tab.11[[#This Row],[a1]]=1,AO294)</f>
        <v>0</v>
      </c>
      <c r="E294" s="63">
        <f t="shared" si="10"/>
        <v>0</v>
      </c>
      <c r="F294" s="64" t="b">
        <f>IF(Tab.11[[#This Row],[a1]]=1,Tab.11[[#This Row],[b1]])</f>
        <v>0</v>
      </c>
      <c r="G294" s="65" t="b">
        <f>IF(Tab.11[[#This Row],[a1]]=1,IF(Tab.11[[#This Row],[b3]]&gt;$L$989*$G$3,$L$989*$G$3,IF(Tab.11[[#This Row],[b3]]&lt;$M$989*$G$3,$M$989*$G$3,Tab.11[[#This Row],[b3]])))</f>
        <v>0</v>
      </c>
      <c r="H294" s="66" t="b">
        <f>IF(Tab.11[[#This Row],[a1]]=1,Tab.11[[#This Row],[b1]])</f>
        <v>0</v>
      </c>
      <c r="I294" s="67" t="b">
        <f>IF(Tab.11[[#This Row],[a1]]=1,Tab.11[[#This Row],[b1]])</f>
        <v>0</v>
      </c>
      <c r="J294" s="68" t="b">
        <f>IF(Tab.11[[#This Row],[a1]]=1,IF($I$3&lt;0,Tab.11[[#This Row],[b5]]-$I$3,Tab.11[[#This Row],[b5]]))</f>
        <v>0</v>
      </c>
      <c r="K294" s="68" t="b">
        <f>IF(Tab.11[[#This Row],[a1]]=1,IF($K$3=0,Tab.11[b6],Tab.11[[#This Row],[b6]]-AVERAGE(Tab.11[b6])))</f>
        <v>0</v>
      </c>
      <c r="L294" s="69" t="b">
        <f>IF(Tab.11[[#This Row],[a1]]=1,Tab.11[[#This Row],[data]]/(_xlfn.STDEV.P(Tab.11[data])*$B$989)+$A$989)</f>
        <v>0</v>
      </c>
      <c r="M294" s="69" t="b">
        <f>IF(Tab.11[[#This Row],[a1]]=1,Tab.11[[#This Row],[data]]/(_xlfn.STDEV.P(Tab.11[data])*$B$987)-$A$987)</f>
        <v>0</v>
      </c>
      <c r="N294" s="69" t="b">
        <f>IF(Tab.11[[#This Row],[a1]]=1,Tab.11[[#This Row],[data]]/(_xlfn.STDEV.P(Tab.11[data])*$B$988)+$A$988)</f>
        <v>0</v>
      </c>
      <c r="O294" s="70" t="b">
        <f>IF(Tab.11[[#This Row],[a1]]=1,_xlfn.NORM.DIST(Tab.11[[#This Row],[b8]],$P$1,$Q$1,FALSE))</f>
        <v>0</v>
      </c>
      <c r="P294" s="70" t="b">
        <f>IF(Tab.11[[#This Row],[a1]]=1,_xlfn.NORM.DIST(Tab.11[[#This Row],[b9]],$P$1,$Q$1,FALSE))</f>
        <v>0</v>
      </c>
      <c r="Q294" s="70" t="b">
        <f>IF(Tab.11[[#This Row],[a1]]=1,_xlfn.NORM.DIST(Tab.11[[#This Row],[b10]],$P$1,$Q$1,FALSE))</f>
        <v>0</v>
      </c>
      <c r="R294" s="67" t="b">
        <f>IF(Tab.11[[#This Row],[a1]]=1,$I$3+$A$989+IF($K$3=0,Tab.11[[#This Row],[b8]]*_xlfn.STDEV.P(Tab.11[data]),AVERAGE(Tab.11[b6])+Tab.11[[#This Row],[b8]]*_xlfn.STDEV.P(Tab.11[data])))</f>
        <v>0</v>
      </c>
      <c r="S294" s="71" t="b">
        <f>IF(Tab.11[[#This Row],[a1]]=1,$I$3+$A$987+IF($K$3=0,Tab.11[[#This Row],[b9]]*_xlfn.STDEV.P(Tab.11[data]),AVERAGE(Tab.11[b6])+Tab.11[[#This Row],[b9]]*_xlfn.STDEV.P(Tab.11[data])))</f>
        <v>0</v>
      </c>
      <c r="T294" s="71" t="b">
        <f>IF(Tab.11[[#This Row],[a1]]=1,$I$3+$A$988+IF($K$3=0,Tab.11[[#This Row],[b10]]*_xlfn.STDEV.P(Tab.11[data]),AVERAGE(Tab.11[b6])+Tab.11[[#This Row],[b10]]*_xlfn.STDEV.P(Tab.11[data])))</f>
        <v>0</v>
      </c>
      <c r="U294" s="72" t="b">
        <f>IF(Tab.11[[#This Row],[a1]]=1,Tab.11[[#This Row],[target]]-Tab.11[[#This Row],[Red]])</f>
        <v>0</v>
      </c>
      <c r="V294" s="72" t="b">
        <f>IF(Tab.11[[#This Row],[a1]]=1,Tab.11[[#This Row],[target]]-Tab.11[[#This Row],[Blue]])</f>
        <v>0</v>
      </c>
      <c r="W294" s="73" t="b">
        <f>IF(Tab.11[[#This Row],[a1]]=1,IF(ABS(Tab.11[[#This Row],[b17]])+ABS(Tab.11[[#This Row],[b18]])&lt;$W$2,$W$2,ABS(Tab.11[[#This Row],[b17]])+ABS(Tab.11[[#This Row],[b18]])))</f>
        <v>0</v>
      </c>
      <c r="X294" s="136" t="b">
        <f>IF(Tab.11[[#This Row],[a1]]=1,IF($W$3&lt;0,Tab.11[[#This Row],[IN]]-$I$3,Tab.11[[#This Row],[IN]]))</f>
        <v>0</v>
      </c>
      <c r="Y294" s="136" t="b">
        <f>IF(Tab.11[[#This Row],[a1]]=1,IF($X$3=0,Tab.11[b66],Tab.11[[#This Row],[b66]]-AVERAGE(Tab.11[b66])))</f>
        <v>0</v>
      </c>
      <c r="Z294" s="135" t="b">
        <f>IF(Tab.11[[#This Row],[a1]]=1,Tab.11[[#This Row],[b77]]/(_xlfn.STDEV.P(Tab.11[b77])))</f>
        <v>0</v>
      </c>
      <c r="AA294" s="70" t="b">
        <f>IF(Tab.11[[#This Row],[a1]]=1,_xlfn.NORM.DIST(Tab.11[[#This Row],[b88]],$Z$1,$AA$1,FALSE))</f>
        <v>0</v>
      </c>
      <c r="AB294" s="74" t="b">
        <f>IF(Tab.11[[#This Row],[a1]]=1,IF($A$3=0,FALSE,1/Tab.11[[#This Row],[IN]]*$AC$2*IF(Tab.11[[#This Row],[a1]]=0,,$A$3*$AC$1*1/$V$3*(Tab.11[[#This Row],[b14]]))))</f>
        <v>0</v>
      </c>
      <c r="AC294" s="75" t="b">
        <f>IF(Tab.11[[#This Row],[a1]]=1,IF($AC$3=0,Tab.11[[#This Row],[φ1]],Tab.11[[#This Row],[φ1]]/MAX(Tab.11[φ1])))</f>
        <v>0</v>
      </c>
      <c r="AD294" s="74" t="b">
        <f>IF(Tab.11[[#This Row],[a1]]=1,1/Tab.11[[#This Row],[φ2]])</f>
        <v>0</v>
      </c>
      <c r="AE294" s="74" t="b">
        <f>IF(Tab.11[[#This Row],[a1]]=1,IF($AE$3=0,Tab.11[[#This Row],[w.0]],Tab.11[[#This Row],[w.0]]/SUM(Tab.11[w.0])))</f>
        <v>0</v>
      </c>
      <c r="AF294" s="76" t="str">
        <f>IF(Tab.11[[#This Row],[a1]]=0,"false",[3]!Tab.x5[[#This Row],[%_seN_C]])</f>
        <v>false</v>
      </c>
      <c r="AG294" s="77" t="b">
        <f>IF(Tab.11[[#This Row],[a1]]=1,AP294)</f>
        <v>0</v>
      </c>
      <c r="AH294" s="78" t="b">
        <f>IF(Tab.11[[#This Row],[a1]]=1,AQ294)</f>
        <v>0</v>
      </c>
      <c r="AI294" s="41">
        <v>3.0000000000000001E-3</v>
      </c>
      <c r="AJ294" s="79">
        <v>-7.0000000000000007E-2</v>
      </c>
      <c r="AK294" s="80" t="b">
        <f>IF(Tab.11[[#This Row],[a1]]=1,1)</f>
        <v>0</v>
      </c>
      <c r="AZ294"/>
    </row>
    <row r="295" spans="1:52" hidden="1" x14ac:dyDescent="0.25">
      <c r="A295" s="61">
        <f t="shared" si="11"/>
        <v>0</v>
      </c>
      <c r="B295" s="62">
        <f t="shared" si="11"/>
        <v>0</v>
      </c>
      <c r="C295" s="62" t="b">
        <f>IF(Tab.11[[#This Row],[a1]]=1,[3]!Tab_x1[[#This Row],[Name]])</f>
        <v>0</v>
      </c>
      <c r="D295" s="63" t="b">
        <f>IF(Tab.11[[#This Row],[a1]]=1,AO295)</f>
        <v>0</v>
      </c>
      <c r="E295" s="63">
        <f t="shared" si="10"/>
        <v>0</v>
      </c>
      <c r="F295" s="64" t="b">
        <f>IF(Tab.11[[#This Row],[a1]]=1,Tab.11[[#This Row],[b1]])</f>
        <v>0</v>
      </c>
      <c r="G295" s="65" t="b">
        <f>IF(Tab.11[[#This Row],[a1]]=1,IF(Tab.11[[#This Row],[b3]]&gt;$L$989*$G$3,$L$989*$G$3,IF(Tab.11[[#This Row],[b3]]&lt;$M$989*$G$3,$M$989*$G$3,Tab.11[[#This Row],[b3]])))</f>
        <v>0</v>
      </c>
      <c r="H295" s="66" t="b">
        <f>IF(Tab.11[[#This Row],[a1]]=1,Tab.11[[#This Row],[b1]])</f>
        <v>0</v>
      </c>
      <c r="I295" s="67" t="b">
        <f>IF(Tab.11[[#This Row],[a1]]=1,Tab.11[[#This Row],[b1]])</f>
        <v>0</v>
      </c>
      <c r="J295" s="68" t="b">
        <f>IF(Tab.11[[#This Row],[a1]]=1,IF($I$3&lt;0,Tab.11[[#This Row],[b5]]-$I$3,Tab.11[[#This Row],[b5]]))</f>
        <v>0</v>
      </c>
      <c r="K295" s="68" t="b">
        <f>IF(Tab.11[[#This Row],[a1]]=1,IF($K$3=0,Tab.11[b6],Tab.11[[#This Row],[b6]]-AVERAGE(Tab.11[b6])))</f>
        <v>0</v>
      </c>
      <c r="L295" s="69" t="b">
        <f>IF(Tab.11[[#This Row],[a1]]=1,Tab.11[[#This Row],[data]]/(_xlfn.STDEV.P(Tab.11[data])*$B$989)+$A$989)</f>
        <v>0</v>
      </c>
      <c r="M295" s="69" t="b">
        <f>IF(Tab.11[[#This Row],[a1]]=1,Tab.11[[#This Row],[data]]/(_xlfn.STDEV.P(Tab.11[data])*$B$987)-$A$987)</f>
        <v>0</v>
      </c>
      <c r="N295" s="69" t="b">
        <f>IF(Tab.11[[#This Row],[a1]]=1,Tab.11[[#This Row],[data]]/(_xlfn.STDEV.P(Tab.11[data])*$B$988)+$A$988)</f>
        <v>0</v>
      </c>
      <c r="O295" s="70" t="b">
        <f>IF(Tab.11[[#This Row],[a1]]=1,_xlfn.NORM.DIST(Tab.11[[#This Row],[b8]],$P$1,$Q$1,FALSE))</f>
        <v>0</v>
      </c>
      <c r="P295" s="70" t="b">
        <f>IF(Tab.11[[#This Row],[a1]]=1,_xlfn.NORM.DIST(Tab.11[[#This Row],[b9]],$P$1,$Q$1,FALSE))</f>
        <v>0</v>
      </c>
      <c r="Q295" s="70" t="b">
        <f>IF(Tab.11[[#This Row],[a1]]=1,_xlfn.NORM.DIST(Tab.11[[#This Row],[b10]],$P$1,$Q$1,FALSE))</f>
        <v>0</v>
      </c>
      <c r="R295" s="67" t="b">
        <f>IF(Tab.11[[#This Row],[a1]]=1,$I$3+$A$989+IF($K$3=0,Tab.11[[#This Row],[b8]]*_xlfn.STDEV.P(Tab.11[data]),AVERAGE(Tab.11[b6])+Tab.11[[#This Row],[b8]]*_xlfn.STDEV.P(Tab.11[data])))</f>
        <v>0</v>
      </c>
      <c r="S295" s="71" t="b">
        <f>IF(Tab.11[[#This Row],[a1]]=1,$I$3+$A$987+IF($K$3=0,Tab.11[[#This Row],[b9]]*_xlfn.STDEV.P(Tab.11[data]),AVERAGE(Tab.11[b6])+Tab.11[[#This Row],[b9]]*_xlfn.STDEV.P(Tab.11[data])))</f>
        <v>0</v>
      </c>
      <c r="T295" s="71" t="b">
        <f>IF(Tab.11[[#This Row],[a1]]=1,$I$3+$A$988+IF($K$3=0,Tab.11[[#This Row],[b10]]*_xlfn.STDEV.P(Tab.11[data]),AVERAGE(Tab.11[b6])+Tab.11[[#This Row],[b10]]*_xlfn.STDEV.P(Tab.11[data])))</f>
        <v>0</v>
      </c>
      <c r="U295" s="72" t="b">
        <f>IF(Tab.11[[#This Row],[a1]]=1,Tab.11[[#This Row],[target]]-Tab.11[[#This Row],[Red]])</f>
        <v>0</v>
      </c>
      <c r="V295" s="72" t="b">
        <f>IF(Tab.11[[#This Row],[a1]]=1,Tab.11[[#This Row],[target]]-Tab.11[[#This Row],[Blue]])</f>
        <v>0</v>
      </c>
      <c r="W295" s="73" t="b">
        <f>IF(Tab.11[[#This Row],[a1]]=1,IF(ABS(Tab.11[[#This Row],[b17]])+ABS(Tab.11[[#This Row],[b18]])&lt;$W$2,$W$2,ABS(Tab.11[[#This Row],[b17]])+ABS(Tab.11[[#This Row],[b18]])))</f>
        <v>0</v>
      </c>
      <c r="X295" s="136" t="b">
        <f>IF(Tab.11[[#This Row],[a1]]=1,IF($W$3&lt;0,Tab.11[[#This Row],[IN]]-$I$3,Tab.11[[#This Row],[IN]]))</f>
        <v>0</v>
      </c>
      <c r="Y295" s="136" t="b">
        <f>IF(Tab.11[[#This Row],[a1]]=1,IF($X$3=0,Tab.11[b66],Tab.11[[#This Row],[b66]]-AVERAGE(Tab.11[b66])))</f>
        <v>0</v>
      </c>
      <c r="Z295" s="135" t="b">
        <f>IF(Tab.11[[#This Row],[a1]]=1,Tab.11[[#This Row],[b77]]/(_xlfn.STDEV.P(Tab.11[b77])))</f>
        <v>0</v>
      </c>
      <c r="AA295" s="70" t="b">
        <f>IF(Tab.11[[#This Row],[a1]]=1,_xlfn.NORM.DIST(Tab.11[[#This Row],[b88]],$Z$1,$AA$1,FALSE))</f>
        <v>0</v>
      </c>
      <c r="AB295" s="74" t="b">
        <f>IF(Tab.11[[#This Row],[a1]]=1,IF($A$3=0,FALSE,1/Tab.11[[#This Row],[IN]]*$AC$2*IF(Tab.11[[#This Row],[a1]]=0,,$A$3*$AC$1*1/$V$3*(Tab.11[[#This Row],[b14]]))))</f>
        <v>0</v>
      </c>
      <c r="AC295" s="75" t="b">
        <f>IF(Tab.11[[#This Row],[a1]]=1,IF($AC$3=0,Tab.11[[#This Row],[φ1]],Tab.11[[#This Row],[φ1]]/MAX(Tab.11[φ1])))</f>
        <v>0</v>
      </c>
      <c r="AD295" s="74" t="b">
        <f>IF(Tab.11[[#This Row],[a1]]=1,1/Tab.11[[#This Row],[φ2]])</f>
        <v>0</v>
      </c>
      <c r="AE295" s="74" t="b">
        <f>IF(Tab.11[[#This Row],[a1]]=1,IF($AE$3=0,Tab.11[[#This Row],[w.0]],Tab.11[[#This Row],[w.0]]/SUM(Tab.11[w.0])))</f>
        <v>0</v>
      </c>
      <c r="AF295" s="76" t="str">
        <f>IF(Tab.11[[#This Row],[a1]]=0,"false",[3]!Tab.x5[[#This Row],[%_seN_C]])</f>
        <v>false</v>
      </c>
      <c r="AG295" s="77" t="b">
        <f>IF(Tab.11[[#This Row],[a1]]=1,AP295)</f>
        <v>0</v>
      </c>
      <c r="AH295" s="78" t="b">
        <f>IF(Tab.11[[#This Row],[a1]]=1,AQ295)</f>
        <v>0</v>
      </c>
      <c r="AI295" s="41">
        <v>3.0000000000000001E-3</v>
      </c>
      <c r="AJ295" s="79">
        <v>0.03</v>
      </c>
      <c r="AK295" s="80" t="b">
        <f>IF(Tab.11[[#This Row],[a1]]=1,1)</f>
        <v>0</v>
      </c>
      <c r="AZ295"/>
    </row>
    <row r="296" spans="1:52" hidden="1" x14ac:dyDescent="0.25">
      <c r="A296" s="61">
        <f t="shared" si="11"/>
        <v>0</v>
      </c>
      <c r="B296" s="62">
        <f t="shared" si="11"/>
        <v>0</v>
      </c>
      <c r="C296" s="62" t="b">
        <f>IF(Tab.11[[#This Row],[a1]]=1,[3]!Tab_x1[[#This Row],[Name]])</f>
        <v>0</v>
      </c>
      <c r="D296" s="63" t="b">
        <f>IF(Tab.11[[#This Row],[a1]]=1,AO296)</f>
        <v>0</v>
      </c>
      <c r="E296" s="63">
        <f t="shared" si="10"/>
        <v>0</v>
      </c>
      <c r="F296" s="64" t="b">
        <f>IF(Tab.11[[#This Row],[a1]]=1,Tab.11[[#This Row],[b1]])</f>
        <v>0</v>
      </c>
      <c r="G296" s="65" t="b">
        <f>IF(Tab.11[[#This Row],[a1]]=1,IF(Tab.11[[#This Row],[b3]]&gt;$L$989*$G$3,$L$989*$G$3,IF(Tab.11[[#This Row],[b3]]&lt;$M$989*$G$3,$M$989*$G$3,Tab.11[[#This Row],[b3]])))</f>
        <v>0</v>
      </c>
      <c r="H296" s="66" t="b">
        <f>IF(Tab.11[[#This Row],[a1]]=1,Tab.11[[#This Row],[b1]])</f>
        <v>0</v>
      </c>
      <c r="I296" s="67" t="b">
        <f>IF(Tab.11[[#This Row],[a1]]=1,Tab.11[[#This Row],[b1]])</f>
        <v>0</v>
      </c>
      <c r="J296" s="68" t="b">
        <f>IF(Tab.11[[#This Row],[a1]]=1,IF($I$3&lt;0,Tab.11[[#This Row],[b5]]-$I$3,Tab.11[[#This Row],[b5]]))</f>
        <v>0</v>
      </c>
      <c r="K296" s="68" t="b">
        <f>IF(Tab.11[[#This Row],[a1]]=1,IF($K$3=0,Tab.11[b6],Tab.11[[#This Row],[b6]]-AVERAGE(Tab.11[b6])))</f>
        <v>0</v>
      </c>
      <c r="L296" s="69" t="b">
        <f>IF(Tab.11[[#This Row],[a1]]=1,Tab.11[[#This Row],[data]]/(_xlfn.STDEV.P(Tab.11[data])*$B$989)+$A$989)</f>
        <v>0</v>
      </c>
      <c r="M296" s="69" t="b">
        <f>IF(Tab.11[[#This Row],[a1]]=1,Tab.11[[#This Row],[data]]/(_xlfn.STDEV.P(Tab.11[data])*$B$987)-$A$987)</f>
        <v>0</v>
      </c>
      <c r="N296" s="69" t="b">
        <f>IF(Tab.11[[#This Row],[a1]]=1,Tab.11[[#This Row],[data]]/(_xlfn.STDEV.P(Tab.11[data])*$B$988)+$A$988)</f>
        <v>0</v>
      </c>
      <c r="O296" s="70" t="b">
        <f>IF(Tab.11[[#This Row],[a1]]=1,_xlfn.NORM.DIST(Tab.11[[#This Row],[b8]],$P$1,$Q$1,FALSE))</f>
        <v>0</v>
      </c>
      <c r="P296" s="70" t="b">
        <f>IF(Tab.11[[#This Row],[a1]]=1,_xlfn.NORM.DIST(Tab.11[[#This Row],[b9]],$P$1,$Q$1,FALSE))</f>
        <v>0</v>
      </c>
      <c r="Q296" s="70" t="b">
        <f>IF(Tab.11[[#This Row],[a1]]=1,_xlfn.NORM.DIST(Tab.11[[#This Row],[b10]],$P$1,$Q$1,FALSE))</f>
        <v>0</v>
      </c>
      <c r="R296" s="67" t="b">
        <f>IF(Tab.11[[#This Row],[a1]]=1,$I$3+$A$989+IF($K$3=0,Tab.11[[#This Row],[b8]]*_xlfn.STDEV.P(Tab.11[data]),AVERAGE(Tab.11[b6])+Tab.11[[#This Row],[b8]]*_xlfn.STDEV.P(Tab.11[data])))</f>
        <v>0</v>
      </c>
      <c r="S296" s="71" t="b">
        <f>IF(Tab.11[[#This Row],[a1]]=1,$I$3+$A$987+IF($K$3=0,Tab.11[[#This Row],[b9]]*_xlfn.STDEV.P(Tab.11[data]),AVERAGE(Tab.11[b6])+Tab.11[[#This Row],[b9]]*_xlfn.STDEV.P(Tab.11[data])))</f>
        <v>0</v>
      </c>
      <c r="T296" s="71" t="b">
        <f>IF(Tab.11[[#This Row],[a1]]=1,$I$3+$A$988+IF($K$3=0,Tab.11[[#This Row],[b10]]*_xlfn.STDEV.P(Tab.11[data]),AVERAGE(Tab.11[b6])+Tab.11[[#This Row],[b10]]*_xlfn.STDEV.P(Tab.11[data])))</f>
        <v>0</v>
      </c>
      <c r="U296" s="72" t="b">
        <f>IF(Tab.11[[#This Row],[a1]]=1,Tab.11[[#This Row],[target]]-Tab.11[[#This Row],[Red]])</f>
        <v>0</v>
      </c>
      <c r="V296" s="72" t="b">
        <f>IF(Tab.11[[#This Row],[a1]]=1,Tab.11[[#This Row],[target]]-Tab.11[[#This Row],[Blue]])</f>
        <v>0</v>
      </c>
      <c r="W296" s="73" t="b">
        <f>IF(Tab.11[[#This Row],[a1]]=1,IF(ABS(Tab.11[[#This Row],[b17]])+ABS(Tab.11[[#This Row],[b18]])&lt;$W$2,$W$2,ABS(Tab.11[[#This Row],[b17]])+ABS(Tab.11[[#This Row],[b18]])))</f>
        <v>0</v>
      </c>
      <c r="X296" s="136" t="b">
        <f>IF(Tab.11[[#This Row],[a1]]=1,IF($W$3&lt;0,Tab.11[[#This Row],[IN]]-$I$3,Tab.11[[#This Row],[IN]]))</f>
        <v>0</v>
      </c>
      <c r="Y296" s="136" t="b">
        <f>IF(Tab.11[[#This Row],[a1]]=1,IF($X$3=0,Tab.11[b66],Tab.11[[#This Row],[b66]]-AVERAGE(Tab.11[b66])))</f>
        <v>0</v>
      </c>
      <c r="Z296" s="135" t="b">
        <f>IF(Tab.11[[#This Row],[a1]]=1,Tab.11[[#This Row],[b77]]/(_xlfn.STDEV.P(Tab.11[b77])))</f>
        <v>0</v>
      </c>
      <c r="AA296" s="70" t="b">
        <f>IF(Tab.11[[#This Row],[a1]]=1,_xlfn.NORM.DIST(Tab.11[[#This Row],[b88]],$Z$1,$AA$1,FALSE))</f>
        <v>0</v>
      </c>
      <c r="AB296" s="74" t="b">
        <f>IF(Tab.11[[#This Row],[a1]]=1,IF($A$3=0,FALSE,1/Tab.11[[#This Row],[IN]]*$AC$2*IF(Tab.11[[#This Row],[a1]]=0,,$A$3*$AC$1*1/$V$3*(Tab.11[[#This Row],[b14]]))))</f>
        <v>0</v>
      </c>
      <c r="AC296" s="75" t="b">
        <f>IF(Tab.11[[#This Row],[a1]]=1,IF($AC$3=0,Tab.11[[#This Row],[φ1]],Tab.11[[#This Row],[φ1]]/MAX(Tab.11[φ1])))</f>
        <v>0</v>
      </c>
      <c r="AD296" s="74" t="b">
        <f>IF(Tab.11[[#This Row],[a1]]=1,1/Tab.11[[#This Row],[φ2]])</f>
        <v>0</v>
      </c>
      <c r="AE296" s="74" t="b">
        <f>IF(Tab.11[[#This Row],[a1]]=1,IF($AE$3=0,Tab.11[[#This Row],[w.0]],Tab.11[[#This Row],[w.0]]/SUM(Tab.11[w.0])))</f>
        <v>0</v>
      </c>
      <c r="AF296" s="76" t="str">
        <f>IF(Tab.11[[#This Row],[a1]]=0,"false",[3]!Tab.x5[[#This Row],[%_seN_C]])</f>
        <v>false</v>
      </c>
      <c r="AG296" s="77" t="b">
        <f>IF(Tab.11[[#This Row],[a1]]=1,AP296)</f>
        <v>0</v>
      </c>
      <c r="AH296" s="78" t="b">
        <f>IF(Tab.11[[#This Row],[a1]]=1,AQ296)</f>
        <v>0</v>
      </c>
      <c r="AI296" s="41">
        <v>3.0000000000000001E-3</v>
      </c>
      <c r="AJ296" s="79">
        <v>0.03</v>
      </c>
      <c r="AK296" s="80" t="b">
        <f>IF(Tab.11[[#This Row],[a1]]=1,1)</f>
        <v>0</v>
      </c>
      <c r="AZ296"/>
    </row>
    <row r="297" spans="1:52" hidden="1" x14ac:dyDescent="0.25">
      <c r="A297" s="61">
        <f t="shared" si="11"/>
        <v>0</v>
      </c>
      <c r="B297" s="62">
        <f t="shared" si="11"/>
        <v>0</v>
      </c>
      <c r="C297" s="62" t="b">
        <f>IF(Tab.11[[#This Row],[a1]]=1,[3]!Tab_x1[[#This Row],[Name]])</f>
        <v>0</v>
      </c>
      <c r="D297" s="63" t="b">
        <f>IF(Tab.11[[#This Row],[a1]]=1,AO297)</f>
        <v>0</v>
      </c>
      <c r="E297" s="63">
        <f t="shared" si="10"/>
        <v>0</v>
      </c>
      <c r="F297" s="64" t="b">
        <f>IF(Tab.11[[#This Row],[a1]]=1,Tab.11[[#This Row],[b1]])</f>
        <v>0</v>
      </c>
      <c r="G297" s="65" t="b">
        <f>IF(Tab.11[[#This Row],[a1]]=1,IF(Tab.11[[#This Row],[b3]]&gt;$L$989*$G$3,$L$989*$G$3,IF(Tab.11[[#This Row],[b3]]&lt;$M$989*$G$3,$M$989*$G$3,Tab.11[[#This Row],[b3]])))</f>
        <v>0</v>
      </c>
      <c r="H297" s="66" t="b">
        <f>IF(Tab.11[[#This Row],[a1]]=1,Tab.11[[#This Row],[b1]])</f>
        <v>0</v>
      </c>
      <c r="I297" s="67" t="b">
        <f>IF(Tab.11[[#This Row],[a1]]=1,Tab.11[[#This Row],[b1]])</f>
        <v>0</v>
      </c>
      <c r="J297" s="68" t="b">
        <f>IF(Tab.11[[#This Row],[a1]]=1,IF($I$3&lt;0,Tab.11[[#This Row],[b5]]-$I$3,Tab.11[[#This Row],[b5]]))</f>
        <v>0</v>
      </c>
      <c r="K297" s="68" t="b">
        <f>IF(Tab.11[[#This Row],[a1]]=1,IF($K$3=0,Tab.11[b6],Tab.11[[#This Row],[b6]]-AVERAGE(Tab.11[b6])))</f>
        <v>0</v>
      </c>
      <c r="L297" s="69" t="b">
        <f>IF(Tab.11[[#This Row],[a1]]=1,Tab.11[[#This Row],[data]]/(_xlfn.STDEV.P(Tab.11[data])*$B$989)+$A$989)</f>
        <v>0</v>
      </c>
      <c r="M297" s="69" t="b">
        <f>IF(Tab.11[[#This Row],[a1]]=1,Tab.11[[#This Row],[data]]/(_xlfn.STDEV.P(Tab.11[data])*$B$987)-$A$987)</f>
        <v>0</v>
      </c>
      <c r="N297" s="69" t="b">
        <f>IF(Tab.11[[#This Row],[a1]]=1,Tab.11[[#This Row],[data]]/(_xlfn.STDEV.P(Tab.11[data])*$B$988)+$A$988)</f>
        <v>0</v>
      </c>
      <c r="O297" s="70" t="b">
        <f>IF(Tab.11[[#This Row],[a1]]=1,_xlfn.NORM.DIST(Tab.11[[#This Row],[b8]],$P$1,$Q$1,FALSE))</f>
        <v>0</v>
      </c>
      <c r="P297" s="70" t="b">
        <f>IF(Tab.11[[#This Row],[a1]]=1,_xlfn.NORM.DIST(Tab.11[[#This Row],[b9]],$P$1,$Q$1,FALSE))</f>
        <v>0</v>
      </c>
      <c r="Q297" s="70" t="b">
        <f>IF(Tab.11[[#This Row],[a1]]=1,_xlfn.NORM.DIST(Tab.11[[#This Row],[b10]],$P$1,$Q$1,FALSE))</f>
        <v>0</v>
      </c>
      <c r="R297" s="67" t="b">
        <f>IF(Tab.11[[#This Row],[a1]]=1,$I$3+$A$989+IF($K$3=0,Tab.11[[#This Row],[b8]]*_xlfn.STDEV.P(Tab.11[data]),AVERAGE(Tab.11[b6])+Tab.11[[#This Row],[b8]]*_xlfn.STDEV.P(Tab.11[data])))</f>
        <v>0</v>
      </c>
      <c r="S297" s="71" t="b">
        <f>IF(Tab.11[[#This Row],[a1]]=1,$I$3+$A$987+IF($K$3=0,Tab.11[[#This Row],[b9]]*_xlfn.STDEV.P(Tab.11[data]),AVERAGE(Tab.11[b6])+Tab.11[[#This Row],[b9]]*_xlfn.STDEV.P(Tab.11[data])))</f>
        <v>0</v>
      </c>
      <c r="T297" s="71" t="b">
        <f>IF(Tab.11[[#This Row],[a1]]=1,$I$3+$A$988+IF($K$3=0,Tab.11[[#This Row],[b10]]*_xlfn.STDEV.P(Tab.11[data]),AVERAGE(Tab.11[b6])+Tab.11[[#This Row],[b10]]*_xlfn.STDEV.P(Tab.11[data])))</f>
        <v>0</v>
      </c>
      <c r="U297" s="72" t="b">
        <f>IF(Tab.11[[#This Row],[a1]]=1,Tab.11[[#This Row],[target]]-Tab.11[[#This Row],[Red]])</f>
        <v>0</v>
      </c>
      <c r="V297" s="72" t="b">
        <f>IF(Tab.11[[#This Row],[a1]]=1,Tab.11[[#This Row],[target]]-Tab.11[[#This Row],[Blue]])</f>
        <v>0</v>
      </c>
      <c r="W297" s="73" t="b">
        <f>IF(Tab.11[[#This Row],[a1]]=1,IF(ABS(Tab.11[[#This Row],[b17]])+ABS(Tab.11[[#This Row],[b18]])&lt;$W$2,$W$2,ABS(Tab.11[[#This Row],[b17]])+ABS(Tab.11[[#This Row],[b18]])))</f>
        <v>0</v>
      </c>
      <c r="X297" s="136" t="b">
        <f>IF(Tab.11[[#This Row],[a1]]=1,IF($W$3&lt;0,Tab.11[[#This Row],[IN]]-$I$3,Tab.11[[#This Row],[IN]]))</f>
        <v>0</v>
      </c>
      <c r="Y297" s="136" t="b">
        <f>IF(Tab.11[[#This Row],[a1]]=1,IF($X$3=0,Tab.11[b66],Tab.11[[#This Row],[b66]]-AVERAGE(Tab.11[b66])))</f>
        <v>0</v>
      </c>
      <c r="Z297" s="135" t="b">
        <f>IF(Tab.11[[#This Row],[a1]]=1,Tab.11[[#This Row],[b77]]/(_xlfn.STDEV.P(Tab.11[b77])))</f>
        <v>0</v>
      </c>
      <c r="AA297" s="70" t="b">
        <f>IF(Tab.11[[#This Row],[a1]]=1,_xlfn.NORM.DIST(Tab.11[[#This Row],[b88]],$Z$1,$AA$1,FALSE))</f>
        <v>0</v>
      </c>
      <c r="AB297" s="74" t="b">
        <f>IF(Tab.11[[#This Row],[a1]]=1,IF($A$3=0,FALSE,1/Tab.11[[#This Row],[IN]]*$AC$2*IF(Tab.11[[#This Row],[a1]]=0,,$A$3*$AC$1*1/$V$3*(Tab.11[[#This Row],[b14]]))))</f>
        <v>0</v>
      </c>
      <c r="AC297" s="75" t="b">
        <f>IF(Tab.11[[#This Row],[a1]]=1,IF($AC$3=0,Tab.11[[#This Row],[φ1]],Tab.11[[#This Row],[φ1]]/MAX(Tab.11[φ1])))</f>
        <v>0</v>
      </c>
      <c r="AD297" s="74" t="b">
        <f>IF(Tab.11[[#This Row],[a1]]=1,1/Tab.11[[#This Row],[φ2]])</f>
        <v>0</v>
      </c>
      <c r="AE297" s="74" t="b">
        <f>IF(Tab.11[[#This Row],[a1]]=1,IF($AE$3=0,Tab.11[[#This Row],[w.0]],Tab.11[[#This Row],[w.0]]/SUM(Tab.11[w.0])))</f>
        <v>0</v>
      </c>
      <c r="AF297" s="76" t="str">
        <f>IF(Tab.11[[#This Row],[a1]]=0,"false",[3]!Tab.x5[[#This Row],[%_seN_C]])</f>
        <v>false</v>
      </c>
      <c r="AG297" s="77" t="b">
        <f>IF(Tab.11[[#This Row],[a1]]=1,AP297)</f>
        <v>0</v>
      </c>
      <c r="AH297" s="78" t="b">
        <f>IF(Tab.11[[#This Row],[a1]]=1,AQ297)</f>
        <v>0</v>
      </c>
      <c r="AI297" s="41">
        <v>3.0000000000000001E-3</v>
      </c>
      <c r="AJ297" s="79">
        <v>7.0000000000000007E-2</v>
      </c>
      <c r="AK297" s="80" t="b">
        <f>IF(Tab.11[[#This Row],[a1]]=1,1)</f>
        <v>0</v>
      </c>
      <c r="AZ297"/>
    </row>
    <row r="298" spans="1:52" hidden="1" x14ac:dyDescent="0.25">
      <c r="A298" s="61">
        <f t="shared" si="11"/>
        <v>0</v>
      </c>
      <c r="B298" s="62">
        <f t="shared" si="11"/>
        <v>0</v>
      </c>
      <c r="C298" s="62" t="b">
        <f>IF(Tab.11[[#This Row],[a1]]=1,[3]!Tab_x1[[#This Row],[Name]])</f>
        <v>0</v>
      </c>
      <c r="D298" s="63" t="b">
        <f>IF(Tab.11[[#This Row],[a1]]=1,AO298)</f>
        <v>0</v>
      </c>
      <c r="E298" s="63">
        <f t="shared" si="10"/>
        <v>0</v>
      </c>
      <c r="F298" s="64" t="b">
        <f>IF(Tab.11[[#This Row],[a1]]=1,Tab.11[[#This Row],[b1]])</f>
        <v>0</v>
      </c>
      <c r="G298" s="65" t="b">
        <f>IF(Tab.11[[#This Row],[a1]]=1,IF(Tab.11[[#This Row],[b3]]&gt;$L$989*$G$3,$L$989*$G$3,IF(Tab.11[[#This Row],[b3]]&lt;$M$989*$G$3,$M$989*$G$3,Tab.11[[#This Row],[b3]])))</f>
        <v>0</v>
      </c>
      <c r="H298" s="66" t="b">
        <f>IF(Tab.11[[#This Row],[a1]]=1,Tab.11[[#This Row],[b1]])</f>
        <v>0</v>
      </c>
      <c r="I298" s="67" t="b">
        <f>IF(Tab.11[[#This Row],[a1]]=1,Tab.11[[#This Row],[b1]])</f>
        <v>0</v>
      </c>
      <c r="J298" s="68" t="b">
        <f>IF(Tab.11[[#This Row],[a1]]=1,IF($I$3&lt;0,Tab.11[[#This Row],[b5]]-$I$3,Tab.11[[#This Row],[b5]]))</f>
        <v>0</v>
      </c>
      <c r="K298" s="68" t="b">
        <f>IF(Tab.11[[#This Row],[a1]]=1,IF($K$3=0,Tab.11[b6],Tab.11[[#This Row],[b6]]-AVERAGE(Tab.11[b6])))</f>
        <v>0</v>
      </c>
      <c r="L298" s="69" t="b">
        <f>IF(Tab.11[[#This Row],[a1]]=1,Tab.11[[#This Row],[data]]/(_xlfn.STDEV.P(Tab.11[data])*$B$989)+$A$989)</f>
        <v>0</v>
      </c>
      <c r="M298" s="69" t="b">
        <f>IF(Tab.11[[#This Row],[a1]]=1,Tab.11[[#This Row],[data]]/(_xlfn.STDEV.P(Tab.11[data])*$B$987)-$A$987)</f>
        <v>0</v>
      </c>
      <c r="N298" s="69" t="b">
        <f>IF(Tab.11[[#This Row],[a1]]=1,Tab.11[[#This Row],[data]]/(_xlfn.STDEV.P(Tab.11[data])*$B$988)+$A$988)</f>
        <v>0</v>
      </c>
      <c r="O298" s="70" t="b">
        <f>IF(Tab.11[[#This Row],[a1]]=1,_xlfn.NORM.DIST(Tab.11[[#This Row],[b8]],$P$1,$Q$1,FALSE))</f>
        <v>0</v>
      </c>
      <c r="P298" s="70" t="b">
        <f>IF(Tab.11[[#This Row],[a1]]=1,_xlfn.NORM.DIST(Tab.11[[#This Row],[b9]],$P$1,$Q$1,FALSE))</f>
        <v>0</v>
      </c>
      <c r="Q298" s="70" t="b">
        <f>IF(Tab.11[[#This Row],[a1]]=1,_xlfn.NORM.DIST(Tab.11[[#This Row],[b10]],$P$1,$Q$1,FALSE))</f>
        <v>0</v>
      </c>
      <c r="R298" s="67" t="b">
        <f>IF(Tab.11[[#This Row],[a1]]=1,$I$3+$A$989+IF($K$3=0,Tab.11[[#This Row],[b8]]*_xlfn.STDEV.P(Tab.11[data]),AVERAGE(Tab.11[b6])+Tab.11[[#This Row],[b8]]*_xlfn.STDEV.P(Tab.11[data])))</f>
        <v>0</v>
      </c>
      <c r="S298" s="71" t="b">
        <f>IF(Tab.11[[#This Row],[a1]]=1,$I$3+$A$987+IF($K$3=0,Tab.11[[#This Row],[b9]]*_xlfn.STDEV.P(Tab.11[data]),AVERAGE(Tab.11[b6])+Tab.11[[#This Row],[b9]]*_xlfn.STDEV.P(Tab.11[data])))</f>
        <v>0</v>
      </c>
      <c r="T298" s="71" t="b">
        <f>IF(Tab.11[[#This Row],[a1]]=1,$I$3+$A$988+IF($K$3=0,Tab.11[[#This Row],[b10]]*_xlfn.STDEV.P(Tab.11[data]),AVERAGE(Tab.11[b6])+Tab.11[[#This Row],[b10]]*_xlfn.STDEV.P(Tab.11[data])))</f>
        <v>0</v>
      </c>
      <c r="U298" s="72" t="b">
        <f>IF(Tab.11[[#This Row],[a1]]=1,Tab.11[[#This Row],[target]]-Tab.11[[#This Row],[Red]])</f>
        <v>0</v>
      </c>
      <c r="V298" s="72" t="b">
        <f>IF(Tab.11[[#This Row],[a1]]=1,Tab.11[[#This Row],[target]]-Tab.11[[#This Row],[Blue]])</f>
        <v>0</v>
      </c>
      <c r="W298" s="73" t="b">
        <f>IF(Tab.11[[#This Row],[a1]]=1,IF(ABS(Tab.11[[#This Row],[b17]])+ABS(Tab.11[[#This Row],[b18]])&lt;$W$2,$W$2,ABS(Tab.11[[#This Row],[b17]])+ABS(Tab.11[[#This Row],[b18]])))</f>
        <v>0</v>
      </c>
      <c r="X298" s="136" t="b">
        <f>IF(Tab.11[[#This Row],[a1]]=1,IF($W$3&lt;0,Tab.11[[#This Row],[IN]]-$I$3,Tab.11[[#This Row],[IN]]))</f>
        <v>0</v>
      </c>
      <c r="Y298" s="136" t="b">
        <f>IF(Tab.11[[#This Row],[a1]]=1,IF($X$3=0,Tab.11[b66],Tab.11[[#This Row],[b66]]-AVERAGE(Tab.11[b66])))</f>
        <v>0</v>
      </c>
      <c r="Z298" s="135" t="b">
        <f>IF(Tab.11[[#This Row],[a1]]=1,Tab.11[[#This Row],[b77]]/(_xlfn.STDEV.P(Tab.11[b77])))</f>
        <v>0</v>
      </c>
      <c r="AA298" s="70" t="b">
        <f>IF(Tab.11[[#This Row],[a1]]=1,_xlfn.NORM.DIST(Tab.11[[#This Row],[b88]],$Z$1,$AA$1,FALSE))</f>
        <v>0</v>
      </c>
      <c r="AB298" s="74" t="b">
        <f>IF(Tab.11[[#This Row],[a1]]=1,IF($A$3=0,FALSE,1/Tab.11[[#This Row],[IN]]*$AC$2*IF(Tab.11[[#This Row],[a1]]=0,,$A$3*$AC$1*1/$V$3*(Tab.11[[#This Row],[b14]]))))</f>
        <v>0</v>
      </c>
      <c r="AC298" s="75" t="b">
        <f>IF(Tab.11[[#This Row],[a1]]=1,IF($AC$3=0,Tab.11[[#This Row],[φ1]],Tab.11[[#This Row],[φ1]]/MAX(Tab.11[φ1])))</f>
        <v>0</v>
      </c>
      <c r="AD298" s="74" t="b">
        <f>IF(Tab.11[[#This Row],[a1]]=1,1/Tab.11[[#This Row],[φ2]])</f>
        <v>0</v>
      </c>
      <c r="AE298" s="74" t="b">
        <f>IF(Tab.11[[#This Row],[a1]]=1,IF($AE$3=0,Tab.11[[#This Row],[w.0]],Tab.11[[#This Row],[w.0]]/SUM(Tab.11[w.0])))</f>
        <v>0</v>
      </c>
      <c r="AF298" s="76" t="str">
        <f>IF(Tab.11[[#This Row],[a1]]=0,"false",[3]!Tab.x5[[#This Row],[%_seN_C]])</f>
        <v>false</v>
      </c>
      <c r="AG298" s="77" t="b">
        <f>IF(Tab.11[[#This Row],[a1]]=1,AP298)</f>
        <v>0</v>
      </c>
      <c r="AH298" s="78" t="b">
        <f>IF(Tab.11[[#This Row],[a1]]=1,AQ298)</f>
        <v>0</v>
      </c>
      <c r="AI298" s="41">
        <v>3.0000000000000001E-3</v>
      </c>
      <c r="AJ298" s="79">
        <v>0.08</v>
      </c>
      <c r="AK298" s="80" t="b">
        <f>IF(Tab.11[[#This Row],[a1]]=1,1)</f>
        <v>0</v>
      </c>
      <c r="AZ298"/>
    </row>
    <row r="299" spans="1:52" hidden="1" x14ac:dyDescent="0.25">
      <c r="A299" s="61">
        <f t="shared" si="11"/>
        <v>0</v>
      </c>
      <c r="B299" s="62">
        <f t="shared" si="11"/>
        <v>0</v>
      </c>
      <c r="C299" s="62" t="b">
        <f>IF(Tab.11[[#This Row],[a1]]=1,[3]!Tab_x1[[#This Row],[Name]])</f>
        <v>0</v>
      </c>
      <c r="D299" s="63" t="b">
        <f>IF(Tab.11[[#This Row],[a1]]=1,AO299)</f>
        <v>0</v>
      </c>
      <c r="E299" s="63">
        <f t="shared" si="10"/>
        <v>0</v>
      </c>
      <c r="F299" s="64" t="b">
        <f>IF(Tab.11[[#This Row],[a1]]=1,Tab.11[[#This Row],[b1]])</f>
        <v>0</v>
      </c>
      <c r="G299" s="65" t="b">
        <f>IF(Tab.11[[#This Row],[a1]]=1,IF(Tab.11[[#This Row],[b3]]&gt;$L$989*$G$3,$L$989*$G$3,IF(Tab.11[[#This Row],[b3]]&lt;$M$989*$G$3,$M$989*$G$3,Tab.11[[#This Row],[b3]])))</f>
        <v>0</v>
      </c>
      <c r="H299" s="66" t="b">
        <f>IF(Tab.11[[#This Row],[a1]]=1,Tab.11[[#This Row],[b1]])</f>
        <v>0</v>
      </c>
      <c r="I299" s="67" t="b">
        <f>IF(Tab.11[[#This Row],[a1]]=1,Tab.11[[#This Row],[b1]])</f>
        <v>0</v>
      </c>
      <c r="J299" s="68" t="b">
        <f>IF(Tab.11[[#This Row],[a1]]=1,IF($I$3&lt;0,Tab.11[[#This Row],[b5]]-$I$3,Tab.11[[#This Row],[b5]]))</f>
        <v>0</v>
      </c>
      <c r="K299" s="68" t="b">
        <f>IF(Tab.11[[#This Row],[a1]]=1,IF($K$3=0,Tab.11[b6],Tab.11[[#This Row],[b6]]-AVERAGE(Tab.11[b6])))</f>
        <v>0</v>
      </c>
      <c r="L299" s="69" t="b">
        <f>IF(Tab.11[[#This Row],[a1]]=1,Tab.11[[#This Row],[data]]/(_xlfn.STDEV.P(Tab.11[data])*$B$989)+$A$989)</f>
        <v>0</v>
      </c>
      <c r="M299" s="69" t="b">
        <f>IF(Tab.11[[#This Row],[a1]]=1,Tab.11[[#This Row],[data]]/(_xlfn.STDEV.P(Tab.11[data])*$B$987)-$A$987)</f>
        <v>0</v>
      </c>
      <c r="N299" s="69" t="b">
        <f>IF(Tab.11[[#This Row],[a1]]=1,Tab.11[[#This Row],[data]]/(_xlfn.STDEV.P(Tab.11[data])*$B$988)+$A$988)</f>
        <v>0</v>
      </c>
      <c r="O299" s="70" t="b">
        <f>IF(Tab.11[[#This Row],[a1]]=1,_xlfn.NORM.DIST(Tab.11[[#This Row],[b8]],$P$1,$Q$1,FALSE))</f>
        <v>0</v>
      </c>
      <c r="P299" s="70" t="b">
        <f>IF(Tab.11[[#This Row],[a1]]=1,_xlfn.NORM.DIST(Tab.11[[#This Row],[b9]],$P$1,$Q$1,FALSE))</f>
        <v>0</v>
      </c>
      <c r="Q299" s="70" t="b">
        <f>IF(Tab.11[[#This Row],[a1]]=1,_xlfn.NORM.DIST(Tab.11[[#This Row],[b10]],$P$1,$Q$1,FALSE))</f>
        <v>0</v>
      </c>
      <c r="R299" s="67" t="b">
        <f>IF(Tab.11[[#This Row],[a1]]=1,$I$3+$A$989+IF($K$3=0,Tab.11[[#This Row],[b8]]*_xlfn.STDEV.P(Tab.11[data]),AVERAGE(Tab.11[b6])+Tab.11[[#This Row],[b8]]*_xlfn.STDEV.P(Tab.11[data])))</f>
        <v>0</v>
      </c>
      <c r="S299" s="71" t="b">
        <f>IF(Tab.11[[#This Row],[a1]]=1,$I$3+$A$987+IF($K$3=0,Tab.11[[#This Row],[b9]]*_xlfn.STDEV.P(Tab.11[data]),AVERAGE(Tab.11[b6])+Tab.11[[#This Row],[b9]]*_xlfn.STDEV.P(Tab.11[data])))</f>
        <v>0</v>
      </c>
      <c r="T299" s="71" t="b">
        <f>IF(Tab.11[[#This Row],[a1]]=1,$I$3+$A$988+IF($K$3=0,Tab.11[[#This Row],[b10]]*_xlfn.STDEV.P(Tab.11[data]),AVERAGE(Tab.11[b6])+Tab.11[[#This Row],[b10]]*_xlfn.STDEV.P(Tab.11[data])))</f>
        <v>0</v>
      </c>
      <c r="U299" s="72" t="b">
        <f>IF(Tab.11[[#This Row],[a1]]=1,Tab.11[[#This Row],[target]]-Tab.11[[#This Row],[Red]])</f>
        <v>0</v>
      </c>
      <c r="V299" s="72" t="b">
        <f>IF(Tab.11[[#This Row],[a1]]=1,Tab.11[[#This Row],[target]]-Tab.11[[#This Row],[Blue]])</f>
        <v>0</v>
      </c>
      <c r="W299" s="73" t="b">
        <f>IF(Tab.11[[#This Row],[a1]]=1,IF(ABS(Tab.11[[#This Row],[b17]])+ABS(Tab.11[[#This Row],[b18]])&lt;$W$2,$W$2,ABS(Tab.11[[#This Row],[b17]])+ABS(Tab.11[[#This Row],[b18]])))</f>
        <v>0</v>
      </c>
      <c r="X299" s="136" t="b">
        <f>IF(Tab.11[[#This Row],[a1]]=1,IF($W$3&lt;0,Tab.11[[#This Row],[IN]]-$I$3,Tab.11[[#This Row],[IN]]))</f>
        <v>0</v>
      </c>
      <c r="Y299" s="136" t="b">
        <f>IF(Tab.11[[#This Row],[a1]]=1,IF($X$3=0,Tab.11[b66],Tab.11[[#This Row],[b66]]-AVERAGE(Tab.11[b66])))</f>
        <v>0</v>
      </c>
      <c r="Z299" s="135" t="b">
        <f>IF(Tab.11[[#This Row],[a1]]=1,Tab.11[[#This Row],[b77]]/(_xlfn.STDEV.P(Tab.11[b77])))</f>
        <v>0</v>
      </c>
      <c r="AA299" s="70" t="b">
        <f>IF(Tab.11[[#This Row],[a1]]=1,_xlfn.NORM.DIST(Tab.11[[#This Row],[b88]],$Z$1,$AA$1,FALSE))</f>
        <v>0</v>
      </c>
      <c r="AB299" s="74" t="b">
        <f>IF(Tab.11[[#This Row],[a1]]=1,IF($A$3=0,FALSE,1/Tab.11[[#This Row],[IN]]*$AC$2*IF(Tab.11[[#This Row],[a1]]=0,,$A$3*$AC$1*1/$V$3*(Tab.11[[#This Row],[b14]]))))</f>
        <v>0</v>
      </c>
      <c r="AC299" s="75" t="b">
        <f>IF(Tab.11[[#This Row],[a1]]=1,IF($AC$3=0,Tab.11[[#This Row],[φ1]],Tab.11[[#This Row],[φ1]]/MAX(Tab.11[φ1])))</f>
        <v>0</v>
      </c>
      <c r="AD299" s="74" t="b">
        <f>IF(Tab.11[[#This Row],[a1]]=1,1/Tab.11[[#This Row],[φ2]])</f>
        <v>0</v>
      </c>
      <c r="AE299" s="74" t="b">
        <f>IF(Tab.11[[#This Row],[a1]]=1,IF($AE$3=0,Tab.11[[#This Row],[w.0]],Tab.11[[#This Row],[w.0]]/SUM(Tab.11[w.0])))</f>
        <v>0</v>
      </c>
      <c r="AF299" s="76" t="str">
        <f>IF(Tab.11[[#This Row],[a1]]=0,"false",[3]!Tab.x5[[#This Row],[%_seN_C]])</f>
        <v>false</v>
      </c>
      <c r="AG299" s="77" t="b">
        <f>IF(Tab.11[[#This Row],[a1]]=1,AP299)</f>
        <v>0</v>
      </c>
      <c r="AH299" s="78" t="b">
        <f>IF(Tab.11[[#This Row],[a1]]=1,AQ299)</f>
        <v>0</v>
      </c>
      <c r="AI299" s="41">
        <v>3.0000000000000001E-3</v>
      </c>
      <c r="AJ299" s="79">
        <v>0.06</v>
      </c>
      <c r="AK299" s="80" t="b">
        <f>IF(Tab.11[[#This Row],[a1]]=1,1)</f>
        <v>0</v>
      </c>
      <c r="AZ299"/>
    </row>
    <row r="300" spans="1:52" hidden="1" x14ac:dyDescent="0.25">
      <c r="A300" s="61">
        <f t="shared" si="11"/>
        <v>0</v>
      </c>
      <c r="B300" s="62">
        <f t="shared" si="11"/>
        <v>0</v>
      </c>
      <c r="C300" s="62" t="b">
        <f>IF(Tab.11[[#This Row],[a1]]=1,[3]!Tab_x1[[#This Row],[Name]])</f>
        <v>0</v>
      </c>
      <c r="D300" s="63" t="b">
        <f>IF(Tab.11[[#This Row],[a1]]=1,AO300)</f>
        <v>0</v>
      </c>
      <c r="E300" s="63">
        <f t="shared" si="10"/>
        <v>0</v>
      </c>
      <c r="F300" s="64" t="b">
        <f>IF(Tab.11[[#This Row],[a1]]=1,Tab.11[[#This Row],[b1]])</f>
        <v>0</v>
      </c>
      <c r="G300" s="65" t="b">
        <f>IF(Tab.11[[#This Row],[a1]]=1,IF(Tab.11[[#This Row],[b3]]&gt;$L$989*$G$3,$L$989*$G$3,IF(Tab.11[[#This Row],[b3]]&lt;$M$989*$G$3,$M$989*$G$3,Tab.11[[#This Row],[b3]])))</f>
        <v>0</v>
      </c>
      <c r="H300" s="66" t="b">
        <f>IF(Tab.11[[#This Row],[a1]]=1,Tab.11[[#This Row],[b1]])</f>
        <v>0</v>
      </c>
      <c r="I300" s="67" t="b">
        <f>IF(Tab.11[[#This Row],[a1]]=1,Tab.11[[#This Row],[b1]])</f>
        <v>0</v>
      </c>
      <c r="J300" s="68" t="b">
        <f>IF(Tab.11[[#This Row],[a1]]=1,IF($I$3&lt;0,Tab.11[[#This Row],[b5]]-$I$3,Tab.11[[#This Row],[b5]]))</f>
        <v>0</v>
      </c>
      <c r="K300" s="68" t="b">
        <f>IF(Tab.11[[#This Row],[a1]]=1,IF($K$3=0,Tab.11[b6],Tab.11[[#This Row],[b6]]-AVERAGE(Tab.11[b6])))</f>
        <v>0</v>
      </c>
      <c r="L300" s="69" t="b">
        <f>IF(Tab.11[[#This Row],[a1]]=1,Tab.11[[#This Row],[data]]/(_xlfn.STDEV.P(Tab.11[data])*$B$989)+$A$989)</f>
        <v>0</v>
      </c>
      <c r="M300" s="69" t="b">
        <f>IF(Tab.11[[#This Row],[a1]]=1,Tab.11[[#This Row],[data]]/(_xlfn.STDEV.P(Tab.11[data])*$B$987)-$A$987)</f>
        <v>0</v>
      </c>
      <c r="N300" s="69" t="b">
        <f>IF(Tab.11[[#This Row],[a1]]=1,Tab.11[[#This Row],[data]]/(_xlfn.STDEV.P(Tab.11[data])*$B$988)+$A$988)</f>
        <v>0</v>
      </c>
      <c r="O300" s="70" t="b">
        <f>IF(Tab.11[[#This Row],[a1]]=1,_xlfn.NORM.DIST(Tab.11[[#This Row],[b8]],$P$1,$Q$1,FALSE))</f>
        <v>0</v>
      </c>
      <c r="P300" s="70" t="b">
        <f>IF(Tab.11[[#This Row],[a1]]=1,_xlfn.NORM.DIST(Tab.11[[#This Row],[b9]],$P$1,$Q$1,FALSE))</f>
        <v>0</v>
      </c>
      <c r="Q300" s="70" t="b">
        <f>IF(Tab.11[[#This Row],[a1]]=1,_xlfn.NORM.DIST(Tab.11[[#This Row],[b10]],$P$1,$Q$1,FALSE))</f>
        <v>0</v>
      </c>
      <c r="R300" s="67" t="b">
        <f>IF(Tab.11[[#This Row],[a1]]=1,$I$3+$A$989+IF($K$3=0,Tab.11[[#This Row],[b8]]*_xlfn.STDEV.P(Tab.11[data]),AVERAGE(Tab.11[b6])+Tab.11[[#This Row],[b8]]*_xlfn.STDEV.P(Tab.11[data])))</f>
        <v>0</v>
      </c>
      <c r="S300" s="71" t="b">
        <f>IF(Tab.11[[#This Row],[a1]]=1,$I$3+$A$987+IF($K$3=0,Tab.11[[#This Row],[b9]]*_xlfn.STDEV.P(Tab.11[data]),AVERAGE(Tab.11[b6])+Tab.11[[#This Row],[b9]]*_xlfn.STDEV.P(Tab.11[data])))</f>
        <v>0</v>
      </c>
      <c r="T300" s="71" t="b">
        <f>IF(Tab.11[[#This Row],[a1]]=1,$I$3+$A$988+IF($K$3=0,Tab.11[[#This Row],[b10]]*_xlfn.STDEV.P(Tab.11[data]),AVERAGE(Tab.11[b6])+Tab.11[[#This Row],[b10]]*_xlfn.STDEV.P(Tab.11[data])))</f>
        <v>0</v>
      </c>
      <c r="U300" s="72" t="b">
        <f>IF(Tab.11[[#This Row],[a1]]=1,Tab.11[[#This Row],[target]]-Tab.11[[#This Row],[Red]])</f>
        <v>0</v>
      </c>
      <c r="V300" s="72" t="b">
        <f>IF(Tab.11[[#This Row],[a1]]=1,Tab.11[[#This Row],[target]]-Tab.11[[#This Row],[Blue]])</f>
        <v>0</v>
      </c>
      <c r="W300" s="73" t="b">
        <f>IF(Tab.11[[#This Row],[a1]]=1,IF(ABS(Tab.11[[#This Row],[b17]])+ABS(Tab.11[[#This Row],[b18]])&lt;$W$2,$W$2,ABS(Tab.11[[#This Row],[b17]])+ABS(Tab.11[[#This Row],[b18]])))</f>
        <v>0</v>
      </c>
      <c r="X300" s="136" t="b">
        <f>IF(Tab.11[[#This Row],[a1]]=1,IF($W$3&lt;0,Tab.11[[#This Row],[IN]]-$I$3,Tab.11[[#This Row],[IN]]))</f>
        <v>0</v>
      </c>
      <c r="Y300" s="136" t="b">
        <f>IF(Tab.11[[#This Row],[a1]]=1,IF($X$3=0,Tab.11[b66],Tab.11[[#This Row],[b66]]-AVERAGE(Tab.11[b66])))</f>
        <v>0</v>
      </c>
      <c r="Z300" s="135" t="b">
        <f>IF(Tab.11[[#This Row],[a1]]=1,Tab.11[[#This Row],[b77]]/(_xlfn.STDEV.P(Tab.11[b77])))</f>
        <v>0</v>
      </c>
      <c r="AA300" s="70" t="b">
        <f>IF(Tab.11[[#This Row],[a1]]=1,_xlfn.NORM.DIST(Tab.11[[#This Row],[b88]],$Z$1,$AA$1,FALSE))</f>
        <v>0</v>
      </c>
      <c r="AB300" s="74" t="b">
        <f>IF(Tab.11[[#This Row],[a1]]=1,IF($A$3=0,FALSE,1/Tab.11[[#This Row],[IN]]*$AC$2*IF(Tab.11[[#This Row],[a1]]=0,,$A$3*$AC$1*1/$V$3*(Tab.11[[#This Row],[b14]]))))</f>
        <v>0</v>
      </c>
      <c r="AC300" s="75" t="b">
        <f>IF(Tab.11[[#This Row],[a1]]=1,IF($AC$3=0,Tab.11[[#This Row],[φ1]],Tab.11[[#This Row],[φ1]]/MAX(Tab.11[φ1])))</f>
        <v>0</v>
      </c>
      <c r="AD300" s="74" t="b">
        <f>IF(Tab.11[[#This Row],[a1]]=1,1/Tab.11[[#This Row],[φ2]])</f>
        <v>0</v>
      </c>
      <c r="AE300" s="74" t="b">
        <f>IF(Tab.11[[#This Row],[a1]]=1,IF($AE$3=0,Tab.11[[#This Row],[w.0]],Tab.11[[#This Row],[w.0]]/SUM(Tab.11[w.0])))</f>
        <v>0</v>
      </c>
      <c r="AF300" s="76" t="str">
        <f>IF(Tab.11[[#This Row],[a1]]=0,"false",[3]!Tab.x5[[#This Row],[%_seN_C]])</f>
        <v>false</v>
      </c>
      <c r="AG300" s="77" t="b">
        <f>IF(Tab.11[[#This Row],[a1]]=1,AP300)</f>
        <v>0</v>
      </c>
      <c r="AH300" s="78" t="b">
        <f>IF(Tab.11[[#This Row],[a1]]=1,AQ300)</f>
        <v>0</v>
      </c>
      <c r="AI300" s="41">
        <v>3.0000000000000001E-3</v>
      </c>
      <c r="AJ300" s="79">
        <v>0.01</v>
      </c>
      <c r="AK300" s="80" t="b">
        <f>IF(Tab.11[[#This Row],[a1]]=1,1)</f>
        <v>0</v>
      </c>
      <c r="AZ300"/>
    </row>
    <row r="301" spans="1:52" hidden="1" x14ac:dyDescent="0.25">
      <c r="A301" s="61">
        <f t="shared" si="11"/>
        <v>0</v>
      </c>
      <c r="B301" s="62">
        <f t="shared" si="11"/>
        <v>0</v>
      </c>
      <c r="C301" s="62" t="b">
        <f>IF(Tab.11[[#This Row],[a1]]=1,[3]!Tab_x1[[#This Row],[Name]])</f>
        <v>0</v>
      </c>
      <c r="D301" s="63" t="b">
        <f>IF(Tab.11[[#This Row],[a1]]=1,AO301)</f>
        <v>0</v>
      </c>
      <c r="E301" s="63">
        <f t="shared" si="10"/>
        <v>0</v>
      </c>
      <c r="F301" s="64" t="b">
        <f>IF(Tab.11[[#This Row],[a1]]=1,Tab.11[[#This Row],[b1]])</f>
        <v>0</v>
      </c>
      <c r="G301" s="65" t="b">
        <f>IF(Tab.11[[#This Row],[a1]]=1,IF(Tab.11[[#This Row],[b3]]&gt;$L$989*$G$3,$L$989*$G$3,IF(Tab.11[[#This Row],[b3]]&lt;$M$989*$G$3,$M$989*$G$3,Tab.11[[#This Row],[b3]])))</f>
        <v>0</v>
      </c>
      <c r="H301" s="66" t="b">
        <f>IF(Tab.11[[#This Row],[a1]]=1,Tab.11[[#This Row],[b1]])</f>
        <v>0</v>
      </c>
      <c r="I301" s="67" t="b">
        <f>IF(Tab.11[[#This Row],[a1]]=1,Tab.11[[#This Row],[b1]])</f>
        <v>0</v>
      </c>
      <c r="J301" s="68" t="b">
        <f>IF(Tab.11[[#This Row],[a1]]=1,IF($I$3&lt;0,Tab.11[[#This Row],[b5]]-$I$3,Tab.11[[#This Row],[b5]]))</f>
        <v>0</v>
      </c>
      <c r="K301" s="68" t="b">
        <f>IF(Tab.11[[#This Row],[a1]]=1,IF($K$3=0,Tab.11[b6],Tab.11[[#This Row],[b6]]-AVERAGE(Tab.11[b6])))</f>
        <v>0</v>
      </c>
      <c r="L301" s="69" t="b">
        <f>IF(Tab.11[[#This Row],[a1]]=1,Tab.11[[#This Row],[data]]/(_xlfn.STDEV.P(Tab.11[data])*$B$989)+$A$989)</f>
        <v>0</v>
      </c>
      <c r="M301" s="69" t="b">
        <f>IF(Tab.11[[#This Row],[a1]]=1,Tab.11[[#This Row],[data]]/(_xlfn.STDEV.P(Tab.11[data])*$B$987)-$A$987)</f>
        <v>0</v>
      </c>
      <c r="N301" s="69" t="b">
        <f>IF(Tab.11[[#This Row],[a1]]=1,Tab.11[[#This Row],[data]]/(_xlfn.STDEV.P(Tab.11[data])*$B$988)+$A$988)</f>
        <v>0</v>
      </c>
      <c r="O301" s="70" t="b">
        <f>IF(Tab.11[[#This Row],[a1]]=1,_xlfn.NORM.DIST(Tab.11[[#This Row],[b8]],$P$1,$Q$1,FALSE))</f>
        <v>0</v>
      </c>
      <c r="P301" s="70" t="b">
        <f>IF(Tab.11[[#This Row],[a1]]=1,_xlfn.NORM.DIST(Tab.11[[#This Row],[b9]],$P$1,$Q$1,FALSE))</f>
        <v>0</v>
      </c>
      <c r="Q301" s="70" t="b">
        <f>IF(Tab.11[[#This Row],[a1]]=1,_xlfn.NORM.DIST(Tab.11[[#This Row],[b10]],$P$1,$Q$1,FALSE))</f>
        <v>0</v>
      </c>
      <c r="R301" s="67" t="b">
        <f>IF(Tab.11[[#This Row],[a1]]=1,$I$3+$A$989+IF($K$3=0,Tab.11[[#This Row],[b8]]*_xlfn.STDEV.P(Tab.11[data]),AVERAGE(Tab.11[b6])+Tab.11[[#This Row],[b8]]*_xlfn.STDEV.P(Tab.11[data])))</f>
        <v>0</v>
      </c>
      <c r="S301" s="71" t="b">
        <f>IF(Tab.11[[#This Row],[a1]]=1,$I$3+$A$987+IF($K$3=0,Tab.11[[#This Row],[b9]]*_xlfn.STDEV.P(Tab.11[data]),AVERAGE(Tab.11[b6])+Tab.11[[#This Row],[b9]]*_xlfn.STDEV.P(Tab.11[data])))</f>
        <v>0</v>
      </c>
      <c r="T301" s="71" t="b">
        <f>IF(Tab.11[[#This Row],[a1]]=1,$I$3+$A$988+IF($K$3=0,Tab.11[[#This Row],[b10]]*_xlfn.STDEV.P(Tab.11[data]),AVERAGE(Tab.11[b6])+Tab.11[[#This Row],[b10]]*_xlfn.STDEV.P(Tab.11[data])))</f>
        <v>0</v>
      </c>
      <c r="U301" s="72" t="b">
        <f>IF(Tab.11[[#This Row],[a1]]=1,Tab.11[[#This Row],[target]]-Tab.11[[#This Row],[Red]])</f>
        <v>0</v>
      </c>
      <c r="V301" s="72" t="b">
        <f>IF(Tab.11[[#This Row],[a1]]=1,Tab.11[[#This Row],[target]]-Tab.11[[#This Row],[Blue]])</f>
        <v>0</v>
      </c>
      <c r="W301" s="73" t="b">
        <f>IF(Tab.11[[#This Row],[a1]]=1,IF(ABS(Tab.11[[#This Row],[b17]])+ABS(Tab.11[[#This Row],[b18]])&lt;$W$2,$W$2,ABS(Tab.11[[#This Row],[b17]])+ABS(Tab.11[[#This Row],[b18]])))</f>
        <v>0</v>
      </c>
      <c r="X301" s="136" t="b">
        <f>IF(Tab.11[[#This Row],[a1]]=1,IF($W$3&lt;0,Tab.11[[#This Row],[IN]]-$I$3,Tab.11[[#This Row],[IN]]))</f>
        <v>0</v>
      </c>
      <c r="Y301" s="136" t="b">
        <f>IF(Tab.11[[#This Row],[a1]]=1,IF($X$3=0,Tab.11[b66],Tab.11[[#This Row],[b66]]-AVERAGE(Tab.11[b66])))</f>
        <v>0</v>
      </c>
      <c r="Z301" s="135" t="b">
        <f>IF(Tab.11[[#This Row],[a1]]=1,Tab.11[[#This Row],[b77]]/(_xlfn.STDEV.P(Tab.11[b77])))</f>
        <v>0</v>
      </c>
      <c r="AA301" s="70" t="b">
        <f>IF(Tab.11[[#This Row],[a1]]=1,_xlfn.NORM.DIST(Tab.11[[#This Row],[b88]],$Z$1,$AA$1,FALSE))</f>
        <v>0</v>
      </c>
      <c r="AB301" s="74" t="b">
        <f>IF(Tab.11[[#This Row],[a1]]=1,IF($A$3=0,FALSE,1/Tab.11[[#This Row],[IN]]*$AC$2*IF(Tab.11[[#This Row],[a1]]=0,,$A$3*$AC$1*1/$V$3*(Tab.11[[#This Row],[b14]]))))</f>
        <v>0</v>
      </c>
      <c r="AC301" s="75" t="b">
        <f>IF(Tab.11[[#This Row],[a1]]=1,IF($AC$3=0,Tab.11[[#This Row],[φ1]],Tab.11[[#This Row],[φ1]]/MAX(Tab.11[φ1])))</f>
        <v>0</v>
      </c>
      <c r="AD301" s="74" t="b">
        <f>IF(Tab.11[[#This Row],[a1]]=1,1/Tab.11[[#This Row],[φ2]])</f>
        <v>0</v>
      </c>
      <c r="AE301" s="74" t="b">
        <f>IF(Tab.11[[#This Row],[a1]]=1,IF($AE$3=0,Tab.11[[#This Row],[w.0]],Tab.11[[#This Row],[w.0]]/SUM(Tab.11[w.0])))</f>
        <v>0</v>
      </c>
      <c r="AF301" s="76" t="str">
        <f>IF(Tab.11[[#This Row],[a1]]=0,"false",[3]!Tab.x5[[#This Row],[%_seN_C]])</f>
        <v>false</v>
      </c>
      <c r="AG301" s="77" t="b">
        <f>IF(Tab.11[[#This Row],[a1]]=1,AP301)</f>
        <v>0</v>
      </c>
      <c r="AH301" s="78" t="b">
        <f>IF(Tab.11[[#This Row],[a1]]=1,AQ301)</f>
        <v>0</v>
      </c>
      <c r="AI301" s="41">
        <v>3.0000000000000001E-3</v>
      </c>
      <c r="AJ301" s="79">
        <v>-0.05</v>
      </c>
      <c r="AK301" s="80" t="b">
        <f>IF(Tab.11[[#This Row],[a1]]=1,1)</f>
        <v>0</v>
      </c>
      <c r="AZ301"/>
    </row>
    <row r="302" spans="1:52" hidden="1" x14ac:dyDescent="0.25">
      <c r="A302" s="61">
        <f t="shared" si="11"/>
        <v>0</v>
      </c>
      <c r="B302" s="62">
        <f t="shared" si="11"/>
        <v>0</v>
      </c>
      <c r="C302" s="62" t="b">
        <f>IF(Tab.11[[#This Row],[a1]]=1,[3]!Tab_x1[[#This Row],[Name]])</f>
        <v>0</v>
      </c>
      <c r="D302" s="63" t="b">
        <f>IF(Tab.11[[#This Row],[a1]]=1,AO302)</f>
        <v>0</v>
      </c>
      <c r="E302" s="63">
        <f t="shared" si="10"/>
        <v>0</v>
      </c>
      <c r="F302" s="64" t="b">
        <f>IF(Tab.11[[#This Row],[a1]]=1,Tab.11[[#This Row],[b1]])</f>
        <v>0</v>
      </c>
      <c r="G302" s="65" t="b">
        <f>IF(Tab.11[[#This Row],[a1]]=1,IF(Tab.11[[#This Row],[b3]]&gt;$L$989*$G$3,$L$989*$G$3,IF(Tab.11[[#This Row],[b3]]&lt;$M$989*$G$3,$M$989*$G$3,Tab.11[[#This Row],[b3]])))</f>
        <v>0</v>
      </c>
      <c r="H302" s="66" t="b">
        <f>IF(Tab.11[[#This Row],[a1]]=1,Tab.11[[#This Row],[b1]])</f>
        <v>0</v>
      </c>
      <c r="I302" s="67" t="b">
        <f>IF(Tab.11[[#This Row],[a1]]=1,Tab.11[[#This Row],[b1]])</f>
        <v>0</v>
      </c>
      <c r="J302" s="68" t="b">
        <f>IF(Tab.11[[#This Row],[a1]]=1,IF($I$3&lt;0,Tab.11[[#This Row],[b5]]-$I$3,Tab.11[[#This Row],[b5]]))</f>
        <v>0</v>
      </c>
      <c r="K302" s="68" t="b">
        <f>IF(Tab.11[[#This Row],[a1]]=1,IF($K$3=0,Tab.11[b6],Tab.11[[#This Row],[b6]]-AVERAGE(Tab.11[b6])))</f>
        <v>0</v>
      </c>
      <c r="L302" s="69" t="b">
        <f>IF(Tab.11[[#This Row],[a1]]=1,Tab.11[[#This Row],[data]]/(_xlfn.STDEV.P(Tab.11[data])*$B$989)+$A$989)</f>
        <v>0</v>
      </c>
      <c r="M302" s="69" t="b">
        <f>IF(Tab.11[[#This Row],[a1]]=1,Tab.11[[#This Row],[data]]/(_xlfn.STDEV.P(Tab.11[data])*$B$987)-$A$987)</f>
        <v>0</v>
      </c>
      <c r="N302" s="69" t="b">
        <f>IF(Tab.11[[#This Row],[a1]]=1,Tab.11[[#This Row],[data]]/(_xlfn.STDEV.P(Tab.11[data])*$B$988)+$A$988)</f>
        <v>0</v>
      </c>
      <c r="O302" s="70" t="b">
        <f>IF(Tab.11[[#This Row],[a1]]=1,_xlfn.NORM.DIST(Tab.11[[#This Row],[b8]],$P$1,$Q$1,FALSE))</f>
        <v>0</v>
      </c>
      <c r="P302" s="70" t="b">
        <f>IF(Tab.11[[#This Row],[a1]]=1,_xlfn.NORM.DIST(Tab.11[[#This Row],[b9]],$P$1,$Q$1,FALSE))</f>
        <v>0</v>
      </c>
      <c r="Q302" s="70" t="b">
        <f>IF(Tab.11[[#This Row],[a1]]=1,_xlfn.NORM.DIST(Tab.11[[#This Row],[b10]],$P$1,$Q$1,FALSE))</f>
        <v>0</v>
      </c>
      <c r="R302" s="67" t="b">
        <f>IF(Tab.11[[#This Row],[a1]]=1,$I$3+$A$989+IF($K$3=0,Tab.11[[#This Row],[b8]]*_xlfn.STDEV.P(Tab.11[data]),AVERAGE(Tab.11[b6])+Tab.11[[#This Row],[b8]]*_xlfn.STDEV.P(Tab.11[data])))</f>
        <v>0</v>
      </c>
      <c r="S302" s="71" t="b">
        <f>IF(Tab.11[[#This Row],[a1]]=1,$I$3+$A$987+IF($K$3=0,Tab.11[[#This Row],[b9]]*_xlfn.STDEV.P(Tab.11[data]),AVERAGE(Tab.11[b6])+Tab.11[[#This Row],[b9]]*_xlfn.STDEV.P(Tab.11[data])))</f>
        <v>0</v>
      </c>
      <c r="T302" s="71" t="b">
        <f>IF(Tab.11[[#This Row],[a1]]=1,$I$3+$A$988+IF($K$3=0,Tab.11[[#This Row],[b10]]*_xlfn.STDEV.P(Tab.11[data]),AVERAGE(Tab.11[b6])+Tab.11[[#This Row],[b10]]*_xlfn.STDEV.P(Tab.11[data])))</f>
        <v>0</v>
      </c>
      <c r="U302" s="72" t="b">
        <f>IF(Tab.11[[#This Row],[a1]]=1,Tab.11[[#This Row],[target]]-Tab.11[[#This Row],[Red]])</f>
        <v>0</v>
      </c>
      <c r="V302" s="72" t="b">
        <f>IF(Tab.11[[#This Row],[a1]]=1,Tab.11[[#This Row],[target]]-Tab.11[[#This Row],[Blue]])</f>
        <v>0</v>
      </c>
      <c r="W302" s="73" t="b">
        <f>IF(Tab.11[[#This Row],[a1]]=1,IF(ABS(Tab.11[[#This Row],[b17]])+ABS(Tab.11[[#This Row],[b18]])&lt;$W$2,$W$2,ABS(Tab.11[[#This Row],[b17]])+ABS(Tab.11[[#This Row],[b18]])))</f>
        <v>0</v>
      </c>
      <c r="X302" s="136" t="b">
        <f>IF(Tab.11[[#This Row],[a1]]=1,IF($W$3&lt;0,Tab.11[[#This Row],[IN]]-$I$3,Tab.11[[#This Row],[IN]]))</f>
        <v>0</v>
      </c>
      <c r="Y302" s="136" t="b">
        <f>IF(Tab.11[[#This Row],[a1]]=1,IF($X$3=0,Tab.11[b66],Tab.11[[#This Row],[b66]]-AVERAGE(Tab.11[b66])))</f>
        <v>0</v>
      </c>
      <c r="Z302" s="135" t="b">
        <f>IF(Tab.11[[#This Row],[a1]]=1,Tab.11[[#This Row],[b77]]/(_xlfn.STDEV.P(Tab.11[b77])))</f>
        <v>0</v>
      </c>
      <c r="AA302" s="70" t="b">
        <f>IF(Tab.11[[#This Row],[a1]]=1,_xlfn.NORM.DIST(Tab.11[[#This Row],[b88]],$Z$1,$AA$1,FALSE))</f>
        <v>0</v>
      </c>
      <c r="AB302" s="74" t="b">
        <f>IF(Tab.11[[#This Row],[a1]]=1,IF($A$3=0,FALSE,1/Tab.11[[#This Row],[IN]]*$AC$2*IF(Tab.11[[#This Row],[a1]]=0,,$A$3*$AC$1*1/$V$3*(Tab.11[[#This Row],[b14]]))))</f>
        <v>0</v>
      </c>
      <c r="AC302" s="75" t="b">
        <f>IF(Tab.11[[#This Row],[a1]]=1,IF($AC$3=0,Tab.11[[#This Row],[φ1]],Tab.11[[#This Row],[φ1]]/MAX(Tab.11[φ1])))</f>
        <v>0</v>
      </c>
      <c r="AD302" s="74" t="b">
        <f>IF(Tab.11[[#This Row],[a1]]=1,1/Tab.11[[#This Row],[φ2]])</f>
        <v>0</v>
      </c>
      <c r="AE302" s="74" t="b">
        <f>IF(Tab.11[[#This Row],[a1]]=1,IF($AE$3=0,Tab.11[[#This Row],[w.0]],Tab.11[[#This Row],[w.0]]/SUM(Tab.11[w.0])))</f>
        <v>0</v>
      </c>
      <c r="AF302" s="76" t="str">
        <f>IF(Tab.11[[#This Row],[a1]]=0,"false",[3]!Tab.x5[[#This Row],[%_seN_C]])</f>
        <v>false</v>
      </c>
      <c r="AG302" s="77" t="b">
        <f>IF(Tab.11[[#This Row],[a1]]=1,AP302)</f>
        <v>0</v>
      </c>
      <c r="AH302" s="78" t="b">
        <f>IF(Tab.11[[#This Row],[a1]]=1,AQ302)</f>
        <v>0</v>
      </c>
      <c r="AI302" s="41">
        <v>3.0000000000000001E-3</v>
      </c>
      <c r="AJ302" s="79">
        <v>7.0000000000000007E-2</v>
      </c>
      <c r="AK302" s="80" t="b">
        <f>IF(Tab.11[[#This Row],[a1]]=1,1)</f>
        <v>0</v>
      </c>
      <c r="AZ302"/>
    </row>
    <row r="303" spans="1:52" hidden="1" x14ac:dyDescent="0.25">
      <c r="A303" s="61">
        <f t="shared" si="11"/>
        <v>0</v>
      </c>
      <c r="B303" s="62">
        <f t="shared" si="11"/>
        <v>0</v>
      </c>
      <c r="C303" s="62" t="b">
        <f>IF(Tab.11[[#This Row],[a1]]=1,[3]!Tab_x1[[#This Row],[Name]])</f>
        <v>0</v>
      </c>
      <c r="D303" s="63" t="b">
        <f>IF(Tab.11[[#This Row],[a1]]=1,AO303)</f>
        <v>0</v>
      </c>
      <c r="E303" s="63">
        <f t="shared" si="10"/>
        <v>0</v>
      </c>
      <c r="F303" s="64" t="b">
        <f>IF(Tab.11[[#This Row],[a1]]=1,Tab.11[[#This Row],[b1]])</f>
        <v>0</v>
      </c>
      <c r="G303" s="65" t="b">
        <f>IF(Tab.11[[#This Row],[a1]]=1,IF(Tab.11[[#This Row],[b3]]&gt;$L$989*$G$3,$L$989*$G$3,IF(Tab.11[[#This Row],[b3]]&lt;$M$989*$G$3,$M$989*$G$3,Tab.11[[#This Row],[b3]])))</f>
        <v>0</v>
      </c>
      <c r="H303" s="66" t="b">
        <f>IF(Tab.11[[#This Row],[a1]]=1,Tab.11[[#This Row],[b1]])</f>
        <v>0</v>
      </c>
      <c r="I303" s="67" t="b">
        <f>IF(Tab.11[[#This Row],[a1]]=1,Tab.11[[#This Row],[b1]])</f>
        <v>0</v>
      </c>
      <c r="J303" s="68" t="b">
        <f>IF(Tab.11[[#This Row],[a1]]=1,IF($I$3&lt;0,Tab.11[[#This Row],[b5]]-$I$3,Tab.11[[#This Row],[b5]]))</f>
        <v>0</v>
      </c>
      <c r="K303" s="68" t="b">
        <f>IF(Tab.11[[#This Row],[a1]]=1,IF($K$3=0,Tab.11[b6],Tab.11[[#This Row],[b6]]-AVERAGE(Tab.11[b6])))</f>
        <v>0</v>
      </c>
      <c r="L303" s="69" t="b">
        <f>IF(Tab.11[[#This Row],[a1]]=1,Tab.11[[#This Row],[data]]/(_xlfn.STDEV.P(Tab.11[data])*$B$989)+$A$989)</f>
        <v>0</v>
      </c>
      <c r="M303" s="69" t="b">
        <f>IF(Tab.11[[#This Row],[a1]]=1,Tab.11[[#This Row],[data]]/(_xlfn.STDEV.P(Tab.11[data])*$B$987)-$A$987)</f>
        <v>0</v>
      </c>
      <c r="N303" s="69" t="b">
        <f>IF(Tab.11[[#This Row],[a1]]=1,Tab.11[[#This Row],[data]]/(_xlfn.STDEV.P(Tab.11[data])*$B$988)+$A$988)</f>
        <v>0</v>
      </c>
      <c r="O303" s="70" t="b">
        <f>IF(Tab.11[[#This Row],[a1]]=1,_xlfn.NORM.DIST(Tab.11[[#This Row],[b8]],$P$1,$Q$1,FALSE))</f>
        <v>0</v>
      </c>
      <c r="P303" s="70" t="b">
        <f>IF(Tab.11[[#This Row],[a1]]=1,_xlfn.NORM.DIST(Tab.11[[#This Row],[b9]],$P$1,$Q$1,FALSE))</f>
        <v>0</v>
      </c>
      <c r="Q303" s="70" t="b">
        <f>IF(Tab.11[[#This Row],[a1]]=1,_xlfn.NORM.DIST(Tab.11[[#This Row],[b10]],$P$1,$Q$1,FALSE))</f>
        <v>0</v>
      </c>
      <c r="R303" s="67" t="b">
        <f>IF(Tab.11[[#This Row],[a1]]=1,$I$3+$A$989+IF($K$3=0,Tab.11[[#This Row],[b8]]*_xlfn.STDEV.P(Tab.11[data]),AVERAGE(Tab.11[b6])+Tab.11[[#This Row],[b8]]*_xlfn.STDEV.P(Tab.11[data])))</f>
        <v>0</v>
      </c>
      <c r="S303" s="71" t="b">
        <f>IF(Tab.11[[#This Row],[a1]]=1,$I$3+$A$987+IF($K$3=0,Tab.11[[#This Row],[b9]]*_xlfn.STDEV.P(Tab.11[data]),AVERAGE(Tab.11[b6])+Tab.11[[#This Row],[b9]]*_xlfn.STDEV.P(Tab.11[data])))</f>
        <v>0</v>
      </c>
      <c r="T303" s="71" t="b">
        <f>IF(Tab.11[[#This Row],[a1]]=1,$I$3+$A$988+IF($K$3=0,Tab.11[[#This Row],[b10]]*_xlfn.STDEV.P(Tab.11[data]),AVERAGE(Tab.11[b6])+Tab.11[[#This Row],[b10]]*_xlfn.STDEV.P(Tab.11[data])))</f>
        <v>0</v>
      </c>
      <c r="U303" s="72" t="b">
        <f>IF(Tab.11[[#This Row],[a1]]=1,Tab.11[[#This Row],[target]]-Tab.11[[#This Row],[Red]])</f>
        <v>0</v>
      </c>
      <c r="V303" s="72" t="b">
        <f>IF(Tab.11[[#This Row],[a1]]=1,Tab.11[[#This Row],[target]]-Tab.11[[#This Row],[Blue]])</f>
        <v>0</v>
      </c>
      <c r="W303" s="73" t="b">
        <f>IF(Tab.11[[#This Row],[a1]]=1,IF(ABS(Tab.11[[#This Row],[b17]])+ABS(Tab.11[[#This Row],[b18]])&lt;$W$2,$W$2,ABS(Tab.11[[#This Row],[b17]])+ABS(Tab.11[[#This Row],[b18]])))</f>
        <v>0</v>
      </c>
      <c r="X303" s="136" t="b">
        <f>IF(Tab.11[[#This Row],[a1]]=1,IF($W$3&lt;0,Tab.11[[#This Row],[IN]]-$I$3,Tab.11[[#This Row],[IN]]))</f>
        <v>0</v>
      </c>
      <c r="Y303" s="136" t="b">
        <f>IF(Tab.11[[#This Row],[a1]]=1,IF($X$3=0,Tab.11[b66],Tab.11[[#This Row],[b66]]-AVERAGE(Tab.11[b66])))</f>
        <v>0</v>
      </c>
      <c r="Z303" s="135" t="b">
        <f>IF(Tab.11[[#This Row],[a1]]=1,Tab.11[[#This Row],[b77]]/(_xlfn.STDEV.P(Tab.11[b77])))</f>
        <v>0</v>
      </c>
      <c r="AA303" s="70" t="b">
        <f>IF(Tab.11[[#This Row],[a1]]=1,_xlfn.NORM.DIST(Tab.11[[#This Row],[b88]],$Z$1,$AA$1,FALSE))</f>
        <v>0</v>
      </c>
      <c r="AB303" s="74" t="b">
        <f>IF(Tab.11[[#This Row],[a1]]=1,IF($A$3=0,FALSE,1/Tab.11[[#This Row],[IN]]*$AC$2*IF(Tab.11[[#This Row],[a1]]=0,,$A$3*$AC$1*1/$V$3*(Tab.11[[#This Row],[b14]]))))</f>
        <v>0</v>
      </c>
      <c r="AC303" s="75" t="b">
        <f>IF(Tab.11[[#This Row],[a1]]=1,IF($AC$3=0,Tab.11[[#This Row],[φ1]],Tab.11[[#This Row],[φ1]]/MAX(Tab.11[φ1])))</f>
        <v>0</v>
      </c>
      <c r="AD303" s="74" t="b">
        <f>IF(Tab.11[[#This Row],[a1]]=1,1/Tab.11[[#This Row],[φ2]])</f>
        <v>0</v>
      </c>
      <c r="AE303" s="74" t="b">
        <f>IF(Tab.11[[#This Row],[a1]]=1,IF($AE$3=0,Tab.11[[#This Row],[w.0]],Tab.11[[#This Row],[w.0]]/SUM(Tab.11[w.0])))</f>
        <v>0</v>
      </c>
      <c r="AF303" s="76" t="str">
        <f>IF(Tab.11[[#This Row],[a1]]=0,"false",[3]!Tab.x5[[#This Row],[%_seN_C]])</f>
        <v>false</v>
      </c>
      <c r="AG303" s="77" t="b">
        <f>IF(Tab.11[[#This Row],[a1]]=1,AP303)</f>
        <v>0</v>
      </c>
      <c r="AH303" s="78" t="b">
        <f>IF(Tab.11[[#This Row],[a1]]=1,AQ303)</f>
        <v>0</v>
      </c>
      <c r="AI303" s="41">
        <v>3.0000000000000001E-3</v>
      </c>
      <c r="AJ303" s="79">
        <v>-0.06</v>
      </c>
      <c r="AK303" s="80" t="b">
        <f>IF(Tab.11[[#This Row],[a1]]=1,1)</f>
        <v>0</v>
      </c>
      <c r="AZ303"/>
    </row>
    <row r="304" spans="1:52" hidden="1" x14ac:dyDescent="0.25">
      <c r="A304" s="61">
        <f t="shared" si="11"/>
        <v>0</v>
      </c>
      <c r="B304" s="62">
        <f t="shared" si="11"/>
        <v>0</v>
      </c>
      <c r="C304" s="62" t="b">
        <f>IF(Tab.11[[#This Row],[a1]]=1,[3]!Tab_x1[[#This Row],[Name]])</f>
        <v>0</v>
      </c>
      <c r="D304" s="63" t="b">
        <f>IF(Tab.11[[#This Row],[a1]]=1,AO304)</f>
        <v>0</v>
      </c>
      <c r="E304" s="63">
        <f t="shared" si="10"/>
        <v>0</v>
      </c>
      <c r="F304" s="64" t="b">
        <f>IF(Tab.11[[#This Row],[a1]]=1,Tab.11[[#This Row],[b1]])</f>
        <v>0</v>
      </c>
      <c r="G304" s="65" t="b">
        <f>IF(Tab.11[[#This Row],[a1]]=1,IF(Tab.11[[#This Row],[b3]]&gt;$L$989*$G$3,$L$989*$G$3,IF(Tab.11[[#This Row],[b3]]&lt;$M$989*$G$3,$M$989*$G$3,Tab.11[[#This Row],[b3]])))</f>
        <v>0</v>
      </c>
      <c r="H304" s="66" t="b">
        <f>IF(Tab.11[[#This Row],[a1]]=1,Tab.11[[#This Row],[b1]])</f>
        <v>0</v>
      </c>
      <c r="I304" s="67" t="b">
        <f>IF(Tab.11[[#This Row],[a1]]=1,Tab.11[[#This Row],[b1]])</f>
        <v>0</v>
      </c>
      <c r="J304" s="68" t="b">
        <f>IF(Tab.11[[#This Row],[a1]]=1,IF($I$3&lt;0,Tab.11[[#This Row],[b5]]-$I$3,Tab.11[[#This Row],[b5]]))</f>
        <v>0</v>
      </c>
      <c r="K304" s="68" t="b">
        <f>IF(Tab.11[[#This Row],[a1]]=1,IF($K$3=0,Tab.11[b6],Tab.11[[#This Row],[b6]]-AVERAGE(Tab.11[b6])))</f>
        <v>0</v>
      </c>
      <c r="L304" s="69" t="b">
        <f>IF(Tab.11[[#This Row],[a1]]=1,Tab.11[[#This Row],[data]]/(_xlfn.STDEV.P(Tab.11[data])*$B$989)+$A$989)</f>
        <v>0</v>
      </c>
      <c r="M304" s="69" t="b">
        <f>IF(Tab.11[[#This Row],[a1]]=1,Tab.11[[#This Row],[data]]/(_xlfn.STDEV.P(Tab.11[data])*$B$987)-$A$987)</f>
        <v>0</v>
      </c>
      <c r="N304" s="69" t="b">
        <f>IF(Tab.11[[#This Row],[a1]]=1,Tab.11[[#This Row],[data]]/(_xlfn.STDEV.P(Tab.11[data])*$B$988)+$A$988)</f>
        <v>0</v>
      </c>
      <c r="O304" s="70" t="b">
        <f>IF(Tab.11[[#This Row],[a1]]=1,_xlfn.NORM.DIST(Tab.11[[#This Row],[b8]],$P$1,$Q$1,FALSE))</f>
        <v>0</v>
      </c>
      <c r="P304" s="70" t="b">
        <f>IF(Tab.11[[#This Row],[a1]]=1,_xlfn.NORM.DIST(Tab.11[[#This Row],[b9]],$P$1,$Q$1,FALSE))</f>
        <v>0</v>
      </c>
      <c r="Q304" s="70" t="b">
        <f>IF(Tab.11[[#This Row],[a1]]=1,_xlfn.NORM.DIST(Tab.11[[#This Row],[b10]],$P$1,$Q$1,FALSE))</f>
        <v>0</v>
      </c>
      <c r="R304" s="67" t="b">
        <f>IF(Tab.11[[#This Row],[a1]]=1,$I$3+$A$989+IF($K$3=0,Tab.11[[#This Row],[b8]]*_xlfn.STDEV.P(Tab.11[data]),AVERAGE(Tab.11[b6])+Tab.11[[#This Row],[b8]]*_xlfn.STDEV.P(Tab.11[data])))</f>
        <v>0</v>
      </c>
      <c r="S304" s="71" t="b">
        <f>IF(Tab.11[[#This Row],[a1]]=1,$I$3+$A$987+IF($K$3=0,Tab.11[[#This Row],[b9]]*_xlfn.STDEV.P(Tab.11[data]),AVERAGE(Tab.11[b6])+Tab.11[[#This Row],[b9]]*_xlfn.STDEV.P(Tab.11[data])))</f>
        <v>0</v>
      </c>
      <c r="T304" s="71" t="b">
        <f>IF(Tab.11[[#This Row],[a1]]=1,$I$3+$A$988+IF($K$3=0,Tab.11[[#This Row],[b10]]*_xlfn.STDEV.P(Tab.11[data]),AVERAGE(Tab.11[b6])+Tab.11[[#This Row],[b10]]*_xlfn.STDEV.P(Tab.11[data])))</f>
        <v>0</v>
      </c>
      <c r="U304" s="72" t="b">
        <f>IF(Tab.11[[#This Row],[a1]]=1,Tab.11[[#This Row],[target]]-Tab.11[[#This Row],[Red]])</f>
        <v>0</v>
      </c>
      <c r="V304" s="72" t="b">
        <f>IF(Tab.11[[#This Row],[a1]]=1,Tab.11[[#This Row],[target]]-Tab.11[[#This Row],[Blue]])</f>
        <v>0</v>
      </c>
      <c r="W304" s="73" t="b">
        <f>IF(Tab.11[[#This Row],[a1]]=1,IF(ABS(Tab.11[[#This Row],[b17]])+ABS(Tab.11[[#This Row],[b18]])&lt;$W$2,$W$2,ABS(Tab.11[[#This Row],[b17]])+ABS(Tab.11[[#This Row],[b18]])))</f>
        <v>0</v>
      </c>
      <c r="X304" s="136" t="b">
        <f>IF(Tab.11[[#This Row],[a1]]=1,IF($W$3&lt;0,Tab.11[[#This Row],[IN]]-$I$3,Tab.11[[#This Row],[IN]]))</f>
        <v>0</v>
      </c>
      <c r="Y304" s="136" t="b">
        <f>IF(Tab.11[[#This Row],[a1]]=1,IF($X$3=0,Tab.11[b66],Tab.11[[#This Row],[b66]]-AVERAGE(Tab.11[b66])))</f>
        <v>0</v>
      </c>
      <c r="Z304" s="135" t="b">
        <f>IF(Tab.11[[#This Row],[a1]]=1,Tab.11[[#This Row],[b77]]/(_xlfn.STDEV.P(Tab.11[b77])))</f>
        <v>0</v>
      </c>
      <c r="AA304" s="70" t="b">
        <f>IF(Tab.11[[#This Row],[a1]]=1,_xlfn.NORM.DIST(Tab.11[[#This Row],[b88]],$Z$1,$AA$1,FALSE))</f>
        <v>0</v>
      </c>
      <c r="AB304" s="74" t="b">
        <f>IF(Tab.11[[#This Row],[a1]]=1,IF($A$3=0,FALSE,1/Tab.11[[#This Row],[IN]]*$AC$2*IF(Tab.11[[#This Row],[a1]]=0,,$A$3*$AC$1*1/$V$3*(Tab.11[[#This Row],[b14]]))))</f>
        <v>0</v>
      </c>
      <c r="AC304" s="75" t="b">
        <f>IF(Tab.11[[#This Row],[a1]]=1,IF($AC$3=0,Tab.11[[#This Row],[φ1]],Tab.11[[#This Row],[φ1]]/MAX(Tab.11[φ1])))</f>
        <v>0</v>
      </c>
      <c r="AD304" s="74" t="b">
        <f>IF(Tab.11[[#This Row],[a1]]=1,1/Tab.11[[#This Row],[φ2]])</f>
        <v>0</v>
      </c>
      <c r="AE304" s="74" t="b">
        <f>IF(Tab.11[[#This Row],[a1]]=1,IF($AE$3=0,Tab.11[[#This Row],[w.0]],Tab.11[[#This Row],[w.0]]/SUM(Tab.11[w.0])))</f>
        <v>0</v>
      </c>
      <c r="AF304" s="76" t="str">
        <f>IF(Tab.11[[#This Row],[a1]]=0,"false",[3]!Tab.x5[[#This Row],[%_seN_C]])</f>
        <v>false</v>
      </c>
      <c r="AG304" s="77" t="b">
        <f>IF(Tab.11[[#This Row],[a1]]=1,AP304)</f>
        <v>0</v>
      </c>
      <c r="AH304" s="78" t="b">
        <f>IF(Tab.11[[#This Row],[a1]]=1,AQ304)</f>
        <v>0</v>
      </c>
      <c r="AI304" s="41">
        <v>3.0000000000000001E-3</v>
      </c>
      <c r="AJ304" s="79">
        <v>-7.0000000000000007E-2</v>
      </c>
      <c r="AK304" s="80" t="b">
        <f>IF(Tab.11[[#This Row],[a1]]=1,1)</f>
        <v>0</v>
      </c>
      <c r="AZ304"/>
    </row>
    <row r="305" spans="1:52" hidden="1" x14ac:dyDescent="0.25">
      <c r="A305" s="61">
        <f t="shared" si="11"/>
        <v>0</v>
      </c>
      <c r="B305" s="62">
        <f t="shared" si="11"/>
        <v>0</v>
      </c>
      <c r="C305" s="62" t="b">
        <f>IF(Tab.11[[#This Row],[a1]]=1,[3]!Tab_x1[[#This Row],[Name]])</f>
        <v>0</v>
      </c>
      <c r="D305" s="63" t="b">
        <f>IF(Tab.11[[#This Row],[a1]]=1,AO305)</f>
        <v>0</v>
      </c>
      <c r="E305" s="63">
        <f t="shared" si="10"/>
        <v>0</v>
      </c>
      <c r="F305" s="64" t="b">
        <f>IF(Tab.11[[#This Row],[a1]]=1,Tab.11[[#This Row],[b1]])</f>
        <v>0</v>
      </c>
      <c r="G305" s="65" t="b">
        <f>IF(Tab.11[[#This Row],[a1]]=1,IF(Tab.11[[#This Row],[b3]]&gt;$L$989*$G$3,$L$989*$G$3,IF(Tab.11[[#This Row],[b3]]&lt;$M$989*$G$3,$M$989*$G$3,Tab.11[[#This Row],[b3]])))</f>
        <v>0</v>
      </c>
      <c r="H305" s="66" t="b">
        <f>IF(Tab.11[[#This Row],[a1]]=1,Tab.11[[#This Row],[b1]])</f>
        <v>0</v>
      </c>
      <c r="I305" s="67" t="b">
        <f>IF(Tab.11[[#This Row],[a1]]=1,Tab.11[[#This Row],[b1]])</f>
        <v>0</v>
      </c>
      <c r="J305" s="68" t="b">
        <f>IF(Tab.11[[#This Row],[a1]]=1,IF($I$3&lt;0,Tab.11[[#This Row],[b5]]-$I$3,Tab.11[[#This Row],[b5]]))</f>
        <v>0</v>
      </c>
      <c r="K305" s="68" t="b">
        <f>IF(Tab.11[[#This Row],[a1]]=1,IF($K$3=0,Tab.11[b6],Tab.11[[#This Row],[b6]]-AVERAGE(Tab.11[b6])))</f>
        <v>0</v>
      </c>
      <c r="L305" s="69" t="b">
        <f>IF(Tab.11[[#This Row],[a1]]=1,Tab.11[[#This Row],[data]]/(_xlfn.STDEV.P(Tab.11[data])*$B$989)+$A$989)</f>
        <v>0</v>
      </c>
      <c r="M305" s="69" t="b">
        <f>IF(Tab.11[[#This Row],[a1]]=1,Tab.11[[#This Row],[data]]/(_xlfn.STDEV.P(Tab.11[data])*$B$987)-$A$987)</f>
        <v>0</v>
      </c>
      <c r="N305" s="69" t="b">
        <f>IF(Tab.11[[#This Row],[a1]]=1,Tab.11[[#This Row],[data]]/(_xlfn.STDEV.P(Tab.11[data])*$B$988)+$A$988)</f>
        <v>0</v>
      </c>
      <c r="O305" s="70" t="b">
        <f>IF(Tab.11[[#This Row],[a1]]=1,_xlfn.NORM.DIST(Tab.11[[#This Row],[b8]],$P$1,$Q$1,FALSE))</f>
        <v>0</v>
      </c>
      <c r="P305" s="70" t="b">
        <f>IF(Tab.11[[#This Row],[a1]]=1,_xlfn.NORM.DIST(Tab.11[[#This Row],[b9]],$P$1,$Q$1,FALSE))</f>
        <v>0</v>
      </c>
      <c r="Q305" s="70" t="b">
        <f>IF(Tab.11[[#This Row],[a1]]=1,_xlfn.NORM.DIST(Tab.11[[#This Row],[b10]],$P$1,$Q$1,FALSE))</f>
        <v>0</v>
      </c>
      <c r="R305" s="67" t="b">
        <f>IF(Tab.11[[#This Row],[a1]]=1,$I$3+$A$989+IF($K$3=0,Tab.11[[#This Row],[b8]]*_xlfn.STDEV.P(Tab.11[data]),AVERAGE(Tab.11[b6])+Tab.11[[#This Row],[b8]]*_xlfn.STDEV.P(Tab.11[data])))</f>
        <v>0</v>
      </c>
      <c r="S305" s="71" t="b">
        <f>IF(Tab.11[[#This Row],[a1]]=1,$I$3+$A$987+IF($K$3=0,Tab.11[[#This Row],[b9]]*_xlfn.STDEV.P(Tab.11[data]),AVERAGE(Tab.11[b6])+Tab.11[[#This Row],[b9]]*_xlfn.STDEV.P(Tab.11[data])))</f>
        <v>0</v>
      </c>
      <c r="T305" s="71" t="b">
        <f>IF(Tab.11[[#This Row],[a1]]=1,$I$3+$A$988+IF($K$3=0,Tab.11[[#This Row],[b10]]*_xlfn.STDEV.P(Tab.11[data]),AVERAGE(Tab.11[b6])+Tab.11[[#This Row],[b10]]*_xlfn.STDEV.P(Tab.11[data])))</f>
        <v>0</v>
      </c>
      <c r="U305" s="72" t="b">
        <f>IF(Tab.11[[#This Row],[a1]]=1,Tab.11[[#This Row],[target]]-Tab.11[[#This Row],[Red]])</f>
        <v>0</v>
      </c>
      <c r="V305" s="72" t="b">
        <f>IF(Tab.11[[#This Row],[a1]]=1,Tab.11[[#This Row],[target]]-Tab.11[[#This Row],[Blue]])</f>
        <v>0</v>
      </c>
      <c r="W305" s="73" t="b">
        <f>IF(Tab.11[[#This Row],[a1]]=1,IF(ABS(Tab.11[[#This Row],[b17]])+ABS(Tab.11[[#This Row],[b18]])&lt;$W$2,$W$2,ABS(Tab.11[[#This Row],[b17]])+ABS(Tab.11[[#This Row],[b18]])))</f>
        <v>0</v>
      </c>
      <c r="X305" s="136" t="b">
        <f>IF(Tab.11[[#This Row],[a1]]=1,IF($W$3&lt;0,Tab.11[[#This Row],[IN]]-$I$3,Tab.11[[#This Row],[IN]]))</f>
        <v>0</v>
      </c>
      <c r="Y305" s="136" t="b">
        <f>IF(Tab.11[[#This Row],[a1]]=1,IF($X$3=0,Tab.11[b66],Tab.11[[#This Row],[b66]]-AVERAGE(Tab.11[b66])))</f>
        <v>0</v>
      </c>
      <c r="Z305" s="135" t="b">
        <f>IF(Tab.11[[#This Row],[a1]]=1,Tab.11[[#This Row],[b77]]/(_xlfn.STDEV.P(Tab.11[b77])))</f>
        <v>0</v>
      </c>
      <c r="AA305" s="70" t="b">
        <f>IF(Tab.11[[#This Row],[a1]]=1,_xlfn.NORM.DIST(Tab.11[[#This Row],[b88]],$Z$1,$AA$1,FALSE))</f>
        <v>0</v>
      </c>
      <c r="AB305" s="74" t="b">
        <f>IF(Tab.11[[#This Row],[a1]]=1,IF($A$3=0,FALSE,1/Tab.11[[#This Row],[IN]]*$AC$2*IF(Tab.11[[#This Row],[a1]]=0,,$A$3*$AC$1*1/$V$3*(Tab.11[[#This Row],[b14]]))))</f>
        <v>0</v>
      </c>
      <c r="AC305" s="75" t="b">
        <f>IF(Tab.11[[#This Row],[a1]]=1,IF($AC$3=0,Tab.11[[#This Row],[φ1]],Tab.11[[#This Row],[φ1]]/MAX(Tab.11[φ1])))</f>
        <v>0</v>
      </c>
      <c r="AD305" s="74" t="b">
        <f>IF(Tab.11[[#This Row],[a1]]=1,1/Tab.11[[#This Row],[φ2]])</f>
        <v>0</v>
      </c>
      <c r="AE305" s="74" t="b">
        <f>IF(Tab.11[[#This Row],[a1]]=1,IF($AE$3=0,Tab.11[[#This Row],[w.0]],Tab.11[[#This Row],[w.0]]/SUM(Tab.11[w.0])))</f>
        <v>0</v>
      </c>
      <c r="AF305" s="76" t="str">
        <f>IF(Tab.11[[#This Row],[a1]]=0,"false",[3]!Tab.x5[[#This Row],[%_seN_C]])</f>
        <v>false</v>
      </c>
      <c r="AG305" s="77" t="b">
        <f>IF(Tab.11[[#This Row],[a1]]=1,AP305)</f>
        <v>0</v>
      </c>
      <c r="AH305" s="78" t="b">
        <f>IF(Tab.11[[#This Row],[a1]]=1,AQ305)</f>
        <v>0</v>
      </c>
      <c r="AI305" s="41">
        <v>3.0000000000000001E-3</v>
      </c>
      <c r="AJ305" s="79">
        <v>0.08</v>
      </c>
      <c r="AK305" s="80" t="b">
        <f>IF(Tab.11[[#This Row],[a1]]=1,1)</f>
        <v>0</v>
      </c>
      <c r="AZ305"/>
    </row>
    <row r="306" spans="1:52" hidden="1" x14ac:dyDescent="0.25">
      <c r="A306" s="61">
        <f t="shared" si="11"/>
        <v>0</v>
      </c>
      <c r="B306" s="62">
        <f t="shared" si="11"/>
        <v>0</v>
      </c>
      <c r="C306" s="62" t="b">
        <f>IF(Tab.11[[#This Row],[a1]]=1,[3]!Tab_x1[[#This Row],[Name]])</f>
        <v>0</v>
      </c>
      <c r="D306" s="63" t="b">
        <f>IF(Tab.11[[#This Row],[a1]]=1,AO306)</f>
        <v>0</v>
      </c>
      <c r="E306" s="63">
        <f t="shared" si="10"/>
        <v>0</v>
      </c>
      <c r="F306" s="64" t="b">
        <f>IF(Tab.11[[#This Row],[a1]]=1,Tab.11[[#This Row],[b1]])</f>
        <v>0</v>
      </c>
      <c r="G306" s="65" t="b">
        <f>IF(Tab.11[[#This Row],[a1]]=1,IF(Tab.11[[#This Row],[b3]]&gt;$L$989*$G$3,$L$989*$G$3,IF(Tab.11[[#This Row],[b3]]&lt;$M$989*$G$3,$M$989*$G$3,Tab.11[[#This Row],[b3]])))</f>
        <v>0</v>
      </c>
      <c r="H306" s="66" t="b">
        <f>IF(Tab.11[[#This Row],[a1]]=1,Tab.11[[#This Row],[b1]])</f>
        <v>0</v>
      </c>
      <c r="I306" s="67" t="b">
        <f>IF(Tab.11[[#This Row],[a1]]=1,Tab.11[[#This Row],[b1]])</f>
        <v>0</v>
      </c>
      <c r="J306" s="68" t="b">
        <f>IF(Tab.11[[#This Row],[a1]]=1,IF($I$3&lt;0,Tab.11[[#This Row],[b5]]-$I$3,Tab.11[[#This Row],[b5]]))</f>
        <v>0</v>
      </c>
      <c r="K306" s="68" t="b">
        <f>IF(Tab.11[[#This Row],[a1]]=1,IF($K$3=0,Tab.11[b6],Tab.11[[#This Row],[b6]]-AVERAGE(Tab.11[b6])))</f>
        <v>0</v>
      </c>
      <c r="L306" s="69" t="b">
        <f>IF(Tab.11[[#This Row],[a1]]=1,Tab.11[[#This Row],[data]]/(_xlfn.STDEV.P(Tab.11[data])*$B$989)+$A$989)</f>
        <v>0</v>
      </c>
      <c r="M306" s="69" t="b">
        <f>IF(Tab.11[[#This Row],[a1]]=1,Tab.11[[#This Row],[data]]/(_xlfn.STDEV.P(Tab.11[data])*$B$987)-$A$987)</f>
        <v>0</v>
      </c>
      <c r="N306" s="69" t="b">
        <f>IF(Tab.11[[#This Row],[a1]]=1,Tab.11[[#This Row],[data]]/(_xlfn.STDEV.P(Tab.11[data])*$B$988)+$A$988)</f>
        <v>0</v>
      </c>
      <c r="O306" s="70" t="b">
        <f>IF(Tab.11[[#This Row],[a1]]=1,_xlfn.NORM.DIST(Tab.11[[#This Row],[b8]],$P$1,$Q$1,FALSE))</f>
        <v>0</v>
      </c>
      <c r="P306" s="70" t="b">
        <f>IF(Tab.11[[#This Row],[a1]]=1,_xlfn.NORM.DIST(Tab.11[[#This Row],[b9]],$P$1,$Q$1,FALSE))</f>
        <v>0</v>
      </c>
      <c r="Q306" s="70" t="b">
        <f>IF(Tab.11[[#This Row],[a1]]=1,_xlfn.NORM.DIST(Tab.11[[#This Row],[b10]],$P$1,$Q$1,FALSE))</f>
        <v>0</v>
      </c>
      <c r="R306" s="67" t="b">
        <f>IF(Tab.11[[#This Row],[a1]]=1,$I$3+$A$989+IF($K$3=0,Tab.11[[#This Row],[b8]]*_xlfn.STDEV.P(Tab.11[data]),AVERAGE(Tab.11[b6])+Tab.11[[#This Row],[b8]]*_xlfn.STDEV.P(Tab.11[data])))</f>
        <v>0</v>
      </c>
      <c r="S306" s="71" t="b">
        <f>IF(Tab.11[[#This Row],[a1]]=1,$I$3+$A$987+IF($K$3=0,Tab.11[[#This Row],[b9]]*_xlfn.STDEV.P(Tab.11[data]),AVERAGE(Tab.11[b6])+Tab.11[[#This Row],[b9]]*_xlfn.STDEV.P(Tab.11[data])))</f>
        <v>0</v>
      </c>
      <c r="T306" s="71" t="b">
        <f>IF(Tab.11[[#This Row],[a1]]=1,$I$3+$A$988+IF($K$3=0,Tab.11[[#This Row],[b10]]*_xlfn.STDEV.P(Tab.11[data]),AVERAGE(Tab.11[b6])+Tab.11[[#This Row],[b10]]*_xlfn.STDEV.P(Tab.11[data])))</f>
        <v>0</v>
      </c>
      <c r="U306" s="72" t="b">
        <f>IF(Tab.11[[#This Row],[a1]]=1,Tab.11[[#This Row],[target]]-Tab.11[[#This Row],[Red]])</f>
        <v>0</v>
      </c>
      <c r="V306" s="72" t="b">
        <f>IF(Tab.11[[#This Row],[a1]]=1,Tab.11[[#This Row],[target]]-Tab.11[[#This Row],[Blue]])</f>
        <v>0</v>
      </c>
      <c r="W306" s="73" t="b">
        <f>IF(Tab.11[[#This Row],[a1]]=1,IF(ABS(Tab.11[[#This Row],[b17]])+ABS(Tab.11[[#This Row],[b18]])&lt;$W$2,$W$2,ABS(Tab.11[[#This Row],[b17]])+ABS(Tab.11[[#This Row],[b18]])))</f>
        <v>0</v>
      </c>
      <c r="X306" s="136" t="b">
        <f>IF(Tab.11[[#This Row],[a1]]=1,IF($W$3&lt;0,Tab.11[[#This Row],[IN]]-$I$3,Tab.11[[#This Row],[IN]]))</f>
        <v>0</v>
      </c>
      <c r="Y306" s="136" t="b">
        <f>IF(Tab.11[[#This Row],[a1]]=1,IF($X$3=0,Tab.11[b66],Tab.11[[#This Row],[b66]]-AVERAGE(Tab.11[b66])))</f>
        <v>0</v>
      </c>
      <c r="Z306" s="135" t="b">
        <f>IF(Tab.11[[#This Row],[a1]]=1,Tab.11[[#This Row],[b77]]/(_xlfn.STDEV.P(Tab.11[b77])))</f>
        <v>0</v>
      </c>
      <c r="AA306" s="70" t="b">
        <f>IF(Tab.11[[#This Row],[a1]]=1,_xlfn.NORM.DIST(Tab.11[[#This Row],[b88]],$Z$1,$AA$1,FALSE))</f>
        <v>0</v>
      </c>
      <c r="AB306" s="74" t="b">
        <f>IF(Tab.11[[#This Row],[a1]]=1,IF($A$3=0,FALSE,1/Tab.11[[#This Row],[IN]]*$AC$2*IF(Tab.11[[#This Row],[a1]]=0,,$A$3*$AC$1*1/$V$3*(Tab.11[[#This Row],[b14]]))))</f>
        <v>0</v>
      </c>
      <c r="AC306" s="75" t="b">
        <f>IF(Tab.11[[#This Row],[a1]]=1,IF($AC$3=0,Tab.11[[#This Row],[φ1]],Tab.11[[#This Row],[φ1]]/MAX(Tab.11[φ1])))</f>
        <v>0</v>
      </c>
      <c r="AD306" s="74" t="b">
        <f>IF(Tab.11[[#This Row],[a1]]=1,1/Tab.11[[#This Row],[φ2]])</f>
        <v>0</v>
      </c>
      <c r="AE306" s="74" t="b">
        <f>IF(Tab.11[[#This Row],[a1]]=1,IF($AE$3=0,Tab.11[[#This Row],[w.0]],Tab.11[[#This Row],[w.0]]/SUM(Tab.11[w.0])))</f>
        <v>0</v>
      </c>
      <c r="AF306" s="76" t="str">
        <f>IF(Tab.11[[#This Row],[a1]]=0,"false",[3]!Tab.x5[[#This Row],[%_seN_C]])</f>
        <v>false</v>
      </c>
      <c r="AG306" s="77" t="b">
        <f>IF(Tab.11[[#This Row],[a1]]=1,AP306)</f>
        <v>0</v>
      </c>
      <c r="AH306" s="78" t="b">
        <f>IF(Tab.11[[#This Row],[a1]]=1,AQ306)</f>
        <v>0</v>
      </c>
      <c r="AI306" s="41">
        <v>3.0000000000000001E-3</v>
      </c>
      <c r="AJ306" s="79">
        <v>0.1</v>
      </c>
      <c r="AK306" s="80" t="b">
        <f>IF(Tab.11[[#This Row],[a1]]=1,1)</f>
        <v>0</v>
      </c>
      <c r="AZ306"/>
    </row>
    <row r="307" spans="1:52" hidden="1" x14ac:dyDescent="0.25">
      <c r="A307" s="61">
        <f t="shared" si="11"/>
        <v>0</v>
      </c>
      <c r="B307" s="62">
        <f t="shared" si="11"/>
        <v>0</v>
      </c>
      <c r="C307" s="62" t="b">
        <f>IF(Tab.11[[#This Row],[a1]]=1,[3]!Tab_x1[[#This Row],[Name]])</f>
        <v>0</v>
      </c>
      <c r="D307" s="63" t="b">
        <f>IF(Tab.11[[#This Row],[a1]]=1,AO307)</f>
        <v>0</v>
      </c>
      <c r="E307" s="63">
        <f t="shared" si="10"/>
        <v>0</v>
      </c>
      <c r="F307" s="64" t="b">
        <f>IF(Tab.11[[#This Row],[a1]]=1,Tab.11[[#This Row],[b1]])</f>
        <v>0</v>
      </c>
      <c r="G307" s="65" t="b">
        <f>IF(Tab.11[[#This Row],[a1]]=1,IF(Tab.11[[#This Row],[b3]]&gt;$L$989*$G$3,$L$989*$G$3,IF(Tab.11[[#This Row],[b3]]&lt;$M$989*$G$3,$M$989*$G$3,Tab.11[[#This Row],[b3]])))</f>
        <v>0</v>
      </c>
      <c r="H307" s="66" t="b">
        <f>IF(Tab.11[[#This Row],[a1]]=1,Tab.11[[#This Row],[b1]])</f>
        <v>0</v>
      </c>
      <c r="I307" s="67" t="b">
        <f>IF(Tab.11[[#This Row],[a1]]=1,Tab.11[[#This Row],[b1]])</f>
        <v>0</v>
      </c>
      <c r="J307" s="68" t="b">
        <f>IF(Tab.11[[#This Row],[a1]]=1,IF($I$3&lt;0,Tab.11[[#This Row],[b5]]-$I$3,Tab.11[[#This Row],[b5]]))</f>
        <v>0</v>
      </c>
      <c r="K307" s="68" t="b">
        <f>IF(Tab.11[[#This Row],[a1]]=1,IF($K$3=0,Tab.11[b6],Tab.11[[#This Row],[b6]]-AVERAGE(Tab.11[b6])))</f>
        <v>0</v>
      </c>
      <c r="L307" s="69" t="b">
        <f>IF(Tab.11[[#This Row],[a1]]=1,Tab.11[[#This Row],[data]]/(_xlfn.STDEV.P(Tab.11[data])*$B$989)+$A$989)</f>
        <v>0</v>
      </c>
      <c r="M307" s="69" t="b">
        <f>IF(Tab.11[[#This Row],[a1]]=1,Tab.11[[#This Row],[data]]/(_xlfn.STDEV.P(Tab.11[data])*$B$987)-$A$987)</f>
        <v>0</v>
      </c>
      <c r="N307" s="69" t="b">
        <f>IF(Tab.11[[#This Row],[a1]]=1,Tab.11[[#This Row],[data]]/(_xlfn.STDEV.P(Tab.11[data])*$B$988)+$A$988)</f>
        <v>0</v>
      </c>
      <c r="O307" s="70" t="b">
        <f>IF(Tab.11[[#This Row],[a1]]=1,_xlfn.NORM.DIST(Tab.11[[#This Row],[b8]],$P$1,$Q$1,FALSE))</f>
        <v>0</v>
      </c>
      <c r="P307" s="70" t="b">
        <f>IF(Tab.11[[#This Row],[a1]]=1,_xlfn.NORM.DIST(Tab.11[[#This Row],[b9]],$P$1,$Q$1,FALSE))</f>
        <v>0</v>
      </c>
      <c r="Q307" s="70" t="b">
        <f>IF(Tab.11[[#This Row],[a1]]=1,_xlfn.NORM.DIST(Tab.11[[#This Row],[b10]],$P$1,$Q$1,FALSE))</f>
        <v>0</v>
      </c>
      <c r="R307" s="67" t="b">
        <f>IF(Tab.11[[#This Row],[a1]]=1,$I$3+$A$989+IF($K$3=0,Tab.11[[#This Row],[b8]]*_xlfn.STDEV.P(Tab.11[data]),AVERAGE(Tab.11[b6])+Tab.11[[#This Row],[b8]]*_xlfn.STDEV.P(Tab.11[data])))</f>
        <v>0</v>
      </c>
      <c r="S307" s="71" t="b">
        <f>IF(Tab.11[[#This Row],[a1]]=1,$I$3+$A$987+IF($K$3=0,Tab.11[[#This Row],[b9]]*_xlfn.STDEV.P(Tab.11[data]),AVERAGE(Tab.11[b6])+Tab.11[[#This Row],[b9]]*_xlfn.STDEV.P(Tab.11[data])))</f>
        <v>0</v>
      </c>
      <c r="T307" s="71" t="b">
        <f>IF(Tab.11[[#This Row],[a1]]=1,$I$3+$A$988+IF($K$3=0,Tab.11[[#This Row],[b10]]*_xlfn.STDEV.P(Tab.11[data]),AVERAGE(Tab.11[b6])+Tab.11[[#This Row],[b10]]*_xlfn.STDEV.P(Tab.11[data])))</f>
        <v>0</v>
      </c>
      <c r="U307" s="72" t="b">
        <f>IF(Tab.11[[#This Row],[a1]]=1,Tab.11[[#This Row],[target]]-Tab.11[[#This Row],[Red]])</f>
        <v>0</v>
      </c>
      <c r="V307" s="72" t="b">
        <f>IF(Tab.11[[#This Row],[a1]]=1,Tab.11[[#This Row],[target]]-Tab.11[[#This Row],[Blue]])</f>
        <v>0</v>
      </c>
      <c r="W307" s="73" t="b">
        <f>IF(Tab.11[[#This Row],[a1]]=1,IF(ABS(Tab.11[[#This Row],[b17]])+ABS(Tab.11[[#This Row],[b18]])&lt;$W$2,$W$2,ABS(Tab.11[[#This Row],[b17]])+ABS(Tab.11[[#This Row],[b18]])))</f>
        <v>0</v>
      </c>
      <c r="X307" s="136" t="b">
        <f>IF(Tab.11[[#This Row],[a1]]=1,IF($W$3&lt;0,Tab.11[[#This Row],[IN]]-$I$3,Tab.11[[#This Row],[IN]]))</f>
        <v>0</v>
      </c>
      <c r="Y307" s="136" t="b">
        <f>IF(Tab.11[[#This Row],[a1]]=1,IF($X$3=0,Tab.11[b66],Tab.11[[#This Row],[b66]]-AVERAGE(Tab.11[b66])))</f>
        <v>0</v>
      </c>
      <c r="Z307" s="135" t="b">
        <f>IF(Tab.11[[#This Row],[a1]]=1,Tab.11[[#This Row],[b77]]/(_xlfn.STDEV.P(Tab.11[b77])))</f>
        <v>0</v>
      </c>
      <c r="AA307" s="70" t="b">
        <f>IF(Tab.11[[#This Row],[a1]]=1,_xlfn.NORM.DIST(Tab.11[[#This Row],[b88]],$Z$1,$AA$1,FALSE))</f>
        <v>0</v>
      </c>
      <c r="AB307" s="74" t="b">
        <f>IF(Tab.11[[#This Row],[a1]]=1,IF($A$3=0,FALSE,1/Tab.11[[#This Row],[IN]]*$AC$2*IF(Tab.11[[#This Row],[a1]]=0,,$A$3*$AC$1*1/$V$3*(Tab.11[[#This Row],[b14]]))))</f>
        <v>0</v>
      </c>
      <c r="AC307" s="75" t="b">
        <f>IF(Tab.11[[#This Row],[a1]]=1,IF($AC$3=0,Tab.11[[#This Row],[φ1]],Tab.11[[#This Row],[φ1]]/MAX(Tab.11[φ1])))</f>
        <v>0</v>
      </c>
      <c r="AD307" s="74" t="b">
        <f>IF(Tab.11[[#This Row],[a1]]=1,1/Tab.11[[#This Row],[φ2]])</f>
        <v>0</v>
      </c>
      <c r="AE307" s="74" t="b">
        <f>IF(Tab.11[[#This Row],[a1]]=1,IF($AE$3=0,Tab.11[[#This Row],[w.0]],Tab.11[[#This Row],[w.0]]/SUM(Tab.11[w.0])))</f>
        <v>0</v>
      </c>
      <c r="AF307" s="76" t="str">
        <f>IF(Tab.11[[#This Row],[a1]]=0,"false",[3]!Tab.x5[[#This Row],[%_seN_C]])</f>
        <v>false</v>
      </c>
      <c r="AG307" s="77" t="b">
        <f>IF(Tab.11[[#This Row],[a1]]=1,AP307)</f>
        <v>0</v>
      </c>
      <c r="AH307" s="78" t="b">
        <f>IF(Tab.11[[#This Row],[a1]]=1,AQ307)</f>
        <v>0</v>
      </c>
      <c r="AI307" s="41">
        <v>3.0000000000000001E-3</v>
      </c>
      <c r="AJ307" s="79">
        <v>-0.05</v>
      </c>
      <c r="AK307" s="80" t="b">
        <f>IF(Tab.11[[#This Row],[a1]]=1,1)</f>
        <v>0</v>
      </c>
      <c r="AZ307"/>
    </row>
    <row r="308" spans="1:52" hidden="1" x14ac:dyDescent="0.25">
      <c r="A308" s="61">
        <f t="shared" si="11"/>
        <v>0</v>
      </c>
      <c r="B308" s="62">
        <f t="shared" si="11"/>
        <v>0</v>
      </c>
      <c r="C308" s="62" t="b">
        <f>IF(Tab.11[[#This Row],[a1]]=1,[3]!Tab_x1[[#This Row],[Name]])</f>
        <v>0</v>
      </c>
      <c r="D308" s="63" t="b">
        <f>IF(Tab.11[[#This Row],[a1]]=1,AO308)</f>
        <v>0</v>
      </c>
      <c r="E308" s="63">
        <f t="shared" si="10"/>
        <v>0</v>
      </c>
      <c r="F308" s="64" t="b">
        <f>IF(Tab.11[[#This Row],[a1]]=1,Tab.11[[#This Row],[b1]])</f>
        <v>0</v>
      </c>
      <c r="G308" s="65" t="b">
        <f>IF(Tab.11[[#This Row],[a1]]=1,IF(Tab.11[[#This Row],[b3]]&gt;$L$989*$G$3,$L$989*$G$3,IF(Tab.11[[#This Row],[b3]]&lt;$M$989*$G$3,$M$989*$G$3,Tab.11[[#This Row],[b3]])))</f>
        <v>0</v>
      </c>
      <c r="H308" s="66" t="b">
        <f>IF(Tab.11[[#This Row],[a1]]=1,Tab.11[[#This Row],[b1]])</f>
        <v>0</v>
      </c>
      <c r="I308" s="67" t="b">
        <f>IF(Tab.11[[#This Row],[a1]]=1,Tab.11[[#This Row],[b1]])</f>
        <v>0</v>
      </c>
      <c r="J308" s="68" t="b">
        <f>IF(Tab.11[[#This Row],[a1]]=1,IF($I$3&lt;0,Tab.11[[#This Row],[b5]]-$I$3,Tab.11[[#This Row],[b5]]))</f>
        <v>0</v>
      </c>
      <c r="K308" s="68" t="b">
        <f>IF(Tab.11[[#This Row],[a1]]=1,IF($K$3=0,Tab.11[b6],Tab.11[[#This Row],[b6]]-AVERAGE(Tab.11[b6])))</f>
        <v>0</v>
      </c>
      <c r="L308" s="69" t="b">
        <f>IF(Tab.11[[#This Row],[a1]]=1,Tab.11[[#This Row],[data]]/(_xlfn.STDEV.P(Tab.11[data])*$B$989)+$A$989)</f>
        <v>0</v>
      </c>
      <c r="M308" s="69" t="b">
        <f>IF(Tab.11[[#This Row],[a1]]=1,Tab.11[[#This Row],[data]]/(_xlfn.STDEV.P(Tab.11[data])*$B$987)-$A$987)</f>
        <v>0</v>
      </c>
      <c r="N308" s="69" t="b">
        <f>IF(Tab.11[[#This Row],[a1]]=1,Tab.11[[#This Row],[data]]/(_xlfn.STDEV.P(Tab.11[data])*$B$988)+$A$988)</f>
        <v>0</v>
      </c>
      <c r="O308" s="70" t="b">
        <f>IF(Tab.11[[#This Row],[a1]]=1,_xlfn.NORM.DIST(Tab.11[[#This Row],[b8]],$P$1,$Q$1,FALSE))</f>
        <v>0</v>
      </c>
      <c r="P308" s="70" t="b">
        <f>IF(Tab.11[[#This Row],[a1]]=1,_xlfn.NORM.DIST(Tab.11[[#This Row],[b9]],$P$1,$Q$1,FALSE))</f>
        <v>0</v>
      </c>
      <c r="Q308" s="70" t="b">
        <f>IF(Tab.11[[#This Row],[a1]]=1,_xlfn.NORM.DIST(Tab.11[[#This Row],[b10]],$P$1,$Q$1,FALSE))</f>
        <v>0</v>
      </c>
      <c r="R308" s="67" t="b">
        <f>IF(Tab.11[[#This Row],[a1]]=1,$I$3+$A$989+IF($K$3=0,Tab.11[[#This Row],[b8]]*_xlfn.STDEV.P(Tab.11[data]),AVERAGE(Tab.11[b6])+Tab.11[[#This Row],[b8]]*_xlfn.STDEV.P(Tab.11[data])))</f>
        <v>0</v>
      </c>
      <c r="S308" s="71" t="b">
        <f>IF(Tab.11[[#This Row],[a1]]=1,$I$3+$A$987+IF($K$3=0,Tab.11[[#This Row],[b9]]*_xlfn.STDEV.P(Tab.11[data]),AVERAGE(Tab.11[b6])+Tab.11[[#This Row],[b9]]*_xlfn.STDEV.P(Tab.11[data])))</f>
        <v>0</v>
      </c>
      <c r="T308" s="71" t="b">
        <f>IF(Tab.11[[#This Row],[a1]]=1,$I$3+$A$988+IF($K$3=0,Tab.11[[#This Row],[b10]]*_xlfn.STDEV.P(Tab.11[data]),AVERAGE(Tab.11[b6])+Tab.11[[#This Row],[b10]]*_xlfn.STDEV.P(Tab.11[data])))</f>
        <v>0</v>
      </c>
      <c r="U308" s="72" t="b">
        <f>IF(Tab.11[[#This Row],[a1]]=1,Tab.11[[#This Row],[target]]-Tab.11[[#This Row],[Red]])</f>
        <v>0</v>
      </c>
      <c r="V308" s="72" t="b">
        <f>IF(Tab.11[[#This Row],[a1]]=1,Tab.11[[#This Row],[target]]-Tab.11[[#This Row],[Blue]])</f>
        <v>0</v>
      </c>
      <c r="W308" s="73" t="b">
        <f>IF(Tab.11[[#This Row],[a1]]=1,IF(ABS(Tab.11[[#This Row],[b17]])+ABS(Tab.11[[#This Row],[b18]])&lt;$W$2,$W$2,ABS(Tab.11[[#This Row],[b17]])+ABS(Tab.11[[#This Row],[b18]])))</f>
        <v>0</v>
      </c>
      <c r="X308" s="136" t="b">
        <f>IF(Tab.11[[#This Row],[a1]]=1,IF($W$3&lt;0,Tab.11[[#This Row],[IN]]-$I$3,Tab.11[[#This Row],[IN]]))</f>
        <v>0</v>
      </c>
      <c r="Y308" s="136" t="b">
        <f>IF(Tab.11[[#This Row],[a1]]=1,IF($X$3=0,Tab.11[b66],Tab.11[[#This Row],[b66]]-AVERAGE(Tab.11[b66])))</f>
        <v>0</v>
      </c>
      <c r="Z308" s="135" t="b">
        <f>IF(Tab.11[[#This Row],[a1]]=1,Tab.11[[#This Row],[b77]]/(_xlfn.STDEV.P(Tab.11[b77])))</f>
        <v>0</v>
      </c>
      <c r="AA308" s="70" t="b">
        <f>IF(Tab.11[[#This Row],[a1]]=1,_xlfn.NORM.DIST(Tab.11[[#This Row],[b88]],$Z$1,$AA$1,FALSE))</f>
        <v>0</v>
      </c>
      <c r="AB308" s="74" t="b">
        <f>IF(Tab.11[[#This Row],[a1]]=1,IF($A$3=0,FALSE,1/Tab.11[[#This Row],[IN]]*$AC$2*IF(Tab.11[[#This Row],[a1]]=0,,$A$3*$AC$1*1/$V$3*(Tab.11[[#This Row],[b14]]))))</f>
        <v>0</v>
      </c>
      <c r="AC308" s="75" t="b">
        <f>IF(Tab.11[[#This Row],[a1]]=1,IF($AC$3=0,Tab.11[[#This Row],[φ1]],Tab.11[[#This Row],[φ1]]/MAX(Tab.11[φ1])))</f>
        <v>0</v>
      </c>
      <c r="AD308" s="74" t="b">
        <f>IF(Tab.11[[#This Row],[a1]]=1,1/Tab.11[[#This Row],[φ2]])</f>
        <v>0</v>
      </c>
      <c r="AE308" s="74" t="b">
        <f>IF(Tab.11[[#This Row],[a1]]=1,IF($AE$3=0,Tab.11[[#This Row],[w.0]],Tab.11[[#This Row],[w.0]]/SUM(Tab.11[w.0])))</f>
        <v>0</v>
      </c>
      <c r="AF308" s="76" t="str">
        <f>IF(Tab.11[[#This Row],[a1]]=0,"false",[3]!Tab.x5[[#This Row],[%_seN_C]])</f>
        <v>false</v>
      </c>
      <c r="AG308" s="77" t="b">
        <f>IF(Tab.11[[#This Row],[a1]]=1,AP308)</f>
        <v>0</v>
      </c>
      <c r="AH308" s="78" t="b">
        <f>IF(Tab.11[[#This Row],[a1]]=1,AQ308)</f>
        <v>0</v>
      </c>
      <c r="AI308" s="41">
        <v>3.0000000000000001E-3</v>
      </c>
      <c r="AJ308" s="79">
        <v>-0.01</v>
      </c>
      <c r="AK308" s="80" t="b">
        <f>IF(Tab.11[[#This Row],[a1]]=1,1)</f>
        <v>0</v>
      </c>
      <c r="AZ308"/>
    </row>
    <row r="309" spans="1:52" hidden="1" x14ac:dyDescent="0.25">
      <c r="A309" s="61">
        <f t="shared" si="11"/>
        <v>0</v>
      </c>
      <c r="B309" s="62">
        <f t="shared" si="11"/>
        <v>0</v>
      </c>
      <c r="C309" s="62" t="b">
        <f>IF(Tab.11[[#This Row],[a1]]=1,[3]!Tab_x1[[#This Row],[Name]])</f>
        <v>0</v>
      </c>
      <c r="D309" s="63" t="b">
        <f>IF(Tab.11[[#This Row],[a1]]=1,AO309)</f>
        <v>0</v>
      </c>
      <c r="E309" s="63">
        <f t="shared" si="10"/>
        <v>0</v>
      </c>
      <c r="F309" s="64" t="b">
        <f>IF(Tab.11[[#This Row],[a1]]=1,Tab.11[[#This Row],[b1]])</f>
        <v>0</v>
      </c>
      <c r="G309" s="65" t="b">
        <f>IF(Tab.11[[#This Row],[a1]]=1,IF(Tab.11[[#This Row],[b3]]&gt;$L$989*$G$3,$L$989*$G$3,IF(Tab.11[[#This Row],[b3]]&lt;$M$989*$G$3,$M$989*$G$3,Tab.11[[#This Row],[b3]])))</f>
        <v>0</v>
      </c>
      <c r="H309" s="66" t="b">
        <f>IF(Tab.11[[#This Row],[a1]]=1,Tab.11[[#This Row],[b1]])</f>
        <v>0</v>
      </c>
      <c r="I309" s="67" t="b">
        <f>IF(Tab.11[[#This Row],[a1]]=1,Tab.11[[#This Row],[b1]])</f>
        <v>0</v>
      </c>
      <c r="J309" s="68" t="b">
        <f>IF(Tab.11[[#This Row],[a1]]=1,IF($I$3&lt;0,Tab.11[[#This Row],[b5]]-$I$3,Tab.11[[#This Row],[b5]]))</f>
        <v>0</v>
      </c>
      <c r="K309" s="68" t="b">
        <f>IF(Tab.11[[#This Row],[a1]]=1,IF($K$3=0,Tab.11[b6],Tab.11[[#This Row],[b6]]-AVERAGE(Tab.11[b6])))</f>
        <v>0</v>
      </c>
      <c r="L309" s="69" t="b">
        <f>IF(Tab.11[[#This Row],[a1]]=1,Tab.11[[#This Row],[data]]/(_xlfn.STDEV.P(Tab.11[data])*$B$989)+$A$989)</f>
        <v>0</v>
      </c>
      <c r="M309" s="69" t="b">
        <f>IF(Tab.11[[#This Row],[a1]]=1,Tab.11[[#This Row],[data]]/(_xlfn.STDEV.P(Tab.11[data])*$B$987)-$A$987)</f>
        <v>0</v>
      </c>
      <c r="N309" s="69" t="b">
        <f>IF(Tab.11[[#This Row],[a1]]=1,Tab.11[[#This Row],[data]]/(_xlfn.STDEV.P(Tab.11[data])*$B$988)+$A$988)</f>
        <v>0</v>
      </c>
      <c r="O309" s="70" t="b">
        <f>IF(Tab.11[[#This Row],[a1]]=1,_xlfn.NORM.DIST(Tab.11[[#This Row],[b8]],$P$1,$Q$1,FALSE))</f>
        <v>0</v>
      </c>
      <c r="P309" s="70" t="b">
        <f>IF(Tab.11[[#This Row],[a1]]=1,_xlfn.NORM.DIST(Tab.11[[#This Row],[b9]],$P$1,$Q$1,FALSE))</f>
        <v>0</v>
      </c>
      <c r="Q309" s="70" t="b">
        <f>IF(Tab.11[[#This Row],[a1]]=1,_xlfn.NORM.DIST(Tab.11[[#This Row],[b10]],$P$1,$Q$1,FALSE))</f>
        <v>0</v>
      </c>
      <c r="R309" s="67" t="b">
        <f>IF(Tab.11[[#This Row],[a1]]=1,$I$3+$A$989+IF($K$3=0,Tab.11[[#This Row],[b8]]*_xlfn.STDEV.P(Tab.11[data]),AVERAGE(Tab.11[b6])+Tab.11[[#This Row],[b8]]*_xlfn.STDEV.P(Tab.11[data])))</f>
        <v>0</v>
      </c>
      <c r="S309" s="71" t="b">
        <f>IF(Tab.11[[#This Row],[a1]]=1,$I$3+$A$987+IF($K$3=0,Tab.11[[#This Row],[b9]]*_xlfn.STDEV.P(Tab.11[data]),AVERAGE(Tab.11[b6])+Tab.11[[#This Row],[b9]]*_xlfn.STDEV.P(Tab.11[data])))</f>
        <v>0</v>
      </c>
      <c r="T309" s="71" t="b">
        <f>IF(Tab.11[[#This Row],[a1]]=1,$I$3+$A$988+IF($K$3=0,Tab.11[[#This Row],[b10]]*_xlfn.STDEV.P(Tab.11[data]),AVERAGE(Tab.11[b6])+Tab.11[[#This Row],[b10]]*_xlfn.STDEV.P(Tab.11[data])))</f>
        <v>0</v>
      </c>
      <c r="U309" s="72" t="b">
        <f>IF(Tab.11[[#This Row],[a1]]=1,Tab.11[[#This Row],[target]]-Tab.11[[#This Row],[Red]])</f>
        <v>0</v>
      </c>
      <c r="V309" s="72" t="b">
        <f>IF(Tab.11[[#This Row],[a1]]=1,Tab.11[[#This Row],[target]]-Tab.11[[#This Row],[Blue]])</f>
        <v>0</v>
      </c>
      <c r="W309" s="73" t="b">
        <f>IF(Tab.11[[#This Row],[a1]]=1,IF(ABS(Tab.11[[#This Row],[b17]])+ABS(Tab.11[[#This Row],[b18]])&lt;$W$2,$W$2,ABS(Tab.11[[#This Row],[b17]])+ABS(Tab.11[[#This Row],[b18]])))</f>
        <v>0</v>
      </c>
      <c r="X309" s="136" t="b">
        <f>IF(Tab.11[[#This Row],[a1]]=1,IF($W$3&lt;0,Tab.11[[#This Row],[IN]]-$I$3,Tab.11[[#This Row],[IN]]))</f>
        <v>0</v>
      </c>
      <c r="Y309" s="136" t="b">
        <f>IF(Tab.11[[#This Row],[a1]]=1,IF($X$3=0,Tab.11[b66],Tab.11[[#This Row],[b66]]-AVERAGE(Tab.11[b66])))</f>
        <v>0</v>
      </c>
      <c r="Z309" s="135" t="b">
        <f>IF(Tab.11[[#This Row],[a1]]=1,Tab.11[[#This Row],[b77]]/(_xlfn.STDEV.P(Tab.11[b77])))</f>
        <v>0</v>
      </c>
      <c r="AA309" s="70" t="b">
        <f>IF(Tab.11[[#This Row],[a1]]=1,_xlfn.NORM.DIST(Tab.11[[#This Row],[b88]],$Z$1,$AA$1,FALSE))</f>
        <v>0</v>
      </c>
      <c r="AB309" s="74" t="b">
        <f>IF(Tab.11[[#This Row],[a1]]=1,IF($A$3=0,FALSE,1/Tab.11[[#This Row],[IN]]*$AC$2*IF(Tab.11[[#This Row],[a1]]=0,,$A$3*$AC$1*1/$V$3*(Tab.11[[#This Row],[b14]]))))</f>
        <v>0</v>
      </c>
      <c r="AC309" s="75" t="b">
        <f>IF(Tab.11[[#This Row],[a1]]=1,IF($AC$3=0,Tab.11[[#This Row],[φ1]],Tab.11[[#This Row],[φ1]]/MAX(Tab.11[φ1])))</f>
        <v>0</v>
      </c>
      <c r="AD309" s="74" t="b">
        <f>IF(Tab.11[[#This Row],[a1]]=1,1/Tab.11[[#This Row],[φ2]])</f>
        <v>0</v>
      </c>
      <c r="AE309" s="74" t="b">
        <f>IF(Tab.11[[#This Row],[a1]]=1,IF($AE$3=0,Tab.11[[#This Row],[w.0]],Tab.11[[#This Row],[w.0]]/SUM(Tab.11[w.0])))</f>
        <v>0</v>
      </c>
      <c r="AF309" s="76" t="str">
        <f>IF(Tab.11[[#This Row],[a1]]=0,"false",[3]!Tab.x5[[#This Row],[%_seN_C]])</f>
        <v>false</v>
      </c>
      <c r="AG309" s="77" t="b">
        <f>IF(Tab.11[[#This Row],[a1]]=1,AP309)</f>
        <v>0</v>
      </c>
      <c r="AH309" s="78" t="b">
        <f>IF(Tab.11[[#This Row],[a1]]=1,AQ309)</f>
        <v>0</v>
      </c>
      <c r="AI309" s="41">
        <v>3.0000000000000001E-3</v>
      </c>
      <c r="AJ309" s="79">
        <v>-0.02</v>
      </c>
      <c r="AK309" s="80" t="b">
        <f>IF(Tab.11[[#This Row],[a1]]=1,1)</f>
        <v>0</v>
      </c>
      <c r="AZ309"/>
    </row>
    <row r="310" spans="1:52" hidden="1" x14ac:dyDescent="0.25">
      <c r="A310" s="61">
        <f t="shared" si="11"/>
        <v>0</v>
      </c>
      <c r="B310" s="62">
        <f t="shared" si="11"/>
        <v>0</v>
      </c>
      <c r="C310" s="62" t="b">
        <f>IF(Tab.11[[#This Row],[a1]]=1,[3]!Tab_x1[[#This Row],[Name]])</f>
        <v>0</v>
      </c>
      <c r="D310" s="63" t="b">
        <f>IF(Tab.11[[#This Row],[a1]]=1,AO310)</f>
        <v>0</v>
      </c>
      <c r="E310" s="63">
        <f t="shared" si="10"/>
        <v>0</v>
      </c>
      <c r="F310" s="64" t="b">
        <f>IF(Tab.11[[#This Row],[a1]]=1,Tab.11[[#This Row],[b1]])</f>
        <v>0</v>
      </c>
      <c r="G310" s="65" t="b">
        <f>IF(Tab.11[[#This Row],[a1]]=1,IF(Tab.11[[#This Row],[b3]]&gt;$L$989*$G$3,$L$989*$G$3,IF(Tab.11[[#This Row],[b3]]&lt;$M$989*$G$3,$M$989*$G$3,Tab.11[[#This Row],[b3]])))</f>
        <v>0</v>
      </c>
      <c r="H310" s="66" t="b">
        <f>IF(Tab.11[[#This Row],[a1]]=1,Tab.11[[#This Row],[b1]])</f>
        <v>0</v>
      </c>
      <c r="I310" s="67" t="b">
        <f>IF(Tab.11[[#This Row],[a1]]=1,Tab.11[[#This Row],[b1]])</f>
        <v>0</v>
      </c>
      <c r="J310" s="68" t="b">
        <f>IF(Tab.11[[#This Row],[a1]]=1,IF($I$3&lt;0,Tab.11[[#This Row],[b5]]-$I$3,Tab.11[[#This Row],[b5]]))</f>
        <v>0</v>
      </c>
      <c r="K310" s="68" t="b">
        <f>IF(Tab.11[[#This Row],[a1]]=1,IF($K$3=0,Tab.11[b6],Tab.11[[#This Row],[b6]]-AVERAGE(Tab.11[b6])))</f>
        <v>0</v>
      </c>
      <c r="L310" s="69" t="b">
        <f>IF(Tab.11[[#This Row],[a1]]=1,Tab.11[[#This Row],[data]]/(_xlfn.STDEV.P(Tab.11[data])*$B$989)+$A$989)</f>
        <v>0</v>
      </c>
      <c r="M310" s="69" t="b">
        <f>IF(Tab.11[[#This Row],[a1]]=1,Tab.11[[#This Row],[data]]/(_xlfn.STDEV.P(Tab.11[data])*$B$987)-$A$987)</f>
        <v>0</v>
      </c>
      <c r="N310" s="69" t="b">
        <f>IF(Tab.11[[#This Row],[a1]]=1,Tab.11[[#This Row],[data]]/(_xlfn.STDEV.P(Tab.11[data])*$B$988)+$A$988)</f>
        <v>0</v>
      </c>
      <c r="O310" s="70" t="b">
        <f>IF(Tab.11[[#This Row],[a1]]=1,_xlfn.NORM.DIST(Tab.11[[#This Row],[b8]],$P$1,$Q$1,FALSE))</f>
        <v>0</v>
      </c>
      <c r="P310" s="70" t="b">
        <f>IF(Tab.11[[#This Row],[a1]]=1,_xlfn.NORM.DIST(Tab.11[[#This Row],[b9]],$P$1,$Q$1,FALSE))</f>
        <v>0</v>
      </c>
      <c r="Q310" s="70" t="b">
        <f>IF(Tab.11[[#This Row],[a1]]=1,_xlfn.NORM.DIST(Tab.11[[#This Row],[b10]],$P$1,$Q$1,FALSE))</f>
        <v>0</v>
      </c>
      <c r="R310" s="67" t="b">
        <f>IF(Tab.11[[#This Row],[a1]]=1,$I$3+$A$989+IF($K$3=0,Tab.11[[#This Row],[b8]]*_xlfn.STDEV.P(Tab.11[data]),AVERAGE(Tab.11[b6])+Tab.11[[#This Row],[b8]]*_xlfn.STDEV.P(Tab.11[data])))</f>
        <v>0</v>
      </c>
      <c r="S310" s="71" t="b">
        <f>IF(Tab.11[[#This Row],[a1]]=1,$I$3+$A$987+IF($K$3=0,Tab.11[[#This Row],[b9]]*_xlfn.STDEV.P(Tab.11[data]),AVERAGE(Tab.11[b6])+Tab.11[[#This Row],[b9]]*_xlfn.STDEV.P(Tab.11[data])))</f>
        <v>0</v>
      </c>
      <c r="T310" s="71" t="b">
        <f>IF(Tab.11[[#This Row],[a1]]=1,$I$3+$A$988+IF($K$3=0,Tab.11[[#This Row],[b10]]*_xlfn.STDEV.P(Tab.11[data]),AVERAGE(Tab.11[b6])+Tab.11[[#This Row],[b10]]*_xlfn.STDEV.P(Tab.11[data])))</f>
        <v>0</v>
      </c>
      <c r="U310" s="72" t="b">
        <f>IF(Tab.11[[#This Row],[a1]]=1,Tab.11[[#This Row],[target]]-Tab.11[[#This Row],[Red]])</f>
        <v>0</v>
      </c>
      <c r="V310" s="72" t="b">
        <f>IF(Tab.11[[#This Row],[a1]]=1,Tab.11[[#This Row],[target]]-Tab.11[[#This Row],[Blue]])</f>
        <v>0</v>
      </c>
      <c r="W310" s="73" t="b">
        <f>IF(Tab.11[[#This Row],[a1]]=1,IF(ABS(Tab.11[[#This Row],[b17]])+ABS(Tab.11[[#This Row],[b18]])&lt;$W$2,$W$2,ABS(Tab.11[[#This Row],[b17]])+ABS(Tab.11[[#This Row],[b18]])))</f>
        <v>0</v>
      </c>
      <c r="X310" s="136" t="b">
        <f>IF(Tab.11[[#This Row],[a1]]=1,IF($W$3&lt;0,Tab.11[[#This Row],[IN]]-$I$3,Tab.11[[#This Row],[IN]]))</f>
        <v>0</v>
      </c>
      <c r="Y310" s="136" t="b">
        <f>IF(Tab.11[[#This Row],[a1]]=1,IF($X$3=0,Tab.11[b66],Tab.11[[#This Row],[b66]]-AVERAGE(Tab.11[b66])))</f>
        <v>0</v>
      </c>
      <c r="Z310" s="135" t="b">
        <f>IF(Tab.11[[#This Row],[a1]]=1,Tab.11[[#This Row],[b77]]/(_xlfn.STDEV.P(Tab.11[b77])))</f>
        <v>0</v>
      </c>
      <c r="AA310" s="70" t="b">
        <f>IF(Tab.11[[#This Row],[a1]]=1,_xlfn.NORM.DIST(Tab.11[[#This Row],[b88]],$Z$1,$AA$1,FALSE))</f>
        <v>0</v>
      </c>
      <c r="AB310" s="74" t="b">
        <f>IF(Tab.11[[#This Row],[a1]]=1,IF($A$3=0,FALSE,1/Tab.11[[#This Row],[IN]]*$AC$2*IF(Tab.11[[#This Row],[a1]]=0,,$A$3*$AC$1*1/$V$3*(Tab.11[[#This Row],[b14]]))))</f>
        <v>0</v>
      </c>
      <c r="AC310" s="75" t="b">
        <f>IF(Tab.11[[#This Row],[a1]]=1,IF($AC$3=0,Tab.11[[#This Row],[φ1]],Tab.11[[#This Row],[φ1]]/MAX(Tab.11[φ1])))</f>
        <v>0</v>
      </c>
      <c r="AD310" s="74" t="b">
        <f>IF(Tab.11[[#This Row],[a1]]=1,1/Tab.11[[#This Row],[φ2]])</f>
        <v>0</v>
      </c>
      <c r="AE310" s="74" t="b">
        <f>IF(Tab.11[[#This Row],[a1]]=1,IF($AE$3=0,Tab.11[[#This Row],[w.0]],Tab.11[[#This Row],[w.0]]/SUM(Tab.11[w.0])))</f>
        <v>0</v>
      </c>
      <c r="AF310" s="76" t="str">
        <f>IF(Tab.11[[#This Row],[a1]]=0,"false",[3]!Tab.x5[[#This Row],[%_seN_C]])</f>
        <v>false</v>
      </c>
      <c r="AG310" s="77" t="b">
        <f>IF(Tab.11[[#This Row],[a1]]=1,AP310)</f>
        <v>0</v>
      </c>
      <c r="AH310" s="78" t="b">
        <f>IF(Tab.11[[#This Row],[a1]]=1,AQ310)</f>
        <v>0</v>
      </c>
      <c r="AI310" s="41">
        <v>3.0000000000000001E-3</v>
      </c>
      <c r="AJ310" s="79">
        <v>-0.08</v>
      </c>
      <c r="AK310" s="80" t="b">
        <f>IF(Tab.11[[#This Row],[a1]]=1,1)</f>
        <v>0</v>
      </c>
      <c r="AZ310"/>
    </row>
    <row r="311" spans="1:52" hidden="1" x14ac:dyDescent="0.25">
      <c r="A311" s="61">
        <f t="shared" si="11"/>
        <v>0</v>
      </c>
      <c r="B311" s="62">
        <f t="shared" si="11"/>
        <v>0</v>
      </c>
      <c r="C311" s="62" t="b">
        <f>IF(Tab.11[[#This Row],[a1]]=1,[3]!Tab_x1[[#This Row],[Name]])</f>
        <v>0</v>
      </c>
      <c r="D311" s="63" t="b">
        <f>IF(Tab.11[[#This Row],[a1]]=1,AO311)</f>
        <v>0</v>
      </c>
      <c r="E311" s="63">
        <f t="shared" si="10"/>
        <v>0</v>
      </c>
      <c r="F311" s="64" t="b">
        <f>IF(Tab.11[[#This Row],[a1]]=1,Tab.11[[#This Row],[b1]])</f>
        <v>0</v>
      </c>
      <c r="G311" s="65" t="b">
        <f>IF(Tab.11[[#This Row],[a1]]=1,IF(Tab.11[[#This Row],[b3]]&gt;$L$989*$G$3,$L$989*$G$3,IF(Tab.11[[#This Row],[b3]]&lt;$M$989*$G$3,$M$989*$G$3,Tab.11[[#This Row],[b3]])))</f>
        <v>0</v>
      </c>
      <c r="H311" s="66" t="b">
        <f>IF(Tab.11[[#This Row],[a1]]=1,Tab.11[[#This Row],[b1]])</f>
        <v>0</v>
      </c>
      <c r="I311" s="67" t="b">
        <f>IF(Tab.11[[#This Row],[a1]]=1,Tab.11[[#This Row],[b1]])</f>
        <v>0</v>
      </c>
      <c r="J311" s="68" t="b">
        <f>IF(Tab.11[[#This Row],[a1]]=1,IF($I$3&lt;0,Tab.11[[#This Row],[b5]]-$I$3,Tab.11[[#This Row],[b5]]))</f>
        <v>0</v>
      </c>
      <c r="K311" s="68" t="b">
        <f>IF(Tab.11[[#This Row],[a1]]=1,IF($K$3=0,Tab.11[b6],Tab.11[[#This Row],[b6]]-AVERAGE(Tab.11[b6])))</f>
        <v>0</v>
      </c>
      <c r="L311" s="69" t="b">
        <f>IF(Tab.11[[#This Row],[a1]]=1,Tab.11[[#This Row],[data]]/(_xlfn.STDEV.P(Tab.11[data])*$B$989)+$A$989)</f>
        <v>0</v>
      </c>
      <c r="M311" s="69" t="b">
        <f>IF(Tab.11[[#This Row],[a1]]=1,Tab.11[[#This Row],[data]]/(_xlfn.STDEV.P(Tab.11[data])*$B$987)-$A$987)</f>
        <v>0</v>
      </c>
      <c r="N311" s="69" t="b">
        <f>IF(Tab.11[[#This Row],[a1]]=1,Tab.11[[#This Row],[data]]/(_xlfn.STDEV.P(Tab.11[data])*$B$988)+$A$988)</f>
        <v>0</v>
      </c>
      <c r="O311" s="70" t="b">
        <f>IF(Tab.11[[#This Row],[a1]]=1,_xlfn.NORM.DIST(Tab.11[[#This Row],[b8]],$P$1,$Q$1,FALSE))</f>
        <v>0</v>
      </c>
      <c r="P311" s="70" t="b">
        <f>IF(Tab.11[[#This Row],[a1]]=1,_xlfn.NORM.DIST(Tab.11[[#This Row],[b9]],$P$1,$Q$1,FALSE))</f>
        <v>0</v>
      </c>
      <c r="Q311" s="70" t="b">
        <f>IF(Tab.11[[#This Row],[a1]]=1,_xlfn.NORM.DIST(Tab.11[[#This Row],[b10]],$P$1,$Q$1,FALSE))</f>
        <v>0</v>
      </c>
      <c r="R311" s="67" t="b">
        <f>IF(Tab.11[[#This Row],[a1]]=1,$I$3+$A$989+IF($K$3=0,Tab.11[[#This Row],[b8]]*_xlfn.STDEV.P(Tab.11[data]),AVERAGE(Tab.11[b6])+Tab.11[[#This Row],[b8]]*_xlfn.STDEV.P(Tab.11[data])))</f>
        <v>0</v>
      </c>
      <c r="S311" s="71" t="b">
        <f>IF(Tab.11[[#This Row],[a1]]=1,$I$3+$A$987+IF($K$3=0,Tab.11[[#This Row],[b9]]*_xlfn.STDEV.P(Tab.11[data]),AVERAGE(Tab.11[b6])+Tab.11[[#This Row],[b9]]*_xlfn.STDEV.P(Tab.11[data])))</f>
        <v>0</v>
      </c>
      <c r="T311" s="71" t="b">
        <f>IF(Tab.11[[#This Row],[a1]]=1,$I$3+$A$988+IF($K$3=0,Tab.11[[#This Row],[b10]]*_xlfn.STDEV.P(Tab.11[data]),AVERAGE(Tab.11[b6])+Tab.11[[#This Row],[b10]]*_xlfn.STDEV.P(Tab.11[data])))</f>
        <v>0</v>
      </c>
      <c r="U311" s="72" t="b">
        <f>IF(Tab.11[[#This Row],[a1]]=1,Tab.11[[#This Row],[target]]-Tab.11[[#This Row],[Red]])</f>
        <v>0</v>
      </c>
      <c r="V311" s="72" t="b">
        <f>IF(Tab.11[[#This Row],[a1]]=1,Tab.11[[#This Row],[target]]-Tab.11[[#This Row],[Blue]])</f>
        <v>0</v>
      </c>
      <c r="W311" s="73" t="b">
        <f>IF(Tab.11[[#This Row],[a1]]=1,IF(ABS(Tab.11[[#This Row],[b17]])+ABS(Tab.11[[#This Row],[b18]])&lt;$W$2,$W$2,ABS(Tab.11[[#This Row],[b17]])+ABS(Tab.11[[#This Row],[b18]])))</f>
        <v>0</v>
      </c>
      <c r="X311" s="136" t="b">
        <f>IF(Tab.11[[#This Row],[a1]]=1,IF($W$3&lt;0,Tab.11[[#This Row],[IN]]-$I$3,Tab.11[[#This Row],[IN]]))</f>
        <v>0</v>
      </c>
      <c r="Y311" s="136" t="b">
        <f>IF(Tab.11[[#This Row],[a1]]=1,IF($X$3=0,Tab.11[b66],Tab.11[[#This Row],[b66]]-AVERAGE(Tab.11[b66])))</f>
        <v>0</v>
      </c>
      <c r="Z311" s="135" t="b">
        <f>IF(Tab.11[[#This Row],[a1]]=1,Tab.11[[#This Row],[b77]]/(_xlfn.STDEV.P(Tab.11[b77])))</f>
        <v>0</v>
      </c>
      <c r="AA311" s="70" t="b">
        <f>IF(Tab.11[[#This Row],[a1]]=1,_xlfn.NORM.DIST(Tab.11[[#This Row],[b88]],$Z$1,$AA$1,FALSE))</f>
        <v>0</v>
      </c>
      <c r="AB311" s="74" t="b">
        <f>IF(Tab.11[[#This Row],[a1]]=1,IF($A$3=0,FALSE,1/Tab.11[[#This Row],[IN]]*$AC$2*IF(Tab.11[[#This Row],[a1]]=0,,$A$3*$AC$1*1/$V$3*(Tab.11[[#This Row],[b14]]))))</f>
        <v>0</v>
      </c>
      <c r="AC311" s="75" t="b">
        <f>IF(Tab.11[[#This Row],[a1]]=1,IF($AC$3=0,Tab.11[[#This Row],[φ1]],Tab.11[[#This Row],[φ1]]/MAX(Tab.11[φ1])))</f>
        <v>0</v>
      </c>
      <c r="AD311" s="74" t="b">
        <f>IF(Tab.11[[#This Row],[a1]]=1,1/Tab.11[[#This Row],[φ2]])</f>
        <v>0</v>
      </c>
      <c r="AE311" s="74" t="b">
        <f>IF(Tab.11[[#This Row],[a1]]=1,IF($AE$3=0,Tab.11[[#This Row],[w.0]],Tab.11[[#This Row],[w.0]]/SUM(Tab.11[w.0])))</f>
        <v>0</v>
      </c>
      <c r="AF311" s="76" t="str">
        <f>IF(Tab.11[[#This Row],[a1]]=0,"false",[3]!Tab.x5[[#This Row],[%_seN_C]])</f>
        <v>false</v>
      </c>
      <c r="AG311" s="77" t="b">
        <f>IF(Tab.11[[#This Row],[a1]]=1,AP311)</f>
        <v>0</v>
      </c>
      <c r="AH311" s="78" t="b">
        <f>IF(Tab.11[[#This Row],[a1]]=1,AQ311)</f>
        <v>0</v>
      </c>
      <c r="AI311" s="41">
        <v>3.0000000000000001E-3</v>
      </c>
      <c r="AJ311" s="79">
        <v>0.01</v>
      </c>
      <c r="AK311" s="80" t="b">
        <f>IF(Tab.11[[#This Row],[a1]]=1,1)</f>
        <v>0</v>
      </c>
      <c r="AZ311"/>
    </row>
    <row r="312" spans="1:52" hidden="1" x14ac:dyDescent="0.25">
      <c r="A312" s="61">
        <f t="shared" si="11"/>
        <v>0</v>
      </c>
      <c r="B312" s="62">
        <f t="shared" si="11"/>
        <v>0</v>
      </c>
      <c r="C312" s="62" t="b">
        <f>IF(Tab.11[[#This Row],[a1]]=1,[3]!Tab_x1[[#This Row],[Name]])</f>
        <v>0</v>
      </c>
      <c r="D312" s="63" t="b">
        <f>IF(Tab.11[[#This Row],[a1]]=1,AO312)</f>
        <v>0</v>
      </c>
      <c r="E312" s="63">
        <f t="shared" si="10"/>
        <v>0</v>
      </c>
      <c r="F312" s="64" t="b">
        <f>IF(Tab.11[[#This Row],[a1]]=1,Tab.11[[#This Row],[b1]])</f>
        <v>0</v>
      </c>
      <c r="G312" s="65" t="b">
        <f>IF(Tab.11[[#This Row],[a1]]=1,IF(Tab.11[[#This Row],[b3]]&gt;$L$989*$G$3,$L$989*$G$3,IF(Tab.11[[#This Row],[b3]]&lt;$M$989*$G$3,$M$989*$G$3,Tab.11[[#This Row],[b3]])))</f>
        <v>0</v>
      </c>
      <c r="H312" s="66" t="b">
        <f>IF(Tab.11[[#This Row],[a1]]=1,Tab.11[[#This Row],[b1]])</f>
        <v>0</v>
      </c>
      <c r="I312" s="67" t="b">
        <f>IF(Tab.11[[#This Row],[a1]]=1,Tab.11[[#This Row],[b1]])</f>
        <v>0</v>
      </c>
      <c r="J312" s="68" t="b">
        <f>IF(Tab.11[[#This Row],[a1]]=1,IF($I$3&lt;0,Tab.11[[#This Row],[b5]]-$I$3,Tab.11[[#This Row],[b5]]))</f>
        <v>0</v>
      </c>
      <c r="K312" s="68" t="b">
        <f>IF(Tab.11[[#This Row],[a1]]=1,IF($K$3=0,Tab.11[b6],Tab.11[[#This Row],[b6]]-AVERAGE(Tab.11[b6])))</f>
        <v>0</v>
      </c>
      <c r="L312" s="69" t="b">
        <f>IF(Tab.11[[#This Row],[a1]]=1,Tab.11[[#This Row],[data]]/(_xlfn.STDEV.P(Tab.11[data])*$B$989)+$A$989)</f>
        <v>0</v>
      </c>
      <c r="M312" s="69" t="b">
        <f>IF(Tab.11[[#This Row],[a1]]=1,Tab.11[[#This Row],[data]]/(_xlfn.STDEV.P(Tab.11[data])*$B$987)-$A$987)</f>
        <v>0</v>
      </c>
      <c r="N312" s="69" t="b">
        <f>IF(Tab.11[[#This Row],[a1]]=1,Tab.11[[#This Row],[data]]/(_xlfn.STDEV.P(Tab.11[data])*$B$988)+$A$988)</f>
        <v>0</v>
      </c>
      <c r="O312" s="70" t="b">
        <f>IF(Tab.11[[#This Row],[a1]]=1,_xlfn.NORM.DIST(Tab.11[[#This Row],[b8]],$P$1,$Q$1,FALSE))</f>
        <v>0</v>
      </c>
      <c r="P312" s="70" t="b">
        <f>IF(Tab.11[[#This Row],[a1]]=1,_xlfn.NORM.DIST(Tab.11[[#This Row],[b9]],$P$1,$Q$1,FALSE))</f>
        <v>0</v>
      </c>
      <c r="Q312" s="70" t="b">
        <f>IF(Tab.11[[#This Row],[a1]]=1,_xlfn.NORM.DIST(Tab.11[[#This Row],[b10]],$P$1,$Q$1,FALSE))</f>
        <v>0</v>
      </c>
      <c r="R312" s="67" t="b">
        <f>IF(Tab.11[[#This Row],[a1]]=1,$I$3+$A$989+IF($K$3=0,Tab.11[[#This Row],[b8]]*_xlfn.STDEV.P(Tab.11[data]),AVERAGE(Tab.11[b6])+Tab.11[[#This Row],[b8]]*_xlfn.STDEV.P(Tab.11[data])))</f>
        <v>0</v>
      </c>
      <c r="S312" s="71" t="b">
        <f>IF(Tab.11[[#This Row],[a1]]=1,$I$3+$A$987+IF($K$3=0,Tab.11[[#This Row],[b9]]*_xlfn.STDEV.P(Tab.11[data]),AVERAGE(Tab.11[b6])+Tab.11[[#This Row],[b9]]*_xlfn.STDEV.P(Tab.11[data])))</f>
        <v>0</v>
      </c>
      <c r="T312" s="71" t="b">
        <f>IF(Tab.11[[#This Row],[a1]]=1,$I$3+$A$988+IF($K$3=0,Tab.11[[#This Row],[b10]]*_xlfn.STDEV.P(Tab.11[data]),AVERAGE(Tab.11[b6])+Tab.11[[#This Row],[b10]]*_xlfn.STDEV.P(Tab.11[data])))</f>
        <v>0</v>
      </c>
      <c r="U312" s="72" t="b">
        <f>IF(Tab.11[[#This Row],[a1]]=1,Tab.11[[#This Row],[target]]-Tab.11[[#This Row],[Red]])</f>
        <v>0</v>
      </c>
      <c r="V312" s="72" t="b">
        <f>IF(Tab.11[[#This Row],[a1]]=1,Tab.11[[#This Row],[target]]-Tab.11[[#This Row],[Blue]])</f>
        <v>0</v>
      </c>
      <c r="W312" s="73" t="b">
        <f>IF(Tab.11[[#This Row],[a1]]=1,IF(ABS(Tab.11[[#This Row],[b17]])+ABS(Tab.11[[#This Row],[b18]])&lt;$W$2,$W$2,ABS(Tab.11[[#This Row],[b17]])+ABS(Tab.11[[#This Row],[b18]])))</f>
        <v>0</v>
      </c>
      <c r="X312" s="136" t="b">
        <f>IF(Tab.11[[#This Row],[a1]]=1,IF($W$3&lt;0,Tab.11[[#This Row],[IN]]-$I$3,Tab.11[[#This Row],[IN]]))</f>
        <v>0</v>
      </c>
      <c r="Y312" s="136" t="b">
        <f>IF(Tab.11[[#This Row],[a1]]=1,IF($X$3=0,Tab.11[b66],Tab.11[[#This Row],[b66]]-AVERAGE(Tab.11[b66])))</f>
        <v>0</v>
      </c>
      <c r="Z312" s="135" t="b">
        <f>IF(Tab.11[[#This Row],[a1]]=1,Tab.11[[#This Row],[b77]]/(_xlfn.STDEV.P(Tab.11[b77])))</f>
        <v>0</v>
      </c>
      <c r="AA312" s="70" t="b">
        <f>IF(Tab.11[[#This Row],[a1]]=1,_xlfn.NORM.DIST(Tab.11[[#This Row],[b88]],$Z$1,$AA$1,FALSE))</f>
        <v>0</v>
      </c>
      <c r="AB312" s="74" t="b">
        <f>IF(Tab.11[[#This Row],[a1]]=1,IF($A$3=0,FALSE,1/Tab.11[[#This Row],[IN]]*$AC$2*IF(Tab.11[[#This Row],[a1]]=0,,$A$3*$AC$1*1/$V$3*(Tab.11[[#This Row],[b14]]))))</f>
        <v>0</v>
      </c>
      <c r="AC312" s="75" t="b">
        <f>IF(Tab.11[[#This Row],[a1]]=1,IF($AC$3=0,Tab.11[[#This Row],[φ1]],Tab.11[[#This Row],[φ1]]/MAX(Tab.11[φ1])))</f>
        <v>0</v>
      </c>
      <c r="AD312" s="74" t="b">
        <f>IF(Tab.11[[#This Row],[a1]]=1,1/Tab.11[[#This Row],[φ2]])</f>
        <v>0</v>
      </c>
      <c r="AE312" s="74" t="b">
        <f>IF(Tab.11[[#This Row],[a1]]=1,IF($AE$3=0,Tab.11[[#This Row],[w.0]],Tab.11[[#This Row],[w.0]]/SUM(Tab.11[w.0])))</f>
        <v>0</v>
      </c>
      <c r="AF312" s="76" t="str">
        <f>IF(Tab.11[[#This Row],[a1]]=0,"false",[3]!Tab.x5[[#This Row],[%_seN_C]])</f>
        <v>false</v>
      </c>
      <c r="AG312" s="77" t="b">
        <f>IF(Tab.11[[#This Row],[a1]]=1,AP312)</f>
        <v>0</v>
      </c>
      <c r="AH312" s="78" t="b">
        <f>IF(Tab.11[[#This Row],[a1]]=1,AQ312)</f>
        <v>0</v>
      </c>
      <c r="AI312" s="41">
        <v>3.0000000000000001E-3</v>
      </c>
      <c r="AJ312" s="79">
        <v>7.0000000000000007E-2</v>
      </c>
      <c r="AK312" s="80" t="b">
        <f>IF(Tab.11[[#This Row],[a1]]=1,1)</f>
        <v>0</v>
      </c>
      <c r="AZ312"/>
    </row>
    <row r="313" spans="1:52" hidden="1" x14ac:dyDescent="0.25">
      <c r="A313" s="61">
        <f t="shared" si="11"/>
        <v>0</v>
      </c>
      <c r="B313" s="62">
        <f t="shared" si="11"/>
        <v>0</v>
      </c>
      <c r="C313" s="62" t="b">
        <f>IF(Tab.11[[#This Row],[a1]]=1,[3]!Tab_x1[[#This Row],[Name]])</f>
        <v>0</v>
      </c>
      <c r="D313" s="63" t="b">
        <f>IF(Tab.11[[#This Row],[a1]]=1,AO313)</f>
        <v>0</v>
      </c>
      <c r="E313" s="63">
        <f t="shared" si="10"/>
        <v>0</v>
      </c>
      <c r="F313" s="64" t="b">
        <f>IF(Tab.11[[#This Row],[a1]]=1,Tab.11[[#This Row],[b1]])</f>
        <v>0</v>
      </c>
      <c r="G313" s="65" t="b">
        <f>IF(Tab.11[[#This Row],[a1]]=1,IF(Tab.11[[#This Row],[b3]]&gt;$L$989*$G$3,$L$989*$G$3,IF(Tab.11[[#This Row],[b3]]&lt;$M$989*$G$3,$M$989*$G$3,Tab.11[[#This Row],[b3]])))</f>
        <v>0</v>
      </c>
      <c r="H313" s="66" t="b">
        <f>IF(Tab.11[[#This Row],[a1]]=1,Tab.11[[#This Row],[b1]])</f>
        <v>0</v>
      </c>
      <c r="I313" s="67" t="b">
        <f>IF(Tab.11[[#This Row],[a1]]=1,Tab.11[[#This Row],[b1]])</f>
        <v>0</v>
      </c>
      <c r="J313" s="68" t="b">
        <f>IF(Tab.11[[#This Row],[a1]]=1,IF($I$3&lt;0,Tab.11[[#This Row],[b5]]-$I$3,Tab.11[[#This Row],[b5]]))</f>
        <v>0</v>
      </c>
      <c r="K313" s="68" t="b">
        <f>IF(Tab.11[[#This Row],[a1]]=1,IF($K$3=0,Tab.11[b6],Tab.11[[#This Row],[b6]]-AVERAGE(Tab.11[b6])))</f>
        <v>0</v>
      </c>
      <c r="L313" s="69" t="b">
        <f>IF(Tab.11[[#This Row],[a1]]=1,Tab.11[[#This Row],[data]]/(_xlfn.STDEV.P(Tab.11[data])*$B$989)+$A$989)</f>
        <v>0</v>
      </c>
      <c r="M313" s="69" t="b">
        <f>IF(Tab.11[[#This Row],[a1]]=1,Tab.11[[#This Row],[data]]/(_xlfn.STDEV.P(Tab.11[data])*$B$987)-$A$987)</f>
        <v>0</v>
      </c>
      <c r="N313" s="69" t="b">
        <f>IF(Tab.11[[#This Row],[a1]]=1,Tab.11[[#This Row],[data]]/(_xlfn.STDEV.P(Tab.11[data])*$B$988)+$A$988)</f>
        <v>0</v>
      </c>
      <c r="O313" s="70" t="b">
        <f>IF(Tab.11[[#This Row],[a1]]=1,_xlfn.NORM.DIST(Tab.11[[#This Row],[b8]],$P$1,$Q$1,FALSE))</f>
        <v>0</v>
      </c>
      <c r="P313" s="70" t="b">
        <f>IF(Tab.11[[#This Row],[a1]]=1,_xlfn.NORM.DIST(Tab.11[[#This Row],[b9]],$P$1,$Q$1,FALSE))</f>
        <v>0</v>
      </c>
      <c r="Q313" s="70" t="b">
        <f>IF(Tab.11[[#This Row],[a1]]=1,_xlfn.NORM.DIST(Tab.11[[#This Row],[b10]],$P$1,$Q$1,FALSE))</f>
        <v>0</v>
      </c>
      <c r="R313" s="67" t="b">
        <f>IF(Tab.11[[#This Row],[a1]]=1,$I$3+$A$989+IF($K$3=0,Tab.11[[#This Row],[b8]]*_xlfn.STDEV.P(Tab.11[data]),AVERAGE(Tab.11[b6])+Tab.11[[#This Row],[b8]]*_xlfn.STDEV.P(Tab.11[data])))</f>
        <v>0</v>
      </c>
      <c r="S313" s="71" t="b">
        <f>IF(Tab.11[[#This Row],[a1]]=1,$I$3+$A$987+IF($K$3=0,Tab.11[[#This Row],[b9]]*_xlfn.STDEV.P(Tab.11[data]),AVERAGE(Tab.11[b6])+Tab.11[[#This Row],[b9]]*_xlfn.STDEV.P(Tab.11[data])))</f>
        <v>0</v>
      </c>
      <c r="T313" s="71" t="b">
        <f>IF(Tab.11[[#This Row],[a1]]=1,$I$3+$A$988+IF($K$3=0,Tab.11[[#This Row],[b10]]*_xlfn.STDEV.P(Tab.11[data]),AVERAGE(Tab.11[b6])+Tab.11[[#This Row],[b10]]*_xlfn.STDEV.P(Tab.11[data])))</f>
        <v>0</v>
      </c>
      <c r="U313" s="72" t="b">
        <f>IF(Tab.11[[#This Row],[a1]]=1,Tab.11[[#This Row],[target]]-Tab.11[[#This Row],[Red]])</f>
        <v>0</v>
      </c>
      <c r="V313" s="72" t="b">
        <f>IF(Tab.11[[#This Row],[a1]]=1,Tab.11[[#This Row],[target]]-Tab.11[[#This Row],[Blue]])</f>
        <v>0</v>
      </c>
      <c r="W313" s="73" t="b">
        <f>IF(Tab.11[[#This Row],[a1]]=1,IF(ABS(Tab.11[[#This Row],[b17]])+ABS(Tab.11[[#This Row],[b18]])&lt;$W$2,$W$2,ABS(Tab.11[[#This Row],[b17]])+ABS(Tab.11[[#This Row],[b18]])))</f>
        <v>0</v>
      </c>
      <c r="X313" s="136" t="b">
        <f>IF(Tab.11[[#This Row],[a1]]=1,IF($W$3&lt;0,Tab.11[[#This Row],[IN]]-$I$3,Tab.11[[#This Row],[IN]]))</f>
        <v>0</v>
      </c>
      <c r="Y313" s="136" t="b">
        <f>IF(Tab.11[[#This Row],[a1]]=1,IF($X$3=0,Tab.11[b66],Tab.11[[#This Row],[b66]]-AVERAGE(Tab.11[b66])))</f>
        <v>0</v>
      </c>
      <c r="Z313" s="135" t="b">
        <f>IF(Tab.11[[#This Row],[a1]]=1,Tab.11[[#This Row],[b77]]/(_xlfn.STDEV.P(Tab.11[b77])))</f>
        <v>0</v>
      </c>
      <c r="AA313" s="70" t="b">
        <f>IF(Tab.11[[#This Row],[a1]]=1,_xlfn.NORM.DIST(Tab.11[[#This Row],[b88]],$Z$1,$AA$1,FALSE))</f>
        <v>0</v>
      </c>
      <c r="AB313" s="74" t="b">
        <f>IF(Tab.11[[#This Row],[a1]]=1,IF($A$3=0,FALSE,1/Tab.11[[#This Row],[IN]]*$AC$2*IF(Tab.11[[#This Row],[a1]]=0,,$A$3*$AC$1*1/$V$3*(Tab.11[[#This Row],[b14]]))))</f>
        <v>0</v>
      </c>
      <c r="AC313" s="75" t="b">
        <f>IF(Tab.11[[#This Row],[a1]]=1,IF($AC$3=0,Tab.11[[#This Row],[φ1]],Tab.11[[#This Row],[φ1]]/MAX(Tab.11[φ1])))</f>
        <v>0</v>
      </c>
      <c r="AD313" s="74" t="b">
        <f>IF(Tab.11[[#This Row],[a1]]=1,1/Tab.11[[#This Row],[φ2]])</f>
        <v>0</v>
      </c>
      <c r="AE313" s="74" t="b">
        <f>IF(Tab.11[[#This Row],[a1]]=1,IF($AE$3=0,Tab.11[[#This Row],[w.0]],Tab.11[[#This Row],[w.0]]/SUM(Tab.11[w.0])))</f>
        <v>0</v>
      </c>
      <c r="AF313" s="76" t="str">
        <f>IF(Tab.11[[#This Row],[a1]]=0,"false",[3]!Tab.x5[[#This Row],[%_seN_C]])</f>
        <v>false</v>
      </c>
      <c r="AG313" s="77" t="b">
        <f>IF(Tab.11[[#This Row],[a1]]=1,AP313)</f>
        <v>0</v>
      </c>
      <c r="AH313" s="78" t="b">
        <f>IF(Tab.11[[#This Row],[a1]]=1,AQ313)</f>
        <v>0</v>
      </c>
      <c r="AI313" s="41">
        <v>3.0000000000000001E-3</v>
      </c>
      <c r="AJ313" s="79">
        <v>0.1</v>
      </c>
      <c r="AK313" s="80" t="b">
        <f>IF(Tab.11[[#This Row],[a1]]=1,1)</f>
        <v>0</v>
      </c>
      <c r="AZ313"/>
    </row>
    <row r="314" spans="1:52" hidden="1" x14ac:dyDescent="0.25">
      <c r="A314" s="61">
        <f t="shared" si="11"/>
        <v>0</v>
      </c>
      <c r="B314" s="62">
        <f t="shared" si="11"/>
        <v>0</v>
      </c>
      <c r="C314" s="62" t="b">
        <f>IF(Tab.11[[#This Row],[a1]]=1,[3]!Tab_x1[[#This Row],[Name]])</f>
        <v>0</v>
      </c>
      <c r="D314" s="63" t="b">
        <f>IF(Tab.11[[#This Row],[a1]]=1,AO314)</f>
        <v>0</v>
      </c>
      <c r="E314" s="63">
        <f t="shared" si="10"/>
        <v>0</v>
      </c>
      <c r="F314" s="64" t="b">
        <f>IF(Tab.11[[#This Row],[a1]]=1,Tab.11[[#This Row],[b1]])</f>
        <v>0</v>
      </c>
      <c r="G314" s="65" t="b">
        <f>IF(Tab.11[[#This Row],[a1]]=1,IF(Tab.11[[#This Row],[b3]]&gt;$L$989*$G$3,$L$989*$G$3,IF(Tab.11[[#This Row],[b3]]&lt;$M$989*$G$3,$M$989*$G$3,Tab.11[[#This Row],[b3]])))</f>
        <v>0</v>
      </c>
      <c r="H314" s="66" t="b">
        <f>IF(Tab.11[[#This Row],[a1]]=1,Tab.11[[#This Row],[b1]])</f>
        <v>0</v>
      </c>
      <c r="I314" s="67" t="b">
        <f>IF(Tab.11[[#This Row],[a1]]=1,Tab.11[[#This Row],[b1]])</f>
        <v>0</v>
      </c>
      <c r="J314" s="68" t="b">
        <f>IF(Tab.11[[#This Row],[a1]]=1,IF($I$3&lt;0,Tab.11[[#This Row],[b5]]-$I$3,Tab.11[[#This Row],[b5]]))</f>
        <v>0</v>
      </c>
      <c r="K314" s="68" t="b">
        <f>IF(Tab.11[[#This Row],[a1]]=1,IF($K$3=0,Tab.11[b6],Tab.11[[#This Row],[b6]]-AVERAGE(Tab.11[b6])))</f>
        <v>0</v>
      </c>
      <c r="L314" s="69" t="b">
        <f>IF(Tab.11[[#This Row],[a1]]=1,Tab.11[[#This Row],[data]]/(_xlfn.STDEV.P(Tab.11[data])*$B$989)+$A$989)</f>
        <v>0</v>
      </c>
      <c r="M314" s="69" t="b">
        <f>IF(Tab.11[[#This Row],[a1]]=1,Tab.11[[#This Row],[data]]/(_xlfn.STDEV.P(Tab.11[data])*$B$987)-$A$987)</f>
        <v>0</v>
      </c>
      <c r="N314" s="69" t="b">
        <f>IF(Tab.11[[#This Row],[a1]]=1,Tab.11[[#This Row],[data]]/(_xlfn.STDEV.P(Tab.11[data])*$B$988)+$A$988)</f>
        <v>0</v>
      </c>
      <c r="O314" s="70" t="b">
        <f>IF(Tab.11[[#This Row],[a1]]=1,_xlfn.NORM.DIST(Tab.11[[#This Row],[b8]],$P$1,$Q$1,FALSE))</f>
        <v>0</v>
      </c>
      <c r="P314" s="70" t="b">
        <f>IF(Tab.11[[#This Row],[a1]]=1,_xlfn.NORM.DIST(Tab.11[[#This Row],[b9]],$P$1,$Q$1,FALSE))</f>
        <v>0</v>
      </c>
      <c r="Q314" s="70" t="b">
        <f>IF(Tab.11[[#This Row],[a1]]=1,_xlfn.NORM.DIST(Tab.11[[#This Row],[b10]],$P$1,$Q$1,FALSE))</f>
        <v>0</v>
      </c>
      <c r="R314" s="67" t="b">
        <f>IF(Tab.11[[#This Row],[a1]]=1,$I$3+$A$989+IF($K$3=0,Tab.11[[#This Row],[b8]]*_xlfn.STDEV.P(Tab.11[data]),AVERAGE(Tab.11[b6])+Tab.11[[#This Row],[b8]]*_xlfn.STDEV.P(Tab.11[data])))</f>
        <v>0</v>
      </c>
      <c r="S314" s="71" t="b">
        <f>IF(Tab.11[[#This Row],[a1]]=1,$I$3+$A$987+IF($K$3=0,Tab.11[[#This Row],[b9]]*_xlfn.STDEV.P(Tab.11[data]),AVERAGE(Tab.11[b6])+Tab.11[[#This Row],[b9]]*_xlfn.STDEV.P(Tab.11[data])))</f>
        <v>0</v>
      </c>
      <c r="T314" s="71" t="b">
        <f>IF(Tab.11[[#This Row],[a1]]=1,$I$3+$A$988+IF($K$3=0,Tab.11[[#This Row],[b10]]*_xlfn.STDEV.P(Tab.11[data]),AVERAGE(Tab.11[b6])+Tab.11[[#This Row],[b10]]*_xlfn.STDEV.P(Tab.11[data])))</f>
        <v>0</v>
      </c>
      <c r="U314" s="72" t="b">
        <f>IF(Tab.11[[#This Row],[a1]]=1,Tab.11[[#This Row],[target]]-Tab.11[[#This Row],[Red]])</f>
        <v>0</v>
      </c>
      <c r="V314" s="72" t="b">
        <f>IF(Tab.11[[#This Row],[a1]]=1,Tab.11[[#This Row],[target]]-Tab.11[[#This Row],[Blue]])</f>
        <v>0</v>
      </c>
      <c r="W314" s="73" t="b">
        <f>IF(Tab.11[[#This Row],[a1]]=1,IF(ABS(Tab.11[[#This Row],[b17]])+ABS(Tab.11[[#This Row],[b18]])&lt;$W$2,$W$2,ABS(Tab.11[[#This Row],[b17]])+ABS(Tab.11[[#This Row],[b18]])))</f>
        <v>0</v>
      </c>
      <c r="X314" s="136" t="b">
        <f>IF(Tab.11[[#This Row],[a1]]=1,IF($W$3&lt;0,Tab.11[[#This Row],[IN]]-$I$3,Tab.11[[#This Row],[IN]]))</f>
        <v>0</v>
      </c>
      <c r="Y314" s="136" t="b">
        <f>IF(Tab.11[[#This Row],[a1]]=1,IF($X$3=0,Tab.11[b66],Tab.11[[#This Row],[b66]]-AVERAGE(Tab.11[b66])))</f>
        <v>0</v>
      </c>
      <c r="Z314" s="135" t="b">
        <f>IF(Tab.11[[#This Row],[a1]]=1,Tab.11[[#This Row],[b77]]/(_xlfn.STDEV.P(Tab.11[b77])))</f>
        <v>0</v>
      </c>
      <c r="AA314" s="70" t="b">
        <f>IF(Tab.11[[#This Row],[a1]]=1,_xlfn.NORM.DIST(Tab.11[[#This Row],[b88]],$Z$1,$AA$1,FALSE))</f>
        <v>0</v>
      </c>
      <c r="AB314" s="74" t="b">
        <f>IF(Tab.11[[#This Row],[a1]]=1,IF($A$3=0,FALSE,1/Tab.11[[#This Row],[IN]]*$AC$2*IF(Tab.11[[#This Row],[a1]]=0,,$A$3*$AC$1*1/$V$3*(Tab.11[[#This Row],[b14]]))))</f>
        <v>0</v>
      </c>
      <c r="AC314" s="75" t="b">
        <f>IF(Tab.11[[#This Row],[a1]]=1,IF($AC$3=0,Tab.11[[#This Row],[φ1]],Tab.11[[#This Row],[φ1]]/MAX(Tab.11[φ1])))</f>
        <v>0</v>
      </c>
      <c r="AD314" s="74" t="b">
        <f>IF(Tab.11[[#This Row],[a1]]=1,1/Tab.11[[#This Row],[φ2]])</f>
        <v>0</v>
      </c>
      <c r="AE314" s="74" t="b">
        <f>IF(Tab.11[[#This Row],[a1]]=1,IF($AE$3=0,Tab.11[[#This Row],[w.0]],Tab.11[[#This Row],[w.0]]/SUM(Tab.11[w.0])))</f>
        <v>0</v>
      </c>
      <c r="AF314" s="76" t="str">
        <f>IF(Tab.11[[#This Row],[a1]]=0,"false",[3]!Tab.x5[[#This Row],[%_seN_C]])</f>
        <v>false</v>
      </c>
      <c r="AG314" s="77" t="b">
        <f>IF(Tab.11[[#This Row],[a1]]=1,AP314)</f>
        <v>0</v>
      </c>
      <c r="AH314" s="78" t="b">
        <f>IF(Tab.11[[#This Row],[a1]]=1,AQ314)</f>
        <v>0</v>
      </c>
      <c r="AI314" s="41">
        <v>3.0000000000000001E-3</v>
      </c>
      <c r="AJ314" s="79">
        <v>-0.1</v>
      </c>
      <c r="AK314" s="80" t="b">
        <f>IF(Tab.11[[#This Row],[a1]]=1,1)</f>
        <v>0</v>
      </c>
      <c r="AZ314"/>
    </row>
    <row r="315" spans="1:52" hidden="1" x14ac:dyDescent="0.25">
      <c r="A315" s="61">
        <f t="shared" si="11"/>
        <v>0</v>
      </c>
      <c r="B315" s="62">
        <f t="shared" si="11"/>
        <v>0</v>
      </c>
      <c r="C315" s="62" t="b">
        <f>IF(Tab.11[[#This Row],[a1]]=1,[3]!Tab_x1[[#This Row],[Name]])</f>
        <v>0</v>
      </c>
      <c r="D315" s="63" t="b">
        <f>IF(Tab.11[[#This Row],[a1]]=1,AO315)</f>
        <v>0</v>
      </c>
      <c r="E315" s="63">
        <f t="shared" si="10"/>
        <v>0</v>
      </c>
      <c r="F315" s="64" t="b">
        <f>IF(Tab.11[[#This Row],[a1]]=1,Tab.11[[#This Row],[b1]])</f>
        <v>0</v>
      </c>
      <c r="G315" s="65" t="b">
        <f>IF(Tab.11[[#This Row],[a1]]=1,IF(Tab.11[[#This Row],[b3]]&gt;$L$989*$G$3,$L$989*$G$3,IF(Tab.11[[#This Row],[b3]]&lt;$M$989*$G$3,$M$989*$G$3,Tab.11[[#This Row],[b3]])))</f>
        <v>0</v>
      </c>
      <c r="H315" s="66" t="b">
        <f>IF(Tab.11[[#This Row],[a1]]=1,Tab.11[[#This Row],[b1]])</f>
        <v>0</v>
      </c>
      <c r="I315" s="67" t="b">
        <f>IF(Tab.11[[#This Row],[a1]]=1,Tab.11[[#This Row],[b1]])</f>
        <v>0</v>
      </c>
      <c r="J315" s="68" t="b">
        <f>IF(Tab.11[[#This Row],[a1]]=1,IF($I$3&lt;0,Tab.11[[#This Row],[b5]]-$I$3,Tab.11[[#This Row],[b5]]))</f>
        <v>0</v>
      </c>
      <c r="K315" s="68" t="b">
        <f>IF(Tab.11[[#This Row],[a1]]=1,IF($K$3=0,Tab.11[b6],Tab.11[[#This Row],[b6]]-AVERAGE(Tab.11[b6])))</f>
        <v>0</v>
      </c>
      <c r="L315" s="69" t="b">
        <f>IF(Tab.11[[#This Row],[a1]]=1,Tab.11[[#This Row],[data]]/(_xlfn.STDEV.P(Tab.11[data])*$B$989)+$A$989)</f>
        <v>0</v>
      </c>
      <c r="M315" s="69" t="b">
        <f>IF(Tab.11[[#This Row],[a1]]=1,Tab.11[[#This Row],[data]]/(_xlfn.STDEV.P(Tab.11[data])*$B$987)-$A$987)</f>
        <v>0</v>
      </c>
      <c r="N315" s="69" t="b">
        <f>IF(Tab.11[[#This Row],[a1]]=1,Tab.11[[#This Row],[data]]/(_xlfn.STDEV.P(Tab.11[data])*$B$988)+$A$988)</f>
        <v>0</v>
      </c>
      <c r="O315" s="70" t="b">
        <f>IF(Tab.11[[#This Row],[a1]]=1,_xlfn.NORM.DIST(Tab.11[[#This Row],[b8]],$P$1,$Q$1,FALSE))</f>
        <v>0</v>
      </c>
      <c r="P315" s="70" t="b">
        <f>IF(Tab.11[[#This Row],[a1]]=1,_xlfn.NORM.DIST(Tab.11[[#This Row],[b9]],$P$1,$Q$1,FALSE))</f>
        <v>0</v>
      </c>
      <c r="Q315" s="70" t="b">
        <f>IF(Tab.11[[#This Row],[a1]]=1,_xlfn.NORM.DIST(Tab.11[[#This Row],[b10]],$P$1,$Q$1,FALSE))</f>
        <v>0</v>
      </c>
      <c r="R315" s="67" t="b">
        <f>IF(Tab.11[[#This Row],[a1]]=1,$I$3+$A$989+IF($K$3=0,Tab.11[[#This Row],[b8]]*_xlfn.STDEV.P(Tab.11[data]),AVERAGE(Tab.11[b6])+Tab.11[[#This Row],[b8]]*_xlfn.STDEV.P(Tab.11[data])))</f>
        <v>0</v>
      </c>
      <c r="S315" s="71" t="b">
        <f>IF(Tab.11[[#This Row],[a1]]=1,$I$3+$A$987+IF($K$3=0,Tab.11[[#This Row],[b9]]*_xlfn.STDEV.P(Tab.11[data]),AVERAGE(Tab.11[b6])+Tab.11[[#This Row],[b9]]*_xlfn.STDEV.P(Tab.11[data])))</f>
        <v>0</v>
      </c>
      <c r="T315" s="71" t="b">
        <f>IF(Tab.11[[#This Row],[a1]]=1,$I$3+$A$988+IF($K$3=0,Tab.11[[#This Row],[b10]]*_xlfn.STDEV.P(Tab.11[data]),AVERAGE(Tab.11[b6])+Tab.11[[#This Row],[b10]]*_xlfn.STDEV.P(Tab.11[data])))</f>
        <v>0</v>
      </c>
      <c r="U315" s="72" t="b">
        <f>IF(Tab.11[[#This Row],[a1]]=1,Tab.11[[#This Row],[target]]-Tab.11[[#This Row],[Red]])</f>
        <v>0</v>
      </c>
      <c r="V315" s="72" t="b">
        <f>IF(Tab.11[[#This Row],[a1]]=1,Tab.11[[#This Row],[target]]-Tab.11[[#This Row],[Blue]])</f>
        <v>0</v>
      </c>
      <c r="W315" s="73" t="b">
        <f>IF(Tab.11[[#This Row],[a1]]=1,IF(ABS(Tab.11[[#This Row],[b17]])+ABS(Tab.11[[#This Row],[b18]])&lt;$W$2,$W$2,ABS(Tab.11[[#This Row],[b17]])+ABS(Tab.11[[#This Row],[b18]])))</f>
        <v>0</v>
      </c>
      <c r="X315" s="136" t="b">
        <f>IF(Tab.11[[#This Row],[a1]]=1,IF($W$3&lt;0,Tab.11[[#This Row],[IN]]-$I$3,Tab.11[[#This Row],[IN]]))</f>
        <v>0</v>
      </c>
      <c r="Y315" s="136" t="b">
        <f>IF(Tab.11[[#This Row],[a1]]=1,IF($X$3=0,Tab.11[b66],Tab.11[[#This Row],[b66]]-AVERAGE(Tab.11[b66])))</f>
        <v>0</v>
      </c>
      <c r="Z315" s="135" t="b">
        <f>IF(Tab.11[[#This Row],[a1]]=1,Tab.11[[#This Row],[b77]]/(_xlfn.STDEV.P(Tab.11[b77])))</f>
        <v>0</v>
      </c>
      <c r="AA315" s="70" t="b">
        <f>IF(Tab.11[[#This Row],[a1]]=1,_xlfn.NORM.DIST(Tab.11[[#This Row],[b88]],$Z$1,$AA$1,FALSE))</f>
        <v>0</v>
      </c>
      <c r="AB315" s="74" t="b">
        <f>IF(Tab.11[[#This Row],[a1]]=1,IF($A$3=0,FALSE,1/Tab.11[[#This Row],[IN]]*$AC$2*IF(Tab.11[[#This Row],[a1]]=0,,$A$3*$AC$1*1/$V$3*(Tab.11[[#This Row],[b14]]))))</f>
        <v>0</v>
      </c>
      <c r="AC315" s="75" t="b">
        <f>IF(Tab.11[[#This Row],[a1]]=1,IF($AC$3=0,Tab.11[[#This Row],[φ1]],Tab.11[[#This Row],[φ1]]/MAX(Tab.11[φ1])))</f>
        <v>0</v>
      </c>
      <c r="AD315" s="74" t="b">
        <f>IF(Tab.11[[#This Row],[a1]]=1,1/Tab.11[[#This Row],[φ2]])</f>
        <v>0</v>
      </c>
      <c r="AE315" s="74" t="b">
        <f>IF(Tab.11[[#This Row],[a1]]=1,IF($AE$3=0,Tab.11[[#This Row],[w.0]],Tab.11[[#This Row],[w.0]]/SUM(Tab.11[w.0])))</f>
        <v>0</v>
      </c>
      <c r="AF315" s="76" t="str">
        <f>IF(Tab.11[[#This Row],[a1]]=0,"false",[3]!Tab.x5[[#This Row],[%_seN_C]])</f>
        <v>false</v>
      </c>
      <c r="AG315" s="77" t="b">
        <f>IF(Tab.11[[#This Row],[a1]]=1,AP315)</f>
        <v>0</v>
      </c>
      <c r="AH315" s="78" t="b">
        <f>IF(Tab.11[[#This Row],[a1]]=1,AQ315)</f>
        <v>0</v>
      </c>
      <c r="AI315" s="41">
        <v>3.0000000000000001E-3</v>
      </c>
      <c r="AJ315" s="79">
        <v>-0.04</v>
      </c>
      <c r="AK315" s="80" t="b">
        <f>IF(Tab.11[[#This Row],[a1]]=1,1)</f>
        <v>0</v>
      </c>
      <c r="AZ315"/>
    </row>
    <row r="316" spans="1:52" hidden="1" x14ac:dyDescent="0.25">
      <c r="A316" s="61">
        <f t="shared" si="11"/>
        <v>0</v>
      </c>
      <c r="B316" s="62">
        <f t="shared" si="11"/>
        <v>0</v>
      </c>
      <c r="C316" s="62" t="b">
        <f>IF(Tab.11[[#This Row],[a1]]=1,[3]!Tab_x1[[#This Row],[Name]])</f>
        <v>0</v>
      </c>
      <c r="D316" s="63" t="b">
        <f>IF(Tab.11[[#This Row],[a1]]=1,AO316)</f>
        <v>0</v>
      </c>
      <c r="E316" s="63">
        <f t="shared" si="10"/>
        <v>0</v>
      </c>
      <c r="F316" s="64" t="b">
        <f>IF(Tab.11[[#This Row],[a1]]=1,Tab.11[[#This Row],[b1]])</f>
        <v>0</v>
      </c>
      <c r="G316" s="65" t="b">
        <f>IF(Tab.11[[#This Row],[a1]]=1,IF(Tab.11[[#This Row],[b3]]&gt;$L$989*$G$3,$L$989*$G$3,IF(Tab.11[[#This Row],[b3]]&lt;$M$989*$G$3,$M$989*$G$3,Tab.11[[#This Row],[b3]])))</f>
        <v>0</v>
      </c>
      <c r="H316" s="66" t="b">
        <f>IF(Tab.11[[#This Row],[a1]]=1,Tab.11[[#This Row],[b1]])</f>
        <v>0</v>
      </c>
      <c r="I316" s="67" t="b">
        <f>IF(Tab.11[[#This Row],[a1]]=1,Tab.11[[#This Row],[b1]])</f>
        <v>0</v>
      </c>
      <c r="J316" s="68" t="b">
        <f>IF(Tab.11[[#This Row],[a1]]=1,IF($I$3&lt;0,Tab.11[[#This Row],[b5]]-$I$3,Tab.11[[#This Row],[b5]]))</f>
        <v>0</v>
      </c>
      <c r="K316" s="68" t="b">
        <f>IF(Tab.11[[#This Row],[a1]]=1,IF($K$3=0,Tab.11[b6],Tab.11[[#This Row],[b6]]-AVERAGE(Tab.11[b6])))</f>
        <v>0</v>
      </c>
      <c r="L316" s="69" t="b">
        <f>IF(Tab.11[[#This Row],[a1]]=1,Tab.11[[#This Row],[data]]/(_xlfn.STDEV.P(Tab.11[data])*$B$989)+$A$989)</f>
        <v>0</v>
      </c>
      <c r="M316" s="69" t="b">
        <f>IF(Tab.11[[#This Row],[a1]]=1,Tab.11[[#This Row],[data]]/(_xlfn.STDEV.P(Tab.11[data])*$B$987)-$A$987)</f>
        <v>0</v>
      </c>
      <c r="N316" s="69" t="b">
        <f>IF(Tab.11[[#This Row],[a1]]=1,Tab.11[[#This Row],[data]]/(_xlfn.STDEV.P(Tab.11[data])*$B$988)+$A$988)</f>
        <v>0</v>
      </c>
      <c r="O316" s="70" t="b">
        <f>IF(Tab.11[[#This Row],[a1]]=1,_xlfn.NORM.DIST(Tab.11[[#This Row],[b8]],$P$1,$Q$1,FALSE))</f>
        <v>0</v>
      </c>
      <c r="P316" s="70" t="b">
        <f>IF(Tab.11[[#This Row],[a1]]=1,_xlfn.NORM.DIST(Tab.11[[#This Row],[b9]],$P$1,$Q$1,FALSE))</f>
        <v>0</v>
      </c>
      <c r="Q316" s="70" t="b">
        <f>IF(Tab.11[[#This Row],[a1]]=1,_xlfn.NORM.DIST(Tab.11[[#This Row],[b10]],$P$1,$Q$1,FALSE))</f>
        <v>0</v>
      </c>
      <c r="R316" s="67" t="b">
        <f>IF(Tab.11[[#This Row],[a1]]=1,$I$3+$A$989+IF($K$3=0,Tab.11[[#This Row],[b8]]*_xlfn.STDEV.P(Tab.11[data]),AVERAGE(Tab.11[b6])+Tab.11[[#This Row],[b8]]*_xlfn.STDEV.P(Tab.11[data])))</f>
        <v>0</v>
      </c>
      <c r="S316" s="71" t="b">
        <f>IF(Tab.11[[#This Row],[a1]]=1,$I$3+$A$987+IF($K$3=0,Tab.11[[#This Row],[b9]]*_xlfn.STDEV.P(Tab.11[data]),AVERAGE(Tab.11[b6])+Tab.11[[#This Row],[b9]]*_xlfn.STDEV.P(Tab.11[data])))</f>
        <v>0</v>
      </c>
      <c r="T316" s="71" t="b">
        <f>IF(Tab.11[[#This Row],[a1]]=1,$I$3+$A$988+IF($K$3=0,Tab.11[[#This Row],[b10]]*_xlfn.STDEV.P(Tab.11[data]),AVERAGE(Tab.11[b6])+Tab.11[[#This Row],[b10]]*_xlfn.STDEV.P(Tab.11[data])))</f>
        <v>0</v>
      </c>
      <c r="U316" s="72" t="b">
        <f>IF(Tab.11[[#This Row],[a1]]=1,Tab.11[[#This Row],[target]]-Tab.11[[#This Row],[Red]])</f>
        <v>0</v>
      </c>
      <c r="V316" s="72" t="b">
        <f>IF(Tab.11[[#This Row],[a1]]=1,Tab.11[[#This Row],[target]]-Tab.11[[#This Row],[Blue]])</f>
        <v>0</v>
      </c>
      <c r="W316" s="73" t="b">
        <f>IF(Tab.11[[#This Row],[a1]]=1,IF(ABS(Tab.11[[#This Row],[b17]])+ABS(Tab.11[[#This Row],[b18]])&lt;$W$2,$W$2,ABS(Tab.11[[#This Row],[b17]])+ABS(Tab.11[[#This Row],[b18]])))</f>
        <v>0</v>
      </c>
      <c r="X316" s="136" t="b">
        <f>IF(Tab.11[[#This Row],[a1]]=1,IF($W$3&lt;0,Tab.11[[#This Row],[IN]]-$I$3,Tab.11[[#This Row],[IN]]))</f>
        <v>0</v>
      </c>
      <c r="Y316" s="136" t="b">
        <f>IF(Tab.11[[#This Row],[a1]]=1,IF($X$3=0,Tab.11[b66],Tab.11[[#This Row],[b66]]-AVERAGE(Tab.11[b66])))</f>
        <v>0</v>
      </c>
      <c r="Z316" s="135" t="b">
        <f>IF(Tab.11[[#This Row],[a1]]=1,Tab.11[[#This Row],[b77]]/(_xlfn.STDEV.P(Tab.11[b77])))</f>
        <v>0</v>
      </c>
      <c r="AA316" s="70" t="b">
        <f>IF(Tab.11[[#This Row],[a1]]=1,_xlfn.NORM.DIST(Tab.11[[#This Row],[b88]],$Z$1,$AA$1,FALSE))</f>
        <v>0</v>
      </c>
      <c r="AB316" s="74" t="b">
        <f>IF(Tab.11[[#This Row],[a1]]=1,IF($A$3=0,FALSE,1/Tab.11[[#This Row],[IN]]*$AC$2*IF(Tab.11[[#This Row],[a1]]=0,,$A$3*$AC$1*1/$V$3*(Tab.11[[#This Row],[b14]]))))</f>
        <v>0</v>
      </c>
      <c r="AC316" s="75" t="b">
        <f>IF(Tab.11[[#This Row],[a1]]=1,IF($AC$3=0,Tab.11[[#This Row],[φ1]],Tab.11[[#This Row],[φ1]]/MAX(Tab.11[φ1])))</f>
        <v>0</v>
      </c>
      <c r="AD316" s="74" t="b">
        <f>IF(Tab.11[[#This Row],[a1]]=1,1/Tab.11[[#This Row],[φ2]])</f>
        <v>0</v>
      </c>
      <c r="AE316" s="74" t="b">
        <f>IF(Tab.11[[#This Row],[a1]]=1,IF($AE$3=0,Tab.11[[#This Row],[w.0]],Tab.11[[#This Row],[w.0]]/SUM(Tab.11[w.0])))</f>
        <v>0</v>
      </c>
      <c r="AF316" s="76" t="str">
        <f>IF(Tab.11[[#This Row],[a1]]=0,"false",[3]!Tab.x5[[#This Row],[%_seN_C]])</f>
        <v>false</v>
      </c>
      <c r="AG316" s="77" t="b">
        <f>IF(Tab.11[[#This Row],[a1]]=1,AP316)</f>
        <v>0</v>
      </c>
      <c r="AH316" s="78" t="b">
        <f>IF(Tab.11[[#This Row],[a1]]=1,AQ316)</f>
        <v>0</v>
      </c>
      <c r="AI316" s="41">
        <v>3.0000000000000001E-3</v>
      </c>
      <c r="AJ316" s="79">
        <v>-0.01</v>
      </c>
      <c r="AK316" s="80" t="b">
        <f>IF(Tab.11[[#This Row],[a1]]=1,1)</f>
        <v>0</v>
      </c>
      <c r="AZ316"/>
    </row>
    <row r="317" spans="1:52" hidden="1" x14ac:dyDescent="0.25">
      <c r="A317" s="61">
        <f t="shared" si="11"/>
        <v>0</v>
      </c>
      <c r="B317" s="62">
        <f t="shared" si="11"/>
        <v>0</v>
      </c>
      <c r="C317" s="62" t="b">
        <f>IF(Tab.11[[#This Row],[a1]]=1,[3]!Tab_x1[[#This Row],[Name]])</f>
        <v>0</v>
      </c>
      <c r="D317" s="63" t="b">
        <f>IF(Tab.11[[#This Row],[a1]]=1,AO317)</f>
        <v>0</v>
      </c>
      <c r="E317" s="63">
        <f t="shared" si="10"/>
        <v>0</v>
      </c>
      <c r="F317" s="64" t="b">
        <f>IF(Tab.11[[#This Row],[a1]]=1,Tab.11[[#This Row],[b1]])</f>
        <v>0</v>
      </c>
      <c r="G317" s="65" t="b">
        <f>IF(Tab.11[[#This Row],[a1]]=1,IF(Tab.11[[#This Row],[b3]]&gt;$L$989*$G$3,$L$989*$G$3,IF(Tab.11[[#This Row],[b3]]&lt;$M$989*$G$3,$M$989*$G$3,Tab.11[[#This Row],[b3]])))</f>
        <v>0</v>
      </c>
      <c r="H317" s="66" t="b">
        <f>IF(Tab.11[[#This Row],[a1]]=1,Tab.11[[#This Row],[b1]])</f>
        <v>0</v>
      </c>
      <c r="I317" s="67" t="b">
        <f>IF(Tab.11[[#This Row],[a1]]=1,Tab.11[[#This Row],[b1]])</f>
        <v>0</v>
      </c>
      <c r="J317" s="68" t="b">
        <f>IF(Tab.11[[#This Row],[a1]]=1,IF($I$3&lt;0,Tab.11[[#This Row],[b5]]-$I$3,Tab.11[[#This Row],[b5]]))</f>
        <v>0</v>
      </c>
      <c r="K317" s="68" t="b">
        <f>IF(Tab.11[[#This Row],[a1]]=1,IF($K$3=0,Tab.11[b6],Tab.11[[#This Row],[b6]]-AVERAGE(Tab.11[b6])))</f>
        <v>0</v>
      </c>
      <c r="L317" s="69" t="b">
        <f>IF(Tab.11[[#This Row],[a1]]=1,Tab.11[[#This Row],[data]]/(_xlfn.STDEV.P(Tab.11[data])*$B$989)+$A$989)</f>
        <v>0</v>
      </c>
      <c r="M317" s="69" t="b">
        <f>IF(Tab.11[[#This Row],[a1]]=1,Tab.11[[#This Row],[data]]/(_xlfn.STDEV.P(Tab.11[data])*$B$987)-$A$987)</f>
        <v>0</v>
      </c>
      <c r="N317" s="69" t="b">
        <f>IF(Tab.11[[#This Row],[a1]]=1,Tab.11[[#This Row],[data]]/(_xlfn.STDEV.P(Tab.11[data])*$B$988)+$A$988)</f>
        <v>0</v>
      </c>
      <c r="O317" s="70" t="b">
        <f>IF(Tab.11[[#This Row],[a1]]=1,_xlfn.NORM.DIST(Tab.11[[#This Row],[b8]],$P$1,$Q$1,FALSE))</f>
        <v>0</v>
      </c>
      <c r="P317" s="70" t="b">
        <f>IF(Tab.11[[#This Row],[a1]]=1,_xlfn.NORM.DIST(Tab.11[[#This Row],[b9]],$P$1,$Q$1,FALSE))</f>
        <v>0</v>
      </c>
      <c r="Q317" s="70" t="b">
        <f>IF(Tab.11[[#This Row],[a1]]=1,_xlfn.NORM.DIST(Tab.11[[#This Row],[b10]],$P$1,$Q$1,FALSE))</f>
        <v>0</v>
      </c>
      <c r="R317" s="67" t="b">
        <f>IF(Tab.11[[#This Row],[a1]]=1,$I$3+$A$989+IF($K$3=0,Tab.11[[#This Row],[b8]]*_xlfn.STDEV.P(Tab.11[data]),AVERAGE(Tab.11[b6])+Tab.11[[#This Row],[b8]]*_xlfn.STDEV.P(Tab.11[data])))</f>
        <v>0</v>
      </c>
      <c r="S317" s="71" t="b">
        <f>IF(Tab.11[[#This Row],[a1]]=1,$I$3+$A$987+IF($K$3=0,Tab.11[[#This Row],[b9]]*_xlfn.STDEV.P(Tab.11[data]),AVERAGE(Tab.11[b6])+Tab.11[[#This Row],[b9]]*_xlfn.STDEV.P(Tab.11[data])))</f>
        <v>0</v>
      </c>
      <c r="T317" s="71" t="b">
        <f>IF(Tab.11[[#This Row],[a1]]=1,$I$3+$A$988+IF($K$3=0,Tab.11[[#This Row],[b10]]*_xlfn.STDEV.P(Tab.11[data]),AVERAGE(Tab.11[b6])+Tab.11[[#This Row],[b10]]*_xlfn.STDEV.P(Tab.11[data])))</f>
        <v>0</v>
      </c>
      <c r="U317" s="72" t="b">
        <f>IF(Tab.11[[#This Row],[a1]]=1,Tab.11[[#This Row],[target]]-Tab.11[[#This Row],[Red]])</f>
        <v>0</v>
      </c>
      <c r="V317" s="72" t="b">
        <f>IF(Tab.11[[#This Row],[a1]]=1,Tab.11[[#This Row],[target]]-Tab.11[[#This Row],[Blue]])</f>
        <v>0</v>
      </c>
      <c r="W317" s="73" t="b">
        <f>IF(Tab.11[[#This Row],[a1]]=1,IF(ABS(Tab.11[[#This Row],[b17]])+ABS(Tab.11[[#This Row],[b18]])&lt;$W$2,$W$2,ABS(Tab.11[[#This Row],[b17]])+ABS(Tab.11[[#This Row],[b18]])))</f>
        <v>0</v>
      </c>
      <c r="X317" s="136" t="b">
        <f>IF(Tab.11[[#This Row],[a1]]=1,IF($W$3&lt;0,Tab.11[[#This Row],[IN]]-$I$3,Tab.11[[#This Row],[IN]]))</f>
        <v>0</v>
      </c>
      <c r="Y317" s="136" t="b">
        <f>IF(Tab.11[[#This Row],[a1]]=1,IF($X$3=0,Tab.11[b66],Tab.11[[#This Row],[b66]]-AVERAGE(Tab.11[b66])))</f>
        <v>0</v>
      </c>
      <c r="Z317" s="135" t="b">
        <f>IF(Tab.11[[#This Row],[a1]]=1,Tab.11[[#This Row],[b77]]/(_xlfn.STDEV.P(Tab.11[b77])))</f>
        <v>0</v>
      </c>
      <c r="AA317" s="70" t="b">
        <f>IF(Tab.11[[#This Row],[a1]]=1,_xlfn.NORM.DIST(Tab.11[[#This Row],[b88]],$Z$1,$AA$1,FALSE))</f>
        <v>0</v>
      </c>
      <c r="AB317" s="74" t="b">
        <f>IF(Tab.11[[#This Row],[a1]]=1,IF($A$3=0,FALSE,1/Tab.11[[#This Row],[IN]]*$AC$2*IF(Tab.11[[#This Row],[a1]]=0,,$A$3*$AC$1*1/$V$3*(Tab.11[[#This Row],[b14]]))))</f>
        <v>0</v>
      </c>
      <c r="AC317" s="75" t="b">
        <f>IF(Tab.11[[#This Row],[a1]]=1,IF($AC$3=0,Tab.11[[#This Row],[φ1]],Tab.11[[#This Row],[φ1]]/MAX(Tab.11[φ1])))</f>
        <v>0</v>
      </c>
      <c r="AD317" s="74" t="b">
        <f>IF(Tab.11[[#This Row],[a1]]=1,1/Tab.11[[#This Row],[φ2]])</f>
        <v>0</v>
      </c>
      <c r="AE317" s="74" t="b">
        <f>IF(Tab.11[[#This Row],[a1]]=1,IF($AE$3=0,Tab.11[[#This Row],[w.0]],Tab.11[[#This Row],[w.0]]/SUM(Tab.11[w.0])))</f>
        <v>0</v>
      </c>
      <c r="AF317" s="76" t="str">
        <f>IF(Tab.11[[#This Row],[a1]]=0,"false",[3]!Tab.x5[[#This Row],[%_seN_C]])</f>
        <v>false</v>
      </c>
      <c r="AG317" s="77" t="b">
        <f>IF(Tab.11[[#This Row],[a1]]=1,AP317)</f>
        <v>0</v>
      </c>
      <c r="AH317" s="78" t="b">
        <f>IF(Tab.11[[#This Row],[a1]]=1,AQ317)</f>
        <v>0</v>
      </c>
      <c r="AI317" s="41">
        <v>3.0000000000000001E-3</v>
      </c>
      <c r="AJ317" s="79">
        <v>-0.01</v>
      </c>
      <c r="AK317" s="80" t="b">
        <f>IF(Tab.11[[#This Row],[a1]]=1,1)</f>
        <v>0</v>
      </c>
      <c r="AZ317"/>
    </row>
    <row r="318" spans="1:52" hidden="1" x14ac:dyDescent="0.25">
      <c r="A318" s="61">
        <f t="shared" si="11"/>
        <v>0</v>
      </c>
      <c r="B318" s="62">
        <f t="shared" si="11"/>
        <v>0</v>
      </c>
      <c r="C318" s="62" t="b">
        <f>IF(Tab.11[[#This Row],[a1]]=1,[3]!Tab_x1[[#This Row],[Name]])</f>
        <v>0</v>
      </c>
      <c r="D318" s="63" t="b">
        <f>IF(Tab.11[[#This Row],[a1]]=1,AO318)</f>
        <v>0</v>
      </c>
      <c r="E318" s="63">
        <f t="shared" si="10"/>
        <v>0</v>
      </c>
      <c r="F318" s="64" t="b">
        <f>IF(Tab.11[[#This Row],[a1]]=1,Tab.11[[#This Row],[b1]])</f>
        <v>0</v>
      </c>
      <c r="G318" s="65" t="b">
        <f>IF(Tab.11[[#This Row],[a1]]=1,IF(Tab.11[[#This Row],[b3]]&gt;$L$989*$G$3,$L$989*$G$3,IF(Tab.11[[#This Row],[b3]]&lt;$M$989*$G$3,$M$989*$G$3,Tab.11[[#This Row],[b3]])))</f>
        <v>0</v>
      </c>
      <c r="H318" s="66" t="b">
        <f>IF(Tab.11[[#This Row],[a1]]=1,Tab.11[[#This Row],[b1]])</f>
        <v>0</v>
      </c>
      <c r="I318" s="67" t="b">
        <f>IF(Tab.11[[#This Row],[a1]]=1,Tab.11[[#This Row],[b1]])</f>
        <v>0</v>
      </c>
      <c r="J318" s="68" t="b">
        <f>IF(Tab.11[[#This Row],[a1]]=1,IF($I$3&lt;0,Tab.11[[#This Row],[b5]]-$I$3,Tab.11[[#This Row],[b5]]))</f>
        <v>0</v>
      </c>
      <c r="K318" s="68" t="b">
        <f>IF(Tab.11[[#This Row],[a1]]=1,IF($K$3=0,Tab.11[b6],Tab.11[[#This Row],[b6]]-AVERAGE(Tab.11[b6])))</f>
        <v>0</v>
      </c>
      <c r="L318" s="69" t="b">
        <f>IF(Tab.11[[#This Row],[a1]]=1,Tab.11[[#This Row],[data]]/(_xlfn.STDEV.P(Tab.11[data])*$B$989)+$A$989)</f>
        <v>0</v>
      </c>
      <c r="M318" s="69" t="b">
        <f>IF(Tab.11[[#This Row],[a1]]=1,Tab.11[[#This Row],[data]]/(_xlfn.STDEV.P(Tab.11[data])*$B$987)-$A$987)</f>
        <v>0</v>
      </c>
      <c r="N318" s="69" t="b">
        <f>IF(Tab.11[[#This Row],[a1]]=1,Tab.11[[#This Row],[data]]/(_xlfn.STDEV.P(Tab.11[data])*$B$988)+$A$988)</f>
        <v>0</v>
      </c>
      <c r="O318" s="70" t="b">
        <f>IF(Tab.11[[#This Row],[a1]]=1,_xlfn.NORM.DIST(Tab.11[[#This Row],[b8]],$P$1,$Q$1,FALSE))</f>
        <v>0</v>
      </c>
      <c r="P318" s="70" t="b">
        <f>IF(Tab.11[[#This Row],[a1]]=1,_xlfn.NORM.DIST(Tab.11[[#This Row],[b9]],$P$1,$Q$1,FALSE))</f>
        <v>0</v>
      </c>
      <c r="Q318" s="70" t="b">
        <f>IF(Tab.11[[#This Row],[a1]]=1,_xlfn.NORM.DIST(Tab.11[[#This Row],[b10]],$P$1,$Q$1,FALSE))</f>
        <v>0</v>
      </c>
      <c r="R318" s="67" t="b">
        <f>IF(Tab.11[[#This Row],[a1]]=1,$I$3+$A$989+IF($K$3=0,Tab.11[[#This Row],[b8]]*_xlfn.STDEV.P(Tab.11[data]),AVERAGE(Tab.11[b6])+Tab.11[[#This Row],[b8]]*_xlfn.STDEV.P(Tab.11[data])))</f>
        <v>0</v>
      </c>
      <c r="S318" s="71" t="b">
        <f>IF(Tab.11[[#This Row],[a1]]=1,$I$3+$A$987+IF($K$3=0,Tab.11[[#This Row],[b9]]*_xlfn.STDEV.P(Tab.11[data]),AVERAGE(Tab.11[b6])+Tab.11[[#This Row],[b9]]*_xlfn.STDEV.P(Tab.11[data])))</f>
        <v>0</v>
      </c>
      <c r="T318" s="71" t="b">
        <f>IF(Tab.11[[#This Row],[a1]]=1,$I$3+$A$988+IF($K$3=0,Tab.11[[#This Row],[b10]]*_xlfn.STDEV.P(Tab.11[data]),AVERAGE(Tab.11[b6])+Tab.11[[#This Row],[b10]]*_xlfn.STDEV.P(Tab.11[data])))</f>
        <v>0</v>
      </c>
      <c r="U318" s="72" t="b">
        <f>IF(Tab.11[[#This Row],[a1]]=1,Tab.11[[#This Row],[target]]-Tab.11[[#This Row],[Red]])</f>
        <v>0</v>
      </c>
      <c r="V318" s="72" t="b">
        <f>IF(Tab.11[[#This Row],[a1]]=1,Tab.11[[#This Row],[target]]-Tab.11[[#This Row],[Blue]])</f>
        <v>0</v>
      </c>
      <c r="W318" s="73" t="b">
        <f>IF(Tab.11[[#This Row],[a1]]=1,IF(ABS(Tab.11[[#This Row],[b17]])+ABS(Tab.11[[#This Row],[b18]])&lt;$W$2,$W$2,ABS(Tab.11[[#This Row],[b17]])+ABS(Tab.11[[#This Row],[b18]])))</f>
        <v>0</v>
      </c>
      <c r="X318" s="136" t="b">
        <f>IF(Tab.11[[#This Row],[a1]]=1,IF($W$3&lt;0,Tab.11[[#This Row],[IN]]-$I$3,Tab.11[[#This Row],[IN]]))</f>
        <v>0</v>
      </c>
      <c r="Y318" s="136" t="b">
        <f>IF(Tab.11[[#This Row],[a1]]=1,IF($X$3=0,Tab.11[b66],Tab.11[[#This Row],[b66]]-AVERAGE(Tab.11[b66])))</f>
        <v>0</v>
      </c>
      <c r="Z318" s="135" t="b">
        <f>IF(Tab.11[[#This Row],[a1]]=1,Tab.11[[#This Row],[b77]]/(_xlfn.STDEV.P(Tab.11[b77])))</f>
        <v>0</v>
      </c>
      <c r="AA318" s="70" t="b">
        <f>IF(Tab.11[[#This Row],[a1]]=1,_xlfn.NORM.DIST(Tab.11[[#This Row],[b88]],$Z$1,$AA$1,FALSE))</f>
        <v>0</v>
      </c>
      <c r="AB318" s="74" t="b">
        <f>IF(Tab.11[[#This Row],[a1]]=1,IF($A$3=0,FALSE,1/Tab.11[[#This Row],[IN]]*$AC$2*IF(Tab.11[[#This Row],[a1]]=0,,$A$3*$AC$1*1/$V$3*(Tab.11[[#This Row],[b14]]))))</f>
        <v>0</v>
      </c>
      <c r="AC318" s="75" t="b">
        <f>IF(Tab.11[[#This Row],[a1]]=1,IF($AC$3=0,Tab.11[[#This Row],[φ1]],Tab.11[[#This Row],[φ1]]/MAX(Tab.11[φ1])))</f>
        <v>0</v>
      </c>
      <c r="AD318" s="74" t="b">
        <f>IF(Tab.11[[#This Row],[a1]]=1,1/Tab.11[[#This Row],[φ2]])</f>
        <v>0</v>
      </c>
      <c r="AE318" s="74" t="b">
        <f>IF(Tab.11[[#This Row],[a1]]=1,IF($AE$3=0,Tab.11[[#This Row],[w.0]],Tab.11[[#This Row],[w.0]]/SUM(Tab.11[w.0])))</f>
        <v>0</v>
      </c>
      <c r="AF318" s="76" t="str">
        <f>IF(Tab.11[[#This Row],[a1]]=0,"false",[3]!Tab.x5[[#This Row],[%_seN_C]])</f>
        <v>false</v>
      </c>
      <c r="AG318" s="77" t="b">
        <f>IF(Tab.11[[#This Row],[a1]]=1,AP318)</f>
        <v>0</v>
      </c>
      <c r="AH318" s="78" t="b">
        <f>IF(Tab.11[[#This Row],[a1]]=1,AQ318)</f>
        <v>0</v>
      </c>
      <c r="AI318" s="41">
        <v>3.0000000000000001E-3</v>
      </c>
      <c r="AJ318" s="79">
        <v>0</v>
      </c>
      <c r="AK318" s="80" t="b">
        <f>IF(Tab.11[[#This Row],[a1]]=1,1)</f>
        <v>0</v>
      </c>
      <c r="AZ318"/>
    </row>
    <row r="319" spans="1:52" hidden="1" x14ac:dyDescent="0.25">
      <c r="A319" s="61">
        <f t="shared" si="11"/>
        <v>0</v>
      </c>
      <c r="B319" s="62">
        <f t="shared" si="11"/>
        <v>0</v>
      </c>
      <c r="C319" s="62" t="b">
        <f>IF(Tab.11[[#This Row],[a1]]=1,[3]!Tab_x1[[#This Row],[Name]])</f>
        <v>0</v>
      </c>
      <c r="D319" s="63" t="b">
        <f>IF(Tab.11[[#This Row],[a1]]=1,AO319)</f>
        <v>0</v>
      </c>
      <c r="E319" s="63">
        <f t="shared" si="10"/>
        <v>0</v>
      </c>
      <c r="F319" s="64" t="b">
        <f>IF(Tab.11[[#This Row],[a1]]=1,Tab.11[[#This Row],[b1]])</f>
        <v>0</v>
      </c>
      <c r="G319" s="65" t="b">
        <f>IF(Tab.11[[#This Row],[a1]]=1,IF(Tab.11[[#This Row],[b3]]&gt;$L$989*$G$3,$L$989*$G$3,IF(Tab.11[[#This Row],[b3]]&lt;$M$989*$G$3,$M$989*$G$3,Tab.11[[#This Row],[b3]])))</f>
        <v>0</v>
      </c>
      <c r="H319" s="66" t="b">
        <f>IF(Tab.11[[#This Row],[a1]]=1,Tab.11[[#This Row],[b1]])</f>
        <v>0</v>
      </c>
      <c r="I319" s="67" t="b">
        <f>IF(Tab.11[[#This Row],[a1]]=1,Tab.11[[#This Row],[b1]])</f>
        <v>0</v>
      </c>
      <c r="J319" s="68" t="b">
        <f>IF(Tab.11[[#This Row],[a1]]=1,IF($I$3&lt;0,Tab.11[[#This Row],[b5]]-$I$3,Tab.11[[#This Row],[b5]]))</f>
        <v>0</v>
      </c>
      <c r="K319" s="68" t="b">
        <f>IF(Tab.11[[#This Row],[a1]]=1,IF($K$3=0,Tab.11[b6],Tab.11[[#This Row],[b6]]-AVERAGE(Tab.11[b6])))</f>
        <v>0</v>
      </c>
      <c r="L319" s="69" t="b">
        <f>IF(Tab.11[[#This Row],[a1]]=1,Tab.11[[#This Row],[data]]/(_xlfn.STDEV.P(Tab.11[data])*$B$989)+$A$989)</f>
        <v>0</v>
      </c>
      <c r="M319" s="69" t="b">
        <f>IF(Tab.11[[#This Row],[a1]]=1,Tab.11[[#This Row],[data]]/(_xlfn.STDEV.P(Tab.11[data])*$B$987)-$A$987)</f>
        <v>0</v>
      </c>
      <c r="N319" s="69" t="b">
        <f>IF(Tab.11[[#This Row],[a1]]=1,Tab.11[[#This Row],[data]]/(_xlfn.STDEV.P(Tab.11[data])*$B$988)+$A$988)</f>
        <v>0</v>
      </c>
      <c r="O319" s="70" t="b">
        <f>IF(Tab.11[[#This Row],[a1]]=1,_xlfn.NORM.DIST(Tab.11[[#This Row],[b8]],$P$1,$Q$1,FALSE))</f>
        <v>0</v>
      </c>
      <c r="P319" s="70" t="b">
        <f>IF(Tab.11[[#This Row],[a1]]=1,_xlfn.NORM.DIST(Tab.11[[#This Row],[b9]],$P$1,$Q$1,FALSE))</f>
        <v>0</v>
      </c>
      <c r="Q319" s="70" t="b">
        <f>IF(Tab.11[[#This Row],[a1]]=1,_xlfn.NORM.DIST(Tab.11[[#This Row],[b10]],$P$1,$Q$1,FALSE))</f>
        <v>0</v>
      </c>
      <c r="R319" s="67" t="b">
        <f>IF(Tab.11[[#This Row],[a1]]=1,$I$3+$A$989+IF($K$3=0,Tab.11[[#This Row],[b8]]*_xlfn.STDEV.P(Tab.11[data]),AVERAGE(Tab.11[b6])+Tab.11[[#This Row],[b8]]*_xlfn.STDEV.P(Tab.11[data])))</f>
        <v>0</v>
      </c>
      <c r="S319" s="71" t="b">
        <f>IF(Tab.11[[#This Row],[a1]]=1,$I$3+$A$987+IF($K$3=0,Tab.11[[#This Row],[b9]]*_xlfn.STDEV.P(Tab.11[data]),AVERAGE(Tab.11[b6])+Tab.11[[#This Row],[b9]]*_xlfn.STDEV.P(Tab.11[data])))</f>
        <v>0</v>
      </c>
      <c r="T319" s="71" t="b">
        <f>IF(Tab.11[[#This Row],[a1]]=1,$I$3+$A$988+IF($K$3=0,Tab.11[[#This Row],[b10]]*_xlfn.STDEV.P(Tab.11[data]),AVERAGE(Tab.11[b6])+Tab.11[[#This Row],[b10]]*_xlfn.STDEV.P(Tab.11[data])))</f>
        <v>0</v>
      </c>
      <c r="U319" s="72" t="b">
        <f>IF(Tab.11[[#This Row],[a1]]=1,Tab.11[[#This Row],[target]]-Tab.11[[#This Row],[Red]])</f>
        <v>0</v>
      </c>
      <c r="V319" s="72" t="b">
        <f>IF(Tab.11[[#This Row],[a1]]=1,Tab.11[[#This Row],[target]]-Tab.11[[#This Row],[Blue]])</f>
        <v>0</v>
      </c>
      <c r="W319" s="73" t="b">
        <f>IF(Tab.11[[#This Row],[a1]]=1,IF(ABS(Tab.11[[#This Row],[b17]])+ABS(Tab.11[[#This Row],[b18]])&lt;$W$2,$W$2,ABS(Tab.11[[#This Row],[b17]])+ABS(Tab.11[[#This Row],[b18]])))</f>
        <v>0</v>
      </c>
      <c r="X319" s="136" t="b">
        <f>IF(Tab.11[[#This Row],[a1]]=1,IF($W$3&lt;0,Tab.11[[#This Row],[IN]]-$I$3,Tab.11[[#This Row],[IN]]))</f>
        <v>0</v>
      </c>
      <c r="Y319" s="136" t="b">
        <f>IF(Tab.11[[#This Row],[a1]]=1,IF($X$3=0,Tab.11[b66],Tab.11[[#This Row],[b66]]-AVERAGE(Tab.11[b66])))</f>
        <v>0</v>
      </c>
      <c r="Z319" s="135" t="b">
        <f>IF(Tab.11[[#This Row],[a1]]=1,Tab.11[[#This Row],[b77]]/(_xlfn.STDEV.P(Tab.11[b77])))</f>
        <v>0</v>
      </c>
      <c r="AA319" s="70" t="b">
        <f>IF(Tab.11[[#This Row],[a1]]=1,_xlfn.NORM.DIST(Tab.11[[#This Row],[b88]],$Z$1,$AA$1,FALSE))</f>
        <v>0</v>
      </c>
      <c r="AB319" s="74" t="b">
        <f>IF(Tab.11[[#This Row],[a1]]=1,IF($A$3=0,FALSE,1/Tab.11[[#This Row],[IN]]*$AC$2*IF(Tab.11[[#This Row],[a1]]=0,,$A$3*$AC$1*1/$V$3*(Tab.11[[#This Row],[b14]]))))</f>
        <v>0</v>
      </c>
      <c r="AC319" s="75" t="b">
        <f>IF(Tab.11[[#This Row],[a1]]=1,IF($AC$3=0,Tab.11[[#This Row],[φ1]],Tab.11[[#This Row],[φ1]]/MAX(Tab.11[φ1])))</f>
        <v>0</v>
      </c>
      <c r="AD319" s="74" t="b">
        <f>IF(Tab.11[[#This Row],[a1]]=1,1/Tab.11[[#This Row],[φ2]])</f>
        <v>0</v>
      </c>
      <c r="AE319" s="74" t="b">
        <f>IF(Tab.11[[#This Row],[a1]]=1,IF($AE$3=0,Tab.11[[#This Row],[w.0]],Tab.11[[#This Row],[w.0]]/SUM(Tab.11[w.0])))</f>
        <v>0</v>
      </c>
      <c r="AF319" s="76" t="str">
        <f>IF(Tab.11[[#This Row],[a1]]=0,"false",[3]!Tab.x5[[#This Row],[%_seN_C]])</f>
        <v>false</v>
      </c>
      <c r="AG319" s="77" t="b">
        <f>IF(Tab.11[[#This Row],[a1]]=1,AP319)</f>
        <v>0</v>
      </c>
      <c r="AH319" s="78" t="b">
        <f>IF(Tab.11[[#This Row],[a1]]=1,AQ319)</f>
        <v>0</v>
      </c>
      <c r="AI319" s="41">
        <v>3.0000000000000001E-3</v>
      </c>
      <c r="AJ319" s="79">
        <v>-0.1</v>
      </c>
      <c r="AK319" s="80" t="b">
        <f>IF(Tab.11[[#This Row],[a1]]=1,1)</f>
        <v>0</v>
      </c>
      <c r="AZ319"/>
    </row>
    <row r="320" spans="1:52" hidden="1" x14ac:dyDescent="0.25">
      <c r="A320" s="61">
        <f t="shared" si="11"/>
        <v>0</v>
      </c>
      <c r="B320" s="62">
        <f t="shared" si="11"/>
        <v>0</v>
      </c>
      <c r="C320" s="62" t="b">
        <f>IF(Tab.11[[#This Row],[a1]]=1,[3]!Tab_x1[[#This Row],[Name]])</f>
        <v>0</v>
      </c>
      <c r="D320" s="63" t="b">
        <f>IF(Tab.11[[#This Row],[a1]]=1,AO320)</f>
        <v>0</v>
      </c>
      <c r="E320" s="63">
        <f t="shared" si="10"/>
        <v>0</v>
      </c>
      <c r="F320" s="64" t="b">
        <f>IF(Tab.11[[#This Row],[a1]]=1,Tab.11[[#This Row],[b1]])</f>
        <v>0</v>
      </c>
      <c r="G320" s="65" t="b">
        <f>IF(Tab.11[[#This Row],[a1]]=1,IF(Tab.11[[#This Row],[b3]]&gt;$L$989*$G$3,$L$989*$G$3,IF(Tab.11[[#This Row],[b3]]&lt;$M$989*$G$3,$M$989*$G$3,Tab.11[[#This Row],[b3]])))</f>
        <v>0</v>
      </c>
      <c r="H320" s="66" t="b">
        <f>IF(Tab.11[[#This Row],[a1]]=1,Tab.11[[#This Row],[b1]])</f>
        <v>0</v>
      </c>
      <c r="I320" s="67" t="b">
        <f>IF(Tab.11[[#This Row],[a1]]=1,Tab.11[[#This Row],[b1]])</f>
        <v>0</v>
      </c>
      <c r="J320" s="68" t="b">
        <f>IF(Tab.11[[#This Row],[a1]]=1,IF($I$3&lt;0,Tab.11[[#This Row],[b5]]-$I$3,Tab.11[[#This Row],[b5]]))</f>
        <v>0</v>
      </c>
      <c r="K320" s="68" t="b">
        <f>IF(Tab.11[[#This Row],[a1]]=1,IF($K$3=0,Tab.11[b6],Tab.11[[#This Row],[b6]]-AVERAGE(Tab.11[b6])))</f>
        <v>0</v>
      </c>
      <c r="L320" s="69" t="b">
        <f>IF(Tab.11[[#This Row],[a1]]=1,Tab.11[[#This Row],[data]]/(_xlfn.STDEV.P(Tab.11[data])*$B$989)+$A$989)</f>
        <v>0</v>
      </c>
      <c r="M320" s="69" t="b">
        <f>IF(Tab.11[[#This Row],[a1]]=1,Tab.11[[#This Row],[data]]/(_xlfn.STDEV.P(Tab.11[data])*$B$987)-$A$987)</f>
        <v>0</v>
      </c>
      <c r="N320" s="69" t="b">
        <f>IF(Tab.11[[#This Row],[a1]]=1,Tab.11[[#This Row],[data]]/(_xlfn.STDEV.P(Tab.11[data])*$B$988)+$A$988)</f>
        <v>0</v>
      </c>
      <c r="O320" s="70" t="b">
        <f>IF(Tab.11[[#This Row],[a1]]=1,_xlfn.NORM.DIST(Tab.11[[#This Row],[b8]],$P$1,$Q$1,FALSE))</f>
        <v>0</v>
      </c>
      <c r="P320" s="70" t="b">
        <f>IF(Tab.11[[#This Row],[a1]]=1,_xlfn.NORM.DIST(Tab.11[[#This Row],[b9]],$P$1,$Q$1,FALSE))</f>
        <v>0</v>
      </c>
      <c r="Q320" s="70" t="b">
        <f>IF(Tab.11[[#This Row],[a1]]=1,_xlfn.NORM.DIST(Tab.11[[#This Row],[b10]],$P$1,$Q$1,FALSE))</f>
        <v>0</v>
      </c>
      <c r="R320" s="67" t="b">
        <f>IF(Tab.11[[#This Row],[a1]]=1,$I$3+$A$989+IF($K$3=0,Tab.11[[#This Row],[b8]]*_xlfn.STDEV.P(Tab.11[data]),AVERAGE(Tab.11[b6])+Tab.11[[#This Row],[b8]]*_xlfn.STDEV.P(Tab.11[data])))</f>
        <v>0</v>
      </c>
      <c r="S320" s="71" t="b">
        <f>IF(Tab.11[[#This Row],[a1]]=1,$I$3+$A$987+IF($K$3=0,Tab.11[[#This Row],[b9]]*_xlfn.STDEV.P(Tab.11[data]),AVERAGE(Tab.11[b6])+Tab.11[[#This Row],[b9]]*_xlfn.STDEV.P(Tab.11[data])))</f>
        <v>0</v>
      </c>
      <c r="T320" s="71" t="b">
        <f>IF(Tab.11[[#This Row],[a1]]=1,$I$3+$A$988+IF($K$3=0,Tab.11[[#This Row],[b10]]*_xlfn.STDEV.P(Tab.11[data]),AVERAGE(Tab.11[b6])+Tab.11[[#This Row],[b10]]*_xlfn.STDEV.P(Tab.11[data])))</f>
        <v>0</v>
      </c>
      <c r="U320" s="72" t="b">
        <f>IF(Tab.11[[#This Row],[a1]]=1,Tab.11[[#This Row],[target]]-Tab.11[[#This Row],[Red]])</f>
        <v>0</v>
      </c>
      <c r="V320" s="72" t="b">
        <f>IF(Tab.11[[#This Row],[a1]]=1,Tab.11[[#This Row],[target]]-Tab.11[[#This Row],[Blue]])</f>
        <v>0</v>
      </c>
      <c r="W320" s="73" t="b">
        <f>IF(Tab.11[[#This Row],[a1]]=1,IF(ABS(Tab.11[[#This Row],[b17]])+ABS(Tab.11[[#This Row],[b18]])&lt;$W$2,$W$2,ABS(Tab.11[[#This Row],[b17]])+ABS(Tab.11[[#This Row],[b18]])))</f>
        <v>0</v>
      </c>
      <c r="X320" s="136" t="b">
        <f>IF(Tab.11[[#This Row],[a1]]=1,IF($W$3&lt;0,Tab.11[[#This Row],[IN]]-$I$3,Tab.11[[#This Row],[IN]]))</f>
        <v>0</v>
      </c>
      <c r="Y320" s="136" t="b">
        <f>IF(Tab.11[[#This Row],[a1]]=1,IF($X$3=0,Tab.11[b66],Tab.11[[#This Row],[b66]]-AVERAGE(Tab.11[b66])))</f>
        <v>0</v>
      </c>
      <c r="Z320" s="135" t="b">
        <f>IF(Tab.11[[#This Row],[a1]]=1,Tab.11[[#This Row],[b77]]/(_xlfn.STDEV.P(Tab.11[b77])))</f>
        <v>0</v>
      </c>
      <c r="AA320" s="70" t="b">
        <f>IF(Tab.11[[#This Row],[a1]]=1,_xlfn.NORM.DIST(Tab.11[[#This Row],[b88]],$Z$1,$AA$1,FALSE))</f>
        <v>0</v>
      </c>
      <c r="AB320" s="74" t="b">
        <f>IF(Tab.11[[#This Row],[a1]]=1,IF($A$3=0,FALSE,1/Tab.11[[#This Row],[IN]]*$AC$2*IF(Tab.11[[#This Row],[a1]]=0,,$A$3*$AC$1*1/$V$3*(Tab.11[[#This Row],[b14]]))))</f>
        <v>0</v>
      </c>
      <c r="AC320" s="75" t="b">
        <f>IF(Tab.11[[#This Row],[a1]]=1,IF($AC$3=0,Tab.11[[#This Row],[φ1]],Tab.11[[#This Row],[φ1]]/MAX(Tab.11[φ1])))</f>
        <v>0</v>
      </c>
      <c r="AD320" s="74" t="b">
        <f>IF(Tab.11[[#This Row],[a1]]=1,1/Tab.11[[#This Row],[φ2]])</f>
        <v>0</v>
      </c>
      <c r="AE320" s="74" t="b">
        <f>IF(Tab.11[[#This Row],[a1]]=1,IF($AE$3=0,Tab.11[[#This Row],[w.0]],Tab.11[[#This Row],[w.0]]/SUM(Tab.11[w.0])))</f>
        <v>0</v>
      </c>
      <c r="AF320" s="76" t="str">
        <f>IF(Tab.11[[#This Row],[a1]]=0,"false",[3]!Tab.x5[[#This Row],[%_seN_C]])</f>
        <v>false</v>
      </c>
      <c r="AG320" s="77" t="b">
        <f>IF(Tab.11[[#This Row],[a1]]=1,AP320)</f>
        <v>0</v>
      </c>
      <c r="AH320" s="78" t="b">
        <f>IF(Tab.11[[#This Row],[a1]]=1,AQ320)</f>
        <v>0</v>
      </c>
      <c r="AI320" s="41">
        <v>3.0000000000000001E-3</v>
      </c>
      <c r="AJ320" s="79">
        <v>0.05</v>
      </c>
      <c r="AK320" s="80" t="b">
        <f>IF(Tab.11[[#This Row],[a1]]=1,1)</f>
        <v>0</v>
      </c>
      <c r="AZ320"/>
    </row>
    <row r="321" spans="1:52" hidden="1" x14ac:dyDescent="0.25">
      <c r="A321" s="61">
        <f t="shared" si="11"/>
        <v>0</v>
      </c>
      <c r="B321" s="62">
        <f t="shared" si="11"/>
        <v>0</v>
      </c>
      <c r="C321" s="62" t="b">
        <f>IF(Tab.11[[#This Row],[a1]]=1,[3]!Tab_x1[[#This Row],[Name]])</f>
        <v>0</v>
      </c>
      <c r="D321" s="63" t="b">
        <f>IF(Tab.11[[#This Row],[a1]]=1,AO321)</f>
        <v>0</v>
      </c>
      <c r="E321" s="63">
        <f t="shared" si="10"/>
        <v>0</v>
      </c>
      <c r="F321" s="64" t="b">
        <f>IF(Tab.11[[#This Row],[a1]]=1,Tab.11[[#This Row],[b1]])</f>
        <v>0</v>
      </c>
      <c r="G321" s="65" t="b">
        <f>IF(Tab.11[[#This Row],[a1]]=1,IF(Tab.11[[#This Row],[b3]]&gt;$L$989*$G$3,$L$989*$G$3,IF(Tab.11[[#This Row],[b3]]&lt;$M$989*$G$3,$M$989*$G$3,Tab.11[[#This Row],[b3]])))</f>
        <v>0</v>
      </c>
      <c r="H321" s="66" t="b">
        <f>IF(Tab.11[[#This Row],[a1]]=1,Tab.11[[#This Row],[b1]])</f>
        <v>0</v>
      </c>
      <c r="I321" s="67" t="b">
        <f>IF(Tab.11[[#This Row],[a1]]=1,Tab.11[[#This Row],[b1]])</f>
        <v>0</v>
      </c>
      <c r="J321" s="68" t="b">
        <f>IF(Tab.11[[#This Row],[a1]]=1,IF($I$3&lt;0,Tab.11[[#This Row],[b5]]-$I$3,Tab.11[[#This Row],[b5]]))</f>
        <v>0</v>
      </c>
      <c r="K321" s="68" t="b">
        <f>IF(Tab.11[[#This Row],[a1]]=1,IF($K$3=0,Tab.11[b6],Tab.11[[#This Row],[b6]]-AVERAGE(Tab.11[b6])))</f>
        <v>0</v>
      </c>
      <c r="L321" s="69" t="b">
        <f>IF(Tab.11[[#This Row],[a1]]=1,Tab.11[[#This Row],[data]]/(_xlfn.STDEV.P(Tab.11[data])*$B$989)+$A$989)</f>
        <v>0</v>
      </c>
      <c r="M321" s="69" t="b">
        <f>IF(Tab.11[[#This Row],[a1]]=1,Tab.11[[#This Row],[data]]/(_xlfn.STDEV.P(Tab.11[data])*$B$987)-$A$987)</f>
        <v>0</v>
      </c>
      <c r="N321" s="69" t="b">
        <f>IF(Tab.11[[#This Row],[a1]]=1,Tab.11[[#This Row],[data]]/(_xlfn.STDEV.P(Tab.11[data])*$B$988)+$A$988)</f>
        <v>0</v>
      </c>
      <c r="O321" s="70" t="b">
        <f>IF(Tab.11[[#This Row],[a1]]=1,_xlfn.NORM.DIST(Tab.11[[#This Row],[b8]],$P$1,$Q$1,FALSE))</f>
        <v>0</v>
      </c>
      <c r="P321" s="70" t="b">
        <f>IF(Tab.11[[#This Row],[a1]]=1,_xlfn.NORM.DIST(Tab.11[[#This Row],[b9]],$P$1,$Q$1,FALSE))</f>
        <v>0</v>
      </c>
      <c r="Q321" s="70" t="b">
        <f>IF(Tab.11[[#This Row],[a1]]=1,_xlfn.NORM.DIST(Tab.11[[#This Row],[b10]],$P$1,$Q$1,FALSE))</f>
        <v>0</v>
      </c>
      <c r="R321" s="67" t="b">
        <f>IF(Tab.11[[#This Row],[a1]]=1,$I$3+$A$989+IF($K$3=0,Tab.11[[#This Row],[b8]]*_xlfn.STDEV.P(Tab.11[data]),AVERAGE(Tab.11[b6])+Tab.11[[#This Row],[b8]]*_xlfn.STDEV.P(Tab.11[data])))</f>
        <v>0</v>
      </c>
      <c r="S321" s="71" t="b">
        <f>IF(Tab.11[[#This Row],[a1]]=1,$I$3+$A$987+IF($K$3=0,Tab.11[[#This Row],[b9]]*_xlfn.STDEV.P(Tab.11[data]),AVERAGE(Tab.11[b6])+Tab.11[[#This Row],[b9]]*_xlfn.STDEV.P(Tab.11[data])))</f>
        <v>0</v>
      </c>
      <c r="T321" s="71" t="b">
        <f>IF(Tab.11[[#This Row],[a1]]=1,$I$3+$A$988+IF($K$3=0,Tab.11[[#This Row],[b10]]*_xlfn.STDEV.P(Tab.11[data]),AVERAGE(Tab.11[b6])+Tab.11[[#This Row],[b10]]*_xlfn.STDEV.P(Tab.11[data])))</f>
        <v>0</v>
      </c>
      <c r="U321" s="72" t="b">
        <f>IF(Tab.11[[#This Row],[a1]]=1,Tab.11[[#This Row],[target]]-Tab.11[[#This Row],[Red]])</f>
        <v>0</v>
      </c>
      <c r="V321" s="72" t="b">
        <f>IF(Tab.11[[#This Row],[a1]]=1,Tab.11[[#This Row],[target]]-Tab.11[[#This Row],[Blue]])</f>
        <v>0</v>
      </c>
      <c r="W321" s="73" t="b">
        <f>IF(Tab.11[[#This Row],[a1]]=1,IF(ABS(Tab.11[[#This Row],[b17]])+ABS(Tab.11[[#This Row],[b18]])&lt;$W$2,$W$2,ABS(Tab.11[[#This Row],[b17]])+ABS(Tab.11[[#This Row],[b18]])))</f>
        <v>0</v>
      </c>
      <c r="X321" s="136" t="b">
        <f>IF(Tab.11[[#This Row],[a1]]=1,IF($W$3&lt;0,Tab.11[[#This Row],[IN]]-$I$3,Tab.11[[#This Row],[IN]]))</f>
        <v>0</v>
      </c>
      <c r="Y321" s="136" t="b">
        <f>IF(Tab.11[[#This Row],[a1]]=1,IF($X$3=0,Tab.11[b66],Tab.11[[#This Row],[b66]]-AVERAGE(Tab.11[b66])))</f>
        <v>0</v>
      </c>
      <c r="Z321" s="135" t="b">
        <f>IF(Tab.11[[#This Row],[a1]]=1,Tab.11[[#This Row],[b77]]/(_xlfn.STDEV.P(Tab.11[b77])))</f>
        <v>0</v>
      </c>
      <c r="AA321" s="70" t="b">
        <f>IF(Tab.11[[#This Row],[a1]]=1,_xlfn.NORM.DIST(Tab.11[[#This Row],[b88]],$Z$1,$AA$1,FALSE))</f>
        <v>0</v>
      </c>
      <c r="AB321" s="74" t="b">
        <f>IF(Tab.11[[#This Row],[a1]]=1,IF($A$3=0,FALSE,1/Tab.11[[#This Row],[IN]]*$AC$2*IF(Tab.11[[#This Row],[a1]]=0,,$A$3*$AC$1*1/$V$3*(Tab.11[[#This Row],[b14]]))))</f>
        <v>0</v>
      </c>
      <c r="AC321" s="75" t="b">
        <f>IF(Tab.11[[#This Row],[a1]]=1,IF($AC$3=0,Tab.11[[#This Row],[φ1]],Tab.11[[#This Row],[φ1]]/MAX(Tab.11[φ1])))</f>
        <v>0</v>
      </c>
      <c r="AD321" s="74" t="b">
        <f>IF(Tab.11[[#This Row],[a1]]=1,1/Tab.11[[#This Row],[φ2]])</f>
        <v>0</v>
      </c>
      <c r="AE321" s="74" t="b">
        <f>IF(Tab.11[[#This Row],[a1]]=1,IF($AE$3=0,Tab.11[[#This Row],[w.0]],Tab.11[[#This Row],[w.0]]/SUM(Tab.11[w.0])))</f>
        <v>0</v>
      </c>
      <c r="AF321" s="76" t="str">
        <f>IF(Tab.11[[#This Row],[a1]]=0,"false",[3]!Tab.x5[[#This Row],[%_seN_C]])</f>
        <v>false</v>
      </c>
      <c r="AG321" s="77" t="b">
        <f>IF(Tab.11[[#This Row],[a1]]=1,AP321)</f>
        <v>0</v>
      </c>
      <c r="AH321" s="78" t="b">
        <f>IF(Tab.11[[#This Row],[a1]]=1,AQ321)</f>
        <v>0</v>
      </c>
      <c r="AI321" s="41">
        <v>3.0000000000000001E-3</v>
      </c>
      <c r="AJ321" s="79">
        <v>0.02</v>
      </c>
      <c r="AK321" s="80" t="b">
        <f>IF(Tab.11[[#This Row],[a1]]=1,1)</f>
        <v>0</v>
      </c>
      <c r="AZ321"/>
    </row>
    <row r="322" spans="1:52" hidden="1" x14ac:dyDescent="0.25">
      <c r="A322" s="61">
        <f t="shared" si="11"/>
        <v>0</v>
      </c>
      <c r="B322" s="62">
        <f t="shared" si="11"/>
        <v>0</v>
      </c>
      <c r="C322" s="62" t="b">
        <f>IF(Tab.11[[#This Row],[a1]]=1,[3]!Tab_x1[[#This Row],[Name]])</f>
        <v>0</v>
      </c>
      <c r="D322" s="63" t="b">
        <f>IF(Tab.11[[#This Row],[a1]]=1,AO322)</f>
        <v>0</v>
      </c>
      <c r="E322" s="63">
        <f t="shared" si="10"/>
        <v>0</v>
      </c>
      <c r="F322" s="64" t="b">
        <f>IF(Tab.11[[#This Row],[a1]]=1,Tab.11[[#This Row],[b1]])</f>
        <v>0</v>
      </c>
      <c r="G322" s="65" t="b">
        <f>IF(Tab.11[[#This Row],[a1]]=1,IF(Tab.11[[#This Row],[b3]]&gt;$L$989*$G$3,$L$989*$G$3,IF(Tab.11[[#This Row],[b3]]&lt;$M$989*$G$3,$M$989*$G$3,Tab.11[[#This Row],[b3]])))</f>
        <v>0</v>
      </c>
      <c r="H322" s="66" t="b">
        <f>IF(Tab.11[[#This Row],[a1]]=1,Tab.11[[#This Row],[b1]])</f>
        <v>0</v>
      </c>
      <c r="I322" s="67" t="b">
        <f>IF(Tab.11[[#This Row],[a1]]=1,Tab.11[[#This Row],[b1]])</f>
        <v>0</v>
      </c>
      <c r="J322" s="68" t="b">
        <f>IF(Tab.11[[#This Row],[a1]]=1,IF($I$3&lt;0,Tab.11[[#This Row],[b5]]-$I$3,Tab.11[[#This Row],[b5]]))</f>
        <v>0</v>
      </c>
      <c r="K322" s="68" t="b">
        <f>IF(Tab.11[[#This Row],[a1]]=1,IF($K$3=0,Tab.11[b6],Tab.11[[#This Row],[b6]]-AVERAGE(Tab.11[b6])))</f>
        <v>0</v>
      </c>
      <c r="L322" s="69" t="b">
        <f>IF(Tab.11[[#This Row],[a1]]=1,Tab.11[[#This Row],[data]]/(_xlfn.STDEV.P(Tab.11[data])*$B$989)+$A$989)</f>
        <v>0</v>
      </c>
      <c r="M322" s="69" t="b">
        <f>IF(Tab.11[[#This Row],[a1]]=1,Tab.11[[#This Row],[data]]/(_xlfn.STDEV.P(Tab.11[data])*$B$987)-$A$987)</f>
        <v>0</v>
      </c>
      <c r="N322" s="69" t="b">
        <f>IF(Tab.11[[#This Row],[a1]]=1,Tab.11[[#This Row],[data]]/(_xlfn.STDEV.P(Tab.11[data])*$B$988)+$A$988)</f>
        <v>0</v>
      </c>
      <c r="O322" s="70" t="b">
        <f>IF(Tab.11[[#This Row],[a1]]=1,_xlfn.NORM.DIST(Tab.11[[#This Row],[b8]],$P$1,$Q$1,FALSE))</f>
        <v>0</v>
      </c>
      <c r="P322" s="70" t="b">
        <f>IF(Tab.11[[#This Row],[a1]]=1,_xlfn.NORM.DIST(Tab.11[[#This Row],[b9]],$P$1,$Q$1,FALSE))</f>
        <v>0</v>
      </c>
      <c r="Q322" s="70" t="b">
        <f>IF(Tab.11[[#This Row],[a1]]=1,_xlfn.NORM.DIST(Tab.11[[#This Row],[b10]],$P$1,$Q$1,FALSE))</f>
        <v>0</v>
      </c>
      <c r="R322" s="67" t="b">
        <f>IF(Tab.11[[#This Row],[a1]]=1,$I$3+$A$989+IF($K$3=0,Tab.11[[#This Row],[b8]]*_xlfn.STDEV.P(Tab.11[data]),AVERAGE(Tab.11[b6])+Tab.11[[#This Row],[b8]]*_xlfn.STDEV.P(Tab.11[data])))</f>
        <v>0</v>
      </c>
      <c r="S322" s="71" t="b">
        <f>IF(Tab.11[[#This Row],[a1]]=1,$I$3+$A$987+IF($K$3=0,Tab.11[[#This Row],[b9]]*_xlfn.STDEV.P(Tab.11[data]),AVERAGE(Tab.11[b6])+Tab.11[[#This Row],[b9]]*_xlfn.STDEV.P(Tab.11[data])))</f>
        <v>0</v>
      </c>
      <c r="T322" s="71" t="b">
        <f>IF(Tab.11[[#This Row],[a1]]=1,$I$3+$A$988+IF($K$3=0,Tab.11[[#This Row],[b10]]*_xlfn.STDEV.P(Tab.11[data]),AVERAGE(Tab.11[b6])+Tab.11[[#This Row],[b10]]*_xlfn.STDEV.P(Tab.11[data])))</f>
        <v>0</v>
      </c>
      <c r="U322" s="72" t="b">
        <f>IF(Tab.11[[#This Row],[a1]]=1,Tab.11[[#This Row],[target]]-Tab.11[[#This Row],[Red]])</f>
        <v>0</v>
      </c>
      <c r="V322" s="72" t="b">
        <f>IF(Tab.11[[#This Row],[a1]]=1,Tab.11[[#This Row],[target]]-Tab.11[[#This Row],[Blue]])</f>
        <v>0</v>
      </c>
      <c r="W322" s="73" t="b">
        <f>IF(Tab.11[[#This Row],[a1]]=1,IF(ABS(Tab.11[[#This Row],[b17]])+ABS(Tab.11[[#This Row],[b18]])&lt;$W$2,$W$2,ABS(Tab.11[[#This Row],[b17]])+ABS(Tab.11[[#This Row],[b18]])))</f>
        <v>0</v>
      </c>
      <c r="X322" s="136" t="b">
        <f>IF(Tab.11[[#This Row],[a1]]=1,IF($W$3&lt;0,Tab.11[[#This Row],[IN]]-$I$3,Tab.11[[#This Row],[IN]]))</f>
        <v>0</v>
      </c>
      <c r="Y322" s="136" t="b">
        <f>IF(Tab.11[[#This Row],[a1]]=1,IF($X$3=0,Tab.11[b66],Tab.11[[#This Row],[b66]]-AVERAGE(Tab.11[b66])))</f>
        <v>0</v>
      </c>
      <c r="Z322" s="135" t="b">
        <f>IF(Tab.11[[#This Row],[a1]]=1,Tab.11[[#This Row],[b77]]/(_xlfn.STDEV.P(Tab.11[b77])))</f>
        <v>0</v>
      </c>
      <c r="AA322" s="70" t="b">
        <f>IF(Tab.11[[#This Row],[a1]]=1,_xlfn.NORM.DIST(Tab.11[[#This Row],[b88]],$Z$1,$AA$1,FALSE))</f>
        <v>0</v>
      </c>
      <c r="AB322" s="74" t="b">
        <f>IF(Tab.11[[#This Row],[a1]]=1,IF($A$3=0,FALSE,1/Tab.11[[#This Row],[IN]]*$AC$2*IF(Tab.11[[#This Row],[a1]]=0,,$A$3*$AC$1*1/$V$3*(Tab.11[[#This Row],[b14]]))))</f>
        <v>0</v>
      </c>
      <c r="AC322" s="75" t="b">
        <f>IF(Tab.11[[#This Row],[a1]]=1,IF($AC$3=0,Tab.11[[#This Row],[φ1]],Tab.11[[#This Row],[φ1]]/MAX(Tab.11[φ1])))</f>
        <v>0</v>
      </c>
      <c r="AD322" s="74" t="b">
        <f>IF(Tab.11[[#This Row],[a1]]=1,1/Tab.11[[#This Row],[φ2]])</f>
        <v>0</v>
      </c>
      <c r="AE322" s="74" t="b">
        <f>IF(Tab.11[[#This Row],[a1]]=1,IF($AE$3=0,Tab.11[[#This Row],[w.0]],Tab.11[[#This Row],[w.0]]/SUM(Tab.11[w.0])))</f>
        <v>0</v>
      </c>
      <c r="AF322" s="76" t="str">
        <f>IF(Tab.11[[#This Row],[a1]]=0,"false",[3]!Tab.x5[[#This Row],[%_seN_C]])</f>
        <v>false</v>
      </c>
      <c r="AG322" s="77" t="b">
        <f>IF(Tab.11[[#This Row],[a1]]=1,AP322)</f>
        <v>0</v>
      </c>
      <c r="AH322" s="78" t="b">
        <f>IF(Tab.11[[#This Row],[a1]]=1,AQ322)</f>
        <v>0</v>
      </c>
      <c r="AI322" s="41">
        <v>3.0000000000000001E-3</v>
      </c>
      <c r="AJ322" s="79">
        <v>0.05</v>
      </c>
      <c r="AK322" s="80" t="b">
        <f>IF(Tab.11[[#This Row],[a1]]=1,1)</f>
        <v>0</v>
      </c>
      <c r="AZ322"/>
    </row>
    <row r="323" spans="1:52" hidden="1" x14ac:dyDescent="0.25">
      <c r="A323" s="61">
        <f t="shared" si="11"/>
        <v>0</v>
      </c>
      <c r="B323" s="62">
        <f t="shared" si="11"/>
        <v>0</v>
      </c>
      <c r="C323" s="62" t="b">
        <f>IF(Tab.11[[#This Row],[a1]]=1,[3]!Tab_x1[[#This Row],[Name]])</f>
        <v>0</v>
      </c>
      <c r="D323" s="63" t="b">
        <f>IF(Tab.11[[#This Row],[a1]]=1,AO323)</f>
        <v>0</v>
      </c>
      <c r="E323" s="63">
        <f t="shared" si="10"/>
        <v>0</v>
      </c>
      <c r="F323" s="64" t="b">
        <f>IF(Tab.11[[#This Row],[a1]]=1,Tab.11[[#This Row],[b1]])</f>
        <v>0</v>
      </c>
      <c r="G323" s="65" t="b">
        <f>IF(Tab.11[[#This Row],[a1]]=1,IF(Tab.11[[#This Row],[b3]]&gt;$L$989*$G$3,$L$989*$G$3,IF(Tab.11[[#This Row],[b3]]&lt;$M$989*$G$3,$M$989*$G$3,Tab.11[[#This Row],[b3]])))</f>
        <v>0</v>
      </c>
      <c r="H323" s="66" t="b">
        <f>IF(Tab.11[[#This Row],[a1]]=1,Tab.11[[#This Row],[b1]])</f>
        <v>0</v>
      </c>
      <c r="I323" s="67" t="b">
        <f>IF(Tab.11[[#This Row],[a1]]=1,Tab.11[[#This Row],[b1]])</f>
        <v>0</v>
      </c>
      <c r="J323" s="68" t="b">
        <f>IF(Tab.11[[#This Row],[a1]]=1,IF($I$3&lt;0,Tab.11[[#This Row],[b5]]-$I$3,Tab.11[[#This Row],[b5]]))</f>
        <v>0</v>
      </c>
      <c r="K323" s="68" t="b">
        <f>IF(Tab.11[[#This Row],[a1]]=1,IF($K$3=0,Tab.11[b6],Tab.11[[#This Row],[b6]]-AVERAGE(Tab.11[b6])))</f>
        <v>0</v>
      </c>
      <c r="L323" s="69" t="b">
        <f>IF(Tab.11[[#This Row],[a1]]=1,Tab.11[[#This Row],[data]]/(_xlfn.STDEV.P(Tab.11[data])*$B$989)+$A$989)</f>
        <v>0</v>
      </c>
      <c r="M323" s="69" t="b">
        <f>IF(Tab.11[[#This Row],[a1]]=1,Tab.11[[#This Row],[data]]/(_xlfn.STDEV.P(Tab.11[data])*$B$987)-$A$987)</f>
        <v>0</v>
      </c>
      <c r="N323" s="69" t="b">
        <f>IF(Tab.11[[#This Row],[a1]]=1,Tab.11[[#This Row],[data]]/(_xlfn.STDEV.P(Tab.11[data])*$B$988)+$A$988)</f>
        <v>0</v>
      </c>
      <c r="O323" s="70" t="b">
        <f>IF(Tab.11[[#This Row],[a1]]=1,_xlfn.NORM.DIST(Tab.11[[#This Row],[b8]],$P$1,$Q$1,FALSE))</f>
        <v>0</v>
      </c>
      <c r="P323" s="70" t="b">
        <f>IF(Tab.11[[#This Row],[a1]]=1,_xlfn.NORM.DIST(Tab.11[[#This Row],[b9]],$P$1,$Q$1,FALSE))</f>
        <v>0</v>
      </c>
      <c r="Q323" s="70" t="b">
        <f>IF(Tab.11[[#This Row],[a1]]=1,_xlfn.NORM.DIST(Tab.11[[#This Row],[b10]],$P$1,$Q$1,FALSE))</f>
        <v>0</v>
      </c>
      <c r="R323" s="67" t="b">
        <f>IF(Tab.11[[#This Row],[a1]]=1,$I$3+$A$989+IF($K$3=0,Tab.11[[#This Row],[b8]]*_xlfn.STDEV.P(Tab.11[data]),AVERAGE(Tab.11[b6])+Tab.11[[#This Row],[b8]]*_xlfn.STDEV.P(Tab.11[data])))</f>
        <v>0</v>
      </c>
      <c r="S323" s="71" t="b">
        <f>IF(Tab.11[[#This Row],[a1]]=1,$I$3+$A$987+IF($K$3=0,Tab.11[[#This Row],[b9]]*_xlfn.STDEV.P(Tab.11[data]),AVERAGE(Tab.11[b6])+Tab.11[[#This Row],[b9]]*_xlfn.STDEV.P(Tab.11[data])))</f>
        <v>0</v>
      </c>
      <c r="T323" s="71" t="b">
        <f>IF(Tab.11[[#This Row],[a1]]=1,$I$3+$A$988+IF($K$3=0,Tab.11[[#This Row],[b10]]*_xlfn.STDEV.P(Tab.11[data]),AVERAGE(Tab.11[b6])+Tab.11[[#This Row],[b10]]*_xlfn.STDEV.P(Tab.11[data])))</f>
        <v>0</v>
      </c>
      <c r="U323" s="72" t="b">
        <f>IF(Tab.11[[#This Row],[a1]]=1,Tab.11[[#This Row],[target]]-Tab.11[[#This Row],[Red]])</f>
        <v>0</v>
      </c>
      <c r="V323" s="72" t="b">
        <f>IF(Tab.11[[#This Row],[a1]]=1,Tab.11[[#This Row],[target]]-Tab.11[[#This Row],[Blue]])</f>
        <v>0</v>
      </c>
      <c r="W323" s="73" t="b">
        <f>IF(Tab.11[[#This Row],[a1]]=1,IF(ABS(Tab.11[[#This Row],[b17]])+ABS(Tab.11[[#This Row],[b18]])&lt;$W$2,$W$2,ABS(Tab.11[[#This Row],[b17]])+ABS(Tab.11[[#This Row],[b18]])))</f>
        <v>0</v>
      </c>
      <c r="X323" s="136" t="b">
        <f>IF(Tab.11[[#This Row],[a1]]=1,IF($W$3&lt;0,Tab.11[[#This Row],[IN]]-$I$3,Tab.11[[#This Row],[IN]]))</f>
        <v>0</v>
      </c>
      <c r="Y323" s="136" t="b">
        <f>IF(Tab.11[[#This Row],[a1]]=1,IF($X$3=0,Tab.11[b66],Tab.11[[#This Row],[b66]]-AVERAGE(Tab.11[b66])))</f>
        <v>0</v>
      </c>
      <c r="Z323" s="135" t="b">
        <f>IF(Tab.11[[#This Row],[a1]]=1,Tab.11[[#This Row],[b77]]/(_xlfn.STDEV.P(Tab.11[b77])))</f>
        <v>0</v>
      </c>
      <c r="AA323" s="70" t="b">
        <f>IF(Tab.11[[#This Row],[a1]]=1,_xlfn.NORM.DIST(Tab.11[[#This Row],[b88]],$Z$1,$AA$1,FALSE))</f>
        <v>0</v>
      </c>
      <c r="AB323" s="74" t="b">
        <f>IF(Tab.11[[#This Row],[a1]]=1,IF($A$3=0,FALSE,1/Tab.11[[#This Row],[IN]]*$AC$2*IF(Tab.11[[#This Row],[a1]]=0,,$A$3*$AC$1*1/$V$3*(Tab.11[[#This Row],[b14]]))))</f>
        <v>0</v>
      </c>
      <c r="AC323" s="75" t="b">
        <f>IF(Tab.11[[#This Row],[a1]]=1,IF($AC$3=0,Tab.11[[#This Row],[φ1]],Tab.11[[#This Row],[φ1]]/MAX(Tab.11[φ1])))</f>
        <v>0</v>
      </c>
      <c r="AD323" s="74" t="b">
        <f>IF(Tab.11[[#This Row],[a1]]=1,1/Tab.11[[#This Row],[φ2]])</f>
        <v>0</v>
      </c>
      <c r="AE323" s="74" t="b">
        <f>IF(Tab.11[[#This Row],[a1]]=1,IF($AE$3=0,Tab.11[[#This Row],[w.0]],Tab.11[[#This Row],[w.0]]/SUM(Tab.11[w.0])))</f>
        <v>0</v>
      </c>
      <c r="AF323" s="76" t="str">
        <f>IF(Tab.11[[#This Row],[a1]]=0,"false",[3]!Tab.x5[[#This Row],[%_seN_C]])</f>
        <v>false</v>
      </c>
      <c r="AG323" s="77" t="b">
        <f>IF(Tab.11[[#This Row],[a1]]=1,AP323)</f>
        <v>0</v>
      </c>
      <c r="AH323" s="78" t="b">
        <f>IF(Tab.11[[#This Row],[a1]]=1,AQ323)</f>
        <v>0</v>
      </c>
      <c r="AI323" s="41">
        <v>3.0000000000000001E-3</v>
      </c>
      <c r="AJ323" s="79">
        <v>0.06</v>
      </c>
      <c r="AK323" s="80" t="b">
        <f>IF(Tab.11[[#This Row],[a1]]=1,1)</f>
        <v>0</v>
      </c>
      <c r="AZ323"/>
    </row>
    <row r="324" spans="1:52" hidden="1" x14ac:dyDescent="0.25">
      <c r="A324" s="61">
        <f t="shared" si="11"/>
        <v>0</v>
      </c>
      <c r="B324" s="62">
        <f t="shared" si="11"/>
        <v>0</v>
      </c>
      <c r="C324" s="62" t="b">
        <f>IF(Tab.11[[#This Row],[a1]]=1,[3]!Tab_x1[[#This Row],[Name]])</f>
        <v>0</v>
      </c>
      <c r="D324" s="63" t="b">
        <f>IF(Tab.11[[#This Row],[a1]]=1,AO324)</f>
        <v>0</v>
      </c>
      <c r="E324" s="63">
        <f t="shared" si="10"/>
        <v>0</v>
      </c>
      <c r="F324" s="64" t="b">
        <f>IF(Tab.11[[#This Row],[a1]]=1,Tab.11[[#This Row],[b1]])</f>
        <v>0</v>
      </c>
      <c r="G324" s="65" t="b">
        <f>IF(Tab.11[[#This Row],[a1]]=1,IF(Tab.11[[#This Row],[b3]]&gt;$L$989*$G$3,$L$989*$G$3,IF(Tab.11[[#This Row],[b3]]&lt;$M$989*$G$3,$M$989*$G$3,Tab.11[[#This Row],[b3]])))</f>
        <v>0</v>
      </c>
      <c r="H324" s="66" t="b">
        <f>IF(Tab.11[[#This Row],[a1]]=1,Tab.11[[#This Row],[b1]])</f>
        <v>0</v>
      </c>
      <c r="I324" s="67" t="b">
        <f>IF(Tab.11[[#This Row],[a1]]=1,Tab.11[[#This Row],[b1]])</f>
        <v>0</v>
      </c>
      <c r="J324" s="68" t="b">
        <f>IF(Tab.11[[#This Row],[a1]]=1,IF($I$3&lt;0,Tab.11[[#This Row],[b5]]-$I$3,Tab.11[[#This Row],[b5]]))</f>
        <v>0</v>
      </c>
      <c r="K324" s="68" t="b">
        <f>IF(Tab.11[[#This Row],[a1]]=1,IF($K$3=0,Tab.11[b6],Tab.11[[#This Row],[b6]]-AVERAGE(Tab.11[b6])))</f>
        <v>0</v>
      </c>
      <c r="L324" s="69" t="b">
        <f>IF(Tab.11[[#This Row],[a1]]=1,Tab.11[[#This Row],[data]]/(_xlfn.STDEV.P(Tab.11[data])*$B$989)+$A$989)</f>
        <v>0</v>
      </c>
      <c r="M324" s="69" t="b">
        <f>IF(Tab.11[[#This Row],[a1]]=1,Tab.11[[#This Row],[data]]/(_xlfn.STDEV.P(Tab.11[data])*$B$987)-$A$987)</f>
        <v>0</v>
      </c>
      <c r="N324" s="69" t="b">
        <f>IF(Tab.11[[#This Row],[a1]]=1,Tab.11[[#This Row],[data]]/(_xlfn.STDEV.P(Tab.11[data])*$B$988)+$A$988)</f>
        <v>0</v>
      </c>
      <c r="O324" s="70" t="b">
        <f>IF(Tab.11[[#This Row],[a1]]=1,_xlfn.NORM.DIST(Tab.11[[#This Row],[b8]],$P$1,$Q$1,FALSE))</f>
        <v>0</v>
      </c>
      <c r="P324" s="70" t="b">
        <f>IF(Tab.11[[#This Row],[a1]]=1,_xlfn.NORM.DIST(Tab.11[[#This Row],[b9]],$P$1,$Q$1,FALSE))</f>
        <v>0</v>
      </c>
      <c r="Q324" s="70" t="b">
        <f>IF(Tab.11[[#This Row],[a1]]=1,_xlfn.NORM.DIST(Tab.11[[#This Row],[b10]],$P$1,$Q$1,FALSE))</f>
        <v>0</v>
      </c>
      <c r="R324" s="67" t="b">
        <f>IF(Tab.11[[#This Row],[a1]]=1,$I$3+$A$989+IF($K$3=0,Tab.11[[#This Row],[b8]]*_xlfn.STDEV.P(Tab.11[data]),AVERAGE(Tab.11[b6])+Tab.11[[#This Row],[b8]]*_xlfn.STDEV.P(Tab.11[data])))</f>
        <v>0</v>
      </c>
      <c r="S324" s="71" t="b">
        <f>IF(Tab.11[[#This Row],[a1]]=1,$I$3+$A$987+IF($K$3=0,Tab.11[[#This Row],[b9]]*_xlfn.STDEV.P(Tab.11[data]),AVERAGE(Tab.11[b6])+Tab.11[[#This Row],[b9]]*_xlfn.STDEV.P(Tab.11[data])))</f>
        <v>0</v>
      </c>
      <c r="T324" s="71" t="b">
        <f>IF(Tab.11[[#This Row],[a1]]=1,$I$3+$A$988+IF($K$3=0,Tab.11[[#This Row],[b10]]*_xlfn.STDEV.P(Tab.11[data]),AVERAGE(Tab.11[b6])+Tab.11[[#This Row],[b10]]*_xlfn.STDEV.P(Tab.11[data])))</f>
        <v>0</v>
      </c>
      <c r="U324" s="72" t="b">
        <f>IF(Tab.11[[#This Row],[a1]]=1,Tab.11[[#This Row],[target]]-Tab.11[[#This Row],[Red]])</f>
        <v>0</v>
      </c>
      <c r="V324" s="72" t="b">
        <f>IF(Tab.11[[#This Row],[a1]]=1,Tab.11[[#This Row],[target]]-Tab.11[[#This Row],[Blue]])</f>
        <v>0</v>
      </c>
      <c r="W324" s="73" t="b">
        <f>IF(Tab.11[[#This Row],[a1]]=1,IF(ABS(Tab.11[[#This Row],[b17]])+ABS(Tab.11[[#This Row],[b18]])&lt;$W$2,$W$2,ABS(Tab.11[[#This Row],[b17]])+ABS(Tab.11[[#This Row],[b18]])))</f>
        <v>0</v>
      </c>
      <c r="X324" s="136" t="b">
        <f>IF(Tab.11[[#This Row],[a1]]=1,IF($W$3&lt;0,Tab.11[[#This Row],[IN]]-$I$3,Tab.11[[#This Row],[IN]]))</f>
        <v>0</v>
      </c>
      <c r="Y324" s="136" t="b">
        <f>IF(Tab.11[[#This Row],[a1]]=1,IF($X$3=0,Tab.11[b66],Tab.11[[#This Row],[b66]]-AVERAGE(Tab.11[b66])))</f>
        <v>0</v>
      </c>
      <c r="Z324" s="135" t="b">
        <f>IF(Tab.11[[#This Row],[a1]]=1,Tab.11[[#This Row],[b77]]/(_xlfn.STDEV.P(Tab.11[b77])))</f>
        <v>0</v>
      </c>
      <c r="AA324" s="70" t="b">
        <f>IF(Tab.11[[#This Row],[a1]]=1,_xlfn.NORM.DIST(Tab.11[[#This Row],[b88]],$Z$1,$AA$1,FALSE))</f>
        <v>0</v>
      </c>
      <c r="AB324" s="74" t="b">
        <f>IF(Tab.11[[#This Row],[a1]]=1,IF($A$3=0,FALSE,1/Tab.11[[#This Row],[IN]]*$AC$2*IF(Tab.11[[#This Row],[a1]]=0,,$A$3*$AC$1*1/$V$3*(Tab.11[[#This Row],[b14]]))))</f>
        <v>0</v>
      </c>
      <c r="AC324" s="75" t="b">
        <f>IF(Tab.11[[#This Row],[a1]]=1,IF($AC$3=0,Tab.11[[#This Row],[φ1]],Tab.11[[#This Row],[φ1]]/MAX(Tab.11[φ1])))</f>
        <v>0</v>
      </c>
      <c r="AD324" s="74" t="b">
        <f>IF(Tab.11[[#This Row],[a1]]=1,1/Tab.11[[#This Row],[φ2]])</f>
        <v>0</v>
      </c>
      <c r="AE324" s="74" t="b">
        <f>IF(Tab.11[[#This Row],[a1]]=1,IF($AE$3=0,Tab.11[[#This Row],[w.0]],Tab.11[[#This Row],[w.0]]/SUM(Tab.11[w.0])))</f>
        <v>0</v>
      </c>
      <c r="AF324" s="76" t="str">
        <f>IF(Tab.11[[#This Row],[a1]]=0,"false",[3]!Tab.x5[[#This Row],[%_seN_C]])</f>
        <v>false</v>
      </c>
      <c r="AG324" s="77" t="b">
        <f>IF(Tab.11[[#This Row],[a1]]=1,AP324)</f>
        <v>0</v>
      </c>
      <c r="AH324" s="78" t="b">
        <f>IF(Tab.11[[#This Row],[a1]]=1,AQ324)</f>
        <v>0</v>
      </c>
      <c r="AI324" s="41">
        <v>3.0000000000000001E-3</v>
      </c>
      <c r="AJ324" s="79">
        <v>0.06</v>
      </c>
      <c r="AK324" s="80" t="b">
        <f>IF(Tab.11[[#This Row],[a1]]=1,1)</f>
        <v>0</v>
      </c>
      <c r="AZ324"/>
    </row>
    <row r="325" spans="1:52" hidden="1" x14ac:dyDescent="0.25">
      <c r="A325" s="61">
        <f t="shared" si="11"/>
        <v>0</v>
      </c>
      <c r="B325" s="62">
        <f t="shared" si="11"/>
        <v>0</v>
      </c>
      <c r="C325" s="62" t="b">
        <f>IF(Tab.11[[#This Row],[a1]]=1,[3]!Tab_x1[[#This Row],[Name]])</f>
        <v>0</v>
      </c>
      <c r="D325" s="63" t="b">
        <f>IF(Tab.11[[#This Row],[a1]]=1,AO325)</f>
        <v>0</v>
      </c>
      <c r="E325" s="63">
        <f t="shared" ref="E325:E388" si="12">AM325</f>
        <v>0</v>
      </c>
      <c r="F325" s="64" t="b">
        <f>IF(Tab.11[[#This Row],[a1]]=1,Tab.11[[#This Row],[b1]])</f>
        <v>0</v>
      </c>
      <c r="G325" s="65" t="b">
        <f>IF(Tab.11[[#This Row],[a1]]=1,IF(Tab.11[[#This Row],[b3]]&gt;$L$989*$G$3,$L$989*$G$3,IF(Tab.11[[#This Row],[b3]]&lt;$M$989*$G$3,$M$989*$G$3,Tab.11[[#This Row],[b3]])))</f>
        <v>0</v>
      </c>
      <c r="H325" s="66" t="b">
        <f>IF(Tab.11[[#This Row],[a1]]=1,Tab.11[[#This Row],[b1]])</f>
        <v>0</v>
      </c>
      <c r="I325" s="67" t="b">
        <f>IF(Tab.11[[#This Row],[a1]]=1,Tab.11[[#This Row],[b1]])</f>
        <v>0</v>
      </c>
      <c r="J325" s="68" t="b">
        <f>IF(Tab.11[[#This Row],[a1]]=1,IF($I$3&lt;0,Tab.11[[#This Row],[b5]]-$I$3,Tab.11[[#This Row],[b5]]))</f>
        <v>0</v>
      </c>
      <c r="K325" s="68" t="b">
        <f>IF(Tab.11[[#This Row],[a1]]=1,IF($K$3=0,Tab.11[b6],Tab.11[[#This Row],[b6]]-AVERAGE(Tab.11[b6])))</f>
        <v>0</v>
      </c>
      <c r="L325" s="69" t="b">
        <f>IF(Tab.11[[#This Row],[a1]]=1,Tab.11[[#This Row],[data]]/(_xlfn.STDEV.P(Tab.11[data])*$B$989)+$A$989)</f>
        <v>0</v>
      </c>
      <c r="M325" s="69" t="b">
        <f>IF(Tab.11[[#This Row],[a1]]=1,Tab.11[[#This Row],[data]]/(_xlfn.STDEV.P(Tab.11[data])*$B$987)-$A$987)</f>
        <v>0</v>
      </c>
      <c r="N325" s="69" t="b">
        <f>IF(Tab.11[[#This Row],[a1]]=1,Tab.11[[#This Row],[data]]/(_xlfn.STDEV.P(Tab.11[data])*$B$988)+$A$988)</f>
        <v>0</v>
      </c>
      <c r="O325" s="70" t="b">
        <f>IF(Tab.11[[#This Row],[a1]]=1,_xlfn.NORM.DIST(Tab.11[[#This Row],[b8]],$P$1,$Q$1,FALSE))</f>
        <v>0</v>
      </c>
      <c r="P325" s="70" t="b">
        <f>IF(Tab.11[[#This Row],[a1]]=1,_xlfn.NORM.DIST(Tab.11[[#This Row],[b9]],$P$1,$Q$1,FALSE))</f>
        <v>0</v>
      </c>
      <c r="Q325" s="70" t="b">
        <f>IF(Tab.11[[#This Row],[a1]]=1,_xlfn.NORM.DIST(Tab.11[[#This Row],[b10]],$P$1,$Q$1,FALSE))</f>
        <v>0</v>
      </c>
      <c r="R325" s="67" t="b">
        <f>IF(Tab.11[[#This Row],[a1]]=1,$I$3+$A$989+IF($K$3=0,Tab.11[[#This Row],[b8]]*_xlfn.STDEV.P(Tab.11[data]),AVERAGE(Tab.11[b6])+Tab.11[[#This Row],[b8]]*_xlfn.STDEV.P(Tab.11[data])))</f>
        <v>0</v>
      </c>
      <c r="S325" s="71" t="b">
        <f>IF(Tab.11[[#This Row],[a1]]=1,$I$3+$A$987+IF($K$3=0,Tab.11[[#This Row],[b9]]*_xlfn.STDEV.P(Tab.11[data]),AVERAGE(Tab.11[b6])+Tab.11[[#This Row],[b9]]*_xlfn.STDEV.P(Tab.11[data])))</f>
        <v>0</v>
      </c>
      <c r="T325" s="71" t="b">
        <f>IF(Tab.11[[#This Row],[a1]]=1,$I$3+$A$988+IF($K$3=0,Tab.11[[#This Row],[b10]]*_xlfn.STDEV.P(Tab.11[data]),AVERAGE(Tab.11[b6])+Tab.11[[#This Row],[b10]]*_xlfn.STDEV.P(Tab.11[data])))</f>
        <v>0</v>
      </c>
      <c r="U325" s="72" t="b">
        <f>IF(Tab.11[[#This Row],[a1]]=1,Tab.11[[#This Row],[target]]-Tab.11[[#This Row],[Red]])</f>
        <v>0</v>
      </c>
      <c r="V325" s="72" t="b">
        <f>IF(Tab.11[[#This Row],[a1]]=1,Tab.11[[#This Row],[target]]-Tab.11[[#This Row],[Blue]])</f>
        <v>0</v>
      </c>
      <c r="W325" s="73" t="b">
        <f>IF(Tab.11[[#This Row],[a1]]=1,IF(ABS(Tab.11[[#This Row],[b17]])+ABS(Tab.11[[#This Row],[b18]])&lt;$W$2,$W$2,ABS(Tab.11[[#This Row],[b17]])+ABS(Tab.11[[#This Row],[b18]])))</f>
        <v>0</v>
      </c>
      <c r="X325" s="136" t="b">
        <f>IF(Tab.11[[#This Row],[a1]]=1,IF($W$3&lt;0,Tab.11[[#This Row],[IN]]-$I$3,Tab.11[[#This Row],[IN]]))</f>
        <v>0</v>
      </c>
      <c r="Y325" s="136" t="b">
        <f>IF(Tab.11[[#This Row],[a1]]=1,IF($X$3=0,Tab.11[b66],Tab.11[[#This Row],[b66]]-AVERAGE(Tab.11[b66])))</f>
        <v>0</v>
      </c>
      <c r="Z325" s="135" t="b">
        <f>IF(Tab.11[[#This Row],[a1]]=1,Tab.11[[#This Row],[b77]]/(_xlfn.STDEV.P(Tab.11[b77])))</f>
        <v>0</v>
      </c>
      <c r="AA325" s="70" t="b">
        <f>IF(Tab.11[[#This Row],[a1]]=1,_xlfn.NORM.DIST(Tab.11[[#This Row],[b88]],$Z$1,$AA$1,FALSE))</f>
        <v>0</v>
      </c>
      <c r="AB325" s="74" t="b">
        <f>IF(Tab.11[[#This Row],[a1]]=1,IF($A$3=0,FALSE,1/Tab.11[[#This Row],[IN]]*$AC$2*IF(Tab.11[[#This Row],[a1]]=0,,$A$3*$AC$1*1/$V$3*(Tab.11[[#This Row],[b14]]))))</f>
        <v>0</v>
      </c>
      <c r="AC325" s="75" t="b">
        <f>IF(Tab.11[[#This Row],[a1]]=1,IF($AC$3=0,Tab.11[[#This Row],[φ1]],Tab.11[[#This Row],[φ1]]/MAX(Tab.11[φ1])))</f>
        <v>0</v>
      </c>
      <c r="AD325" s="74" t="b">
        <f>IF(Tab.11[[#This Row],[a1]]=1,1/Tab.11[[#This Row],[φ2]])</f>
        <v>0</v>
      </c>
      <c r="AE325" s="74" t="b">
        <f>IF(Tab.11[[#This Row],[a1]]=1,IF($AE$3=0,Tab.11[[#This Row],[w.0]],Tab.11[[#This Row],[w.0]]/SUM(Tab.11[w.0])))</f>
        <v>0</v>
      </c>
      <c r="AF325" s="76" t="str">
        <f>IF(Tab.11[[#This Row],[a1]]=0,"false",[3]!Tab.x5[[#This Row],[%_seN_C]])</f>
        <v>false</v>
      </c>
      <c r="AG325" s="77" t="b">
        <f>IF(Tab.11[[#This Row],[a1]]=1,AP325)</f>
        <v>0</v>
      </c>
      <c r="AH325" s="78" t="b">
        <f>IF(Tab.11[[#This Row],[a1]]=1,AQ325)</f>
        <v>0</v>
      </c>
      <c r="AI325" s="41">
        <v>3.0000000000000001E-3</v>
      </c>
      <c r="AJ325" s="79">
        <v>0.06</v>
      </c>
      <c r="AK325" s="80" t="b">
        <f>IF(Tab.11[[#This Row],[a1]]=1,1)</f>
        <v>0</v>
      </c>
      <c r="AZ325"/>
    </row>
    <row r="326" spans="1:52" hidden="1" x14ac:dyDescent="0.25">
      <c r="A326" s="61">
        <f t="shared" si="11"/>
        <v>0</v>
      </c>
      <c r="B326" s="62">
        <f t="shared" si="11"/>
        <v>0</v>
      </c>
      <c r="C326" s="62" t="b">
        <f>IF(Tab.11[[#This Row],[a1]]=1,[3]!Tab_x1[[#This Row],[Name]])</f>
        <v>0</v>
      </c>
      <c r="D326" s="63" t="b">
        <f>IF(Tab.11[[#This Row],[a1]]=1,AO326)</f>
        <v>0</v>
      </c>
      <c r="E326" s="63">
        <f t="shared" si="12"/>
        <v>0</v>
      </c>
      <c r="F326" s="64" t="b">
        <f>IF(Tab.11[[#This Row],[a1]]=1,Tab.11[[#This Row],[b1]])</f>
        <v>0</v>
      </c>
      <c r="G326" s="65" t="b">
        <f>IF(Tab.11[[#This Row],[a1]]=1,IF(Tab.11[[#This Row],[b3]]&gt;$L$989*$G$3,$L$989*$G$3,IF(Tab.11[[#This Row],[b3]]&lt;$M$989*$G$3,$M$989*$G$3,Tab.11[[#This Row],[b3]])))</f>
        <v>0</v>
      </c>
      <c r="H326" s="66" t="b">
        <f>IF(Tab.11[[#This Row],[a1]]=1,Tab.11[[#This Row],[b1]])</f>
        <v>0</v>
      </c>
      <c r="I326" s="67" t="b">
        <f>IF(Tab.11[[#This Row],[a1]]=1,Tab.11[[#This Row],[b1]])</f>
        <v>0</v>
      </c>
      <c r="J326" s="68" t="b">
        <f>IF(Tab.11[[#This Row],[a1]]=1,IF($I$3&lt;0,Tab.11[[#This Row],[b5]]-$I$3,Tab.11[[#This Row],[b5]]))</f>
        <v>0</v>
      </c>
      <c r="K326" s="68" t="b">
        <f>IF(Tab.11[[#This Row],[a1]]=1,IF($K$3=0,Tab.11[b6],Tab.11[[#This Row],[b6]]-AVERAGE(Tab.11[b6])))</f>
        <v>0</v>
      </c>
      <c r="L326" s="69" t="b">
        <f>IF(Tab.11[[#This Row],[a1]]=1,Tab.11[[#This Row],[data]]/(_xlfn.STDEV.P(Tab.11[data])*$B$989)+$A$989)</f>
        <v>0</v>
      </c>
      <c r="M326" s="69" t="b">
        <f>IF(Tab.11[[#This Row],[a1]]=1,Tab.11[[#This Row],[data]]/(_xlfn.STDEV.P(Tab.11[data])*$B$987)-$A$987)</f>
        <v>0</v>
      </c>
      <c r="N326" s="69" t="b">
        <f>IF(Tab.11[[#This Row],[a1]]=1,Tab.11[[#This Row],[data]]/(_xlfn.STDEV.P(Tab.11[data])*$B$988)+$A$988)</f>
        <v>0</v>
      </c>
      <c r="O326" s="70" t="b">
        <f>IF(Tab.11[[#This Row],[a1]]=1,_xlfn.NORM.DIST(Tab.11[[#This Row],[b8]],$P$1,$Q$1,FALSE))</f>
        <v>0</v>
      </c>
      <c r="P326" s="70" t="b">
        <f>IF(Tab.11[[#This Row],[a1]]=1,_xlfn.NORM.DIST(Tab.11[[#This Row],[b9]],$P$1,$Q$1,FALSE))</f>
        <v>0</v>
      </c>
      <c r="Q326" s="70" t="b">
        <f>IF(Tab.11[[#This Row],[a1]]=1,_xlfn.NORM.DIST(Tab.11[[#This Row],[b10]],$P$1,$Q$1,FALSE))</f>
        <v>0</v>
      </c>
      <c r="R326" s="67" t="b">
        <f>IF(Tab.11[[#This Row],[a1]]=1,$I$3+$A$989+IF($K$3=0,Tab.11[[#This Row],[b8]]*_xlfn.STDEV.P(Tab.11[data]),AVERAGE(Tab.11[b6])+Tab.11[[#This Row],[b8]]*_xlfn.STDEV.P(Tab.11[data])))</f>
        <v>0</v>
      </c>
      <c r="S326" s="71" t="b">
        <f>IF(Tab.11[[#This Row],[a1]]=1,$I$3+$A$987+IF($K$3=0,Tab.11[[#This Row],[b9]]*_xlfn.STDEV.P(Tab.11[data]),AVERAGE(Tab.11[b6])+Tab.11[[#This Row],[b9]]*_xlfn.STDEV.P(Tab.11[data])))</f>
        <v>0</v>
      </c>
      <c r="T326" s="71" t="b">
        <f>IF(Tab.11[[#This Row],[a1]]=1,$I$3+$A$988+IF($K$3=0,Tab.11[[#This Row],[b10]]*_xlfn.STDEV.P(Tab.11[data]),AVERAGE(Tab.11[b6])+Tab.11[[#This Row],[b10]]*_xlfn.STDEV.P(Tab.11[data])))</f>
        <v>0</v>
      </c>
      <c r="U326" s="72" t="b">
        <f>IF(Tab.11[[#This Row],[a1]]=1,Tab.11[[#This Row],[target]]-Tab.11[[#This Row],[Red]])</f>
        <v>0</v>
      </c>
      <c r="V326" s="72" t="b">
        <f>IF(Tab.11[[#This Row],[a1]]=1,Tab.11[[#This Row],[target]]-Tab.11[[#This Row],[Blue]])</f>
        <v>0</v>
      </c>
      <c r="W326" s="73" t="b">
        <f>IF(Tab.11[[#This Row],[a1]]=1,IF(ABS(Tab.11[[#This Row],[b17]])+ABS(Tab.11[[#This Row],[b18]])&lt;$W$2,$W$2,ABS(Tab.11[[#This Row],[b17]])+ABS(Tab.11[[#This Row],[b18]])))</f>
        <v>0</v>
      </c>
      <c r="X326" s="136" t="b">
        <f>IF(Tab.11[[#This Row],[a1]]=1,IF($W$3&lt;0,Tab.11[[#This Row],[IN]]-$I$3,Tab.11[[#This Row],[IN]]))</f>
        <v>0</v>
      </c>
      <c r="Y326" s="136" t="b">
        <f>IF(Tab.11[[#This Row],[a1]]=1,IF($X$3=0,Tab.11[b66],Tab.11[[#This Row],[b66]]-AVERAGE(Tab.11[b66])))</f>
        <v>0</v>
      </c>
      <c r="Z326" s="135" t="b">
        <f>IF(Tab.11[[#This Row],[a1]]=1,Tab.11[[#This Row],[b77]]/(_xlfn.STDEV.P(Tab.11[b77])))</f>
        <v>0</v>
      </c>
      <c r="AA326" s="70" t="b">
        <f>IF(Tab.11[[#This Row],[a1]]=1,_xlfn.NORM.DIST(Tab.11[[#This Row],[b88]],$Z$1,$AA$1,FALSE))</f>
        <v>0</v>
      </c>
      <c r="AB326" s="74" t="b">
        <f>IF(Tab.11[[#This Row],[a1]]=1,IF($A$3=0,FALSE,1/Tab.11[[#This Row],[IN]]*$AC$2*IF(Tab.11[[#This Row],[a1]]=0,,$A$3*$AC$1*1/$V$3*(Tab.11[[#This Row],[b14]]))))</f>
        <v>0</v>
      </c>
      <c r="AC326" s="75" t="b">
        <f>IF(Tab.11[[#This Row],[a1]]=1,IF($AC$3=0,Tab.11[[#This Row],[φ1]],Tab.11[[#This Row],[φ1]]/MAX(Tab.11[φ1])))</f>
        <v>0</v>
      </c>
      <c r="AD326" s="74" t="b">
        <f>IF(Tab.11[[#This Row],[a1]]=1,1/Tab.11[[#This Row],[φ2]])</f>
        <v>0</v>
      </c>
      <c r="AE326" s="74" t="b">
        <f>IF(Tab.11[[#This Row],[a1]]=1,IF($AE$3=0,Tab.11[[#This Row],[w.0]],Tab.11[[#This Row],[w.0]]/SUM(Tab.11[w.0])))</f>
        <v>0</v>
      </c>
      <c r="AF326" s="76" t="str">
        <f>IF(Tab.11[[#This Row],[a1]]=0,"false",[3]!Tab.x5[[#This Row],[%_seN_C]])</f>
        <v>false</v>
      </c>
      <c r="AG326" s="77" t="b">
        <f>IF(Tab.11[[#This Row],[a1]]=1,AP326)</f>
        <v>0</v>
      </c>
      <c r="AH326" s="78" t="b">
        <f>IF(Tab.11[[#This Row],[a1]]=1,AQ326)</f>
        <v>0</v>
      </c>
      <c r="AI326" s="41">
        <v>3.0000000000000001E-3</v>
      </c>
      <c r="AJ326" s="79">
        <v>-7.0000000000000007E-2</v>
      </c>
      <c r="AK326" s="80" t="b">
        <f>IF(Tab.11[[#This Row],[a1]]=1,1)</f>
        <v>0</v>
      </c>
      <c r="AZ326"/>
    </row>
    <row r="327" spans="1:52" hidden="1" x14ac:dyDescent="0.25">
      <c r="A327" s="61">
        <f t="shared" si="11"/>
        <v>0</v>
      </c>
      <c r="B327" s="62">
        <f t="shared" si="11"/>
        <v>0</v>
      </c>
      <c r="C327" s="62" t="b">
        <f>IF(Tab.11[[#This Row],[a1]]=1,[3]!Tab_x1[[#This Row],[Name]])</f>
        <v>0</v>
      </c>
      <c r="D327" s="63" t="b">
        <f>IF(Tab.11[[#This Row],[a1]]=1,AO327)</f>
        <v>0</v>
      </c>
      <c r="E327" s="63">
        <f t="shared" si="12"/>
        <v>0</v>
      </c>
      <c r="F327" s="64" t="b">
        <f>IF(Tab.11[[#This Row],[a1]]=1,Tab.11[[#This Row],[b1]])</f>
        <v>0</v>
      </c>
      <c r="G327" s="65" t="b">
        <f>IF(Tab.11[[#This Row],[a1]]=1,IF(Tab.11[[#This Row],[b3]]&gt;$L$989*$G$3,$L$989*$G$3,IF(Tab.11[[#This Row],[b3]]&lt;$M$989*$G$3,$M$989*$G$3,Tab.11[[#This Row],[b3]])))</f>
        <v>0</v>
      </c>
      <c r="H327" s="66" t="b">
        <f>IF(Tab.11[[#This Row],[a1]]=1,Tab.11[[#This Row],[b1]])</f>
        <v>0</v>
      </c>
      <c r="I327" s="67" t="b">
        <f>IF(Tab.11[[#This Row],[a1]]=1,Tab.11[[#This Row],[b1]])</f>
        <v>0</v>
      </c>
      <c r="J327" s="68" t="b">
        <f>IF(Tab.11[[#This Row],[a1]]=1,IF($I$3&lt;0,Tab.11[[#This Row],[b5]]-$I$3,Tab.11[[#This Row],[b5]]))</f>
        <v>0</v>
      </c>
      <c r="K327" s="68" t="b">
        <f>IF(Tab.11[[#This Row],[a1]]=1,IF($K$3=0,Tab.11[b6],Tab.11[[#This Row],[b6]]-AVERAGE(Tab.11[b6])))</f>
        <v>0</v>
      </c>
      <c r="L327" s="69" t="b">
        <f>IF(Tab.11[[#This Row],[a1]]=1,Tab.11[[#This Row],[data]]/(_xlfn.STDEV.P(Tab.11[data])*$B$989)+$A$989)</f>
        <v>0</v>
      </c>
      <c r="M327" s="69" t="b">
        <f>IF(Tab.11[[#This Row],[a1]]=1,Tab.11[[#This Row],[data]]/(_xlfn.STDEV.P(Tab.11[data])*$B$987)-$A$987)</f>
        <v>0</v>
      </c>
      <c r="N327" s="69" t="b">
        <f>IF(Tab.11[[#This Row],[a1]]=1,Tab.11[[#This Row],[data]]/(_xlfn.STDEV.P(Tab.11[data])*$B$988)+$A$988)</f>
        <v>0</v>
      </c>
      <c r="O327" s="70" t="b">
        <f>IF(Tab.11[[#This Row],[a1]]=1,_xlfn.NORM.DIST(Tab.11[[#This Row],[b8]],$P$1,$Q$1,FALSE))</f>
        <v>0</v>
      </c>
      <c r="P327" s="70" t="b">
        <f>IF(Tab.11[[#This Row],[a1]]=1,_xlfn.NORM.DIST(Tab.11[[#This Row],[b9]],$P$1,$Q$1,FALSE))</f>
        <v>0</v>
      </c>
      <c r="Q327" s="70" t="b">
        <f>IF(Tab.11[[#This Row],[a1]]=1,_xlfn.NORM.DIST(Tab.11[[#This Row],[b10]],$P$1,$Q$1,FALSE))</f>
        <v>0</v>
      </c>
      <c r="R327" s="67" t="b">
        <f>IF(Tab.11[[#This Row],[a1]]=1,$I$3+$A$989+IF($K$3=0,Tab.11[[#This Row],[b8]]*_xlfn.STDEV.P(Tab.11[data]),AVERAGE(Tab.11[b6])+Tab.11[[#This Row],[b8]]*_xlfn.STDEV.P(Tab.11[data])))</f>
        <v>0</v>
      </c>
      <c r="S327" s="71" t="b">
        <f>IF(Tab.11[[#This Row],[a1]]=1,$I$3+$A$987+IF($K$3=0,Tab.11[[#This Row],[b9]]*_xlfn.STDEV.P(Tab.11[data]),AVERAGE(Tab.11[b6])+Tab.11[[#This Row],[b9]]*_xlfn.STDEV.P(Tab.11[data])))</f>
        <v>0</v>
      </c>
      <c r="T327" s="71" t="b">
        <f>IF(Tab.11[[#This Row],[a1]]=1,$I$3+$A$988+IF($K$3=0,Tab.11[[#This Row],[b10]]*_xlfn.STDEV.P(Tab.11[data]),AVERAGE(Tab.11[b6])+Tab.11[[#This Row],[b10]]*_xlfn.STDEV.P(Tab.11[data])))</f>
        <v>0</v>
      </c>
      <c r="U327" s="72" t="b">
        <f>IF(Tab.11[[#This Row],[a1]]=1,Tab.11[[#This Row],[target]]-Tab.11[[#This Row],[Red]])</f>
        <v>0</v>
      </c>
      <c r="V327" s="72" t="b">
        <f>IF(Tab.11[[#This Row],[a1]]=1,Tab.11[[#This Row],[target]]-Tab.11[[#This Row],[Blue]])</f>
        <v>0</v>
      </c>
      <c r="W327" s="73" t="b">
        <f>IF(Tab.11[[#This Row],[a1]]=1,IF(ABS(Tab.11[[#This Row],[b17]])+ABS(Tab.11[[#This Row],[b18]])&lt;$W$2,$W$2,ABS(Tab.11[[#This Row],[b17]])+ABS(Tab.11[[#This Row],[b18]])))</f>
        <v>0</v>
      </c>
      <c r="X327" s="136" t="b">
        <f>IF(Tab.11[[#This Row],[a1]]=1,IF($W$3&lt;0,Tab.11[[#This Row],[IN]]-$I$3,Tab.11[[#This Row],[IN]]))</f>
        <v>0</v>
      </c>
      <c r="Y327" s="136" t="b">
        <f>IF(Tab.11[[#This Row],[a1]]=1,IF($X$3=0,Tab.11[b66],Tab.11[[#This Row],[b66]]-AVERAGE(Tab.11[b66])))</f>
        <v>0</v>
      </c>
      <c r="Z327" s="135" t="b">
        <f>IF(Tab.11[[#This Row],[a1]]=1,Tab.11[[#This Row],[b77]]/(_xlfn.STDEV.P(Tab.11[b77])))</f>
        <v>0</v>
      </c>
      <c r="AA327" s="70" t="b">
        <f>IF(Tab.11[[#This Row],[a1]]=1,_xlfn.NORM.DIST(Tab.11[[#This Row],[b88]],$Z$1,$AA$1,FALSE))</f>
        <v>0</v>
      </c>
      <c r="AB327" s="74" t="b">
        <f>IF(Tab.11[[#This Row],[a1]]=1,IF($A$3=0,FALSE,1/Tab.11[[#This Row],[IN]]*$AC$2*IF(Tab.11[[#This Row],[a1]]=0,,$A$3*$AC$1*1/$V$3*(Tab.11[[#This Row],[b14]]))))</f>
        <v>0</v>
      </c>
      <c r="AC327" s="75" t="b">
        <f>IF(Tab.11[[#This Row],[a1]]=1,IF($AC$3=0,Tab.11[[#This Row],[φ1]],Tab.11[[#This Row],[φ1]]/MAX(Tab.11[φ1])))</f>
        <v>0</v>
      </c>
      <c r="AD327" s="74" t="b">
        <f>IF(Tab.11[[#This Row],[a1]]=1,1/Tab.11[[#This Row],[φ2]])</f>
        <v>0</v>
      </c>
      <c r="AE327" s="74" t="b">
        <f>IF(Tab.11[[#This Row],[a1]]=1,IF($AE$3=0,Tab.11[[#This Row],[w.0]],Tab.11[[#This Row],[w.0]]/SUM(Tab.11[w.0])))</f>
        <v>0</v>
      </c>
      <c r="AF327" s="76" t="str">
        <f>IF(Tab.11[[#This Row],[a1]]=0,"false",[3]!Tab.x5[[#This Row],[%_seN_C]])</f>
        <v>false</v>
      </c>
      <c r="AG327" s="77" t="b">
        <f>IF(Tab.11[[#This Row],[a1]]=1,AP327)</f>
        <v>0</v>
      </c>
      <c r="AH327" s="78" t="b">
        <f>IF(Tab.11[[#This Row],[a1]]=1,AQ327)</f>
        <v>0</v>
      </c>
      <c r="AI327" s="41">
        <v>3.0000000000000001E-3</v>
      </c>
      <c r="AJ327" s="79">
        <v>0.05</v>
      </c>
      <c r="AK327" s="80" t="b">
        <f>IF(Tab.11[[#This Row],[a1]]=1,1)</f>
        <v>0</v>
      </c>
      <c r="AZ327"/>
    </row>
    <row r="328" spans="1:52" hidden="1" x14ac:dyDescent="0.25">
      <c r="A328" s="61">
        <f t="shared" si="11"/>
        <v>0</v>
      </c>
      <c r="B328" s="62">
        <f t="shared" si="11"/>
        <v>0</v>
      </c>
      <c r="C328" s="62" t="b">
        <f>IF(Tab.11[[#This Row],[a1]]=1,[3]!Tab_x1[[#This Row],[Name]])</f>
        <v>0</v>
      </c>
      <c r="D328" s="63" t="b">
        <f>IF(Tab.11[[#This Row],[a1]]=1,AO328)</f>
        <v>0</v>
      </c>
      <c r="E328" s="63">
        <f t="shared" si="12"/>
        <v>0</v>
      </c>
      <c r="F328" s="64" t="b">
        <f>IF(Tab.11[[#This Row],[a1]]=1,Tab.11[[#This Row],[b1]])</f>
        <v>0</v>
      </c>
      <c r="G328" s="65" t="b">
        <f>IF(Tab.11[[#This Row],[a1]]=1,IF(Tab.11[[#This Row],[b3]]&gt;$L$989*$G$3,$L$989*$G$3,IF(Tab.11[[#This Row],[b3]]&lt;$M$989*$G$3,$M$989*$G$3,Tab.11[[#This Row],[b3]])))</f>
        <v>0</v>
      </c>
      <c r="H328" s="66" t="b">
        <f>IF(Tab.11[[#This Row],[a1]]=1,Tab.11[[#This Row],[b1]])</f>
        <v>0</v>
      </c>
      <c r="I328" s="67" t="b">
        <f>IF(Tab.11[[#This Row],[a1]]=1,Tab.11[[#This Row],[b1]])</f>
        <v>0</v>
      </c>
      <c r="J328" s="68" t="b">
        <f>IF(Tab.11[[#This Row],[a1]]=1,IF($I$3&lt;0,Tab.11[[#This Row],[b5]]-$I$3,Tab.11[[#This Row],[b5]]))</f>
        <v>0</v>
      </c>
      <c r="K328" s="68" t="b">
        <f>IF(Tab.11[[#This Row],[a1]]=1,IF($K$3=0,Tab.11[b6],Tab.11[[#This Row],[b6]]-AVERAGE(Tab.11[b6])))</f>
        <v>0</v>
      </c>
      <c r="L328" s="69" t="b">
        <f>IF(Tab.11[[#This Row],[a1]]=1,Tab.11[[#This Row],[data]]/(_xlfn.STDEV.P(Tab.11[data])*$B$989)+$A$989)</f>
        <v>0</v>
      </c>
      <c r="M328" s="69" t="b">
        <f>IF(Tab.11[[#This Row],[a1]]=1,Tab.11[[#This Row],[data]]/(_xlfn.STDEV.P(Tab.11[data])*$B$987)-$A$987)</f>
        <v>0</v>
      </c>
      <c r="N328" s="69" t="b">
        <f>IF(Tab.11[[#This Row],[a1]]=1,Tab.11[[#This Row],[data]]/(_xlfn.STDEV.P(Tab.11[data])*$B$988)+$A$988)</f>
        <v>0</v>
      </c>
      <c r="O328" s="70" t="b">
        <f>IF(Tab.11[[#This Row],[a1]]=1,_xlfn.NORM.DIST(Tab.11[[#This Row],[b8]],$P$1,$Q$1,FALSE))</f>
        <v>0</v>
      </c>
      <c r="P328" s="70" t="b">
        <f>IF(Tab.11[[#This Row],[a1]]=1,_xlfn.NORM.DIST(Tab.11[[#This Row],[b9]],$P$1,$Q$1,FALSE))</f>
        <v>0</v>
      </c>
      <c r="Q328" s="70" t="b">
        <f>IF(Tab.11[[#This Row],[a1]]=1,_xlfn.NORM.DIST(Tab.11[[#This Row],[b10]],$P$1,$Q$1,FALSE))</f>
        <v>0</v>
      </c>
      <c r="R328" s="67" t="b">
        <f>IF(Tab.11[[#This Row],[a1]]=1,$I$3+$A$989+IF($K$3=0,Tab.11[[#This Row],[b8]]*_xlfn.STDEV.P(Tab.11[data]),AVERAGE(Tab.11[b6])+Tab.11[[#This Row],[b8]]*_xlfn.STDEV.P(Tab.11[data])))</f>
        <v>0</v>
      </c>
      <c r="S328" s="71" t="b">
        <f>IF(Tab.11[[#This Row],[a1]]=1,$I$3+$A$987+IF($K$3=0,Tab.11[[#This Row],[b9]]*_xlfn.STDEV.P(Tab.11[data]),AVERAGE(Tab.11[b6])+Tab.11[[#This Row],[b9]]*_xlfn.STDEV.P(Tab.11[data])))</f>
        <v>0</v>
      </c>
      <c r="T328" s="71" t="b">
        <f>IF(Tab.11[[#This Row],[a1]]=1,$I$3+$A$988+IF($K$3=0,Tab.11[[#This Row],[b10]]*_xlfn.STDEV.P(Tab.11[data]),AVERAGE(Tab.11[b6])+Tab.11[[#This Row],[b10]]*_xlfn.STDEV.P(Tab.11[data])))</f>
        <v>0</v>
      </c>
      <c r="U328" s="72" t="b">
        <f>IF(Tab.11[[#This Row],[a1]]=1,Tab.11[[#This Row],[target]]-Tab.11[[#This Row],[Red]])</f>
        <v>0</v>
      </c>
      <c r="V328" s="72" t="b">
        <f>IF(Tab.11[[#This Row],[a1]]=1,Tab.11[[#This Row],[target]]-Tab.11[[#This Row],[Blue]])</f>
        <v>0</v>
      </c>
      <c r="W328" s="73" t="b">
        <f>IF(Tab.11[[#This Row],[a1]]=1,IF(ABS(Tab.11[[#This Row],[b17]])+ABS(Tab.11[[#This Row],[b18]])&lt;$W$2,$W$2,ABS(Tab.11[[#This Row],[b17]])+ABS(Tab.11[[#This Row],[b18]])))</f>
        <v>0</v>
      </c>
      <c r="X328" s="136" t="b">
        <f>IF(Tab.11[[#This Row],[a1]]=1,IF($W$3&lt;0,Tab.11[[#This Row],[IN]]-$I$3,Tab.11[[#This Row],[IN]]))</f>
        <v>0</v>
      </c>
      <c r="Y328" s="136" t="b">
        <f>IF(Tab.11[[#This Row],[a1]]=1,IF($X$3=0,Tab.11[b66],Tab.11[[#This Row],[b66]]-AVERAGE(Tab.11[b66])))</f>
        <v>0</v>
      </c>
      <c r="Z328" s="135" t="b">
        <f>IF(Tab.11[[#This Row],[a1]]=1,Tab.11[[#This Row],[b77]]/(_xlfn.STDEV.P(Tab.11[b77])))</f>
        <v>0</v>
      </c>
      <c r="AA328" s="70" t="b">
        <f>IF(Tab.11[[#This Row],[a1]]=1,_xlfn.NORM.DIST(Tab.11[[#This Row],[b88]],$Z$1,$AA$1,FALSE))</f>
        <v>0</v>
      </c>
      <c r="AB328" s="74" t="b">
        <f>IF(Tab.11[[#This Row],[a1]]=1,IF($A$3=0,FALSE,1/Tab.11[[#This Row],[IN]]*$AC$2*IF(Tab.11[[#This Row],[a1]]=0,,$A$3*$AC$1*1/$V$3*(Tab.11[[#This Row],[b14]]))))</f>
        <v>0</v>
      </c>
      <c r="AC328" s="75" t="b">
        <f>IF(Tab.11[[#This Row],[a1]]=1,IF($AC$3=0,Tab.11[[#This Row],[φ1]],Tab.11[[#This Row],[φ1]]/MAX(Tab.11[φ1])))</f>
        <v>0</v>
      </c>
      <c r="AD328" s="74" t="b">
        <f>IF(Tab.11[[#This Row],[a1]]=1,1/Tab.11[[#This Row],[φ2]])</f>
        <v>0</v>
      </c>
      <c r="AE328" s="74" t="b">
        <f>IF(Tab.11[[#This Row],[a1]]=1,IF($AE$3=0,Tab.11[[#This Row],[w.0]],Tab.11[[#This Row],[w.0]]/SUM(Tab.11[w.0])))</f>
        <v>0</v>
      </c>
      <c r="AF328" s="76" t="str">
        <f>IF(Tab.11[[#This Row],[a1]]=0,"false",[3]!Tab.x5[[#This Row],[%_seN_C]])</f>
        <v>false</v>
      </c>
      <c r="AG328" s="77" t="b">
        <f>IF(Tab.11[[#This Row],[a1]]=1,AP328)</f>
        <v>0</v>
      </c>
      <c r="AH328" s="78" t="b">
        <f>IF(Tab.11[[#This Row],[a1]]=1,AQ328)</f>
        <v>0</v>
      </c>
      <c r="AI328" s="41">
        <v>3.0000000000000001E-3</v>
      </c>
      <c r="AJ328" s="79">
        <v>0.03</v>
      </c>
      <c r="AK328" s="80" t="b">
        <f>IF(Tab.11[[#This Row],[a1]]=1,1)</f>
        <v>0</v>
      </c>
      <c r="AZ328"/>
    </row>
    <row r="329" spans="1:52" hidden="1" x14ac:dyDescent="0.25">
      <c r="A329" s="61">
        <f t="shared" si="11"/>
        <v>0</v>
      </c>
      <c r="B329" s="62">
        <f t="shared" si="11"/>
        <v>0</v>
      </c>
      <c r="C329" s="62" t="b">
        <f>IF(Tab.11[[#This Row],[a1]]=1,[3]!Tab_x1[[#This Row],[Name]])</f>
        <v>0</v>
      </c>
      <c r="D329" s="63" t="b">
        <f>IF(Tab.11[[#This Row],[a1]]=1,AO329)</f>
        <v>0</v>
      </c>
      <c r="E329" s="63">
        <f t="shared" si="12"/>
        <v>0</v>
      </c>
      <c r="F329" s="64" t="b">
        <f>IF(Tab.11[[#This Row],[a1]]=1,Tab.11[[#This Row],[b1]])</f>
        <v>0</v>
      </c>
      <c r="G329" s="65" t="b">
        <f>IF(Tab.11[[#This Row],[a1]]=1,IF(Tab.11[[#This Row],[b3]]&gt;$L$989*$G$3,$L$989*$G$3,IF(Tab.11[[#This Row],[b3]]&lt;$M$989*$G$3,$M$989*$G$3,Tab.11[[#This Row],[b3]])))</f>
        <v>0</v>
      </c>
      <c r="H329" s="66" t="b">
        <f>IF(Tab.11[[#This Row],[a1]]=1,Tab.11[[#This Row],[b1]])</f>
        <v>0</v>
      </c>
      <c r="I329" s="67" t="b">
        <f>IF(Tab.11[[#This Row],[a1]]=1,Tab.11[[#This Row],[b1]])</f>
        <v>0</v>
      </c>
      <c r="J329" s="68" t="b">
        <f>IF(Tab.11[[#This Row],[a1]]=1,IF($I$3&lt;0,Tab.11[[#This Row],[b5]]-$I$3,Tab.11[[#This Row],[b5]]))</f>
        <v>0</v>
      </c>
      <c r="K329" s="68" t="b">
        <f>IF(Tab.11[[#This Row],[a1]]=1,IF($K$3=0,Tab.11[b6],Tab.11[[#This Row],[b6]]-AVERAGE(Tab.11[b6])))</f>
        <v>0</v>
      </c>
      <c r="L329" s="69" t="b">
        <f>IF(Tab.11[[#This Row],[a1]]=1,Tab.11[[#This Row],[data]]/(_xlfn.STDEV.P(Tab.11[data])*$B$989)+$A$989)</f>
        <v>0</v>
      </c>
      <c r="M329" s="69" t="b">
        <f>IF(Tab.11[[#This Row],[a1]]=1,Tab.11[[#This Row],[data]]/(_xlfn.STDEV.P(Tab.11[data])*$B$987)-$A$987)</f>
        <v>0</v>
      </c>
      <c r="N329" s="69" t="b">
        <f>IF(Tab.11[[#This Row],[a1]]=1,Tab.11[[#This Row],[data]]/(_xlfn.STDEV.P(Tab.11[data])*$B$988)+$A$988)</f>
        <v>0</v>
      </c>
      <c r="O329" s="70" t="b">
        <f>IF(Tab.11[[#This Row],[a1]]=1,_xlfn.NORM.DIST(Tab.11[[#This Row],[b8]],$P$1,$Q$1,FALSE))</f>
        <v>0</v>
      </c>
      <c r="P329" s="70" t="b">
        <f>IF(Tab.11[[#This Row],[a1]]=1,_xlfn.NORM.DIST(Tab.11[[#This Row],[b9]],$P$1,$Q$1,FALSE))</f>
        <v>0</v>
      </c>
      <c r="Q329" s="70" t="b">
        <f>IF(Tab.11[[#This Row],[a1]]=1,_xlfn.NORM.DIST(Tab.11[[#This Row],[b10]],$P$1,$Q$1,FALSE))</f>
        <v>0</v>
      </c>
      <c r="R329" s="67" t="b">
        <f>IF(Tab.11[[#This Row],[a1]]=1,$I$3+$A$989+IF($K$3=0,Tab.11[[#This Row],[b8]]*_xlfn.STDEV.P(Tab.11[data]),AVERAGE(Tab.11[b6])+Tab.11[[#This Row],[b8]]*_xlfn.STDEV.P(Tab.11[data])))</f>
        <v>0</v>
      </c>
      <c r="S329" s="71" t="b">
        <f>IF(Tab.11[[#This Row],[a1]]=1,$I$3+$A$987+IF($K$3=0,Tab.11[[#This Row],[b9]]*_xlfn.STDEV.P(Tab.11[data]),AVERAGE(Tab.11[b6])+Tab.11[[#This Row],[b9]]*_xlfn.STDEV.P(Tab.11[data])))</f>
        <v>0</v>
      </c>
      <c r="T329" s="71" t="b">
        <f>IF(Tab.11[[#This Row],[a1]]=1,$I$3+$A$988+IF($K$3=0,Tab.11[[#This Row],[b10]]*_xlfn.STDEV.P(Tab.11[data]),AVERAGE(Tab.11[b6])+Tab.11[[#This Row],[b10]]*_xlfn.STDEV.P(Tab.11[data])))</f>
        <v>0</v>
      </c>
      <c r="U329" s="72" t="b">
        <f>IF(Tab.11[[#This Row],[a1]]=1,Tab.11[[#This Row],[target]]-Tab.11[[#This Row],[Red]])</f>
        <v>0</v>
      </c>
      <c r="V329" s="72" t="b">
        <f>IF(Tab.11[[#This Row],[a1]]=1,Tab.11[[#This Row],[target]]-Tab.11[[#This Row],[Blue]])</f>
        <v>0</v>
      </c>
      <c r="W329" s="73" t="b">
        <f>IF(Tab.11[[#This Row],[a1]]=1,IF(ABS(Tab.11[[#This Row],[b17]])+ABS(Tab.11[[#This Row],[b18]])&lt;$W$2,$W$2,ABS(Tab.11[[#This Row],[b17]])+ABS(Tab.11[[#This Row],[b18]])))</f>
        <v>0</v>
      </c>
      <c r="X329" s="136" t="b">
        <f>IF(Tab.11[[#This Row],[a1]]=1,IF($W$3&lt;0,Tab.11[[#This Row],[IN]]-$I$3,Tab.11[[#This Row],[IN]]))</f>
        <v>0</v>
      </c>
      <c r="Y329" s="136" t="b">
        <f>IF(Tab.11[[#This Row],[a1]]=1,IF($X$3=0,Tab.11[b66],Tab.11[[#This Row],[b66]]-AVERAGE(Tab.11[b66])))</f>
        <v>0</v>
      </c>
      <c r="Z329" s="135" t="b">
        <f>IF(Tab.11[[#This Row],[a1]]=1,Tab.11[[#This Row],[b77]]/(_xlfn.STDEV.P(Tab.11[b77])))</f>
        <v>0</v>
      </c>
      <c r="AA329" s="70" t="b">
        <f>IF(Tab.11[[#This Row],[a1]]=1,_xlfn.NORM.DIST(Tab.11[[#This Row],[b88]],$Z$1,$AA$1,FALSE))</f>
        <v>0</v>
      </c>
      <c r="AB329" s="74" t="b">
        <f>IF(Tab.11[[#This Row],[a1]]=1,IF($A$3=0,FALSE,1/Tab.11[[#This Row],[IN]]*$AC$2*IF(Tab.11[[#This Row],[a1]]=0,,$A$3*$AC$1*1/$V$3*(Tab.11[[#This Row],[b14]]))))</f>
        <v>0</v>
      </c>
      <c r="AC329" s="75" t="b">
        <f>IF(Tab.11[[#This Row],[a1]]=1,IF($AC$3=0,Tab.11[[#This Row],[φ1]],Tab.11[[#This Row],[φ1]]/MAX(Tab.11[φ1])))</f>
        <v>0</v>
      </c>
      <c r="AD329" s="74" t="b">
        <f>IF(Tab.11[[#This Row],[a1]]=1,1/Tab.11[[#This Row],[φ2]])</f>
        <v>0</v>
      </c>
      <c r="AE329" s="74" t="b">
        <f>IF(Tab.11[[#This Row],[a1]]=1,IF($AE$3=0,Tab.11[[#This Row],[w.0]],Tab.11[[#This Row],[w.0]]/SUM(Tab.11[w.0])))</f>
        <v>0</v>
      </c>
      <c r="AF329" s="76" t="str">
        <f>IF(Tab.11[[#This Row],[a1]]=0,"false",[3]!Tab.x5[[#This Row],[%_seN_C]])</f>
        <v>false</v>
      </c>
      <c r="AG329" s="77" t="b">
        <f>IF(Tab.11[[#This Row],[a1]]=1,AP329)</f>
        <v>0</v>
      </c>
      <c r="AH329" s="78" t="b">
        <f>IF(Tab.11[[#This Row],[a1]]=1,AQ329)</f>
        <v>0</v>
      </c>
      <c r="AI329" s="41">
        <v>3.0000000000000001E-3</v>
      </c>
      <c r="AJ329" s="79">
        <v>-0.08</v>
      </c>
      <c r="AK329" s="80" t="b">
        <f>IF(Tab.11[[#This Row],[a1]]=1,1)</f>
        <v>0</v>
      </c>
      <c r="AZ329"/>
    </row>
    <row r="330" spans="1:52" hidden="1" x14ac:dyDescent="0.25">
      <c r="A330" s="61">
        <f t="shared" si="11"/>
        <v>0</v>
      </c>
      <c r="B330" s="62">
        <f t="shared" si="11"/>
        <v>0</v>
      </c>
      <c r="C330" s="62" t="b">
        <f>IF(Tab.11[[#This Row],[a1]]=1,[3]!Tab_x1[[#This Row],[Name]])</f>
        <v>0</v>
      </c>
      <c r="D330" s="63" t="b">
        <f>IF(Tab.11[[#This Row],[a1]]=1,AO330)</f>
        <v>0</v>
      </c>
      <c r="E330" s="63">
        <f t="shared" si="12"/>
        <v>0</v>
      </c>
      <c r="F330" s="64" t="b">
        <f>IF(Tab.11[[#This Row],[a1]]=1,Tab.11[[#This Row],[b1]])</f>
        <v>0</v>
      </c>
      <c r="G330" s="65" t="b">
        <f>IF(Tab.11[[#This Row],[a1]]=1,IF(Tab.11[[#This Row],[b3]]&gt;$L$989*$G$3,$L$989*$G$3,IF(Tab.11[[#This Row],[b3]]&lt;$M$989*$G$3,$M$989*$G$3,Tab.11[[#This Row],[b3]])))</f>
        <v>0</v>
      </c>
      <c r="H330" s="66" t="b">
        <f>IF(Tab.11[[#This Row],[a1]]=1,Tab.11[[#This Row],[b1]])</f>
        <v>0</v>
      </c>
      <c r="I330" s="67" t="b">
        <f>IF(Tab.11[[#This Row],[a1]]=1,Tab.11[[#This Row],[b1]])</f>
        <v>0</v>
      </c>
      <c r="J330" s="68" t="b">
        <f>IF(Tab.11[[#This Row],[a1]]=1,IF($I$3&lt;0,Tab.11[[#This Row],[b5]]-$I$3,Tab.11[[#This Row],[b5]]))</f>
        <v>0</v>
      </c>
      <c r="K330" s="68" t="b">
        <f>IF(Tab.11[[#This Row],[a1]]=1,IF($K$3=0,Tab.11[b6],Tab.11[[#This Row],[b6]]-AVERAGE(Tab.11[b6])))</f>
        <v>0</v>
      </c>
      <c r="L330" s="69" t="b">
        <f>IF(Tab.11[[#This Row],[a1]]=1,Tab.11[[#This Row],[data]]/(_xlfn.STDEV.P(Tab.11[data])*$B$989)+$A$989)</f>
        <v>0</v>
      </c>
      <c r="M330" s="69" t="b">
        <f>IF(Tab.11[[#This Row],[a1]]=1,Tab.11[[#This Row],[data]]/(_xlfn.STDEV.P(Tab.11[data])*$B$987)-$A$987)</f>
        <v>0</v>
      </c>
      <c r="N330" s="69" t="b">
        <f>IF(Tab.11[[#This Row],[a1]]=1,Tab.11[[#This Row],[data]]/(_xlfn.STDEV.P(Tab.11[data])*$B$988)+$A$988)</f>
        <v>0</v>
      </c>
      <c r="O330" s="70" t="b">
        <f>IF(Tab.11[[#This Row],[a1]]=1,_xlfn.NORM.DIST(Tab.11[[#This Row],[b8]],$P$1,$Q$1,FALSE))</f>
        <v>0</v>
      </c>
      <c r="P330" s="70" t="b">
        <f>IF(Tab.11[[#This Row],[a1]]=1,_xlfn.NORM.DIST(Tab.11[[#This Row],[b9]],$P$1,$Q$1,FALSE))</f>
        <v>0</v>
      </c>
      <c r="Q330" s="70" t="b">
        <f>IF(Tab.11[[#This Row],[a1]]=1,_xlfn.NORM.DIST(Tab.11[[#This Row],[b10]],$P$1,$Q$1,FALSE))</f>
        <v>0</v>
      </c>
      <c r="R330" s="67" t="b">
        <f>IF(Tab.11[[#This Row],[a1]]=1,$I$3+$A$989+IF($K$3=0,Tab.11[[#This Row],[b8]]*_xlfn.STDEV.P(Tab.11[data]),AVERAGE(Tab.11[b6])+Tab.11[[#This Row],[b8]]*_xlfn.STDEV.P(Tab.11[data])))</f>
        <v>0</v>
      </c>
      <c r="S330" s="71" t="b">
        <f>IF(Tab.11[[#This Row],[a1]]=1,$I$3+$A$987+IF($K$3=0,Tab.11[[#This Row],[b9]]*_xlfn.STDEV.P(Tab.11[data]),AVERAGE(Tab.11[b6])+Tab.11[[#This Row],[b9]]*_xlfn.STDEV.P(Tab.11[data])))</f>
        <v>0</v>
      </c>
      <c r="T330" s="71" t="b">
        <f>IF(Tab.11[[#This Row],[a1]]=1,$I$3+$A$988+IF($K$3=0,Tab.11[[#This Row],[b10]]*_xlfn.STDEV.P(Tab.11[data]),AVERAGE(Tab.11[b6])+Tab.11[[#This Row],[b10]]*_xlfn.STDEV.P(Tab.11[data])))</f>
        <v>0</v>
      </c>
      <c r="U330" s="72" t="b">
        <f>IF(Tab.11[[#This Row],[a1]]=1,Tab.11[[#This Row],[target]]-Tab.11[[#This Row],[Red]])</f>
        <v>0</v>
      </c>
      <c r="V330" s="72" t="b">
        <f>IF(Tab.11[[#This Row],[a1]]=1,Tab.11[[#This Row],[target]]-Tab.11[[#This Row],[Blue]])</f>
        <v>0</v>
      </c>
      <c r="W330" s="73" t="b">
        <f>IF(Tab.11[[#This Row],[a1]]=1,IF(ABS(Tab.11[[#This Row],[b17]])+ABS(Tab.11[[#This Row],[b18]])&lt;$W$2,$W$2,ABS(Tab.11[[#This Row],[b17]])+ABS(Tab.11[[#This Row],[b18]])))</f>
        <v>0</v>
      </c>
      <c r="X330" s="136" t="b">
        <f>IF(Tab.11[[#This Row],[a1]]=1,IF($W$3&lt;0,Tab.11[[#This Row],[IN]]-$I$3,Tab.11[[#This Row],[IN]]))</f>
        <v>0</v>
      </c>
      <c r="Y330" s="136" t="b">
        <f>IF(Tab.11[[#This Row],[a1]]=1,IF($X$3=0,Tab.11[b66],Tab.11[[#This Row],[b66]]-AVERAGE(Tab.11[b66])))</f>
        <v>0</v>
      </c>
      <c r="Z330" s="135" t="b">
        <f>IF(Tab.11[[#This Row],[a1]]=1,Tab.11[[#This Row],[b77]]/(_xlfn.STDEV.P(Tab.11[b77])))</f>
        <v>0</v>
      </c>
      <c r="AA330" s="70" t="b">
        <f>IF(Tab.11[[#This Row],[a1]]=1,_xlfn.NORM.DIST(Tab.11[[#This Row],[b88]],$Z$1,$AA$1,FALSE))</f>
        <v>0</v>
      </c>
      <c r="AB330" s="74" t="b">
        <f>IF(Tab.11[[#This Row],[a1]]=1,IF($A$3=0,FALSE,1/Tab.11[[#This Row],[IN]]*$AC$2*IF(Tab.11[[#This Row],[a1]]=0,,$A$3*$AC$1*1/$V$3*(Tab.11[[#This Row],[b14]]))))</f>
        <v>0</v>
      </c>
      <c r="AC330" s="75" t="b">
        <f>IF(Tab.11[[#This Row],[a1]]=1,IF($AC$3=0,Tab.11[[#This Row],[φ1]],Tab.11[[#This Row],[φ1]]/MAX(Tab.11[φ1])))</f>
        <v>0</v>
      </c>
      <c r="AD330" s="74" t="b">
        <f>IF(Tab.11[[#This Row],[a1]]=1,1/Tab.11[[#This Row],[φ2]])</f>
        <v>0</v>
      </c>
      <c r="AE330" s="74" t="b">
        <f>IF(Tab.11[[#This Row],[a1]]=1,IF($AE$3=0,Tab.11[[#This Row],[w.0]],Tab.11[[#This Row],[w.0]]/SUM(Tab.11[w.0])))</f>
        <v>0</v>
      </c>
      <c r="AF330" s="76" t="str">
        <f>IF(Tab.11[[#This Row],[a1]]=0,"false",[3]!Tab.x5[[#This Row],[%_seN_C]])</f>
        <v>false</v>
      </c>
      <c r="AG330" s="77" t="b">
        <f>IF(Tab.11[[#This Row],[a1]]=1,AP330)</f>
        <v>0</v>
      </c>
      <c r="AH330" s="78" t="b">
        <f>IF(Tab.11[[#This Row],[a1]]=1,AQ330)</f>
        <v>0</v>
      </c>
      <c r="AI330" s="41">
        <v>3.0000000000000001E-3</v>
      </c>
      <c r="AJ330" s="79">
        <v>-7.0000000000000007E-2</v>
      </c>
      <c r="AK330" s="80" t="b">
        <f>IF(Tab.11[[#This Row],[a1]]=1,1)</f>
        <v>0</v>
      </c>
      <c r="AZ330"/>
    </row>
    <row r="331" spans="1:52" hidden="1" x14ac:dyDescent="0.25">
      <c r="A331" s="61">
        <f t="shared" si="11"/>
        <v>0</v>
      </c>
      <c r="B331" s="62">
        <f t="shared" si="11"/>
        <v>0</v>
      </c>
      <c r="C331" s="62" t="b">
        <f>IF(Tab.11[[#This Row],[a1]]=1,[3]!Tab_x1[[#This Row],[Name]])</f>
        <v>0</v>
      </c>
      <c r="D331" s="63" t="b">
        <f>IF(Tab.11[[#This Row],[a1]]=1,AO331)</f>
        <v>0</v>
      </c>
      <c r="E331" s="63">
        <f t="shared" si="12"/>
        <v>0</v>
      </c>
      <c r="F331" s="64" t="b">
        <f>IF(Tab.11[[#This Row],[a1]]=1,Tab.11[[#This Row],[b1]])</f>
        <v>0</v>
      </c>
      <c r="G331" s="65" t="b">
        <f>IF(Tab.11[[#This Row],[a1]]=1,IF(Tab.11[[#This Row],[b3]]&gt;$L$989*$G$3,$L$989*$G$3,IF(Tab.11[[#This Row],[b3]]&lt;$M$989*$G$3,$M$989*$G$3,Tab.11[[#This Row],[b3]])))</f>
        <v>0</v>
      </c>
      <c r="H331" s="66" t="b">
        <f>IF(Tab.11[[#This Row],[a1]]=1,Tab.11[[#This Row],[b1]])</f>
        <v>0</v>
      </c>
      <c r="I331" s="67" t="b">
        <f>IF(Tab.11[[#This Row],[a1]]=1,Tab.11[[#This Row],[b1]])</f>
        <v>0</v>
      </c>
      <c r="J331" s="68" t="b">
        <f>IF(Tab.11[[#This Row],[a1]]=1,IF($I$3&lt;0,Tab.11[[#This Row],[b5]]-$I$3,Tab.11[[#This Row],[b5]]))</f>
        <v>0</v>
      </c>
      <c r="K331" s="68" t="b">
        <f>IF(Tab.11[[#This Row],[a1]]=1,IF($K$3=0,Tab.11[b6],Tab.11[[#This Row],[b6]]-AVERAGE(Tab.11[b6])))</f>
        <v>0</v>
      </c>
      <c r="L331" s="69" t="b">
        <f>IF(Tab.11[[#This Row],[a1]]=1,Tab.11[[#This Row],[data]]/(_xlfn.STDEV.P(Tab.11[data])*$B$989)+$A$989)</f>
        <v>0</v>
      </c>
      <c r="M331" s="69" t="b">
        <f>IF(Tab.11[[#This Row],[a1]]=1,Tab.11[[#This Row],[data]]/(_xlfn.STDEV.P(Tab.11[data])*$B$987)-$A$987)</f>
        <v>0</v>
      </c>
      <c r="N331" s="69" t="b">
        <f>IF(Tab.11[[#This Row],[a1]]=1,Tab.11[[#This Row],[data]]/(_xlfn.STDEV.P(Tab.11[data])*$B$988)+$A$988)</f>
        <v>0</v>
      </c>
      <c r="O331" s="70" t="b">
        <f>IF(Tab.11[[#This Row],[a1]]=1,_xlfn.NORM.DIST(Tab.11[[#This Row],[b8]],$P$1,$Q$1,FALSE))</f>
        <v>0</v>
      </c>
      <c r="P331" s="70" t="b">
        <f>IF(Tab.11[[#This Row],[a1]]=1,_xlfn.NORM.DIST(Tab.11[[#This Row],[b9]],$P$1,$Q$1,FALSE))</f>
        <v>0</v>
      </c>
      <c r="Q331" s="70" t="b">
        <f>IF(Tab.11[[#This Row],[a1]]=1,_xlfn.NORM.DIST(Tab.11[[#This Row],[b10]],$P$1,$Q$1,FALSE))</f>
        <v>0</v>
      </c>
      <c r="R331" s="67" t="b">
        <f>IF(Tab.11[[#This Row],[a1]]=1,$I$3+$A$989+IF($K$3=0,Tab.11[[#This Row],[b8]]*_xlfn.STDEV.P(Tab.11[data]),AVERAGE(Tab.11[b6])+Tab.11[[#This Row],[b8]]*_xlfn.STDEV.P(Tab.11[data])))</f>
        <v>0</v>
      </c>
      <c r="S331" s="71" t="b">
        <f>IF(Tab.11[[#This Row],[a1]]=1,$I$3+$A$987+IF($K$3=0,Tab.11[[#This Row],[b9]]*_xlfn.STDEV.P(Tab.11[data]),AVERAGE(Tab.11[b6])+Tab.11[[#This Row],[b9]]*_xlfn.STDEV.P(Tab.11[data])))</f>
        <v>0</v>
      </c>
      <c r="T331" s="71" t="b">
        <f>IF(Tab.11[[#This Row],[a1]]=1,$I$3+$A$988+IF($K$3=0,Tab.11[[#This Row],[b10]]*_xlfn.STDEV.P(Tab.11[data]),AVERAGE(Tab.11[b6])+Tab.11[[#This Row],[b10]]*_xlfn.STDEV.P(Tab.11[data])))</f>
        <v>0</v>
      </c>
      <c r="U331" s="72" t="b">
        <f>IF(Tab.11[[#This Row],[a1]]=1,Tab.11[[#This Row],[target]]-Tab.11[[#This Row],[Red]])</f>
        <v>0</v>
      </c>
      <c r="V331" s="72" t="b">
        <f>IF(Tab.11[[#This Row],[a1]]=1,Tab.11[[#This Row],[target]]-Tab.11[[#This Row],[Blue]])</f>
        <v>0</v>
      </c>
      <c r="W331" s="73" t="b">
        <f>IF(Tab.11[[#This Row],[a1]]=1,IF(ABS(Tab.11[[#This Row],[b17]])+ABS(Tab.11[[#This Row],[b18]])&lt;$W$2,$W$2,ABS(Tab.11[[#This Row],[b17]])+ABS(Tab.11[[#This Row],[b18]])))</f>
        <v>0</v>
      </c>
      <c r="X331" s="136" t="b">
        <f>IF(Tab.11[[#This Row],[a1]]=1,IF($W$3&lt;0,Tab.11[[#This Row],[IN]]-$I$3,Tab.11[[#This Row],[IN]]))</f>
        <v>0</v>
      </c>
      <c r="Y331" s="136" t="b">
        <f>IF(Tab.11[[#This Row],[a1]]=1,IF($X$3=0,Tab.11[b66],Tab.11[[#This Row],[b66]]-AVERAGE(Tab.11[b66])))</f>
        <v>0</v>
      </c>
      <c r="Z331" s="135" t="b">
        <f>IF(Tab.11[[#This Row],[a1]]=1,Tab.11[[#This Row],[b77]]/(_xlfn.STDEV.P(Tab.11[b77])))</f>
        <v>0</v>
      </c>
      <c r="AA331" s="70" t="b">
        <f>IF(Tab.11[[#This Row],[a1]]=1,_xlfn.NORM.DIST(Tab.11[[#This Row],[b88]],$Z$1,$AA$1,FALSE))</f>
        <v>0</v>
      </c>
      <c r="AB331" s="74" t="b">
        <f>IF(Tab.11[[#This Row],[a1]]=1,IF($A$3=0,FALSE,1/Tab.11[[#This Row],[IN]]*$AC$2*IF(Tab.11[[#This Row],[a1]]=0,,$A$3*$AC$1*1/$V$3*(Tab.11[[#This Row],[b14]]))))</f>
        <v>0</v>
      </c>
      <c r="AC331" s="75" t="b">
        <f>IF(Tab.11[[#This Row],[a1]]=1,IF($AC$3=0,Tab.11[[#This Row],[φ1]],Tab.11[[#This Row],[φ1]]/MAX(Tab.11[φ1])))</f>
        <v>0</v>
      </c>
      <c r="AD331" s="74" t="b">
        <f>IF(Tab.11[[#This Row],[a1]]=1,1/Tab.11[[#This Row],[φ2]])</f>
        <v>0</v>
      </c>
      <c r="AE331" s="74" t="b">
        <f>IF(Tab.11[[#This Row],[a1]]=1,IF($AE$3=0,Tab.11[[#This Row],[w.0]],Tab.11[[#This Row],[w.0]]/SUM(Tab.11[w.0])))</f>
        <v>0</v>
      </c>
      <c r="AF331" s="76" t="str">
        <f>IF(Tab.11[[#This Row],[a1]]=0,"false",[3]!Tab.x5[[#This Row],[%_seN_C]])</f>
        <v>false</v>
      </c>
      <c r="AG331" s="77" t="b">
        <f>IF(Tab.11[[#This Row],[a1]]=1,AP331)</f>
        <v>0</v>
      </c>
      <c r="AH331" s="78" t="b">
        <f>IF(Tab.11[[#This Row],[a1]]=1,AQ331)</f>
        <v>0</v>
      </c>
      <c r="AI331" s="41">
        <v>3.0000000000000001E-3</v>
      </c>
      <c r="AJ331" s="79">
        <v>-0.1</v>
      </c>
      <c r="AK331" s="80" t="b">
        <f>IF(Tab.11[[#This Row],[a1]]=1,1)</f>
        <v>0</v>
      </c>
      <c r="AZ331"/>
    </row>
    <row r="332" spans="1:52" hidden="1" x14ac:dyDescent="0.25">
      <c r="A332" s="61">
        <f t="shared" si="11"/>
        <v>0</v>
      </c>
      <c r="B332" s="62">
        <f t="shared" si="11"/>
        <v>0</v>
      </c>
      <c r="C332" s="62" t="b">
        <f>IF(Tab.11[[#This Row],[a1]]=1,[3]!Tab_x1[[#This Row],[Name]])</f>
        <v>0</v>
      </c>
      <c r="D332" s="63" t="b">
        <f>IF(Tab.11[[#This Row],[a1]]=1,AO332)</f>
        <v>0</v>
      </c>
      <c r="E332" s="63">
        <f t="shared" si="12"/>
        <v>0</v>
      </c>
      <c r="F332" s="64" t="b">
        <f>IF(Tab.11[[#This Row],[a1]]=1,Tab.11[[#This Row],[b1]])</f>
        <v>0</v>
      </c>
      <c r="G332" s="65" t="b">
        <f>IF(Tab.11[[#This Row],[a1]]=1,IF(Tab.11[[#This Row],[b3]]&gt;$L$989*$G$3,$L$989*$G$3,IF(Tab.11[[#This Row],[b3]]&lt;$M$989*$G$3,$M$989*$G$3,Tab.11[[#This Row],[b3]])))</f>
        <v>0</v>
      </c>
      <c r="H332" s="66" t="b">
        <f>IF(Tab.11[[#This Row],[a1]]=1,Tab.11[[#This Row],[b1]])</f>
        <v>0</v>
      </c>
      <c r="I332" s="67" t="b">
        <f>IF(Tab.11[[#This Row],[a1]]=1,Tab.11[[#This Row],[b1]])</f>
        <v>0</v>
      </c>
      <c r="J332" s="68" t="b">
        <f>IF(Tab.11[[#This Row],[a1]]=1,IF($I$3&lt;0,Tab.11[[#This Row],[b5]]-$I$3,Tab.11[[#This Row],[b5]]))</f>
        <v>0</v>
      </c>
      <c r="K332" s="68" t="b">
        <f>IF(Tab.11[[#This Row],[a1]]=1,IF($K$3=0,Tab.11[b6],Tab.11[[#This Row],[b6]]-AVERAGE(Tab.11[b6])))</f>
        <v>0</v>
      </c>
      <c r="L332" s="69" t="b">
        <f>IF(Tab.11[[#This Row],[a1]]=1,Tab.11[[#This Row],[data]]/(_xlfn.STDEV.P(Tab.11[data])*$B$989)+$A$989)</f>
        <v>0</v>
      </c>
      <c r="M332" s="69" t="b">
        <f>IF(Tab.11[[#This Row],[a1]]=1,Tab.11[[#This Row],[data]]/(_xlfn.STDEV.P(Tab.11[data])*$B$987)-$A$987)</f>
        <v>0</v>
      </c>
      <c r="N332" s="69" t="b">
        <f>IF(Tab.11[[#This Row],[a1]]=1,Tab.11[[#This Row],[data]]/(_xlfn.STDEV.P(Tab.11[data])*$B$988)+$A$988)</f>
        <v>0</v>
      </c>
      <c r="O332" s="70" t="b">
        <f>IF(Tab.11[[#This Row],[a1]]=1,_xlfn.NORM.DIST(Tab.11[[#This Row],[b8]],$P$1,$Q$1,FALSE))</f>
        <v>0</v>
      </c>
      <c r="P332" s="70" t="b">
        <f>IF(Tab.11[[#This Row],[a1]]=1,_xlfn.NORM.DIST(Tab.11[[#This Row],[b9]],$P$1,$Q$1,FALSE))</f>
        <v>0</v>
      </c>
      <c r="Q332" s="70" t="b">
        <f>IF(Tab.11[[#This Row],[a1]]=1,_xlfn.NORM.DIST(Tab.11[[#This Row],[b10]],$P$1,$Q$1,FALSE))</f>
        <v>0</v>
      </c>
      <c r="R332" s="67" t="b">
        <f>IF(Tab.11[[#This Row],[a1]]=1,$I$3+$A$989+IF($K$3=0,Tab.11[[#This Row],[b8]]*_xlfn.STDEV.P(Tab.11[data]),AVERAGE(Tab.11[b6])+Tab.11[[#This Row],[b8]]*_xlfn.STDEV.P(Tab.11[data])))</f>
        <v>0</v>
      </c>
      <c r="S332" s="71" t="b">
        <f>IF(Tab.11[[#This Row],[a1]]=1,$I$3+$A$987+IF($K$3=0,Tab.11[[#This Row],[b9]]*_xlfn.STDEV.P(Tab.11[data]),AVERAGE(Tab.11[b6])+Tab.11[[#This Row],[b9]]*_xlfn.STDEV.P(Tab.11[data])))</f>
        <v>0</v>
      </c>
      <c r="T332" s="71" t="b">
        <f>IF(Tab.11[[#This Row],[a1]]=1,$I$3+$A$988+IF($K$3=0,Tab.11[[#This Row],[b10]]*_xlfn.STDEV.P(Tab.11[data]),AVERAGE(Tab.11[b6])+Tab.11[[#This Row],[b10]]*_xlfn.STDEV.P(Tab.11[data])))</f>
        <v>0</v>
      </c>
      <c r="U332" s="72" t="b">
        <f>IF(Tab.11[[#This Row],[a1]]=1,Tab.11[[#This Row],[target]]-Tab.11[[#This Row],[Red]])</f>
        <v>0</v>
      </c>
      <c r="V332" s="72" t="b">
        <f>IF(Tab.11[[#This Row],[a1]]=1,Tab.11[[#This Row],[target]]-Tab.11[[#This Row],[Blue]])</f>
        <v>0</v>
      </c>
      <c r="W332" s="73" t="b">
        <f>IF(Tab.11[[#This Row],[a1]]=1,IF(ABS(Tab.11[[#This Row],[b17]])+ABS(Tab.11[[#This Row],[b18]])&lt;$W$2,$W$2,ABS(Tab.11[[#This Row],[b17]])+ABS(Tab.11[[#This Row],[b18]])))</f>
        <v>0</v>
      </c>
      <c r="X332" s="136" t="b">
        <f>IF(Tab.11[[#This Row],[a1]]=1,IF($W$3&lt;0,Tab.11[[#This Row],[IN]]-$I$3,Tab.11[[#This Row],[IN]]))</f>
        <v>0</v>
      </c>
      <c r="Y332" s="136" t="b">
        <f>IF(Tab.11[[#This Row],[a1]]=1,IF($X$3=0,Tab.11[b66],Tab.11[[#This Row],[b66]]-AVERAGE(Tab.11[b66])))</f>
        <v>0</v>
      </c>
      <c r="Z332" s="135" t="b">
        <f>IF(Tab.11[[#This Row],[a1]]=1,Tab.11[[#This Row],[b77]]/(_xlfn.STDEV.P(Tab.11[b77])))</f>
        <v>0</v>
      </c>
      <c r="AA332" s="70" t="b">
        <f>IF(Tab.11[[#This Row],[a1]]=1,_xlfn.NORM.DIST(Tab.11[[#This Row],[b88]],$Z$1,$AA$1,FALSE))</f>
        <v>0</v>
      </c>
      <c r="AB332" s="74" t="b">
        <f>IF(Tab.11[[#This Row],[a1]]=1,IF($A$3=0,FALSE,1/Tab.11[[#This Row],[IN]]*$AC$2*IF(Tab.11[[#This Row],[a1]]=0,,$A$3*$AC$1*1/$V$3*(Tab.11[[#This Row],[b14]]))))</f>
        <v>0</v>
      </c>
      <c r="AC332" s="75" t="b">
        <f>IF(Tab.11[[#This Row],[a1]]=1,IF($AC$3=0,Tab.11[[#This Row],[φ1]],Tab.11[[#This Row],[φ1]]/MAX(Tab.11[φ1])))</f>
        <v>0</v>
      </c>
      <c r="AD332" s="74" t="b">
        <f>IF(Tab.11[[#This Row],[a1]]=1,1/Tab.11[[#This Row],[φ2]])</f>
        <v>0</v>
      </c>
      <c r="AE332" s="74" t="b">
        <f>IF(Tab.11[[#This Row],[a1]]=1,IF($AE$3=0,Tab.11[[#This Row],[w.0]],Tab.11[[#This Row],[w.0]]/SUM(Tab.11[w.0])))</f>
        <v>0</v>
      </c>
      <c r="AF332" s="76" t="str">
        <f>IF(Tab.11[[#This Row],[a1]]=0,"false",[3]!Tab.x5[[#This Row],[%_seN_C]])</f>
        <v>false</v>
      </c>
      <c r="AG332" s="77" t="b">
        <f>IF(Tab.11[[#This Row],[a1]]=1,AP332)</f>
        <v>0</v>
      </c>
      <c r="AH332" s="78" t="b">
        <f>IF(Tab.11[[#This Row],[a1]]=1,AQ332)</f>
        <v>0</v>
      </c>
      <c r="AI332" s="41">
        <v>3.0000000000000001E-3</v>
      </c>
      <c r="AJ332" s="79">
        <v>-0.03</v>
      </c>
      <c r="AK332" s="80" t="b">
        <f>IF(Tab.11[[#This Row],[a1]]=1,1)</f>
        <v>0</v>
      </c>
      <c r="AZ332"/>
    </row>
    <row r="333" spans="1:52" hidden="1" x14ac:dyDescent="0.25">
      <c r="A333" s="61">
        <f t="shared" si="11"/>
        <v>0</v>
      </c>
      <c r="B333" s="62">
        <f t="shared" si="11"/>
        <v>0</v>
      </c>
      <c r="C333" s="62" t="b">
        <f>IF(Tab.11[[#This Row],[a1]]=1,[3]!Tab_x1[[#This Row],[Name]])</f>
        <v>0</v>
      </c>
      <c r="D333" s="63" t="b">
        <f>IF(Tab.11[[#This Row],[a1]]=1,AO333)</f>
        <v>0</v>
      </c>
      <c r="E333" s="63">
        <f t="shared" si="12"/>
        <v>0</v>
      </c>
      <c r="F333" s="64" t="b">
        <f>IF(Tab.11[[#This Row],[a1]]=1,Tab.11[[#This Row],[b1]])</f>
        <v>0</v>
      </c>
      <c r="G333" s="65" t="b">
        <f>IF(Tab.11[[#This Row],[a1]]=1,IF(Tab.11[[#This Row],[b3]]&gt;$L$989*$G$3,$L$989*$G$3,IF(Tab.11[[#This Row],[b3]]&lt;$M$989*$G$3,$M$989*$G$3,Tab.11[[#This Row],[b3]])))</f>
        <v>0</v>
      </c>
      <c r="H333" s="66" t="b">
        <f>IF(Tab.11[[#This Row],[a1]]=1,Tab.11[[#This Row],[b1]])</f>
        <v>0</v>
      </c>
      <c r="I333" s="67" t="b">
        <f>IF(Tab.11[[#This Row],[a1]]=1,Tab.11[[#This Row],[b1]])</f>
        <v>0</v>
      </c>
      <c r="J333" s="68" t="b">
        <f>IF(Tab.11[[#This Row],[a1]]=1,IF($I$3&lt;0,Tab.11[[#This Row],[b5]]-$I$3,Tab.11[[#This Row],[b5]]))</f>
        <v>0</v>
      </c>
      <c r="K333" s="68" t="b">
        <f>IF(Tab.11[[#This Row],[a1]]=1,IF($K$3=0,Tab.11[b6],Tab.11[[#This Row],[b6]]-AVERAGE(Tab.11[b6])))</f>
        <v>0</v>
      </c>
      <c r="L333" s="69" t="b">
        <f>IF(Tab.11[[#This Row],[a1]]=1,Tab.11[[#This Row],[data]]/(_xlfn.STDEV.P(Tab.11[data])*$B$989)+$A$989)</f>
        <v>0</v>
      </c>
      <c r="M333" s="69" t="b">
        <f>IF(Tab.11[[#This Row],[a1]]=1,Tab.11[[#This Row],[data]]/(_xlfn.STDEV.P(Tab.11[data])*$B$987)-$A$987)</f>
        <v>0</v>
      </c>
      <c r="N333" s="69" t="b">
        <f>IF(Tab.11[[#This Row],[a1]]=1,Tab.11[[#This Row],[data]]/(_xlfn.STDEV.P(Tab.11[data])*$B$988)+$A$988)</f>
        <v>0</v>
      </c>
      <c r="O333" s="70" t="b">
        <f>IF(Tab.11[[#This Row],[a1]]=1,_xlfn.NORM.DIST(Tab.11[[#This Row],[b8]],$P$1,$Q$1,FALSE))</f>
        <v>0</v>
      </c>
      <c r="P333" s="70" t="b">
        <f>IF(Tab.11[[#This Row],[a1]]=1,_xlfn.NORM.DIST(Tab.11[[#This Row],[b9]],$P$1,$Q$1,FALSE))</f>
        <v>0</v>
      </c>
      <c r="Q333" s="70" t="b">
        <f>IF(Tab.11[[#This Row],[a1]]=1,_xlfn.NORM.DIST(Tab.11[[#This Row],[b10]],$P$1,$Q$1,FALSE))</f>
        <v>0</v>
      </c>
      <c r="R333" s="67" t="b">
        <f>IF(Tab.11[[#This Row],[a1]]=1,$I$3+$A$989+IF($K$3=0,Tab.11[[#This Row],[b8]]*_xlfn.STDEV.P(Tab.11[data]),AVERAGE(Tab.11[b6])+Tab.11[[#This Row],[b8]]*_xlfn.STDEV.P(Tab.11[data])))</f>
        <v>0</v>
      </c>
      <c r="S333" s="71" t="b">
        <f>IF(Tab.11[[#This Row],[a1]]=1,$I$3+$A$987+IF($K$3=0,Tab.11[[#This Row],[b9]]*_xlfn.STDEV.P(Tab.11[data]),AVERAGE(Tab.11[b6])+Tab.11[[#This Row],[b9]]*_xlfn.STDEV.P(Tab.11[data])))</f>
        <v>0</v>
      </c>
      <c r="T333" s="71" t="b">
        <f>IF(Tab.11[[#This Row],[a1]]=1,$I$3+$A$988+IF($K$3=0,Tab.11[[#This Row],[b10]]*_xlfn.STDEV.P(Tab.11[data]),AVERAGE(Tab.11[b6])+Tab.11[[#This Row],[b10]]*_xlfn.STDEV.P(Tab.11[data])))</f>
        <v>0</v>
      </c>
      <c r="U333" s="72" t="b">
        <f>IF(Tab.11[[#This Row],[a1]]=1,Tab.11[[#This Row],[target]]-Tab.11[[#This Row],[Red]])</f>
        <v>0</v>
      </c>
      <c r="V333" s="72" t="b">
        <f>IF(Tab.11[[#This Row],[a1]]=1,Tab.11[[#This Row],[target]]-Tab.11[[#This Row],[Blue]])</f>
        <v>0</v>
      </c>
      <c r="W333" s="73" t="b">
        <f>IF(Tab.11[[#This Row],[a1]]=1,IF(ABS(Tab.11[[#This Row],[b17]])+ABS(Tab.11[[#This Row],[b18]])&lt;$W$2,$W$2,ABS(Tab.11[[#This Row],[b17]])+ABS(Tab.11[[#This Row],[b18]])))</f>
        <v>0</v>
      </c>
      <c r="X333" s="136" t="b">
        <f>IF(Tab.11[[#This Row],[a1]]=1,IF($W$3&lt;0,Tab.11[[#This Row],[IN]]-$I$3,Tab.11[[#This Row],[IN]]))</f>
        <v>0</v>
      </c>
      <c r="Y333" s="136" t="b">
        <f>IF(Tab.11[[#This Row],[a1]]=1,IF($X$3=0,Tab.11[b66],Tab.11[[#This Row],[b66]]-AVERAGE(Tab.11[b66])))</f>
        <v>0</v>
      </c>
      <c r="Z333" s="135" t="b">
        <f>IF(Tab.11[[#This Row],[a1]]=1,Tab.11[[#This Row],[b77]]/(_xlfn.STDEV.P(Tab.11[b77])))</f>
        <v>0</v>
      </c>
      <c r="AA333" s="70" t="b">
        <f>IF(Tab.11[[#This Row],[a1]]=1,_xlfn.NORM.DIST(Tab.11[[#This Row],[b88]],$Z$1,$AA$1,FALSE))</f>
        <v>0</v>
      </c>
      <c r="AB333" s="74" t="b">
        <f>IF(Tab.11[[#This Row],[a1]]=1,IF($A$3=0,FALSE,1/Tab.11[[#This Row],[IN]]*$AC$2*IF(Tab.11[[#This Row],[a1]]=0,,$A$3*$AC$1*1/$V$3*(Tab.11[[#This Row],[b14]]))))</f>
        <v>0</v>
      </c>
      <c r="AC333" s="75" t="b">
        <f>IF(Tab.11[[#This Row],[a1]]=1,IF($AC$3=0,Tab.11[[#This Row],[φ1]],Tab.11[[#This Row],[φ1]]/MAX(Tab.11[φ1])))</f>
        <v>0</v>
      </c>
      <c r="AD333" s="74" t="b">
        <f>IF(Tab.11[[#This Row],[a1]]=1,1/Tab.11[[#This Row],[φ2]])</f>
        <v>0</v>
      </c>
      <c r="AE333" s="74" t="b">
        <f>IF(Tab.11[[#This Row],[a1]]=1,IF($AE$3=0,Tab.11[[#This Row],[w.0]],Tab.11[[#This Row],[w.0]]/SUM(Tab.11[w.0])))</f>
        <v>0</v>
      </c>
      <c r="AF333" s="76" t="str">
        <f>IF(Tab.11[[#This Row],[a1]]=0,"false",[3]!Tab.x5[[#This Row],[%_seN_C]])</f>
        <v>false</v>
      </c>
      <c r="AG333" s="77" t="b">
        <f>IF(Tab.11[[#This Row],[a1]]=1,AP333)</f>
        <v>0</v>
      </c>
      <c r="AH333" s="78" t="b">
        <f>IF(Tab.11[[#This Row],[a1]]=1,AQ333)</f>
        <v>0</v>
      </c>
      <c r="AI333" s="41">
        <v>3.0000000000000001E-3</v>
      </c>
      <c r="AJ333" s="79">
        <v>-0.06</v>
      </c>
      <c r="AK333" s="80" t="b">
        <f>IF(Tab.11[[#This Row],[a1]]=1,1)</f>
        <v>0</v>
      </c>
      <c r="AZ333"/>
    </row>
    <row r="334" spans="1:52" hidden="1" x14ac:dyDescent="0.25">
      <c r="A334" s="61">
        <f t="shared" si="11"/>
        <v>0</v>
      </c>
      <c r="B334" s="62">
        <f t="shared" si="11"/>
        <v>0</v>
      </c>
      <c r="C334" s="62" t="b">
        <f>IF(Tab.11[[#This Row],[a1]]=1,[3]!Tab_x1[[#This Row],[Name]])</f>
        <v>0</v>
      </c>
      <c r="D334" s="63" t="b">
        <f>IF(Tab.11[[#This Row],[a1]]=1,AO334)</f>
        <v>0</v>
      </c>
      <c r="E334" s="63">
        <f t="shared" si="12"/>
        <v>0</v>
      </c>
      <c r="F334" s="64" t="b">
        <f>IF(Tab.11[[#This Row],[a1]]=1,Tab.11[[#This Row],[b1]])</f>
        <v>0</v>
      </c>
      <c r="G334" s="65" t="b">
        <f>IF(Tab.11[[#This Row],[a1]]=1,IF(Tab.11[[#This Row],[b3]]&gt;$L$989*$G$3,$L$989*$G$3,IF(Tab.11[[#This Row],[b3]]&lt;$M$989*$G$3,$M$989*$G$3,Tab.11[[#This Row],[b3]])))</f>
        <v>0</v>
      </c>
      <c r="H334" s="66" t="b">
        <f>IF(Tab.11[[#This Row],[a1]]=1,Tab.11[[#This Row],[b1]])</f>
        <v>0</v>
      </c>
      <c r="I334" s="67" t="b">
        <f>IF(Tab.11[[#This Row],[a1]]=1,Tab.11[[#This Row],[b1]])</f>
        <v>0</v>
      </c>
      <c r="J334" s="68" t="b">
        <f>IF(Tab.11[[#This Row],[a1]]=1,IF($I$3&lt;0,Tab.11[[#This Row],[b5]]-$I$3,Tab.11[[#This Row],[b5]]))</f>
        <v>0</v>
      </c>
      <c r="K334" s="68" t="b">
        <f>IF(Tab.11[[#This Row],[a1]]=1,IF($K$3=0,Tab.11[b6],Tab.11[[#This Row],[b6]]-AVERAGE(Tab.11[b6])))</f>
        <v>0</v>
      </c>
      <c r="L334" s="69" t="b">
        <f>IF(Tab.11[[#This Row],[a1]]=1,Tab.11[[#This Row],[data]]/(_xlfn.STDEV.P(Tab.11[data])*$B$989)+$A$989)</f>
        <v>0</v>
      </c>
      <c r="M334" s="69" t="b">
        <f>IF(Tab.11[[#This Row],[a1]]=1,Tab.11[[#This Row],[data]]/(_xlfn.STDEV.P(Tab.11[data])*$B$987)-$A$987)</f>
        <v>0</v>
      </c>
      <c r="N334" s="69" t="b">
        <f>IF(Tab.11[[#This Row],[a1]]=1,Tab.11[[#This Row],[data]]/(_xlfn.STDEV.P(Tab.11[data])*$B$988)+$A$988)</f>
        <v>0</v>
      </c>
      <c r="O334" s="70" t="b">
        <f>IF(Tab.11[[#This Row],[a1]]=1,_xlfn.NORM.DIST(Tab.11[[#This Row],[b8]],$P$1,$Q$1,FALSE))</f>
        <v>0</v>
      </c>
      <c r="P334" s="70" t="b">
        <f>IF(Tab.11[[#This Row],[a1]]=1,_xlfn.NORM.DIST(Tab.11[[#This Row],[b9]],$P$1,$Q$1,FALSE))</f>
        <v>0</v>
      </c>
      <c r="Q334" s="70" t="b">
        <f>IF(Tab.11[[#This Row],[a1]]=1,_xlfn.NORM.DIST(Tab.11[[#This Row],[b10]],$P$1,$Q$1,FALSE))</f>
        <v>0</v>
      </c>
      <c r="R334" s="67" t="b">
        <f>IF(Tab.11[[#This Row],[a1]]=1,$I$3+$A$989+IF($K$3=0,Tab.11[[#This Row],[b8]]*_xlfn.STDEV.P(Tab.11[data]),AVERAGE(Tab.11[b6])+Tab.11[[#This Row],[b8]]*_xlfn.STDEV.P(Tab.11[data])))</f>
        <v>0</v>
      </c>
      <c r="S334" s="71" t="b">
        <f>IF(Tab.11[[#This Row],[a1]]=1,$I$3+$A$987+IF($K$3=0,Tab.11[[#This Row],[b9]]*_xlfn.STDEV.P(Tab.11[data]),AVERAGE(Tab.11[b6])+Tab.11[[#This Row],[b9]]*_xlfn.STDEV.P(Tab.11[data])))</f>
        <v>0</v>
      </c>
      <c r="T334" s="71" t="b">
        <f>IF(Tab.11[[#This Row],[a1]]=1,$I$3+$A$988+IF($K$3=0,Tab.11[[#This Row],[b10]]*_xlfn.STDEV.P(Tab.11[data]),AVERAGE(Tab.11[b6])+Tab.11[[#This Row],[b10]]*_xlfn.STDEV.P(Tab.11[data])))</f>
        <v>0</v>
      </c>
      <c r="U334" s="72" t="b">
        <f>IF(Tab.11[[#This Row],[a1]]=1,Tab.11[[#This Row],[target]]-Tab.11[[#This Row],[Red]])</f>
        <v>0</v>
      </c>
      <c r="V334" s="72" t="b">
        <f>IF(Tab.11[[#This Row],[a1]]=1,Tab.11[[#This Row],[target]]-Tab.11[[#This Row],[Blue]])</f>
        <v>0</v>
      </c>
      <c r="W334" s="73" t="b">
        <f>IF(Tab.11[[#This Row],[a1]]=1,IF(ABS(Tab.11[[#This Row],[b17]])+ABS(Tab.11[[#This Row],[b18]])&lt;$W$2,$W$2,ABS(Tab.11[[#This Row],[b17]])+ABS(Tab.11[[#This Row],[b18]])))</f>
        <v>0</v>
      </c>
      <c r="X334" s="136" t="b">
        <f>IF(Tab.11[[#This Row],[a1]]=1,IF($W$3&lt;0,Tab.11[[#This Row],[IN]]-$I$3,Tab.11[[#This Row],[IN]]))</f>
        <v>0</v>
      </c>
      <c r="Y334" s="136" t="b">
        <f>IF(Tab.11[[#This Row],[a1]]=1,IF($X$3=0,Tab.11[b66],Tab.11[[#This Row],[b66]]-AVERAGE(Tab.11[b66])))</f>
        <v>0</v>
      </c>
      <c r="Z334" s="135" t="b">
        <f>IF(Tab.11[[#This Row],[a1]]=1,Tab.11[[#This Row],[b77]]/(_xlfn.STDEV.P(Tab.11[b77])))</f>
        <v>0</v>
      </c>
      <c r="AA334" s="70" t="b">
        <f>IF(Tab.11[[#This Row],[a1]]=1,_xlfn.NORM.DIST(Tab.11[[#This Row],[b88]],$Z$1,$AA$1,FALSE))</f>
        <v>0</v>
      </c>
      <c r="AB334" s="74" t="b">
        <f>IF(Tab.11[[#This Row],[a1]]=1,IF($A$3=0,FALSE,1/Tab.11[[#This Row],[IN]]*$AC$2*IF(Tab.11[[#This Row],[a1]]=0,,$A$3*$AC$1*1/$V$3*(Tab.11[[#This Row],[b14]]))))</f>
        <v>0</v>
      </c>
      <c r="AC334" s="75" t="b">
        <f>IF(Tab.11[[#This Row],[a1]]=1,IF($AC$3=0,Tab.11[[#This Row],[φ1]],Tab.11[[#This Row],[φ1]]/MAX(Tab.11[φ1])))</f>
        <v>0</v>
      </c>
      <c r="AD334" s="74" t="b">
        <f>IF(Tab.11[[#This Row],[a1]]=1,1/Tab.11[[#This Row],[φ2]])</f>
        <v>0</v>
      </c>
      <c r="AE334" s="74" t="b">
        <f>IF(Tab.11[[#This Row],[a1]]=1,IF($AE$3=0,Tab.11[[#This Row],[w.0]],Tab.11[[#This Row],[w.0]]/SUM(Tab.11[w.0])))</f>
        <v>0</v>
      </c>
      <c r="AF334" s="76" t="str">
        <f>IF(Tab.11[[#This Row],[a1]]=0,"false",[3]!Tab.x5[[#This Row],[%_seN_C]])</f>
        <v>false</v>
      </c>
      <c r="AG334" s="77" t="b">
        <f>IF(Tab.11[[#This Row],[a1]]=1,AP334)</f>
        <v>0</v>
      </c>
      <c r="AH334" s="78" t="b">
        <f>IF(Tab.11[[#This Row],[a1]]=1,AQ334)</f>
        <v>0</v>
      </c>
      <c r="AI334" s="41">
        <v>3.0000000000000001E-3</v>
      </c>
      <c r="AJ334" s="79">
        <v>0.04</v>
      </c>
      <c r="AK334" s="80" t="b">
        <f>IF(Tab.11[[#This Row],[a1]]=1,1)</f>
        <v>0</v>
      </c>
      <c r="AZ334"/>
    </row>
    <row r="335" spans="1:52" hidden="1" x14ac:dyDescent="0.25">
      <c r="A335" s="61">
        <f t="shared" si="11"/>
        <v>0</v>
      </c>
      <c r="B335" s="62">
        <f t="shared" si="11"/>
        <v>0</v>
      </c>
      <c r="C335" s="62" t="b">
        <f>IF(Tab.11[[#This Row],[a1]]=1,[3]!Tab_x1[[#This Row],[Name]])</f>
        <v>0</v>
      </c>
      <c r="D335" s="63" t="b">
        <f>IF(Tab.11[[#This Row],[a1]]=1,AO335)</f>
        <v>0</v>
      </c>
      <c r="E335" s="63">
        <f t="shared" si="12"/>
        <v>0</v>
      </c>
      <c r="F335" s="64" t="b">
        <f>IF(Tab.11[[#This Row],[a1]]=1,Tab.11[[#This Row],[b1]])</f>
        <v>0</v>
      </c>
      <c r="G335" s="65" t="b">
        <f>IF(Tab.11[[#This Row],[a1]]=1,IF(Tab.11[[#This Row],[b3]]&gt;$L$989*$G$3,$L$989*$G$3,IF(Tab.11[[#This Row],[b3]]&lt;$M$989*$G$3,$M$989*$G$3,Tab.11[[#This Row],[b3]])))</f>
        <v>0</v>
      </c>
      <c r="H335" s="66" t="b">
        <f>IF(Tab.11[[#This Row],[a1]]=1,Tab.11[[#This Row],[b1]])</f>
        <v>0</v>
      </c>
      <c r="I335" s="67" t="b">
        <f>IF(Tab.11[[#This Row],[a1]]=1,Tab.11[[#This Row],[b1]])</f>
        <v>0</v>
      </c>
      <c r="J335" s="68" t="b">
        <f>IF(Tab.11[[#This Row],[a1]]=1,IF($I$3&lt;0,Tab.11[[#This Row],[b5]]-$I$3,Tab.11[[#This Row],[b5]]))</f>
        <v>0</v>
      </c>
      <c r="K335" s="68" t="b">
        <f>IF(Tab.11[[#This Row],[a1]]=1,IF($K$3=0,Tab.11[b6],Tab.11[[#This Row],[b6]]-AVERAGE(Tab.11[b6])))</f>
        <v>0</v>
      </c>
      <c r="L335" s="69" t="b">
        <f>IF(Tab.11[[#This Row],[a1]]=1,Tab.11[[#This Row],[data]]/(_xlfn.STDEV.P(Tab.11[data])*$B$989)+$A$989)</f>
        <v>0</v>
      </c>
      <c r="M335" s="69" t="b">
        <f>IF(Tab.11[[#This Row],[a1]]=1,Tab.11[[#This Row],[data]]/(_xlfn.STDEV.P(Tab.11[data])*$B$987)-$A$987)</f>
        <v>0</v>
      </c>
      <c r="N335" s="69" t="b">
        <f>IF(Tab.11[[#This Row],[a1]]=1,Tab.11[[#This Row],[data]]/(_xlfn.STDEV.P(Tab.11[data])*$B$988)+$A$988)</f>
        <v>0</v>
      </c>
      <c r="O335" s="70" t="b">
        <f>IF(Tab.11[[#This Row],[a1]]=1,_xlfn.NORM.DIST(Tab.11[[#This Row],[b8]],$P$1,$Q$1,FALSE))</f>
        <v>0</v>
      </c>
      <c r="P335" s="70" t="b">
        <f>IF(Tab.11[[#This Row],[a1]]=1,_xlfn.NORM.DIST(Tab.11[[#This Row],[b9]],$P$1,$Q$1,FALSE))</f>
        <v>0</v>
      </c>
      <c r="Q335" s="70" t="b">
        <f>IF(Tab.11[[#This Row],[a1]]=1,_xlfn.NORM.DIST(Tab.11[[#This Row],[b10]],$P$1,$Q$1,FALSE))</f>
        <v>0</v>
      </c>
      <c r="R335" s="67" t="b">
        <f>IF(Tab.11[[#This Row],[a1]]=1,$I$3+$A$989+IF($K$3=0,Tab.11[[#This Row],[b8]]*_xlfn.STDEV.P(Tab.11[data]),AVERAGE(Tab.11[b6])+Tab.11[[#This Row],[b8]]*_xlfn.STDEV.P(Tab.11[data])))</f>
        <v>0</v>
      </c>
      <c r="S335" s="71" t="b">
        <f>IF(Tab.11[[#This Row],[a1]]=1,$I$3+$A$987+IF($K$3=0,Tab.11[[#This Row],[b9]]*_xlfn.STDEV.P(Tab.11[data]),AVERAGE(Tab.11[b6])+Tab.11[[#This Row],[b9]]*_xlfn.STDEV.P(Tab.11[data])))</f>
        <v>0</v>
      </c>
      <c r="T335" s="71" t="b">
        <f>IF(Tab.11[[#This Row],[a1]]=1,$I$3+$A$988+IF($K$3=0,Tab.11[[#This Row],[b10]]*_xlfn.STDEV.P(Tab.11[data]),AVERAGE(Tab.11[b6])+Tab.11[[#This Row],[b10]]*_xlfn.STDEV.P(Tab.11[data])))</f>
        <v>0</v>
      </c>
      <c r="U335" s="72" t="b">
        <f>IF(Tab.11[[#This Row],[a1]]=1,Tab.11[[#This Row],[target]]-Tab.11[[#This Row],[Red]])</f>
        <v>0</v>
      </c>
      <c r="V335" s="72" t="b">
        <f>IF(Tab.11[[#This Row],[a1]]=1,Tab.11[[#This Row],[target]]-Tab.11[[#This Row],[Blue]])</f>
        <v>0</v>
      </c>
      <c r="W335" s="73" t="b">
        <f>IF(Tab.11[[#This Row],[a1]]=1,IF(ABS(Tab.11[[#This Row],[b17]])+ABS(Tab.11[[#This Row],[b18]])&lt;$W$2,$W$2,ABS(Tab.11[[#This Row],[b17]])+ABS(Tab.11[[#This Row],[b18]])))</f>
        <v>0</v>
      </c>
      <c r="X335" s="136" t="b">
        <f>IF(Tab.11[[#This Row],[a1]]=1,IF($W$3&lt;0,Tab.11[[#This Row],[IN]]-$I$3,Tab.11[[#This Row],[IN]]))</f>
        <v>0</v>
      </c>
      <c r="Y335" s="136" t="b">
        <f>IF(Tab.11[[#This Row],[a1]]=1,IF($X$3=0,Tab.11[b66],Tab.11[[#This Row],[b66]]-AVERAGE(Tab.11[b66])))</f>
        <v>0</v>
      </c>
      <c r="Z335" s="135" t="b">
        <f>IF(Tab.11[[#This Row],[a1]]=1,Tab.11[[#This Row],[b77]]/(_xlfn.STDEV.P(Tab.11[b77])))</f>
        <v>0</v>
      </c>
      <c r="AA335" s="70" t="b">
        <f>IF(Tab.11[[#This Row],[a1]]=1,_xlfn.NORM.DIST(Tab.11[[#This Row],[b88]],$Z$1,$AA$1,FALSE))</f>
        <v>0</v>
      </c>
      <c r="AB335" s="74" t="b">
        <f>IF(Tab.11[[#This Row],[a1]]=1,IF($A$3=0,FALSE,1/Tab.11[[#This Row],[IN]]*$AC$2*IF(Tab.11[[#This Row],[a1]]=0,,$A$3*$AC$1*1/$V$3*(Tab.11[[#This Row],[b14]]))))</f>
        <v>0</v>
      </c>
      <c r="AC335" s="75" t="b">
        <f>IF(Tab.11[[#This Row],[a1]]=1,IF($AC$3=0,Tab.11[[#This Row],[φ1]],Tab.11[[#This Row],[φ1]]/MAX(Tab.11[φ1])))</f>
        <v>0</v>
      </c>
      <c r="AD335" s="74" t="b">
        <f>IF(Tab.11[[#This Row],[a1]]=1,1/Tab.11[[#This Row],[φ2]])</f>
        <v>0</v>
      </c>
      <c r="AE335" s="74" t="b">
        <f>IF(Tab.11[[#This Row],[a1]]=1,IF($AE$3=0,Tab.11[[#This Row],[w.0]],Tab.11[[#This Row],[w.0]]/SUM(Tab.11[w.0])))</f>
        <v>0</v>
      </c>
      <c r="AF335" s="76" t="str">
        <f>IF(Tab.11[[#This Row],[a1]]=0,"false",[3]!Tab.x5[[#This Row],[%_seN_C]])</f>
        <v>false</v>
      </c>
      <c r="AG335" s="77" t="b">
        <f>IF(Tab.11[[#This Row],[a1]]=1,AP335)</f>
        <v>0</v>
      </c>
      <c r="AH335" s="78" t="b">
        <f>IF(Tab.11[[#This Row],[a1]]=1,AQ335)</f>
        <v>0</v>
      </c>
      <c r="AI335" s="41">
        <v>3.0000000000000001E-3</v>
      </c>
      <c r="AJ335" s="79">
        <v>-0.09</v>
      </c>
      <c r="AK335" s="80" t="b">
        <f>IF(Tab.11[[#This Row],[a1]]=1,1)</f>
        <v>0</v>
      </c>
      <c r="AZ335"/>
    </row>
    <row r="336" spans="1:52" hidden="1" x14ac:dyDescent="0.25">
      <c r="A336" s="61">
        <f t="shared" si="11"/>
        <v>0</v>
      </c>
      <c r="B336" s="62">
        <f t="shared" si="11"/>
        <v>0</v>
      </c>
      <c r="C336" s="62" t="b">
        <f>IF(Tab.11[[#This Row],[a1]]=1,[3]!Tab_x1[[#This Row],[Name]])</f>
        <v>0</v>
      </c>
      <c r="D336" s="63" t="b">
        <f>IF(Tab.11[[#This Row],[a1]]=1,AO336)</f>
        <v>0</v>
      </c>
      <c r="E336" s="63">
        <f t="shared" si="12"/>
        <v>0</v>
      </c>
      <c r="F336" s="64" t="b">
        <f>IF(Tab.11[[#This Row],[a1]]=1,Tab.11[[#This Row],[b1]])</f>
        <v>0</v>
      </c>
      <c r="G336" s="65" t="b">
        <f>IF(Tab.11[[#This Row],[a1]]=1,IF(Tab.11[[#This Row],[b3]]&gt;$L$989*$G$3,$L$989*$G$3,IF(Tab.11[[#This Row],[b3]]&lt;$M$989*$G$3,$M$989*$G$3,Tab.11[[#This Row],[b3]])))</f>
        <v>0</v>
      </c>
      <c r="H336" s="66" t="b">
        <f>IF(Tab.11[[#This Row],[a1]]=1,Tab.11[[#This Row],[b1]])</f>
        <v>0</v>
      </c>
      <c r="I336" s="67" t="b">
        <f>IF(Tab.11[[#This Row],[a1]]=1,Tab.11[[#This Row],[b1]])</f>
        <v>0</v>
      </c>
      <c r="J336" s="68" t="b">
        <f>IF(Tab.11[[#This Row],[a1]]=1,IF($I$3&lt;0,Tab.11[[#This Row],[b5]]-$I$3,Tab.11[[#This Row],[b5]]))</f>
        <v>0</v>
      </c>
      <c r="K336" s="68" t="b">
        <f>IF(Tab.11[[#This Row],[a1]]=1,IF($K$3=0,Tab.11[b6],Tab.11[[#This Row],[b6]]-AVERAGE(Tab.11[b6])))</f>
        <v>0</v>
      </c>
      <c r="L336" s="69" t="b">
        <f>IF(Tab.11[[#This Row],[a1]]=1,Tab.11[[#This Row],[data]]/(_xlfn.STDEV.P(Tab.11[data])*$B$989)+$A$989)</f>
        <v>0</v>
      </c>
      <c r="M336" s="69" t="b">
        <f>IF(Tab.11[[#This Row],[a1]]=1,Tab.11[[#This Row],[data]]/(_xlfn.STDEV.P(Tab.11[data])*$B$987)-$A$987)</f>
        <v>0</v>
      </c>
      <c r="N336" s="69" t="b">
        <f>IF(Tab.11[[#This Row],[a1]]=1,Tab.11[[#This Row],[data]]/(_xlfn.STDEV.P(Tab.11[data])*$B$988)+$A$988)</f>
        <v>0</v>
      </c>
      <c r="O336" s="70" t="b">
        <f>IF(Tab.11[[#This Row],[a1]]=1,_xlfn.NORM.DIST(Tab.11[[#This Row],[b8]],$P$1,$Q$1,FALSE))</f>
        <v>0</v>
      </c>
      <c r="P336" s="70" t="b">
        <f>IF(Tab.11[[#This Row],[a1]]=1,_xlfn.NORM.DIST(Tab.11[[#This Row],[b9]],$P$1,$Q$1,FALSE))</f>
        <v>0</v>
      </c>
      <c r="Q336" s="70" t="b">
        <f>IF(Tab.11[[#This Row],[a1]]=1,_xlfn.NORM.DIST(Tab.11[[#This Row],[b10]],$P$1,$Q$1,FALSE))</f>
        <v>0</v>
      </c>
      <c r="R336" s="67" t="b">
        <f>IF(Tab.11[[#This Row],[a1]]=1,$I$3+$A$989+IF($K$3=0,Tab.11[[#This Row],[b8]]*_xlfn.STDEV.P(Tab.11[data]),AVERAGE(Tab.11[b6])+Tab.11[[#This Row],[b8]]*_xlfn.STDEV.P(Tab.11[data])))</f>
        <v>0</v>
      </c>
      <c r="S336" s="71" t="b">
        <f>IF(Tab.11[[#This Row],[a1]]=1,$I$3+$A$987+IF($K$3=0,Tab.11[[#This Row],[b9]]*_xlfn.STDEV.P(Tab.11[data]),AVERAGE(Tab.11[b6])+Tab.11[[#This Row],[b9]]*_xlfn.STDEV.P(Tab.11[data])))</f>
        <v>0</v>
      </c>
      <c r="T336" s="71" t="b">
        <f>IF(Tab.11[[#This Row],[a1]]=1,$I$3+$A$988+IF($K$3=0,Tab.11[[#This Row],[b10]]*_xlfn.STDEV.P(Tab.11[data]),AVERAGE(Tab.11[b6])+Tab.11[[#This Row],[b10]]*_xlfn.STDEV.P(Tab.11[data])))</f>
        <v>0</v>
      </c>
      <c r="U336" s="72" t="b">
        <f>IF(Tab.11[[#This Row],[a1]]=1,Tab.11[[#This Row],[target]]-Tab.11[[#This Row],[Red]])</f>
        <v>0</v>
      </c>
      <c r="V336" s="72" t="b">
        <f>IF(Tab.11[[#This Row],[a1]]=1,Tab.11[[#This Row],[target]]-Tab.11[[#This Row],[Blue]])</f>
        <v>0</v>
      </c>
      <c r="W336" s="73" t="b">
        <f>IF(Tab.11[[#This Row],[a1]]=1,IF(ABS(Tab.11[[#This Row],[b17]])+ABS(Tab.11[[#This Row],[b18]])&lt;$W$2,$W$2,ABS(Tab.11[[#This Row],[b17]])+ABS(Tab.11[[#This Row],[b18]])))</f>
        <v>0</v>
      </c>
      <c r="X336" s="136" t="b">
        <f>IF(Tab.11[[#This Row],[a1]]=1,IF($W$3&lt;0,Tab.11[[#This Row],[IN]]-$I$3,Tab.11[[#This Row],[IN]]))</f>
        <v>0</v>
      </c>
      <c r="Y336" s="136" t="b">
        <f>IF(Tab.11[[#This Row],[a1]]=1,IF($X$3=0,Tab.11[b66],Tab.11[[#This Row],[b66]]-AVERAGE(Tab.11[b66])))</f>
        <v>0</v>
      </c>
      <c r="Z336" s="135" t="b">
        <f>IF(Tab.11[[#This Row],[a1]]=1,Tab.11[[#This Row],[b77]]/(_xlfn.STDEV.P(Tab.11[b77])))</f>
        <v>0</v>
      </c>
      <c r="AA336" s="70" t="b">
        <f>IF(Tab.11[[#This Row],[a1]]=1,_xlfn.NORM.DIST(Tab.11[[#This Row],[b88]],$Z$1,$AA$1,FALSE))</f>
        <v>0</v>
      </c>
      <c r="AB336" s="74" t="b">
        <f>IF(Tab.11[[#This Row],[a1]]=1,IF($A$3=0,FALSE,1/Tab.11[[#This Row],[IN]]*$AC$2*IF(Tab.11[[#This Row],[a1]]=0,,$A$3*$AC$1*1/$V$3*(Tab.11[[#This Row],[b14]]))))</f>
        <v>0</v>
      </c>
      <c r="AC336" s="75" t="b">
        <f>IF(Tab.11[[#This Row],[a1]]=1,IF($AC$3=0,Tab.11[[#This Row],[φ1]],Tab.11[[#This Row],[φ1]]/MAX(Tab.11[φ1])))</f>
        <v>0</v>
      </c>
      <c r="AD336" s="74" t="b">
        <f>IF(Tab.11[[#This Row],[a1]]=1,1/Tab.11[[#This Row],[φ2]])</f>
        <v>0</v>
      </c>
      <c r="AE336" s="74" t="b">
        <f>IF(Tab.11[[#This Row],[a1]]=1,IF($AE$3=0,Tab.11[[#This Row],[w.0]],Tab.11[[#This Row],[w.0]]/SUM(Tab.11[w.0])))</f>
        <v>0</v>
      </c>
      <c r="AF336" s="76" t="str">
        <f>IF(Tab.11[[#This Row],[a1]]=0,"false",[3]!Tab.x5[[#This Row],[%_seN_C]])</f>
        <v>false</v>
      </c>
      <c r="AG336" s="77" t="b">
        <f>IF(Tab.11[[#This Row],[a1]]=1,AP336)</f>
        <v>0</v>
      </c>
      <c r="AH336" s="78" t="b">
        <f>IF(Tab.11[[#This Row],[a1]]=1,AQ336)</f>
        <v>0</v>
      </c>
      <c r="AI336" s="41">
        <v>3.0000000000000001E-3</v>
      </c>
      <c r="AJ336" s="79">
        <v>0.08</v>
      </c>
      <c r="AK336" s="80" t="b">
        <f>IF(Tab.11[[#This Row],[a1]]=1,1)</f>
        <v>0</v>
      </c>
      <c r="AZ336"/>
    </row>
    <row r="337" spans="1:52" hidden="1" x14ac:dyDescent="0.25">
      <c r="A337" s="61">
        <f t="shared" si="11"/>
        <v>0</v>
      </c>
      <c r="B337" s="62">
        <f t="shared" si="11"/>
        <v>0</v>
      </c>
      <c r="C337" s="62" t="b">
        <f>IF(Tab.11[[#This Row],[a1]]=1,[3]!Tab_x1[[#This Row],[Name]])</f>
        <v>0</v>
      </c>
      <c r="D337" s="63" t="b">
        <f>IF(Tab.11[[#This Row],[a1]]=1,AO337)</f>
        <v>0</v>
      </c>
      <c r="E337" s="63">
        <f t="shared" si="12"/>
        <v>0</v>
      </c>
      <c r="F337" s="64" t="b">
        <f>IF(Tab.11[[#This Row],[a1]]=1,Tab.11[[#This Row],[b1]])</f>
        <v>0</v>
      </c>
      <c r="G337" s="65" t="b">
        <f>IF(Tab.11[[#This Row],[a1]]=1,IF(Tab.11[[#This Row],[b3]]&gt;$L$989*$G$3,$L$989*$G$3,IF(Tab.11[[#This Row],[b3]]&lt;$M$989*$G$3,$M$989*$G$3,Tab.11[[#This Row],[b3]])))</f>
        <v>0</v>
      </c>
      <c r="H337" s="66" t="b">
        <f>IF(Tab.11[[#This Row],[a1]]=1,Tab.11[[#This Row],[b1]])</f>
        <v>0</v>
      </c>
      <c r="I337" s="67" t="b">
        <f>IF(Tab.11[[#This Row],[a1]]=1,Tab.11[[#This Row],[b1]])</f>
        <v>0</v>
      </c>
      <c r="J337" s="68" t="b">
        <f>IF(Tab.11[[#This Row],[a1]]=1,IF($I$3&lt;0,Tab.11[[#This Row],[b5]]-$I$3,Tab.11[[#This Row],[b5]]))</f>
        <v>0</v>
      </c>
      <c r="K337" s="68" t="b">
        <f>IF(Tab.11[[#This Row],[a1]]=1,IF($K$3=0,Tab.11[b6],Tab.11[[#This Row],[b6]]-AVERAGE(Tab.11[b6])))</f>
        <v>0</v>
      </c>
      <c r="L337" s="69" t="b">
        <f>IF(Tab.11[[#This Row],[a1]]=1,Tab.11[[#This Row],[data]]/(_xlfn.STDEV.P(Tab.11[data])*$B$989)+$A$989)</f>
        <v>0</v>
      </c>
      <c r="M337" s="69" t="b">
        <f>IF(Tab.11[[#This Row],[a1]]=1,Tab.11[[#This Row],[data]]/(_xlfn.STDEV.P(Tab.11[data])*$B$987)-$A$987)</f>
        <v>0</v>
      </c>
      <c r="N337" s="69" t="b">
        <f>IF(Tab.11[[#This Row],[a1]]=1,Tab.11[[#This Row],[data]]/(_xlfn.STDEV.P(Tab.11[data])*$B$988)+$A$988)</f>
        <v>0</v>
      </c>
      <c r="O337" s="70" t="b">
        <f>IF(Tab.11[[#This Row],[a1]]=1,_xlfn.NORM.DIST(Tab.11[[#This Row],[b8]],$P$1,$Q$1,FALSE))</f>
        <v>0</v>
      </c>
      <c r="P337" s="70" t="b">
        <f>IF(Tab.11[[#This Row],[a1]]=1,_xlfn.NORM.DIST(Tab.11[[#This Row],[b9]],$P$1,$Q$1,FALSE))</f>
        <v>0</v>
      </c>
      <c r="Q337" s="70" t="b">
        <f>IF(Tab.11[[#This Row],[a1]]=1,_xlfn.NORM.DIST(Tab.11[[#This Row],[b10]],$P$1,$Q$1,FALSE))</f>
        <v>0</v>
      </c>
      <c r="R337" s="67" t="b">
        <f>IF(Tab.11[[#This Row],[a1]]=1,$I$3+$A$989+IF($K$3=0,Tab.11[[#This Row],[b8]]*_xlfn.STDEV.P(Tab.11[data]),AVERAGE(Tab.11[b6])+Tab.11[[#This Row],[b8]]*_xlfn.STDEV.P(Tab.11[data])))</f>
        <v>0</v>
      </c>
      <c r="S337" s="71" t="b">
        <f>IF(Tab.11[[#This Row],[a1]]=1,$I$3+$A$987+IF($K$3=0,Tab.11[[#This Row],[b9]]*_xlfn.STDEV.P(Tab.11[data]),AVERAGE(Tab.11[b6])+Tab.11[[#This Row],[b9]]*_xlfn.STDEV.P(Tab.11[data])))</f>
        <v>0</v>
      </c>
      <c r="T337" s="71" t="b">
        <f>IF(Tab.11[[#This Row],[a1]]=1,$I$3+$A$988+IF($K$3=0,Tab.11[[#This Row],[b10]]*_xlfn.STDEV.P(Tab.11[data]),AVERAGE(Tab.11[b6])+Tab.11[[#This Row],[b10]]*_xlfn.STDEV.P(Tab.11[data])))</f>
        <v>0</v>
      </c>
      <c r="U337" s="72" t="b">
        <f>IF(Tab.11[[#This Row],[a1]]=1,Tab.11[[#This Row],[target]]-Tab.11[[#This Row],[Red]])</f>
        <v>0</v>
      </c>
      <c r="V337" s="72" t="b">
        <f>IF(Tab.11[[#This Row],[a1]]=1,Tab.11[[#This Row],[target]]-Tab.11[[#This Row],[Blue]])</f>
        <v>0</v>
      </c>
      <c r="W337" s="73" t="b">
        <f>IF(Tab.11[[#This Row],[a1]]=1,IF(ABS(Tab.11[[#This Row],[b17]])+ABS(Tab.11[[#This Row],[b18]])&lt;$W$2,$W$2,ABS(Tab.11[[#This Row],[b17]])+ABS(Tab.11[[#This Row],[b18]])))</f>
        <v>0</v>
      </c>
      <c r="X337" s="136" t="b">
        <f>IF(Tab.11[[#This Row],[a1]]=1,IF($W$3&lt;0,Tab.11[[#This Row],[IN]]-$I$3,Tab.11[[#This Row],[IN]]))</f>
        <v>0</v>
      </c>
      <c r="Y337" s="136" t="b">
        <f>IF(Tab.11[[#This Row],[a1]]=1,IF($X$3=0,Tab.11[b66],Tab.11[[#This Row],[b66]]-AVERAGE(Tab.11[b66])))</f>
        <v>0</v>
      </c>
      <c r="Z337" s="135" t="b">
        <f>IF(Tab.11[[#This Row],[a1]]=1,Tab.11[[#This Row],[b77]]/(_xlfn.STDEV.P(Tab.11[b77])))</f>
        <v>0</v>
      </c>
      <c r="AA337" s="70" t="b">
        <f>IF(Tab.11[[#This Row],[a1]]=1,_xlfn.NORM.DIST(Tab.11[[#This Row],[b88]],$Z$1,$AA$1,FALSE))</f>
        <v>0</v>
      </c>
      <c r="AB337" s="74" t="b">
        <f>IF(Tab.11[[#This Row],[a1]]=1,IF($A$3=0,FALSE,1/Tab.11[[#This Row],[IN]]*$AC$2*IF(Tab.11[[#This Row],[a1]]=0,,$A$3*$AC$1*1/$V$3*(Tab.11[[#This Row],[b14]]))))</f>
        <v>0</v>
      </c>
      <c r="AC337" s="75" t="b">
        <f>IF(Tab.11[[#This Row],[a1]]=1,IF($AC$3=0,Tab.11[[#This Row],[φ1]],Tab.11[[#This Row],[φ1]]/MAX(Tab.11[φ1])))</f>
        <v>0</v>
      </c>
      <c r="AD337" s="74" t="b">
        <f>IF(Tab.11[[#This Row],[a1]]=1,1/Tab.11[[#This Row],[φ2]])</f>
        <v>0</v>
      </c>
      <c r="AE337" s="74" t="b">
        <f>IF(Tab.11[[#This Row],[a1]]=1,IF($AE$3=0,Tab.11[[#This Row],[w.0]],Tab.11[[#This Row],[w.0]]/SUM(Tab.11[w.0])))</f>
        <v>0</v>
      </c>
      <c r="AF337" s="76" t="str">
        <f>IF(Tab.11[[#This Row],[a1]]=0,"false",[3]!Tab.x5[[#This Row],[%_seN_C]])</f>
        <v>false</v>
      </c>
      <c r="AG337" s="77" t="b">
        <f>IF(Tab.11[[#This Row],[a1]]=1,AP337)</f>
        <v>0</v>
      </c>
      <c r="AH337" s="78" t="b">
        <f>IF(Tab.11[[#This Row],[a1]]=1,AQ337)</f>
        <v>0</v>
      </c>
      <c r="AI337" s="41">
        <v>3.0000000000000001E-3</v>
      </c>
      <c r="AJ337" s="79">
        <v>0.04</v>
      </c>
      <c r="AK337" s="80" t="b">
        <f>IF(Tab.11[[#This Row],[a1]]=1,1)</f>
        <v>0</v>
      </c>
      <c r="AZ337"/>
    </row>
    <row r="338" spans="1:52" hidden="1" x14ac:dyDescent="0.25">
      <c r="A338" s="61">
        <f t="shared" si="11"/>
        <v>0</v>
      </c>
      <c r="B338" s="62">
        <f t="shared" si="11"/>
        <v>0</v>
      </c>
      <c r="C338" s="62" t="b">
        <f>IF(Tab.11[[#This Row],[a1]]=1,[3]!Tab_x1[[#This Row],[Name]])</f>
        <v>0</v>
      </c>
      <c r="D338" s="63" t="b">
        <f>IF(Tab.11[[#This Row],[a1]]=1,AO338)</f>
        <v>0</v>
      </c>
      <c r="E338" s="63">
        <f t="shared" si="12"/>
        <v>0</v>
      </c>
      <c r="F338" s="64" t="b">
        <f>IF(Tab.11[[#This Row],[a1]]=1,Tab.11[[#This Row],[b1]])</f>
        <v>0</v>
      </c>
      <c r="G338" s="65" t="b">
        <f>IF(Tab.11[[#This Row],[a1]]=1,IF(Tab.11[[#This Row],[b3]]&gt;$L$989*$G$3,$L$989*$G$3,IF(Tab.11[[#This Row],[b3]]&lt;$M$989*$G$3,$M$989*$G$3,Tab.11[[#This Row],[b3]])))</f>
        <v>0</v>
      </c>
      <c r="H338" s="66" t="b">
        <f>IF(Tab.11[[#This Row],[a1]]=1,Tab.11[[#This Row],[b1]])</f>
        <v>0</v>
      </c>
      <c r="I338" s="67" t="b">
        <f>IF(Tab.11[[#This Row],[a1]]=1,Tab.11[[#This Row],[b1]])</f>
        <v>0</v>
      </c>
      <c r="J338" s="68" t="b">
        <f>IF(Tab.11[[#This Row],[a1]]=1,IF($I$3&lt;0,Tab.11[[#This Row],[b5]]-$I$3,Tab.11[[#This Row],[b5]]))</f>
        <v>0</v>
      </c>
      <c r="K338" s="68" t="b">
        <f>IF(Tab.11[[#This Row],[a1]]=1,IF($K$3=0,Tab.11[b6],Tab.11[[#This Row],[b6]]-AVERAGE(Tab.11[b6])))</f>
        <v>0</v>
      </c>
      <c r="L338" s="69" t="b">
        <f>IF(Tab.11[[#This Row],[a1]]=1,Tab.11[[#This Row],[data]]/(_xlfn.STDEV.P(Tab.11[data])*$B$989)+$A$989)</f>
        <v>0</v>
      </c>
      <c r="M338" s="69" t="b">
        <f>IF(Tab.11[[#This Row],[a1]]=1,Tab.11[[#This Row],[data]]/(_xlfn.STDEV.P(Tab.11[data])*$B$987)-$A$987)</f>
        <v>0</v>
      </c>
      <c r="N338" s="69" t="b">
        <f>IF(Tab.11[[#This Row],[a1]]=1,Tab.11[[#This Row],[data]]/(_xlfn.STDEV.P(Tab.11[data])*$B$988)+$A$988)</f>
        <v>0</v>
      </c>
      <c r="O338" s="70" t="b">
        <f>IF(Tab.11[[#This Row],[a1]]=1,_xlfn.NORM.DIST(Tab.11[[#This Row],[b8]],$P$1,$Q$1,FALSE))</f>
        <v>0</v>
      </c>
      <c r="P338" s="70" t="b">
        <f>IF(Tab.11[[#This Row],[a1]]=1,_xlfn.NORM.DIST(Tab.11[[#This Row],[b9]],$P$1,$Q$1,FALSE))</f>
        <v>0</v>
      </c>
      <c r="Q338" s="70" t="b">
        <f>IF(Tab.11[[#This Row],[a1]]=1,_xlfn.NORM.DIST(Tab.11[[#This Row],[b10]],$P$1,$Q$1,FALSE))</f>
        <v>0</v>
      </c>
      <c r="R338" s="67" t="b">
        <f>IF(Tab.11[[#This Row],[a1]]=1,$I$3+$A$989+IF($K$3=0,Tab.11[[#This Row],[b8]]*_xlfn.STDEV.P(Tab.11[data]),AVERAGE(Tab.11[b6])+Tab.11[[#This Row],[b8]]*_xlfn.STDEV.P(Tab.11[data])))</f>
        <v>0</v>
      </c>
      <c r="S338" s="71" t="b">
        <f>IF(Tab.11[[#This Row],[a1]]=1,$I$3+$A$987+IF($K$3=0,Tab.11[[#This Row],[b9]]*_xlfn.STDEV.P(Tab.11[data]),AVERAGE(Tab.11[b6])+Tab.11[[#This Row],[b9]]*_xlfn.STDEV.P(Tab.11[data])))</f>
        <v>0</v>
      </c>
      <c r="T338" s="71" t="b">
        <f>IF(Tab.11[[#This Row],[a1]]=1,$I$3+$A$988+IF($K$3=0,Tab.11[[#This Row],[b10]]*_xlfn.STDEV.P(Tab.11[data]),AVERAGE(Tab.11[b6])+Tab.11[[#This Row],[b10]]*_xlfn.STDEV.P(Tab.11[data])))</f>
        <v>0</v>
      </c>
      <c r="U338" s="72" t="b">
        <f>IF(Tab.11[[#This Row],[a1]]=1,Tab.11[[#This Row],[target]]-Tab.11[[#This Row],[Red]])</f>
        <v>0</v>
      </c>
      <c r="V338" s="72" t="b">
        <f>IF(Tab.11[[#This Row],[a1]]=1,Tab.11[[#This Row],[target]]-Tab.11[[#This Row],[Blue]])</f>
        <v>0</v>
      </c>
      <c r="W338" s="73" t="b">
        <f>IF(Tab.11[[#This Row],[a1]]=1,IF(ABS(Tab.11[[#This Row],[b17]])+ABS(Tab.11[[#This Row],[b18]])&lt;$W$2,$W$2,ABS(Tab.11[[#This Row],[b17]])+ABS(Tab.11[[#This Row],[b18]])))</f>
        <v>0</v>
      </c>
      <c r="X338" s="136" t="b">
        <f>IF(Tab.11[[#This Row],[a1]]=1,IF($W$3&lt;0,Tab.11[[#This Row],[IN]]-$I$3,Tab.11[[#This Row],[IN]]))</f>
        <v>0</v>
      </c>
      <c r="Y338" s="136" t="b">
        <f>IF(Tab.11[[#This Row],[a1]]=1,IF($X$3=0,Tab.11[b66],Tab.11[[#This Row],[b66]]-AVERAGE(Tab.11[b66])))</f>
        <v>0</v>
      </c>
      <c r="Z338" s="135" t="b">
        <f>IF(Tab.11[[#This Row],[a1]]=1,Tab.11[[#This Row],[b77]]/(_xlfn.STDEV.P(Tab.11[b77])))</f>
        <v>0</v>
      </c>
      <c r="AA338" s="70" t="b">
        <f>IF(Tab.11[[#This Row],[a1]]=1,_xlfn.NORM.DIST(Tab.11[[#This Row],[b88]],$Z$1,$AA$1,FALSE))</f>
        <v>0</v>
      </c>
      <c r="AB338" s="74" t="b">
        <f>IF(Tab.11[[#This Row],[a1]]=1,IF($A$3=0,FALSE,1/Tab.11[[#This Row],[IN]]*$AC$2*IF(Tab.11[[#This Row],[a1]]=0,,$A$3*$AC$1*1/$V$3*(Tab.11[[#This Row],[b14]]))))</f>
        <v>0</v>
      </c>
      <c r="AC338" s="75" t="b">
        <f>IF(Tab.11[[#This Row],[a1]]=1,IF($AC$3=0,Tab.11[[#This Row],[φ1]],Tab.11[[#This Row],[φ1]]/MAX(Tab.11[φ1])))</f>
        <v>0</v>
      </c>
      <c r="AD338" s="74" t="b">
        <f>IF(Tab.11[[#This Row],[a1]]=1,1/Tab.11[[#This Row],[φ2]])</f>
        <v>0</v>
      </c>
      <c r="AE338" s="74" t="b">
        <f>IF(Tab.11[[#This Row],[a1]]=1,IF($AE$3=0,Tab.11[[#This Row],[w.0]],Tab.11[[#This Row],[w.0]]/SUM(Tab.11[w.0])))</f>
        <v>0</v>
      </c>
      <c r="AF338" s="76" t="str">
        <f>IF(Tab.11[[#This Row],[a1]]=0,"false",[3]!Tab.x5[[#This Row],[%_seN_C]])</f>
        <v>false</v>
      </c>
      <c r="AG338" s="77" t="b">
        <f>IF(Tab.11[[#This Row],[a1]]=1,AP338)</f>
        <v>0</v>
      </c>
      <c r="AH338" s="78" t="b">
        <f>IF(Tab.11[[#This Row],[a1]]=1,AQ338)</f>
        <v>0</v>
      </c>
      <c r="AI338" s="41">
        <v>3.0000000000000001E-3</v>
      </c>
      <c r="AJ338" s="79">
        <v>0.01</v>
      </c>
      <c r="AK338" s="80" t="b">
        <f>IF(Tab.11[[#This Row],[a1]]=1,1)</f>
        <v>0</v>
      </c>
      <c r="AZ338"/>
    </row>
    <row r="339" spans="1:52" hidden="1" x14ac:dyDescent="0.25">
      <c r="A339" s="61">
        <f t="shared" si="11"/>
        <v>0</v>
      </c>
      <c r="B339" s="62">
        <f t="shared" si="11"/>
        <v>0</v>
      </c>
      <c r="C339" s="62" t="b">
        <f>IF(Tab.11[[#This Row],[a1]]=1,[3]!Tab_x1[[#This Row],[Name]])</f>
        <v>0</v>
      </c>
      <c r="D339" s="63" t="b">
        <f>IF(Tab.11[[#This Row],[a1]]=1,AO339)</f>
        <v>0</v>
      </c>
      <c r="E339" s="63">
        <f t="shared" si="12"/>
        <v>0</v>
      </c>
      <c r="F339" s="64" t="b">
        <f>IF(Tab.11[[#This Row],[a1]]=1,Tab.11[[#This Row],[b1]])</f>
        <v>0</v>
      </c>
      <c r="G339" s="65" t="b">
        <f>IF(Tab.11[[#This Row],[a1]]=1,IF(Tab.11[[#This Row],[b3]]&gt;$L$989*$G$3,$L$989*$G$3,IF(Tab.11[[#This Row],[b3]]&lt;$M$989*$G$3,$M$989*$G$3,Tab.11[[#This Row],[b3]])))</f>
        <v>0</v>
      </c>
      <c r="H339" s="66" t="b">
        <f>IF(Tab.11[[#This Row],[a1]]=1,Tab.11[[#This Row],[b1]])</f>
        <v>0</v>
      </c>
      <c r="I339" s="67" t="b">
        <f>IF(Tab.11[[#This Row],[a1]]=1,Tab.11[[#This Row],[b1]])</f>
        <v>0</v>
      </c>
      <c r="J339" s="68" t="b">
        <f>IF(Tab.11[[#This Row],[a1]]=1,IF($I$3&lt;0,Tab.11[[#This Row],[b5]]-$I$3,Tab.11[[#This Row],[b5]]))</f>
        <v>0</v>
      </c>
      <c r="K339" s="68" t="b">
        <f>IF(Tab.11[[#This Row],[a1]]=1,IF($K$3=0,Tab.11[b6],Tab.11[[#This Row],[b6]]-AVERAGE(Tab.11[b6])))</f>
        <v>0</v>
      </c>
      <c r="L339" s="69" t="b">
        <f>IF(Tab.11[[#This Row],[a1]]=1,Tab.11[[#This Row],[data]]/(_xlfn.STDEV.P(Tab.11[data])*$B$989)+$A$989)</f>
        <v>0</v>
      </c>
      <c r="M339" s="69" t="b">
        <f>IF(Tab.11[[#This Row],[a1]]=1,Tab.11[[#This Row],[data]]/(_xlfn.STDEV.P(Tab.11[data])*$B$987)-$A$987)</f>
        <v>0</v>
      </c>
      <c r="N339" s="69" t="b">
        <f>IF(Tab.11[[#This Row],[a1]]=1,Tab.11[[#This Row],[data]]/(_xlfn.STDEV.P(Tab.11[data])*$B$988)+$A$988)</f>
        <v>0</v>
      </c>
      <c r="O339" s="70" t="b">
        <f>IF(Tab.11[[#This Row],[a1]]=1,_xlfn.NORM.DIST(Tab.11[[#This Row],[b8]],$P$1,$Q$1,FALSE))</f>
        <v>0</v>
      </c>
      <c r="P339" s="70" t="b">
        <f>IF(Tab.11[[#This Row],[a1]]=1,_xlfn.NORM.DIST(Tab.11[[#This Row],[b9]],$P$1,$Q$1,FALSE))</f>
        <v>0</v>
      </c>
      <c r="Q339" s="70" t="b">
        <f>IF(Tab.11[[#This Row],[a1]]=1,_xlfn.NORM.DIST(Tab.11[[#This Row],[b10]],$P$1,$Q$1,FALSE))</f>
        <v>0</v>
      </c>
      <c r="R339" s="67" t="b">
        <f>IF(Tab.11[[#This Row],[a1]]=1,$I$3+$A$989+IF($K$3=0,Tab.11[[#This Row],[b8]]*_xlfn.STDEV.P(Tab.11[data]),AVERAGE(Tab.11[b6])+Tab.11[[#This Row],[b8]]*_xlfn.STDEV.P(Tab.11[data])))</f>
        <v>0</v>
      </c>
      <c r="S339" s="71" t="b">
        <f>IF(Tab.11[[#This Row],[a1]]=1,$I$3+$A$987+IF($K$3=0,Tab.11[[#This Row],[b9]]*_xlfn.STDEV.P(Tab.11[data]),AVERAGE(Tab.11[b6])+Tab.11[[#This Row],[b9]]*_xlfn.STDEV.P(Tab.11[data])))</f>
        <v>0</v>
      </c>
      <c r="T339" s="71" t="b">
        <f>IF(Tab.11[[#This Row],[a1]]=1,$I$3+$A$988+IF($K$3=0,Tab.11[[#This Row],[b10]]*_xlfn.STDEV.P(Tab.11[data]),AVERAGE(Tab.11[b6])+Tab.11[[#This Row],[b10]]*_xlfn.STDEV.P(Tab.11[data])))</f>
        <v>0</v>
      </c>
      <c r="U339" s="72" t="b">
        <f>IF(Tab.11[[#This Row],[a1]]=1,Tab.11[[#This Row],[target]]-Tab.11[[#This Row],[Red]])</f>
        <v>0</v>
      </c>
      <c r="V339" s="72" t="b">
        <f>IF(Tab.11[[#This Row],[a1]]=1,Tab.11[[#This Row],[target]]-Tab.11[[#This Row],[Blue]])</f>
        <v>0</v>
      </c>
      <c r="W339" s="73" t="b">
        <f>IF(Tab.11[[#This Row],[a1]]=1,IF(ABS(Tab.11[[#This Row],[b17]])+ABS(Tab.11[[#This Row],[b18]])&lt;$W$2,$W$2,ABS(Tab.11[[#This Row],[b17]])+ABS(Tab.11[[#This Row],[b18]])))</f>
        <v>0</v>
      </c>
      <c r="X339" s="136" t="b">
        <f>IF(Tab.11[[#This Row],[a1]]=1,IF($W$3&lt;0,Tab.11[[#This Row],[IN]]-$I$3,Tab.11[[#This Row],[IN]]))</f>
        <v>0</v>
      </c>
      <c r="Y339" s="136" t="b">
        <f>IF(Tab.11[[#This Row],[a1]]=1,IF($X$3=0,Tab.11[b66],Tab.11[[#This Row],[b66]]-AVERAGE(Tab.11[b66])))</f>
        <v>0</v>
      </c>
      <c r="Z339" s="135" t="b">
        <f>IF(Tab.11[[#This Row],[a1]]=1,Tab.11[[#This Row],[b77]]/(_xlfn.STDEV.P(Tab.11[b77])))</f>
        <v>0</v>
      </c>
      <c r="AA339" s="70" t="b">
        <f>IF(Tab.11[[#This Row],[a1]]=1,_xlfn.NORM.DIST(Tab.11[[#This Row],[b88]],$Z$1,$AA$1,FALSE))</f>
        <v>0</v>
      </c>
      <c r="AB339" s="74" t="b">
        <f>IF(Tab.11[[#This Row],[a1]]=1,IF($A$3=0,FALSE,1/Tab.11[[#This Row],[IN]]*$AC$2*IF(Tab.11[[#This Row],[a1]]=0,,$A$3*$AC$1*1/$V$3*(Tab.11[[#This Row],[b14]]))))</f>
        <v>0</v>
      </c>
      <c r="AC339" s="75" t="b">
        <f>IF(Tab.11[[#This Row],[a1]]=1,IF($AC$3=0,Tab.11[[#This Row],[φ1]],Tab.11[[#This Row],[φ1]]/MAX(Tab.11[φ1])))</f>
        <v>0</v>
      </c>
      <c r="AD339" s="74" t="b">
        <f>IF(Tab.11[[#This Row],[a1]]=1,1/Tab.11[[#This Row],[φ2]])</f>
        <v>0</v>
      </c>
      <c r="AE339" s="74" t="b">
        <f>IF(Tab.11[[#This Row],[a1]]=1,IF($AE$3=0,Tab.11[[#This Row],[w.0]],Tab.11[[#This Row],[w.0]]/SUM(Tab.11[w.0])))</f>
        <v>0</v>
      </c>
      <c r="AF339" s="76" t="str">
        <f>IF(Tab.11[[#This Row],[a1]]=0,"false",[3]!Tab.x5[[#This Row],[%_seN_C]])</f>
        <v>false</v>
      </c>
      <c r="AG339" s="77" t="b">
        <f>IF(Tab.11[[#This Row],[a1]]=1,AP339)</f>
        <v>0</v>
      </c>
      <c r="AH339" s="78" t="b">
        <f>IF(Tab.11[[#This Row],[a1]]=1,AQ339)</f>
        <v>0</v>
      </c>
      <c r="AI339" s="41">
        <v>3.0000000000000001E-3</v>
      </c>
      <c r="AJ339" s="79">
        <v>-0.01</v>
      </c>
      <c r="AK339" s="80" t="b">
        <f>IF(Tab.11[[#This Row],[a1]]=1,1)</f>
        <v>0</v>
      </c>
      <c r="AZ339"/>
    </row>
    <row r="340" spans="1:52" hidden="1" x14ac:dyDescent="0.25">
      <c r="A340" s="61">
        <f t="shared" si="11"/>
        <v>0</v>
      </c>
      <c r="B340" s="62">
        <f t="shared" si="11"/>
        <v>0</v>
      </c>
      <c r="C340" s="62" t="b">
        <f>IF(Tab.11[[#This Row],[a1]]=1,[3]!Tab_x1[[#This Row],[Name]])</f>
        <v>0</v>
      </c>
      <c r="D340" s="63" t="b">
        <f>IF(Tab.11[[#This Row],[a1]]=1,AO340)</f>
        <v>0</v>
      </c>
      <c r="E340" s="63">
        <f t="shared" si="12"/>
        <v>0</v>
      </c>
      <c r="F340" s="64" t="b">
        <f>IF(Tab.11[[#This Row],[a1]]=1,Tab.11[[#This Row],[b1]])</f>
        <v>0</v>
      </c>
      <c r="G340" s="65" t="b">
        <f>IF(Tab.11[[#This Row],[a1]]=1,IF(Tab.11[[#This Row],[b3]]&gt;$L$989*$G$3,$L$989*$G$3,IF(Tab.11[[#This Row],[b3]]&lt;$M$989*$G$3,$M$989*$G$3,Tab.11[[#This Row],[b3]])))</f>
        <v>0</v>
      </c>
      <c r="H340" s="66" t="b">
        <f>IF(Tab.11[[#This Row],[a1]]=1,Tab.11[[#This Row],[b1]])</f>
        <v>0</v>
      </c>
      <c r="I340" s="67" t="b">
        <f>IF(Tab.11[[#This Row],[a1]]=1,Tab.11[[#This Row],[b1]])</f>
        <v>0</v>
      </c>
      <c r="J340" s="68" t="b">
        <f>IF(Tab.11[[#This Row],[a1]]=1,IF($I$3&lt;0,Tab.11[[#This Row],[b5]]-$I$3,Tab.11[[#This Row],[b5]]))</f>
        <v>0</v>
      </c>
      <c r="K340" s="68" t="b">
        <f>IF(Tab.11[[#This Row],[a1]]=1,IF($K$3=0,Tab.11[b6],Tab.11[[#This Row],[b6]]-AVERAGE(Tab.11[b6])))</f>
        <v>0</v>
      </c>
      <c r="L340" s="69" t="b">
        <f>IF(Tab.11[[#This Row],[a1]]=1,Tab.11[[#This Row],[data]]/(_xlfn.STDEV.P(Tab.11[data])*$B$989)+$A$989)</f>
        <v>0</v>
      </c>
      <c r="M340" s="69" t="b">
        <f>IF(Tab.11[[#This Row],[a1]]=1,Tab.11[[#This Row],[data]]/(_xlfn.STDEV.P(Tab.11[data])*$B$987)-$A$987)</f>
        <v>0</v>
      </c>
      <c r="N340" s="69" t="b">
        <f>IF(Tab.11[[#This Row],[a1]]=1,Tab.11[[#This Row],[data]]/(_xlfn.STDEV.P(Tab.11[data])*$B$988)+$A$988)</f>
        <v>0</v>
      </c>
      <c r="O340" s="70" t="b">
        <f>IF(Tab.11[[#This Row],[a1]]=1,_xlfn.NORM.DIST(Tab.11[[#This Row],[b8]],$P$1,$Q$1,FALSE))</f>
        <v>0</v>
      </c>
      <c r="P340" s="70" t="b">
        <f>IF(Tab.11[[#This Row],[a1]]=1,_xlfn.NORM.DIST(Tab.11[[#This Row],[b9]],$P$1,$Q$1,FALSE))</f>
        <v>0</v>
      </c>
      <c r="Q340" s="70" t="b">
        <f>IF(Tab.11[[#This Row],[a1]]=1,_xlfn.NORM.DIST(Tab.11[[#This Row],[b10]],$P$1,$Q$1,FALSE))</f>
        <v>0</v>
      </c>
      <c r="R340" s="67" t="b">
        <f>IF(Tab.11[[#This Row],[a1]]=1,$I$3+$A$989+IF($K$3=0,Tab.11[[#This Row],[b8]]*_xlfn.STDEV.P(Tab.11[data]),AVERAGE(Tab.11[b6])+Tab.11[[#This Row],[b8]]*_xlfn.STDEV.P(Tab.11[data])))</f>
        <v>0</v>
      </c>
      <c r="S340" s="71" t="b">
        <f>IF(Tab.11[[#This Row],[a1]]=1,$I$3+$A$987+IF($K$3=0,Tab.11[[#This Row],[b9]]*_xlfn.STDEV.P(Tab.11[data]),AVERAGE(Tab.11[b6])+Tab.11[[#This Row],[b9]]*_xlfn.STDEV.P(Tab.11[data])))</f>
        <v>0</v>
      </c>
      <c r="T340" s="71" t="b">
        <f>IF(Tab.11[[#This Row],[a1]]=1,$I$3+$A$988+IF($K$3=0,Tab.11[[#This Row],[b10]]*_xlfn.STDEV.P(Tab.11[data]),AVERAGE(Tab.11[b6])+Tab.11[[#This Row],[b10]]*_xlfn.STDEV.P(Tab.11[data])))</f>
        <v>0</v>
      </c>
      <c r="U340" s="72" t="b">
        <f>IF(Tab.11[[#This Row],[a1]]=1,Tab.11[[#This Row],[target]]-Tab.11[[#This Row],[Red]])</f>
        <v>0</v>
      </c>
      <c r="V340" s="72" t="b">
        <f>IF(Tab.11[[#This Row],[a1]]=1,Tab.11[[#This Row],[target]]-Tab.11[[#This Row],[Blue]])</f>
        <v>0</v>
      </c>
      <c r="W340" s="73" t="b">
        <f>IF(Tab.11[[#This Row],[a1]]=1,IF(ABS(Tab.11[[#This Row],[b17]])+ABS(Tab.11[[#This Row],[b18]])&lt;$W$2,$W$2,ABS(Tab.11[[#This Row],[b17]])+ABS(Tab.11[[#This Row],[b18]])))</f>
        <v>0</v>
      </c>
      <c r="X340" s="136" t="b">
        <f>IF(Tab.11[[#This Row],[a1]]=1,IF($W$3&lt;0,Tab.11[[#This Row],[IN]]-$I$3,Tab.11[[#This Row],[IN]]))</f>
        <v>0</v>
      </c>
      <c r="Y340" s="136" t="b">
        <f>IF(Tab.11[[#This Row],[a1]]=1,IF($X$3=0,Tab.11[b66],Tab.11[[#This Row],[b66]]-AVERAGE(Tab.11[b66])))</f>
        <v>0</v>
      </c>
      <c r="Z340" s="135" t="b">
        <f>IF(Tab.11[[#This Row],[a1]]=1,Tab.11[[#This Row],[b77]]/(_xlfn.STDEV.P(Tab.11[b77])))</f>
        <v>0</v>
      </c>
      <c r="AA340" s="70" t="b">
        <f>IF(Tab.11[[#This Row],[a1]]=1,_xlfn.NORM.DIST(Tab.11[[#This Row],[b88]],$Z$1,$AA$1,FALSE))</f>
        <v>0</v>
      </c>
      <c r="AB340" s="74" t="b">
        <f>IF(Tab.11[[#This Row],[a1]]=1,IF($A$3=0,FALSE,1/Tab.11[[#This Row],[IN]]*$AC$2*IF(Tab.11[[#This Row],[a1]]=0,,$A$3*$AC$1*1/$V$3*(Tab.11[[#This Row],[b14]]))))</f>
        <v>0</v>
      </c>
      <c r="AC340" s="75" t="b">
        <f>IF(Tab.11[[#This Row],[a1]]=1,IF($AC$3=0,Tab.11[[#This Row],[φ1]],Tab.11[[#This Row],[φ1]]/MAX(Tab.11[φ1])))</f>
        <v>0</v>
      </c>
      <c r="AD340" s="74" t="b">
        <f>IF(Tab.11[[#This Row],[a1]]=1,1/Tab.11[[#This Row],[φ2]])</f>
        <v>0</v>
      </c>
      <c r="AE340" s="74" t="b">
        <f>IF(Tab.11[[#This Row],[a1]]=1,IF($AE$3=0,Tab.11[[#This Row],[w.0]],Tab.11[[#This Row],[w.0]]/SUM(Tab.11[w.0])))</f>
        <v>0</v>
      </c>
      <c r="AF340" s="76" t="str">
        <f>IF(Tab.11[[#This Row],[a1]]=0,"false",[3]!Tab.x5[[#This Row],[%_seN_C]])</f>
        <v>false</v>
      </c>
      <c r="AG340" s="77" t="b">
        <f>IF(Tab.11[[#This Row],[a1]]=1,AP340)</f>
        <v>0</v>
      </c>
      <c r="AH340" s="78" t="b">
        <f>IF(Tab.11[[#This Row],[a1]]=1,AQ340)</f>
        <v>0</v>
      </c>
      <c r="AI340" s="41">
        <v>3.0000000000000001E-3</v>
      </c>
      <c r="AJ340" s="79">
        <v>-0.09</v>
      </c>
      <c r="AK340" s="80" t="b">
        <f>IF(Tab.11[[#This Row],[a1]]=1,1)</f>
        <v>0</v>
      </c>
      <c r="AZ340"/>
    </row>
    <row r="341" spans="1:52" hidden="1" x14ac:dyDescent="0.25">
      <c r="A341" s="61">
        <f t="shared" ref="A341:B404" si="13">AM341</f>
        <v>0</v>
      </c>
      <c r="B341" s="62">
        <f t="shared" si="13"/>
        <v>0</v>
      </c>
      <c r="C341" s="62" t="b">
        <f>IF(Tab.11[[#This Row],[a1]]=1,[3]!Tab_x1[[#This Row],[Name]])</f>
        <v>0</v>
      </c>
      <c r="D341" s="63" t="b">
        <f>IF(Tab.11[[#This Row],[a1]]=1,AO341)</f>
        <v>0</v>
      </c>
      <c r="E341" s="63">
        <f t="shared" si="12"/>
        <v>0</v>
      </c>
      <c r="F341" s="64" t="b">
        <f>IF(Tab.11[[#This Row],[a1]]=1,Tab.11[[#This Row],[b1]])</f>
        <v>0</v>
      </c>
      <c r="G341" s="65" t="b">
        <f>IF(Tab.11[[#This Row],[a1]]=1,IF(Tab.11[[#This Row],[b3]]&gt;$L$989*$G$3,$L$989*$G$3,IF(Tab.11[[#This Row],[b3]]&lt;$M$989*$G$3,$M$989*$G$3,Tab.11[[#This Row],[b3]])))</f>
        <v>0</v>
      </c>
      <c r="H341" s="66" t="b">
        <f>IF(Tab.11[[#This Row],[a1]]=1,Tab.11[[#This Row],[b1]])</f>
        <v>0</v>
      </c>
      <c r="I341" s="67" t="b">
        <f>IF(Tab.11[[#This Row],[a1]]=1,Tab.11[[#This Row],[b1]])</f>
        <v>0</v>
      </c>
      <c r="J341" s="68" t="b">
        <f>IF(Tab.11[[#This Row],[a1]]=1,IF($I$3&lt;0,Tab.11[[#This Row],[b5]]-$I$3,Tab.11[[#This Row],[b5]]))</f>
        <v>0</v>
      </c>
      <c r="K341" s="68" t="b">
        <f>IF(Tab.11[[#This Row],[a1]]=1,IF($K$3=0,Tab.11[b6],Tab.11[[#This Row],[b6]]-AVERAGE(Tab.11[b6])))</f>
        <v>0</v>
      </c>
      <c r="L341" s="69" t="b">
        <f>IF(Tab.11[[#This Row],[a1]]=1,Tab.11[[#This Row],[data]]/(_xlfn.STDEV.P(Tab.11[data])*$B$989)+$A$989)</f>
        <v>0</v>
      </c>
      <c r="M341" s="69" t="b">
        <f>IF(Tab.11[[#This Row],[a1]]=1,Tab.11[[#This Row],[data]]/(_xlfn.STDEV.P(Tab.11[data])*$B$987)-$A$987)</f>
        <v>0</v>
      </c>
      <c r="N341" s="69" t="b">
        <f>IF(Tab.11[[#This Row],[a1]]=1,Tab.11[[#This Row],[data]]/(_xlfn.STDEV.P(Tab.11[data])*$B$988)+$A$988)</f>
        <v>0</v>
      </c>
      <c r="O341" s="70" t="b">
        <f>IF(Tab.11[[#This Row],[a1]]=1,_xlfn.NORM.DIST(Tab.11[[#This Row],[b8]],$P$1,$Q$1,FALSE))</f>
        <v>0</v>
      </c>
      <c r="P341" s="70" t="b">
        <f>IF(Tab.11[[#This Row],[a1]]=1,_xlfn.NORM.DIST(Tab.11[[#This Row],[b9]],$P$1,$Q$1,FALSE))</f>
        <v>0</v>
      </c>
      <c r="Q341" s="70" t="b">
        <f>IF(Tab.11[[#This Row],[a1]]=1,_xlfn.NORM.DIST(Tab.11[[#This Row],[b10]],$P$1,$Q$1,FALSE))</f>
        <v>0</v>
      </c>
      <c r="R341" s="67" t="b">
        <f>IF(Tab.11[[#This Row],[a1]]=1,$I$3+$A$989+IF($K$3=0,Tab.11[[#This Row],[b8]]*_xlfn.STDEV.P(Tab.11[data]),AVERAGE(Tab.11[b6])+Tab.11[[#This Row],[b8]]*_xlfn.STDEV.P(Tab.11[data])))</f>
        <v>0</v>
      </c>
      <c r="S341" s="71" t="b">
        <f>IF(Tab.11[[#This Row],[a1]]=1,$I$3+$A$987+IF($K$3=0,Tab.11[[#This Row],[b9]]*_xlfn.STDEV.P(Tab.11[data]),AVERAGE(Tab.11[b6])+Tab.11[[#This Row],[b9]]*_xlfn.STDEV.P(Tab.11[data])))</f>
        <v>0</v>
      </c>
      <c r="T341" s="71" t="b">
        <f>IF(Tab.11[[#This Row],[a1]]=1,$I$3+$A$988+IF($K$3=0,Tab.11[[#This Row],[b10]]*_xlfn.STDEV.P(Tab.11[data]),AVERAGE(Tab.11[b6])+Tab.11[[#This Row],[b10]]*_xlfn.STDEV.P(Tab.11[data])))</f>
        <v>0</v>
      </c>
      <c r="U341" s="72" t="b">
        <f>IF(Tab.11[[#This Row],[a1]]=1,Tab.11[[#This Row],[target]]-Tab.11[[#This Row],[Red]])</f>
        <v>0</v>
      </c>
      <c r="V341" s="72" t="b">
        <f>IF(Tab.11[[#This Row],[a1]]=1,Tab.11[[#This Row],[target]]-Tab.11[[#This Row],[Blue]])</f>
        <v>0</v>
      </c>
      <c r="W341" s="73" t="b">
        <f>IF(Tab.11[[#This Row],[a1]]=1,IF(ABS(Tab.11[[#This Row],[b17]])+ABS(Tab.11[[#This Row],[b18]])&lt;$W$2,$W$2,ABS(Tab.11[[#This Row],[b17]])+ABS(Tab.11[[#This Row],[b18]])))</f>
        <v>0</v>
      </c>
      <c r="X341" s="136" t="b">
        <f>IF(Tab.11[[#This Row],[a1]]=1,IF($W$3&lt;0,Tab.11[[#This Row],[IN]]-$I$3,Tab.11[[#This Row],[IN]]))</f>
        <v>0</v>
      </c>
      <c r="Y341" s="136" t="b">
        <f>IF(Tab.11[[#This Row],[a1]]=1,IF($X$3=0,Tab.11[b66],Tab.11[[#This Row],[b66]]-AVERAGE(Tab.11[b66])))</f>
        <v>0</v>
      </c>
      <c r="Z341" s="135" t="b">
        <f>IF(Tab.11[[#This Row],[a1]]=1,Tab.11[[#This Row],[b77]]/(_xlfn.STDEV.P(Tab.11[b77])))</f>
        <v>0</v>
      </c>
      <c r="AA341" s="70" t="b">
        <f>IF(Tab.11[[#This Row],[a1]]=1,_xlfn.NORM.DIST(Tab.11[[#This Row],[b88]],$Z$1,$AA$1,FALSE))</f>
        <v>0</v>
      </c>
      <c r="AB341" s="74" t="b">
        <f>IF(Tab.11[[#This Row],[a1]]=1,IF($A$3=0,FALSE,1/Tab.11[[#This Row],[IN]]*$AC$2*IF(Tab.11[[#This Row],[a1]]=0,,$A$3*$AC$1*1/$V$3*(Tab.11[[#This Row],[b14]]))))</f>
        <v>0</v>
      </c>
      <c r="AC341" s="75" t="b">
        <f>IF(Tab.11[[#This Row],[a1]]=1,IF($AC$3=0,Tab.11[[#This Row],[φ1]],Tab.11[[#This Row],[φ1]]/MAX(Tab.11[φ1])))</f>
        <v>0</v>
      </c>
      <c r="AD341" s="74" t="b">
        <f>IF(Tab.11[[#This Row],[a1]]=1,1/Tab.11[[#This Row],[φ2]])</f>
        <v>0</v>
      </c>
      <c r="AE341" s="74" t="b">
        <f>IF(Tab.11[[#This Row],[a1]]=1,IF($AE$3=0,Tab.11[[#This Row],[w.0]],Tab.11[[#This Row],[w.0]]/SUM(Tab.11[w.0])))</f>
        <v>0</v>
      </c>
      <c r="AF341" s="76" t="str">
        <f>IF(Tab.11[[#This Row],[a1]]=0,"false",[3]!Tab.x5[[#This Row],[%_seN_C]])</f>
        <v>false</v>
      </c>
      <c r="AG341" s="77" t="b">
        <f>IF(Tab.11[[#This Row],[a1]]=1,AP341)</f>
        <v>0</v>
      </c>
      <c r="AH341" s="78" t="b">
        <f>IF(Tab.11[[#This Row],[a1]]=1,AQ341)</f>
        <v>0</v>
      </c>
      <c r="AI341" s="41">
        <v>3.0000000000000001E-3</v>
      </c>
      <c r="AJ341" s="79">
        <v>-0.06</v>
      </c>
      <c r="AK341" s="80" t="b">
        <f>IF(Tab.11[[#This Row],[a1]]=1,1)</f>
        <v>0</v>
      </c>
      <c r="AZ341"/>
    </row>
    <row r="342" spans="1:52" hidden="1" x14ac:dyDescent="0.25">
      <c r="A342" s="61">
        <f t="shared" si="13"/>
        <v>0</v>
      </c>
      <c r="B342" s="62">
        <f t="shared" si="13"/>
        <v>0</v>
      </c>
      <c r="C342" s="62" t="b">
        <f>IF(Tab.11[[#This Row],[a1]]=1,[3]!Tab_x1[[#This Row],[Name]])</f>
        <v>0</v>
      </c>
      <c r="D342" s="63" t="b">
        <f>IF(Tab.11[[#This Row],[a1]]=1,AO342)</f>
        <v>0</v>
      </c>
      <c r="E342" s="63">
        <f t="shared" si="12"/>
        <v>0</v>
      </c>
      <c r="F342" s="64" t="b">
        <f>IF(Tab.11[[#This Row],[a1]]=1,Tab.11[[#This Row],[b1]])</f>
        <v>0</v>
      </c>
      <c r="G342" s="65" t="b">
        <f>IF(Tab.11[[#This Row],[a1]]=1,IF(Tab.11[[#This Row],[b3]]&gt;$L$989*$G$3,$L$989*$G$3,IF(Tab.11[[#This Row],[b3]]&lt;$M$989*$G$3,$M$989*$G$3,Tab.11[[#This Row],[b3]])))</f>
        <v>0</v>
      </c>
      <c r="H342" s="66" t="b">
        <f>IF(Tab.11[[#This Row],[a1]]=1,Tab.11[[#This Row],[b1]])</f>
        <v>0</v>
      </c>
      <c r="I342" s="67" t="b">
        <f>IF(Tab.11[[#This Row],[a1]]=1,Tab.11[[#This Row],[b1]])</f>
        <v>0</v>
      </c>
      <c r="J342" s="68" t="b">
        <f>IF(Tab.11[[#This Row],[a1]]=1,IF($I$3&lt;0,Tab.11[[#This Row],[b5]]-$I$3,Tab.11[[#This Row],[b5]]))</f>
        <v>0</v>
      </c>
      <c r="K342" s="68" t="b">
        <f>IF(Tab.11[[#This Row],[a1]]=1,IF($K$3=0,Tab.11[b6],Tab.11[[#This Row],[b6]]-AVERAGE(Tab.11[b6])))</f>
        <v>0</v>
      </c>
      <c r="L342" s="69" t="b">
        <f>IF(Tab.11[[#This Row],[a1]]=1,Tab.11[[#This Row],[data]]/(_xlfn.STDEV.P(Tab.11[data])*$B$989)+$A$989)</f>
        <v>0</v>
      </c>
      <c r="M342" s="69" t="b">
        <f>IF(Tab.11[[#This Row],[a1]]=1,Tab.11[[#This Row],[data]]/(_xlfn.STDEV.P(Tab.11[data])*$B$987)-$A$987)</f>
        <v>0</v>
      </c>
      <c r="N342" s="69" t="b">
        <f>IF(Tab.11[[#This Row],[a1]]=1,Tab.11[[#This Row],[data]]/(_xlfn.STDEV.P(Tab.11[data])*$B$988)+$A$988)</f>
        <v>0</v>
      </c>
      <c r="O342" s="70" t="b">
        <f>IF(Tab.11[[#This Row],[a1]]=1,_xlfn.NORM.DIST(Tab.11[[#This Row],[b8]],$P$1,$Q$1,FALSE))</f>
        <v>0</v>
      </c>
      <c r="P342" s="70" t="b">
        <f>IF(Tab.11[[#This Row],[a1]]=1,_xlfn.NORM.DIST(Tab.11[[#This Row],[b9]],$P$1,$Q$1,FALSE))</f>
        <v>0</v>
      </c>
      <c r="Q342" s="70" t="b">
        <f>IF(Tab.11[[#This Row],[a1]]=1,_xlfn.NORM.DIST(Tab.11[[#This Row],[b10]],$P$1,$Q$1,FALSE))</f>
        <v>0</v>
      </c>
      <c r="R342" s="67" t="b">
        <f>IF(Tab.11[[#This Row],[a1]]=1,$I$3+$A$989+IF($K$3=0,Tab.11[[#This Row],[b8]]*_xlfn.STDEV.P(Tab.11[data]),AVERAGE(Tab.11[b6])+Tab.11[[#This Row],[b8]]*_xlfn.STDEV.P(Tab.11[data])))</f>
        <v>0</v>
      </c>
      <c r="S342" s="71" t="b">
        <f>IF(Tab.11[[#This Row],[a1]]=1,$I$3+$A$987+IF($K$3=0,Tab.11[[#This Row],[b9]]*_xlfn.STDEV.P(Tab.11[data]),AVERAGE(Tab.11[b6])+Tab.11[[#This Row],[b9]]*_xlfn.STDEV.P(Tab.11[data])))</f>
        <v>0</v>
      </c>
      <c r="T342" s="71" t="b">
        <f>IF(Tab.11[[#This Row],[a1]]=1,$I$3+$A$988+IF($K$3=0,Tab.11[[#This Row],[b10]]*_xlfn.STDEV.P(Tab.11[data]),AVERAGE(Tab.11[b6])+Tab.11[[#This Row],[b10]]*_xlfn.STDEV.P(Tab.11[data])))</f>
        <v>0</v>
      </c>
      <c r="U342" s="72" t="b">
        <f>IF(Tab.11[[#This Row],[a1]]=1,Tab.11[[#This Row],[target]]-Tab.11[[#This Row],[Red]])</f>
        <v>0</v>
      </c>
      <c r="V342" s="72" t="b">
        <f>IF(Tab.11[[#This Row],[a1]]=1,Tab.11[[#This Row],[target]]-Tab.11[[#This Row],[Blue]])</f>
        <v>0</v>
      </c>
      <c r="W342" s="73" t="b">
        <f>IF(Tab.11[[#This Row],[a1]]=1,IF(ABS(Tab.11[[#This Row],[b17]])+ABS(Tab.11[[#This Row],[b18]])&lt;$W$2,$W$2,ABS(Tab.11[[#This Row],[b17]])+ABS(Tab.11[[#This Row],[b18]])))</f>
        <v>0</v>
      </c>
      <c r="X342" s="136" t="b">
        <f>IF(Tab.11[[#This Row],[a1]]=1,IF($W$3&lt;0,Tab.11[[#This Row],[IN]]-$I$3,Tab.11[[#This Row],[IN]]))</f>
        <v>0</v>
      </c>
      <c r="Y342" s="136" t="b">
        <f>IF(Tab.11[[#This Row],[a1]]=1,IF($X$3=0,Tab.11[b66],Tab.11[[#This Row],[b66]]-AVERAGE(Tab.11[b66])))</f>
        <v>0</v>
      </c>
      <c r="Z342" s="135" t="b">
        <f>IF(Tab.11[[#This Row],[a1]]=1,Tab.11[[#This Row],[b77]]/(_xlfn.STDEV.P(Tab.11[b77])))</f>
        <v>0</v>
      </c>
      <c r="AA342" s="70" t="b">
        <f>IF(Tab.11[[#This Row],[a1]]=1,_xlfn.NORM.DIST(Tab.11[[#This Row],[b88]],$Z$1,$AA$1,FALSE))</f>
        <v>0</v>
      </c>
      <c r="AB342" s="74" t="b">
        <f>IF(Tab.11[[#This Row],[a1]]=1,IF($A$3=0,FALSE,1/Tab.11[[#This Row],[IN]]*$AC$2*IF(Tab.11[[#This Row],[a1]]=0,,$A$3*$AC$1*1/$V$3*(Tab.11[[#This Row],[b14]]))))</f>
        <v>0</v>
      </c>
      <c r="AC342" s="75" t="b">
        <f>IF(Tab.11[[#This Row],[a1]]=1,IF($AC$3=0,Tab.11[[#This Row],[φ1]],Tab.11[[#This Row],[φ1]]/MAX(Tab.11[φ1])))</f>
        <v>0</v>
      </c>
      <c r="AD342" s="74" t="b">
        <f>IF(Tab.11[[#This Row],[a1]]=1,1/Tab.11[[#This Row],[φ2]])</f>
        <v>0</v>
      </c>
      <c r="AE342" s="74" t="b">
        <f>IF(Tab.11[[#This Row],[a1]]=1,IF($AE$3=0,Tab.11[[#This Row],[w.0]],Tab.11[[#This Row],[w.0]]/SUM(Tab.11[w.0])))</f>
        <v>0</v>
      </c>
      <c r="AF342" s="76" t="str">
        <f>IF(Tab.11[[#This Row],[a1]]=0,"false",[3]!Tab.x5[[#This Row],[%_seN_C]])</f>
        <v>false</v>
      </c>
      <c r="AG342" s="77" t="b">
        <f>IF(Tab.11[[#This Row],[a1]]=1,AP342)</f>
        <v>0</v>
      </c>
      <c r="AH342" s="78" t="b">
        <f>IF(Tab.11[[#This Row],[a1]]=1,AQ342)</f>
        <v>0</v>
      </c>
      <c r="AI342" s="41">
        <v>3.0000000000000001E-3</v>
      </c>
      <c r="AJ342" s="79">
        <v>0.01</v>
      </c>
      <c r="AK342" s="80" t="b">
        <f>IF(Tab.11[[#This Row],[a1]]=1,1)</f>
        <v>0</v>
      </c>
      <c r="AZ342"/>
    </row>
    <row r="343" spans="1:52" hidden="1" x14ac:dyDescent="0.25">
      <c r="A343" s="61">
        <f t="shared" si="13"/>
        <v>0</v>
      </c>
      <c r="B343" s="62">
        <f t="shared" si="13"/>
        <v>0</v>
      </c>
      <c r="C343" s="62" t="b">
        <f>IF(Tab.11[[#This Row],[a1]]=1,[3]!Tab_x1[[#This Row],[Name]])</f>
        <v>0</v>
      </c>
      <c r="D343" s="63" t="b">
        <f>IF(Tab.11[[#This Row],[a1]]=1,AO343)</f>
        <v>0</v>
      </c>
      <c r="E343" s="63">
        <f t="shared" si="12"/>
        <v>0</v>
      </c>
      <c r="F343" s="64" t="b">
        <f>IF(Tab.11[[#This Row],[a1]]=1,Tab.11[[#This Row],[b1]])</f>
        <v>0</v>
      </c>
      <c r="G343" s="65" t="b">
        <f>IF(Tab.11[[#This Row],[a1]]=1,IF(Tab.11[[#This Row],[b3]]&gt;$L$989*$G$3,$L$989*$G$3,IF(Tab.11[[#This Row],[b3]]&lt;$M$989*$G$3,$M$989*$G$3,Tab.11[[#This Row],[b3]])))</f>
        <v>0</v>
      </c>
      <c r="H343" s="66" t="b">
        <f>IF(Tab.11[[#This Row],[a1]]=1,Tab.11[[#This Row],[b1]])</f>
        <v>0</v>
      </c>
      <c r="I343" s="67" t="b">
        <f>IF(Tab.11[[#This Row],[a1]]=1,Tab.11[[#This Row],[b1]])</f>
        <v>0</v>
      </c>
      <c r="J343" s="68" t="b">
        <f>IF(Tab.11[[#This Row],[a1]]=1,IF($I$3&lt;0,Tab.11[[#This Row],[b5]]-$I$3,Tab.11[[#This Row],[b5]]))</f>
        <v>0</v>
      </c>
      <c r="K343" s="68" t="b">
        <f>IF(Tab.11[[#This Row],[a1]]=1,IF($K$3=0,Tab.11[b6],Tab.11[[#This Row],[b6]]-AVERAGE(Tab.11[b6])))</f>
        <v>0</v>
      </c>
      <c r="L343" s="69" t="b">
        <f>IF(Tab.11[[#This Row],[a1]]=1,Tab.11[[#This Row],[data]]/(_xlfn.STDEV.P(Tab.11[data])*$B$989)+$A$989)</f>
        <v>0</v>
      </c>
      <c r="M343" s="69" t="b">
        <f>IF(Tab.11[[#This Row],[a1]]=1,Tab.11[[#This Row],[data]]/(_xlfn.STDEV.P(Tab.11[data])*$B$987)-$A$987)</f>
        <v>0</v>
      </c>
      <c r="N343" s="69" t="b">
        <f>IF(Tab.11[[#This Row],[a1]]=1,Tab.11[[#This Row],[data]]/(_xlfn.STDEV.P(Tab.11[data])*$B$988)+$A$988)</f>
        <v>0</v>
      </c>
      <c r="O343" s="70" t="b">
        <f>IF(Tab.11[[#This Row],[a1]]=1,_xlfn.NORM.DIST(Tab.11[[#This Row],[b8]],$P$1,$Q$1,FALSE))</f>
        <v>0</v>
      </c>
      <c r="P343" s="70" t="b">
        <f>IF(Tab.11[[#This Row],[a1]]=1,_xlfn.NORM.DIST(Tab.11[[#This Row],[b9]],$P$1,$Q$1,FALSE))</f>
        <v>0</v>
      </c>
      <c r="Q343" s="70" t="b">
        <f>IF(Tab.11[[#This Row],[a1]]=1,_xlfn.NORM.DIST(Tab.11[[#This Row],[b10]],$P$1,$Q$1,FALSE))</f>
        <v>0</v>
      </c>
      <c r="R343" s="67" t="b">
        <f>IF(Tab.11[[#This Row],[a1]]=1,$I$3+$A$989+IF($K$3=0,Tab.11[[#This Row],[b8]]*_xlfn.STDEV.P(Tab.11[data]),AVERAGE(Tab.11[b6])+Tab.11[[#This Row],[b8]]*_xlfn.STDEV.P(Tab.11[data])))</f>
        <v>0</v>
      </c>
      <c r="S343" s="71" t="b">
        <f>IF(Tab.11[[#This Row],[a1]]=1,$I$3+$A$987+IF($K$3=0,Tab.11[[#This Row],[b9]]*_xlfn.STDEV.P(Tab.11[data]),AVERAGE(Tab.11[b6])+Tab.11[[#This Row],[b9]]*_xlfn.STDEV.P(Tab.11[data])))</f>
        <v>0</v>
      </c>
      <c r="T343" s="71" t="b">
        <f>IF(Tab.11[[#This Row],[a1]]=1,$I$3+$A$988+IF($K$3=0,Tab.11[[#This Row],[b10]]*_xlfn.STDEV.P(Tab.11[data]),AVERAGE(Tab.11[b6])+Tab.11[[#This Row],[b10]]*_xlfn.STDEV.P(Tab.11[data])))</f>
        <v>0</v>
      </c>
      <c r="U343" s="72" t="b">
        <f>IF(Tab.11[[#This Row],[a1]]=1,Tab.11[[#This Row],[target]]-Tab.11[[#This Row],[Red]])</f>
        <v>0</v>
      </c>
      <c r="V343" s="72" t="b">
        <f>IF(Tab.11[[#This Row],[a1]]=1,Tab.11[[#This Row],[target]]-Tab.11[[#This Row],[Blue]])</f>
        <v>0</v>
      </c>
      <c r="W343" s="73" t="b">
        <f>IF(Tab.11[[#This Row],[a1]]=1,IF(ABS(Tab.11[[#This Row],[b17]])+ABS(Tab.11[[#This Row],[b18]])&lt;$W$2,$W$2,ABS(Tab.11[[#This Row],[b17]])+ABS(Tab.11[[#This Row],[b18]])))</f>
        <v>0</v>
      </c>
      <c r="X343" s="136" t="b">
        <f>IF(Tab.11[[#This Row],[a1]]=1,IF($W$3&lt;0,Tab.11[[#This Row],[IN]]-$I$3,Tab.11[[#This Row],[IN]]))</f>
        <v>0</v>
      </c>
      <c r="Y343" s="136" t="b">
        <f>IF(Tab.11[[#This Row],[a1]]=1,IF($X$3=0,Tab.11[b66],Tab.11[[#This Row],[b66]]-AVERAGE(Tab.11[b66])))</f>
        <v>0</v>
      </c>
      <c r="Z343" s="135" t="b">
        <f>IF(Tab.11[[#This Row],[a1]]=1,Tab.11[[#This Row],[b77]]/(_xlfn.STDEV.P(Tab.11[b77])))</f>
        <v>0</v>
      </c>
      <c r="AA343" s="70" t="b">
        <f>IF(Tab.11[[#This Row],[a1]]=1,_xlfn.NORM.DIST(Tab.11[[#This Row],[b88]],$Z$1,$AA$1,FALSE))</f>
        <v>0</v>
      </c>
      <c r="AB343" s="74" t="b">
        <f>IF(Tab.11[[#This Row],[a1]]=1,IF($A$3=0,FALSE,1/Tab.11[[#This Row],[IN]]*$AC$2*IF(Tab.11[[#This Row],[a1]]=0,,$A$3*$AC$1*1/$V$3*(Tab.11[[#This Row],[b14]]))))</f>
        <v>0</v>
      </c>
      <c r="AC343" s="75" t="b">
        <f>IF(Tab.11[[#This Row],[a1]]=1,IF($AC$3=0,Tab.11[[#This Row],[φ1]],Tab.11[[#This Row],[φ1]]/MAX(Tab.11[φ1])))</f>
        <v>0</v>
      </c>
      <c r="AD343" s="74" t="b">
        <f>IF(Tab.11[[#This Row],[a1]]=1,1/Tab.11[[#This Row],[φ2]])</f>
        <v>0</v>
      </c>
      <c r="AE343" s="74" t="b">
        <f>IF(Tab.11[[#This Row],[a1]]=1,IF($AE$3=0,Tab.11[[#This Row],[w.0]],Tab.11[[#This Row],[w.0]]/SUM(Tab.11[w.0])))</f>
        <v>0</v>
      </c>
      <c r="AF343" s="76" t="str">
        <f>IF(Tab.11[[#This Row],[a1]]=0,"false",[3]!Tab.x5[[#This Row],[%_seN_C]])</f>
        <v>false</v>
      </c>
      <c r="AG343" s="77" t="b">
        <f>IF(Tab.11[[#This Row],[a1]]=1,AP343)</f>
        <v>0</v>
      </c>
      <c r="AH343" s="78" t="b">
        <f>IF(Tab.11[[#This Row],[a1]]=1,AQ343)</f>
        <v>0</v>
      </c>
      <c r="AI343" s="41">
        <v>3.0000000000000001E-3</v>
      </c>
      <c r="AJ343" s="79">
        <v>0.09</v>
      </c>
      <c r="AK343" s="80" t="b">
        <f>IF(Tab.11[[#This Row],[a1]]=1,1)</f>
        <v>0</v>
      </c>
      <c r="AZ343"/>
    </row>
    <row r="344" spans="1:52" hidden="1" x14ac:dyDescent="0.25">
      <c r="A344" s="61">
        <f t="shared" si="13"/>
        <v>0</v>
      </c>
      <c r="B344" s="62">
        <f t="shared" si="13"/>
        <v>0</v>
      </c>
      <c r="C344" s="62" t="b">
        <f>IF(Tab.11[[#This Row],[a1]]=1,[3]!Tab_x1[[#This Row],[Name]])</f>
        <v>0</v>
      </c>
      <c r="D344" s="63" t="b">
        <f>IF(Tab.11[[#This Row],[a1]]=1,AO344)</f>
        <v>0</v>
      </c>
      <c r="E344" s="63">
        <f t="shared" si="12"/>
        <v>0</v>
      </c>
      <c r="F344" s="64" t="b">
        <f>IF(Tab.11[[#This Row],[a1]]=1,Tab.11[[#This Row],[b1]])</f>
        <v>0</v>
      </c>
      <c r="G344" s="65" t="b">
        <f>IF(Tab.11[[#This Row],[a1]]=1,IF(Tab.11[[#This Row],[b3]]&gt;$L$989*$G$3,$L$989*$G$3,IF(Tab.11[[#This Row],[b3]]&lt;$M$989*$G$3,$M$989*$G$3,Tab.11[[#This Row],[b3]])))</f>
        <v>0</v>
      </c>
      <c r="H344" s="66" t="b">
        <f>IF(Tab.11[[#This Row],[a1]]=1,Tab.11[[#This Row],[b1]])</f>
        <v>0</v>
      </c>
      <c r="I344" s="67" t="b">
        <f>IF(Tab.11[[#This Row],[a1]]=1,Tab.11[[#This Row],[b1]])</f>
        <v>0</v>
      </c>
      <c r="J344" s="68" t="b">
        <f>IF(Tab.11[[#This Row],[a1]]=1,IF($I$3&lt;0,Tab.11[[#This Row],[b5]]-$I$3,Tab.11[[#This Row],[b5]]))</f>
        <v>0</v>
      </c>
      <c r="K344" s="68" t="b">
        <f>IF(Tab.11[[#This Row],[a1]]=1,IF($K$3=0,Tab.11[b6],Tab.11[[#This Row],[b6]]-AVERAGE(Tab.11[b6])))</f>
        <v>0</v>
      </c>
      <c r="L344" s="69" t="b">
        <f>IF(Tab.11[[#This Row],[a1]]=1,Tab.11[[#This Row],[data]]/(_xlfn.STDEV.P(Tab.11[data])*$B$989)+$A$989)</f>
        <v>0</v>
      </c>
      <c r="M344" s="69" t="b">
        <f>IF(Tab.11[[#This Row],[a1]]=1,Tab.11[[#This Row],[data]]/(_xlfn.STDEV.P(Tab.11[data])*$B$987)-$A$987)</f>
        <v>0</v>
      </c>
      <c r="N344" s="69" t="b">
        <f>IF(Tab.11[[#This Row],[a1]]=1,Tab.11[[#This Row],[data]]/(_xlfn.STDEV.P(Tab.11[data])*$B$988)+$A$988)</f>
        <v>0</v>
      </c>
      <c r="O344" s="70" t="b">
        <f>IF(Tab.11[[#This Row],[a1]]=1,_xlfn.NORM.DIST(Tab.11[[#This Row],[b8]],$P$1,$Q$1,FALSE))</f>
        <v>0</v>
      </c>
      <c r="P344" s="70" t="b">
        <f>IF(Tab.11[[#This Row],[a1]]=1,_xlfn.NORM.DIST(Tab.11[[#This Row],[b9]],$P$1,$Q$1,FALSE))</f>
        <v>0</v>
      </c>
      <c r="Q344" s="70" t="b">
        <f>IF(Tab.11[[#This Row],[a1]]=1,_xlfn.NORM.DIST(Tab.11[[#This Row],[b10]],$P$1,$Q$1,FALSE))</f>
        <v>0</v>
      </c>
      <c r="R344" s="67" t="b">
        <f>IF(Tab.11[[#This Row],[a1]]=1,$I$3+$A$989+IF($K$3=0,Tab.11[[#This Row],[b8]]*_xlfn.STDEV.P(Tab.11[data]),AVERAGE(Tab.11[b6])+Tab.11[[#This Row],[b8]]*_xlfn.STDEV.P(Tab.11[data])))</f>
        <v>0</v>
      </c>
      <c r="S344" s="71" t="b">
        <f>IF(Tab.11[[#This Row],[a1]]=1,$I$3+$A$987+IF($K$3=0,Tab.11[[#This Row],[b9]]*_xlfn.STDEV.P(Tab.11[data]),AVERAGE(Tab.11[b6])+Tab.11[[#This Row],[b9]]*_xlfn.STDEV.P(Tab.11[data])))</f>
        <v>0</v>
      </c>
      <c r="T344" s="71" t="b">
        <f>IF(Tab.11[[#This Row],[a1]]=1,$I$3+$A$988+IF($K$3=0,Tab.11[[#This Row],[b10]]*_xlfn.STDEV.P(Tab.11[data]),AVERAGE(Tab.11[b6])+Tab.11[[#This Row],[b10]]*_xlfn.STDEV.P(Tab.11[data])))</f>
        <v>0</v>
      </c>
      <c r="U344" s="72" t="b">
        <f>IF(Tab.11[[#This Row],[a1]]=1,Tab.11[[#This Row],[target]]-Tab.11[[#This Row],[Red]])</f>
        <v>0</v>
      </c>
      <c r="V344" s="72" t="b">
        <f>IF(Tab.11[[#This Row],[a1]]=1,Tab.11[[#This Row],[target]]-Tab.11[[#This Row],[Blue]])</f>
        <v>0</v>
      </c>
      <c r="W344" s="73" t="b">
        <f>IF(Tab.11[[#This Row],[a1]]=1,IF(ABS(Tab.11[[#This Row],[b17]])+ABS(Tab.11[[#This Row],[b18]])&lt;$W$2,$W$2,ABS(Tab.11[[#This Row],[b17]])+ABS(Tab.11[[#This Row],[b18]])))</f>
        <v>0</v>
      </c>
      <c r="X344" s="136" t="b">
        <f>IF(Tab.11[[#This Row],[a1]]=1,IF($W$3&lt;0,Tab.11[[#This Row],[IN]]-$I$3,Tab.11[[#This Row],[IN]]))</f>
        <v>0</v>
      </c>
      <c r="Y344" s="136" t="b">
        <f>IF(Tab.11[[#This Row],[a1]]=1,IF($X$3=0,Tab.11[b66],Tab.11[[#This Row],[b66]]-AVERAGE(Tab.11[b66])))</f>
        <v>0</v>
      </c>
      <c r="Z344" s="135" t="b">
        <f>IF(Tab.11[[#This Row],[a1]]=1,Tab.11[[#This Row],[b77]]/(_xlfn.STDEV.P(Tab.11[b77])))</f>
        <v>0</v>
      </c>
      <c r="AA344" s="70" t="b">
        <f>IF(Tab.11[[#This Row],[a1]]=1,_xlfn.NORM.DIST(Tab.11[[#This Row],[b88]],$Z$1,$AA$1,FALSE))</f>
        <v>0</v>
      </c>
      <c r="AB344" s="74" t="b">
        <f>IF(Tab.11[[#This Row],[a1]]=1,IF($A$3=0,FALSE,1/Tab.11[[#This Row],[IN]]*$AC$2*IF(Tab.11[[#This Row],[a1]]=0,,$A$3*$AC$1*1/$V$3*(Tab.11[[#This Row],[b14]]))))</f>
        <v>0</v>
      </c>
      <c r="AC344" s="75" t="b">
        <f>IF(Tab.11[[#This Row],[a1]]=1,IF($AC$3=0,Tab.11[[#This Row],[φ1]],Tab.11[[#This Row],[φ1]]/MAX(Tab.11[φ1])))</f>
        <v>0</v>
      </c>
      <c r="AD344" s="74" t="b">
        <f>IF(Tab.11[[#This Row],[a1]]=1,1/Tab.11[[#This Row],[φ2]])</f>
        <v>0</v>
      </c>
      <c r="AE344" s="74" t="b">
        <f>IF(Tab.11[[#This Row],[a1]]=1,IF($AE$3=0,Tab.11[[#This Row],[w.0]],Tab.11[[#This Row],[w.0]]/SUM(Tab.11[w.0])))</f>
        <v>0</v>
      </c>
      <c r="AF344" s="76" t="str">
        <f>IF(Tab.11[[#This Row],[a1]]=0,"false",[3]!Tab.x5[[#This Row],[%_seN_C]])</f>
        <v>false</v>
      </c>
      <c r="AG344" s="77" t="b">
        <f>IF(Tab.11[[#This Row],[a1]]=1,AP344)</f>
        <v>0</v>
      </c>
      <c r="AH344" s="78" t="b">
        <f>IF(Tab.11[[#This Row],[a1]]=1,AQ344)</f>
        <v>0</v>
      </c>
      <c r="AI344" s="41">
        <v>3.0000000000000001E-3</v>
      </c>
      <c r="AJ344" s="79">
        <v>-0.02</v>
      </c>
      <c r="AK344" s="80" t="b">
        <f>IF(Tab.11[[#This Row],[a1]]=1,1)</f>
        <v>0</v>
      </c>
      <c r="AZ344"/>
    </row>
    <row r="345" spans="1:52" hidden="1" x14ac:dyDescent="0.25">
      <c r="A345" s="61">
        <f t="shared" si="13"/>
        <v>0</v>
      </c>
      <c r="B345" s="62">
        <f t="shared" si="13"/>
        <v>0</v>
      </c>
      <c r="C345" s="62" t="b">
        <f>IF(Tab.11[[#This Row],[a1]]=1,[3]!Tab_x1[[#This Row],[Name]])</f>
        <v>0</v>
      </c>
      <c r="D345" s="63" t="b">
        <f>IF(Tab.11[[#This Row],[a1]]=1,AO345)</f>
        <v>0</v>
      </c>
      <c r="E345" s="63">
        <f t="shared" si="12"/>
        <v>0</v>
      </c>
      <c r="F345" s="64" t="b">
        <f>IF(Tab.11[[#This Row],[a1]]=1,Tab.11[[#This Row],[b1]])</f>
        <v>0</v>
      </c>
      <c r="G345" s="65" t="b">
        <f>IF(Tab.11[[#This Row],[a1]]=1,IF(Tab.11[[#This Row],[b3]]&gt;$L$989*$G$3,$L$989*$G$3,IF(Tab.11[[#This Row],[b3]]&lt;$M$989*$G$3,$M$989*$G$3,Tab.11[[#This Row],[b3]])))</f>
        <v>0</v>
      </c>
      <c r="H345" s="66" t="b">
        <f>IF(Tab.11[[#This Row],[a1]]=1,Tab.11[[#This Row],[b1]])</f>
        <v>0</v>
      </c>
      <c r="I345" s="67" t="b">
        <f>IF(Tab.11[[#This Row],[a1]]=1,Tab.11[[#This Row],[b1]])</f>
        <v>0</v>
      </c>
      <c r="J345" s="68" t="b">
        <f>IF(Tab.11[[#This Row],[a1]]=1,IF($I$3&lt;0,Tab.11[[#This Row],[b5]]-$I$3,Tab.11[[#This Row],[b5]]))</f>
        <v>0</v>
      </c>
      <c r="K345" s="68" t="b">
        <f>IF(Tab.11[[#This Row],[a1]]=1,IF($K$3=0,Tab.11[b6],Tab.11[[#This Row],[b6]]-AVERAGE(Tab.11[b6])))</f>
        <v>0</v>
      </c>
      <c r="L345" s="69" t="b">
        <f>IF(Tab.11[[#This Row],[a1]]=1,Tab.11[[#This Row],[data]]/(_xlfn.STDEV.P(Tab.11[data])*$B$989)+$A$989)</f>
        <v>0</v>
      </c>
      <c r="M345" s="69" t="b">
        <f>IF(Tab.11[[#This Row],[a1]]=1,Tab.11[[#This Row],[data]]/(_xlfn.STDEV.P(Tab.11[data])*$B$987)-$A$987)</f>
        <v>0</v>
      </c>
      <c r="N345" s="69" t="b">
        <f>IF(Tab.11[[#This Row],[a1]]=1,Tab.11[[#This Row],[data]]/(_xlfn.STDEV.P(Tab.11[data])*$B$988)+$A$988)</f>
        <v>0</v>
      </c>
      <c r="O345" s="70" t="b">
        <f>IF(Tab.11[[#This Row],[a1]]=1,_xlfn.NORM.DIST(Tab.11[[#This Row],[b8]],$P$1,$Q$1,FALSE))</f>
        <v>0</v>
      </c>
      <c r="P345" s="70" t="b">
        <f>IF(Tab.11[[#This Row],[a1]]=1,_xlfn.NORM.DIST(Tab.11[[#This Row],[b9]],$P$1,$Q$1,FALSE))</f>
        <v>0</v>
      </c>
      <c r="Q345" s="70" t="b">
        <f>IF(Tab.11[[#This Row],[a1]]=1,_xlfn.NORM.DIST(Tab.11[[#This Row],[b10]],$P$1,$Q$1,FALSE))</f>
        <v>0</v>
      </c>
      <c r="R345" s="67" t="b">
        <f>IF(Tab.11[[#This Row],[a1]]=1,$I$3+$A$989+IF($K$3=0,Tab.11[[#This Row],[b8]]*_xlfn.STDEV.P(Tab.11[data]),AVERAGE(Tab.11[b6])+Tab.11[[#This Row],[b8]]*_xlfn.STDEV.P(Tab.11[data])))</f>
        <v>0</v>
      </c>
      <c r="S345" s="71" t="b">
        <f>IF(Tab.11[[#This Row],[a1]]=1,$I$3+$A$987+IF($K$3=0,Tab.11[[#This Row],[b9]]*_xlfn.STDEV.P(Tab.11[data]),AVERAGE(Tab.11[b6])+Tab.11[[#This Row],[b9]]*_xlfn.STDEV.P(Tab.11[data])))</f>
        <v>0</v>
      </c>
      <c r="T345" s="71" t="b">
        <f>IF(Tab.11[[#This Row],[a1]]=1,$I$3+$A$988+IF($K$3=0,Tab.11[[#This Row],[b10]]*_xlfn.STDEV.P(Tab.11[data]),AVERAGE(Tab.11[b6])+Tab.11[[#This Row],[b10]]*_xlfn.STDEV.P(Tab.11[data])))</f>
        <v>0</v>
      </c>
      <c r="U345" s="72" t="b">
        <f>IF(Tab.11[[#This Row],[a1]]=1,Tab.11[[#This Row],[target]]-Tab.11[[#This Row],[Red]])</f>
        <v>0</v>
      </c>
      <c r="V345" s="72" t="b">
        <f>IF(Tab.11[[#This Row],[a1]]=1,Tab.11[[#This Row],[target]]-Tab.11[[#This Row],[Blue]])</f>
        <v>0</v>
      </c>
      <c r="W345" s="73" t="b">
        <f>IF(Tab.11[[#This Row],[a1]]=1,IF(ABS(Tab.11[[#This Row],[b17]])+ABS(Tab.11[[#This Row],[b18]])&lt;$W$2,$W$2,ABS(Tab.11[[#This Row],[b17]])+ABS(Tab.11[[#This Row],[b18]])))</f>
        <v>0</v>
      </c>
      <c r="X345" s="136" t="b">
        <f>IF(Tab.11[[#This Row],[a1]]=1,IF($W$3&lt;0,Tab.11[[#This Row],[IN]]-$I$3,Tab.11[[#This Row],[IN]]))</f>
        <v>0</v>
      </c>
      <c r="Y345" s="136" t="b">
        <f>IF(Tab.11[[#This Row],[a1]]=1,IF($X$3=0,Tab.11[b66],Tab.11[[#This Row],[b66]]-AVERAGE(Tab.11[b66])))</f>
        <v>0</v>
      </c>
      <c r="Z345" s="135" t="b">
        <f>IF(Tab.11[[#This Row],[a1]]=1,Tab.11[[#This Row],[b77]]/(_xlfn.STDEV.P(Tab.11[b77])))</f>
        <v>0</v>
      </c>
      <c r="AA345" s="70" t="b">
        <f>IF(Tab.11[[#This Row],[a1]]=1,_xlfn.NORM.DIST(Tab.11[[#This Row],[b88]],$Z$1,$AA$1,FALSE))</f>
        <v>0</v>
      </c>
      <c r="AB345" s="74" t="b">
        <f>IF(Tab.11[[#This Row],[a1]]=1,IF($A$3=0,FALSE,1/Tab.11[[#This Row],[IN]]*$AC$2*IF(Tab.11[[#This Row],[a1]]=0,,$A$3*$AC$1*1/$V$3*(Tab.11[[#This Row],[b14]]))))</f>
        <v>0</v>
      </c>
      <c r="AC345" s="75" t="b">
        <f>IF(Tab.11[[#This Row],[a1]]=1,IF($AC$3=0,Tab.11[[#This Row],[φ1]],Tab.11[[#This Row],[φ1]]/MAX(Tab.11[φ1])))</f>
        <v>0</v>
      </c>
      <c r="AD345" s="74" t="b">
        <f>IF(Tab.11[[#This Row],[a1]]=1,1/Tab.11[[#This Row],[φ2]])</f>
        <v>0</v>
      </c>
      <c r="AE345" s="74" t="b">
        <f>IF(Tab.11[[#This Row],[a1]]=1,IF($AE$3=0,Tab.11[[#This Row],[w.0]],Tab.11[[#This Row],[w.0]]/SUM(Tab.11[w.0])))</f>
        <v>0</v>
      </c>
      <c r="AF345" s="76" t="str">
        <f>IF(Tab.11[[#This Row],[a1]]=0,"false",[3]!Tab.x5[[#This Row],[%_seN_C]])</f>
        <v>false</v>
      </c>
      <c r="AG345" s="77" t="b">
        <f>IF(Tab.11[[#This Row],[a1]]=1,AP345)</f>
        <v>0</v>
      </c>
      <c r="AH345" s="78" t="b">
        <f>IF(Tab.11[[#This Row],[a1]]=1,AQ345)</f>
        <v>0</v>
      </c>
      <c r="AI345" s="41">
        <v>3.0000000000000001E-3</v>
      </c>
      <c r="AJ345" s="79">
        <v>-0.02</v>
      </c>
      <c r="AK345" s="80" t="b">
        <f>IF(Tab.11[[#This Row],[a1]]=1,1)</f>
        <v>0</v>
      </c>
      <c r="AZ345"/>
    </row>
    <row r="346" spans="1:52" hidden="1" x14ac:dyDescent="0.25">
      <c r="A346" s="61">
        <f t="shared" si="13"/>
        <v>0</v>
      </c>
      <c r="B346" s="62">
        <f t="shared" si="13"/>
        <v>0</v>
      </c>
      <c r="C346" s="62" t="b">
        <f>IF(Tab.11[[#This Row],[a1]]=1,[3]!Tab_x1[[#This Row],[Name]])</f>
        <v>0</v>
      </c>
      <c r="D346" s="63" t="b">
        <f>IF(Tab.11[[#This Row],[a1]]=1,AO346)</f>
        <v>0</v>
      </c>
      <c r="E346" s="63">
        <f t="shared" si="12"/>
        <v>0</v>
      </c>
      <c r="F346" s="64" t="b">
        <f>IF(Tab.11[[#This Row],[a1]]=1,Tab.11[[#This Row],[b1]])</f>
        <v>0</v>
      </c>
      <c r="G346" s="65" t="b">
        <f>IF(Tab.11[[#This Row],[a1]]=1,IF(Tab.11[[#This Row],[b3]]&gt;$L$989*$G$3,$L$989*$G$3,IF(Tab.11[[#This Row],[b3]]&lt;$M$989*$G$3,$M$989*$G$3,Tab.11[[#This Row],[b3]])))</f>
        <v>0</v>
      </c>
      <c r="H346" s="66" t="b">
        <f>IF(Tab.11[[#This Row],[a1]]=1,Tab.11[[#This Row],[b1]])</f>
        <v>0</v>
      </c>
      <c r="I346" s="67" t="b">
        <f>IF(Tab.11[[#This Row],[a1]]=1,Tab.11[[#This Row],[b1]])</f>
        <v>0</v>
      </c>
      <c r="J346" s="68" t="b">
        <f>IF(Tab.11[[#This Row],[a1]]=1,IF($I$3&lt;0,Tab.11[[#This Row],[b5]]-$I$3,Tab.11[[#This Row],[b5]]))</f>
        <v>0</v>
      </c>
      <c r="K346" s="68" t="b">
        <f>IF(Tab.11[[#This Row],[a1]]=1,IF($K$3=0,Tab.11[b6],Tab.11[[#This Row],[b6]]-AVERAGE(Tab.11[b6])))</f>
        <v>0</v>
      </c>
      <c r="L346" s="69" t="b">
        <f>IF(Tab.11[[#This Row],[a1]]=1,Tab.11[[#This Row],[data]]/(_xlfn.STDEV.P(Tab.11[data])*$B$989)+$A$989)</f>
        <v>0</v>
      </c>
      <c r="M346" s="69" t="b">
        <f>IF(Tab.11[[#This Row],[a1]]=1,Tab.11[[#This Row],[data]]/(_xlfn.STDEV.P(Tab.11[data])*$B$987)-$A$987)</f>
        <v>0</v>
      </c>
      <c r="N346" s="69" t="b">
        <f>IF(Tab.11[[#This Row],[a1]]=1,Tab.11[[#This Row],[data]]/(_xlfn.STDEV.P(Tab.11[data])*$B$988)+$A$988)</f>
        <v>0</v>
      </c>
      <c r="O346" s="70" t="b">
        <f>IF(Tab.11[[#This Row],[a1]]=1,_xlfn.NORM.DIST(Tab.11[[#This Row],[b8]],$P$1,$Q$1,FALSE))</f>
        <v>0</v>
      </c>
      <c r="P346" s="70" t="b">
        <f>IF(Tab.11[[#This Row],[a1]]=1,_xlfn.NORM.DIST(Tab.11[[#This Row],[b9]],$P$1,$Q$1,FALSE))</f>
        <v>0</v>
      </c>
      <c r="Q346" s="70" t="b">
        <f>IF(Tab.11[[#This Row],[a1]]=1,_xlfn.NORM.DIST(Tab.11[[#This Row],[b10]],$P$1,$Q$1,FALSE))</f>
        <v>0</v>
      </c>
      <c r="R346" s="67" t="b">
        <f>IF(Tab.11[[#This Row],[a1]]=1,$I$3+$A$989+IF($K$3=0,Tab.11[[#This Row],[b8]]*_xlfn.STDEV.P(Tab.11[data]),AVERAGE(Tab.11[b6])+Tab.11[[#This Row],[b8]]*_xlfn.STDEV.P(Tab.11[data])))</f>
        <v>0</v>
      </c>
      <c r="S346" s="71" t="b">
        <f>IF(Tab.11[[#This Row],[a1]]=1,$I$3+$A$987+IF($K$3=0,Tab.11[[#This Row],[b9]]*_xlfn.STDEV.P(Tab.11[data]),AVERAGE(Tab.11[b6])+Tab.11[[#This Row],[b9]]*_xlfn.STDEV.P(Tab.11[data])))</f>
        <v>0</v>
      </c>
      <c r="T346" s="71" t="b">
        <f>IF(Tab.11[[#This Row],[a1]]=1,$I$3+$A$988+IF($K$3=0,Tab.11[[#This Row],[b10]]*_xlfn.STDEV.P(Tab.11[data]),AVERAGE(Tab.11[b6])+Tab.11[[#This Row],[b10]]*_xlfn.STDEV.P(Tab.11[data])))</f>
        <v>0</v>
      </c>
      <c r="U346" s="72" t="b">
        <f>IF(Tab.11[[#This Row],[a1]]=1,Tab.11[[#This Row],[target]]-Tab.11[[#This Row],[Red]])</f>
        <v>0</v>
      </c>
      <c r="V346" s="72" t="b">
        <f>IF(Tab.11[[#This Row],[a1]]=1,Tab.11[[#This Row],[target]]-Tab.11[[#This Row],[Blue]])</f>
        <v>0</v>
      </c>
      <c r="W346" s="73" t="b">
        <f>IF(Tab.11[[#This Row],[a1]]=1,IF(ABS(Tab.11[[#This Row],[b17]])+ABS(Tab.11[[#This Row],[b18]])&lt;$W$2,$W$2,ABS(Tab.11[[#This Row],[b17]])+ABS(Tab.11[[#This Row],[b18]])))</f>
        <v>0</v>
      </c>
      <c r="X346" s="136" t="b">
        <f>IF(Tab.11[[#This Row],[a1]]=1,IF($W$3&lt;0,Tab.11[[#This Row],[IN]]-$I$3,Tab.11[[#This Row],[IN]]))</f>
        <v>0</v>
      </c>
      <c r="Y346" s="136" t="b">
        <f>IF(Tab.11[[#This Row],[a1]]=1,IF($X$3=0,Tab.11[b66],Tab.11[[#This Row],[b66]]-AVERAGE(Tab.11[b66])))</f>
        <v>0</v>
      </c>
      <c r="Z346" s="135" t="b">
        <f>IF(Tab.11[[#This Row],[a1]]=1,Tab.11[[#This Row],[b77]]/(_xlfn.STDEV.P(Tab.11[b77])))</f>
        <v>0</v>
      </c>
      <c r="AA346" s="70" t="b">
        <f>IF(Tab.11[[#This Row],[a1]]=1,_xlfn.NORM.DIST(Tab.11[[#This Row],[b88]],$Z$1,$AA$1,FALSE))</f>
        <v>0</v>
      </c>
      <c r="AB346" s="74" t="b">
        <f>IF(Tab.11[[#This Row],[a1]]=1,IF($A$3=0,FALSE,1/Tab.11[[#This Row],[IN]]*$AC$2*IF(Tab.11[[#This Row],[a1]]=0,,$A$3*$AC$1*1/$V$3*(Tab.11[[#This Row],[b14]]))))</f>
        <v>0</v>
      </c>
      <c r="AC346" s="75" t="b">
        <f>IF(Tab.11[[#This Row],[a1]]=1,IF($AC$3=0,Tab.11[[#This Row],[φ1]],Tab.11[[#This Row],[φ1]]/MAX(Tab.11[φ1])))</f>
        <v>0</v>
      </c>
      <c r="AD346" s="74" t="b">
        <f>IF(Tab.11[[#This Row],[a1]]=1,1/Tab.11[[#This Row],[φ2]])</f>
        <v>0</v>
      </c>
      <c r="AE346" s="74" t="b">
        <f>IF(Tab.11[[#This Row],[a1]]=1,IF($AE$3=0,Tab.11[[#This Row],[w.0]],Tab.11[[#This Row],[w.0]]/SUM(Tab.11[w.0])))</f>
        <v>0</v>
      </c>
      <c r="AF346" s="76" t="str">
        <f>IF(Tab.11[[#This Row],[a1]]=0,"false",[3]!Tab.x5[[#This Row],[%_seN_C]])</f>
        <v>false</v>
      </c>
      <c r="AG346" s="77" t="b">
        <f>IF(Tab.11[[#This Row],[a1]]=1,AP346)</f>
        <v>0</v>
      </c>
      <c r="AH346" s="78" t="b">
        <f>IF(Tab.11[[#This Row],[a1]]=1,AQ346)</f>
        <v>0</v>
      </c>
      <c r="AI346" s="41">
        <v>3.0000000000000001E-3</v>
      </c>
      <c r="AJ346" s="79">
        <v>7.0000000000000007E-2</v>
      </c>
      <c r="AK346" s="80" t="b">
        <f>IF(Tab.11[[#This Row],[a1]]=1,1)</f>
        <v>0</v>
      </c>
      <c r="AZ346"/>
    </row>
    <row r="347" spans="1:52" hidden="1" x14ac:dyDescent="0.25">
      <c r="A347" s="61">
        <f t="shared" si="13"/>
        <v>0</v>
      </c>
      <c r="B347" s="62">
        <f t="shared" si="13"/>
        <v>0</v>
      </c>
      <c r="C347" s="62" t="b">
        <f>IF(Tab.11[[#This Row],[a1]]=1,[3]!Tab_x1[[#This Row],[Name]])</f>
        <v>0</v>
      </c>
      <c r="D347" s="63" t="b">
        <f>IF(Tab.11[[#This Row],[a1]]=1,AO347)</f>
        <v>0</v>
      </c>
      <c r="E347" s="63">
        <f t="shared" si="12"/>
        <v>0</v>
      </c>
      <c r="F347" s="64" t="b">
        <f>IF(Tab.11[[#This Row],[a1]]=1,Tab.11[[#This Row],[b1]])</f>
        <v>0</v>
      </c>
      <c r="G347" s="65" t="b">
        <f>IF(Tab.11[[#This Row],[a1]]=1,IF(Tab.11[[#This Row],[b3]]&gt;$L$989*$G$3,$L$989*$G$3,IF(Tab.11[[#This Row],[b3]]&lt;$M$989*$G$3,$M$989*$G$3,Tab.11[[#This Row],[b3]])))</f>
        <v>0</v>
      </c>
      <c r="H347" s="66" t="b">
        <f>IF(Tab.11[[#This Row],[a1]]=1,Tab.11[[#This Row],[b1]])</f>
        <v>0</v>
      </c>
      <c r="I347" s="67" t="b">
        <f>IF(Tab.11[[#This Row],[a1]]=1,Tab.11[[#This Row],[b1]])</f>
        <v>0</v>
      </c>
      <c r="J347" s="68" t="b">
        <f>IF(Tab.11[[#This Row],[a1]]=1,IF($I$3&lt;0,Tab.11[[#This Row],[b5]]-$I$3,Tab.11[[#This Row],[b5]]))</f>
        <v>0</v>
      </c>
      <c r="K347" s="68" t="b">
        <f>IF(Tab.11[[#This Row],[a1]]=1,IF($K$3=0,Tab.11[b6],Tab.11[[#This Row],[b6]]-AVERAGE(Tab.11[b6])))</f>
        <v>0</v>
      </c>
      <c r="L347" s="69" t="b">
        <f>IF(Tab.11[[#This Row],[a1]]=1,Tab.11[[#This Row],[data]]/(_xlfn.STDEV.P(Tab.11[data])*$B$989)+$A$989)</f>
        <v>0</v>
      </c>
      <c r="M347" s="69" t="b">
        <f>IF(Tab.11[[#This Row],[a1]]=1,Tab.11[[#This Row],[data]]/(_xlfn.STDEV.P(Tab.11[data])*$B$987)-$A$987)</f>
        <v>0</v>
      </c>
      <c r="N347" s="69" t="b">
        <f>IF(Tab.11[[#This Row],[a1]]=1,Tab.11[[#This Row],[data]]/(_xlfn.STDEV.P(Tab.11[data])*$B$988)+$A$988)</f>
        <v>0</v>
      </c>
      <c r="O347" s="70" t="b">
        <f>IF(Tab.11[[#This Row],[a1]]=1,_xlfn.NORM.DIST(Tab.11[[#This Row],[b8]],$P$1,$Q$1,FALSE))</f>
        <v>0</v>
      </c>
      <c r="P347" s="70" t="b">
        <f>IF(Tab.11[[#This Row],[a1]]=1,_xlfn.NORM.DIST(Tab.11[[#This Row],[b9]],$P$1,$Q$1,FALSE))</f>
        <v>0</v>
      </c>
      <c r="Q347" s="70" t="b">
        <f>IF(Tab.11[[#This Row],[a1]]=1,_xlfn.NORM.DIST(Tab.11[[#This Row],[b10]],$P$1,$Q$1,FALSE))</f>
        <v>0</v>
      </c>
      <c r="R347" s="67" t="b">
        <f>IF(Tab.11[[#This Row],[a1]]=1,$I$3+$A$989+IF($K$3=0,Tab.11[[#This Row],[b8]]*_xlfn.STDEV.P(Tab.11[data]),AVERAGE(Tab.11[b6])+Tab.11[[#This Row],[b8]]*_xlfn.STDEV.P(Tab.11[data])))</f>
        <v>0</v>
      </c>
      <c r="S347" s="71" t="b">
        <f>IF(Tab.11[[#This Row],[a1]]=1,$I$3+$A$987+IF($K$3=0,Tab.11[[#This Row],[b9]]*_xlfn.STDEV.P(Tab.11[data]),AVERAGE(Tab.11[b6])+Tab.11[[#This Row],[b9]]*_xlfn.STDEV.P(Tab.11[data])))</f>
        <v>0</v>
      </c>
      <c r="T347" s="71" t="b">
        <f>IF(Tab.11[[#This Row],[a1]]=1,$I$3+$A$988+IF($K$3=0,Tab.11[[#This Row],[b10]]*_xlfn.STDEV.P(Tab.11[data]),AVERAGE(Tab.11[b6])+Tab.11[[#This Row],[b10]]*_xlfn.STDEV.P(Tab.11[data])))</f>
        <v>0</v>
      </c>
      <c r="U347" s="72" t="b">
        <f>IF(Tab.11[[#This Row],[a1]]=1,Tab.11[[#This Row],[target]]-Tab.11[[#This Row],[Red]])</f>
        <v>0</v>
      </c>
      <c r="V347" s="72" t="b">
        <f>IF(Tab.11[[#This Row],[a1]]=1,Tab.11[[#This Row],[target]]-Tab.11[[#This Row],[Blue]])</f>
        <v>0</v>
      </c>
      <c r="W347" s="73" t="b">
        <f>IF(Tab.11[[#This Row],[a1]]=1,IF(ABS(Tab.11[[#This Row],[b17]])+ABS(Tab.11[[#This Row],[b18]])&lt;$W$2,$W$2,ABS(Tab.11[[#This Row],[b17]])+ABS(Tab.11[[#This Row],[b18]])))</f>
        <v>0</v>
      </c>
      <c r="X347" s="136" t="b">
        <f>IF(Tab.11[[#This Row],[a1]]=1,IF($W$3&lt;0,Tab.11[[#This Row],[IN]]-$I$3,Tab.11[[#This Row],[IN]]))</f>
        <v>0</v>
      </c>
      <c r="Y347" s="136" t="b">
        <f>IF(Tab.11[[#This Row],[a1]]=1,IF($X$3=0,Tab.11[b66],Tab.11[[#This Row],[b66]]-AVERAGE(Tab.11[b66])))</f>
        <v>0</v>
      </c>
      <c r="Z347" s="135" t="b">
        <f>IF(Tab.11[[#This Row],[a1]]=1,Tab.11[[#This Row],[b77]]/(_xlfn.STDEV.P(Tab.11[b77])))</f>
        <v>0</v>
      </c>
      <c r="AA347" s="70" t="b">
        <f>IF(Tab.11[[#This Row],[a1]]=1,_xlfn.NORM.DIST(Tab.11[[#This Row],[b88]],$Z$1,$AA$1,FALSE))</f>
        <v>0</v>
      </c>
      <c r="AB347" s="74" t="b">
        <f>IF(Tab.11[[#This Row],[a1]]=1,IF($A$3=0,FALSE,1/Tab.11[[#This Row],[IN]]*$AC$2*IF(Tab.11[[#This Row],[a1]]=0,,$A$3*$AC$1*1/$V$3*(Tab.11[[#This Row],[b14]]))))</f>
        <v>0</v>
      </c>
      <c r="AC347" s="75" t="b">
        <f>IF(Tab.11[[#This Row],[a1]]=1,IF($AC$3=0,Tab.11[[#This Row],[φ1]],Tab.11[[#This Row],[φ1]]/MAX(Tab.11[φ1])))</f>
        <v>0</v>
      </c>
      <c r="AD347" s="74" t="b">
        <f>IF(Tab.11[[#This Row],[a1]]=1,1/Tab.11[[#This Row],[φ2]])</f>
        <v>0</v>
      </c>
      <c r="AE347" s="74" t="b">
        <f>IF(Tab.11[[#This Row],[a1]]=1,IF($AE$3=0,Tab.11[[#This Row],[w.0]],Tab.11[[#This Row],[w.0]]/SUM(Tab.11[w.0])))</f>
        <v>0</v>
      </c>
      <c r="AF347" s="76" t="str">
        <f>IF(Tab.11[[#This Row],[a1]]=0,"false",[3]!Tab.x5[[#This Row],[%_seN_C]])</f>
        <v>false</v>
      </c>
      <c r="AG347" s="77" t="b">
        <f>IF(Tab.11[[#This Row],[a1]]=1,AP347)</f>
        <v>0</v>
      </c>
      <c r="AH347" s="78" t="b">
        <f>IF(Tab.11[[#This Row],[a1]]=1,AQ347)</f>
        <v>0</v>
      </c>
      <c r="AI347" s="41">
        <v>3.0000000000000001E-3</v>
      </c>
      <c r="AJ347" s="79">
        <v>-0.03</v>
      </c>
      <c r="AK347" s="80" t="b">
        <f>IF(Tab.11[[#This Row],[a1]]=1,1)</f>
        <v>0</v>
      </c>
      <c r="AZ347"/>
    </row>
    <row r="348" spans="1:52" hidden="1" x14ac:dyDescent="0.25">
      <c r="A348" s="61">
        <f t="shared" si="13"/>
        <v>0</v>
      </c>
      <c r="B348" s="62">
        <f t="shared" si="13"/>
        <v>0</v>
      </c>
      <c r="C348" s="62" t="b">
        <f>IF(Tab.11[[#This Row],[a1]]=1,[3]!Tab_x1[[#This Row],[Name]])</f>
        <v>0</v>
      </c>
      <c r="D348" s="63" t="b">
        <f>IF(Tab.11[[#This Row],[a1]]=1,AO348)</f>
        <v>0</v>
      </c>
      <c r="E348" s="63">
        <f t="shared" si="12"/>
        <v>0</v>
      </c>
      <c r="F348" s="64" t="b">
        <f>IF(Tab.11[[#This Row],[a1]]=1,Tab.11[[#This Row],[b1]])</f>
        <v>0</v>
      </c>
      <c r="G348" s="65" t="b">
        <f>IF(Tab.11[[#This Row],[a1]]=1,IF(Tab.11[[#This Row],[b3]]&gt;$L$989*$G$3,$L$989*$G$3,IF(Tab.11[[#This Row],[b3]]&lt;$M$989*$G$3,$M$989*$G$3,Tab.11[[#This Row],[b3]])))</f>
        <v>0</v>
      </c>
      <c r="H348" s="66" t="b">
        <f>IF(Tab.11[[#This Row],[a1]]=1,Tab.11[[#This Row],[b1]])</f>
        <v>0</v>
      </c>
      <c r="I348" s="67" t="b">
        <f>IF(Tab.11[[#This Row],[a1]]=1,Tab.11[[#This Row],[b1]])</f>
        <v>0</v>
      </c>
      <c r="J348" s="68" t="b">
        <f>IF(Tab.11[[#This Row],[a1]]=1,IF($I$3&lt;0,Tab.11[[#This Row],[b5]]-$I$3,Tab.11[[#This Row],[b5]]))</f>
        <v>0</v>
      </c>
      <c r="K348" s="68" t="b">
        <f>IF(Tab.11[[#This Row],[a1]]=1,IF($K$3=0,Tab.11[b6],Tab.11[[#This Row],[b6]]-AVERAGE(Tab.11[b6])))</f>
        <v>0</v>
      </c>
      <c r="L348" s="69" t="b">
        <f>IF(Tab.11[[#This Row],[a1]]=1,Tab.11[[#This Row],[data]]/(_xlfn.STDEV.P(Tab.11[data])*$B$989)+$A$989)</f>
        <v>0</v>
      </c>
      <c r="M348" s="69" t="b">
        <f>IF(Tab.11[[#This Row],[a1]]=1,Tab.11[[#This Row],[data]]/(_xlfn.STDEV.P(Tab.11[data])*$B$987)-$A$987)</f>
        <v>0</v>
      </c>
      <c r="N348" s="69" t="b">
        <f>IF(Tab.11[[#This Row],[a1]]=1,Tab.11[[#This Row],[data]]/(_xlfn.STDEV.P(Tab.11[data])*$B$988)+$A$988)</f>
        <v>0</v>
      </c>
      <c r="O348" s="70" t="b">
        <f>IF(Tab.11[[#This Row],[a1]]=1,_xlfn.NORM.DIST(Tab.11[[#This Row],[b8]],$P$1,$Q$1,FALSE))</f>
        <v>0</v>
      </c>
      <c r="P348" s="70" t="b">
        <f>IF(Tab.11[[#This Row],[a1]]=1,_xlfn.NORM.DIST(Tab.11[[#This Row],[b9]],$P$1,$Q$1,FALSE))</f>
        <v>0</v>
      </c>
      <c r="Q348" s="70" t="b">
        <f>IF(Tab.11[[#This Row],[a1]]=1,_xlfn.NORM.DIST(Tab.11[[#This Row],[b10]],$P$1,$Q$1,FALSE))</f>
        <v>0</v>
      </c>
      <c r="R348" s="67" t="b">
        <f>IF(Tab.11[[#This Row],[a1]]=1,$I$3+$A$989+IF($K$3=0,Tab.11[[#This Row],[b8]]*_xlfn.STDEV.P(Tab.11[data]),AVERAGE(Tab.11[b6])+Tab.11[[#This Row],[b8]]*_xlfn.STDEV.P(Tab.11[data])))</f>
        <v>0</v>
      </c>
      <c r="S348" s="71" t="b">
        <f>IF(Tab.11[[#This Row],[a1]]=1,$I$3+$A$987+IF($K$3=0,Tab.11[[#This Row],[b9]]*_xlfn.STDEV.P(Tab.11[data]),AVERAGE(Tab.11[b6])+Tab.11[[#This Row],[b9]]*_xlfn.STDEV.P(Tab.11[data])))</f>
        <v>0</v>
      </c>
      <c r="T348" s="71" t="b">
        <f>IF(Tab.11[[#This Row],[a1]]=1,$I$3+$A$988+IF($K$3=0,Tab.11[[#This Row],[b10]]*_xlfn.STDEV.P(Tab.11[data]),AVERAGE(Tab.11[b6])+Tab.11[[#This Row],[b10]]*_xlfn.STDEV.P(Tab.11[data])))</f>
        <v>0</v>
      </c>
      <c r="U348" s="72" t="b">
        <f>IF(Tab.11[[#This Row],[a1]]=1,Tab.11[[#This Row],[target]]-Tab.11[[#This Row],[Red]])</f>
        <v>0</v>
      </c>
      <c r="V348" s="72" t="b">
        <f>IF(Tab.11[[#This Row],[a1]]=1,Tab.11[[#This Row],[target]]-Tab.11[[#This Row],[Blue]])</f>
        <v>0</v>
      </c>
      <c r="W348" s="73" t="b">
        <f>IF(Tab.11[[#This Row],[a1]]=1,IF(ABS(Tab.11[[#This Row],[b17]])+ABS(Tab.11[[#This Row],[b18]])&lt;$W$2,$W$2,ABS(Tab.11[[#This Row],[b17]])+ABS(Tab.11[[#This Row],[b18]])))</f>
        <v>0</v>
      </c>
      <c r="X348" s="136" t="b">
        <f>IF(Tab.11[[#This Row],[a1]]=1,IF($W$3&lt;0,Tab.11[[#This Row],[IN]]-$I$3,Tab.11[[#This Row],[IN]]))</f>
        <v>0</v>
      </c>
      <c r="Y348" s="136" t="b">
        <f>IF(Tab.11[[#This Row],[a1]]=1,IF($X$3=0,Tab.11[b66],Tab.11[[#This Row],[b66]]-AVERAGE(Tab.11[b66])))</f>
        <v>0</v>
      </c>
      <c r="Z348" s="135" t="b">
        <f>IF(Tab.11[[#This Row],[a1]]=1,Tab.11[[#This Row],[b77]]/(_xlfn.STDEV.P(Tab.11[b77])))</f>
        <v>0</v>
      </c>
      <c r="AA348" s="70" t="b">
        <f>IF(Tab.11[[#This Row],[a1]]=1,_xlfn.NORM.DIST(Tab.11[[#This Row],[b88]],$Z$1,$AA$1,FALSE))</f>
        <v>0</v>
      </c>
      <c r="AB348" s="74" t="b">
        <f>IF(Tab.11[[#This Row],[a1]]=1,IF($A$3=0,FALSE,1/Tab.11[[#This Row],[IN]]*$AC$2*IF(Tab.11[[#This Row],[a1]]=0,,$A$3*$AC$1*1/$V$3*(Tab.11[[#This Row],[b14]]))))</f>
        <v>0</v>
      </c>
      <c r="AC348" s="75" t="b">
        <f>IF(Tab.11[[#This Row],[a1]]=1,IF($AC$3=0,Tab.11[[#This Row],[φ1]],Tab.11[[#This Row],[φ1]]/MAX(Tab.11[φ1])))</f>
        <v>0</v>
      </c>
      <c r="AD348" s="74" t="b">
        <f>IF(Tab.11[[#This Row],[a1]]=1,1/Tab.11[[#This Row],[φ2]])</f>
        <v>0</v>
      </c>
      <c r="AE348" s="74" t="b">
        <f>IF(Tab.11[[#This Row],[a1]]=1,IF($AE$3=0,Tab.11[[#This Row],[w.0]],Tab.11[[#This Row],[w.0]]/SUM(Tab.11[w.0])))</f>
        <v>0</v>
      </c>
      <c r="AF348" s="76" t="str">
        <f>IF(Tab.11[[#This Row],[a1]]=0,"false",[3]!Tab.x5[[#This Row],[%_seN_C]])</f>
        <v>false</v>
      </c>
      <c r="AG348" s="77" t="b">
        <f>IF(Tab.11[[#This Row],[a1]]=1,AP348)</f>
        <v>0</v>
      </c>
      <c r="AH348" s="78" t="b">
        <f>IF(Tab.11[[#This Row],[a1]]=1,AQ348)</f>
        <v>0</v>
      </c>
      <c r="AI348" s="41">
        <v>3.0000000000000001E-3</v>
      </c>
      <c r="AJ348" s="79">
        <v>-0.01</v>
      </c>
      <c r="AK348" s="80" t="b">
        <f>IF(Tab.11[[#This Row],[a1]]=1,1)</f>
        <v>0</v>
      </c>
      <c r="AZ348"/>
    </row>
    <row r="349" spans="1:52" hidden="1" x14ac:dyDescent="0.25">
      <c r="A349" s="61">
        <f t="shared" si="13"/>
        <v>0</v>
      </c>
      <c r="B349" s="62">
        <f t="shared" si="13"/>
        <v>0</v>
      </c>
      <c r="C349" s="62" t="b">
        <f>IF(Tab.11[[#This Row],[a1]]=1,[3]!Tab_x1[[#This Row],[Name]])</f>
        <v>0</v>
      </c>
      <c r="D349" s="63" t="b">
        <f>IF(Tab.11[[#This Row],[a1]]=1,AO349)</f>
        <v>0</v>
      </c>
      <c r="E349" s="63">
        <f t="shared" si="12"/>
        <v>0</v>
      </c>
      <c r="F349" s="64" t="b">
        <f>IF(Tab.11[[#This Row],[a1]]=1,Tab.11[[#This Row],[b1]])</f>
        <v>0</v>
      </c>
      <c r="G349" s="65" t="b">
        <f>IF(Tab.11[[#This Row],[a1]]=1,IF(Tab.11[[#This Row],[b3]]&gt;$L$989*$G$3,$L$989*$G$3,IF(Tab.11[[#This Row],[b3]]&lt;$M$989*$G$3,$M$989*$G$3,Tab.11[[#This Row],[b3]])))</f>
        <v>0</v>
      </c>
      <c r="H349" s="66" t="b">
        <f>IF(Tab.11[[#This Row],[a1]]=1,Tab.11[[#This Row],[b1]])</f>
        <v>0</v>
      </c>
      <c r="I349" s="67" t="b">
        <f>IF(Tab.11[[#This Row],[a1]]=1,Tab.11[[#This Row],[b1]])</f>
        <v>0</v>
      </c>
      <c r="J349" s="68" t="b">
        <f>IF(Tab.11[[#This Row],[a1]]=1,IF($I$3&lt;0,Tab.11[[#This Row],[b5]]-$I$3,Tab.11[[#This Row],[b5]]))</f>
        <v>0</v>
      </c>
      <c r="K349" s="68" t="b">
        <f>IF(Tab.11[[#This Row],[a1]]=1,IF($K$3=0,Tab.11[b6],Tab.11[[#This Row],[b6]]-AVERAGE(Tab.11[b6])))</f>
        <v>0</v>
      </c>
      <c r="L349" s="69" t="b">
        <f>IF(Tab.11[[#This Row],[a1]]=1,Tab.11[[#This Row],[data]]/(_xlfn.STDEV.P(Tab.11[data])*$B$989)+$A$989)</f>
        <v>0</v>
      </c>
      <c r="M349" s="69" t="b">
        <f>IF(Tab.11[[#This Row],[a1]]=1,Tab.11[[#This Row],[data]]/(_xlfn.STDEV.P(Tab.11[data])*$B$987)-$A$987)</f>
        <v>0</v>
      </c>
      <c r="N349" s="69" t="b">
        <f>IF(Tab.11[[#This Row],[a1]]=1,Tab.11[[#This Row],[data]]/(_xlfn.STDEV.P(Tab.11[data])*$B$988)+$A$988)</f>
        <v>0</v>
      </c>
      <c r="O349" s="70" t="b">
        <f>IF(Tab.11[[#This Row],[a1]]=1,_xlfn.NORM.DIST(Tab.11[[#This Row],[b8]],$P$1,$Q$1,FALSE))</f>
        <v>0</v>
      </c>
      <c r="P349" s="70" t="b">
        <f>IF(Tab.11[[#This Row],[a1]]=1,_xlfn.NORM.DIST(Tab.11[[#This Row],[b9]],$P$1,$Q$1,FALSE))</f>
        <v>0</v>
      </c>
      <c r="Q349" s="70" t="b">
        <f>IF(Tab.11[[#This Row],[a1]]=1,_xlfn.NORM.DIST(Tab.11[[#This Row],[b10]],$P$1,$Q$1,FALSE))</f>
        <v>0</v>
      </c>
      <c r="R349" s="67" t="b">
        <f>IF(Tab.11[[#This Row],[a1]]=1,$I$3+$A$989+IF($K$3=0,Tab.11[[#This Row],[b8]]*_xlfn.STDEV.P(Tab.11[data]),AVERAGE(Tab.11[b6])+Tab.11[[#This Row],[b8]]*_xlfn.STDEV.P(Tab.11[data])))</f>
        <v>0</v>
      </c>
      <c r="S349" s="71" t="b">
        <f>IF(Tab.11[[#This Row],[a1]]=1,$I$3+$A$987+IF($K$3=0,Tab.11[[#This Row],[b9]]*_xlfn.STDEV.P(Tab.11[data]),AVERAGE(Tab.11[b6])+Tab.11[[#This Row],[b9]]*_xlfn.STDEV.P(Tab.11[data])))</f>
        <v>0</v>
      </c>
      <c r="T349" s="71" t="b">
        <f>IF(Tab.11[[#This Row],[a1]]=1,$I$3+$A$988+IF($K$3=0,Tab.11[[#This Row],[b10]]*_xlfn.STDEV.P(Tab.11[data]),AVERAGE(Tab.11[b6])+Tab.11[[#This Row],[b10]]*_xlfn.STDEV.P(Tab.11[data])))</f>
        <v>0</v>
      </c>
      <c r="U349" s="72" t="b">
        <f>IF(Tab.11[[#This Row],[a1]]=1,Tab.11[[#This Row],[target]]-Tab.11[[#This Row],[Red]])</f>
        <v>0</v>
      </c>
      <c r="V349" s="72" t="b">
        <f>IF(Tab.11[[#This Row],[a1]]=1,Tab.11[[#This Row],[target]]-Tab.11[[#This Row],[Blue]])</f>
        <v>0</v>
      </c>
      <c r="W349" s="73" t="b">
        <f>IF(Tab.11[[#This Row],[a1]]=1,IF(ABS(Tab.11[[#This Row],[b17]])+ABS(Tab.11[[#This Row],[b18]])&lt;$W$2,$W$2,ABS(Tab.11[[#This Row],[b17]])+ABS(Tab.11[[#This Row],[b18]])))</f>
        <v>0</v>
      </c>
      <c r="X349" s="136" t="b">
        <f>IF(Tab.11[[#This Row],[a1]]=1,IF($W$3&lt;0,Tab.11[[#This Row],[IN]]-$I$3,Tab.11[[#This Row],[IN]]))</f>
        <v>0</v>
      </c>
      <c r="Y349" s="136" t="b">
        <f>IF(Tab.11[[#This Row],[a1]]=1,IF($X$3=0,Tab.11[b66],Tab.11[[#This Row],[b66]]-AVERAGE(Tab.11[b66])))</f>
        <v>0</v>
      </c>
      <c r="Z349" s="135" t="b">
        <f>IF(Tab.11[[#This Row],[a1]]=1,Tab.11[[#This Row],[b77]]/(_xlfn.STDEV.P(Tab.11[b77])))</f>
        <v>0</v>
      </c>
      <c r="AA349" s="70" t="b">
        <f>IF(Tab.11[[#This Row],[a1]]=1,_xlfn.NORM.DIST(Tab.11[[#This Row],[b88]],$Z$1,$AA$1,FALSE))</f>
        <v>0</v>
      </c>
      <c r="AB349" s="74" t="b">
        <f>IF(Tab.11[[#This Row],[a1]]=1,IF($A$3=0,FALSE,1/Tab.11[[#This Row],[IN]]*$AC$2*IF(Tab.11[[#This Row],[a1]]=0,,$A$3*$AC$1*1/$V$3*(Tab.11[[#This Row],[b14]]))))</f>
        <v>0</v>
      </c>
      <c r="AC349" s="75" t="b">
        <f>IF(Tab.11[[#This Row],[a1]]=1,IF($AC$3=0,Tab.11[[#This Row],[φ1]],Tab.11[[#This Row],[φ1]]/MAX(Tab.11[φ1])))</f>
        <v>0</v>
      </c>
      <c r="AD349" s="74" t="b">
        <f>IF(Tab.11[[#This Row],[a1]]=1,1/Tab.11[[#This Row],[φ2]])</f>
        <v>0</v>
      </c>
      <c r="AE349" s="74" t="b">
        <f>IF(Tab.11[[#This Row],[a1]]=1,IF($AE$3=0,Tab.11[[#This Row],[w.0]],Tab.11[[#This Row],[w.0]]/SUM(Tab.11[w.0])))</f>
        <v>0</v>
      </c>
      <c r="AF349" s="76" t="str">
        <f>IF(Tab.11[[#This Row],[a1]]=0,"false",[3]!Tab.x5[[#This Row],[%_seN_C]])</f>
        <v>false</v>
      </c>
      <c r="AG349" s="77" t="b">
        <f>IF(Tab.11[[#This Row],[a1]]=1,AP349)</f>
        <v>0</v>
      </c>
      <c r="AH349" s="78" t="b">
        <f>IF(Tab.11[[#This Row],[a1]]=1,AQ349)</f>
        <v>0</v>
      </c>
      <c r="AI349" s="41">
        <v>3.0000000000000001E-3</v>
      </c>
      <c r="AJ349" s="79">
        <v>0.01</v>
      </c>
      <c r="AK349" s="80" t="b">
        <f>IF(Tab.11[[#This Row],[a1]]=1,1)</f>
        <v>0</v>
      </c>
      <c r="AZ349"/>
    </row>
    <row r="350" spans="1:52" hidden="1" x14ac:dyDescent="0.25">
      <c r="A350" s="61">
        <f t="shared" si="13"/>
        <v>0</v>
      </c>
      <c r="B350" s="62">
        <f t="shared" si="13"/>
        <v>0</v>
      </c>
      <c r="C350" s="62" t="b">
        <f>IF(Tab.11[[#This Row],[a1]]=1,[3]!Tab_x1[[#This Row],[Name]])</f>
        <v>0</v>
      </c>
      <c r="D350" s="63" t="b">
        <f>IF(Tab.11[[#This Row],[a1]]=1,AO350)</f>
        <v>0</v>
      </c>
      <c r="E350" s="63">
        <f t="shared" si="12"/>
        <v>0</v>
      </c>
      <c r="F350" s="64" t="b">
        <f>IF(Tab.11[[#This Row],[a1]]=1,Tab.11[[#This Row],[b1]])</f>
        <v>0</v>
      </c>
      <c r="G350" s="65" t="b">
        <f>IF(Tab.11[[#This Row],[a1]]=1,IF(Tab.11[[#This Row],[b3]]&gt;$L$989*$G$3,$L$989*$G$3,IF(Tab.11[[#This Row],[b3]]&lt;$M$989*$G$3,$M$989*$G$3,Tab.11[[#This Row],[b3]])))</f>
        <v>0</v>
      </c>
      <c r="H350" s="66" t="b">
        <f>IF(Tab.11[[#This Row],[a1]]=1,Tab.11[[#This Row],[b1]])</f>
        <v>0</v>
      </c>
      <c r="I350" s="67" t="b">
        <f>IF(Tab.11[[#This Row],[a1]]=1,Tab.11[[#This Row],[b1]])</f>
        <v>0</v>
      </c>
      <c r="J350" s="68" t="b">
        <f>IF(Tab.11[[#This Row],[a1]]=1,IF($I$3&lt;0,Tab.11[[#This Row],[b5]]-$I$3,Tab.11[[#This Row],[b5]]))</f>
        <v>0</v>
      </c>
      <c r="K350" s="68" t="b">
        <f>IF(Tab.11[[#This Row],[a1]]=1,IF($K$3=0,Tab.11[b6],Tab.11[[#This Row],[b6]]-AVERAGE(Tab.11[b6])))</f>
        <v>0</v>
      </c>
      <c r="L350" s="69" t="b">
        <f>IF(Tab.11[[#This Row],[a1]]=1,Tab.11[[#This Row],[data]]/(_xlfn.STDEV.P(Tab.11[data])*$B$989)+$A$989)</f>
        <v>0</v>
      </c>
      <c r="M350" s="69" t="b">
        <f>IF(Tab.11[[#This Row],[a1]]=1,Tab.11[[#This Row],[data]]/(_xlfn.STDEV.P(Tab.11[data])*$B$987)-$A$987)</f>
        <v>0</v>
      </c>
      <c r="N350" s="69" t="b">
        <f>IF(Tab.11[[#This Row],[a1]]=1,Tab.11[[#This Row],[data]]/(_xlfn.STDEV.P(Tab.11[data])*$B$988)+$A$988)</f>
        <v>0</v>
      </c>
      <c r="O350" s="70" t="b">
        <f>IF(Tab.11[[#This Row],[a1]]=1,_xlfn.NORM.DIST(Tab.11[[#This Row],[b8]],$P$1,$Q$1,FALSE))</f>
        <v>0</v>
      </c>
      <c r="P350" s="70" t="b">
        <f>IF(Tab.11[[#This Row],[a1]]=1,_xlfn.NORM.DIST(Tab.11[[#This Row],[b9]],$P$1,$Q$1,FALSE))</f>
        <v>0</v>
      </c>
      <c r="Q350" s="70" t="b">
        <f>IF(Tab.11[[#This Row],[a1]]=1,_xlfn.NORM.DIST(Tab.11[[#This Row],[b10]],$P$1,$Q$1,FALSE))</f>
        <v>0</v>
      </c>
      <c r="R350" s="67" t="b">
        <f>IF(Tab.11[[#This Row],[a1]]=1,$I$3+$A$989+IF($K$3=0,Tab.11[[#This Row],[b8]]*_xlfn.STDEV.P(Tab.11[data]),AVERAGE(Tab.11[b6])+Tab.11[[#This Row],[b8]]*_xlfn.STDEV.P(Tab.11[data])))</f>
        <v>0</v>
      </c>
      <c r="S350" s="71" t="b">
        <f>IF(Tab.11[[#This Row],[a1]]=1,$I$3+$A$987+IF($K$3=0,Tab.11[[#This Row],[b9]]*_xlfn.STDEV.P(Tab.11[data]),AVERAGE(Tab.11[b6])+Tab.11[[#This Row],[b9]]*_xlfn.STDEV.P(Tab.11[data])))</f>
        <v>0</v>
      </c>
      <c r="T350" s="71" t="b">
        <f>IF(Tab.11[[#This Row],[a1]]=1,$I$3+$A$988+IF($K$3=0,Tab.11[[#This Row],[b10]]*_xlfn.STDEV.P(Tab.11[data]),AVERAGE(Tab.11[b6])+Tab.11[[#This Row],[b10]]*_xlfn.STDEV.P(Tab.11[data])))</f>
        <v>0</v>
      </c>
      <c r="U350" s="72" t="b">
        <f>IF(Tab.11[[#This Row],[a1]]=1,Tab.11[[#This Row],[target]]-Tab.11[[#This Row],[Red]])</f>
        <v>0</v>
      </c>
      <c r="V350" s="72" t="b">
        <f>IF(Tab.11[[#This Row],[a1]]=1,Tab.11[[#This Row],[target]]-Tab.11[[#This Row],[Blue]])</f>
        <v>0</v>
      </c>
      <c r="W350" s="73" t="b">
        <f>IF(Tab.11[[#This Row],[a1]]=1,IF(ABS(Tab.11[[#This Row],[b17]])+ABS(Tab.11[[#This Row],[b18]])&lt;$W$2,$W$2,ABS(Tab.11[[#This Row],[b17]])+ABS(Tab.11[[#This Row],[b18]])))</f>
        <v>0</v>
      </c>
      <c r="X350" s="136" t="b">
        <f>IF(Tab.11[[#This Row],[a1]]=1,IF($W$3&lt;0,Tab.11[[#This Row],[IN]]-$I$3,Tab.11[[#This Row],[IN]]))</f>
        <v>0</v>
      </c>
      <c r="Y350" s="136" t="b">
        <f>IF(Tab.11[[#This Row],[a1]]=1,IF($X$3=0,Tab.11[b66],Tab.11[[#This Row],[b66]]-AVERAGE(Tab.11[b66])))</f>
        <v>0</v>
      </c>
      <c r="Z350" s="135" t="b">
        <f>IF(Tab.11[[#This Row],[a1]]=1,Tab.11[[#This Row],[b77]]/(_xlfn.STDEV.P(Tab.11[b77])))</f>
        <v>0</v>
      </c>
      <c r="AA350" s="70" t="b">
        <f>IF(Tab.11[[#This Row],[a1]]=1,_xlfn.NORM.DIST(Tab.11[[#This Row],[b88]],$Z$1,$AA$1,FALSE))</f>
        <v>0</v>
      </c>
      <c r="AB350" s="74" t="b">
        <f>IF(Tab.11[[#This Row],[a1]]=1,IF($A$3=0,FALSE,1/Tab.11[[#This Row],[IN]]*$AC$2*IF(Tab.11[[#This Row],[a1]]=0,,$A$3*$AC$1*1/$V$3*(Tab.11[[#This Row],[b14]]))))</f>
        <v>0</v>
      </c>
      <c r="AC350" s="75" t="b">
        <f>IF(Tab.11[[#This Row],[a1]]=1,IF($AC$3=0,Tab.11[[#This Row],[φ1]],Tab.11[[#This Row],[φ1]]/MAX(Tab.11[φ1])))</f>
        <v>0</v>
      </c>
      <c r="AD350" s="74" t="b">
        <f>IF(Tab.11[[#This Row],[a1]]=1,1/Tab.11[[#This Row],[φ2]])</f>
        <v>0</v>
      </c>
      <c r="AE350" s="74" t="b">
        <f>IF(Tab.11[[#This Row],[a1]]=1,IF($AE$3=0,Tab.11[[#This Row],[w.0]],Tab.11[[#This Row],[w.0]]/SUM(Tab.11[w.0])))</f>
        <v>0</v>
      </c>
      <c r="AF350" s="76" t="str">
        <f>IF(Tab.11[[#This Row],[a1]]=0,"false",[3]!Tab.x5[[#This Row],[%_seN_C]])</f>
        <v>false</v>
      </c>
      <c r="AG350" s="77" t="b">
        <f>IF(Tab.11[[#This Row],[a1]]=1,AP350)</f>
        <v>0</v>
      </c>
      <c r="AH350" s="78" t="b">
        <f>IF(Tab.11[[#This Row],[a1]]=1,AQ350)</f>
        <v>0</v>
      </c>
      <c r="AI350" s="41">
        <v>3.0000000000000001E-3</v>
      </c>
      <c r="AJ350" s="79">
        <v>-0.06</v>
      </c>
      <c r="AK350" s="80" t="b">
        <f>IF(Tab.11[[#This Row],[a1]]=1,1)</f>
        <v>0</v>
      </c>
      <c r="AZ350"/>
    </row>
    <row r="351" spans="1:52" hidden="1" x14ac:dyDescent="0.25">
      <c r="A351" s="61">
        <f t="shared" si="13"/>
        <v>0</v>
      </c>
      <c r="B351" s="62">
        <f t="shared" si="13"/>
        <v>0</v>
      </c>
      <c r="C351" s="62" t="b">
        <f>IF(Tab.11[[#This Row],[a1]]=1,[3]!Tab_x1[[#This Row],[Name]])</f>
        <v>0</v>
      </c>
      <c r="D351" s="63" t="b">
        <f>IF(Tab.11[[#This Row],[a1]]=1,AO351)</f>
        <v>0</v>
      </c>
      <c r="E351" s="63">
        <f t="shared" si="12"/>
        <v>0</v>
      </c>
      <c r="F351" s="64" t="b">
        <f>IF(Tab.11[[#This Row],[a1]]=1,Tab.11[[#This Row],[b1]])</f>
        <v>0</v>
      </c>
      <c r="G351" s="65" t="b">
        <f>IF(Tab.11[[#This Row],[a1]]=1,IF(Tab.11[[#This Row],[b3]]&gt;$L$989*$G$3,$L$989*$G$3,IF(Tab.11[[#This Row],[b3]]&lt;$M$989*$G$3,$M$989*$G$3,Tab.11[[#This Row],[b3]])))</f>
        <v>0</v>
      </c>
      <c r="H351" s="66" t="b">
        <f>IF(Tab.11[[#This Row],[a1]]=1,Tab.11[[#This Row],[b1]])</f>
        <v>0</v>
      </c>
      <c r="I351" s="67" t="b">
        <f>IF(Tab.11[[#This Row],[a1]]=1,Tab.11[[#This Row],[b1]])</f>
        <v>0</v>
      </c>
      <c r="J351" s="68" t="b">
        <f>IF(Tab.11[[#This Row],[a1]]=1,IF($I$3&lt;0,Tab.11[[#This Row],[b5]]-$I$3,Tab.11[[#This Row],[b5]]))</f>
        <v>0</v>
      </c>
      <c r="K351" s="68" t="b">
        <f>IF(Tab.11[[#This Row],[a1]]=1,IF($K$3=0,Tab.11[b6],Tab.11[[#This Row],[b6]]-AVERAGE(Tab.11[b6])))</f>
        <v>0</v>
      </c>
      <c r="L351" s="69" t="b">
        <f>IF(Tab.11[[#This Row],[a1]]=1,Tab.11[[#This Row],[data]]/(_xlfn.STDEV.P(Tab.11[data])*$B$989)+$A$989)</f>
        <v>0</v>
      </c>
      <c r="M351" s="69" t="b">
        <f>IF(Tab.11[[#This Row],[a1]]=1,Tab.11[[#This Row],[data]]/(_xlfn.STDEV.P(Tab.11[data])*$B$987)-$A$987)</f>
        <v>0</v>
      </c>
      <c r="N351" s="69" t="b">
        <f>IF(Tab.11[[#This Row],[a1]]=1,Tab.11[[#This Row],[data]]/(_xlfn.STDEV.P(Tab.11[data])*$B$988)+$A$988)</f>
        <v>0</v>
      </c>
      <c r="O351" s="70" t="b">
        <f>IF(Tab.11[[#This Row],[a1]]=1,_xlfn.NORM.DIST(Tab.11[[#This Row],[b8]],$P$1,$Q$1,FALSE))</f>
        <v>0</v>
      </c>
      <c r="P351" s="70" t="b">
        <f>IF(Tab.11[[#This Row],[a1]]=1,_xlfn.NORM.DIST(Tab.11[[#This Row],[b9]],$P$1,$Q$1,FALSE))</f>
        <v>0</v>
      </c>
      <c r="Q351" s="70" t="b">
        <f>IF(Tab.11[[#This Row],[a1]]=1,_xlfn.NORM.DIST(Tab.11[[#This Row],[b10]],$P$1,$Q$1,FALSE))</f>
        <v>0</v>
      </c>
      <c r="R351" s="67" t="b">
        <f>IF(Tab.11[[#This Row],[a1]]=1,$I$3+$A$989+IF($K$3=0,Tab.11[[#This Row],[b8]]*_xlfn.STDEV.P(Tab.11[data]),AVERAGE(Tab.11[b6])+Tab.11[[#This Row],[b8]]*_xlfn.STDEV.P(Tab.11[data])))</f>
        <v>0</v>
      </c>
      <c r="S351" s="71" t="b">
        <f>IF(Tab.11[[#This Row],[a1]]=1,$I$3+$A$987+IF($K$3=0,Tab.11[[#This Row],[b9]]*_xlfn.STDEV.P(Tab.11[data]),AVERAGE(Tab.11[b6])+Tab.11[[#This Row],[b9]]*_xlfn.STDEV.P(Tab.11[data])))</f>
        <v>0</v>
      </c>
      <c r="T351" s="71" t="b">
        <f>IF(Tab.11[[#This Row],[a1]]=1,$I$3+$A$988+IF($K$3=0,Tab.11[[#This Row],[b10]]*_xlfn.STDEV.P(Tab.11[data]),AVERAGE(Tab.11[b6])+Tab.11[[#This Row],[b10]]*_xlfn.STDEV.P(Tab.11[data])))</f>
        <v>0</v>
      </c>
      <c r="U351" s="72" t="b">
        <f>IF(Tab.11[[#This Row],[a1]]=1,Tab.11[[#This Row],[target]]-Tab.11[[#This Row],[Red]])</f>
        <v>0</v>
      </c>
      <c r="V351" s="72" t="b">
        <f>IF(Tab.11[[#This Row],[a1]]=1,Tab.11[[#This Row],[target]]-Tab.11[[#This Row],[Blue]])</f>
        <v>0</v>
      </c>
      <c r="W351" s="73" t="b">
        <f>IF(Tab.11[[#This Row],[a1]]=1,IF(ABS(Tab.11[[#This Row],[b17]])+ABS(Tab.11[[#This Row],[b18]])&lt;$W$2,$W$2,ABS(Tab.11[[#This Row],[b17]])+ABS(Tab.11[[#This Row],[b18]])))</f>
        <v>0</v>
      </c>
      <c r="X351" s="136" t="b">
        <f>IF(Tab.11[[#This Row],[a1]]=1,IF($W$3&lt;0,Tab.11[[#This Row],[IN]]-$I$3,Tab.11[[#This Row],[IN]]))</f>
        <v>0</v>
      </c>
      <c r="Y351" s="136" t="b">
        <f>IF(Tab.11[[#This Row],[a1]]=1,IF($X$3=0,Tab.11[b66],Tab.11[[#This Row],[b66]]-AVERAGE(Tab.11[b66])))</f>
        <v>0</v>
      </c>
      <c r="Z351" s="135" t="b">
        <f>IF(Tab.11[[#This Row],[a1]]=1,Tab.11[[#This Row],[b77]]/(_xlfn.STDEV.P(Tab.11[b77])))</f>
        <v>0</v>
      </c>
      <c r="AA351" s="70" t="b">
        <f>IF(Tab.11[[#This Row],[a1]]=1,_xlfn.NORM.DIST(Tab.11[[#This Row],[b88]],$Z$1,$AA$1,FALSE))</f>
        <v>0</v>
      </c>
      <c r="AB351" s="74" t="b">
        <f>IF(Tab.11[[#This Row],[a1]]=1,IF($A$3=0,FALSE,1/Tab.11[[#This Row],[IN]]*$AC$2*IF(Tab.11[[#This Row],[a1]]=0,,$A$3*$AC$1*1/$V$3*(Tab.11[[#This Row],[b14]]))))</f>
        <v>0</v>
      </c>
      <c r="AC351" s="75" t="b">
        <f>IF(Tab.11[[#This Row],[a1]]=1,IF($AC$3=0,Tab.11[[#This Row],[φ1]],Tab.11[[#This Row],[φ1]]/MAX(Tab.11[φ1])))</f>
        <v>0</v>
      </c>
      <c r="AD351" s="74" t="b">
        <f>IF(Tab.11[[#This Row],[a1]]=1,1/Tab.11[[#This Row],[φ2]])</f>
        <v>0</v>
      </c>
      <c r="AE351" s="74" t="b">
        <f>IF(Tab.11[[#This Row],[a1]]=1,IF($AE$3=0,Tab.11[[#This Row],[w.0]],Tab.11[[#This Row],[w.0]]/SUM(Tab.11[w.0])))</f>
        <v>0</v>
      </c>
      <c r="AF351" s="76" t="str">
        <f>IF(Tab.11[[#This Row],[a1]]=0,"false",[3]!Tab.x5[[#This Row],[%_seN_C]])</f>
        <v>false</v>
      </c>
      <c r="AG351" s="77" t="b">
        <f>IF(Tab.11[[#This Row],[a1]]=1,AP351)</f>
        <v>0</v>
      </c>
      <c r="AH351" s="78" t="b">
        <f>IF(Tab.11[[#This Row],[a1]]=1,AQ351)</f>
        <v>0</v>
      </c>
      <c r="AI351" s="41">
        <v>3.0000000000000001E-3</v>
      </c>
      <c r="AJ351" s="79">
        <v>0.01</v>
      </c>
      <c r="AK351" s="80" t="b">
        <f>IF(Tab.11[[#This Row],[a1]]=1,1)</f>
        <v>0</v>
      </c>
      <c r="AZ351"/>
    </row>
    <row r="352" spans="1:52" hidden="1" x14ac:dyDescent="0.25">
      <c r="A352" s="61">
        <f t="shared" si="13"/>
        <v>0</v>
      </c>
      <c r="B352" s="62">
        <f t="shared" si="13"/>
        <v>0</v>
      </c>
      <c r="C352" s="62" t="b">
        <f>IF(Tab.11[[#This Row],[a1]]=1,[3]!Tab_x1[[#This Row],[Name]])</f>
        <v>0</v>
      </c>
      <c r="D352" s="63" t="b">
        <f>IF(Tab.11[[#This Row],[a1]]=1,AO352)</f>
        <v>0</v>
      </c>
      <c r="E352" s="63">
        <f t="shared" si="12"/>
        <v>0</v>
      </c>
      <c r="F352" s="64" t="b">
        <f>IF(Tab.11[[#This Row],[a1]]=1,Tab.11[[#This Row],[b1]])</f>
        <v>0</v>
      </c>
      <c r="G352" s="65" t="b">
        <f>IF(Tab.11[[#This Row],[a1]]=1,IF(Tab.11[[#This Row],[b3]]&gt;$L$989*$G$3,$L$989*$G$3,IF(Tab.11[[#This Row],[b3]]&lt;$M$989*$G$3,$M$989*$G$3,Tab.11[[#This Row],[b3]])))</f>
        <v>0</v>
      </c>
      <c r="H352" s="66" t="b">
        <f>IF(Tab.11[[#This Row],[a1]]=1,Tab.11[[#This Row],[b1]])</f>
        <v>0</v>
      </c>
      <c r="I352" s="67" t="b">
        <f>IF(Tab.11[[#This Row],[a1]]=1,Tab.11[[#This Row],[b1]])</f>
        <v>0</v>
      </c>
      <c r="J352" s="68" t="b">
        <f>IF(Tab.11[[#This Row],[a1]]=1,IF($I$3&lt;0,Tab.11[[#This Row],[b5]]-$I$3,Tab.11[[#This Row],[b5]]))</f>
        <v>0</v>
      </c>
      <c r="K352" s="68" t="b">
        <f>IF(Tab.11[[#This Row],[a1]]=1,IF($K$3=0,Tab.11[b6],Tab.11[[#This Row],[b6]]-AVERAGE(Tab.11[b6])))</f>
        <v>0</v>
      </c>
      <c r="L352" s="69" t="b">
        <f>IF(Tab.11[[#This Row],[a1]]=1,Tab.11[[#This Row],[data]]/(_xlfn.STDEV.P(Tab.11[data])*$B$989)+$A$989)</f>
        <v>0</v>
      </c>
      <c r="M352" s="69" t="b">
        <f>IF(Tab.11[[#This Row],[a1]]=1,Tab.11[[#This Row],[data]]/(_xlfn.STDEV.P(Tab.11[data])*$B$987)-$A$987)</f>
        <v>0</v>
      </c>
      <c r="N352" s="69" t="b">
        <f>IF(Tab.11[[#This Row],[a1]]=1,Tab.11[[#This Row],[data]]/(_xlfn.STDEV.P(Tab.11[data])*$B$988)+$A$988)</f>
        <v>0</v>
      </c>
      <c r="O352" s="70" t="b">
        <f>IF(Tab.11[[#This Row],[a1]]=1,_xlfn.NORM.DIST(Tab.11[[#This Row],[b8]],$P$1,$Q$1,FALSE))</f>
        <v>0</v>
      </c>
      <c r="P352" s="70" t="b">
        <f>IF(Tab.11[[#This Row],[a1]]=1,_xlfn.NORM.DIST(Tab.11[[#This Row],[b9]],$P$1,$Q$1,FALSE))</f>
        <v>0</v>
      </c>
      <c r="Q352" s="70" t="b">
        <f>IF(Tab.11[[#This Row],[a1]]=1,_xlfn.NORM.DIST(Tab.11[[#This Row],[b10]],$P$1,$Q$1,FALSE))</f>
        <v>0</v>
      </c>
      <c r="R352" s="67" t="b">
        <f>IF(Tab.11[[#This Row],[a1]]=1,$I$3+$A$989+IF($K$3=0,Tab.11[[#This Row],[b8]]*_xlfn.STDEV.P(Tab.11[data]),AVERAGE(Tab.11[b6])+Tab.11[[#This Row],[b8]]*_xlfn.STDEV.P(Tab.11[data])))</f>
        <v>0</v>
      </c>
      <c r="S352" s="71" t="b">
        <f>IF(Tab.11[[#This Row],[a1]]=1,$I$3+$A$987+IF($K$3=0,Tab.11[[#This Row],[b9]]*_xlfn.STDEV.P(Tab.11[data]),AVERAGE(Tab.11[b6])+Tab.11[[#This Row],[b9]]*_xlfn.STDEV.P(Tab.11[data])))</f>
        <v>0</v>
      </c>
      <c r="T352" s="71" t="b">
        <f>IF(Tab.11[[#This Row],[a1]]=1,$I$3+$A$988+IF($K$3=0,Tab.11[[#This Row],[b10]]*_xlfn.STDEV.P(Tab.11[data]),AVERAGE(Tab.11[b6])+Tab.11[[#This Row],[b10]]*_xlfn.STDEV.P(Tab.11[data])))</f>
        <v>0</v>
      </c>
      <c r="U352" s="72" t="b">
        <f>IF(Tab.11[[#This Row],[a1]]=1,Tab.11[[#This Row],[target]]-Tab.11[[#This Row],[Red]])</f>
        <v>0</v>
      </c>
      <c r="V352" s="72" t="b">
        <f>IF(Tab.11[[#This Row],[a1]]=1,Tab.11[[#This Row],[target]]-Tab.11[[#This Row],[Blue]])</f>
        <v>0</v>
      </c>
      <c r="W352" s="73" t="b">
        <f>IF(Tab.11[[#This Row],[a1]]=1,IF(ABS(Tab.11[[#This Row],[b17]])+ABS(Tab.11[[#This Row],[b18]])&lt;$W$2,$W$2,ABS(Tab.11[[#This Row],[b17]])+ABS(Tab.11[[#This Row],[b18]])))</f>
        <v>0</v>
      </c>
      <c r="X352" s="136" t="b">
        <f>IF(Tab.11[[#This Row],[a1]]=1,IF($W$3&lt;0,Tab.11[[#This Row],[IN]]-$I$3,Tab.11[[#This Row],[IN]]))</f>
        <v>0</v>
      </c>
      <c r="Y352" s="136" t="b">
        <f>IF(Tab.11[[#This Row],[a1]]=1,IF($X$3=0,Tab.11[b66],Tab.11[[#This Row],[b66]]-AVERAGE(Tab.11[b66])))</f>
        <v>0</v>
      </c>
      <c r="Z352" s="135" t="b">
        <f>IF(Tab.11[[#This Row],[a1]]=1,Tab.11[[#This Row],[b77]]/(_xlfn.STDEV.P(Tab.11[b77])))</f>
        <v>0</v>
      </c>
      <c r="AA352" s="70" t="b">
        <f>IF(Tab.11[[#This Row],[a1]]=1,_xlfn.NORM.DIST(Tab.11[[#This Row],[b88]],$Z$1,$AA$1,FALSE))</f>
        <v>0</v>
      </c>
      <c r="AB352" s="74" t="b">
        <f>IF(Tab.11[[#This Row],[a1]]=1,IF($A$3=0,FALSE,1/Tab.11[[#This Row],[IN]]*$AC$2*IF(Tab.11[[#This Row],[a1]]=0,,$A$3*$AC$1*1/$V$3*(Tab.11[[#This Row],[b14]]))))</f>
        <v>0</v>
      </c>
      <c r="AC352" s="75" t="b">
        <f>IF(Tab.11[[#This Row],[a1]]=1,IF($AC$3=0,Tab.11[[#This Row],[φ1]],Tab.11[[#This Row],[φ1]]/MAX(Tab.11[φ1])))</f>
        <v>0</v>
      </c>
      <c r="AD352" s="74" t="b">
        <f>IF(Tab.11[[#This Row],[a1]]=1,1/Tab.11[[#This Row],[φ2]])</f>
        <v>0</v>
      </c>
      <c r="AE352" s="74" t="b">
        <f>IF(Tab.11[[#This Row],[a1]]=1,IF($AE$3=0,Tab.11[[#This Row],[w.0]],Tab.11[[#This Row],[w.0]]/SUM(Tab.11[w.0])))</f>
        <v>0</v>
      </c>
      <c r="AF352" s="76" t="str">
        <f>IF(Tab.11[[#This Row],[a1]]=0,"false",[3]!Tab.x5[[#This Row],[%_seN_C]])</f>
        <v>false</v>
      </c>
      <c r="AG352" s="77" t="b">
        <f>IF(Tab.11[[#This Row],[a1]]=1,AP352)</f>
        <v>0</v>
      </c>
      <c r="AH352" s="78" t="b">
        <f>IF(Tab.11[[#This Row],[a1]]=1,AQ352)</f>
        <v>0</v>
      </c>
      <c r="AI352" s="41">
        <v>3.0000000000000001E-3</v>
      </c>
      <c r="AJ352" s="79">
        <v>0.03</v>
      </c>
      <c r="AK352" s="80" t="b">
        <f>IF(Tab.11[[#This Row],[a1]]=1,1)</f>
        <v>0</v>
      </c>
      <c r="AZ352"/>
    </row>
    <row r="353" spans="1:52" hidden="1" x14ac:dyDescent="0.25">
      <c r="A353" s="61">
        <f t="shared" si="13"/>
        <v>0</v>
      </c>
      <c r="B353" s="62">
        <f t="shared" si="13"/>
        <v>0</v>
      </c>
      <c r="C353" s="62" t="b">
        <f>IF(Tab.11[[#This Row],[a1]]=1,[3]!Tab_x1[[#This Row],[Name]])</f>
        <v>0</v>
      </c>
      <c r="D353" s="63" t="b">
        <f>IF(Tab.11[[#This Row],[a1]]=1,AO353)</f>
        <v>0</v>
      </c>
      <c r="E353" s="63">
        <f t="shared" si="12"/>
        <v>0</v>
      </c>
      <c r="F353" s="64" t="b">
        <f>IF(Tab.11[[#This Row],[a1]]=1,Tab.11[[#This Row],[b1]])</f>
        <v>0</v>
      </c>
      <c r="G353" s="65" t="b">
        <f>IF(Tab.11[[#This Row],[a1]]=1,IF(Tab.11[[#This Row],[b3]]&gt;$L$989*$G$3,$L$989*$G$3,IF(Tab.11[[#This Row],[b3]]&lt;$M$989*$G$3,$M$989*$G$3,Tab.11[[#This Row],[b3]])))</f>
        <v>0</v>
      </c>
      <c r="H353" s="66" t="b">
        <f>IF(Tab.11[[#This Row],[a1]]=1,Tab.11[[#This Row],[b1]])</f>
        <v>0</v>
      </c>
      <c r="I353" s="67" t="b">
        <f>IF(Tab.11[[#This Row],[a1]]=1,Tab.11[[#This Row],[b1]])</f>
        <v>0</v>
      </c>
      <c r="J353" s="68" t="b">
        <f>IF(Tab.11[[#This Row],[a1]]=1,IF($I$3&lt;0,Tab.11[[#This Row],[b5]]-$I$3,Tab.11[[#This Row],[b5]]))</f>
        <v>0</v>
      </c>
      <c r="K353" s="68" t="b">
        <f>IF(Tab.11[[#This Row],[a1]]=1,IF($K$3=0,Tab.11[b6],Tab.11[[#This Row],[b6]]-AVERAGE(Tab.11[b6])))</f>
        <v>0</v>
      </c>
      <c r="L353" s="69" t="b">
        <f>IF(Tab.11[[#This Row],[a1]]=1,Tab.11[[#This Row],[data]]/(_xlfn.STDEV.P(Tab.11[data])*$B$989)+$A$989)</f>
        <v>0</v>
      </c>
      <c r="M353" s="69" t="b">
        <f>IF(Tab.11[[#This Row],[a1]]=1,Tab.11[[#This Row],[data]]/(_xlfn.STDEV.P(Tab.11[data])*$B$987)-$A$987)</f>
        <v>0</v>
      </c>
      <c r="N353" s="69" t="b">
        <f>IF(Tab.11[[#This Row],[a1]]=1,Tab.11[[#This Row],[data]]/(_xlfn.STDEV.P(Tab.11[data])*$B$988)+$A$988)</f>
        <v>0</v>
      </c>
      <c r="O353" s="70" t="b">
        <f>IF(Tab.11[[#This Row],[a1]]=1,_xlfn.NORM.DIST(Tab.11[[#This Row],[b8]],$P$1,$Q$1,FALSE))</f>
        <v>0</v>
      </c>
      <c r="P353" s="70" t="b">
        <f>IF(Tab.11[[#This Row],[a1]]=1,_xlfn.NORM.DIST(Tab.11[[#This Row],[b9]],$P$1,$Q$1,FALSE))</f>
        <v>0</v>
      </c>
      <c r="Q353" s="70" t="b">
        <f>IF(Tab.11[[#This Row],[a1]]=1,_xlfn.NORM.DIST(Tab.11[[#This Row],[b10]],$P$1,$Q$1,FALSE))</f>
        <v>0</v>
      </c>
      <c r="R353" s="67" t="b">
        <f>IF(Tab.11[[#This Row],[a1]]=1,$I$3+$A$989+IF($K$3=0,Tab.11[[#This Row],[b8]]*_xlfn.STDEV.P(Tab.11[data]),AVERAGE(Tab.11[b6])+Tab.11[[#This Row],[b8]]*_xlfn.STDEV.P(Tab.11[data])))</f>
        <v>0</v>
      </c>
      <c r="S353" s="71" t="b">
        <f>IF(Tab.11[[#This Row],[a1]]=1,$I$3+$A$987+IF($K$3=0,Tab.11[[#This Row],[b9]]*_xlfn.STDEV.P(Tab.11[data]),AVERAGE(Tab.11[b6])+Tab.11[[#This Row],[b9]]*_xlfn.STDEV.P(Tab.11[data])))</f>
        <v>0</v>
      </c>
      <c r="T353" s="71" t="b">
        <f>IF(Tab.11[[#This Row],[a1]]=1,$I$3+$A$988+IF($K$3=0,Tab.11[[#This Row],[b10]]*_xlfn.STDEV.P(Tab.11[data]),AVERAGE(Tab.11[b6])+Tab.11[[#This Row],[b10]]*_xlfn.STDEV.P(Tab.11[data])))</f>
        <v>0</v>
      </c>
      <c r="U353" s="72" t="b">
        <f>IF(Tab.11[[#This Row],[a1]]=1,Tab.11[[#This Row],[target]]-Tab.11[[#This Row],[Red]])</f>
        <v>0</v>
      </c>
      <c r="V353" s="72" t="b">
        <f>IF(Tab.11[[#This Row],[a1]]=1,Tab.11[[#This Row],[target]]-Tab.11[[#This Row],[Blue]])</f>
        <v>0</v>
      </c>
      <c r="W353" s="73" t="b">
        <f>IF(Tab.11[[#This Row],[a1]]=1,IF(ABS(Tab.11[[#This Row],[b17]])+ABS(Tab.11[[#This Row],[b18]])&lt;$W$2,$W$2,ABS(Tab.11[[#This Row],[b17]])+ABS(Tab.11[[#This Row],[b18]])))</f>
        <v>0</v>
      </c>
      <c r="X353" s="136" t="b">
        <f>IF(Tab.11[[#This Row],[a1]]=1,IF($W$3&lt;0,Tab.11[[#This Row],[IN]]-$I$3,Tab.11[[#This Row],[IN]]))</f>
        <v>0</v>
      </c>
      <c r="Y353" s="136" t="b">
        <f>IF(Tab.11[[#This Row],[a1]]=1,IF($X$3=0,Tab.11[b66],Tab.11[[#This Row],[b66]]-AVERAGE(Tab.11[b66])))</f>
        <v>0</v>
      </c>
      <c r="Z353" s="135" t="b">
        <f>IF(Tab.11[[#This Row],[a1]]=1,Tab.11[[#This Row],[b77]]/(_xlfn.STDEV.P(Tab.11[b77])))</f>
        <v>0</v>
      </c>
      <c r="AA353" s="70" t="b">
        <f>IF(Tab.11[[#This Row],[a1]]=1,_xlfn.NORM.DIST(Tab.11[[#This Row],[b88]],$Z$1,$AA$1,FALSE))</f>
        <v>0</v>
      </c>
      <c r="AB353" s="74" t="b">
        <f>IF(Tab.11[[#This Row],[a1]]=1,IF($A$3=0,FALSE,1/Tab.11[[#This Row],[IN]]*$AC$2*IF(Tab.11[[#This Row],[a1]]=0,,$A$3*$AC$1*1/$V$3*(Tab.11[[#This Row],[b14]]))))</f>
        <v>0</v>
      </c>
      <c r="AC353" s="75" t="b">
        <f>IF(Tab.11[[#This Row],[a1]]=1,IF($AC$3=0,Tab.11[[#This Row],[φ1]],Tab.11[[#This Row],[φ1]]/MAX(Tab.11[φ1])))</f>
        <v>0</v>
      </c>
      <c r="AD353" s="74" t="b">
        <f>IF(Tab.11[[#This Row],[a1]]=1,1/Tab.11[[#This Row],[φ2]])</f>
        <v>0</v>
      </c>
      <c r="AE353" s="74" t="b">
        <f>IF(Tab.11[[#This Row],[a1]]=1,IF($AE$3=0,Tab.11[[#This Row],[w.0]],Tab.11[[#This Row],[w.0]]/SUM(Tab.11[w.0])))</f>
        <v>0</v>
      </c>
      <c r="AF353" s="76" t="str">
        <f>IF(Tab.11[[#This Row],[a1]]=0,"false",[3]!Tab.x5[[#This Row],[%_seN_C]])</f>
        <v>false</v>
      </c>
      <c r="AG353" s="77" t="b">
        <f>IF(Tab.11[[#This Row],[a1]]=1,AP353)</f>
        <v>0</v>
      </c>
      <c r="AH353" s="78" t="b">
        <f>IF(Tab.11[[#This Row],[a1]]=1,AQ353)</f>
        <v>0</v>
      </c>
      <c r="AI353" s="41">
        <v>3.0000000000000001E-3</v>
      </c>
      <c r="AJ353" s="79">
        <v>0.08</v>
      </c>
      <c r="AK353" s="80" t="b">
        <f>IF(Tab.11[[#This Row],[a1]]=1,1)</f>
        <v>0</v>
      </c>
      <c r="AZ353"/>
    </row>
    <row r="354" spans="1:52" hidden="1" x14ac:dyDescent="0.25">
      <c r="A354" s="61">
        <f t="shared" si="13"/>
        <v>0</v>
      </c>
      <c r="B354" s="62">
        <f t="shared" si="13"/>
        <v>0</v>
      </c>
      <c r="C354" s="62" t="b">
        <f>IF(Tab.11[[#This Row],[a1]]=1,[3]!Tab_x1[[#This Row],[Name]])</f>
        <v>0</v>
      </c>
      <c r="D354" s="63" t="b">
        <f>IF(Tab.11[[#This Row],[a1]]=1,AO354)</f>
        <v>0</v>
      </c>
      <c r="E354" s="63">
        <f t="shared" si="12"/>
        <v>0</v>
      </c>
      <c r="F354" s="64" t="b">
        <f>IF(Tab.11[[#This Row],[a1]]=1,Tab.11[[#This Row],[b1]])</f>
        <v>0</v>
      </c>
      <c r="G354" s="65" t="b">
        <f>IF(Tab.11[[#This Row],[a1]]=1,IF(Tab.11[[#This Row],[b3]]&gt;$L$989*$G$3,$L$989*$G$3,IF(Tab.11[[#This Row],[b3]]&lt;$M$989*$G$3,$M$989*$G$3,Tab.11[[#This Row],[b3]])))</f>
        <v>0</v>
      </c>
      <c r="H354" s="66" t="b">
        <f>IF(Tab.11[[#This Row],[a1]]=1,Tab.11[[#This Row],[b1]])</f>
        <v>0</v>
      </c>
      <c r="I354" s="67" t="b">
        <f>IF(Tab.11[[#This Row],[a1]]=1,Tab.11[[#This Row],[b1]])</f>
        <v>0</v>
      </c>
      <c r="J354" s="68" t="b">
        <f>IF(Tab.11[[#This Row],[a1]]=1,IF($I$3&lt;0,Tab.11[[#This Row],[b5]]-$I$3,Tab.11[[#This Row],[b5]]))</f>
        <v>0</v>
      </c>
      <c r="K354" s="68" t="b">
        <f>IF(Tab.11[[#This Row],[a1]]=1,IF($K$3=0,Tab.11[b6],Tab.11[[#This Row],[b6]]-AVERAGE(Tab.11[b6])))</f>
        <v>0</v>
      </c>
      <c r="L354" s="69" t="b">
        <f>IF(Tab.11[[#This Row],[a1]]=1,Tab.11[[#This Row],[data]]/(_xlfn.STDEV.P(Tab.11[data])*$B$989)+$A$989)</f>
        <v>0</v>
      </c>
      <c r="M354" s="69" t="b">
        <f>IF(Tab.11[[#This Row],[a1]]=1,Tab.11[[#This Row],[data]]/(_xlfn.STDEV.P(Tab.11[data])*$B$987)-$A$987)</f>
        <v>0</v>
      </c>
      <c r="N354" s="69" t="b">
        <f>IF(Tab.11[[#This Row],[a1]]=1,Tab.11[[#This Row],[data]]/(_xlfn.STDEV.P(Tab.11[data])*$B$988)+$A$988)</f>
        <v>0</v>
      </c>
      <c r="O354" s="70" t="b">
        <f>IF(Tab.11[[#This Row],[a1]]=1,_xlfn.NORM.DIST(Tab.11[[#This Row],[b8]],$P$1,$Q$1,FALSE))</f>
        <v>0</v>
      </c>
      <c r="P354" s="70" t="b">
        <f>IF(Tab.11[[#This Row],[a1]]=1,_xlfn.NORM.DIST(Tab.11[[#This Row],[b9]],$P$1,$Q$1,FALSE))</f>
        <v>0</v>
      </c>
      <c r="Q354" s="70" t="b">
        <f>IF(Tab.11[[#This Row],[a1]]=1,_xlfn.NORM.DIST(Tab.11[[#This Row],[b10]],$P$1,$Q$1,FALSE))</f>
        <v>0</v>
      </c>
      <c r="R354" s="67" t="b">
        <f>IF(Tab.11[[#This Row],[a1]]=1,$I$3+$A$989+IF($K$3=0,Tab.11[[#This Row],[b8]]*_xlfn.STDEV.P(Tab.11[data]),AVERAGE(Tab.11[b6])+Tab.11[[#This Row],[b8]]*_xlfn.STDEV.P(Tab.11[data])))</f>
        <v>0</v>
      </c>
      <c r="S354" s="71" t="b">
        <f>IF(Tab.11[[#This Row],[a1]]=1,$I$3+$A$987+IF($K$3=0,Tab.11[[#This Row],[b9]]*_xlfn.STDEV.P(Tab.11[data]),AVERAGE(Tab.11[b6])+Tab.11[[#This Row],[b9]]*_xlfn.STDEV.P(Tab.11[data])))</f>
        <v>0</v>
      </c>
      <c r="T354" s="71" t="b">
        <f>IF(Tab.11[[#This Row],[a1]]=1,$I$3+$A$988+IF($K$3=0,Tab.11[[#This Row],[b10]]*_xlfn.STDEV.P(Tab.11[data]),AVERAGE(Tab.11[b6])+Tab.11[[#This Row],[b10]]*_xlfn.STDEV.P(Tab.11[data])))</f>
        <v>0</v>
      </c>
      <c r="U354" s="72" t="b">
        <f>IF(Tab.11[[#This Row],[a1]]=1,Tab.11[[#This Row],[target]]-Tab.11[[#This Row],[Red]])</f>
        <v>0</v>
      </c>
      <c r="V354" s="72" t="b">
        <f>IF(Tab.11[[#This Row],[a1]]=1,Tab.11[[#This Row],[target]]-Tab.11[[#This Row],[Blue]])</f>
        <v>0</v>
      </c>
      <c r="W354" s="73" t="b">
        <f>IF(Tab.11[[#This Row],[a1]]=1,IF(ABS(Tab.11[[#This Row],[b17]])+ABS(Tab.11[[#This Row],[b18]])&lt;$W$2,$W$2,ABS(Tab.11[[#This Row],[b17]])+ABS(Tab.11[[#This Row],[b18]])))</f>
        <v>0</v>
      </c>
      <c r="X354" s="136" t="b">
        <f>IF(Tab.11[[#This Row],[a1]]=1,IF($W$3&lt;0,Tab.11[[#This Row],[IN]]-$I$3,Tab.11[[#This Row],[IN]]))</f>
        <v>0</v>
      </c>
      <c r="Y354" s="136" t="b">
        <f>IF(Tab.11[[#This Row],[a1]]=1,IF($X$3=0,Tab.11[b66],Tab.11[[#This Row],[b66]]-AVERAGE(Tab.11[b66])))</f>
        <v>0</v>
      </c>
      <c r="Z354" s="135" t="b">
        <f>IF(Tab.11[[#This Row],[a1]]=1,Tab.11[[#This Row],[b77]]/(_xlfn.STDEV.P(Tab.11[b77])))</f>
        <v>0</v>
      </c>
      <c r="AA354" s="70" t="b">
        <f>IF(Tab.11[[#This Row],[a1]]=1,_xlfn.NORM.DIST(Tab.11[[#This Row],[b88]],$Z$1,$AA$1,FALSE))</f>
        <v>0</v>
      </c>
      <c r="AB354" s="74" t="b">
        <f>IF(Tab.11[[#This Row],[a1]]=1,IF($A$3=0,FALSE,1/Tab.11[[#This Row],[IN]]*$AC$2*IF(Tab.11[[#This Row],[a1]]=0,,$A$3*$AC$1*1/$V$3*(Tab.11[[#This Row],[b14]]))))</f>
        <v>0</v>
      </c>
      <c r="AC354" s="75" t="b">
        <f>IF(Tab.11[[#This Row],[a1]]=1,IF($AC$3=0,Tab.11[[#This Row],[φ1]],Tab.11[[#This Row],[φ1]]/MAX(Tab.11[φ1])))</f>
        <v>0</v>
      </c>
      <c r="AD354" s="74" t="b">
        <f>IF(Tab.11[[#This Row],[a1]]=1,1/Tab.11[[#This Row],[φ2]])</f>
        <v>0</v>
      </c>
      <c r="AE354" s="74" t="b">
        <f>IF(Tab.11[[#This Row],[a1]]=1,IF($AE$3=0,Tab.11[[#This Row],[w.0]],Tab.11[[#This Row],[w.0]]/SUM(Tab.11[w.0])))</f>
        <v>0</v>
      </c>
      <c r="AF354" s="76" t="str">
        <f>IF(Tab.11[[#This Row],[a1]]=0,"false",[3]!Tab.x5[[#This Row],[%_seN_C]])</f>
        <v>false</v>
      </c>
      <c r="AG354" s="77" t="b">
        <f>IF(Tab.11[[#This Row],[a1]]=1,AP354)</f>
        <v>0</v>
      </c>
      <c r="AH354" s="78" t="b">
        <f>IF(Tab.11[[#This Row],[a1]]=1,AQ354)</f>
        <v>0</v>
      </c>
      <c r="AI354" s="41">
        <v>3.0000000000000001E-3</v>
      </c>
      <c r="AJ354" s="79">
        <v>-0.05</v>
      </c>
      <c r="AK354" s="80" t="b">
        <f>IF(Tab.11[[#This Row],[a1]]=1,1)</f>
        <v>0</v>
      </c>
      <c r="AZ354"/>
    </row>
    <row r="355" spans="1:52" hidden="1" x14ac:dyDescent="0.25">
      <c r="A355" s="61">
        <f t="shared" si="13"/>
        <v>0</v>
      </c>
      <c r="B355" s="62">
        <f t="shared" si="13"/>
        <v>0</v>
      </c>
      <c r="C355" s="62" t="b">
        <f>IF(Tab.11[[#This Row],[a1]]=1,[3]!Tab_x1[[#This Row],[Name]])</f>
        <v>0</v>
      </c>
      <c r="D355" s="63" t="b">
        <f>IF(Tab.11[[#This Row],[a1]]=1,AO355)</f>
        <v>0</v>
      </c>
      <c r="E355" s="63">
        <f t="shared" si="12"/>
        <v>0</v>
      </c>
      <c r="F355" s="64" t="b">
        <f>IF(Tab.11[[#This Row],[a1]]=1,Tab.11[[#This Row],[b1]])</f>
        <v>0</v>
      </c>
      <c r="G355" s="65" t="b">
        <f>IF(Tab.11[[#This Row],[a1]]=1,IF(Tab.11[[#This Row],[b3]]&gt;$L$989*$G$3,$L$989*$G$3,IF(Tab.11[[#This Row],[b3]]&lt;$M$989*$G$3,$M$989*$G$3,Tab.11[[#This Row],[b3]])))</f>
        <v>0</v>
      </c>
      <c r="H355" s="66" t="b">
        <f>IF(Tab.11[[#This Row],[a1]]=1,Tab.11[[#This Row],[b1]])</f>
        <v>0</v>
      </c>
      <c r="I355" s="67" t="b">
        <f>IF(Tab.11[[#This Row],[a1]]=1,Tab.11[[#This Row],[b1]])</f>
        <v>0</v>
      </c>
      <c r="J355" s="68" t="b">
        <f>IF(Tab.11[[#This Row],[a1]]=1,IF($I$3&lt;0,Tab.11[[#This Row],[b5]]-$I$3,Tab.11[[#This Row],[b5]]))</f>
        <v>0</v>
      </c>
      <c r="K355" s="68" t="b">
        <f>IF(Tab.11[[#This Row],[a1]]=1,IF($K$3=0,Tab.11[b6],Tab.11[[#This Row],[b6]]-AVERAGE(Tab.11[b6])))</f>
        <v>0</v>
      </c>
      <c r="L355" s="69" t="b">
        <f>IF(Tab.11[[#This Row],[a1]]=1,Tab.11[[#This Row],[data]]/(_xlfn.STDEV.P(Tab.11[data])*$B$989)+$A$989)</f>
        <v>0</v>
      </c>
      <c r="M355" s="69" t="b">
        <f>IF(Tab.11[[#This Row],[a1]]=1,Tab.11[[#This Row],[data]]/(_xlfn.STDEV.P(Tab.11[data])*$B$987)-$A$987)</f>
        <v>0</v>
      </c>
      <c r="N355" s="69" t="b">
        <f>IF(Tab.11[[#This Row],[a1]]=1,Tab.11[[#This Row],[data]]/(_xlfn.STDEV.P(Tab.11[data])*$B$988)+$A$988)</f>
        <v>0</v>
      </c>
      <c r="O355" s="70" t="b">
        <f>IF(Tab.11[[#This Row],[a1]]=1,_xlfn.NORM.DIST(Tab.11[[#This Row],[b8]],$P$1,$Q$1,FALSE))</f>
        <v>0</v>
      </c>
      <c r="P355" s="70" t="b">
        <f>IF(Tab.11[[#This Row],[a1]]=1,_xlfn.NORM.DIST(Tab.11[[#This Row],[b9]],$P$1,$Q$1,FALSE))</f>
        <v>0</v>
      </c>
      <c r="Q355" s="70" t="b">
        <f>IF(Tab.11[[#This Row],[a1]]=1,_xlfn.NORM.DIST(Tab.11[[#This Row],[b10]],$P$1,$Q$1,FALSE))</f>
        <v>0</v>
      </c>
      <c r="R355" s="67" t="b">
        <f>IF(Tab.11[[#This Row],[a1]]=1,$I$3+$A$989+IF($K$3=0,Tab.11[[#This Row],[b8]]*_xlfn.STDEV.P(Tab.11[data]),AVERAGE(Tab.11[b6])+Tab.11[[#This Row],[b8]]*_xlfn.STDEV.P(Tab.11[data])))</f>
        <v>0</v>
      </c>
      <c r="S355" s="71" t="b">
        <f>IF(Tab.11[[#This Row],[a1]]=1,$I$3+$A$987+IF($K$3=0,Tab.11[[#This Row],[b9]]*_xlfn.STDEV.P(Tab.11[data]),AVERAGE(Tab.11[b6])+Tab.11[[#This Row],[b9]]*_xlfn.STDEV.P(Tab.11[data])))</f>
        <v>0</v>
      </c>
      <c r="T355" s="71" t="b">
        <f>IF(Tab.11[[#This Row],[a1]]=1,$I$3+$A$988+IF($K$3=0,Tab.11[[#This Row],[b10]]*_xlfn.STDEV.P(Tab.11[data]),AVERAGE(Tab.11[b6])+Tab.11[[#This Row],[b10]]*_xlfn.STDEV.P(Tab.11[data])))</f>
        <v>0</v>
      </c>
      <c r="U355" s="72" t="b">
        <f>IF(Tab.11[[#This Row],[a1]]=1,Tab.11[[#This Row],[target]]-Tab.11[[#This Row],[Red]])</f>
        <v>0</v>
      </c>
      <c r="V355" s="72" t="b">
        <f>IF(Tab.11[[#This Row],[a1]]=1,Tab.11[[#This Row],[target]]-Tab.11[[#This Row],[Blue]])</f>
        <v>0</v>
      </c>
      <c r="W355" s="73" t="b">
        <f>IF(Tab.11[[#This Row],[a1]]=1,IF(ABS(Tab.11[[#This Row],[b17]])+ABS(Tab.11[[#This Row],[b18]])&lt;$W$2,$W$2,ABS(Tab.11[[#This Row],[b17]])+ABS(Tab.11[[#This Row],[b18]])))</f>
        <v>0</v>
      </c>
      <c r="X355" s="136" t="b">
        <f>IF(Tab.11[[#This Row],[a1]]=1,IF($W$3&lt;0,Tab.11[[#This Row],[IN]]-$I$3,Tab.11[[#This Row],[IN]]))</f>
        <v>0</v>
      </c>
      <c r="Y355" s="136" t="b">
        <f>IF(Tab.11[[#This Row],[a1]]=1,IF($X$3=0,Tab.11[b66],Tab.11[[#This Row],[b66]]-AVERAGE(Tab.11[b66])))</f>
        <v>0</v>
      </c>
      <c r="Z355" s="135" t="b">
        <f>IF(Tab.11[[#This Row],[a1]]=1,Tab.11[[#This Row],[b77]]/(_xlfn.STDEV.P(Tab.11[b77])))</f>
        <v>0</v>
      </c>
      <c r="AA355" s="70" t="b">
        <f>IF(Tab.11[[#This Row],[a1]]=1,_xlfn.NORM.DIST(Tab.11[[#This Row],[b88]],$Z$1,$AA$1,FALSE))</f>
        <v>0</v>
      </c>
      <c r="AB355" s="74" t="b">
        <f>IF(Tab.11[[#This Row],[a1]]=1,IF($A$3=0,FALSE,1/Tab.11[[#This Row],[IN]]*$AC$2*IF(Tab.11[[#This Row],[a1]]=0,,$A$3*$AC$1*1/$V$3*(Tab.11[[#This Row],[b14]]))))</f>
        <v>0</v>
      </c>
      <c r="AC355" s="75" t="b">
        <f>IF(Tab.11[[#This Row],[a1]]=1,IF($AC$3=0,Tab.11[[#This Row],[φ1]],Tab.11[[#This Row],[φ1]]/MAX(Tab.11[φ1])))</f>
        <v>0</v>
      </c>
      <c r="AD355" s="74" t="b">
        <f>IF(Tab.11[[#This Row],[a1]]=1,1/Tab.11[[#This Row],[φ2]])</f>
        <v>0</v>
      </c>
      <c r="AE355" s="74" t="b">
        <f>IF(Tab.11[[#This Row],[a1]]=1,IF($AE$3=0,Tab.11[[#This Row],[w.0]],Tab.11[[#This Row],[w.0]]/SUM(Tab.11[w.0])))</f>
        <v>0</v>
      </c>
      <c r="AF355" s="76" t="str">
        <f>IF(Tab.11[[#This Row],[a1]]=0,"false",[3]!Tab.x5[[#This Row],[%_seN_C]])</f>
        <v>false</v>
      </c>
      <c r="AG355" s="77" t="b">
        <f>IF(Tab.11[[#This Row],[a1]]=1,AP355)</f>
        <v>0</v>
      </c>
      <c r="AH355" s="78" t="b">
        <f>IF(Tab.11[[#This Row],[a1]]=1,AQ355)</f>
        <v>0</v>
      </c>
      <c r="AI355" s="41">
        <v>3.0000000000000001E-3</v>
      </c>
      <c r="AJ355" s="79">
        <v>-0.04</v>
      </c>
      <c r="AK355" s="80" t="b">
        <f>IF(Tab.11[[#This Row],[a1]]=1,1)</f>
        <v>0</v>
      </c>
      <c r="AZ355"/>
    </row>
    <row r="356" spans="1:52" hidden="1" x14ac:dyDescent="0.25">
      <c r="A356" s="61">
        <f t="shared" si="13"/>
        <v>0</v>
      </c>
      <c r="B356" s="62">
        <f t="shared" si="13"/>
        <v>0</v>
      </c>
      <c r="C356" s="62" t="b">
        <f>IF(Tab.11[[#This Row],[a1]]=1,[3]!Tab_x1[[#This Row],[Name]])</f>
        <v>0</v>
      </c>
      <c r="D356" s="63" t="b">
        <f>IF(Tab.11[[#This Row],[a1]]=1,AO356)</f>
        <v>0</v>
      </c>
      <c r="E356" s="63">
        <f t="shared" si="12"/>
        <v>0</v>
      </c>
      <c r="F356" s="64" t="b">
        <f>IF(Tab.11[[#This Row],[a1]]=1,Tab.11[[#This Row],[b1]])</f>
        <v>0</v>
      </c>
      <c r="G356" s="65" t="b">
        <f>IF(Tab.11[[#This Row],[a1]]=1,IF(Tab.11[[#This Row],[b3]]&gt;$L$989*$G$3,$L$989*$G$3,IF(Tab.11[[#This Row],[b3]]&lt;$M$989*$G$3,$M$989*$G$3,Tab.11[[#This Row],[b3]])))</f>
        <v>0</v>
      </c>
      <c r="H356" s="66" t="b">
        <f>IF(Tab.11[[#This Row],[a1]]=1,Tab.11[[#This Row],[b1]])</f>
        <v>0</v>
      </c>
      <c r="I356" s="67" t="b">
        <f>IF(Tab.11[[#This Row],[a1]]=1,Tab.11[[#This Row],[b1]])</f>
        <v>0</v>
      </c>
      <c r="J356" s="68" t="b">
        <f>IF(Tab.11[[#This Row],[a1]]=1,IF($I$3&lt;0,Tab.11[[#This Row],[b5]]-$I$3,Tab.11[[#This Row],[b5]]))</f>
        <v>0</v>
      </c>
      <c r="K356" s="68" t="b">
        <f>IF(Tab.11[[#This Row],[a1]]=1,IF($K$3=0,Tab.11[b6],Tab.11[[#This Row],[b6]]-AVERAGE(Tab.11[b6])))</f>
        <v>0</v>
      </c>
      <c r="L356" s="69" t="b">
        <f>IF(Tab.11[[#This Row],[a1]]=1,Tab.11[[#This Row],[data]]/(_xlfn.STDEV.P(Tab.11[data])*$B$989)+$A$989)</f>
        <v>0</v>
      </c>
      <c r="M356" s="69" t="b">
        <f>IF(Tab.11[[#This Row],[a1]]=1,Tab.11[[#This Row],[data]]/(_xlfn.STDEV.P(Tab.11[data])*$B$987)-$A$987)</f>
        <v>0</v>
      </c>
      <c r="N356" s="69" t="b">
        <f>IF(Tab.11[[#This Row],[a1]]=1,Tab.11[[#This Row],[data]]/(_xlfn.STDEV.P(Tab.11[data])*$B$988)+$A$988)</f>
        <v>0</v>
      </c>
      <c r="O356" s="70" t="b">
        <f>IF(Tab.11[[#This Row],[a1]]=1,_xlfn.NORM.DIST(Tab.11[[#This Row],[b8]],$P$1,$Q$1,FALSE))</f>
        <v>0</v>
      </c>
      <c r="P356" s="70" t="b">
        <f>IF(Tab.11[[#This Row],[a1]]=1,_xlfn.NORM.DIST(Tab.11[[#This Row],[b9]],$P$1,$Q$1,FALSE))</f>
        <v>0</v>
      </c>
      <c r="Q356" s="70" t="b">
        <f>IF(Tab.11[[#This Row],[a1]]=1,_xlfn.NORM.DIST(Tab.11[[#This Row],[b10]],$P$1,$Q$1,FALSE))</f>
        <v>0</v>
      </c>
      <c r="R356" s="67" t="b">
        <f>IF(Tab.11[[#This Row],[a1]]=1,$I$3+$A$989+IF($K$3=0,Tab.11[[#This Row],[b8]]*_xlfn.STDEV.P(Tab.11[data]),AVERAGE(Tab.11[b6])+Tab.11[[#This Row],[b8]]*_xlfn.STDEV.P(Tab.11[data])))</f>
        <v>0</v>
      </c>
      <c r="S356" s="71" t="b">
        <f>IF(Tab.11[[#This Row],[a1]]=1,$I$3+$A$987+IF($K$3=0,Tab.11[[#This Row],[b9]]*_xlfn.STDEV.P(Tab.11[data]),AVERAGE(Tab.11[b6])+Tab.11[[#This Row],[b9]]*_xlfn.STDEV.P(Tab.11[data])))</f>
        <v>0</v>
      </c>
      <c r="T356" s="71" t="b">
        <f>IF(Tab.11[[#This Row],[a1]]=1,$I$3+$A$988+IF($K$3=0,Tab.11[[#This Row],[b10]]*_xlfn.STDEV.P(Tab.11[data]),AVERAGE(Tab.11[b6])+Tab.11[[#This Row],[b10]]*_xlfn.STDEV.P(Tab.11[data])))</f>
        <v>0</v>
      </c>
      <c r="U356" s="72" t="b">
        <f>IF(Tab.11[[#This Row],[a1]]=1,Tab.11[[#This Row],[target]]-Tab.11[[#This Row],[Red]])</f>
        <v>0</v>
      </c>
      <c r="V356" s="72" t="b">
        <f>IF(Tab.11[[#This Row],[a1]]=1,Tab.11[[#This Row],[target]]-Tab.11[[#This Row],[Blue]])</f>
        <v>0</v>
      </c>
      <c r="W356" s="73" t="b">
        <f>IF(Tab.11[[#This Row],[a1]]=1,IF(ABS(Tab.11[[#This Row],[b17]])+ABS(Tab.11[[#This Row],[b18]])&lt;$W$2,$W$2,ABS(Tab.11[[#This Row],[b17]])+ABS(Tab.11[[#This Row],[b18]])))</f>
        <v>0</v>
      </c>
      <c r="X356" s="136" t="b">
        <f>IF(Tab.11[[#This Row],[a1]]=1,IF($W$3&lt;0,Tab.11[[#This Row],[IN]]-$I$3,Tab.11[[#This Row],[IN]]))</f>
        <v>0</v>
      </c>
      <c r="Y356" s="136" t="b">
        <f>IF(Tab.11[[#This Row],[a1]]=1,IF($X$3=0,Tab.11[b66],Tab.11[[#This Row],[b66]]-AVERAGE(Tab.11[b66])))</f>
        <v>0</v>
      </c>
      <c r="Z356" s="135" t="b">
        <f>IF(Tab.11[[#This Row],[a1]]=1,Tab.11[[#This Row],[b77]]/(_xlfn.STDEV.P(Tab.11[b77])))</f>
        <v>0</v>
      </c>
      <c r="AA356" s="70" t="b">
        <f>IF(Tab.11[[#This Row],[a1]]=1,_xlfn.NORM.DIST(Tab.11[[#This Row],[b88]],$Z$1,$AA$1,FALSE))</f>
        <v>0</v>
      </c>
      <c r="AB356" s="74" t="b">
        <f>IF(Tab.11[[#This Row],[a1]]=1,IF($A$3=0,FALSE,1/Tab.11[[#This Row],[IN]]*$AC$2*IF(Tab.11[[#This Row],[a1]]=0,,$A$3*$AC$1*1/$V$3*(Tab.11[[#This Row],[b14]]))))</f>
        <v>0</v>
      </c>
      <c r="AC356" s="75" t="b">
        <f>IF(Tab.11[[#This Row],[a1]]=1,IF($AC$3=0,Tab.11[[#This Row],[φ1]],Tab.11[[#This Row],[φ1]]/MAX(Tab.11[φ1])))</f>
        <v>0</v>
      </c>
      <c r="AD356" s="74" t="b">
        <f>IF(Tab.11[[#This Row],[a1]]=1,1/Tab.11[[#This Row],[φ2]])</f>
        <v>0</v>
      </c>
      <c r="AE356" s="74" t="b">
        <f>IF(Tab.11[[#This Row],[a1]]=1,IF($AE$3=0,Tab.11[[#This Row],[w.0]],Tab.11[[#This Row],[w.0]]/SUM(Tab.11[w.0])))</f>
        <v>0</v>
      </c>
      <c r="AF356" s="76" t="str">
        <f>IF(Tab.11[[#This Row],[a1]]=0,"false",[3]!Tab.x5[[#This Row],[%_seN_C]])</f>
        <v>false</v>
      </c>
      <c r="AG356" s="77" t="b">
        <f>IF(Tab.11[[#This Row],[a1]]=1,AP356)</f>
        <v>0</v>
      </c>
      <c r="AH356" s="78" t="b">
        <f>IF(Tab.11[[#This Row],[a1]]=1,AQ356)</f>
        <v>0</v>
      </c>
      <c r="AI356" s="41">
        <v>3.0000000000000001E-3</v>
      </c>
      <c r="AJ356" s="79">
        <v>-0.01</v>
      </c>
      <c r="AK356" s="80" t="b">
        <f>IF(Tab.11[[#This Row],[a1]]=1,1)</f>
        <v>0</v>
      </c>
      <c r="AZ356"/>
    </row>
    <row r="357" spans="1:52" hidden="1" x14ac:dyDescent="0.25">
      <c r="A357" s="61">
        <f t="shared" si="13"/>
        <v>0</v>
      </c>
      <c r="B357" s="62">
        <f t="shared" si="13"/>
        <v>0</v>
      </c>
      <c r="C357" s="62" t="b">
        <f>IF(Tab.11[[#This Row],[a1]]=1,[3]!Tab_x1[[#This Row],[Name]])</f>
        <v>0</v>
      </c>
      <c r="D357" s="63" t="b">
        <f>IF(Tab.11[[#This Row],[a1]]=1,AO357)</f>
        <v>0</v>
      </c>
      <c r="E357" s="63">
        <f t="shared" si="12"/>
        <v>0</v>
      </c>
      <c r="F357" s="64" t="b">
        <f>IF(Tab.11[[#This Row],[a1]]=1,Tab.11[[#This Row],[b1]])</f>
        <v>0</v>
      </c>
      <c r="G357" s="65" t="b">
        <f>IF(Tab.11[[#This Row],[a1]]=1,IF(Tab.11[[#This Row],[b3]]&gt;$L$989*$G$3,$L$989*$G$3,IF(Tab.11[[#This Row],[b3]]&lt;$M$989*$G$3,$M$989*$G$3,Tab.11[[#This Row],[b3]])))</f>
        <v>0</v>
      </c>
      <c r="H357" s="66" t="b">
        <f>IF(Tab.11[[#This Row],[a1]]=1,Tab.11[[#This Row],[b1]])</f>
        <v>0</v>
      </c>
      <c r="I357" s="67" t="b">
        <f>IF(Tab.11[[#This Row],[a1]]=1,Tab.11[[#This Row],[b1]])</f>
        <v>0</v>
      </c>
      <c r="J357" s="68" t="b">
        <f>IF(Tab.11[[#This Row],[a1]]=1,IF($I$3&lt;0,Tab.11[[#This Row],[b5]]-$I$3,Tab.11[[#This Row],[b5]]))</f>
        <v>0</v>
      </c>
      <c r="K357" s="68" t="b">
        <f>IF(Tab.11[[#This Row],[a1]]=1,IF($K$3=0,Tab.11[b6],Tab.11[[#This Row],[b6]]-AVERAGE(Tab.11[b6])))</f>
        <v>0</v>
      </c>
      <c r="L357" s="69" t="b">
        <f>IF(Tab.11[[#This Row],[a1]]=1,Tab.11[[#This Row],[data]]/(_xlfn.STDEV.P(Tab.11[data])*$B$989)+$A$989)</f>
        <v>0</v>
      </c>
      <c r="M357" s="69" t="b">
        <f>IF(Tab.11[[#This Row],[a1]]=1,Tab.11[[#This Row],[data]]/(_xlfn.STDEV.P(Tab.11[data])*$B$987)-$A$987)</f>
        <v>0</v>
      </c>
      <c r="N357" s="69" t="b">
        <f>IF(Tab.11[[#This Row],[a1]]=1,Tab.11[[#This Row],[data]]/(_xlfn.STDEV.P(Tab.11[data])*$B$988)+$A$988)</f>
        <v>0</v>
      </c>
      <c r="O357" s="70" t="b">
        <f>IF(Tab.11[[#This Row],[a1]]=1,_xlfn.NORM.DIST(Tab.11[[#This Row],[b8]],$P$1,$Q$1,FALSE))</f>
        <v>0</v>
      </c>
      <c r="P357" s="70" t="b">
        <f>IF(Tab.11[[#This Row],[a1]]=1,_xlfn.NORM.DIST(Tab.11[[#This Row],[b9]],$P$1,$Q$1,FALSE))</f>
        <v>0</v>
      </c>
      <c r="Q357" s="70" t="b">
        <f>IF(Tab.11[[#This Row],[a1]]=1,_xlfn.NORM.DIST(Tab.11[[#This Row],[b10]],$P$1,$Q$1,FALSE))</f>
        <v>0</v>
      </c>
      <c r="R357" s="67" t="b">
        <f>IF(Tab.11[[#This Row],[a1]]=1,$I$3+$A$989+IF($K$3=0,Tab.11[[#This Row],[b8]]*_xlfn.STDEV.P(Tab.11[data]),AVERAGE(Tab.11[b6])+Tab.11[[#This Row],[b8]]*_xlfn.STDEV.P(Tab.11[data])))</f>
        <v>0</v>
      </c>
      <c r="S357" s="71" t="b">
        <f>IF(Tab.11[[#This Row],[a1]]=1,$I$3+$A$987+IF($K$3=0,Tab.11[[#This Row],[b9]]*_xlfn.STDEV.P(Tab.11[data]),AVERAGE(Tab.11[b6])+Tab.11[[#This Row],[b9]]*_xlfn.STDEV.P(Tab.11[data])))</f>
        <v>0</v>
      </c>
      <c r="T357" s="71" t="b">
        <f>IF(Tab.11[[#This Row],[a1]]=1,$I$3+$A$988+IF($K$3=0,Tab.11[[#This Row],[b10]]*_xlfn.STDEV.P(Tab.11[data]),AVERAGE(Tab.11[b6])+Tab.11[[#This Row],[b10]]*_xlfn.STDEV.P(Tab.11[data])))</f>
        <v>0</v>
      </c>
      <c r="U357" s="72" t="b">
        <f>IF(Tab.11[[#This Row],[a1]]=1,Tab.11[[#This Row],[target]]-Tab.11[[#This Row],[Red]])</f>
        <v>0</v>
      </c>
      <c r="V357" s="72" t="b">
        <f>IF(Tab.11[[#This Row],[a1]]=1,Tab.11[[#This Row],[target]]-Tab.11[[#This Row],[Blue]])</f>
        <v>0</v>
      </c>
      <c r="W357" s="73" t="b">
        <f>IF(Tab.11[[#This Row],[a1]]=1,IF(ABS(Tab.11[[#This Row],[b17]])+ABS(Tab.11[[#This Row],[b18]])&lt;$W$2,$W$2,ABS(Tab.11[[#This Row],[b17]])+ABS(Tab.11[[#This Row],[b18]])))</f>
        <v>0</v>
      </c>
      <c r="X357" s="136" t="b">
        <f>IF(Tab.11[[#This Row],[a1]]=1,IF($W$3&lt;0,Tab.11[[#This Row],[IN]]-$I$3,Tab.11[[#This Row],[IN]]))</f>
        <v>0</v>
      </c>
      <c r="Y357" s="136" t="b">
        <f>IF(Tab.11[[#This Row],[a1]]=1,IF($X$3=0,Tab.11[b66],Tab.11[[#This Row],[b66]]-AVERAGE(Tab.11[b66])))</f>
        <v>0</v>
      </c>
      <c r="Z357" s="135" t="b">
        <f>IF(Tab.11[[#This Row],[a1]]=1,Tab.11[[#This Row],[b77]]/(_xlfn.STDEV.P(Tab.11[b77])))</f>
        <v>0</v>
      </c>
      <c r="AA357" s="70" t="b">
        <f>IF(Tab.11[[#This Row],[a1]]=1,_xlfn.NORM.DIST(Tab.11[[#This Row],[b88]],$Z$1,$AA$1,FALSE))</f>
        <v>0</v>
      </c>
      <c r="AB357" s="74" t="b">
        <f>IF(Tab.11[[#This Row],[a1]]=1,IF($A$3=0,FALSE,1/Tab.11[[#This Row],[IN]]*$AC$2*IF(Tab.11[[#This Row],[a1]]=0,,$A$3*$AC$1*1/$V$3*(Tab.11[[#This Row],[b14]]))))</f>
        <v>0</v>
      </c>
      <c r="AC357" s="75" t="b">
        <f>IF(Tab.11[[#This Row],[a1]]=1,IF($AC$3=0,Tab.11[[#This Row],[φ1]],Tab.11[[#This Row],[φ1]]/MAX(Tab.11[φ1])))</f>
        <v>0</v>
      </c>
      <c r="AD357" s="74" t="b">
        <f>IF(Tab.11[[#This Row],[a1]]=1,1/Tab.11[[#This Row],[φ2]])</f>
        <v>0</v>
      </c>
      <c r="AE357" s="74" t="b">
        <f>IF(Tab.11[[#This Row],[a1]]=1,IF($AE$3=0,Tab.11[[#This Row],[w.0]],Tab.11[[#This Row],[w.0]]/SUM(Tab.11[w.0])))</f>
        <v>0</v>
      </c>
      <c r="AF357" s="76" t="str">
        <f>IF(Tab.11[[#This Row],[a1]]=0,"false",[3]!Tab.x5[[#This Row],[%_seN_C]])</f>
        <v>false</v>
      </c>
      <c r="AG357" s="77" t="b">
        <f>IF(Tab.11[[#This Row],[a1]]=1,AP357)</f>
        <v>0</v>
      </c>
      <c r="AH357" s="78" t="b">
        <f>IF(Tab.11[[#This Row],[a1]]=1,AQ357)</f>
        <v>0</v>
      </c>
      <c r="AI357" s="41">
        <v>3.0000000000000001E-3</v>
      </c>
      <c r="AJ357" s="79">
        <v>0.09</v>
      </c>
      <c r="AK357" s="80" t="b">
        <f>IF(Tab.11[[#This Row],[a1]]=1,1)</f>
        <v>0</v>
      </c>
      <c r="AZ357"/>
    </row>
    <row r="358" spans="1:52" hidden="1" x14ac:dyDescent="0.25">
      <c r="A358" s="61">
        <f t="shared" si="13"/>
        <v>0</v>
      </c>
      <c r="B358" s="62">
        <f t="shared" si="13"/>
        <v>0</v>
      </c>
      <c r="C358" s="62" t="b">
        <f>IF(Tab.11[[#This Row],[a1]]=1,[3]!Tab_x1[[#This Row],[Name]])</f>
        <v>0</v>
      </c>
      <c r="D358" s="63" t="b">
        <f>IF(Tab.11[[#This Row],[a1]]=1,AO358)</f>
        <v>0</v>
      </c>
      <c r="E358" s="63">
        <f t="shared" si="12"/>
        <v>0</v>
      </c>
      <c r="F358" s="64" t="b">
        <f>IF(Tab.11[[#This Row],[a1]]=1,Tab.11[[#This Row],[b1]])</f>
        <v>0</v>
      </c>
      <c r="G358" s="65" t="b">
        <f>IF(Tab.11[[#This Row],[a1]]=1,IF(Tab.11[[#This Row],[b3]]&gt;$L$989*$G$3,$L$989*$G$3,IF(Tab.11[[#This Row],[b3]]&lt;$M$989*$G$3,$M$989*$G$3,Tab.11[[#This Row],[b3]])))</f>
        <v>0</v>
      </c>
      <c r="H358" s="66" t="b">
        <f>IF(Tab.11[[#This Row],[a1]]=1,Tab.11[[#This Row],[b1]])</f>
        <v>0</v>
      </c>
      <c r="I358" s="67" t="b">
        <f>IF(Tab.11[[#This Row],[a1]]=1,Tab.11[[#This Row],[b1]])</f>
        <v>0</v>
      </c>
      <c r="J358" s="68" t="b">
        <f>IF(Tab.11[[#This Row],[a1]]=1,IF($I$3&lt;0,Tab.11[[#This Row],[b5]]-$I$3,Tab.11[[#This Row],[b5]]))</f>
        <v>0</v>
      </c>
      <c r="K358" s="68" t="b">
        <f>IF(Tab.11[[#This Row],[a1]]=1,IF($K$3=0,Tab.11[b6],Tab.11[[#This Row],[b6]]-AVERAGE(Tab.11[b6])))</f>
        <v>0</v>
      </c>
      <c r="L358" s="69" t="b">
        <f>IF(Tab.11[[#This Row],[a1]]=1,Tab.11[[#This Row],[data]]/(_xlfn.STDEV.P(Tab.11[data])*$B$989)+$A$989)</f>
        <v>0</v>
      </c>
      <c r="M358" s="69" t="b">
        <f>IF(Tab.11[[#This Row],[a1]]=1,Tab.11[[#This Row],[data]]/(_xlfn.STDEV.P(Tab.11[data])*$B$987)-$A$987)</f>
        <v>0</v>
      </c>
      <c r="N358" s="69" t="b">
        <f>IF(Tab.11[[#This Row],[a1]]=1,Tab.11[[#This Row],[data]]/(_xlfn.STDEV.P(Tab.11[data])*$B$988)+$A$988)</f>
        <v>0</v>
      </c>
      <c r="O358" s="70" t="b">
        <f>IF(Tab.11[[#This Row],[a1]]=1,_xlfn.NORM.DIST(Tab.11[[#This Row],[b8]],$P$1,$Q$1,FALSE))</f>
        <v>0</v>
      </c>
      <c r="P358" s="70" t="b">
        <f>IF(Tab.11[[#This Row],[a1]]=1,_xlfn.NORM.DIST(Tab.11[[#This Row],[b9]],$P$1,$Q$1,FALSE))</f>
        <v>0</v>
      </c>
      <c r="Q358" s="70" t="b">
        <f>IF(Tab.11[[#This Row],[a1]]=1,_xlfn.NORM.DIST(Tab.11[[#This Row],[b10]],$P$1,$Q$1,FALSE))</f>
        <v>0</v>
      </c>
      <c r="R358" s="67" t="b">
        <f>IF(Tab.11[[#This Row],[a1]]=1,$I$3+$A$989+IF($K$3=0,Tab.11[[#This Row],[b8]]*_xlfn.STDEV.P(Tab.11[data]),AVERAGE(Tab.11[b6])+Tab.11[[#This Row],[b8]]*_xlfn.STDEV.P(Tab.11[data])))</f>
        <v>0</v>
      </c>
      <c r="S358" s="71" t="b">
        <f>IF(Tab.11[[#This Row],[a1]]=1,$I$3+$A$987+IF($K$3=0,Tab.11[[#This Row],[b9]]*_xlfn.STDEV.P(Tab.11[data]),AVERAGE(Tab.11[b6])+Tab.11[[#This Row],[b9]]*_xlfn.STDEV.P(Tab.11[data])))</f>
        <v>0</v>
      </c>
      <c r="T358" s="71" t="b">
        <f>IF(Tab.11[[#This Row],[a1]]=1,$I$3+$A$988+IF($K$3=0,Tab.11[[#This Row],[b10]]*_xlfn.STDEV.P(Tab.11[data]),AVERAGE(Tab.11[b6])+Tab.11[[#This Row],[b10]]*_xlfn.STDEV.P(Tab.11[data])))</f>
        <v>0</v>
      </c>
      <c r="U358" s="72" t="b">
        <f>IF(Tab.11[[#This Row],[a1]]=1,Tab.11[[#This Row],[target]]-Tab.11[[#This Row],[Red]])</f>
        <v>0</v>
      </c>
      <c r="V358" s="72" t="b">
        <f>IF(Tab.11[[#This Row],[a1]]=1,Tab.11[[#This Row],[target]]-Tab.11[[#This Row],[Blue]])</f>
        <v>0</v>
      </c>
      <c r="W358" s="73" t="b">
        <f>IF(Tab.11[[#This Row],[a1]]=1,IF(ABS(Tab.11[[#This Row],[b17]])+ABS(Tab.11[[#This Row],[b18]])&lt;$W$2,$W$2,ABS(Tab.11[[#This Row],[b17]])+ABS(Tab.11[[#This Row],[b18]])))</f>
        <v>0</v>
      </c>
      <c r="X358" s="136" t="b">
        <f>IF(Tab.11[[#This Row],[a1]]=1,IF($W$3&lt;0,Tab.11[[#This Row],[IN]]-$I$3,Tab.11[[#This Row],[IN]]))</f>
        <v>0</v>
      </c>
      <c r="Y358" s="136" t="b">
        <f>IF(Tab.11[[#This Row],[a1]]=1,IF($X$3=0,Tab.11[b66],Tab.11[[#This Row],[b66]]-AVERAGE(Tab.11[b66])))</f>
        <v>0</v>
      </c>
      <c r="Z358" s="135" t="b">
        <f>IF(Tab.11[[#This Row],[a1]]=1,Tab.11[[#This Row],[b77]]/(_xlfn.STDEV.P(Tab.11[b77])))</f>
        <v>0</v>
      </c>
      <c r="AA358" s="70" t="b">
        <f>IF(Tab.11[[#This Row],[a1]]=1,_xlfn.NORM.DIST(Tab.11[[#This Row],[b88]],$Z$1,$AA$1,FALSE))</f>
        <v>0</v>
      </c>
      <c r="AB358" s="74" t="b">
        <f>IF(Tab.11[[#This Row],[a1]]=1,IF($A$3=0,FALSE,1/Tab.11[[#This Row],[IN]]*$AC$2*IF(Tab.11[[#This Row],[a1]]=0,,$A$3*$AC$1*1/$V$3*(Tab.11[[#This Row],[b14]]))))</f>
        <v>0</v>
      </c>
      <c r="AC358" s="75" t="b">
        <f>IF(Tab.11[[#This Row],[a1]]=1,IF($AC$3=0,Tab.11[[#This Row],[φ1]],Tab.11[[#This Row],[φ1]]/MAX(Tab.11[φ1])))</f>
        <v>0</v>
      </c>
      <c r="AD358" s="74" t="b">
        <f>IF(Tab.11[[#This Row],[a1]]=1,1/Tab.11[[#This Row],[φ2]])</f>
        <v>0</v>
      </c>
      <c r="AE358" s="74" t="b">
        <f>IF(Tab.11[[#This Row],[a1]]=1,IF($AE$3=0,Tab.11[[#This Row],[w.0]],Tab.11[[#This Row],[w.0]]/SUM(Tab.11[w.0])))</f>
        <v>0</v>
      </c>
      <c r="AF358" s="76" t="str">
        <f>IF(Tab.11[[#This Row],[a1]]=0,"false",[3]!Tab.x5[[#This Row],[%_seN_C]])</f>
        <v>false</v>
      </c>
      <c r="AG358" s="77" t="b">
        <f>IF(Tab.11[[#This Row],[a1]]=1,AP358)</f>
        <v>0</v>
      </c>
      <c r="AH358" s="78" t="b">
        <f>IF(Tab.11[[#This Row],[a1]]=1,AQ358)</f>
        <v>0</v>
      </c>
      <c r="AI358" s="41">
        <v>3.0000000000000001E-3</v>
      </c>
      <c r="AJ358" s="79">
        <v>0.01</v>
      </c>
      <c r="AK358" s="80" t="b">
        <f>IF(Tab.11[[#This Row],[a1]]=1,1)</f>
        <v>0</v>
      </c>
      <c r="AZ358"/>
    </row>
    <row r="359" spans="1:52" hidden="1" x14ac:dyDescent="0.25">
      <c r="A359" s="61">
        <f t="shared" si="13"/>
        <v>0</v>
      </c>
      <c r="B359" s="62">
        <f t="shared" si="13"/>
        <v>0</v>
      </c>
      <c r="C359" s="62" t="b">
        <f>IF(Tab.11[[#This Row],[a1]]=1,[3]!Tab_x1[[#This Row],[Name]])</f>
        <v>0</v>
      </c>
      <c r="D359" s="63" t="b">
        <f>IF(Tab.11[[#This Row],[a1]]=1,AO359)</f>
        <v>0</v>
      </c>
      <c r="E359" s="63">
        <f t="shared" si="12"/>
        <v>0</v>
      </c>
      <c r="F359" s="64" t="b">
        <f>IF(Tab.11[[#This Row],[a1]]=1,Tab.11[[#This Row],[b1]])</f>
        <v>0</v>
      </c>
      <c r="G359" s="65" t="b">
        <f>IF(Tab.11[[#This Row],[a1]]=1,IF(Tab.11[[#This Row],[b3]]&gt;$L$989*$G$3,$L$989*$G$3,IF(Tab.11[[#This Row],[b3]]&lt;$M$989*$G$3,$M$989*$G$3,Tab.11[[#This Row],[b3]])))</f>
        <v>0</v>
      </c>
      <c r="H359" s="66" t="b">
        <f>IF(Tab.11[[#This Row],[a1]]=1,Tab.11[[#This Row],[b1]])</f>
        <v>0</v>
      </c>
      <c r="I359" s="67" t="b">
        <f>IF(Tab.11[[#This Row],[a1]]=1,Tab.11[[#This Row],[b1]])</f>
        <v>0</v>
      </c>
      <c r="J359" s="68" t="b">
        <f>IF(Tab.11[[#This Row],[a1]]=1,IF($I$3&lt;0,Tab.11[[#This Row],[b5]]-$I$3,Tab.11[[#This Row],[b5]]))</f>
        <v>0</v>
      </c>
      <c r="K359" s="68" t="b">
        <f>IF(Tab.11[[#This Row],[a1]]=1,IF($K$3=0,Tab.11[b6],Tab.11[[#This Row],[b6]]-AVERAGE(Tab.11[b6])))</f>
        <v>0</v>
      </c>
      <c r="L359" s="69" t="b">
        <f>IF(Tab.11[[#This Row],[a1]]=1,Tab.11[[#This Row],[data]]/(_xlfn.STDEV.P(Tab.11[data])*$B$989)+$A$989)</f>
        <v>0</v>
      </c>
      <c r="M359" s="69" t="b">
        <f>IF(Tab.11[[#This Row],[a1]]=1,Tab.11[[#This Row],[data]]/(_xlfn.STDEV.P(Tab.11[data])*$B$987)-$A$987)</f>
        <v>0</v>
      </c>
      <c r="N359" s="69" t="b">
        <f>IF(Tab.11[[#This Row],[a1]]=1,Tab.11[[#This Row],[data]]/(_xlfn.STDEV.P(Tab.11[data])*$B$988)+$A$988)</f>
        <v>0</v>
      </c>
      <c r="O359" s="70" t="b">
        <f>IF(Tab.11[[#This Row],[a1]]=1,_xlfn.NORM.DIST(Tab.11[[#This Row],[b8]],$P$1,$Q$1,FALSE))</f>
        <v>0</v>
      </c>
      <c r="P359" s="70" t="b">
        <f>IF(Tab.11[[#This Row],[a1]]=1,_xlfn.NORM.DIST(Tab.11[[#This Row],[b9]],$P$1,$Q$1,FALSE))</f>
        <v>0</v>
      </c>
      <c r="Q359" s="70" t="b">
        <f>IF(Tab.11[[#This Row],[a1]]=1,_xlfn.NORM.DIST(Tab.11[[#This Row],[b10]],$P$1,$Q$1,FALSE))</f>
        <v>0</v>
      </c>
      <c r="R359" s="67" t="b">
        <f>IF(Tab.11[[#This Row],[a1]]=1,$I$3+$A$989+IF($K$3=0,Tab.11[[#This Row],[b8]]*_xlfn.STDEV.P(Tab.11[data]),AVERAGE(Tab.11[b6])+Tab.11[[#This Row],[b8]]*_xlfn.STDEV.P(Tab.11[data])))</f>
        <v>0</v>
      </c>
      <c r="S359" s="71" t="b">
        <f>IF(Tab.11[[#This Row],[a1]]=1,$I$3+$A$987+IF($K$3=0,Tab.11[[#This Row],[b9]]*_xlfn.STDEV.P(Tab.11[data]),AVERAGE(Tab.11[b6])+Tab.11[[#This Row],[b9]]*_xlfn.STDEV.P(Tab.11[data])))</f>
        <v>0</v>
      </c>
      <c r="T359" s="71" t="b">
        <f>IF(Tab.11[[#This Row],[a1]]=1,$I$3+$A$988+IF($K$3=0,Tab.11[[#This Row],[b10]]*_xlfn.STDEV.P(Tab.11[data]),AVERAGE(Tab.11[b6])+Tab.11[[#This Row],[b10]]*_xlfn.STDEV.P(Tab.11[data])))</f>
        <v>0</v>
      </c>
      <c r="U359" s="72" t="b">
        <f>IF(Tab.11[[#This Row],[a1]]=1,Tab.11[[#This Row],[target]]-Tab.11[[#This Row],[Red]])</f>
        <v>0</v>
      </c>
      <c r="V359" s="72" t="b">
        <f>IF(Tab.11[[#This Row],[a1]]=1,Tab.11[[#This Row],[target]]-Tab.11[[#This Row],[Blue]])</f>
        <v>0</v>
      </c>
      <c r="W359" s="73" t="b">
        <f>IF(Tab.11[[#This Row],[a1]]=1,IF(ABS(Tab.11[[#This Row],[b17]])+ABS(Tab.11[[#This Row],[b18]])&lt;$W$2,$W$2,ABS(Tab.11[[#This Row],[b17]])+ABS(Tab.11[[#This Row],[b18]])))</f>
        <v>0</v>
      </c>
      <c r="X359" s="136" t="b">
        <f>IF(Tab.11[[#This Row],[a1]]=1,IF($W$3&lt;0,Tab.11[[#This Row],[IN]]-$I$3,Tab.11[[#This Row],[IN]]))</f>
        <v>0</v>
      </c>
      <c r="Y359" s="136" t="b">
        <f>IF(Tab.11[[#This Row],[a1]]=1,IF($X$3=0,Tab.11[b66],Tab.11[[#This Row],[b66]]-AVERAGE(Tab.11[b66])))</f>
        <v>0</v>
      </c>
      <c r="Z359" s="135" t="b">
        <f>IF(Tab.11[[#This Row],[a1]]=1,Tab.11[[#This Row],[b77]]/(_xlfn.STDEV.P(Tab.11[b77])))</f>
        <v>0</v>
      </c>
      <c r="AA359" s="70" t="b">
        <f>IF(Tab.11[[#This Row],[a1]]=1,_xlfn.NORM.DIST(Tab.11[[#This Row],[b88]],$Z$1,$AA$1,FALSE))</f>
        <v>0</v>
      </c>
      <c r="AB359" s="74" t="b">
        <f>IF(Tab.11[[#This Row],[a1]]=1,IF($A$3=0,FALSE,1/Tab.11[[#This Row],[IN]]*$AC$2*IF(Tab.11[[#This Row],[a1]]=0,,$A$3*$AC$1*1/$V$3*(Tab.11[[#This Row],[b14]]))))</f>
        <v>0</v>
      </c>
      <c r="AC359" s="75" t="b">
        <f>IF(Tab.11[[#This Row],[a1]]=1,IF($AC$3=0,Tab.11[[#This Row],[φ1]],Tab.11[[#This Row],[φ1]]/MAX(Tab.11[φ1])))</f>
        <v>0</v>
      </c>
      <c r="AD359" s="74" t="b">
        <f>IF(Tab.11[[#This Row],[a1]]=1,1/Tab.11[[#This Row],[φ2]])</f>
        <v>0</v>
      </c>
      <c r="AE359" s="74" t="b">
        <f>IF(Tab.11[[#This Row],[a1]]=1,IF($AE$3=0,Tab.11[[#This Row],[w.0]],Tab.11[[#This Row],[w.0]]/SUM(Tab.11[w.0])))</f>
        <v>0</v>
      </c>
      <c r="AF359" s="76" t="str">
        <f>IF(Tab.11[[#This Row],[a1]]=0,"false",[3]!Tab.x5[[#This Row],[%_seN_C]])</f>
        <v>false</v>
      </c>
      <c r="AG359" s="77" t="b">
        <f>IF(Tab.11[[#This Row],[a1]]=1,AP359)</f>
        <v>0</v>
      </c>
      <c r="AH359" s="78" t="b">
        <f>IF(Tab.11[[#This Row],[a1]]=1,AQ359)</f>
        <v>0</v>
      </c>
      <c r="AI359" s="41">
        <v>3.0000000000000001E-3</v>
      </c>
      <c r="AJ359" s="79">
        <v>-0.04</v>
      </c>
      <c r="AK359" s="80" t="b">
        <f>IF(Tab.11[[#This Row],[a1]]=1,1)</f>
        <v>0</v>
      </c>
      <c r="AZ359"/>
    </row>
    <row r="360" spans="1:52" hidden="1" x14ac:dyDescent="0.25">
      <c r="A360" s="61">
        <f t="shared" si="13"/>
        <v>0</v>
      </c>
      <c r="B360" s="62">
        <f t="shared" si="13"/>
        <v>0</v>
      </c>
      <c r="C360" s="62" t="b">
        <f>IF(Tab.11[[#This Row],[a1]]=1,[3]!Tab_x1[[#This Row],[Name]])</f>
        <v>0</v>
      </c>
      <c r="D360" s="63" t="b">
        <f>IF(Tab.11[[#This Row],[a1]]=1,AO360)</f>
        <v>0</v>
      </c>
      <c r="E360" s="63">
        <f t="shared" si="12"/>
        <v>0</v>
      </c>
      <c r="F360" s="64" t="b">
        <f>IF(Tab.11[[#This Row],[a1]]=1,Tab.11[[#This Row],[b1]])</f>
        <v>0</v>
      </c>
      <c r="G360" s="65" t="b">
        <f>IF(Tab.11[[#This Row],[a1]]=1,IF(Tab.11[[#This Row],[b3]]&gt;$L$989*$G$3,$L$989*$G$3,IF(Tab.11[[#This Row],[b3]]&lt;$M$989*$G$3,$M$989*$G$3,Tab.11[[#This Row],[b3]])))</f>
        <v>0</v>
      </c>
      <c r="H360" s="66" t="b">
        <f>IF(Tab.11[[#This Row],[a1]]=1,Tab.11[[#This Row],[b1]])</f>
        <v>0</v>
      </c>
      <c r="I360" s="67" t="b">
        <f>IF(Tab.11[[#This Row],[a1]]=1,Tab.11[[#This Row],[b1]])</f>
        <v>0</v>
      </c>
      <c r="J360" s="68" t="b">
        <f>IF(Tab.11[[#This Row],[a1]]=1,IF($I$3&lt;0,Tab.11[[#This Row],[b5]]-$I$3,Tab.11[[#This Row],[b5]]))</f>
        <v>0</v>
      </c>
      <c r="K360" s="68" t="b">
        <f>IF(Tab.11[[#This Row],[a1]]=1,IF($K$3=0,Tab.11[b6],Tab.11[[#This Row],[b6]]-AVERAGE(Tab.11[b6])))</f>
        <v>0</v>
      </c>
      <c r="L360" s="69" t="b">
        <f>IF(Tab.11[[#This Row],[a1]]=1,Tab.11[[#This Row],[data]]/(_xlfn.STDEV.P(Tab.11[data])*$B$989)+$A$989)</f>
        <v>0</v>
      </c>
      <c r="M360" s="69" t="b">
        <f>IF(Tab.11[[#This Row],[a1]]=1,Tab.11[[#This Row],[data]]/(_xlfn.STDEV.P(Tab.11[data])*$B$987)-$A$987)</f>
        <v>0</v>
      </c>
      <c r="N360" s="69" t="b">
        <f>IF(Tab.11[[#This Row],[a1]]=1,Tab.11[[#This Row],[data]]/(_xlfn.STDEV.P(Tab.11[data])*$B$988)+$A$988)</f>
        <v>0</v>
      </c>
      <c r="O360" s="70" t="b">
        <f>IF(Tab.11[[#This Row],[a1]]=1,_xlfn.NORM.DIST(Tab.11[[#This Row],[b8]],$P$1,$Q$1,FALSE))</f>
        <v>0</v>
      </c>
      <c r="P360" s="70" t="b">
        <f>IF(Tab.11[[#This Row],[a1]]=1,_xlfn.NORM.DIST(Tab.11[[#This Row],[b9]],$P$1,$Q$1,FALSE))</f>
        <v>0</v>
      </c>
      <c r="Q360" s="70" t="b">
        <f>IF(Tab.11[[#This Row],[a1]]=1,_xlfn.NORM.DIST(Tab.11[[#This Row],[b10]],$P$1,$Q$1,FALSE))</f>
        <v>0</v>
      </c>
      <c r="R360" s="67" t="b">
        <f>IF(Tab.11[[#This Row],[a1]]=1,$I$3+$A$989+IF($K$3=0,Tab.11[[#This Row],[b8]]*_xlfn.STDEV.P(Tab.11[data]),AVERAGE(Tab.11[b6])+Tab.11[[#This Row],[b8]]*_xlfn.STDEV.P(Tab.11[data])))</f>
        <v>0</v>
      </c>
      <c r="S360" s="71" t="b">
        <f>IF(Tab.11[[#This Row],[a1]]=1,$I$3+$A$987+IF($K$3=0,Tab.11[[#This Row],[b9]]*_xlfn.STDEV.P(Tab.11[data]),AVERAGE(Tab.11[b6])+Tab.11[[#This Row],[b9]]*_xlfn.STDEV.P(Tab.11[data])))</f>
        <v>0</v>
      </c>
      <c r="T360" s="71" t="b">
        <f>IF(Tab.11[[#This Row],[a1]]=1,$I$3+$A$988+IF($K$3=0,Tab.11[[#This Row],[b10]]*_xlfn.STDEV.P(Tab.11[data]),AVERAGE(Tab.11[b6])+Tab.11[[#This Row],[b10]]*_xlfn.STDEV.P(Tab.11[data])))</f>
        <v>0</v>
      </c>
      <c r="U360" s="72" t="b">
        <f>IF(Tab.11[[#This Row],[a1]]=1,Tab.11[[#This Row],[target]]-Tab.11[[#This Row],[Red]])</f>
        <v>0</v>
      </c>
      <c r="V360" s="72" t="b">
        <f>IF(Tab.11[[#This Row],[a1]]=1,Tab.11[[#This Row],[target]]-Tab.11[[#This Row],[Blue]])</f>
        <v>0</v>
      </c>
      <c r="W360" s="73" t="b">
        <f>IF(Tab.11[[#This Row],[a1]]=1,IF(ABS(Tab.11[[#This Row],[b17]])+ABS(Tab.11[[#This Row],[b18]])&lt;$W$2,$W$2,ABS(Tab.11[[#This Row],[b17]])+ABS(Tab.11[[#This Row],[b18]])))</f>
        <v>0</v>
      </c>
      <c r="X360" s="136" t="b">
        <f>IF(Tab.11[[#This Row],[a1]]=1,IF($W$3&lt;0,Tab.11[[#This Row],[IN]]-$I$3,Tab.11[[#This Row],[IN]]))</f>
        <v>0</v>
      </c>
      <c r="Y360" s="136" t="b">
        <f>IF(Tab.11[[#This Row],[a1]]=1,IF($X$3=0,Tab.11[b66],Tab.11[[#This Row],[b66]]-AVERAGE(Tab.11[b66])))</f>
        <v>0</v>
      </c>
      <c r="Z360" s="135" t="b">
        <f>IF(Tab.11[[#This Row],[a1]]=1,Tab.11[[#This Row],[b77]]/(_xlfn.STDEV.P(Tab.11[b77])))</f>
        <v>0</v>
      </c>
      <c r="AA360" s="70" t="b">
        <f>IF(Tab.11[[#This Row],[a1]]=1,_xlfn.NORM.DIST(Tab.11[[#This Row],[b88]],$Z$1,$AA$1,FALSE))</f>
        <v>0</v>
      </c>
      <c r="AB360" s="74" t="b">
        <f>IF(Tab.11[[#This Row],[a1]]=1,IF($A$3=0,FALSE,1/Tab.11[[#This Row],[IN]]*$AC$2*IF(Tab.11[[#This Row],[a1]]=0,,$A$3*$AC$1*1/$V$3*(Tab.11[[#This Row],[b14]]))))</f>
        <v>0</v>
      </c>
      <c r="AC360" s="75" t="b">
        <f>IF(Tab.11[[#This Row],[a1]]=1,IF($AC$3=0,Tab.11[[#This Row],[φ1]],Tab.11[[#This Row],[φ1]]/MAX(Tab.11[φ1])))</f>
        <v>0</v>
      </c>
      <c r="AD360" s="74" t="b">
        <f>IF(Tab.11[[#This Row],[a1]]=1,1/Tab.11[[#This Row],[φ2]])</f>
        <v>0</v>
      </c>
      <c r="AE360" s="74" t="b">
        <f>IF(Tab.11[[#This Row],[a1]]=1,IF($AE$3=0,Tab.11[[#This Row],[w.0]],Tab.11[[#This Row],[w.0]]/SUM(Tab.11[w.0])))</f>
        <v>0</v>
      </c>
      <c r="AF360" s="76" t="str">
        <f>IF(Tab.11[[#This Row],[a1]]=0,"false",[3]!Tab.x5[[#This Row],[%_seN_C]])</f>
        <v>false</v>
      </c>
      <c r="AG360" s="77" t="b">
        <f>IF(Tab.11[[#This Row],[a1]]=1,AP360)</f>
        <v>0</v>
      </c>
      <c r="AH360" s="78" t="b">
        <f>IF(Tab.11[[#This Row],[a1]]=1,AQ360)</f>
        <v>0</v>
      </c>
      <c r="AI360" s="41">
        <v>3.0000000000000001E-3</v>
      </c>
      <c r="AJ360" s="79">
        <v>0.03</v>
      </c>
      <c r="AK360" s="80" t="b">
        <f>IF(Tab.11[[#This Row],[a1]]=1,1)</f>
        <v>0</v>
      </c>
      <c r="AZ360"/>
    </row>
    <row r="361" spans="1:52" hidden="1" x14ac:dyDescent="0.25">
      <c r="A361" s="61">
        <f t="shared" si="13"/>
        <v>0</v>
      </c>
      <c r="B361" s="62">
        <f t="shared" si="13"/>
        <v>0</v>
      </c>
      <c r="C361" s="62" t="b">
        <f>IF(Tab.11[[#This Row],[a1]]=1,[3]!Tab_x1[[#This Row],[Name]])</f>
        <v>0</v>
      </c>
      <c r="D361" s="63" t="b">
        <f>IF(Tab.11[[#This Row],[a1]]=1,AO361)</f>
        <v>0</v>
      </c>
      <c r="E361" s="63">
        <f t="shared" si="12"/>
        <v>0</v>
      </c>
      <c r="F361" s="64" t="b">
        <f>IF(Tab.11[[#This Row],[a1]]=1,Tab.11[[#This Row],[b1]])</f>
        <v>0</v>
      </c>
      <c r="G361" s="65" t="b">
        <f>IF(Tab.11[[#This Row],[a1]]=1,IF(Tab.11[[#This Row],[b3]]&gt;$L$989*$G$3,$L$989*$G$3,IF(Tab.11[[#This Row],[b3]]&lt;$M$989*$G$3,$M$989*$G$3,Tab.11[[#This Row],[b3]])))</f>
        <v>0</v>
      </c>
      <c r="H361" s="66" t="b">
        <f>IF(Tab.11[[#This Row],[a1]]=1,Tab.11[[#This Row],[b1]])</f>
        <v>0</v>
      </c>
      <c r="I361" s="67" t="b">
        <f>IF(Tab.11[[#This Row],[a1]]=1,Tab.11[[#This Row],[b1]])</f>
        <v>0</v>
      </c>
      <c r="J361" s="68" t="b">
        <f>IF(Tab.11[[#This Row],[a1]]=1,IF($I$3&lt;0,Tab.11[[#This Row],[b5]]-$I$3,Tab.11[[#This Row],[b5]]))</f>
        <v>0</v>
      </c>
      <c r="K361" s="68" t="b">
        <f>IF(Tab.11[[#This Row],[a1]]=1,IF($K$3=0,Tab.11[b6],Tab.11[[#This Row],[b6]]-AVERAGE(Tab.11[b6])))</f>
        <v>0</v>
      </c>
      <c r="L361" s="69" t="b">
        <f>IF(Tab.11[[#This Row],[a1]]=1,Tab.11[[#This Row],[data]]/(_xlfn.STDEV.P(Tab.11[data])*$B$989)+$A$989)</f>
        <v>0</v>
      </c>
      <c r="M361" s="69" t="b">
        <f>IF(Tab.11[[#This Row],[a1]]=1,Tab.11[[#This Row],[data]]/(_xlfn.STDEV.P(Tab.11[data])*$B$987)-$A$987)</f>
        <v>0</v>
      </c>
      <c r="N361" s="69" t="b">
        <f>IF(Tab.11[[#This Row],[a1]]=1,Tab.11[[#This Row],[data]]/(_xlfn.STDEV.P(Tab.11[data])*$B$988)+$A$988)</f>
        <v>0</v>
      </c>
      <c r="O361" s="70" t="b">
        <f>IF(Tab.11[[#This Row],[a1]]=1,_xlfn.NORM.DIST(Tab.11[[#This Row],[b8]],$P$1,$Q$1,FALSE))</f>
        <v>0</v>
      </c>
      <c r="P361" s="70" t="b">
        <f>IF(Tab.11[[#This Row],[a1]]=1,_xlfn.NORM.DIST(Tab.11[[#This Row],[b9]],$P$1,$Q$1,FALSE))</f>
        <v>0</v>
      </c>
      <c r="Q361" s="70" t="b">
        <f>IF(Tab.11[[#This Row],[a1]]=1,_xlfn.NORM.DIST(Tab.11[[#This Row],[b10]],$P$1,$Q$1,FALSE))</f>
        <v>0</v>
      </c>
      <c r="R361" s="67" t="b">
        <f>IF(Tab.11[[#This Row],[a1]]=1,$I$3+$A$989+IF($K$3=0,Tab.11[[#This Row],[b8]]*_xlfn.STDEV.P(Tab.11[data]),AVERAGE(Tab.11[b6])+Tab.11[[#This Row],[b8]]*_xlfn.STDEV.P(Tab.11[data])))</f>
        <v>0</v>
      </c>
      <c r="S361" s="71" t="b">
        <f>IF(Tab.11[[#This Row],[a1]]=1,$I$3+$A$987+IF($K$3=0,Tab.11[[#This Row],[b9]]*_xlfn.STDEV.P(Tab.11[data]),AVERAGE(Tab.11[b6])+Tab.11[[#This Row],[b9]]*_xlfn.STDEV.P(Tab.11[data])))</f>
        <v>0</v>
      </c>
      <c r="T361" s="71" t="b">
        <f>IF(Tab.11[[#This Row],[a1]]=1,$I$3+$A$988+IF($K$3=0,Tab.11[[#This Row],[b10]]*_xlfn.STDEV.P(Tab.11[data]),AVERAGE(Tab.11[b6])+Tab.11[[#This Row],[b10]]*_xlfn.STDEV.P(Tab.11[data])))</f>
        <v>0</v>
      </c>
      <c r="U361" s="72" t="b">
        <f>IF(Tab.11[[#This Row],[a1]]=1,Tab.11[[#This Row],[target]]-Tab.11[[#This Row],[Red]])</f>
        <v>0</v>
      </c>
      <c r="V361" s="72" t="b">
        <f>IF(Tab.11[[#This Row],[a1]]=1,Tab.11[[#This Row],[target]]-Tab.11[[#This Row],[Blue]])</f>
        <v>0</v>
      </c>
      <c r="W361" s="73" t="b">
        <f>IF(Tab.11[[#This Row],[a1]]=1,IF(ABS(Tab.11[[#This Row],[b17]])+ABS(Tab.11[[#This Row],[b18]])&lt;$W$2,$W$2,ABS(Tab.11[[#This Row],[b17]])+ABS(Tab.11[[#This Row],[b18]])))</f>
        <v>0</v>
      </c>
      <c r="X361" s="136" t="b">
        <f>IF(Tab.11[[#This Row],[a1]]=1,IF($W$3&lt;0,Tab.11[[#This Row],[IN]]-$I$3,Tab.11[[#This Row],[IN]]))</f>
        <v>0</v>
      </c>
      <c r="Y361" s="136" t="b">
        <f>IF(Tab.11[[#This Row],[a1]]=1,IF($X$3=0,Tab.11[b66],Tab.11[[#This Row],[b66]]-AVERAGE(Tab.11[b66])))</f>
        <v>0</v>
      </c>
      <c r="Z361" s="135" t="b">
        <f>IF(Tab.11[[#This Row],[a1]]=1,Tab.11[[#This Row],[b77]]/(_xlfn.STDEV.P(Tab.11[b77])))</f>
        <v>0</v>
      </c>
      <c r="AA361" s="70" t="b">
        <f>IF(Tab.11[[#This Row],[a1]]=1,_xlfn.NORM.DIST(Tab.11[[#This Row],[b88]],$Z$1,$AA$1,FALSE))</f>
        <v>0</v>
      </c>
      <c r="AB361" s="74" t="b">
        <f>IF(Tab.11[[#This Row],[a1]]=1,IF($A$3=0,FALSE,1/Tab.11[[#This Row],[IN]]*$AC$2*IF(Tab.11[[#This Row],[a1]]=0,,$A$3*$AC$1*1/$V$3*(Tab.11[[#This Row],[b14]]))))</f>
        <v>0</v>
      </c>
      <c r="AC361" s="75" t="b">
        <f>IF(Tab.11[[#This Row],[a1]]=1,IF($AC$3=0,Tab.11[[#This Row],[φ1]],Tab.11[[#This Row],[φ1]]/MAX(Tab.11[φ1])))</f>
        <v>0</v>
      </c>
      <c r="AD361" s="74" t="b">
        <f>IF(Tab.11[[#This Row],[a1]]=1,1/Tab.11[[#This Row],[φ2]])</f>
        <v>0</v>
      </c>
      <c r="AE361" s="74" t="b">
        <f>IF(Tab.11[[#This Row],[a1]]=1,IF($AE$3=0,Tab.11[[#This Row],[w.0]],Tab.11[[#This Row],[w.0]]/SUM(Tab.11[w.0])))</f>
        <v>0</v>
      </c>
      <c r="AF361" s="76" t="str">
        <f>IF(Tab.11[[#This Row],[a1]]=0,"false",[3]!Tab.x5[[#This Row],[%_seN_C]])</f>
        <v>false</v>
      </c>
      <c r="AG361" s="77" t="b">
        <f>IF(Tab.11[[#This Row],[a1]]=1,AP361)</f>
        <v>0</v>
      </c>
      <c r="AH361" s="78" t="b">
        <f>IF(Tab.11[[#This Row],[a1]]=1,AQ361)</f>
        <v>0</v>
      </c>
      <c r="AI361" s="41">
        <v>3.0000000000000001E-3</v>
      </c>
      <c r="AJ361" s="79">
        <v>-0.1</v>
      </c>
      <c r="AK361" s="80" t="b">
        <f>IF(Tab.11[[#This Row],[a1]]=1,1)</f>
        <v>0</v>
      </c>
      <c r="AZ361"/>
    </row>
    <row r="362" spans="1:52" hidden="1" x14ac:dyDescent="0.25">
      <c r="A362" s="61">
        <f t="shared" si="13"/>
        <v>0</v>
      </c>
      <c r="B362" s="62">
        <f t="shared" si="13"/>
        <v>0</v>
      </c>
      <c r="C362" s="62" t="b">
        <f>IF(Tab.11[[#This Row],[a1]]=1,[3]!Tab_x1[[#This Row],[Name]])</f>
        <v>0</v>
      </c>
      <c r="D362" s="63" t="b">
        <f>IF(Tab.11[[#This Row],[a1]]=1,AO362)</f>
        <v>0</v>
      </c>
      <c r="E362" s="63">
        <f t="shared" si="12"/>
        <v>0</v>
      </c>
      <c r="F362" s="64" t="b">
        <f>IF(Tab.11[[#This Row],[a1]]=1,Tab.11[[#This Row],[b1]])</f>
        <v>0</v>
      </c>
      <c r="G362" s="65" t="b">
        <f>IF(Tab.11[[#This Row],[a1]]=1,IF(Tab.11[[#This Row],[b3]]&gt;$L$989*$G$3,$L$989*$G$3,IF(Tab.11[[#This Row],[b3]]&lt;$M$989*$G$3,$M$989*$G$3,Tab.11[[#This Row],[b3]])))</f>
        <v>0</v>
      </c>
      <c r="H362" s="66" t="b">
        <f>IF(Tab.11[[#This Row],[a1]]=1,Tab.11[[#This Row],[b1]])</f>
        <v>0</v>
      </c>
      <c r="I362" s="67" t="b">
        <f>IF(Tab.11[[#This Row],[a1]]=1,Tab.11[[#This Row],[b1]])</f>
        <v>0</v>
      </c>
      <c r="J362" s="68" t="b">
        <f>IF(Tab.11[[#This Row],[a1]]=1,IF($I$3&lt;0,Tab.11[[#This Row],[b5]]-$I$3,Tab.11[[#This Row],[b5]]))</f>
        <v>0</v>
      </c>
      <c r="K362" s="68" t="b">
        <f>IF(Tab.11[[#This Row],[a1]]=1,IF($K$3=0,Tab.11[b6],Tab.11[[#This Row],[b6]]-AVERAGE(Tab.11[b6])))</f>
        <v>0</v>
      </c>
      <c r="L362" s="69" t="b">
        <f>IF(Tab.11[[#This Row],[a1]]=1,Tab.11[[#This Row],[data]]/(_xlfn.STDEV.P(Tab.11[data])*$B$989)+$A$989)</f>
        <v>0</v>
      </c>
      <c r="M362" s="69" t="b">
        <f>IF(Tab.11[[#This Row],[a1]]=1,Tab.11[[#This Row],[data]]/(_xlfn.STDEV.P(Tab.11[data])*$B$987)-$A$987)</f>
        <v>0</v>
      </c>
      <c r="N362" s="69" t="b">
        <f>IF(Tab.11[[#This Row],[a1]]=1,Tab.11[[#This Row],[data]]/(_xlfn.STDEV.P(Tab.11[data])*$B$988)+$A$988)</f>
        <v>0</v>
      </c>
      <c r="O362" s="70" t="b">
        <f>IF(Tab.11[[#This Row],[a1]]=1,_xlfn.NORM.DIST(Tab.11[[#This Row],[b8]],$P$1,$Q$1,FALSE))</f>
        <v>0</v>
      </c>
      <c r="P362" s="70" t="b">
        <f>IF(Tab.11[[#This Row],[a1]]=1,_xlfn.NORM.DIST(Tab.11[[#This Row],[b9]],$P$1,$Q$1,FALSE))</f>
        <v>0</v>
      </c>
      <c r="Q362" s="70" t="b">
        <f>IF(Tab.11[[#This Row],[a1]]=1,_xlfn.NORM.DIST(Tab.11[[#This Row],[b10]],$P$1,$Q$1,FALSE))</f>
        <v>0</v>
      </c>
      <c r="R362" s="67" t="b">
        <f>IF(Tab.11[[#This Row],[a1]]=1,$I$3+$A$989+IF($K$3=0,Tab.11[[#This Row],[b8]]*_xlfn.STDEV.P(Tab.11[data]),AVERAGE(Tab.11[b6])+Tab.11[[#This Row],[b8]]*_xlfn.STDEV.P(Tab.11[data])))</f>
        <v>0</v>
      </c>
      <c r="S362" s="71" t="b">
        <f>IF(Tab.11[[#This Row],[a1]]=1,$I$3+$A$987+IF($K$3=0,Tab.11[[#This Row],[b9]]*_xlfn.STDEV.P(Tab.11[data]),AVERAGE(Tab.11[b6])+Tab.11[[#This Row],[b9]]*_xlfn.STDEV.P(Tab.11[data])))</f>
        <v>0</v>
      </c>
      <c r="T362" s="71" t="b">
        <f>IF(Tab.11[[#This Row],[a1]]=1,$I$3+$A$988+IF($K$3=0,Tab.11[[#This Row],[b10]]*_xlfn.STDEV.P(Tab.11[data]),AVERAGE(Tab.11[b6])+Tab.11[[#This Row],[b10]]*_xlfn.STDEV.P(Tab.11[data])))</f>
        <v>0</v>
      </c>
      <c r="U362" s="72" t="b">
        <f>IF(Tab.11[[#This Row],[a1]]=1,Tab.11[[#This Row],[target]]-Tab.11[[#This Row],[Red]])</f>
        <v>0</v>
      </c>
      <c r="V362" s="72" t="b">
        <f>IF(Tab.11[[#This Row],[a1]]=1,Tab.11[[#This Row],[target]]-Tab.11[[#This Row],[Blue]])</f>
        <v>0</v>
      </c>
      <c r="W362" s="73" t="b">
        <f>IF(Tab.11[[#This Row],[a1]]=1,IF(ABS(Tab.11[[#This Row],[b17]])+ABS(Tab.11[[#This Row],[b18]])&lt;$W$2,$W$2,ABS(Tab.11[[#This Row],[b17]])+ABS(Tab.11[[#This Row],[b18]])))</f>
        <v>0</v>
      </c>
      <c r="X362" s="136" t="b">
        <f>IF(Tab.11[[#This Row],[a1]]=1,IF($W$3&lt;0,Tab.11[[#This Row],[IN]]-$I$3,Tab.11[[#This Row],[IN]]))</f>
        <v>0</v>
      </c>
      <c r="Y362" s="136" t="b">
        <f>IF(Tab.11[[#This Row],[a1]]=1,IF($X$3=0,Tab.11[b66],Tab.11[[#This Row],[b66]]-AVERAGE(Tab.11[b66])))</f>
        <v>0</v>
      </c>
      <c r="Z362" s="135" t="b">
        <f>IF(Tab.11[[#This Row],[a1]]=1,Tab.11[[#This Row],[b77]]/(_xlfn.STDEV.P(Tab.11[b77])))</f>
        <v>0</v>
      </c>
      <c r="AA362" s="70" t="b">
        <f>IF(Tab.11[[#This Row],[a1]]=1,_xlfn.NORM.DIST(Tab.11[[#This Row],[b88]],$Z$1,$AA$1,FALSE))</f>
        <v>0</v>
      </c>
      <c r="AB362" s="74" t="b">
        <f>IF(Tab.11[[#This Row],[a1]]=1,IF($A$3=0,FALSE,1/Tab.11[[#This Row],[IN]]*$AC$2*IF(Tab.11[[#This Row],[a1]]=0,,$A$3*$AC$1*1/$V$3*(Tab.11[[#This Row],[b14]]))))</f>
        <v>0</v>
      </c>
      <c r="AC362" s="75" t="b">
        <f>IF(Tab.11[[#This Row],[a1]]=1,IF($AC$3=0,Tab.11[[#This Row],[φ1]],Tab.11[[#This Row],[φ1]]/MAX(Tab.11[φ1])))</f>
        <v>0</v>
      </c>
      <c r="AD362" s="74" t="b">
        <f>IF(Tab.11[[#This Row],[a1]]=1,1/Tab.11[[#This Row],[φ2]])</f>
        <v>0</v>
      </c>
      <c r="AE362" s="74" t="b">
        <f>IF(Tab.11[[#This Row],[a1]]=1,IF($AE$3=0,Tab.11[[#This Row],[w.0]],Tab.11[[#This Row],[w.0]]/SUM(Tab.11[w.0])))</f>
        <v>0</v>
      </c>
      <c r="AF362" s="76" t="str">
        <f>IF(Tab.11[[#This Row],[a1]]=0,"false",[3]!Tab.x5[[#This Row],[%_seN_C]])</f>
        <v>false</v>
      </c>
      <c r="AG362" s="77" t="b">
        <f>IF(Tab.11[[#This Row],[a1]]=1,AP362)</f>
        <v>0</v>
      </c>
      <c r="AH362" s="78" t="b">
        <f>IF(Tab.11[[#This Row],[a1]]=1,AQ362)</f>
        <v>0</v>
      </c>
      <c r="AI362" s="41">
        <v>3.0000000000000001E-3</v>
      </c>
      <c r="AJ362" s="79">
        <v>0.08</v>
      </c>
      <c r="AK362" s="80" t="b">
        <f>IF(Tab.11[[#This Row],[a1]]=1,1)</f>
        <v>0</v>
      </c>
      <c r="AZ362"/>
    </row>
    <row r="363" spans="1:52" hidden="1" x14ac:dyDescent="0.25">
      <c r="A363" s="61">
        <f t="shared" si="13"/>
        <v>0</v>
      </c>
      <c r="B363" s="62">
        <f t="shared" si="13"/>
        <v>0</v>
      </c>
      <c r="C363" s="62" t="b">
        <f>IF(Tab.11[[#This Row],[a1]]=1,[3]!Tab_x1[[#This Row],[Name]])</f>
        <v>0</v>
      </c>
      <c r="D363" s="63" t="b">
        <f>IF(Tab.11[[#This Row],[a1]]=1,AO363)</f>
        <v>0</v>
      </c>
      <c r="E363" s="63">
        <f t="shared" si="12"/>
        <v>0</v>
      </c>
      <c r="F363" s="64" t="b">
        <f>IF(Tab.11[[#This Row],[a1]]=1,Tab.11[[#This Row],[b1]])</f>
        <v>0</v>
      </c>
      <c r="G363" s="65" t="b">
        <f>IF(Tab.11[[#This Row],[a1]]=1,IF(Tab.11[[#This Row],[b3]]&gt;$L$989*$G$3,$L$989*$G$3,IF(Tab.11[[#This Row],[b3]]&lt;$M$989*$G$3,$M$989*$G$3,Tab.11[[#This Row],[b3]])))</f>
        <v>0</v>
      </c>
      <c r="H363" s="66" t="b">
        <f>IF(Tab.11[[#This Row],[a1]]=1,Tab.11[[#This Row],[b1]])</f>
        <v>0</v>
      </c>
      <c r="I363" s="67" t="b">
        <f>IF(Tab.11[[#This Row],[a1]]=1,Tab.11[[#This Row],[b1]])</f>
        <v>0</v>
      </c>
      <c r="J363" s="68" t="b">
        <f>IF(Tab.11[[#This Row],[a1]]=1,IF($I$3&lt;0,Tab.11[[#This Row],[b5]]-$I$3,Tab.11[[#This Row],[b5]]))</f>
        <v>0</v>
      </c>
      <c r="K363" s="68" t="b">
        <f>IF(Tab.11[[#This Row],[a1]]=1,IF($K$3=0,Tab.11[b6],Tab.11[[#This Row],[b6]]-AVERAGE(Tab.11[b6])))</f>
        <v>0</v>
      </c>
      <c r="L363" s="69" t="b">
        <f>IF(Tab.11[[#This Row],[a1]]=1,Tab.11[[#This Row],[data]]/(_xlfn.STDEV.P(Tab.11[data])*$B$989)+$A$989)</f>
        <v>0</v>
      </c>
      <c r="M363" s="69" t="b">
        <f>IF(Tab.11[[#This Row],[a1]]=1,Tab.11[[#This Row],[data]]/(_xlfn.STDEV.P(Tab.11[data])*$B$987)-$A$987)</f>
        <v>0</v>
      </c>
      <c r="N363" s="69" t="b">
        <f>IF(Tab.11[[#This Row],[a1]]=1,Tab.11[[#This Row],[data]]/(_xlfn.STDEV.P(Tab.11[data])*$B$988)+$A$988)</f>
        <v>0</v>
      </c>
      <c r="O363" s="70" t="b">
        <f>IF(Tab.11[[#This Row],[a1]]=1,_xlfn.NORM.DIST(Tab.11[[#This Row],[b8]],$P$1,$Q$1,FALSE))</f>
        <v>0</v>
      </c>
      <c r="P363" s="70" t="b">
        <f>IF(Tab.11[[#This Row],[a1]]=1,_xlfn.NORM.DIST(Tab.11[[#This Row],[b9]],$P$1,$Q$1,FALSE))</f>
        <v>0</v>
      </c>
      <c r="Q363" s="70" t="b">
        <f>IF(Tab.11[[#This Row],[a1]]=1,_xlfn.NORM.DIST(Tab.11[[#This Row],[b10]],$P$1,$Q$1,FALSE))</f>
        <v>0</v>
      </c>
      <c r="R363" s="67" t="b">
        <f>IF(Tab.11[[#This Row],[a1]]=1,$I$3+$A$989+IF($K$3=0,Tab.11[[#This Row],[b8]]*_xlfn.STDEV.P(Tab.11[data]),AVERAGE(Tab.11[b6])+Tab.11[[#This Row],[b8]]*_xlfn.STDEV.P(Tab.11[data])))</f>
        <v>0</v>
      </c>
      <c r="S363" s="71" t="b">
        <f>IF(Tab.11[[#This Row],[a1]]=1,$I$3+$A$987+IF($K$3=0,Tab.11[[#This Row],[b9]]*_xlfn.STDEV.P(Tab.11[data]),AVERAGE(Tab.11[b6])+Tab.11[[#This Row],[b9]]*_xlfn.STDEV.P(Tab.11[data])))</f>
        <v>0</v>
      </c>
      <c r="T363" s="71" t="b">
        <f>IF(Tab.11[[#This Row],[a1]]=1,$I$3+$A$988+IF($K$3=0,Tab.11[[#This Row],[b10]]*_xlfn.STDEV.P(Tab.11[data]),AVERAGE(Tab.11[b6])+Tab.11[[#This Row],[b10]]*_xlfn.STDEV.P(Tab.11[data])))</f>
        <v>0</v>
      </c>
      <c r="U363" s="72" t="b">
        <f>IF(Tab.11[[#This Row],[a1]]=1,Tab.11[[#This Row],[target]]-Tab.11[[#This Row],[Red]])</f>
        <v>0</v>
      </c>
      <c r="V363" s="72" t="b">
        <f>IF(Tab.11[[#This Row],[a1]]=1,Tab.11[[#This Row],[target]]-Tab.11[[#This Row],[Blue]])</f>
        <v>0</v>
      </c>
      <c r="W363" s="73" t="b">
        <f>IF(Tab.11[[#This Row],[a1]]=1,IF(ABS(Tab.11[[#This Row],[b17]])+ABS(Tab.11[[#This Row],[b18]])&lt;$W$2,$W$2,ABS(Tab.11[[#This Row],[b17]])+ABS(Tab.11[[#This Row],[b18]])))</f>
        <v>0</v>
      </c>
      <c r="X363" s="136" t="b">
        <f>IF(Tab.11[[#This Row],[a1]]=1,IF($W$3&lt;0,Tab.11[[#This Row],[IN]]-$I$3,Tab.11[[#This Row],[IN]]))</f>
        <v>0</v>
      </c>
      <c r="Y363" s="136" t="b">
        <f>IF(Tab.11[[#This Row],[a1]]=1,IF($X$3=0,Tab.11[b66],Tab.11[[#This Row],[b66]]-AVERAGE(Tab.11[b66])))</f>
        <v>0</v>
      </c>
      <c r="Z363" s="135" t="b">
        <f>IF(Tab.11[[#This Row],[a1]]=1,Tab.11[[#This Row],[b77]]/(_xlfn.STDEV.P(Tab.11[b77])))</f>
        <v>0</v>
      </c>
      <c r="AA363" s="70" t="b">
        <f>IF(Tab.11[[#This Row],[a1]]=1,_xlfn.NORM.DIST(Tab.11[[#This Row],[b88]],$Z$1,$AA$1,FALSE))</f>
        <v>0</v>
      </c>
      <c r="AB363" s="74" t="b">
        <f>IF(Tab.11[[#This Row],[a1]]=1,IF($A$3=0,FALSE,1/Tab.11[[#This Row],[IN]]*$AC$2*IF(Tab.11[[#This Row],[a1]]=0,,$A$3*$AC$1*1/$V$3*(Tab.11[[#This Row],[b14]]))))</f>
        <v>0</v>
      </c>
      <c r="AC363" s="75" t="b">
        <f>IF(Tab.11[[#This Row],[a1]]=1,IF($AC$3=0,Tab.11[[#This Row],[φ1]],Tab.11[[#This Row],[φ1]]/MAX(Tab.11[φ1])))</f>
        <v>0</v>
      </c>
      <c r="AD363" s="74" t="b">
        <f>IF(Tab.11[[#This Row],[a1]]=1,1/Tab.11[[#This Row],[φ2]])</f>
        <v>0</v>
      </c>
      <c r="AE363" s="74" t="b">
        <f>IF(Tab.11[[#This Row],[a1]]=1,IF($AE$3=0,Tab.11[[#This Row],[w.0]],Tab.11[[#This Row],[w.0]]/SUM(Tab.11[w.0])))</f>
        <v>0</v>
      </c>
      <c r="AF363" s="76" t="str">
        <f>IF(Tab.11[[#This Row],[a1]]=0,"false",[3]!Tab.x5[[#This Row],[%_seN_C]])</f>
        <v>false</v>
      </c>
      <c r="AG363" s="77" t="b">
        <f>IF(Tab.11[[#This Row],[a1]]=1,AP363)</f>
        <v>0</v>
      </c>
      <c r="AH363" s="78" t="b">
        <f>IF(Tab.11[[#This Row],[a1]]=1,AQ363)</f>
        <v>0</v>
      </c>
      <c r="AI363" s="41">
        <v>3.0000000000000001E-3</v>
      </c>
      <c r="AJ363" s="79">
        <v>-0.02</v>
      </c>
      <c r="AK363" s="80" t="b">
        <f>IF(Tab.11[[#This Row],[a1]]=1,1)</f>
        <v>0</v>
      </c>
      <c r="AZ363"/>
    </row>
    <row r="364" spans="1:52" hidden="1" x14ac:dyDescent="0.25">
      <c r="A364" s="61">
        <f t="shared" si="13"/>
        <v>0</v>
      </c>
      <c r="B364" s="62">
        <f t="shared" si="13"/>
        <v>0</v>
      </c>
      <c r="C364" s="62" t="b">
        <f>IF(Tab.11[[#This Row],[a1]]=1,[3]!Tab_x1[[#This Row],[Name]])</f>
        <v>0</v>
      </c>
      <c r="D364" s="63" t="b">
        <f>IF(Tab.11[[#This Row],[a1]]=1,AO364)</f>
        <v>0</v>
      </c>
      <c r="E364" s="63">
        <f t="shared" si="12"/>
        <v>0</v>
      </c>
      <c r="F364" s="64" t="b">
        <f>IF(Tab.11[[#This Row],[a1]]=1,Tab.11[[#This Row],[b1]])</f>
        <v>0</v>
      </c>
      <c r="G364" s="65" t="b">
        <f>IF(Tab.11[[#This Row],[a1]]=1,IF(Tab.11[[#This Row],[b3]]&gt;$L$989*$G$3,$L$989*$G$3,IF(Tab.11[[#This Row],[b3]]&lt;$M$989*$G$3,$M$989*$G$3,Tab.11[[#This Row],[b3]])))</f>
        <v>0</v>
      </c>
      <c r="H364" s="66" t="b">
        <f>IF(Tab.11[[#This Row],[a1]]=1,Tab.11[[#This Row],[b1]])</f>
        <v>0</v>
      </c>
      <c r="I364" s="67" t="b">
        <f>IF(Tab.11[[#This Row],[a1]]=1,Tab.11[[#This Row],[b1]])</f>
        <v>0</v>
      </c>
      <c r="J364" s="68" t="b">
        <f>IF(Tab.11[[#This Row],[a1]]=1,IF($I$3&lt;0,Tab.11[[#This Row],[b5]]-$I$3,Tab.11[[#This Row],[b5]]))</f>
        <v>0</v>
      </c>
      <c r="K364" s="68" t="b">
        <f>IF(Tab.11[[#This Row],[a1]]=1,IF($K$3=0,Tab.11[b6],Tab.11[[#This Row],[b6]]-AVERAGE(Tab.11[b6])))</f>
        <v>0</v>
      </c>
      <c r="L364" s="69" t="b">
        <f>IF(Tab.11[[#This Row],[a1]]=1,Tab.11[[#This Row],[data]]/(_xlfn.STDEV.P(Tab.11[data])*$B$989)+$A$989)</f>
        <v>0</v>
      </c>
      <c r="M364" s="69" t="b">
        <f>IF(Tab.11[[#This Row],[a1]]=1,Tab.11[[#This Row],[data]]/(_xlfn.STDEV.P(Tab.11[data])*$B$987)-$A$987)</f>
        <v>0</v>
      </c>
      <c r="N364" s="69" t="b">
        <f>IF(Tab.11[[#This Row],[a1]]=1,Tab.11[[#This Row],[data]]/(_xlfn.STDEV.P(Tab.11[data])*$B$988)+$A$988)</f>
        <v>0</v>
      </c>
      <c r="O364" s="70" t="b">
        <f>IF(Tab.11[[#This Row],[a1]]=1,_xlfn.NORM.DIST(Tab.11[[#This Row],[b8]],$P$1,$Q$1,FALSE))</f>
        <v>0</v>
      </c>
      <c r="P364" s="70" t="b">
        <f>IF(Tab.11[[#This Row],[a1]]=1,_xlfn.NORM.DIST(Tab.11[[#This Row],[b9]],$P$1,$Q$1,FALSE))</f>
        <v>0</v>
      </c>
      <c r="Q364" s="70" t="b">
        <f>IF(Tab.11[[#This Row],[a1]]=1,_xlfn.NORM.DIST(Tab.11[[#This Row],[b10]],$P$1,$Q$1,FALSE))</f>
        <v>0</v>
      </c>
      <c r="R364" s="67" t="b">
        <f>IF(Tab.11[[#This Row],[a1]]=1,$I$3+$A$989+IF($K$3=0,Tab.11[[#This Row],[b8]]*_xlfn.STDEV.P(Tab.11[data]),AVERAGE(Tab.11[b6])+Tab.11[[#This Row],[b8]]*_xlfn.STDEV.P(Tab.11[data])))</f>
        <v>0</v>
      </c>
      <c r="S364" s="71" t="b">
        <f>IF(Tab.11[[#This Row],[a1]]=1,$I$3+$A$987+IF($K$3=0,Tab.11[[#This Row],[b9]]*_xlfn.STDEV.P(Tab.11[data]),AVERAGE(Tab.11[b6])+Tab.11[[#This Row],[b9]]*_xlfn.STDEV.P(Tab.11[data])))</f>
        <v>0</v>
      </c>
      <c r="T364" s="71" t="b">
        <f>IF(Tab.11[[#This Row],[a1]]=1,$I$3+$A$988+IF($K$3=0,Tab.11[[#This Row],[b10]]*_xlfn.STDEV.P(Tab.11[data]),AVERAGE(Tab.11[b6])+Tab.11[[#This Row],[b10]]*_xlfn.STDEV.P(Tab.11[data])))</f>
        <v>0</v>
      </c>
      <c r="U364" s="72" t="b">
        <f>IF(Tab.11[[#This Row],[a1]]=1,Tab.11[[#This Row],[target]]-Tab.11[[#This Row],[Red]])</f>
        <v>0</v>
      </c>
      <c r="V364" s="72" t="b">
        <f>IF(Tab.11[[#This Row],[a1]]=1,Tab.11[[#This Row],[target]]-Tab.11[[#This Row],[Blue]])</f>
        <v>0</v>
      </c>
      <c r="W364" s="73" t="b">
        <f>IF(Tab.11[[#This Row],[a1]]=1,IF(ABS(Tab.11[[#This Row],[b17]])+ABS(Tab.11[[#This Row],[b18]])&lt;$W$2,$W$2,ABS(Tab.11[[#This Row],[b17]])+ABS(Tab.11[[#This Row],[b18]])))</f>
        <v>0</v>
      </c>
      <c r="X364" s="136" t="b">
        <f>IF(Tab.11[[#This Row],[a1]]=1,IF($W$3&lt;0,Tab.11[[#This Row],[IN]]-$I$3,Tab.11[[#This Row],[IN]]))</f>
        <v>0</v>
      </c>
      <c r="Y364" s="136" t="b">
        <f>IF(Tab.11[[#This Row],[a1]]=1,IF($X$3=0,Tab.11[b66],Tab.11[[#This Row],[b66]]-AVERAGE(Tab.11[b66])))</f>
        <v>0</v>
      </c>
      <c r="Z364" s="135" t="b">
        <f>IF(Tab.11[[#This Row],[a1]]=1,Tab.11[[#This Row],[b77]]/(_xlfn.STDEV.P(Tab.11[b77])))</f>
        <v>0</v>
      </c>
      <c r="AA364" s="70" t="b">
        <f>IF(Tab.11[[#This Row],[a1]]=1,_xlfn.NORM.DIST(Tab.11[[#This Row],[b88]],$Z$1,$AA$1,FALSE))</f>
        <v>0</v>
      </c>
      <c r="AB364" s="74" t="b">
        <f>IF(Tab.11[[#This Row],[a1]]=1,IF($A$3=0,FALSE,1/Tab.11[[#This Row],[IN]]*$AC$2*IF(Tab.11[[#This Row],[a1]]=0,,$A$3*$AC$1*1/$V$3*(Tab.11[[#This Row],[b14]]))))</f>
        <v>0</v>
      </c>
      <c r="AC364" s="75" t="b">
        <f>IF(Tab.11[[#This Row],[a1]]=1,IF($AC$3=0,Tab.11[[#This Row],[φ1]],Tab.11[[#This Row],[φ1]]/MAX(Tab.11[φ1])))</f>
        <v>0</v>
      </c>
      <c r="AD364" s="74" t="b">
        <f>IF(Tab.11[[#This Row],[a1]]=1,1/Tab.11[[#This Row],[φ2]])</f>
        <v>0</v>
      </c>
      <c r="AE364" s="74" t="b">
        <f>IF(Tab.11[[#This Row],[a1]]=1,IF($AE$3=0,Tab.11[[#This Row],[w.0]],Tab.11[[#This Row],[w.0]]/SUM(Tab.11[w.0])))</f>
        <v>0</v>
      </c>
      <c r="AF364" s="76" t="str">
        <f>IF(Tab.11[[#This Row],[a1]]=0,"false",[3]!Tab.x5[[#This Row],[%_seN_C]])</f>
        <v>false</v>
      </c>
      <c r="AG364" s="77" t="b">
        <f>IF(Tab.11[[#This Row],[a1]]=1,AP364)</f>
        <v>0</v>
      </c>
      <c r="AH364" s="78" t="b">
        <f>IF(Tab.11[[#This Row],[a1]]=1,AQ364)</f>
        <v>0</v>
      </c>
      <c r="AI364" s="41">
        <v>3.0000000000000001E-3</v>
      </c>
      <c r="AJ364" s="79">
        <v>-0.04</v>
      </c>
      <c r="AK364" s="80" t="b">
        <f>IF(Tab.11[[#This Row],[a1]]=1,1)</f>
        <v>0</v>
      </c>
      <c r="AZ364"/>
    </row>
    <row r="365" spans="1:52" hidden="1" x14ac:dyDescent="0.25">
      <c r="A365" s="61">
        <f t="shared" si="13"/>
        <v>0</v>
      </c>
      <c r="B365" s="62">
        <f t="shared" si="13"/>
        <v>0</v>
      </c>
      <c r="C365" s="62" t="b">
        <f>IF(Tab.11[[#This Row],[a1]]=1,[3]!Tab_x1[[#This Row],[Name]])</f>
        <v>0</v>
      </c>
      <c r="D365" s="63" t="b">
        <f>IF(Tab.11[[#This Row],[a1]]=1,AO365)</f>
        <v>0</v>
      </c>
      <c r="E365" s="63">
        <f t="shared" si="12"/>
        <v>0</v>
      </c>
      <c r="F365" s="64" t="b">
        <f>IF(Tab.11[[#This Row],[a1]]=1,Tab.11[[#This Row],[b1]])</f>
        <v>0</v>
      </c>
      <c r="G365" s="65" t="b">
        <f>IF(Tab.11[[#This Row],[a1]]=1,IF(Tab.11[[#This Row],[b3]]&gt;$L$989*$G$3,$L$989*$G$3,IF(Tab.11[[#This Row],[b3]]&lt;$M$989*$G$3,$M$989*$G$3,Tab.11[[#This Row],[b3]])))</f>
        <v>0</v>
      </c>
      <c r="H365" s="66" t="b">
        <f>IF(Tab.11[[#This Row],[a1]]=1,Tab.11[[#This Row],[b1]])</f>
        <v>0</v>
      </c>
      <c r="I365" s="67" t="b">
        <f>IF(Tab.11[[#This Row],[a1]]=1,Tab.11[[#This Row],[b1]])</f>
        <v>0</v>
      </c>
      <c r="J365" s="68" t="b">
        <f>IF(Tab.11[[#This Row],[a1]]=1,IF($I$3&lt;0,Tab.11[[#This Row],[b5]]-$I$3,Tab.11[[#This Row],[b5]]))</f>
        <v>0</v>
      </c>
      <c r="K365" s="68" t="b">
        <f>IF(Tab.11[[#This Row],[a1]]=1,IF($K$3=0,Tab.11[b6],Tab.11[[#This Row],[b6]]-AVERAGE(Tab.11[b6])))</f>
        <v>0</v>
      </c>
      <c r="L365" s="69" t="b">
        <f>IF(Tab.11[[#This Row],[a1]]=1,Tab.11[[#This Row],[data]]/(_xlfn.STDEV.P(Tab.11[data])*$B$989)+$A$989)</f>
        <v>0</v>
      </c>
      <c r="M365" s="69" t="b">
        <f>IF(Tab.11[[#This Row],[a1]]=1,Tab.11[[#This Row],[data]]/(_xlfn.STDEV.P(Tab.11[data])*$B$987)-$A$987)</f>
        <v>0</v>
      </c>
      <c r="N365" s="69" t="b">
        <f>IF(Tab.11[[#This Row],[a1]]=1,Tab.11[[#This Row],[data]]/(_xlfn.STDEV.P(Tab.11[data])*$B$988)+$A$988)</f>
        <v>0</v>
      </c>
      <c r="O365" s="70" t="b">
        <f>IF(Tab.11[[#This Row],[a1]]=1,_xlfn.NORM.DIST(Tab.11[[#This Row],[b8]],$P$1,$Q$1,FALSE))</f>
        <v>0</v>
      </c>
      <c r="P365" s="70" t="b">
        <f>IF(Tab.11[[#This Row],[a1]]=1,_xlfn.NORM.DIST(Tab.11[[#This Row],[b9]],$P$1,$Q$1,FALSE))</f>
        <v>0</v>
      </c>
      <c r="Q365" s="70" t="b">
        <f>IF(Tab.11[[#This Row],[a1]]=1,_xlfn.NORM.DIST(Tab.11[[#This Row],[b10]],$P$1,$Q$1,FALSE))</f>
        <v>0</v>
      </c>
      <c r="R365" s="67" t="b">
        <f>IF(Tab.11[[#This Row],[a1]]=1,$I$3+$A$989+IF($K$3=0,Tab.11[[#This Row],[b8]]*_xlfn.STDEV.P(Tab.11[data]),AVERAGE(Tab.11[b6])+Tab.11[[#This Row],[b8]]*_xlfn.STDEV.P(Tab.11[data])))</f>
        <v>0</v>
      </c>
      <c r="S365" s="71" t="b">
        <f>IF(Tab.11[[#This Row],[a1]]=1,$I$3+$A$987+IF($K$3=0,Tab.11[[#This Row],[b9]]*_xlfn.STDEV.P(Tab.11[data]),AVERAGE(Tab.11[b6])+Tab.11[[#This Row],[b9]]*_xlfn.STDEV.P(Tab.11[data])))</f>
        <v>0</v>
      </c>
      <c r="T365" s="71" t="b">
        <f>IF(Tab.11[[#This Row],[a1]]=1,$I$3+$A$988+IF($K$3=0,Tab.11[[#This Row],[b10]]*_xlfn.STDEV.P(Tab.11[data]),AVERAGE(Tab.11[b6])+Tab.11[[#This Row],[b10]]*_xlfn.STDEV.P(Tab.11[data])))</f>
        <v>0</v>
      </c>
      <c r="U365" s="72" t="b">
        <f>IF(Tab.11[[#This Row],[a1]]=1,Tab.11[[#This Row],[target]]-Tab.11[[#This Row],[Red]])</f>
        <v>0</v>
      </c>
      <c r="V365" s="72" t="b">
        <f>IF(Tab.11[[#This Row],[a1]]=1,Tab.11[[#This Row],[target]]-Tab.11[[#This Row],[Blue]])</f>
        <v>0</v>
      </c>
      <c r="W365" s="73" t="b">
        <f>IF(Tab.11[[#This Row],[a1]]=1,IF(ABS(Tab.11[[#This Row],[b17]])+ABS(Tab.11[[#This Row],[b18]])&lt;$W$2,$W$2,ABS(Tab.11[[#This Row],[b17]])+ABS(Tab.11[[#This Row],[b18]])))</f>
        <v>0</v>
      </c>
      <c r="X365" s="136" t="b">
        <f>IF(Tab.11[[#This Row],[a1]]=1,IF($W$3&lt;0,Tab.11[[#This Row],[IN]]-$I$3,Tab.11[[#This Row],[IN]]))</f>
        <v>0</v>
      </c>
      <c r="Y365" s="136" t="b">
        <f>IF(Tab.11[[#This Row],[a1]]=1,IF($X$3=0,Tab.11[b66],Tab.11[[#This Row],[b66]]-AVERAGE(Tab.11[b66])))</f>
        <v>0</v>
      </c>
      <c r="Z365" s="135" t="b">
        <f>IF(Tab.11[[#This Row],[a1]]=1,Tab.11[[#This Row],[b77]]/(_xlfn.STDEV.P(Tab.11[b77])))</f>
        <v>0</v>
      </c>
      <c r="AA365" s="70" t="b">
        <f>IF(Tab.11[[#This Row],[a1]]=1,_xlfn.NORM.DIST(Tab.11[[#This Row],[b88]],$Z$1,$AA$1,FALSE))</f>
        <v>0</v>
      </c>
      <c r="AB365" s="74" t="b">
        <f>IF(Tab.11[[#This Row],[a1]]=1,IF($A$3=0,FALSE,1/Tab.11[[#This Row],[IN]]*$AC$2*IF(Tab.11[[#This Row],[a1]]=0,,$A$3*$AC$1*1/$V$3*(Tab.11[[#This Row],[b14]]))))</f>
        <v>0</v>
      </c>
      <c r="AC365" s="75" t="b">
        <f>IF(Tab.11[[#This Row],[a1]]=1,IF($AC$3=0,Tab.11[[#This Row],[φ1]],Tab.11[[#This Row],[φ1]]/MAX(Tab.11[φ1])))</f>
        <v>0</v>
      </c>
      <c r="AD365" s="74" t="b">
        <f>IF(Tab.11[[#This Row],[a1]]=1,1/Tab.11[[#This Row],[φ2]])</f>
        <v>0</v>
      </c>
      <c r="AE365" s="74" t="b">
        <f>IF(Tab.11[[#This Row],[a1]]=1,IF($AE$3=0,Tab.11[[#This Row],[w.0]],Tab.11[[#This Row],[w.0]]/SUM(Tab.11[w.0])))</f>
        <v>0</v>
      </c>
      <c r="AF365" s="76" t="str">
        <f>IF(Tab.11[[#This Row],[a1]]=0,"false",[3]!Tab.x5[[#This Row],[%_seN_C]])</f>
        <v>false</v>
      </c>
      <c r="AG365" s="77" t="b">
        <f>IF(Tab.11[[#This Row],[a1]]=1,AP365)</f>
        <v>0</v>
      </c>
      <c r="AH365" s="78" t="b">
        <f>IF(Tab.11[[#This Row],[a1]]=1,AQ365)</f>
        <v>0</v>
      </c>
      <c r="AI365" s="41">
        <v>3.0000000000000001E-3</v>
      </c>
      <c r="AJ365" s="79">
        <v>0.06</v>
      </c>
      <c r="AK365" s="80" t="b">
        <f>IF(Tab.11[[#This Row],[a1]]=1,1)</f>
        <v>0</v>
      </c>
      <c r="AZ365"/>
    </row>
    <row r="366" spans="1:52" hidden="1" x14ac:dyDescent="0.25">
      <c r="A366" s="61">
        <f t="shared" si="13"/>
        <v>0</v>
      </c>
      <c r="B366" s="62">
        <f t="shared" si="13"/>
        <v>0</v>
      </c>
      <c r="C366" s="62" t="b">
        <f>IF(Tab.11[[#This Row],[a1]]=1,[3]!Tab_x1[[#This Row],[Name]])</f>
        <v>0</v>
      </c>
      <c r="D366" s="63" t="b">
        <f>IF(Tab.11[[#This Row],[a1]]=1,AO366)</f>
        <v>0</v>
      </c>
      <c r="E366" s="63">
        <f t="shared" si="12"/>
        <v>0</v>
      </c>
      <c r="F366" s="64" t="b">
        <f>IF(Tab.11[[#This Row],[a1]]=1,Tab.11[[#This Row],[b1]])</f>
        <v>0</v>
      </c>
      <c r="G366" s="65" t="b">
        <f>IF(Tab.11[[#This Row],[a1]]=1,IF(Tab.11[[#This Row],[b3]]&gt;$L$989*$G$3,$L$989*$G$3,IF(Tab.11[[#This Row],[b3]]&lt;$M$989*$G$3,$M$989*$G$3,Tab.11[[#This Row],[b3]])))</f>
        <v>0</v>
      </c>
      <c r="H366" s="66" t="b">
        <f>IF(Tab.11[[#This Row],[a1]]=1,Tab.11[[#This Row],[b1]])</f>
        <v>0</v>
      </c>
      <c r="I366" s="67" t="b">
        <f>IF(Tab.11[[#This Row],[a1]]=1,Tab.11[[#This Row],[b1]])</f>
        <v>0</v>
      </c>
      <c r="J366" s="68" t="b">
        <f>IF(Tab.11[[#This Row],[a1]]=1,IF($I$3&lt;0,Tab.11[[#This Row],[b5]]-$I$3,Tab.11[[#This Row],[b5]]))</f>
        <v>0</v>
      </c>
      <c r="K366" s="68" t="b">
        <f>IF(Tab.11[[#This Row],[a1]]=1,IF($K$3=0,Tab.11[b6],Tab.11[[#This Row],[b6]]-AVERAGE(Tab.11[b6])))</f>
        <v>0</v>
      </c>
      <c r="L366" s="69" t="b">
        <f>IF(Tab.11[[#This Row],[a1]]=1,Tab.11[[#This Row],[data]]/(_xlfn.STDEV.P(Tab.11[data])*$B$989)+$A$989)</f>
        <v>0</v>
      </c>
      <c r="M366" s="69" t="b">
        <f>IF(Tab.11[[#This Row],[a1]]=1,Tab.11[[#This Row],[data]]/(_xlfn.STDEV.P(Tab.11[data])*$B$987)-$A$987)</f>
        <v>0</v>
      </c>
      <c r="N366" s="69" t="b">
        <f>IF(Tab.11[[#This Row],[a1]]=1,Tab.11[[#This Row],[data]]/(_xlfn.STDEV.P(Tab.11[data])*$B$988)+$A$988)</f>
        <v>0</v>
      </c>
      <c r="O366" s="70" t="b">
        <f>IF(Tab.11[[#This Row],[a1]]=1,_xlfn.NORM.DIST(Tab.11[[#This Row],[b8]],$P$1,$Q$1,FALSE))</f>
        <v>0</v>
      </c>
      <c r="P366" s="70" t="b">
        <f>IF(Tab.11[[#This Row],[a1]]=1,_xlfn.NORM.DIST(Tab.11[[#This Row],[b9]],$P$1,$Q$1,FALSE))</f>
        <v>0</v>
      </c>
      <c r="Q366" s="70" t="b">
        <f>IF(Tab.11[[#This Row],[a1]]=1,_xlfn.NORM.DIST(Tab.11[[#This Row],[b10]],$P$1,$Q$1,FALSE))</f>
        <v>0</v>
      </c>
      <c r="R366" s="67" t="b">
        <f>IF(Tab.11[[#This Row],[a1]]=1,$I$3+$A$989+IF($K$3=0,Tab.11[[#This Row],[b8]]*_xlfn.STDEV.P(Tab.11[data]),AVERAGE(Tab.11[b6])+Tab.11[[#This Row],[b8]]*_xlfn.STDEV.P(Tab.11[data])))</f>
        <v>0</v>
      </c>
      <c r="S366" s="71" t="b">
        <f>IF(Tab.11[[#This Row],[a1]]=1,$I$3+$A$987+IF($K$3=0,Tab.11[[#This Row],[b9]]*_xlfn.STDEV.P(Tab.11[data]),AVERAGE(Tab.11[b6])+Tab.11[[#This Row],[b9]]*_xlfn.STDEV.P(Tab.11[data])))</f>
        <v>0</v>
      </c>
      <c r="T366" s="71" t="b">
        <f>IF(Tab.11[[#This Row],[a1]]=1,$I$3+$A$988+IF($K$3=0,Tab.11[[#This Row],[b10]]*_xlfn.STDEV.P(Tab.11[data]),AVERAGE(Tab.11[b6])+Tab.11[[#This Row],[b10]]*_xlfn.STDEV.P(Tab.11[data])))</f>
        <v>0</v>
      </c>
      <c r="U366" s="72" t="b">
        <f>IF(Tab.11[[#This Row],[a1]]=1,Tab.11[[#This Row],[target]]-Tab.11[[#This Row],[Red]])</f>
        <v>0</v>
      </c>
      <c r="V366" s="72" t="b">
        <f>IF(Tab.11[[#This Row],[a1]]=1,Tab.11[[#This Row],[target]]-Tab.11[[#This Row],[Blue]])</f>
        <v>0</v>
      </c>
      <c r="W366" s="73" t="b">
        <f>IF(Tab.11[[#This Row],[a1]]=1,IF(ABS(Tab.11[[#This Row],[b17]])+ABS(Tab.11[[#This Row],[b18]])&lt;$W$2,$W$2,ABS(Tab.11[[#This Row],[b17]])+ABS(Tab.11[[#This Row],[b18]])))</f>
        <v>0</v>
      </c>
      <c r="X366" s="136" t="b">
        <f>IF(Tab.11[[#This Row],[a1]]=1,IF($W$3&lt;0,Tab.11[[#This Row],[IN]]-$I$3,Tab.11[[#This Row],[IN]]))</f>
        <v>0</v>
      </c>
      <c r="Y366" s="136" t="b">
        <f>IF(Tab.11[[#This Row],[a1]]=1,IF($X$3=0,Tab.11[b66],Tab.11[[#This Row],[b66]]-AVERAGE(Tab.11[b66])))</f>
        <v>0</v>
      </c>
      <c r="Z366" s="135" t="b">
        <f>IF(Tab.11[[#This Row],[a1]]=1,Tab.11[[#This Row],[b77]]/(_xlfn.STDEV.P(Tab.11[b77])))</f>
        <v>0</v>
      </c>
      <c r="AA366" s="70" t="b">
        <f>IF(Tab.11[[#This Row],[a1]]=1,_xlfn.NORM.DIST(Tab.11[[#This Row],[b88]],$Z$1,$AA$1,FALSE))</f>
        <v>0</v>
      </c>
      <c r="AB366" s="74" t="b">
        <f>IF(Tab.11[[#This Row],[a1]]=1,IF($A$3=0,FALSE,1/Tab.11[[#This Row],[IN]]*$AC$2*IF(Tab.11[[#This Row],[a1]]=0,,$A$3*$AC$1*1/$V$3*(Tab.11[[#This Row],[b14]]))))</f>
        <v>0</v>
      </c>
      <c r="AC366" s="75" t="b">
        <f>IF(Tab.11[[#This Row],[a1]]=1,IF($AC$3=0,Tab.11[[#This Row],[φ1]],Tab.11[[#This Row],[φ1]]/MAX(Tab.11[φ1])))</f>
        <v>0</v>
      </c>
      <c r="AD366" s="74" t="b">
        <f>IF(Tab.11[[#This Row],[a1]]=1,1/Tab.11[[#This Row],[φ2]])</f>
        <v>0</v>
      </c>
      <c r="AE366" s="74" t="b">
        <f>IF(Tab.11[[#This Row],[a1]]=1,IF($AE$3=0,Tab.11[[#This Row],[w.0]],Tab.11[[#This Row],[w.0]]/SUM(Tab.11[w.0])))</f>
        <v>0</v>
      </c>
      <c r="AF366" s="76" t="str">
        <f>IF(Tab.11[[#This Row],[a1]]=0,"false",[3]!Tab.x5[[#This Row],[%_seN_C]])</f>
        <v>false</v>
      </c>
      <c r="AG366" s="77" t="b">
        <f>IF(Tab.11[[#This Row],[a1]]=1,AP366)</f>
        <v>0</v>
      </c>
      <c r="AH366" s="78" t="b">
        <f>IF(Tab.11[[#This Row],[a1]]=1,AQ366)</f>
        <v>0</v>
      </c>
      <c r="AI366" s="41">
        <v>3.0000000000000001E-3</v>
      </c>
      <c r="AJ366" s="79">
        <v>0</v>
      </c>
      <c r="AK366" s="80" t="b">
        <f>IF(Tab.11[[#This Row],[a1]]=1,1)</f>
        <v>0</v>
      </c>
      <c r="AZ366"/>
    </row>
    <row r="367" spans="1:52" hidden="1" x14ac:dyDescent="0.25">
      <c r="A367" s="61">
        <f t="shared" si="13"/>
        <v>0</v>
      </c>
      <c r="B367" s="62">
        <f t="shared" si="13"/>
        <v>0</v>
      </c>
      <c r="C367" s="62" t="b">
        <f>IF(Tab.11[[#This Row],[a1]]=1,[3]!Tab_x1[[#This Row],[Name]])</f>
        <v>0</v>
      </c>
      <c r="D367" s="63" t="b">
        <f>IF(Tab.11[[#This Row],[a1]]=1,AO367)</f>
        <v>0</v>
      </c>
      <c r="E367" s="63">
        <f t="shared" si="12"/>
        <v>0</v>
      </c>
      <c r="F367" s="64" t="b">
        <f>IF(Tab.11[[#This Row],[a1]]=1,Tab.11[[#This Row],[b1]])</f>
        <v>0</v>
      </c>
      <c r="G367" s="65" t="b">
        <f>IF(Tab.11[[#This Row],[a1]]=1,IF(Tab.11[[#This Row],[b3]]&gt;$L$989*$G$3,$L$989*$G$3,IF(Tab.11[[#This Row],[b3]]&lt;$M$989*$G$3,$M$989*$G$3,Tab.11[[#This Row],[b3]])))</f>
        <v>0</v>
      </c>
      <c r="H367" s="66" t="b">
        <f>IF(Tab.11[[#This Row],[a1]]=1,Tab.11[[#This Row],[b1]])</f>
        <v>0</v>
      </c>
      <c r="I367" s="67" t="b">
        <f>IF(Tab.11[[#This Row],[a1]]=1,Tab.11[[#This Row],[b1]])</f>
        <v>0</v>
      </c>
      <c r="J367" s="68" t="b">
        <f>IF(Tab.11[[#This Row],[a1]]=1,IF($I$3&lt;0,Tab.11[[#This Row],[b5]]-$I$3,Tab.11[[#This Row],[b5]]))</f>
        <v>0</v>
      </c>
      <c r="K367" s="68" t="b">
        <f>IF(Tab.11[[#This Row],[a1]]=1,IF($K$3=0,Tab.11[b6],Tab.11[[#This Row],[b6]]-AVERAGE(Tab.11[b6])))</f>
        <v>0</v>
      </c>
      <c r="L367" s="69" t="b">
        <f>IF(Tab.11[[#This Row],[a1]]=1,Tab.11[[#This Row],[data]]/(_xlfn.STDEV.P(Tab.11[data])*$B$989)+$A$989)</f>
        <v>0</v>
      </c>
      <c r="M367" s="69" t="b">
        <f>IF(Tab.11[[#This Row],[a1]]=1,Tab.11[[#This Row],[data]]/(_xlfn.STDEV.P(Tab.11[data])*$B$987)-$A$987)</f>
        <v>0</v>
      </c>
      <c r="N367" s="69" t="b">
        <f>IF(Tab.11[[#This Row],[a1]]=1,Tab.11[[#This Row],[data]]/(_xlfn.STDEV.P(Tab.11[data])*$B$988)+$A$988)</f>
        <v>0</v>
      </c>
      <c r="O367" s="70" t="b">
        <f>IF(Tab.11[[#This Row],[a1]]=1,_xlfn.NORM.DIST(Tab.11[[#This Row],[b8]],$P$1,$Q$1,FALSE))</f>
        <v>0</v>
      </c>
      <c r="P367" s="70" t="b">
        <f>IF(Tab.11[[#This Row],[a1]]=1,_xlfn.NORM.DIST(Tab.11[[#This Row],[b9]],$P$1,$Q$1,FALSE))</f>
        <v>0</v>
      </c>
      <c r="Q367" s="70" t="b">
        <f>IF(Tab.11[[#This Row],[a1]]=1,_xlfn.NORM.DIST(Tab.11[[#This Row],[b10]],$P$1,$Q$1,FALSE))</f>
        <v>0</v>
      </c>
      <c r="R367" s="67" t="b">
        <f>IF(Tab.11[[#This Row],[a1]]=1,$I$3+$A$989+IF($K$3=0,Tab.11[[#This Row],[b8]]*_xlfn.STDEV.P(Tab.11[data]),AVERAGE(Tab.11[b6])+Tab.11[[#This Row],[b8]]*_xlfn.STDEV.P(Tab.11[data])))</f>
        <v>0</v>
      </c>
      <c r="S367" s="71" t="b">
        <f>IF(Tab.11[[#This Row],[a1]]=1,$I$3+$A$987+IF($K$3=0,Tab.11[[#This Row],[b9]]*_xlfn.STDEV.P(Tab.11[data]),AVERAGE(Tab.11[b6])+Tab.11[[#This Row],[b9]]*_xlfn.STDEV.P(Tab.11[data])))</f>
        <v>0</v>
      </c>
      <c r="T367" s="71" t="b">
        <f>IF(Tab.11[[#This Row],[a1]]=1,$I$3+$A$988+IF($K$3=0,Tab.11[[#This Row],[b10]]*_xlfn.STDEV.P(Tab.11[data]),AVERAGE(Tab.11[b6])+Tab.11[[#This Row],[b10]]*_xlfn.STDEV.P(Tab.11[data])))</f>
        <v>0</v>
      </c>
      <c r="U367" s="72" t="b">
        <f>IF(Tab.11[[#This Row],[a1]]=1,Tab.11[[#This Row],[target]]-Tab.11[[#This Row],[Red]])</f>
        <v>0</v>
      </c>
      <c r="V367" s="72" t="b">
        <f>IF(Tab.11[[#This Row],[a1]]=1,Tab.11[[#This Row],[target]]-Tab.11[[#This Row],[Blue]])</f>
        <v>0</v>
      </c>
      <c r="W367" s="73" t="b">
        <f>IF(Tab.11[[#This Row],[a1]]=1,IF(ABS(Tab.11[[#This Row],[b17]])+ABS(Tab.11[[#This Row],[b18]])&lt;$W$2,$W$2,ABS(Tab.11[[#This Row],[b17]])+ABS(Tab.11[[#This Row],[b18]])))</f>
        <v>0</v>
      </c>
      <c r="X367" s="136" t="b">
        <f>IF(Tab.11[[#This Row],[a1]]=1,IF($W$3&lt;0,Tab.11[[#This Row],[IN]]-$I$3,Tab.11[[#This Row],[IN]]))</f>
        <v>0</v>
      </c>
      <c r="Y367" s="136" t="b">
        <f>IF(Tab.11[[#This Row],[a1]]=1,IF($X$3=0,Tab.11[b66],Tab.11[[#This Row],[b66]]-AVERAGE(Tab.11[b66])))</f>
        <v>0</v>
      </c>
      <c r="Z367" s="135" t="b">
        <f>IF(Tab.11[[#This Row],[a1]]=1,Tab.11[[#This Row],[b77]]/(_xlfn.STDEV.P(Tab.11[b77])))</f>
        <v>0</v>
      </c>
      <c r="AA367" s="70" t="b">
        <f>IF(Tab.11[[#This Row],[a1]]=1,_xlfn.NORM.DIST(Tab.11[[#This Row],[b88]],$Z$1,$AA$1,FALSE))</f>
        <v>0</v>
      </c>
      <c r="AB367" s="74" t="b">
        <f>IF(Tab.11[[#This Row],[a1]]=1,IF($A$3=0,FALSE,1/Tab.11[[#This Row],[IN]]*$AC$2*IF(Tab.11[[#This Row],[a1]]=0,,$A$3*$AC$1*1/$V$3*(Tab.11[[#This Row],[b14]]))))</f>
        <v>0</v>
      </c>
      <c r="AC367" s="75" t="b">
        <f>IF(Tab.11[[#This Row],[a1]]=1,IF($AC$3=0,Tab.11[[#This Row],[φ1]],Tab.11[[#This Row],[φ1]]/MAX(Tab.11[φ1])))</f>
        <v>0</v>
      </c>
      <c r="AD367" s="74" t="b">
        <f>IF(Tab.11[[#This Row],[a1]]=1,1/Tab.11[[#This Row],[φ2]])</f>
        <v>0</v>
      </c>
      <c r="AE367" s="74" t="b">
        <f>IF(Tab.11[[#This Row],[a1]]=1,IF($AE$3=0,Tab.11[[#This Row],[w.0]],Tab.11[[#This Row],[w.0]]/SUM(Tab.11[w.0])))</f>
        <v>0</v>
      </c>
      <c r="AF367" s="76" t="str">
        <f>IF(Tab.11[[#This Row],[a1]]=0,"false",[3]!Tab.x5[[#This Row],[%_seN_C]])</f>
        <v>false</v>
      </c>
      <c r="AG367" s="77" t="b">
        <f>IF(Tab.11[[#This Row],[a1]]=1,AP367)</f>
        <v>0</v>
      </c>
      <c r="AH367" s="78" t="b">
        <f>IF(Tab.11[[#This Row],[a1]]=1,AQ367)</f>
        <v>0</v>
      </c>
      <c r="AI367" s="41">
        <v>3.0000000000000001E-3</v>
      </c>
      <c r="AJ367" s="79">
        <v>0.05</v>
      </c>
      <c r="AK367" s="80" t="b">
        <f>IF(Tab.11[[#This Row],[a1]]=1,1)</f>
        <v>0</v>
      </c>
      <c r="AZ367"/>
    </row>
    <row r="368" spans="1:52" hidden="1" x14ac:dyDescent="0.25">
      <c r="A368" s="61">
        <f t="shared" si="13"/>
        <v>0</v>
      </c>
      <c r="B368" s="62">
        <f t="shared" si="13"/>
        <v>0</v>
      </c>
      <c r="C368" s="62" t="b">
        <f>IF(Tab.11[[#This Row],[a1]]=1,[3]!Tab_x1[[#This Row],[Name]])</f>
        <v>0</v>
      </c>
      <c r="D368" s="63" t="b">
        <f>IF(Tab.11[[#This Row],[a1]]=1,AO368)</f>
        <v>0</v>
      </c>
      <c r="E368" s="63">
        <f t="shared" si="12"/>
        <v>0</v>
      </c>
      <c r="F368" s="64" t="b">
        <f>IF(Tab.11[[#This Row],[a1]]=1,Tab.11[[#This Row],[b1]])</f>
        <v>0</v>
      </c>
      <c r="G368" s="65" t="b">
        <f>IF(Tab.11[[#This Row],[a1]]=1,IF(Tab.11[[#This Row],[b3]]&gt;$L$989*$G$3,$L$989*$G$3,IF(Tab.11[[#This Row],[b3]]&lt;$M$989*$G$3,$M$989*$G$3,Tab.11[[#This Row],[b3]])))</f>
        <v>0</v>
      </c>
      <c r="H368" s="66" t="b">
        <f>IF(Tab.11[[#This Row],[a1]]=1,Tab.11[[#This Row],[b1]])</f>
        <v>0</v>
      </c>
      <c r="I368" s="67" t="b">
        <f>IF(Tab.11[[#This Row],[a1]]=1,Tab.11[[#This Row],[b1]])</f>
        <v>0</v>
      </c>
      <c r="J368" s="68" t="b">
        <f>IF(Tab.11[[#This Row],[a1]]=1,IF($I$3&lt;0,Tab.11[[#This Row],[b5]]-$I$3,Tab.11[[#This Row],[b5]]))</f>
        <v>0</v>
      </c>
      <c r="K368" s="68" t="b">
        <f>IF(Tab.11[[#This Row],[a1]]=1,IF($K$3=0,Tab.11[b6],Tab.11[[#This Row],[b6]]-AVERAGE(Tab.11[b6])))</f>
        <v>0</v>
      </c>
      <c r="L368" s="69" t="b">
        <f>IF(Tab.11[[#This Row],[a1]]=1,Tab.11[[#This Row],[data]]/(_xlfn.STDEV.P(Tab.11[data])*$B$989)+$A$989)</f>
        <v>0</v>
      </c>
      <c r="M368" s="69" t="b">
        <f>IF(Tab.11[[#This Row],[a1]]=1,Tab.11[[#This Row],[data]]/(_xlfn.STDEV.P(Tab.11[data])*$B$987)-$A$987)</f>
        <v>0</v>
      </c>
      <c r="N368" s="69" t="b">
        <f>IF(Tab.11[[#This Row],[a1]]=1,Tab.11[[#This Row],[data]]/(_xlfn.STDEV.P(Tab.11[data])*$B$988)+$A$988)</f>
        <v>0</v>
      </c>
      <c r="O368" s="70" t="b">
        <f>IF(Tab.11[[#This Row],[a1]]=1,_xlfn.NORM.DIST(Tab.11[[#This Row],[b8]],$P$1,$Q$1,FALSE))</f>
        <v>0</v>
      </c>
      <c r="P368" s="70" t="b">
        <f>IF(Tab.11[[#This Row],[a1]]=1,_xlfn.NORM.DIST(Tab.11[[#This Row],[b9]],$P$1,$Q$1,FALSE))</f>
        <v>0</v>
      </c>
      <c r="Q368" s="70" t="b">
        <f>IF(Tab.11[[#This Row],[a1]]=1,_xlfn.NORM.DIST(Tab.11[[#This Row],[b10]],$P$1,$Q$1,FALSE))</f>
        <v>0</v>
      </c>
      <c r="R368" s="67" t="b">
        <f>IF(Tab.11[[#This Row],[a1]]=1,$I$3+$A$989+IF($K$3=0,Tab.11[[#This Row],[b8]]*_xlfn.STDEV.P(Tab.11[data]),AVERAGE(Tab.11[b6])+Tab.11[[#This Row],[b8]]*_xlfn.STDEV.P(Tab.11[data])))</f>
        <v>0</v>
      </c>
      <c r="S368" s="71" t="b">
        <f>IF(Tab.11[[#This Row],[a1]]=1,$I$3+$A$987+IF($K$3=0,Tab.11[[#This Row],[b9]]*_xlfn.STDEV.P(Tab.11[data]),AVERAGE(Tab.11[b6])+Tab.11[[#This Row],[b9]]*_xlfn.STDEV.P(Tab.11[data])))</f>
        <v>0</v>
      </c>
      <c r="T368" s="71" t="b">
        <f>IF(Tab.11[[#This Row],[a1]]=1,$I$3+$A$988+IF($K$3=0,Tab.11[[#This Row],[b10]]*_xlfn.STDEV.P(Tab.11[data]),AVERAGE(Tab.11[b6])+Tab.11[[#This Row],[b10]]*_xlfn.STDEV.P(Tab.11[data])))</f>
        <v>0</v>
      </c>
      <c r="U368" s="72" t="b">
        <f>IF(Tab.11[[#This Row],[a1]]=1,Tab.11[[#This Row],[target]]-Tab.11[[#This Row],[Red]])</f>
        <v>0</v>
      </c>
      <c r="V368" s="72" t="b">
        <f>IF(Tab.11[[#This Row],[a1]]=1,Tab.11[[#This Row],[target]]-Tab.11[[#This Row],[Blue]])</f>
        <v>0</v>
      </c>
      <c r="W368" s="73" t="b">
        <f>IF(Tab.11[[#This Row],[a1]]=1,IF(ABS(Tab.11[[#This Row],[b17]])+ABS(Tab.11[[#This Row],[b18]])&lt;$W$2,$W$2,ABS(Tab.11[[#This Row],[b17]])+ABS(Tab.11[[#This Row],[b18]])))</f>
        <v>0</v>
      </c>
      <c r="X368" s="136" t="b">
        <f>IF(Tab.11[[#This Row],[a1]]=1,IF($W$3&lt;0,Tab.11[[#This Row],[IN]]-$I$3,Tab.11[[#This Row],[IN]]))</f>
        <v>0</v>
      </c>
      <c r="Y368" s="136" t="b">
        <f>IF(Tab.11[[#This Row],[a1]]=1,IF($X$3=0,Tab.11[b66],Tab.11[[#This Row],[b66]]-AVERAGE(Tab.11[b66])))</f>
        <v>0</v>
      </c>
      <c r="Z368" s="135" t="b">
        <f>IF(Tab.11[[#This Row],[a1]]=1,Tab.11[[#This Row],[b77]]/(_xlfn.STDEV.P(Tab.11[b77])))</f>
        <v>0</v>
      </c>
      <c r="AA368" s="70" t="b">
        <f>IF(Tab.11[[#This Row],[a1]]=1,_xlfn.NORM.DIST(Tab.11[[#This Row],[b88]],$Z$1,$AA$1,FALSE))</f>
        <v>0</v>
      </c>
      <c r="AB368" s="74" t="b">
        <f>IF(Tab.11[[#This Row],[a1]]=1,IF($A$3=0,FALSE,1/Tab.11[[#This Row],[IN]]*$AC$2*IF(Tab.11[[#This Row],[a1]]=0,,$A$3*$AC$1*1/$V$3*(Tab.11[[#This Row],[b14]]))))</f>
        <v>0</v>
      </c>
      <c r="AC368" s="75" t="b">
        <f>IF(Tab.11[[#This Row],[a1]]=1,IF($AC$3=0,Tab.11[[#This Row],[φ1]],Tab.11[[#This Row],[φ1]]/MAX(Tab.11[φ1])))</f>
        <v>0</v>
      </c>
      <c r="AD368" s="74" t="b">
        <f>IF(Tab.11[[#This Row],[a1]]=1,1/Tab.11[[#This Row],[φ2]])</f>
        <v>0</v>
      </c>
      <c r="AE368" s="74" t="b">
        <f>IF(Tab.11[[#This Row],[a1]]=1,IF($AE$3=0,Tab.11[[#This Row],[w.0]],Tab.11[[#This Row],[w.0]]/SUM(Tab.11[w.0])))</f>
        <v>0</v>
      </c>
      <c r="AF368" s="76" t="str">
        <f>IF(Tab.11[[#This Row],[a1]]=0,"false",[3]!Tab.x5[[#This Row],[%_seN_C]])</f>
        <v>false</v>
      </c>
      <c r="AG368" s="77" t="b">
        <f>IF(Tab.11[[#This Row],[a1]]=1,AP368)</f>
        <v>0</v>
      </c>
      <c r="AH368" s="78" t="b">
        <f>IF(Tab.11[[#This Row],[a1]]=1,AQ368)</f>
        <v>0</v>
      </c>
      <c r="AI368" s="41">
        <v>3.0000000000000001E-3</v>
      </c>
      <c r="AJ368" s="79">
        <v>0.02</v>
      </c>
      <c r="AK368" s="80" t="b">
        <f>IF(Tab.11[[#This Row],[a1]]=1,1)</f>
        <v>0</v>
      </c>
      <c r="AZ368"/>
    </row>
    <row r="369" spans="1:52" hidden="1" x14ac:dyDescent="0.25">
      <c r="A369" s="61">
        <f t="shared" si="13"/>
        <v>0</v>
      </c>
      <c r="B369" s="62">
        <f t="shared" si="13"/>
        <v>0</v>
      </c>
      <c r="C369" s="62" t="b">
        <f>IF(Tab.11[[#This Row],[a1]]=1,[3]!Tab_x1[[#This Row],[Name]])</f>
        <v>0</v>
      </c>
      <c r="D369" s="63" t="b">
        <f>IF(Tab.11[[#This Row],[a1]]=1,AO369)</f>
        <v>0</v>
      </c>
      <c r="E369" s="63">
        <f t="shared" si="12"/>
        <v>0</v>
      </c>
      <c r="F369" s="64" t="b">
        <f>IF(Tab.11[[#This Row],[a1]]=1,Tab.11[[#This Row],[b1]])</f>
        <v>0</v>
      </c>
      <c r="G369" s="65" t="b">
        <f>IF(Tab.11[[#This Row],[a1]]=1,IF(Tab.11[[#This Row],[b3]]&gt;$L$989*$G$3,$L$989*$G$3,IF(Tab.11[[#This Row],[b3]]&lt;$M$989*$G$3,$M$989*$G$3,Tab.11[[#This Row],[b3]])))</f>
        <v>0</v>
      </c>
      <c r="H369" s="66" t="b">
        <f>IF(Tab.11[[#This Row],[a1]]=1,Tab.11[[#This Row],[b1]])</f>
        <v>0</v>
      </c>
      <c r="I369" s="67" t="b">
        <f>IF(Tab.11[[#This Row],[a1]]=1,Tab.11[[#This Row],[b1]])</f>
        <v>0</v>
      </c>
      <c r="J369" s="68" t="b">
        <f>IF(Tab.11[[#This Row],[a1]]=1,IF($I$3&lt;0,Tab.11[[#This Row],[b5]]-$I$3,Tab.11[[#This Row],[b5]]))</f>
        <v>0</v>
      </c>
      <c r="K369" s="68" t="b">
        <f>IF(Tab.11[[#This Row],[a1]]=1,IF($K$3=0,Tab.11[b6],Tab.11[[#This Row],[b6]]-AVERAGE(Tab.11[b6])))</f>
        <v>0</v>
      </c>
      <c r="L369" s="69" t="b">
        <f>IF(Tab.11[[#This Row],[a1]]=1,Tab.11[[#This Row],[data]]/(_xlfn.STDEV.P(Tab.11[data])*$B$989)+$A$989)</f>
        <v>0</v>
      </c>
      <c r="M369" s="69" t="b">
        <f>IF(Tab.11[[#This Row],[a1]]=1,Tab.11[[#This Row],[data]]/(_xlfn.STDEV.P(Tab.11[data])*$B$987)-$A$987)</f>
        <v>0</v>
      </c>
      <c r="N369" s="69" t="b">
        <f>IF(Tab.11[[#This Row],[a1]]=1,Tab.11[[#This Row],[data]]/(_xlfn.STDEV.P(Tab.11[data])*$B$988)+$A$988)</f>
        <v>0</v>
      </c>
      <c r="O369" s="70" t="b">
        <f>IF(Tab.11[[#This Row],[a1]]=1,_xlfn.NORM.DIST(Tab.11[[#This Row],[b8]],$P$1,$Q$1,FALSE))</f>
        <v>0</v>
      </c>
      <c r="P369" s="70" t="b">
        <f>IF(Tab.11[[#This Row],[a1]]=1,_xlfn.NORM.DIST(Tab.11[[#This Row],[b9]],$P$1,$Q$1,FALSE))</f>
        <v>0</v>
      </c>
      <c r="Q369" s="70" t="b">
        <f>IF(Tab.11[[#This Row],[a1]]=1,_xlfn.NORM.DIST(Tab.11[[#This Row],[b10]],$P$1,$Q$1,FALSE))</f>
        <v>0</v>
      </c>
      <c r="R369" s="67" t="b">
        <f>IF(Tab.11[[#This Row],[a1]]=1,$I$3+$A$989+IF($K$3=0,Tab.11[[#This Row],[b8]]*_xlfn.STDEV.P(Tab.11[data]),AVERAGE(Tab.11[b6])+Tab.11[[#This Row],[b8]]*_xlfn.STDEV.P(Tab.11[data])))</f>
        <v>0</v>
      </c>
      <c r="S369" s="71" t="b">
        <f>IF(Tab.11[[#This Row],[a1]]=1,$I$3+$A$987+IF($K$3=0,Tab.11[[#This Row],[b9]]*_xlfn.STDEV.P(Tab.11[data]),AVERAGE(Tab.11[b6])+Tab.11[[#This Row],[b9]]*_xlfn.STDEV.P(Tab.11[data])))</f>
        <v>0</v>
      </c>
      <c r="T369" s="71" t="b">
        <f>IF(Tab.11[[#This Row],[a1]]=1,$I$3+$A$988+IF($K$3=0,Tab.11[[#This Row],[b10]]*_xlfn.STDEV.P(Tab.11[data]),AVERAGE(Tab.11[b6])+Tab.11[[#This Row],[b10]]*_xlfn.STDEV.P(Tab.11[data])))</f>
        <v>0</v>
      </c>
      <c r="U369" s="72" t="b">
        <f>IF(Tab.11[[#This Row],[a1]]=1,Tab.11[[#This Row],[target]]-Tab.11[[#This Row],[Red]])</f>
        <v>0</v>
      </c>
      <c r="V369" s="72" t="b">
        <f>IF(Tab.11[[#This Row],[a1]]=1,Tab.11[[#This Row],[target]]-Tab.11[[#This Row],[Blue]])</f>
        <v>0</v>
      </c>
      <c r="W369" s="73" t="b">
        <f>IF(Tab.11[[#This Row],[a1]]=1,IF(ABS(Tab.11[[#This Row],[b17]])+ABS(Tab.11[[#This Row],[b18]])&lt;$W$2,$W$2,ABS(Tab.11[[#This Row],[b17]])+ABS(Tab.11[[#This Row],[b18]])))</f>
        <v>0</v>
      </c>
      <c r="X369" s="136" t="b">
        <f>IF(Tab.11[[#This Row],[a1]]=1,IF($W$3&lt;0,Tab.11[[#This Row],[IN]]-$I$3,Tab.11[[#This Row],[IN]]))</f>
        <v>0</v>
      </c>
      <c r="Y369" s="136" t="b">
        <f>IF(Tab.11[[#This Row],[a1]]=1,IF($X$3=0,Tab.11[b66],Tab.11[[#This Row],[b66]]-AVERAGE(Tab.11[b66])))</f>
        <v>0</v>
      </c>
      <c r="Z369" s="135" t="b">
        <f>IF(Tab.11[[#This Row],[a1]]=1,Tab.11[[#This Row],[b77]]/(_xlfn.STDEV.P(Tab.11[b77])))</f>
        <v>0</v>
      </c>
      <c r="AA369" s="70" t="b">
        <f>IF(Tab.11[[#This Row],[a1]]=1,_xlfn.NORM.DIST(Tab.11[[#This Row],[b88]],$Z$1,$AA$1,FALSE))</f>
        <v>0</v>
      </c>
      <c r="AB369" s="74" t="b">
        <f>IF(Tab.11[[#This Row],[a1]]=1,IF($A$3=0,FALSE,1/Tab.11[[#This Row],[IN]]*$AC$2*IF(Tab.11[[#This Row],[a1]]=0,,$A$3*$AC$1*1/$V$3*(Tab.11[[#This Row],[b14]]))))</f>
        <v>0</v>
      </c>
      <c r="AC369" s="75" t="b">
        <f>IF(Tab.11[[#This Row],[a1]]=1,IF($AC$3=0,Tab.11[[#This Row],[φ1]],Tab.11[[#This Row],[φ1]]/MAX(Tab.11[φ1])))</f>
        <v>0</v>
      </c>
      <c r="AD369" s="74" t="b">
        <f>IF(Tab.11[[#This Row],[a1]]=1,1/Tab.11[[#This Row],[φ2]])</f>
        <v>0</v>
      </c>
      <c r="AE369" s="74" t="b">
        <f>IF(Tab.11[[#This Row],[a1]]=1,IF($AE$3=0,Tab.11[[#This Row],[w.0]],Tab.11[[#This Row],[w.0]]/SUM(Tab.11[w.0])))</f>
        <v>0</v>
      </c>
      <c r="AF369" s="76" t="str">
        <f>IF(Tab.11[[#This Row],[a1]]=0,"false",[3]!Tab.x5[[#This Row],[%_seN_C]])</f>
        <v>false</v>
      </c>
      <c r="AG369" s="77" t="b">
        <f>IF(Tab.11[[#This Row],[a1]]=1,AP369)</f>
        <v>0</v>
      </c>
      <c r="AH369" s="78" t="b">
        <f>IF(Tab.11[[#This Row],[a1]]=1,AQ369)</f>
        <v>0</v>
      </c>
      <c r="AI369" s="41">
        <v>3.0000000000000001E-3</v>
      </c>
      <c r="AJ369" s="79">
        <v>-0.02</v>
      </c>
      <c r="AK369" s="80" t="b">
        <f>IF(Tab.11[[#This Row],[a1]]=1,1)</f>
        <v>0</v>
      </c>
      <c r="AZ369"/>
    </row>
    <row r="370" spans="1:52" hidden="1" x14ac:dyDescent="0.25">
      <c r="A370" s="61">
        <f t="shared" si="13"/>
        <v>0</v>
      </c>
      <c r="B370" s="62">
        <f t="shared" si="13"/>
        <v>0</v>
      </c>
      <c r="C370" s="62" t="b">
        <f>IF(Tab.11[[#This Row],[a1]]=1,[3]!Tab_x1[[#This Row],[Name]])</f>
        <v>0</v>
      </c>
      <c r="D370" s="63" t="b">
        <f>IF(Tab.11[[#This Row],[a1]]=1,AO370)</f>
        <v>0</v>
      </c>
      <c r="E370" s="63">
        <f t="shared" si="12"/>
        <v>0</v>
      </c>
      <c r="F370" s="64" t="b">
        <f>IF(Tab.11[[#This Row],[a1]]=1,Tab.11[[#This Row],[b1]])</f>
        <v>0</v>
      </c>
      <c r="G370" s="65" t="b">
        <f>IF(Tab.11[[#This Row],[a1]]=1,IF(Tab.11[[#This Row],[b3]]&gt;$L$989*$G$3,$L$989*$G$3,IF(Tab.11[[#This Row],[b3]]&lt;$M$989*$G$3,$M$989*$G$3,Tab.11[[#This Row],[b3]])))</f>
        <v>0</v>
      </c>
      <c r="H370" s="66" t="b">
        <f>IF(Tab.11[[#This Row],[a1]]=1,Tab.11[[#This Row],[b1]])</f>
        <v>0</v>
      </c>
      <c r="I370" s="67" t="b">
        <f>IF(Tab.11[[#This Row],[a1]]=1,Tab.11[[#This Row],[b1]])</f>
        <v>0</v>
      </c>
      <c r="J370" s="68" t="b">
        <f>IF(Tab.11[[#This Row],[a1]]=1,IF($I$3&lt;0,Tab.11[[#This Row],[b5]]-$I$3,Tab.11[[#This Row],[b5]]))</f>
        <v>0</v>
      </c>
      <c r="K370" s="68" t="b">
        <f>IF(Tab.11[[#This Row],[a1]]=1,IF($K$3=0,Tab.11[b6],Tab.11[[#This Row],[b6]]-AVERAGE(Tab.11[b6])))</f>
        <v>0</v>
      </c>
      <c r="L370" s="69" t="b">
        <f>IF(Tab.11[[#This Row],[a1]]=1,Tab.11[[#This Row],[data]]/(_xlfn.STDEV.P(Tab.11[data])*$B$989)+$A$989)</f>
        <v>0</v>
      </c>
      <c r="M370" s="69" t="b">
        <f>IF(Tab.11[[#This Row],[a1]]=1,Tab.11[[#This Row],[data]]/(_xlfn.STDEV.P(Tab.11[data])*$B$987)-$A$987)</f>
        <v>0</v>
      </c>
      <c r="N370" s="69" t="b">
        <f>IF(Tab.11[[#This Row],[a1]]=1,Tab.11[[#This Row],[data]]/(_xlfn.STDEV.P(Tab.11[data])*$B$988)+$A$988)</f>
        <v>0</v>
      </c>
      <c r="O370" s="70" t="b">
        <f>IF(Tab.11[[#This Row],[a1]]=1,_xlfn.NORM.DIST(Tab.11[[#This Row],[b8]],$P$1,$Q$1,FALSE))</f>
        <v>0</v>
      </c>
      <c r="P370" s="70" t="b">
        <f>IF(Tab.11[[#This Row],[a1]]=1,_xlfn.NORM.DIST(Tab.11[[#This Row],[b9]],$P$1,$Q$1,FALSE))</f>
        <v>0</v>
      </c>
      <c r="Q370" s="70" t="b">
        <f>IF(Tab.11[[#This Row],[a1]]=1,_xlfn.NORM.DIST(Tab.11[[#This Row],[b10]],$P$1,$Q$1,FALSE))</f>
        <v>0</v>
      </c>
      <c r="R370" s="67" t="b">
        <f>IF(Tab.11[[#This Row],[a1]]=1,$I$3+$A$989+IF($K$3=0,Tab.11[[#This Row],[b8]]*_xlfn.STDEV.P(Tab.11[data]),AVERAGE(Tab.11[b6])+Tab.11[[#This Row],[b8]]*_xlfn.STDEV.P(Tab.11[data])))</f>
        <v>0</v>
      </c>
      <c r="S370" s="71" t="b">
        <f>IF(Tab.11[[#This Row],[a1]]=1,$I$3+$A$987+IF($K$3=0,Tab.11[[#This Row],[b9]]*_xlfn.STDEV.P(Tab.11[data]),AVERAGE(Tab.11[b6])+Tab.11[[#This Row],[b9]]*_xlfn.STDEV.P(Tab.11[data])))</f>
        <v>0</v>
      </c>
      <c r="T370" s="71" t="b">
        <f>IF(Tab.11[[#This Row],[a1]]=1,$I$3+$A$988+IF($K$3=0,Tab.11[[#This Row],[b10]]*_xlfn.STDEV.P(Tab.11[data]),AVERAGE(Tab.11[b6])+Tab.11[[#This Row],[b10]]*_xlfn.STDEV.P(Tab.11[data])))</f>
        <v>0</v>
      </c>
      <c r="U370" s="72" t="b">
        <f>IF(Tab.11[[#This Row],[a1]]=1,Tab.11[[#This Row],[target]]-Tab.11[[#This Row],[Red]])</f>
        <v>0</v>
      </c>
      <c r="V370" s="72" t="b">
        <f>IF(Tab.11[[#This Row],[a1]]=1,Tab.11[[#This Row],[target]]-Tab.11[[#This Row],[Blue]])</f>
        <v>0</v>
      </c>
      <c r="W370" s="73" t="b">
        <f>IF(Tab.11[[#This Row],[a1]]=1,IF(ABS(Tab.11[[#This Row],[b17]])+ABS(Tab.11[[#This Row],[b18]])&lt;$W$2,$W$2,ABS(Tab.11[[#This Row],[b17]])+ABS(Tab.11[[#This Row],[b18]])))</f>
        <v>0</v>
      </c>
      <c r="X370" s="136" t="b">
        <f>IF(Tab.11[[#This Row],[a1]]=1,IF($W$3&lt;0,Tab.11[[#This Row],[IN]]-$I$3,Tab.11[[#This Row],[IN]]))</f>
        <v>0</v>
      </c>
      <c r="Y370" s="136" t="b">
        <f>IF(Tab.11[[#This Row],[a1]]=1,IF($X$3=0,Tab.11[b66],Tab.11[[#This Row],[b66]]-AVERAGE(Tab.11[b66])))</f>
        <v>0</v>
      </c>
      <c r="Z370" s="135" t="b">
        <f>IF(Tab.11[[#This Row],[a1]]=1,Tab.11[[#This Row],[b77]]/(_xlfn.STDEV.P(Tab.11[b77])))</f>
        <v>0</v>
      </c>
      <c r="AA370" s="70" t="b">
        <f>IF(Tab.11[[#This Row],[a1]]=1,_xlfn.NORM.DIST(Tab.11[[#This Row],[b88]],$Z$1,$AA$1,FALSE))</f>
        <v>0</v>
      </c>
      <c r="AB370" s="74" t="b">
        <f>IF(Tab.11[[#This Row],[a1]]=1,IF($A$3=0,FALSE,1/Tab.11[[#This Row],[IN]]*$AC$2*IF(Tab.11[[#This Row],[a1]]=0,,$A$3*$AC$1*1/$V$3*(Tab.11[[#This Row],[b14]]))))</f>
        <v>0</v>
      </c>
      <c r="AC370" s="75" t="b">
        <f>IF(Tab.11[[#This Row],[a1]]=1,IF($AC$3=0,Tab.11[[#This Row],[φ1]],Tab.11[[#This Row],[φ1]]/MAX(Tab.11[φ1])))</f>
        <v>0</v>
      </c>
      <c r="AD370" s="74" t="b">
        <f>IF(Tab.11[[#This Row],[a1]]=1,1/Tab.11[[#This Row],[φ2]])</f>
        <v>0</v>
      </c>
      <c r="AE370" s="74" t="b">
        <f>IF(Tab.11[[#This Row],[a1]]=1,IF($AE$3=0,Tab.11[[#This Row],[w.0]],Tab.11[[#This Row],[w.0]]/SUM(Tab.11[w.0])))</f>
        <v>0</v>
      </c>
      <c r="AF370" s="76" t="str">
        <f>IF(Tab.11[[#This Row],[a1]]=0,"false",[3]!Tab.x5[[#This Row],[%_seN_C]])</f>
        <v>false</v>
      </c>
      <c r="AG370" s="77" t="b">
        <f>IF(Tab.11[[#This Row],[a1]]=1,AP370)</f>
        <v>0</v>
      </c>
      <c r="AH370" s="78" t="b">
        <f>IF(Tab.11[[#This Row],[a1]]=1,AQ370)</f>
        <v>0</v>
      </c>
      <c r="AI370" s="41">
        <v>3.0000000000000001E-3</v>
      </c>
      <c r="AJ370" s="79">
        <v>0.1</v>
      </c>
      <c r="AK370" s="80" t="b">
        <f>IF(Tab.11[[#This Row],[a1]]=1,1)</f>
        <v>0</v>
      </c>
      <c r="AZ370"/>
    </row>
    <row r="371" spans="1:52" hidden="1" x14ac:dyDescent="0.25">
      <c r="A371" s="61">
        <f t="shared" si="13"/>
        <v>0</v>
      </c>
      <c r="B371" s="62">
        <f t="shared" si="13"/>
        <v>0</v>
      </c>
      <c r="C371" s="62" t="b">
        <f>IF(Tab.11[[#This Row],[a1]]=1,[3]!Tab_x1[[#This Row],[Name]])</f>
        <v>0</v>
      </c>
      <c r="D371" s="63" t="b">
        <f>IF(Tab.11[[#This Row],[a1]]=1,AO371)</f>
        <v>0</v>
      </c>
      <c r="E371" s="63">
        <f t="shared" si="12"/>
        <v>0</v>
      </c>
      <c r="F371" s="64" t="b">
        <f>IF(Tab.11[[#This Row],[a1]]=1,Tab.11[[#This Row],[b1]])</f>
        <v>0</v>
      </c>
      <c r="G371" s="65" t="b">
        <f>IF(Tab.11[[#This Row],[a1]]=1,IF(Tab.11[[#This Row],[b3]]&gt;$L$989*$G$3,$L$989*$G$3,IF(Tab.11[[#This Row],[b3]]&lt;$M$989*$G$3,$M$989*$G$3,Tab.11[[#This Row],[b3]])))</f>
        <v>0</v>
      </c>
      <c r="H371" s="66" t="b">
        <f>IF(Tab.11[[#This Row],[a1]]=1,Tab.11[[#This Row],[b1]])</f>
        <v>0</v>
      </c>
      <c r="I371" s="67" t="b">
        <f>IF(Tab.11[[#This Row],[a1]]=1,Tab.11[[#This Row],[b1]])</f>
        <v>0</v>
      </c>
      <c r="J371" s="68" t="b">
        <f>IF(Tab.11[[#This Row],[a1]]=1,IF($I$3&lt;0,Tab.11[[#This Row],[b5]]-$I$3,Tab.11[[#This Row],[b5]]))</f>
        <v>0</v>
      </c>
      <c r="K371" s="68" t="b">
        <f>IF(Tab.11[[#This Row],[a1]]=1,IF($K$3=0,Tab.11[b6],Tab.11[[#This Row],[b6]]-AVERAGE(Tab.11[b6])))</f>
        <v>0</v>
      </c>
      <c r="L371" s="69" t="b">
        <f>IF(Tab.11[[#This Row],[a1]]=1,Tab.11[[#This Row],[data]]/(_xlfn.STDEV.P(Tab.11[data])*$B$989)+$A$989)</f>
        <v>0</v>
      </c>
      <c r="M371" s="69" t="b">
        <f>IF(Tab.11[[#This Row],[a1]]=1,Tab.11[[#This Row],[data]]/(_xlfn.STDEV.P(Tab.11[data])*$B$987)-$A$987)</f>
        <v>0</v>
      </c>
      <c r="N371" s="69" t="b">
        <f>IF(Tab.11[[#This Row],[a1]]=1,Tab.11[[#This Row],[data]]/(_xlfn.STDEV.P(Tab.11[data])*$B$988)+$A$988)</f>
        <v>0</v>
      </c>
      <c r="O371" s="70" t="b">
        <f>IF(Tab.11[[#This Row],[a1]]=1,_xlfn.NORM.DIST(Tab.11[[#This Row],[b8]],$P$1,$Q$1,FALSE))</f>
        <v>0</v>
      </c>
      <c r="P371" s="70" t="b">
        <f>IF(Tab.11[[#This Row],[a1]]=1,_xlfn.NORM.DIST(Tab.11[[#This Row],[b9]],$P$1,$Q$1,FALSE))</f>
        <v>0</v>
      </c>
      <c r="Q371" s="70" t="b">
        <f>IF(Tab.11[[#This Row],[a1]]=1,_xlfn.NORM.DIST(Tab.11[[#This Row],[b10]],$P$1,$Q$1,FALSE))</f>
        <v>0</v>
      </c>
      <c r="R371" s="67" t="b">
        <f>IF(Tab.11[[#This Row],[a1]]=1,$I$3+$A$989+IF($K$3=0,Tab.11[[#This Row],[b8]]*_xlfn.STDEV.P(Tab.11[data]),AVERAGE(Tab.11[b6])+Tab.11[[#This Row],[b8]]*_xlfn.STDEV.P(Tab.11[data])))</f>
        <v>0</v>
      </c>
      <c r="S371" s="71" t="b">
        <f>IF(Tab.11[[#This Row],[a1]]=1,$I$3+$A$987+IF($K$3=0,Tab.11[[#This Row],[b9]]*_xlfn.STDEV.P(Tab.11[data]),AVERAGE(Tab.11[b6])+Tab.11[[#This Row],[b9]]*_xlfn.STDEV.P(Tab.11[data])))</f>
        <v>0</v>
      </c>
      <c r="T371" s="71" t="b">
        <f>IF(Tab.11[[#This Row],[a1]]=1,$I$3+$A$988+IF($K$3=0,Tab.11[[#This Row],[b10]]*_xlfn.STDEV.P(Tab.11[data]),AVERAGE(Tab.11[b6])+Tab.11[[#This Row],[b10]]*_xlfn.STDEV.P(Tab.11[data])))</f>
        <v>0</v>
      </c>
      <c r="U371" s="72" t="b">
        <f>IF(Tab.11[[#This Row],[a1]]=1,Tab.11[[#This Row],[target]]-Tab.11[[#This Row],[Red]])</f>
        <v>0</v>
      </c>
      <c r="V371" s="72" t="b">
        <f>IF(Tab.11[[#This Row],[a1]]=1,Tab.11[[#This Row],[target]]-Tab.11[[#This Row],[Blue]])</f>
        <v>0</v>
      </c>
      <c r="W371" s="73" t="b">
        <f>IF(Tab.11[[#This Row],[a1]]=1,IF(ABS(Tab.11[[#This Row],[b17]])+ABS(Tab.11[[#This Row],[b18]])&lt;$W$2,$W$2,ABS(Tab.11[[#This Row],[b17]])+ABS(Tab.11[[#This Row],[b18]])))</f>
        <v>0</v>
      </c>
      <c r="X371" s="136" t="b">
        <f>IF(Tab.11[[#This Row],[a1]]=1,IF($W$3&lt;0,Tab.11[[#This Row],[IN]]-$I$3,Tab.11[[#This Row],[IN]]))</f>
        <v>0</v>
      </c>
      <c r="Y371" s="136" t="b">
        <f>IF(Tab.11[[#This Row],[a1]]=1,IF($X$3=0,Tab.11[b66],Tab.11[[#This Row],[b66]]-AVERAGE(Tab.11[b66])))</f>
        <v>0</v>
      </c>
      <c r="Z371" s="135" t="b">
        <f>IF(Tab.11[[#This Row],[a1]]=1,Tab.11[[#This Row],[b77]]/(_xlfn.STDEV.P(Tab.11[b77])))</f>
        <v>0</v>
      </c>
      <c r="AA371" s="70" t="b">
        <f>IF(Tab.11[[#This Row],[a1]]=1,_xlfn.NORM.DIST(Tab.11[[#This Row],[b88]],$Z$1,$AA$1,FALSE))</f>
        <v>0</v>
      </c>
      <c r="AB371" s="74" t="b">
        <f>IF(Tab.11[[#This Row],[a1]]=1,IF($A$3=0,FALSE,1/Tab.11[[#This Row],[IN]]*$AC$2*IF(Tab.11[[#This Row],[a1]]=0,,$A$3*$AC$1*1/$V$3*(Tab.11[[#This Row],[b14]]))))</f>
        <v>0</v>
      </c>
      <c r="AC371" s="75" t="b">
        <f>IF(Tab.11[[#This Row],[a1]]=1,IF($AC$3=0,Tab.11[[#This Row],[φ1]],Tab.11[[#This Row],[φ1]]/MAX(Tab.11[φ1])))</f>
        <v>0</v>
      </c>
      <c r="AD371" s="74" t="b">
        <f>IF(Tab.11[[#This Row],[a1]]=1,1/Tab.11[[#This Row],[φ2]])</f>
        <v>0</v>
      </c>
      <c r="AE371" s="74" t="b">
        <f>IF(Tab.11[[#This Row],[a1]]=1,IF($AE$3=0,Tab.11[[#This Row],[w.0]],Tab.11[[#This Row],[w.0]]/SUM(Tab.11[w.0])))</f>
        <v>0</v>
      </c>
      <c r="AF371" s="76" t="str">
        <f>IF(Tab.11[[#This Row],[a1]]=0,"false",[3]!Tab.x5[[#This Row],[%_seN_C]])</f>
        <v>false</v>
      </c>
      <c r="AG371" s="77" t="b">
        <f>IF(Tab.11[[#This Row],[a1]]=1,AP371)</f>
        <v>0</v>
      </c>
      <c r="AH371" s="78" t="b">
        <f>IF(Tab.11[[#This Row],[a1]]=1,AQ371)</f>
        <v>0</v>
      </c>
      <c r="AI371" s="41">
        <v>3.0000000000000001E-3</v>
      </c>
      <c r="AJ371" s="79">
        <v>0.04</v>
      </c>
      <c r="AK371" s="80" t="b">
        <f>IF(Tab.11[[#This Row],[a1]]=1,1)</f>
        <v>0</v>
      </c>
      <c r="AZ371"/>
    </row>
    <row r="372" spans="1:52" hidden="1" x14ac:dyDescent="0.25">
      <c r="A372" s="61">
        <f t="shared" si="13"/>
        <v>0</v>
      </c>
      <c r="B372" s="62">
        <f t="shared" si="13"/>
        <v>0</v>
      </c>
      <c r="C372" s="62" t="b">
        <f>IF(Tab.11[[#This Row],[a1]]=1,[3]!Tab_x1[[#This Row],[Name]])</f>
        <v>0</v>
      </c>
      <c r="D372" s="63" t="b">
        <f>IF(Tab.11[[#This Row],[a1]]=1,AO372)</f>
        <v>0</v>
      </c>
      <c r="E372" s="63">
        <f t="shared" si="12"/>
        <v>0</v>
      </c>
      <c r="F372" s="64" t="b">
        <f>IF(Tab.11[[#This Row],[a1]]=1,Tab.11[[#This Row],[b1]])</f>
        <v>0</v>
      </c>
      <c r="G372" s="65" t="b">
        <f>IF(Tab.11[[#This Row],[a1]]=1,IF(Tab.11[[#This Row],[b3]]&gt;$L$989*$G$3,$L$989*$G$3,IF(Tab.11[[#This Row],[b3]]&lt;$M$989*$G$3,$M$989*$G$3,Tab.11[[#This Row],[b3]])))</f>
        <v>0</v>
      </c>
      <c r="H372" s="66" t="b">
        <f>IF(Tab.11[[#This Row],[a1]]=1,Tab.11[[#This Row],[b1]])</f>
        <v>0</v>
      </c>
      <c r="I372" s="67" t="b">
        <f>IF(Tab.11[[#This Row],[a1]]=1,Tab.11[[#This Row],[b1]])</f>
        <v>0</v>
      </c>
      <c r="J372" s="68" t="b">
        <f>IF(Tab.11[[#This Row],[a1]]=1,IF($I$3&lt;0,Tab.11[[#This Row],[b5]]-$I$3,Tab.11[[#This Row],[b5]]))</f>
        <v>0</v>
      </c>
      <c r="K372" s="68" t="b">
        <f>IF(Tab.11[[#This Row],[a1]]=1,IF($K$3=0,Tab.11[b6],Tab.11[[#This Row],[b6]]-AVERAGE(Tab.11[b6])))</f>
        <v>0</v>
      </c>
      <c r="L372" s="69" t="b">
        <f>IF(Tab.11[[#This Row],[a1]]=1,Tab.11[[#This Row],[data]]/(_xlfn.STDEV.P(Tab.11[data])*$B$989)+$A$989)</f>
        <v>0</v>
      </c>
      <c r="M372" s="69" t="b">
        <f>IF(Tab.11[[#This Row],[a1]]=1,Tab.11[[#This Row],[data]]/(_xlfn.STDEV.P(Tab.11[data])*$B$987)-$A$987)</f>
        <v>0</v>
      </c>
      <c r="N372" s="69" t="b">
        <f>IF(Tab.11[[#This Row],[a1]]=1,Tab.11[[#This Row],[data]]/(_xlfn.STDEV.P(Tab.11[data])*$B$988)+$A$988)</f>
        <v>0</v>
      </c>
      <c r="O372" s="70" t="b">
        <f>IF(Tab.11[[#This Row],[a1]]=1,_xlfn.NORM.DIST(Tab.11[[#This Row],[b8]],$P$1,$Q$1,FALSE))</f>
        <v>0</v>
      </c>
      <c r="P372" s="70" t="b">
        <f>IF(Tab.11[[#This Row],[a1]]=1,_xlfn.NORM.DIST(Tab.11[[#This Row],[b9]],$P$1,$Q$1,FALSE))</f>
        <v>0</v>
      </c>
      <c r="Q372" s="70" t="b">
        <f>IF(Tab.11[[#This Row],[a1]]=1,_xlfn.NORM.DIST(Tab.11[[#This Row],[b10]],$P$1,$Q$1,FALSE))</f>
        <v>0</v>
      </c>
      <c r="R372" s="67" t="b">
        <f>IF(Tab.11[[#This Row],[a1]]=1,$I$3+$A$989+IF($K$3=0,Tab.11[[#This Row],[b8]]*_xlfn.STDEV.P(Tab.11[data]),AVERAGE(Tab.11[b6])+Tab.11[[#This Row],[b8]]*_xlfn.STDEV.P(Tab.11[data])))</f>
        <v>0</v>
      </c>
      <c r="S372" s="71" t="b">
        <f>IF(Tab.11[[#This Row],[a1]]=1,$I$3+$A$987+IF($K$3=0,Tab.11[[#This Row],[b9]]*_xlfn.STDEV.P(Tab.11[data]),AVERAGE(Tab.11[b6])+Tab.11[[#This Row],[b9]]*_xlfn.STDEV.P(Tab.11[data])))</f>
        <v>0</v>
      </c>
      <c r="T372" s="71" t="b">
        <f>IF(Tab.11[[#This Row],[a1]]=1,$I$3+$A$988+IF($K$3=0,Tab.11[[#This Row],[b10]]*_xlfn.STDEV.P(Tab.11[data]),AVERAGE(Tab.11[b6])+Tab.11[[#This Row],[b10]]*_xlfn.STDEV.P(Tab.11[data])))</f>
        <v>0</v>
      </c>
      <c r="U372" s="72" t="b">
        <f>IF(Tab.11[[#This Row],[a1]]=1,Tab.11[[#This Row],[target]]-Tab.11[[#This Row],[Red]])</f>
        <v>0</v>
      </c>
      <c r="V372" s="72" t="b">
        <f>IF(Tab.11[[#This Row],[a1]]=1,Tab.11[[#This Row],[target]]-Tab.11[[#This Row],[Blue]])</f>
        <v>0</v>
      </c>
      <c r="W372" s="73" t="b">
        <f>IF(Tab.11[[#This Row],[a1]]=1,IF(ABS(Tab.11[[#This Row],[b17]])+ABS(Tab.11[[#This Row],[b18]])&lt;$W$2,$W$2,ABS(Tab.11[[#This Row],[b17]])+ABS(Tab.11[[#This Row],[b18]])))</f>
        <v>0</v>
      </c>
      <c r="X372" s="136" t="b">
        <f>IF(Tab.11[[#This Row],[a1]]=1,IF($W$3&lt;0,Tab.11[[#This Row],[IN]]-$I$3,Tab.11[[#This Row],[IN]]))</f>
        <v>0</v>
      </c>
      <c r="Y372" s="136" t="b">
        <f>IF(Tab.11[[#This Row],[a1]]=1,IF($X$3=0,Tab.11[b66],Tab.11[[#This Row],[b66]]-AVERAGE(Tab.11[b66])))</f>
        <v>0</v>
      </c>
      <c r="Z372" s="135" t="b">
        <f>IF(Tab.11[[#This Row],[a1]]=1,Tab.11[[#This Row],[b77]]/(_xlfn.STDEV.P(Tab.11[b77])))</f>
        <v>0</v>
      </c>
      <c r="AA372" s="70" t="b">
        <f>IF(Tab.11[[#This Row],[a1]]=1,_xlfn.NORM.DIST(Tab.11[[#This Row],[b88]],$Z$1,$AA$1,FALSE))</f>
        <v>0</v>
      </c>
      <c r="AB372" s="74" t="b">
        <f>IF(Tab.11[[#This Row],[a1]]=1,IF($A$3=0,FALSE,1/Tab.11[[#This Row],[IN]]*$AC$2*IF(Tab.11[[#This Row],[a1]]=0,,$A$3*$AC$1*1/$V$3*(Tab.11[[#This Row],[b14]]))))</f>
        <v>0</v>
      </c>
      <c r="AC372" s="75" t="b">
        <f>IF(Tab.11[[#This Row],[a1]]=1,IF($AC$3=0,Tab.11[[#This Row],[φ1]],Tab.11[[#This Row],[φ1]]/MAX(Tab.11[φ1])))</f>
        <v>0</v>
      </c>
      <c r="AD372" s="74" t="b">
        <f>IF(Tab.11[[#This Row],[a1]]=1,1/Tab.11[[#This Row],[φ2]])</f>
        <v>0</v>
      </c>
      <c r="AE372" s="74" t="b">
        <f>IF(Tab.11[[#This Row],[a1]]=1,IF($AE$3=0,Tab.11[[#This Row],[w.0]],Tab.11[[#This Row],[w.0]]/SUM(Tab.11[w.0])))</f>
        <v>0</v>
      </c>
      <c r="AF372" s="76" t="str">
        <f>IF(Tab.11[[#This Row],[a1]]=0,"false",[3]!Tab.x5[[#This Row],[%_seN_C]])</f>
        <v>false</v>
      </c>
      <c r="AG372" s="77" t="b">
        <f>IF(Tab.11[[#This Row],[a1]]=1,AP372)</f>
        <v>0</v>
      </c>
      <c r="AH372" s="78" t="b">
        <f>IF(Tab.11[[#This Row],[a1]]=1,AQ372)</f>
        <v>0</v>
      </c>
      <c r="AI372" s="41">
        <v>3.0000000000000001E-3</v>
      </c>
      <c r="AJ372" s="79">
        <v>-0.1</v>
      </c>
      <c r="AK372" s="80" t="b">
        <f>IF(Tab.11[[#This Row],[a1]]=1,1)</f>
        <v>0</v>
      </c>
      <c r="AZ372"/>
    </row>
    <row r="373" spans="1:52" hidden="1" x14ac:dyDescent="0.25">
      <c r="A373" s="61">
        <f t="shared" si="13"/>
        <v>0</v>
      </c>
      <c r="B373" s="62">
        <f t="shared" si="13"/>
        <v>0</v>
      </c>
      <c r="C373" s="62" t="b">
        <f>IF(Tab.11[[#This Row],[a1]]=1,[3]!Tab_x1[[#This Row],[Name]])</f>
        <v>0</v>
      </c>
      <c r="D373" s="63" t="b">
        <f>IF(Tab.11[[#This Row],[a1]]=1,AO373)</f>
        <v>0</v>
      </c>
      <c r="E373" s="63">
        <f t="shared" si="12"/>
        <v>0</v>
      </c>
      <c r="F373" s="64" t="b">
        <f>IF(Tab.11[[#This Row],[a1]]=1,Tab.11[[#This Row],[b1]])</f>
        <v>0</v>
      </c>
      <c r="G373" s="65" t="b">
        <f>IF(Tab.11[[#This Row],[a1]]=1,IF(Tab.11[[#This Row],[b3]]&gt;$L$989*$G$3,$L$989*$G$3,IF(Tab.11[[#This Row],[b3]]&lt;$M$989*$G$3,$M$989*$G$3,Tab.11[[#This Row],[b3]])))</f>
        <v>0</v>
      </c>
      <c r="H373" s="66" t="b">
        <f>IF(Tab.11[[#This Row],[a1]]=1,Tab.11[[#This Row],[b1]])</f>
        <v>0</v>
      </c>
      <c r="I373" s="67" t="b">
        <f>IF(Tab.11[[#This Row],[a1]]=1,Tab.11[[#This Row],[b1]])</f>
        <v>0</v>
      </c>
      <c r="J373" s="68" t="b">
        <f>IF(Tab.11[[#This Row],[a1]]=1,IF($I$3&lt;0,Tab.11[[#This Row],[b5]]-$I$3,Tab.11[[#This Row],[b5]]))</f>
        <v>0</v>
      </c>
      <c r="K373" s="68" t="b">
        <f>IF(Tab.11[[#This Row],[a1]]=1,IF($K$3=0,Tab.11[b6],Tab.11[[#This Row],[b6]]-AVERAGE(Tab.11[b6])))</f>
        <v>0</v>
      </c>
      <c r="L373" s="69" t="b">
        <f>IF(Tab.11[[#This Row],[a1]]=1,Tab.11[[#This Row],[data]]/(_xlfn.STDEV.P(Tab.11[data])*$B$989)+$A$989)</f>
        <v>0</v>
      </c>
      <c r="M373" s="69" t="b">
        <f>IF(Tab.11[[#This Row],[a1]]=1,Tab.11[[#This Row],[data]]/(_xlfn.STDEV.P(Tab.11[data])*$B$987)-$A$987)</f>
        <v>0</v>
      </c>
      <c r="N373" s="69" t="b">
        <f>IF(Tab.11[[#This Row],[a1]]=1,Tab.11[[#This Row],[data]]/(_xlfn.STDEV.P(Tab.11[data])*$B$988)+$A$988)</f>
        <v>0</v>
      </c>
      <c r="O373" s="70" t="b">
        <f>IF(Tab.11[[#This Row],[a1]]=1,_xlfn.NORM.DIST(Tab.11[[#This Row],[b8]],$P$1,$Q$1,FALSE))</f>
        <v>0</v>
      </c>
      <c r="P373" s="70" t="b">
        <f>IF(Tab.11[[#This Row],[a1]]=1,_xlfn.NORM.DIST(Tab.11[[#This Row],[b9]],$P$1,$Q$1,FALSE))</f>
        <v>0</v>
      </c>
      <c r="Q373" s="70" t="b">
        <f>IF(Tab.11[[#This Row],[a1]]=1,_xlfn.NORM.DIST(Tab.11[[#This Row],[b10]],$P$1,$Q$1,FALSE))</f>
        <v>0</v>
      </c>
      <c r="R373" s="67" t="b">
        <f>IF(Tab.11[[#This Row],[a1]]=1,$I$3+$A$989+IF($K$3=0,Tab.11[[#This Row],[b8]]*_xlfn.STDEV.P(Tab.11[data]),AVERAGE(Tab.11[b6])+Tab.11[[#This Row],[b8]]*_xlfn.STDEV.P(Tab.11[data])))</f>
        <v>0</v>
      </c>
      <c r="S373" s="71" t="b">
        <f>IF(Tab.11[[#This Row],[a1]]=1,$I$3+$A$987+IF($K$3=0,Tab.11[[#This Row],[b9]]*_xlfn.STDEV.P(Tab.11[data]),AVERAGE(Tab.11[b6])+Tab.11[[#This Row],[b9]]*_xlfn.STDEV.P(Tab.11[data])))</f>
        <v>0</v>
      </c>
      <c r="T373" s="71" t="b">
        <f>IF(Tab.11[[#This Row],[a1]]=1,$I$3+$A$988+IF($K$3=0,Tab.11[[#This Row],[b10]]*_xlfn.STDEV.P(Tab.11[data]),AVERAGE(Tab.11[b6])+Tab.11[[#This Row],[b10]]*_xlfn.STDEV.P(Tab.11[data])))</f>
        <v>0</v>
      </c>
      <c r="U373" s="72" t="b">
        <f>IF(Tab.11[[#This Row],[a1]]=1,Tab.11[[#This Row],[target]]-Tab.11[[#This Row],[Red]])</f>
        <v>0</v>
      </c>
      <c r="V373" s="72" t="b">
        <f>IF(Tab.11[[#This Row],[a1]]=1,Tab.11[[#This Row],[target]]-Tab.11[[#This Row],[Blue]])</f>
        <v>0</v>
      </c>
      <c r="W373" s="73" t="b">
        <f>IF(Tab.11[[#This Row],[a1]]=1,IF(ABS(Tab.11[[#This Row],[b17]])+ABS(Tab.11[[#This Row],[b18]])&lt;$W$2,$W$2,ABS(Tab.11[[#This Row],[b17]])+ABS(Tab.11[[#This Row],[b18]])))</f>
        <v>0</v>
      </c>
      <c r="X373" s="136" t="b">
        <f>IF(Tab.11[[#This Row],[a1]]=1,IF($W$3&lt;0,Tab.11[[#This Row],[IN]]-$I$3,Tab.11[[#This Row],[IN]]))</f>
        <v>0</v>
      </c>
      <c r="Y373" s="136" t="b">
        <f>IF(Tab.11[[#This Row],[a1]]=1,IF($X$3=0,Tab.11[b66],Tab.11[[#This Row],[b66]]-AVERAGE(Tab.11[b66])))</f>
        <v>0</v>
      </c>
      <c r="Z373" s="135" t="b">
        <f>IF(Tab.11[[#This Row],[a1]]=1,Tab.11[[#This Row],[b77]]/(_xlfn.STDEV.P(Tab.11[b77])))</f>
        <v>0</v>
      </c>
      <c r="AA373" s="70" t="b">
        <f>IF(Tab.11[[#This Row],[a1]]=1,_xlfn.NORM.DIST(Tab.11[[#This Row],[b88]],$Z$1,$AA$1,FALSE))</f>
        <v>0</v>
      </c>
      <c r="AB373" s="74" t="b">
        <f>IF(Tab.11[[#This Row],[a1]]=1,IF($A$3=0,FALSE,1/Tab.11[[#This Row],[IN]]*$AC$2*IF(Tab.11[[#This Row],[a1]]=0,,$A$3*$AC$1*1/$V$3*(Tab.11[[#This Row],[b14]]))))</f>
        <v>0</v>
      </c>
      <c r="AC373" s="75" t="b">
        <f>IF(Tab.11[[#This Row],[a1]]=1,IF($AC$3=0,Tab.11[[#This Row],[φ1]],Tab.11[[#This Row],[φ1]]/MAX(Tab.11[φ1])))</f>
        <v>0</v>
      </c>
      <c r="AD373" s="74" t="b">
        <f>IF(Tab.11[[#This Row],[a1]]=1,1/Tab.11[[#This Row],[φ2]])</f>
        <v>0</v>
      </c>
      <c r="AE373" s="74" t="b">
        <f>IF(Tab.11[[#This Row],[a1]]=1,IF($AE$3=0,Tab.11[[#This Row],[w.0]],Tab.11[[#This Row],[w.0]]/SUM(Tab.11[w.0])))</f>
        <v>0</v>
      </c>
      <c r="AF373" s="76" t="str">
        <f>IF(Tab.11[[#This Row],[a1]]=0,"false",[3]!Tab.x5[[#This Row],[%_seN_C]])</f>
        <v>false</v>
      </c>
      <c r="AG373" s="77" t="b">
        <f>IF(Tab.11[[#This Row],[a1]]=1,AP373)</f>
        <v>0</v>
      </c>
      <c r="AH373" s="78" t="b">
        <f>IF(Tab.11[[#This Row],[a1]]=1,AQ373)</f>
        <v>0</v>
      </c>
      <c r="AI373" s="41">
        <v>3.0000000000000001E-3</v>
      </c>
      <c r="AJ373" s="79">
        <v>0.02</v>
      </c>
      <c r="AK373" s="80" t="b">
        <f>IF(Tab.11[[#This Row],[a1]]=1,1)</f>
        <v>0</v>
      </c>
      <c r="AZ373"/>
    </row>
    <row r="374" spans="1:52" hidden="1" x14ac:dyDescent="0.25">
      <c r="A374" s="61">
        <f t="shared" si="13"/>
        <v>0</v>
      </c>
      <c r="B374" s="62">
        <f t="shared" si="13"/>
        <v>0</v>
      </c>
      <c r="C374" s="62" t="b">
        <f>IF(Tab.11[[#This Row],[a1]]=1,[3]!Tab_x1[[#This Row],[Name]])</f>
        <v>0</v>
      </c>
      <c r="D374" s="63" t="b">
        <f>IF(Tab.11[[#This Row],[a1]]=1,AO374)</f>
        <v>0</v>
      </c>
      <c r="E374" s="63">
        <f t="shared" si="12"/>
        <v>0</v>
      </c>
      <c r="F374" s="64" t="b">
        <f>IF(Tab.11[[#This Row],[a1]]=1,Tab.11[[#This Row],[b1]])</f>
        <v>0</v>
      </c>
      <c r="G374" s="65" t="b">
        <f>IF(Tab.11[[#This Row],[a1]]=1,IF(Tab.11[[#This Row],[b3]]&gt;$L$989*$G$3,$L$989*$G$3,IF(Tab.11[[#This Row],[b3]]&lt;$M$989*$G$3,$M$989*$G$3,Tab.11[[#This Row],[b3]])))</f>
        <v>0</v>
      </c>
      <c r="H374" s="66" t="b">
        <f>IF(Tab.11[[#This Row],[a1]]=1,Tab.11[[#This Row],[b1]])</f>
        <v>0</v>
      </c>
      <c r="I374" s="67" t="b">
        <f>IF(Tab.11[[#This Row],[a1]]=1,Tab.11[[#This Row],[b1]])</f>
        <v>0</v>
      </c>
      <c r="J374" s="68" t="b">
        <f>IF(Tab.11[[#This Row],[a1]]=1,IF($I$3&lt;0,Tab.11[[#This Row],[b5]]-$I$3,Tab.11[[#This Row],[b5]]))</f>
        <v>0</v>
      </c>
      <c r="K374" s="68" t="b">
        <f>IF(Tab.11[[#This Row],[a1]]=1,IF($K$3=0,Tab.11[b6],Tab.11[[#This Row],[b6]]-AVERAGE(Tab.11[b6])))</f>
        <v>0</v>
      </c>
      <c r="L374" s="69" t="b">
        <f>IF(Tab.11[[#This Row],[a1]]=1,Tab.11[[#This Row],[data]]/(_xlfn.STDEV.P(Tab.11[data])*$B$989)+$A$989)</f>
        <v>0</v>
      </c>
      <c r="M374" s="69" t="b">
        <f>IF(Tab.11[[#This Row],[a1]]=1,Tab.11[[#This Row],[data]]/(_xlfn.STDEV.P(Tab.11[data])*$B$987)-$A$987)</f>
        <v>0</v>
      </c>
      <c r="N374" s="69" t="b">
        <f>IF(Tab.11[[#This Row],[a1]]=1,Tab.11[[#This Row],[data]]/(_xlfn.STDEV.P(Tab.11[data])*$B$988)+$A$988)</f>
        <v>0</v>
      </c>
      <c r="O374" s="70" t="b">
        <f>IF(Tab.11[[#This Row],[a1]]=1,_xlfn.NORM.DIST(Tab.11[[#This Row],[b8]],$P$1,$Q$1,FALSE))</f>
        <v>0</v>
      </c>
      <c r="P374" s="70" t="b">
        <f>IF(Tab.11[[#This Row],[a1]]=1,_xlfn.NORM.DIST(Tab.11[[#This Row],[b9]],$P$1,$Q$1,FALSE))</f>
        <v>0</v>
      </c>
      <c r="Q374" s="70" t="b">
        <f>IF(Tab.11[[#This Row],[a1]]=1,_xlfn.NORM.DIST(Tab.11[[#This Row],[b10]],$P$1,$Q$1,FALSE))</f>
        <v>0</v>
      </c>
      <c r="R374" s="67" t="b">
        <f>IF(Tab.11[[#This Row],[a1]]=1,$I$3+$A$989+IF($K$3=0,Tab.11[[#This Row],[b8]]*_xlfn.STDEV.P(Tab.11[data]),AVERAGE(Tab.11[b6])+Tab.11[[#This Row],[b8]]*_xlfn.STDEV.P(Tab.11[data])))</f>
        <v>0</v>
      </c>
      <c r="S374" s="71" t="b">
        <f>IF(Tab.11[[#This Row],[a1]]=1,$I$3+$A$987+IF($K$3=0,Tab.11[[#This Row],[b9]]*_xlfn.STDEV.P(Tab.11[data]),AVERAGE(Tab.11[b6])+Tab.11[[#This Row],[b9]]*_xlfn.STDEV.P(Tab.11[data])))</f>
        <v>0</v>
      </c>
      <c r="T374" s="71" t="b">
        <f>IF(Tab.11[[#This Row],[a1]]=1,$I$3+$A$988+IF($K$3=0,Tab.11[[#This Row],[b10]]*_xlfn.STDEV.P(Tab.11[data]),AVERAGE(Tab.11[b6])+Tab.11[[#This Row],[b10]]*_xlfn.STDEV.P(Tab.11[data])))</f>
        <v>0</v>
      </c>
      <c r="U374" s="72" t="b">
        <f>IF(Tab.11[[#This Row],[a1]]=1,Tab.11[[#This Row],[target]]-Tab.11[[#This Row],[Red]])</f>
        <v>0</v>
      </c>
      <c r="V374" s="72" t="b">
        <f>IF(Tab.11[[#This Row],[a1]]=1,Tab.11[[#This Row],[target]]-Tab.11[[#This Row],[Blue]])</f>
        <v>0</v>
      </c>
      <c r="W374" s="73" t="b">
        <f>IF(Tab.11[[#This Row],[a1]]=1,IF(ABS(Tab.11[[#This Row],[b17]])+ABS(Tab.11[[#This Row],[b18]])&lt;$W$2,$W$2,ABS(Tab.11[[#This Row],[b17]])+ABS(Tab.11[[#This Row],[b18]])))</f>
        <v>0</v>
      </c>
      <c r="X374" s="136" t="b">
        <f>IF(Tab.11[[#This Row],[a1]]=1,IF($W$3&lt;0,Tab.11[[#This Row],[IN]]-$I$3,Tab.11[[#This Row],[IN]]))</f>
        <v>0</v>
      </c>
      <c r="Y374" s="136" t="b">
        <f>IF(Tab.11[[#This Row],[a1]]=1,IF($X$3=0,Tab.11[b66],Tab.11[[#This Row],[b66]]-AVERAGE(Tab.11[b66])))</f>
        <v>0</v>
      </c>
      <c r="Z374" s="135" t="b">
        <f>IF(Tab.11[[#This Row],[a1]]=1,Tab.11[[#This Row],[b77]]/(_xlfn.STDEV.P(Tab.11[b77])))</f>
        <v>0</v>
      </c>
      <c r="AA374" s="70" t="b">
        <f>IF(Tab.11[[#This Row],[a1]]=1,_xlfn.NORM.DIST(Tab.11[[#This Row],[b88]],$Z$1,$AA$1,FALSE))</f>
        <v>0</v>
      </c>
      <c r="AB374" s="74" t="b">
        <f>IF(Tab.11[[#This Row],[a1]]=1,IF($A$3=0,FALSE,1/Tab.11[[#This Row],[IN]]*$AC$2*IF(Tab.11[[#This Row],[a1]]=0,,$A$3*$AC$1*1/$V$3*(Tab.11[[#This Row],[b14]]))))</f>
        <v>0</v>
      </c>
      <c r="AC374" s="75" t="b">
        <f>IF(Tab.11[[#This Row],[a1]]=1,IF($AC$3=0,Tab.11[[#This Row],[φ1]],Tab.11[[#This Row],[φ1]]/MAX(Tab.11[φ1])))</f>
        <v>0</v>
      </c>
      <c r="AD374" s="74" t="b">
        <f>IF(Tab.11[[#This Row],[a1]]=1,1/Tab.11[[#This Row],[φ2]])</f>
        <v>0</v>
      </c>
      <c r="AE374" s="74" t="b">
        <f>IF(Tab.11[[#This Row],[a1]]=1,IF($AE$3=0,Tab.11[[#This Row],[w.0]],Tab.11[[#This Row],[w.0]]/SUM(Tab.11[w.0])))</f>
        <v>0</v>
      </c>
      <c r="AF374" s="76" t="str">
        <f>IF(Tab.11[[#This Row],[a1]]=0,"false",[3]!Tab.x5[[#This Row],[%_seN_C]])</f>
        <v>false</v>
      </c>
      <c r="AG374" s="77" t="b">
        <f>IF(Tab.11[[#This Row],[a1]]=1,AP374)</f>
        <v>0</v>
      </c>
      <c r="AH374" s="78" t="b">
        <f>IF(Tab.11[[#This Row],[a1]]=1,AQ374)</f>
        <v>0</v>
      </c>
      <c r="AI374" s="41">
        <v>3.0000000000000001E-3</v>
      </c>
      <c r="AJ374" s="79">
        <v>0.08</v>
      </c>
      <c r="AK374" s="80" t="b">
        <f>IF(Tab.11[[#This Row],[a1]]=1,1)</f>
        <v>0</v>
      </c>
      <c r="AZ374"/>
    </row>
    <row r="375" spans="1:52" hidden="1" x14ac:dyDescent="0.25">
      <c r="A375" s="61">
        <f t="shared" si="13"/>
        <v>0</v>
      </c>
      <c r="B375" s="62">
        <f t="shared" si="13"/>
        <v>0</v>
      </c>
      <c r="C375" s="62" t="b">
        <f>IF(Tab.11[[#This Row],[a1]]=1,[3]!Tab_x1[[#This Row],[Name]])</f>
        <v>0</v>
      </c>
      <c r="D375" s="63" t="b">
        <f>IF(Tab.11[[#This Row],[a1]]=1,AO375)</f>
        <v>0</v>
      </c>
      <c r="E375" s="63">
        <f t="shared" si="12"/>
        <v>0</v>
      </c>
      <c r="F375" s="64" t="b">
        <f>IF(Tab.11[[#This Row],[a1]]=1,Tab.11[[#This Row],[b1]])</f>
        <v>0</v>
      </c>
      <c r="G375" s="65" t="b">
        <f>IF(Tab.11[[#This Row],[a1]]=1,IF(Tab.11[[#This Row],[b3]]&gt;$L$989*$G$3,$L$989*$G$3,IF(Tab.11[[#This Row],[b3]]&lt;$M$989*$G$3,$M$989*$G$3,Tab.11[[#This Row],[b3]])))</f>
        <v>0</v>
      </c>
      <c r="H375" s="66" t="b">
        <f>IF(Tab.11[[#This Row],[a1]]=1,Tab.11[[#This Row],[b1]])</f>
        <v>0</v>
      </c>
      <c r="I375" s="67" t="b">
        <f>IF(Tab.11[[#This Row],[a1]]=1,Tab.11[[#This Row],[b1]])</f>
        <v>0</v>
      </c>
      <c r="J375" s="68" t="b">
        <f>IF(Tab.11[[#This Row],[a1]]=1,IF($I$3&lt;0,Tab.11[[#This Row],[b5]]-$I$3,Tab.11[[#This Row],[b5]]))</f>
        <v>0</v>
      </c>
      <c r="K375" s="68" t="b">
        <f>IF(Tab.11[[#This Row],[a1]]=1,IF($K$3=0,Tab.11[b6],Tab.11[[#This Row],[b6]]-AVERAGE(Tab.11[b6])))</f>
        <v>0</v>
      </c>
      <c r="L375" s="69" t="b">
        <f>IF(Tab.11[[#This Row],[a1]]=1,Tab.11[[#This Row],[data]]/(_xlfn.STDEV.P(Tab.11[data])*$B$989)+$A$989)</f>
        <v>0</v>
      </c>
      <c r="M375" s="69" t="b">
        <f>IF(Tab.11[[#This Row],[a1]]=1,Tab.11[[#This Row],[data]]/(_xlfn.STDEV.P(Tab.11[data])*$B$987)-$A$987)</f>
        <v>0</v>
      </c>
      <c r="N375" s="69" t="b">
        <f>IF(Tab.11[[#This Row],[a1]]=1,Tab.11[[#This Row],[data]]/(_xlfn.STDEV.P(Tab.11[data])*$B$988)+$A$988)</f>
        <v>0</v>
      </c>
      <c r="O375" s="70" t="b">
        <f>IF(Tab.11[[#This Row],[a1]]=1,_xlfn.NORM.DIST(Tab.11[[#This Row],[b8]],$P$1,$Q$1,FALSE))</f>
        <v>0</v>
      </c>
      <c r="P375" s="70" t="b">
        <f>IF(Tab.11[[#This Row],[a1]]=1,_xlfn.NORM.DIST(Tab.11[[#This Row],[b9]],$P$1,$Q$1,FALSE))</f>
        <v>0</v>
      </c>
      <c r="Q375" s="70" t="b">
        <f>IF(Tab.11[[#This Row],[a1]]=1,_xlfn.NORM.DIST(Tab.11[[#This Row],[b10]],$P$1,$Q$1,FALSE))</f>
        <v>0</v>
      </c>
      <c r="R375" s="67" t="b">
        <f>IF(Tab.11[[#This Row],[a1]]=1,$I$3+$A$989+IF($K$3=0,Tab.11[[#This Row],[b8]]*_xlfn.STDEV.P(Tab.11[data]),AVERAGE(Tab.11[b6])+Tab.11[[#This Row],[b8]]*_xlfn.STDEV.P(Tab.11[data])))</f>
        <v>0</v>
      </c>
      <c r="S375" s="71" t="b">
        <f>IF(Tab.11[[#This Row],[a1]]=1,$I$3+$A$987+IF($K$3=0,Tab.11[[#This Row],[b9]]*_xlfn.STDEV.P(Tab.11[data]),AVERAGE(Tab.11[b6])+Tab.11[[#This Row],[b9]]*_xlfn.STDEV.P(Tab.11[data])))</f>
        <v>0</v>
      </c>
      <c r="T375" s="71" t="b">
        <f>IF(Tab.11[[#This Row],[a1]]=1,$I$3+$A$988+IF($K$3=0,Tab.11[[#This Row],[b10]]*_xlfn.STDEV.P(Tab.11[data]),AVERAGE(Tab.11[b6])+Tab.11[[#This Row],[b10]]*_xlfn.STDEV.P(Tab.11[data])))</f>
        <v>0</v>
      </c>
      <c r="U375" s="72" t="b">
        <f>IF(Tab.11[[#This Row],[a1]]=1,Tab.11[[#This Row],[target]]-Tab.11[[#This Row],[Red]])</f>
        <v>0</v>
      </c>
      <c r="V375" s="72" t="b">
        <f>IF(Tab.11[[#This Row],[a1]]=1,Tab.11[[#This Row],[target]]-Tab.11[[#This Row],[Blue]])</f>
        <v>0</v>
      </c>
      <c r="W375" s="73" t="b">
        <f>IF(Tab.11[[#This Row],[a1]]=1,IF(ABS(Tab.11[[#This Row],[b17]])+ABS(Tab.11[[#This Row],[b18]])&lt;$W$2,$W$2,ABS(Tab.11[[#This Row],[b17]])+ABS(Tab.11[[#This Row],[b18]])))</f>
        <v>0</v>
      </c>
      <c r="X375" s="136" t="b">
        <f>IF(Tab.11[[#This Row],[a1]]=1,IF($W$3&lt;0,Tab.11[[#This Row],[IN]]-$I$3,Tab.11[[#This Row],[IN]]))</f>
        <v>0</v>
      </c>
      <c r="Y375" s="136" t="b">
        <f>IF(Tab.11[[#This Row],[a1]]=1,IF($X$3=0,Tab.11[b66],Tab.11[[#This Row],[b66]]-AVERAGE(Tab.11[b66])))</f>
        <v>0</v>
      </c>
      <c r="Z375" s="135" t="b">
        <f>IF(Tab.11[[#This Row],[a1]]=1,Tab.11[[#This Row],[b77]]/(_xlfn.STDEV.P(Tab.11[b77])))</f>
        <v>0</v>
      </c>
      <c r="AA375" s="70" t="b">
        <f>IF(Tab.11[[#This Row],[a1]]=1,_xlfn.NORM.DIST(Tab.11[[#This Row],[b88]],$Z$1,$AA$1,FALSE))</f>
        <v>0</v>
      </c>
      <c r="AB375" s="74" t="b">
        <f>IF(Tab.11[[#This Row],[a1]]=1,IF($A$3=0,FALSE,1/Tab.11[[#This Row],[IN]]*$AC$2*IF(Tab.11[[#This Row],[a1]]=0,,$A$3*$AC$1*1/$V$3*(Tab.11[[#This Row],[b14]]))))</f>
        <v>0</v>
      </c>
      <c r="AC375" s="75" t="b">
        <f>IF(Tab.11[[#This Row],[a1]]=1,IF($AC$3=0,Tab.11[[#This Row],[φ1]],Tab.11[[#This Row],[φ1]]/MAX(Tab.11[φ1])))</f>
        <v>0</v>
      </c>
      <c r="AD375" s="74" t="b">
        <f>IF(Tab.11[[#This Row],[a1]]=1,1/Tab.11[[#This Row],[φ2]])</f>
        <v>0</v>
      </c>
      <c r="AE375" s="74" t="b">
        <f>IF(Tab.11[[#This Row],[a1]]=1,IF($AE$3=0,Tab.11[[#This Row],[w.0]],Tab.11[[#This Row],[w.0]]/SUM(Tab.11[w.0])))</f>
        <v>0</v>
      </c>
      <c r="AF375" s="76" t="str">
        <f>IF(Tab.11[[#This Row],[a1]]=0,"false",[3]!Tab.x5[[#This Row],[%_seN_C]])</f>
        <v>false</v>
      </c>
      <c r="AG375" s="77" t="b">
        <f>IF(Tab.11[[#This Row],[a1]]=1,AP375)</f>
        <v>0</v>
      </c>
      <c r="AH375" s="78" t="b">
        <f>IF(Tab.11[[#This Row],[a1]]=1,AQ375)</f>
        <v>0</v>
      </c>
      <c r="AI375" s="41">
        <v>3.0000000000000001E-3</v>
      </c>
      <c r="AJ375" s="79">
        <v>-0.05</v>
      </c>
      <c r="AK375" s="80" t="b">
        <f>IF(Tab.11[[#This Row],[a1]]=1,1)</f>
        <v>0</v>
      </c>
      <c r="AZ375"/>
    </row>
    <row r="376" spans="1:52" hidden="1" x14ac:dyDescent="0.25">
      <c r="A376" s="61">
        <f t="shared" si="13"/>
        <v>0</v>
      </c>
      <c r="B376" s="62">
        <f t="shared" si="13"/>
        <v>0</v>
      </c>
      <c r="C376" s="62" t="b">
        <f>IF(Tab.11[[#This Row],[a1]]=1,[3]!Tab_x1[[#This Row],[Name]])</f>
        <v>0</v>
      </c>
      <c r="D376" s="63" t="b">
        <f>IF(Tab.11[[#This Row],[a1]]=1,AO376)</f>
        <v>0</v>
      </c>
      <c r="E376" s="63">
        <f t="shared" si="12"/>
        <v>0</v>
      </c>
      <c r="F376" s="64" t="b">
        <f>IF(Tab.11[[#This Row],[a1]]=1,Tab.11[[#This Row],[b1]])</f>
        <v>0</v>
      </c>
      <c r="G376" s="65" t="b">
        <f>IF(Tab.11[[#This Row],[a1]]=1,IF(Tab.11[[#This Row],[b3]]&gt;$L$989*$G$3,$L$989*$G$3,IF(Tab.11[[#This Row],[b3]]&lt;$M$989*$G$3,$M$989*$G$3,Tab.11[[#This Row],[b3]])))</f>
        <v>0</v>
      </c>
      <c r="H376" s="66" t="b">
        <f>IF(Tab.11[[#This Row],[a1]]=1,Tab.11[[#This Row],[b1]])</f>
        <v>0</v>
      </c>
      <c r="I376" s="67" t="b">
        <f>IF(Tab.11[[#This Row],[a1]]=1,Tab.11[[#This Row],[b1]])</f>
        <v>0</v>
      </c>
      <c r="J376" s="68" t="b">
        <f>IF(Tab.11[[#This Row],[a1]]=1,IF($I$3&lt;0,Tab.11[[#This Row],[b5]]-$I$3,Tab.11[[#This Row],[b5]]))</f>
        <v>0</v>
      </c>
      <c r="K376" s="68" t="b">
        <f>IF(Tab.11[[#This Row],[a1]]=1,IF($K$3=0,Tab.11[b6],Tab.11[[#This Row],[b6]]-AVERAGE(Tab.11[b6])))</f>
        <v>0</v>
      </c>
      <c r="L376" s="69" t="b">
        <f>IF(Tab.11[[#This Row],[a1]]=1,Tab.11[[#This Row],[data]]/(_xlfn.STDEV.P(Tab.11[data])*$B$989)+$A$989)</f>
        <v>0</v>
      </c>
      <c r="M376" s="69" t="b">
        <f>IF(Tab.11[[#This Row],[a1]]=1,Tab.11[[#This Row],[data]]/(_xlfn.STDEV.P(Tab.11[data])*$B$987)-$A$987)</f>
        <v>0</v>
      </c>
      <c r="N376" s="69" t="b">
        <f>IF(Tab.11[[#This Row],[a1]]=1,Tab.11[[#This Row],[data]]/(_xlfn.STDEV.P(Tab.11[data])*$B$988)+$A$988)</f>
        <v>0</v>
      </c>
      <c r="O376" s="70" t="b">
        <f>IF(Tab.11[[#This Row],[a1]]=1,_xlfn.NORM.DIST(Tab.11[[#This Row],[b8]],$P$1,$Q$1,FALSE))</f>
        <v>0</v>
      </c>
      <c r="P376" s="70" t="b">
        <f>IF(Tab.11[[#This Row],[a1]]=1,_xlfn.NORM.DIST(Tab.11[[#This Row],[b9]],$P$1,$Q$1,FALSE))</f>
        <v>0</v>
      </c>
      <c r="Q376" s="70" t="b">
        <f>IF(Tab.11[[#This Row],[a1]]=1,_xlfn.NORM.DIST(Tab.11[[#This Row],[b10]],$P$1,$Q$1,FALSE))</f>
        <v>0</v>
      </c>
      <c r="R376" s="67" t="b">
        <f>IF(Tab.11[[#This Row],[a1]]=1,$I$3+$A$989+IF($K$3=0,Tab.11[[#This Row],[b8]]*_xlfn.STDEV.P(Tab.11[data]),AVERAGE(Tab.11[b6])+Tab.11[[#This Row],[b8]]*_xlfn.STDEV.P(Tab.11[data])))</f>
        <v>0</v>
      </c>
      <c r="S376" s="71" t="b">
        <f>IF(Tab.11[[#This Row],[a1]]=1,$I$3+$A$987+IF($K$3=0,Tab.11[[#This Row],[b9]]*_xlfn.STDEV.P(Tab.11[data]),AVERAGE(Tab.11[b6])+Tab.11[[#This Row],[b9]]*_xlfn.STDEV.P(Tab.11[data])))</f>
        <v>0</v>
      </c>
      <c r="T376" s="71" t="b">
        <f>IF(Tab.11[[#This Row],[a1]]=1,$I$3+$A$988+IF($K$3=0,Tab.11[[#This Row],[b10]]*_xlfn.STDEV.P(Tab.11[data]),AVERAGE(Tab.11[b6])+Tab.11[[#This Row],[b10]]*_xlfn.STDEV.P(Tab.11[data])))</f>
        <v>0</v>
      </c>
      <c r="U376" s="72" t="b">
        <f>IF(Tab.11[[#This Row],[a1]]=1,Tab.11[[#This Row],[target]]-Tab.11[[#This Row],[Red]])</f>
        <v>0</v>
      </c>
      <c r="V376" s="72" t="b">
        <f>IF(Tab.11[[#This Row],[a1]]=1,Tab.11[[#This Row],[target]]-Tab.11[[#This Row],[Blue]])</f>
        <v>0</v>
      </c>
      <c r="W376" s="73" t="b">
        <f>IF(Tab.11[[#This Row],[a1]]=1,IF(ABS(Tab.11[[#This Row],[b17]])+ABS(Tab.11[[#This Row],[b18]])&lt;$W$2,$W$2,ABS(Tab.11[[#This Row],[b17]])+ABS(Tab.11[[#This Row],[b18]])))</f>
        <v>0</v>
      </c>
      <c r="X376" s="136" t="b">
        <f>IF(Tab.11[[#This Row],[a1]]=1,IF($W$3&lt;0,Tab.11[[#This Row],[IN]]-$I$3,Tab.11[[#This Row],[IN]]))</f>
        <v>0</v>
      </c>
      <c r="Y376" s="136" t="b">
        <f>IF(Tab.11[[#This Row],[a1]]=1,IF($X$3=0,Tab.11[b66],Tab.11[[#This Row],[b66]]-AVERAGE(Tab.11[b66])))</f>
        <v>0</v>
      </c>
      <c r="Z376" s="135" t="b">
        <f>IF(Tab.11[[#This Row],[a1]]=1,Tab.11[[#This Row],[b77]]/(_xlfn.STDEV.P(Tab.11[b77])))</f>
        <v>0</v>
      </c>
      <c r="AA376" s="70" t="b">
        <f>IF(Tab.11[[#This Row],[a1]]=1,_xlfn.NORM.DIST(Tab.11[[#This Row],[b88]],$Z$1,$AA$1,FALSE))</f>
        <v>0</v>
      </c>
      <c r="AB376" s="74" t="b">
        <f>IF(Tab.11[[#This Row],[a1]]=1,IF($A$3=0,FALSE,1/Tab.11[[#This Row],[IN]]*$AC$2*IF(Tab.11[[#This Row],[a1]]=0,,$A$3*$AC$1*1/$V$3*(Tab.11[[#This Row],[b14]]))))</f>
        <v>0</v>
      </c>
      <c r="AC376" s="75" t="b">
        <f>IF(Tab.11[[#This Row],[a1]]=1,IF($AC$3=0,Tab.11[[#This Row],[φ1]],Tab.11[[#This Row],[φ1]]/MAX(Tab.11[φ1])))</f>
        <v>0</v>
      </c>
      <c r="AD376" s="74" t="b">
        <f>IF(Tab.11[[#This Row],[a1]]=1,1/Tab.11[[#This Row],[φ2]])</f>
        <v>0</v>
      </c>
      <c r="AE376" s="74" t="b">
        <f>IF(Tab.11[[#This Row],[a1]]=1,IF($AE$3=0,Tab.11[[#This Row],[w.0]],Tab.11[[#This Row],[w.0]]/SUM(Tab.11[w.0])))</f>
        <v>0</v>
      </c>
      <c r="AF376" s="76" t="str">
        <f>IF(Tab.11[[#This Row],[a1]]=0,"false",[3]!Tab.x5[[#This Row],[%_seN_C]])</f>
        <v>false</v>
      </c>
      <c r="AG376" s="77" t="b">
        <f>IF(Tab.11[[#This Row],[a1]]=1,AP376)</f>
        <v>0</v>
      </c>
      <c r="AH376" s="78" t="b">
        <f>IF(Tab.11[[#This Row],[a1]]=1,AQ376)</f>
        <v>0</v>
      </c>
      <c r="AI376" s="41">
        <v>3.0000000000000001E-3</v>
      </c>
      <c r="AJ376" s="79">
        <v>0.04</v>
      </c>
      <c r="AK376" s="80" t="b">
        <f>IF(Tab.11[[#This Row],[a1]]=1,1)</f>
        <v>0</v>
      </c>
      <c r="AZ376"/>
    </row>
    <row r="377" spans="1:52" hidden="1" x14ac:dyDescent="0.25">
      <c r="A377" s="61">
        <f t="shared" si="13"/>
        <v>0</v>
      </c>
      <c r="B377" s="62">
        <f t="shared" si="13"/>
        <v>0</v>
      </c>
      <c r="C377" s="62" t="b">
        <f>IF(Tab.11[[#This Row],[a1]]=1,[3]!Tab_x1[[#This Row],[Name]])</f>
        <v>0</v>
      </c>
      <c r="D377" s="63" t="b">
        <f>IF(Tab.11[[#This Row],[a1]]=1,AO377)</f>
        <v>0</v>
      </c>
      <c r="E377" s="63">
        <f t="shared" si="12"/>
        <v>0</v>
      </c>
      <c r="F377" s="64" t="b">
        <f>IF(Tab.11[[#This Row],[a1]]=1,Tab.11[[#This Row],[b1]])</f>
        <v>0</v>
      </c>
      <c r="G377" s="65" t="b">
        <f>IF(Tab.11[[#This Row],[a1]]=1,IF(Tab.11[[#This Row],[b3]]&gt;$L$989*$G$3,$L$989*$G$3,IF(Tab.11[[#This Row],[b3]]&lt;$M$989*$G$3,$M$989*$G$3,Tab.11[[#This Row],[b3]])))</f>
        <v>0</v>
      </c>
      <c r="H377" s="66" t="b">
        <f>IF(Tab.11[[#This Row],[a1]]=1,Tab.11[[#This Row],[b1]])</f>
        <v>0</v>
      </c>
      <c r="I377" s="67" t="b">
        <f>IF(Tab.11[[#This Row],[a1]]=1,Tab.11[[#This Row],[b1]])</f>
        <v>0</v>
      </c>
      <c r="J377" s="68" t="b">
        <f>IF(Tab.11[[#This Row],[a1]]=1,IF($I$3&lt;0,Tab.11[[#This Row],[b5]]-$I$3,Tab.11[[#This Row],[b5]]))</f>
        <v>0</v>
      </c>
      <c r="K377" s="68" t="b">
        <f>IF(Tab.11[[#This Row],[a1]]=1,IF($K$3=0,Tab.11[b6],Tab.11[[#This Row],[b6]]-AVERAGE(Tab.11[b6])))</f>
        <v>0</v>
      </c>
      <c r="L377" s="69" t="b">
        <f>IF(Tab.11[[#This Row],[a1]]=1,Tab.11[[#This Row],[data]]/(_xlfn.STDEV.P(Tab.11[data])*$B$989)+$A$989)</f>
        <v>0</v>
      </c>
      <c r="M377" s="69" t="b">
        <f>IF(Tab.11[[#This Row],[a1]]=1,Tab.11[[#This Row],[data]]/(_xlfn.STDEV.P(Tab.11[data])*$B$987)-$A$987)</f>
        <v>0</v>
      </c>
      <c r="N377" s="69" t="b">
        <f>IF(Tab.11[[#This Row],[a1]]=1,Tab.11[[#This Row],[data]]/(_xlfn.STDEV.P(Tab.11[data])*$B$988)+$A$988)</f>
        <v>0</v>
      </c>
      <c r="O377" s="70" t="b">
        <f>IF(Tab.11[[#This Row],[a1]]=1,_xlfn.NORM.DIST(Tab.11[[#This Row],[b8]],$P$1,$Q$1,FALSE))</f>
        <v>0</v>
      </c>
      <c r="P377" s="70" t="b">
        <f>IF(Tab.11[[#This Row],[a1]]=1,_xlfn.NORM.DIST(Tab.11[[#This Row],[b9]],$P$1,$Q$1,FALSE))</f>
        <v>0</v>
      </c>
      <c r="Q377" s="70" t="b">
        <f>IF(Tab.11[[#This Row],[a1]]=1,_xlfn.NORM.DIST(Tab.11[[#This Row],[b10]],$P$1,$Q$1,FALSE))</f>
        <v>0</v>
      </c>
      <c r="R377" s="67" t="b">
        <f>IF(Tab.11[[#This Row],[a1]]=1,$I$3+$A$989+IF($K$3=0,Tab.11[[#This Row],[b8]]*_xlfn.STDEV.P(Tab.11[data]),AVERAGE(Tab.11[b6])+Tab.11[[#This Row],[b8]]*_xlfn.STDEV.P(Tab.11[data])))</f>
        <v>0</v>
      </c>
      <c r="S377" s="71" t="b">
        <f>IF(Tab.11[[#This Row],[a1]]=1,$I$3+$A$987+IF($K$3=0,Tab.11[[#This Row],[b9]]*_xlfn.STDEV.P(Tab.11[data]),AVERAGE(Tab.11[b6])+Tab.11[[#This Row],[b9]]*_xlfn.STDEV.P(Tab.11[data])))</f>
        <v>0</v>
      </c>
      <c r="T377" s="71" t="b">
        <f>IF(Tab.11[[#This Row],[a1]]=1,$I$3+$A$988+IF($K$3=0,Tab.11[[#This Row],[b10]]*_xlfn.STDEV.P(Tab.11[data]),AVERAGE(Tab.11[b6])+Tab.11[[#This Row],[b10]]*_xlfn.STDEV.P(Tab.11[data])))</f>
        <v>0</v>
      </c>
      <c r="U377" s="72" t="b">
        <f>IF(Tab.11[[#This Row],[a1]]=1,Tab.11[[#This Row],[target]]-Tab.11[[#This Row],[Red]])</f>
        <v>0</v>
      </c>
      <c r="V377" s="72" t="b">
        <f>IF(Tab.11[[#This Row],[a1]]=1,Tab.11[[#This Row],[target]]-Tab.11[[#This Row],[Blue]])</f>
        <v>0</v>
      </c>
      <c r="W377" s="73" t="b">
        <f>IF(Tab.11[[#This Row],[a1]]=1,IF(ABS(Tab.11[[#This Row],[b17]])+ABS(Tab.11[[#This Row],[b18]])&lt;$W$2,$W$2,ABS(Tab.11[[#This Row],[b17]])+ABS(Tab.11[[#This Row],[b18]])))</f>
        <v>0</v>
      </c>
      <c r="X377" s="136" t="b">
        <f>IF(Tab.11[[#This Row],[a1]]=1,IF($W$3&lt;0,Tab.11[[#This Row],[IN]]-$I$3,Tab.11[[#This Row],[IN]]))</f>
        <v>0</v>
      </c>
      <c r="Y377" s="136" t="b">
        <f>IF(Tab.11[[#This Row],[a1]]=1,IF($X$3=0,Tab.11[b66],Tab.11[[#This Row],[b66]]-AVERAGE(Tab.11[b66])))</f>
        <v>0</v>
      </c>
      <c r="Z377" s="135" t="b">
        <f>IF(Tab.11[[#This Row],[a1]]=1,Tab.11[[#This Row],[b77]]/(_xlfn.STDEV.P(Tab.11[b77])))</f>
        <v>0</v>
      </c>
      <c r="AA377" s="70" t="b">
        <f>IF(Tab.11[[#This Row],[a1]]=1,_xlfn.NORM.DIST(Tab.11[[#This Row],[b88]],$Z$1,$AA$1,FALSE))</f>
        <v>0</v>
      </c>
      <c r="AB377" s="74" t="b">
        <f>IF(Tab.11[[#This Row],[a1]]=1,IF($A$3=0,FALSE,1/Tab.11[[#This Row],[IN]]*$AC$2*IF(Tab.11[[#This Row],[a1]]=0,,$A$3*$AC$1*1/$V$3*(Tab.11[[#This Row],[b14]]))))</f>
        <v>0</v>
      </c>
      <c r="AC377" s="75" t="b">
        <f>IF(Tab.11[[#This Row],[a1]]=1,IF($AC$3=0,Tab.11[[#This Row],[φ1]],Tab.11[[#This Row],[φ1]]/MAX(Tab.11[φ1])))</f>
        <v>0</v>
      </c>
      <c r="AD377" s="74" t="b">
        <f>IF(Tab.11[[#This Row],[a1]]=1,1/Tab.11[[#This Row],[φ2]])</f>
        <v>0</v>
      </c>
      <c r="AE377" s="74" t="b">
        <f>IF(Tab.11[[#This Row],[a1]]=1,IF($AE$3=0,Tab.11[[#This Row],[w.0]],Tab.11[[#This Row],[w.0]]/SUM(Tab.11[w.0])))</f>
        <v>0</v>
      </c>
      <c r="AF377" s="76" t="str">
        <f>IF(Tab.11[[#This Row],[a1]]=0,"false",[3]!Tab.x5[[#This Row],[%_seN_C]])</f>
        <v>false</v>
      </c>
      <c r="AG377" s="77" t="b">
        <f>IF(Tab.11[[#This Row],[a1]]=1,AP377)</f>
        <v>0</v>
      </c>
      <c r="AH377" s="78" t="b">
        <f>IF(Tab.11[[#This Row],[a1]]=1,AQ377)</f>
        <v>0</v>
      </c>
      <c r="AI377" s="41">
        <v>3.0000000000000001E-3</v>
      </c>
      <c r="AJ377" s="79">
        <v>0.02</v>
      </c>
      <c r="AK377" s="80" t="b">
        <f>IF(Tab.11[[#This Row],[a1]]=1,1)</f>
        <v>0</v>
      </c>
      <c r="AZ377"/>
    </row>
    <row r="378" spans="1:52" hidden="1" x14ac:dyDescent="0.25">
      <c r="A378" s="61">
        <f t="shared" si="13"/>
        <v>0</v>
      </c>
      <c r="B378" s="62">
        <f t="shared" si="13"/>
        <v>0</v>
      </c>
      <c r="C378" s="62" t="b">
        <f>IF(Tab.11[[#This Row],[a1]]=1,[3]!Tab_x1[[#This Row],[Name]])</f>
        <v>0</v>
      </c>
      <c r="D378" s="63" t="b">
        <f>IF(Tab.11[[#This Row],[a1]]=1,AO378)</f>
        <v>0</v>
      </c>
      <c r="E378" s="63">
        <f t="shared" si="12"/>
        <v>0</v>
      </c>
      <c r="F378" s="64" t="b">
        <f>IF(Tab.11[[#This Row],[a1]]=1,Tab.11[[#This Row],[b1]])</f>
        <v>0</v>
      </c>
      <c r="G378" s="65" t="b">
        <f>IF(Tab.11[[#This Row],[a1]]=1,IF(Tab.11[[#This Row],[b3]]&gt;$L$989*$G$3,$L$989*$G$3,IF(Tab.11[[#This Row],[b3]]&lt;$M$989*$G$3,$M$989*$G$3,Tab.11[[#This Row],[b3]])))</f>
        <v>0</v>
      </c>
      <c r="H378" s="66" t="b">
        <f>IF(Tab.11[[#This Row],[a1]]=1,Tab.11[[#This Row],[b1]])</f>
        <v>0</v>
      </c>
      <c r="I378" s="67" t="b">
        <f>IF(Tab.11[[#This Row],[a1]]=1,Tab.11[[#This Row],[b1]])</f>
        <v>0</v>
      </c>
      <c r="J378" s="68" t="b">
        <f>IF(Tab.11[[#This Row],[a1]]=1,IF($I$3&lt;0,Tab.11[[#This Row],[b5]]-$I$3,Tab.11[[#This Row],[b5]]))</f>
        <v>0</v>
      </c>
      <c r="K378" s="68" t="b">
        <f>IF(Tab.11[[#This Row],[a1]]=1,IF($K$3=0,Tab.11[b6],Tab.11[[#This Row],[b6]]-AVERAGE(Tab.11[b6])))</f>
        <v>0</v>
      </c>
      <c r="L378" s="69" t="b">
        <f>IF(Tab.11[[#This Row],[a1]]=1,Tab.11[[#This Row],[data]]/(_xlfn.STDEV.P(Tab.11[data])*$B$989)+$A$989)</f>
        <v>0</v>
      </c>
      <c r="M378" s="69" t="b">
        <f>IF(Tab.11[[#This Row],[a1]]=1,Tab.11[[#This Row],[data]]/(_xlfn.STDEV.P(Tab.11[data])*$B$987)-$A$987)</f>
        <v>0</v>
      </c>
      <c r="N378" s="69" t="b">
        <f>IF(Tab.11[[#This Row],[a1]]=1,Tab.11[[#This Row],[data]]/(_xlfn.STDEV.P(Tab.11[data])*$B$988)+$A$988)</f>
        <v>0</v>
      </c>
      <c r="O378" s="70" t="b">
        <f>IF(Tab.11[[#This Row],[a1]]=1,_xlfn.NORM.DIST(Tab.11[[#This Row],[b8]],$P$1,$Q$1,FALSE))</f>
        <v>0</v>
      </c>
      <c r="P378" s="70" t="b">
        <f>IF(Tab.11[[#This Row],[a1]]=1,_xlfn.NORM.DIST(Tab.11[[#This Row],[b9]],$P$1,$Q$1,FALSE))</f>
        <v>0</v>
      </c>
      <c r="Q378" s="70" t="b">
        <f>IF(Tab.11[[#This Row],[a1]]=1,_xlfn.NORM.DIST(Tab.11[[#This Row],[b10]],$P$1,$Q$1,FALSE))</f>
        <v>0</v>
      </c>
      <c r="R378" s="67" t="b">
        <f>IF(Tab.11[[#This Row],[a1]]=1,$I$3+$A$989+IF($K$3=0,Tab.11[[#This Row],[b8]]*_xlfn.STDEV.P(Tab.11[data]),AVERAGE(Tab.11[b6])+Tab.11[[#This Row],[b8]]*_xlfn.STDEV.P(Tab.11[data])))</f>
        <v>0</v>
      </c>
      <c r="S378" s="71" t="b">
        <f>IF(Tab.11[[#This Row],[a1]]=1,$I$3+$A$987+IF($K$3=0,Tab.11[[#This Row],[b9]]*_xlfn.STDEV.P(Tab.11[data]),AVERAGE(Tab.11[b6])+Tab.11[[#This Row],[b9]]*_xlfn.STDEV.P(Tab.11[data])))</f>
        <v>0</v>
      </c>
      <c r="T378" s="71" t="b">
        <f>IF(Tab.11[[#This Row],[a1]]=1,$I$3+$A$988+IF($K$3=0,Tab.11[[#This Row],[b10]]*_xlfn.STDEV.P(Tab.11[data]),AVERAGE(Tab.11[b6])+Tab.11[[#This Row],[b10]]*_xlfn.STDEV.P(Tab.11[data])))</f>
        <v>0</v>
      </c>
      <c r="U378" s="72" t="b">
        <f>IF(Tab.11[[#This Row],[a1]]=1,Tab.11[[#This Row],[target]]-Tab.11[[#This Row],[Red]])</f>
        <v>0</v>
      </c>
      <c r="V378" s="72" t="b">
        <f>IF(Tab.11[[#This Row],[a1]]=1,Tab.11[[#This Row],[target]]-Tab.11[[#This Row],[Blue]])</f>
        <v>0</v>
      </c>
      <c r="W378" s="73" t="b">
        <f>IF(Tab.11[[#This Row],[a1]]=1,IF(ABS(Tab.11[[#This Row],[b17]])+ABS(Tab.11[[#This Row],[b18]])&lt;$W$2,$W$2,ABS(Tab.11[[#This Row],[b17]])+ABS(Tab.11[[#This Row],[b18]])))</f>
        <v>0</v>
      </c>
      <c r="X378" s="136" t="b">
        <f>IF(Tab.11[[#This Row],[a1]]=1,IF($W$3&lt;0,Tab.11[[#This Row],[IN]]-$I$3,Tab.11[[#This Row],[IN]]))</f>
        <v>0</v>
      </c>
      <c r="Y378" s="136" t="b">
        <f>IF(Tab.11[[#This Row],[a1]]=1,IF($X$3=0,Tab.11[b66],Tab.11[[#This Row],[b66]]-AVERAGE(Tab.11[b66])))</f>
        <v>0</v>
      </c>
      <c r="Z378" s="135" t="b">
        <f>IF(Tab.11[[#This Row],[a1]]=1,Tab.11[[#This Row],[b77]]/(_xlfn.STDEV.P(Tab.11[b77])))</f>
        <v>0</v>
      </c>
      <c r="AA378" s="70" t="b">
        <f>IF(Tab.11[[#This Row],[a1]]=1,_xlfn.NORM.DIST(Tab.11[[#This Row],[b88]],$Z$1,$AA$1,FALSE))</f>
        <v>0</v>
      </c>
      <c r="AB378" s="74" t="b">
        <f>IF(Tab.11[[#This Row],[a1]]=1,IF($A$3=0,FALSE,1/Tab.11[[#This Row],[IN]]*$AC$2*IF(Tab.11[[#This Row],[a1]]=0,,$A$3*$AC$1*1/$V$3*(Tab.11[[#This Row],[b14]]))))</f>
        <v>0</v>
      </c>
      <c r="AC378" s="75" t="b">
        <f>IF(Tab.11[[#This Row],[a1]]=1,IF($AC$3=0,Tab.11[[#This Row],[φ1]],Tab.11[[#This Row],[φ1]]/MAX(Tab.11[φ1])))</f>
        <v>0</v>
      </c>
      <c r="AD378" s="74" t="b">
        <f>IF(Tab.11[[#This Row],[a1]]=1,1/Tab.11[[#This Row],[φ2]])</f>
        <v>0</v>
      </c>
      <c r="AE378" s="74" t="b">
        <f>IF(Tab.11[[#This Row],[a1]]=1,IF($AE$3=0,Tab.11[[#This Row],[w.0]],Tab.11[[#This Row],[w.0]]/SUM(Tab.11[w.0])))</f>
        <v>0</v>
      </c>
      <c r="AF378" s="76" t="str">
        <f>IF(Tab.11[[#This Row],[a1]]=0,"false",[3]!Tab.x5[[#This Row],[%_seN_C]])</f>
        <v>false</v>
      </c>
      <c r="AG378" s="77" t="b">
        <f>IF(Tab.11[[#This Row],[a1]]=1,AP378)</f>
        <v>0</v>
      </c>
      <c r="AH378" s="78" t="b">
        <f>IF(Tab.11[[#This Row],[a1]]=1,AQ378)</f>
        <v>0</v>
      </c>
      <c r="AI378" s="41">
        <v>3.0000000000000001E-3</v>
      </c>
      <c r="AJ378" s="79">
        <v>-0.06</v>
      </c>
      <c r="AK378" s="80" t="b">
        <f>IF(Tab.11[[#This Row],[a1]]=1,1)</f>
        <v>0</v>
      </c>
      <c r="AZ378"/>
    </row>
    <row r="379" spans="1:52" hidden="1" x14ac:dyDescent="0.25">
      <c r="A379" s="61">
        <f t="shared" si="13"/>
        <v>0</v>
      </c>
      <c r="B379" s="62">
        <f t="shared" si="13"/>
        <v>0</v>
      </c>
      <c r="C379" s="62" t="b">
        <f>IF(Tab.11[[#This Row],[a1]]=1,[3]!Tab_x1[[#This Row],[Name]])</f>
        <v>0</v>
      </c>
      <c r="D379" s="63" t="b">
        <f>IF(Tab.11[[#This Row],[a1]]=1,AO379)</f>
        <v>0</v>
      </c>
      <c r="E379" s="63">
        <f t="shared" si="12"/>
        <v>0</v>
      </c>
      <c r="F379" s="64" t="b">
        <f>IF(Tab.11[[#This Row],[a1]]=1,Tab.11[[#This Row],[b1]])</f>
        <v>0</v>
      </c>
      <c r="G379" s="65" t="b">
        <f>IF(Tab.11[[#This Row],[a1]]=1,IF(Tab.11[[#This Row],[b3]]&gt;$L$989*$G$3,$L$989*$G$3,IF(Tab.11[[#This Row],[b3]]&lt;$M$989*$G$3,$M$989*$G$3,Tab.11[[#This Row],[b3]])))</f>
        <v>0</v>
      </c>
      <c r="H379" s="66" t="b">
        <f>IF(Tab.11[[#This Row],[a1]]=1,Tab.11[[#This Row],[b1]])</f>
        <v>0</v>
      </c>
      <c r="I379" s="67" t="b">
        <f>IF(Tab.11[[#This Row],[a1]]=1,Tab.11[[#This Row],[b1]])</f>
        <v>0</v>
      </c>
      <c r="J379" s="68" t="b">
        <f>IF(Tab.11[[#This Row],[a1]]=1,IF($I$3&lt;0,Tab.11[[#This Row],[b5]]-$I$3,Tab.11[[#This Row],[b5]]))</f>
        <v>0</v>
      </c>
      <c r="K379" s="68" t="b">
        <f>IF(Tab.11[[#This Row],[a1]]=1,IF($K$3=0,Tab.11[b6],Tab.11[[#This Row],[b6]]-AVERAGE(Tab.11[b6])))</f>
        <v>0</v>
      </c>
      <c r="L379" s="69" t="b">
        <f>IF(Tab.11[[#This Row],[a1]]=1,Tab.11[[#This Row],[data]]/(_xlfn.STDEV.P(Tab.11[data])*$B$989)+$A$989)</f>
        <v>0</v>
      </c>
      <c r="M379" s="69" t="b">
        <f>IF(Tab.11[[#This Row],[a1]]=1,Tab.11[[#This Row],[data]]/(_xlfn.STDEV.P(Tab.11[data])*$B$987)-$A$987)</f>
        <v>0</v>
      </c>
      <c r="N379" s="69" t="b">
        <f>IF(Tab.11[[#This Row],[a1]]=1,Tab.11[[#This Row],[data]]/(_xlfn.STDEV.P(Tab.11[data])*$B$988)+$A$988)</f>
        <v>0</v>
      </c>
      <c r="O379" s="70" t="b">
        <f>IF(Tab.11[[#This Row],[a1]]=1,_xlfn.NORM.DIST(Tab.11[[#This Row],[b8]],$P$1,$Q$1,FALSE))</f>
        <v>0</v>
      </c>
      <c r="P379" s="70" t="b">
        <f>IF(Tab.11[[#This Row],[a1]]=1,_xlfn.NORM.DIST(Tab.11[[#This Row],[b9]],$P$1,$Q$1,FALSE))</f>
        <v>0</v>
      </c>
      <c r="Q379" s="70" t="b">
        <f>IF(Tab.11[[#This Row],[a1]]=1,_xlfn.NORM.DIST(Tab.11[[#This Row],[b10]],$P$1,$Q$1,FALSE))</f>
        <v>0</v>
      </c>
      <c r="R379" s="67" t="b">
        <f>IF(Tab.11[[#This Row],[a1]]=1,$I$3+$A$989+IF($K$3=0,Tab.11[[#This Row],[b8]]*_xlfn.STDEV.P(Tab.11[data]),AVERAGE(Tab.11[b6])+Tab.11[[#This Row],[b8]]*_xlfn.STDEV.P(Tab.11[data])))</f>
        <v>0</v>
      </c>
      <c r="S379" s="71" t="b">
        <f>IF(Tab.11[[#This Row],[a1]]=1,$I$3+$A$987+IF($K$3=0,Tab.11[[#This Row],[b9]]*_xlfn.STDEV.P(Tab.11[data]),AVERAGE(Tab.11[b6])+Tab.11[[#This Row],[b9]]*_xlfn.STDEV.P(Tab.11[data])))</f>
        <v>0</v>
      </c>
      <c r="T379" s="71" t="b">
        <f>IF(Tab.11[[#This Row],[a1]]=1,$I$3+$A$988+IF($K$3=0,Tab.11[[#This Row],[b10]]*_xlfn.STDEV.P(Tab.11[data]),AVERAGE(Tab.11[b6])+Tab.11[[#This Row],[b10]]*_xlfn.STDEV.P(Tab.11[data])))</f>
        <v>0</v>
      </c>
      <c r="U379" s="72" t="b">
        <f>IF(Tab.11[[#This Row],[a1]]=1,Tab.11[[#This Row],[target]]-Tab.11[[#This Row],[Red]])</f>
        <v>0</v>
      </c>
      <c r="V379" s="72" t="b">
        <f>IF(Tab.11[[#This Row],[a1]]=1,Tab.11[[#This Row],[target]]-Tab.11[[#This Row],[Blue]])</f>
        <v>0</v>
      </c>
      <c r="W379" s="73" t="b">
        <f>IF(Tab.11[[#This Row],[a1]]=1,IF(ABS(Tab.11[[#This Row],[b17]])+ABS(Tab.11[[#This Row],[b18]])&lt;$W$2,$W$2,ABS(Tab.11[[#This Row],[b17]])+ABS(Tab.11[[#This Row],[b18]])))</f>
        <v>0</v>
      </c>
      <c r="X379" s="136" t="b">
        <f>IF(Tab.11[[#This Row],[a1]]=1,IF($W$3&lt;0,Tab.11[[#This Row],[IN]]-$I$3,Tab.11[[#This Row],[IN]]))</f>
        <v>0</v>
      </c>
      <c r="Y379" s="136" t="b">
        <f>IF(Tab.11[[#This Row],[a1]]=1,IF($X$3=0,Tab.11[b66],Tab.11[[#This Row],[b66]]-AVERAGE(Tab.11[b66])))</f>
        <v>0</v>
      </c>
      <c r="Z379" s="135" t="b">
        <f>IF(Tab.11[[#This Row],[a1]]=1,Tab.11[[#This Row],[b77]]/(_xlfn.STDEV.P(Tab.11[b77])))</f>
        <v>0</v>
      </c>
      <c r="AA379" s="70" t="b">
        <f>IF(Tab.11[[#This Row],[a1]]=1,_xlfn.NORM.DIST(Tab.11[[#This Row],[b88]],$Z$1,$AA$1,FALSE))</f>
        <v>0</v>
      </c>
      <c r="AB379" s="74" t="b">
        <f>IF(Tab.11[[#This Row],[a1]]=1,IF($A$3=0,FALSE,1/Tab.11[[#This Row],[IN]]*$AC$2*IF(Tab.11[[#This Row],[a1]]=0,,$A$3*$AC$1*1/$V$3*(Tab.11[[#This Row],[b14]]))))</f>
        <v>0</v>
      </c>
      <c r="AC379" s="75" t="b">
        <f>IF(Tab.11[[#This Row],[a1]]=1,IF($AC$3=0,Tab.11[[#This Row],[φ1]],Tab.11[[#This Row],[φ1]]/MAX(Tab.11[φ1])))</f>
        <v>0</v>
      </c>
      <c r="AD379" s="74" t="b">
        <f>IF(Tab.11[[#This Row],[a1]]=1,1/Tab.11[[#This Row],[φ2]])</f>
        <v>0</v>
      </c>
      <c r="AE379" s="74" t="b">
        <f>IF(Tab.11[[#This Row],[a1]]=1,IF($AE$3=0,Tab.11[[#This Row],[w.0]],Tab.11[[#This Row],[w.0]]/SUM(Tab.11[w.0])))</f>
        <v>0</v>
      </c>
      <c r="AF379" s="76" t="str">
        <f>IF(Tab.11[[#This Row],[a1]]=0,"false",[3]!Tab.x5[[#This Row],[%_seN_C]])</f>
        <v>false</v>
      </c>
      <c r="AG379" s="77" t="b">
        <f>IF(Tab.11[[#This Row],[a1]]=1,AP379)</f>
        <v>0</v>
      </c>
      <c r="AH379" s="78" t="b">
        <f>IF(Tab.11[[#This Row],[a1]]=1,AQ379)</f>
        <v>0</v>
      </c>
      <c r="AI379" s="41">
        <v>3.0000000000000001E-3</v>
      </c>
      <c r="AJ379" s="79">
        <v>-0.08</v>
      </c>
      <c r="AK379" s="80" t="b">
        <f>IF(Tab.11[[#This Row],[a1]]=1,1)</f>
        <v>0</v>
      </c>
      <c r="AZ379"/>
    </row>
    <row r="380" spans="1:52" hidden="1" x14ac:dyDescent="0.25">
      <c r="A380" s="61">
        <f t="shared" si="13"/>
        <v>0</v>
      </c>
      <c r="B380" s="62">
        <f t="shared" si="13"/>
        <v>0</v>
      </c>
      <c r="C380" s="62" t="b">
        <f>IF(Tab.11[[#This Row],[a1]]=1,[3]!Tab_x1[[#This Row],[Name]])</f>
        <v>0</v>
      </c>
      <c r="D380" s="63" t="b">
        <f>IF(Tab.11[[#This Row],[a1]]=1,AO380)</f>
        <v>0</v>
      </c>
      <c r="E380" s="63">
        <f t="shared" si="12"/>
        <v>0</v>
      </c>
      <c r="F380" s="64" t="b">
        <f>IF(Tab.11[[#This Row],[a1]]=1,Tab.11[[#This Row],[b1]])</f>
        <v>0</v>
      </c>
      <c r="G380" s="65" t="b">
        <f>IF(Tab.11[[#This Row],[a1]]=1,IF(Tab.11[[#This Row],[b3]]&gt;$L$989*$G$3,$L$989*$G$3,IF(Tab.11[[#This Row],[b3]]&lt;$M$989*$G$3,$M$989*$G$3,Tab.11[[#This Row],[b3]])))</f>
        <v>0</v>
      </c>
      <c r="H380" s="66" t="b">
        <f>IF(Tab.11[[#This Row],[a1]]=1,Tab.11[[#This Row],[b1]])</f>
        <v>0</v>
      </c>
      <c r="I380" s="67" t="b">
        <f>IF(Tab.11[[#This Row],[a1]]=1,Tab.11[[#This Row],[b1]])</f>
        <v>0</v>
      </c>
      <c r="J380" s="68" t="b">
        <f>IF(Tab.11[[#This Row],[a1]]=1,IF($I$3&lt;0,Tab.11[[#This Row],[b5]]-$I$3,Tab.11[[#This Row],[b5]]))</f>
        <v>0</v>
      </c>
      <c r="K380" s="68" t="b">
        <f>IF(Tab.11[[#This Row],[a1]]=1,IF($K$3=0,Tab.11[b6],Tab.11[[#This Row],[b6]]-AVERAGE(Tab.11[b6])))</f>
        <v>0</v>
      </c>
      <c r="L380" s="69" t="b">
        <f>IF(Tab.11[[#This Row],[a1]]=1,Tab.11[[#This Row],[data]]/(_xlfn.STDEV.P(Tab.11[data])*$B$989)+$A$989)</f>
        <v>0</v>
      </c>
      <c r="M380" s="69" t="b">
        <f>IF(Tab.11[[#This Row],[a1]]=1,Tab.11[[#This Row],[data]]/(_xlfn.STDEV.P(Tab.11[data])*$B$987)-$A$987)</f>
        <v>0</v>
      </c>
      <c r="N380" s="69" t="b">
        <f>IF(Tab.11[[#This Row],[a1]]=1,Tab.11[[#This Row],[data]]/(_xlfn.STDEV.P(Tab.11[data])*$B$988)+$A$988)</f>
        <v>0</v>
      </c>
      <c r="O380" s="70" t="b">
        <f>IF(Tab.11[[#This Row],[a1]]=1,_xlfn.NORM.DIST(Tab.11[[#This Row],[b8]],$P$1,$Q$1,FALSE))</f>
        <v>0</v>
      </c>
      <c r="P380" s="70" t="b">
        <f>IF(Tab.11[[#This Row],[a1]]=1,_xlfn.NORM.DIST(Tab.11[[#This Row],[b9]],$P$1,$Q$1,FALSE))</f>
        <v>0</v>
      </c>
      <c r="Q380" s="70" t="b">
        <f>IF(Tab.11[[#This Row],[a1]]=1,_xlfn.NORM.DIST(Tab.11[[#This Row],[b10]],$P$1,$Q$1,FALSE))</f>
        <v>0</v>
      </c>
      <c r="R380" s="67" t="b">
        <f>IF(Tab.11[[#This Row],[a1]]=1,$I$3+$A$989+IF($K$3=0,Tab.11[[#This Row],[b8]]*_xlfn.STDEV.P(Tab.11[data]),AVERAGE(Tab.11[b6])+Tab.11[[#This Row],[b8]]*_xlfn.STDEV.P(Tab.11[data])))</f>
        <v>0</v>
      </c>
      <c r="S380" s="71" t="b">
        <f>IF(Tab.11[[#This Row],[a1]]=1,$I$3+$A$987+IF($K$3=0,Tab.11[[#This Row],[b9]]*_xlfn.STDEV.P(Tab.11[data]),AVERAGE(Tab.11[b6])+Tab.11[[#This Row],[b9]]*_xlfn.STDEV.P(Tab.11[data])))</f>
        <v>0</v>
      </c>
      <c r="T380" s="71" t="b">
        <f>IF(Tab.11[[#This Row],[a1]]=1,$I$3+$A$988+IF($K$3=0,Tab.11[[#This Row],[b10]]*_xlfn.STDEV.P(Tab.11[data]),AVERAGE(Tab.11[b6])+Tab.11[[#This Row],[b10]]*_xlfn.STDEV.P(Tab.11[data])))</f>
        <v>0</v>
      </c>
      <c r="U380" s="72" t="b">
        <f>IF(Tab.11[[#This Row],[a1]]=1,Tab.11[[#This Row],[target]]-Tab.11[[#This Row],[Red]])</f>
        <v>0</v>
      </c>
      <c r="V380" s="72" t="b">
        <f>IF(Tab.11[[#This Row],[a1]]=1,Tab.11[[#This Row],[target]]-Tab.11[[#This Row],[Blue]])</f>
        <v>0</v>
      </c>
      <c r="W380" s="73" t="b">
        <f>IF(Tab.11[[#This Row],[a1]]=1,IF(ABS(Tab.11[[#This Row],[b17]])+ABS(Tab.11[[#This Row],[b18]])&lt;$W$2,$W$2,ABS(Tab.11[[#This Row],[b17]])+ABS(Tab.11[[#This Row],[b18]])))</f>
        <v>0</v>
      </c>
      <c r="X380" s="136" t="b">
        <f>IF(Tab.11[[#This Row],[a1]]=1,IF($W$3&lt;0,Tab.11[[#This Row],[IN]]-$I$3,Tab.11[[#This Row],[IN]]))</f>
        <v>0</v>
      </c>
      <c r="Y380" s="136" t="b">
        <f>IF(Tab.11[[#This Row],[a1]]=1,IF($X$3=0,Tab.11[b66],Tab.11[[#This Row],[b66]]-AVERAGE(Tab.11[b66])))</f>
        <v>0</v>
      </c>
      <c r="Z380" s="135" t="b">
        <f>IF(Tab.11[[#This Row],[a1]]=1,Tab.11[[#This Row],[b77]]/(_xlfn.STDEV.P(Tab.11[b77])))</f>
        <v>0</v>
      </c>
      <c r="AA380" s="70" t="b">
        <f>IF(Tab.11[[#This Row],[a1]]=1,_xlfn.NORM.DIST(Tab.11[[#This Row],[b88]],$Z$1,$AA$1,FALSE))</f>
        <v>0</v>
      </c>
      <c r="AB380" s="74" t="b">
        <f>IF(Tab.11[[#This Row],[a1]]=1,IF($A$3=0,FALSE,1/Tab.11[[#This Row],[IN]]*$AC$2*IF(Tab.11[[#This Row],[a1]]=0,,$A$3*$AC$1*1/$V$3*(Tab.11[[#This Row],[b14]]))))</f>
        <v>0</v>
      </c>
      <c r="AC380" s="75" t="b">
        <f>IF(Tab.11[[#This Row],[a1]]=1,IF($AC$3=0,Tab.11[[#This Row],[φ1]],Tab.11[[#This Row],[φ1]]/MAX(Tab.11[φ1])))</f>
        <v>0</v>
      </c>
      <c r="AD380" s="74" t="b">
        <f>IF(Tab.11[[#This Row],[a1]]=1,1/Tab.11[[#This Row],[φ2]])</f>
        <v>0</v>
      </c>
      <c r="AE380" s="74" t="b">
        <f>IF(Tab.11[[#This Row],[a1]]=1,IF($AE$3=0,Tab.11[[#This Row],[w.0]],Tab.11[[#This Row],[w.0]]/SUM(Tab.11[w.0])))</f>
        <v>0</v>
      </c>
      <c r="AF380" s="76" t="str">
        <f>IF(Tab.11[[#This Row],[a1]]=0,"false",[3]!Tab.x5[[#This Row],[%_seN_C]])</f>
        <v>false</v>
      </c>
      <c r="AG380" s="77" t="b">
        <f>IF(Tab.11[[#This Row],[a1]]=1,AP380)</f>
        <v>0</v>
      </c>
      <c r="AH380" s="78" t="b">
        <f>IF(Tab.11[[#This Row],[a1]]=1,AQ380)</f>
        <v>0</v>
      </c>
      <c r="AI380" s="41">
        <v>3.0000000000000001E-3</v>
      </c>
      <c r="AJ380" s="79">
        <v>0.08</v>
      </c>
      <c r="AK380" s="80" t="b">
        <f>IF(Tab.11[[#This Row],[a1]]=1,1)</f>
        <v>0</v>
      </c>
      <c r="AZ380"/>
    </row>
    <row r="381" spans="1:52" hidden="1" x14ac:dyDescent="0.25">
      <c r="A381" s="61">
        <f t="shared" si="13"/>
        <v>0</v>
      </c>
      <c r="B381" s="62">
        <f t="shared" si="13"/>
        <v>0</v>
      </c>
      <c r="C381" s="62" t="b">
        <f>IF(Tab.11[[#This Row],[a1]]=1,[3]!Tab_x1[[#This Row],[Name]])</f>
        <v>0</v>
      </c>
      <c r="D381" s="63" t="b">
        <f>IF(Tab.11[[#This Row],[a1]]=1,AO381)</f>
        <v>0</v>
      </c>
      <c r="E381" s="63">
        <f t="shared" si="12"/>
        <v>0</v>
      </c>
      <c r="F381" s="64" t="b">
        <f>IF(Tab.11[[#This Row],[a1]]=1,Tab.11[[#This Row],[b1]])</f>
        <v>0</v>
      </c>
      <c r="G381" s="65" t="b">
        <f>IF(Tab.11[[#This Row],[a1]]=1,IF(Tab.11[[#This Row],[b3]]&gt;$L$989*$G$3,$L$989*$G$3,IF(Tab.11[[#This Row],[b3]]&lt;$M$989*$G$3,$M$989*$G$3,Tab.11[[#This Row],[b3]])))</f>
        <v>0</v>
      </c>
      <c r="H381" s="66" t="b">
        <f>IF(Tab.11[[#This Row],[a1]]=1,Tab.11[[#This Row],[b1]])</f>
        <v>0</v>
      </c>
      <c r="I381" s="67" t="b">
        <f>IF(Tab.11[[#This Row],[a1]]=1,Tab.11[[#This Row],[b1]])</f>
        <v>0</v>
      </c>
      <c r="J381" s="68" t="b">
        <f>IF(Tab.11[[#This Row],[a1]]=1,IF($I$3&lt;0,Tab.11[[#This Row],[b5]]-$I$3,Tab.11[[#This Row],[b5]]))</f>
        <v>0</v>
      </c>
      <c r="K381" s="68" t="b">
        <f>IF(Tab.11[[#This Row],[a1]]=1,IF($K$3=0,Tab.11[b6],Tab.11[[#This Row],[b6]]-AVERAGE(Tab.11[b6])))</f>
        <v>0</v>
      </c>
      <c r="L381" s="69" t="b">
        <f>IF(Tab.11[[#This Row],[a1]]=1,Tab.11[[#This Row],[data]]/(_xlfn.STDEV.P(Tab.11[data])*$B$989)+$A$989)</f>
        <v>0</v>
      </c>
      <c r="M381" s="69" t="b">
        <f>IF(Tab.11[[#This Row],[a1]]=1,Tab.11[[#This Row],[data]]/(_xlfn.STDEV.P(Tab.11[data])*$B$987)-$A$987)</f>
        <v>0</v>
      </c>
      <c r="N381" s="69" t="b">
        <f>IF(Tab.11[[#This Row],[a1]]=1,Tab.11[[#This Row],[data]]/(_xlfn.STDEV.P(Tab.11[data])*$B$988)+$A$988)</f>
        <v>0</v>
      </c>
      <c r="O381" s="70" t="b">
        <f>IF(Tab.11[[#This Row],[a1]]=1,_xlfn.NORM.DIST(Tab.11[[#This Row],[b8]],$P$1,$Q$1,FALSE))</f>
        <v>0</v>
      </c>
      <c r="P381" s="70" t="b">
        <f>IF(Tab.11[[#This Row],[a1]]=1,_xlfn.NORM.DIST(Tab.11[[#This Row],[b9]],$P$1,$Q$1,FALSE))</f>
        <v>0</v>
      </c>
      <c r="Q381" s="70" t="b">
        <f>IF(Tab.11[[#This Row],[a1]]=1,_xlfn.NORM.DIST(Tab.11[[#This Row],[b10]],$P$1,$Q$1,FALSE))</f>
        <v>0</v>
      </c>
      <c r="R381" s="67" t="b">
        <f>IF(Tab.11[[#This Row],[a1]]=1,$I$3+$A$989+IF($K$3=0,Tab.11[[#This Row],[b8]]*_xlfn.STDEV.P(Tab.11[data]),AVERAGE(Tab.11[b6])+Tab.11[[#This Row],[b8]]*_xlfn.STDEV.P(Tab.11[data])))</f>
        <v>0</v>
      </c>
      <c r="S381" s="71" t="b">
        <f>IF(Tab.11[[#This Row],[a1]]=1,$I$3+$A$987+IF($K$3=0,Tab.11[[#This Row],[b9]]*_xlfn.STDEV.P(Tab.11[data]),AVERAGE(Tab.11[b6])+Tab.11[[#This Row],[b9]]*_xlfn.STDEV.P(Tab.11[data])))</f>
        <v>0</v>
      </c>
      <c r="T381" s="71" t="b">
        <f>IF(Tab.11[[#This Row],[a1]]=1,$I$3+$A$988+IF($K$3=0,Tab.11[[#This Row],[b10]]*_xlfn.STDEV.P(Tab.11[data]),AVERAGE(Tab.11[b6])+Tab.11[[#This Row],[b10]]*_xlfn.STDEV.P(Tab.11[data])))</f>
        <v>0</v>
      </c>
      <c r="U381" s="72" t="b">
        <f>IF(Tab.11[[#This Row],[a1]]=1,Tab.11[[#This Row],[target]]-Tab.11[[#This Row],[Red]])</f>
        <v>0</v>
      </c>
      <c r="V381" s="72" t="b">
        <f>IF(Tab.11[[#This Row],[a1]]=1,Tab.11[[#This Row],[target]]-Tab.11[[#This Row],[Blue]])</f>
        <v>0</v>
      </c>
      <c r="W381" s="73" t="b">
        <f>IF(Tab.11[[#This Row],[a1]]=1,IF(ABS(Tab.11[[#This Row],[b17]])+ABS(Tab.11[[#This Row],[b18]])&lt;$W$2,$W$2,ABS(Tab.11[[#This Row],[b17]])+ABS(Tab.11[[#This Row],[b18]])))</f>
        <v>0</v>
      </c>
      <c r="X381" s="136" t="b">
        <f>IF(Tab.11[[#This Row],[a1]]=1,IF($W$3&lt;0,Tab.11[[#This Row],[IN]]-$I$3,Tab.11[[#This Row],[IN]]))</f>
        <v>0</v>
      </c>
      <c r="Y381" s="136" t="b">
        <f>IF(Tab.11[[#This Row],[a1]]=1,IF($X$3=0,Tab.11[b66],Tab.11[[#This Row],[b66]]-AVERAGE(Tab.11[b66])))</f>
        <v>0</v>
      </c>
      <c r="Z381" s="135" t="b">
        <f>IF(Tab.11[[#This Row],[a1]]=1,Tab.11[[#This Row],[b77]]/(_xlfn.STDEV.P(Tab.11[b77])))</f>
        <v>0</v>
      </c>
      <c r="AA381" s="70" t="b">
        <f>IF(Tab.11[[#This Row],[a1]]=1,_xlfn.NORM.DIST(Tab.11[[#This Row],[b88]],$Z$1,$AA$1,FALSE))</f>
        <v>0</v>
      </c>
      <c r="AB381" s="74" t="b">
        <f>IF(Tab.11[[#This Row],[a1]]=1,IF($A$3=0,FALSE,1/Tab.11[[#This Row],[IN]]*$AC$2*IF(Tab.11[[#This Row],[a1]]=0,,$A$3*$AC$1*1/$V$3*(Tab.11[[#This Row],[b14]]))))</f>
        <v>0</v>
      </c>
      <c r="AC381" s="75" t="b">
        <f>IF(Tab.11[[#This Row],[a1]]=1,IF($AC$3=0,Tab.11[[#This Row],[φ1]],Tab.11[[#This Row],[φ1]]/MAX(Tab.11[φ1])))</f>
        <v>0</v>
      </c>
      <c r="AD381" s="74" t="b">
        <f>IF(Tab.11[[#This Row],[a1]]=1,1/Tab.11[[#This Row],[φ2]])</f>
        <v>0</v>
      </c>
      <c r="AE381" s="74" t="b">
        <f>IF(Tab.11[[#This Row],[a1]]=1,IF($AE$3=0,Tab.11[[#This Row],[w.0]],Tab.11[[#This Row],[w.0]]/SUM(Tab.11[w.0])))</f>
        <v>0</v>
      </c>
      <c r="AF381" s="76" t="str">
        <f>IF(Tab.11[[#This Row],[a1]]=0,"false",[3]!Tab.x5[[#This Row],[%_seN_C]])</f>
        <v>false</v>
      </c>
      <c r="AG381" s="77" t="b">
        <f>IF(Tab.11[[#This Row],[a1]]=1,AP381)</f>
        <v>0</v>
      </c>
      <c r="AH381" s="78" t="b">
        <f>IF(Tab.11[[#This Row],[a1]]=1,AQ381)</f>
        <v>0</v>
      </c>
      <c r="AI381" s="41">
        <v>3.0000000000000001E-3</v>
      </c>
      <c r="AJ381" s="79">
        <v>0.09</v>
      </c>
      <c r="AK381" s="80" t="b">
        <f>IF(Tab.11[[#This Row],[a1]]=1,1)</f>
        <v>0</v>
      </c>
      <c r="AZ381"/>
    </row>
    <row r="382" spans="1:52" hidden="1" x14ac:dyDescent="0.25">
      <c r="A382" s="61">
        <f t="shared" si="13"/>
        <v>0</v>
      </c>
      <c r="B382" s="62">
        <f t="shared" si="13"/>
        <v>0</v>
      </c>
      <c r="C382" s="62" t="b">
        <f>IF(Tab.11[[#This Row],[a1]]=1,[3]!Tab_x1[[#This Row],[Name]])</f>
        <v>0</v>
      </c>
      <c r="D382" s="63" t="b">
        <f>IF(Tab.11[[#This Row],[a1]]=1,AO382)</f>
        <v>0</v>
      </c>
      <c r="E382" s="63">
        <f t="shared" si="12"/>
        <v>0</v>
      </c>
      <c r="F382" s="64" t="b">
        <f>IF(Tab.11[[#This Row],[a1]]=1,Tab.11[[#This Row],[b1]])</f>
        <v>0</v>
      </c>
      <c r="G382" s="65" t="b">
        <f>IF(Tab.11[[#This Row],[a1]]=1,IF(Tab.11[[#This Row],[b3]]&gt;$L$989*$G$3,$L$989*$G$3,IF(Tab.11[[#This Row],[b3]]&lt;$M$989*$G$3,$M$989*$G$3,Tab.11[[#This Row],[b3]])))</f>
        <v>0</v>
      </c>
      <c r="H382" s="66" t="b">
        <f>IF(Tab.11[[#This Row],[a1]]=1,Tab.11[[#This Row],[b1]])</f>
        <v>0</v>
      </c>
      <c r="I382" s="67" t="b">
        <f>IF(Tab.11[[#This Row],[a1]]=1,Tab.11[[#This Row],[b1]])</f>
        <v>0</v>
      </c>
      <c r="J382" s="68" t="b">
        <f>IF(Tab.11[[#This Row],[a1]]=1,IF($I$3&lt;0,Tab.11[[#This Row],[b5]]-$I$3,Tab.11[[#This Row],[b5]]))</f>
        <v>0</v>
      </c>
      <c r="K382" s="68" t="b">
        <f>IF(Tab.11[[#This Row],[a1]]=1,IF($K$3=0,Tab.11[b6],Tab.11[[#This Row],[b6]]-AVERAGE(Tab.11[b6])))</f>
        <v>0</v>
      </c>
      <c r="L382" s="69" t="b">
        <f>IF(Tab.11[[#This Row],[a1]]=1,Tab.11[[#This Row],[data]]/(_xlfn.STDEV.P(Tab.11[data])*$B$989)+$A$989)</f>
        <v>0</v>
      </c>
      <c r="M382" s="69" t="b">
        <f>IF(Tab.11[[#This Row],[a1]]=1,Tab.11[[#This Row],[data]]/(_xlfn.STDEV.P(Tab.11[data])*$B$987)-$A$987)</f>
        <v>0</v>
      </c>
      <c r="N382" s="69" t="b">
        <f>IF(Tab.11[[#This Row],[a1]]=1,Tab.11[[#This Row],[data]]/(_xlfn.STDEV.P(Tab.11[data])*$B$988)+$A$988)</f>
        <v>0</v>
      </c>
      <c r="O382" s="70" t="b">
        <f>IF(Tab.11[[#This Row],[a1]]=1,_xlfn.NORM.DIST(Tab.11[[#This Row],[b8]],$P$1,$Q$1,FALSE))</f>
        <v>0</v>
      </c>
      <c r="P382" s="70" t="b">
        <f>IF(Tab.11[[#This Row],[a1]]=1,_xlfn.NORM.DIST(Tab.11[[#This Row],[b9]],$P$1,$Q$1,FALSE))</f>
        <v>0</v>
      </c>
      <c r="Q382" s="70" t="b">
        <f>IF(Tab.11[[#This Row],[a1]]=1,_xlfn.NORM.DIST(Tab.11[[#This Row],[b10]],$P$1,$Q$1,FALSE))</f>
        <v>0</v>
      </c>
      <c r="R382" s="67" t="b">
        <f>IF(Tab.11[[#This Row],[a1]]=1,$I$3+$A$989+IF($K$3=0,Tab.11[[#This Row],[b8]]*_xlfn.STDEV.P(Tab.11[data]),AVERAGE(Tab.11[b6])+Tab.11[[#This Row],[b8]]*_xlfn.STDEV.P(Tab.11[data])))</f>
        <v>0</v>
      </c>
      <c r="S382" s="71" t="b">
        <f>IF(Tab.11[[#This Row],[a1]]=1,$I$3+$A$987+IF($K$3=0,Tab.11[[#This Row],[b9]]*_xlfn.STDEV.P(Tab.11[data]),AVERAGE(Tab.11[b6])+Tab.11[[#This Row],[b9]]*_xlfn.STDEV.P(Tab.11[data])))</f>
        <v>0</v>
      </c>
      <c r="T382" s="71" t="b">
        <f>IF(Tab.11[[#This Row],[a1]]=1,$I$3+$A$988+IF($K$3=0,Tab.11[[#This Row],[b10]]*_xlfn.STDEV.P(Tab.11[data]),AVERAGE(Tab.11[b6])+Tab.11[[#This Row],[b10]]*_xlfn.STDEV.P(Tab.11[data])))</f>
        <v>0</v>
      </c>
      <c r="U382" s="72" t="b">
        <f>IF(Tab.11[[#This Row],[a1]]=1,Tab.11[[#This Row],[target]]-Tab.11[[#This Row],[Red]])</f>
        <v>0</v>
      </c>
      <c r="V382" s="72" t="b">
        <f>IF(Tab.11[[#This Row],[a1]]=1,Tab.11[[#This Row],[target]]-Tab.11[[#This Row],[Blue]])</f>
        <v>0</v>
      </c>
      <c r="W382" s="73" t="b">
        <f>IF(Tab.11[[#This Row],[a1]]=1,IF(ABS(Tab.11[[#This Row],[b17]])+ABS(Tab.11[[#This Row],[b18]])&lt;$W$2,$W$2,ABS(Tab.11[[#This Row],[b17]])+ABS(Tab.11[[#This Row],[b18]])))</f>
        <v>0</v>
      </c>
      <c r="X382" s="136" t="b">
        <f>IF(Tab.11[[#This Row],[a1]]=1,IF($W$3&lt;0,Tab.11[[#This Row],[IN]]-$I$3,Tab.11[[#This Row],[IN]]))</f>
        <v>0</v>
      </c>
      <c r="Y382" s="136" t="b">
        <f>IF(Tab.11[[#This Row],[a1]]=1,IF($X$3=0,Tab.11[b66],Tab.11[[#This Row],[b66]]-AVERAGE(Tab.11[b66])))</f>
        <v>0</v>
      </c>
      <c r="Z382" s="135" t="b">
        <f>IF(Tab.11[[#This Row],[a1]]=1,Tab.11[[#This Row],[b77]]/(_xlfn.STDEV.P(Tab.11[b77])))</f>
        <v>0</v>
      </c>
      <c r="AA382" s="70" t="b">
        <f>IF(Tab.11[[#This Row],[a1]]=1,_xlfn.NORM.DIST(Tab.11[[#This Row],[b88]],$Z$1,$AA$1,FALSE))</f>
        <v>0</v>
      </c>
      <c r="AB382" s="74" t="b">
        <f>IF(Tab.11[[#This Row],[a1]]=1,IF($A$3=0,FALSE,1/Tab.11[[#This Row],[IN]]*$AC$2*IF(Tab.11[[#This Row],[a1]]=0,,$A$3*$AC$1*1/$V$3*(Tab.11[[#This Row],[b14]]))))</f>
        <v>0</v>
      </c>
      <c r="AC382" s="75" t="b">
        <f>IF(Tab.11[[#This Row],[a1]]=1,IF($AC$3=0,Tab.11[[#This Row],[φ1]],Tab.11[[#This Row],[φ1]]/MAX(Tab.11[φ1])))</f>
        <v>0</v>
      </c>
      <c r="AD382" s="74" t="b">
        <f>IF(Tab.11[[#This Row],[a1]]=1,1/Tab.11[[#This Row],[φ2]])</f>
        <v>0</v>
      </c>
      <c r="AE382" s="74" t="b">
        <f>IF(Tab.11[[#This Row],[a1]]=1,IF($AE$3=0,Tab.11[[#This Row],[w.0]],Tab.11[[#This Row],[w.0]]/SUM(Tab.11[w.0])))</f>
        <v>0</v>
      </c>
      <c r="AF382" s="76" t="str">
        <f>IF(Tab.11[[#This Row],[a1]]=0,"false",[3]!Tab.x5[[#This Row],[%_seN_C]])</f>
        <v>false</v>
      </c>
      <c r="AG382" s="77" t="b">
        <f>IF(Tab.11[[#This Row],[a1]]=1,AP382)</f>
        <v>0</v>
      </c>
      <c r="AH382" s="78" t="b">
        <f>IF(Tab.11[[#This Row],[a1]]=1,AQ382)</f>
        <v>0</v>
      </c>
      <c r="AI382" s="41">
        <v>3.0000000000000001E-3</v>
      </c>
      <c r="AJ382" s="79">
        <v>-7.0000000000000007E-2</v>
      </c>
      <c r="AK382" s="80" t="b">
        <f>IF(Tab.11[[#This Row],[a1]]=1,1)</f>
        <v>0</v>
      </c>
      <c r="AZ382"/>
    </row>
    <row r="383" spans="1:52" hidden="1" x14ac:dyDescent="0.25">
      <c r="A383" s="61">
        <f t="shared" si="13"/>
        <v>0</v>
      </c>
      <c r="B383" s="62">
        <f t="shared" si="13"/>
        <v>0</v>
      </c>
      <c r="C383" s="62" t="b">
        <f>IF(Tab.11[[#This Row],[a1]]=1,[3]!Tab_x1[[#This Row],[Name]])</f>
        <v>0</v>
      </c>
      <c r="D383" s="63" t="b">
        <f>IF(Tab.11[[#This Row],[a1]]=1,AO383)</f>
        <v>0</v>
      </c>
      <c r="E383" s="63">
        <f t="shared" si="12"/>
        <v>0</v>
      </c>
      <c r="F383" s="64" t="b">
        <f>IF(Tab.11[[#This Row],[a1]]=1,Tab.11[[#This Row],[b1]])</f>
        <v>0</v>
      </c>
      <c r="G383" s="65" t="b">
        <f>IF(Tab.11[[#This Row],[a1]]=1,IF(Tab.11[[#This Row],[b3]]&gt;$L$989*$G$3,$L$989*$G$3,IF(Tab.11[[#This Row],[b3]]&lt;$M$989*$G$3,$M$989*$G$3,Tab.11[[#This Row],[b3]])))</f>
        <v>0</v>
      </c>
      <c r="H383" s="66" t="b">
        <f>IF(Tab.11[[#This Row],[a1]]=1,Tab.11[[#This Row],[b1]])</f>
        <v>0</v>
      </c>
      <c r="I383" s="67" t="b">
        <f>IF(Tab.11[[#This Row],[a1]]=1,Tab.11[[#This Row],[b1]])</f>
        <v>0</v>
      </c>
      <c r="J383" s="68" t="b">
        <f>IF(Tab.11[[#This Row],[a1]]=1,IF($I$3&lt;0,Tab.11[[#This Row],[b5]]-$I$3,Tab.11[[#This Row],[b5]]))</f>
        <v>0</v>
      </c>
      <c r="K383" s="68" t="b">
        <f>IF(Tab.11[[#This Row],[a1]]=1,IF($K$3=0,Tab.11[b6],Tab.11[[#This Row],[b6]]-AVERAGE(Tab.11[b6])))</f>
        <v>0</v>
      </c>
      <c r="L383" s="69" t="b">
        <f>IF(Tab.11[[#This Row],[a1]]=1,Tab.11[[#This Row],[data]]/(_xlfn.STDEV.P(Tab.11[data])*$B$989)+$A$989)</f>
        <v>0</v>
      </c>
      <c r="M383" s="69" t="b">
        <f>IF(Tab.11[[#This Row],[a1]]=1,Tab.11[[#This Row],[data]]/(_xlfn.STDEV.P(Tab.11[data])*$B$987)-$A$987)</f>
        <v>0</v>
      </c>
      <c r="N383" s="69" t="b">
        <f>IF(Tab.11[[#This Row],[a1]]=1,Tab.11[[#This Row],[data]]/(_xlfn.STDEV.P(Tab.11[data])*$B$988)+$A$988)</f>
        <v>0</v>
      </c>
      <c r="O383" s="70" t="b">
        <f>IF(Tab.11[[#This Row],[a1]]=1,_xlfn.NORM.DIST(Tab.11[[#This Row],[b8]],$P$1,$Q$1,FALSE))</f>
        <v>0</v>
      </c>
      <c r="P383" s="70" t="b">
        <f>IF(Tab.11[[#This Row],[a1]]=1,_xlfn.NORM.DIST(Tab.11[[#This Row],[b9]],$P$1,$Q$1,FALSE))</f>
        <v>0</v>
      </c>
      <c r="Q383" s="70" t="b">
        <f>IF(Tab.11[[#This Row],[a1]]=1,_xlfn.NORM.DIST(Tab.11[[#This Row],[b10]],$P$1,$Q$1,FALSE))</f>
        <v>0</v>
      </c>
      <c r="R383" s="67" t="b">
        <f>IF(Tab.11[[#This Row],[a1]]=1,$I$3+$A$989+IF($K$3=0,Tab.11[[#This Row],[b8]]*_xlfn.STDEV.P(Tab.11[data]),AVERAGE(Tab.11[b6])+Tab.11[[#This Row],[b8]]*_xlfn.STDEV.P(Tab.11[data])))</f>
        <v>0</v>
      </c>
      <c r="S383" s="71" t="b">
        <f>IF(Tab.11[[#This Row],[a1]]=1,$I$3+$A$987+IF($K$3=0,Tab.11[[#This Row],[b9]]*_xlfn.STDEV.P(Tab.11[data]),AVERAGE(Tab.11[b6])+Tab.11[[#This Row],[b9]]*_xlfn.STDEV.P(Tab.11[data])))</f>
        <v>0</v>
      </c>
      <c r="T383" s="71" t="b">
        <f>IF(Tab.11[[#This Row],[a1]]=1,$I$3+$A$988+IF($K$3=0,Tab.11[[#This Row],[b10]]*_xlfn.STDEV.P(Tab.11[data]),AVERAGE(Tab.11[b6])+Tab.11[[#This Row],[b10]]*_xlfn.STDEV.P(Tab.11[data])))</f>
        <v>0</v>
      </c>
      <c r="U383" s="72" t="b">
        <f>IF(Tab.11[[#This Row],[a1]]=1,Tab.11[[#This Row],[target]]-Tab.11[[#This Row],[Red]])</f>
        <v>0</v>
      </c>
      <c r="V383" s="72" t="b">
        <f>IF(Tab.11[[#This Row],[a1]]=1,Tab.11[[#This Row],[target]]-Tab.11[[#This Row],[Blue]])</f>
        <v>0</v>
      </c>
      <c r="W383" s="73" t="b">
        <f>IF(Tab.11[[#This Row],[a1]]=1,IF(ABS(Tab.11[[#This Row],[b17]])+ABS(Tab.11[[#This Row],[b18]])&lt;$W$2,$W$2,ABS(Tab.11[[#This Row],[b17]])+ABS(Tab.11[[#This Row],[b18]])))</f>
        <v>0</v>
      </c>
      <c r="X383" s="136" t="b">
        <f>IF(Tab.11[[#This Row],[a1]]=1,IF($W$3&lt;0,Tab.11[[#This Row],[IN]]-$I$3,Tab.11[[#This Row],[IN]]))</f>
        <v>0</v>
      </c>
      <c r="Y383" s="136" t="b">
        <f>IF(Tab.11[[#This Row],[a1]]=1,IF($X$3=0,Tab.11[b66],Tab.11[[#This Row],[b66]]-AVERAGE(Tab.11[b66])))</f>
        <v>0</v>
      </c>
      <c r="Z383" s="135" t="b">
        <f>IF(Tab.11[[#This Row],[a1]]=1,Tab.11[[#This Row],[b77]]/(_xlfn.STDEV.P(Tab.11[b77])))</f>
        <v>0</v>
      </c>
      <c r="AA383" s="70" t="b">
        <f>IF(Tab.11[[#This Row],[a1]]=1,_xlfn.NORM.DIST(Tab.11[[#This Row],[b88]],$Z$1,$AA$1,FALSE))</f>
        <v>0</v>
      </c>
      <c r="AB383" s="74" t="b">
        <f>IF(Tab.11[[#This Row],[a1]]=1,IF($A$3=0,FALSE,1/Tab.11[[#This Row],[IN]]*$AC$2*IF(Tab.11[[#This Row],[a1]]=0,,$A$3*$AC$1*1/$V$3*(Tab.11[[#This Row],[b14]]))))</f>
        <v>0</v>
      </c>
      <c r="AC383" s="75" t="b">
        <f>IF(Tab.11[[#This Row],[a1]]=1,IF($AC$3=0,Tab.11[[#This Row],[φ1]],Tab.11[[#This Row],[φ1]]/MAX(Tab.11[φ1])))</f>
        <v>0</v>
      </c>
      <c r="AD383" s="74" t="b">
        <f>IF(Tab.11[[#This Row],[a1]]=1,1/Tab.11[[#This Row],[φ2]])</f>
        <v>0</v>
      </c>
      <c r="AE383" s="74" t="b">
        <f>IF(Tab.11[[#This Row],[a1]]=1,IF($AE$3=0,Tab.11[[#This Row],[w.0]],Tab.11[[#This Row],[w.0]]/SUM(Tab.11[w.0])))</f>
        <v>0</v>
      </c>
      <c r="AF383" s="76" t="str">
        <f>IF(Tab.11[[#This Row],[a1]]=0,"false",[3]!Tab.x5[[#This Row],[%_seN_C]])</f>
        <v>false</v>
      </c>
      <c r="AG383" s="77" t="b">
        <f>IF(Tab.11[[#This Row],[a1]]=1,AP383)</f>
        <v>0</v>
      </c>
      <c r="AH383" s="78" t="b">
        <f>IF(Tab.11[[#This Row],[a1]]=1,AQ383)</f>
        <v>0</v>
      </c>
      <c r="AI383" s="41">
        <v>3.0000000000000001E-3</v>
      </c>
      <c r="AJ383" s="79">
        <v>-0.1</v>
      </c>
      <c r="AK383" s="80" t="b">
        <f>IF(Tab.11[[#This Row],[a1]]=1,1)</f>
        <v>0</v>
      </c>
      <c r="AZ383"/>
    </row>
    <row r="384" spans="1:52" hidden="1" x14ac:dyDescent="0.25">
      <c r="A384" s="61">
        <f t="shared" si="13"/>
        <v>0</v>
      </c>
      <c r="B384" s="62">
        <f t="shared" si="13"/>
        <v>0</v>
      </c>
      <c r="C384" s="62" t="b">
        <f>IF(Tab.11[[#This Row],[a1]]=1,[3]!Tab_x1[[#This Row],[Name]])</f>
        <v>0</v>
      </c>
      <c r="D384" s="63" t="b">
        <f>IF(Tab.11[[#This Row],[a1]]=1,AO384)</f>
        <v>0</v>
      </c>
      <c r="E384" s="63">
        <f t="shared" si="12"/>
        <v>0</v>
      </c>
      <c r="F384" s="64" t="b">
        <f>IF(Tab.11[[#This Row],[a1]]=1,Tab.11[[#This Row],[b1]])</f>
        <v>0</v>
      </c>
      <c r="G384" s="65" t="b">
        <f>IF(Tab.11[[#This Row],[a1]]=1,IF(Tab.11[[#This Row],[b3]]&gt;$L$989*$G$3,$L$989*$G$3,IF(Tab.11[[#This Row],[b3]]&lt;$M$989*$G$3,$M$989*$G$3,Tab.11[[#This Row],[b3]])))</f>
        <v>0</v>
      </c>
      <c r="H384" s="66" t="b">
        <f>IF(Tab.11[[#This Row],[a1]]=1,Tab.11[[#This Row],[b1]])</f>
        <v>0</v>
      </c>
      <c r="I384" s="67" t="b">
        <f>IF(Tab.11[[#This Row],[a1]]=1,Tab.11[[#This Row],[b1]])</f>
        <v>0</v>
      </c>
      <c r="J384" s="68" t="b">
        <f>IF(Tab.11[[#This Row],[a1]]=1,IF($I$3&lt;0,Tab.11[[#This Row],[b5]]-$I$3,Tab.11[[#This Row],[b5]]))</f>
        <v>0</v>
      </c>
      <c r="K384" s="68" t="b">
        <f>IF(Tab.11[[#This Row],[a1]]=1,IF($K$3=0,Tab.11[b6],Tab.11[[#This Row],[b6]]-AVERAGE(Tab.11[b6])))</f>
        <v>0</v>
      </c>
      <c r="L384" s="69" t="b">
        <f>IF(Tab.11[[#This Row],[a1]]=1,Tab.11[[#This Row],[data]]/(_xlfn.STDEV.P(Tab.11[data])*$B$989)+$A$989)</f>
        <v>0</v>
      </c>
      <c r="M384" s="69" t="b">
        <f>IF(Tab.11[[#This Row],[a1]]=1,Tab.11[[#This Row],[data]]/(_xlfn.STDEV.P(Tab.11[data])*$B$987)-$A$987)</f>
        <v>0</v>
      </c>
      <c r="N384" s="69" t="b">
        <f>IF(Tab.11[[#This Row],[a1]]=1,Tab.11[[#This Row],[data]]/(_xlfn.STDEV.P(Tab.11[data])*$B$988)+$A$988)</f>
        <v>0</v>
      </c>
      <c r="O384" s="70" t="b">
        <f>IF(Tab.11[[#This Row],[a1]]=1,_xlfn.NORM.DIST(Tab.11[[#This Row],[b8]],$P$1,$Q$1,FALSE))</f>
        <v>0</v>
      </c>
      <c r="P384" s="70" t="b">
        <f>IF(Tab.11[[#This Row],[a1]]=1,_xlfn.NORM.DIST(Tab.11[[#This Row],[b9]],$P$1,$Q$1,FALSE))</f>
        <v>0</v>
      </c>
      <c r="Q384" s="70" t="b">
        <f>IF(Tab.11[[#This Row],[a1]]=1,_xlfn.NORM.DIST(Tab.11[[#This Row],[b10]],$P$1,$Q$1,FALSE))</f>
        <v>0</v>
      </c>
      <c r="R384" s="67" t="b">
        <f>IF(Tab.11[[#This Row],[a1]]=1,$I$3+$A$989+IF($K$3=0,Tab.11[[#This Row],[b8]]*_xlfn.STDEV.P(Tab.11[data]),AVERAGE(Tab.11[b6])+Tab.11[[#This Row],[b8]]*_xlfn.STDEV.P(Tab.11[data])))</f>
        <v>0</v>
      </c>
      <c r="S384" s="71" t="b">
        <f>IF(Tab.11[[#This Row],[a1]]=1,$I$3+$A$987+IF($K$3=0,Tab.11[[#This Row],[b9]]*_xlfn.STDEV.P(Tab.11[data]),AVERAGE(Tab.11[b6])+Tab.11[[#This Row],[b9]]*_xlfn.STDEV.P(Tab.11[data])))</f>
        <v>0</v>
      </c>
      <c r="T384" s="71" t="b">
        <f>IF(Tab.11[[#This Row],[a1]]=1,$I$3+$A$988+IF($K$3=0,Tab.11[[#This Row],[b10]]*_xlfn.STDEV.P(Tab.11[data]),AVERAGE(Tab.11[b6])+Tab.11[[#This Row],[b10]]*_xlfn.STDEV.P(Tab.11[data])))</f>
        <v>0</v>
      </c>
      <c r="U384" s="72" t="b">
        <f>IF(Tab.11[[#This Row],[a1]]=1,Tab.11[[#This Row],[target]]-Tab.11[[#This Row],[Red]])</f>
        <v>0</v>
      </c>
      <c r="V384" s="72" t="b">
        <f>IF(Tab.11[[#This Row],[a1]]=1,Tab.11[[#This Row],[target]]-Tab.11[[#This Row],[Blue]])</f>
        <v>0</v>
      </c>
      <c r="W384" s="73" t="b">
        <f>IF(Tab.11[[#This Row],[a1]]=1,IF(ABS(Tab.11[[#This Row],[b17]])+ABS(Tab.11[[#This Row],[b18]])&lt;$W$2,$W$2,ABS(Tab.11[[#This Row],[b17]])+ABS(Tab.11[[#This Row],[b18]])))</f>
        <v>0</v>
      </c>
      <c r="X384" s="136" t="b">
        <f>IF(Tab.11[[#This Row],[a1]]=1,IF($W$3&lt;0,Tab.11[[#This Row],[IN]]-$I$3,Tab.11[[#This Row],[IN]]))</f>
        <v>0</v>
      </c>
      <c r="Y384" s="136" t="b">
        <f>IF(Tab.11[[#This Row],[a1]]=1,IF($X$3=0,Tab.11[b66],Tab.11[[#This Row],[b66]]-AVERAGE(Tab.11[b66])))</f>
        <v>0</v>
      </c>
      <c r="Z384" s="135" t="b">
        <f>IF(Tab.11[[#This Row],[a1]]=1,Tab.11[[#This Row],[b77]]/(_xlfn.STDEV.P(Tab.11[b77])))</f>
        <v>0</v>
      </c>
      <c r="AA384" s="70" t="b">
        <f>IF(Tab.11[[#This Row],[a1]]=1,_xlfn.NORM.DIST(Tab.11[[#This Row],[b88]],$Z$1,$AA$1,FALSE))</f>
        <v>0</v>
      </c>
      <c r="AB384" s="74" t="b">
        <f>IF(Tab.11[[#This Row],[a1]]=1,IF($A$3=0,FALSE,1/Tab.11[[#This Row],[IN]]*$AC$2*IF(Tab.11[[#This Row],[a1]]=0,,$A$3*$AC$1*1/$V$3*(Tab.11[[#This Row],[b14]]))))</f>
        <v>0</v>
      </c>
      <c r="AC384" s="75" t="b">
        <f>IF(Tab.11[[#This Row],[a1]]=1,IF($AC$3=0,Tab.11[[#This Row],[φ1]],Tab.11[[#This Row],[φ1]]/MAX(Tab.11[φ1])))</f>
        <v>0</v>
      </c>
      <c r="AD384" s="74" t="b">
        <f>IF(Tab.11[[#This Row],[a1]]=1,1/Tab.11[[#This Row],[φ2]])</f>
        <v>0</v>
      </c>
      <c r="AE384" s="74" t="b">
        <f>IF(Tab.11[[#This Row],[a1]]=1,IF($AE$3=0,Tab.11[[#This Row],[w.0]],Tab.11[[#This Row],[w.0]]/SUM(Tab.11[w.0])))</f>
        <v>0</v>
      </c>
      <c r="AF384" s="76" t="str">
        <f>IF(Tab.11[[#This Row],[a1]]=0,"false",[3]!Tab.x5[[#This Row],[%_seN_C]])</f>
        <v>false</v>
      </c>
      <c r="AG384" s="77" t="b">
        <f>IF(Tab.11[[#This Row],[a1]]=1,AP384)</f>
        <v>0</v>
      </c>
      <c r="AH384" s="78" t="b">
        <f>IF(Tab.11[[#This Row],[a1]]=1,AQ384)</f>
        <v>0</v>
      </c>
      <c r="AI384" s="41">
        <v>3.0000000000000001E-3</v>
      </c>
      <c r="AJ384" s="79">
        <v>-0.06</v>
      </c>
      <c r="AK384" s="80" t="b">
        <f>IF(Tab.11[[#This Row],[a1]]=1,1)</f>
        <v>0</v>
      </c>
      <c r="AZ384"/>
    </row>
    <row r="385" spans="1:52" hidden="1" x14ac:dyDescent="0.25">
      <c r="A385" s="61">
        <f t="shared" si="13"/>
        <v>0</v>
      </c>
      <c r="B385" s="62">
        <f t="shared" si="13"/>
        <v>0</v>
      </c>
      <c r="C385" s="62" t="b">
        <f>IF(Tab.11[[#This Row],[a1]]=1,[3]!Tab_x1[[#This Row],[Name]])</f>
        <v>0</v>
      </c>
      <c r="D385" s="63" t="b">
        <f>IF(Tab.11[[#This Row],[a1]]=1,AO385)</f>
        <v>0</v>
      </c>
      <c r="E385" s="63">
        <f t="shared" si="12"/>
        <v>0</v>
      </c>
      <c r="F385" s="64" t="b">
        <f>IF(Tab.11[[#This Row],[a1]]=1,Tab.11[[#This Row],[b1]])</f>
        <v>0</v>
      </c>
      <c r="G385" s="65" t="b">
        <f>IF(Tab.11[[#This Row],[a1]]=1,IF(Tab.11[[#This Row],[b3]]&gt;$L$989*$G$3,$L$989*$G$3,IF(Tab.11[[#This Row],[b3]]&lt;$M$989*$G$3,$M$989*$G$3,Tab.11[[#This Row],[b3]])))</f>
        <v>0</v>
      </c>
      <c r="H385" s="66" t="b">
        <f>IF(Tab.11[[#This Row],[a1]]=1,Tab.11[[#This Row],[b1]])</f>
        <v>0</v>
      </c>
      <c r="I385" s="67" t="b">
        <f>IF(Tab.11[[#This Row],[a1]]=1,Tab.11[[#This Row],[b1]])</f>
        <v>0</v>
      </c>
      <c r="J385" s="68" t="b">
        <f>IF(Tab.11[[#This Row],[a1]]=1,IF($I$3&lt;0,Tab.11[[#This Row],[b5]]-$I$3,Tab.11[[#This Row],[b5]]))</f>
        <v>0</v>
      </c>
      <c r="K385" s="68" t="b">
        <f>IF(Tab.11[[#This Row],[a1]]=1,IF($K$3=0,Tab.11[b6],Tab.11[[#This Row],[b6]]-AVERAGE(Tab.11[b6])))</f>
        <v>0</v>
      </c>
      <c r="L385" s="69" t="b">
        <f>IF(Tab.11[[#This Row],[a1]]=1,Tab.11[[#This Row],[data]]/(_xlfn.STDEV.P(Tab.11[data])*$B$989)+$A$989)</f>
        <v>0</v>
      </c>
      <c r="M385" s="69" t="b">
        <f>IF(Tab.11[[#This Row],[a1]]=1,Tab.11[[#This Row],[data]]/(_xlfn.STDEV.P(Tab.11[data])*$B$987)-$A$987)</f>
        <v>0</v>
      </c>
      <c r="N385" s="69" t="b">
        <f>IF(Tab.11[[#This Row],[a1]]=1,Tab.11[[#This Row],[data]]/(_xlfn.STDEV.P(Tab.11[data])*$B$988)+$A$988)</f>
        <v>0</v>
      </c>
      <c r="O385" s="70" t="b">
        <f>IF(Tab.11[[#This Row],[a1]]=1,_xlfn.NORM.DIST(Tab.11[[#This Row],[b8]],$P$1,$Q$1,FALSE))</f>
        <v>0</v>
      </c>
      <c r="P385" s="70" t="b">
        <f>IF(Tab.11[[#This Row],[a1]]=1,_xlfn.NORM.DIST(Tab.11[[#This Row],[b9]],$P$1,$Q$1,FALSE))</f>
        <v>0</v>
      </c>
      <c r="Q385" s="70" t="b">
        <f>IF(Tab.11[[#This Row],[a1]]=1,_xlfn.NORM.DIST(Tab.11[[#This Row],[b10]],$P$1,$Q$1,FALSE))</f>
        <v>0</v>
      </c>
      <c r="R385" s="67" t="b">
        <f>IF(Tab.11[[#This Row],[a1]]=1,$I$3+$A$989+IF($K$3=0,Tab.11[[#This Row],[b8]]*_xlfn.STDEV.P(Tab.11[data]),AVERAGE(Tab.11[b6])+Tab.11[[#This Row],[b8]]*_xlfn.STDEV.P(Tab.11[data])))</f>
        <v>0</v>
      </c>
      <c r="S385" s="71" t="b">
        <f>IF(Tab.11[[#This Row],[a1]]=1,$I$3+$A$987+IF($K$3=0,Tab.11[[#This Row],[b9]]*_xlfn.STDEV.P(Tab.11[data]),AVERAGE(Tab.11[b6])+Tab.11[[#This Row],[b9]]*_xlfn.STDEV.P(Tab.11[data])))</f>
        <v>0</v>
      </c>
      <c r="T385" s="71" t="b">
        <f>IF(Tab.11[[#This Row],[a1]]=1,$I$3+$A$988+IF($K$3=0,Tab.11[[#This Row],[b10]]*_xlfn.STDEV.P(Tab.11[data]),AVERAGE(Tab.11[b6])+Tab.11[[#This Row],[b10]]*_xlfn.STDEV.P(Tab.11[data])))</f>
        <v>0</v>
      </c>
      <c r="U385" s="72" t="b">
        <f>IF(Tab.11[[#This Row],[a1]]=1,Tab.11[[#This Row],[target]]-Tab.11[[#This Row],[Red]])</f>
        <v>0</v>
      </c>
      <c r="V385" s="72" t="b">
        <f>IF(Tab.11[[#This Row],[a1]]=1,Tab.11[[#This Row],[target]]-Tab.11[[#This Row],[Blue]])</f>
        <v>0</v>
      </c>
      <c r="W385" s="73" t="b">
        <f>IF(Tab.11[[#This Row],[a1]]=1,IF(ABS(Tab.11[[#This Row],[b17]])+ABS(Tab.11[[#This Row],[b18]])&lt;$W$2,$W$2,ABS(Tab.11[[#This Row],[b17]])+ABS(Tab.11[[#This Row],[b18]])))</f>
        <v>0</v>
      </c>
      <c r="X385" s="136" t="b">
        <f>IF(Tab.11[[#This Row],[a1]]=1,IF($W$3&lt;0,Tab.11[[#This Row],[IN]]-$I$3,Tab.11[[#This Row],[IN]]))</f>
        <v>0</v>
      </c>
      <c r="Y385" s="136" t="b">
        <f>IF(Tab.11[[#This Row],[a1]]=1,IF($X$3=0,Tab.11[b66],Tab.11[[#This Row],[b66]]-AVERAGE(Tab.11[b66])))</f>
        <v>0</v>
      </c>
      <c r="Z385" s="135" t="b">
        <f>IF(Tab.11[[#This Row],[a1]]=1,Tab.11[[#This Row],[b77]]/(_xlfn.STDEV.P(Tab.11[b77])))</f>
        <v>0</v>
      </c>
      <c r="AA385" s="70" t="b">
        <f>IF(Tab.11[[#This Row],[a1]]=1,_xlfn.NORM.DIST(Tab.11[[#This Row],[b88]],$Z$1,$AA$1,FALSE))</f>
        <v>0</v>
      </c>
      <c r="AB385" s="74" t="b">
        <f>IF(Tab.11[[#This Row],[a1]]=1,IF($A$3=0,FALSE,1/Tab.11[[#This Row],[IN]]*$AC$2*IF(Tab.11[[#This Row],[a1]]=0,,$A$3*$AC$1*1/$V$3*(Tab.11[[#This Row],[b14]]))))</f>
        <v>0</v>
      </c>
      <c r="AC385" s="75" t="b">
        <f>IF(Tab.11[[#This Row],[a1]]=1,IF($AC$3=0,Tab.11[[#This Row],[φ1]],Tab.11[[#This Row],[φ1]]/MAX(Tab.11[φ1])))</f>
        <v>0</v>
      </c>
      <c r="AD385" s="74" t="b">
        <f>IF(Tab.11[[#This Row],[a1]]=1,1/Tab.11[[#This Row],[φ2]])</f>
        <v>0</v>
      </c>
      <c r="AE385" s="74" t="b">
        <f>IF(Tab.11[[#This Row],[a1]]=1,IF($AE$3=0,Tab.11[[#This Row],[w.0]],Tab.11[[#This Row],[w.0]]/SUM(Tab.11[w.0])))</f>
        <v>0</v>
      </c>
      <c r="AF385" s="76" t="str">
        <f>IF(Tab.11[[#This Row],[a1]]=0,"false",[3]!Tab.x5[[#This Row],[%_seN_C]])</f>
        <v>false</v>
      </c>
      <c r="AG385" s="77" t="b">
        <f>IF(Tab.11[[#This Row],[a1]]=1,AP385)</f>
        <v>0</v>
      </c>
      <c r="AH385" s="78" t="b">
        <f>IF(Tab.11[[#This Row],[a1]]=1,AQ385)</f>
        <v>0</v>
      </c>
      <c r="AI385" s="41">
        <v>3.0000000000000001E-3</v>
      </c>
      <c r="AJ385" s="79">
        <v>0.09</v>
      </c>
      <c r="AK385" s="80" t="b">
        <f>IF(Tab.11[[#This Row],[a1]]=1,1)</f>
        <v>0</v>
      </c>
      <c r="AZ385"/>
    </row>
    <row r="386" spans="1:52" hidden="1" x14ac:dyDescent="0.25">
      <c r="A386" s="61">
        <f t="shared" si="13"/>
        <v>0</v>
      </c>
      <c r="B386" s="62">
        <f t="shared" si="13"/>
        <v>0</v>
      </c>
      <c r="C386" s="62" t="b">
        <f>IF(Tab.11[[#This Row],[a1]]=1,[3]!Tab_x1[[#This Row],[Name]])</f>
        <v>0</v>
      </c>
      <c r="D386" s="63" t="b">
        <f>IF(Tab.11[[#This Row],[a1]]=1,AO386)</f>
        <v>0</v>
      </c>
      <c r="E386" s="63">
        <f t="shared" si="12"/>
        <v>0</v>
      </c>
      <c r="F386" s="64" t="b">
        <f>IF(Tab.11[[#This Row],[a1]]=1,Tab.11[[#This Row],[b1]])</f>
        <v>0</v>
      </c>
      <c r="G386" s="65" t="b">
        <f>IF(Tab.11[[#This Row],[a1]]=1,IF(Tab.11[[#This Row],[b3]]&gt;$L$989*$G$3,$L$989*$G$3,IF(Tab.11[[#This Row],[b3]]&lt;$M$989*$G$3,$M$989*$G$3,Tab.11[[#This Row],[b3]])))</f>
        <v>0</v>
      </c>
      <c r="H386" s="66" t="b">
        <f>IF(Tab.11[[#This Row],[a1]]=1,Tab.11[[#This Row],[b1]])</f>
        <v>0</v>
      </c>
      <c r="I386" s="67" t="b">
        <f>IF(Tab.11[[#This Row],[a1]]=1,Tab.11[[#This Row],[b1]])</f>
        <v>0</v>
      </c>
      <c r="J386" s="68" t="b">
        <f>IF(Tab.11[[#This Row],[a1]]=1,IF($I$3&lt;0,Tab.11[[#This Row],[b5]]-$I$3,Tab.11[[#This Row],[b5]]))</f>
        <v>0</v>
      </c>
      <c r="K386" s="68" t="b">
        <f>IF(Tab.11[[#This Row],[a1]]=1,IF($K$3=0,Tab.11[b6],Tab.11[[#This Row],[b6]]-AVERAGE(Tab.11[b6])))</f>
        <v>0</v>
      </c>
      <c r="L386" s="69" t="b">
        <f>IF(Tab.11[[#This Row],[a1]]=1,Tab.11[[#This Row],[data]]/(_xlfn.STDEV.P(Tab.11[data])*$B$989)+$A$989)</f>
        <v>0</v>
      </c>
      <c r="M386" s="69" t="b">
        <f>IF(Tab.11[[#This Row],[a1]]=1,Tab.11[[#This Row],[data]]/(_xlfn.STDEV.P(Tab.11[data])*$B$987)-$A$987)</f>
        <v>0</v>
      </c>
      <c r="N386" s="69" t="b">
        <f>IF(Tab.11[[#This Row],[a1]]=1,Tab.11[[#This Row],[data]]/(_xlfn.STDEV.P(Tab.11[data])*$B$988)+$A$988)</f>
        <v>0</v>
      </c>
      <c r="O386" s="70" t="b">
        <f>IF(Tab.11[[#This Row],[a1]]=1,_xlfn.NORM.DIST(Tab.11[[#This Row],[b8]],$P$1,$Q$1,FALSE))</f>
        <v>0</v>
      </c>
      <c r="P386" s="70" t="b">
        <f>IF(Tab.11[[#This Row],[a1]]=1,_xlfn.NORM.DIST(Tab.11[[#This Row],[b9]],$P$1,$Q$1,FALSE))</f>
        <v>0</v>
      </c>
      <c r="Q386" s="70" t="b">
        <f>IF(Tab.11[[#This Row],[a1]]=1,_xlfn.NORM.DIST(Tab.11[[#This Row],[b10]],$P$1,$Q$1,FALSE))</f>
        <v>0</v>
      </c>
      <c r="R386" s="67" t="b">
        <f>IF(Tab.11[[#This Row],[a1]]=1,$I$3+$A$989+IF($K$3=0,Tab.11[[#This Row],[b8]]*_xlfn.STDEV.P(Tab.11[data]),AVERAGE(Tab.11[b6])+Tab.11[[#This Row],[b8]]*_xlfn.STDEV.P(Tab.11[data])))</f>
        <v>0</v>
      </c>
      <c r="S386" s="71" t="b">
        <f>IF(Tab.11[[#This Row],[a1]]=1,$I$3+$A$987+IF($K$3=0,Tab.11[[#This Row],[b9]]*_xlfn.STDEV.P(Tab.11[data]),AVERAGE(Tab.11[b6])+Tab.11[[#This Row],[b9]]*_xlfn.STDEV.P(Tab.11[data])))</f>
        <v>0</v>
      </c>
      <c r="T386" s="71" t="b">
        <f>IF(Tab.11[[#This Row],[a1]]=1,$I$3+$A$988+IF($K$3=0,Tab.11[[#This Row],[b10]]*_xlfn.STDEV.P(Tab.11[data]),AVERAGE(Tab.11[b6])+Tab.11[[#This Row],[b10]]*_xlfn.STDEV.P(Tab.11[data])))</f>
        <v>0</v>
      </c>
      <c r="U386" s="72" t="b">
        <f>IF(Tab.11[[#This Row],[a1]]=1,Tab.11[[#This Row],[target]]-Tab.11[[#This Row],[Red]])</f>
        <v>0</v>
      </c>
      <c r="V386" s="72" t="b">
        <f>IF(Tab.11[[#This Row],[a1]]=1,Tab.11[[#This Row],[target]]-Tab.11[[#This Row],[Blue]])</f>
        <v>0</v>
      </c>
      <c r="W386" s="73" t="b">
        <f>IF(Tab.11[[#This Row],[a1]]=1,IF(ABS(Tab.11[[#This Row],[b17]])+ABS(Tab.11[[#This Row],[b18]])&lt;$W$2,$W$2,ABS(Tab.11[[#This Row],[b17]])+ABS(Tab.11[[#This Row],[b18]])))</f>
        <v>0</v>
      </c>
      <c r="X386" s="136" t="b">
        <f>IF(Tab.11[[#This Row],[a1]]=1,IF($W$3&lt;0,Tab.11[[#This Row],[IN]]-$I$3,Tab.11[[#This Row],[IN]]))</f>
        <v>0</v>
      </c>
      <c r="Y386" s="136" t="b">
        <f>IF(Tab.11[[#This Row],[a1]]=1,IF($X$3=0,Tab.11[b66],Tab.11[[#This Row],[b66]]-AVERAGE(Tab.11[b66])))</f>
        <v>0</v>
      </c>
      <c r="Z386" s="135" t="b">
        <f>IF(Tab.11[[#This Row],[a1]]=1,Tab.11[[#This Row],[b77]]/(_xlfn.STDEV.P(Tab.11[b77])))</f>
        <v>0</v>
      </c>
      <c r="AA386" s="70" t="b">
        <f>IF(Tab.11[[#This Row],[a1]]=1,_xlfn.NORM.DIST(Tab.11[[#This Row],[b88]],$Z$1,$AA$1,FALSE))</f>
        <v>0</v>
      </c>
      <c r="AB386" s="74" t="b">
        <f>IF(Tab.11[[#This Row],[a1]]=1,IF($A$3=0,FALSE,1/Tab.11[[#This Row],[IN]]*$AC$2*IF(Tab.11[[#This Row],[a1]]=0,,$A$3*$AC$1*1/$V$3*(Tab.11[[#This Row],[b14]]))))</f>
        <v>0</v>
      </c>
      <c r="AC386" s="75" t="b">
        <f>IF(Tab.11[[#This Row],[a1]]=1,IF($AC$3=0,Tab.11[[#This Row],[φ1]],Tab.11[[#This Row],[φ1]]/MAX(Tab.11[φ1])))</f>
        <v>0</v>
      </c>
      <c r="AD386" s="74" t="b">
        <f>IF(Tab.11[[#This Row],[a1]]=1,1/Tab.11[[#This Row],[φ2]])</f>
        <v>0</v>
      </c>
      <c r="AE386" s="74" t="b">
        <f>IF(Tab.11[[#This Row],[a1]]=1,IF($AE$3=0,Tab.11[[#This Row],[w.0]],Tab.11[[#This Row],[w.0]]/SUM(Tab.11[w.0])))</f>
        <v>0</v>
      </c>
      <c r="AF386" s="76" t="str">
        <f>IF(Tab.11[[#This Row],[a1]]=0,"false",[3]!Tab.x5[[#This Row],[%_seN_C]])</f>
        <v>false</v>
      </c>
      <c r="AG386" s="77" t="b">
        <f>IF(Tab.11[[#This Row],[a1]]=1,AP386)</f>
        <v>0</v>
      </c>
      <c r="AH386" s="78" t="b">
        <f>IF(Tab.11[[#This Row],[a1]]=1,AQ386)</f>
        <v>0</v>
      </c>
      <c r="AI386" s="41">
        <v>3.0000000000000001E-3</v>
      </c>
      <c r="AJ386" s="79">
        <v>-7.0000000000000007E-2</v>
      </c>
      <c r="AK386" s="80" t="b">
        <f>IF(Tab.11[[#This Row],[a1]]=1,1)</f>
        <v>0</v>
      </c>
      <c r="AZ386"/>
    </row>
    <row r="387" spans="1:52" hidden="1" x14ac:dyDescent="0.25">
      <c r="A387" s="61">
        <f t="shared" si="13"/>
        <v>0</v>
      </c>
      <c r="B387" s="62">
        <f t="shared" si="13"/>
        <v>0</v>
      </c>
      <c r="C387" s="62" t="b">
        <f>IF(Tab.11[[#This Row],[a1]]=1,[3]!Tab_x1[[#This Row],[Name]])</f>
        <v>0</v>
      </c>
      <c r="D387" s="63" t="b">
        <f>IF(Tab.11[[#This Row],[a1]]=1,AO387)</f>
        <v>0</v>
      </c>
      <c r="E387" s="63">
        <f t="shared" si="12"/>
        <v>0</v>
      </c>
      <c r="F387" s="64" t="b">
        <f>IF(Tab.11[[#This Row],[a1]]=1,Tab.11[[#This Row],[b1]])</f>
        <v>0</v>
      </c>
      <c r="G387" s="65" t="b">
        <f>IF(Tab.11[[#This Row],[a1]]=1,IF(Tab.11[[#This Row],[b3]]&gt;$L$989*$G$3,$L$989*$G$3,IF(Tab.11[[#This Row],[b3]]&lt;$M$989*$G$3,$M$989*$G$3,Tab.11[[#This Row],[b3]])))</f>
        <v>0</v>
      </c>
      <c r="H387" s="66" t="b">
        <f>IF(Tab.11[[#This Row],[a1]]=1,Tab.11[[#This Row],[b1]])</f>
        <v>0</v>
      </c>
      <c r="I387" s="67" t="b">
        <f>IF(Tab.11[[#This Row],[a1]]=1,Tab.11[[#This Row],[b1]])</f>
        <v>0</v>
      </c>
      <c r="J387" s="68" t="b">
        <f>IF(Tab.11[[#This Row],[a1]]=1,IF($I$3&lt;0,Tab.11[[#This Row],[b5]]-$I$3,Tab.11[[#This Row],[b5]]))</f>
        <v>0</v>
      </c>
      <c r="K387" s="68" t="b">
        <f>IF(Tab.11[[#This Row],[a1]]=1,IF($K$3=0,Tab.11[b6],Tab.11[[#This Row],[b6]]-AVERAGE(Tab.11[b6])))</f>
        <v>0</v>
      </c>
      <c r="L387" s="69" t="b">
        <f>IF(Tab.11[[#This Row],[a1]]=1,Tab.11[[#This Row],[data]]/(_xlfn.STDEV.P(Tab.11[data])*$B$989)+$A$989)</f>
        <v>0</v>
      </c>
      <c r="M387" s="69" t="b">
        <f>IF(Tab.11[[#This Row],[a1]]=1,Tab.11[[#This Row],[data]]/(_xlfn.STDEV.P(Tab.11[data])*$B$987)-$A$987)</f>
        <v>0</v>
      </c>
      <c r="N387" s="69" t="b">
        <f>IF(Tab.11[[#This Row],[a1]]=1,Tab.11[[#This Row],[data]]/(_xlfn.STDEV.P(Tab.11[data])*$B$988)+$A$988)</f>
        <v>0</v>
      </c>
      <c r="O387" s="70" t="b">
        <f>IF(Tab.11[[#This Row],[a1]]=1,_xlfn.NORM.DIST(Tab.11[[#This Row],[b8]],$P$1,$Q$1,FALSE))</f>
        <v>0</v>
      </c>
      <c r="P387" s="70" t="b">
        <f>IF(Tab.11[[#This Row],[a1]]=1,_xlfn.NORM.DIST(Tab.11[[#This Row],[b9]],$P$1,$Q$1,FALSE))</f>
        <v>0</v>
      </c>
      <c r="Q387" s="70" t="b">
        <f>IF(Tab.11[[#This Row],[a1]]=1,_xlfn.NORM.DIST(Tab.11[[#This Row],[b10]],$P$1,$Q$1,FALSE))</f>
        <v>0</v>
      </c>
      <c r="R387" s="67" t="b">
        <f>IF(Tab.11[[#This Row],[a1]]=1,$I$3+$A$989+IF($K$3=0,Tab.11[[#This Row],[b8]]*_xlfn.STDEV.P(Tab.11[data]),AVERAGE(Tab.11[b6])+Tab.11[[#This Row],[b8]]*_xlfn.STDEV.P(Tab.11[data])))</f>
        <v>0</v>
      </c>
      <c r="S387" s="71" t="b">
        <f>IF(Tab.11[[#This Row],[a1]]=1,$I$3+$A$987+IF($K$3=0,Tab.11[[#This Row],[b9]]*_xlfn.STDEV.P(Tab.11[data]),AVERAGE(Tab.11[b6])+Tab.11[[#This Row],[b9]]*_xlfn.STDEV.P(Tab.11[data])))</f>
        <v>0</v>
      </c>
      <c r="T387" s="71" t="b">
        <f>IF(Tab.11[[#This Row],[a1]]=1,$I$3+$A$988+IF($K$3=0,Tab.11[[#This Row],[b10]]*_xlfn.STDEV.P(Tab.11[data]),AVERAGE(Tab.11[b6])+Tab.11[[#This Row],[b10]]*_xlfn.STDEV.P(Tab.11[data])))</f>
        <v>0</v>
      </c>
      <c r="U387" s="72" t="b">
        <f>IF(Tab.11[[#This Row],[a1]]=1,Tab.11[[#This Row],[target]]-Tab.11[[#This Row],[Red]])</f>
        <v>0</v>
      </c>
      <c r="V387" s="72" t="b">
        <f>IF(Tab.11[[#This Row],[a1]]=1,Tab.11[[#This Row],[target]]-Tab.11[[#This Row],[Blue]])</f>
        <v>0</v>
      </c>
      <c r="W387" s="73" t="b">
        <f>IF(Tab.11[[#This Row],[a1]]=1,IF(ABS(Tab.11[[#This Row],[b17]])+ABS(Tab.11[[#This Row],[b18]])&lt;$W$2,$W$2,ABS(Tab.11[[#This Row],[b17]])+ABS(Tab.11[[#This Row],[b18]])))</f>
        <v>0</v>
      </c>
      <c r="X387" s="136" t="b">
        <f>IF(Tab.11[[#This Row],[a1]]=1,IF($W$3&lt;0,Tab.11[[#This Row],[IN]]-$I$3,Tab.11[[#This Row],[IN]]))</f>
        <v>0</v>
      </c>
      <c r="Y387" s="136" t="b">
        <f>IF(Tab.11[[#This Row],[a1]]=1,IF($X$3=0,Tab.11[b66],Tab.11[[#This Row],[b66]]-AVERAGE(Tab.11[b66])))</f>
        <v>0</v>
      </c>
      <c r="Z387" s="135" t="b">
        <f>IF(Tab.11[[#This Row],[a1]]=1,Tab.11[[#This Row],[b77]]/(_xlfn.STDEV.P(Tab.11[b77])))</f>
        <v>0</v>
      </c>
      <c r="AA387" s="70" t="b">
        <f>IF(Tab.11[[#This Row],[a1]]=1,_xlfn.NORM.DIST(Tab.11[[#This Row],[b88]],$Z$1,$AA$1,FALSE))</f>
        <v>0</v>
      </c>
      <c r="AB387" s="74" t="b">
        <f>IF(Tab.11[[#This Row],[a1]]=1,IF($A$3=0,FALSE,1/Tab.11[[#This Row],[IN]]*$AC$2*IF(Tab.11[[#This Row],[a1]]=0,,$A$3*$AC$1*1/$V$3*(Tab.11[[#This Row],[b14]]))))</f>
        <v>0</v>
      </c>
      <c r="AC387" s="75" t="b">
        <f>IF(Tab.11[[#This Row],[a1]]=1,IF($AC$3=0,Tab.11[[#This Row],[φ1]],Tab.11[[#This Row],[φ1]]/MAX(Tab.11[φ1])))</f>
        <v>0</v>
      </c>
      <c r="AD387" s="74" t="b">
        <f>IF(Tab.11[[#This Row],[a1]]=1,1/Tab.11[[#This Row],[φ2]])</f>
        <v>0</v>
      </c>
      <c r="AE387" s="74" t="b">
        <f>IF(Tab.11[[#This Row],[a1]]=1,IF($AE$3=0,Tab.11[[#This Row],[w.0]],Tab.11[[#This Row],[w.0]]/SUM(Tab.11[w.0])))</f>
        <v>0</v>
      </c>
      <c r="AF387" s="76" t="str">
        <f>IF(Tab.11[[#This Row],[a1]]=0,"false",[3]!Tab.x5[[#This Row],[%_seN_C]])</f>
        <v>false</v>
      </c>
      <c r="AG387" s="77" t="b">
        <f>IF(Tab.11[[#This Row],[a1]]=1,AP387)</f>
        <v>0</v>
      </c>
      <c r="AH387" s="78" t="b">
        <f>IF(Tab.11[[#This Row],[a1]]=1,AQ387)</f>
        <v>0</v>
      </c>
      <c r="AI387" s="41">
        <v>3.0000000000000001E-3</v>
      </c>
      <c r="AJ387" s="79">
        <v>-0.06</v>
      </c>
      <c r="AK387" s="80" t="b">
        <f>IF(Tab.11[[#This Row],[a1]]=1,1)</f>
        <v>0</v>
      </c>
      <c r="AZ387"/>
    </row>
    <row r="388" spans="1:52" hidden="1" x14ac:dyDescent="0.25">
      <c r="A388" s="61">
        <f t="shared" si="13"/>
        <v>0</v>
      </c>
      <c r="B388" s="62">
        <f t="shared" si="13"/>
        <v>0</v>
      </c>
      <c r="C388" s="62" t="b">
        <f>IF(Tab.11[[#This Row],[a1]]=1,[3]!Tab_x1[[#This Row],[Name]])</f>
        <v>0</v>
      </c>
      <c r="D388" s="63" t="b">
        <f>IF(Tab.11[[#This Row],[a1]]=1,AO388)</f>
        <v>0</v>
      </c>
      <c r="E388" s="63">
        <f t="shared" si="12"/>
        <v>0</v>
      </c>
      <c r="F388" s="64" t="b">
        <f>IF(Tab.11[[#This Row],[a1]]=1,Tab.11[[#This Row],[b1]])</f>
        <v>0</v>
      </c>
      <c r="G388" s="65" t="b">
        <f>IF(Tab.11[[#This Row],[a1]]=1,IF(Tab.11[[#This Row],[b3]]&gt;$L$989*$G$3,$L$989*$G$3,IF(Tab.11[[#This Row],[b3]]&lt;$M$989*$G$3,$M$989*$G$3,Tab.11[[#This Row],[b3]])))</f>
        <v>0</v>
      </c>
      <c r="H388" s="66" t="b">
        <f>IF(Tab.11[[#This Row],[a1]]=1,Tab.11[[#This Row],[b1]])</f>
        <v>0</v>
      </c>
      <c r="I388" s="67" t="b">
        <f>IF(Tab.11[[#This Row],[a1]]=1,Tab.11[[#This Row],[b1]])</f>
        <v>0</v>
      </c>
      <c r="J388" s="68" t="b">
        <f>IF(Tab.11[[#This Row],[a1]]=1,IF($I$3&lt;0,Tab.11[[#This Row],[b5]]-$I$3,Tab.11[[#This Row],[b5]]))</f>
        <v>0</v>
      </c>
      <c r="K388" s="68" t="b">
        <f>IF(Tab.11[[#This Row],[a1]]=1,IF($K$3=0,Tab.11[b6],Tab.11[[#This Row],[b6]]-AVERAGE(Tab.11[b6])))</f>
        <v>0</v>
      </c>
      <c r="L388" s="69" t="b">
        <f>IF(Tab.11[[#This Row],[a1]]=1,Tab.11[[#This Row],[data]]/(_xlfn.STDEV.P(Tab.11[data])*$B$989)+$A$989)</f>
        <v>0</v>
      </c>
      <c r="M388" s="69" t="b">
        <f>IF(Tab.11[[#This Row],[a1]]=1,Tab.11[[#This Row],[data]]/(_xlfn.STDEV.P(Tab.11[data])*$B$987)-$A$987)</f>
        <v>0</v>
      </c>
      <c r="N388" s="69" t="b">
        <f>IF(Tab.11[[#This Row],[a1]]=1,Tab.11[[#This Row],[data]]/(_xlfn.STDEV.P(Tab.11[data])*$B$988)+$A$988)</f>
        <v>0</v>
      </c>
      <c r="O388" s="70" t="b">
        <f>IF(Tab.11[[#This Row],[a1]]=1,_xlfn.NORM.DIST(Tab.11[[#This Row],[b8]],$P$1,$Q$1,FALSE))</f>
        <v>0</v>
      </c>
      <c r="P388" s="70" t="b">
        <f>IF(Tab.11[[#This Row],[a1]]=1,_xlfn.NORM.DIST(Tab.11[[#This Row],[b9]],$P$1,$Q$1,FALSE))</f>
        <v>0</v>
      </c>
      <c r="Q388" s="70" t="b">
        <f>IF(Tab.11[[#This Row],[a1]]=1,_xlfn.NORM.DIST(Tab.11[[#This Row],[b10]],$P$1,$Q$1,FALSE))</f>
        <v>0</v>
      </c>
      <c r="R388" s="67" t="b">
        <f>IF(Tab.11[[#This Row],[a1]]=1,$I$3+$A$989+IF($K$3=0,Tab.11[[#This Row],[b8]]*_xlfn.STDEV.P(Tab.11[data]),AVERAGE(Tab.11[b6])+Tab.11[[#This Row],[b8]]*_xlfn.STDEV.P(Tab.11[data])))</f>
        <v>0</v>
      </c>
      <c r="S388" s="71" t="b">
        <f>IF(Tab.11[[#This Row],[a1]]=1,$I$3+$A$987+IF($K$3=0,Tab.11[[#This Row],[b9]]*_xlfn.STDEV.P(Tab.11[data]),AVERAGE(Tab.11[b6])+Tab.11[[#This Row],[b9]]*_xlfn.STDEV.P(Tab.11[data])))</f>
        <v>0</v>
      </c>
      <c r="T388" s="71" t="b">
        <f>IF(Tab.11[[#This Row],[a1]]=1,$I$3+$A$988+IF($K$3=0,Tab.11[[#This Row],[b10]]*_xlfn.STDEV.P(Tab.11[data]),AVERAGE(Tab.11[b6])+Tab.11[[#This Row],[b10]]*_xlfn.STDEV.P(Tab.11[data])))</f>
        <v>0</v>
      </c>
      <c r="U388" s="72" t="b">
        <f>IF(Tab.11[[#This Row],[a1]]=1,Tab.11[[#This Row],[target]]-Tab.11[[#This Row],[Red]])</f>
        <v>0</v>
      </c>
      <c r="V388" s="72" t="b">
        <f>IF(Tab.11[[#This Row],[a1]]=1,Tab.11[[#This Row],[target]]-Tab.11[[#This Row],[Blue]])</f>
        <v>0</v>
      </c>
      <c r="W388" s="73" t="b">
        <f>IF(Tab.11[[#This Row],[a1]]=1,IF(ABS(Tab.11[[#This Row],[b17]])+ABS(Tab.11[[#This Row],[b18]])&lt;$W$2,$W$2,ABS(Tab.11[[#This Row],[b17]])+ABS(Tab.11[[#This Row],[b18]])))</f>
        <v>0</v>
      </c>
      <c r="X388" s="136" t="b">
        <f>IF(Tab.11[[#This Row],[a1]]=1,IF($W$3&lt;0,Tab.11[[#This Row],[IN]]-$I$3,Tab.11[[#This Row],[IN]]))</f>
        <v>0</v>
      </c>
      <c r="Y388" s="136" t="b">
        <f>IF(Tab.11[[#This Row],[a1]]=1,IF($X$3=0,Tab.11[b66],Tab.11[[#This Row],[b66]]-AVERAGE(Tab.11[b66])))</f>
        <v>0</v>
      </c>
      <c r="Z388" s="135" t="b">
        <f>IF(Tab.11[[#This Row],[a1]]=1,Tab.11[[#This Row],[b77]]/(_xlfn.STDEV.P(Tab.11[b77])))</f>
        <v>0</v>
      </c>
      <c r="AA388" s="70" t="b">
        <f>IF(Tab.11[[#This Row],[a1]]=1,_xlfn.NORM.DIST(Tab.11[[#This Row],[b88]],$Z$1,$AA$1,FALSE))</f>
        <v>0</v>
      </c>
      <c r="AB388" s="74" t="b">
        <f>IF(Tab.11[[#This Row],[a1]]=1,IF($A$3=0,FALSE,1/Tab.11[[#This Row],[IN]]*$AC$2*IF(Tab.11[[#This Row],[a1]]=0,,$A$3*$AC$1*1/$V$3*(Tab.11[[#This Row],[b14]]))))</f>
        <v>0</v>
      </c>
      <c r="AC388" s="75" t="b">
        <f>IF(Tab.11[[#This Row],[a1]]=1,IF($AC$3=0,Tab.11[[#This Row],[φ1]],Tab.11[[#This Row],[φ1]]/MAX(Tab.11[φ1])))</f>
        <v>0</v>
      </c>
      <c r="AD388" s="74" t="b">
        <f>IF(Tab.11[[#This Row],[a1]]=1,1/Tab.11[[#This Row],[φ2]])</f>
        <v>0</v>
      </c>
      <c r="AE388" s="74" t="b">
        <f>IF(Tab.11[[#This Row],[a1]]=1,IF($AE$3=0,Tab.11[[#This Row],[w.0]],Tab.11[[#This Row],[w.0]]/SUM(Tab.11[w.0])))</f>
        <v>0</v>
      </c>
      <c r="AF388" s="76" t="str">
        <f>IF(Tab.11[[#This Row],[a1]]=0,"false",[3]!Tab.x5[[#This Row],[%_seN_C]])</f>
        <v>false</v>
      </c>
      <c r="AG388" s="77" t="b">
        <f>IF(Tab.11[[#This Row],[a1]]=1,AP388)</f>
        <v>0</v>
      </c>
      <c r="AH388" s="78" t="b">
        <f>IF(Tab.11[[#This Row],[a1]]=1,AQ388)</f>
        <v>0</v>
      </c>
      <c r="AI388" s="41">
        <v>3.0000000000000001E-3</v>
      </c>
      <c r="AJ388" s="79">
        <v>-0.05</v>
      </c>
      <c r="AK388" s="80" t="b">
        <f>IF(Tab.11[[#This Row],[a1]]=1,1)</f>
        <v>0</v>
      </c>
      <c r="AZ388"/>
    </row>
    <row r="389" spans="1:52" hidden="1" x14ac:dyDescent="0.25">
      <c r="A389" s="61">
        <f t="shared" si="13"/>
        <v>0</v>
      </c>
      <c r="B389" s="62">
        <f t="shared" si="13"/>
        <v>0</v>
      </c>
      <c r="C389" s="62" t="b">
        <f>IF(Tab.11[[#This Row],[a1]]=1,[3]!Tab_x1[[#This Row],[Name]])</f>
        <v>0</v>
      </c>
      <c r="D389" s="63" t="b">
        <f>IF(Tab.11[[#This Row],[a1]]=1,AO389)</f>
        <v>0</v>
      </c>
      <c r="E389" s="63">
        <f t="shared" ref="E389:E452" si="14">AM389</f>
        <v>0</v>
      </c>
      <c r="F389" s="64" t="b">
        <f>IF(Tab.11[[#This Row],[a1]]=1,Tab.11[[#This Row],[b1]])</f>
        <v>0</v>
      </c>
      <c r="G389" s="65" t="b">
        <f>IF(Tab.11[[#This Row],[a1]]=1,IF(Tab.11[[#This Row],[b3]]&gt;$L$989*$G$3,$L$989*$G$3,IF(Tab.11[[#This Row],[b3]]&lt;$M$989*$G$3,$M$989*$G$3,Tab.11[[#This Row],[b3]])))</f>
        <v>0</v>
      </c>
      <c r="H389" s="66" t="b">
        <f>IF(Tab.11[[#This Row],[a1]]=1,Tab.11[[#This Row],[b1]])</f>
        <v>0</v>
      </c>
      <c r="I389" s="67" t="b">
        <f>IF(Tab.11[[#This Row],[a1]]=1,Tab.11[[#This Row],[b1]])</f>
        <v>0</v>
      </c>
      <c r="J389" s="68" t="b">
        <f>IF(Tab.11[[#This Row],[a1]]=1,IF($I$3&lt;0,Tab.11[[#This Row],[b5]]-$I$3,Tab.11[[#This Row],[b5]]))</f>
        <v>0</v>
      </c>
      <c r="K389" s="68" t="b">
        <f>IF(Tab.11[[#This Row],[a1]]=1,IF($K$3=0,Tab.11[b6],Tab.11[[#This Row],[b6]]-AVERAGE(Tab.11[b6])))</f>
        <v>0</v>
      </c>
      <c r="L389" s="69" t="b">
        <f>IF(Tab.11[[#This Row],[a1]]=1,Tab.11[[#This Row],[data]]/(_xlfn.STDEV.P(Tab.11[data])*$B$989)+$A$989)</f>
        <v>0</v>
      </c>
      <c r="M389" s="69" t="b">
        <f>IF(Tab.11[[#This Row],[a1]]=1,Tab.11[[#This Row],[data]]/(_xlfn.STDEV.P(Tab.11[data])*$B$987)-$A$987)</f>
        <v>0</v>
      </c>
      <c r="N389" s="69" t="b">
        <f>IF(Tab.11[[#This Row],[a1]]=1,Tab.11[[#This Row],[data]]/(_xlfn.STDEV.P(Tab.11[data])*$B$988)+$A$988)</f>
        <v>0</v>
      </c>
      <c r="O389" s="70" t="b">
        <f>IF(Tab.11[[#This Row],[a1]]=1,_xlfn.NORM.DIST(Tab.11[[#This Row],[b8]],$P$1,$Q$1,FALSE))</f>
        <v>0</v>
      </c>
      <c r="P389" s="70" t="b">
        <f>IF(Tab.11[[#This Row],[a1]]=1,_xlfn.NORM.DIST(Tab.11[[#This Row],[b9]],$P$1,$Q$1,FALSE))</f>
        <v>0</v>
      </c>
      <c r="Q389" s="70" t="b">
        <f>IF(Tab.11[[#This Row],[a1]]=1,_xlfn.NORM.DIST(Tab.11[[#This Row],[b10]],$P$1,$Q$1,FALSE))</f>
        <v>0</v>
      </c>
      <c r="R389" s="67" t="b">
        <f>IF(Tab.11[[#This Row],[a1]]=1,$I$3+$A$989+IF($K$3=0,Tab.11[[#This Row],[b8]]*_xlfn.STDEV.P(Tab.11[data]),AVERAGE(Tab.11[b6])+Tab.11[[#This Row],[b8]]*_xlfn.STDEV.P(Tab.11[data])))</f>
        <v>0</v>
      </c>
      <c r="S389" s="71" t="b">
        <f>IF(Tab.11[[#This Row],[a1]]=1,$I$3+$A$987+IF($K$3=0,Tab.11[[#This Row],[b9]]*_xlfn.STDEV.P(Tab.11[data]),AVERAGE(Tab.11[b6])+Tab.11[[#This Row],[b9]]*_xlfn.STDEV.P(Tab.11[data])))</f>
        <v>0</v>
      </c>
      <c r="T389" s="71" t="b">
        <f>IF(Tab.11[[#This Row],[a1]]=1,$I$3+$A$988+IF($K$3=0,Tab.11[[#This Row],[b10]]*_xlfn.STDEV.P(Tab.11[data]),AVERAGE(Tab.11[b6])+Tab.11[[#This Row],[b10]]*_xlfn.STDEV.P(Tab.11[data])))</f>
        <v>0</v>
      </c>
      <c r="U389" s="72" t="b">
        <f>IF(Tab.11[[#This Row],[a1]]=1,Tab.11[[#This Row],[target]]-Tab.11[[#This Row],[Red]])</f>
        <v>0</v>
      </c>
      <c r="V389" s="72" t="b">
        <f>IF(Tab.11[[#This Row],[a1]]=1,Tab.11[[#This Row],[target]]-Tab.11[[#This Row],[Blue]])</f>
        <v>0</v>
      </c>
      <c r="W389" s="73" t="b">
        <f>IF(Tab.11[[#This Row],[a1]]=1,IF(ABS(Tab.11[[#This Row],[b17]])+ABS(Tab.11[[#This Row],[b18]])&lt;$W$2,$W$2,ABS(Tab.11[[#This Row],[b17]])+ABS(Tab.11[[#This Row],[b18]])))</f>
        <v>0</v>
      </c>
      <c r="X389" s="136" t="b">
        <f>IF(Tab.11[[#This Row],[a1]]=1,IF($W$3&lt;0,Tab.11[[#This Row],[IN]]-$I$3,Tab.11[[#This Row],[IN]]))</f>
        <v>0</v>
      </c>
      <c r="Y389" s="136" t="b">
        <f>IF(Tab.11[[#This Row],[a1]]=1,IF($X$3=0,Tab.11[b66],Tab.11[[#This Row],[b66]]-AVERAGE(Tab.11[b66])))</f>
        <v>0</v>
      </c>
      <c r="Z389" s="135" t="b">
        <f>IF(Tab.11[[#This Row],[a1]]=1,Tab.11[[#This Row],[b77]]/(_xlfn.STDEV.P(Tab.11[b77])))</f>
        <v>0</v>
      </c>
      <c r="AA389" s="70" t="b">
        <f>IF(Tab.11[[#This Row],[a1]]=1,_xlfn.NORM.DIST(Tab.11[[#This Row],[b88]],$Z$1,$AA$1,FALSE))</f>
        <v>0</v>
      </c>
      <c r="AB389" s="74" t="b">
        <f>IF(Tab.11[[#This Row],[a1]]=1,IF($A$3=0,FALSE,1/Tab.11[[#This Row],[IN]]*$AC$2*IF(Tab.11[[#This Row],[a1]]=0,,$A$3*$AC$1*1/$V$3*(Tab.11[[#This Row],[b14]]))))</f>
        <v>0</v>
      </c>
      <c r="AC389" s="75" t="b">
        <f>IF(Tab.11[[#This Row],[a1]]=1,IF($AC$3=0,Tab.11[[#This Row],[φ1]],Tab.11[[#This Row],[φ1]]/MAX(Tab.11[φ1])))</f>
        <v>0</v>
      </c>
      <c r="AD389" s="74" t="b">
        <f>IF(Tab.11[[#This Row],[a1]]=1,1/Tab.11[[#This Row],[φ2]])</f>
        <v>0</v>
      </c>
      <c r="AE389" s="74" t="b">
        <f>IF(Tab.11[[#This Row],[a1]]=1,IF($AE$3=0,Tab.11[[#This Row],[w.0]],Tab.11[[#This Row],[w.0]]/SUM(Tab.11[w.0])))</f>
        <v>0</v>
      </c>
      <c r="AF389" s="76" t="str">
        <f>IF(Tab.11[[#This Row],[a1]]=0,"false",[3]!Tab.x5[[#This Row],[%_seN_C]])</f>
        <v>false</v>
      </c>
      <c r="AG389" s="77" t="b">
        <f>IF(Tab.11[[#This Row],[a1]]=1,AP389)</f>
        <v>0</v>
      </c>
      <c r="AH389" s="78" t="b">
        <f>IF(Tab.11[[#This Row],[a1]]=1,AQ389)</f>
        <v>0</v>
      </c>
      <c r="AI389" s="41">
        <v>3.0000000000000001E-3</v>
      </c>
      <c r="AJ389" s="79">
        <v>-0.08</v>
      </c>
      <c r="AK389" s="80" t="b">
        <f>IF(Tab.11[[#This Row],[a1]]=1,1)</f>
        <v>0</v>
      </c>
      <c r="AZ389"/>
    </row>
    <row r="390" spans="1:52" hidden="1" x14ac:dyDescent="0.25">
      <c r="A390" s="61">
        <f t="shared" si="13"/>
        <v>0</v>
      </c>
      <c r="B390" s="62">
        <f t="shared" si="13"/>
        <v>0</v>
      </c>
      <c r="C390" s="62" t="b">
        <f>IF(Tab.11[[#This Row],[a1]]=1,[3]!Tab_x1[[#This Row],[Name]])</f>
        <v>0</v>
      </c>
      <c r="D390" s="63" t="b">
        <f>IF(Tab.11[[#This Row],[a1]]=1,AO390)</f>
        <v>0</v>
      </c>
      <c r="E390" s="63">
        <f t="shared" si="14"/>
        <v>0</v>
      </c>
      <c r="F390" s="64" t="b">
        <f>IF(Tab.11[[#This Row],[a1]]=1,Tab.11[[#This Row],[b1]])</f>
        <v>0</v>
      </c>
      <c r="G390" s="65" t="b">
        <f>IF(Tab.11[[#This Row],[a1]]=1,IF(Tab.11[[#This Row],[b3]]&gt;$L$989*$G$3,$L$989*$G$3,IF(Tab.11[[#This Row],[b3]]&lt;$M$989*$G$3,$M$989*$G$3,Tab.11[[#This Row],[b3]])))</f>
        <v>0</v>
      </c>
      <c r="H390" s="66" t="b">
        <f>IF(Tab.11[[#This Row],[a1]]=1,Tab.11[[#This Row],[b1]])</f>
        <v>0</v>
      </c>
      <c r="I390" s="67" t="b">
        <f>IF(Tab.11[[#This Row],[a1]]=1,Tab.11[[#This Row],[b1]])</f>
        <v>0</v>
      </c>
      <c r="J390" s="68" t="b">
        <f>IF(Tab.11[[#This Row],[a1]]=1,IF($I$3&lt;0,Tab.11[[#This Row],[b5]]-$I$3,Tab.11[[#This Row],[b5]]))</f>
        <v>0</v>
      </c>
      <c r="K390" s="68" t="b">
        <f>IF(Tab.11[[#This Row],[a1]]=1,IF($K$3=0,Tab.11[b6],Tab.11[[#This Row],[b6]]-AVERAGE(Tab.11[b6])))</f>
        <v>0</v>
      </c>
      <c r="L390" s="69" t="b">
        <f>IF(Tab.11[[#This Row],[a1]]=1,Tab.11[[#This Row],[data]]/(_xlfn.STDEV.P(Tab.11[data])*$B$989)+$A$989)</f>
        <v>0</v>
      </c>
      <c r="M390" s="69" t="b">
        <f>IF(Tab.11[[#This Row],[a1]]=1,Tab.11[[#This Row],[data]]/(_xlfn.STDEV.P(Tab.11[data])*$B$987)-$A$987)</f>
        <v>0</v>
      </c>
      <c r="N390" s="69" t="b">
        <f>IF(Tab.11[[#This Row],[a1]]=1,Tab.11[[#This Row],[data]]/(_xlfn.STDEV.P(Tab.11[data])*$B$988)+$A$988)</f>
        <v>0</v>
      </c>
      <c r="O390" s="70" t="b">
        <f>IF(Tab.11[[#This Row],[a1]]=1,_xlfn.NORM.DIST(Tab.11[[#This Row],[b8]],$P$1,$Q$1,FALSE))</f>
        <v>0</v>
      </c>
      <c r="P390" s="70" t="b">
        <f>IF(Tab.11[[#This Row],[a1]]=1,_xlfn.NORM.DIST(Tab.11[[#This Row],[b9]],$P$1,$Q$1,FALSE))</f>
        <v>0</v>
      </c>
      <c r="Q390" s="70" t="b">
        <f>IF(Tab.11[[#This Row],[a1]]=1,_xlfn.NORM.DIST(Tab.11[[#This Row],[b10]],$P$1,$Q$1,FALSE))</f>
        <v>0</v>
      </c>
      <c r="R390" s="67" t="b">
        <f>IF(Tab.11[[#This Row],[a1]]=1,$I$3+$A$989+IF($K$3=0,Tab.11[[#This Row],[b8]]*_xlfn.STDEV.P(Tab.11[data]),AVERAGE(Tab.11[b6])+Tab.11[[#This Row],[b8]]*_xlfn.STDEV.P(Tab.11[data])))</f>
        <v>0</v>
      </c>
      <c r="S390" s="71" t="b">
        <f>IF(Tab.11[[#This Row],[a1]]=1,$I$3+$A$987+IF($K$3=0,Tab.11[[#This Row],[b9]]*_xlfn.STDEV.P(Tab.11[data]),AVERAGE(Tab.11[b6])+Tab.11[[#This Row],[b9]]*_xlfn.STDEV.P(Tab.11[data])))</f>
        <v>0</v>
      </c>
      <c r="T390" s="71" t="b">
        <f>IF(Tab.11[[#This Row],[a1]]=1,$I$3+$A$988+IF($K$3=0,Tab.11[[#This Row],[b10]]*_xlfn.STDEV.P(Tab.11[data]),AVERAGE(Tab.11[b6])+Tab.11[[#This Row],[b10]]*_xlfn.STDEV.P(Tab.11[data])))</f>
        <v>0</v>
      </c>
      <c r="U390" s="72" t="b">
        <f>IF(Tab.11[[#This Row],[a1]]=1,Tab.11[[#This Row],[target]]-Tab.11[[#This Row],[Red]])</f>
        <v>0</v>
      </c>
      <c r="V390" s="72" t="b">
        <f>IF(Tab.11[[#This Row],[a1]]=1,Tab.11[[#This Row],[target]]-Tab.11[[#This Row],[Blue]])</f>
        <v>0</v>
      </c>
      <c r="W390" s="73" t="b">
        <f>IF(Tab.11[[#This Row],[a1]]=1,IF(ABS(Tab.11[[#This Row],[b17]])+ABS(Tab.11[[#This Row],[b18]])&lt;$W$2,$W$2,ABS(Tab.11[[#This Row],[b17]])+ABS(Tab.11[[#This Row],[b18]])))</f>
        <v>0</v>
      </c>
      <c r="X390" s="136" t="b">
        <f>IF(Tab.11[[#This Row],[a1]]=1,IF($W$3&lt;0,Tab.11[[#This Row],[IN]]-$I$3,Tab.11[[#This Row],[IN]]))</f>
        <v>0</v>
      </c>
      <c r="Y390" s="136" t="b">
        <f>IF(Tab.11[[#This Row],[a1]]=1,IF($X$3=0,Tab.11[b66],Tab.11[[#This Row],[b66]]-AVERAGE(Tab.11[b66])))</f>
        <v>0</v>
      </c>
      <c r="Z390" s="135" t="b">
        <f>IF(Tab.11[[#This Row],[a1]]=1,Tab.11[[#This Row],[b77]]/(_xlfn.STDEV.P(Tab.11[b77])))</f>
        <v>0</v>
      </c>
      <c r="AA390" s="70" t="b">
        <f>IF(Tab.11[[#This Row],[a1]]=1,_xlfn.NORM.DIST(Tab.11[[#This Row],[b88]],$Z$1,$AA$1,FALSE))</f>
        <v>0</v>
      </c>
      <c r="AB390" s="74" t="b">
        <f>IF(Tab.11[[#This Row],[a1]]=1,IF($A$3=0,FALSE,1/Tab.11[[#This Row],[IN]]*$AC$2*IF(Tab.11[[#This Row],[a1]]=0,,$A$3*$AC$1*1/$V$3*(Tab.11[[#This Row],[b14]]))))</f>
        <v>0</v>
      </c>
      <c r="AC390" s="75" t="b">
        <f>IF(Tab.11[[#This Row],[a1]]=1,IF($AC$3=0,Tab.11[[#This Row],[φ1]],Tab.11[[#This Row],[φ1]]/MAX(Tab.11[φ1])))</f>
        <v>0</v>
      </c>
      <c r="AD390" s="74" t="b">
        <f>IF(Tab.11[[#This Row],[a1]]=1,1/Tab.11[[#This Row],[φ2]])</f>
        <v>0</v>
      </c>
      <c r="AE390" s="74" t="b">
        <f>IF(Tab.11[[#This Row],[a1]]=1,IF($AE$3=0,Tab.11[[#This Row],[w.0]],Tab.11[[#This Row],[w.0]]/SUM(Tab.11[w.0])))</f>
        <v>0</v>
      </c>
      <c r="AF390" s="76" t="str">
        <f>IF(Tab.11[[#This Row],[a1]]=0,"false",[3]!Tab.x5[[#This Row],[%_seN_C]])</f>
        <v>false</v>
      </c>
      <c r="AG390" s="77" t="b">
        <f>IF(Tab.11[[#This Row],[a1]]=1,AP390)</f>
        <v>0</v>
      </c>
      <c r="AH390" s="78" t="b">
        <f>IF(Tab.11[[#This Row],[a1]]=1,AQ390)</f>
        <v>0</v>
      </c>
      <c r="AI390" s="41">
        <v>3.0000000000000001E-3</v>
      </c>
      <c r="AJ390" s="79">
        <v>-0.04</v>
      </c>
      <c r="AK390" s="80" t="b">
        <f>IF(Tab.11[[#This Row],[a1]]=1,1)</f>
        <v>0</v>
      </c>
      <c r="AZ390"/>
    </row>
    <row r="391" spans="1:52" hidden="1" x14ac:dyDescent="0.25">
      <c r="A391" s="61">
        <f t="shared" si="13"/>
        <v>0</v>
      </c>
      <c r="B391" s="62">
        <f t="shared" si="13"/>
        <v>0</v>
      </c>
      <c r="C391" s="62" t="b">
        <f>IF(Tab.11[[#This Row],[a1]]=1,[3]!Tab_x1[[#This Row],[Name]])</f>
        <v>0</v>
      </c>
      <c r="D391" s="63" t="b">
        <f>IF(Tab.11[[#This Row],[a1]]=1,AO391)</f>
        <v>0</v>
      </c>
      <c r="E391" s="63">
        <f t="shared" si="14"/>
        <v>0</v>
      </c>
      <c r="F391" s="64" t="b">
        <f>IF(Tab.11[[#This Row],[a1]]=1,Tab.11[[#This Row],[b1]])</f>
        <v>0</v>
      </c>
      <c r="G391" s="65" t="b">
        <f>IF(Tab.11[[#This Row],[a1]]=1,IF(Tab.11[[#This Row],[b3]]&gt;$L$989*$G$3,$L$989*$G$3,IF(Tab.11[[#This Row],[b3]]&lt;$M$989*$G$3,$M$989*$G$3,Tab.11[[#This Row],[b3]])))</f>
        <v>0</v>
      </c>
      <c r="H391" s="66" t="b">
        <f>IF(Tab.11[[#This Row],[a1]]=1,Tab.11[[#This Row],[b1]])</f>
        <v>0</v>
      </c>
      <c r="I391" s="67" t="b">
        <f>IF(Tab.11[[#This Row],[a1]]=1,Tab.11[[#This Row],[b1]])</f>
        <v>0</v>
      </c>
      <c r="J391" s="68" t="b">
        <f>IF(Tab.11[[#This Row],[a1]]=1,IF($I$3&lt;0,Tab.11[[#This Row],[b5]]-$I$3,Tab.11[[#This Row],[b5]]))</f>
        <v>0</v>
      </c>
      <c r="K391" s="68" t="b">
        <f>IF(Tab.11[[#This Row],[a1]]=1,IF($K$3=0,Tab.11[b6],Tab.11[[#This Row],[b6]]-AVERAGE(Tab.11[b6])))</f>
        <v>0</v>
      </c>
      <c r="L391" s="69" t="b">
        <f>IF(Tab.11[[#This Row],[a1]]=1,Tab.11[[#This Row],[data]]/(_xlfn.STDEV.P(Tab.11[data])*$B$989)+$A$989)</f>
        <v>0</v>
      </c>
      <c r="M391" s="69" t="b">
        <f>IF(Tab.11[[#This Row],[a1]]=1,Tab.11[[#This Row],[data]]/(_xlfn.STDEV.P(Tab.11[data])*$B$987)-$A$987)</f>
        <v>0</v>
      </c>
      <c r="N391" s="69" t="b">
        <f>IF(Tab.11[[#This Row],[a1]]=1,Tab.11[[#This Row],[data]]/(_xlfn.STDEV.P(Tab.11[data])*$B$988)+$A$988)</f>
        <v>0</v>
      </c>
      <c r="O391" s="70" t="b">
        <f>IF(Tab.11[[#This Row],[a1]]=1,_xlfn.NORM.DIST(Tab.11[[#This Row],[b8]],$P$1,$Q$1,FALSE))</f>
        <v>0</v>
      </c>
      <c r="P391" s="70" t="b">
        <f>IF(Tab.11[[#This Row],[a1]]=1,_xlfn.NORM.DIST(Tab.11[[#This Row],[b9]],$P$1,$Q$1,FALSE))</f>
        <v>0</v>
      </c>
      <c r="Q391" s="70" t="b">
        <f>IF(Tab.11[[#This Row],[a1]]=1,_xlfn.NORM.DIST(Tab.11[[#This Row],[b10]],$P$1,$Q$1,FALSE))</f>
        <v>0</v>
      </c>
      <c r="R391" s="67" t="b">
        <f>IF(Tab.11[[#This Row],[a1]]=1,$I$3+$A$989+IF($K$3=0,Tab.11[[#This Row],[b8]]*_xlfn.STDEV.P(Tab.11[data]),AVERAGE(Tab.11[b6])+Tab.11[[#This Row],[b8]]*_xlfn.STDEV.P(Tab.11[data])))</f>
        <v>0</v>
      </c>
      <c r="S391" s="71" t="b">
        <f>IF(Tab.11[[#This Row],[a1]]=1,$I$3+$A$987+IF($K$3=0,Tab.11[[#This Row],[b9]]*_xlfn.STDEV.P(Tab.11[data]),AVERAGE(Tab.11[b6])+Tab.11[[#This Row],[b9]]*_xlfn.STDEV.P(Tab.11[data])))</f>
        <v>0</v>
      </c>
      <c r="T391" s="71" t="b">
        <f>IF(Tab.11[[#This Row],[a1]]=1,$I$3+$A$988+IF($K$3=0,Tab.11[[#This Row],[b10]]*_xlfn.STDEV.P(Tab.11[data]),AVERAGE(Tab.11[b6])+Tab.11[[#This Row],[b10]]*_xlfn.STDEV.P(Tab.11[data])))</f>
        <v>0</v>
      </c>
      <c r="U391" s="72" t="b">
        <f>IF(Tab.11[[#This Row],[a1]]=1,Tab.11[[#This Row],[target]]-Tab.11[[#This Row],[Red]])</f>
        <v>0</v>
      </c>
      <c r="V391" s="72" t="b">
        <f>IF(Tab.11[[#This Row],[a1]]=1,Tab.11[[#This Row],[target]]-Tab.11[[#This Row],[Blue]])</f>
        <v>0</v>
      </c>
      <c r="W391" s="73" t="b">
        <f>IF(Tab.11[[#This Row],[a1]]=1,IF(ABS(Tab.11[[#This Row],[b17]])+ABS(Tab.11[[#This Row],[b18]])&lt;$W$2,$W$2,ABS(Tab.11[[#This Row],[b17]])+ABS(Tab.11[[#This Row],[b18]])))</f>
        <v>0</v>
      </c>
      <c r="X391" s="136" t="b">
        <f>IF(Tab.11[[#This Row],[a1]]=1,IF($W$3&lt;0,Tab.11[[#This Row],[IN]]-$I$3,Tab.11[[#This Row],[IN]]))</f>
        <v>0</v>
      </c>
      <c r="Y391" s="136" t="b">
        <f>IF(Tab.11[[#This Row],[a1]]=1,IF($X$3=0,Tab.11[b66],Tab.11[[#This Row],[b66]]-AVERAGE(Tab.11[b66])))</f>
        <v>0</v>
      </c>
      <c r="Z391" s="135" t="b">
        <f>IF(Tab.11[[#This Row],[a1]]=1,Tab.11[[#This Row],[b77]]/(_xlfn.STDEV.P(Tab.11[b77])))</f>
        <v>0</v>
      </c>
      <c r="AA391" s="70" t="b">
        <f>IF(Tab.11[[#This Row],[a1]]=1,_xlfn.NORM.DIST(Tab.11[[#This Row],[b88]],$Z$1,$AA$1,FALSE))</f>
        <v>0</v>
      </c>
      <c r="AB391" s="74" t="b">
        <f>IF(Tab.11[[#This Row],[a1]]=1,IF($A$3=0,FALSE,1/Tab.11[[#This Row],[IN]]*$AC$2*IF(Tab.11[[#This Row],[a1]]=0,,$A$3*$AC$1*1/$V$3*(Tab.11[[#This Row],[b14]]))))</f>
        <v>0</v>
      </c>
      <c r="AC391" s="75" t="b">
        <f>IF(Tab.11[[#This Row],[a1]]=1,IF($AC$3=0,Tab.11[[#This Row],[φ1]],Tab.11[[#This Row],[φ1]]/MAX(Tab.11[φ1])))</f>
        <v>0</v>
      </c>
      <c r="AD391" s="74" t="b">
        <f>IF(Tab.11[[#This Row],[a1]]=1,1/Tab.11[[#This Row],[φ2]])</f>
        <v>0</v>
      </c>
      <c r="AE391" s="74" t="b">
        <f>IF(Tab.11[[#This Row],[a1]]=1,IF($AE$3=0,Tab.11[[#This Row],[w.0]],Tab.11[[#This Row],[w.0]]/SUM(Tab.11[w.0])))</f>
        <v>0</v>
      </c>
      <c r="AF391" s="76" t="str">
        <f>IF(Tab.11[[#This Row],[a1]]=0,"false",[3]!Tab.x5[[#This Row],[%_seN_C]])</f>
        <v>false</v>
      </c>
      <c r="AG391" s="77" t="b">
        <f>IF(Tab.11[[#This Row],[a1]]=1,AP391)</f>
        <v>0</v>
      </c>
      <c r="AH391" s="78" t="b">
        <f>IF(Tab.11[[#This Row],[a1]]=1,AQ391)</f>
        <v>0</v>
      </c>
      <c r="AI391" s="41">
        <v>3.0000000000000001E-3</v>
      </c>
      <c r="AJ391" s="79">
        <v>-0.05</v>
      </c>
      <c r="AK391" s="80" t="b">
        <f>IF(Tab.11[[#This Row],[a1]]=1,1)</f>
        <v>0</v>
      </c>
      <c r="AZ391"/>
    </row>
    <row r="392" spans="1:52" hidden="1" x14ac:dyDescent="0.25">
      <c r="A392" s="61">
        <f t="shared" si="13"/>
        <v>0</v>
      </c>
      <c r="B392" s="62">
        <f t="shared" si="13"/>
        <v>0</v>
      </c>
      <c r="C392" s="62" t="b">
        <f>IF(Tab.11[[#This Row],[a1]]=1,[3]!Tab_x1[[#This Row],[Name]])</f>
        <v>0</v>
      </c>
      <c r="D392" s="63" t="b">
        <f>IF(Tab.11[[#This Row],[a1]]=1,AO392)</f>
        <v>0</v>
      </c>
      <c r="E392" s="63">
        <f t="shared" si="14"/>
        <v>0</v>
      </c>
      <c r="F392" s="64" t="b">
        <f>IF(Tab.11[[#This Row],[a1]]=1,Tab.11[[#This Row],[b1]])</f>
        <v>0</v>
      </c>
      <c r="G392" s="65" t="b">
        <f>IF(Tab.11[[#This Row],[a1]]=1,IF(Tab.11[[#This Row],[b3]]&gt;$L$989*$G$3,$L$989*$G$3,IF(Tab.11[[#This Row],[b3]]&lt;$M$989*$G$3,$M$989*$G$3,Tab.11[[#This Row],[b3]])))</f>
        <v>0</v>
      </c>
      <c r="H392" s="66" t="b">
        <f>IF(Tab.11[[#This Row],[a1]]=1,Tab.11[[#This Row],[b1]])</f>
        <v>0</v>
      </c>
      <c r="I392" s="67" t="b">
        <f>IF(Tab.11[[#This Row],[a1]]=1,Tab.11[[#This Row],[b1]])</f>
        <v>0</v>
      </c>
      <c r="J392" s="68" t="b">
        <f>IF(Tab.11[[#This Row],[a1]]=1,IF($I$3&lt;0,Tab.11[[#This Row],[b5]]-$I$3,Tab.11[[#This Row],[b5]]))</f>
        <v>0</v>
      </c>
      <c r="K392" s="68" t="b">
        <f>IF(Tab.11[[#This Row],[a1]]=1,IF($K$3=0,Tab.11[b6],Tab.11[[#This Row],[b6]]-AVERAGE(Tab.11[b6])))</f>
        <v>0</v>
      </c>
      <c r="L392" s="69" t="b">
        <f>IF(Tab.11[[#This Row],[a1]]=1,Tab.11[[#This Row],[data]]/(_xlfn.STDEV.P(Tab.11[data])*$B$989)+$A$989)</f>
        <v>0</v>
      </c>
      <c r="M392" s="69" t="b">
        <f>IF(Tab.11[[#This Row],[a1]]=1,Tab.11[[#This Row],[data]]/(_xlfn.STDEV.P(Tab.11[data])*$B$987)-$A$987)</f>
        <v>0</v>
      </c>
      <c r="N392" s="69" t="b">
        <f>IF(Tab.11[[#This Row],[a1]]=1,Tab.11[[#This Row],[data]]/(_xlfn.STDEV.P(Tab.11[data])*$B$988)+$A$988)</f>
        <v>0</v>
      </c>
      <c r="O392" s="70" t="b">
        <f>IF(Tab.11[[#This Row],[a1]]=1,_xlfn.NORM.DIST(Tab.11[[#This Row],[b8]],$P$1,$Q$1,FALSE))</f>
        <v>0</v>
      </c>
      <c r="P392" s="70" t="b">
        <f>IF(Tab.11[[#This Row],[a1]]=1,_xlfn.NORM.DIST(Tab.11[[#This Row],[b9]],$P$1,$Q$1,FALSE))</f>
        <v>0</v>
      </c>
      <c r="Q392" s="70" t="b">
        <f>IF(Tab.11[[#This Row],[a1]]=1,_xlfn.NORM.DIST(Tab.11[[#This Row],[b10]],$P$1,$Q$1,FALSE))</f>
        <v>0</v>
      </c>
      <c r="R392" s="67" t="b">
        <f>IF(Tab.11[[#This Row],[a1]]=1,$I$3+$A$989+IF($K$3=0,Tab.11[[#This Row],[b8]]*_xlfn.STDEV.P(Tab.11[data]),AVERAGE(Tab.11[b6])+Tab.11[[#This Row],[b8]]*_xlfn.STDEV.P(Tab.11[data])))</f>
        <v>0</v>
      </c>
      <c r="S392" s="71" t="b">
        <f>IF(Tab.11[[#This Row],[a1]]=1,$I$3+$A$987+IF($K$3=0,Tab.11[[#This Row],[b9]]*_xlfn.STDEV.P(Tab.11[data]),AVERAGE(Tab.11[b6])+Tab.11[[#This Row],[b9]]*_xlfn.STDEV.P(Tab.11[data])))</f>
        <v>0</v>
      </c>
      <c r="T392" s="71" t="b">
        <f>IF(Tab.11[[#This Row],[a1]]=1,$I$3+$A$988+IF($K$3=0,Tab.11[[#This Row],[b10]]*_xlfn.STDEV.P(Tab.11[data]),AVERAGE(Tab.11[b6])+Tab.11[[#This Row],[b10]]*_xlfn.STDEV.P(Tab.11[data])))</f>
        <v>0</v>
      </c>
      <c r="U392" s="72" t="b">
        <f>IF(Tab.11[[#This Row],[a1]]=1,Tab.11[[#This Row],[target]]-Tab.11[[#This Row],[Red]])</f>
        <v>0</v>
      </c>
      <c r="V392" s="72" t="b">
        <f>IF(Tab.11[[#This Row],[a1]]=1,Tab.11[[#This Row],[target]]-Tab.11[[#This Row],[Blue]])</f>
        <v>0</v>
      </c>
      <c r="W392" s="73" t="b">
        <f>IF(Tab.11[[#This Row],[a1]]=1,IF(ABS(Tab.11[[#This Row],[b17]])+ABS(Tab.11[[#This Row],[b18]])&lt;$W$2,$W$2,ABS(Tab.11[[#This Row],[b17]])+ABS(Tab.11[[#This Row],[b18]])))</f>
        <v>0</v>
      </c>
      <c r="X392" s="136" t="b">
        <f>IF(Tab.11[[#This Row],[a1]]=1,IF($W$3&lt;0,Tab.11[[#This Row],[IN]]-$I$3,Tab.11[[#This Row],[IN]]))</f>
        <v>0</v>
      </c>
      <c r="Y392" s="136" t="b">
        <f>IF(Tab.11[[#This Row],[a1]]=1,IF($X$3=0,Tab.11[b66],Tab.11[[#This Row],[b66]]-AVERAGE(Tab.11[b66])))</f>
        <v>0</v>
      </c>
      <c r="Z392" s="135" t="b">
        <f>IF(Tab.11[[#This Row],[a1]]=1,Tab.11[[#This Row],[b77]]/(_xlfn.STDEV.P(Tab.11[b77])))</f>
        <v>0</v>
      </c>
      <c r="AA392" s="70" t="b">
        <f>IF(Tab.11[[#This Row],[a1]]=1,_xlfn.NORM.DIST(Tab.11[[#This Row],[b88]],$Z$1,$AA$1,FALSE))</f>
        <v>0</v>
      </c>
      <c r="AB392" s="74" t="b">
        <f>IF(Tab.11[[#This Row],[a1]]=1,IF($A$3=0,FALSE,1/Tab.11[[#This Row],[IN]]*$AC$2*IF(Tab.11[[#This Row],[a1]]=0,,$A$3*$AC$1*1/$V$3*(Tab.11[[#This Row],[b14]]))))</f>
        <v>0</v>
      </c>
      <c r="AC392" s="75" t="b">
        <f>IF(Tab.11[[#This Row],[a1]]=1,IF($AC$3=0,Tab.11[[#This Row],[φ1]],Tab.11[[#This Row],[φ1]]/MAX(Tab.11[φ1])))</f>
        <v>0</v>
      </c>
      <c r="AD392" s="74" t="b">
        <f>IF(Tab.11[[#This Row],[a1]]=1,1/Tab.11[[#This Row],[φ2]])</f>
        <v>0</v>
      </c>
      <c r="AE392" s="74" t="b">
        <f>IF(Tab.11[[#This Row],[a1]]=1,IF($AE$3=0,Tab.11[[#This Row],[w.0]],Tab.11[[#This Row],[w.0]]/SUM(Tab.11[w.0])))</f>
        <v>0</v>
      </c>
      <c r="AF392" s="76" t="str">
        <f>IF(Tab.11[[#This Row],[a1]]=0,"false",[3]!Tab.x5[[#This Row],[%_seN_C]])</f>
        <v>false</v>
      </c>
      <c r="AG392" s="77" t="b">
        <f>IF(Tab.11[[#This Row],[a1]]=1,AP392)</f>
        <v>0</v>
      </c>
      <c r="AH392" s="78" t="b">
        <f>IF(Tab.11[[#This Row],[a1]]=1,AQ392)</f>
        <v>0</v>
      </c>
      <c r="AI392" s="41">
        <v>3.0000000000000001E-3</v>
      </c>
      <c r="AJ392" s="79">
        <v>0.03</v>
      </c>
      <c r="AK392" s="80" t="b">
        <f>IF(Tab.11[[#This Row],[a1]]=1,1)</f>
        <v>0</v>
      </c>
      <c r="AZ392"/>
    </row>
    <row r="393" spans="1:52" hidden="1" x14ac:dyDescent="0.25">
      <c r="A393" s="61">
        <f t="shared" si="13"/>
        <v>0</v>
      </c>
      <c r="B393" s="62">
        <f t="shared" si="13"/>
        <v>0</v>
      </c>
      <c r="C393" s="62" t="b">
        <f>IF(Tab.11[[#This Row],[a1]]=1,[3]!Tab_x1[[#This Row],[Name]])</f>
        <v>0</v>
      </c>
      <c r="D393" s="63" t="b">
        <f>IF(Tab.11[[#This Row],[a1]]=1,AO393)</f>
        <v>0</v>
      </c>
      <c r="E393" s="63">
        <f t="shared" si="14"/>
        <v>0</v>
      </c>
      <c r="F393" s="64" t="b">
        <f>IF(Tab.11[[#This Row],[a1]]=1,Tab.11[[#This Row],[b1]])</f>
        <v>0</v>
      </c>
      <c r="G393" s="65" t="b">
        <f>IF(Tab.11[[#This Row],[a1]]=1,IF(Tab.11[[#This Row],[b3]]&gt;$L$989*$G$3,$L$989*$G$3,IF(Tab.11[[#This Row],[b3]]&lt;$M$989*$G$3,$M$989*$G$3,Tab.11[[#This Row],[b3]])))</f>
        <v>0</v>
      </c>
      <c r="H393" s="66" t="b">
        <f>IF(Tab.11[[#This Row],[a1]]=1,Tab.11[[#This Row],[b1]])</f>
        <v>0</v>
      </c>
      <c r="I393" s="67" t="b">
        <f>IF(Tab.11[[#This Row],[a1]]=1,Tab.11[[#This Row],[b1]])</f>
        <v>0</v>
      </c>
      <c r="J393" s="68" t="b">
        <f>IF(Tab.11[[#This Row],[a1]]=1,IF($I$3&lt;0,Tab.11[[#This Row],[b5]]-$I$3,Tab.11[[#This Row],[b5]]))</f>
        <v>0</v>
      </c>
      <c r="K393" s="68" t="b">
        <f>IF(Tab.11[[#This Row],[a1]]=1,IF($K$3=0,Tab.11[b6],Tab.11[[#This Row],[b6]]-AVERAGE(Tab.11[b6])))</f>
        <v>0</v>
      </c>
      <c r="L393" s="69" t="b">
        <f>IF(Tab.11[[#This Row],[a1]]=1,Tab.11[[#This Row],[data]]/(_xlfn.STDEV.P(Tab.11[data])*$B$989)+$A$989)</f>
        <v>0</v>
      </c>
      <c r="M393" s="69" t="b">
        <f>IF(Tab.11[[#This Row],[a1]]=1,Tab.11[[#This Row],[data]]/(_xlfn.STDEV.P(Tab.11[data])*$B$987)-$A$987)</f>
        <v>0</v>
      </c>
      <c r="N393" s="69" t="b">
        <f>IF(Tab.11[[#This Row],[a1]]=1,Tab.11[[#This Row],[data]]/(_xlfn.STDEV.P(Tab.11[data])*$B$988)+$A$988)</f>
        <v>0</v>
      </c>
      <c r="O393" s="70" t="b">
        <f>IF(Tab.11[[#This Row],[a1]]=1,_xlfn.NORM.DIST(Tab.11[[#This Row],[b8]],$P$1,$Q$1,FALSE))</f>
        <v>0</v>
      </c>
      <c r="P393" s="70" t="b">
        <f>IF(Tab.11[[#This Row],[a1]]=1,_xlfn.NORM.DIST(Tab.11[[#This Row],[b9]],$P$1,$Q$1,FALSE))</f>
        <v>0</v>
      </c>
      <c r="Q393" s="70" t="b">
        <f>IF(Tab.11[[#This Row],[a1]]=1,_xlfn.NORM.DIST(Tab.11[[#This Row],[b10]],$P$1,$Q$1,FALSE))</f>
        <v>0</v>
      </c>
      <c r="R393" s="67" t="b">
        <f>IF(Tab.11[[#This Row],[a1]]=1,$I$3+$A$989+IF($K$3=0,Tab.11[[#This Row],[b8]]*_xlfn.STDEV.P(Tab.11[data]),AVERAGE(Tab.11[b6])+Tab.11[[#This Row],[b8]]*_xlfn.STDEV.P(Tab.11[data])))</f>
        <v>0</v>
      </c>
      <c r="S393" s="71" t="b">
        <f>IF(Tab.11[[#This Row],[a1]]=1,$I$3+$A$987+IF($K$3=0,Tab.11[[#This Row],[b9]]*_xlfn.STDEV.P(Tab.11[data]),AVERAGE(Tab.11[b6])+Tab.11[[#This Row],[b9]]*_xlfn.STDEV.P(Tab.11[data])))</f>
        <v>0</v>
      </c>
      <c r="T393" s="71" t="b">
        <f>IF(Tab.11[[#This Row],[a1]]=1,$I$3+$A$988+IF($K$3=0,Tab.11[[#This Row],[b10]]*_xlfn.STDEV.P(Tab.11[data]),AVERAGE(Tab.11[b6])+Tab.11[[#This Row],[b10]]*_xlfn.STDEV.P(Tab.11[data])))</f>
        <v>0</v>
      </c>
      <c r="U393" s="72" t="b">
        <f>IF(Tab.11[[#This Row],[a1]]=1,Tab.11[[#This Row],[target]]-Tab.11[[#This Row],[Red]])</f>
        <v>0</v>
      </c>
      <c r="V393" s="72" t="b">
        <f>IF(Tab.11[[#This Row],[a1]]=1,Tab.11[[#This Row],[target]]-Tab.11[[#This Row],[Blue]])</f>
        <v>0</v>
      </c>
      <c r="W393" s="73" t="b">
        <f>IF(Tab.11[[#This Row],[a1]]=1,IF(ABS(Tab.11[[#This Row],[b17]])+ABS(Tab.11[[#This Row],[b18]])&lt;$W$2,$W$2,ABS(Tab.11[[#This Row],[b17]])+ABS(Tab.11[[#This Row],[b18]])))</f>
        <v>0</v>
      </c>
      <c r="X393" s="136" t="b">
        <f>IF(Tab.11[[#This Row],[a1]]=1,IF($W$3&lt;0,Tab.11[[#This Row],[IN]]-$I$3,Tab.11[[#This Row],[IN]]))</f>
        <v>0</v>
      </c>
      <c r="Y393" s="136" t="b">
        <f>IF(Tab.11[[#This Row],[a1]]=1,IF($X$3=0,Tab.11[b66],Tab.11[[#This Row],[b66]]-AVERAGE(Tab.11[b66])))</f>
        <v>0</v>
      </c>
      <c r="Z393" s="135" t="b">
        <f>IF(Tab.11[[#This Row],[a1]]=1,Tab.11[[#This Row],[b77]]/(_xlfn.STDEV.P(Tab.11[b77])))</f>
        <v>0</v>
      </c>
      <c r="AA393" s="70" t="b">
        <f>IF(Tab.11[[#This Row],[a1]]=1,_xlfn.NORM.DIST(Tab.11[[#This Row],[b88]],$Z$1,$AA$1,FALSE))</f>
        <v>0</v>
      </c>
      <c r="AB393" s="74" t="b">
        <f>IF(Tab.11[[#This Row],[a1]]=1,IF($A$3=0,FALSE,1/Tab.11[[#This Row],[IN]]*$AC$2*IF(Tab.11[[#This Row],[a1]]=0,,$A$3*$AC$1*1/$V$3*(Tab.11[[#This Row],[b14]]))))</f>
        <v>0</v>
      </c>
      <c r="AC393" s="75" t="b">
        <f>IF(Tab.11[[#This Row],[a1]]=1,IF($AC$3=0,Tab.11[[#This Row],[φ1]],Tab.11[[#This Row],[φ1]]/MAX(Tab.11[φ1])))</f>
        <v>0</v>
      </c>
      <c r="AD393" s="74" t="b">
        <f>IF(Tab.11[[#This Row],[a1]]=1,1/Tab.11[[#This Row],[φ2]])</f>
        <v>0</v>
      </c>
      <c r="AE393" s="74" t="b">
        <f>IF(Tab.11[[#This Row],[a1]]=1,IF($AE$3=0,Tab.11[[#This Row],[w.0]],Tab.11[[#This Row],[w.0]]/SUM(Tab.11[w.0])))</f>
        <v>0</v>
      </c>
      <c r="AF393" s="76" t="str">
        <f>IF(Tab.11[[#This Row],[a1]]=0,"false",[3]!Tab.x5[[#This Row],[%_seN_C]])</f>
        <v>false</v>
      </c>
      <c r="AG393" s="77" t="b">
        <f>IF(Tab.11[[#This Row],[a1]]=1,AP393)</f>
        <v>0</v>
      </c>
      <c r="AH393" s="78" t="b">
        <f>IF(Tab.11[[#This Row],[a1]]=1,AQ393)</f>
        <v>0</v>
      </c>
      <c r="AI393" s="41">
        <v>3.0000000000000001E-3</v>
      </c>
      <c r="AJ393" s="79">
        <v>0.08</v>
      </c>
      <c r="AK393" s="80" t="b">
        <f>IF(Tab.11[[#This Row],[a1]]=1,1)</f>
        <v>0</v>
      </c>
      <c r="AZ393"/>
    </row>
    <row r="394" spans="1:52" hidden="1" x14ac:dyDescent="0.25">
      <c r="A394" s="61">
        <f t="shared" si="13"/>
        <v>0</v>
      </c>
      <c r="B394" s="62">
        <f t="shared" si="13"/>
        <v>0</v>
      </c>
      <c r="C394" s="62" t="b">
        <f>IF(Tab.11[[#This Row],[a1]]=1,[3]!Tab_x1[[#This Row],[Name]])</f>
        <v>0</v>
      </c>
      <c r="D394" s="63" t="b">
        <f>IF(Tab.11[[#This Row],[a1]]=1,AO394)</f>
        <v>0</v>
      </c>
      <c r="E394" s="63">
        <f t="shared" si="14"/>
        <v>0</v>
      </c>
      <c r="F394" s="64" t="b">
        <f>IF(Tab.11[[#This Row],[a1]]=1,Tab.11[[#This Row],[b1]])</f>
        <v>0</v>
      </c>
      <c r="G394" s="65" t="b">
        <f>IF(Tab.11[[#This Row],[a1]]=1,IF(Tab.11[[#This Row],[b3]]&gt;$L$989*$G$3,$L$989*$G$3,IF(Tab.11[[#This Row],[b3]]&lt;$M$989*$G$3,$M$989*$G$3,Tab.11[[#This Row],[b3]])))</f>
        <v>0</v>
      </c>
      <c r="H394" s="66" t="b">
        <f>IF(Tab.11[[#This Row],[a1]]=1,Tab.11[[#This Row],[b1]])</f>
        <v>0</v>
      </c>
      <c r="I394" s="67" t="b">
        <f>IF(Tab.11[[#This Row],[a1]]=1,Tab.11[[#This Row],[b1]])</f>
        <v>0</v>
      </c>
      <c r="J394" s="68" t="b">
        <f>IF(Tab.11[[#This Row],[a1]]=1,IF($I$3&lt;0,Tab.11[[#This Row],[b5]]-$I$3,Tab.11[[#This Row],[b5]]))</f>
        <v>0</v>
      </c>
      <c r="K394" s="68" t="b">
        <f>IF(Tab.11[[#This Row],[a1]]=1,IF($K$3=0,Tab.11[b6],Tab.11[[#This Row],[b6]]-AVERAGE(Tab.11[b6])))</f>
        <v>0</v>
      </c>
      <c r="L394" s="69" t="b">
        <f>IF(Tab.11[[#This Row],[a1]]=1,Tab.11[[#This Row],[data]]/(_xlfn.STDEV.P(Tab.11[data])*$B$989)+$A$989)</f>
        <v>0</v>
      </c>
      <c r="M394" s="69" t="b">
        <f>IF(Tab.11[[#This Row],[a1]]=1,Tab.11[[#This Row],[data]]/(_xlfn.STDEV.P(Tab.11[data])*$B$987)-$A$987)</f>
        <v>0</v>
      </c>
      <c r="N394" s="69" t="b">
        <f>IF(Tab.11[[#This Row],[a1]]=1,Tab.11[[#This Row],[data]]/(_xlfn.STDEV.P(Tab.11[data])*$B$988)+$A$988)</f>
        <v>0</v>
      </c>
      <c r="O394" s="70" t="b">
        <f>IF(Tab.11[[#This Row],[a1]]=1,_xlfn.NORM.DIST(Tab.11[[#This Row],[b8]],$P$1,$Q$1,FALSE))</f>
        <v>0</v>
      </c>
      <c r="P394" s="70" t="b">
        <f>IF(Tab.11[[#This Row],[a1]]=1,_xlfn.NORM.DIST(Tab.11[[#This Row],[b9]],$P$1,$Q$1,FALSE))</f>
        <v>0</v>
      </c>
      <c r="Q394" s="70" t="b">
        <f>IF(Tab.11[[#This Row],[a1]]=1,_xlfn.NORM.DIST(Tab.11[[#This Row],[b10]],$P$1,$Q$1,FALSE))</f>
        <v>0</v>
      </c>
      <c r="R394" s="67" t="b">
        <f>IF(Tab.11[[#This Row],[a1]]=1,$I$3+$A$989+IF($K$3=0,Tab.11[[#This Row],[b8]]*_xlfn.STDEV.P(Tab.11[data]),AVERAGE(Tab.11[b6])+Tab.11[[#This Row],[b8]]*_xlfn.STDEV.P(Tab.11[data])))</f>
        <v>0</v>
      </c>
      <c r="S394" s="71" t="b">
        <f>IF(Tab.11[[#This Row],[a1]]=1,$I$3+$A$987+IF($K$3=0,Tab.11[[#This Row],[b9]]*_xlfn.STDEV.P(Tab.11[data]),AVERAGE(Tab.11[b6])+Tab.11[[#This Row],[b9]]*_xlfn.STDEV.P(Tab.11[data])))</f>
        <v>0</v>
      </c>
      <c r="T394" s="71" t="b">
        <f>IF(Tab.11[[#This Row],[a1]]=1,$I$3+$A$988+IF($K$3=0,Tab.11[[#This Row],[b10]]*_xlfn.STDEV.P(Tab.11[data]),AVERAGE(Tab.11[b6])+Tab.11[[#This Row],[b10]]*_xlfn.STDEV.P(Tab.11[data])))</f>
        <v>0</v>
      </c>
      <c r="U394" s="72" t="b">
        <f>IF(Tab.11[[#This Row],[a1]]=1,Tab.11[[#This Row],[target]]-Tab.11[[#This Row],[Red]])</f>
        <v>0</v>
      </c>
      <c r="V394" s="72" t="b">
        <f>IF(Tab.11[[#This Row],[a1]]=1,Tab.11[[#This Row],[target]]-Tab.11[[#This Row],[Blue]])</f>
        <v>0</v>
      </c>
      <c r="W394" s="73" t="b">
        <f>IF(Tab.11[[#This Row],[a1]]=1,IF(ABS(Tab.11[[#This Row],[b17]])+ABS(Tab.11[[#This Row],[b18]])&lt;$W$2,$W$2,ABS(Tab.11[[#This Row],[b17]])+ABS(Tab.11[[#This Row],[b18]])))</f>
        <v>0</v>
      </c>
      <c r="X394" s="136" t="b">
        <f>IF(Tab.11[[#This Row],[a1]]=1,IF($W$3&lt;0,Tab.11[[#This Row],[IN]]-$I$3,Tab.11[[#This Row],[IN]]))</f>
        <v>0</v>
      </c>
      <c r="Y394" s="136" t="b">
        <f>IF(Tab.11[[#This Row],[a1]]=1,IF($X$3=0,Tab.11[b66],Tab.11[[#This Row],[b66]]-AVERAGE(Tab.11[b66])))</f>
        <v>0</v>
      </c>
      <c r="Z394" s="135" t="b">
        <f>IF(Tab.11[[#This Row],[a1]]=1,Tab.11[[#This Row],[b77]]/(_xlfn.STDEV.P(Tab.11[b77])))</f>
        <v>0</v>
      </c>
      <c r="AA394" s="70" t="b">
        <f>IF(Tab.11[[#This Row],[a1]]=1,_xlfn.NORM.DIST(Tab.11[[#This Row],[b88]],$Z$1,$AA$1,FALSE))</f>
        <v>0</v>
      </c>
      <c r="AB394" s="74" t="b">
        <f>IF(Tab.11[[#This Row],[a1]]=1,IF($A$3=0,FALSE,1/Tab.11[[#This Row],[IN]]*$AC$2*IF(Tab.11[[#This Row],[a1]]=0,,$A$3*$AC$1*1/$V$3*(Tab.11[[#This Row],[b14]]))))</f>
        <v>0</v>
      </c>
      <c r="AC394" s="75" t="b">
        <f>IF(Tab.11[[#This Row],[a1]]=1,IF($AC$3=0,Tab.11[[#This Row],[φ1]],Tab.11[[#This Row],[φ1]]/MAX(Tab.11[φ1])))</f>
        <v>0</v>
      </c>
      <c r="AD394" s="74" t="b">
        <f>IF(Tab.11[[#This Row],[a1]]=1,1/Tab.11[[#This Row],[φ2]])</f>
        <v>0</v>
      </c>
      <c r="AE394" s="74" t="b">
        <f>IF(Tab.11[[#This Row],[a1]]=1,IF($AE$3=0,Tab.11[[#This Row],[w.0]],Tab.11[[#This Row],[w.0]]/SUM(Tab.11[w.0])))</f>
        <v>0</v>
      </c>
      <c r="AF394" s="76" t="str">
        <f>IF(Tab.11[[#This Row],[a1]]=0,"false",[3]!Tab.x5[[#This Row],[%_seN_C]])</f>
        <v>false</v>
      </c>
      <c r="AG394" s="77" t="b">
        <f>IF(Tab.11[[#This Row],[a1]]=1,AP394)</f>
        <v>0</v>
      </c>
      <c r="AH394" s="78" t="b">
        <f>IF(Tab.11[[#This Row],[a1]]=1,AQ394)</f>
        <v>0</v>
      </c>
      <c r="AI394" s="41">
        <v>3.0000000000000001E-3</v>
      </c>
      <c r="AJ394" s="79">
        <v>7.0000000000000007E-2</v>
      </c>
      <c r="AK394" s="80" t="b">
        <f>IF(Tab.11[[#This Row],[a1]]=1,1)</f>
        <v>0</v>
      </c>
      <c r="AZ394"/>
    </row>
    <row r="395" spans="1:52" hidden="1" x14ac:dyDescent="0.25">
      <c r="A395" s="61">
        <f t="shared" si="13"/>
        <v>0</v>
      </c>
      <c r="B395" s="62">
        <f t="shared" si="13"/>
        <v>0</v>
      </c>
      <c r="C395" s="62" t="b">
        <f>IF(Tab.11[[#This Row],[a1]]=1,[3]!Tab_x1[[#This Row],[Name]])</f>
        <v>0</v>
      </c>
      <c r="D395" s="63" t="b">
        <f>IF(Tab.11[[#This Row],[a1]]=1,AO395)</f>
        <v>0</v>
      </c>
      <c r="E395" s="63">
        <f t="shared" si="14"/>
        <v>0</v>
      </c>
      <c r="F395" s="64" t="b">
        <f>IF(Tab.11[[#This Row],[a1]]=1,Tab.11[[#This Row],[b1]])</f>
        <v>0</v>
      </c>
      <c r="G395" s="65" t="b">
        <f>IF(Tab.11[[#This Row],[a1]]=1,IF(Tab.11[[#This Row],[b3]]&gt;$L$989*$G$3,$L$989*$G$3,IF(Tab.11[[#This Row],[b3]]&lt;$M$989*$G$3,$M$989*$G$3,Tab.11[[#This Row],[b3]])))</f>
        <v>0</v>
      </c>
      <c r="H395" s="66" t="b">
        <f>IF(Tab.11[[#This Row],[a1]]=1,Tab.11[[#This Row],[b1]])</f>
        <v>0</v>
      </c>
      <c r="I395" s="67" t="b">
        <f>IF(Tab.11[[#This Row],[a1]]=1,Tab.11[[#This Row],[b1]])</f>
        <v>0</v>
      </c>
      <c r="J395" s="68" t="b">
        <f>IF(Tab.11[[#This Row],[a1]]=1,IF($I$3&lt;0,Tab.11[[#This Row],[b5]]-$I$3,Tab.11[[#This Row],[b5]]))</f>
        <v>0</v>
      </c>
      <c r="K395" s="68" t="b">
        <f>IF(Tab.11[[#This Row],[a1]]=1,IF($K$3=0,Tab.11[b6],Tab.11[[#This Row],[b6]]-AVERAGE(Tab.11[b6])))</f>
        <v>0</v>
      </c>
      <c r="L395" s="69" t="b">
        <f>IF(Tab.11[[#This Row],[a1]]=1,Tab.11[[#This Row],[data]]/(_xlfn.STDEV.P(Tab.11[data])*$B$989)+$A$989)</f>
        <v>0</v>
      </c>
      <c r="M395" s="69" t="b">
        <f>IF(Tab.11[[#This Row],[a1]]=1,Tab.11[[#This Row],[data]]/(_xlfn.STDEV.P(Tab.11[data])*$B$987)-$A$987)</f>
        <v>0</v>
      </c>
      <c r="N395" s="69" t="b">
        <f>IF(Tab.11[[#This Row],[a1]]=1,Tab.11[[#This Row],[data]]/(_xlfn.STDEV.P(Tab.11[data])*$B$988)+$A$988)</f>
        <v>0</v>
      </c>
      <c r="O395" s="70" t="b">
        <f>IF(Tab.11[[#This Row],[a1]]=1,_xlfn.NORM.DIST(Tab.11[[#This Row],[b8]],$P$1,$Q$1,FALSE))</f>
        <v>0</v>
      </c>
      <c r="P395" s="70" t="b">
        <f>IF(Tab.11[[#This Row],[a1]]=1,_xlfn.NORM.DIST(Tab.11[[#This Row],[b9]],$P$1,$Q$1,FALSE))</f>
        <v>0</v>
      </c>
      <c r="Q395" s="70" t="b">
        <f>IF(Tab.11[[#This Row],[a1]]=1,_xlfn.NORM.DIST(Tab.11[[#This Row],[b10]],$P$1,$Q$1,FALSE))</f>
        <v>0</v>
      </c>
      <c r="R395" s="67" t="b">
        <f>IF(Tab.11[[#This Row],[a1]]=1,$I$3+$A$989+IF($K$3=0,Tab.11[[#This Row],[b8]]*_xlfn.STDEV.P(Tab.11[data]),AVERAGE(Tab.11[b6])+Tab.11[[#This Row],[b8]]*_xlfn.STDEV.P(Tab.11[data])))</f>
        <v>0</v>
      </c>
      <c r="S395" s="71" t="b">
        <f>IF(Tab.11[[#This Row],[a1]]=1,$I$3+$A$987+IF($K$3=0,Tab.11[[#This Row],[b9]]*_xlfn.STDEV.P(Tab.11[data]),AVERAGE(Tab.11[b6])+Tab.11[[#This Row],[b9]]*_xlfn.STDEV.P(Tab.11[data])))</f>
        <v>0</v>
      </c>
      <c r="T395" s="71" t="b">
        <f>IF(Tab.11[[#This Row],[a1]]=1,$I$3+$A$988+IF($K$3=0,Tab.11[[#This Row],[b10]]*_xlfn.STDEV.P(Tab.11[data]),AVERAGE(Tab.11[b6])+Tab.11[[#This Row],[b10]]*_xlfn.STDEV.P(Tab.11[data])))</f>
        <v>0</v>
      </c>
      <c r="U395" s="72" t="b">
        <f>IF(Tab.11[[#This Row],[a1]]=1,Tab.11[[#This Row],[target]]-Tab.11[[#This Row],[Red]])</f>
        <v>0</v>
      </c>
      <c r="V395" s="72" t="b">
        <f>IF(Tab.11[[#This Row],[a1]]=1,Tab.11[[#This Row],[target]]-Tab.11[[#This Row],[Blue]])</f>
        <v>0</v>
      </c>
      <c r="W395" s="73" t="b">
        <f>IF(Tab.11[[#This Row],[a1]]=1,IF(ABS(Tab.11[[#This Row],[b17]])+ABS(Tab.11[[#This Row],[b18]])&lt;$W$2,$W$2,ABS(Tab.11[[#This Row],[b17]])+ABS(Tab.11[[#This Row],[b18]])))</f>
        <v>0</v>
      </c>
      <c r="X395" s="136" t="b">
        <f>IF(Tab.11[[#This Row],[a1]]=1,IF($W$3&lt;0,Tab.11[[#This Row],[IN]]-$I$3,Tab.11[[#This Row],[IN]]))</f>
        <v>0</v>
      </c>
      <c r="Y395" s="136" t="b">
        <f>IF(Tab.11[[#This Row],[a1]]=1,IF($X$3=0,Tab.11[b66],Tab.11[[#This Row],[b66]]-AVERAGE(Tab.11[b66])))</f>
        <v>0</v>
      </c>
      <c r="Z395" s="135" t="b">
        <f>IF(Tab.11[[#This Row],[a1]]=1,Tab.11[[#This Row],[b77]]/(_xlfn.STDEV.P(Tab.11[b77])))</f>
        <v>0</v>
      </c>
      <c r="AA395" s="70" t="b">
        <f>IF(Tab.11[[#This Row],[a1]]=1,_xlfn.NORM.DIST(Tab.11[[#This Row],[b88]],$Z$1,$AA$1,FALSE))</f>
        <v>0</v>
      </c>
      <c r="AB395" s="74" t="b">
        <f>IF(Tab.11[[#This Row],[a1]]=1,IF($A$3=0,FALSE,1/Tab.11[[#This Row],[IN]]*$AC$2*IF(Tab.11[[#This Row],[a1]]=0,,$A$3*$AC$1*1/$V$3*(Tab.11[[#This Row],[b14]]))))</f>
        <v>0</v>
      </c>
      <c r="AC395" s="75" t="b">
        <f>IF(Tab.11[[#This Row],[a1]]=1,IF($AC$3=0,Tab.11[[#This Row],[φ1]],Tab.11[[#This Row],[φ1]]/MAX(Tab.11[φ1])))</f>
        <v>0</v>
      </c>
      <c r="AD395" s="74" t="b">
        <f>IF(Tab.11[[#This Row],[a1]]=1,1/Tab.11[[#This Row],[φ2]])</f>
        <v>0</v>
      </c>
      <c r="AE395" s="74" t="b">
        <f>IF(Tab.11[[#This Row],[a1]]=1,IF($AE$3=0,Tab.11[[#This Row],[w.0]],Tab.11[[#This Row],[w.0]]/SUM(Tab.11[w.0])))</f>
        <v>0</v>
      </c>
      <c r="AF395" s="76" t="str">
        <f>IF(Tab.11[[#This Row],[a1]]=0,"false",[3]!Tab.x5[[#This Row],[%_seN_C]])</f>
        <v>false</v>
      </c>
      <c r="AG395" s="77" t="b">
        <f>IF(Tab.11[[#This Row],[a1]]=1,AP395)</f>
        <v>0</v>
      </c>
      <c r="AH395" s="78" t="b">
        <f>IF(Tab.11[[#This Row],[a1]]=1,AQ395)</f>
        <v>0</v>
      </c>
      <c r="AI395" s="41">
        <v>3.0000000000000001E-3</v>
      </c>
      <c r="AJ395" s="79">
        <v>0.09</v>
      </c>
      <c r="AK395" s="80" t="b">
        <f>IF(Tab.11[[#This Row],[a1]]=1,1)</f>
        <v>0</v>
      </c>
      <c r="AZ395"/>
    </row>
    <row r="396" spans="1:52" hidden="1" x14ac:dyDescent="0.25">
      <c r="A396" s="61">
        <f t="shared" si="13"/>
        <v>0</v>
      </c>
      <c r="B396" s="62">
        <f t="shared" si="13"/>
        <v>0</v>
      </c>
      <c r="C396" s="62" t="b">
        <f>IF(Tab.11[[#This Row],[a1]]=1,[3]!Tab_x1[[#This Row],[Name]])</f>
        <v>0</v>
      </c>
      <c r="D396" s="63" t="b">
        <f>IF(Tab.11[[#This Row],[a1]]=1,AO396)</f>
        <v>0</v>
      </c>
      <c r="E396" s="63">
        <f t="shared" si="14"/>
        <v>0</v>
      </c>
      <c r="F396" s="64" t="b">
        <f>IF(Tab.11[[#This Row],[a1]]=1,Tab.11[[#This Row],[b1]])</f>
        <v>0</v>
      </c>
      <c r="G396" s="65" t="b">
        <f>IF(Tab.11[[#This Row],[a1]]=1,IF(Tab.11[[#This Row],[b3]]&gt;$L$989*$G$3,$L$989*$G$3,IF(Tab.11[[#This Row],[b3]]&lt;$M$989*$G$3,$M$989*$G$3,Tab.11[[#This Row],[b3]])))</f>
        <v>0</v>
      </c>
      <c r="H396" s="66" t="b">
        <f>IF(Tab.11[[#This Row],[a1]]=1,Tab.11[[#This Row],[b1]])</f>
        <v>0</v>
      </c>
      <c r="I396" s="67" t="b">
        <f>IF(Tab.11[[#This Row],[a1]]=1,Tab.11[[#This Row],[b1]])</f>
        <v>0</v>
      </c>
      <c r="J396" s="68" t="b">
        <f>IF(Tab.11[[#This Row],[a1]]=1,IF($I$3&lt;0,Tab.11[[#This Row],[b5]]-$I$3,Tab.11[[#This Row],[b5]]))</f>
        <v>0</v>
      </c>
      <c r="K396" s="68" t="b">
        <f>IF(Tab.11[[#This Row],[a1]]=1,IF($K$3=0,Tab.11[b6],Tab.11[[#This Row],[b6]]-AVERAGE(Tab.11[b6])))</f>
        <v>0</v>
      </c>
      <c r="L396" s="69" t="b">
        <f>IF(Tab.11[[#This Row],[a1]]=1,Tab.11[[#This Row],[data]]/(_xlfn.STDEV.P(Tab.11[data])*$B$989)+$A$989)</f>
        <v>0</v>
      </c>
      <c r="M396" s="69" t="b">
        <f>IF(Tab.11[[#This Row],[a1]]=1,Tab.11[[#This Row],[data]]/(_xlfn.STDEV.P(Tab.11[data])*$B$987)-$A$987)</f>
        <v>0</v>
      </c>
      <c r="N396" s="69" t="b">
        <f>IF(Tab.11[[#This Row],[a1]]=1,Tab.11[[#This Row],[data]]/(_xlfn.STDEV.P(Tab.11[data])*$B$988)+$A$988)</f>
        <v>0</v>
      </c>
      <c r="O396" s="70" t="b">
        <f>IF(Tab.11[[#This Row],[a1]]=1,_xlfn.NORM.DIST(Tab.11[[#This Row],[b8]],$P$1,$Q$1,FALSE))</f>
        <v>0</v>
      </c>
      <c r="P396" s="70" t="b">
        <f>IF(Tab.11[[#This Row],[a1]]=1,_xlfn.NORM.DIST(Tab.11[[#This Row],[b9]],$P$1,$Q$1,FALSE))</f>
        <v>0</v>
      </c>
      <c r="Q396" s="70" t="b">
        <f>IF(Tab.11[[#This Row],[a1]]=1,_xlfn.NORM.DIST(Tab.11[[#This Row],[b10]],$P$1,$Q$1,FALSE))</f>
        <v>0</v>
      </c>
      <c r="R396" s="67" t="b">
        <f>IF(Tab.11[[#This Row],[a1]]=1,$I$3+$A$989+IF($K$3=0,Tab.11[[#This Row],[b8]]*_xlfn.STDEV.P(Tab.11[data]),AVERAGE(Tab.11[b6])+Tab.11[[#This Row],[b8]]*_xlfn.STDEV.P(Tab.11[data])))</f>
        <v>0</v>
      </c>
      <c r="S396" s="71" t="b">
        <f>IF(Tab.11[[#This Row],[a1]]=1,$I$3+$A$987+IF($K$3=0,Tab.11[[#This Row],[b9]]*_xlfn.STDEV.P(Tab.11[data]),AVERAGE(Tab.11[b6])+Tab.11[[#This Row],[b9]]*_xlfn.STDEV.P(Tab.11[data])))</f>
        <v>0</v>
      </c>
      <c r="T396" s="71" t="b">
        <f>IF(Tab.11[[#This Row],[a1]]=1,$I$3+$A$988+IF($K$3=0,Tab.11[[#This Row],[b10]]*_xlfn.STDEV.P(Tab.11[data]),AVERAGE(Tab.11[b6])+Tab.11[[#This Row],[b10]]*_xlfn.STDEV.P(Tab.11[data])))</f>
        <v>0</v>
      </c>
      <c r="U396" s="72" t="b">
        <f>IF(Tab.11[[#This Row],[a1]]=1,Tab.11[[#This Row],[target]]-Tab.11[[#This Row],[Red]])</f>
        <v>0</v>
      </c>
      <c r="V396" s="72" t="b">
        <f>IF(Tab.11[[#This Row],[a1]]=1,Tab.11[[#This Row],[target]]-Tab.11[[#This Row],[Blue]])</f>
        <v>0</v>
      </c>
      <c r="W396" s="73" t="b">
        <f>IF(Tab.11[[#This Row],[a1]]=1,IF(ABS(Tab.11[[#This Row],[b17]])+ABS(Tab.11[[#This Row],[b18]])&lt;$W$2,$W$2,ABS(Tab.11[[#This Row],[b17]])+ABS(Tab.11[[#This Row],[b18]])))</f>
        <v>0</v>
      </c>
      <c r="X396" s="136" t="b">
        <f>IF(Tab.11[[#This Row],[a1]]=1,IF($W$3&lt;0,Tab.11[[#This Row],[IN]]-$I$3,Tab.11[[#This Row],[IN]]))</f>
        <v>0</v>
      </c>
      <c r="Y396" s="136" t="b">
        <f>IF(Tab.11[[#This Row],[a1]]=1,IF($X$3=0,Tab.11[b66],Tab.11[[#This Row],[b66]]-AVERAGE(Tab.11[b66])))</f>
        <v>0</v>
      </c>
      <c r="Z396" s="135" t="b">
        <f>IF(Tab.11[[#This Row],[a1]]=1,Tab.11[[#This Row],[b77]]/(_xlfn.STDEV.P(Tab.11[b77])))</f>
        <v>0</v>
      </c>
      <c r="AA396" s="70" t="b">
        <f>IF(Tab.11[[#This Row],[a1]]=1,_xlfn.NORM.DIST(Tab.11[[#This Row],[b88]],$Z$1,$AA$1,FALSE))</f>
        <v>0</v>
      </c>
      <c r="AB396" s="74" t="b">
        <f>IF(Tab.11[[#This Row],[a1]]=1,IF($A$3=0,FALSE,1/Tab.11[[#This Row],[IN]]*$AC$2*IF(Tab.11[[#This Row],[a1]]=0,,$A$3*$AC$1*1/$V$3*(Tab.11[[#This Row],[b14]]))))</f>
        <v>0</v>
      </c>
      <c r="AC396" s="75" t="b">
        <f>IF(Tab.11[[#This Row],[a1]]=1,IF($AC$3=0,Tab.11[[#This Row],[φ1]],Tab.11[[#This Row],[φ1]]/MAX(Tab.11[φ1])))</f>
        <v>0</v>
      </c>
      <c r="AD396" s="74" t="b">
        <f>IF(Tab.11[[#This Row],[a1]]=1,1/Tab.11[[#This Row],[φ2]])</f>
        <v>0</v>
      </c>
      <c r="AE396" s="74" t="b">
        <f>IF(Tab.11[[#This Row],[a1]]=1,IF($AE$3=0,Tab.11[[#This Row],[w.0]],Tab.11[[#This Row],[w.0]]/SUM(Tab.11[w.0])))</f>
        <v>0</v>
      </c>
      <c r="AF396" s="76" t="str">
        <f>IF(Tab.11[[#This Row],[a1]]=0,"false",[3]!Tab.x5[[#This Row],[%_seN_C]])</f>
        <v>false</v>
      </c>
      <c r="AG396" s="77" t="b">
        <f>IF(Tab.11[[#This Row],[a1]]=1,AP396)</f>
        <v>0</v>
      </c>
      <c r="AH396" s="78" t="b">
        <f>IF(Tab.11[[#This Row],[a1]]=1,AQ396)</f>
        <v>0</v>
      </c>
      <c r="AI396" s="41">
        <v>3.0000000000000001E-3</v>
      </c>
      <c r="AJ396" s="79">
        <v>-0.02</v>
      </c>
      <c r="AK396" s="80" t="b">
        <f>IF(Tab.11[[#This Row],[a1]]=1,1)</f>
        <v>0</v>
      </c>
      <c r="AZ396"/>
    </row>
    <row r="397" spans="1:52" hidden="1" x14ac:dyDescent="0.25">
      <c r="A397" s="61">
        <f t="shared" si="13"/>
        <v>0</v>
      </c>
      <c r="B397" s="62">
        <f t="shared" si="13"/>
        <v>0</v>
      </c>
      <c r="C397" s="62" t="b">
        <f>IF(Tab.11[[#This Row],[a1]]=1,[3]!Tab_x1[[#This Row],[Name]])</f>
        <v>0</v>
      </c>
      <c r="D397" s="63" t="b">
        <f>IF(Tab.11[[#This Row],[a1]]=1,AO397)</f>
        <v>0</v>
      </c>
      <c r="E397" s="63">
        <f t="shared" si="14"/>
        <v>0</v>
      </c>
      <c r="F397" s="64" t="b">
        <f>IF(Tab.11[[#This Row],[a1]]=1,Tab.11[[#This Row],[b1]])</f>
        <v>0</v>
      </c>
      <c r="G397" s="65" t="b">
        <f>IF(Tab.11[[#This Row],[a1]]=1,IF(Tab.11[[#This Row],[b3]]&gt;$L$989*$G$3,$L$989*$G$3,IF(Tab.11[[#This Row],[b3]]&lt;$M$989*$G$3,$M$989*$G$3,Tab.11[[#This Row],[b3]])))</f>
        <v>0</v>
      </c>
      <c r="H397" s="66" t="b">
        <f>IF(Tab.11[[#This Row],[a1]]=1,Tab.11[[#This Row],[b1]])</f>
        <v>0</v>
      </c>
      <c r="I397" s="67" t="b">
        <f>IF(Tab.11[[#This Row],[a1]]=1,Tab.11[[#This Row],[b1]])</f>
        <v>0</v>
      </c>
      <c r="J397" s="68" t="b">
        <f>IF(Tab.11[[#This Row],[a1]]=1,IF($I$3&lt;0,Tab.11[[#This Row],[b5]]-$I$3,Tab.11[[#This Row],[b5]]))</f>
        <v>0</v>
      </c>
      <c r="K397" s="68" t="b">
        <f>IF(Tab.11[[#This Row],[a1]]=1,IF($K$3=0,Tab.11[b6],Tab.11[[#This Row],[b6]]-AVERAGE(Tab.11[b6])))</f>
        <v>0</v>
      </c>
      <c r="L397" s="69" t="b">
        <f>IF(Tab.11[[#This Row],[a1]]=1,Tab.11[[#This Row],[data]]/(_xlfn.STDEV.P(Tab.11[data])*$B$989)+$A$989)</f>
        <v>0</v>
      </c>
      <c r="M397" s="69" t="b">
        <f>IF(Tab.11[[#This Row],[a1]]=1,Tab.11[[#This Row],[data]]/(_xlfn.STDEV.P(Tab.11[data])*$B$987)-$A$987)</f>
        <v>0</v>
      </c>
      <c r="N397" s="69" t="b">
        <f>IF(Tab.11[[#This Row],[a1]]=1,Tab.11[[#This Row],[data]]/(_xlfn.STDEV.P(Tab.11[data])*$B$988)+$A$988)</f>
        <v>0</v>
      </c>
      <c r="O397" s="70" t="b">
        <f>IF(Tab.11[[#This Row],[a1]]=1,_xlfn.NORM.DIST(Tab.11[[#This Row],[b8]],$P$1,$Q$1,FALSE))</f>
        <v>0</v>
      </c>
      <c r="P397" s="70" t="b">
        <f>IF(Tab.11[[#This Row],[a1]]=1,_xlfn.NORM.DIST(Tab.11[[#This Row],[b9]],$P$1,$Q$1,FALSE))</f>
        <v>0</v>
      </c>
      <c r="Q397" s="70" t="b">
        <f>IF(Tab.11[[#This Row],[a1]]=1,_xlfn.NORM.DIST(Tab.11[[#This Row],[b10]],$P$1,$Q$1,FALSE))</f>
        <v>0</v>
      </c>
      <c r="R397" s="67" t="b">
        <f>IF(Tab.11[[#This Row],[a1]]=1,$I$3+$A$989+IF($K$3=0,Tab.11[[#This Row],[b8]]*_xlfn.STDEV.P(Tab.11[data]),AVERAGE(Tab.11[b6])+Tab.11[[#This Row],[b8]]*_xlfn.STDEV.P(Tab.11[data])))</f>
        <v>0</v>
      </c>
      <c r="S397" s="71" t="b">
        <f>IF(Tab.11[[#This Row],[a1]]=1,$I$3+$A$987+IF($K$3=0,Tab.11[[#This Row],[b9]]*_xlfn.STDEV.P(Tab.11[data]),AVERAGE(Tab.11[b6])+Tab.11[[#This Row],[b9]]*_xlfn.STDEV.P(Tab.11[data])))</f>
        <v>0</v>
      </c>
      <c r="T397" s="71" t="b">
        <f>IF(Tab.11[[#This Row],[a1]]=1,$I$3+$A$988+IF($K$3=0,Tab.11[[#This Row],[b10]]*_xlfn.STDEV.P(Tab.11[data]),AVERAGE(Tab.11[b6])+Tab.11[[#This Row],[b10]]*_xlfn.STDEV.P(Tab.11[data])))</f>
        <v>0</v>
      </c>
      <c r="U397" s="72" t="b">
        <f>IF(Tab.11[[#This Row],[a1]]=1,Tab.11[[#This Row],[target]]-Tab.11[[#This Row],[Red]])</f>
        <v>0</v>
      </c>
      <c r="V397" s="72" t="b">
        <f>IF(Tab.11[[#This Row],[a1]]=1,Tab.11[[#This Row],[target]]-Tab.11[[#This Row],[Blue]])</f>
        <v>0</v>
      </c>
      <c r="W397" s="73" t="b">
        <f>IF(Tab.11[[#This Row],[a1]]=1,IF(ABS(Tab.11[[#This Row],[b17]])+ABS(Tab.11[[#This Row],[b18]])&lt;$W$2,$W$2,ABS(Tab.11[[#This Row],[b17]])+ABS(Tab.11[[#This Row],[b18]])))</f>
        <v>0</v>
      </c>
      <c r="X397" s="136" t="b">
        <f>IF(Tab.11[[#This Row],[a1]]=1,IF($W$3&lt;0,Tab.11[[#This Row],[IN]]-$I$3,Tab.11[[#This Row],[IN]]))</f>
        <v>0</v>
      </c>
      <c r="Y397" s="136" t="b">
        <f>IF(Tab.11[[#This Row],[a1]]=1,IF($X$3=0,Tab.11[b66],Tab.11[[#This Row],[b66]]-AVERAGE(Tab.11[b66])))</f>
        <v>0</v>
      </c>
      <c r="Z397" s="135" t="b">
        <f>IF(Tab.11[[#This Row],[a1]]=1,Tab.11[[#This Row],[b77]]/(_xlfn.STDEV.P(Tab.11[b77])))</f>
        <v>0</v>
      </c>
      <c r="AA397" s="70" t="b">
        <f>IF(Tab.11[[#This Row],[a1]]=1,_xlfn.NORM.DIST(Tab.11[[#This Row],[b88]],$Z$1,$AA$1,FALSE))</f>
        <v>0</v>
      </c>
      <c r="AB397" s="74" t="b">
        <f>IF(Tab.11[[#This Row],[a1]]=1,IF($A$3=0,FALSE,1/Tab.11[[#This Row],[IN]]*$AC$2*IF(Tab.11[[#This Row],[a1]]=0,,$A$3*$AC$1*1/$V$3*(Tab.11[[#This Row],[b14]]))))</f>
        <v>0</v>
      </c>
      <c r="AC397" s="75" t="b">
        <f>IF(Tab.11[[#This Row],[a1]]=1,IF($AC$3=0,Tab.11[[#This Row],[φ1]],Tab.11[[#This Row],[φ1]]/MAX(Tab.11[φ1])))</f>
        <v>0</v>
      </c>
      <c r="AD397" s="74" t="b">
        <f>IF(Tab.11[[#This Row],[a1]]=1,1/Tab.11[[#This Row],[φ2]])</f>
        <v>0</v>
      </c>
      <c r="AE397" s="74" t="b">
        <f>IF(Tab.11[[#This Row],[a1]]=1,IF($AE$3=0,Tab.11[[#This Row],[w.0]],Tab.11[[#This Row],[w.0]]/SUM(Tab.11[w.0])))</f>
        <v>0</v>
      </c>
      <c r="AF397" s="76" t="str">
        <f>IF(Tab.11[[#This Row],[a1]]=0,"false",[3]!Tab.x5[[#This Row],[%_seN_C]])</f>
        <v>false</v>
      </c>
      <c r="AG397" s="77" t="b">
        <f>IF(Tab.11[[#This Row],[a1]]=1,AP397)</f>
        <v>0</v>
      </c>
      <c r="AH397" s="78" t="b">
        <f>IF(Tab.11[[#This Row],[a1]]=1,AQ397)</f>
        <v>0</v>
      </c>
      <c r="AI397" s="41">
        <v>3.0000000000000001E-3</v>
      </c>
      <c r="AJ397" s="79">
        <v>0.08</v>
      </c>
      <c r="AK397" s="80" t="b">
        <f>IF(Tab.11[[#This Row],[a1]]=1,1)</f>
        <v>0</v>
      </c>
      <c r="AZ397"/>
    </row>
    <row r="398" spans="1:52" hidden="1" x14ac:dyDescent="0.25">
      <c r="A398" s="61">
        <f t="shared" si="13"/>
        <v>0</v>
      </c>
      <c r="B398" s="62">
        <f t="shared" si="13"/>
        <v>0</v>
      </c>
      <c r="C398" s="62" t="b">
        <f>IF(Tab.11[[#This Row],[a1]]=1,[3]!Tab_x1[[#This Row],[Name]])</f>
        <v>0</v>
      </c>
      <c r="D398" s="63" t="b">
        <f>IF(Tab.11[[#This Row],[a1]]=1,AO398)</f>
        <v>0</v>
      </c>
      <c r="E398" s="63">
        <f t="shared" si="14"/>
        <v>0</v>
      </c>
      <c r="F398" s="64" t="b">
        <f>IF(Tab.11[[#This Row],[a1]]=1,Tab.11[[#This Row],[b1]])</f>
        <v>0</v>
      </c>
      <c r="G398" s="65" t="b">
        <f>IF(Tab.11[[#This Row],[a1]]=1,IF(Tab.11[[#This Row],[b3]]&gt;$L$989*$G$3,$L$989*$G$3,IF(Tab.11[[#This Row],[b3]]&lt;$M$989*$G$3,$M$989*$G$3,Tab.11[[#This Row],[b3]])))</f>
        <v>0</v>
      </c>
      <c r="H398" s="66" t="b">
        <f>IF(Tab.11[[#This Row],[a1]]=1,Tab.11[[#This Row],[b1]])</f>
        <v>0</v>
      </c>
      <c r="I398" s="67" t="b">
        <f>IF(Tab.11[[#This Row],[a1]]=1,Tab.11[[#This Row],[b1]])</f>
        <v>0</v>
      </c>
      <c r="J398" s="68" t="b">
        <f>IF(Tab.11[[#This Row],[a1]]=1,IF($I$3&lt;0,Tab.11[[#This Row],[b5]]-$I$3,Tab.11[[#This Row],[b5]]))</f>
        <v>0</v>
      </c>
      <c r="K398" s="68" t="b">
        <f>IF(Tab.11[[#This Row],[a1]]=1,IF($K$3=0,Tab.11[b6],Tab.11[[#This Row],[b6]]-AVERAGE(Tab.11[b6])))</f>
        <v>0</v>
      </c>
      <c r="L398" s="69" t="b">
        <f>IF(Tab.11[[#This Row],[a1]]=1,Tab.11[[#This Row],[data]]/(_xlfn.STDEV.P(Tab.11[data])*$B$989)+$A$989)</f>
        <v>0</v>
      </c>
      <c r="M398" s="69" t="b">
        <f>IF(Tab.11[[#This Row],[a1]]=1,Tab.11[[#This Row],[data]]/(_xlfn.STDEV.P(Tab.11[data])*$B$987)-$A$987)</f>
        <v>0</v>
      </c>
      <c r="N398" s="69" t="b">
        <f>IF(Tab.11[[#This Row],[a1]]=1,Tab.11[[#This Row],[data]]/(_xlfn.STDEV.P(Tab.11[data])*$B$988)+$A$988)</f>
        <v>0</v>
      </c>
      <c r="O398" s="70" t="b">
        <f>IF(Tab.11[[#This Row],[a1]]=1,_xlfn.NORM.DIST(Tab.11[[#This Row],[b8]],$P$1,$Q$1,FALSE))</f>
        <v>0</v>
      </c>
      <c r="P398" s="70" t="b">
        <f>IF(Tab.11[[#This Row],[a1]]=1,_xlfn.NORM.DIST(Tab.11[[#This Row],[b9]],$P$1,$Q$1,FALSE))</f>
        <v>0</v>
      </c>
      <c r="Q398" s="70" t="b">
        <f>IF(Tab.11[[#This Row],[a1]]=1,_xlfn.NORM.DIST(Tab.11[[#This Row],[b10]],$P$1,$Q$1,FALSE))</f>
        <v>0</v>
      </c>
      <c r="R398" s="67" t="b">
        <f>IF(Tab.11[[#This Row],[a1]]=1,$I$3+$A$989+IF($K$3=0,Tab.11[[#This Row],[b8]]*_xlfn.STDEV.P(Tab.11[data]),AVERAGE(Tab.11[b6])+Tab.11[[#This Row],[b8]]*_xlfn.STDEV.P(Tab.11[data])))</f>
        <v>0</v>
      </c>
      <c r="S398" s="71" t="b">
        <f>IF(Tab.11[[#This Row],[a1]]=1,$I$3+$A$987+IF($K$3=0,Tab.11[[#This Row],[b9]]*_xlfn.STDEV.P(Tab.11[data]),AVERAGE(Tab.11[b6])+Tab.11[[#This Row],[b9]]*_xlfn.STDEV.P(Tab.11[data])))</f>
        <v>0</v>
      </c>
      <c r="T398" s="71" t="b">
        <f>IF(Tab.11[[#This Row],[a1]]=1,$I$3+$A$988+IF($K$3=0,Tab.11[[#This Row],[b10]]*_xlfn.STDEV.P(Tab.11[data]),AVERAGE(Tab.11[b6])+Tab.11[[#This Row],[b10]]*_xlfn.STDEV.P(Tab.11[data])))</f>
        <v>0</v>
      </c>
      <c r="U398" s="72" t="b">
        <f>IF(Tab.11[[#This Row],[a1]]=1,Tab.11[[#This Row],[target]]-Tab.11[[#This Row],[Red]])</f>
        <v>0</v>
      </c>
      <c r="V398" s="72" t="b">
        <f>IF(Tab.11[[#This Row],[a1]]=1,Tab.11[[#This Row],[target]]-Tab.11[[#This Row],[Blue]])</f>
        <v>0</v>
      </c>
      <c r="W398" s="73" t="b">
        <f>IF(Tab.11[[#This Row],[a1]]=1,IF(ABS(Tab.11[[#This Row],[b17]])+ABS(Tab.11[[#This Row],[b18]])&lt;$W$2,$W$2,ABS(Tab.11[[#This Row],[b17]])+ABS(Tab.11[[#This Row],[b18]])))</f>
        <v>0</v>
      </c>
      <c r="X398" s="136" t="b">
        <f>IF(Tab.11[[#This Row],[a1]]=1,IF($W$3&lt;0,Tab.11[[#This Row],[IN]]-$I$3,Tab.11[[#This Row],[IN]]))</f>
        <v>0</v>
      </c>
      <c r="Y398" s="136" t="b">
        <f>IF(Tab.11[[#This Row],[a1]]=1,IF($X$3=0,Tab.11[b66],Tab.11[[#This Row],[b66]]-AVERAGE(Tab.11[b66])))</f>
        <v>0</v>
      </c>
      <c r="Z398" s="135" t="b">
        <f>IF(Tab.11[[#This Row],[a1]]=1,Tab.11[[#This Row],[b77]]/(_xlfn.STDEV.P(Tab.11[b77])))</f>
        <v>0</v>
      </c>
      <c r="AA398" s="70" t="b">
        <f>IF(Tab.11[[#This Row],[a1]]=1,_xlfn.NORM.DIST(Tab.11[[#This Row],[b88]],$Z$1,$AA$1,FALSE))</f>
        <v>0</v>
      </c>
      <c r="AB398" s="74" t="b">
        <f>IF(Tab.11[[#This Row],[a1]]=1,IF($A$3=0,FALSE,1/Tab.11[[#This Row],[IN]]*$AC$2*IF(Tab.11[[#This Row],[a1]]=0,,$A$3*$AC$1*1/$V$3*(Tab.11[[#This Row],[b14]]))))</f>
        <v>0</v>
      </c>
      <c r="AC398" s="75" t="b">
        <f>IF(Tab.11[[#This Row],[a1]]=1,IF($AC$3=0,Tab.11[[#This Row],[φ1]],Tab.11[[#This Row],[φ1]]/MAX(Tab.11[φ1])))</f>
        <v>0</v>
      </c>
      <c r="AD398" s="74" t="b">
        <f>IF(Tab.11[[#This Row],[a1]]=1,1/Tab.11[[#This Row],[φ2]])</f>
        <v>0</v>
      </c>
      <c r="AE398" s="74" t="b">
        <f>IF(Tab.11[[#This Row],[a1]]=1,IF($AE$3=0,Tab.11[[#This Row],[w.0]],Tab.11[[#This Row],[w.0]]/SUM(Tab.11[w.0])))</f>
        <v>0</v>
      </c>
      <c r="AF398" s="76" t="str">
        <f>IF(Tab.11[[#This Row],[a1]]=0,"false",[3]!Tab.x5[[#This Row],[%_seN_C]])</f>
        <v>false</v>
      </c>
      <c r="AG398" s="77" t="b">
        <f>IF(Tab.11[[#This Row],[a1]]=1,AP398)</f>
        <v>0</v>
      </c>
      <c r="AH398" s="78" t="b">
        <f>IF(Tab.11[[#This Row],[a1]]=1,AQ398)</f>
        <v>0</v>
      </c>
      <c r="AI398" s="41">
        <v>3.0000000000000001E-3</v>
      </c>
      <c r="AJ398" s="79">
        <v>-0.02</v>
      </c>
      <c r="AK398" s="80" t="b">
        <f>IF(Tab.11[[#This Row],[a1]]=1,1)</f>
        <v>0</v>
      </c>
      <c r="AZ398"/>
    </row>
    <row r="399" spans="1:52" hidden="1" x14ac:dyDescent="0.25">
      <c r="A399" s="61">
        <f t="shared" si="13"/>
        <v>0</v>
      </c>
      <c r="B399" s="62">
        <f t="shared" si="13"/>
        <v>0</v>
      </c>
      <c r="C399" s="62" t="b">
        <f>IF(Tab.11[[#This Row],[a1]]=1,[3]!Tab_x1[[#This Row],[Name]])</f>
        <v>0</v>
      </c>
      <c r="D399" s="63" t="b">
        <f>IF(Tab.11[[#This Row],[a1]]=1,AO399)</f>
        <v>0</v>
      </c>
      <c r="E399" s="63">
        <f t="shared" si="14"/>
        <v>0</v>
      </c>
      <c r="F399" s="64" t="b">
        <f>IF(Tab.11[[#This Row],[a1]]=1,Tab.11[[#This Row],[b1]])</f>
        <v>0</v>
      </c>
      <c r="G399" s="65" t="b">
        <f>IF(Tab.11[[#This Row],[a1]]=1,IF(Tab.11[[#This Row],[b3]]&gt;$L$989*$G$3,$L$989*$G$3,IF(Tab.11[[#This Row],[b3]]&lt;$M$989*$G$3,$M$989*$G$3,Tab.11[[#This Row],[b3]])))</f>
        <v>0</v>
      </c>
      <c r="H399" s="66" t="b">
        <f>IF(Tab.11[[#This Row],[a1]]=1,Tab.11[[#This Row],[b1]])</f>
        <v>0</v>
      </c>
      <c r="I399" s="67" t="b">
        <f>IF(Tab.11[[#This Row],[a1]]=1,Tab.11[[#This Row],[b1]])</f>
        <v>0</v>
      </c>
      <c r="J399" s="68" t="b">
        <f>IF(Tab.11[[#This Row],[a1]]=1,IF($I$3&lt;0,Tab.11[[#This Row],[b5]]-$I$3,Tab.11[[#This Row],[b5]]))</f>
        <v>0</v>
      </c>
      <c r="K399" s="68" t="b">
        <f>IF(Tab.11[[#This Row],[a1]]=1,IF($K$3=0,Tab.11[b6],Tab.11[[#This Row],[b6]]-AVERAGE(Tab.11[b6])))</f>
        <v>0</v>
      </c>
      <c r="L399" s="69" t="b">
        <f>IF(Tab.11[[#This Row],[a1]]=1,Tab.11[[#This Row],[data]]/(_xlfn.STDEV.P(Tab.11[data])*$B$989)+$A$989)</f>
        <v>0</v>
      </c>
      <c r="M399" s="69" t="b">
        <f>IF(Tab.11[[#This Row],[a1]]=1,Tab.11[[#This Row],[data]]/(_xlfn.STDEV.P(Tab.11[data])*$B$987)-$A$987)</f>
        <v>0</v>
      </c>
      <c r="N399" s="69" t="b">
        <f>IF(Tab.11[[#This Row],[a1]]=1,Tab.11[[#This Row],[data]]/(_xlfn.STDEV.P(Tab.11[data])*$B$988)+$A$988)</f>
        <v>0</v>
      </c>
      <c r="O399" s="70" t="b">
        <f>IF(Tab.11[[#This Row],[a1]]=1,_xlfn.NORM.DIST(Tab.11[[#This Row],[b8]],$P$1,$Q$1,FALSE))</f>
        <v>0</v>
      </c>
      <c r="P399" s="70" t="b">
        <f>IF(Tab.11[[#This Row],[a1]]=1,_xlfn.NORM.DIST(Tab.11[[#This Row],[b9]],$P$1,$Q$1,FALSE))</f>
        <v>0</v>
      </c>
      <c r="Q399" s="70" t="b">
        <f>IF(Tab.11[[#This Row],[a1]]=1,_xlfn.NORM.DIST(Tab.11[[#This Row],[b10]],$P$1,$Q$1,FALSE))</f>
        <v>0</v>
      </c>
      <c r="R399" s="67" t="b">
        <f>IF(Tab.11[[#This Row],[a1]]=1,$I$3+$A$989+IF($K$3=0,Tab.11[[#This Row],[b8]]*_xlfn.STDEV.P(Tab.11[data]),AVERAGE(Tab.11[b6])+Tab.11[[#This Row],[b8]]*_xlfn.STDEV.P(Tab.11[data])))</f>
        <v>0</v>
      </c>
      <c r="S399" s="71" t="b">
        <f>IF(Tab.11[[#This Row],[a1]]=1,$I$3+$A$987+IF($K$3=0,Tab.11[[#This Row],[b9]]*_xlfn.STDEV.P(Tab.11[data]),AVERAGE(Tab.11[b6])+Tab.11[[#This Row],[b9]]*_xlfn.STDEV.P(Tab.11[data])))</f>
        <v>0</v>
      </c>
      <c r="T399" s="71" t="b">
        <f>IF(Tab.11[[#This Row],[a1]]=1,$I$3+$A$988+IF($K$3=0,Tab.11[[#This Row],[b10]]*_xlfn.STDEV.P(Tab.11[data]),AVERAGE(Tab.11[b6])+Tab.11[[#This Row],[b10]]*_xlfn.STDEV.P(Tab.11[data])))</f>
        <v>0</v>
      </c>
      <c r="U399" s="72" t="b">
        <f>IF(Tab.11[[#This Row],[a1]]=1,Tab.11[[#This Row],[target]]-Tab.11[[#This Row],[Red]])</f>
        <v>0</v>
      </c>
      <c r="V399" s="72" t="b">
        <f>IF(Tab.11[[#This Row],[a1]]=1,Tab.11[[#This Row],[target]]-Tab.11[[#This Row],[Blue]])</f>
        <v>0</v>
      </c>
      <c r="W399" s="73" t="b">
        <f>IF(Tab.11[[#This Row],[a1]]=1,IF(ABS(Tab.11[[#This Row],[b17]])+ABS(Tab.11[[#This Row],[b18]])&lt;$W$2,$W$2,ABS(Tab.11[[#This Row],[b17]])+ABS(Tab.11[[#This Row],[b18]])))</f>
        <v>0</v>
      </c>
      <c r="X399" s="136" t="b">
        <f>IF(Tab.11[[#This Row],[a1]]=1,IF($W$3&lt;0,Tab.11[[#This Row],[IN]]-$I$3,Tab.11[[#This Row],[IN]]))</f>
        <v>0</v>
      </c>
      <c r="Y399" s="136" t="b">
        <f>IF(Tab.11[[#This Row],[a1]]=1,IF($X$3=0,Tab.11[b66],Tab.11[[#This Row],[b66]]-AVERAGE(Tab.11[b66])))</f>
        <v>0</v>
      </c>
      <c r="Z399" s="135" t="b">
        <f>IF(Tab.11[[#This Row],[a1]]=1,Tab.11[[#This Row],[b77]]/(_xlfn.STDEV.P(Tab.11[b77])))</f>
        <v>0</v>
      </c>
      <c r="AA399" s="70" t="b">
        <f>IF(Tab.11[[#This Row],[a1]]=1,_xlfn.NORM.DIST(Tab.11[[#This Row],[b88]],$Z$1,$AA$1,FALSE))</f>
        <v>0</v>
      </c>
      <c r="AB399" s="74" t="b">
        <f>IF(Tab.11[[#This Row],[a1]]=1,IF($A$3=0,FALSE,1/Tab.11[[#This Row],[IN]]*$AC$2*IF(Tab.11[[#This Row],[a1]]=0,,$A$3*$AC$1*1/$V$3*(Tab.11[[#This Row],[b14]]))))</f>
        <v>0</v>
      </c>
      <c r="AC399" s="75" t="b">
        <f>IF(Tab.11[[#This Row],[a1]]=1,IF($AC$3=0,Tab.11[[#This Row],[φ1]],Tab.11[[#This Row],[φ1]]/MAX(Tab.11[φ1])))</f>
        <v>0</v>
      </c>
      <c r="AD399" s="74" t="b">
        <f>IF(Tab.11[[#This Row],[a1]]=1,1/Tab.11[[#This Row],[φ2]])</f>
        <v>0</v>
      </c>
      <c r="AE399" s="74" t="b">
        <f>IF(Tab.11[[#This Row],[a1]]=1,IF($AE$3=0,Tab.11[[#This Row],[w.0]],Tab.11[[#This Row],[w.0]]/SUM(Tab.11[w.0])))</f>
        <v>0</v>
      </c>
      <c r="AF399" s="76" t="str">
        <f>IF(Tab.11[[#This Row],[a1]]=0,"false",[3]!Tab.x5[[#This Row],[%_seN_C]])</f>
        <v>false</v>
      </c>
      <c r="AG399" s="77" t="b">
        <f>IF(Tab.11[[#This Row],[a1]]=1,AP399)</f>
        <v>0</v>
      </c>
      <c r="AH399" s="78" t="b">
        <f>IF(Tab.11[[#This Row],[a1]]=1,AQ399)</f>
        <v>0</v>
      </c>
      <c r="AI399" s="41">
        <v>3.0000000000000001E-3</v>
      </c>
      <c r="AJ399" s="79">
        <v>-0.1</v>
      </c>
      <c r="AK399" s="80" t="b">
        <f>IF(Tab.11[[#This Row],[a1]]=1,1)</f>
        <v>0</v>
      </c>
      <c r="AZ399"/>
    </row>
    <row r="400" spans="1:52" hidden="1" x14ac:dyDescent="0.25">
      <c r="A400" s="61">
        <f t="shared" si="13"/>
        <v>0</v>
      </c>
      <c r="B400" s="62">
        <f t="shared" si="13"/>
        <v>0</v>
      </c>
      <c r="C400" s="62" t="b">
        <f>IF(Tab.11[[#This Row],[a1]]=1,[3]!Tab_x1[[#This Row],[Name]])</f>
        <v>0</v>
      </c>
      <c r="D400" s="63" t="b">
        <f>IF(Tab.11[[#This Row],[a1]]=1,AO400)</f>
        <v>0</v>
      </c>
      <c r="E400" s="63">
        <f t="shared" si="14"/>
        <v>0</v>
      </c>
      <c r="F400" s="64" t="b">
        <f>IF(Tab.11[[#This Row],[a1]]=1,Tab.11[[#This Row],[b1]])</f>
        <v>0</v>
      </c>
      <c r="G400" s="65" t="b">
        <f>IF(Tab.11[[#This Row],[a1]]=1,IF(Tab.11[[#This Row],[b3]]&gt;$L$989*$G$3,$L$989*$G$3,IF(Tab.11[[#This Row],[b3]]&lt;$M$989*$G$3,$M$989*$G$3,Tab.11[[#This Row],[b3]])))</f>
        <v>0</v>
      </c>
      <c r="H400" s="66" t="b">
        <f>IF(Tab.11[[#This Row],[a1]]=1,Tab.11[[#This Row],[b1]])</f>
        <v>0</v>
      </c>
      <c r="I400" s="67" t="b">
        <f>IF(Tab.11[[#This Row],[a1]]=1,Tab.11[[#This Row],[b1]])</f>
        <v>0</v>
      </c>
      <c r="J400" s="68" t="b">
        <f>IF(Tab.11[[#This Row],[a1]]=1,IF($I$3&lt;0,Tab.11[[#This Row],[b5]]-$I$3,Tab.11[[#This Row],[b5]]))</f>
        <v>0</v>
      </c>
      <c r="K400" s="68" t="b">
        <f>IF(Tab.11[[#This Row],[a1]]=1,IF($K$3=0,Tab.11[b6],Tab.11[[#This Row],[b6]]-AVERAGE(Tab.11[b6])))</f>
        <v>0</v>
      </c>
      <c r="L400" s="69" t="b">
        <f>IF(Tab.11[[#This Row],[a1]]=1,Tab.11[[#This Row],[data]]/(_xlfn.STDEV.P(Tab.11[data])*$B$989)+$A$989)</f>
        <v>0</v>
      </c>
      <c r="M400" s="69" t="b">
        <f>IF(Tab.11[[#This Row],[a1]]=1,Tab.11[[#This Row],[data]]/(_xlfn.STDEV.P(Tab.11[data])*$B$987)-$A$987)</f>
        <v>0</v>
      </c>
      <c r="N400" s="69" t="b">
        <f>IF(Tab.11[[#This Row],[a1]]=1,Tab.11[[#This Row],[data]]/(_xlfn.STDEV.P(Tab.11[data])*$B$988)+$A$988)</f>
        <v>0</v>
      </c>
      <c r="O400" s="70" t="b">
        <f>IF(Tab.11[[#This Row],[a1]]=1,_xlfn.NORM.DIST(Tab.11[[#This Row],[b8]],$P$1,$Q$1,FALSE))</f>
        <v>0</v>
      </c>
      <c r="P400" s="70" t="b">
        <f>IF(Tab.11[[#This Row],[a1]]=1,_xlfn.NORM.DIST(Tab.11[[#This Row],[b9]],$P$1,$Q$1,FALSE))</f>
        <v>0</v>
      </c>
      <c r="Q400" s="70" t="b">
        <f>IF(Tab.11[[#This Row],[a1]]=1,_xlfn.NORM.DIST(Tab.11[[#This Row],[b10]],$P$1,$Q$1,FALSE))</f>
        <v>0</v>
      </c>
      <c r="R400" s="67" t="b">
        <f>IF(Tab.11[[#This Row],[a1]]=1,$I$3+$A$989+IF($K$3=0,Tab.11[[#This Row],[b8]]*_xlfn.STDEV.P(Tab.11[data]),AVERAGE(Tab.11[b6])+Tab.11[[#This Row],[b8]]*_xlfn.STDEV.P(Tab.11[data])))</f>
        <v>0</v>
      </c>
      <c r="S400" s="71" t="b">
        <f>IF(Tab.11[[#This Row],[a1]]=1,$I$3+$A$987+IF($K$3=0,Tab.11[[#This Row],[b9]]*_xlfn.STDEV.P(Tab.11[data]),AVERAGE(Tab.11[b6])+Tab.11[[#This Row],[b9]]*_xlfn.STDEV.P(Tab.11[data])))</f>
        <v>0</v>
      </c>
      <c r="T400" s="71" t="b">
        <f>IF(Tab.11[[#This Row],[a1]]=1,$I$3+$A$988+IF($K$3=0,Tab.11[[#This Row],[b10]]*_xlfn.STDEV.P(Tab.11[data]),AVERAGE(Tab.11[b6])+Tab.11[[#This Row],[b10]]*_xlfn.STDEV.P(Tab.11[data])))</f>
        <v>0</v>
      </c>
      <c r="U400" s="72" t="b">
        <f>IF(Tab.11[[#This Row],[a1]]=1,Tab.11[[#This Row],[target]]-Tab.11[[#This Row],[Red]])</f>
        <v>0</v>
      </c>
      <c r="V400" s="72" t="b">
        <f>IF(Tab.11[[#This Row],[a1]]=1,Tab.11[[#This Row],[target]]-Tab.11[[#This Row],[Blue]])</f>
        <v>0</v>
      </c>
      <c r="W400" s="73" t="b">
        <f>IF(Tab.11[[#This Row],[a1]]=1,IF(ABS(Tab.11[[#This Row],[b17]])+ABS(Tab.11[[#This Row],[b18]])&lt;$W$2,$W$2,ABS(Tab.11[[#This Row],[b17]])+ABS(Tab.11[[#This Row],[b18]])))</f>
        <v>0</v>
      </c>
      <c r="X400" s="136" t="b">
        <f>IF(Tab.11[[#This Row],[a1]]=1,IF($W$3&lt;0,Tab.11[[#This Row],[IN]]-$I$3,Tab.11[[#This Row],[IN]]))</f>
        <v>0</v>
      </c>
      <c r="Y400" s="136" t="b">
        <f>IF(Tab.11[[#This Row],[a1]]=1,IF($X$3=0,Tab.11[b66],Tab.11[[#This Row],[b66]]-AVERAGE(Tab.11[b66])))</f>
        <v>0</v>
      </c>
      <c r="Z400" s="135" t="b">
        <f>IF(Tab.11[[#This Row],[a1]]=1,Tab.11[[#This Row],[b77]]/(_xlfn.STDEV.P(Tab.11[b77])))</f>
        <v>0</v>
      </c>
      <c r="AA400" s="70" t="b">
        <f>IF(Tab.11[[#This Row],[a1]]=1,_xlfn.NORM.DIST(Tab.11[[#This Row],[b88]],$Z$1,$AA$1,FALSE))</f>
        <v>0</v>
      </c>
      <c r="AB400" s="74" t="b">
        <f>IF(Tab.11[[#This Row],[a1]]=1,IF($A$3=0,FALSE,1/Tab.11[[#This Row],[IN]]*$AC$2*IF(Tab.11[[#This Row],[a1]]=0,,$A$3*$AC$1*1/$V$3*(Tab.11[[#This Row],[b14]]))))</f>
        <v>0</v>
      </c>
      <c r="AC400" s="75" t="b">
        <f>IF(Tab.11[[#This Row],[a1]]=1,IF($AC$3=0,Tab.11[[#This Row],[φ1]],Tab.11[[#This Row],[φ1]]/MAX(Tab.11[φ1])))</f>
        <v>0</v>
      </c>
      <c r="AD400" s="74" t="b">
        <f>IF(Tab.11[[#This Row],[a1]]=1,1/Tab.11[[#This Row],[φ2]])</f>
        <v>0</v>
      </c>
      <c r="AE400" s="74" t="b">
        <f>IF(Tab.11[[#This Row],[a1]]=1,IF($AE$3=0,Tab.11[[#This Row],[w.0]],Tab.11[[#This Row],[w.0]]/SUM(Tab.11[w.0])))</f>
        <v>0</v>
      </c>
      <c r="AF400" s="76" t="str">
        <f>IF(Tab.11[[#This Row],[a1]]=0,"false",[3]!Tab.x5[[#This Row],[%_seN_C]])</f>
        <v>false</v>
      </c>
      <c r="AG400" s="77" t="b">
        <f>IF(Tab.11[[#This Row],[a1]]=1,AP400)</f>
        <v>0</v>
      </c>
      <c r="AH400" s="78" t="b">
        <f>IF(Tab.11[[#This Row],[a1]]=1,AQ400)</f>
        <v>0</v>
      </c>
      <c r="AI400" s="41">
        <v>3.0000000000000001E-3</v>
      </c>
      <c r="AJ400" s="79">
        <v>-7.0000000000000007E-2</v>
      </c>
      <c r="AK400" s="80" t="b">
        <f>IF(Tab.11[[#This Row],[a1]]=1,1)</f>
        <v>0</v>
      </c>
      <c r="AZ400"/>
    </row>
    <row r="401" spans="1:52" hidden="1" x14ac:dyDescent="0.25">
      <c r="A401" s="61">
        <f t="shared" si="13"/>
        <v>0</v>
      </c>
      <c r="B401" s="62">
        <f t="shared" si="13"/>
        <v>0</v>
      </c>
      <c r="C401" s="62" t="b">
        <f>IF(Tab.11[[#This Row],[a1]]=1,[3]!Tab_x1[[#This Row],[Name]])</f>
        <v>0</v>
      </c>
      <c r="D401" s="63" t="b">
        <f>IF(Tab.11[[#This Row],[a1]]=1,AO401)</f>
        <v>0</v>
      </c>
      <c r="E401" s="63">
        <f t="shared" si="14"/>
        <v>0</v>
      </c>
      <c r="F401" s="64" t="b">
        <f>IF(Tab.11[[#This Row],[a1]]=1,Tab.11[[#This Row],[b1]])</f>
        <v>0</v>
      </c>
      <c r="G401" s="65" t="b">
        <f>IF(Tab.11[[#This Row],[a1]]=1,IF(Tab.11[[#This Row],[b3]]&gt;$L$989*$G$3,$L$989*$G$3,IF(Tab.11[[#This Row],[b3]]&lt;$M$989*$G$3,$M$989*$G$3,Tab.11[[#This Row],[b3]])))</f>
        <v>0</v>
      </c>
      <c r="H401" s="66" t="b">
        <f>IF(Tab.11[[#This Row],[a1]]=1,Tab.11[[#This Row],[b1]])</f>
        <v>0</v>
      </c>
      <c r="I401" s="67" t="b">
        <f>IF(Tab.11[[#This Row],[a1]]=1,Tab.11[[#This Row],[b1]])</f>
        <v>0</v>
      </c>
      <c r="J401" s="68" t="b">
        <f>IF(Tab.11[[#This Row],[a1]]=1,IF($I$3&lt;0,Tab.11[[#This Row],[b5]]-$I$3,Tab.11[[#This Row],[b5]]))</f>
        <v>0</v>
      </c>
      <c r="K401" s="68" t="b">
        <f>IF(Tab.11[[#This Row],[a1]]=1,IF($K$3=0,Tab.11[b6],Tab.11[[#This Row],[b6]]-AVERAGE(Tab.11[b6])))</f>
        <v>0</v>
      </c>
      <c r="L401" s="69" t="b">
        <f>IF(Tab.11[[#This Row],[a1]]=1,Tab.11[[#This Row],[data]]/(_xlfn.STDEV.P(Tab.11[data])*$B$989)+$A$989)</f>
        <v>0</v>
      </c>
      <c r="M401" s="69" t="b">
        <f>IF(Tab.11[[#This Row],[a1]]=1,Tab.11[[#This Row],[data]]/(_xlfn.STDEV.P(Tab.11[data])*$B$987)-$A$987)</f>
        <v>0</v>
      </c>
      <c r="N401" s="69" t="b">
        <f>IF(Tab.11[[#This Row],[a1]]=1,Tab.11[[#This Row],[data]]/(_xlfn.STDEV.P(Tab.11[data])*$B$988)+$A$988)</f>
        <v>0</v>
      </c>
      <c r="O401" s="70" t="b">
        <f>IF(Tab.11[[#This Row],[a1]]=1,_xlfn.NORM.DIST(Tab.11[[#This Row],[b8]],$P$1,$Q$1,FALSE))</f>
        <v>0</v>
      </c>
      <c r="P401" s="70" t="b">
        <f>IF(Tab.11[[#This Row],[a1]]=1,_xlfn.NORM.DIST(Tab.11[[#This Row],[b9]],$P$1,$Q$1,FALSE))</f>
        <v>0</v>
      </c>
      <c r="Q401" s="70" t="b">
        <f>IF(Tab.11[[#This Row],[a1]]=1,_xlfn.NORM.DIST(Tab.11[[#This Row],[b10]],$P$1,$Q$1,FALSE))</f>
        <v>0</v>
      </c>
      <c r="R401" s="67" t="b">
        <f>IF(Tab.11[[#This Row],[a1]]=1,$I$3+$A$989+IF($K$3=0,Tab.11[[#This Row],[b8]]*_xlfn.STDEV.P(Tab.11[data]),AVERAGE(Tab.11[b6])+Tab.11[[#This Row],[b8]]*_xlfn.STDEV.P(Tab.11[data])))</f>
        <v>0</v>
      </c>
      <c r="S401" s="71" t="b">
        <f>IF(Tab.11[[#This Row],[a1]]=1,$I$3+$A$987+IF($K$3=0,Tab.11[[#This Row],[b9]]*_xlfn.STDEV.P(Tab.11[data]),AVERAGE(Tab.11[b6])+Tab.11[[#This Row],[b9]]*_xlfn.STDEV.P(Tab.11[data])))</f>
        <v>0</v>
      </c>
      <c r="T401" s="71" t="b">
        <f>IF(Tab.11[[#This Row],[a1]]=1,$I$3+$A$988+IF($K$3=0,Tab.11[[#This Row],[b10]]*_xlfn.STDEV.P(Tab.11[data]),AVERAGE(Tab.11[b6])+Tab.11[[#This Row],[b10]]*_xlfn.STDEV.P(Tab.11[data])))</f>
        <v>0</v>
      </c>
      <c r="U401" s="72" t="b">
        <f>IF(Tab.11[[#This Row],[a1]]=1,Tab.11[[#This Row],[target]]-Tab.11[[#This Row],[Red]])</f>
        <v>0</v>
      </c>
      <c r="V401" s="72" t="b">
        <f>IF(Tab.11[[#This Row],[a1]]=1,Tab.11[[#This Row],[target]]-Tab.11[[#This Row],[Blue]])</f>
        <v>0</v>
      </c>
      <c r="W401" s="73" t="b">
        <f>IF(Tab.11[[#This Row],[a1]]=1,IF(ABS(Tab.11[[#This Row],[b17]])+ABS(Tab.11[[#This Row],[b18]])&lt;$W$2,$W$2,ABS(Tab.11[[#This Row],[b17]])+ABS(Tab.11[[#This Row],[b18]])))</f>
        <v>0</v>
      </c>
      <c r="X401" s="136" t="b">
        <f>IF(Tab.11[[#This Row],[a1]]=1,IF($W$3&lt;0,Tab.11[[#This Row],[IN]]-$I$3,Tab.11[[#This Row],[IN]]))</f>
        <v>0</v>
      </c>
      <c r="Y401" s="136" t="b">
        <f>IF(Tab.11[[#This Row],[a1]]=1,IF($X$3=0,Tab.11[b66],Tab.11[[#This Row],[b66]]-AVERAGE(Tab.11[b66])))</f>
        <v>0</v>
      </c>
      <c r="Z401" s="135" t="b">
        <f>IF(Tab.11[[#This Row],[a1]]=1,Tab.11[[#This Row],[b77]]/(_xlfn.STDEV.P(Tab.11[b77])))</f>
        <v>0</v>
      </c>
      <c r="AA401" s="70" t="b">
        <f>IF(Tab.11[[#This Row],[a1]]=1,_xlfn.NORM.DIST(Tab.11[[#This Row],[b88]],$Z$1,$AA$1,FALSE))</f>
        <v>0</v>
      </c>
      <c r="AB401" s="74" t="b">
        <f>IF(Tab.11[[#This Row],[a1]]=1,IF($A$3=0,FALSE,1/Tab.11[[#This Row],[IN]]*$AC$2*IF(Tab.11[[#This Row],[a1]]=0,,$A$3*$AC$1*1/$V$3*(Tab.11[[#This Row],[b14]]))))</f>
        <v>0</v>
      </c>
      <c r="AC401" s="75" t="b">
        <f>IF(Tab.11[[#This Row],[a1]]=1,IF($AC$3=0,Tab.11[[#This Row],[φ1]],Tab.11[[#This Row],[φ1]]/MAX(Tab.11[φ1])))</f>
        <v>0</v>
      </c>
      <c r="AD401" s="74" t="b">
        <f>IF(Tab.11[[#This Row],[a1]]=1,1/Tab.11[[#This Row],[φ2]])</f>
        <v>0</v>
      </c>
      <c r="AE401" s="74" t="b">
        <f>IF(Tab.11[[#This Row],[a1]]=1,IF($AE$3=0,Tab.11[[#This Row],[w.0]],Tab.11[[#This Row],[w.0]]/SUM(Tab.11[w.0])))</f>
        <v>0</v>
      </c>
      <c r="AF401" s="76" t="str">
        <f>IF(Tab.11[[#This Row],[a1]]=0,"false",[3]!Tab.x5[[#This Row],[%_seN_C]])</f>
        <v>false</v>
      </c>
      <c r="AG401" s="77" t="b">
        <f>IF(Tab.11[[#This Row],[a1]]=1,AP401)</f>
        <v>0</v>
      </c>
      <c r="AH401" s="78" t="b">
        <f>IF(Tab.11[[#This Row],[a1]]=1,AQ401)</f>
        <v>0</v>
      </c>
      <c r="AI401" s="41">
        <v>3.0000000000000001E-3</v>
      </c>
      <c r="AJ401" s="79">
        <v>-0.03</v>
      </c>
      <c r="AK401" s="80" t="b">
        <f>IF(Tab.11[[#This Row],[a1]]=1,1)</f>
        <v>0</v>
      </c>
      <c r="AZ401"/>
    </row>
    <row r="402" spans="1:52" hidden="1" x14ac:dyDescent="0.25">
      <c r="A402" s="61">
        <f t="shared" si="13"/>
        <v>0</v>
      </c>
      <c r="B402" s="62">
        <f t="shared" si="13"/>
        <v>0</v>
      </c>
      <c r="C402" s="62" t="b">
        <f>IF(Tab.11[[#This Row],[a1]]=1,[3]!Tab_x1[[#This Row],[Name]])</f>
        <v>0</v>
      </c>
      <c r="D402" s="63" t="b">
        <f>IF(Tab.11[[#This Row],[a1]]=1,AO402)</f>
        <v>0</v>
      </c>
      <c r="E402" s="63">
        <f t="shared" si="14"/>
        <v>0</v>
      </c>
      <c r="F402" s="64" t="b">
        <f>IF(Tab.11[[#This Row],[a1]]=1,Tab.11[[#This Row],[b1]])</f>
        <v>0</v>
      </c>
      <c r="G402" s="65" t="b">
        <f>IF(Tab.11[[#This Row],[a1]]=1,IF(Tab.11[[#This Row],[b3]]&gt;$L$989*$G$3,$L$989*$G$3,IF(Tab.11[[#This Row],[b3]]&lt;$M$989*$G$3,$M$989*$G$3,Tab.11[[#This Row],[b3]])))</f>
        <v>0</v>
      </c>
      <c r="H402" s="66" t="b">
        <f>IF(Tab.11[[#This Row],[a1]]=1,Tab.11[[#This Row],[b1]])</f>
        <v>0</v>
      </c>
      <c r="I402" s="67" t="b">
        <f>IF(Tab.11[[#This Row],[a1]]=1,Tab.11[[#This Row],[b1]])</f>
        <v>0</v>
      </c>
      <c r="J402" s="68" t="b">
        <f>IF(Tab.11[[#This Row],[a1]]=1,IF($I$3&lt;0,Tab.11[[#This Row],[b5]]-$I$3,Tab.11[[#This Row],[b5]]))</f>
        <v>0</v>
      </c>
      <c r="K402" s="68" t="b">
        <f>IF(Tab.11[[#This Row],[a1]]=1,IF($K$3=0,Tab.11[b6],Tab.11[[#This Row],[b6]]-AVERAGE(Tab.11[b6])))</f>
        <v>0</v>
      </c>
      <c r="L402" s="69" t="b">
        <f>IF(Tab.11[[#This Row],[a1]]=1,Tab.11[[#This Row],[data]]/(_xlfn.STDEV.P(Tab.11[data])*$B$989)+$A$989)</f>
        <v>0</v>
      </c>
      <c r="M402" s="69" t="b">
        <f>IF(Tab.11[[#This Row],[a1]]=1,Tab.11[[#This Row],[data]]/(_xlfn.STDEV.P(Tab.11[data])*$B$987)-$A$987)</f>
        <v>0</v>
      </c>
      <c r="N402" s="69" t="b">
        <f>IF(Tab.11[[#This Row],[a1]]=1,Tab.11[[#This Row],[data]]/(_xlfn.STDEV.P(Tab.11[data])*$B$988)+$A$988)</f>
        <v>0</v>
      </c>
      <c r="O402" s="70" t="b">
        <f>IF(Tab.11[[#This Row],[a1]]=1,_xlfn.NORM.DIST(Tab.11[[#This Row],[b8]],$P$1,$Q$1,FALSE))</f>
        <v>0</v>
      </c>
      <c r="P402" s="70" t="b">
        <f>IF(Tab.11[[#This Row],[a1]]=1,_xlfn.NORM.DIST(Tab.11[[#This Row],[b9]],$P$1,$Q$1,FALSE))</f>
        <v>0</v>
      </c>
      <c r="Q402" s="70" t="b">
        <f>IF(Tab.11[[#This Row],[a1]]=1,_xlfn.NORM.DIST(Tab.11[[#This Row],[b10]],$P$1,$Q$1,FALSE))</f>
        <v>0</v>
      </c>
      <c r="R402" s="67" t="b">
        <f>IF(Tab.11[[#This Row],[a1]]=1,$I$3+$A$989+IF($K$3=0,Tab.11[[#This Row],[b8]]*_xlfn.STDEV.P(Tab.11[data]),AVERAGE(Tab.11[b6])+Tab.11[[#This Row],[b8]]*_xlfn.STDEV.P(Tab.11[data])))</f>
        <v>0</v>
      </c>
      <c r="S402" s="71" t="b">
        <f>IF(Tab.11[[#This Row],[a1]]=1,$I$3+$A$987+IF($K$3=0,Tab.11[[#This Row],[b9]]*_xlfn.STDEV.P(Tab.11[data]),AVERAGE(Tab.11[b6])+Tab.11[[#This Row],[b9]]*_xlfn.STDEV.P(Tab.11[data])))</f>
        <v>0</v>
      </c>
      <c r="T402" s="71" t="b">
        <f>IF(Tab.11[[#This Row],[a1]]=1,$I$3+$A$988+IF($K$3=0,Tab.11[[#This Row],[b10]]*_xlfn.STDEV.P(Tab.11[data]),AVERAGE(Tab.11[b6])+Tab.11[[#This Row],[b10]]*_xlfn.STDEV.P(Tab.11[data])))</f>
        <v>0</v>
      </c>
      <c r="U402" s="72" t="b">
        <f>IF(Tab.11[[#This Row],[a1]]=1,Tab.11[[#This Row],[target]]-Tab.11[[#This Row],[Red]])</f>
        <v>0</v>
      </c>
      <c r="V402" s="72" t="b">
        <f>IF(Tab.11[[#This Row],[a1]]=1,Tab.11[[#This Row],[target]]-Tab.11[[#This Row],[Blue]])</f>
        <v>0</v>
      </c>
      <c r="W402" s="73" t="b">
        <f>IF(Tab.11[[#This Row],[a1]]=1,IF(ABS(Tab.11[[#This Row],[b17]])+ABS(Tab.11[[#This Row],[b18]])&lt;$W$2,$W$2,ABS(Tab.11[[#This Row],[b17]])+ABS(Tab.11[[#This Row],[b18]])))</f>
        <v>0</v>
      </c>
      <c r="X402" s="136" t="b">
        <f>IF(Tab.11[[#This Row],[a1]]=1,IF($W$3&lt;0,Tab.11[[#This Row],[IN]]-$I$3,Tab.11[[#This Row],[IN]]))</f>
        <v>0</v>
      </c>
      <c r="Y402" s="136" t="b">
        <f>IF(Tab.11[[#This Row],[a1]]=1,IF($X$3=0,Tab.11[b66],Tab.11[[#This Row],[b66]]-AVERAGE(Tab.11[b66])))</f>
        <v>0</v>
      </c>
      <c r="Z402" s="135" t="b">
        <f>IF(Tab.11[[#This Row],[a1]]=1,Tab.11[[#This Row],[b77]]/(_xlfn.STDEV.P(Tab.11[b77])))</f>
        <v>0</v>
      </c>
      <c r="AA402" s="70" t="b">
        <f>IF(Tab.11[[#This Row],[a1]]=1,_xlfn.NORM.DIST(Tab.11[[#This Row],[b88]],$Z$1,$AA$1,FALSE))</f>
        <v>0</v>
      </c>
      <c r="AB402" s="74" t="b">
        <f>IF(Tab.11[[#This Row],[a1]]=1,IF($A$3=0,FALSE,1/Tab.11[[#This Row],[IN]]*$AC$2*IF(Tab.11[[#This Row],[a1]]=0,,$A$3*$AC$1*1/$V$3*(Tab.11[[#This Row],[b14]]))))</f>
        <v>0</v>
      </c>
      <c r="AC402" s="75" t="b">
        <f>IF(Tab.11[[#This Row],[a1]]=1,IF($AC$3=0,Tab.11[[#This Row],[φ1]],Tab.11[[#This Row],[φ1]]/MAX(Tab.11[φ1])))</f>
        <v>0</v>
      </c>
      <c r="AD402" s="74" t="b">
        <f>IF(Tab.11[[#This Row],[a1]]=1,1/Tab.11[[#This Row],[φ2]])</f>
        <v>0</v>
      </c>
      <c r="AE402" s="74" t="b">
        <f>IF(Tab.11[[#This Row],[a1]]=1,IF($AE$3=0,Tab.11[[#This Row],[w.0]],Tab.11[[#This Row],[w.0]]/SUM(Tab.11[w.0])))</f>
        <v>0</v>
      </c>
      <c r="AF402" s="76" t="str">
        <f>IF(Tab.11[[#This Row],[a1]]=0,"false",[3]!Tab.x5[[#This Row],[%_seN_C]])</f>
        <v>false</v>
      </c>
      <c r="AG402" s="77" t="b">
        <f>IF(Tab.11[[#This Row],[a1]]=1,AP402)</f>
        <v>0</v>
      </c>
      <c r="AH402" s="78" t="b">
        <f>IF(Tab.11[[#This Row],[a1]]=1,AQ402)</f>
        <v>0</v>
      </c>
      <c r="AI402" s="41">
        <v>3.0000000000000001E-3</v>
      </c>
      <c r="AJ402" s="79">
        <v>-0.03</v>
      </c>
      <c r="AK402" s="80" t="b">
        <f>IF(Tab.11[[#This Row],[a1]]=1,1)</f>
        <v>0</v>
      </c>
      <c r="AZ402"/>
    </row>
    <row r="403" spans="1:52" hidden="1" x14ac:dyDescent="0.25">
      <c r="A403" s="61">
        <f t="shared" si="13"/>
        <v>0</v>
      </c>
      <c r="B403" s="62">
        <f t="shared" si="13"/>
        <v>0</v>
      </c>
      <c r="C403" s="62" t="b">
        <f>IF(Tab.11[[#This Row],[a1]]=1,[3]!Tab_x1[[#This Row],[Name]])</f>
        <v>0</v>
      </c>
      <c r="D403" s="63" t="b">
        <f>IF(Tab.11[[#This Row],[a1]]=1,AO403)</f>
        <v>0</v>
      </c>
      <c r="E403" s="63">
        <f t="shared" si="14"/>
        <v>0</v>
      </c>
      <c r="F403" s="64" t="b">
        <f>IF(Tab.11[[#This Row],[a1]]=1,Tab.11[[#This Row],[b1]])</f>
        <v>0</v>
      </c>
      <c r="G403" s="65" t="b">
        <f>IF(Tab.11[[#This Row],[a1]]=1,IF(Tab.11[[#This Row],[b3]]&gt;$L$989*$G$3,$L$989*$G$3,IF(Tab.11[[#This Row],[b3]]&lt;$M$989*$G$3,$M$989*$G$3,Tab.11[[#This Row],[b3]])))</f>
        <v>0</v>
      </c>
      <c r="H403" s="66" t="b">
        <f>IF(Tab.11[[#This Row],[a1]]=1,Tab.11[[#This Row],[b1]])</f>
        <v>0</v>
      </c>
      <c r="I403" s="67" t="b">
        <f>IF(Tab.11[[#This Row],[a1]]=1,Tab.11[[#This Row],[b1]])</f>
        <v>0</v>
      </c>
      <c r="J403" s="68" t="b">
        <f>IF(Tab.11[[#This Row],[a1]]=1,IF($I$3&lt;0,Tab.11[[#This Row],[b5]]-$I$3,Tab.11[[#This Row],[b5]]))</f>
        <v>0</v>
      </c>
      <c r="K403" s="68" t="b">
        <f>IF(Tab.11[[#This Row],[a1]]=1,IF($K$3=0,Tab.11[b6],Tab.11[[#This Row],[b6]]-AVERAGE(Tab.11[b6])))</f>
        <v>0</v>
      </c>
      <c r="L403" s="69" t="b">
        <f>IF(Tab.11[[#This Row],[a1]]=1,Tab.11[[#This Row],[data]]/(_xlfn.STDEV.P(Tab.11[data])*$B$989)+$A$989)</f>
        <v>0</v>
      </c>
      <c r="M403" s="69" t="b">
        <f>IF(Tab.11[[#This Row],[a1]]=1,Tab.11[[#This Row],[data]]/(_xlfn.STDEV.P(Tab.11[data])*$B$987)-$A$987)</f>
        <v>0</v>
      </c>
      <c r="N403" s="69" t="b">
        <f>IF(Tab.11[[#This Row],[a1]]=1,Tab.11[[#This Row],[data]]/(_xlfn.STDEV.P(Tab.11[data])*$B$988)+$A$988)</f>
        <v>0</v>
      </c>
      <c r="O403" s="70" t="b">
        <f>IF(Tab.11[[#This Row],[a1]]=1,_xlfn.NORM.DIST(Tab.11[[#This Row],[b8]],$P$1,$Q$1,FALSE))</f>
        <v>0</v>
      </c>
      <c r="P403" s="70" t="b">
        <f>IF(Tab.11[[#This Row],[a1]]=1,_xlfn.NORM.DIST(Tab.11[[#This Row],[b9]],$P$1,$Q$1,FALSE))</f>
        <v>0</v>
      </c>
      <c r="Q403" s="70" t="b">
        <f>IF(Tab.11[[#This Row],[a1]]=1,_xlfn.NORM.DIST(Tab.11[[#This Row],[b10]],$P$1,$Q$1,FALSE))</f>
        <v>0</v>
      </c>
      <c r="R403" s="67" t="b">
        <f>IF(Tab.11[[#This Row],[a1]]=1,$I$3+$A$989+IF($K$3=0,Tab.11[[#This Row],[b8]]*_xlfn.STDEV.P(Tab.11[data]),AVERAGE(Tab.11[b6])+Tab.11[[#This Row],[b8]]*_xlfn.STDEV.P(Tab.11[data])))</f>
        <v>0</v>
      </c>
      <c r="S403" s="71" t="b">
        <f>IF(Tab.11[[#This Row],[a1]]=1,$I$3+$A$987+IF($K$3=0,Tab.11[[#This Row],[b9]]*_xlfn.STDEV.P(Tab.11[data]),AVERAGE(Tab.11[b6])+Tab.11[[#This Row],[b9]]*_xlfn.STDEV.P(Tab.11[data])))</f>
        <v>0</v>
      </c>
      <c r="T403" s="71" t="b">
        <f>IF(Tab.11[[#This Row],[a1]]=1,$I$3+$A$988+IF($K$3=0,Tab.11[[#This Row],[b10]]*_xlfn.STDEV.P(Tab.11[data]),AVERAGE(Tab.11[b6])+Tab.11[[#This Row],[b10]]*_xlfn.STDEV.P(Tab.11[data])))</f>
        <v>0</v>
      </c>
      <c r="U403" s="72" t="b">
        <f>IF(Tab.11[[#This Row],[a1]]=1,Tab.11[[#This Row],[target]]-Tab.11[[#This Row],[Red]])</f>
        <v>0</v>
      </c>
      <c r="V403" s="72" t="b">
        <f>IF(Tab.11[[#This Row],[a1]]=1,Tab.11[[#This Row],[target]]-Tab.11[[#This Row],[Blue]])</f>
        <v>0</v>
      </c>
      <c r="W403" s="73" t="b">
        <f>IF(Tab.11[[#This Row],[a1]]=1,IF(ABS(Tab.11[[#This Row],[b17]])+ABS(Tab.11[[#This Row],[b18]])&lt;$W$2,$W$2,ABS(Tab.11[[#This Row],[b17]])+ABS(Tab.11[[#This Row],[b18]])))</f>
        <v>0</v>
      </c>
      <c r="X403" s="136" t="b">
        <f>IF(Tab.11[[#This Row],[a1]]=1,IF($W$3&lt;0,Tab.11[[#This Row],[IN]]-$I$3,Tab.11[[#This Row],[IN]]))</f>
        <v>0</v>
      </c>
      <c r="Y403" s="136" t="b">
        <f>IF(Tab.11[[#This Row],[a1]]=1,IF($X$3=0,Tab.11[b66],Tab.11[[#This Row],[b66]]-AVERAGE(Tab.11[b66])))</f>
        <v>0</v>
      </c>
      <c r="Z403" s="135" t="b">
        <f>IF(Tab.11[[#This Row],[a1]]=1,Tab.11[[#This Row],[b77]]/(_xlfn.STDEV.P(Tab.11[b77])))</f>
        <v>0</v>
      </c>
      <c r="AA403" s="70" t="b">
        <f>IF(Tab.11[[#This Row],[a1]]=1,_xlfn.NORM.DIST(Tab.11[[#This Row],[b88]],$Z$1,$AA$1,FALSE))</f>
        <v>0</v>
      </c>
      <c r="AB403" s="74" t="b">
        <f>IF(Tab.11[[#This Row],[a1]]=1,IF($A$3=0,FALSE,1/Tab.11[[#This Row],[IN]]*$AC$2*IF(Tab.11[[#This Row],[a1]]=0,,$A$3*$AC$1*1/$V$3*(Tab.11[[#This Row],[b14]]))))</f>
        <v>0</v>
      </c>
      <c r="AC403" s="75" t="b">
        <f>IF(Tab.11[[#This Row],[a1]]=1,IF($AC$3=0,Tab.11[[#This Row],[φ1]],Tab.11[[#This Row],[φ1]]/MAX(Tab.11[φ1])))</f>
        <v>0</v>
      </c>
      <c r="AD403" s="74" t="b">
        <f>IF(Tab.11[[#This Row],[a1]]=1,1/Tab.11[[#This Row],[φ2]])</f>
        <v>0</v>
      </c>
      <c r="AE403" s="74" t="b">
        <f>IF(Tab.11[[#This Row],[a1]]=1,IF($AE$3=0,Tab.11[[#This Row],[w.0]],Tab.11[[#This Row],[w.0]]/SUM(Tab.11[w.0])))</f>
        <v>0</v>
      </c>
      <c r="AF403" s="76" t="str">
        <f>IF(Tab.11[[#This Row],[a1]]=0,"false",[3]!Tab.x5[[#This Row],[%_seN_C]])</f>
        <v>false</v>
      </c>
      <c r="AG403" s="77" t="b">
        <f>IF(Tab.11[[#This Row],[a1]]=1,AP403)</f>
        <v>0</v>
      </c>
      <c r="AH403" s="78" t="b">
        <f>IF(Tab.11[[#This Row],[a1]]=1,AQ403)</f>
        <v>0</v>
      </c>
      <c r="AI403" s="41">
        <v>3.0000000000000001E-3</v>
      </c>
      <c r="AJ403" s="79">
        <v>-0.06</v>
      </c>
      <c r="AK403" s="80" t="b">
        <f>IF(Tab.11[[#This Row],[a1]]=1,1)</f>
        <v>0</v>
      </c>
      <c r="AZ403"/>
    </row>
    <row r="404" spans="1:52" hidden="1" x14ac:dyDescent="0.25">
      <c r="A404" s="61">
        <f t="shared" si="13"/>
        <v>0</v>
      </c>
      <c r="B404" s="62">
        <f t="shared" si="13"/>
        <v>0</v>
      </c>
      <c r="C404" s="62" t="b">
        <f>IF(Tab.11[[#This Row],[a1]]=1,[3]!Tab_x1[[#This Row],[Name]])</f>
        <v>0</v>
      </c>
      <c r="D404" s="63" t="b">
        <f>IF(Tab.11[[#This Row],[a1]]=1,AO404)</f>
        <v>0</v>
      </c>
      <c r="E404" s="63">
        <f t="shared" si="14"/>
        <v>0</v>
      </c>
      <c r="F404" s="64" t="b">
        <f>IF(Tab.11[[#This Row],[a1]]=1,Tab.11[[#This Row],[b1]])</f>
        <v>0</v>
      </c>
      <c r="G404" s="65" t="b">
        <f>IF(Tab.11[[#This Row],[a1]]=1,IF(Tab.11[[#This Row],[b3]]&gt;$L$989*$G$3,$L$989*$G$3,IF(Tab.11[[#This Row],[b3]]&lt;$M$989*$G$3,$M$989*$G$3,Tab.11[[#This Row],[b3]])))</f>
        <v>0</v>
      </c>
      <c r="H404" s="66" t="b">
        <f>IF(Tab.11[[#This Row],[a1]]=1,Tab.11[[#This Row],[b1]])</f>
        <v>0</v>
      </c>
      <c r="I404" s="67" t="b">
        <f>IF(Tab.11[[#This Row],[a1]]=1,Tab.11[[#This Row],[b1]])</f>
        <v>0</v>
      </c>
      <c r="J404" s="68" t="b">
        <f>IF(Tab.11[[#This Row],[a1]]=1,IF($I$3&lt;0,Tab.11[[#This Row],[b5]]-$I$3,Tab.11[[#This Row],[b5]]))</f>
        <v>0</v>
      </c>
      <c r="K404" s="68" t="b">
        <f>IF(Tab.11[[#This Row],[a1]]=1,IF($K$3=0,Tab.11[b6],Tab.11[[#This Row],[b6]]-AVERAGE(Tab.11[b6])))</f>
        <v>0</v>
      </c>
      <c r="L404" s="69" t="b">
        <f>IF(Tab.11[[#This Row],[a1]]=1,Tab.11[[#This Row],[data]]/(_xlfn.STDEV.P(Tab.11[data])*$B$989)+$A$989)</f>
        <v>0</v>
      </c>
      <c r="M404" s="69" t="b">
        <f>IF(Tab.11[[#This Row],[a1]]=1,Tab.11[[#This Row],[data]]/(_xlfn.STDEV.P(Tab.11[data])*$B$987)-$A$987)</f>
        <v>0</v>
      </c>
      <c r="N404" s="69" t="b">
        <f>IF(Tab.11[[#This Row],[a1]]=1,Tab.11[[#This Row],[data]]/(_xlfn.STDEV.P(Tab.11[data])*$B$988)+$A$988)</f>
        <v>0</v>
      </c>
      <c r="O404" s="70" t="b">
        <f>IF(Tab.11[[#This Row],[a1]]=1,_xlfn.NORM.DIST(Tab.11[[#This Row],[b8]],$P$1,$Q$1,FALSE))</f>
        <v>0</v>
      </c>
      <c r="P404" s="70" t="b">
        <f>IF(Tab.11[[#This Row],[a1]]=1,_xlfn.NORM.DIST(Tab.11[[#This Row],[b9]],$P$1,$Q$1,FALSE))</f>
        <v>0</v>
      </c>
      <c r="Q404" s="70" t="b">
        <f>IF(Tab.11[[#This Row],[a1]]=1,_xlfn.NORM.DIST(Tab.11[[#This Row],[b10]],$P$1,$Q$1,FALSE))</f>
        <v>0</v>
      </c>
      <c r="R404" s="67" t="b">
        <f>IF(Tab.11[[#This Row],[a1]]=1,$I$3+$A$989+IF($K$3=0,Tab.11[[#This Row],[b8]]*_xlfn.STDEV.P(Tab.11[data]),AVERAGE(Tab.11[b6])+Tab.11[[#This Row],[b8]]*_xlfn.STDEV.P(Tab.11[data])))</f>
        <v>0</v>
      </c>
      <c r="S404" s="71" t="b">
        <f>IF(Tab.11[[#This Row],[a1]]=1,$I$3+$A$987+IF($K$3=0,Tab.11[[#This Row],[b9]]*_xlfn.STDEV.P(Tab.11[data]),AVERAGE(Tab.11[b6])+Tab.11[[#This Row],[b9]]*_xlfn.STDEV.P(Tab.11[data])))</f>
        <v>0</v>
      </c>
      <c r="T404" s="71" t="b">
        <f>IF(Tab.11[[#This Row],[a1]]=1,$I$3+$A$988+IF($K$3=0,Tab.11[[#This Row],[b10]]*_xlfn.STDEV.P(Tab.11[data]),AVERAGE(Tab.11[b6])+Tab.11[[#This Row],[b10]]*_xlfn.STDEV.P(Tab.11[data])))</f>
        <v>0</v>
      </c>
      <c r="U404" s="72" t="b">
        <f>IF(Tab.11[[#This Row],[a1]]=1,Tab.11[[#This Row],[target]]-Tab.11[[#This Row],[Red]])</f>
        <v>0</v>
      </c>
      <c r="V404" s="72" t="b">
        <f>IF(Tab.11[[#This Row],[a1]]=1,Tab.11[[#This Row],[target]]-Tab.11[[#This Row],[Blue]])</f>
        <v>0</v>
      </c>
      <c r="W404" s="73" t="b">
        <f>IF(Tab.11[[#This Row],[a1]]=1,IF(ABS(Tab.11[[#This Row],[b17]])+ABS(Tab.11[[#This Row],[b18]])&lt;$W$2,$W$2,ABS(Tab.11[[#This Row],[b17]])+ABS(Tab.11[[#This Row],[b18]])))</f>
        <v>0</v>
      </c>
      <c r="X404" s="136" t="b">
        <f>IF(Tab.11[[#This Row],[a1]]=1,IF($W$3&lt;0,Tab.11[[#This Row],[IN]]-$I$3,Tab.11[[#This Row],[IN]]))</f>
        <v>0</v>
      </c>
      <c r="Y404" s="136" t="b">
        <f>IF(Tab.11[[#This Row],[a1]]=1,IF($X$3=0,Tab.11[b66],Tab.11[[#This Row],[b66]]-AVERAGE(Tab.11[b66])))</f>
        <v>0</v>
      </c>
      <c r="Z404" s="135" t="b">
        <f>IF(Tab.11[[#This Row],[a1]]=1,Tab.11[[#This Row],[b77]]/(_xlfn.STDEV.P(Tab.11[b77])))</f>
        <v>0</v>
      </c>
      <c r="AA404" s="70" t="b">
        <f>IF(Tab.11[[#This Row],[a1]]=1,_xlfn.NORM.DIST(Tab.11[[#This Row],[b88]],$Z$1,$AA$1,FALSE))</f>
        <v>0</v>
      </c>
      <c r="AB404" s="74" t="b">
        <f>IF(Tab.11[[#This Row],[a1]]=1,IF($A$3=0,FALSE,1/Tab.11[[#This Row],[IN]]*$AC$2*IF(Tab.11[[#This Row],[a1]]=0,,$A$3*$AC$1*1/$V$3*(Tab.11[[#This Row],[b14]]))))</f>
        <v>0</v>
      </c>
      <c r="AC404" s="75" t="b">
        <f>IF(Tab.11[[#This Row],[a1]]=1,IF($AC$3=0,Tab.11[[#This Row],[φ1]],Tab.11[[#This Row],[φ1]]/MAX(Tab.11[φ1])))</f>
        <v>0</v>
      </c>
      <c r="AD404" s="74" t="b">
        <f>IF(Tab.11[[#This Row],[a1]]=1,1/Tab.11[[#This Row],[φ2]])</f>
        <v>0</v>
      </c>
      <c r="AE404" s="74" t="b">
        <f>IF(Tab.11[[#This Row],[a1]]=1,IF($AE$3=0,Tab.11[[#This Row],[w.0]],Tab.11[[#This Row],[w.0]]/SUM(Tab.11[w.0])))</f>
        <v>0</v>
      </c>
      <c r="AF404" s="76" t="str">
        <f>IF(Tab.11[[#This Row],[a1]]=0,"false",[3]!Tab.x5[[#This Row],[%_seN_C]])</f>
        <v>false</v>
      </c>
      <c r="AG404" s="77" t="b">
        <f>IF(Tab.11[[#This Row],[a1]]=1,AP404)</f>
        <v>0</v>
      </c>
      <c r="AH404" s="78" t="b">
        <f>IF(Tab.11[[#This Row],[a1]]=1,AQ404)</f>
        <v>0</v>
      </c>
      <c r="AI404" s="41">
        <v>3.0000000000000001E-3</v>
      </c>
      <c r="AJ404" s="79">
        <v>0</v>
      </c>
      <c r="AK404" s="80" t="b">
        <f>IF(Tab.11[[#This Row],[a1]]=1,1)</f>
        <v>0</v>
      </c>
      <c r="AZ404"/>
    </row>
    <row r="405" spans="1:52" hidden="1" x14ac:dyDescent="0.25">
      <c r="A405" s="61">
        <f t="shared" ref="A405:B468" si="15">AM405</f>
        <v>0</v>
      </c>
      <c r="B405" s="62">
        <f t="shared" si="15"/>
        <v>0</v>
      </c>
      <c r="C405" s="62" t="b">
        <f>IF(Tab.11[[#This Row],[a1]]=1,[3]!Tab_x1[[#This Row],[Name]])</f>
        <v>0</v>
      </c>
      <c r="D405" s="63" t="b">
        <f>IF(Tab.11[[#This Row],[a1]]=1,AO405)</f>
        <v>0</v>
      </c>
      <c r="E405" s="63">
        <f t="shared" si="14"/>
        <v>0</v>
      </c>
      <c r="F405" s="64" t="b">
        <f>IF(Tab.11[[#This Row],[a1]]=1,Tab.11[[#This Row],[b1]])</f>
        <v>0</v>
      </c>
      <c r="G405" s="65" t="b">
        <f>IF(Tab.11[[#This Row],[a1]]=1,IF(Tab.11[[#This Row],[b3]]&gt;$L$989*$G$3,$L$989*$G$3,IF(Tab.11[[#This Row],[b3]]&lt;$M$989*$G$3,$M$989*$G$3,Tab.11[[#This Row],[b3]])))</f>
        <v>0</v>
      </c>
      <c r="H405" s="66" t="b">
        <f>IF(Tab.11[[#This Row],[a1]]=1,Tab.11[[#This Row],[b1]])</f>
        <v>0</v>
      </c>
      <c r="I405" s="67" t="b">
        <f>IF(Tab.11[[#This Row],[a1]]=1,Tab.11[[#This Row],[b1]])</f>
        <v>0</v>
      </c>
      <c r="J405" s="68" t="b">
        <f>IF(Tab.11[[#This Row],[a1]]=1,IF($I$3&lt;0,Tab.11[[#This Row],[b5]]-$I$3,Tab.11[[#This Row],[b5]]))</f>
        <v>0</v>
      </c>
      <c r="K405" s="68" t="b">
        <f>IF(Tab.11[[#This Row],[a1]]=1,IF($K$3=0,Tab.11[b6],Tab.11[[#This Row],[b6]]-AVERAGE(Tab.11[b6])))</f>
        <v>0</v>
      </c>
      <c r="L405" s="69" t="b">
        <f>IF(Tab.11[[#This Row],[a1]]=1,Tab.11[[#This Row],[data]]/(_xlfn.STDEV.P(Tab.11[data])*$B$989)+$A$989)</f>
        <v>0</v>
      </c>
      <c r="M405" s="69" t="b">
        <f>IF(Tab.11[[#This Row],[a1]]=1,Tab.11[[#This Row],[data]]/(_xlfn.STDEV.P(Tab.11[data])*$B$987)-$A$987)</f>
        <v>0</v>
      </c>
      <c r="N405" s="69" t="b">
        <f>IF(Tab.11[[#This Row],[a1]]=1,Tab.11[[#This Row],[data]]/(_xlfn.STDEV.P(Tab.11[data])*$B$988)+$A$988)</f>
        <v>0</v>
      </c>
      <c r="O405" s="70" t="b">
        <f>IF(Tab.11[[#This Row],[a1]]=1,_xlfn.NORM.DIST(Tab.11[[#This Row],[b8]],$P$1,$Q$1,FALSE))</f>
        <v>0</v>
      </c>
      <c r="P405" s="70" t="b">
        <f>IF(Tab.11[[#This Row],[a1]]=1,_xlfn.NORM.DIST(Tab.11[[#This Row],[b9]],$P$1,$Q$1,FALSE))</f>
        <v>0</v>
      </c>
      <c r="Q405" s="70" t="b">
        <f>IF(Tab.11[[#This Row],[a1]]=1,_xlfn.NORM.DIST(Tab.11[[#This Row],[b10]],$P$1,$Q$1,FALSE))</f>
        <v>0</v>
      </c>
      <c r="R405" s="67" t="b">
        <f>IF(Tab.11[[#This Row],[a1]]=1,$I$3+$A$989+IF($K$3=0,Tab.11[[#This Row],[b8]]*_xlfn.STDEV.P(Tab.11[data]),AVERAGE(Tab.11[b6])+Tab.11[[#This Row],[b8]]*_xlfn.STDEV.P(Tab.11[data])))</f>
        <v>0</v>
      </c>
      <c r="S405" s="71" t="b">
        <f>IF(Tab.11[[#This Row],[a1]]=1,$I$3+$A$987+IF($K$3=0,Tab.11[[#This Row],[b9]]*_xlfn.STDEV.P(Tab.11[data]),AVERAGE(Tab.11[b6])+Tab.11[[#This Row],[b9]]*_xlfn.STDEV.P(Tab.11[data])))</f>
        <v>0</v>
      </c>
      <c r="T405" s="71" t="b">
        <f>IF(Tab.11[[#This Row],[a1]]=1,$I$3+$A$988+IF($K$3=0,Tab.11[[#This Row],[b10]]*_xlfn.STDEV.P(Tab.11[data]),AVERAGE(Tab.11[b6])+Tab.11[[#This Row],[b10]]*_xlfn.STDEV.P(Tab.11[data])))</f>
        <v>0</v>
      </c>
      <c r="U405" s="72" t="b">
        <f>IF(Tab.11[[#This Row],[a1]]=1,Tab.11[[#This Row],[target]]-Tab.11[[#This Row],[Red]])</f>
        <v>0</v>
      </c>
      <c r="V405" s="72" t="b">
        <f>IF(Tab.11[[#This Row],[a1]]=1,Tab.11[[#This Row],[target]]-Tab.11[[#This Row],[Blue]])</f>
        <v>0</v>
      </c>
      <c r="W405" s="73" t="b">
        <f>IF(Tab.11[[#This Row],[a1]]=1,IF(ABS(Tab.11[[#This Row],[b17]])+ABS(Tab.11[[#This Row],[b18]])&lt;$W$2,$W$2,ABS(Tab.11[[#This Row],[b17]])+ABS(Tab.11[[#This Row],[b18]])))</f>
        <v>0</v>
      </c>
      <c r="X405" s="136" t="b">
        <f>IF(Tab.11[[#This Row],[a1]]=1,IF($W$3&lt;0,Tab.11[[#This Row],[IN]]-$I$3,Tab.11[[#This Row],[IN]]))</f>
        <v>0</v>
      </c>
      <c r="Y405" s="136" t="b">
        <f>IF(Tab.11[[#This Row],[a1]]=1,IF($X$3=0,Tab.11[b66],Tab.11[[#This Row],[b66]]-AVERAGE(Tab.11[b66])))</f>
        <v>0</v>
      </c>
      <c r="Z405" s="135" t="b">
        <f>IF(Tab.11[[#This Row],[a1]]=1,Tab.11[[#This Row],[b77]]/(_xlfn.STDEV.P(Tab.11[b77])))</f>
        <v>0</v>
      </c>
      <c r="AA405" s="70" t="b">
        <f>IF(Tab.11[[#This Row],[a1]]=1,_xlfn.NORM.DIST(Tab.11[[#This Row],[b88]],$Z$1,$AA$1,FALSE))</f>
        <v>0</v>
      </c>
      <c r="AB405" s="74" t="b">
        <f>IF(Tab.11[[#This Row],[a1]]=1,IF($A$3=0,FALSE,1/Tab.11[[#This Row],[IN]]*$AC$2*IF(Tab.11[[#This Row],[a1]]=0,,$A$3*$AC$1*1/$V$3*(Tab.11[[#This Row],[b14]]))))</f>
        <v>0</v>
      </c>
      <c r="AC405" s="75" t="b">
        <f>IF(Tab.11[[#This Row],[a1]]=1,IF($AC$3=0,Tab.11[[#This Row],[φ1]],Tab.11[[#This Row],[φ1]]/MAX(Tab.11[φ1])))</f>
        <v>0</v>
      </c>
      <c r="AD405" s="74" t="b">
        <f>IF(Tab.11[[#This Row],[a1]]=1,1/Tab.11[[#This Row],[φ2]])</f>
        <v>0</v>
      </c>
      <c r="AE405" s="74" t="b">
        <f>IF(Tab.11[[#This Row],[a1]]=1,IF($AE$3=0,Tab.11[[#This Row],[w.0]],Tab.11[[#This Row],[w.0]]/SUM(Tab.11[w.0])))</f>
        <v>0</v>
      </c>
      <c r="AF405" s="76" t="str">
        <f>IF(Tab.11[[#This Row],[a1]]=0,"false",[3]!Tab.x5[[#This Row],[%_seN_C]])</f>
        <v>false</v>
      </c>
      <c r="AG405" s="77" t="b">
        <f>IF(Tab.11[[#This Row],[a1]]=1,AP405)</f>
        <v>0</v>
      </c>
      <c r="AH405" s="78" t="b">
        <f>IF(Tab.11[[#This Row],[a1]]=1,AQ405)</f>
        <v>0</v>
      </c>
      <c r="AI405" s="41">
        <v>3.0000000000000001E-3</v>
      </c>
      <c r="AJ405" s="79">
        <v>0.06</v>
      </c>
      <c r="AK405" s="80" t="b">
        <f>IF(Tab.11[[#This Row],[a1]]=1,1)</f>
        <v>0</v>
      </c>
      <c r="AZ405"/>
    </row>
    <row r="406" spans="1:52" hidden="1" x14ac:dyDescent="0.25">
      <c r="A406" s="61">
        <f t="shared" si="15"/>
        <v>0</v>
      </c>
      <c r="B406" s="62">
        <f t="shared" si="15"/>
        <v>0</v>
      </c>
      <c r="C406" s="62" t="b">
        <f>IF(Tab.11[[#This Row],[a1]]=1,[3]!Tab_x1[[#This Row],[Name]])</f>
        <v>0</v>
      </c>
      <c r="D406" s="63" t="b">
        <f>IF(Tab.11[[#This Row],[a1]]=1,AO406)</f>
        <v>0</v>
      </c>
      <c r="E406" s="63">
        <f t="shared" si="14"/>
        <v>0</v>
      </c>
      <c r="F406" s="64" t="b">
        <f>IF(Tab.11[[#This Row],[a1]]=1,Tab.11[[#This Row],[b1]])</f>
        <v>0</v>
      </c>
      <c r="G406" s="65" t="b">
        <f>IF(Tab.11[[#This Row],[a1]]=1,IF(Tab.11[[#This Row],[b3]]&gt;$L$989*$G$3,$L$989*$G$3,IF(Tab.11[[#This Row],[b3]]&lt;$M$989*$G$3,$M$989*$G$3,Tab.11[[#This Row],[b3]])))</f>
        <v>0</v>
      </c>
      <c r="H406" s="66" t="b">
        <f>IF(Tab.11[[#This Row],[a1]]=1,Tab.11[[#This Row],[b1]])</f>
        <v>0</v>
      </c>
      <c r="I406" s="67" t="b">
        <f>IF(Tab.11[[#This Row],[a1]]=1,Tab.11[[#This Row],[b1]])</f>
        <v>0</v>
      </c>
      <c r="J406" s="68" t="b">
        <f>IF(Tab.11[[#This Row],[a1]]=1,IF($I$3&lt;0,Tab.11[[#This Row],[b5]]-$I$3,Tab.11[[#This Row],[b5]]))</f>
        <v>0</v>
      </c>
      <c r="K406" s="68" t="b">
        <f>IF(Tab.11[[#This Row],[a1]]=1,IF($K$3=0,Tab.11[b6],Tab.11[[#This Row],[b6]]-AVERAGE(Tab.11[b6])))</f>
        <v>0</v>
      </c>
      <c r="L406" s="69" t="b">
        <f>IF(Tab.11[[#This Row],[a1]]=1,Tab.11[[#This Row],[data]]/(_xlfn.STDEV.P(Tab.11[data])*$B$989)+$A$989)</f>
        <v>0</v>
      </c>
      <c r="M406" s="69" t="b">
        <f>IF(Tab.11[[#This Row],[a1]]=1,Tab.11[[#This Row],[data]]/(_xlfn.STDEV.P(Tab.11[data])*$B$987)-$A$987)</f>
        <v>0</v>
      </c>
      <c r="N406" s="69" t="b">
        <f>IF(Tab.11[[#This Row],[a1]]=1,Tab.11[[#This Row],[data]]/(_xlfn.STDEV.P(Tab.11[data])*$B$988)+$A$988)</f>
        <v>0</v>
      </c>
      <c r="O406" s="70" t="b">
        <f>IF(Tab.11[[#This Row],[a1]]=1,_xlfn.NORM.DIST(Tab.11[[#This Row],[b8]],$P$1,$Q$1,FALSE))</f>
        <v>0</v>
      </c>
      <c r="P406" s="70" t="b">
        <f>IF(Tab.11[[#This Row],[a1]]=1,_xlfn.NORM.DIST(Tab.11[[#This Row],[b9]],$P$1,$Q$1,FALSE))</f>
        <v>0</v>
      </c>
      <c r="Q406" s="70" t="b">
        <f>IF(Tab.11[[#This Row],[a1]]=1,_xlfn.NORM.DIST(Tab.11[[#This Row],[b10]],$P$1,$Q$1,FALSE))</f>
        <v>0</v>
      </c>
      <c r="R406" s="67" t="b">
        <f>IF(Tab.11[[#This Row],[a1]]=1,$I$3+$A$989+IF($K$3=0,Tab.11[[#This Row],[b8]]*_xlfn.STDEV.P(Tab.11[data]),AVERAGE(Tab.11[b6])+Tab.11[[#This Row],[b8]]*_xlfn.STDEV.P(Tab.11[data])))</f>
        <v>0</v>
      </c>
      <c r="S406" s="71" t="b">
        <f>IF(Tab.11[[#This Row],[a1]]=1,$I$3+$A$987+IF($K$3=0,Tab.11[[#This Row],[b9]]*_xlfn.STDEV.P(Tab.11[data]),AVERAGE(Tab.11[b6])+Tab.11[[#This Row],[b9]]*_xlfn.STDEV.P(Tab.11[data])))</f>
        <v>0</v>
      </c>
      <c r="T406" s="71" t="b">
        <f>IF(Tab.11[[#This Row],[a1]]=1,$I$3+$A$988+IF($K$3=0,Tab.11[[#This Row],[b10]]*_xlfn.STDEV.P(Tab.11[data]),AVERAGE(Tab.11[b6])+Tab.11[[#This Row],[b10]]*_xlfn.STDEV.P(Tab.11[data])))</f>
        <v>0</v>
      </c>
      <c r="U406" s="72" t="b">
        <f>IF(Tab.11[[#This Row],[a1]]=1,Tab.11[[#This Row],[target]]-Tab.11[[#This Row],[Red]])</f>
        <v>0</v>
      </c>
      <c r="V406" s="72" t="b">
        <f>IF(Tab.11[[#This Row],[a1]]=1,Tab.11[[#This Row],[target]]-Tab.11[[#This Row],[Blue]])</f>
        <v>0</v>
      </c>
      <c r="W406" s="73" t="b">
        <f>IF(Tab.11[[#This Row],[a1]]=1,IF(ABS(Tab.11[[#This Row],[b17]])+ABS(Tab.11[[#This Row],[b18]])&lt;$W$2,$W$2,ABS(Tab.11[[#This Row],[b17]])+ABS(Tab.11[[#This Row],[b18]])))</f>
        <v>0</v>
      </c>
      <c r="X406" s="136" t="b">
        <f>IF(Tab.11[[#This Row],[a1]]=1,IF($W$3&lt;0,Tab.11[[#This Row],[IN]]-$I$3,Tab.11[[#This Row],[IN]]))</f>
        <v>0</v>
      </c>
      <c r="Y406" s="136" t="b">
        <f>IF(Tab.11[[#This Row],[a1]]=1,IF($X$3=0,Tab.11[b66],Tab.11[[#This Row],[b66]]-AVERAGE(Tab.11[b66])))</f>
        <v>0</v>
      </c>
      <c r="Z406" s="135" t="b">
        <f>IF(Tab.11[[#This Row],[a1]]=1,Tab.11[[#This Row],[b77]]/(_xlfn.STDEV.P(Tab.11[b77])))</f>
        <v>0</v>
      </c>
      <c r="AA406" s="70" t="b">
        <f>IF(Tab.11[[#This Row],[a1]]=1,_xlfn.NORM.DIST(Tab.11[[#This Row],[b88]],$Z$1,$AA$1,FALSE))</f>
        <v>0</v>
      </c>
      <c r="AB406" s="74" t="b">
        <f>IF(Tab.11[[#This Row],[a1]]=1,IF($A$3=0,FALSE,1/Tab.11[[#This Row],[IN]]*$AC$2*IF(Tab.11[[#This Row],[a1]]=0,,$A$3*$AC$1*1/$V$3*(Tab.11[[#This Row],[b14]]))))</f>
        <v>0</v>
      </c>
      <c r="AC406" s="75" t="b">
        <f>IF(Tab.11[[#This Row],[a1]]=1,IF($AC$3=0,Tab.11[[#This Row],[φ1]],Tab.11[[#This Row],[φ1]]/MAX(Tab.11[φ1])))</f>
        <v>0</v>
      </c>
      <c r="AD406" s="74" t="b">
        <f>IF(Tab.11[[#This Row],[a1]]=1,1/Tab.11[[#This Row],[φ2]])</f>
        <v>0</v>
      </c>
      <c r="AE406" s="74" t="b">
        <f>IF(Tab.11[[#This Row],[a1]]=1,IF($AE$3=0,Tab.11[[#This Row],[w.0]],Tab.11[[#This Row],[w.0]]/SUM(Tab.11[w.0])))</f>
        <v>0</v>
      </c>
      <c r="AF406" s="76" t="str">
        <f>IF(Tab.11[[#This Row],[a1]]=0,"false",[3]!Tab.x5[[#This Row],[%_seN_C]])</f>
        <v>false</v>
      </c>
      <c r="AG406" s="77" t="b">
        <f>IF(Tab.11[[#This Row],[a1]]=1,AP406)</f>
        <v>0</v>
      </c>
      <c r="AH406" s="78" t="b">
        <f>IF(Tab.11[[#This Row],[a1]]=1,AQ406)</f>
        <v>0</v>
      </c>
      <c r="AI406" s="41">
        <v>3.0000000000000001E-3</v>
      </c>
      <c r="AJ406" s="79">
        <v>-0.02</v>
      </c>
      <c r="AK406" s="80" t="b">
        <f>IF(Tab.11[[#This Row],[a1]]=1,1)</f>
        <v>0</v>
      </c>
      <c r="AZ406"/>
    </row>
    <row r="407" spans="1:52" hidden="1" x14ac:dyDescent="0.25">
      <c r="A407" s="61">
        <f t="shared" si="15"/>
        <v>0</v>
      </c>
      <c r="B407" s="62">
        <f t="shared" si="15"/>
        <v>0</v>
      </c>
      <c r="C407" s="62" t="b">
        <f>IF(Tab.11[[#This Row],[a1]]=1,[3]!Tab_x1[[#This Row],[Name]])</f>
        <v>0</v>
      </c>
      <c r="D407" s="63" t="b">
        <f>IF(Tab.11[[#This Row],[a1]]=1,AO407)</f>
        <v>0</v>
      </c>
      <c r="E407" s="63">
        <f t="shared" si="14"/>
        <v>0</v>
      </c>
      <c r="F407" s="64" t="b">
        <f>IF(Tab.11[[#This Row],[a1]]=1,Tab.11[[#This Row],[b1]])</f>
        <v>0</v>
      </c>
      <c r="G407" s="65" t="b">
        <f>IF(Tab.11[[#This Row],[a1]]=1,IF(Tab.11[[#This Row],[b3]]&gt;$L$989*$G$3,$L$989*$G$3,IF(Tab.11[[#This Row],[b3]]&lt;$M$989*$G$3,$M$989*$G$3,Tab.11[[#This Row],[b3]])))</f>
        <v>0</v>
      </c>
      <c r="H407" s="66" t="b">
        <f>IF(Tab.11[[#This Row],[a1]]=1,Tab.11[[#This Row],[b1]])</f>
        <v>0</v>
      </c>
      <c r="I407" s="67" t="b">
        <f>IF(Tab.11[[#This Row],[a1]]=1,Tab.11[[#This Row],[b1]])</f>
        <v>0</v>
      </c>
      <c r="J407" s="68" t="b">
        <f>IF(Tab.11[[#This Row],[a1]]=1,IF($I$3&lt;0,Tab.11[[#This Row],[b5]]-$I$3,Tab.11[[#This Row],[b5]]))</f>
        <v>0</v>
      </c>
      <c r="K407" s="68" t="b">
        <f>IF(Tab.11[[#This Row],[a1]]=1,IF($K$3=0,Tab.11[b6],Tab.11[[#This Row],[b6]]-AVERAGE(Tab.11[b6])))</f>
        <v>0</v>
      </c>
      <c r="L407" s="69" t="b">
        <f>IF(Tab.11[[#This Row],[a1]]=1,Tab.11[[#This Row],[data]]/(_xlfn.STDEV.P(Tab.11[data])*$B$989)+$A$989)</f>
        <v>0</v>
      </c>
      <c r="M407" s="69" t="b">
        <f>IF(Tab.11[[#This Row],[a1]]=1,Tab.11[[#This Row],[data]]/(_xlfn.STDEV.P(Tab.11[data])*$B$987)-$A$987)</f>
        <v>0</v>
      </c>
      <c r="N407" s="69" t="b">
        <f>IF(Tab.11[[#This Row],[a1]]=1,Tab.11[[#This Row],[data]]/(_xlfn.STDEV.P(Tab.11[data])*$B$988)+$A$988)</f>
        <v>0</v>
      </c>
      <c r="O407" s="70" t="b">
        <f>IF(Tab.11[[#This Row],[a1]]=1,_xlfn.NORM.DIST(Tab.11[[#This Row],[b8]],$P$1,$Q$1,FALSE))</f>
        <v>0</v>
      </c>
      <c r="P407" s="70" t="b">
        <f>IF(Tab.11[[#This Row],[a1]]=1,_xlfn.NORM.DIST(Tab.11[[#This Row],[b9]],$P$1,$Q$1,FALSE))</f>
        <v>0</v>
      </c>
      <c r="Q407" s="70" t="b">
        <f>IF(Tab.11[[#This Row],[a1]]=1,_xlfn.NORM.DIST(Tab.11[[#This Row],[b10]],$P$1,$Q$1,FALSE))</f>
        <v>0</v>
      </c>
      <c r="R407" s="67" t="b">
        <f>IF(Tab.11[[#This Row],[a1]]=1,$I$3+$A$989+IF($K$3=0,Tab.11[[#This Row],[b8]]*_xlfn.STDEV.P(Tab.11[data]),AVERAGE(Tab.11[b6])+Tab.11[[#This Row],[b8]]*_xlfn.STDEV.P(Tab.11[data])))</f>
        <v>0</v>
      </c>
      <c r="S407" s="71" t="b">
        <f>IF(Tab.11[[#This Row],[a1]]=1,$I$3+$A$987+IF($K$3=0,Tab.11[[#This Row],[b9]]*_xlfn.STDEV.P(Tab.11[data]),AVERAGE(Tab.11[b6])+Tab.11[[#This Row],[b9]]*_xlfn.STDEV.P(Tab.11[data])))</f>
        <v>0</v>
      </c>
      <c r="T407" s="71" t="b">
        <f>IF(Tab.11[[#This Row],[a1]]=1,$I$3+$A$988+IF($K$3=0,Tab.11[[#This Row],[b10]]*_xlfn.STDEV.P(Tab.11[data]),AVERAGE(Tab.11[b6])+Tab.11[[#This Row],[b10]]*_xlfn.STDEV.P(Tab.11[data])))</f>
        <v>0</v>
      </c>
      <c r="U407" s="72" t="b">
        <f>IF(Tab.11[[#This Row],[a1]]=1,Tab.11[[#This Row],[target]]-Tab.11[[#This Row],[Red]])</f>
        <v>0</v>
      </c>
      <c r="V407" s="72" t="b">
        <f>IF(Tab.11[[#This Row],[a1]]=1,Tab.11[[#This Row],[target]]-Tab.11[[#This Row],[Blue]])</f>
        <v>0</v>
      </c>
      <c r="W407" s="73" t="b">
        <f>IF(Tab.11[[#This Row],[a1]]=1,IF(ABS(Tab.11[[#This Row],[b17]])+ABS(Tab.11[[#This Row],[b18]])&lt;$W$2,$W$2,ABS(Tab.11[[#This Row],[b17]])+ABS(Tab.11[[#This Row],[b18]])))</f>
        <v>0</v>
      </c>
      <c r="X407" s="136" t="b">
        <f>IF(Tab.11[[#This Row],[a1]]=1,IF($W$3&lt;0,Tab.11[[#This Row],[IN]]-$I$3,Tab.11[[#This Row],[IN]]))</f>
        <v>0</v>
      </c>
      <c r="Y407" s="136" t="b">
        <f>IF(Tab.11[[#This Row],[a1]]=1,IF($X$3=0,Tab.11[b66],Tab.11[[#This Row],[b66]]-AVERAGE(Tab.11[b66])))</f>
        <v>0</v>
      </c>
      <c r="Z407" s="135" t="b">
        <f>IF(Tab.11[[#This Row],[a1]]=1,Tab.11[[#This Row],[b77]]/(_xlfn.STDEV.P(Tab.11[b77])))</f>
        <v>0</v>
      </c>
      <c r="AA407" s="70" t="b">
        <f>IF(Tab.11[[#This Row],[a1]]=1,_xlfn.NORM.DIST(Tab.11[[#This Row],[b88]],$Z$1,$AA$1,FALSE))</f>
        <v>0</v>
      </c>
      <c r="AB407" s="74" t="b">
        <f>IF(Tab.11[[#This Row],[a1]]=1,IF($A$3=0,FALSE,1/Tab.11[[#This Row],[IN]]*$AC$2*IF(Tab.11[[#This Row],[a1]]=0,,$A$3*$AC$1*1/$V$3*(Tab.11[[#This Row],[b14]]))))</f>
        <v>0</v>
      </c>
      <c r="AC407" s="75" t="b">
        <f>IF(Tab.11[[#This Row],[a1]]=1,IF($AC$3=0,Tab.11[[#This Row],[φ1]],Tab.11[[#This Row],[φ1]]/MAX(Tab.11[φ1])))</f>
        <v>0</v>
      </c>
      <c r="AD407" s="74" t="b">
        <f>IF(Tab.11[[#This Row],[a1]]=1,1/Tab.11[[#This Row],[φ2]])</f>
        <v>0</v>
      </c>
      <c r="AE407" s="74" t="b">
        <f>IF(Tab.11[[#This Row],[a1]]=1,IF($AE$3=0,Tab.11[[#This Row],[w.0]],Tab.11[[#This Row],[w.0]]/SUM(Tab.11[w.0])))</f>
        <v>0</v>
      </c>
      <c r="AF407" s="76" t="str">
        <f>IF(Tab.11[[#This Row],[a1]]=0,"false",[3]!Tab.x5[[#This Row],[%_seN_C]])</f>
        <v>false</v>
      </c>
      <c r="AG407" s="77" t="b">
        <f>IF(Tab.11[[#This Row],[a1]]=1,AP407)</f>
        <v>0</v>
      </c>
      <c r="AH407" s="78" t="b">
        <f>IF(Tab.11[[#This Row],[a1]]=1,AQ407)</f>
        <v>0</v>
      </c>
      <c r="AI407" s="41">
        <v>3.0000000000000001E-3</v>
      </c>
      <c r="AJ407" s="79">
        <v>0.09</v>
      </c>
      <c r="AK407" s="80" t="b">
        <f>IF(Tab.11[[#This Row],[a1]]=1,1)</f>
        <v>0</v>
      </c>
      <c r="AZ407"/>
    </row>
    <row r="408" spans="1:52" hidden="1" x14ac:dyDescent="0.25">
      <c r="A408" s="61">
        <f t="shared" si="15"/>
        <v>0</v>
      </c>
      <c r="B408" s="62">
        <f t="shared" si="15"/>
        <v>0</v>
      </c>
      <c r="C408" s="62" t="b">
        <f>IF(Tab.11[[#This Row],[a1]]=1,[3]!Tab_x1[[#This Row],[Name]])</f>
        <v>0</v>
      </c>
      <c r="D408" s="63" t="b">
        <f>IF(Tab.11[[#This Row],[a1]]=1,AO408)</f>
        <v>0</v>
      </c>
      <c r="E408" s="63">
        <f t="shared" si="14"/>
        <v>0</v>
      </c>
      <c r="F408" s="64" t="b">
        <f>IF(Tab.11[[#This Row],[a1]]=1,Tab.11[[#This Row],[b1]])</f>
        <v>0</v>
      </c>
      <c r="G408" s="65" t="b">
        <f>IF(Tab.11[[#This Row],[a1]]=1,IF(Tab.11[[#This Row],[b3]]&gt;$L$989*$G$3,$L$989*$G$3,IF(Tab.11[[#This Row],[b3]]&lt;$M$989*$G$3,$M$989*$G$3,Tab.11[[#This Row],[b3]])))</f>
        <v>0</v>
      </c>
      <c r="H408" s="66" t="b">
        <f>IF(Tab.11[[#This Row],[a1]]=1,Tab.11[[#This Row],[b1]])</f>
        <v>0</v>
      </c>
      <c r="I408" s="67" t="b">
        <f>IF(Tab.11[[#This Row],[a1]]=1,Tab.11[[#This Row],[b1]])</f>
        <v>0</v>
      </c>
      <c r="J408" s="68" t="b">
        <f>IF(Tab.11[[#This Row],[a1]]=1,IF($I$3&lt;0,Tab.11[[#This Row],[b5]]-$I$3,Tab.11[[#This Row],[b5]]))</f>
        <v>0</v>
      </c>
      <c r="K408" s="68" t="b">
        <f>IF(Tab.11[[#This Row],[a1]]=1,IF($K$3=0,Tab.11[b6],Tab.11[[#This Row],[b6]]-AVERAGE(Tab.11[b6])))</f>
        <v>0</v>
      </c>
      <c r="L408" s="69" t="b">
        <f>IF(Tab.11[[#This Row],[a1]]=1,Tab.11[[#This Row],[data]]/(_xlfn.STDEV.P(Tab.11[data])*$B$989)+$A$989)</f>
        <v>0</v>
      </c>
      <c r="M408" s="69" t="b">
        <f>IF(Tab.11[[#This Row],[a1]]=1,Tab.11[[#This Row],[data]]/(_xlfn.STDEV.P(Tab.11[data])*$B$987)-$A$987)</f>
        <v>0</v>
      </c>
      <c r="N408" s="69" t="b">
        <f>IF(Tab.11[[#This Row],[a1]]=1,Tab.11[[#This Row],[data]]/(_xlfn.STDEV.P(Tab.11[data])*$B$988)+$A$988)</f>
        <v>0</v>
      </c>
      <c r="O408" s="70" t="b">
        <f>IF(Tab.11[[#This Row],[a1]]=1,_xlfn.NORM.DIST(Tab.11[[#This Row],[b8]],$P$1,$Q$1,FALSE))</f>
        <v>0</v>
      </c>
      <c r="P408" s="70" t="b">
        <f>IF(Tab.11[[#This Row],[a1]]=1,_xlfn.NORM.DIST(Tab.11[[#This Row],[b9]],$P$1,$Q$1,FALSE))</f>
        <v>0</v>
      </c>
      <c r="Q408" s="70" t="b">
        <f>IF(Tab.11[[#This Row],[a1]]=1,_xlfn.NORM.DIST(Tab.11[[#This Row],[b10]],$P$1,$Q$1,FALSE))</f>
        <v>0</v>
      </c>
      <c r="R408" s="67" t="b">
        <f>IF(Tab.11[[#This Row],[a1]]=1,$I$3+$A$989+IF($K$3=0,Tab.11[[#This Row],[b8]]*_xlfn.STDEV.P(Tab.11[data]),AVERAGE(Tab.11[b6])+Tab.11[[#This Row],[b8]]*_xlfn.STDEV.P(Tab.11[data])))</f>
        <v>0</v>
      </c>
      <c r="S408" s="71" t="b">
        <f>IF(Tab.11[[#This Row],[a1]]=1,$I$3+$A$987+IF($K$3=0,Tab.11[[#This Row],[b9]]*_xlfn.STDEV.P(Tab.11[data]),AVERAGE(Tab.11[b6])+Tab.11[[#This Row],[b9]]*_xlfn.STDEV.P(Tab.11[data])))</f>
        <v>0</v>
      </c>
      <c r="T408" s="71" t="b">
        <f>IF(Tab.11[[#This Row],[a1]]=1,$I$3+$A$988+IF($K$3=0,Tab.11[[#This Row],[b10]]*_xlfn.STDEV.P(Tab.11[data]),AVERAGE(Tab.11[b6])+Tab.11[[#This Row],[b10]]*_xlfn.STDEV.P(Tab.11[data])))</f>
        <v>0</v>
      </c>
      <c r="U408" s="72" t="b">
        <f>IF(Tab.11[[#This Row],[a1]]=1,Tab.11[[#This Row],[target]]-Tab.11[[#This Row],[Red]])</f>
        <v>0</v>
      </c>
      <c r="V408" s="72" t="b">
        <f>IF(Tab.11[[#This Row],[a1]]=1,Tab.11[[#This Row],[target]]-Tab.11[[#This Row],[Blue]])</f>
        <v>0</v>
      </c>
      <c r="W408" s="73" t="b">
        <f>IF(Tab.11[[#This Row],[a1]]=1,IF(ABS(Tab.11[[#This Row],[b17]])+ABS(Tab.11[[#This Row],[b18]])&lt;$W$2,$W$2,ABS(Tab.11[[#This Row],[b17]])+ABS(Tab.11[[#This Row],[b18]])))</f>
        <v>0</v>
      </c>
      <c r="X408" s="136" t="b">
        <f>IF(Tab.11[[#This Row],[a1]]=1,IF($W$3&lt;0,Tab.11[[#This Row],[IN]]-$I$3,Tab.11[[#This Row],[IN]]))</f>
        <v>0</v>
      </c>
      <c r="Y408" s="136" t="b">
        <f>IF(Tab.11[[#This Row],[a1]]=1,IF($X$3=0,Tab.11[b66],Tab.11[[#This Row],[b66]]-AVERAGE(Tab.11[b66])))</f>
        <v>0</v>
      </c>
      <c r="Z408" s="135" t="b">
        <f>IF(Tab.11[[#This Row],[a1]]=1,Tab.11[[#This Row],[b77]]/(_xlfn.STDEV.P(Tab.11[b77])))</f>
        <v>0</v>
      </c>
      <c r="AA408" s="70" t="b">
        <f>IF(Tab.11[[#This Row],[a1]]=1,_xlfn.NORM.DIST(Tab.11[[#This Row],[b88]],$Z$1,$AA$1,FALSE))</f>
        <v>0</v>
      </c>
      <c r="AB408" s="74" t="b">
        <f>IF(Tab.11[[#This Row],[a1]]=1,IF($A$3=0,FALSE,1/Tab.11[[#This Row],[IN]]*$AC$2*IF(Tab.11[[#This Row],[a1]]=0,,$A$3*$AC$1*1/$V$3*(Tab.11[[#This Row],[b14]]))))</f>
        <v>0</v>
      </c>
      <c r="AC408" s="75" t="b">
        <f>IF(Tab.11[[#This Row],[a1]]=1,IF($AC$3=0,Tab.11[[#This Row],[φ1]],Tab.11[[#This Row],[φ1]]/MAX(Tab.11[φ1])))</f>
        <v>0</v>
      </c>
      <c r="AD408" s="74" t="b">
        <f>IF(Tab.11[[#This Row],[a1]]=1,1/Tab.11[[#This Row],[φ2]])</f>
        <v>0</v>
      </c>
      <c r="AE408" s="74" t="b">
        <f>IF(Tab.11[[#This Row],[a1]]=1,IF($AE$3=0,Tab.11[[#This Row],[w.0]],Tab.11[[#This Row],[w.0]]/SUM(Tab.11[w.0])))</f>
        <v>0</v>
      </c>
      <c r="AF408" s="76" t="str">
        <f>IF(Tab.11[[#This Row],[a1]]=0,"false",[3]!Tab.x5[[#This Row],[%_seN_C]])</f>
        <v>false</v>
      </c>
      <c r="AG408" s="77" t="b">
        <f>IF(Tab.11[[#This Row],[a1]]=1,AP408)</f>
        <v>0</v>
      </c>
      <c r="AH408" s="78" t="b">
        <f>IF(Tab.11[[#This Row],[a1]]=1,AQ408)</f>
        <v>0</v>
      </c>
      <c r="AI408" s="41">
        <v>3.0000000000000001E-3</v>
      </c>
      <c r="AJ408" s="79">
        <v>0.1</v>
      </c>
      <c r="AK408" s="80" t="b">
        <f>IF(Tab.11[[#This Row],[a1]]=1,1)</f>
        <v>0</v>
      </c>
      <c r="AZ408"/>
    </row>
    <row r="409" spans="1:52" hidden="1" x14ac:dyDescent="0.25">
      <c r="A409" s="61">
        <f t="shared" si="15"/>
        <v>0</v>
      </c>
      <c r="B409" s="62">
        <f t="shared" si="15"/>
        <v>0</v>
      </c>
      <c r="C409" s="62" t="b">
        <f>IF(Tab.11[[#This Row],[a1]]=1,[3]!Tab_x1[[#This Row],[Name]])</f>
        <v>0</v>
      </c>
      <c r="D409" s="63" t="b">
        <f>IF(Tab.11[[#This Row],[a1]]=1,AO409)</f>
        <v>0</v>
      </c>
      <c r="E409" s="63">
        <f t="shared" si="14"/>
        <v>0</v>
      </c>
      <c r="F409" s="64" t="b">
        <f>IF(Tab.11[[#This Row],[a1]]=1,Tab.11[[#This Row],[b1]])</f>
        <v>0</v>
      </c>
      <c r="G409" s="65" t="b">
        <f>IF(Tab.11[[#This Row],[a1]]=1,IF(Tab.11[[#This Row],[b3]]&gt;$L$989*$G$3,$L$989*$G$3,IF(Tab.11[[#This Row],[b3]]&lt;$M$989*$G$3,$M$989*$G$3,Tab.11[[#This Row],[b3]])))</f>
        <v>0</v>
      </c>
      <c r="H409" s="66" t="b">
        <f>IF(Tab.11[[#This Row],[a1]]=1,Tab.11[[#This Row],[b1]])</f>
        <v>0</v>
      </c>
      <c r="I409" s="67" t="b">
        <f>IF(Tab.11[[#This Row],[a1]]=1,Tab.11[[#This Row],[b1]])</f>
        <v>0</v>
      </c>
      <c r="J409" s="68" t="b">
        <f>IF(Tab.11[[#This Row],[a1]]=1,IF($I$3&lt;0,Tab.11[[#This Row],[b5]]-$I$3,Tab.11[[#This Row],[b5]]))</f>
        <v>0</v>
      </c>
      <c r="K409" s="68" t="b">
        <f>IF(Tab.11[[#This Row],[a1]]=1,IF($K$3=0,Tab.11[b6],Tab.11[[#This Row],[b6]]-AVERAGE(Tab.11[b6])))</f>
        <v>0</v>
      </c>
      <c r="L409" s="69" t="b">
        <f>IF(Tab.11[[#This Row],[a1]]=1,Tab.11[[#This Row],[data]]/(_xlfn.STDEV.P(Tab.11[data])*$B$989)+$A$989)</f>
        <v>0</v>
      </c>
      <c r="M409" s="69" t="b">
        <f>IF(Tab.11[[#This Row],[a1]]=1,Tab.11[[#This Row],[data]]/(_xlfn.STDEV.P(Tab.11[data])*$B$987)-$A$987)</f>
        <v>0</v>
      </c>
      <c r="N409" s="69" t="b">
        <f>IF(Tab.11[[#This Row],[a1]]=1,Tab.11[[#This Row],[data]]/(_xlfn.STDEV.P(Tab.11[data])*$B$988)+$A$988)</f>
        <v>0</v>
      </c>
      <c r="O409" s="70" t="b">
        <f>IF(Tab.11[[#This Row],[a1]]=1,_xlfn.NORM.DIST(Tab.11[[#This Row],[b8]],$P$1,$Q$1,FALSE))</f>
        <v>0</v>
      </c>
      <c r="P409" s="70" t="b">
        <f>IF(Tab.11[[#This Row],[a1]]=1,_xlfn.NORM.DIST(Tab.11[[#This Row],[b9]],$P$1,$Q$1,FALSE))</f>
        <v>0</v>
      </c>
      <c r="Q409" s="70" t="b">
        <f>IF(Tab.11[[#This Row],[a1]]=1,_xlfn.NORM.DIST(Tab.11[[#This Row],[b10]],$P$1,$Q$1,FALSE))</f>
        <v>0</v>
      </c>
      <c r="R409" s="67" t="b">
        <f>IF(Tab.11[[#This Row],[a1]]=1,$I$3+$A$989+IF($K$3=0,Tab.11[[#This Row],[b8]]*_xlfn.STDEV.P(Tab.11[data]),AVERAGE(Tab.11[b6])+Tab.11[[#This Row],[b8]]*_xlfn.STDEV.P(Tab.11[data])))</f>
        <v>0</v>
      </c>
      <c r="S409" s="71" t="b">
        <f>IF(Tab.11[[#This Row],[a1]]=1,$I$3+$A$987+IF($K$3=0,Tab.11[[#This Row],[b9]]*_xlfn.STDEV.P(Tab.11[data]),AVERAGE(Tab.11[b6])+Tab.11[[#This Row],[b9]]*_xlfn.STDEV.P(Tab.11[data])))</f>
        <v>0</v>
      </c>
      <c r="T409" s="71" t="b">
        <f>IF(Tab.11[[#This Row],[a1]]=1,$I$3+$A$988+IF($K$3=0,Tab.11[[#This Row],[b10]]*_xlfn.STDEV.P(Tab.11[data]),AVERAGE(Tab.11[b6])+Tab.11[[#This Row],[b10]]*_xlfn.STDEV.P(Tab.11[data])))</f>
        <v>0</v>
      </c>
      <c r="U409" s="72" t="b">
        <f>IF(Tab.11[[#This Row],[a1]]=1,Tab.11[[#This Row],[target]]-Tab.11[[#This Row],[Red]])</f>
        <v>0</v>
      </c>
      <c r="V409" s="72" t="b">
        <f>IF(Tab.11[[#This Row],[a1]]=1,Tab.11[[#This Row],[target]]-Tab.11[[#This Row],[Blue]])</f>
        <v>0</v>
      </c>
      <c r="W409" s="73" t="b">
        <f>IF(Tab.11[[#This Row],[a1]]=1,IF(ABS(Tab.11[[#This Row],[b17]])+ABS(Tab.11[[#This Row],[b18]])&lt;$W$2,$W$2,ABS(Tab.11[[#This Row],[b17]])+ABS(Tab.11[[#This Row],[b18]])))</f>
        <v>0</v>
      </c>
      <c r="X409" s="136" t="b">
        <f>IF(Tab.11[[#This Row],[a1]]=1,IF($W$3&lt;0,Tab.11[[#This Row],[IN]]-$I$3,Tab.11[[#This Row],[IN]]))</f>
        <v>0</v>
      </c>
      <c r="Y409" s="136" t="b">
        <f>IF(Tab.11[[#This Row],[a1]]=1,IF($X$3=0,Tab.11[b66],Tab.11[[#This Row],[b66]]-AVERAGE(Tab.11[b66])))</f>
        <v>0</v>
      </c>
      <c r="Z409" s="135" t="b">
        <f>IF(Tab.11[[#This Row],[a1]]=1,Tab.11[[#This Row],[b77]]/(_xlfn.STDEV.P(Tab.11[b77])))</f>
        <v>0</v>
      </c>
      <c r="AA409" s="70" t="b">
        <f>IF(Tab.11[[#This Row],[a1]]=1,_xlfn.NORM.DIST(Tab.11[[#This Row],[b88]],$Z$1,$AA$1,FALSE))</f>
        <v>0</v>
      </c>
      <c r="AB409" s="74" t="b">
        <f>IF(Tab.11[[#This Row],[a1]]=1,IF($A$3=0,FALSE,1/Tab.11[[#This Row],[IN]]*$AC$2*IF(Tab.11[[#This Row],[a1]]=0,,$A$3*$AC$1*1/$V$3*(Tab.11[[#This Row],[b14]]))))</f>
        <v>0</v>
      </c>
      <c r="AC409" s="75" t="b">
        <f>IF(Tab.11[[#This Row],[a1]]=1,IF($AC$3=0,Tab.11[[#This Row],[φ1]],Tab.11[[#This Row],[φ1]]/MAX(Tab.11[φ1])))</f>
        <v>0</v>
      </c>
      <c r="AD409" s="74" t="b">
        <f>IF(Tab.11[[#This Row],[a1]]=1,1/Tab.11[[#This Row],[φ2]])</f>
        <v>0</v>
      </c>
      <c r="AE409" s="74" t="b">
        <f>IF(Tab.11[[#This Row],[a1]]=1,IF($AE$3=0,Tab.11[[#This Row],[w.0]],Tab.11[[#This Row],[w.0]]/SUM(Tab.11[w.0])))</f>
        <v>0</v>
      </c>
      <c r="AF409" s="76" t="str">
        <f>IF(Tab.11[[#This Row],[a1]]=0,"false",[3]!Tab.x5[[#This Row],[%_seN_C]])</f>
        <v>false</v>
      </c>
      <c r="AG409" s="77" t="b">
        <f>IF(Tab.11[[#This Row],[a1]]=1,AP409)</f>
        <v>0</v>
      </c>
      <c r="AH409" s="78" t="b">
        <f>IF(Tab.11[[#This Row],[a1]]=1,AQ409)</f>
        <v>0</v>
      </c>
      <c r="AI409" s="41">
        <v>3.0000000000000001E-3</v>
      </c>
      <c r="AJ409" s="79">
        <v>0.09</v>
      </c>
      <c r="AK409" s="80" t="b">
        <f>IF(Tab.11[[#This Row],[a1]]=1,1)</f>
        <v>0</v>
      </c>
      <c r="AZ409"/>
    </row>
    <row r="410" spans="1:52" hidden="1" x14ac:dyDescent="0.25">
      <c r="A410" s="61">
        <f t="shared" si="15"/>
        <v>0</v>
      </c>
      <c r="B410" s="62">
        <f t="shared" si="15"/>
        <v>0</v>
      </c>
      <c r="C410" s="62" t="b">
        <f>IF(Tab.11[[#This Row],[a1]]=1,[3]!Tab_x1[[#This Row],[Name]])</f>
        <v>0</v>
      </c>
      <c r="D410" s="63" t="b">
        <f>IF(Tab.11[[#This Row],[a1]]=1,AO410)</f>
        <v>0</v>
      </c>
      <c r="E410" s="63">
        <f t="shared" si="14"/>
        <v>0</v>
      </c>
      <c r="F410" s="64" t="b">
        <f>IF(Tab.11[[#This Row],[a1]]=1,Tab.11[[#This Row],[b1]])</f>
        <v>0</v>
      </c>
      <c r="G410" s="65" t="b">
        <f>IF(Tab.11[[#This Row],[a1]]=1,IF(Tab.11[[#This Row],[b3]]&gt;$L$989*$G$3,$L$989*$G$3,IF(Tab.11[[#This Row],[b3]]&lt;$M$989*$G$3,$M$989*$G$3,Tab.11[[#This Row],[b3]])))</f>
        <v>0</v>
      </c>
      <c r="H410" s="66" t="b">
        <f>IF(Tab.11[[#This Row],[a1]]=1,Tab.11[[#This Row],[b1]])</f>
        <v>0</v>
      </c>
      <c r="I410" s="67" t="b">
        <f>IF(Tab.11[[#This Row],[a1]]=1,Tab.11[[#This Row],[b1]])</f>
        <v>0</v>
      </c>
      <c r="J410" s="68" t="b">
        <f>IF(Tab.11[[#This Row],[a1]]=1,IF($I$3&lt;0,Tab.11[[#This Row],[b5]]-$I$3,Tab.11[[#This Row],[b5]]))</f>
        <v>0</v>
      </c>
      <c r="K410" s="68" t="b">
        <f>IF(Tab.11[[#This Row],[a1]]=1,IF($K$3=0,Tab.11[b6],Tab.11[[#This Row],[b6]]-AVERAGE(Tab.11[b6])))</f>
        <v>0</v>
      </c>
      <c r="L410" s="69" t="b">
        <f>IF(Tab.11[[#This Row],[a1]]=1,Tab.11[[#This Row],[data]]/(_xlfn.STDEV.P(Tab.11[data])*$B$989)+$A$989)</f>
        <v>0</v>
      </c>
      <c r="M410" s="69" t="b">
        <f>IF(Tab.11[[#This Row],[a1]]=1,Tab.11[[#This Row],[data]]/(_xlfn.STDEV.P(Tab.11[data])*$B$987)-$A$987)</f>
        <v>0</v>
      </c>
      <c r="N410" s="69" t="b">
        <f>IF(Tab.11[[#This Row],[a1]]=1,Tab.11[[#This Row],[data]]/(_xlfn.STDEV.P(Tab.11[data])*$B$988)+$A$988)</f>
        <v>0</v>
      </c>
      <c r="O410" s="70" t="b">
        <f>IF(Tab.11[[#This Row],[a1]]=1,_xlfn.NORM.DIST(Tab.11[[#This Row],[b8]],$P$1,$Q$1,FALSE))</f>
        <v>0</v>
      </c>
      <c r="P410" s="70" t="b">
        <f>IF(Tab.11[[#This Row],[a1]]=1,_xlfn.NORM.DIST(Tab.11[[#This Row],[b9]],$P$1,$Q$1,FALSE))</f>
        <v>0</v>
      </c>
      <c r="Q410" s="70" t="b">
        <f>IF(Tab.11[[#This Row],[a1]]=1,_xlfn.NORM.DIST(Tab.11[[#This Row],[b10]],$P$1,$Q$1,FALSE))</f>
        <v>0</v>
      </c>
      <c r="R410" s="67" t="b">
        <f>IF(Tab.11[[#This Row],[a1]]=1,$I$3+$A$989+IF($K$3=0,Tab.11[[#This Row],[b8]]*_xlfn.STDEV.P(Tab.11[data]),AVERAGE(Tab.11[b6])+Tab.11[[#This Row],[b8]]*_xlfn.STDEV.P(Tab.11[data])))</f>
        <v>0</v>
      </c>
      <c r="S410" s="71" t="b">
        <f>IF(Tab.11[[#This Row],[a1]]=1,$I$3+$A$987+IF($K$3=0,Tab.11[[#This Row],[b9]]*_xlfn.STDEV.P(Tab.11[data]),AVERAGE(Tab.11[b6])+Tab.11[[#This Row],[b9]]*_xlfn.STDEV.P(Tab.11[data])))</f>
        <v>0</v>
      </c>
      <c r="T410" s="71" t="b">
        <f>IF(Tab.11[[#This Row],[a1]]=1,$I$3+$A$988+IF($K$3=0,Tab.11[[#This Row],[b10]]*_xlfn.STDEV.P(Tab.11[data]),AVERAGE(Tab.11[b6])+Tab.11[[#This Row],[b10]]*_xlfn.STDEV.P(Tab.11[data])))</f>
        <v>0</v>
      </c>
      <c r="U410" s="72" t="b">
        <f>IF(Tab.11[[#This Row],[a1]]=1,Tab.11[[#This Row],[target]]-Tab.11[[#This Row],[Red]])</f>
        <v>0</v>
      </c>
      <c r="V410" s="72" t="b">
        <f>IF(Tab.11[[#This Row],[a1]]=1,Tab.11[[#This Row],[target]]-Tab.11[[#This Row],[Blue]])</f>
        <v>0</v>
      </c>
      <c r="W410" s="73" t="b">
        <f>IF(Tab.11[[#This Row],[a1]]=1,IF(ABS(Tab.11[[#This Row],[b17]])+ABS(Tab.11[[#This Row],[b18]])&lt;$W$2,$W$2,ABS(Tab.11[[#This Row],[b17]])+ABS(Tab.11[[#This Row],[b18]])))</f>
        <v>0</v>
      </c>
      <c r="X410" s="136" t="b">
        <f>IF(Tab.11[[#This Row],[a1]]=1,IF($W$3&lt;0,Tab.11[[#This Row],[IN]]-$I$3,Tab.11[[#This Row],[IN]]))</f>
        <v>0</v>
      </c>
      <c r="Y410" s="136" t="b">
        <f>IF(Tab.11[[#This Row],[a1]]=1,IF($X$3=0,Tab.11[b66],Tab.11[[#This Row],[b66]]-AVERAGE(Tab.11[b66])))</f>
        <v>0</v>
      </c>
      <c r="Z410" s="135" t="b">
        <f>IF(Tab.11[[#This Row],[a1]]=1,Tab.11[[#This Row],[b77]]/(_xlfn.STDEV.P(Tab.11[b77])))</f>
        <v>0</v>
      </c>
      <c r="AA410" s="70" t="b">
        <f>IF(Tab.11[[#This Row],[a1]]=1,_xlfn.NORM.DIST(Tab.11[[#This Row],[b88]],$Z$1,$AA$1,FALSE))</f>
        <v>0</v>
      </c>
      <c r="AB410" s="74" t="b">
        <f>IF(Tab.11[[#This Row],[a1]]=1,IF($A$3=0,FALSE,1/Tab.11[[#This Row],[IN]]*$AC$2*IF(Tab.11[[#This Row],[a1]]=0,,$A$3*$AC$1*1/$V$3*(Tab.11[[#This Row],[b14]]))))</f>
        <v>0</v>
      </c>
      <c r="AC410" s="75" t="b">
        <f>IF(Tab.11[[#This Row],[a1]]=1,IF($AC$3=0,Tab.11[[#This Row],[φ1]],Tab.11[[#This Row],[φ1]]/MAX(Tab.11[φ1])))</f>
        <v>0</v>
      </c>
      <c r="AD410" s="74" t="b">
        <f>IF(Tab.11[[#This Row],[a1]]=1,1/Tab.11[[#This Row],[φ2]])</f>
        <v>0</v>
      </c>
      <c r="AE410" s="74" t="b">
        <f>IF(Tab.11[[#This Row],[a1]]=1,IF($AE$3=0,Tab.11[[#This Row],[w.0]],Tab.11[[#This Row],[w.0]]/SUM(Tab.11[w.0])))</f>
        <v>0</v>
      </c>
      <c r="AF410" s="76" t="str">
        <f>IF(Tab.11[[#This Row],[a1]]=0,"false",[3]!Tab.x5[[#This Row],[%_seN_C]])</f>
        <v>false</v>
      </c>
      <c r="AG410" s="77" t="b">
        <f>IF(Tab.11[[#This Row],[a1]]=1,AP410)</f>
        <v>0</v>
      </c>
      <c r="AH410" s="78" t="b">
        <f>IF(Tab.11[[#This Row],[a1]]=1,AQ410)</f>
        <v>0</v>
      </c>
      <c r="AI410" s="41">
        <v>3.0000000000000001E-3</v>
      </c>
      <c r="AJ410" s="79">
        <v>-0.04</v>
      </c>
      <c r="AK410" s="80" t="b">
        <f>IF(Tab.11[[#This Row],[a1]]=1,1)</f>
        <v>0</v>
      </c>
      <c r="AZ410"/>
    </row>
    <row r="411" spans="1:52" hidden="1" x14ac:dyDescent="0.25">
      <c r="A411" s="61">
        <f t="shared" si="15"/>
        <v>0</v>
      </c>
      <c r="B411" s="62">
        <f t="shared" si="15"/>
        <v>0</v>
      </c>
      <c r="C411" s="62" t="b">
        <f>IF(Tab.11[[#This Row],[a1]]=1,[3]!Tab_x1[[#This Row],[Name]])</f>
        <v>0</v>
      </c>
      <c r="D411" s="63" t="b">
        <f>IF(Tab.11[[#This Row],[a1]]=1,AO411)</f>
        <v>0</v>
      </c>
      <c r="E411" s="63">
        <f t="shared" si="14"/>
        <v>0</v>
      </c>
      <c r="F411" s="64" t="b">
        <f>IF(Tab.11[[#This Row],[a1]]=1,Tab.11[[#This Row],[b1]])</f>
        <v>0</v>
      </c>
      <c r="G411" s="65" t="b">
        <f>IF(Tab.11[[#This Row],[a1]]=1,IF(Tab.11[[#This Row],[b3]]&gt;$L$989*$G$3,$L$989*$G$3,IF(Tab.11[[#This Row],[b3]]&lt;$M$989*$G$3,$M$989*$G$3,Tab.11[[#This Row],[b3]])))</f>
        <v>0</v>
      </c>
      <c r="H411" s="66" t="b">
        <f>IF(Tab.11[[#This Row],[a1]]=1,Tab.11[[#This Row],[b1]])</f>
        <v>0</v>
      </c>
      <c r="I411" s="67" t="b">
        <f>IF(Tab.11[[#This Row],[a1]]=1,Tab.11[[#This Row],[b1]])</f>
        <v>0</v>
      </c>
      <c r="J411" s="68" t="b">
        <f>IF(Tab.11[[#This Row],[a1]]=1,IF($I$3&lt;0,Tab.11[[#This Row],[b5]]-$I$3,Tab.11[[#This Row],[b5]]))</f>
        <v>0</v>
      </c>
      <c r="K411" s="68" t="b">
        <f>IF(Tab.11[[#This Row],[a1]]=1,IF($K$3=0,Tab.11[b6],Tab.11[[#This Row],[b6]]-AVERAGE(Tab.11[b6])))</f>
        <v>0</v>
      </c>
      <c r="L411" s="69" t="b">
        <f>IF(Tab.11[[#This Row],[a1]]=1,Tab.11[[#This Row],[data]]/(_xlfn.STDEV.P(Tab.11[data])*$B$989)+$A$989)</f>
        <v>0</v>
      </c>
      <c r="M411" s="69" t="b">
        <f>IF(Tab.11[[#This Row],[a1]]=1,Tab.11[[#This Row],[data]]/(_xlfn.STDEV.P(Tab.11[data])*$B$987)-$A$987)</f>
        <v>0</v>
      </c>
      <c r="N411" s="69" t="b">
        <f>IF(Tab.11[[#This Row],[a1]]=1,Tab.11[[#This Row],[data]]/(_xlfn.STDEV.P(Tab.11[data])*$B$988)+$A$988)</f>
        <v>0</v>
      </c>
      <c r="O411" s="70" t="b">
        <f>IF(Tab.11[[#This Row],[a1]]=1,_xlfn.NORM.DIST(Tab.11[[#This Row],[b8]],$P$1,$Q$1,FALSE))</f>
        <v>0</v>
      </c>
      <c r="P411" s="70" t="b">
        <f>IF(Tab.11[[#This Row],[a1]]=1,_xlfn.NORM.DIST(Tab.11[[#This Row],[b9]],$P$1,$Q$1,FALSE))</f>
        <v>0</v>
      </c>
      <c r="Q411" s="70" t="b">
        <f>IF(Tab.11[[#This Row],[a1]]=1,_xlfn.NORM.DIST(Tab.11[[#This Row],[b10]],$P$1,$Q$1,FALSE))</f>
        <v>0</v>
      </c>
      <c r="R411" s="67" t="b">
        <f>IF(Tab.11[[#This Row],[a1]]=1,$I$3+$A$989+IF($K$3=0,Tab.11[[#This Row],[b8]]*_xlfn.STDEV.P(Tab.11[data]),AVERAGE(Tab.11[b6])+Tab.11[[#This Row],[b8]]*_xlfn.STDEV.P(Tab.11[data])))</f>
        <v>0</v>
      </c>
      <c r="S411" s="71" t="b">
        <f>IF(Tab.11[[#This Row],[a1]]=1,$I$3+$A$987+IF($K$3=0,Tab.11[[#This Row],[b9]]*_xlfn.STDEV.P(Tab.11[data]),AVERAGE(Tab.11[b6])+Tab.11[[#This Row],[b9]]*_xlfn.STDEV.P(Tab.11[data])))</f>
        <v>0</v>
      </c>
      <c r="T411" s="71" t="b">
        <f>IF(Tab.11[[#This Row],[a1]]=1,$I$3+$A$988+IF($K$3=0,Tab.11[[#This Row],[b10]]*_xlfn.STDEV.P(Tab.11[data]),AVERAGE(Tab.11[b6])+Tab.11[[#This Row],[b10]]*_xlfn.STDEV.P(Tab.11[data])))</f>
        <v>0</v>
      </c>
      <c r="U411" s="72" t="b">
        <f>IF(Tab.11[[#This Row],[a1]]=1,Tab.11[[#This Row],[target]]-Tab.11[[#This Row],[Red]])</f>
        <v>0</v>
      </c>
      <c r="V411" s="72" t="b">
        <f>IF(Tab.11[[#This Row],[a1]]=1,Tab.11[[#This Row],[target]]-Tab.11[[#This Row],[Blue]])</f>
        <v>0</v>
      </c>
      <c r="W411" s="73" t="b">
        <f>IF(Tab.11[[#This Row],[a1]]=1,IF(ABS(Tab.11[[#This Row],[b17]])+ABS(Tab.11[[#This Row],[b18]])&lt;$W$2,$W$2,ABS(Tab.11[[#This Row],[b17]])+ABS(Tab.11[[#This Row],[b18]])))</f>
        <v>0</v>
      </c>
      <c r="X411" s="136" t="b">
        <f>IF(Tab.11[[#This Row],[a1]]=1,IF($W$3&lt;0,Tab.11[[#This Row],[IN]]-$I$3,Tab.11[[#This Row],[IN]]))</f>
        <v>0</v>
      </c>
      <c r="Y411" s="136" t="b">
        <f>IF(Tab.11[[#This Row],[a1]]=1,IF($X$3=0,Tab.11[b66],Tab.11[[#This Row],[b66]]-AVERAGE(Tab.11[b66])))</f>
        <v>0</v>
      </c>
      <c r="Z411" s="135" t="b">
        <f>IF(Tab.11[[#This Row],[a1]]=1,Tab.11[[#This Row],[b77]]/(_xlfn.STDEV.P(Tab.11[b77])))</f>
        <v>0</v>
      </c>
      <c r="AA411" s="70" t="b">
        <f>IF(Tab.11[[#This Row],[a1]]=1,_xlfn.NORM.DIST(Tab.11[[#This Row],[b88]],$Z$1,$AA$1,FALSE))</f>
        <v>0</v>
      </c>
      <c r="AB411" s="74" t="b">
        <f>IF(Tab.11[[#This Row],[a1]]=1,IF($A$3=0,FALSE,1/Tab.11[[#This Row],[IN]]*$AC$2*IF(Tab.11[[#This Row],[a1]]=0,,$A$3*$AC$1*1/$V$3*(Tab.11[[#This Row],[b14]]))))</f>
        <v>0</v>
      </c>
      <c r="AC411" s="75" t="b">
        <f>IF(Tab.11[[#This Row],[a1]]=1,IF($AC$3=0,Tab.11[[#This Row],[φ1]],Tab.11[[#This Row],[φ1]]/MAX(Tab.11[φ1])))</f>
        <v>0</v>
      </c>
      <c r="AD411" s="74" t="b">
        <f>IF(Tab.11[[#This Row],[a1]]=1,1/Tab.11[[#This Row],[φ2]])</f>
        <v>0</v>
      </c>
      <c r="AE411" s="74" t="b">
        <f>IF(Tab.11[[#This Row],[a1]]=1,IF($AE$3=0,Tab.11[[#This Row],[w.0]],Tab.11[[#This Row],[w.0]]/SUM(Tab.11[w.0])))</f>
        <v>0</v>
      </c>
      <c r="AF411" s="76" t="str">
        <f>IF(Tab.11[[#This Row],[a1]]=0,"false",[3]!Tab.x5[[#This Row],[%_seN_C]])</f>
        <v>false</v>
      </c>
      <c r="AG411" s="77" t="b">
        <f>IF(Tab.11[[#This Row],[a1]]=1,AP411)</f>
        <v>0</v>
      </c>
      <c r="AH411" s="78" t="b">
        <f>IF(Tab.11[[#This Row],[a1]]=1,AQ411)</f>
        <v>0</v>
      </c>
      <c r="AI411" s="41">
        <v>3.0000000000000001E-3</v>
      </c>
      <c r="AJ411" s="79">
        <v>0.06</v>
      </c>
      <c r="AK411" s="80" t="b">
        <f>IF(Tab.11[[#This Row],[a1]]=1,1)</f>
        <v>0</v>
      </c>
      <c r="AZ411"/>
    </row>
    <row r="412" spans="1:52" hidden="1" x14ac:dyDescent="0.25">
      <c r="A412" s="61">
        <f t="shared" si="15"/>
        <v>0</v>
      </c>
      <c r="B412" s="62">
        <f t="shared" si="15"/>
        <v>0</v>
      </c>
      <c r="C412" s="62" t="b">
        <f>IF(Tab.11[[#This Row],[a1]]=1,[3]!Tab_x1[[#This Row],[Name]])</f>
        <v>0</v>
      </c>
      <c r="D412" s="63" t="b">
        <f>IF(Tab.11[[#This Row],[a1]]=1,AO412)</f>
        <v>0</v>
      </c>
      <c r="E412" s="63">
        <f t="shared" si="14"/>
        <v>0</v>
      </c>
      <c r="F412" s="64" t="b">
        <f>IF(Tab.11[[#This Row],[a1]]=1,Tab.11[[#This Row],[b1]])</f>
        <v>0</v>
      </c>
      <c r="G412" s="65" t="b">
        <f>IF(Tab.11[[#This Row],[a1]]=1,IF(Tab.11[[#This Row],[b3]]&gt;$L$989*$G$3,$L$989*$G$3,IF(Tab.11[[#This Row],[b3]]&lt;$M$989*$G$3,$M$989*$G$3,Tab.11[[#This Row],[b3]])))</f>
        <v>0</v>
      </c>
      <c r="H412" s="66" t="b">
        <f>IF(Tab.11[[#This Row],[a1]]=1,Tab.11[[#This Row],[b1]])</f>
        <v>0</v>
      </c>
      <c r="I412" s="67" t="b">
        <f>IF(Tab.11[[#This Row],[a1]]=1,Tab.11[[#This Row],[b1]])</f>
        <v>0</v>
      </c>
      <c r="J412" s="68" t="b">
        <f>IF(Tab.11[[#This Row],[a1]]=1,IF($I$3&lt;0,Tab.11[[#This Row],[b5]]-$I$3,Tab.11[[#This Row],[b5]]))</f>
        <v>0</v>
      </c>
      <c r="K412" s="68" t="b">
        <f>IF(Tab.11[[#This Row],[a1]]=1,IF($K$3=0,Tab.11[b6],Tab.11[[#This Row],[b6]]-AVERAGE(Tab.11[b6])))</f>
        <v>0</v>
      </c>
      <c r="L412" s="69" t="b">
        <f>IF(Tab.11[[#This Row],[a1]]=1,Tab.11[[#This Row],[data]]/(_xlfn.STDEV.P(Tab.11[data])*$B$989)+$A$989)</f>
        <v>0</v>
      </c>
      <c r="M412" s="69" t="b">
        <f>IF(Tab.11[[#This Row],[a1]]=1,Tab.11[[#This Row],[data]]/(_xlfn.STDEV.P(Tab.11[data])*$B$987)-$A$987)</f>
        <v>0</v>
      </c>
      <c r="N412" s="69" t="b">
        <f>IF(Tab.11[[#This Row],[a1]]=1,Tab.11[[#This Row],[data]]/(_xlfn.STDEV.P(Tab.11[data])*$B$988)+$A$988)</f>
        <v>0</v>
      </c>
      <c r="O412" s="70" t="b">
        <f>IF(Tab.11[[#This Row],[a1]]=1,_xlfn.NORM.DIST(Tab.11[[#This Row],[b8]],$P$1,$Q$1,FALSE))</f>
        <v>0</v>
      </c>
      <c r="P412" s="70" t="b">
        <f>IF(Tab.11[[#This Row],[a1]]=1,_xlfn.NORM.DIST(Tab.11[[#This Row],[b9]],$P$1,$Q$1,FALSE))</f>
        <v>0</v>
      </c>
      <c r="Q412" s="70" t="b">
        <f>IF(Tab.11[[#This Row],[a1]]=1,_xlfn.NORM.DIST(Tab.11[[#This Row],[b10]],$P$1,$Q$1,FALSE))</f>
        <v>0</v>
      </c>
      <c r="R412" s="67" t="b">
        <f>IF(Tab.11[[#This Row],[a1]]=1,$I$3+$A$989+IF($K$3=0,Tab.11[[#This Row],[b8]]*_xlfn.STDEV.P(Tab.11[data]),AVERAGE(Tab.11[b6])+Tab.11[[#This Row],[b8]]*_xlfn.STDEV.P(Tab.11[data])))</f>
        <v>0</v>
      </c>
      <c r="S412" s="71" t="b">
        <f>IF(Tab.11[[#This Row],[a1]]=1,$I$3+$A$987+IF($K$3=0,Tab.11[[#This Row],[b9]]*_xlfn.STDEV.P(Tab.11[data]),AVERAGE(Tab.11[b6])+Tab.11[[#This Row],[b9]]*_xlfn.STDEV.P(Tab.11[data])))</f>
        <v>0</v>
      </c>
      <c r="T412" s="71" t="b">
        <f>IF(Tab.11[[#This Row],[a1]]=1,$I$3+$A$988+IF($K$3=0,Tab.11[[#This Row],[b10]]*_xlfn.STDEV.P(Tab.11[data]),AVERAGE(Tab.11[b6])+Tab.11[[#This Row],[b10]]*_xlfn.STDEV.P(Tab.11[data])))</f>
        <v>0</v>
      </c>
      <c r="U412" s="72" t="b">
        <f>IF(Tab.11[[#This Row],[a1]]=1,Tab.11[[#This Row],[target]]-Tab.11[[#This Row],[Red]])</f>
        <v>0</v>
      </c>
      <c r="V412" s="72" t="b">
        <f>IF(Tab.11[[#This Row],[a1]]=1,Tab.11[[#This Row],[target]]-Tab.11[[#This Row],[Blue]])</f>
        <v>0</v>
      </c>
      <c r="W412" s="73" t="b">
        <f>IF(Tab.11[[#This Row],[a1]]=1,IF(ABS(Tab.11[[#This Row],[b17]])+ABS(Tab.11[[#This Row],[b18]])&lt;$W$2,$W$2,ABS(Tab.11[[#This Row],[b17]])+ABS(Tab.11[[#This Row],[b18]])))</f>
        <v>0</v>
      </c>
      <c r="X412" s="136" t="b">
        <f>IF(Tab.11[[#This Row],[a1]]=1,IF($W$3&lt;0,Tab.11[[#This Row],[IN]]-$I$3,Tab.11[[#This Row],[IN]]))</f>
        <v>0</v>
      </c>
      <c r="Y412" s="136" t="b">
        <f>IF(Tab.11[[#This Row],[a1]]=1,IF($X$3=0,Tab.11[b66],Tab.11[[#This Row],[b66]]-AVERAGE(Tab.11[b66])))</f>
        <v>0</v>
      </c>
      <c r="Z412" s="135" t="b">
        <f>IF(Tab.11[[#This Row],[a1]]=1,Tab.11[[#This Row],[b77]]/(_xlfn.STDEV.P(Tab.11[b77])))</f>
        <v>0</v>
      </c>
      <c r="AA412" s="70" t="b">
        <f>IF(Tab.11[[#This Row],[a1]]=1,_xlfn.NORM.DIST(Tab.11[[#This Row],[b88]],$Z$1,$AA$1,FALSE))</f>
        <v>0</v>
      </c>
      <c r="AB412" s="74" t="b">
        <f>IF(Tab.11[[#This Row],[a1]]=1,IF($A$3=0,FALSE,1/Tab.11[[#This Row],[IN]]*$AC$2*IF(Tab.11[[#This Row],[a1]]=0,,$A$3*$AC$1*1/$V$3*(Tab.11[[#This Row],[b14]]))))</f>
        <v>0</v>
      </c>
      <c r="AC412" s="75" t="b">
        <f>IF(Tab.11[[#This Row],[a1]]=1,IF($AC$3=0,Tab.11[[#This Row],[φ1]],Tab.11[[#This Row],[φ1]]/MAX(Tab.11[φ1])))</f>
        <v>0</v>
      </c>
      <c r="AD412" s="74" t="b">
        <f>IF(Tab.11[[#This Row],[a1]]=1,1/Tab.11[[#This Row],[φ2]])</f>
        <v>0</v>
      </c>
      <c r="AE412" s="74" t="b">
        <f>IF(Tab.11[[#This Row],[a1]]=1,IF($AE$3=0,Tab.11[[#This Row],[w.0]],Tab.11[[#This Row],[w.0]]/SUM(Tab.11[w.0])))</f>
        <v>0</v>
      </c>
      <c r="AF412" s="76" t="str">
        <f>IF(Tab.11[[#This Row],[a1]]=0,"false",[3]!Tab.x5[[#This Row],[%_seN_C]])</f>
        <v>false</v>
      </c>
      <c r="AG412" s="77" t="b">
        <f>IF(Tab.11[[#This Row],[a1]]=1,AP412)</f>
        <v>0</v>
      </c>
      <c r="AH412" s="78" t="b">
        <f>IF(Tab.11[[#This Row],[a1]]=1,AQ412)</f>
        <v>0</v>
      </c>
      <c r="AI412" s="41">
        <v>3.0000000000000001E-3</v>
      </c>
      <c r="AJ412" s="79">
        <v>-7.0000000000000007E-2</v>
      </c>
      <c r="AK412" s="80" t="b">
        <f>IF(Tab.11[[#This Row],[a1]]=1,1)</f>
        <v>0</v>
      </c>
      <c r="AZ412"/>
    </row>
    <row r="413" spans="1:52" hidden="1" x14ac:dyDescent="0.25">
      <c r="A413" s="61">
        <f t="shared" si="15"/>
        <v>0</v>
      </c>
      <c r="B413" s="62">
        <f t="shared" si="15"/>
        <v>0</v>
      </c>
      <c r="C413" s="62" t="b">
        <f>IF(Tab.11[[#This Row],[a1]]=1,[3]!Tab_x1[[#This Row],[Name]])</f>
        <v>0</v>
      </c>
      <c r="D413" s="63" t="b">
        <f>IF(Tab.11[[#This Row],[a1]]=1,AO413)</f>
        <v>0</v>
      </c>
      <c r="E413" s="63">
        <f t="shared" si="14"/>
        <v>0</v>
      </c>
      <c r="F413" s="64" t="b">
        <f>IF(Tab.11[[#This Row],[a1]]=1,Tab.11[[#This Row],[b1]])</f>
        <v>0</v>
      </c>
      <c r="G413" s="65" t="b">
        <f>IF(Tab.11[[#This Row],[a1]]=1,IF(Tab.11[[#This Row],[b3]]&gt;$L$989*$G$3,$L$989*$G$3,IF(Tab.11[[#This Row],[b3]]&lt;$M$989*$G$3,$M$989*$G$3,Tab.11[[#This Row],[b3]])))</f>
        <v>0</v>
      </c>
      <c r="H413" s="66" t="b">
        <f>IF(Tab.11[[#This Row],[a1]]=1,Tab.11[[#This Row],[b1]])</f>
        <v>0</v>
      </c>
      <c r="I413" s="67" t="b">
        <f>IF(Tab.11[[#This Row],[a1]]=1,Tab.11[[#This Row],[b1]])</f>
        <v>0</v>
      </c>
      <c r="J413" s="68" t="b">
        <f>IF(Tab.11[[#This Row],[a1]]=1,IF($I$3&lt;0,Tab.11[[#This Row],[b5]]-$I$3,Tab.11[[#This Row],[b5]]))</f>
        <v>0</v>
      </c>
      <c r="K413" s="68" t="b">
        <f>IF(Tab.11[[#This Row],[a1]]=1,IF($K$3=0,Tab.11[b6],Tab.11[[#This Row],[b6]]-AVERAGE(Tab.11[b6])))</f>
        <v>0</v>
      </c>
      <c r="L413" s="69" t="b">
        <f>IF(Tab.11[[#This Row],[a1]]=1,Tab.11[[#This Row],[data]]/(_xlfn.STDEV.P(Tab.11[data])*$B$989)+$A$989)</f>
        <v>0</v>
      </c>
      <c r="M413" s="69" t="b">
        <f>IF(Tab.11[[#This Row],[a1]]=1,Tab.11[[#This Row],[data]]/(_xlfn.STDEV.P(Tab.11[data])*$B$987)-$A$987)</f>
        <v>0</v>
      </c>
      <c r="N413" s="69" t="b">
        <f>IF(Tab.11[[#This Row],[a1]]=1,Tab.11[[#This Row],[data]]/(_xlfn.STDEV.P(Tab.11[data])*$B$988)+$A$988)</f>
        <v>0</v>
      </c>
      <c r="O413" s="70" t="b">
        <f>IF(Tab.11[[#This Row],[a1]]=1,_xlfn.NORM.DIST(Tab.11[[#This Row],[b8]],$P$1,$Q$1,FALSE))</f>
        <v>0</v>
      </c>
      <c r="P413" s="70" t="b">
        <f>IF(Tab.11[[#This Row],[a1]]=1,_xlfn.NORM.DIST(Tab.11[[#This Row],[b9]],$P$1,$Q$1,FALSE))</f>
        <v>0</v>
      </c>
      <c r="Q413" s="70" t="b">
        <f>IF(Tab.11[[#This Row],[a1]]=1,_xlfn.NORM.DIST(Tab.11[[#This Row],[b10]],$P$1,$Q$1,FALSE))</f>
        <v>0</v>
      </c>
      <c r="R413" s="67" t="b">
        <f>IF(Tab.11[[#This Row],[a1]]=1,$I$3+$A$989+IF($K$3=0,Tab.11[[#This Row],[b8]]*_xlfn.STDEV.P(Tab.11[data]),AVERAGE(Tab.11[b6])+Tab.11[[#This Row],[b8]]*_xlfn.STDEV.P(Tab.11[data])))</f>
        <v>0</v>
      </c>
      <c r="S413" s="71" t="b">
        <f>IF(Tab.11[[#This Row],[a1]]=1,$I$3+$A$987+IF($K$3=0,Tab.11[[#This Row],[b9]]*_xlfn.STDEV.P(Tab.11[data]),AVERAGE(Tab.11[b6])+Tab.11[[#This Row],[b9]]*_xlfn.STDEV.P(Tab.11[data])))</f>
        <v>0</v>
      </c>
      <c r="T413" s="71" t="b">
        <f>IF(Tab.11[[#This Row],[a1]]=1,$I$3+$A$988+IF($K$3=0,Tab.11[[#This Row],[b10]]*_xlfn.STDEV.P(Tab.11[data]),AVERAGE(Tab.11[b6])+Tab.11[[#This Row],[b10]]*_xlfn.STDEV.P(Tab.11[data])))</f>
        <v>0</v>
      </c>
      <c r="U413" s="72" t="b">
        <f>IF(Tab.11[[#This Row],[a1]]=1,Tab.11[[#This Row],[target]]-Tab.11[[#This Row],[Red]])</f>
        <v>0</v>
      </c>
      <c r="V413" s="72" t="b">
        <f>IF(Tab.11[[#This Row],[a1]]=1,Tab.11[[#This Row],[target]]-Tab.11[[#This Row],[Blue]])</f>
        <v>0</v>
      </c>
      <c r="W413" s="73" t="b">
        <f>IF(Tab.11[[#This Row],[a1]]=1,IF(ABS(Tab.11[[#This Row],[b17]])+ABS(Tab.11[[#This Row],[b18]])&lt;$W$2,$W$2,ABS(Tab.11[[#This Row],[b17]])+ABS(Tab.11[[#This Row],[b18]])))</f>
        <v>0</v>
      </c>
      <c r="X413" s="136" t="b">
        <f>IF(Tab.11[[#This Row],[a1]]=1,IF($W$3&lt;0,Tab.11[[#This Row],[IN]]-$I$3,Tab.11[[#This Row],[IN]]))</f>
        <v>0</v>
      </c>
      <c r="Y413" s="136" t="b">
        <f>IF(Tab.11[[#This Row],[a1]]=1,IF($X$3=0,Tab.11[b66],Tab.11[[#This Row],[b66]]-AVERAGE(Tab.11[b66])))</f>
        <v>0</v>
      </c>
      <c r="Z413" s="135" t="b">
        <f>IF(Tab.11[[#This Row],[a1]]=1,Tab.11[[#This Row],[b77]]/(_xlfn.STDEV.P(Tab.11[b77])))</f>
        <v>0</v>
      </c>
      <c r="AA413" s="70" t="b">
        <f>IF(Tab.11[[#This Row],[a1]]=1,_xlfn.NORM.DIST(Tab.11[[#This Row],[b88]],$Z$1,$AA$1,FALSE))</f>
        <v>0</v>
      </c>
      <c r="AB413" s="74" t="b">
        <f>IF(Tab.11[[#This Row],[a1]]=1,IF($A$3=0,FALSE,1/Tab.11[[#This Row],[IN]]*$AC$2*IF(Tab.11[[#This Row],[a1]]=0,,$A$3*$AC$1*1/$V$3*(Tab.11[[#This Row],[b14]]))))</f>
        <v>0</v>
      </c>
      <c r="AC413" s="75" t="b">
        <f>IF(Tab.11[[#This Row],[a1]]=1,IF($AC$3=0,Tab.11[[#This Row],[φ1]],Tab.11[[#This Row],[φ1]]/MAX(Tab.11[φ1])))</f>
        <v>0</v>
      </c>
      <c r="AD413" s="74" t="b">
        <f>IF(Tab.11[[#This Row],[a1]]=1,1/Tab.11[[#This Row],[φ2]])</f>
        <v>0</v>
      </c>
      <c r="AE413" s="74" t="b">
        <f>IF(Tab.11[[#This Row],[a1]]=1,IF($AE$3=0,Tab.11[[#This Row],[w.0]],Tab.11[[#This Row],[w.0]]/SUM(Tab.11[w.0])))</f>
        <v>0</v>
      </c>
      <c r="AF413" s="76" t="str">
        <f>IF(Tab.11[[#This Row],[a1]]=0,"false",[3]!Tab.x5[[#This Row],[%_seN_C]])</f>
        <v>false</v>
      </c>
      <c r="AG413" s="77" t="b">
        <f>IF(Tab.11[[#This Row],[a1]]=1,AP413)</f>
        <v>0</v>
      </c>
      <c r="AH413" s="78" t="b">
        <f>IF(Tab.11[[#This Row],[a1]]=1,AQ413)</f>
        <v>0</v>
      </c>
      <c r="AI413" s="41">
        <v>3.0000000000000001E-3</v>
      </c>
      <c r="AJ413" s="79">
        <v>-0.1</v>
      </c>
      <c r="AK413" s="80" t="b">
        <f>IF(Tab.11[[#This Row],[a1]]=1,1)</f>
        <v>0</v>
      </c>
      <c r="AZ413"/>
    </row>
    <row r="414" spans="1:52" hidden="1" x14ac:dyDescent="0.25">
      <c r="A414" s="61">
        <f t="shared" si="15"/>
        <v>0</v>
      </c>
      <c r="B414" s="62">
        <f t="shared" si="15"/>
        <v>0</v>
      </c>
      <c r="C414" s="62" t="b">
        <f>IF(Tab.11[[#This Row],[a1]]=1,[3]!Tab_x1[[#This Row],[Name]])</f>
        <v>0</v>
      </c>
      <c r="D414" s="63" t="b">
        <f>IF(Tab.11[[#This Row],[a1]]=1,AO414)</f>
        <v>0</v>
      </c>
      <c r="E414" s="63">
        <f t="shared" si="14"/>
        <v>0</v>
      </c>
      <c r="F414" s="64" t="b">
        <f>IF(Tab.11[[#This Row],[a1]]=1,Tab.11[[#This Row],[b1]])</f>
        <v>0</v>
      </c>
      <c r="G414" s="65" t="b">
        <f>IF(Tab.11[[#This Row],[a1]]=1,IF(Tab.11[[#This Row],[b3]]&gt;$L$989*$G$3,$L$989*$G$3,IF(Tab.11[[#This Row],[b3]]&lt;$M$989*$G$3,$M$989*$G$3,Tab.11[[#This Row],[b3]])))</f>
        <v>0</v>
      </c>
      <c r="H414" s="66" t="b">
        <f>IF(Tab.11[[#This Row],[a1]]=1,Tab.11[[#This Row],[b1]])</f>
        <v>0</v>
      </c>
      <c r="I414" s="67" t="b">
        <f>IF(Tab.11[[#This Row],[a1]]=1,Tab.11[[#This Row],[b1]])</f>
        <v>0</v>
      </c>
      <c r="J414" s="68" t="b">
        <f>IF(Tab.11[[#This Row],[a1]]=1,IF($I$3&lt;0,Tab.11[[#This Row],[b5]]-$I$3,Tab.11[[#This Row],[b5]]))</f>
        <v>0</v>
      </c>
      <c r="K414" s="68" t="b">
        <f>IF(Tab.11[[#This Row],[a1]]=1,IF($K$3=0,Tab.11[b6],Tab.11[[#This Row],[b6]]-AVERAGE(Tab.11[b6])))</f>
        <v>0</v>
      </c>
      <c r="L414" s="69" t="b">
        <f>IF(Tab.11[[#This Row],[a1]]=1,Tab.11[[#This Row],[data]]/(_xlfn.STDEV.P(Tab.11[data])*$B$989)+$A$989)</f>
        <v>0</v>
      </c>
      <c r="M414" s="69" t="b">
        <f>IF(Tab.11[[#This Row],[a1]]=1,Tab.11[[#This Row],[data]]/(_xlfn.STDEV.P(Tab.11[data])*$B$987)-$A$987)</f>
        <v>0</v>
      </c>
      <c r="N414" s="69" t="b">
        <f>IF(Tab.11[[#This Row],[a1]]=1,Tab.11[[#This Row],[data]]/(_xlfn.STDEV.P(Tab.11[data])*$B$988)+$A$988)</f>
        <v>0</v>
      </c>
      <c r="O414" s="70" t="b">
        <f>IF(Tab.11[[#This Row],[a1]]=1,_xlfn.NORM.DIST(Tab.11[[#This Row],[b8]],$P$1,$Q$1,FALSE))</f>
        <v>0</v>
      </c>
      <c r="P414" s="70" t="b">
        <f>IF(Tab.11[[#This Row],[a1]]=1,_xlfn.NORM.DIST(Tab.11[[#This Row],[b9]],$P$1,$Q$1,FALSE))</f>
        <v>0</v>
      </c>
      <c r="Q414" s="70" t="b">
        <f>IF(Tab.11[[#This Row],[a1]]=1,_xlfn.NORM.DIST(Tab.11[[#This Row],[b10]],$P$1,$Q$1,FALSE))</f>
        <v>0</v>
      </c>
      <c r="R414" s="67" t="b">
        <f>IF(Tab.11[[#This Row],[a1]]=1,$I$3+$A$989+IF($K$3=0,Tab.11[[#This Row],[b8]]*_xlfn.STDEV.P(Tab.11[data]),AVERAGE(Tab.11[b6])+Tab.11[[#This Row],[b8]]*_xlfn.STDEV.P(Tab.11[data])))</f>
        <v>0</v>
      </c>
      <c r="S414" s="71" t="b">
        <f>IF(Tab.11[[#This Row],[a1]]=1,$I$3+$A$987+IF($K$3=0,Tab.11[[#This Row],[b9]]*_xlfn.STDEV.P(Tab.11[data]),AVERAGE(Tab.11[b6])+Tab.11[[#This Row],[b9]]*_xlfn.STDEV.P(Tab.11[data])))</f>
        <v>0</v>
      </c>
      <c r="T414" s="71" t="b">
        <f>IF(Tab.11[[#This Row],[a1]]=1,$I$3+$A$988+IF($K$3=0,Tab.11[[#This Row],[b10]]*_xlfn.STDEV.P(Tab.11[data]),AVERAGE(Tab.11[b6])+Tab.11[[#This Row],[b10]]*_xlfn.STDEV.P(Tab.11[data])))</f>
        <v>0</v>
      </c>
      <c r="U414" s="72" t="b">
        <f>IF(Tab.11[[#This Row],[a1]]=1,Tab.11[[#This Row],[target]]-Tab.11[[#This Row],[Red]])</f>
        <v>0</v>
      </c>
      <c r="V414" s="72" t="b">
        <f>IF(Tab.11[[#This Row],[a1]]=1,Tab.11[[#This Row],[target]]-Tab.11[[#This Row],[Blue]])</f>
        <v>0</v>
      </c>
      <c r="W414" s="73" t="b">
        <f>IF(Tab.11[[#This Row],[a1]]=1,IF(ABS(Tab.11[[#This Row],[b17]])+ABS(Tab.11[[#This Row],[b18]])&lt;$W$2,$W$2,ABS(Tab.11[[#This Row],[b17]])+ABS(Tab.11[[#This Row],[b18]])))</f>
        <v>0</v>
      </c>
      <c r="X414" s="136" t="b">
        <f>IF(Tab.11[[#This Row],[a1]]=1,IF($W$3&lt;0,Tab.11[[#This Row],[IN]]-$I$3,Tab.11[[#This Row],[IN]]))</f>
        <v>0</v>
      </c>
      <c r="Y414" s="136" t="b">
        <f>IF(Tab.11[[#This Row],[a1]]=1,IF($X$3=0,Tab.11[b66],Tab.11[[#This Row],[b66]]-AVERAGE(Tab.11[b66])))</f>
        <v>0</v>
      </c>
      <c r="Z414" s="135" t="b">
        <f>IF(Tab.11[[#This Row],[a1]]=1,Tab.11[[#This Row],[b77]]/(_xlfn.STDEV.P(Tab.11[b77])))</f>
        <v>0</v>
      </c>
      <c r="AA414" s="70" t="b">
        <f>IF(Tab.11[[#This Row],[a1]]=1,_xlfn.NORM.DIST(Tab.11[[#This Row],[b88]],$Z$1,$AA$1,FALSE))</f>
        <v>0</v>
      </c>
      <c r="AB414" s="74" t="b">
        <f>IF(Tab.11[[#This Row],[a1]]=1,IF($A$3=0,FALSE,1/Tab.11[[#This Row],[IN]]*$AC$2*IF(Tab.11[[#This Row],[a1]]=0,,$A$3*$AC$1*1/$V$3*(Tab.11[[#This Row],[b14]]))))</f>
        <v>0</v>
      </c>
      <c r="AC414" s="75" t="b">
        <f>IF(Tab.11[[#This Row],[a1]]=1,IF($AC$3=0,Tab.11[[#This Row],[φ1]],Tab.11[[#This Row],[φ1]]/MAX(Tab.11[φ1])))</f>
        <v>0</v>
      </c>
      <c r="AD414" s="74" t="b">
        <f>IF(Tab.11[[#This Row],[a1]]=1,1/Tab.11[[#This Row],[φ2]])</f>
        <v>0</v>
      </c>
      <c r="AE414" s="74" t="b">
        <f>IF(Tab.11[[#This Row],[a1]]=1,IF($AE$3=0,Tab.11[[#This Row],[w.0]],Tab.11[[#This Row],[w.0]]/SUM(Tab.11[w.0])))</f>
        <v>0</v>
      </c>
      <c r="AF414" s="76" t="str">
        <f>IF(Tab.11[[#This Row],[a1]]=0,"false",[3]!Tab.x5[[#This Row],[%_seN_C]])</f>
        <v>false</v>
      </c>
      <c r="AG414" s="77" t="b">
        <f>IF(Tab.11[[#This Row],[a1]]=1,AP414)</f>
        <v>0</v>
      </c>
      <c r="AH414" s="78" t="b">
        <f>IF(Tab.11[[#This Row],[a1]]=1,AQ414)</f>
        <v>0</v>
      </c>
      <c r="AI414" s="41">
        <v>3.0000000000000001E-3</v>
      </c>
      <c r="AJ414" s="79">
        <v>0.06</v>
      </c>
      <c r="AK414" s="80" t="b">
        <f>IF(Tab.11[[#This Row],[a1]]=1,1)</f>
        <v>0</v>
      </c>
      <c r="AZ414"/>
    </row>
    <row r="415" spans="1:52" hidden="1" x14ac:dyDescent="0.25">
      <c r="A415" s="61">
        <f t="shared" si="15"/>
        <v>0</v>
      </c>
      <c r="B415" s="62">
        <f t="shared" si="15"/>
        <v>0</v>
      </c>
      <c r="C415" s="62" t="b">
        <f>IF(Tab.11[[#This Row],[a1]]=1,[3]!Tab_x1[[#This Row],[Name]])</f>
        <v>0</v>
      </c>
      <c r="D415" s="63" t="b">
        <f>IF(Tab.11[[#This Row],[a1]]=1,AO415)</f>
        <v>0</v>
      </c>
      <c r="E415" s="63">
        <f t="shared" si="14"/>
        <v>0</v>
      </c>
      <c r="F415" s="64" t="b">
        <f>IF(Tab.11[[#This Row],[a1]]=1,Tab.11[[#This Row],[b1]])</f>
        <v>0</v>
      </c>
      <c r="G415" s="65" t="b">
        <f>IF(Tab.11[[#This Row],[a1]]=1,IF(Tab.11[[#This Row],[b3]]&gt;$L$989*$G$3,$L$989*$G$3,IF(Tab.11[[#This Row],[b3]]&lt;$M$989*$G$3,$M$989*$G$3,Tab.11[[#This Row],[b3]])))</f>
        <v>0</v>
      </c>
      <c r="H415" s="66" t="b">
        <f>IF(Tab.11[[#This Row],[a1]]=1,Tab.11[[#This Row],[b1]])</f>
        <v>0</v>
      </c>
      <c r="I415" s="67" t="b">
        <f>IF(Tab.11[[#This Row],[a1]]=1,Tab.11[[#This Row],[b1]])</f>
        <v>0</v>
      </c>
      <c r="J415" s="68" t="b">
        <f>IF(Tab.11[[#This Row],[a1]]=1,IF($I$3&lt;0,Tab.11[[#This Row],[b5]]-$I$3,Tab.11[[#This Row],[b5]]))</f>
        <v>0</v>
      </c>
      <c r="K415" s="68" t="b">
        <f>IF(Tab.11[[#This Row],[a1]]=1,IF($K$3=0,Tab.11[b6],Tab.11[[#This Row],[b6]]-AVERAGE(Tab.11[b6])))</f>
        <v>0</v>
      </c>
      <c r="L415" s="69" t="b">
        <f>IF(Tab.11[[#This Row],[a1]]=1,Tab.11[[#This Row],[data]]/(_xlfn.STDEV.P(Tab.11[data])*$B$989)+$A$989)</f>
        <v>0</v>
      </c>
      <c r="M415" s="69" t="b">
        <f>IF(Tab.11[[#This Row],[a1]]=1,Tab.11[[#This Row],[data]]/(_xlfn.STDEV.P(Tab.11[data])*$B$987)-$A$987)</f>
        <v>0</v>
      </c>
      <c r="N415" s="69" t="b">
        <f>IF(Tab.11[[#This Row],[a1]]=1,Tab.11[[#This Row],[data]]/(_xlfn.STDEV.P(Tab.11[data])*$B$988)+$A$988)</f>
        <v>0</v>
      </c>
      <c r="O415" s="70" t="b">
        <f>IF(Tab.11[[#This Row],[a1]]=1,_xlfn.NORM.DIST(Tab.11[[#This Row],[b8]],$P$1,$Q$1,FALSE))</f>
        <v>0</v>
      </c>
      <c r="P415" s="70" t="b">
        <f>IF(Tab.11[[#This Row],[a1]]=1,_xlfn.NORM.DIST(Tab.11[[#This Row],[b9]],$P$1,$Q$1,FALSE))</f>
        <v>0</v>
      </c>
      <c r="Q415" s="70" t="b">
        <f>IF(Tab.11[[#This Row],[a1]]=1,_xlfn.NORM.DIST(Tab.11[[#This Row],[b10]],$P$1,$Q$1,FALSE))</f>
        <v>0</v>
      </c>
      <c r="R415" s="67" t="b">
        <f>IF(Tab.11[[#This Row],[a1]]=1,$I$3+$A$989+IF($K$3=0,Tab.11[[#This Row],[b8]]*_xlfn.STDEV.P(Tab.11[data]),AVERAGE(Tab.11[b6])+Tab.11[[#This Row],[b8]]*_xlfn.STDEV.P(Tab.11[data])))</f>
        <v>0</v>
      </c>
      <c r="S415" s="71" t="b">
        <f>IF(Tab.11[[#This Row],[a1]]=1,$I$3+$A$987+IF($K$3=0,Tab.11[[#This Row],[b9]]*_xlfn.STDEV.P(Tab.11[data]),AVERAGE(Tab.11[b6])+Tab.11[[#This Row],[b9]]*_xlfn.STDEV.P(Tab.11[data])))</f>
        <v>0</v>
      </c>
      <c r="T415" s="71" t="b">
        <f>IF(Tab.11[[#This Row],[a1]]=1,$I$3+$A$988+IF($K$3=0,Tab.11[[#This Row],[b10]]*_xlfn.STDEV.P(Tab.11[data]),AVERAGE(Tab.11[b6])+Tab.11[[#This Row],[b10]]*_xlfn.STDEV.P(Tab.11[data])))</f>
        <v>0</v>
      </c>
      <c r="U415" s="72" t="b">
        <f>IF(Tab.11[[#This Row],[a1]]=1,Tab.11[[#This Row],[target]]-Tab.11[[#This Row],[Red]])</f>
        <v>0</v>
      </c>
      <c r="V415" s="72" t="b">
        <f>IF(Tab.11[[#This Row],[a1]]=1,Tab.11[[#This Row],[target]]-Tab.11[[#This Row],[Blue]])</f>
        <v>0</v>
      </c>
      <c r="W415" s="73" t="b">
        <f>IF(Tab.11[[#This Row],[a1]]=1,IF(ABS(Tab.11[[#This Row],[b17]])+ABS(Tab.11[[#This Row],[b18]])&lt;$W$2,$W$2,ABS(Tab.11[[#This Row],[b17]])+ABS(Tab.11[[#This Row],[b18]])))</f>
        <v>0</v>
      </c>
      <c r="X415" s="136" t="b">
        <f>IF(Tab.11[[#This Row],[a1]]=1,IF($W$3&lt;0,Tab.11[[#This Row],[IN]]-$I$3,Tab.11[[#This Row],[IN]]))</f>
        <v>0</v>
      </c>
      <c r="Y415" s="136" t="b">
        <f>IF(Tab.11[[#This Row],[a1]]=1,IF($X$3=0,Tab.11[b66],Tab.11[[#This Row],[b66]]-AVERAGE(Tab.11[b66])))</f>
        <v>0</v>
      </c>
      <c r="Z415" s="135" t="b">
        <f>IF(Tab.11[[#This Row],[a1]]=1,Tab.11[[#This Row],[b77]]/(_xlfn.STDEV.P(Tab.11[b77])))</f>
        <v>0</v>
      </c>
      <c r="AA415" s="70" t="b">
        <f>IF(Tab.11[[#This Row],[a1]]=1,_xlfn.NORM.DIST(Tab.11[[#This Row],[b88]],$Z$1,$AA$1,FALSE))</f>
        <v>0</v>
      </c>
      <c r="AB415" s="74" t="b">
        <f>IF(Tab.11[[#This Row],[a1]]=1,IF($A$3=0,FALSE,1/Tab.11[[#This Row],[IN]]*$AC$2*IF(Tab.11[[#This Row],[a1]]=0,,$A$3*$AC$1*1/$V$3*(Tab.11[[#This Row],[b14]]))))</f>
        <v>0</v>
      </c>
      <c r="AC415" s="75" t="b">
        <f>IF(Tab.11[[#This Row],[a1]]=1,IF($AC$3=0,Tab.11[[#This Row],[φ1]],Tab.11[[#This Row],[φ1]]/MAX(Tab.11[φ1])))</f>
        <v>0</v>
      </c>
      <c r="AD415" s="74" t="b">
        <f>IF(Tab.11[[#This Row],[a1]]=1,1/Tab.11[[#This Row],[φ2]])</f>
        <v>0</v>
      </c>
      <c r="AE415" s="74" t="b">
        <f>IF(Tab.11[[#This Row],[a1]]=1,IF($AE$3=0,Tab.11[[#This Row],[w.0]],Tab.11[[#This Row],[w.0]]/SUM(Tab.11[w.0])))</f>
        <v>0</v>
      </c>
      <c r="AF415" s="76" t="str">
        <f>IF(Tab.11[[#This Row],[a1]]=0,"false",[3]!Tab.x5[[#This Row],[%_seN_C]])</f>
        <v>false</v>
      </c>
      <c r="AG415" s="77" t="b">
        <f>IF(Tab.11[[#This Row],[a1]]=1,AP415)</f>
        <v>0</v>
      </c>
      <c r="AH415" s="78" t="b">
        <f>IF(Tab.11[[#This Row],[a1]]=1,AQ415)</f>
        <v>0</v>
      </c>
      <c r="AI415" s="41">
        <v>3.0000000000000001E-3</v>
      </c>
      <c r="AJ415" s="79">
        <v>-7.0000000000000007E-2</v>
      </c>
      <c r="AK415" s="80" t="b">
        <f>IF(Tab.11[[#This Row],[a1]]=1,1)</f>
        <v>0</v>
      </c>
      <c r="AZ415"/>
    </row>
    <row r="416" spans="1:52" hidden="1" x14ac:dyDescent="0.25">
      <c r="A416" s="61">
        <f t="shared" si="15"/>
        <v>0</v>
      </c>
      <c r="B416" s="62">
        <f t="shared" si="15"/>
        <v>0</v>
      </c>
      <c r="C416" s="62" t="b">
        <f>IF(Tab.11[[#This Row],[a1]]=1,[3]!Tab_x1[[#This Row],[Name]])</f>
        <v>0</v>
      </c>
      <c r="D416" s="63" t="b">
        <f>IF(Tab.11[[#This Row],[a1]]=1,AO416)</f>
        <v>0</v>
      </c>
      <c r="E416" s="63">
        <f t="shared" si="14"/>
        <v>0</v>
      </c>
      <c r="F416" s="64" t="b">
        <f>IF(Tab.11[[#This Row],[a1]]=1,Tab.11[[#This Row],[b1]])</f>
        <v>0</v>
      </c>
      <c r="G416" s="65" t="b">
        <f>IF(Tab.11[[#This Row],[a1]]=1,IF(Tab.11[[#This Row],[b3]]&gt;$L$989*$G$3,$L$989*$G$3,IF(Tab.11[[#This Row],[b3]]&lt;$M$989*$G$3,$M$989*$G$3,Tab.11[[#This Row],[b3]])))</f>
        <v>0</v>
      </c>
      <c r="H416" s="66" t="b">
        <f>IF(Tab.11[[#This Row],[a1]]=1,Tab.11[[#This Row],[b1]])</f>
        <v>0</v>
      </c>
      <c r="I416" s="67" t="b">
        <f>IF(Tab.11[[#This Row],[a1]]=1,Tab.11[[#This Row],[b1]])</f>
        <v>0</v>
      </c>
      <c r="J416" s="68" t="b">
        <f>IF(Tab.11[[#This Row],[a1]]=1,IF($I$3&lt;0,Tab.11[[#This Row],[b5]]-$I$3,Tab.11[[#This Row],[b5]]))</f>
        <v>0</v>
      </c>
      <c r="K416" s="68" t="b">
        <f>IF(Tab.11[[#This Row],[a1]]=1,IF($K$3=0,Tab.11[b6],Tab.11[[#This Row],[b6]]-AVERAGE(Tab.11[b6])))</f>
        <v>0</v>
      </c>
      <c r="L416" s="69" t="b">
        <f>IF(Tab.11[[#This Row],[a1]]=1,Tab.11[[#This Row],[data]]/(_xlfn.STDEV.P(Tab.11[data])*$B$989)+$A$989)</f>
        <v>0</v>
      </c>
      <c r="M416" s="69" t="b">
        <f>IF(Tab.11[[#This Row],[a1]]=1,Tab.11[[#This Row],[data]]/(_xlfn.STDEV.P(Tab.11[data])*$B$987)-$A$987)</f>
        <v>0</v>
      </c>
      <c r="N416" s="69" t="b">
        <f>IF(Tab.11[[#This Row],[a1]]=1,Tab.11[[#This Row],[data]]/(_xlfn.STDEV.P(Tab.11[data])*$B$988)+$A$988)</f>
        <v>0</v>
      </c>
      <c r="O416" s="70" t="b">
        <f>IF(Tab.11[[#This Row],[a1]]=1,_xlfn.NORM.DIST(Tab.11[[#This Row],[b8]],$P$1,$Q$1,FALSE))</f>
        <v>0</v>
      </c>
      <c r="P416" s="70" t="b">
        <f>IF(Tab.11[[#This Row],[a1]]=1,_xlfn.NORM.DIST(Tab.11[[#This Row],[b9]],$P$1,$Q$1,FALSE))</f>
        <v>0</v>
      </c>
      <c r="Q416" s="70" t="b">
        <f>IF(Tab.11[[#This Row],[a1]]=1,_xlfn.NORM.DIST(Tab.11[[#This Row],[b10]],$P$1,$Q$1,FALSE))</f>
        <v>0</v>
      </c>
      <c r="R416" s="67" t="b">
        <f>IF(Tab.11[[#This Row],[a1]]=1,$I$3+$A$989+IF($K$3=0,Tab.11[[#This Row],[b8]]*_xlfn.STDEV.P(Tab.11[data]),AVERAGE(Tab.11[b6])+Tab.11[[#This Row],[b8]]*_xlfn.STDEV.P(Tab.11[data])))</f>
        <v>0</v>
      </c>
      <c r="S416" s="71" t="b">
        <f>IF(Tab.11[[#This Row],[a1]]=1,$I$3+$A$987+IF($K$3=0,Tab.11[[#This Row],[b9]]*_xlfn.STDEV.P(Tab.11[data]),AVERAGE(Tab.11[b6])+Tab.11[[#This Row],[b9]]*_xlfn.STDEV.P(Tab.11[data])))</f>
        <v>0</v>
      </c>
      <c r="T416" s="71" t="b">
        <f>IF(Tab.11[[#This Row],[a1]]=1,$I$3+$A$988+IF($K$3=0,Tab.11[[#This Row],[b10]]*_xlfn.STDEV.P(Tab.11[data]),AVERAGE(Tab.11[b6])+Tab.11[[#This Row],[b10]]*_xlfn.STDEV.P(Tab.11[data])))</f>
        <v>0</v>
      </c>
      <c r="U416" s="72" t="b">
        <f>IF(Tab.11[[#This Row],[a1]]=1,Tab.11[[#This Row],[target]]-Tab.11[[#This Row],[Red]])</f>
        <v>0</v>
      </c>
      <c r="V416" s="72" t="b">
        <f>IF(Tab.11[[#This Row],[a1]]=1,Tab.11[[#This Row],[target]]-Tab.11[[#This Row],[Blue]])</f>
        <v>0</v>
      </c>
      <c r="W416" s="73" t="b">
        <f>IF(Tab.11[[#This Row],[a1]]=1,IF(ABS(Tab.11[[#This Row],[b17]])+ABS(Tab.11[[#This Row],[b18]])&lt;$W$2,$W$2,ABS(Tab.11[[#This Row],[b17]])+ABS(Tab.11[[#This Row],[b18]])))</f>
        <v>0</v>
      </c>
      <c r="X416" s="136" t="b">
        <f>IF(Tab.11[[#This Row],[a1]]=1,IF($W$3&lt;0,Tab.11[[#This Row],[IN]]-$I$3,Tab.11[[#This Row],[IN]]))</f>
        <v>0</v>
      </c>
      <c r="Y416" s="136" t="b">
        <f>IF(Tab.11[[#This Row],[a1]]=1,IF($X$3=0,Tab.11[b66],Tab.11[[#This Row],[b66]]-AVERAGE(Tab.11[b66])))</f>
        <v>0</v>
      </c>
      <c r="Z416" s="135" t="b">
        <f>IF(Tab.11[[#This Row],[a1]]=1,Tab.11[[#This Row],[b77]]/(_xlfn.STDEV.P(Tab.11[b77])))</f>
        <v>0</v>
      </c>
      <c r="AA416" s="70" t="b">
        <f>IF(Tab.11[[#This Row],[a1]]=1,_xlfn.NORM.DIST(Tab.11[[#This Row],[b88]],$Z$1,$AA$1,FALSE))</f>
        <v>0</v>
      </c>
      <c r="AB416" s="74" t="b">
        <f>IF(Tab.11[[#This Row],[a1]]=1,IF($A$3=0,FALSE,1/Tab.11[[#This Row],[IN]]*$AC$2*IF(Tab.11[[#This Row],[a1]]=0,,$A$3*$AC$1*1/$V$3*(Tab.11[[#This Row],[b14]]))))</f>
        <v>0</v>
      </c>
      <c r="AC416" s="75" t="b">
        <f>IF(Tab.11[[#This Row],[a1]]=1,IF($AC$3=0,Tab.11[[#This Row],[φ1]],Tab.11[[#This Row],[φ1]]/MAX(Tab.11[φ1])))</f>
        <v>0</v>
      </c>
      <c r="AD416" s="74" t="b">
        <f>IF(Tab.11[[#This Row],[a1]]=1,1/Tab.11[[#This Row],[φ2]])</f>
        <v>0</v>
      </c>
      <c r="AE416" s="74" t="b">
        <f>IF(Tab.11[[#This Row],[a1]]=1,IF($AE$3=0,Tab.11[[#This Row],[w.0]],Tab.11[[#This Row],[w.0]]/SUM(Tab.11[w.0])))</f>
        <v>0</v>
      </c>
      <c r="AF416" s="76" t="str">
        <f>IF(Tab.11[[#This Row],[a1]]=0,"false",[3]!Tab.x5[[#This Row],[%_seN_C]])</f>
        <v>false</v>
      </c>
      <c r="AG416" s="77" t="b">
        <f>IF(Tab.11[[#This Row],[a1]]=1,AP416)</f>
        <v>0</v>
      </c>
      <c r="AH416" s="78" t="b">
        <f>IF(Tab.11[[#This Row],[a1]]=1,AQ416)</f>
        <v>0</v>
      </c>
      <c r="AI416" s="41">
        <v>3.0000000000000001E-3</v>
      </c>
      <c r="AJ416" s="79">
        <v>-0.04</v>
      </c>
      <c r="AK416" s="80" t="b">
        <f>IF(Tab.11[[#This Row],[a1]]=1,1)</f>
        <v>0</v>
      </c>
      <c r="AZ416"/>
    </row>
    <row r="417" spans="1:52" hidden="1" x14ac:dyDescent="0.25">
      <c r="A417" s="61">
        <f t="shared" si="15"/>
        <v>0</v>
      </c>
      <c r="B417" s="62">
        <f t="shared" si="15"/>
        <v>0</v>
      </c>
      <c r="C417" s="62" t="b">
        <f>IF(Tab.11[[#This Row],[a1]]=1,[3]!Tab_x1[[#This Row],[Name]])</f>
        <v>0</v>
      </c>
      <c r="D417" s="63" t="b">
        <f>IF(Tab.11[[#This Row],[a1]]=1,AO417)</f>
        <v>0</v>
      </c>
      <c r="E417" s="63">
        <f t="shared" si="14"/>
        <v>0</v>
      </c>
      <c r="F417" s="64" t="b">
        <f>IF(Tab.11[[#This Row],[a1]]=1,Tab.11[[#This Row],[b1]])</f>
        <v>0</v>
      </c>
      <c r="G417" s="65" t="b">
        <f>IF(Tab.11[[#This Row],[a1]]=1,IF(Tab.11[[#This Row],[b3]]&gt;$L$989*$G$3,$L$989*$G$3,IF(Tab.11[[#This Row],[b3]]&lt;$M$989*$G$3,$M$989*$G$3,Tab.11[[#This Row],[b3]])))</f>
        <v>0</v>
      </c>
      <c r="H417" s="66" t="b">
        <f>IF(Tab.11[[#This Row],[a1]]=1,Tab.11[[#This Row],[b1]])</f>
        <v>0</v>
      </c>
      <c r="I417" s="67" t="b">
        <f>IF(Tab.11[[#This Row],[a1]]=1,Tab.11[[#This Row],[b1]])</f>
        <v>0</v>
      </c>
      <c r="J417" s="68" t="b">
        <f>IF(Tab.11[[#This Row],[a1]]=1,IF($I$3&lt;0,Tab.11[[#This Row],[b5]]-$I$3,Tab.11[[#This Row],[b5]]))</f>
        <v>0</v>
      </c>
      <c r="K417" s="68" t="b">
        <f>IF(Tab.11[[#This Row],[a1]]=1,IF($K$3=0,Tab.11[b6],Tab.11[[#This Row],[b6]]-AVERAGE(Tab.11[b6])))</f>
        <v>0</v>
      </c>
      <c r="L417" s="69" t="b">
        <f>IF(Tab.11[[#This Row],[a1]]=1,Tab.11[[#This Row],[data]]/(_xlfn.STDEV.P(Tab.11[data])*$B$989)+$A$989)</f>
        <v>0</v>
      </c>
      <c r="M417" s="69" t="b">
        <f>IF(Tab.11[[#This Row],[a1]]=1,Tab.11[[#This Row],[data]]/(_xlfn.STDEV.P(Tab.11[data])*$B$987)-$A$987)</f>
        <v>0</v>
      </c>
      <c r="N417" s="69" t="b">
        <f>IF(Tab.11[[#This Row],[a1]]=1,Tab.11[[#This Row],[data]]/(_xlfn.STDEV.P(Tab.11[data])*$B$988)+$A$988)</f>
        <v>0</v>
      </c>
      <c r="O417" s="70" t="b">
        <f>IF(Tab.11[[#This Row],[a1]]=1,_xlfn.NORM.DIST(Tab.11[[#This Row],[b8]],$P$1,$Q$1,FALSE))</f>
        <v>0</v>
      </c>
      <c r="P417" s="70" t="b">
        <f>IF(Tab.11[[#This Row],[a1]]=1,_xlfn.NORM.DIST(Tab.11[[#This Row],[b9]],$P$1,$Q$1,FALSE))</f>
        <v>0</v>
      </c>
      <c r="Q417" s="70" t="b">
        <f>IF(Tab.11[[#This Row],[a1]]=1,_xlfn.NORM.DIST(Tab.11[[#This Row],[b10]],$P$1,$Q$1,FALSE))</f>
        <v>0</v>
      </c>
      <c r="R417" s="67" t="b">
        <f>IF(Tab.11[[#This Row],[a1]]=1,$I$3+$A$989+IF($K$3=0,Tab.11[[#This Row],[b8]]*_xlfn.STDEV.P(Tab.11[data]),AVERAGE(Tab.11[b6])+Tab.11[[#This Row],[b8]]*_xlfn.STDEV.P(Tab.11[data])))</f>
        <v>0</v>
      </c>
      <c r="S417" s="71" t="b">
        <f>IF(Tab.11[[#This Row],[a1]]=1,$I$3+$A$987+IF($K$3=0,Tab.11[[#This Row],[b9]]*_xlfn.STDEV.P(Tab.11[data]),AVERAGE(Tab.11[b6])+Tab.11[[#This Row],[b9]]*_xlfn.STDEV.P(Tab.11[data])))</f>
        <v>0</v>
      </c>
      <c r="T417" s="71" t="b">
        <f>IF(Tab.11[[#This Row],[a1]]=1,$I$3+$A$988+IF($K$3=0,Tab.11[[#This Row],[b10]]*_xlfn.STDEV.P(Tab.11[data]),AVERAGE(Tab.11[b6])+Tab.11[[#This Row],[b10]]*_xlfn.STDEV.P(Tab.11[data])))</f>
        <v>0</v>
      </c>
      <c r="U417" s="72" t="b">
        <f>IF(Tab.11[[#This Row],[a1]]=1,Tab.11[[#This Row],[target]]-Tab.11[[#This Row],[Red]])</f>
        <v>0</v>
      </c>
      <c r="V417" s="72" t="b">
        <f>IF(Tab.11[[#This Row],[a1]]=1,Tab.11[[#This Row],[target]]-Tab.11[[#This Row],[Blue]])</f>
        <v>0</v>
      </c>
      <c r="W417" s="73" t="b">
        <f>IF(Tab.11[[#This Row],[a1]]=1,IF(ABS(Tab.11[[#This Row],[b17]])+ABS(Tab.11[[#This Row],[b18]])&lt;$W$2,$W$2,ABS(Tab.11[[#This Row],[b17]])+ABS(Tab.11[[#This Row],[b18]])))</f>
        <v>0</v>
      </c>
      <c r="X417" s="136" t="b">
        <f>IF(Tab.11[[#This Row],[a1]]=1,IF($W$3&lt;0,Tab.11[[#This Row],[IN]]-$I$3,Tab.11[[#This Row],[IN]]))</f>
        <v>0</v>
      </c>
      <c r="Y417" s="136" t="b">
        <f>IF(Tab.11[[#This Row],[a1]]=1,IF($X$3=0,Tab.11[b66],Tab.11[[#This Row],[b66]]-AVERAGE(Tab.11[b66])))</f>
        <v>0</v>
      </c>
      <c r="Z417" s="135" t="b">
        <f>IF(Tab.11[[#This Row],[a1]]=1,Tab.11[[#This Row],[b77]]/(_xlfn.STDEV.P(Tab.11[b77])))</f>
        <v>0</v>
      </c>
      <c r="AA417" s="70" t="b">
        <f>IF(Tab.11[[#This Row],[a1]]=1,_xlfn.NORM.DIST(Tab.11[[#This Row],[b88]],$Z$1,$AA$1,FALSE))</f>
        <v>0</v>
      </c>
      <c r="AB417" s="74" t="b">
        <f>IF(Tab.11[[#This Row],[a1]]=1,IF($A$3=0,FALSE,1/Tab.11[[#This Row],[IN]]*$AC$2*IF(Tab.11[[#This Row],[a1]]=0,,$A$3*$AC$1*1/$V$3*(Tab.11[[#This Row],[b14]]))))</f>
        <v>0</v>
      </c>
      <c r="AC417" s="75" t="b">
        <f>IF(Tab.11[[#This Row],[a1]]=1,IF($AC$3=0,Tab.11[[#This Row],[φ1]],Tab.11[[#This Row],[φ1]]/MAX(Tab.11[φ1])))</f>
        <v>0</v>
      </c>
      <c r="AD417" s="74" t="b">
        <f>IF(Tab.11[[#This Row],[a1]]=1,1/Tab.11[[#This Row],[φ2]])</f>
        <v>0</v>
      </c>
      <c r="AE417" s="74" t="b">
        <f>IF(Tab.11[[#This Row],[a1]]=1,IF($AE$3=0,Tab.11[[#This Row],[w.0]],Tab.11[[#This Row],[w.0]]/SUM(Tab.11[w.0])))</f>
        <v>0</v>
      </c>
      <c r="AF417" s="76" t="str">
        <f>IF(Tab.11[[#This Row],[a1]]=0,"false",[3]!Tab.x5[[#This Row],[%_seN_C]])</f>
        <v>false</v>
      </c>
      <c r="AG417" s="77" t="b">
        <f>IF(Tab.11[[#This Row],[a1]]=1,AP417)</f>
        <v>0</v>
      </c>
      <c r="AH417" s="78" t="b">
        <f>IF(Tab.11[[#This Row],[a1]]=1,AQ417)</f>
        <v>0</v>
      </c>
      <c r="AI417" s="41">
        <v>3.0000000000000001E-3</v>
      </c>
      <c r="AJ417" s="79">
        <v>-0.09</v>
      </c>
      <c r="AK417" s="80" t="b">
        <f>IF(Tab.11[[#This Row],[a1]]=1,1)</f>
        <v>0</v>
      </c>
      <c r="AZ417"/>
    </row>
    <row r="418" spans="1:52" hidden="1" x14ac:dyDescent="0.25">
      <c r="A418" s="61">
        <f t="shared" si="15"/>
        <v>0</v>
      </c>
      <c r="B418" s="62">
        <f t="shared" si="15"/>
        <v>0</v>
      </c>
      <c r="C418" s="62" t="b">
        <f>IF(Tab.11[[#This Row],[a1]]=1,[3]!Tab_x1[[#This Row],[Name]])</f>
        <v>0</v>
      </c>
      <c r="D418" s="63" t="b">
        <f>IF(Tab.11[[#This Row],[a1]]=1,AO418)</f>
        <v>0</v>
      </c>
      <c r="E418" s="63">
        <f t="shared" si="14"/>
        <v>0</v>
      </c>
      <c r="F418" s="64" t="b">
        <f>IF(Tab.11[[#This Row],[a1]]=1,Tab.11[[#This Row],[b1]])</f>
        <v>0</v>
      </c>
      <c r="G418" s="65" t="b">
        <f>IF(Tab.11[[#This Row],[a1]]=1,IF(Tab.11[[#This Row],[b3]]&gt;$L$989*$G$3,$L$989*$G$3,IF(Tab.11[[#This Row],[b3]]&lt;$M$989*$G$3,$M$989*$G$3,Tab.11[[#This Row],[b3]])))</f>
        <v>0</v>
      </c>
      <c r="H418" s="66" t="b">
        <f>IF(Tab.11[[#This Row],[a1]]=1,Tab.11[[#This Row],[b1]])</f>
        <v>0</v>
      </c>
      <c r="I418" s="67" t="b">
        <f>IF(Tab.11[[#This Row],[a1]]=1,Tab.11[[#This Row],[b1]])</f>
        <v>0</v>
      </c>
      <c r="J418" s="68" t="b">
        <f>IF(Tab.11[[#This Row],[a1]]=1,IF($I$3&lt;0,Tab.11[[#This Row],[b5]]-$I$3,Tab.11[[#This Row],[b5]]))</f>
        <v>0</v>
      </c>
      <c r="K418" s="68" t="b">
        <f>IF(Tab.11[[#This Row],[a1]]=1,IF($K$3=0,Tab.11[b6],Tab.11[[#This Row],[b6]]-AVERAGE(Tab.11[b6])))</f>
        <v>0</v>
      </c>
      <c r="L418" s="69" t="b">
        <f>IF(Tab.11[[#This Row],[a1]]=1,Tab.11[[#This Row],[data]]/(_xlfn.STDEV.P(Tab.11[data])*$B$989)+$A$989)</f>
        <v>0</v>
      </c>
      <c r="M418" s="69" t="b">
        <f>IF(Tab.11[[#This Row],[a1]]=1,Tab.11[[#This Row],[data]]/(_xlfn.STDEV.P(Tab.11[data])*$B$987)-$A$987)</f>
        <v>0</v>
      </c>
      <c r="N418" s="69" t="b">
        <f>IF(Tab.11[[#This Row],[a1]]=1,Tab.11[[#This Row],[data]]/(_xlfn.STDEV.P(Tab.11[data])*$B$988)+$A$988)</f>
        <v>0</v>
      </c>
      <c r="O418" s="70" t="b">
        <f>IF(Tab.11[[#This Row],[a1]]=1,_xlfn.NORM.DIST(Tab.11[[#This Row],[b8]],$P$1,$Q$1,FALSE))</f>
        <v>0</v>
      </c>
      <c r="P418" s="70" t="b">
        <f>IF(Tab.11[[#This Row],[a1]]=1,_xlfn.NORM.DIST(Tab.11[[#This Row],[b9]],$P$1,$Q$1,FALSE))</f>
        <v>0</v>
      </c>
      <c r="Q418" s="70" t="b">
        <f>IF(Tab.11[[#This Row],[a1]]=1,_xlfn.NORM.DIST(Tab.11[[#This Row],[b10]],$P$1,$Q$1,FALSE))</f>
        <v>0</v>
      </c>
      <c r="R418" s="67" t="b">
        <f>IF(Tab.11[[#This Row],[a1]]=1,$I$3+$A$989+IF($K$3=0,Tab.11[[#This Row],[b8]]*_xlfn.STDEV.P(Tab.11[data]),AVERAGE(Tab.11[b6])+Tab.11[[#This Row],[b8]]*_xlfn.STDEV.P(Tab.11[data])))</f>
        <v>0</v>
      </c>
      <c r="S418" s="71" t="b">
        <f>IF(Tab.11[[#This Row],[a1]]=1,$I$3+$A$987+IF($K$3=0,Tab.11[[#This Row],[b9]]*_xlfn.STDEV.P(Tab.11[data]),AVERAGE(Tab.11[b6])+Tab.11[[#This Row],[b9]]*_xlfn.STDEV.P(Tab.11[data])))</f>
        <v>0</v>
      </c>
      <c r="T418" s="71" t="b">
        <f>IF(Tab.11[[#This Row],[a1]]=1,$I$3+$A$988+IF($K$3=0,Tab.11[[#This Row],[b10]]*_xlfn.STDEV.P(Tab.11[data]),AVERAGE(Tab.11[b6])+Tab.11[[#This Row],[b10]]*_xlfn.STDEV.P(Tab.11[data])))</f>
        <v>0</v>
      </c>
      <c r="U418" s="72" t="b">
        <f>IF(Tab.11[[#This Row],[a1]]=1,Tab.11[[#This Row],[target]]-Tab.11[[#This Row],[Red]])</f>
        <v>0</v>
      </c>
      <c r="V418" s="72" t="b">
        <f>IF(Tab.11[[#This Row],[a1]]=1,Tab.11[[#This Row],[target]]-Tab.11[[#This Row],[Blue]])</f>
        <v>0</v>
      </c>
      <c r="W418" s="73" t="b">
        <f>IF(Tab.11[[#This Row],[a1]]=1,IF(ABS(Tab.11[[#This Row],[b17]])+ABS(Tab.11[[#This Row],[b18]])&lt;$W$2,$W$2,ABS(Tab.11[[#This Row],[b17]])+ABS(Tab.11[[#This Row],[b18]])))</f>
        <v>0</v>
      </c>
      <c r="X418" s="136" t="b">
        <f>IF(Tab.11[[#This Row],[a1]]=1,IF($W$3&lt;0,Tab.11[[#This Row],[IN]]-$I$3,Tab.11[[#This Row],[IN]]))</f>
        <v>0</v>
      </c>
      <c r="Y418" s="136" t="b">
        <f>IF(Tab.11[[#This Row],[a1]]=1,IF($X$3=0,Tab.11[b66],Tab.11[[#This Row],[b66]]-AVERAGE(Tab.11[b66])))</f>
        <v>0</v>
      </c>
      <c r="Z418" s="135" t="b">
        <f>IF(Tab.11[[#This Row],[a1]]=1,Tab.11[[#This Row],[b77]]/(_xlfn.STDEV.P(Tab.11[b77])))</f>
        <v>0</v>
      </c>
      <c r="AA418" s="70" t="b">
        <f>IF(Tab.11[[#This Row],[a1]]=1,_xlfn.NORM.DIST(Tab.11[[#This Row],[b88]],$Z$1,$AA$1,FALSE))</f>
        <v>0</v>
      </c>
      <c r="AB418" s="74" t="b">
        <f>IF(Tab.11[[#This Row],[a1]]=1,IF($A$3=0,FALSE,1/Tab.11[[#This Row],[IN]]*$AC$2*IF(Tab.11[[#This Row],[a1]]=0,,$A$3*$AC$1*1/$V$3*(Tab.11[[#This Row],[b14]]))))</f>
        <v>0</v>
      </c>
      <c r="AC418" s="75" t="b">
        <f>IF(Tab.11[[#This Row],[a1]]=1,IF($AC$3=0,Tab.11[[#This Row],[φ1]],Tab.11[[#This Row],[φ1]]/MAX(Tab.11[φ1])))</f>
        <v>0</v>
      </c>
      <c r="AD418" s="74" t="b">
        <f>IF(Tab.11[[#This Row],[a1]]=1,1/Tab.11[[#This Row],[φ2]])</f>
        <v>0</v>
      </c>
      <c r="AE418" s="74" t="b">
        <f>IF(Tab.11[[#This Row],[a1]]=1,IF($AE$3=0,Tab.11[[#This Row],[w.0]],Tab.11[[#This Row],[w.0]]/SUM(Tab.11[w.0])))</f>
        <v>0</v>
      </c>
      <c r="AF418" s="76" t="str">
        <f>IF(Tab.11[[#This Row],[a1]]=0,"false",[3]!Tab.x5[[#This Row],[%_seN_C]])</f>
        <v>false</v>
      </c>
      <c r="AG418" s="77" t="b">
        <f>IF(Tab.11[[#This Row],[a1]]=1,AP418)</f>
        <v>0</v>
      </c>
      <c r="AH418" s="78" t="b">
        <f>IF(Tab.11[[#This Row],[a1]]=1,AQ418)</f>
        <v>0</v>
      </c>
      <c r="AI418" s="41">
        <v>3.0000000000000001E-3</v>
      </c>
      <c r="AJ418" s="79">
        <v>-0.08</v>
      </c>
      <c r="AK418" s="80" t="b">
        <f>IF(Tab.11[[#This Row],[a1]]=1,1)</f>
        <v>0</v>
      </c>
      <c r="AZ418"/>
    </row>
    <row r="419" spans="1:52" hidden="1" x14ac:dyDescent="0.25">
      <c r="A419" s="61">
        <f t="shared" si="15"/>
        <v>0</v>
      </c>
      <c r="B419" s="62">
        <f t="shared" si="15"/>
        <v>0</v>
      </c>
      <c r="C419" s="62" t="b">
        <f>IF(Tab.11[[#This Row],[a1]]=1,[3]!Tab_x1[[#This Row],[Name]])</f>
        <v>0</v>
      </c>
      <c r="D419" s="63" t="b">
        <f>IF(Tab.11[[#This Row],[a1]]=1,AO419)</f>
        <v>0</v>
      </c>
      <c r="E419" s="63">
        <f t="shared" si="14"/>
        <v>0</v>
      </c>
      <c r="F419" s="64" t="b">
        <f>IF(Tab.11[[#This Row],[a1]]=1,Tab.11[[#This Row],[b1]])</f>
        <v>0</v>
      </c>
      <c r="G419" s="65" t="b">
        <f>IF(Tab.11[[#This Row],[a1]]=1,IF(Tab.11[[#This Row],[b3]]&gt;$L$989*$G$3,$L$989*$G$3,IF(Tab.11[[#This Row],[b3]]&lt;$M$989*$G$3,$M$989*$G$3,Tab.11[[#This Row],[b3]])))</f>
        <v>0</v>
      </c>
      <c r="H419" s="66" t="b">
        <f>IF(Tab.11[[#This Row],[a1]]=1,Tab.11[[#This Row],[b1]])</f>
        <v>0</v>
      </c>
      <c r="I419" s="67" t="b">
        <f>IF(Tab.11[[#This Row],[a1]]=1,Tab.11[[#This Row],[b1]])</f>
        <v>0</v>
      </c>
      <c r="J419" s="68" t="b">
        <f>IF(Tab.11[[#This Row],[a1]]=1,IF($I$3&lt;0,Tab.11[[#This Row],[b5]]-$I$3,Tab.11[[#This Row],[b5]]))</f>
        <v>0</v>
      </c>
      <c r="K419" s="68" t="b">
        <f>IF(Tab.11[[#This Row],[a1]]=1,IF($K$3=0,Tab.11[b6],Tab.11[[#This Row],[b6]]-AVERAGE(Tab.11[b6])))</f>
        <v>0</v>
      </c>
      <c r="L419" s="69" t="b">
        <f>IF(Tab.11[[#This Row],[a1]]=1,Tab.11[[#This Row],[data]]/(_xlfn.STDEV.P(Tab.11[data])*$B$989)+$A$989)</f>
        <v>0</v>
      </c>
      <c r="M419" s="69" t="b">
        <f>IF(Tab.11[[#This Row],[a1]]=1,Tab.11[[#This Row],[data]]/(_xlfn.STDEV.P(Tab.11[data])*$B$987)-$A$987)</f>
        <v>0</v>
      </c>
      <c r="N419" s="69" t="b">
        <f>IF(Tab.11[[#This Row],[a1]]=1,Tab.11[[#This Row],[data]]/(_xlfn.STDEV.P(Tab.11[data])*$B$988)+$A$988)</f>
        <v>0</v>
      </c>
      <c r="O419" s="70" t="b">
        <f>IF(Tab.11[[#This Row],[a1]]=1,_xlfn.NORM.DIST(Tab.11[[#This Row],[b8]],$P$1,$Q$1,FALSE))</f>
        <v>0</v>
      </c>
      <c r="P419" s="70" t="b">
        <f>IF(Tab.11[[#This Row],[a1]]=1,_xlfn.NORM.DIST(Tab.11[[#This Row],[b9]],$P$1,$Q$1,FALSE))</f>
        <v>0</v>
      </c>
      <c r="Q419" s="70" t="b">
        <f>IF(Tab.11[[#This Row],[a1]]=1,_xlfn.NORM.DIST(Tab.11[[#This Row],[b10]],$P$1,$Q$1,FALSE))</f>
        <v>0</v>
      </c>
      <c r="R419" s="67" t="b">
        <f>IF(Tab.11[[#This Row],[a1]]=1,$I$3+$A$989+IF($K$3=0,Tab.11[[#This Row],[b8]]*_xlfn.STDEV.P(Tab.11[data]),AVERAGE(Tab.11[b6])+Tab.11[[#This Row],[b8]]*_xlfn.STDEV.P(Tab.11[data])))</f>
        <v>0</v>
      </c>
      <c r="S419" s="71" t="b">
        <f>IF(Tab.11[[#This Row],[a1]]=1,$I$3+$A$987+IF($K$3=0,Tab.11[[#This Row],[b9]]*_xlfn.STDEV.P(Tab.11[data]),AVERAGE(Tab.11[b6])+Tab.11[[#This Row],[b9]]*_xlfn.STDEV.P(Tab.11[data])))</f>
        <v>0</v>
      </c>
      <c r="T419" s="71" t="b">
        <f>IF(Tab.11[[#This Row],[a1]]=1,$I$3+$A$988+IF($K$3=0,Tab.11[[#This Row],[b10]]*_xlfn.STDEV.P(Tab.11[data]),AVERAGE(Tab.11[b6])+Tab.11[[#This Row],[b10]]*_xlfn.STDEV.P(Tab.11[data])))</f>
        <v>0</v>
      </c>
      <c r="U419" s="72" t="b">
        <f>IF(Tab.11[[#This Row],[a1]]=1,Tab.11[[#This Row],[target]]-Tab.11[[#This Row],[Red]])</f>
        <v>0</v>
      </c>
      <c r="V419" s="72" t="b">
        <f>IF(Tab.11[[#This Row],[a1]]=1,Tab.11[[#This Row],[target]]-Tab.11[[#This Row],[Blue]])</f>
        <v>0</v>
      </c>
      <c r="W419" s="73" t="b">
        <f>IF(Tab.11[[#This Row],[a1]]=1,IF(ABS(Tab.11[[#This Row],[b17]])+ABS(Tab.11[[#This Row],[b18]])&lt;$W$2,$W$2,ABS(Tab.11[[#This Row],[b17]])+ABS(Tab.11[[#This Row],[b18]])))</f>
        <v>0</v>
      </c>
      <c r="X419" s="136" t="b">
        <f>IF(Tab.11[[#This Row],[a1]]=1,IF($W$3&lt;0,Tab.11[[#This Row],[IN]]-$I$3,Tab.11[[#This Row],[IN]]))</f>
        <v>0</v>
      </c>
      <c r="Y419" s="136" t="b">
        <f>IF(Tab.11[[#This Row],[a1]]=1,IF($X$3=0,Tab.11[b66],Tab.11[[#This Row],[b66]]-AVERAGE(Tab.11[b66])))</f>
        <v>0</v>
      </c>
      <c r="Z419" s="135" t="b">
        <f>IF(Tab.11[[#This Row],[a1]]=1,Tab.11[[#This Row],[b77]]/(_xlfn.STDEV.P(Tab.11[b77])))</f>
        <v>0</v>
      </c>
      <c r="AA419" s="70" t="b">
        <f>IF(Tab.11[[#This Row],[a1]]=1,_xlfn.NORM.DIST(Tab.11[[#This Row],[b88]],$Z$1,$AA$1,FALSE))</f>
        <v>0</v>
      </c>
      <c r="AB419" s="74" t="b">
        <f>IF(Tab.11[[#This Row],[a1]]=1,IF($A$3=0,FALSE,1/Tab.11[[#This Row],[IN]]*$AC$2*IF(Tab.11[[#This Row],[a1]]=0,,$A$3*$AC$1*1/$V$3*(Tab.11[[#This Row],[b14]]))))</f>
        <v>0</v>
      </c>
      <c r="AC419" s="75" t="b">
        <f>IF(Tab.11[[#This Row],[a1]]=1,IF($AC$3=0,Tab.11[[#This Row],[φ1]],Tab.11[[#This Row],[φ1]]/MAX(Tab.11[φ1])))</f>
        <v>0</v>
      </c>
      <c r="AD419" s="74" t="b">
        <f>IF(Tab.11[[#This Row],[a1]]=1,1/Tab.11[[#This Row],[φ2]])</f>
        <v>0</v>
      </c>
      <c r="AE419" s="74" t="b">
        <f>IF(Tab.11[[#This Row],[a1]]=1,IF($AE$3=0,Tab.11[[#This Row],[w.0]],Tab.11[[#This Row],[w.0]]/SUM(Tab.11[w.0])))</f>
        <v>0</v>
      </c>
      <c r="AF419" s="76" t="str">
        <f>IF(Tab.11[[#This Row],[a1]]=0,"false",[3]!Tab.x5[[#This Row],[%_seN_C]])</f>
        <v>false</v>
      </c>
      <c r="AG419" s="77" t="b">
        <f>IF(Tab.11[[#This Row],[a1]]=1,AP419)</f>
        <v>0</v>
      </c>
      <c r="AH419" s="78" t="b">
        <f>IF(Tab.11[[#This Row],[a1]]=1,AQ419)</f>
        <v>0</v>
      </c>
      <c r="AI419" s="41">
        <v>3.0000000000000001E-3</v>
      </c>
      <c r="AJ419" s="79">
        <v>0.1</v>
      </c>
      <c r="AK419" s="80" t="b">
        <f>IF(Tab.11[[#This Row],[a1]]=1,1)</f>
        <v>0</v>
      </c>
      <c r="AZ419"/>
    </row>
    <row r="420" spans="1:52" hidden="1" x14ac:dyDescent="0.25">
      <c r="A420" s="61">
        <f t="shared" si="15"/>
        <v>0</v>
      </c>
      <c r="B420" s="62">
        <f t="shared" si="15"/>
        <v>0</v>
      </c>
      <c r="C420" s="62" t="b">
        <f>IF(Tab.11[[#This Row],[a1]]=1,[3]!Tab_x1[[#This Row],[Name]])</f>
        <v>0</v>
      </c>
      <c r="D420" s="63" t="b">
        <f>IF(Tab.11[[#This Row],[a1]]=1,AO420)</f>
        <v>0</v>
      </c>
      <c r="E420" s="63">
        <f t="shared" si="14"/>
        <v>0</v>
      </c>
      <c r="F420" s="64" t="b">
        <f>IF(Tab.11[[#This Row],[a1]]=1,Tab.11[[#This Row],[b1]])</f>
        <v>0</v>
      </c>
      <c r="G420" s="65" t="b">
        <f>IF(Tab.11[[#This Row],[a1]]=1,IF(Tab.11[[#This Row],[b3]]&gt;$L$989*$G$3,$L$989*$G$3,IF(Tab.11[[#This Row],[b3]]&lt;$M$989*$G$3,$M$989*$G$3,Tab.11[[#This Row],[b3]])))</f>
        <v>0</v>
      </c>
      <c r="H420" s="66" t="b">
        <f>IF(Tab.11[[#This Row],[a1]]=1,Tab.11[[#This Row],[b1]])</f>
        <v>0</v>
      </c>
      <c r="I420" s="67" t="b">
        <f>IF(Tab.11[[#This Row],[a1]]=1,Tab.11[[#This Row],[b1]])</f>
        <v>0</v>
      </c>
      <c r="J420" s="68" t="b">
        <f>IF(Tab.11[[#This Row],[a1]]=1,IF($I$3&lt;0,Tab.11[[#This Row],[b5]]-$I$3,Tab.11[[#This Row],[b5]]))</f>
        <v>0</v>
      </c>
      <c r="K420" s="68" t="b">
        <f>IF(Tab.11[[#This Row],[a1]]=1,IF($K$3=0,Tab.11[b6],Tab.11[[#This Row],[b6]]-AVERAGE(Tab.11[b6])))</f>
        <v>0</v>
      </c>
      <c r="L420" s="69" t="b">
        <f>IF(Tab.11[[#This Row],[a1]]=1,Tab.11[[#This Row],[data]]/(_xlfn.STDEV.P(Tab.11[data])*$B$989)+$A$989)</f>
        <v>0</v>
      </c>
      <c r="M420" s="69" t="b">
        <f>IF(Tab.11[[#This Row],[a1]]=1,Tab.11[[#This Row],[data]]/(_xlfn.STDEV.P(Tab.11[data])*$B$987)-$A$987)</f>
        <v>0</v>
      </c>
      <c r="N420" s="69" t="b">
        <f>IF(Tab.11[[#This Row],[a1]]=1,Tab.11[[#This Row],[data]]/(_xlfn.STDEV.P(Tab.11[data])*$B$988)+$A$988)</f>
        <v>0</v>
      </c>
      <c r="O420" s="70" t="b">
        <f>IF(Tab.11[[#This Row],[a1]]=1,_xlfn.NORM.DIST(Tab.11[[#This Row],[b8]],$P$1,$Q$1,FALSE))</f>
        <v>0</v>
      </c>
      <c r="P420" s="70" t="b">
        <f>IF(Tab.11[[#This Row],[a1]]=1,_xlfn.NORM.DIST(Tab.11[[#This Row],[b9]],$P$1,$Q$1,FALSE))</f>
        <v>0</v>
      </c>
      <c r="Q420" s="70" t="b">
        <f>IF(Tab.11[[#This Row],[a1]]=1,_xlfn.NORM.DIST(Tab.11[[#This Row],[b10]],$P$1,$Q$1,FALSE))</f>
        <v>0</v>
      </c>
      <c r="R420" s="67" t="b">
        <f>IF(Tab.11[[#This Row],[a1]]=1,$I$3+$A$989+IF($K$3=0,Tab.11[[#This Row],[b8]]*_xlfn.STDEV.P(Tab.11[data]),AVERAGE(Tab.11[b6])+Tab.11[[#This Row],[b8]]*_xlfn.STDEV.P(Tab.11[data])))</f>
        <v>0</v>
      </c>
      <c r="S420" s="71" t="b">
        <f>IF(Tab.11[[#This Row],[a1]]=1,$I$3+$A$987+IF($K$3=0,Tab.11[[#This Row],[b9]]*_xlfn.STDEV.P(Tab.11[data]),AVERAGE(Tab.11[b6])+Tab.11[[#This Row],[b9]]*_xlfn.STDEV.P(Tab.11[data])))</f>
        <v>0</v>
      </c>
      <c r="T420" s="71" t="b">
        <f>IF(Tab.11[[#This Row],[a1]]=1,$I$3+$A$988+IF($K$3=0,Tab.11[[#This Row],[b10]]*_xlfn.STDEV.P(Tab.11[data]),AVERAGE(Tab.11[b6])+Tab.11[[#This Row],[b10]]*_xlfn.STDEV.P(Tab.11[data])))</f>
        <v>0</v>
      </c>
      <c r="U420" s="72" t="b">
        <f>IF(Tab.11[[#This Row],[a1]]=1,Tab.11[[#This Row],[target]]-Tab.11[[#This Row],[Red]])</f>
        <v>0</v>
      </c>
      <c r="V420" s="72" t="b">
        <f>IF(Tab.11[[#This Row],[a1]]=1,Tab.11[[#This Row],[target]]-Tab.11[[#This Row],[Blue]])</f>
        <v>0</v>
      </c>
      <c r="W420" s="73" t="b">
        <f>IF(Tab.11[[#This Row],[a1]]=1,IF(ABS(Tab.11[[#This Row],[b17]])+ABS(Tab.11[[#This Row],[b18]])&lt;$W$2,$W$2,ABS(Tab.11[[#This Row],[b17]])+ABS(Tab.11[[#This Row],[b18]])))</f>
        <v>0</v>
      </c>
      <c r="X420" s="136" t="b">
        <f>IF(Tab.11[[#This Row],[a1]]=1,IF($W$3&lt;0,Tab.11[[#This Row],[IN]]-$I$3,Tab.11[[#This Row],[IN]]))</f>
        <v>0</v>
      </c>
      <c r="Y420" s="136" t="b">
        <f>IF(Tab.11[[#This Row],[a1]]=1,IF($X$3=0,Tab.11[b66],Tab.11[[#This Row],[b66]]-AVERAGE(Tab.11[b66])))</f>
        <v>0</v>
      </c>
      <c r="Z420" s="135" t="b">
        <f>IF(Tab.11[[#This Row],[a1]]=1,Tab.11[[#This Row],[b77]]/(_xlfn.STDEV.P(Tab.11[b77])))</f>
        <v>0</v>
      </c>
      <c r="AA420" s="70" t="b">
        <f>IF(Tab.11[[#This Row],[a1]]=1,_xlfn.NORM.DIST(Tab.11[[#This Row],[b88]],$Z$1,$AA$1,FALSE))</f>
        <v>0</v>
      </c>
      <c r="AB420" s="74" t="b">
        <f>IF(Tab.11[[#This Row],[a1]]=1,IF($A$3=0,FALSE,1/Tab.11[[#This Row],[IN]]*$AC$2*IF(Tab.11[[#This Row],[a1]]=0,,$A$3*$AC$1*1/$V$3*(Tab.11[[#This Row],[b14]]))))</f>
        <v>0</v>
      </c>
      <c r="AC420" s="75" t="b">
        <f>IF(Tab.11[[#This Row],[a1]]=1,IF($AC$3=0,Tab.11[[#This Row],[φ1]],Tab.11[[#This Row],[φ1]]/MAX(Tab.11[φ1])))</f>
        <v>0</v>
      </c>
      <c r="AD420" s="74" t="b">
        <f>IF(Tab.11[[#This Row],[a1]]=1,1/Tab.11[[#This Row],[φ2]])</f>
        <v>0</v>
      </c>
      <c r="AE420" s="74" t="b">
        <f>IF(Tab.11[[#This Row],[a1]]=1,IF($AE$3=0,Tab.11[[#This Row],[w.0]],Tab.11[[#This Row],[w.0]]/SUM(Tab.11[w.0])))</f>
        <v>0</v>
      </c>
      <c r="AF420" s="76" t="str">
        <f>IF(Tab.11[[#This Row],[a1]]=0,"false",[3]!Tab.x5[[#This Row],[%_seN_C]])</f>
        <v>false</v>
      </c>
      <c r="AG420" s="77" t="b">
        <f>IF(Tab.11[[#This Row],[a1]]=1,AP420)</f>
        <v>0</v>
      </c>
      <c r="AH420" s="78" t="b">
        <f>IF(Tab.11[[#This Row],[a1]]=1,AQ420)</f>
        <v>0</v>
      </c>
      <c r="AI420" s="41">
        <v>3.0000000000000001E-3</v>
      </c>
      <c r="AJ420" s="79">
        <v>-0.04</v>
      </c>
      <c r="AK420" s="80" t="b">
        <f>IF(Tab.11[[#This Row],[a1]]=1,1)</f>
        <v>0</v>
      </c>
      <c r="AZ420"/>
    </row>
    <row r="421" spans="1:52" hidden="1" x14ac:dyDescent="0.25">
      <c r="A421" s="61">
        <f t="shared" si="15"/>
        <v>0</v>
      </c>
      <c r="B421" s="62">
        <f t="shared" si="15"/>
        <v>0</v>
      </c>
      <c r="C421" s="62" t="b">
        <f>IF(Tab.11[[#This Row],[a1]]=1,[3]!Tab_x1[[#This Row],[Name]])</f>
        <v>0</v>
      </c>
      <c r="D421" s="63" t="b">
        <f>IF(Tab.11[[#This Row],[a1]]=1,AO421)</f>
        <v>0</v>
      </c>
      <c r="E421" s="63">
        <f t="shared" si="14"/>
        <v>0</v>
      </c>
      <c r="F421" s="64" t="b">
        <f>IF(Tab.11[[#This Row],[a1]]=1,Tab.11[[#This Row],[b1]])</f>
        <v>0</v>
      </c>
      <c r="G421" s="65" t="b">
        <f>IF(Tab.11[[#This Row],[a1]]=1,IF(Tab.11[[#This Row],[b3]]&gt;$L$989*$G$3,$L$989*$G$3,IF(Tab.11[[#This Row],[b3]]&lt;$M$989*$G$3,$M$989*$G$3,Tab.11[[#This Row],[b3]])))</f>
        <v>0</v>
      </c>
      <c r="H421" s="66" t="b">
        <f>IF(Tab.11[[#This Row],[a1]]=1,Tab.11[[#This Row],[b1]])</f>
        <v>0</v>
      </c>
      <c r="I421" s="67" t="b">
        <f>IF(Tab.11[[#This Row],[a1]]=1,Tab.11[[#This Row],[b1]])</f>
        <v>0</v>
      </c>
      <c r="J421" s="68" t="b">
        <f>IF(Tab.11[[#This Row],[a1]]=1,IF($I$3&lt;0,Tab.11[[#This Row],[b5]]-$I$3,Tab.11[[#This Row],[b5]]))</f>
        <v>0</v>
      </c>
      <c r="K421" s="68" t="b">
        <f>IF(Tab.11[[#This Row],[a1]]=1,IF($K$3=0,Tab.11[b6],Tab.11[[#This Row],[b6]]-AVERAGE(Tab.11[b6])))</f>
        <v>0</v>
      </c>
      <c r="L421" s="69" t="b">
        <f>IF(Tab.11[[#This Row],[a1]]=1,Tab.11[[#This Row],[data]]/(_xlfn.STDEV.P(Tab.11[data])*$B$989)+$A$989)</f>
        <v>0</v>
      </c>
      <c r="M421" s="69" t="b">
        <f>IF(Tab.11[[#This Row],[a1]]=1,Tab.11[[#This Row],[data]]/(_xlfn.STDEV.P(Tab.11[data])*$B$987)-$A$987)</f>
        <v>0</v>
      </c>
      <c r="N421" s="69" t="b">
        <f>IF(Tab.11[[#This Row],[a1]]=1,Tab.11[[#This Row],[data]]/(_xlfn.STDEV.P(Tab.11[data])*$B$988)+$A$988)</f>
        <v>0</v>
      </c>
      <c r="O421" s="70" t="b">
        <f>IF(Tab.11[[#This Row],[a1]]=1,_xlfn.NORM.DIST(Tab.11[[#This Row],[b8]],$P$1,$Q$1,FALSE))</f>
        <v>0</v>
      </c>
      <c r="P421" s="70" t="b">
        <f>IF(Tab.11[[#This Row],[a1]]=1,_xlfn.NORM.DIST(Tab.11[[#This Row],[b9]],$P$1,$Q$1,FALSE))</f>
        <v>0</v>
      </c>
      <c r="Q421" s="70" t="b">
        <f>IF(Tab.11[[#This Row],[a1]]=1,_xlfn.NORM.DIST(Tab.11[[#This Row],[b10]],$P$1,$Q$1,FALSE))</f>
        <v>0</v>
      </c>
      <c r="R421" s="67" t="b">
        <f>IF(Tab.11[[#This Row],[a1]]=1,$I$3+$A$989+IF($K$3=0,Tab.11[[#This Row],[b8]]*_xlfn.STDEV.P(Tab.11[data]),AVERAGE(Tab.11[b6])+Tab.11[[#This Row],[b8]]*_xlfn.STDEV.P(Tab.11[data])))</f>
        <v>0</v>
      </c>
      <c r="S421" s="71" t="b">
        <f>IF(Tab.11[[#This Row],[a1]]=1,$I$3+$A$987+IF($K$3=0,Tab.11[[#This Row],[b9]]*_xlfn.STDEV.P(Tab.11[data]),AVERAGE(Tab.11[b6])+Tab.11[[#This Row],[b9]]*_xlfn.STDEV.P(Tab.11[data])))</f>
        <v>0</v>
      </c>
      <c r="T421" s="71" t="b">
        <f>IF(Tab.11[[#This Row],[a1]]=1,$I$3+$A$988+IF($K$3=0,Tab.11[[#This Row],[b10]]*_xlfn.STDEV.P(Tab.11[data]),AVERAGE(Tab.11[b6])+Tab.11[[#This Row],[b10]]*_xlfn.STDEV.P(Tab.11[data])))</f>
        <v>0</v>
      </c>
      <c r="U421" s="72" t="b">
        <f>IF(Tab.11[[#This Row],[a1]]=1,Tab.11[[#This Row],[target]]-Tab.11[[#This Row],[Red]])</f>
        <v>0</v>
      </c>
      <c r="V421" s="72" t="b">
        <f>IF(Tab.11[[#This Row],[a1]]=1,Tab.11[[#This Row],[target]]-Tab.11[[#This Row],[Blue]])</f>
        <v>0</v>
      </c>
      <c r="W421" s="73" t="b">
        <f>IF(Tab.11[[#This Row],[a1]]=1,IF(ABS(Tab.11[[#This Row],[b17]])+ABS(Tab.11[[#This Row],[b18]])&lt;$W$2,$W$2,ABS(Tab.11[[#This Row],[b17]])+ABS(Tab.11[[#This Row],[b18]])))</f>
        <v>0</v>
      </c>
      <c r="X421" s="136" t="b">
        <f>IF(Tab.11[[#This Row],[a1]]=1,IF($W$3&lt;0,Tab.11[[#This Row],[IN]]-$I$3,Tab.11[[#This Row],[IN]]))</f>
        <v>0</v>
      </c>
      <c r="Y421" s="136" t="b">
        <f>IF(Tab.11[[#This Row],[a1]]=1,IF($X$3=0,Tab.11[b66],Tab.11[[#This Row],[b66]]-AVERAGE(Tab.11[b66])))</f>
        <v>0</v>
      </c>
      <c r="Z421" s="135" t="b">
        <f>IF(Tab.11[[#This Row],[a1]]=1,Tab.11[[#This Row],[b77]]/(_xlfn.STDEV.P(Tab.11[b77])))</f>
        <v>0</v>
      </c>
      <c r="AA421" s="70" t="b">
        <f>IF(Tab.11[[#This Row],[a1]]=1,_xlfn.NORM.DIST(Tab.11[[#This Row],[b88]],$Z$1,$AA$1,FALSE))</f>
        <v>0</v>
      </c>
      <c r="AB421" s="74" t="b">
        <f>IF(Tab.11[[#This Row],[a1]]=1,IF($A$3=0,FALSE,1/Tab.11[[#This Row],[IN]]*$AC$2*IF(Tab.11[[#This Row],[a1]]=0,,$A$3*$AC$1*1/$V$3*(Tab.11[[#This Row],[b14]]))))</f>
        <v>0</v>
      </c>
      <c r="AC421" s="75" t="b">
        <f>IF(Tab.11[[#This Row],[a1]]=1,IF($AC$3=0,Tab.11[[#This Row],[φ1]],Tab.11[[#This Row],[φ1]]/MAX(Tab.11[φ1])))</f>
        <v>0</v>
      </c>
      <c r="AD421" s="74" t="b">
        <f>IF(Tab.11[[#This Row],[a1]]=1,1/Tab.11[[#This Row],[φ2]])</f>
        <v>0</v>
      </c>
      <c r="AE421" s="74" t="b">
        <f>IF(Tab.11[[#This Row],[a1]]=1,IF($AE$3=0,Tab.11[[#This Row],[w.0]],Tab.11[[#This Row],[w.0]]/SUM(Tab.11[w.0])))</f>
        <v>0</v>
      </c>
      <c r="AF421" s="76" t="str">
        <f>IF(Tab.11[[#This Row],[a1]]=0,"false",[3]!Tab.x5[[#This Row],[%_seN_C]])</f>
        <v>false</v>
      </c>
      <c r="AG421" s="77" t="b">
        <f>IF(Tab.11[[#This Row],[a1]]=1,AP421)</f>
        <v>0</v>
      </c>
      <c r="AH421" s="78" t="b">
        <f>IF(Tab.11[[#This Row],[a1]]=1,AQ421)</f>
        <v>0</v>
      </c>
      <c r="AI421" s="41">
        <v>3.0000000000000001E-3</v>
      </c>
      <c r="AJ421" s="79">
        <v>-0.1</v>
      </c>
      <c r="AK421" s="80" t="b">
        <f>IF(Tab.11[[#This Row],[a1]]=1,1)</f>
        <v>0</v>
      </c>
      <c r="AZ421"/>
    </row>
    <row r="422" spans="1:52" hidden="1" x14ac:dyDescent="0.25">
      <c r="A422" s="61">
        <f t="shared" si="15"/>
        <v>0</v>
      </c>
      <c r="B422" s="62">
        <f t="shared" si="15"/>
        <v>0</v>
      </c>
      <c r="C422" s="62" t="b">
        <f>IF(Tab.11[[#This Row],[a1]]=1,[3]!Tab_x1[[#This Row],[Name]])</f>
        <v>0</v>
      </c>
      <c r="D422" s="63" t="b">
        <f>IF(Tab.11[[#This Row],[a1]]=1,AO422)</f>
        <v>0</v>
      </c>
      <c r="E422" s="63">
        <f t="shared" si="14"/>
        <v>0</v>
      </c>
      <c r="F422" s="64" t="b">
        <f>IF(Tab.11[[#This Row],[a1]]=1,Tab.11[[#This Row],[b1]])</f>
        <v>0</v>
      </c>
      <c r="G422" s="65" t="b">
        <f>IF(Tab.11[[#This Row],[a1]]=1,IF(Tab.11[[#This Row],[b3]]&gt;$L$989*$G$3,$L$989*$G$3,IF(Tab.11[[#This Row],[b3]]&lt;$M$989*$G$3,$M$989*$G$3,Tab.11[[#This Row],[b3]])))</f>
        <v>0</v>
      </c>
      <c r="H422" s="66" t="b">
        <f>IF(Tab.11[[#This Row],[a1]]=1,Tab.11[[#This Row],[b1]])</f>
        <v>0</v>
      </c>
      <c r="I422" s="67" t="b">
        <f>IF(Tab.11[[#This Row],[a1]]=1,Tab.11[[#This Row],[b1]])</f>
        <v>0</v>
      </c>
      <c r="J422" s="68" t="b">
        <f>IF(Tab.11[[#This Row],[a1]]=1,IF($I$3&lt;0,Tab.11[[#This Row],[b5]]-$I$3,Tab.11[[#This Row],[b5]]))</f>
        <v>0</v>
      </c>
      <c r="K422" s="68" t="b">
        <f>IF(Tab.11[[#This Row],[a1]]=1,IF($K$3=0,Tab.11[b6],Tab.11[[#This Row],[b6]]-AVERAGE(Tab.11[b6])))</f>
        <v>0</v>
      </c>
      <c r="L422" s="69" t="b">
        <f>IF(Tab.11[[#This Row],[a1]]=1,Tab.11[[#This Row],[data]]/(_xlfn.STDEV.P(Tab.11[data])*$B$989)+$A$989)</f>
        <v>0</v>
      </c>
      <c r="M422" s="69" t="b">
        <f>IF(Tab.11[[#This Row],[a1]]=1,Tab.11[[#This Row],[data]]/(_xlfn.STDEV.P(Tab.11[data])*$B$987)-$A$987)</f>
        <v>0</v>
      </c>
      <c r="N422" s="69" t="b">
        <f>IF(Tab.11[[#This Row],[a1]]=1,Tab.11[[#This Row],[data]]/(_xlfn.STDEV.P(Tab.11[data])*$B$988)+$A$988)</f>
        <v>0</v>
      </c>
      <c r="O422" s="70" t="b">
        <f>IF(Tab.11[[#This Row],[a1]]=1,_xlfn.NORM.DIST(Tab.11[[#This Row],[b8]],$P$1,$Q$1,FALSE))</f>
        <v>0</v>
      </c>
      <c r="P422" s="70" t="b">
        <f>IF(Tab.11[[#This Row],[a1]]=1,_xlfn.NORM.DIST(Tab.11[[#This Row],[b9]],$P$1,$Q$1,FALSE))</f>
        <v>0</v>
      </c>
      <c r="Q422" s="70" t="b">
        <f>IF(Tab.11[[#This Row],[a1]]=1,_xlfn.NORM.DIST(Tab.11[[#This Row],[b10]],$P$1,$Q$1,FALSE))</f>
        <v>0</v>
      </c>
      <c r="R422" s="67" t="b">
        <f>IF(Tab.11[[#This Row],[a1]]=1,$I$3+$A$989+IF($K$3=0,Tab.11[[#This Row],[b8]]*_xlfn.STDEV.P(Tab.11[data]),AVERAGE(Tab.11[b6])+Tab.11[[#This Row],[b8]]*_xlfn.STDEV.P(Tab.11[data])))</f>
        <v>0</v>
      </c>
      <c r="S422" s="71" t="b">
        <f>IF(Tab.11[[#This Row],[a1]]=1,$I$3+$A$987+IF($K$3=0,Tab.11[[#This Row],[b9]]*_xlfn.STDEV.P(Tab.11[data]),AVERAGE(Tab.11[b6])+Tab.11[[#This Row],[b9]]*_xlfn.STDEV.P(Tab.11[data])))</f>
        <v>0</v>
      </c>
      <c r="T422" s="71" t="b">
        <f>IF(Tab.11[[#This Row],[a1]]=1,$I$3+$A$988+IF($K$3=0,Tab.11[[#This Row],[b10]]*_xlfn.STDEV.P(Tab.11[data]),AVERAGE(Tab.11[b6])+Tab.11[[#This Row],[b10]]*_xlfn.STDEV.P(Tab.11[data])))</f>
        <v>0</v>
      </c>
      <c r="U422" s="72" t="b">
        <f>IF(Tab.11[[#This Row],[a1]]=1,Tab.11[[#This Row],[target]]-Tab.11[[#This Row],[Red]])</f>
        <v>0</v>
      </c>
      <c r="V422" s="72" t="b">
        <f>IF(Tab.11[[#This Row],[a1]]=1,Tab.11[[#This Row],[target]]-Tab.11[[#This Row],[Blue]])</f>
        <v>0</v>
      </c>
      <c r="W422" s="73" t="b">
        <f>IF(Tab.11[[#This Row],[a1]]=1,IF(ABS(Tab.11[[#This Row],[b17]])+ABS(Tab.11[[#This Row],[b18]])&lt;$W$2,$W$2,ABS(Tab.11[[#This Row],[b17]])+ABS(Tab.11[[#This Row],[b18]])))</f>
        <v>0</v>
      </c>
      <c r="X422" s="136" t="b">
        <f>IF(Tab.11[[#This Row],[a1]]=1,IF($W$3&lt;0,Tab.11[[#This Row],[IN]]-$I$3,Tab.11[[#This Row],[IN]]))</f>
        <v>0</v>
      </c>
      <c r="Y422" s="136" t="b">
        <f>IF(Tab.11[[#This Row],[a1]]=1,IF($X$3=0,Tab.11[b66],Tab.11[[#This Row],[b66]]-AVERAGE(Tab.11[b66])))</f>
        <v>0</v>
      </c>
      <c r="Z422" s="135" t="b">
        <f>IF(Tab.11[[#This Row],[a1]]=1,Tab.11[[#This Row],[b77]]/(_xlfn.STDEV.P(Tab.11[b77])))</f>
        <v>0</v>
      </c>
      <c r="AA422" s="70" t="b">
        <f>IF(Tab.11[[#This Row],[a1]]=1,_xlfn.NORM.DIST(Tab.11[[#This Row],[b88]],$Z$1,$AA$1,FALSE))</f>
        <v>0</v>
      </c>
      <c r="AB422" s="74" t="b">
        <f>IF(Tab.11[[#This Row],[a1]]=1,IF($A$3=0,FALSE,1/Tab.11[[#This Row],[IN]]*$AC$2*IF(Tab.11[[#This Row],[a1]]=0,,$A$3*$AC$1*1/$V$3*(Tab.11[[#This Row],[b14]]))))</f>
        <v>0</v>
      </c>
      <c r="AC422" s="75" t="b">
        <f>IF(Tab.11[[#This Row],[a1]]=1,IF($AC$3=0,Tab.11[[#This Row],[φ1]],Tab.11[[#This Row],[φ1]]/MAX(Tab.11[φ1])))</f>
        <v>0</v>
      </c>
      <c r="AD422" s="74" t="b">
        <f>IF(Tab.11[[#This Row],[a1]]=1,1/Tab.11[[#This Row],[φ2]])</f>
        <v>0</v>
      </c>
      <c r="AE422" s="74" t="b">
        <f>IF(Tab.11[[#This Row],[a1]]=1,IF($AE$3=0,Tab.11[[#This Row],[w.0]],Tab.11[[#This Row],[w.0]]/SUM(Tab.11[w.0])))</f>
        <v>0</v>
      </c>
      <c r="AF422" s="76" t="str">
        <f>IF(Tab.11[[#This Row],[a1]]=0,"false",[3]!Tab.x5[[#This Row],[%_seN_C]])</f>
        <v>false</v>
      </c>
      <c r="AG422" s="77" t="b">
        <f>IF(Tab.11[[#This Row],[a1]]=1,AP422)</f>
        <v>0</v>
      </c>
      <c r="AH422" s="78" t="b">
        <f>IF(Tab.11[[#This Row],[a1]]=1,AQ422)</f>
        <v>0</v>
      </c>
      <c r="AI422" s="41">
        <v>3.0000000000000001E-3</v>
      </c>
      <c r="AJ422" s="79">
        <v>-0.03</v>
      </c>
      <c r="AK422" s="80" t="b">
        <f>IF(Tab.11[[#This Row],[a1]]=1,1)</f>
        <v>0</v>
      </c>
      <c r="AZ422"/>
    </row>
    <row r="423" spans="1:52" hidden="1" x14ac:dyDescent="0.25">
      <c r="A423" s="61">
        <f t="shared" si="15"/>
        <v>0</v>
      </c>
      <c r="B423" s="62">
        <f t="shared" si="15"/>
        <v>0</v>
      </c>
      <c r="C423" s="62" t="b">
        <f>IF(Tab.11[[#This Row],[a1]]=1,[3]!Tab_x1[[#This Row],[Name]])</f>
        <v>0</v>
      </c>
      <c r="D423" s="63" t="b">
        <f>IF(Tab.11[[#This Row],[a1]]=1,AO423)</f>
        <v>0</v>
      </c>
      <c r="E423" s="63">
        <f t="shared" si="14"/>
        <v>0</v>
      </c>
      <c r="F423" s="64" t="b">
        <f>IF(Tab.11[[#This Row],[a1]]=1,Tab.11[[#This Row],[b1]])</f>
        <v>0</v>
      </c>
      <c r="G423" s="65" t="b">
        <f>IF(Tab.11[[#This Row],[a1]]=1,IF(Tab.11[[#This Row],[b3]]&gt;$L$989*$G$3,$L$989*$G$3,IF(Tab.11[[#This Row],[b3]]&lt;$M$989*$G$3,$M$989*$G$3,Tab.11[[#This Row],[b3]])))</f>
        <v>0</v>
      </c>
      <c r="H423" s="66" t="b">
        <f>IF(Tab.11[[#This Row],[a1]]=1,Tab.11[[#This Row],[b1]])</f>
        <v>0</v>
      </c>
      <c r="I423" s="67" t="b">
        <f>IF(Tab.11[[#This Row],[a1]]=1,Tab.11[[#This Row],[b1]])</f>
        <v>0</v>
      </c>
      <c r="J423" s="68" t="b">
        <f>IF(Tab.11[[#This Row],[a1]]=1,IF($I$3&lt;0,Tab.11[[#This Row],[b5]]-$I$3,Tab.11[[#This Row],[b5]]))</f>
        <v>0</v>
      </c>
      <c r="K423" s="68" t="b">
        <f>IF(Tab.11[[#This Row],[a1]]=1,IF($K$3=0,Tab.11[b6],Tab.11[[#This Row],[b6]]-AVERAGE(Tab.11[b6])))</f>
        <v>0</v>
      </c>
      <c r="L423" s="69" t="b">
        <f>IF(Tab.11[[#This Row],[a1]]=1,Tab.11[[#This Row],[data]]/(_xlfn.STDEV.P(Tab.11[data])*$B$989)+$A$989)</f>
        <v>0</v>
      </c>
      <c r="M423" s="69" t="b">
        <f>IF(Tab.11[[#This Row],[a1]]=1,Tab.11[[#This Row],[data]]/(_xlfn.STDEV.P(Tab.11[data])*$B$987)-$A$987)</f>
        <v>0</v>
      </c>
      <c r="N423" s="69" t="b">
        <f>IF(Tab.11[[#This Row],[a1]]=1,Tab.11[[#This Row],[data]]/(_xlfn.STDEV.P(Tab.11[data])*$B$988)+$A$988)</f>
        <v>0</v>
      </c>
      <c r="O423" s="70" t="b">
        <f>IF(Tab.11[[#This Row],[a1]]=1,_xlfn.NORM.DIST(Tab.11[[#This Row],[b8]],$P$1,$Q$1,FALSE))</f>
        <v>0</v>
      </c>
      <c r="P423" s="70" t="b">
        <f>IF(Tab.11[[#This Row],[a1]]=1,_xlfn.NORM.DIST(Tab.11[[#This Row],[b9]],$P$1,$Q$1,FALSE))</f>
        <v>0</v>
      </c>
      <c r="Q423" s="70" t="b">
        <f>IF(Tab.11[[#This Row],[a1]]=1,_xlfn.NORM.DIST(Tab.11[[#This Row],[b10]],$P$1,$Q$1,FALSE))</f>
        <v>0</v>
      </c>
      <c r="R423" s="67" t="b">
        <f>IF(Tab.11[[#This Row],[a1]]=1,$I$3+$A$989+IF($K$3=0,Tab.11[[#This Row],[b8]]*_xlfn.STDEV.P(Tab.11[data]),AVERAGE(Tab.11[b6])+Tab.11[[#This Row],[b8]]*_xlfn.STDEV.P(Tab.11[data])))</f>
        <v>0</v>
      </c>
      <c r="S423" s="71" t="b">
        <f>IF(Tab.11[[#This Row],[a1]]=1,$I$3+$A$987+IF($K$3=0,Tab.11[[#This Row],[b9]]*_xlfn.STDEV.P(Tab.11[data]),AVERAGE(Tab.11[b6])+Tab.11[[#This Row],[b9]]*_xlfn.STDEV.P(Tab.11[data])))</f>
        <v>0</v>
      </c>
      <c r="T423" s="71" t="b">
        <f>IF(Tab.11[[#This Row],[a1]]=1,$I$3+$A$988+IF($K$3=0,Tab.11[[#This Row],[b10]]*_xlfn.STDEV.P(Tab.11[data]),AVERAGE(Tab.11[b6])+Tab.11[[#This Row],[b10]]*_xlfn.STDEV.P(Tab.11[data])))</f>
        <v>0</v>
      </c>
      <c r="U423" s="72" t="b">
        <f>IF(Tab.11[[#This Row],[a1]]=1,Tab.11[[#This Row],[target]]-Tab.11[[#This Row],[Red]])</f>
        <v>0</v>
      </c>
      <c r="V423" s="72" t="b">
        <f>IF(Tab.11[[#This Row],[a1]]=1,Tab.11[[#This Row],[target]]-Tab.11[[#This Row],[Blue]])</f>
        <v>0</v>
      </c>
      <c r="W423" s="73" t="b">
        <f>IF(Tab.11[[#This Row],[a1]]=1,IF(ABS(Tab.11[[#This Row],[b17]])+ABS(Tab.11[[#This Row],[b18]])&lt;$W$2,$W$2,ABS(Tab.11[[#This Row],[b17]])+ABS(Tab.11[[#This Row],[b18]])))</f>
        <v>0</v>
      </c>
      <c r="X423" s="136" t="b">
        <f>IF(Tab.11[[#This Row],[a1]]=1,IF($W$3&lt;0,Tab.11[[#This Row],[IN]]-$I$3,Tab.11[[#This Row],[IN]]))</f>
        <v>0</v>
      </c>
      <c r="Y423" s="136" t="b">
        <f>IF(Tab.11[[#This Row],[a1]]=1,IF($X$3=0,Tab.11[b66],Tab.11[[#This Row],[b66]]-AVERAGE(Tab.11[b66])))</f>
        <v>0</v>
      </c>
      <c r="Z423" s="135" t="b">
        <f>IF(Tab.11[[#This Row],[a1]]=1,Tab.11[[#This Row],[b77]]/(_xlfn.STDEV.P(Tab.11[b77])))</f>
        <v>0</v>
      </c>
      <c r="AA423" s="70" t="b">
        <f>IF(Tab.11[[#This Row],[a1]]=1,_xlfn.NORM.DIST(Tab.11[[#This Row],[b88]],$Z$1,$AA$1,FALSE))</f>
        <v>0</v>
      </c>
      <c r="AB423" s="74" t="b">
        <f>IF(Tab.11[[#This Row],[a1]]=1,IF($A$3=0,FALSE,1/Tab.11[[#This Row],[IN]]*$AC$2*IF(Tab.11[[#This Row],[a1]]=0,,$A$3*$AC$1*1/$V$3*(Tab.11[[#This Row],[b14]]))))</f>
        <v>0</v>
      </c>
      <c r="AC423" s="75" t="b">
        <f>IF(Tab.11[[#This Row],[a1]]=1,IF($AC$3=0,Tab.11[[#This Row],[φ1]],Tab.11[[#This Row],[φ1]]/MAX(Tab.11[φ1])))</f>
        <v>0</v>
      </c>
      <c r="AD423" s="74" t="b">
        <f>IF(Tab.11[[#This Row],[a1]]=1,1/Tab.11[[#This Row],[φ2]])</f>
        <v>0</v>
      </c>
      <c r="AE423" s="74" t="b">
        <f>IF(Tab.11[[#This Row],[a1]]=1,IF($AE$3=0,Tab.11[[#This Row],[w.0]],Tab.11[[#This Row],[w.0]]/SUM(Tab.11[w.0])))</f>
        <v>0</v>
      </c>
      <c r="AF423" s="76" t="str">
        <f>IF(Tab.11[[#This Row],[a1]]=0,"false",[3]!Tab.x5[[#This Row],[%_seN_C]])</f>
        <v>false</v>
      </c>
      <c r="AG423" s="77" t="b">
        <f>IF(Tab.11[[#This Row],[a1]]=1,AP423)</f>
        <v>0</v>
      </c>
      <c r="AH423" s="78" t="b">
        <f>IF(Tab.11[[#This Row],[a1]]=1,AQ423)</f>
        <v>0</v>
      </c>
      <c r="AI423" s="41">
        <v>3.0000000000000001E-3</v>
      </c>
      <c r="AJ423" s="79">
        <v>-0.06</v>
      </c>
      <c r="AK423" s="80" t="b">
        <f>IF(Tab.11[[#This Row],[a1]]=1,1)</f>
        <v>0</v>
      </c>
      <c r="AZ423"/>
    </row>
    <row r="424" spans="1:52" hidden="1" x14ac:dyDescent="0.25">
      <c r="A424" s="61">
        <f t="shared" si="15"/>
        <v>0</v>
      </c>
      <c r="B424" s="62">
        <f t="shared" si="15"/>
        <v>0</v>
      </c>
      <c r="C424" s="62" t="b">
        <f>IF(Tab.11[[#This Row],[a1]]=1,[3]!Tab_x1[[#This Row],[Name]])</f>
        <v>0</v>
      </c>
      <c r="D424" s="63" t="b">
        <f>IF(Tab.11[[#This Row],[a1]]=1,AO424)</f>
        <v>0</v>
      </c>
      <c r="E424" s="63">
        <f t="shared" si="14"/>
        <v>0</v>
      </c>
      <c r="F424" s="64" t="b">
        <f>IF(Tab.11[[#This Row],[a1]]=1,Tab.11[[#This Row],[b1]])</f>
        <v>0</v>
      </c>
      <c r="G424" s="65" t="b">
        <f>IF(Tab.11[[#This Row],[a1]]=1,IF(Tab.11[[#This Row],[b3]]&gt;$L$989*$G$3,$L$989*$G$3,IF(Tab.11[[#This Row],[b3]]&lt;$M$989*$G$3,$M$989*$G$3,Tab.11[[#This Row],[b3]])))</f>
        <v>0</v>
      </c>
      <c r="H424" s="66" t="b">
        <f>IF(Tab.11[[#This Row],[a1]]=1,Tab.11[[#This Row],[b1]])</f>
        <v>0</v>
      </c>
      <c r="I424" s="67" t="b">
        <f>IF(Tab.11[[#This Row],[a1]]=1,Tab.11[[#This Row],[b1]])</f>
        <v>0</v>
      </c>
      <c r="J424" s="68" t="b">
        <f>IF(Tab.11[[#This Row],[a1]]=1,IF($I$3&lt;0,Tab.11[[#This Row],[b5]]-$I$3,Tab.11[[#This Row],[b5]]))</f>
        <v>0</v>
      </c>
      <c r="K424" s="68" t="b">
        <f>IF(Tab.11[[#This Row],[a1]]=1,IF($K$3=0,Tab.11[b6],Tab.11[[#This Row],[b6]]-AVERAGE(Tab.11[b6])))</f>
        <v>0</v>
      </c>
      <c r="L424" s="69" t="b">
        <f>IF(Tab.11[[#This Row],[a1]]=1,Tab.11[[#This Row],[data]]/(_xlfn.STDEV.P(Tab.11[data])*$B$989)+$A$989)</f>
        <v>0</v>
      </c>
      <c r="M424" s="69" t="b">
        <f>IF(Tab.11[[#This Row],[a1]]=1,Tab.11[[#This Row],[data]]/(_xlfn.STDEV.P(Tab.11[data])*$B$987)-$A$987)</f>
        <v>0</v>
      </c>
      <c r="N424" s="69" t="b">
        <f>IF(Tab.11[[#This Row],[a1]]=1,Tab.11[[#This Row],[data]]/(_xlfn.STDEV.P(Tab.11[data])*$B$988)+$A$988)</f>
        <v>0</v>
      </c>
      <c r="O424" s="70" t="b">
        <f>IF(Tab.11[[#This Row],[a1]]=1,_xlfn.NORM.DIST(Tab.11[[#This Row],[b8]],$P$1,$Q$1,FALSE))</f>
        <v>0</v>
      </c>
      <c r="P424" s="70" t="b">
        <f>IF(Tab.11[[#This Row],[a1]]=1,_xlfn.NORM.DIST(Tab.11[[#This Row],[b9]],$P$1,$Q$1,FALSE))</f>
        <v>0</v>
      </c>
      <c r="Q424" s="70" t="b">
        <f>IF(Tab.11[[#This Row],[a1]]=1,_xlfn.NORM.DIST(Tab.11[[#This Row],[b10]],$P$1,$Q$1,FALSE))</f>
        <v>0</v>
      </c>
      <c r="R424" s="67" t="b">
        <f>IF(Tab.11[[#This Row],[a1]]=1,$I$3+$A$989+IF($K$3=0,Tab.11[[#This Row],[b8]]*_xlfn.STDEV.P(Tab.11[data]),AVERAGE(Tab.11[b6])+Tab.11[[#This Row],[b8]]*_xlfn.STDEV.P(Tab.11[data])))</f>
        <v>0</v>
      </c>
      <c r="S424" s="71" t="b">
        <f>IF(Tab.11[[#This Row],[a1]]=1,$I$3+$A$987+IF($K$3=0,Tab.11[[#This Row],[b9]]*_xlfn.STDEV.P(Tab.11[data]),AVERAGE(Tab.11[b6])+Tab.11[[#This Row],[b9]]*_xlfn.STDEV.P(Tab.11[data])))</f>
        <v>0</v>
      </c>
      <c r="T424" s="71" t="b">
        <f>IF(Tab.11[[#This Row],[a1]]=1,$I$3+$A$988+IF($K$3=0,Tab.11[[#This Row],[b10]]*_xlfn.STDEV.P(Tab.11[data]),AVERAGE(Tab.11[b6])+Tab.11[[#This Row],[b10]]*_xlfn.STDEV.P(Tab.11[data])))</f>
        <v>0</v>
      </c>
      <c r="U424" s="72" t="b">
        <f>IF(Tab.11[[#This Row],[a1]]=1,Tab.11[[#This Row],[target]]-Tab.11[[#This Row],[Red]])</f>
        <v>0</v>
      </c>
      <c r="V424" s="72" t="b">
        <f>IF(Tab.11[[#This Row],[a1]]=1,Tab.11[[#This Row],[target]]-Tab.11[[#This Row],[Blue]])</f>
        <v>0</v>
      </c>
      <c r="W424" s="73" t="b">
        <f>IF(Tab.11[[#This Row],[a1]]=1,IF(ABS(Tab.11[[#This Row],[b17]])+ABS(Tab.11[[#This Row],[b18]])&lt;$W$2,$W$2,ABS(Tab.11[[#This Row],[b17]])+ABS(Tab.11[[#This Row],[b18]])))</f>
        <v>0</v>
      </c>
      <c r="X424" s="136" t="b">
        <f>IF(Tab.11[[#This Row],[a1]]=1,IF($W$3&lt;0,Tab.11[[#This Row],[IN]]-$I$3,Tab.11[[#This Row],[IN]]))</f>
        <v>0</v>
      </c>
      <c r="Y424" s="136" t="b">
        <f>IF(Tab.11[[#This Row],[a1]]=1,IF($X$3=0,Tab.11[b66],Tab.11[[#This Row],[b66]]-AVERAGE(Tab.11[b66])))</f>
        <v>0</v>
      </c>
      <c r="Z424" s="135" t="b">
        <f>IF(Tab.11[[#This Row],[a1]]=1,Tab.11[[#This Row],[b77]]/(_xlfn.STDEV.P(Tab.11[b77])))</f>
        <v>0</v>
      </c>
      <c r="AA424" s="70" t="b">
        <f>IF(Tab.11[[#This Row],[a1]]=1,_xlfn.NORM.DIST(Tab.11[[#This Row],[b88]],$Z$1,$AA$1,FALSE))</f>
        <v>0</v>
      </c>
      <c r="AB424" s="74" t="b">
        <f>IF(Tab.11[[#This Row],[a1]]=1,IF($A$3=0,FALSE,1/Tab.11[[#This Row],[IN]]*$AC$2*IF(Tab.11[[#This Row],[a1]]=0,,$A$3*$AC$1*1/$V$3*(Tab.11[[#This Row],[b14]]))))</f>
        <v>0</v>
      </c>
      <c r="AC424" s="75" t="b">
        <f>IF(Tab.11[[#This Row],[a1]]=1,IF($AC$3=0,Tab.11[[#This Row],[φ1]],Tab.11[[#This Row],[φ1]]/MAX(Tab.11[φ1])))</f>
        <v>0</v>
      </c>
      <c r="AD424" s="74" t="b">
        <f>IF(Tab.11[[#This Row],[a1]]=1,1/Tab.11[[#This Row],[φ2]])</f>
        <v>0</v>
      </c>
      <c r="AE424" s="74" t="b">
        <f>IF(Tab.11[[#This Row],[a1]]=1,IF($AE$3=0,Tab.11[[#This Row],[w.0]],Tab.11[[#This Row],[w.0]]/SUM(Tab.11[w.0])))</f>
        <v>0</v>
      </c>
      <c r="AF424" s="76" t="str">
        <f>IF(Tab.11[[#This Row],[a1]]=0,"false",[3]!Tab.x5[[#This Row],[%_seN_C]])</f>
        <v>false</v>
      </c>
      <c r="AG424" s="77" t="b">
        <f>IF(Tab.11[[#This Row],[a1]]=1,AP424)</f>
        <v>0</v>
      </c>
      <c r="AH424" s="78" t="b">
        <f>IF(Tab.11[[#This Row],[a1]]=1,AQ424)</f>
        <v>0</v>
      </c>
      <c r="AI424" s="41">
        <v>3.0000000000000001E-3</v>
      </c>
      <c r="AJ424" s="79">
        <v>-0.1</v>
      </c>
      <c r="AK424" s="80" t="b">
        <f>IF(Tab.11[[#This Row],[a1]]=1,1)</f>
        <v>0</v>
      </c>
      <c r="AZ424"/>
    </row>
    <row r="425" spans="1:52" hidden="1" x14ac:dyDescent="0.25">
      <c r="A425" s="61">
        <f t="shared" si="15"/>
        <v>0</v>
      </c>
      <c r="B425" s="62">
        <f t="shared" si="15"/>
        <v>0</v>
      </c>
      <c r="C425" s="62" t="b">
        <f>IF(Tab.11[[#This Row],[a1]]=1,[3]!Tab_x1[[#This Row],[Name]])</f>
        <v>0</v>
      </c>
      <c r="D425" s="63" t="b">
        <f>IF(Tab.11[[#This Row],[a1]]=1,AO425)</f>
        <v>0</v>
      </c>
      <c r="E425" s="63">
        <f t="shared" si="14"/>
        <v>0</v>
      </c>
      <c r="F425" s="64" t="b">
        <f>IF(Tab.11[[#This Row],[a1]]=1,Tab.11[[#This Row],[b1]])</f>
        <v>0</v>
      </c>
      <c r="G425" s="65" t="b">
        <f>IF(Tab.11[[#This Row],[a1]]=1,IF(Tab.11[[#This Row],[b3]]&gt;$L$989*$G$3,$L$989*$G$3,IF(Tab.11[[#This Row],[b3]]&lt;$M$989*$G$3,$M$989*$G$3,Tab.11[[#This Row],[b3]])))</f>
        <v>0</v>
      </c>
      <c r="H425" s="66" t="b">
        <f>IF(Tab.11[[#This Row],[a1]]=1,Tab.11[[#This Row],[b1]])</f>
        <v>0</v>
      </c>
      <c r="I425" s="67" t="b">
        <f>IF(Tab.11[[#This Row],[a1]]=1,Tab.11[[#This Row],[b1]])</f>
        <v>0</v>
      </c>
      <c r="J425" s="68" t="b">
        <f>IF(Tab.11[[#This Row],[a1]]=1,IF($I$3&lt;0,Tab.11[[#This Row],[b5]]-$I$3,Tab.11[[#This Row],[b5]]))</f>
        <v>0</v>
      </c>
      <c r="K425" s="68" t="b">
        <f>IF(Tab.11[[#This Row],[a1]]=1,IF($K$3=0,Tab.11[b6],Tab.11[[#This Row],[b6]]-AVERAGE(Tab.11[b6])))</f>
        <v>0</v>
      </c>
      <c r="L425" s="69" t="b">
        <f>IF(Tab.11[[#This Row],[a1]]=1,Tab.11[[#This Row],[data]]/(_xlfn.STDEV.P(Tab.11[data])*$B$989)+$A$989)</f>
        <v>0</v>
      </c>
      <c r="M425" s="69" t="b">
        <f>IF(Tab.11[[#This Row],[a1]]=1,Tab.11[[#This Row],[data]]/(_xlfn.STDEV.P(Tab.11[data])*$B$987)-$A$987)</f>
        <v>0</v>
      </c>
      <c r="N425" s="69" t="b">
        <f>IF(Tab.11[[#This Row],[a1]]=1,Tab.11[[#This Row],[data]]/(_xlfn.STDEV.P(Tab.11[data])*$B$988)+$A$988)</f>
        <v>0</v>
      </c>
      <c r="O425" s="70" t="b">
        <f>IF(Tab.11[[#This Row],[a1]]=1,_xlfn.NORM.DIST(Tab.11[[#This Row],[b8]],$P$1,$Q$1,FALSE))</f>
        <v>0</v>
      </c>
      <c r="P425" s="70" t="b">
        <f>IF(Tab.11[[#This Row],[a1]]=1,_xlfn.NORM.DIST(Tab.11[[#This Row],[b9]],$P$1,$Q$1,FALSE))</f>
        <v>0</v>
      </c>
      <c r="Q425" s="70" t="b">
        <f>IF(Tab.11[[#This Row],[a1]]=1,_xlfn.NORM.DIST(Tab.11[[#This Row],[b10]],$P$1,$Q$1,FALSE))</f>
        <v>0</v>
      </c>
      <c r="R425" s="67" t="b">
        <f>IF(Tab.11[[#This Row],[a1]]=1,$I$3+$A$989+IF($K$3=0,Tab.11[[#This Row],[b8]]*_xlfn.STDEV.P(Tab.11[data]),AVERAGE(Tab.11[b6])+Tab.11[[#This Row],[b8]]*_xlfn.STDEV.P(Tab.11[data])))</f>
        <v>0</v>
      </c>
      <c r="S425" s="71" t="b">
        <f>IF(Tab.11[[#This Row],[a1]]=1,$I$3+$A$987+IF($K$3=0,Tab.11[[#This Row],[b9]]*_xlfn.STDEV.P(Tab.11[data]),AVERAGE(Tab.11[b6])+Tab.11[[#This Row],[b9]]*_xlfn.STDEV.P(Tab.11[data])))</f>
        <v>0</v>
      </c>
      <c r="T425" s="71" t="b">
        <f>IF(Tab.11[[#This Row],[a1]]=1,$I$3+$A$988+IF($K$3=0,Tab.11[[#This Row],[b10]]*_xlfn.STDEV.P(Tab.11[data]),AVERAGE(Tab.11[b6])+Tab.11[[#This Row],[b10]]*_xlfn.STDEV.P(Tab.11[data])))</f>
        <v>0</v>
      </c>
      <c r="U425" s="72" t="b">
        <f>IF(Tab.11[[#This Row],[a1]]=1,Tab.11[[#This Row],[target]]-Tab.11[[#This Row],[Red]])</f>
        <v>0</v>
      </c>
      <c r="V425" s="72" t="b">
        <f>IF(Tab.11[[#This Row],[a1]]=1,Tab.11[[#This Row],[target]]-Tab.11[[#This Row],[Blue]])</f>
        <v>0</v>
      </c>
      <c r="W425" s="73" t="b">
        <f>IF(Tab.11[[#This Row],[a1]]=1,IF(ABS(Tab.11[[#This Row],[b17]])+ABS(Tab.11[[#This Row],[b18]])&lt;$W$2,$W$2,ABS(Tab.11[[#This Row],[b17]])+ABS(Tab.11[[#This Row],[b18]])))</f>
        <v>0</v>
      </c>
      <c r="X425" s="136" t="b">
        <f>IF(Tab.11[[#This Row],[a1]]=1,IF($W$3&lt;0,Tab.11[[#This Row],[IN]]-$I$3,Tab.11[[#This Row],[IN]]))</f>
        <v>0</v>
      </c>
      <c r="Y425" s="136" t="b">
        <f>IF(Tab.11[[#This Row],[a1]]=1,IF($X$3=0,Tab.11[b66],Tab.11[[#This Row],[b66]]-AVERAGE(Tab.11[b66])))</f>
        <v>0</v>
      </c>
      <c r="Z425" s="135" t="b">
        <f>IF(Tab.11[[#This Row],[a1]]=1,Tab.11[[#This Row],[b77]]/(_xlfn.STDEV.P(Tab.11[b77])))</f>
        <v>0</v>
      </c>
      <c r="AA425" s="70" t="b">
        <f>IF(Tab.11[[#This Row],[a1]]=1,_xlfn.NORM.DIST(Tab.11[[#This Row],[b88]],$Z$1,$AA$1,FALSE))</f>
        <v>0</v>
      </c>
      <c r="AB425" s="74" t="b">
        <f>IF(Tab.11[[#This Row],[a1]]=1,IF($A$3=0,FALSE,1/Tab.11[[#This Row],[IN]]*$AC$2*IF(Tab.11[[#This Row],[a1]]=0,,$A$3*$AC$1*1/$V$3*(Tab.11[[#This Row],[b14]]))))</f>
        <v>0</v>
      </c>
      <c r="AC425" s="75" t="b">
        <f>IF(Tab.11[[#This Row],[a1]]=1,IF($AC$3=0,Tab.11[[#This Row],[φ1]],Tab.11[[#This Row],[φ1]]/MAX(Tab.11[φ1])))</f>
        <v>0</v>
      </c>
      <c r="AD425" s="74" t="b">
        <f>IF(Tab.11[[#This Row],[a1]]=1,1/Tab.11[[#This Row],[φ2]])</f>
        <v>0</v>
      </c>
      <c r="AE425" s="74" t="b">
        <f>IF(Tab.11[[#This Row],[a1]]=1,IF($AE$3=0,Tab.11[[#This Row],[w.0]],Tab.11[[#This Row],[w.0]]/SUM(Tab.11[w.0])))</f>
        <v>0</v>
      </c>
      <c r="AF425" s="76" t="str">
        <f>IF(Tab.11[[#This Row],[a1]]=0,"false",[3]!Tab.x5[[#This Row],[%_seN_C]])</f>
        <v>false</v>
      </c>
      <c r="AG425" s="77" t="b">
        <f>IF(Tab.11[[#This Row],[a1]]=1,AP425)</f>
        <v>0</v>
      </c>
      <c r="AH425" s="78" t="b">
        <f>IF(Tab.11[[#This Row],[a1]]=1,AQ425)</f>
        <v>0</v>
      </c>
      <c r="AI425" s="41">
        <v>3.0000000000000001E-3</v>
      </c>
      <c r="AJ425" s="79">
        <v>-0.06</v>
      </c>
      <c r="AK425" s="80" t="b">
        <f>IF(Tab.11[[#This Row],[a1]]=1,1)</f>
        <v>0</v>
      </c>
      <c r="AZ425"/>
    </row>
    <row r="426" spans="1:52" hidden="1" x14ac:dyDescent="0.25">
      <c r="A426" s="61">
        <f t="shared" si="15"/>
        <v>0</v>
      </c>
      <c r="B426" s="62">
        <f t="shared" si="15"/>
        <v>0</v>
      </c>
      <c r="C426" s="62" t="b">
        <f>IF(Tab.11[[#This Row],[a1]]=1,[3]!Tab_x1[[#This Row],[Name]])</f>
        <v>0</v>
      </c>
      <c r="D426" s="63" t="b">
        <f>IF(Tab.11[[#This Row],[a1]]=1,AO426)</f>
        <v>0</v>
      </c>
      <c r="E426" s="63">
        <f t="shared" si="14"/>
        <v>0</v>
      </c>
      <c r="F426" s="64" t="b">
        <f>IF(Tab.11[[#This Row],[a1]]=1,Tab.11[[#This Row],[b1]])</f>
        <v>0</v>
      </c>
      <c r="G426" s="65" t="b">
        <f>IF(Tab.11[[#This Row],[a1]]=1,IF(Tab.11[[#This Row],[b3]]&gt;$L$989*$G$3,$L$989*$G$3,IF(Tab.11[[#This Row],[b3]]&lt;$M$989*$G$3,$M$989*$G$3,Tab.11[[#This Row],[b3]])))</f>
        <v>0</v>
      </c>
      <c r="H426" s="66" t="b">
        <f>IF(Tab.11[[#This Row],[a1]]=1,Tab.11[[#This Row],[b1]])</f>
        <v>0</v>
      </c>
      <c r="I426" s="67" t="b">
        <f>IF(Tab.11[[#This Row],[a1]]=1,Tab.11[[#This Row],[b1]])</f>
        <v>0</v>
      </c>
      <c r="J426" s="68" t="b">
        <f>IF(Tab.11[[#This Row],[a1]]=1,IF($I$3&lt;0,Tab.11[[#This Row],[b5]]-$I$3,Tab.11[[#This Row],[b5]]))</f>
        <v>0</v>
      </c>
      <c r="K426" s="68" t="b">
        <f>IF(Tab.11[[#This Row],[a1]]=1,IF($K$3=0,Tab.11[b6],Tab.11[[#This Row],[b6]]-AVERAGE(Tab.11[b6])))</f>
        <v>0</v>
      </c>
      <c r="L426" s="69" t="b">
        <f>IF(Tab.11[[#This Row],[a1]]=1,Tab.11[[#This Row],[data]]/(_xlfn.STDEV.P(Tab.11[data])*$B$989)+$A$989)</f>
        <v>0</v>
      </c>
      <c r="M426" s="69" t="b">
        <f>IF(Tab.11[[#This Row],[a1]]=1,Tab.11[[#This Row],[data]]/(_xlfn.STDEV.P(Tab.11[data])*$B$987)-$A$987)</f>
        <v>0</v>
      </c>
      <c r="N426" s="69" t="b">
        <f>IF(Tab.11[[#This Row],[a1]]=1,Tab.11[[#This Row],[data]]/(_xlfn.STDEV.P(Tab.11[data])*$B$988)+$A$988)</f>
        <v>0</v>
      </c>
      <c r="O426" s="70" t="b">
        <f>IF(Tab.11[[#This Row],[a1]]=1,_xlfn.NORM.DIST(Tab.11[[#This Row],[b8]],$P$1,$Q$1,FALSE))</f>
        <v>0</v>
      </c>
      <c r="P426" s="70" t="b">
        <f>IF(Tab.11[[#This Row],[a1]]=1,_xlfn.NORM.DIST(Tab.11[[#This Row],[b9]],$P$1,$Q$1,FALSE))</f>
        <v>0</v>
      </c>
      <c r="Q426" s="70" t="b">
        <f>IF(Tab.11[[#This Row],[a1]]=1,_xlfn.NORM.DIST(Tab.11[[#This Row],[b10]],$P$1,$Q$1,FALSE))</f>
        <v>0</v>
      </c>
      <c r="R426" s="67" t="b">
        <f>IF(Tab.11[[#This Row],[a1]]=1,$I$3+$A$989+IF($K$3=0,Tab.11[[#This Row],[b8]]*_xlfn.STDEV.P(Tab.11[data]),AVERAGE(Tab.11[b6])+Tab.11[[#This Row],[b8]]*_xlfn.STDEV.P(Tab.11[data])))</f>
        <v>0</v>
      </c>
      <c r="S426" s="71" t="b">
        <f>IF(Tab.11[[#This Row],[a1]]=1,$I$3+$A$987+IF($K$3=0,Tab.11[[#This Row],[b9]]*_xlfn.STDEV.P(Tab.11[data]),AVERAGE(Tab.11[b6])+Tab.11[[#This Row],[b9]]*_xlfn.STDEV.P(Tab.11[data])))</f>
        <v>0</v>
      </c>
      <c r="T426" s="71" t="b">
        <f>IF(Tab.11[[#This Row],[a1]]=1,$I$3+$A$988+IF($K$3=0,Tab.11[[#This Row],[b10]]*_xlfn.STDEV.P(Tab.11[data]),AVERAGE(Tab.11[b6])+Tab.11[[#This Row],[b10]]*_xlfn.STDEV.P(Tab.11[data])))</f>
        <v>0</v>
      </c>
      <c r="U426" s="72" t="b">
        <f>IF(Tab.11[[#This Row],[a1]]=1,Tab.11[[#This Row],[target]]-Tab.11[[#This Row],[Red]])</f>
        <v>0</v>
      </c>
      <c r="V426" s="72" t="b">
        <f>IF(Tab.11[[#This Row],[a1]]=1,Tab.11[[#This Row],[target]]-Tab.11[[#This Row],[Blue]])</f>
        <v>0</v>
      </c>
      <c r="W426" s="73" t="b">
        <f>IF(Tab.11[[#This Row],[a1]]=1,IF(ABS(Tab.11[[#This Row],[b17]])+ABS(Tab.11[[#This Row],[b18]])&lt;$W$2,$W$2,ABS(Tab.11[[#This Row],[b17]])+ABS(Tab.11[[#This Row],[b18]])))</f>
        <v>0</v>
      </c>
      <c r="X426" s="136" t="b">
        <f>IF(Tab.11[[#This Row],[a1]]=1,IF($W$3&lt;0,Tab.11[[#This Row],[IN]]-$I$3,Tab.11[[#This Row],[IN]]))</f>
        <v>0</v>
      </c>
      <c r="Y426" s="136" t="b">
        <f>IF(Tab.11[[#This Row],[a1]]=1,IF($X$3=0,Tab.11[b66],Tab.11[[#This Row],[b66]]-AVERAGE(Tab.11[b66])))</f>
        <v>0</v>
      </c>
      <c r="Z426" s="135" t="b">
        <f>IF(Tab.11[[#This Row],[a1]]=1,Tab.11[[#This Row],[b77]]/(_xlfn.STDEV.P(Tab.11[b77])))</f>
        <v>0</v>
      </c>
      <c r="AA426" s="70" t="b">
        <f>IF(Tab.11[[#This Row],[a1]]=1,_xlfn.NORM.DIST(Tab.11[[#This Row],[b88]],$Z$1,$AA$1,FALSE))</f>
        <v>0</v>
      </c>
      <c r="AB426" s="74" t="b">
        <f>IF(Tab.11[[#This Row],[a1]]=1,IF($A$3=0,FALSE,1/Tab.11[[#This Row],[IN]]*$AC$2*IF(Tab.11[[#This Row],[a1]]=0,,$A$3*$AC$1*1/$V$3*(Tab.11[[#This Row],[b14]]))))</f>
        <v>0</v>
      </c>
      <c r="AC426" s="75" t="b">
        <f>IF(Tab.11[[#This Row],[a1]]=1,IF($AC$3=0,Tab.11[[#This Row],[φ1]],Tab.11[[#This Row],[φ1]]/MAX(Tab.11[φ1])))</f>
        <v>0</v>
      </c>
      <c r="AD426" s="74" t="b">
        <f>IF(Tab.11[[#This Row],[a1]]=1,1/Tab.11[[#This Row],[φ2]])</f>
        <v>0</v>
      </c>
      <c r="AE426" s="74" t="b">
        <f>IF(Tab.11[[#This Row],[a1]]=1,IF($AE$3=0,Tab.11[[#This Row],[w.0]],Tab.11[[#This Row],[w.0]]/SUM(Tab.11[w.0])))</f>
        <v>0</v>
      </c>
      <c r="AF426" s="76" t="str">
        <f>IF(Tab.11[[#This Row],[a1]]=0,"false",[3]!Tab.x5[[#This Row],[%_seN_C]])</f>
        <v>false</v>
      </c>
      <c r="AG426" s="77" t="b">
        <f>IF(Tab.11[[#This Row],[a1]]=1,AP426)</f>
        <v>0</v>
      </c>
      <c r="AH426" s="78" t="b">
        <f>IF(Tab.11[[#This Row],[a1]]=1,AQ426)</f>
        <v>0</v>
      </c>
      <c r="AI426" s="41">
        <v>3.0000000000000001E-3</v>
      </c>
      <c r="AJ426" s="79">
        <v>0.08</v>
      </c>
      <c r="AK426" s="80" t="b">
        <f>IF(Tab.11[[#This Row],[a1]]=1,1)</f>
        <v>0</v>
      </c>
      <c r="AZ426"/>
    </row>
    <row r="427" spans="1:52" hidden="1" x14ac:dyDescent="0.25">
      <c r="A427" s="61">
        <f t="shared" si="15"/>
        <v>0</v>
      </c>
      <c r="B427" s="62">
        <f t="shared" si="15"/>
        <v>0</v>
      </c>
      <c r="C427" s="62" t="b">
        <f>IF(Tab.11[[#This Row],[a1]]=1,[3]!Tab_x1[[#This Row],[Name]])</f>
        <v>0</v>
      </c>
      <c r="D427" s="63" t="b">
        <f>IF(Tab.11[[#This Row],[a1]]=1,AO427)</f>
        <v>0</v>
      </c>
      <c r="E427" s="63">
        <f t="shared" si="14"/>
        <v>0</v>
      </c>
      <c r="F427" s="64" t="b">
        <f>IF(Tab.11[[#This Row],[a1]]=1,Tab.11[[#This Row],[b1]])</f>
        <v>0</v>
      </c>
      <c r="G427" s="65" t="b">
        <f>IF(Tab.11[[#This Row],[a1]]=1,IF(Tab.11[[#This Row],[b3]]&gt;$L$989*$G$3,$L$989*$G$3,IF(Tab.11[[#This Row],[b3]]&lt;$M$989*$G$3,$M$989*$G$3,Tab.11[[#This Row],[b3]])))</f>
        <v>0</v>
      </c>
      <c r="H427" s="66" t="b">
        <f>IF(Tab.11[[#This Row],[a1]]=1,Tab.11[[#This Row],[b1]])</f>
        <v>0</v>
      </c>
      <c r="I427" s="67" t="b">
        <f>IF(Tab.11[[#This Row],[a1]]=1,Tab.11[[#This Row],[b1]])</f>
        <v>0</v>
      </c>
      <c r="J427" s="68" t="b">
        <f>IF(Tab.11[[#This Row],[a1]]=1,IF($I$3&lt;0,Tab.11[[#This Row],[b5]]-$I$3,Tab.11[[#This Row],[b5]]))</f>
        <v>0</v>
      </c>
      <c r="K427" s="68" t="b">
        <f>IF(Tab.11[[#This Row],[a1]]=1,IF($K$3=0,Tab.11[b6],Tab.11[[#This Row],[b6]]-AVERAGE(Tab.11[b6])))</f>
        <v>0</v>
      </c>
      <c r="L427" s="69" t="b">
        <f>IF(Tab.11[[#This Row],[a1]]=1,Tab.11[[#This Row],[data]]/(_xlfn.STDEV.P(Tab.11[data])*$B$989)+$A$989)</f>
        <v>0</v>
      </c>
      <c r="M427" s="69" t="b">
        <f>IF(Tab.11[[#This Row],[a1]]=1,Tab.11[[#This Row],[data]]/(_xlfn.STDEV.P(Tab.11[data])*$B$987)-$A$987)</f>
        <v>0</v>
      </c>
      <c r="N427" s="69" t="b">
        <f>IF(Tab.11[[#This Row],[a1]]=1,Tab.11[[#This Row],[data]]/(_xlfn.STDEV.P(Tab.11[data])*$B$988)+$A$988)</f>
        <v>0</v>
      </c>
      <c r="O427" s="70" t="b">
        <f>IF(Tab.11[[#This Row],[a1]]=1,_xlfn.NORM.DIST(Tab.11[[#This Row],[b8]],$P$1,$Q$1,FALSE))</f>
        <v>0</v>
      </c>
      <c r="P427" s="70" t="b">
        <f>IF(Tab.11[[#This Row],[a1]]=1,_xlfn.NORM.DIST(Tab.11[[#This Row],[b9]],$P$1,$Q$1,FALSE))</f>
        <v>0</v>
      </c>
      <c r="Q427" s="70" t="b">
        <f>IF(Tab.11[[#This Row],[a1]]=1,_xlfn.NORM.DIST(Tab.11[[#This Row],[b10]],$P$1,$Q$1,FALSE))</f>
        <v>0</v>
      </c>
      <c r="R427" s="67" t="b">
        <f>IF(Tab.11[[#This Row],[a1]]=1,$I$3+$A$989+IF($K$3=0,Tab.11[[#This Row],[b8]]*_xlfn.STDEV.P(Tab.11[data]),AVERAGE(Tab.11[b6])+Tab.11[[#This Row],[b8]]*_xlfn.STDEV.P(Tab.11[data])))</f>
        <v>0</v>
      </c>
      <c r="S427" s="71" t="b">
        <f>IF(Tab.11[[#This Row],[a1]]=1,$I$3+$A$987+IF($K$3=0,Tab.11[[#This Row],[b9]]*_xlfn.STDEV.P(Tab.11[data]),AVERAGE(Tab.11[b6])+Tab.11[[#This Row],[b9]]*_xlfn.STDEV.P(Tab.11[data])))</f>
        <v>0</v>
      </c>
      <c r="T427" s="71" t="b">
        <f>IF(Tab.11[[#This Row],[a1]]=1,$I$3+$A$988+IF($K$3=0,Tab.11[[#This Row],[b10]]*_xlfn.STDEV.P(Tab.11[data]),AVERAGE(Tab.11[b6])+Tab.11[[#This Row],[b10]]*_xlfn.STDEV.P(Tab.11[data])))</f>
        <v>0</v>
      </c>
      <c r="U427" s="72" t="b">
        <f>IF(Tab.11[[#This Row],[a1]]=1,Tab.11[[#This Row],[target]]-Tab.11[[#This Row],[Red]])</f>
        <v>0</v>
      </c>
      <c r="V427" s="72" t="b">
        <f>IF(Tab.11[[#This Row],[a1]]=1,Tab.11[[#This Row],[target]]-Tab.11[[#This Row],[Blue]])</f>
        <v>0</v>
      </c>
      <c r="W427" s="73" t="b">
        <f>IF(Tab.11[[#This Row],[a1]]=1,IF(ABS(Tab.11[[#This Row],[b17]])+ABS(Tab.11[[#This Row],[b18]])&lt;$W$2,$W$2,ABS(Tab.11[[#This Row],[b17]])+ABS(Tab.11[[#This Row],[b18]])))</f>
        <v>0</v>
      </c>
      <c r="X427" s="136" t="b">
        <f>IF(Tab.11[[#This Row],[a1]]=1,IF($W$3&lt;0,Tab.11[[#This Row],[IN]]-$I$3,Tab.11[[#This Row],[IN]]))</f>
        <v>0</v>
      </c>
      <c r="Y427" s="136" t="b">
        <f>IF(Tab.11[[#This Row],[a1]]=1,IF($X$3=0,Tab.11[b66],Tab.11[[#This Row],[b66]]-AVERAGE(Tab.11[b66])))</f>
        <v>0</v>
      </c>
      <c r="Z427" s="135" t="b">
        <f>IF(Tab.11[[#This Row],[a1]]=1,Tab.11[[#This Row],[b77]]/(_xlfn.STDEV.P(Tab.11[b77])))</f>
        <v>0</v>
      </c>
      <c r="AA427" s="70" t="b">
        <f>IF(Tab.11[[#This Row],[a1]]=1,_xlfn.NORM.DIST(Tab.11[[#This Row],[b88]],$Z$1,$AA$1,FALSE))</f>
        <v>0</v>
      </c>
      <c r="AB427" s="74" t="b">
        <f>IF(Tab.11[[#This Row],[a1]]=1,IF($A$3=0,FALSE,1/Tab.11[[#This Row],[IN]]*$AC$2*IF(Tab.11[[#This Row],[a1]]=0,,$A$3*$AC$1*1/$V$3*(Tab.11[[#This Row],[b14]]))))</f>
        <v>0</v>
      </c>
      <c r="AC427" s="75" t="b">
        <f>IF(Tab.11[[#This Row],[a1]]=1,IF($AC$3=0,Tab.11[[#This Row],[φ1]],Tab.11[[#This Row],[φ1]]/MAX(Tab.11[φ1])))</f>
        <v>0</v>
      </c>
      <c r="AD427" s="74" t="b">
        <f>IF(Tab.11[[#This Row],[a1]]=1,1/Tab.11[[#This Row],[φ2]])</f>
        <v>0</v>
      </c>
      <c r="AE427" s="74" t="b">
        <f>IF(Tab.11[[#This Row],[a1]]=1,IF($AE$3=0,Tab.11[[#This Row],[w.0]],Tab.11[[#This Row],[w.0]]/SUM(Tab.11[w.0])))</f>
        <v>0</v>
      </c>
      <c r="AF427" s="76" t="str">
        <f>IF(Tab.11[[#This Row],[a1]]=0,"false",[3]!Tab.x5[[#This Row],[%_seN_C]])</f>
        <v>false</v>
      </c>
      <c r="AG427" s="77" t="b">
        <f>IF(Tab.11[[#This Row],[a1]]=1,AP427)</f>
        <v>0</v>
      </c>
      <c r="AH427" s="78" t="b">
        <f>IF(Tab.11[[#This Row],[a1]]=1,AQ427)</f>
        <v>0</v>
      </c>
      <c r="AI427" s="41">
        <v>3.0000000000000001E-3</v>
      </c>
      <c r="AJ427" s="79">
        <v>7.0000000000000007E-2</v>
      </c>
      <c r="AK427" s="80" t="b">
        <f>IF(Tab.11[[#This Row],[a1]]=1,1)</f>
        <v>0</v>
      </c>
      <c r="AZ427"/>
    </row>
    <row r="428" spans="1:52" hidden="1" x14ac:dyDescent="0.25">
      <c r="A428" s="61">
        <f t="shared" si="15"/>
        <v>0</v>
      </c>
      <c r="B428" s="62">
        <f t="shared" si="15"/>
        <v>0</v>
      </c>
      <c r="C428" s="62" t="b">
        <f>IF(Tab.11[[#This Row],[a1]]=1,[3]!Tab_x1[[#This Row],[Name]])</f>
        <v>0</v>
      </c>
      <c r="D428" s="63" t="b">
        <f>IF(Tab.11[[#This Row],[a1]]=1,AO428)</f>
        <v>0</v>
      </c>
      <c r="E428" s="63">
        <f t="shared" si="14"/>
        <v>0</v>
      </c>
      <c r="F428" s="64" t="b">
        <f>IF(Tab.11[[#This Row],[a1]]=1,Tab.11[[#This Row],[b1]])</f>
        <v>0</v>
      </c>
      <c r="G428" s="65" t="b">
        <f>IF(Tab.11[[#This Row],[a1]]=1,IF(Tab.11[[#This Row],[b3]]&gt;$L$989*$G$3,$L$989*$G$3,IF(Tab.11[[#This Row],[b3]]&lt;$M$989*$G$3,$M$989*$G$3,Tab.11[[#This Row],[b3]])))</f>
        <v>0</v>
      </c>
      <c r="H428" s="66" t="b">
        <f>IF(Tab.11[[#This Row],[a1]]=1,Tab.11[[#This Row],[b1]])</f>
        <v>0</v>
      </c>
      <c r="I428" s="67" t="b">
        <f>IF(Tab.11[[#This Row],[a1]]=1,Tab.11[[#This Row],[b1]])</f>
        <v>0</v>
      </c>
      <c r="J428" s="68" t="b">
        <f>IF(Tab.11[[#This Row],[a1]]=1,IF($I$3&lt;0,Tab.11[[#This Row],[b5]]-$I$3,Tab.11[[#This Row],[b5]]))</f>
        <v>0</v>
      </c>
      <c r="K428" s="68" t="b">
        <f>IF(Tab.11[[#This Row],[a1]]=1,IF($K$3=0,Tab.11[b6],Tab.11[[#This Row],[b6]]-AVERAGE(Tab.11[b6])))</f>
        <v>0</v>
      </c>
      <c r="L428" s="69" t="b">
        <f>IF(Tab.11[[#This Row],[a1]]=1,Tab.11[[#This Row],[data]]/(_xlfn.STDEV.P(Tab.11[data])*$B$989)+$A$989)</f>
        <v>0</v>
      </c>
      <c r="M428" s="69" t="b">
        <f>IF(Tab.11[[#This Row],[a1]]=1,Tab.11[[#This Row],[data]]/(_xlfn.STDEV.P(Tab.11[data])*$B$987)-$A$987)</f>
        <v>0</v>
      </c>
      <c r="N428" s="69" t="b">
        <f>IF(Tab.11[[#This Row],[a1]]=1,Tab.11[[#This Row],[data]]/(_xlfn.STDEV.P(Tab.11[data])*$B$988)+$A$988)</f>
        <v>0</v>
      </c>
      <c r="O428" s="70" t="b">
        <f>IF(Tab.11[[#This Row],[a1]]=1,_xlfn.NORM.DIST(Tab.11[[#This Row],[b8]],$P$1,$Q$1,FALSE))</f>
        <v>0</v>
      </c>
      <c r="P428" s="70" t="b">
        <f>IF(Tab.11[[#This Row],[a1]]=1,_xlfn.NORM.DIST(Tab.11[[#This Row],[b9]],$P$1,$Q$1,FALSE))</f>
        <v>0</v>
      </c>
      <c r="Q428" s="70" t="b">
        <f>IF(Tab.11[[#This Row],[a1]]=1,_xlfn.NORM.DIST(Tab.11[[#This Row],[b10]],$P$1,$Q$1,FALSE))</f>
        <v>0</v>
      </c>
      <c r="R428" s="67" t="b">
        <f>IF(Tab.11[[#This Row],[a1]]=1,$I$3+$A$989+IF($K$3=0,Tab.11[[#This Row],[b8]]*_xlfn.STDEV.P(Tab.11[data]),AVERAGE(Tab.11[b6])+Tab.11[[#This Row],[b8]]*_xlfn.STDEV.P(Tab.11[data])))</f>
        <v>0</v>
      </c>
      <c r="S428" s="71" t="b">
        <f>IF(Tab.11[[#This Row],[a1]]=1,$I$3+$A$987+IF($K$3=0,Tab.11[[#This Row],[b9]]*_xlfn.STDEV.P(Tab.11[data]),AVERAGE(Tab.11[b6])+Tab.11[[#This Row],[b9]]*_xlfn.STDEV.P(Tab.11[data])))</f>
        <v>0</v>
      </c>
      <c r="T428" s="71" t="b">
        <f>IF(Tab.11[[#This Row],[a1]]=1,$I$3+$A$988+IF($K$3=0,Tab.11[[#This Row],[b10]]*_xlfn.STDEV.P(Tab.11[data]),AVERAGE(Tab.11[b6])+Tab.11[[#This Row],[b10]]*_xlfn.STDEV.P(Tab.11[data])))</f>
        <v>0</v>
      </c>
      <c r="U428" s="72" t="b">
        <f>IF(Tab.11[[#This Row],[a1]]=1,Tab.11[[#This Row],[target]]-Tab.11[[#This Row],[Red]])</f>
        <v>0</v>
      </c>
      <c r="V428" s="72" t="b">
        <f>IF(Tab.11[[#This Row],[a1]]=1,Tab.11[[#This Row],[target]]-Tab.11[[#This Row],[Blue]])</f>
        <v>0</v>
      </c>
      <c r="W428" s="73" t="b">
        <f>IF(Tab.11[[#This Row],[a1]]=1,IF(ABS(Tab.11[[#This Row],[b17]])+ABS(Tab.11[[#This Row],[b18]])&lt;$W$2,$W$2,ABS(Tab.11[[#This Row],[b17]])+ABS(Tab.11[[#This Row],[b18]])))</f>
        <v>0</v>
      </c>
      <c r="X428" s="136" t="b">
        <f>IF(Tab.11[[#This Row],[a1]]=1,IF($W$3&lt;0,Tab.11[[#This Row],[IN]]-$I$3,Tab.11[[#This Row],[IN]]))</f>
        <v>0</v>
      </c>
      <c r="Y428" s="136" t="b">
        <f>IF(Tab.11[[#This Row],[a1]]=1,IF($X$3=0,Tab.11[b66],Tab.11[[#This Row],[b66]]-AVERAGE(Tab.11[b66])))</f>
        <v>0</v>
      </c>
      <c r="Z428" s="135" t="b">
        <f>IF(Tab.11[[#This Row],[a1]]=1,Tab.11[[#This Row],[b77]]/(_xlfn.STDEV.P(Tab.11[b77])))</f>
        <v>0</v>
      </c>
      <c r="AA428" s="70" t="b">
        <f>IF(Tab.11[[#This Row],[a1]]=1,_xlfn.NORM.DIST(Tab.11[[#This Row],[b88]],$Z$1,$AA$1,FALSE))</f>
        <v>0</v>
      </c>
      <c r="AB428" s="74" t="b">
        <f>IF(Tab.11[[#This Row],[a1]]=1,IF($A$3=0,FALSE,1/Tab.11[[#This Row],[IN]]*$AC$2*IF(Tab.11[[#This Row],[a1]]=0,,$A$3*$AC$1*1/$V$3*(Tab.11[[#This Row],[b14]]))))</f>
        <v>0</v>
      </c>
      <c r="AC428" s="75" t="b">
        <f>IF(Tab.11[[#This Row],[a1]]=1,IF($AC$3=0,Tab.11[[#This Row],[φ1]],Tab.11[[#This Row],[φ1]]/MAX(Tab.11[φ1])))</f>
        <v>0</v>
      </c>
      <c r="AD428" s="74" t="b">
        <f>IF(Tab.11[[#This Row],[a1]]=1,1/Tab.11[[#This Row],[φ2]])</f>
        <v>0</v>
      </c>
      <c r="AE428" s="74" t="b">
        <f>IF(Tab.11[[#This Row],[a1]]=1,IF($AE$3=0,Tab.11[[#This Row],[w.0]],Tab.11[[#This Row],[w.0]]/SUM(Tab.11[w.0])))</f>
        <v>0</v>
      </c>
      <c r="AF428" s="76" t="str">
        <f>IF(Tab.11[[#This Row],[a1]]=0,"false",[3]!Tab.x5[[#This Row],[%_seN_C]])</f>
        <v>false</v>
      </c>
      <c r="AG428" s="77" t="b">
        <f>IF(Tab.11[[#This Row],[a1]]=1,AP428)</f>
        <v>0</v>
      </c>
      <c r="AH428" s="78" t="b">
        <f>IF(Tab.11[[#This Row],[a1]]=1,AQ428)</f>
        <v>0</v>
      </c>
      <c r="AI428" s="41">
        <v>3.0000000000000001E-3</v>
      </c>
      <c r="AJ428" s="79">
        <v>0.05</v>
      </c>
      <c r="AK428" s="80" t="b">
        <f>IF(Tab.11[[#This Row],[a1]]=1,1)</f>
        <v>0</v>
      </c>
      <c r="AZ428"/>
    </row>
    <row r="429" spans="1:52" hidden="1" x14ac:dyDescent="0.25">
      <c r="A429" s="61">
        <f t="shared" si="15"/>
        <v>0</v>
      </c>
      <c r="B429" s="62">
        <f t="shared" si="15"/>
        <v>0</v>
      </c>
      <c r="C429" s="62" t="b">
        <f>IF(Tab.11[[#This Row],[a1]]=1,[3]!Tab_x1[[#This Row],[Name]])</f>
        <v>0</v>
      </c>
      <c r="D429" s="63" t="b">
        <f>IF(Tab.11[[#This Row],[a1]]=1,AO429)</f>
        <v>0</v>
      </c>
      <c r="E429" s="63">
        <f t="shared" si="14"/>
        <v>0</v>
      </c>
      <c r="F429" s="64" t="b">
        <f>IF(Tab.11[[#This Row],[a1]]=1,Tab.11[[#This Row],[b1]])</f>
        <v>0</v>
      </c>
      <c r="G429" s="65" t="b">
        <f>IF(Tab.11[[#This Row],[a1]]=1,IF(Tab.11[[#This Row],[b3]]&gt;$L$989*$G$3,$L$989*$G$3,IF(Tab.11[[#This Row],[b3]]&lt;$M$989*$G$3,$M$989*$G$3,Tab.11[[#This Row],[b3]])))</f>
        <v>0</v>
      </c>
      <c r="H429" s="66" t="b">
        <f>IF(Tab.11[[#This Row],[a1]]=1,Tab.11[[#This Row],[b1]])</f>
        <v>0</v>
      </c>
      <c r="I429" s="67" t="b">
        <f>IF(Tab.11[[#This Row],[a1]]=1,Tab.11[[#This Row],[b1]])</f>
        <v>0</v>
      </c>
      <c r="J429" s="68" t="b">
        <f>IF(Tab.11[[#This Row],[a1]]=1,IF($I$3&lt;0,Tab.11[[#This Row],[b5]]-$I$3,Tab.11[[#This Row],[b5]]))</f>
        <v>0</v>
      </c>
      <c r="K429" s="68" t="b">
        <f>IF(Tab.11[[#This Row],[a1]]=1,IF($K$3=0,Tab.11[b6],Tab.11[[#This Row],[b6]]-AVERAGE(Tab.11[b6])))</f>
        <v>0</v>
      </c>
      <c r="L429" s="69" t="b">
        <f>IF(Tab.11[[#This Row],[a1]]=1,Tab.11[[#This Row],[data]]/(_xlfn.STDEV.P(Tab.11[data])*$B$989)+$A$989)</f>
        <v>0</v>
      </c>
      <c r="M429" s="69" t="b">
        <f>IF(Tab.11[[#This Row],[a1]]=1,Tab.11[[#This Row],[data]]/(_xlfn.STDEV.P(Tab.11[data])*$B$987)-$A$987)</f>
        <v>0</v>
      </c>
      <c r="N429" s="69" t="b">
        <f>IF(Tab.11[[#This Row],[a1]]=1,Tab.11[[#This Row],[data]]/(_xlfn.STDEV.P(Tab.11[data])*$B$988)+$A$988)</f>
        <v>0</v>
      </c>
      <c r="O429" s="70" t="b">
        <f>IF(Tab.11[[#This Row],[a1]]=1,_xlfn.NORM.DIST(Tab.11[[#This Row],[b8]],$P$1,$Q$1,FALSE))</f>
        <v>0</v>
      </c>
      <c r="P429" s="70" t="b">
        <f>IF(Tab.11[[#This Row],[a1]]=1,_xlfn.NORM.DIST(Tab.11[[#This Row],[b9]],$P$1,$Q$1,FALSE))</f>
        <v>0</v>
      </c>
      <c r="Q429" s="70" t="b">
        <f>IF(Tab.11[[#This Row],[a1]]=1,_xlfn.NORM.DIST(Tab.11[[#This Row],[b10]],$P$1,$Q$1,FALSE))</f>
        <v>0</v>
      </c>
      <c r="R429" s="67" t="b">
        <f>IF(Tab.11[[#This Row],[a1]]=1,$I$3+$A$989+IF($K$3=0,Tab.11[[#This Row],[b8]]*_xlfn.STDEV.P(Tab.11[data]),AVERAGE(Tab.11[b6])+Tab.11[[#This Row],[b8]]*_xlfn.STDEV.P(Tab.11[data])))</f>
        <v>0</v>
      </c>
      <c r="S429" s="71" t="b">
        <f>IF(Tab.11[[#This Row],[a1]]=1,$I$3+$A$987+IF($K$3=0,Tab.11[[#This Row],[b9]]*_xlfn.STDEV.P(Tab.11[data]),AVERAGE(Tab.11[b6])+Tab.11[[#This Row],[b9]]*_xlfn.STDEV.P(Tab.11[data])))</f>
        <v>0</v>
      </c>
      <c r="T429" s="71" t="b">
        <f>IF(Tab.11[[#This Row],[a1]]=1,$I$3+$A$988+IF($K$3=0,Tab.11[[#This Row],[b10]]*_xlfn.STDEV.P(Tab.11[data]),AVERAGE(Tab.11[b6])+Tab.11[[#This Row],[b10]]*_xlfn.STDEV.P(Tab.11[data])))</f>
        <v>0</v>
      </c>
      <c r="U429" s="72" t="b">
        <f>IF(Tab.11[[#This Row],[a1]]=1,Tab.11[[#This Row],[target]]-Tab.11[[#This Row],[Red]])</f>
        <v>0</v>
      </c>
      <c r="V429" s="72" t="b">
        <f>IF(Tab.11[[#This Row],[a1]]=1,Tab.11[[#This Row],[target]]-Tab.11[[#This Row],[Blue]])</f>
        <v>0</v>
      </c>
      <c r="W429" s="73" t="b">
        <f>IF(Tab.11[[#This Row],[a1]]=1,IF(ABS(Tab.11[[#This Row],[b17]])+ABS(Tab.11[[#This Row],[b18]])&lt;$W$2,$W$2,ABS(Tab.11[[#This Row],[b17]])+ABS(Tab.11[[#This Row],[b18]])))</f>
        <v>0</v>
      </c>
      <c r="X429" s="136" t="b">
        <f>IF(Tab.11[[#This Row],[a1]]=1,IF($W$3&lt;0,Tab.11[[#This Row],[IN]]-$I$3,Tab.11[[#This Row],[IN]]))</f>
        <v>0</v>
      </c>
      <c r="Y429" s="136" t="b">
        <f>IF(Tab.11[[#This Row],[a1]]=1,IF($X$3=0,Tab.11[b66],Tab.11[[#This Row],[b66]]-AVERAGE(Tab.11[b66])))</f>
        <v>0</v>
      </c>
      <c r="Z429" s="135" t="b">
        <f>IF(Tab.11[[#This Row],[a1]]=1,Tab.11[[#This Row],[b77]]/(_xlfn.STDEV.P(Tab.11[b77])))</f>
        <v>0</v>
      </c>
      <c r="AA429" s="70" t="b">
        <f>IF(Tab.11[[#This Row],[a1]]=1,_xlfn.NORM.DIST(Tab.11[[#This Row],[b88]],$Z$1,$AA$1,FALSE))</f>
        <v>0</v>
      </c>
      <c r="AB429" s="74" t="b">
        <f>IF(Tab.11[[#This Row],[a1]]=1,IF($A$3=0,FALSE,1/Tab.11[[#This Row],[IN]]*$AC$2*IF(Tab.11[[#This Row],[a1]]=0,,$A$3*$AC$1*1/$V$3*(Tab.11[[#This Row],[b14]]))))</f>
        <v>0</v>
      </c>
      <c r="AC429" s="75" t="b">
        <f>IF(Tab.11[[#This Row],[a1]]=1,IF($AC$3=0,Tab.11[[#This Row],[φ1]],Tab.11[[#This Row],[φ1]]/MAX(Tab.11[φ1])))</f>
        <v>0</v>
      </c>
      <c r="AD429" s="74" t="b">
        <f>IF(Tab.11[[#This Row],[a1]]=1,1/Tab.11[[#This Row],[φ2]])</f>
        <v>0</v>
      </c>
      <c r="AE429" s="74" t="b">
        <f>IF(Tab.11[[#This Row],[a1]]=1,IF($AE$3=0,Tab.11[[#This Row],[w.0]],Tab.11[[#This Row],[w.0]]/SUM(Tab.11[w.0])))</f>
        <v>0</v>
      </c>
      <c r="AF429" s="76" t="str">
        <f>IF(Tab.11[[#This Row],[a1]]=0,"false",[3]!Tab.x5[[#This Row],[%_seN_C]])</f>
        <v>false</v>
      </c>
      <c r="AG429" s="77" t="b">
        <f>IF(Tab.11[[#This Row],[a1]]=1,AP429)</f>
        <v>0</v>
      </c>
      <c r="AH429" s="78" t="b">
        <f>IF(Tab.11[[#This Row],[a1]]=1,AQ429)</f>
        <v>0</v>
      </c>
      <c r="AI429" s="41">
        <v>3.0000000000000001E-3</v>
      </c>
      <c r="AJ429" s="79">
        <v>-0.01</v>
      </c>
      <c r="AK429" s="80" t="b">
        <f>IF(Tab.11[[#This Row],[a1]]=1,1)</f>
        <v>0</v>
      </c>
      <c r="AZ429"/>
    </row>
    <row r="430" spans="1:52" hidden="1" x14ac:dyDescent="0.25">
      <c r="A430" s="61">
        <f t="shared" si="15"/>
        <v>0</v>
      </c>
      <c r="B430" s="62">
        <f t="shared" si="15"/>
        <v>0</v>
      </c>
      <c r="C430" s="62" t="b">
        <f>IF(Tab.11[[#This Row],[a1]]=1,[3]!Tab_x1[[#This Row],[Name]])</f>
        <v>0</v>
      </c>
      <c r="D430" s="63" t="b">
        <f>IF(Tab.11[[#This Row],[a1]]=1,AO430)</f>
        <v>0</v>
      </c>
      <c r="E430" s="63">
        <f t="shared" si="14"/>
        <v>0</v>
      </c>
      <c r="F430" s="64" t="b">
        <f>IF(Tab.11[[#This Row],[a1]]=1,Tab.11[[#This Row],[b1]])</f>
        <v>0</v>
      </c>
      <c r="G430" s="65" t="b">
        <f>IF(Tab.11[[#This Row],[a1]]=1,IF(Tab.11[[#This Row],[b3]]&gt;$L$989*$G$3,$L$989*$G$3,IF(Tab.11[[#This Row],[b3]]&lt;$M$989*$G$3,$M$989*$G$3,Tab.11[[#This Row],[b3]])))</f>
        <v>0</v>
      </c>
      <c r="H430" s="66" t="b">
        <f>IF(Tab.11[[#This Row],[a1]]=1,Tab.11[[#This Row],[b1]])</f>
        <v>0</v>
      </c>
      <c r="I430" s="67" t="b">
        <f>IF(Tab.11[[#This Row],[a1]]=1,Tab.11[[#This Row],[b1]])</f>
        <v>0</v>
      </c>
      <c r="J430" s="68" t="b">
        <f>IF(Tab.11[[#This Row],[a1]]=1,IF($I$3&lt;0,Tab.11[[#This Row],[b5]]-$I$3,Tab.11[[#This Row],[b5]]))</f>
        <v>0</v>
      </c>
      <c r="K430" s="68" t="b">
        <f>IF(Tab.11[[#This Row],[a1]]=1,IF($K$3=0,Tab.11[b6],Tab.11[[#This Row],[b6]]-AVERAGE(Tab.11[b6])))</f>
        <v>0</v>
      </c>
      <c r="L430" s="69" t="b">
        <f>IF(Tab.11[[#This Row],[a1]]=1,Tab.11[[#This Row],[data]]/(_xlfn.STDEV.P(Tab.11[data])*$B$989)+$A$989)</f>
        <v>0</v>
      </c>
      <c r="M430" s="69" t="b">
        <f>IF(Tab.11[[#This Row],[a1]]=1,Tab.11[[#This Row],[data]]/(_xlfn.STDEV.P(Tab.11[data])*$B$987)-$A$987)</f>
        <v>0</v>
      </c>
      <c r="N430" s="69" t="b">
        <f>IF(Tab.11[[#This Row],[a1]]=1,Tab.11[[#This Row],[data]]/(_xlfn.STDEV.P(Tab.11[data])*$B$988)+$A$988)</f>
        <v>0</v>
      </c>
      <c r="O430" s="70" t="b">
        <f>IF(Tab.11[[#This Row],[a1]]=1,_xlfn.NORM.DIST(Tab.11[[#This Row],[b8]],$P$1,$Q$1,FALSE))</f>
        <v>0</v>
      </c>
      <c r="P430" s="70" t="b">
        <f>IF(Tab.11[[#This Row],[a1]]=1,_xlfn.NORM.DIST(Tab.11[[#This Row],[b9]],$P$1,$Q$1,FALSE))</f>
        <v>0</v>
      </c>
      <c r="Q430" s="70" t="b">
        <f>IF(Tab.11[[#This Row],[a1]]=1,_xlfn.NORM.DIST(Tab.11[[#This Row],[b10]],$P$1,$Q$1,FALSE))</f>
        <v>0</v>
      </c>
      <c r="R430" s="67" t="b">
        <f>IF(Tab.11[[#This Row],[a1]]=1,$I$3+$A$989+IF($K$3=0,Tab.11[[#This Row],[b8]]*_xlfn.STDEV.P(Tab.11[data]),AVERAGE(Tab.11[b6])+Tab.11[[#This Row],[b8]]*_xlfn.STDEV.P(Tab.11[data])))</f>
        <v>0</v>
      </c>
      <c r="S430" s="71" t="b">
        <f>IF(Tab.11[[#This Row],[a1]]=1,$I$3+$A$987+IF($K$3=0,Tab.11[[#This Row],[b9]]*_xlfn.STDEV.P(Tab.11[data]),AVERAGE(Tab.11[b6])+Tab.11[[#This Row],[b9]]*_xlfn.STDEV.P(Tab.11[data])))</f>
        <v>0</v>
      </c>
      <c r="T430" s="71" t="b">
        <f>IF(Tab.11[[#This Row],[a1]]=1,$I$3+$A$988+IF($K$3=0,Tab.11[[#This Row],[b10]]*_xlfn.STDEV.P(Tab.11[data]),AVERAGE(Tab.11[b6])+Tab.11[[#This Row],[b10]]*_xlfn.STDEV.P(Tab.11[data])))</f>
        <v>0</v>
      </c>
      <c r="U430" s="72" t="b">
        <f>IF(Tab.11[[#This Row],[a1]]=1,Tab.11[[#This Row],[target]]-Tab.11[[#This Row],[Red]])</f>
        <v>0</v>
      </c>
      <c r="V430" s="72" t="b">
        <f>IF(Tab.11[[#This Row],[a1]]=1,Tab.11[[#This Row],[target]]-Tab.11[[#This Row],[Blue]])</f>
        <v>0</v>
      </c>
      <c r="W430" s="73" t="b">
        <f>IF(Tab.11[[#This Row],[a1]]=1,IF(ABS(Tab.11[[#This Row],[b17]])+ABS(Tab.11[[#This Row],[b18]])&lt;$W$2,$W$2,ABS(Tab.11[[#This Row],[b17]])+ABS(Tab.11[[#This Row],[b18]])))</f>
        <v>0</v>
      </c>
      <c r="X430" s="136" t="b">
        <f>IF(Tab.11[[#This Row],[a1]]=1,IF($W$3&lt;0,Tab.11[[#This Row],[IN]]-$I$3,Tab.11[[#This Row],[IN]]))</f>
        <v>0</v>
      </c>
      <c r="Y430" s="136" t="b">
        <f>IF(Tab.11[[#This Row],[a1]]=1,IF($X$3=0,Tab.11[b66],Tab.11[[#This Row],[b66]]-AVERAGE(Tab.11[b66])))</f>
        <v>0</v>
      </c>
      <c r="Z430" s="135" t="b">
        <f>IF(Tab.11[[#This Row],[a1]]=1,Tab.11[[#This Row],[b77]]/(_xlfn.STDEV.P(Tab.11[b77])))</f>
        <v>0</v>
      </c>
      <c r="AA430" s="70" t="b">
        <f>IF(Tab.11[[#This Row],[a1]]=1,_xlfn.NORM.DIST(Tab.11[[#This Row],[b88]],$Z$1,$AA$1,FALSE))</f>
        <v>0</v>
      </c>
      <c r="AB430" s="74" t="b">
        <f>IF(Tab.11[[#This Row],[a1]]=1,IF($A$3=0,FALSE,1/Tab.11[[#This Row],[IN]]*$AC$2*IF(Tab.11[[#This Row],[a1]]=0,,$A$3*$AC$1*1/$V$3*(Tab.11[[#This Row],[b14]]))))</f>
        <v>0</v>
      </c>
      <c r="AC430" s="75" t="b">
        <f>IF(Tab.11[[#This Row],[a1]]=1,IF($AC$3=0,Tab.11[[#This Row],[φ1]],Tab.11[[#This Row],[φ1]]/MAX(Tab.11[φ1])))</f>
        <v>0</v>
      </c>
      <c r="AD430" s="74" t="b">
        <f>IF(Tab.11[[#This Row],[a1]]=1,1/Tab.11[[#This Row],[φ2]])</f>
        <v>0</v>
      </c>
      <c r="AE430" s="74" t="b">
        <f>IF(Tab.11[[#This Row],[a1]]=1,IF($AE$3=0,Tab.11[[#This Row],[w.0]],Tab.11[[#This Row],[w.0]]/SUM(Tab.11[w.0])))</f>
        <v>0</v>
      </c>
      <c r="AF430" s="76" t="str">
        <f>IF(Tab.11[[#This Row],[a1]]=0,"false",[3]!Tab.x5[[#This Row],[%_seN_C]])</f>
        <v>false</v>
      </c>
      <c r="AG430" s="77" t="b">
        <f>IF(Tab.11[[#This Row],[a1]]=1,AP430)</f>
        <v>0</v>
      </c>
      <c r="AH430" s="78" t="b">
        <f>IF(Tab.11[[#This Row],[a1]]=1,AQ430)</f>
        <v>0</v>
      </c>
      <c r="AI430" s="41">
        <v>3.0000000000000001E-3</v>
      </c>
      <c r="AJ430" s="79">
        <v>-0.08</v>
      </c>
      <c r="AK430" s="80" t="b">
        <f>IF(Tab.11[[#This Row],[a1]]=1,1)</f>
        <v>0</v>
      </c>
      <c r="AZ430"/>
    </row>
    <row r="431" spans="1:52" hidden="1" x14ac:dyDescent="0.25">
      <c r="A431" s="61">
        <f t="shared" si="15"/>
        <v>0</v>
      </c>
      <c r="B431" s="62">
        <f t="shared" si="15"/>
        <v>0</v>
      </c>
      <c r="C431" s="62" t="b">
        <f>IF(Tab.11[[#This Row],[a1]]=1,[3]!Tab_x1[[#This Row],[Name]])</f>
        <v>0</v>
      </c>
      <c r="D431" s="63" t="b">
        <f>IF(Tab.11[[#This Row],[a1]]=1,AO431)</f>
        <v>0</v>
      </c>
      <c r="E431" s="63">
        <f t="shared" si="14"/>
        <v>0</v>
      </c>
      <c r="F431" s="64" t="b">
        <f>IF(Tab.11[[#This Row],[a1]]=1,Tab.11[[#This Row],[b1]])</f>
        <v>0</v>
      </c>
      <c r="G431" s="65" t="b">
        <f>IF(Tab.11[[#This Row],[a1]]=1,IF(Tab.11[[#This Row],[b3]]&gt;$L$989*$G$3,$L$989*$G$3,IF(Tab.11[[#This Row],[b3]]&lt;$M$989*$G$3,$M$989*$G$3,Tab.11[[#This Row],[b3]])))</f>
        <v>0</v>
      </c>
      <c r="H431" s="66" t="b">
        <f>IF(Tab.11[[#This Row],[a1]]=1,Tab.11[[#This Row],[b1]])</f>
        <v>0</v>
      </c>
      <c r="I431" s="67" t="b">
        <f>IF(Tab.11[[#This Row],[a1]]=1,Tab.11[[#This Row],[b1]])</f>
        <v>0</v>
      </c>
      <c r="J431" s="68" t="b">
        <f>IF(Tab.11[[#This Row],[a1]]=1,IF($I$3&lt;0,Tab.11[[#This Row],[b5]]-$I$3,Tab.11[[#This Row],[b5]]))</f>
        <v>0</v>
      </c>
      <c r="K431" s="68" t="b">
        <f>IF(Tab.11[[#This Row],[a1]]=1,IF($K$3=0,Tab.11[b6],Tab.11[[#This Row],[b6]]-AVERAGE(Tab.11[b6])))</f>
        <v>0</v>
      </c>
      <c r="L431" s="69" t="b">
        <f>IF(Tab.11[[#This Row],[a1]]=1,Tab.11[[#This Row],[data]]/(_xlfn.STDEV.P(Tab.11[data])*$B$989)+$A$989)</f>
        <v>0</v>
      </c>
      <c r="M431" s="69" t="b">
        <f>IF(Tab.11[[#This Row],[a1]]=1,Tab.11[[#This Row],[data]]/(_xlfn.STDEV.P(Tab.11[data])*$B$987)-$A$987)</f>
        <v>0</v>
      </c>
      <c r="N431" s="69" t="b">
        <f>IF(Tab.11[[#This Row],[a1]]=1,Tab.11[[#This Row],[data]]/(_xlfn.STDEV.P(Tab.11[data])*$B$988)+$A$988)</f>
        <v>0</v>
      </c>
      <c r="O431" s="70" t="b">
        <f>IF(Tab.11[[#This Row],[a1]]=1,_xlfn.NORM.DIST(Tab.11[[#This Row],[b8]],$P$1,$Q$1,FALSE))</f>
        <v>0</v>
      </c>
      <c r="P431" s="70" t="b">
        <f>IF(Tab.11[[#This Row],[a1]]=1,_xlfn.NORM.DIST(Tab.11[[#This Row],[b9]],$P$1,$Q$1,FALSE))</f>
        <v>0</v>
      </c>
      <c r="Q431" s="70" t="b">
        <f>IF(Tab.11[[#This Row],[a1]]=1,_xlfn.NORM.DIST(Tab.11[[#This Row],[b10]],$P$1,$Q$1,FALSE))</f>
        <v>0</v>
      </c>
      <c r="R431" s="67" t="b">
        <f>IF(Tab.11[[#This Row],[a1]]=1,$I$3+$A$989+IF($K$3=0,Tab.11[[#This Row],[b8]]*_xlfn.STDEV.P(Tab.11[data]),AVERAGE(Tab.11[b6])+Tab.11[[#This Row],[b8]]*_xlfn.STDEV.P(Tab.11[data])))</f>
        <v>0</v>
      </c>
      <c r="S431" s="71" t="b">
        <f>IF(Tab.11[[#This Row],[a1]]=1,$I$3+$A$987+IF($K$3=0,Tab.11[[#This Row],[b9]]*_xlfn.STDEV.P(Tab.11[data]),AVERAGE(Tab.11[b6])+Tab.11[[#This Row],[b9]]*_xlfn.STDEV.P(Tab.11[data])))</f>
        <v>0</v>
      </c>
      <c r="T431" s="71" t="b">
        <f>IF(Tab.11[[#This Row],[a1]]=1,$I$3+$A$988+IF($K$3=0,Tab.11[[#This Row],[b10]]*_xlfn.STDEV.P(Tab.11[data]),AVERAGE(Tab.11[b6])+Tab.11[[#This Row],[b10]]*_xlfn.STDEV.P(Tab.11[data])))</f>
        <v>0</v>
      </c>
      <c r="U431" s="72" t="b">
        <f>IF(Tab.11[[#This Row],[a1]]=1,Tab.11[[#This Row],[target]]-Tab.11[[#This Row],[Red]])</f>
        <v>0</v>
      </c>
      <c r="V431" s="72" t="b">
        <f>IF(Tab.11[[#This Row],[a1]]=1,Tab.11[[#This Row],[target]]-Tab.11[[#This Row],[Blue]])</f>
        <v>0</v>
      </c>
      <c r="W431" s="73" t="b">
        <f>IF(Tab.11[[#This Row],[a1]]=1,IF(ABS(Tab.11[[#This Row],[b17]])+ABS(Tab.11[[#This Row],[b18]])&lt;$W$2,$W$2,ABS(Tab.11[[#This Row],[b17]])+ABS(Tab.11[[#This Row],[b18]])))</f>
        <v>0</v>
      </c>
      <c r="X431" s="136" t="b">
        <f>IF(Tab.11[[#This Row],[a1]]=1,IF($W$3&lt;0,Tab.11[[#This Row],[IN]]-$I$3,Tab.11[[#This Row],[IN]]))</f>
        <v>0</v>
      </c>
      <c r="Y431" s="136" t="b">
        <f>IF(Tab.11[[#This Row],[a1]]=1,IF($X$3=0,Tab.11[b66],Tab.11[[#This Row],[b66]]-AVERAGE(Tab.11[b66])))</f>
        <v>0</v>
      </c>
      <c r="Z431" s="135" t="b">
        <f>IF(Tab.11[[#This Row],[a1]]=1,Tab.11[[#This Row],[b77]]/(_xlfn.STDEV.P(Tab.11[b77])))</f>
        <v>0</v>
      </c>
      <c r="AA431" s="70" t="b">
        <f>IF(Tab.11[[#This Row],[a1]]=1,_xlfn.NORM.DIST(Tab.11[[#This Row],[b88]],$Z$1,$AA$1,FALSE))</f>
        <v>0</v>
      </c>
      <c r="AB431" s="74" t="b">
        <f>IF(Tab.11[[#This Row],[a1]]=1,IF($A$3=0,FALSE,1/Tab.11[[#This Row],[IN]]*$AC$2*IF(Tab.11[[#This Row],[a1]]=0,,$A$3*$AC$1*1/$V$3*(Tab.11[[#This Row],[b14]]))))</f>
        <v>0</v>
      </c>
      <c r="AC431" s="75" t="b">
        <f>IF(Tab.11[[#This Row],[a1]]=1,IF($AC$3=0,Tab.11[[#This Row],[φ1]],Tab.11[[#This Row],[φ1]]/MAX(Tab.11[φ1])))</f>
        <v>0</v>
      </c>
      <c r="AD431" s="74" t="b">
        <f>IF(Tab.11[[#This Row],[a1]]=1,1/Tab.11[[#This Row],[φ2]])</f>
        <v>0</v>
      </c>
      <c r="AE431" s="74" t="b">
        <f>IF(Tab.11[[#This Row],[a1]]=1,IF($AE$3=0,Tab.11[[#This Row],[w.0]],Tab.11[[#This Row],[w.0]]/SUM(Tab.11[w.0])))</f>
        <v>0</v>
      </c>
      <c r="AF431" s="76" t="str">
        <f>IF(Tab.11[[#This Row],[a1]]=0,"false",[3]!Tab.x5[[#This Row],[%_seN_C]])</f>
        <v>false</v>
      </c>
      <c r="AG431" s="77" t="b">
        <f>IF(Tab.11[[#This Row],[a1]]=1,AP431)</f>
        <v>0</v>
      </c>
      <c r="AH431" s="78" t="b">
        <f>IF(Tab.11[[#This Row],[a1]]=1,AQ431)</f>
        <v>0</v>
      </c>
      <c r="AI431" s="41">
        <v>3.0000000000000001E-3</v>
      </c>
      <c r="AJ431" s="79">
        <v>0.09</v>
      </c>
      <c r="AK431" s="80" t="b">
        <f>IF(Tab.11[[#This Row],[a1]]=1,1)</f>
        <v>0</v>
      </c>
      <c r="AZ431"/>
    </row>
    <row r="432" spans="1:52" hidden="1" x14ac:dyDescent="0.25">
      <c r="A432" s="61">
        <f t="shared" si="15"/>
        <v>0</v>
      </c>
      <c r="B432" s="62">
        <f t="shared" si="15"/>
        <v>0</v>
      </c>
      <c r="C432" s="62" t="b">
        <f>IF(Tab.11[[#This Row],[a1]]=1,[3]!Tab_x1[[#This Row],[Name]])</f>
        <v>0</v>
      </c>
      <c r="D432" s="63" t="b">
        <f>IF(Tab.11[[#This Row],[a1]]=1,AO432)</f>
        <v>0</v>
      </c>
      <c r="E432" s="63">
        <f t="shared" si="14"/>
        <v>0</v>
      </c>
      <c r="F432" s="64" t="b">
        <f>IF(Tab.11[[#This Row],[a1]]=1,Tab.11[[#This Row],[b1]])</f>
        <v>0</v>
      </c>
      <c r="G432" s="65" t="b">
        <f>IF(Tab.11[[#This Row],[a1]]=1,IF(Tab.11[[#This Row],[b3]]&gt;$L$989*$G$3,$L$989*$G$3,IF(Tab.11[[#This Row],[b3]]&lt;$M$989*$G$3,$M$989*$G$3,Tab.11[[#This Row],[b3]])))</f>
        <v>0</v>
      </c>
      <c r="H432" s="66" t="b">
        <f>IF(Tab.11[[#This Row],[a1]]=1,Tab.11[[#This Row],[b1]])</f>
        <v>0</v>
      </c>
      <c r="I432" s="67" t="b">
        <f>IF(Tab.11[[#This Row],[a1]]=1,Tab.11[[#This Row],[b1]])</f>
        <v>0</v>
      </c>
      <c r="J432" s="68" t="b">
        <f>IF(Tab.11[[#This Row],[a1]]=1,IF($I$3&lt;0,Tab.11[[#This Row],[b5]]-$I$3,Tab.11[[#This Row],[b5]]))</f>
        <v>0</v>
      </c>
      <c r="K432" s="68" t="b">
        <f>IF(Tab.11[[#This Row],[a1]]=1,IF($K$3=0,Tab.11[b6],Tab.11[[#This Row],[b6]]-AVERAGE(Tab.11[b6])))</f>
        <v>0</v>
      </c>
      <c r="L432" s="69" t="b">
        <f>IF(Tab.11[[#This Row],[a1]]=1,Tab.11[[#This Row],[data]]/(_xlfn.STDEV.P(Tab.11[data])*$B$989)+$A$989)</f>
        <v>0</v>
      </c>
      <c r="M432" s="69" t="b">
        <f>IF(Tab.11[[#This Row],[a1]]=1,Tab.11[[#This Row],[data]]/(_xlfn.STDEV.P(Tab.11[data])*$B$987)-$A$987)</f>
        <v>0</v>
      </c>
      <c r="N432" s="69" t="b">
        <f>IF(Tab.11[[#This Row],[a1]]=1,Tab.11[[#This Row],[data]]/(_xlfn.STDEV.P(Tab.11[data])*$B$988)+$A$988)</f>
        <v>0</v>
      </c>
      <c r="O432" s="70" t="b">
        <f>IF(Tab.11[[#This Row],[a1]]=1,_xlfn.NORM.DIST(Tab.11[[#This Row],[b8]],$P$1,$Q$1,FALSE))</f>
        <v>0</v>
      </c>
      <c r="P432" s="70" t="b">
        <f>IF(Tab.11[[#This Row],[a1]]=1,_xlfn.NORM.DIST(Tab.11[[#This Row],[b9]],$P$1,$Q$1,FALSE))</f>
        <v>0</v>
      </c>
      <c r="Q432" s="70" t="b">
        <f>IF(Tab.11[[#This Row],[a1]]=1,_xlfn.NORM.DIST(Tab.11[[#This Row],[b10]],$P$1,$Q$1,FALSE))</f>
        <v>0</v>
      </c>
      <c r="R432" s="67" t="b">
        <f>IF(Tab.11[[#This Row],[a1]]=1,$I$3+$A$989+IF($K$3=0,Tab.11[[#This Row],[b8]]*_xlfn.STDEV.P(Tab.11[data]),AVERAGE(Tab.11[b6])+Tab.11[[#This Row],[b8]]*_xlfn.STDEV.P(Tab.11[data])))</f>
        <v>0</v>
      </c>
      <c r="S432" s="71" t="b">
        <f>IF(Tab.11[[#This Row],[a1]]=1,$I$3+$A$987+IF($K$3=0,Tab.11[[#This Row],[b9]]*_xlfn.STDEV.P(Tab.11[data]),AVERAGE(Tab.11[b6])+Tab.11[[#This Row],[b9]]*_xlfn.STDEV.P(Tab.11[data])))</f>
        <v>0</v>
      </c>
      <c r="T432" s="71" t="b">
        <f>IF(Tab.11[[#This Row],[a1]]=1,$I$3+$A$988+IF($K$3=0,Tab.11[[#This Row],[b10]]*_xlfn.STDEV.P(Tab.11[data]),AVERAGE(Tab.11[b6])+Tab.11[[#This Row],[b10]]*_xlfn.STDEV.P(Tab.11[data])))</f>
        <v>0</v>
      </c>
      <c r="U432" s="72" t="b">
        <f>IF(Tab.11[[#This Row],[a1]]=1,Tab.11[[#This Row],[target]]-Tab.11[[#This Row],[Red]])</f>
        <v>0</v>
      </c>
      <c r="V432" s="72" t="b">
        <f>IF(Tab.11[[#This Row],[a1]]=1,Tab.11[[#This Row],[target]]-Tab.11[[#This Row],[Blue]])</f>
        <v>0</v>
      </c>
      <c r="W432" s="73" t="b">
        <f>IF(Tab.11[[#This Row],[a1]]=1,IF(ABS(Tab.11[[#This Row],[b17]])+ABS(Tab.11[[#This Row],[b18]])&lt;$W$2,$W$2,ABS(Tab.11[[#This Row],[b17]])+ABS(Tab.11[[#This Row],[b18]])))</f>
        <v>0</v>
      </c>
      <c r="X432" s="136" t="b">
        <f>IF(Tab.11[[#This Row],[a1]]=1,IF($W$3&lt;0,Tab.11[[#This Row],[IN]]-$I$3,Tab.11[[#This Row],[IN]]))</f>
        <v>0</v>
      </c>
      <c r="Y432" s="136" t="b">
        <f>IF(Tab.11[[#This Row],[a1]]=1,IF($X$3=0,Tab.11[b66],Tab.11[[#This Row],[b66]]-AVERAGE(Tab.11[b66])))</f>
        <v>0</v>
      </c>
      <c r="Z432" s="135" t="b">
        <f>IF(Tab.11[[#This Row],[a1]]=1,Tab.11[[#This Row],[b77]]/(_xlfn.STDEV.P(Tab.11[b77])))</f>
        <v>0</v>
      </c>
      <c r="AA432" s="70" t="b">
        <f>IF(Tab.11[[#This Row],[a1]]=1,_xlfn.NORM.DIST(Tab.11[[#This Row],[b88]],$Z$1,$AA$1,FALSE))</f>
        <v>0</v>
      </c>
      <c r="AB432" s="74" t="b">
        <f>IF(Tab.11[[#This Row],[a1]]=1,IF($A$3=0,FALSE,1/Tab.11[[#This Row],[IN]]*$AC$2*IF(Tab.11[[#This Row],[a1]]=0,,$A$3*$AC$1*1/$V$3*(Tab.11[[#This Row],[b14]]))))</f>
        <v>0</v>
      </c>
      <c r="AC432" s="75" t="b">
        <f>IF(Tab.11[[#This Row],[a1]]=1,IF($AC$3=0,Tab.11[[#This Row],[φ1]],Tab.11[[#This Row],[φ1]]/MAX(Tab.11[φ1])))</f>
        <v>0</v>
      </c>
      <c r="AD432" s="74" t="b">
        <f>IF(Tab.11[[#This Row],[a1]]=1,1/Tab.11[[#This Row],[φ2]])</f>
        <v>0</v>
      </c>
      <c r="AE432" s="74" t="b">
        <f>IF(Tab.11[[#This Row],[a1]]=1,IF($AE$3=0,Tab.11[[#This Row],[w.0]],Tab.11[[#This Row],[w.0]]/SUM(Tab.11[w.0])))</f>
        <v>0</v>
      </c>
      <c r="AF432" s="76" t="str">
        <f>IF(Tab.11[[#This Row],[a1]]=0,"false",[3]!Tab.x5[[#This Row],[%_seN_C]])</f>
        <v>false</v>
      </c>
      <c r="AG432" s="77" t="b">
        <f>IF(Tab.11[[#This Row],[a1]]=1,AP432)</f>
        <v>0</v>
      </c>
      <c r="AH432" s="78" t="b">
        <f>IF(Tab.11[[#This Row],[a1]]=1,AQ432)</f>
        <v>0</v>
      </c>
      <c r="AI432" s="41">
        <v>3.0000000000000001E-3</v>
      </c>
      <c r="AJ432" s="79">
        <v>7.0000000000000007E-2</v>
      </c>
      <c r="AK432" s="80" t="b">
        <f>IF(Tab.11[[#This Row],[a1]]=1,1)</f>
        <v>0</v>
      </c>
      <c r="AZ432"/>
    </row>
    <row r="433" spans="1:52" hidden="1" x14ac:dyDescent="0.25">
      <c r="A433" s="61">
        <f t="shared" si="15"/>
        <v>0</v>
      </c>
      <c r="B433" s="62">
        <f t="shared" si="15"/>
        <v>0</v>
      </c>
      <c r="C433" s="62" t="b">
        <f>IF(Tab.11[[#This Row],[a1]]=1,[3]!Tab_x1[[#This Row],[Name]])</f>
        <v>0</v>
      </c>
      <c r="D433" s="63" t="b">
        <f>IF(Tab.11[[#This Row],[a1]]=1,AO433)</f>
        <v>0</v>
      </c>
      <c r="E433" s="63">
        <f t="shared" si="14"/>
        <v>0</v>
      </c>
      <c r="F433" s="64" t="b">
        <f>IF(Tab.11[[#This Row],[a1]]=1,Tab.11[[#This Row],[b1]])</f>
        <v>0</v>
      </c>
      <c r="G433" s="65" t="b">
        <f>IF(Tab.11[[#This Row],[a1]]=1,IF(Tab.11[[#This Row],[b3]]&gt;$L$989*$G$3,$L$989*$G$3,IF(Tab.11[[#This Row],[b3]]&lt;$M$989*$G$3,$M$989*$G$3,Tab.11[[#This Row],[b3]])))</f>
        <v>0</v>
      </c>
      <c r="H433" s="66" t="b">
        <f>IF(Tab.11[[#This Row],[a1]]=1,Tab.11[[#This Row],[b1]])</f>
        <v>0</v>
      </c>
      <c r="I433" s="67" t="b">
        <f>IF(Tab.11[[#This Row],[a1]]=1,Tab.11[[#This Row],[b1]])</f>
        <v>0</v>
      </c>
      <c r="J433" s="68" t="b">
        <f>IF(Tab.11[[#This Row],[a1]]=1,IF($I$3&lt;0,Tab.11[[#This Row],[b5]]-$I$3,Tab.11[[#This Row],[b5]]))</f>
        <v>0</v>
      </c>
      <c r="K433" s="68" t="b">
        <f>IF(Tab.11[[#This Row],[a1]]=1,IF($K$3=0,Tab.11[b6],Tab.11[[#This Row],[b6]]-AVERAGE(Tab.11[b6])))</f>
        <v>0</v>
      </c>
      <c r="L433" s="69" t="b">
        <f>IF(Tab.11[[#This Row],[a1]]=1,Tab.11[[#This Row],[data]]/(_xlfn.STDEV.P(Tab.11[data])*$B$989)+$A$989)</f>
        <v>0</v>
      </c>
      <c r="M433" s="69" t="b">
        <f>IF(Tab.11[[#This Row],[a1]]=1,Tab.11[[#This Row],[data]]/(_xlfn.STDEV.P(Tab.11[data])*$B$987)-$A$987)</f>
        <v>0</v>
      </c>
      <c r="N433" s="69" t="b">
        <f>IF(Tab.11[[#This Row],[a1]]=1,Tab.11[[#This Row],[data]]/(_xlfn.STDEV.P(Tab.11[data])*$B$988)+$A$988)</f>
        <v>0</v>
      </c>
      <c r="O433" s="70" t="b">
        <f>IF(Tab.11[[#This Row],[a1]]=1,_xlfn.NORM.DIST(Tab.11[[#This Row],[b8]],$P$1,$Q$1,FALSE))</f>
        <v>0</v>
      </c>
      <c r="P433" s="70" t="b">
        <f>IF(Tab.11[[#This Row],[a1]]=1,_xlfn.NORM.DIST(Tab.11[[#This Row],[b9]],$P$1,$Q$1,FALSE))</f>
        <v>0</v>
      </c>
      <c r="Q433" s="70" t="b">
        <f>IF(Tab.11[[#This Row],[a1]]=1,_xlfn.NORM.DIST(Tab.11[[#This Row],[b10]],$P$1,$Q$1,FALSE))</f>
        <v>0</v>
      </c>
      <c r="R433" s="67" t="b">
        <f>IF(Tab.11[[#This Row],[a1]]=1,$I$3+$A$989+IF($K$3=0,Tab.11[[#This Row],[b8]]*_xlfn.STDEV.P(Tab.11[data]),AVERAGE(Tab.11[b6])+Tab.11[[#This Row],[b8]]*_xlfn.STDEV.P(Tab.11[data])))</f>
        <v>0</v>
      </c>
      <c r="S433" s="71" t="b">
        <f>IF(Tab.11[[#This Row],[a1]]=1,$I$3+$A$987+IF($K$3=0,Tab.11[[#This Row],[b9]]*_xlfn.STDEV.P(Tab.11[data]),AVERAGE(Tab.11[b6])+Tab.11[[#This Row],[b9]]*_xlfn.STDEV.P(Tab.11[data])))</f>
        <v>0</v>
      </c>
      <c r="T433" s="71" t="b">
        <f>IF(Tab.11[[#This Row],[a1]]=1,$I$3+$A$988+IF($K$3=0,Tab.11[[#This Row],[b10]]*_xlfn.STDEV.P(Tab.11[data]),AVERAGE(Tab.11[b6])+Tab.11[[#This Row],[b10]]*_xlfn.STDEV.P(Tab.11[data])))</f>
        <v>0</v>
      </c>
      <c r="U433" s="72" t="b">
        <f>IF(Tab.11[[#This Row],[a1]]=1,Tab.11[[#This Row],[target]]-Tab.11[[#This Row],[Red]])</f>
        <v>0</v>
      </c>
      <c r="V433" s="72" t="b">
        <f>IF(Tab.11[[#This Row],[a1]]=1,Tab.11[[#This Row],[target]]-Tab.11[[#This Row],[Blue]])</f>
        <v>0</v>
      </c>
      <c r="W433" s="73" t="b">
        <f>IF(Tab.11[[#This Row],[a1]]=1,IF(ABS(Tab.11[[#This Row],[b17]])+ABS(Tab.11[[#This Row],[b18]])&lt;$W$2,$W$2,ABS(Tab.11[[#This Row],[b17]])+ABS(Tab.11[[#This Row],[b18]])))</f>
        <v>0</v>
      </c>
      <c r="X433" s="136" t="b">
        <f>IF(Tab.11[[#This Row],[a1]]=1,IF($W$3&lt;0,Tab.11[[#This Row],[IN]]-$I$3,Tab.11[[#This Row],[IN]]))</f>
        <v>0</v>
      </c>
      <c r="Y433" s="136" t="b">
        <f>IF(Tab.11[[#This Row],[a1]]=1,IF($X$3=0,Tab.11[b66],Tab.11[[#This Row],[b66]]-AVERAGE(Tab.11[b66])))</f>
        <v>0</v>
      </c>
      <c r="Z433" s="135" t="b">
        <f>IF(Tab.11[[#This Row],[a1]]=1,Tab.11[[#This Row],[b77]]/(_xlfn.STDEV.P(Tab.11[b77])))</f>
        <v>0</v>
      </c>
      <c r="AA433" s="70" t="b">
        <f>IF(Tab.11[[#This Row],[a1]]=1,_xlfn.NORM.DIST(Tab.11[[#This Row],[b88]],$Z$1,$AA$1,FALSE))</f>
        <v>0</v>
      </c>
      <c r="AB433" s="74" t="b">
        <f>IF(Tab.11[[#This Row],[a1]]=1,IF($A$3=0,FALSE,1/Tab.11[[#This Row],[IN]]*$AC$2*IF(Tab.11[[#This Row],[a1]]=0,,$A$3*$AC$1*1/$V$3*(Tab.11[[#This Row],[b14]]))))</f>
        <v>0</v>
      </c>
      <c r="AC433" s="75" t="b">
        <f>IF(Tab.11[[#This Row],[a1]]=1,IF($AC$3=0,Tab.11[[#This Row],[φ1]],Tab.11[[#This Row],[φ1]]/MAX(Tab.11[φ1])))</f>
        <v>0</v>
      </c>
      <c r="AD433" s="74" t="b">
        <f>IF(Tab.11[[#This Row],[a1]]=1,1/Tab.11[[#This Row],[φ2]])</f>
        <v>0</v>
      </c>
      <c r="AE433" s="74" t="b">
        <f>IF(Tab.11[[#This Row],[a1]]=1,IF($AE$3=0,Tab.11[[#This Row],[w.0]],Tab.11[[#This Row],[w.0]]/SUM(Tab.11[w.0])))</f>
        <v>0</v>
      </c>
      <c r="AF433" s="76" t="str">
        <f>IF(Tab.11[[#This Row],[a1]]=0,"false",[3]!Tab.x5[[#This Row],[%_seN_C]])</f>
        <v>false</v>
      </c>
      <c r="AG433" s="77" t="b">
        <f>IF(Tab.11[[#This Row],[a1]]=1,AP433)</f>
        <v>0</v>
      </c>
      <c r="AH433" s="78" t="b">
        <f>IF(Tab.11[[#This Row],[a1]]=1,AQ433)</f>
        <v>0</v>
      </c>
      <c r="AI433" s="41">
        <v>3.0000000000000001E-3</v>
      </c>
      <c r="AJ433" s="79">
        <v>0</v>
      </c>
      <c r="AK433" s="80" t="b">
        <f>IF(Tab.11[[#This Row],[a1]]=1,1)</f>
        <v>0</v>
      </c>
      <c r="AZ433"/>
    </row>
    <row r="434" spans="1:52" hidden="1" x14ac:dyDescent="0.25">
      <c r="A434" s="61">
        <f t="shared" si="15"/>
        <v>0</v>
      </c>
      <c r="B434" s="62">
        <f t="shared" si="15"/>
        <v>0</v>
      </c>
      <c r="C434" s="62" t="b">
        <f>IF(Tab.11[[#This Row],[a1]]=1,[3]!Tab_x1[[#This Row],[Name]])</f>
        <v>0</v>
      </c>
      <c r="D434" s="63" t="b">
        <f>IF(Tab.11[[#This Row],[a1]]=1,AO434)</f>
        <v>0</v>
      </c>
      <c r="E434" s="63">
        <f t="shared" si="14"/>
        <v>0</v>
      </c>
      <c r="F434" s="64" t="b">
        <f>IF(Tab.11[[#This Row],[a1]]=1,Tab.11[[#This Row],[b1]])</f>
        <v>0</v>
      </c>
      <c r="G434" s="65" t="b">
        <f>IF(Tab.11[[#This Row],[a1]]=1,IF(Tab.11[[#This Row],[b3]]&gt;$L$989*$G$3,$L$989*$G$3,IF(Tab.11[[#This Row],[b3]]&lt;$M$989*$G$3,$M$989*$G$3,Tab.11[[#This Row],[b3]])))</f>
        <v>0</v>
      </c>
      <c r="H434" s="66" t="b">
        <f>IF(Tab.11[[#This Row],[a1]]=1,Tab.11[[#This Row],[b1]])</f>
        <v>0</v>
      </c>
      <c r="I434" s="67" t="b">
        <f>IF(Tab.11[[#This Row],[a1]]=1,Tab.11[[#This Row],[b1]])</f>
        <v>0</v>
      </c>
      <c r="J434" s="68" t="b">
        <f>IF(Tab.11[[#This Row],[a1]]=1,IF($I$3&lt;0,Tab.11[[#This Row],[b5]]-$I$3,Tab.11[[#This Row],[b5]]))</f>
        <v>0</v>
      </c>
      <c r="K434" s="68" t="b">
        <f>IF(Tab.11[[#This Row],[a1]]=1,IF($K$3=0,Tab.11[b6],Tab.11[[#This Row],[b6]]-AVERAGE(Tab.11[b6])))</f>
        <v>0</v>
      </c>
      <c r="L434" s="69" t="b">
        <f>IF(Tab.11[[#This Row],[a1]]=1,Tab.11[[#This Row],[data]]/(_xlfn.STDEV.P(Tab.11[data])*$B$989)+$A$989)</f>
        <v>0</v>
      </c>
      <c r="M434" s="69" t="b">
        <f>IF(Tab.11[[#This Row],[a1]]=1,Tab.11[[#This Row],[data]]/(_xlfn.STDEV.P(Tab.11[data])*$B$987)-$A$987)</f>
        <v>0</v>
      </c>
      <c r="N434" s="69" t="b">
        <f>IF(Tab.11[[#This Row],[a1]]=1,Tab.11[[#This Row],[data]]/(_xlfn.STDEV.P(Tab.11[data])*$B$988)+$A$988)</f>
        <v>0</v>
      </c>
      <c r="O434" s="70" t="b">
        <f>IF(Tab.11[[#This Row],[a1]]=1,_xlfn.NORM.DIST(Tab.11[[#This Row],[b8]],$P$1,$Q$1,FALSE))</f>
        <v>0</v>
      </c>
      <c r="P434" s="70" t="b">
        <f>IF(Tab.11[[#This Row],[a1]]=1,_xlfn.NORM.DIST(Tab.11[[#This Row],[b9]],$P$1,$Q$1,FALSE))</f>
        <v>0</v>
      </c>
      <c r="Q434" s="70" t="b">
        <f>IF(Tab.11[[#This Row],[a1]]=1,_xlfn.NORM.DIST(Tab.11[[#This Row],[b10]],$P$1,$Q$1,FALSE))</f>
        <v>0</v>
      </c>
      <c r="R434" s="67" t="b">
        <f>IF(Tab.11[[#This Row],[a1]]=1,$I$3+$A$989+IF($K$3=0,Tab.11[[#This Row],[b8]]*_xlfn.STDEV.P(Tab.11[data]),AVERAGE(Tab.11[b6])+Tab.11[[#This Row],[b8]]*_xlfn.STDEV.P(Tab.11[data])))</f>
        <v>0</v>
      </c>
      <c r="S434" s="71" t="b">
        <f>IF(Tab.11[[#This Row],[a1]]=1,$I$3+$A$987+IF($K$3=0,Tab.11[[#This Row],[b9]]*_xlfn.STDEV.P(Tab.11[data]),AVERAGE(Tab.11[b6])+Tab.11[[#This Row],[b9]]*_xlfn.STDEV.P(Tab.11[data])))</f>
        <v>0</v>
      </c>
      <c r="T434" s="71" t="b">
        <f>IF(Tab.11[[#This Row],[a1]]=1,$I$3+$A$988+IF($K$3=0,Tab.11[[#This Row],[b10]]*_xlfn.STDEV.P(Tab.11[data]),AVERAGE(Tab.11[b6])+Tab.11[[#This Row],[b10]]*_xlfn.STDEV.P(Tab.11[data])))</f>
        <v>0</v>
      </c>
      <c r="U434" s="72" t="b">
        <f>IF(Tab.11[[#This Row],[a1]]=1,Tab.11[[#This Row],[target]]-Tab.11[[#This Row],[Red]])</f>
        <v>0</v>
      </c>
      <c r="V434" s="72" t="b">
        <f>IF(Tab.11[[#This Row],[a1]]=1,Tab.11[[#This Row],[target]]-Tab.11[[#This Row],[Blue]])</f>
        <v>0</v>
      </c>
      <c r="W434" s="73" t="b">
        <f>IF(Tab.11[[#This Row],[a1]]=1,IF(ABS(Tab.11[[#This Row],[b17]])+ABS(Tab.11[[#This Row],[b18]])&lt;$W$2,$W$2,ABS(Tab.11[[#This Row],[b17]])+ABS(Tab.11[[#This Row],[b18]])))</f>
        <v>0</v>
      </c>
      <c r="X434" s="136" t="b">
        <f>IF(Tab.11[[#This Row],[a1]]=1,IF($W$3&lt;0,Tab.11[[#This Row],[IN]]-$I$3,Tab.11[[#This Row],[IN]]))</f>
        <v>0</v>
      </c>
      <c r="Y434" s="136" t="b">
        <f>IF(Tab.11[[#This Row],[a1]]=1,IF($X$3=0,Tab.11[b66],Tab.11[[#This Row],[b66]]-AVERAGE(Tab.11[b66])))</f>
        <v>0</v>
      </c>
      <c r="Z434" s="135" t="b">
        <f>IF(Tab.11[[#This Row],[a1]]=1,Tab.11[[#This Row],[b77]]/(_xlfn.STDEV.P(Tab.11[b77])))</f>
        <v>0</v>
      </c>
      <c r="AA434" s="70" t="b">
        <f>IF(Tab.11[[#This Row],[a1]]=1,_xlfn.NORM.DIST(Tab.11[[#This Row],[b88]],$Z$1,$AA$1,FALSE))</f>
        <v>0</v>
      </c>
      <c r="AB434" s="74" t="b">
        <f>IF(Tab.11[[#This Row],[a1]]=1,IF($A$3=0,FALSE,1/Tab.11[[#This Row],[IN]]*$AC$2*IF(Tab.11[[#This Row],[a1]]=0,,$A$3*$AC$1*1/$V$3*(Tab.11[[#This Row],[b14]]))))</f>
        <v>0</v>
      </c>
      <c r="AC434" s="75" t="b">
        <f>IF(Tab.11[[#This Row],[a1]]=1,IF($AC$3=0,Tab.11[[#This Row],[φ1]],Tab.11[[#This Row],[φ1]]/MAX(Tab.11[φ1])))</f>
        <v>0</v>
      </c>
      <c r="AD434" s="74" t="b">
        <f>IF(Tab.11[[#This Row],[a1]]=1,1/Tab.11[[#This Row],[φ2]])</f>
        <v>0</v>
      </c>
      <c r="AE434" s="74" t="b">
        <f>IF(Tab.11[[#This Row],[a1]]=1,IF($AE$3=0,Tab.11[[#This Row],[w.0]],Tab.11[[#This Row],[w.0]]/SUM(Tab.11[w.0])))</f>
        <v>0</v>
      </c>
      <c r="AF434" s="76" t="str">
        <f>IF(Tab.11[[#This Row],[a1]]=0,"false",[3]!Tab.x5[[#This Row],[%_seN_C]])</f>
        <v>false</v>
      </c>
      <c r="AG434" s="77" t="b">
        <f>IF(Tab.11[[#This Row],[a1]]=1,AP434)</f>
        <v>0</v>
      </c>
      <c r="AH434" s="78" t="b">
        <f>IF(Tab.11[[#This Row],[a1]]=1,AQ434)</f>
        <v>0</v>
      </c>
      <c r="AI434" s="41">
        <v>3.0000000000000001E-3</v>
      </c>
      <c r="AJ434" s="79">
        <v>-0.05</v>
      </c>
      <c r="AK434" s="80" t="b">
        <f>IF(Tab.11[[#This Row],[a1]]=1,1)</f>
        <v>0</v>
      </c>
      <c r="AZ434"/>
    </row>
    <row r="435" spans="1:52" hidden="1" x14ac:dyDescent="0.25">
      <c r="A435" s="61">
        <f t="shared" si="15"/>
        <v>0</v>
      </c>
      <c r="B435" s="62">
        <f t="shared" si="15"/>
        <v>0</v>
      </c>
      <c r="C435" s="62" t="b">
        <f>IF(Tab.11[[#This Row],[a1]]=1,[3]!Tab_x1[[#This Row],[Name]])</f>
        <v>0</v>
      </c>
      <c r="D435" s="63" t="b">
        <f>IF(Tab.11[[#This Row],[a1]]=1,AO435)</f>
        <v>0</v>
      </c>
      <c r="E435" s="63">
        <f t="shared" si="14"/>
        <v>0</v>
      </c>
      <c r="F435" s="64" t="b">
        <f>IF(Tab.11[[#This Row],[a1]]=1,Tab.11[[#This Row],[b1]])</f>
        <v>0</v>
      </c>
      <c r="G435" s="65" t="b">
        <f>IF(Tab.11[[#This Row],[a1]]=1,IF(Tab.11[[#This Row],[b3]]&gt;$L$989*$G$3,$L$989*$G$3,IF(Tab.11[[#This Row],[b3]]&lt;$M$989*$G$3,$M$989*$G$3,Tab.11[[#This Row],[b3]])))</f>
        <v>0</v>
      </c>
      <c r="H435" s="66" t="b">
        <f>IF(Tab.11[[#This Row],[a1]]=1,Tab.11[[#This Row],[b1]])</f>
        <v>0</v>
      </c>
      <c r="I435" s="67" t="b">
        <f>IF(Tab.11[[#This Row],[a1]]=1,Tab.11[[#This Row],[b1]])</f>
        <v>0</v>
      </c>
      <c r="J435" s="68" t="b">
        <f>IF(Tab.11[[#This Row],[a1]]=1,IF($I$3&lt;0,Tab.11[[#This Row],[b5]]-$I$3,Tab.11[[#This Row],[b5]]))</f>
        <v>0</v>
      </c>
      <c r="K435" s="68" t="b">
        <f>IF(Tab.11[[#This Row],[a1]]=1,IF($K$3=0,Tab.11[b6],Tab.11[[#This Row],[b6]]-AVERAGE(Tab.11[b6])))</f>
        <v>0</v>
      </c>
      <c r="L435" s="69" t="b">
        <f>IF(Tab.11[[#This Row],[a1]]=1,Tab.11[[#This Row],[data]]/(_xlfn.STDEV.P(Tab.11[data])*$B$989)+$A$989)</f>
        <v>0</v>
      </c>
      <c r="M435" s="69" t="b">
        <f>IF(Tab.11[[#This Row],[a1]]=1,Tab.11[[#This Row],[data]]/(_xlfn.STDEV.P(Tab.11[data])*$B$987)-$A$987)</f>
        <v>0</v>
      </c>
      <c r="N435" s="69" t="b">
        <f>IF(Tab.11[[#This Row],[a1]]=1,Tab.11[[#This Row],[data]]/(_xlfn.STDEV.P(Tab.11[data])*$B$988)+$A$988)</f>
        <v>0</v>
      </c>
      <c r="O435" s="70" t="b">
        <f>IF(Tab.11[[#This Row],[a1]]=1,_xlfn.NORM.DIST(Tab.11[[#This Row],[b8]],$P$1,$Q$1,FALSE))</f>
        <v>0</v>
      </c>
      <c r="P435" s="70" t="b">
        <f>IF(Tab.11[[#This Row],[a1]]=1,_xlfn.NORM.DIST(Tab.11[[#This Row],[b9]],$P$1,$Q$1,FALSE))</f>
        <v>0</v>
      </c>
      <c r="Q435" s="70" t="b">
        <f>IF(Tab.11[[#This Row],[a1]]=1,_xlfn.NORM.DIST(Tab.11[[#This Row],[b10]],$P$1,$Q$1,FALSE))</f>
        <v>0</v>
      </c>
      <c r="R435" s="67" t="b">
        <f>IF(Tab.11[[#This Row],[a1]]=1,$I$3+$A$989+IF($K$3=0,Tab.11[[#This Row],[b8]]*_xlfn.STDEV.P(Tab.11[data]),AVERAGE(Tab.11[b6])+Tab.11[[#This Row],[b8]]*_xlfn.STDEV.P(Tab.11[data])))</f>
        <v>0</v>
      </c>
      <c r="S435" s="71" t="b">
        <f>IF(Tab.11[[#This Row],[a1]]=1,$I$3+$A$987+IF($K$3=0,Tab.11[[#This Row],[b9]]*_xlfn.STDEV.P(Tab.11[data]),AVERAGE(Tab.11[b6])+Tab.11[[#This Row],[b9]]*_xlfn.STDEV.P(Tab.11[data])))</f>
        <v>0</v>
      </c>
      <c r="T435" s="71" t="b">
        <f>IF(Tab.11[[#This Row],[a1]]=1,$I$3+$A$988+IF($K$3=0,Tab.11[[#This Row],[b10]]*_xlfn.STDEV.P(Tab.11[data]),AVERAGE(Tab.11[b6])+Tab.11[[#This Row],[b10]]*_xlfn.STDEV.P(Tab.11[data])))</f>
        <v>0</v>
      </c>
      <c r="U435" s="72" t="b">
        <f>IF(Tab.11[[#This Row],[a1]]=1,Tab.11[[#This Row],[target]]-Tab.11[[#This Row],[Red]])</f>
        <v>0</v>
      </c>
      <c r="V435" s="72" t="b">
        <f>IF(Tab.11[[#This Row],[a1]]=1,Tab.11[[#This Row],[target]]-Tab.11[[#This Row],[Blue]])</f>
        <v>0</v>
      </c>
      <c r="W435" s="73" t="b">
        <f>IF(Tab.11[[#This Row],[a1]]=1,IF(ABS(Tab.11[[#This Row],[b17]])+ABS(Tab.11[[#This Row],[b18]])&lt;$W$2,$W$2,ABS(Tab.11[[#This Row],[b17]])+ABS(Tab.11[[#This Row],[b18]])))</f>
        <v>0</v>
      </c>
      <c r="X435" s="136" t="b">
        <f>IF(Tab.11[[#This Row],[a1]]=1,IF($W$3&lt;0,Tab.11[[#This Row],[IN]]-$I$3,Tab.11[[#This Row],[IN]]))</f>
        <v>0</v>
      </c>
      <c r="Y435" s="136" t="b">
        <f>IF(Tab.11[[#This Row],[a1]]=1,IF($X$3=0,Tab.11[b66],Tab.11[[#This Row],[b66]]-AVERAGE(Tab.11[b66])))</f>
        <v>0</v>
      </c>
      <c r="Z435" s="135" t="b">
        <f>IF(Tab.11[[#This Row],[a1]]=1,Tab.11[[#This Row],[b77]]/(_xlfn.STDEV.P(Tab.11[b77])))</f>
        <v>0</v>
      </c>
      <c r="AA435" s="70" t="b">
        <f>IF(Tab.11[[#This Row],[a1]]=1,_xlfn.NORM.DIST(Tab.11[[#This Row],[b88]],$Z$1,$AA$1,FALSE))</f>
        <v>0</v>
      </c>
      <c r="AB435" s="74" t="b">
        <f>IF(Tab.11[[#This Row],[a1]]=1,IF($A$3=0,FALSE,1/Tab.11[[#This Row],[IN]]*$AC$2*IF(Tab.11[[#This Row],[a1]]=0,,$A$3*$AC$1*1/$V$3*(Tab.11[[#This Row],[b14]]))))</f>
        <v>0</v>
      </c>
      <c r="AC435" s="75" t="b">
        <f>IF(Tab.11[[#This Row],[a1]]=1,IF($AC$3=0,Tab.11[[#This Row],[φ1]],Tab.11[[#This Row],[φ1]]/MAX(Tab.11[φ1])))</f>
        <v>0</v>
      </c>
      <c r="AD435" s="74" t="b">
        <f>IF(Tab.11[[#This Row],[a1]]=1,1/Tab.11[[#This Row],[φ2]])</f>
        <v>0</v>
      </c>
      <c r="AE435" s="74" t="b">
        <f>IF(Tab.11[[#This Row],[a1]]=1,IF($AE$3=0,Tab.11[[#This Row],[w.0]],Tab.11[[#This Row],[w.0]]/SUM(Tab.11[w.0])))</f>
        <v>0</v>
      </c>
      <c r="AF435" s="76" t="str">
        <f>IF(Tab.11[[#This Row],[a1]]=0,"false",[3]!Tab.x5[[#This Row],[%_seN_C]])</f>
        <v>false</v>
      </c>
      <c r="AG435" s="77" t="b">
        <f>IF(Tab.11[[#This Row],[a1]]=1,AP435)</f>
        <v>0</v>
      </c>
      <c r="AH435" s="78" t="b">
        <f>IF(Tab.11[[#This Row],[a1]]=1,AQ435)</f>
        <v>0</v>
      </c>
      <c r="AI435" s="41">
        <v>3.0000000000000001E-3</v>
      </c>
      <c r="AJ435" s="79">
        <v>-0.02</v>
      </c>
      <c r="AK435" s="80" t="b">
        <f>IF(Tab.11[[#This Row],[a1]]=1,1)</f>
        <v>0</v>
      </c>
      <c r="AZ435"/>
    </row>
    <row r="436" spans="1:52" hidden="1" x14ac:dyDescent="0.25">
      <c r="A436" s="61">
        <f t="shared" si="15"/>
        <v>0</v>
      </c>
      <c r="B436" s="62">
        <f t="shared" si="15"/>
        <v>0</v>
      </c>
      <c r="C436" s="62" t="b">
        <f>IF(Tab.11[[#This Row],[a1]]=1,[3]!Tab_x1[[#This Row],[Name]])</f>
        <v>0</v>
      </c>
      <c r="D436" s="63" t="b">
        <f>IF(Tab.11[[#This Row],[a1]]=1,AO436)</f>
        <v>0</v>
      </c>
      <c r="E436" s="63">
        <f t="shared" si="14"/>
        <v>0</v>
      </c>
      <c r="F436" s="64" t="b">
        <f>IF(Tab.11[[#This Row],[a1]]=1,Tab.11[[#This Row],[b1]])</f>
        <v>0</v>
      </c>
      <c r="G436" s="65" t="b">
        <f>IF(Tab.11[[#This Row],[a1]]=1,IF(Tab.11[[#This Row],[b3]]&gt;$L$989*$G$3,$L$989*$G$3,IF(Tab.11[[#This Row],[b3]]&lt;$M$989*$G$3,$M$989*$G$3,Tab.11[[#This Row],[b3]])))</f>
        <v>0</v>
      </c>
      <c r="H436" s="66" t="b">
        <f>IF(Tab.11[[#This Row],[a1]]=1,Tab.11[[#This Row],[b1]])</f>
        <v>0</v>
      </c>
      <c r="I436" s="67" t="b">
        <f>IF(Tab.11[[#This Row],[a1]]=1,Tab.11[[#This Row],[b1]])</f>
        <v>0</v>
      </c>
      <c r="J436" s="68" t="b">
        <f>IF(Tab.11[[#This Row],[a1]]=1,IF($I$3&lt;0,Tab.11[[#This Row],[b5]]-$I$3,Tab.11[[#This Row],[b5]]))</f>
        <v>0</v>
      </c>
      <c r="K436" s="68" t="b">
        <f>IF(Tab.11[[#This Row],[a1]]=1,IF($K$3=0,Tab.11[b6],Tab.11[[#This Row],[b6]]-AVERAGE(Tab.11[b6])))</f>
        <v>0</v>
      </c>
      <c r="L436" s="69" t="b">
        <f>IF(Tab.11[[#This Row],[a1]]=1,Tab.11[[#This Row],[data]]/(_xlfn.STDEV.P(Tab.11[data])*$B$989)+$A$989)</f>
        <v>0</v>
      </c>
      <c r="M436" s="69" t="b">
        <f>IF(Tab.11[[#This Row],[a1]]=1,Tab.11[[#This Row],[data]]/(_xlfn.STDEV.P(Tab.11[data])*$B$987)-$A$987)</f>
        <v>0</v>
      </c>
      <c r="N436" s="69" t="b">
        <f>IF(Tab.11[[#This Row],[a1]]=1,Tab.11[[#This Row],[data]]/(_xlfn.STDEV.P(Tab.11[data])*$B$988)+$A$988)</f>
        <v>0</v>
      </c>
      <c r="O436" s="70" t="b">
        <f>IF(Tab.11[[#This Row],[a1]]=1,_xlfn.NORM.DIST(Tab.11[[#This Row],[b8]],$P$1,$Q$1,FALSE))</f>
        <v>0</v>
      </c>
      <c r="P436" s="70" t="b">
        <f>IF(Tab.11[[#This Row],[a1]]=1,_xlfn.NORM.DIST(Tab.11[[#This Row],[b9]],$P$1,$Q$1,FALSE))</f>
        <v>0</v>
      </c>
      <c r="Q436" s="70" t="b">
        <f>IF(Tab.11[[#This Row],[a1]]=1,_xlfn.NORM.DIST(Tab.11[[#This Row],[b10]],$P$1,$Q$1,FALSE))</f>
        <v>0</v>
      </c>
      <c r="R436" s="67" t="b">
        <f>IF(Tab.11[[#This Row],[a1]]=1,$I$3+$A$989+IF($K$3=0,Tab.11[[#This Row],[b8]]*_xlfn.STDEV.P(Tab.11[data]),AVERAGE(Tab.11[b6])+Tab.11[[#This Row],[b8]]*_xlfn.STDEV.P(Tab.11[data])))</f>
        <v>0</v>
      </c>
      <c r="S436" s="71" t="b">
        <f>IF(Tab.11[[#This Row],[a1]]=1,$I$3+$A$987+IF($K$3=0,Tab.11[[#This Row],[b9]]*_xlfn.STDEV.P(Tab.11[data]),AVERAGE(Tab.11[b6])+Tab.11[[#This Row],[b9]]*_xlfn.STDEV.P(Tab.11[data])))</f>
        <v>0</v>
      </c>
      <c r="T436" s="71" t="b">
        <f>IF(Tab.11[[#This Row],[a1]]=1,$I$3+$A$988+IF($K$3=0,Tab.11[[#This Row],[b10]]*_xlfn.STDEV.P(Tab.11[data]),AVERAGE(Tab.11[b6])+Tab.11[[#This Row],[b10]]*_xlfn.STDEV.P(Tab.11[data])))</f>
        <v>0</v>
      </c>
      <c r="U436" s="72" t="b">
        <f>IF(Tab.11[[#This Row],[a1]]=1,Tab.11[[#This Row],[target]]-Tab.11[[#This Row],[Red]])</f>
        <v>0</v>
      </c>
      <c r="V436" s="72" t="b">
        <f>IF(Tab.11[[#This Row],[a1]]=1,Tab.11[[#This Row],[target]]-Tab.11[[#This Row],[Blue]])</f>
        <v>0</v>
      </c>
      <c r="W436" s="73" t="b">
        <f>IF(Tab.11[[#This Row],[a1]]=1,IF(ABS(Tab.11[[#This Row],[b17]])+ABS(Tab.11[[#This Row],[b18]])&lt;$W$2,$W$2,ABS(Tab.11[[#This Row],[b17]])+ABS(Tab.11[[#This Row],[b18]])))</f>
        <v>0</v>
      </c>
      <c r="X436" s="136" t="b">
        <f>IF(Tab.11[[#This Row],[a1]]=1,IF($W$3&lt;0,Tab.11[[#This Row],[IN]]-$I$3,Tab.11[[#This Row],[IN]]))</f>
        <v>0</v>
      </c>
      <c r="Y436" s="136" t="b">
        <f>IF(Tab.11[[#This Row],[a1]]=1,IF($X$3=0,Tab.11[b66],Tab.11[[#This Row],[b66]]-AVERAGE(Tab.11[b66])))</f>
        <v>0</v>
      </c>
      <c r="Z436" s="135" t="b">
        <f>IF(Tab.11[[#This Row],[a1]]=1,Tab.11[[#This Row],[b77]]/(_xlfn.STDEV.P(Tab.11[b77])))</f>
        <v>0</v>
      </c>
      <c r="AA436" s="70" t="b">
        <f>IF(Tab.11[[#This Row],[a1]]=1,_xlfn.NORM.DIST(Tab.11[[#This Row],[b88]],$Z$1,$AA$1,FALSE))</f>
        <v>0</v>
      </c>
      <c r="AB436" s="74" t="b">
        <f>IF(Tab.11[[#This Row],[a1]]=1,IF($A$3=0,FALSE,1/Tab.11[[#This Row],[IN]]*$AC$2*IF(Tab.11[[#This Row],[a1]]=0,,$A$3*$AC$1*1/$V$3*(Tab.11[[#This Row],[b14]]))))</f>
        <v>0</v>
      </c>
      <c r="AC436" s="75" t="b">
        <f>IF(Tab.11[[#This Row],[a1]]=1,IF($AC$3=0,Tab.11[[#This Row],[φ1]],Tab.11[[#This Row],[φ1]]/MAX(Tab.11[φ1])))</f>
        <v>0</v>
      </c>
      <c r="AD436" s="74" t="b">
        <f>IF(Tab.11[[#This Row],[a1]]=1,1/Tab.11[[#This Row],[φ2]])</f>
        <v>0</v>
      </c>
      <c r="AE436" s="74" t="b">
        <f>IF(Tab.11[[#This Row],[a1]]=1,IF($AE$3=0,Tab.11[[#This Row],[w.0]],Tab.11[[#This Row],[w.0]]/SUM(Tab.11[w.0])))</f>
        <v>0</v>
      </c>
      <c r="AF436" s="76" t="str">
        <f>IF(Tab.11[[#This Row],[a1]]=0,"false",[3]!Tab.x5[[#This Row],[%_seN_C]])</f>
        <v>false</v>
      </c>
      <c r="AG436" s="77" t="b">
        <f>IF(Tab.11[[#This Row],[a1]]=1,AP436)</f>
        <v>0</v>
      </c>
      <c r="AH436" s="78" t="b">
        <f>IF(Tab.11[[#This Row],[a1]]=1,AQ436)</f>
        <v>0</v>
      </c>
      <c r="AI436" s="41">
        <v>3.0000000000000001E-3</v>
      </c>
      <c r="AJ436" s="79">
        <v>-0.09</v>
      </c>
      <c r="AK436" s="80" t="b">
        <f>IF(Tab.11[[#This Row],[a1]]=1,1)</f>
        <v>0</v>
      </c>
      <c r="AZ436"/>
    </row>
    <row r="437" spans="1:52" hidden="1" x14ac:dyDescent="0.25">
      <c r="A437" s="61">
        <f t="shared" si="15"/>
        <v>0</v>
      </c>
      <c r="B437" s="62">
        <f t="shared" si="15"/>
        <v>0</v>
      </c>
      <c r="C437" s="62" t="b">
        <f>IF(Tab.11[[#This Row],[a1]]=1,[3]!Tab_x1[[#This Row],[Name]])</f>
        <v>0</v>
      </c>
      <c r="D437" s="63" t="b">
        <f>IF(Tab.11[[#This Row],[a1]]=1,AO437)</f>
        <v>0</v>
      </c>
      <c r="E437" s="63">
        <f t="shared" si="14"/>
        <v>0</v>
      </c>
      <c r="F437" s="64" t="b">
        <f>IF(Tab.11[[#This Row],[a1]]=1,Tab.11[[#This Row],[b1]])</f>
        <v>0</v>
      </c>
      <c r="G437" s="65" t="b">
        <f>IF(Tab.11[[#This Row],[a1]]=1,IF(Tab.11[[#This Row],[b3]]&gt;$L$989*$G$3,$L$989*$G$3,IF(Tab.11[[#This Row],[b3]]&lt;$M$989*$G$3,$M$989*$G$3,Tab.11[[#This Row],[b3]])))</f>
        <v>0</v>
      </c>
      <c r="H437" s="66" t="b">
        <f>IF(Tab.11[[#This Row],[a1]]=1,Tab.11[[#This Row],[b1]])</f>
        <v>0</v>
      </c>
      <c r="I437" s="67" t="b">
        <f>IF(Tab.11[[#This Row],[a1]]=1,Tab.11[[#This Row],[b1]])</f>
        <v>0</v>
      </c>
      <c r="J437" s="68" t="b">
        <f>IF(Tab.11[[#This Row],[a1]]=1,IF($I$3&lt;0,Tab.11[[#This Row],[b5]]-$I$3,Tab.11[[#This Row],[b5]]))</f>
        <v>0</v>
      </c>
      <c r="K437" s="68" t="b">
        <f>IF(Tab.11[[#This Row],[a1]]=1,IF($K$3=0,Tab.11[b6],Tab.11[[#This Row],[b6]]-AVERAGE(Tab.11[b6])))</f>
        <v>0</v>
      </c>
      <c r="L437" s="69" t="b">
        <f>IF(Tab.11[[#This Row],[a1]]=1,Tab.11[[#This Row],[data]]/(_xlfn.STDEV.P(Tab.11[data])*$B$989)+$A$989)</f>
        <v>0</v>
      </c>
      <c r="M437" s="69" t="b">
        <f>IF(Tab.11[[#This Row],[a1]]=1,Tab.11[[#This Row],[data]]/(_xlfn.STDEV.P(Tab.11[data])*$B$987)-$A$987)</f>
        <v>0</v>
      </c>
      <c r="N437" s="69" t="b">
        <f>IF(Tab.11[[#This Row],[a1]]=1,Tab.11[[#This Row],[data]]/(_xlfn.STDEV.P(Tab.11[data])*$B$988)+$A$988)</f>
        <v>0</v>
      </c>
      <c r="O437" s="70" t="b">
        <f>IF(Tab.11[[#This Row],[a1]]=1,_xlfn.NORM.DIST(Tab.11[[#This Row],[b8]],$P$1,$Q$1,FALSE))</f>
        <v>0</v>
      </c>
      <c r="P437" s="70" t="b">
        <f>IF(Tab.11[[#This Row],[a1]]=1,_xlfn.NORM.DIST(Tab.11[[#This Row],[b9]],$P$1,$Q$1,FALSE))</f>
        <v>0</v>
      </c>
      <c r="Q437" s="70" t="b">
        <f>IF(Tab.11[[#This Row],[a1]]=1,_xlfn.NORM.DIST(Tab.11[[#This Row],[b10]],$P$1,$Q$1,FALSE))</f>
        <v>0</v>
      </c>
      <c r="R437" s="67" t="b">
        <f>IF(Tab.11[[#This Row],[a1]]=1,$I$3+$A$989+IF($K$3=0,Tab.11[[#This Row],[b8]]*_xlfn.STDEV.P(Tab.11[data]),AVERAGE(Tab.11[b6])+Tab.11[[#This Row],[b8]]*_xlfn.STDEV.P(Tab.11[data])))</f>
        <v>0</v>
      </c>
      <c r="S437" s="71" t="b">
        <f>IF(Tab.11[[#This Row],[a1]]=1,$I$3+$A$987+IF($K$3=0,Tab.11[[#This Row],[b9]]*_xlfn.STDEV.P(Tab.11[data]),AVERAGE(Tab.11[b6])+Tab.11[[#This Row],[b9]]*_xlfn.STDEV.P(Tab.11[data])))</f>
        <v>0</v>
      </c>
      <c r="T437" s="71" t="b">
        <f>IF(Tab.11[[#This Row],[a1]]=1,$I$3+$A$988+IF($K$3=0,Tab.11[[#This Row],[b10]]*_xlfn.STDEV.P(Tab.11[data]),AVERAGE(Tab.11[b6])+Tab.11[[#This Row],[b10]]*_xlfn.STDEV.P(Tab.11[data])))</f>
        <v>0</v>
      </c>
      <c r="U437" s="72" t="b">
        <f>IF(Tab.11[[#This Row],[a1]]=1,Tab.11[[#This Row],[target]]-Tab.11[[#This Row],[Red]])</f>
        <v>0</v>
      </c>
      <c r="V437" s="72" t="b">
        <f>IF(Tab.11[[#This Row],[a1]]=1,Tab.11[[#This Row],[target]]-Tab.11[[#This Row],[Blue]])</f>
        <v>0</v>
      </c>
      <c r="W437" s="73" t="b">
        <f>IF(Tab.11[[#This Row],[a1]]=1,IF(ABS(Tab.11[[#This Row],[b17]])+ABS(Tab.11[[#This Row],[b18]])&lt;$W$2,$W$2,ABS(Tab.11[[#This Row],[b17]])+ABS(Tab.11[[#This Row],[b18]])))</f>
        <v>0</v>
      </c>
      <c r="X437" s="136" t="b">
        <f>IF(Tab.11[[#This Row],[a1]]=1,IF($W$3&lt;0,Tab.11[[#This Row],[IN]]-$I$3,Tab.11[[#This Row],[IN]]))</f>
        <v>0</v>
      </c>
      <c r="Y437" s="136" t="b">
        <f>IF(Tab.11[[#This Row],[a1]]=1,IF($X$3=0,Tab.11[b66],Tab.11[[#This Row],[b66]]-AVERAGE(Tab.11[b66])))</f>
        <v>0</v>
      </c>
      <c r="Z437" s="135" t="b">
        <f>IF(Tab.11[[#This Row],[a1]]=1,Tab.11[[#This Row],[b77]]/(_xlfn.STDEV.P(Tab.11[b77])))</f>
        <v>0</v>
      </c>
      <c r="AA437" s="70" t="b">
        <f>IF(Tab.11[[#This Row],[a1]]=1,_xlfn.NORM.DIST(Tab.11[[#This Row],[b88]],$Z$1,$AA$1,FALSE))</f>
        <v>0</v>
      </c>
      <c r="AB437" s="74" t="b">
        <f>IF(Tab.11[[#This Row],[a1]]=1,IF($A$3=0,FALSE,1/Tab.11[[#This Row],[IN]]*$AC$2*IF(Tab.11[[#This Row],[a1]]=0,,$A$3*$AC$1*1/$V$3*(Tab.11[[#This Row],[b14]]))))</f>
        <v>0</v>
      </c>
      <c r="AC437" s="75" t="b">
        <f>IF(Tab.11[[#This Row],[a1]]=1,IF($AC$3=0,Tab.11[[#This Row],[φ1]],Tab.11[[#This Row],[φ1]]/MAX(Tab.11[φ1])))</f>
        <v>0</v>
      </c>
      <c r="AD437" s="74" t="b">
        <f>IF(Tab.11[[#This Row],[a1]]=1,1/Tab.11[[#This Row],[φ2]])</f>
        <v>0</v>
      </c>
      <c r="AE437" s="74" t="b">
        <f>IF(Tab.11[[#This Row],[a1]]=1,IF($AE$3=0,Tab.11[[#This Row],[w.0]],Tab.11[[#This Row],[w.0]]/SUM(Tab.11[w.0])))</f>
        <v>0</v>
      </c>
      <c r="AF437" s="76" t="str">
        <f>IF(Tab.11[[#This Row],[a1]]=0,"false",[3]!Tab.x5[[#This Row],[%_seN_C]])</f>
        <v>false</v>
      </c>
      <c r="AG437" s="77" t="b">
        <f>IF(Tab.11[[#This Row],[a1]]=1,AP437)</f>
        <v>0</v>
      </c>
      <c r="AH437" s="78" t="b">
        <f>IF(Tab.11[[#This Row],[a1]]=1,AQ437)</f>
        <v>0</v>
      </c>
      <c r="AI437" s="41">
        <v>3.0000000000000001E-3</v>
      </c>
      <c r="AJ437" s="79">
        <v>-0.03</v>
      </c>
      <c r="AK437" s="80" t="b">
        <f>IF(Tab.11[[#This Row],[a1]]=1,1)</f>
        <v>0</v>
      </c>
      <c r="AZ437"/>
    </row>
    <row r="438" spans="1:52" hidden="1" x14ac:dyDescent="0.25">
      <c r="A438" s="61">
        <f t="shared" si="15"/>
        <v>0</v>
      </c>
      <c r="B438" s="62">
        <f t="shared" si="15"/>
        <v>0</v>
      </c>
      <c r="C438" s="62" t="b">
        <f>IF(Tab.11[[#This Row],[a1]]=1,[3]!Tab_x1[[#This Row],[Name]])</f>
        <v>0</v>
      </c>
      <c r="D438" s="63" t="b">
        <f>IF(Tab.11[[#This Row],[a1]]=1,AO438)</f>
        <v>0</v>
      </c>
      <c r="E438" s="63">
        <f t="shared" si="14"/>
        <v>0</v>
      </c>
      <c r="F438" s="64" t="b">
        <f>IF(Tab.11[[#This Row],[a1]]=1,Tab.11[[#This Row],[b1]])</f>
        <v>0</v>
      </c>
      <c r="G438" s="65" t="b">
        <f>IF(Tab.11[[#This Row],[a1]]=1,IF(Tab.11[[#This Row],[b3]]&gt;$L$989*$G$3,$L$989*$G$3,IF(Tab.11[[#This Row],[b3]]&lt;$M$989*$G$3,$M$989*$G$3,Tab.11[[#This Row],[b3]])))</f>
        <v>0</v>
      </c>
      <c r="H438" s="66" t="b">
        <f>IF(Tab.11[[#This Row],[a1]]=1,Tab.11[[#This Row],[b1]])</f>
        <v>0</v>
      </c>
      <c r="I438" s="67" t="b">
        <f>IF(Tab.11[[#This Row],[a1]]=1,Tab.11[[#This Row],[b1]])</f>
        <v>0</v>
      </c>
      <c r="J438" s="68" t="b">
        <f>IF(Tab.11[[#This Row],[a1]]=1,IF($I$3&lt;0,Tab.11[[#This Row],[b5]]-$I$3,Tab.11[[#This Row],[b5]]))</f>
        <v>0</v>
      </c>
      <c r="K438" s="68" t="b">
        <f>IF(Tab.11[[#This Row],[a1]]=1,IF($K$3=0,Tab.11[b6],Tab.11[[#This Row],[b6]]-AVERAGE(Tab.11[b6])))</f>
        <v>0</v>
      </c>
      <c r="L438" s="69" t="b">
        <f>IF(Tab.11[[#This Row],[a1]]=1,Tab.11[[#This Row],[data]]/(_xlfn.STDEV.P(Tab.11[data])*$B$989)+$A$989)</f>
        <v>0</v>
      </c>
      <c r="M438" s="69" t="b">
        <f>IF(Tab.11[[#This Row],[a1]]=1,Tab.11[[#This Row],[data]]/(_xlfn.STDEV.P(Tab.11[data])*$B$987)-$A$987)</f>
        <v>0</v>
      </c>
      <c r="N438" s="69" t="b">
        <f>IF(Tab.11[[#This Row],[a1]]=1,Tab.11[[#This Row],[data]]/(_xlfn.STDEV.P(Tab.11[data])*$B$988)+$A$988)</f>
        <v>0</v>
      </c>
      <c r="O438" s="70" t="b">
        <f>IF(Tab.11[[#This Row],[a1]]=1,_xlfn.NORM.DIST(Tab.11[[#This Row],[b8]],$P$1,$Q$1,FALSE))</f>
        <v>0</v>
      </c>
      <c r="P438" s="70" t="b">
        <f>IF(Tab.11[[#This Row],[a1]]=1,_xlfn.NORM.DIST(Tab.11[[#This Row],[b9]],$P$1,$Q$1,FALSE))</f>
        <v>0</v>
      </c>
      <c r="Q438" s="70" t="b">
        <f>IF(Tab.11[[#This Row],[a1]]=1,_xlfn.NORM.DIST(Tab.11[[#This Row],[b10]],$P$1,$Q$1,FALSE))</f>
        <v>0</v>
      </c>
      <c r="R438" s="67" t="b">
        <f>IF(Tab.11[[#This Row],[a1]]=1,$I$3+$A$989+IF($K$3=0,Tab.11[[#This Row],[b8]]*_xlfn.STDEV.P(Tab.11[data]),AVERAGE(Tab.11[b6])+Tab.11[[#This Row],[b8]]*_xlfn.STDEV.P(Tab.11[data])))</f>
        <v>0</v>
      </c>
      <c r="S438" s="71" t="b">
        <f>IF(Tab.11[[#This Row],[a1]]=1,$I$3+$A$987+IF($K$3=0,Tab.11[[#This Row],[b9]]*_xlfn.STDEV.P(Tab.11[data]),AVERAGE(Tab.11[b6])+Tab.11[[#This Row],[b9]]*_xlfn.STDEV.P(Tab.11[data])))</f>
        <v>0</v>
      </c>
      <c r="T438" s="71" t="b">
        <f>IF(Tab.11[[#This Row],[a1]]=1,$I$3+$A$988+IF($K$3=0,Tab.11[[#This Row],[b10]]*_xlfn.STDEV.P(Tab.11[data]),AVERAGE(Tab.11[b6])+Tab.11[[#This Row],[b10]]*_xlfn.STDEV.P(Tab.11[data])))</f>
        <v>0</v>
      </c>
      <c r="U438" s="72" t="b">
        <f>IF(Tab.11[[#This Row],[a1]]=1,Tab.11[[#This Row],[target]]-Tab.11[[#This Row],[Red]])</f>
        <v>0</v>
      </c>
      <c r="V438" s="72" t="b">
        <f>IF(Tab.11[[#This Row],[a1]]=1,Tab.11[[#This Row],[target]]-Tab.11[[#This Row],[Blue]])</f>
        <v>0</v>
      </c>
      <c r="W438" s="73" t="b">
        <f>IF(Tab.11[[#This Row],[a1]]=1,IF(ABS(Tab.11[[#This Row],[b17]])+ABS(Tab.11[[#This Row],[b18]])&lt;$W$2,$W$2,ABS(Tab.11[[#This Row],[b17]])+ABS(Tab.11[[#This Row],[b18]])))</f>
        <v>0</v>
      </c>
      <c r="X438" s="136" t="b">
        <f>IF(Tab.11[[#This Row],[a1]]=1,IF($W$3&lt;0,Tab.11[[#This Row],[IN]]-$I$3,Tab.11[[#This Row],[IN]]))</f>
        <v>0</v>
      </c>
      <c r="Y438" s="136" t="b">
        <f>IF(Tab.11[[#This Row],[a1]]=1,IF($X$3=0,Tab.11[b66],Tab.11[[#This Row],[b66]]-AVERAGE(Tab.11[b66])))</f>
        <v>0</v>
      </c>
      <c r="Z438" s="135" t="b">
        <f>IF(Tab.11[[#This Row],[a1]]=1,Tab.11[[#This Row],[b77]]/(_xlfn.STDEV.P(Tab.11[b77])))</f>
        <v>0</v>
      </c>
      <c r="AA438" s="70" t="b">
        <f>IF(Tab.11[[#This Row],[a1]]=1,_xlfn.NORM.DIST(Tab.11[[#This Row],[b88]],$Z$1,$AA$1,FALSE))</f>
        <v>0</v>
      </c>
      <c r="AB438" s="74" t="b">
        <f>IF(Tab.11[[#This Row],[a1]]=1,IF($A$3=0,FALSE,1/Tab.11[[#This Row],[IN]]*$AC$2*IF(Tab.11[[#This Row],[a1]]=0,,$A$3*$AC$1*1/$V$3*(Tab.11[[#This Row],[b14]]))))</f>
        <v>0</v>
      </c>
      <c r="AC438" s="75" t="b">
        <f>IF(Tab.11[[#This Row],[a1]]=1,IF($AC$3=0,Tab.11[[#This Row],[φ1]],Tab.11[[#This Row],[φ1]]/MAX(Tab.11[φ1])))</f>
        <v>0</v>
      </c>
      <c r="AD438" s="74" t="b">
        <f>IF(Tab.11[[#This Row],[a1]]=1,1/Tab.11[[#This Row],[φ2]])</f>
        <v>0</v>
      </c>
      <c r="AE438" s="74" t="b">
        <f>IF(Tab.11[[#This Row],[a1]]=1,IF($AE$3=0,Tab.11[[#This Row],[w.0]],Tab.11[[#This Row],[w.0]]/SUM(Tab.11[w.0])))</f>
        <v>0</v>
      </c>
      <c r="AF438" s="76" t="str">
        <f>IF(Tab.11[[#This Row],[a1]]=0,"false",[3]!Tab.x5[[#This Row],[%_seN_C]])</f>
        <v>false</v>
      </c>
      <c r="AG438" s="77" t="b">
        <f>IF(Tab.11[[#This Row],[a1]]=1,AP438)</f>
        <v>0</v>
      </c>
      <c r="AH438" s="78" t="b">
        <f>IF(Tab.11[[#This Row],[a1]]=1,AQ438)</f>
        <v>0</v>
      </c>
      <c r="AI438" s="41">
        <v>3.0000000000000001E-3</v>
      </c>
      <c r="AJ438" s="79">
        <v>0.03</v>
      </c>
      <c r="AK438" s="80" t="b">
        <f>IF(Tab.11[[#This Row],[a1]]=1,1)</f>
        <v>0</v>
      </c>
      <c r="AZ438"/>
    </row>
    <row r="439" spans="1:52" hidden="1" x14ac:dyDescent="0.25">
      <c r="A439" s="61">
        <f t="shared" si="15"/>
        <v>0</v>
      </c>
      <c r="B439" s="62">
        <f t="shared" si="15"/>
        <v>0</v>
      </c>
      <c r="C439" s="62" t="b">
        <f>IF(Tab.11[[#This Row],[a1]]=1,[3]!Tab_x1[[#This Row],[Name]])</f>
        <v>0</v>
      </c>
      <c r="D439" s="63" t="b">
        <f>IF(Tab.11[[#This Row],[a1]]=1,AO439)</f>
        <v>0</v>
      </c>
      <c r="E439" s="63">
        <f t="shared" si="14"/>
        <v>0</v>
      </c>
      <c r="F439" s="64" t="b">
        <f>IF(Tab.11[[#This Row],[a1]]=1,Tab.11[[#This Row],[b1]])</f>
        <v>0</v>
      </c>
      <c r="G439" s="65" t="b">
        <f>IF(Tab.11[[#This Row],[a1]]=1,IF(Tab.11[[#This Row],[b3]]&gt;$L$989*$G$3,$L$989*$G$3,IF(Tab.11[[#This Row],[b3]]&lt;$M$989*$G$3,$M$989*$G$3,Tab.11[[#This Row],[b3]])))</f>
        <v>0</v>
      </c>
      <c r="H439" s="66" t="b">
        <f>IF(Tab.11[[#This Row],[a1]]=1,Tab.11[[#This Row],[b1]])</f>
        <v>0</v>
      </c>
      <c r="I439" s="67" t="b">
        <f>IF(Tab.11[[#This Row],[a1]]=1,Tab.11[[#This Row],[b1]])</f>
        <v>0</v>
      </c>
      <c r="J439" s="68" t="b">
        <f>IF(Tab.11[[#This Row],[a1]]=1,IF($I$3&lt;0,Tab.11[[#This Row],[b5]]-$I$3,Tab.11[[#This Row],[b5]]))</f>
        <v>0</v>
      </c>
      <c r="K439" s="68" t="b">
        <f>IF(Tab.11[[#This Row],[a1]]=1,IF($K$3=0,Tab.11[b6],Tab.11[[#This Row],[b6]]-AVERAGE(Tab.11[b6])))</f>
        <v>0</v>
      </c>
      <c r="L439" s="69" t="b">
        <f>IF(Tab.11[[#This Row],[a1]]=1,Tab.11[[#This Row],[data]]/(_xlfn.STDEV.P(Tab.11[data])*$B$989)+$A$989)</f>
        <v>0</v>
      </c>
      <c r="M439" s="69" t="b">
        <f>IF(Tab.11[[#This Row],[a1]]=1,Tab.11[[#This Row],[data]]/(_xlfn.STDEV.P(Tab.11[data])*$B$987)-$A$987)</f>
        <v>0</v>
      </c>
      <c r="N439" s="69" t="b">
        <f>IF(Tab.11[[#This Row],[a1]]=1,Tab.11[[#This Row],[data]]/(_xlfn.STDEV.P(Tab.11[data])*$B$988)+$A$988)</f>
        <v>0</v>
      </c>
      <c r="O439" s="70" t="b">
        <f>IF(Tab.11[[#This Row],[a1]]=1,_xlfn.NORM.DIST(Tab.11[[#This Row],[b8]],$P$1,$Q$1,FALSE))</f>
        <v>0</v>
      </c>
      <c r="P439" s="70" t="b">
        <f>IF(Tab.11[[#This Row],[a1]]=1,_xlfn.NORM.DIST(Tab.11[[#This Row],[b9]],$P$1,$Q$1,FALSE))</f>
        <v>0</v>
      </c>
      <c r="Q439" s="70" t="b">
        <f>IF(Tab.11[[#This Row],[a1]]=1,_xlfn.NORM.DIST(Tab.11[[#This Row],[b10]],$P$1,$Q$1,FALSE))</f>
        <v>0</v>
      </c>
      <c r="R439" s="67" t="b">
        <f>IF(Tab.11[[#This Row],[a1]]=1,$I$3+$A$989+IF($K$3=0,Tab.11[[#This Row],[b8]]*_xlfn.STDEV.P(Tab.11[data]),AVERAGE(Tab.11[b6])+Tab.11[[#This Row],[b8]]*_xlfn.STDEV.P(Tab.11[data])))</f>
        <v>0</v>
      </c>
      <c r="S439" s="71" t="b">
        <f>IF(Tab.11[[#This Row],[a1]]=1,$I$3+$A$987+IF($K$3=0,Tab.11[[#This Row],[b9]]*_xlfn.STDEV.P(Tab.11[data]),AVERAGE(Tab.11[b6])+Tab.11[[#This Row],[b9]]*_xlfn.STDEV.P(Tab.11[data])))</f>
        <v>0</v>
      </c>
      <c r="T439" s="71" t="b">
        <f>IF(Tab.11[[#This Row],[a1]]=1,$I$3+$A$988+IF($K$3=0,Tab.11[[#This Row],[b10]]*_xlfn.STDEV.P(Tab.11[data]),AVERAGE(Tab.11[b6])+Tab.11[[#This Row],[b10]]*_xlfn.STDEV.P(Tab.11[data])))</f>
        <v>0</v>
      </c>
      <c r="U439" s="72" t="b">
        <f>IF(Tab.11[[#This Row],[a1]]=1,Tab.11[[#This Row],[target]]-Tab.11[[#This Row],[Red]])</f>
        <v>0</v>
      </c>
      <c r="V439" s="72" t="b">
        <f>IF(Tab.11[[#This Row],[a1]]=1,Tab.11[[#This Row],[target]]-Tab.11[[#This Row],[Blue]])</f>
        <v>0</v>
      </c>
      <c r="W439" s="73" t="b">
        <f>IF(Tab.11[[#This Row],[a1]]=1,IF(ABS(Tab.11[[#This Row],[b17]])+ABS(Tab.11[[#This Row],[b18]])&lt;$W$2,$W$2,ABS(Tab.11[[#This Row],[b17]])+ABS(Tab.11[[#This Row],[b18]])))</f>
        <v>0</v>
      </c>
      <c r="X439" s="136" t="b">
        <f>IF(Tab.11[[#This Row],[a1]]=1,IF($W$3&lt;0,Tab.11[[#This Row],[IN]]-$I$3,Tab.11[[#This Row],[IN]]))</f>
        <v>0</v>
      </c>
      <c r="Y439" s="136" t="b">
        <f>IF(Tab.11[[#This Row],[a1]]=1,IF($X$3=0,Tab.11[b66],Tab.11[[#This Row],[b66]]-AVERAGE(Tab.11[b66])))</f>
        <v>0</v>
      </c>
      <c r="Z439" s="135" t="b">
        <f>IF(Tab.11[[#This Row],[a1]]=1,Tab.11[[#This Row],[b77]]/(_xlfn.STDEV.P(Tab.11[b77])))</f>
        <v>0</v>
      </c>
      <c r="AA439" s="70" t="b">
        <f>IF(Tab.11[[#This Row],[a1]]=1,_xlfn.NORM.DIST(Tab.11[[#This Row],[b88]],$Z$1,$AA$1,FALSE))</f>
        <v>0</v>
      </c>
      <c r="AB439" s="74" t="b">
        <f>IF(Tab.11[[#This Row],[a1]]=1,IF($A$3=0,FALSE,1/Tab.11[[#This Row],[IN]]*$AC$2*IF(Tab.11[[#This Row],[a1]]=0,,$A$3*$AC$1*1/$V$3*(Tab.11[[#This Row],[b14]]))))</f>
        <v>0</v>
      </c>
      <c r="AC439" s="75" t="b">
        <f>IF(Tab.11[[#This Row],[a1]]=1,IF($AC$3=0,Tab.11[[#This Row],[φ1]],Tab.11[[#This Row],[φ1]]/MAX(Tab.11[φ1])))</f>
        <v>0</v>
      </c>
      <c r="AD439" s="74" t="b">
        <f>IF(Tab.11[[#This Row],[a1]]=1,1/Tab.11[[#This Row],[φ2]])</f>
        <v>0</v>
      </c>
      <c r="AE439" s="74" t="b">
        <f>IF(Tab.11[[#This Row],[a1]]=1,IF($AE$3=0,Tab.11[[#This Row],[w.0]],Tab.11[[#This Row],[w.0]]/SUM(Tab.11[w.0])))</f>
        <v>0</v>
      </c>
      <c r="AF439" s="76" t="str">
        <f>IF(Tab.11[[#This Row],[a1]]=0,"false",[3]!Tab.x5[[#This Row],[%_seN_C]])</f>
        <v>false</v>
      </c>
      <c r="AG439" s="77" t="b">
        <f>IF(Tab.11[[#This Row],[a1]]=1,AP439)</f>
        <v>0</v>
      </c>
      <c r="AH439" s="78" t="b">
        <f>IF(Tab.11[[#This Row],[a1]]=1,AQ439)</f>
        <v>0</v>
      </c>
      <c r="AI439" s="41">
        <v>3.0000000000000001E-3</v>
      </c>
      <c r="AJ439" s="79">
        <v>-0.1</v>
      </c>
      <c r="AK439" s="80" t="b">
        <f>IF(Tab.11[[#This Row],[a1]]=1,1)</f>
        <v>0</v>
      </c>
      <c r="AZ439"/>
    </row>
    <row r="440" spans="1:52" hidden="1" x14ac:dyDescent="0.25">
      <c r="A440" s="61">
        <f t="shared" si="15"/>
        <v>0</v>
      </c>
      <c r="B440" s="62">
        <f t="shared" si="15"/>
        <v>0</v>
      </c>
      <c r="C440" s="62" t="b">
        <f>IF(Tab.11[[#This Row],[a1]]=1,[3]!Tab_x1[[#This Row],[Name]])</f>
        <v>0</v>
      </c>
      <c r="D440" s="63" t="b">
        <f>IF(Tab.11[[#This Row],[a1]]=1,AO440)</f>
        <v>0</v>
      </c>
      <c r="E440" s="63">
        <f t="shared" si="14"/>
        <v>0</v>
      </c>
      <c r="F440" s="64" t="b">
        <f>IF(Tab.11[[#This Row],[a1]]=1,Tab.11[[#This Row],[b1]])</f>
        <v>0</v>
      </c>
      <c r="G440" s="65" t="b">
        <f>IF(Tab.11[[#This Row],[a1]]=1,IF(Tab.11[[#This Row],[b3]]&gt;$L$989*$G$3,$L$989*$G$3,IF(Tab.11[[#This Row],[b3]]&lt;$M$989*$G$3,$M$989*$G$3,Tab.11[[#This Row],[b3]])))</f>
        <v>0</v>
      </c>
      <c r="H440" s="66" t="b">
        <f>IF(Tab.11[[#This Row],[a1]]=1,Tab.11[[#This Row],[b1]])</f>
        <v>0</v>
      </c>
      <c r="I440" s="67" t="b">
        <f>IF(Tab.11[[#This Row],[a1]]=1,Tab.11[[#This Row],[b1]])</f>
        <v>0</v>
      </c>
      <c r="J440" s="68" t="b">
        <f>IF(Tab.11[[#This Row],[a1]]=1,IF($I$3&lt;0,Tab.11[[#This Row],[b5]]-$I$3,Tab.11[[#This Row],[b5]]))</f>
        <v>0</v>
      </c>
      <c r="K440" s="68" t="b">
        <f>IF(Tab.11[[#This Row],[a1]]=1,IF($K$3=0,Tab.11[b6],Tab.11[[#This Row],[b6]]-AVERAGE(Tab.11[b6])))</f>
        <v>0</v>
      </c>
      <c r="L440" s="69" t="b">
        <f>IF(Tab.11[[#This Row],[a1]]=1,Tab.11[[#This Row],[data]]/(_xlfn.STDEV.P(Tab.11[data])*$B$989)+$A$989)</f>
        <v>0</v>
      </c>
      <c r="M440" s="69" t="b">
        <f>IF(Tab.11[[#This Row],[a1]]=1,Tab.11[[#This Row],[data]]/(_xlfn.STDEV.P(Tab.11[data])*$B$987)-$A$987)</f>
        <v>0</v>
      </c>
      <c r="N440" s="69" t="b">
        <f>IF(Tab.11[[#This Row],[a1]]=1,Tab.11[[#This Row],[data]]/(_xlfn.STDEV.P(Tab.11[data])*$B$988)+$A$988)</f>
        <v>0</v>
      </c>
      <c r="O440" s="70" t="b">
        <f>IF(Tab.11[[#This Row],[a1]]=1,_xlfn.NORM.DIST(Tab.11[[#This Row],[b8]],$P$1,$Q$1,FALSE))</f>
        <v>0</v>
      </c>
      <c r="P440" s="70" t="b">
        <f>IF(Tab.11[[#This Row],[a1]]=1,_xlfn.NORM.DIST(Tab.11[[#This Row],[b9]],$P$1,$Q$1,FALSE))</f>
        <v>0</v>
      </c>
      <c r="Q440" s="70" t="b">
        <f>IF(Tab.11[[#This Row],[a1]]=1,_xlfn.NORM.DIST(Tab.11[[#This Row],[b10]],$P$1,$Q$1,FALSE))</f>
        <v>0</v>
      </c>
      <c r="R440" s="67" t="b">
        <f>IF(Tab.11[[#This Row],[a1]]=1,$I$3+$A$989+IF($K$3=0,Tab.11[[#This Row],[b8]]*_xlfn.STDEV.P(Tab.11[data]),AVERAGE(Tab.11[b6])+Tab.11[[#This Row],[b8]]*_xlfn.STDEV.P(Tab.11[data])))</f>
        <v>0</v>
      </c>
      <c r="S440" s="71" t="b">
        <f>IF(Tab.11[[#This Row],[a1]]=1,$I$3+$A$987+IF($K$3=0,Tab.11[[#This Row],[b9]]*_xlfn.STDEV.P(Tab.11[data]),AVERAGE(Tab.11[b6])+Tab.11[[#This Row],[b9]]*_xlfn.STDEV.P(Tab.11[data])))</f>
        <v>0</v>
      </c>
      <c r="T440" s="71" t="b">
        <f>IF(Tab.11[[#This Row],[a1]]=1,$I$3+$A$988+IF($K$3=0,Tab.11[[#This Row],[b10]]*_xlfn.STDEV.P(Tab.11[data]),AVERAGE(Tab.11[b6])+Tab.11[[#This Row],[b10]]*_xlfn.STDEV.P(Tab.11[data])))</f>
        <v>0</v>
      </c>
      <c r="U440" s="72" t="b">
        <f>IF(Tab.11[[#This Row],[a1]]=1,Tab.11[[#This Row],[target]]-Tab.11[[#This Row],[Red]])</f>
        <v>0</v>
      </c>
      <c r="V440" s="72" t="b">
        <f>IF(Tab.11[[#This Row],[a1]]=1,Tab.11[[#This Row],[target]]-Tab.11[[#This Row],[Blue]])</f>
        <v>0</v>
      </c>
      <c r="W440" s="73" t="b">
        <f>IF(Tab.11[[#This Row],[a1]]=1,IF(ABS(Tab.11[[#This Row],[b17]])+ABS(Tab.11[[#This Row],[b18]])&lt;$W$2,$W$2,ABS(Tab.11[[#This Row],[b17]])+ABS(Tab.11[[#This Row],[b18]])))</f>
        <v>0</v>
      </c>
      <c r="X440" s="136" t="b">
        <f>IF(Tab.11[[#This Row],[a1]]=1,IF($W$3&lt;0,Tab.11[[#This Row],[IN]]-$I$3,Tab.11[[#This Row],[IN]]))</f>
        <v>0</v>
      </c>
      <c r="Y440" s="136" t="b">
        <f>IF(Tab.11[[#This Row],[a1]]=1,IF($X$3=0,Tab.11[b66],Tab.11[[#This Row],[b66]]-AVERAGE(Tab.11[b66])))</f>
        <v>0</v>
      </c>
      <c r="Z440" s="135" t="b">
        <f>IF(Tab.11[[#This Row],[a1]]=1,Tab.11[[#This Row],[b77]]/(_xlfn.STDEV.P(Tab.11[b77])))</f>
        <v>0</v>
      </c>
      <c r="AA440" s="70" t="b">
        <f>IF(Tab.11[[#This Row],[a1]]=1,_xlfn.NORM.DIST(Tab.11[[#This Row],[b88]],$Z$1,$AA$1,FALSE))</f>
        <v>0</v>
      </c>
      <c r="AB440" s="74" t="b">
        <f>IF(Tab.11[[#This Row],[a1]]=1,IF($A$3=0,FALSE,1/Tab.11[[#This Row],[IN]]*$AC$2*IF(Tab.11[[#This Row],[a1]]=0,,$A$3*$AC$1*1/$V$3*(Tab.11[[#This Row],[b14]]))))</f>
        <v>0</v>
      </c>
      <c r="AC440" s="75" t="b">
        <f>IF(Tab.11[[#This Row],[a1]]=1,IF($AC$3=0,Tab.11[[#This Row],[φ1]],Tab.11[[#This Row],[φ1]]/MAX(Tab.11[φ1])))</f>
        <v>0</v>
      </c>
      <c r="AD440" s="74" t="b">
        <f>IF(Tab.11[[#This Row],[a1]]=1,1/Tab.11[[#This Row],[φ2]])</f>
        <v>0</v>
      </c>
      <c r="AE440" s="74" t="b">
        <f>IF(Tab.11[[#This Row],[a1]]=1,IF($AE$3=0,Tab.11[[#This Row],[w.0]],Tab.11[[#This Row],[w.0]]/SUM(Tab.11[w.0])))</f>
        <v>0</v>
      </c>
      <c r="AF440" s="76" t="str">
        <f>IF(Tab.11[[#This Row],[a1]]=0,"false",[3]!Tab.x5[[#This Row],[%_seN_C]])</f>
        <v>false</v>
      </c>
      <c r="AG440" s="77" t="b">
        <f>IF(Tab.11[[#This Row],[a1]]=1,AP440)</f>
        <v>0</v>
      </c>
      <c r="AH440" s="78" t="b">
        <f>IF(Tab.11[[#This Row],[a1]]=1,AQ440)</f>
        <v>0</v>
      </c>
      <c r="AI440" s="41">
        <v>3.0000000000000001E-3</v>
      </c>
      <c r="AJ440" s="79">
        <v>0.04</v>
      </c>
      <c r="AK440" s="80" t="b">
        <f>IF(Tab.11[[#This Row],[a1]]=1,1)</f>
        <v>0</v>
      </c>
      <c r="AZ440"/>
    </row>
    <row r="441" spans="1:52" hidden="1" x14ac:dyDescent="0.25">
      <c r="A441" s="61">
        <f t="shared" si="15"/>
        <v>0</v>
      </c>
      <c r="B441" s="62">
        <f t="shared" si="15"/>
        <v>0</v>
      </c>
      <c r="C441" s="62" t="b">
        <f>IF(Tab.11[[#This Row],[a1]]=1,[3]!Tab_x1[[#This Row],[Name]])</f>
        <v>0</v>
      </c>
      <c r="D441" s="63" t="b">
        <f>IF(Tab.11[[#This Row],[a1]]=1,AO441)</f>
        <v>0</v>
      </c>
      <c r="E441" s="63">
        <f t="shared" si="14"/>
        <v>0</v>
      </c>
      <c r="F441" s="64" t="b">
        <f>IF(Tab.11[[#This Row],[a1]]=1,Tab.11[[#This Row],[b1]])</f>
        <v>0</v>
      </c>
      <c r="G441" s="65" t="b">
        <f>IF(Tab.11[[#This Row],[a1]]=1,IF(Tab.11[[#This Row],[b3]]&gt;$L$989*$G$3,$L$989*$G$3,IF(Tab.11[[#This Row],[b3]]&lt;$M$989*$G$3,$M$989*$G$3,Tab.11[[#This Row],[b3]])))</f>
        <v>0</v>
      </c>
      <c r="H441" s="66" t="b">
        <f>IF(Tab.11[[#This Row],[a1]]=1,Tab.11[[#This Row],[b1]])</f>
        <v>0</v>
      </c>
      <c r="I441" s="67" t="b">
        <f>IF(Tab.11[[#This Row],[a1]]=1,Tab.11[[#This Row],[b1]])</f>
        <v>0</v>
      </c>
      <c r="J441" s="68" t="b">
        <f>IF(Tab.11[[#This Row],[a1]]=1,IF($I$3&lt;0,Tab.11[[#This Row],[b5]]-$I$3,Tab.11[[#This Row],[b5]]))</f>
        <v>0</v>
      </c>
      <c r="K441" s="68" t="b">
        <f>IF(Tab.11[[#This Row],[a1]]=1,IF($K$3=0,Tab.11[b6],Tab.11[[#This Row],[b6]]-AVERAGE(Tab.11[b6])))</f>
        <v>0</v>
      </c>
      <c r="L441" s="69" t="b">
        <f>IF(Tab.11[[#This Row],[a1]]=1,Tab.11[[#This Row],[data]]/(_xlfn.STDEV.P(Tab.11[data])*$B$989)+$A$989)</f>
        <v>0</v>
      </c>
      <c r="M441" s="69" t="b">
        <f>IF(Tab.11[[#This Row],[a1]]=1,Tab.11[[#This Row],[data]]/(_xlfn.STDEV.P(Tab.11[data])*$B$987)-$A$987)</f>
        <v>0</v>
      </c>
      <c r="N441" s="69" t="b">
        <f>IF(Tab.11[[#This Row],[a1]]=1,Tab.11[[#This Row],[data]]/(_xlfn.STDEV.P(Tab.11[data])*$B$988)+$A$988)</f>
        <v>0</v>
      </c>
      <c r="O441" s="70" t="b">
        <f>IF(Tab.11[[#This Row],[a1]]=1,_xlfn.NORM.DIST(Tab.11[[#This Row],[b8]],$P$1,$Q$1,FALSE))</f>
        <v>0</v>
      </c>
      <c r="P441" s="70" t="b">
        <f>IF(Tab.11[[#This Row],[a1]]=1,_xlfn.NORM.DIST(Tab.11[[#This Row],[b9]],$P$1,$Q$1,FALSE))</f>
        <v>0</v>
      </c>
      <c r="Q441" s="70" t="b">
        <f>IF(Tab.11[[#This Row],[a1]]=1,_xlfn.NORM.DIST(Tab.11[[#This Row],[b10]],$P$1,$Q$1,FALSE))</f>
        <v>0</v>
      </c>
      <c r="R441" s="67" t="b">
        <f>IF(Tab.11[[#This Row],[a1]]=1,$I$3+$A$989+IF($K$3=0,Tab.11[[#This Row],[b8]]*_xlfn.STDEV.P(Tab.11[data]),AVERAGE(Tab.11[b6])+Tab.11[[#This Row],[b8]]*_xlfn.STDEV.P(Tab.11[data])))</f>
        <v>0</v>
      </c>
      <c r="S441" s="71" t="b">
        <f>IF(Tab.11[[#This Row],[a1]]=1,$I$3+$A$987+IF($K$3=0,Tab.11[[#This Row],[b9]]*_xlfn.STDEV.P(Tab.11[data]),AVERAGE(Tab.11[b6])+Tab.11[[#This Row],[b9]]*_xlfn.STDEV.P(Tab.11[data])))</f>
        <v>0</v>
      </c>
      <c r="T441" s="71" t="b">
        <f>IF(Tab.11[[#This Row],[a1]]=1,$I$3+$A$988+IF($K$3=0,Tab.11[[#This Row],[b10]]*_xlfn.STDEV.P(Tab.11[data]),AVERAGE(Tab.11[b6])+Tab.11[[#This Row],[b10]]*_xlfn.STDEV.P(Tab.11[data])))</f>
        <v>0</v>
      </c>
      <c r="U441" s="72" t="b">
        <f>IF(Tab.11[[#This Row],[a1]]=1,Tab.11[[#This Row],[target]]-Tab.11[[#This Row],[Red]])</f>
        <v>0</v>
      </c>
      <c r="V441" s="72" t="b">
        <f>IF(Tab.11[[#This Row],[a1]]=1,Tab.11[[#This Row],[target]]-Tab.11[[#This Row],[Blue]])</f>
        <v>0</v>
      </c>
      <c r="W441" s="73" t="b">
        <f>IF(Tab.11[[#This Row],[a1]]=1,IF(ABS(Tab.11[[#This Row],[b17]])+ABS(Tab.11[[#This Row],[b18]])&lt;$W$2,$W$2,ABS(Tab.11[[#This Row],[b17]])+ABS(Tab.11[[#This Row],[b18]])))</f>
        <v>0</v>
      </c>
      <c r="X441" s="136" t="b">
        <f>IF(Tab.11[[#This Row],[a1]]=1,IF($W$3&lt;0,Tab.11[[#This Row],[IN]]-$I$3,Tab.11[[#This Row],[IN]]))</f>
        <v>0</v>
      </c>
      <c r="Y441" s="136" t="b">
        <f>IF(Tab.11[[#This Row],[a1]]=1,IF($X$3=0,Tab.11[b66],Tab.11[[#This Row],[b66]]-AVERAGE(Tab.11[b66])))</f>
        <v>0</v>
      </c>
      <c r="Z441" s="135" t="b">
        <f>IF(Tab.11[[#This Row],[a1]]=1,Tab.11[[#This Row],[b77]]/(_xlfn.STDEV.P(Tab.11[b77])))</f>
        <v>0</v>
      </c>
      <c r="AA441" s="70" t="b">
        <f>IF(Tab.11[[#This Row],[a1]]=1,_xlfn.NORM.DIST(Tab.11[[#This Row],[b88]],$Z$1,$AA$1,FALSE))</f>
        <v>0</v>
      </c>
      <c r="AB441" s="74" t="b">
        <f>IF(Tab.11[[#This Row],[a1]]=1,IF($A$3=0,FALSE,1/Tab.11[[#This Row],[IN]]*$AC$2*IF(Tab.11[[#This Row],[a1]]=0,,$A$3*$AC$1*1/$V$3*(Tab.11[[#This Row],[b14]]))))</f>
        <v>0</v>
      </c>
      <c r="AC441" s="75" t="b">
        <f>IF(Tab.11[[#This Row],[a1]]=1,IF($AC$3=0,Tab.11[[#This Row],[φ1]],Tab.11[[#This Row],[φ1]]/MAX(Tab.11[φ1])))</f>
        <v>0</v>
      </c>
      <c r="AD441" s="74" t="b">
        <f>IF(Tab.11[[#This Row],[a1]]=1,1/Tab.11[[#This Row],[φ2]])</f>
        <v>0</v>
      </c>
      <c r="AE441" s="74" t="b">
        <f>IF(Tab.11[[#This Row],[a1]]=1,IF($AE$3=0,Tab.11[[#This Row],[w.0]],Tab.11[[#This Row],[w.0]]/SUM(Tab.11[w.0])))</f>
        <v>0</v>
      </c>
      <c r="AF441" s="76" t="str">
        <f>IF(Tab.11[[#This Row],[a1]]=0,"false",[3]!Tab.x5[[#This Row],[%_seN_C]])</f>
        <v>false</v>
      </c>
      <c r="AG441" s="77" t="b">
        <f>IF(Tab.11[[#This Row],[a1]]=1,AP441)</f>
        <v>0</v>
      </c>
      <c r="AH441" s="78" t="b">
        <f>IF(Tab.11[[#This Row],[a1]]=1,AQ441)</f>
        <v>0</v>
      </c>
      <c r="AI441" s="41">
        <v>3.0000000000000001E-3</v>
      </c>
      <c r="AJ441" s="79">
        <v>0.01</v>
      </c>
      <c r="AK441" s="80" t="b">
        <f>IF(Tab.11[[#This Row],[a1]]=1,1)</f>
        <v>0</v>
      </c>
      <c r="AZ441"/>
    </row>
    <row r="442" spans="1:52" hidden="1" x14ac:dyDescent="0.25">
      <c r="A442" s="61">
        <f t="shared" si="15"/>
        <v>0</v>
      </c>
      <c r="B442" s="62">
        <f t="shared" si="15"/>
        <v>0</v>
      </c>
      <c r="C442" s="62" t="b">
        <f>IF(Tab.11[[#This Row],[a1]]=1,[3]!Tab_x1[[#This Row],[Name]])</f>
        <v>0</v>
      </c>
      <c r="D442" s="63" t="b">
        <f>IF(Tab.11[[#This Row],[a1]]=1,AO442)</f>
        <v>0</v>
      </c>
      <c r="E442" s="63">
        <f t="shared" si="14"/>
        <v>0</v>
      </c>
      <c r="F442" s="64" t="b">
        <f>IF(Tab.11[[#This Row],[a1]]=1,Tab.11[[#This Row],[b1]])</f>
        <v>0</v>
      </c>
      <c r="G442" s="65" t="b">
        <f>IF(Tab.11[[#This Row],[a1]]=1,IF(Tab.11[[#This Row],[b3]]&gt;$L$989*$G$3,$L$989*$G$3,IF(Tab.11[[#This Row],[b3]]&lt;$M$989*$G$3,$M$989*$G$3,Tab.11[[#This Row],[b3]])))</f>
        <v>0</v>
      </c>
      <c r="H442" s="66" t="b">
        <f>IF(Tab.11[[#This Row],[a1]]=1,Tab.11[[#This Row],[b1]])</f>
        <v>0</v>
      </c>
      <c r="I442" s="67" t="b">
        <f>IF(Tab.11[[#This Row],[a1]]=1,Tab.11[[#This Row],[b1]])</f>
        <v>0</v>
      </c>
      <c r="J442" s="68" t="b">
        <f>IF(Tab.11[[#This Row],[a1]]=1,IF($I$3&lt;0,Tab.11[[#This Row],[b5]]-$I$3,Tab.11[[#This Row],[b5]]))</f>
        <v>0</v>
      </c>
      <c r="K442" s="68" t="b">
        <f>IF(Tab.11[[#This Row],[a1]]=1,IF($K$3=0,Tab.11[b6],Tab.11[[#This Row],[b6]]-AVERAGE(Tab.11[b6])))</f>
        <v>0</v>
      </c>
      <c r="L442" s="69" t="b">
        <f>IF(Tab.11[[#This Row],[a1]]=1,Tab.11[[#This Row],[data]]/(_xlfn.STDEV.P(Tab.11[data])*$B$989)+$A$989)</f>
        <v>0</v>
      </c>
      <c r="M442" s="69" t="b">
        <f>IF(Tab.11[[#This Row],[a1]]=1,Tab.11[[#This Row],[data]]/(_xlfn.STDEV.P(Tab.11[data])*$B$987)-$A$987)</f>
        <v>0</v>
      </c>
      <c r="N442" s="69" t="b">
        <f>IF(Tab.11[[#This Row],[a1]]=1,Tab.11[[#This Row],[data]]/(_xlfn.STDEV.P(Tab.11[data])*$B$988)+$A$988)</f>
        <v>0</v>
      </c>
      <c r="O442" s="70" t="b">
        <f>IF(Tab.11[[#This Row],[a1]]=1,_xlfn.NORM.DIST(Tab.11[[#This Row],[b8]],$P$1,$Q$1,FALSE))</f>
        <v>0</v>
      </c>
      <c r="P442" s="70" t="b">
        <f>IF(Tab.11[[#This Row],[a1]]=1,_xlfn.NORM.DIST(Tab.11[[#This Row],[b9]],$P$1,$Q$1,FALSE))</f>
        <v>0</v>
      </c>
      <c r="Q442" s="70" t="b">
        <f>IF(Tab.11[[#This Row],[a1]]=1,_xlfn.NORM.DIST(Tab.11[[#This Row],[b10]],$P$1,$Q$1,FALSE))</f>
        <v>0</v>
      </c>
      <c r="R442" s="67" t="b">
        <f>IF(Tab.11[[#This Row],[a1]]=1,$I$3+$A$989+IF($K$3=0,Tab.11[[#This Row],[b8]]*_xlfn.STDEV.P(Tab.11[data]),AVERAGE(Tab.11[b6])+Tab.11[[#This Row],[b8]]*_xlfn.STDEV.P(Tab.11[data])))</f>
        <v>0</v>
      </c>
      <c r="S442" s="71" t="b">
        <f>IF(Tab.11[[#This Row],[a1]]=1,$I$3+$A$987+IF($K$3=0,Tab.11[[#This Row],[b9]]*_xlfn.STDEV.P(Tab.11[data]),AVERAGE(Tab.11[b6])+Tab.11[[#This Row],[b9]]*_xlfn.STDEV.P(Tab.11[data])))</f>
        <v>0</v>
      </c>
      <c r="T442" s="71" t="b">
        <f>IF(Tab.11[[#This Row],[a1]]=1,$I$3+$A$988+IF($K$3=0,Tab.11[[#This Row],[b10]]*_xlfn.STDEV.P(Tab.11[data]),AVERAGE(Tab.11[b6])+Tab.11[[#This Row],[b10]]*_xlfn.STDEV.P(Tab.11[data])))</f>
        <v>0</v>
      </c>
      <c r="U442" s="72" t="b">
        <f>IF(Tab.11[[#This Row],[a1]]=1,Tab.11[[#This Row],[target]]-Tab.11[[#This Row],[Red]])</f>
        <v>0</v>
      </c>
      <c r="V442" s="72" t="b">
        <f>IF(Tab.11[[#This Row],[a1]]=1,Tab.11[[#This Row],[target]]-Tab.11[[#This Row],[Blue]])</f>
        <v>0</v>
      </c>
      <c r="W442" s="73" t="b">
        <f>IF(Tab.11[[#This Row],[a1]]=1,IF(ABS(Tab.11[[#This Row],[b17]])+ABS(Tab.11[[#This Row],[b18]])&lt;$W$2,$W$2,ABS(Tab.11[[#This Row],[b17]])+ABS(Tab.11[[#This Row],[b18]])))</f>
        <v>0</v>
      </c>
      <c r="X442" s="136" t="b">
        <f>IF(Tab.11[[#This Row],[a1]]=1,IF($W$3&lt;0,Tab.11[[#This Row],[IN]]-$I$3,Tab.11[[#This Row],[IN]]))</f>
        <v>0</v>
      </c>
      <c r="Y442" s="136" t="b">
        <f>IF(Tab.11[[#This Row],[a1]]=1,IF($X$3=0,Tab.11[b66],Tab.11[[#This Row],[b66]]-AVERAGE(Tab.11[b66])))</f>
        <v>0</v>
      </c>
      <c r="Z442" s="135" t="b">
        <f>IF(Tab.11[[#This Row],[a1]]=1,Tab.11[[#This Row],[b77]]/(_xlfn.STDEV.P(Tab.11[b77])))</f>
        <v>0</v>
      </c>
      <c r="AA442" s="70" t="b">
        <f>IF(Tab.11[[#This Row],[a1]]=1,_xlfn.NORM.DIST(Tab.11[[#This Row],[b88]],$Z$1,$AA$1,FALSE))</f>
        <v>0</v>
      </c>
      <c r="AB442" s="74" t="b">
        <f>IF(Tab.11[[#This Row],[a1]]=1,IF($A$3=0,FALSE,1/Tab.11[[#This Row],[IN]]*$AC$2*IF(Tab.11[[#This Row],[a1]]=0,,$A$3*$AC$1*1/$V$3*(Tab.11[[#This Row],[b14]]))))</f>
        <v>0</v>
      </c>
      <c r="AC442" s="75" t="b">
        <f>IF(Tab.11[[#This Row],[a1]]=1,IF($AC$3=0,Tab.11[[#This Row],[φ1]],Tab.11[[#This Row],[φ1]]/MAX(Tab.11[φ1])))</f>
        <v>0</v>
      </c>
      <c r="AD442" s="74" t="b">
        <f>IF(Tab.11[[#This Row],[a1]]=1,1/Tab.11[[#This Row],[φ2]])</f>
        <v>0</v>
      </c>
      <c r="AE442" s="74" t="b">
        <f>IF(Tab.11[[#This Row],[a1]]=1,IF($AE$3=0,Tab.11[[#This Row],[w.0]],Tab.11[[#This Row],[w.0]]/SUM(Tab.11[w.0])))</f>
        <v>0</v>
      </c>
      <c r="AF442" s="76" t="str">
        <f>IF(Tab.11[[#This Row],[a1]]=0,"false",[3]!Tab.x5[[#This Row],[%_seN_C]])</f>
        <v>false</v>
      </c>
      <c r="AG442" s="77" t="b">
        <f>IF(Tab.11[[#This Row],[a1]]=1,AP442)</f>
        <v>0</v>
      </c>
      <c r="AH442" s="78" t="b">
        <f>IF(Tab.11[[#This Row],[a1]]=1,AQ442)</f>
        <v>0</v>
      </c>
      <c r="AI442" s="41">
        <v>3.0000000000000001E-3</v>
      </c>
      <c r="AJ442" s="79">
        <v>0.01</v>
      </c>
      <c r="AK442" s="80" t="b">
        <f>IF(Tab.11[[#This Row],[a1]]=1,1)</f>
        <v>0</v>
      </c>
      <c r="AZ442"/>
    </row>
    <row r="443" spans="1:52" hidden="1" x14ac:dyDescent="0.25">
      <c r="A443" s="61">
        <f t="shared" si="15"/>
        <v>0</v>
      </c>
      <c r="B443" s="62">
        <f t="shared" si="15"/>
        <v>0</v>
      </c>
      <c r="C443" s="62" t="b">
        <f>IF(Tab.11[[#This Row],[a1]]=1,[3]!Tab_x1[[#This Row],[Name]])</f>
        <v>0</v>
      </c>
      <c r="D443" s="63" t="b">
        <f>IF(Tab.11[[#This Row],[a1]]=1,AO443)</f>
        <v>0</v>
      </c>
      <c r="E443" s="63">
        <f t="shared" si="14"/>
        <v>0</v>
      </c>
      <c r="F443" s="64" t="b">
        <f>IF(Tab.11[[#This Row],[a1]]=1,Tab.11[[#This Row],[b1]])</f>
        <v>0</v>
      </c>
      <c r="G443" s="65" t="b">
        <f>IF(Tab.11[[#This Row],[a1]]=1,IF(Tab.11[[#This Row],[b3]]&gt;$L$989*$G$3,$L$989*$G$3,IF(Tab.11[[#This Row],[b3]]&lt;$M$989*$G$3,$M$989*$G$3,Tab.11[[#This Row],[b3]])))</f>
        <v>0</v>
      </c>
      <c r="H443" s="66" t="b">
        <f>IF(Tab.11[[#This Row],[a1]]=1,Tab.11[[#This Row],[b1]])</f>
        <v>0</v>
      </c>
      <c r="I443" s="67" t="b">
        <f>IF(Tab.11[[#This Row],[a1]]=1,Tab.11[[#This Row],[b1]])</f>
        <v>0</v>
      </c>
      <c r="J443" s="68" t="b">
        <f>IF(Tab.11[[#This Row],[a1]]=1,IF($I$3&lt;0,Tab.11[[#This Row],[b5]]-$I$3,Tab.11[[#This Row],[b5]]))</f>
        <v>0</v>
      </c>
      <c r="K443" s="68" t="b">
        <f>IF(Tab.11[[#This Row],[a1]]=1,IF($K$3=0,Tab.11[b6],Tab.11[[#This Row],[b6]]-AVERAGE(Tab.11[b6])))</f>
        <v>0</v>
      </c>
      <c r="L443" s="69" t="b">
        <f>IF(Tab.11[[#This Row],[a1]]=1,Tab.11[[#This Row],[data]]/(_xlfn.STDEV.P(Tab.11[data])*$B$989)+$A$989)</f>
        <v>0</v>
      </c>
      <c r="M443" s="69" t="b">
        <f>IF(Tab.11[[#This Row],[a1]]=1,Tab.11[[#This Row],[data]]/(_xlfn.STDEV.P(Tab.11[data])*$B$987)-$A$987)</f>
        <v>0</v>
      </c>
      <c r="N443" s="69" t="b">
        <f>IF(Tab.11[[#This Row],[a1]]=1,Tab.11[[#This Row],[data]]/(_xlfn.STDEV.P(Tab.11[data])*$B$988)+$A$988)</f>
        <v>0</v>
      </c>
      <c r="O443" s="70" t="b">
        <f>IF(Tab.11[[#This Row],[a1]]=1,_xlfn.NORM.DIST(Tab.11[[#This Row],[b8]],$P$1,$Q$1,FALSE))</f>
        <v>0</v>
      </c>
      <c r="P443" s="70" t="b">
        <f>IF(Tab.11[[#This Row],[a1]]=1,_xlfn.NORM.DIST(Tab.11[[#This Row],[b9]],$P$1,$Q$1,FALSE))</f>
        <v>0</v>
      </c>
      <c r="Q443" s="70" t="b">
        <f>IF(Tab.11[[#This Row],[a1]]=1,_xlfn.NORM.DIST(Tab.11[[#This Row],[b10]],$P$1,$Q$1,FALSE))</f>
        <v>0</v>
      </c>
      <c r="R443" s="67" t="b">
        <f>IF(Tab.11[[#This Row],[a1]]=1,$I$3+$A$989+IF($K$3=0,Tab.11[[#This Row],[b8]]*_xlfn.STDEV.P(Tab.11[data]),AVERAGE(Tab.11[b6])+Tab.11[[#This Row],[b8]]*_xlfn.STDEV.P(Tab.11[data])))</f>
        <v>0</v>
      </c>
      <c r="S443" s="71" t="b">
        <f>IF(Tab.11[[#This Row],[a1]]=1,$I$3+$A$987+IF($K$3=0,Tab.11[[#This Row],[b9]]*_xlfn.STDEV.P(Tab.11[data]),AVERAGE(Tab.11[b6])+Tab.11[[#This Row],[b9]]*_xlfn.STDEV.P(Tab.11[data])))</f>
        <v>0</v>
      </c>
      <c r="T443" s="71" t="b">
        <f>IF(Tab.11[[#This Row],[a1]]=1,$I$3+$A$988+IF($K$3=0,Tab.11[[#This Row],[b10]]*_xlfn.STDEV.P(Tab.11[data]),AVERAGE(Tab.11[b6])+Tab.11[[#This Row],[b10]]*_xlfn.STDEV.P(Tab.11[data])))</f>
        <v>0</v>
      </c>
      <c r="U443" s="72" t="b">
        <f>IF(Tab.11[[#This Row],[a1]]=1,Tab.11[[#This Row],[target]]-Tab.11[[#This Row],[Red]])</f>
        <v>0</v>
      </c>
      <c r="V443" s="72" t="b">
        <f>IF(Tab.11[[#This Row],[a1]]=1,Tab.11[[#This Row],[target]]-Tab.11[[#This Row],[Blue]])</f>
        <v>0</v>
      </c>
      <c r="W443" s="73" t="b">
        <f>IF(Tab.11[[#This Row],[a1]]=1,IF(ABS(Tab.11[[#This Row],[b17]])+ABS(Tab.11[[#This Row],[b18]])&lt;$W$2,$W$2,ABS(Tab.11[[#This Row],[b17]])+ABS(Tab.11[[#This Row],[b18]])))</f>
        <v>0</v>
      </c>
      <c r="X443" s="136" t="b">
        <f>IF(Tab.11[[#This Row],[a1]]=1,IF($W$3&lt;0,Tab.11[[#This Row],[IN]]-$I$3,Tab.11[[#This Row],[IN]]))</f>
        <v>0</v>
      </c>
      <c r="Y443" s="136" t="b">
        <f>IF(Tab.11[[#This Row],[a1]]=1,IF($X$3=0,Tab.11[b66],Tab.11[[#This Row],[b66]]-AVERAGE(Tab.11[b66])))</f>
        <v>0</v>
      </c>
      <c r="Z443" s="135" t="b">
        <f>IF(Tab.11[[#This Row],[a1]]=1,Tab.11[[#This Row],[b77]]/(_xlfn.STDEV.P(Tab.11[b77])))</f>
        <v>0</v>
      </c>
      <c r="AA443" s="70" t="b">
        <f>IF(Tab.11[[#This Row],[a1]]=1,_xlfn.NORM.DIST(Tab.11[[#This Row],[b88]],$Z$1,$AA$1,FALSE))</f>
        <v>0</v>
      </c>
      <c r="AB443" s="74" t="b">
        <f>IF(Tab.11[[#This Row],[a1]]=1,IF($A$3=0,FALSE,1/Tab.11[[#This Row],[IN]]*$AC$2*IF(Tab.11[[#This Row],[a1]]=0,,$A$3*$AC$1*1/$V$3*(Tab.11[[#This Row],[b14]]))))</f>
        <v>0</v>
      </c>
      <c r="AC443" s="75" t="b">
        <f>IF(Tab.11[[#This Row],[a1]]=1,IF($AC$3=0,Tab.11[[#This Row],[φ1]],Tab.11[[#This Row],[φ1]]/MAX(Tab.11[φ1])))</f>
        <v>0</v>
      </c>
      <c r="AD443" s="74" t="b">
        <f>IF(Tab.11[[#This Row],[a1]]=1,1/Tab.11[[#This Row],[φ2]])</f>
        <v>0</v>
      </c>
      <c r="AE443" s="74" t="b">
        <f>IF(Tab.11[[#This Row],[a1]]=1,IF($AE$3=0,Tab.11[[#This Row],[w.0]],Tab.11[[#This Row],[w.0]]/SUM(Tab.11[w.0])))</f>
        <v>0</v>
      </c>
      <c r="AF443" s="76" t="str">
        <f>IF(Tab.11[[#This Row],[a1]]=0,"false",[3]!Tab.x5[[#This Row],[%_seN_C]])</f>
        <v>false</v>
      </c>
      <c r="AG443" s="77" t="b">
        <f>IF(Tab.11[[#This Row],[a1]]=1,AP443)</f>
        <v>0</v>
      </c>
      <c r="AH443" s="78" t="b">
        <f>IF(Tab.11[[#This Row],[a1]]=1,AQ443)</f>
        <v>0</v>
      </c>
      <c r="AI443" s="41">
        <v>3.0000000000000001E-3</v>
      </c>
      <c r="AJ443" s="79">
        <v>-0.03</v>
      </c>
      <c r="AK443" s="80" t="b">
        <f>IF(Tab.11[[#This Row],[a1]]=1,1)</f>
        <v>0</v>
      </c>
      <c r="AZ443"/>
    </row>
    <row r="444" spans="1:52" hidden="1" x14ac:dyDescent="0.25">
      <c r="A444" s="61">
        <f t="shared" si="15"/>
        <v>0</v>
      </c>
      <c r="B444" s="62">
        <f t="shared" si="15"/>
        <v>0</v>
      </c>
      <c r="C444" s="62" t="b">
        <f>IF(Tab.11[[#This Row],[a1]]=1,[3]!Tab_x1[[#This Row],[Name]])</f>
        <v>0</v>
      </c>
      <c r="D444" s="63" t="b">
        <f>IF(Tab.11[[#This Row],[a1]]=1,AO444)</f>
        <v>0</v>
      </c>
      <c r="E444" s="63">
        <f t="shared" si="14"/>
        <v>0</v>
      </c>
      <c r="F444" s="64" t="b">
        <f>IF(Tab.11[[#This Row],[a1]]=1,Tab.11[[#This Row],[b1]])</f>
        <v>0</v>
      </c>
      <c r="G444" s="65" t="b">
        <f>IF(Tab.11[[#This Row],[a1]]=1,IF(Tab.11[[#This Row],[b3]]&gt;$L$989*$G$3,$L$989*$G$3,IF(Tab.11[[#This Row],[b3]]&lt;$M$989*$G$3,$M$989*$G$3,Tab.11[[#This Row],[b3]])))</f>
        <v>0</v>
      </c>
      <c r="H444" s="66" t="b">
        <f>IF(Tab.11[[#This Row],[a1]]=1,Tab.11[[#This Row],[b1]])</f>
        <v>0</v>
      </c>
      <c r="I444" s="67" t="b">
        <f>IF(Tab.11[[#This Row],[a1]]=1,Tab.11[[#This Row],[b1]])</f>
        <v>0</v>
      </c>
      <c r="J444" s="68" t="b">
        <f>IF(Tab.11[[#This Row],[a1]]=1,IF($I$3&lt;0,Tab.11[[#This Row],[b5]]-$I$3,Tab.11[[#This Row],[b5]]))</f>
        <v>0</v>
      </c>
      <c r="K444" s="68" t="b">
        <f>IF(Tab.11[[#This Row],[a1]]=1,IF($K$3=0,Tab.11[b6],Tab.11[[#This Row],[b6]]-AVERAGE(Tab.11[b6])))</f>
        <v>0</v>
      </c>
      <c r="L444" s="69" t="b">
        <f>IF(Tab.11[[#This Row],[a1]]=1,Tab.11[[#This Row],[data]]/(_xlfn.STDEV.P(Tab.11[data])*$B$989)+$A$989)</f>
        <v>0</v>
      </c>
      <c r="M444" s="69" t="b">
        <f>IF(Tab.11[[#This Row],[a1]]=1,Tab.11[[#This Row],[data]]/(_xlfn.STDEV.P(Tab.11[data])*$B$987)-$A$987)</f>
        <v>0</v>
      </c>
      <c r="N444" s="69" t="b">
        <f>IF(Tab.11[[#This Row],[a1]]=1,Tab.11[[#This Row],[data]]/(_xlfn.STDEV.P(Tab.11[data])*$B$988)+$A$988)</f>
        <v>0</v>
      </c>
      <c r="O444" s="70" t="b">
        <f>IF(Tab.11[[#This Row],[a1]]=1,_xlfn.NORM.DIST(Tab.11[[#This Row],[b8]],$P$1,$Q$1,FALSE))</f>
        <v>0</v>
      </c>
      <c r="P444" s="70" t="b">
        <f>IF(Tab.11[[#This Row],[a1]]=1,_xlfn.NORM.DIST(Tab.11[[#This Row],[b9]],$P$1,$Q$1,FALSE))</f>
        <v>0</v>
      </c>
      <c r="Q444" s="70" t="b">
        <f>IF(Tab.11[[#This Row],[a1]]=1,_xlfn.NORM.DIST(Tab.11[[#This Row],[b10]],$P$1,$Q$1,FALSE))</f>
        <v>0</v>
      </c>
      <c r="R444" s="67" t="b">
        <f>IF(Tab.11[[#This Row],[a1]]=1,$I$3+$A$989+IF($K$3=0,Tab.11[[#This Row],[b8]]*_xlfn.STDEV.P(Tab.11[data]),AVERAGE(Tab.11[b6])+Tab.11[[#This Row],[b8]]*_xlfn.STDEV.P(Tab.11[data])))</f>
        <v>0</v>
      </c>
      <c r="S444" s="71" t="b">
        <f>IF(Tab.11[[#This Row],[a1]]=1,$I$3+$A$987+IF($K$3=0,Tab.11[[#This Row],[b9]]*_xlfn.STDEV.P(Tab.11[data]),AVERAGE(Tab.11[b6])+Tab.11[[#This Row],[b9]]*_xlfn.STDEV.P(Tab.11[data])))</f>
        <v>0</v>
      </c>
      <c r="T444" s="71" t="b">
        <f>IF(Tab.11[[#This Row],[a1]]=1,$I$3+$A$988+IF($K$3=0,Tab.11[[#This Row],[b10]]*_xlfn.STDEV.P(Tab.11[data]),AVERAGE(Tab.11[b6])+Tab.11[[#This Row],[b10]]*_xlfn.STDEV.P(Tab.11[data])))</f>
        <v>0</v>
      </c>
      <c r="U444" s="72" t="b">
        <f>IF(Tab.11[[#This Row],[a1]]=1,Tab.11[[#This Row],[target]]-Tab.11[[#This Row],[Red]])</f>
        <v>0</v>
      </c>
      <c r="V444" s="72" t="b">
        <f>IF(Tab.11[[#This Row],[a1]]=1,Tab.11[[#This Row],[target]]-Tab.11[[#This Row],[Blue]])</f>
        <v>0</v>
      </c>
      <c r="W444" s="73" t="b">
        <f>IF(Tab.11[[#This Row],[a1]]=1,IF(ABS(Tab.11[[#This Row],[b17]])+ABS(Tab.11[[#This Row],[b18]])&lt;$W$2,$W$2,ABS(Tab.11[[#This Row],[b17]])+ABS(Tab.11[[#This Row],[b18]])))</f>
        <v>0</v>
      </c>
      <c r="X444" s="136" t="b">
        <f>IF(Tab.11[[#This Row],[a1]]=1,IF($W$3&lt;0,Tab.11[[#This Row],[IN]]-$I$3,Tab.11[[#This Row],[IN]]))</f>
        <v>0</v>
      </c>
      <c r="Y444" s="136" t="b">
        <f>IF(Tab.11[[#This Row],[a1]]=1,IF($X$3=0,Tab.11[b66],Tab.11[[#This Row],[b66]]-AVERAGE(Tab.11[b66])))</f>
        <v>0</v>
      </c>
      <c r="Z444" s="135" t="b">
        <f>IF(Tab.11[[#This Row],[a1]]=1,Tab.11[[#This Row],[b77]]/(_xlfn.STDEV.P(Tab.11[b77])))</f>
        <v>0</v>
      </c>
      <c r="AA444" s="70" t="b">
        <f>IF(Tab.11[[#This Row],[a1]]=1,_xlfn.NORM.DIST(Tab.11[[#This Row],[b88]],$Z$1,$AA$1,FALSE))</f>
        <v>0</v>
      </c>
      <c r="AB444" s="74" t="b">
        <f>IF(Tab.11[[#This Row],[a1]]=1,IF($A$3=0,FALSE,1/Tab.11[[#This Row],[IN]]*$AC$2*IF(Tab.11[[#This Row],[a1]]=0,,$A$3*$AC$1*1/$V$3*(Tab.11[[#This Row],[b14]]))))</f>
        <v>0</v>
      </c>
      <c r="AC444" s="75" t="b">
        <f>IF(Tab.11[[#This Row],[a1]]=1,IF($AC$3=0,Tab.11[[#This Row],[φ1]],Tab.11[[#This Row],[φ1]]/MAX(Tab.11[φ1])))</f>
        <v>0</v>
      </c>
      <c r="AD444" s="74" t="b">
        <f>IF(Tab.11[[#This Row],[a1]]=1,1/Tab.11[[#This Row],[φ2]])</f>
        <v>0</v>
      </c>
      <c r="AE444" s="74" t="b">
        <f>IF(Tab.11[[#This Row],[a1]]=1,IF($AE$3=0,Tab.11[[#This Row],[w.0]],Tab.11[[#This Row],[w.0]]/SUM(Tab.11[w.0])))</f>
        <v>0</v>
      </c>
      <c r="AF444" s="76" t="str">
        <f>IF(Tab.11[[#This Row],[a1]]=0,"false",[3]!Tab.x5[[#This Row],[%_seN_C]])</f>
        <v>false</v>
      </c>
      <c r="AG444" s="77" t="b">
        <f>IF(Tab.11[[#This Row],[a1]]=1,AP444)</f>
        <v>0</v>
      </c>
      <c r="AH444" s="78" t="b">
        <f>IF(Tab.11[[#This Row],[a1]]=1,AQ444)</f>
        <v>0</v>
      </c>
      <c r="AI444" s="41">
        <v>3.0000000000000001E-3</v>
      </c>
      <c r="AJ444" s="79">
        <v>0.09</v>
      </c>
      <c r="AK444" s="80" t="b">
        <f>IF(Tab.11[[#This Row],[a1]]=1,1)</f>
        <v>0</v>
      </c>
      <c r="AZ444"/>
    </row>
    <row r="445" spans="1:52" hidden="1" x14ac:dyDescent="0.25">
      <c r="A445" s="61">
        <f t="shared" si="15"/>
        <v>0</v>
      </c>
      <c r="B445" s="62">
        <f t="shared" si="15"/>
        <v>0</v>
      </c>
      <c r="C445" s="62" t="b">
        <f>IF(Tab.11[[#This Row],[a1]]=1,[3]!Tab_x1[[#This Row],[Name]])</f>
        <v>0</v>
      </c>
      <c r="D445" s="63" t="b">
        <f>IF(Tab.11[[#This Row],[a1]]=1,AO445)</f>
        <v>0</v>
      </c>
      <c r="E445" s="63">
        <f t="shared" si="14"/>
        <v>0</v>
      </c>
      <c r="F445" s="64" t="b">
        <f>IF(Tab.11[[#This Row],[a1]]=1,Tab.11[[#This Row],[b1]])</f>
        <v>0</v>
      </c>
      <c r="G445" s="65" t="b">
        <f>IF(Tab.11[[#This Row],[a1]]=1,IF(Tab.11[[#This Row],[b3]]&gt;$L$989*$G$3,$L$989*$G$3,IF(Tab.11[[#This Row],[b3]]&lt;$M$989*$G$3,$M$989*$G$3,Tab.11[[#This Row],[b3]])))</f>
        <v>0</v>
      </c>
      <c r="H445" s="66" t="b">
        <f>IF(Tab.11[[#This Row],[a1]]=1,Tab.11[[#This Row],[b1]])</f>
        <v>0</v>
      </c>
      <c r="I445" s="67" t="b">
        <f>IF(Tab.11[[#This Row],[a1]]=1,Tab.11[[#This Row],[b1]])</f>
        <v>0</v>
      </c>
      <c r="J445" s="68" t="b">
        <f>IF(Tab.11[[#This Row],[a1]]=1,IF($I$3&lt;0,Tab.11[[#This Row],[b5]]-$I$3,Tab.11[[#This Row],[b5]]))</f>
        <v>0</v>
      </c>
      <c r="K445" s="68" t="b">
        <f>IF(Tab.11[[#This Row],[a1]]=1,IF($K$3=0,Tab.11[b6],Tab.11[[#This Row],[b6]]-AVERAGE(Tab.11[b6])))</f>
        <v>0</v>
      </c>
      <c r="L445" s="69" t="b">
        <f>IF(Tab.11[[#This Row],[a1]]=1,Tab.11[[#This Row],[data]]/(_xlfn.STDEV.P(Tab.11[data])*$B$989)+$A$989)</f>
        <v>0</v>
      </c>
      <c r="M445" s="69" t="b">
        <f>IF(Tab.11[[#This Row],[a1]]=1,Tab.11[[#This Row],[data]]/(_xlfn.STDEV.P(Tab.11[data])*$B$987)-$A$987)</f>
        <v>0</v>
      </c>
      <c r="N445" s="69" t="b">
        <f>IF(Tab.11[[#This Row],[a1]]=1,Tab.11[[#This Row],[data]]/(_xlfn.STDEV.P(Tab.11[data])*$B$988)+$A$988)</f>
        <v>0</v>
      </c>
      <c r="O445" s="70" t="b">
        <f>IF(Tab.11[[#This Row],[a1]]=1,_xlfn.NORM.DIST(Tab.11[[#This Row],[b8]],$P$1,$Q$1,FALSE))</f>
        <v>0</v>
      </c>
      <c r="P445" s="70" t="b">
        <f>IF(Tab.11[[#This Row],[a1]]=1,_xlfn.NORM.DIST(Tab.11[[#This Row],[b9]],$P$1,$Q$1,FALSE))</f>
        <v>0</v>
      </c>
      <c r="Q445" s="70" t="b">
        <f>IF(Tab.11[[#This Row],[a1]]=1,_xlfn.NORM.DIST(Tab.11[[#This Row],[b10]],$P$1,$Q$1,FALSE))</f>
        <v>0</v>
      </c>
      <c r="R445" s="67" t="b">
        <f>IF(Tab.11[[#This Row],[a1]]=1,$I$3+$A$989+IF($K$3=0,Tab.11[[#This Row],[b8]]*_xlfn.STDEV.P(Tab.11[data]),AVERAGE(Tab.11[b6])+Tab.11[[#This Row],[b8]]*_xlfn.STDEV.P(Tab.11[data])))</f>
        <v>0</v>
      </c>
      <c r="S445" s="71" t="b">
        <f>IF(Tab.11[[#This Row],[a1]]=1,$I$3+$A$987+IF($K$3=0,Tab.11[[#This Row],[b9]]*_xlfn.STDEV.P(Tab.11[data]),AVERAGE(Tab.11[b6])+Tab.11[[#This Row],[b9]]*_xlfn.STDEV.P(Tab.11[data])))</f>
        <v>0</v>
      </c>
      <c r="T445" s="71" t="b">
        <f>IF(Tab.11[[#This Row],[a1]]=1,$I$3+$A$988+IF($K$3=0,Tab.11[[#This Row],[b10]]*_xlfn.STDEV.P(Tab.11[data]),AVERAGE(Tab.11[b6])+Tab.11[[#This Row],[b10]]*_xlfn.STDEV.P(Tab.11[data])))</f>
        <v>0</v>
      </c>
      <c r="U445" s="72" t="b">
        <f>IF(Tab.11[[#This Row],[a1]]=1,Tab.11[[#This Row],[target]]-Tab.11[[#This Row],[Red]])</f>
        <v>0</v>
      </c>
      <c r="V445" s="72" t="b">
        <f>IF(Tab.11[[#This Row],[a1]]=1,Tab.11[[#This Row],[target]]-Tab.11[[#This Row],[Blue]])</f>
        <v>0</v>
      </c>
      <c r="W445" s="73" t="b">
        <f>IF(Tab.11[[#This Row],[a1]]=1,IF(ABS(Tab.11[[#This Row],[b17]])+ABS(Tab.11[[#This Row],[b18]])&lt;$W$2,$W$2,ABS(Tab.11[[#This Row],[b17]])+ABS(Tab.11[[#This Row],[b18]])))</f>
        <v>0</v>
      </c>
      <c r="X445" s="136" t="b">
        <f>IF(Tab.11[[#This Row],[a1]]=1,IF($W$3&lt;0,Tab.11[[#This Row],[IN]]-$I$3,Tab.11[[#This Row],[IN]]))</f>
        <v>0</v>
      </c>
      <c r="Y445" s="136" t="b">
        <f>IF(Tab.11[[#This Row],[a1]]=1,IF($X$3=0,Tab.11[b66],Tab.11[[#This Row],[b66]]-AVERAGE(Tab.11[b66])))</f>
        <v>0</v>
      </c>
      <c r="Z445" s="135" t="b">
        <f>IF(Tab.11[[#This Row],[a1]]=1,Tab.11[[#This Row],[b77]]/(_xlfn.STDEV.P(Tab.11[b77])))</f>
        <v>0</v>
      </c>
      <c r="AA445" s="70" t="b">
        <f>IF(Tab.11[[#This Row],[a1]]=1,_xlfn.NORM.DIST(Tab.11[[#This Row],[b88]],$Z$1,$AA$1,FALSE))</f>
        <v>0</v>
      </c>
      <c r="AB445" s="74" t="b">
        <f>IF(Tab.11[[#This Row],[a1]]=1,IF($A$3=0,FALSE,1/Tab.11[[#This Row],[IN]]*$AC$2*IF(Tab.11[[#This Row],[a1]]=0,,$A$3*$AC$1*1/$V$3*(Tab.11[[#This Row],[b14]]))))</f>
        <v>0</v>
      </c>
      <c r="AC445" s="75" t="b">
        <f>IF(Tab.11[[#This Row],[a1]]=1,IF($AC$3=0,Tab.11[[#This Row],[φ1]],Tab.11[[#This Row],[φ1]]/MAX(Tab.11[φ1])))</f>
        <v>0</v>
      </c>
      <c r="AD445" s="74" t="b">
        <f>IF(Tab.11[[#This Row],[a1]]=1,1/Tab.11[[#This Row],[φ2]])</f>
        <v>0</v>
      </c>
      <c r="AE445" s="74" t="b">
        <f>IF(Tab.11[[#This Row],[a1]]=1,IF($AE$3=0,Tab.11[[#This Row],[w.0]],Tab.11[[#This Row],[w.0]]/SUM(Tab.11[w.0])))</f>
        <v>0</v>
      </c>
      <c r="AF445" s="76" t="str">
        <f>IF(Tab.11[[#This Row],[a1]]=0,"false",[3]!Tab.x5[[#This Row],[%_seN_C]])</f>
        <v>false</v>
      </c>
      <c r="AG445" s="77" t="b">
        <f>IF(Tab.11[[#This Row],[a1]]=1,AP445)</f>
        <v>0</v>
      </c>
      <c r="AH445" s="78" t="b">
        <f>IF(Tab.11[[#This Row],[a1]]=1,AQ445)</f>
        <v>0</v>
      </c>
      <c r="AI445" s="41">
        <v>3.0000000000000001E-3</v>
      </c>
      <c r="AJ445" s="79">
        <v>0.02</v>
      </c>
      <c r="AK445" s="80" t="b">
        <f>IF(Tab.11[[#This Row],[a1]]=1,1)</f>
        <v>0</v>
      </c>
      <c r="AZ445"/>
    </row>
    <row r="446" spans="1:52" hidden="1" x14ac:dyDescent="0.25">
      <c r="A446" s="61">
        <f t="shared" si="15"/>
        <v>0</v>
      </c>
      <c r="B446" s="62">
        <f t="shared" si="15"/>
        <v>0</v>
      </c>
      <c r="C446" s="62" t="b">
        <f>IF(Tab.11[[#This Row],[a1]]=1,[3]!Tab_x1[[#This Row],[Name]])</f>
        <v>0</v>
      </c>
      <c r="D446" s="63" t="b">
        <f>IF(Tab.11[[#This Row],[a1]]=1,AO446)</f>
        <v>0</v>
      </c>
      <c r="E446" s="63">
        <f t="shared" si="14"/>
        <v>0</v>
      </c>
      <c r="F446" s="64" t="b">
        <f>IF(Tab.11[[#This Row],[a1]]=1,Tab.11[[#This Row],[b1]])</f>
        <v>0</v>
      </c>
      <c r="G446" s="65" t="b">
        <f>IF(Tab.11[[#This Row],[a1]]=1,IF(Tab.11[[#This Row],[b3]]&gt;$L$989*$G$3,$L$989*$G$3,IF(Tab.11[[#This Row],[b3]]&lt;$M$989*$G$3,$M$989*$G$3,Tab.11[[#This Row],[b3]])))</f>
        <v>0</v>
      </c>
      <c r="H446" s="66" t="b">
        <f>IF(Tab.11[[#This Row],[a1]]=1,Tab.11[[#This Row],[b1]])</f>
        <v>0</v>
      </c>
      <c r="I446" s="67" t="b">
        <f>IF(Tab.11[[#This Row],[a1]]=1,Tab.11[[#This Row],[b1]])</f>
        <v>0</v>
      </c>
      <c r="J446" s="68" t="b">
        <f>IF(Tab.11[[#This Row],[a1]]=1,IF($I$3&lt;0,Tab.11[[#This Row],[b5]]-$I$3,Tab.11[[#This Row],[b5]]))</f>
        <v>0</v>
      </c>
      <c r="K446" s="68" t="b">
        <f>IF(Tab.11[[#This Row],[a1]]=1,IF($K$3=0,Tab.11[b6],Tab.11[[#This Row],[b6]]-AVERAGE(Tab.11[b6])))</f>
        <v>0</v>
      </c>
      <c r="L446" s="69" t="b">
        <f>IF(Tab.11[[#This Row],[a1]]=1,Tab.11[[#This Row],[data]]/(_xlfn.STDEV.P(Tab.11[data])*$B$989)+$A$989)</f>
        <v>0</v>
      </c>
      <c r="M446" s="69" t="b">
        <f>IF(Tab.11[[#This Row],[a1]]=1,Tab.11[[#This Row],[data]]/(_xlfn.STDEV.P(Tab.11[data])*$B$987)-$A$987)</f>
        <v>0</v>
      </c>
      <c r="N446" s="69" t="b">
        <f>IF(Tab.11[[#This Row],[a1]]=1,Tab.11[[#This Row],[data]]/(_xlfn.STDEV.P(Tab.11[data])*$B$988)+$A$988)</f>
        <v>0</v>
      </c>
      <c r="O446" s="70" t="b">
        <f>IF(Tab.11[[#This Row],[a1]]=1,_xlfn.NORM.DIST(Tab.11[[#This Row],[b8]],$P$1,$Q$1,FALSE))</f>
        <v>0</v>
      </c>
      <c r="P446" s="70" t="b">
        <f>IF(Tab.11[[#This Row],[a1]]=1,_xlfn.NORM.DIST(Tab.11[[#This Row],[b9]],$P$1,$Q$1,FALSE))</f>
        <v>0</v>
      </c>
      <c r="Q446" s="70" t="b">
        <f>IF(Tab.11[[#This Row],[a1]]=1,_xlfn.NORM.DIST(Tab.11[[#This Row],[b10]],$P$1,$Q$1,FALSE))</f>
        <v>0</v>
      </c>
      <c r="R446" s="67" t="b">
        <f>IF(Tab.11[[#This Row],[a1]]=1,$I$3+$A$989+IF($K$3=0,Tab.11[[#This Row],[b8]]*_xlfn.STDEV.P(Tab.11[data]),AVERAGE(Tab.11[b6])+Tab.11[[#This Row],[b8]]*_xlfn.STDEV.P(Tab.11[data])))</f>
        <v>0</v>
      </c>
      <c r="S446" s="71" t="b">
        <f>IF(Tab.11[[#This Row],[a1]]=1,$I$3+$A$987+IF($K$3=0,Tab.11[[#This Row],[b9]]*_xlfn.STDEV.P(Tab.11[data]),AVERAGE(Tab.11[b6])+Tab.11[[#This Row],[b9]]*_xlfn.STDEV.P(Tab.11[data])))</f>
        <v>0</v>
      </c>
      <c r="T446" s="71" t="b">
        <f>IF(Tab.11[[#This Row],[a1]]=1,$I$3+$A$988+IF($K$3=0,Tab.11[[#This Row],[b10]]*_xlfn.STDEV.P(Tab.11[data]),AVERAGE(Tab.11[b6])+Tab.11[[#This Row],[b10]]*_xlfn.STDEV.P(Tab.11[data])))</f>
        <v>0</v>
      </c>
      <c r="U446" s="72" t="b">
        <f>IF(Tab.11[[#This Row],[a1]]=1,Tab.11[[#This Row],[target]]-Tab.11[[#This Row],[Red]])</f>
        <v>0</v>
      </c>
      <c r="V446" s="72" t="b">
        <f>IF(Tab.11[[#This Row],[a1]]=1,Tab.11[[#This Row],[target]]-Tab.11[[#This Row],[Blue]])</f>
        <v>0</v>
      </c>
      <c r="W446" s="73" t="b">
        <f>IF(Tab.11[[#This Row],[a1]]=1,IF(ABS(Tab.11[[#This Row],[b17]])+ABS(Tab.11[[#This Row],[b18]])&lt;$W$2,$W$2,ABS(Tab.11[[#This Row],[b17]])+ABS(Tab.11[[#This Row],[b18]])))</f>
        <v>0</v>
      </c>
      <c r="X446" s="136" t="b">
        <f>IF(Tab.11[[#This Row],[a1]]=1,IF($W$3&lt;0,Tab.11[[#This Row],[IN]]-$I$3,Tab.11[[#This Row],[IN]]))</f>
        <v>0</v>
      </c>
      <c r="Y446" s="136" t="b">
        <f>IF(Tab.11[[#This Row],[a1]]=1,IF($X$3=0,Tab.11[b66],Tab.11[[#This Row],[b66]]-AVERAGE(Tab.11[b66])))</f>
        <v>0</v>
      </c>
      <c r="Z446" s="135" t="b">
        <f>IF(Tab.11[[#This Row],[a1]]=1,Tab.11[[#This Row],[b77]]/(_xlfn.STDEV.P(Tab.11[b77])))</f>
        <v>0</v>
      </c>
      <c r="AA446" s="70" t="b">
        <f>IF(Tab.11[[#This Row],[a1]]=1,_xlfn.NORM.DIST(Tab.11[[#This Row],[b88]],$Z$1,$AA$1,FALSE))</f>
        <v>0</v>
      </c>
      <c r="AB446" s="74" t="b">
        <f>IF(Tab.11[[#This Row],[a1]]=1,IF($A$3=0,FALSE,1/Tab.11[[#This Row],[IN]]*$AC$2*IF(Tab.11[[#This Row],[a1]]=0,,$A$3*$AC$1*1/$V$3*(Tab.11[[#This Row],[b14]]))))</f>
        <v>0</v>
      </c>
      <c r="AC446" s="75" t="b">
        <f>IF(Tab.11[[#This Row],[a1]]=1,IF($AC$3=0,Tab.11[[#This Row],[φ1]],Tab.11[[#This Row],[φ1]]/MAX(Tab.11[φ1])))</f>
        <v>0</v>
      </c>
      <c r="AD446" s="74" t="b">
        <f>IF(Tab.11[[#This Row],[a1]]=1,1/Tab.11[[#This Row],[φ2]])</f>
        <v>0</v>
      </c>
      <c r="AE446" s="74" t="b">
        <f>IF(Tab.11[[#This Row],[a1]]=1,IF($AE$3=0,Tab.11[[#This Row],[w.0]],Tab.11[[#This Row],[w.0]]/SUM(Tab.11[w.0])))</f>
        <v>0</v>
      </c>
      <c r="AF446" s="76" t="str">
        <f>IF(Tab.11[[#This Row],[a1]]=0,"false",[3]!Tab.x5[[#This Row],[%_seN_C]])</f>
        <v>false</v>
      </c>
      <c r="AG446" s="77" t="b">
        <f>IF(Tab.11[[#This Row],[a1]]=1,AP446)</f>
        <v>0</v>
      </c>
      <c r="AH446" s="78" t="b">
        <f>IF(Tab.11[[#This Row],[a1]]=1,AQ446)</f>
        <v>0</v>
      </c>
      <c r="AI446" s="41">
        <v>3.0000000000000001E-3</v>
      </c>
      <c r="AJ446" s="79">
        <v>-0.02</v>
      </c>
      <c r="AK446" s="80" t="b">
        <f>IF(Tab.11[[#This Row],[a1]]=1,1)</f>
        <v>0</v>
      </c>
      <c r="AZ446"/>
    </row>
    <row r="447" spans="1:52" hidden="1" x14ac:dyDescent="0.25">
      <c r="A447" s="61">
        <f t="shared" si="15"/>
        <v>0</v>
      </c>
      <c r="B447" s="62">
        <f t="shared" si="15"/>
        <v>0</v>
      </c>
      <c r="C447" s="62" t="b">
        <f>IF(Tab.11[[#This Row],[a1]]=1,[3]!Tab_x1[[#This Row],[Name]])</f>
        <v>0</v>
      </c>
      <c r="D447" s="63" t="b">
        <f>IF(Tab.11[[#This Row],[a1]]=1,AO447)</f>
        <v>0</v>
      </c>
      <c r="E447" s="63">
        <f t="shared" si="14"/>
        <v>0</v>
      </c>
      <c r="F447" s="64" t="b">
        <f>IF(Tab.11[[#This Row],[a1]]=1,Tab.11[[#This Row],[b1]])</f>
        <v>0</v>
      </c>
      <c r="G447" s="65" t="b">
        <f>IF(Tab.11[[#This Row],[a1]]=1,IF(Tab.11[[#This Row],[b3]]&gt;$L$989*$G$3,$L$989*$G$3,IF(Tab.11[[#This Row],[b3]]&lt;$M$989*$G$3,$M$989*$G$3,Tab.11[[#This Row],[b3]])))</f>
        <v>0</v>
      </c>
      <c r="H447" s="66" t="b">
        <f>IF(Tab.11[[#This Row],[a1]]=1,Tab.11[[#This Row],[b1]])</f>
        <v>0</v>
      </c>
      <c r="I447" s="67" t="b">
        <f>IF(Tab.11[[#This Row],[a1]]=1,Tab.11[[#This Row],[b1]])</f>
        <v>0</v>
      </c>
      <c r="J447" s="68" t="b">
        <f>IF(Tab.11[[#This Row],[a1]]=1,IF($I$3&lt;0,Tab.11[[#This Row],[b5]]-$I$3,Tab.11[[#This Row],[b5]]))</f>
        <v>0</v>
      </c>
      <c r="K447" s="68" t="b">
        <f>IF(Tab.11[[#This Row],[a1]]=1,IF($K$3=0,Tab.11[b6],Tab.11[[#This Row],[b6]]-AVERAGE(Tab.11[b6])))</f>
        <v>0</v>
      </c>
      <c r="L447" s="69" t="b">
        <f>IF(Tab.11[[#This Row],[a1]]=1,Tab.11[[#This Row],[data]]/(_xlfn.STDEV.P(Tab.11[data])*$B$989)+$A$989)</f>
        <v>0</v>
      </c>
      <c r="M447" s="69" t="b">
        <f>IF(Tab.11[[#This Row],[a1]]=1,Tab.11[[#This Row],[data]]/(_xlfn.STDEV.P(Tab.11[data])*$B$987)-$A$987)</f>
        <v>0</v>
      </c>
      <c r="N447" s="69" t="b">
        <f>IF(Tab.11[[#This Row],[a1]]=1,Tab.11[[#This Row],[data]]/(_xlfn.STDEV.P(Tab.11[data])*$B$988)+$A$988)</f>
        <v>0</v>
      </c>
      <c r="O447" s="70" t="b">
        <f>IF(Tab.11[[#This Row],[a1]]=1,_xlfn.NORM.DIST(Tab.11[[#This Row],[b8]],$P$1,$Q$1,FALSE))</f>
        <v>0</v>
      </c>
      <c r="P447" s="70" t="b">
        <f>IF(Tab.11[[#This Row],[a1]]=1,_xlfn.NORM.DIST(Tab.11[[#This Row],[b9]],$P$1,$Q$1,FALSE))</f>
        <v>0</v>
      </c>
      <c r="Q447" s="70" t="b">
        <f>IF(Tab.11[[#This Row],[a1]]=1,_xlfn.NORM.DIST(Tab.11[[#This Row],[b10]],$P$1,$Q$1,FALSE))</f>
        <v>0</v>
      </c>
      <c r="R447" s="67" t="b">
        <f>IF(Tab.11[[#This Row],[a1]]=1,$I$3+$A$989+IF($K$3=0,Tab.11[[#This Row],[b8]]*_xlfn.STDEV.P(Tab.11[data]),AVERAGE(Tab.11[b6])+Tab.11[[#This Row],[b8]]*_xlfn.STDEV.P(Tab.11[data])))</f>
        <v>0</v>
      </c>
      <c r="S447" s="71" t="b">
        <f>IF(Tab.11[[#This Row],[a1]]=1,$I$3+$A$987+IF($K$3=0,Tab.11[[#This Row],[b9]]*_xlfn.STDEV.P(Tab.11[data]),AVERAGE(Tab.11[b6])+Tab.11[[#This Row],[b9]]*_xlfn.STDEV.P(Tab.11[data])))</f>
        <v>0</v>
      </c>
      <c r="T447" s="71" t="b">
        <f>IF(Tab.11[[#This Row],[a1]]=1,$I$3+$A$988+IF($K$3=0,Tab.11[[#This Row],[b10]]*_xlfn.STDEV.P(Tab.11[data]),AVERAGE(Tab.11[b6])+Tab.11[[#This Row],[b10]]*_xlfn.STDEV.P(Tab.11[data])))</f>
        <v>0</v>
      </c>
      <c r="U447" s="72" t="b">
        <f>IF(Tab.11[[#This Row],[a1]]=1,Tab.11[[#This Row],[target]]-Tab.11[[#This Row],[Red]])</f>
        <v>0</v>
      </c>
      <c r="V447" s="72" t="b">
        <f>IF(Tab.11[[#This Row],[a1]]=1,Tab.11[[#This Row],[target]]-Tab.11[[#This Row],[Blue]])</f>
        <v>0</v>
      </c>
      <c r="W447" s="73" t="b">
        <f>IF(Tab.11[[#This Row],[a1]]=1,IF(ABS(Tab.11[[#This Row],[b17]])+ABS(Tab.11[[#This Row],[b18]])&lt;$W$2,$W$2,ABS(Tab.11[[#This Row],[b17]])+ABS(Tab.11[[#This Row],[b18]])))</f>
        <v>0</v>
      </c>
      <c r="X447" s="136" t="b">
        <f>IF(Tab.11[[#This Row],[a1]]=1,IF($W$3&lt;0,Tab.11[[#This Row],[IN]]-$I$3,Tab.11[[#This Row],[IN]]))</f>
        <v>0</v>
      </c>
      <c r="Y447" s="136" t="b">
        <f>IF(Tab.11[[#This Row],[a1]]=1,IF($X$3=0,Tab.11[b66],Tab.11[[#This Row],[b66]]-AVERAGE(Tab.11[b66])))</f>
        <v>0</v>
      </c>
      <c r="Z447" s="135" t="b">
        <f>IF(Tab.11[[#This Row],[a1]]=1,Tab.11[[#This Row],[b77]]/(_xlfn.STDEV.P(Tab.11[b77])))</f>
        <v>0</v>
      </c>
      <c r="AA447" s="70" t="b">
        <f>IF(Tab.11[[#This Row],[a1]]=1,_xlfn.NORM.DIST(Tab.11[[#This Row],[b88]],$Z$1,$AA$1,FALSE))</f>
        <v>0</v>
      </c>
      <c r="AB447" s="74" t="b">
        <f>IF(Tab.11[[#This Row],[a1]]=1,IF($A$3=0,FALSE,1/Tab.11[[#This Row],[IN]]*$AC$2*IF(Tab.11[[#This Row],[a1]]=0,,$A$3*$AC$1*1/$V$3*(Tab.11[[#This Row],[b14]]))))</f>
        <v>0</v>
      </c>
      <c r="AC447" s="75" t="b">
        <f>IF(Tab.11[[#This Row],[a1]]=1,IF($AC$3=0,Tab.11[[#This Row],[φ1]],Tab.11[[#This Row],[φ1]]/MAX(Tab.11[φ1])))</f>
        <v>0</v>
      </c>
      <c r="AD447" s="74" t="b">
        <f>IF(Tab.11[[#This Row],[a1]]=1,1/Tab.11[[#This Row],[φ2]])</f>
        <v>0</v>
      </c>
      <c r="AE447" s="74" t="b">
        <f>IF(Tab.11[[#This Row],[a1]]=1,IF($AE$3=0,Tab.11[[#This Row],[w.0]],Tab.11[[#This Row],[w.0]]/SUM(Tab.11[w.0])))</f>
        <v>0</v>
      </c>
      <c r="AF447" s="76" t="str">
        <f>IF(Tab.11[[#This Row],[a1]]=0,"false",[3]!Tab.x5[[#This Row],[%_seN_C]])</f>
        <v>false</v>
      </c>
      <c r="AG447" s="77" t="b">
        <f>IF(Tab.11[[#This Row],[a1]]=1,AP447)</f>
        <v>0</v>
      </c>
      <c r="AH447" s="78" t="b">
        <f>IF(Tab.11[[#This Row],[a1]]=1,AQ447)</f>
        <v>0</v>
      </c>
      <c r="AI447" s="41">
        <v>3.0000000000000001E-3</v>
      </c>
      <c r="AJ447" s="79">
        <v>0</v>
      </c>
      <c r="AK447" s="80" t="b">
        <f>IF(Tab.11[[#This Row],[a1]]=1,1)</f>
        <v>0</v>
      </c>
      <c r="AZ447"/>
    </row>
    <row r="448" spans="1:52" hidden="1" x14ac:dyDescent="0.25">
      <c r="A448" s="61">
        <f t="shared" si="15"/>
        <v>0</v>
      </c>
      <c r="B448" s="62">
        <f t="shared" si="15"/>
        <v>0</v>
      </c>
      <c r="C448" s="62" t="b">
        <f>IF(Tab.11[[#This Row],[a1]]=1,[3]!Tab_x1[[#This Row],[Name]])</f>
        <v>0</v>
      </c>
      <c r="D448" s="63" t="b">
        <f>IF(Tab.11[[#This Row],[a1]]=1,AO448)</f>
        <v>0</v>
      </c>
      <c r="E448" s="63">
        <f t="shared" si="14"/>
        <v>0</v>
      </c>
      <c r="F448" s="64" t="b">
        <f>IF(Tab.11[[#This Row],[a1]]=1,Tab.11[[#This Row],[b1]])</f>
        <v>0</v>
      </c>
      <c r="G448" s="65" t="b">
        <f>IF(Tab.11[[#This Row],[a1]]=1,IF(Tab.11[[#This Row],[b3]]&gt;$L$989*$G$3,$L$989*$G$3,IF(Tab.11[[#This Row],[b3]]&lt;$M$989*$G$3,$M$989*$G$3,Tab.11[[#This Row],[b3]])))</f>
        <v>0</v>
      </c>
      <c r="H448" s="66" t="b">
        <f>IF(Tab.11[[#This Row],[a1]]=1,Tab.11[[#This Row],[b1]])</f>
        <v>0</v>
      </c>
      <c r="I448" s="67" t="b">
        <f>IF(Tab.11[[#This Row],[a1]]=1,Tab.11[[#This Row],[b1]])</f>
        <v>0</v>
      </c>
      <c r="J448" s="68" t="b">
        <f>IF(Tab.11[[#This Row],[a1]]=1,IF($I$3&lt;0,Tab.11[[#This Row],[b5]]-$I$3,Tab.11[[#This Row],[b5]]))</f>
        <v>0</v>
      </c>
      <c r="K448" s="68" t="b">
        <f>IF(Tab.11[[#This Row],[a1]]=1,IF($K$3=0,Tab.11[b6],Tab.11[[#This Row],[b6]]-AVERAGE(Tab.11[b6])))</f>
        <v>0</v>
      </c>
      <c r="L448" s="69" t="b">
        <f>IF(Tab.11[[#This Row],[a1]]=1,Tab.11[[#This Row],[data]]/(_xlfn.STDEV.P(Tab.11[data])*$B$989)+$A$989)</f>
        <v>0</v>
      </c>
      <c r="M448" s="69" t="b">
        <f>IF(Tab.11[[#This Row],[a1]]=1,Tab.11[[#This Row],[data]]/(_xlfn.STDEV.P(Tab.11[data])*$B$987)-$A$987)</f>
        <v>0</v>
      </c>
      <c r="N448" s="69" t="b">
        <f>IF(Tab.11[[#This Row],[a1]]=1,Tab.11[[#This Row],[data]]/(_xlfn.STDEV.P(Tab.11[data])*$B$988)+$A$988)</f>
        <v>0</v>
      </c>
      <c r="O448" s="70" t="b">
        <f>IF(Tab.11[[#This Row],[a1]]=1,_xlfn.NORM.DIST(Tab.11[[#This Row],[b8]],$P$1,$Q$1,FALSE))</f>
        <v>0</v>
      </c>
      <c r="P448" s="70" t="b">
        <f>IF(Tab.11[[#This Row],[a1]]=1,_xlfn.NORM.DIST(Tab.11[[#This Row],[b9]],$P$1,$Q$1,FALSE))</f>
        <v>0</v>
      </c>
      <c r="Q448" s="70" t="b">
        <f>IF(Tab.11[[#This Row],[a1]]=1,_xlfn.NORM.DIST(Tab.11[[#This Row],[b10]],$P$1,$Q$1,FALSE))</f>
        <v>0</v>
      </c>
      <c r="R448" s="67" t="b">
        <f>IF(Tab.11[[#This Row],[a1]]=1,$I$3+$A$989+IF($K$3=0,Tab.11[[#This Row],[b8]]*_xlfn.STDEV.P(Tab.11[data]),AVERAGE(Tab.11[b6])+Tab.11[[#This Row],[b8]]*_xlfn.STDEV.P(Tab.11[data])))</f>
        <v>0</v>
      </c>
      <c r="S448" s="71" t="b">
        <f>IF(Tab.11[[#This Row],[a1]]=1,$I$3+$A$987+IF($K$3=0,Tab.11[[#This Row],[b9]]*_xlfn.STDEV.P(Tab.11[data]),AVERAGE(Tab.11[b6])+Tab.11[[#This Row],[b9]]*_xlfn.STDEV.P(Tab.11[data])))</f>
        <v>0</v>
      </c>
      <c r="T448" s="71" t="b">
        <f>IF(Tab.11[[#This Row],[a1]]=1,$I$3+$A$988+IF($K$3=0,Tab.11[[#This Row],[b10]]*_xlfn.STDEV.P(Tab.11[data]),AVERAGE(Tab.11[b6])+Tab.11[[#This Row],[b10]]*_xlfn.STDEV.P(Tab.11[data])))</f>
        <v>0</v>
      </c>
      <c r="U448" s="72" t="b">
        <f>IF(Tab.11[[#This Row],[a1]]=1,Tab.11[[#This Row],[target]]-Tab.11[[#This Row],[Red]])</f>
        <v>0</v>
      </c>
      <c r="V448" s="72" t="b">
        <f>IF(Tab.11[[#This Row],[a1]]=1,Tab.11[[#This Row],[target]]-Tab.11[[#This Row],[Blue]])</f>
        <v>0</v>
      </c>
      <c r="W448" s="73" t="b">
        <f>IF(Tab.11[[#This Row],[a1]]=1,IF(ABS(Tab.11[[#This Row],[b17]])+ABS(Tab.11[[#This Row],[b18]])&lt;$W$2,$W$2,ABS(Tab.11[[#This Row],[b17]])+ABS(Tab.11[[#This Row],[b18]])))</f>
        <v>0</v>
      </c>
      <c r="X448" s="136" t="b">
        <f>IF(Tab.11[[#This Row],[a1]]=1,IF($W$3&lt;0,Tab.11[[#This Row],[IN]]-$I$3,Tab.11[[#This Row],[IN]]))</f>
        <v>0</v>
      </c>
      <c r="Y448" s="136" t="b">
        <f>IF(Tab.11[[#This Row],[a1]]=1,IF($X$3=0,Tab.11[b66],Tab.11[[#This Row],[b66]]-AVERAGE(Tab.11[b66])))</f>
        <v>0</v>
      </c>
      <c r="Z448" s="135" t="b">
        <f>IF(Tab.11[[#This Row],[a1]]=1,Tab.11[[#This Row],[b77]]/(_xlfn.STDEV.P(Tab.11[b77])))</f>
        <v>0</v>
      </c>
      <c r="AA448" s="70" t="b">
        <f>IF(Tab.11[[#This Row],[a1]]=1,_xlfn.NORM.DIST(Tab.11[[#This Row],[b88]],$Z$1,$AA$1,FALSE))</f>
        <v>0</v>
      </c>
      <c r="AB448" s="74" t="b">
        <f>IF(Tab.11[[#This Row],[a1]]=1,IF($A$3=0,FALSE,1/Tab.11[[#This Row],[IN]]*$AC$2*IF(Tab.11[[#This Row],[a1]]=0,,$A$3*$AC$1*1/$V$3*(Tab.11[[#This Row],[b14]]))))</f>
        <v>0</v>
      </c>
      <c r="AC448" s="75" t="b">
        <f>IF(Tab.11[[#This Row],[a1]]=1,IF($AC$3=0,Tab.11[[#This Row],[φ1]],Tab.11[[#This Row],[φ1]]/MAX(Tab.11[φ1])))</f>
        <v>0</v>
      </c>
      <c r="AD448" s="74" t="b">
        <f>IF(Tab.11[[#This Row],[a1]]=1,1/Tab.11[[#This Row],[φ2]])</f>
        <v>0</v>
      </c>
      <c r="AE448" s="74" t="b">
        <f>IF(Tab.11[[#This Row],[a1]]=1,IF($AE$3=0,Tab.11[[#This Row],[w.0]],Tab.11[[#This Row],[w.0]]/SUM(Tab.11[w.0])))</f>
        <v>0</v>
      </c>
      <c r="AF448" s="76" t="str">
        <f>IF(Tab.11[[#This Row],[a1]]=0,"false",[3]!Tab.x5[[#This Row],[%_seN_C]])</f>
        <v>false</v>
      </c>
      <c r="AG448" s="77" t="b">
        <f>IF(Tab.11[[#This Row],[a1]]=1,AP448)</f>
        <v>0</v>
      </c>
      <c r="AH448" s="78" t="b">
        <f>IF(Tab.11[[#This Row],[a1]]=1,AQ448)</f>
        <v>0</v>
      </c>
      <c r="AI448" s="41">
        <v>3.0000000000000001E-3</v>
      </c>
      <c r="AJ448" s="79">
        <v>-7.0000000000000007E-2</v>
      </c>
      <c r="AK448" s="80" t="b">
        <f>IF(Tab.11[[#This Row],[a1]]=1,1)</f>
        <v>0</v>
      </c>
      <c r="AZ448"/>
    </row>
    <row r="449" spans="1:52" hidden="1" x14ac:dyDescent="0.25">
      <c r="A449" s="61">
        <f t="shared" si="15"/>
        <v>0</v>
      </c>
      <c r="B449" s="62">
        <f t="shared" si="15"/>
        <v>0</v>
      </c>
      <c r="C449" s="62" t="b">
        <f>IF(Tab.11[[#This Row],[a1]]=1,[3]!Tab_x1[[#This Row],[Name]])</f>
        <v>0</v>
      </c>
      <c r="D449" s="63" t="b">
        <f>IF(Tab.11[[#This Row],[a1]]=1,AO449)</f>
        <v>0</v>
      </c>
      <c r="E449" s="63">
        <f t="shared" si="14"/>
        <v>0</v>
      </c>
      <c r="F449" s="64" t="b">
        <f>IF(Tab.11[[#This Row],[a1]]=1,Tab.11[[#This Row],[b1]])</f>
        <v>0</v>
      </c>
      <c r="G449" s="65" t="b">
        <f>IF(Tab.11[[#This Row],[a1]]=1,IF(Tab.11[[#This Row],[b3]]&gt;$L$989*$G$3,$L$989*$G$3,IF(Tab.11[[#This Row],[b3]]&lt;$M$989*$G$3,$M$989*$G$3,Tab.11[[#This Row],[b3]])))</f>
        <v>0</v>
      </c>
      <c r="H449" s="66" t="b">
        <f>IF(Tab.11[[#This Row],[a1]]=1,Tab.11[[#This Row],[b1]])</f>
        <v>0</v>
      </c>
      <c r="I449" s="67" t="b">
        <f>IF(Tab.11[[#This Row],[a1]]=1,Tab.11[[#This Row],[b1]])</f>
        <v>0</v>
      </c>
      <c r="J449" s="68" t="b">
        <f>IF(Tab.11[[#This Row],[a1]]=1,IF($I$3&lt;0,Tab.11[[#This Row],[b5]]-$I$3,Tab.11[[#This Row],[b5]]))</f>
        <v>0</v>
      </c>
      <c r="K449" s="68" t="b">
        <f>IF(Tab.11[[#This Row],[a1]]=1,IF($K$3=0,Tab.11[b6],Tab.11[[#This Row],[b6]]-AVERAGE(Tab.11[b6])))</f>
        <v>0</v>
      </c>
      <c r="L449" s="69" t="b">
        <f>IF(Tab.11[[#This Row],[a1]]=1,Tab.11[[#This Row],[data]]/(_xlfn.STDEV.P(Tab.11[data])*$B$989)+$A$989)</f>
        <v>0</v>
      </c>
      <c r="M449" s="69" t="b">
        <f>IF(Tab.11[[#This Row],[a1]]=1,Tab.11[[#This Row],[data]]/(_xlfn.STDEV.P(Tab.11[data])*$B$987)-$A$987)</f>
        <v>0</v>
      </c>
      <c r="N449" s="69" t="b">
        <f>IF(Tab.11[[#This Row],[a1]]=1,Tab.11[[#This Row],[data]]/(_xlfn.STDEV.P(Tab.11[data])*$B$988)+$A$988)</f>
        <v>0</v>
      </c>
      <c r="O449" s="70" t="b">
        <f>IF(Tab.11[[#This Row],[a1]]=1,_xlfn.NORM.DIST(Tab.11[[#This Row],[b8]],$P$1,$Q$1,FALSE))</f>
        <v>0</v>
      </c>
      <c r="P449" s="70" t="b">
        <f>IF(Tab.11[[#This Row],[a1]]=1,_xlfn.NORM.DIST(Tab.11[[#This Row],[b9]],$P$1,$Q$1,FALSE))</f>
        <v>0</v>
      </c>
      <c r="Q449" s="70" t="b">
        <f>IF(Tab.11[[#This Row],[a1]]=1,_xlfn.NORM.DIST(Tab.11[[#This Row],[b10]],$P$1,$Q$1,FALSE))</f>
        <v>0</v>
      </c>
      <c r="R449" s="67" t="b">
        <f>IF(Tab.11[[#This Row],[a1]]=1,$I$3+$A$989+IF($K$3=0,Tab.11[[#This Row],[b8]]*_xlfn.STDEV.P(Tab.11[data]),AVERAGE(Tab.11[b6])+Tab.11[[#This Row],[b8]]*_xlfn.STDEV.P(Tab.11[data])))</f>
        <v>0</v>
      </c>
      <c r="S449" s="71" t="b">
        <f>IF(Tab.11[[#This Row],[a1]]=1,$I$3+$A$987+IF($K$3=0,Tab.11[[#This Row],[b9]]*_xlfn.STDEV.P(Tab.11[data]),AVERAGE(Tab.11[b6])+Tab.11[[#This Row],[b9]]*_xlfn.STDEV.P(Tab.11[data])))</f>
        <v>0</v>
      </c>
      <c r="T449" s="71" t="b">
        <f>IF(Tab.11[[#This Row],[a1]]=1,$I$3+$A$988+IF($K$3=0,Tab.11[[#This Row],[b10]]*_xlfn.STDEV.P(Tab.11[data]),AVERAGE(Tab.11[b6])+Tab.11[[#This Row],[b10]]*_xlfn.STDEV.P(Tab.11[data])))</f>
        <v>0</v>
      </c>
      <c r="U449" s="72" t="b">
        <f>IF(Tab.11[[#This Row],[a1]]=1,Tab.11[[#This Row],[target]]-Tab.11[[#This Row],[Red]])</f>
        <v>0</v>
      </c>
      <c r="V449" s="72" t="b">
        <f>IF(Tab.11[[#This Row],[a1]]=1,Tab.11[[#This Row],[target]]-Tab.11[[#This Row],[Blue]])</f>
        <v>0</v>
      </c>
      <c r="W449" s="73" t="b">
        <f>IF(Tab.11[[#This Row],[a1]]=1,IF(ABS(Tab.11[[#This Row],[b17]])+ABS(Tab.11[[#This Row],[b18]])&lt;$W$2,$W$2,ABS(Tab.11[[#This Row],[b17]])+ABS(Tab.11[[#This Row],[b18]])))</f>
        <v>0</v>
      </c>
      <c r="X449" s="136" t="b">
        <f>IF(Tab.11[[#This Row],[a1]]=1,IF($W$3&lt;0,Tab.11[[#This Row],[IN]]-$I$3,Tab.11[[#This Row],[IN]]))</f>
        <v>0</v>
      </c>
      <c r="Y449" s="136" t="b">
        <f>IF(Tab.11[[#This Row],[a1]]=1,IF($X$3=0,Tab.11[b66],Tab.11[[#This Row],[b66]]-AVERAGE(Tab.11[b66])))</f>
        <v>0</v>
      </c>
      <c r="Z449" s="135" t="b">
        <f>IF(Tab.11[[#This Row],[a1]]=1,Tab.11[[#This Row],[b77]]/(_xlfn.STDEV.P(Tab.11[b77])))</f>
        <v>0</v>
      </c>
      <c r="AA449" s="70" t="b">
        <f>IF(Tab.11[[#This Row],[a1]]=1,_xlfn.NORM.DIST(Tab.11[[#This Row],[b88]],$Z$1,$AA$1,FALSE))</f>
        <v>0</v>
      </c>
      <c r="AB449" s="74" t="b">
        <f>IF(Tab.11[[#This Row],[a1]]=1,IF($A$3=0,FALSE,1/Tab.11[[#This Row],[IN]]*$AC$2*IF(Tab.11[[#This Row],[a1]]=0,,$A$3*$AC$1*1/$V$3*(Tab.11[[#This Row],[b14]]))))</f>
        <v>0</v>
      </c>
      <c r="AC449" s="75" t="b">
        <f>IF(Tab.11[[#This Row],[a1]]=1,IF($AC$3=0,Tab.11[[#This Row],[φ1]],Tab.11[[#This Row],[φ1]]/MAX(Tab.11[φ1])))</f>
        <v>0</v>
      </c>
      <c r="AD449" s="74" t="b">
        <f>IF(Tab.11[[#This Row],[a1]]=1,1/Tab.11[[#This Row],[φ2]])</f>
        <v>0</v>
      </c>
      <c r="AE449" s="74" t="b">
        <f>IF(Tab.11[[#This Row],[a1]]=1,IF($AE$3=0,Tab.11[[#This Row],[w.0]],Tab.11[[#This Row],[w.0]]/SUM(Tab.11[w.0])))</f>
        <v>0</v>
      </c>
      <c r="AF449" s="76" t="str">
        <f>IF(Tab.11[[#This Row],[a1]]=0,"false",[3]!Tab.x5[[#This Row],[%_seN_C]])</f>
        <v>false</v>
      </c>
      <c r="AG449" s="77" t="b">
        <f>IF(Tab.11[[#This Row],[a1]]=1,AP449)</f>
        <v>0</v>
      </c>
      <c r="AH449" s="78" t="b">
        <f>IF(Tab.11[[#This Row],[a1]]=1,AQ449)</f>
        <v>0</v>
      </c>
      <c r="AI449" s="41">
        <v>3.0000000000000001E-3</v>
      </c>
      <c r="AJ449" s="79">
        <v>-0.03</v>
      </c>
      <c r="AK449" s="80" t="b">
        <f>IF(Tab.11[[#This Row],[a1]]=1,1)</f>
        <v>0</v>
      </c>
      <c r="AZ449"/>
    </row>
    <row r="450" spans="1:52" hidden="1" x14ac:dyDescent="0.25">
      <c r="A450" s="61">
        <f t="shared" si="15"/>
        <v>0</v>
      </c>
      <c r="B450" s="62">
        <f t="shared" si="15"/>
        <v>0</v>
      </c>
      <c r="C450" s="62" t="b">
        <f>IF(Tab.11[[#This Row],[a1]]=1,[3]!Tab_x1[[#This Row],[Name]])</f>
        <v>0</v>
      </c>
      <c r="D450" s="63" t="b">
        <f>IF(Tab.11[[#This Row],[a1]]=1,AO450)</f>
        <v>0</v>
      </c>
      <c r="E450" s="63">
        <f t="shared" si="14"/>
        <v>0</v>
      </c>
      <c r="F450" s="64" t="b">
        <f>IF(Tab.11[[#This Row],[a1]]=1,Tab.11[[#This Row],[b1]])</f>
        <v>0</v>
      </c>
      <c r="G450" s="65" t="b">
        <f>IF(Tab.11[[#This Row],[a1]]=1,IF(Tab.11[[#This Row],[b3]]&gt;$L$989*$G$3,$L$989*$G$3,IF(Tab.11[[#This Row],[b3]]&lt;$M$989*$G$3,$M$989*$G$3,Tab.11[[#This Row],[b3]])))</f>
        <v>0</v>
      </c>
      <c r="H450" s="66" t="b">
        <f>IF(Tab.11[[#This Row],[a1]]=1,Tab.11[[#This Row],[b1]])</f>
        <v>0</v>
      </c>
      <c r="I450" s="67" t="b">
        <f>IF(Tab.11[[#This Row],[a1]]=1,Tab.11[[#This Row],[b1]])</f>
        <v>0</v>
      </c>
      <c r="J450" s="68" t="b">
        <f>IF(Tab.11[[#This Row],[a1]]=1,IF($I$3&lt;0,Tab.11[[#This Row],[b5]]-$I$3,Tab.11[[#This Row],[b5]]))</f>
        <v>0</v>
      </c>
      <c r="K450" s="68" t="b">
        <f>IF(Tab.11[[#This Row],[a1]]=1,IF($K$3=0,Tab.11[b6],Tab.11[[#This Row],[b6]]-AVERAGE(Tab.11[b6])))</f>
        <v>0</v>
      </c>
      <c r="L450" s="69" t="b">
        <f>IF(Tab.11[[#This Row],[a1]]=1,Tab.11[[#This Row],[data]]/(_xlfn.STDEV.P(Tab.11[data])*$B$989)+$A$989)</f>
        <v>0</v>
      </c>
      <c r="M450" s="69" t="b">
        <f>IF(Tab.11[[#This Row],[a1]]=1,Tab.11[[#This Row],[data]]/(_xlfn.STDEV.P(Tab.11[data])*$B$987)-$A$987)</f>
        <v>0</v>
      </c>
      <c r="N450" s="69" t="b">
        <f>IF(Tab.11[[#This Row],[a1]]=1,Tab.11[[#This Row],[data]]/(_xlfn.STDEV.P(Tab.11[data])*$B$988)+$A$988)</f>
        <v>0</v>
      </c>
      <c r="O450" s="70" t="b">
        <f>IF(Tab.11[[#This Row],[a1]]=1,_xlfn.NORM.DIST(Tab.11[[#This Row],[b8]],$P$1,$Q$1,FALSE))</f>
        <v>0</v>
      </c>
      <c r="P450" s="70" t="b">
        <f>IF(Tab.11[[#This Row],[a1]]=1,_xlfn.NORM.DIST(Tab.11[[#This Row],[b9]],$P$1,$Q$1,FALSE))</f>
        <v>0</v>
      </c>
      <c r="Q450" s="70" t="b">
        <f>IF(Tab.11[[#This Row],[a1]]=1,_xlfn.NORM.DIST(Tab.11[[#This Row],[b10]],$P$1,$Q$1,FALSE))</f>
        <v>0</v>
      </c>
      <c r="R450" s="67" t="b">
        <f>IF(Tab.11[[#This Row],[a1]]=1,$I$3+$A$989+IF($K$3=0,Tab.11[[#This Row],[b8]]*_xlfn.STDEV.P(Tab.11[data]),AVERAGE(Tab.11[b6])+Tab.11[[#This Row],[b8]]*_xlfn.STDEV.P(Tab.11[data])))</f>
        <v>0</v>
      </c>
      <c r="S450" s="71" t="b">
        <f>IF(Tab.11[[#This Row],[a1]]=1,$I$3+$A$987+IF($K$3=0,Tab.11[[#This Row],[b9]]*_xlfn.STDEV.P(Tab.11[data]),AVERAGE(Tab.11[b6])+Tab.11[[#This Row],[b9]]*_xlfn.STDEV.P(Tab.11[data])))</f>
        <v>0</v>
      </c>
      <c r="T450" s="71" t="b">
        <f>IF(Tab.11[[#This Row],[a1]]=1,$I$3+$A$988+IF($K$3=0,Tab.11[[#This Row],[b10]]*_xlfn.STDEV.P(Tab.11[data]),AVERAGE(Tab.11[b6])+Tab.11[[#This Row],[b10]]*_xlfn.STDEV.P(Tab.11[data])))</f>
        <v>0</v>
      </c>
      <c r="U450" s="72" t="b">
        <f>IF(Tab.11[[#This Row],[a1]]=1,Tab.11[[#This Row],[target]]-Tab.11[[#This Row],[Red]])</f>
        <v>0</v>
      </c>
      <c r="V450" s="72" t="b">
        <f>IF(Tab.11[[#This Row],[a1]]=1,Tab.11[[#This Row],[target]]-Tab.11[[#This Row],[Blue]])</f>
        <v>0</v>
      </c>
      <c r="W450" s="73" t="b">
        <f>IF(Tab.11[[#This Row],[a1]]=1,IF(ABS(Tab.11[[#This Row],[b17]])+ABS(Tab.11[[#This Row],[b18]])&lt;$W$2,$W$2,ABS(Tab.11[[#This Row],[b17]])+ABS(Tab.11[[#This Row],[b18]])))</f>
        <v>0</v>
      </c>
      <c r="X450" s="136" t="b">
        <f>IF(Tab.11[[#This Row],[a1]]=1,IF($W$3&lt;0,Tab.11[[#This Row],[IN]]-$I$3,Tab.11[[#This Row],[IN]]))</f>
        <v>0</v>
      </c>
      <c r="Y450" s="136" t="b">
        <f>IF(Tab.11[[#This Row],[a1]]=1,IF($X$3=0,Tab.11[b66],Tab.11[[#This Row],[b66]]-AVERAGE(Tab.11[b66])))</f>
        <v>0</v>
      </c>
      <c r="Z450" s="135" t="b">
        <f>IF(Tab.11[[#This Row],[a1]]=1,Tab.11[[#This Row],[b77]]/(_xlfn.STDEV.P(Tab.11[b77])))</f>
        <v>0</v>
      </c>
      <c r="AA450" s="70" t="b">
        <f>IF(Tab.11[[#This Row],[a1]]=1,_xlfn.NORM.DIST(Tab.11[[#This Row],[b88]],$Z$1,$AA$1,FALSE))</f>
        <v>0</v>
      </c>
      <c r="AB450" s="74" t="b">
        <f>IF(Tab.11[[#This Row],[a1]]=1,IF($A$3=0,FALSE,1/Tab.11[[#This Row],[IN]]*$AC$2*IF(Tab.11[[#This Row],[a1]]=0,,$A$3*$AC$1*1/$V$3*(Tab.11[[#This Row],[b14]]))))</f>
        <v>0</v>
      </c>
      <c r="AC450" s="75" t="b">
        <f>IF(Tab.11[[#This Row],[a1]]=1,IF($AC$3=0,Tab.11[[#This Row],[φ1]],Tab.11[[#This Row],[φ1]]/MAX(Tab.11[φ1])))</f>
        <v>0</v>
      </c>
      <c r="AD450" s="74" t="b">
        <f>IF(Tab.11[[#This Row],[a1]]=1,1/Tab.11[[#This Row],[φ2]])</f>
        <v>0</v>
      </c>
      <c r="AE450" s="74" t="b">
        <f>IF(Tab.11[[#This Row],[a1]]=1,IF($AE$3=0,Tab.11[[#This Row],[w.0]],Tab.11[[#This Row],[w.0]]/SUM(Tab.11[w.0])))</f>
        <v>0</v>
      </c>
      <c r="AF450" s="76" t="str">
        <f>IF(Tab.11[[#This Row],[a1]]=0,"false",[3]!Tab.x5[[#This Row],[%_seN_C]])</f>
        <v>false</v>
      </c>
      <c r="AG450" s="77" t="b">
        <f>IF(Tab.11[[#This Row],[a1]]=1,AP450)</f>
        <v>0</v>
      </c>
      <c r="AH450" s="78" t="b">
        <f>IF(Tab.11[[#This Row],[a1]]=1,AQ450)</f>
        <v>0</v>
      </c>
      <c r="AI450" s="41">
        <v>3.0000000000000001E-3</v>
      </c>
      <c r="AJ450" s="79">
        <v>-7.0000000000000007E-2</v>
      </c>
      <c r="AK450" s="80" t="b">
        <f>IF(Tab.11[[#This Row],[a1]]=1,1)</f>
        <v>0</v>
      </c>
      <c r="AZ450"/>
    </row>
    <row r="451" spans="1:52" hidden="1" x14ac:dyDescent="0.25">
      <c r="A451" s="61">
        <f t="shared" si="15"/>
        <v>0</v>
      </c>
      <c r="B451" s="62">
        <f t="shared" si="15"/>
        <v>0</v>
      </c>
      <c r="C451" s="62" t="b">
        <f>IF(Tab.11[[#This Row],[a1]]=1,[3]!Tab_x1[[#This Row],[Name]])</f>
        <v>0</v>
      </c>
      <c r="D451" s="63" t="b">
        <f>IF(Tab.11[[#This Row],[a1]]=1,AO451)</f>
        <v>0</v>
      </c>
      <c r="E451" s="63">
        <f t="shared" si="14"/>
        <v>0</v>
      </c>
      <c r="F451" s="64" t="b">
        <f>IF(Tab.11[[#This Row],[a1]]=1,Tab.11[[#This Row],[b1]])</f>
        <v>0</v>
      </c>
      <c r="G451" s="65" t="b">
        <f>IF(Tab.11[[#This Row],[a1]]=1,IF(Tab.11[[#This Row],[b3]]&gt;$L$989*$G$3,$L$989*$G$3,IF(Tab.11[[#This Row],[b3]]&lt;$M$989*$G$3,$M$989*$G$3,Tab.11[[#This Row],[b3]])))</f>
        <v>0</v>
      </c>
      <c r="H451" s="66" t="b">
        <f>IF(Tab.11[[#This Row],[a1]]=1,Tab.11[[#This Row],[b1]])</f>
        <v>0</v>
      </c>
      <c r="I451" s="67" t="b">
        <f>IF(Tab.11[[#This Row],[a1]]=1,Tab.11[[#This Row],[b1]])</f>
        <v>0</v>
      </c>
      <c r="J451" s="68" t="b">
        <f>IF(Tab.11[[#This Row],[a1]]=1,IF($I$3&lt;0,Tab.11[[#This Row],[b5]]-$I$3,Tab.11[[#This Row],[b5]]))</f>
        <v>0</v>
      </c>
      <c r="K451" s="68" t="b">
        <f>IF(Tab.11[[#This Row],[a1]]=1,IF($K$3=0,Tab.11[b6],Tab.11[[#This Row],[b6]]-AVERAGE(Tab.11[b6])))</f>
        <v>0</v>
      </c>
      <c r="L451" s="69" t="b">
        <f>IF(Tab.11[[#This Row],[a1]]=1,Tab.11[[#This Row],[data]]/(_xlfn.STDEV.P(Tab.11[data])*$B$989)+$A$989)</f>
        <v>0</v>
      </c>
      <c r="M451" s="69" t="b">
        <f>IF(Tab.11[[#This Row],[a1]]=1,Tab.11[[#This Row],[data]]/(_xlfn.STDEV.P(Tab.11[data])*$B$987)-$A$987)</f>
        <v>0</v>
      </c>
      <c r="N451" s="69" t="b">
        <f>IF(Tab.11[[#This Row],[a1]]=1,Tab.11[[#This Row],[data]]/(_xlfn.STDEV.P(Tab.11[data])*$B$988)+$A$988)</f>
        <v>0</v>
      </c>
      <c r="O451" s="70" t="b">
        <f>IF(Tab.11[[#This Row],[a1]]=1,_xlfn.NORM.DIST(Tab.11[[#This Row],[b8]],$P$1,$Q$1,FALSE))</f>
        <v>0</v>
      </c>
      <c r="P451" s="70" t="b">
        <f>IF(Tab.11[[#This Row],[a1]]=1,_xlfn.NORM.DIST(Tab.11[[#This Row],[b9]],$P$1,$Q$1,FALSE))</f>
        <v>0</v>
      </c>
      <c r="Q451" s="70" t="b">
        <f>IF(Tab.11[[#This Row],[a1]]=1,_xlfn.NORM.DIST(Tab.11[[#This Row],[b10]],$P$1,$Q$1,FALSE))</f>
        <v>0</v>
      </c>
      <c r="R451" s="67" t="b">
        <f>IF(Tab.11[[#This Row],[a1]]=1,$I$3+$A$989+IF($K$3=0,Tab.11[[#This Row],[b8]]*_xlfn.STDEV.P(Tab.11[data]),AVERAGE(Tab.11[b6])+Tab.11[[#This Row],[b8]]*_xlfn.STDEV.P(Tab.11[data])))</f>
        <v>0</v>
      </c>
      <c r="S451" s="71" t="b">
        <f>IF(Tab.11[[#This Row],[a1]]=1,$I$3+$A$987+IF($K$3=0,Tab.11[[#This Row],[b9]]*_xlfn.STDEV.P(Tab.11[data]),AVERAGE(Tab.11[b6])+Tab.11[[#This Row],[b9]]*_xlfn.STDEV.P(Tab.11[data])))</f>
        <v>0</v>
      </c>
      <c r="T451" s="71" t="b">
        <f>IF(Tab.11[[#This Row],[a1]]=1,$I$3+$A$988+IF($K$3=0,Tab.11[[#This Row],[b10]]*_xlfn.STDEV.P(Tab.11[data]),AVERAGE(Tab.11[b6])+Tab.11[[#This Row],[b10]]*_xlfn.STDEV.P(Tab.11[data])))</f>
        <v>0</v>
      </c>
      <c r="U451" s="72" t="b">
        <f>IF(Tab.11[[#This Row],[a1]]=1,Tab.11[[#This Row],[target]]-Tab.11[[#This Row],[Red]])</f>
        <v>0</v>
      </c>
      <c r="V451" s="72" t="b">
        <f>IF(Tab.11[[#This Row],[a1]]=1,Tab.11[[#This Row],[target]]-Tab.11[[#This Row],[Blue]])</f>
        <v>0</v>
      </c>
      <c r="W451" s="73" t="b">
        <f>IF(Tab.11[[#This Row],[a1]]=1,IF(ABS(Tab.11[[#This Row],[b17]])+ABS(Tab.11[[#This Row],[b18]])&lt;$W$2,$W$2,ABS(Tab.11[[#This Row],[b17]])+ABS(Tab.11[[#This Row],[b18]])))</f>
        <v>0</v>
      </c>
      <c r="X451" s="136" t="b">
        <f>IF(Tab.11[[#This Row],[a1]]=1,IF($W$3&lt;0,Tab.11[[#This Row],[IN]]-$I$3,Tab.11[[#This Row],[IN]]))</f>
        <v>0</v>
      </c>
      <c r="Y451" s="136" t="b">
        <f>IF(Tab.11[[#This Row],[a1]]=1,IF($X$3=0,Tab.11[b66],Tab.11[[#This Row],[b66]]-AVERAGE(Tab.11[b66])))</f>
        <v>0</v>
      </c>
      <c r="Z451" s="135" t="b">
        <f>IF(Tab.11[[#This Row],[a1]]=1,Tab.11[[#This Row],[b77]]/(_xlfn.STDEV.P(Tab.11[b77])))</f>
        <v>0</v>
      </c>
      <c r="AA451" s="70" t="b">
        <f>IF(Tab.11[[#This Row],[a1]]=1,_xlfn.NORM.DIST(Tab.11[[#This Row],[b88]],$Z$1,$AA$1,FALSE))</f>
        <v>0</v>
      </c>
      <c r="AB451" s="74" t="b">
        <f>IF(Tab.11[[#This Row],[a1]]=1,IF($A$3=0,FALSE,1/Tab.11[[#This Row],[IN]]*$AC$2*IF(Tab.11[[#This Row],[a1]]=0,,$A$3*$AC$1*1/$V$3*(Tab.11[[#This Row],[b14]]))))</f>
        <v>0</v>
      </c>
      <c r="AC451" s="75" t="b">
        <f>IF(Tab.11[[#This Row],[a1]]=1,IF($AC$3=0,Tab.11[[#This Row],[φ1]],Tab.11[[#This Row],[φ1]]/MAX(Tab.11[φ1])))</f>
        <v>0</v>
      </c>
      <c r="AD451" s="74" t="b">
        <f>IF(Tab.11[[#This Row],[a1]]=1,1/Tab.11[[#This Row],[φ2]])</f>
        <v>0</v>
      </c>
      <c r="AE451" s="74" t="b">
        <f>IF(Tab.11[[#This Row],[a1]]=1,IF($AE$3=0,Tab.11[[#This Row],[w.0]],Tab.11[[#This Row],[w.0]]/SUM(Tab.11[w.0])))</f>
        <v>0</v>
      </c>
      <c r="AF451" s="76" t="str">
        <f>IF(Tab.11[[#This Row],[a1]]=0,"false",[3]!Tab.x5[[#This Row],[%_seN_C]])</f>
        <v>false</v>
      </c>
      <c r="AG451" s="77" t="b">
        <f>IF(Tab.11[[#This Row],[a1]]=1,AP451)</f>
        <v>0</v>
      </c>
      <c r="AH451" s="78" t="b">
        <f>IF(Tab.11[[#This Row],[a1]]=1,AQ451)</f>
        <v>0</v>
      </c>
      <c r="AI451" s="41">
        <v>3.0000000000000001E-3</v>
      </c>
      <c r="AJ451" s="79">
        <v>-0.1</v>
      </c>
      <c r="AK451" s="80" t="b">
        <f>IF(Tab.11[[#This Row],[a1]]=1,1)</f>
        <v>0</v>
      </c>
      <c r="AZ451"/>
    </row>
    <row r="452" spans="1:52" hidden="1" x14ac:dyDescent="0.25">
      <c r="A452" s="61">
        <f t="shared" si="15"/>
        <v>0</v>
      </c>
      <c r="B452" s="62">
        <f t="shared" si="15"/>
        <v>0</v>
      </c>
      <c r="C452" s="62" t="b">
        <f>IF(Tab.11[[#This Row],[a1]]=1,[3]!Tab_x1[[#This Row],[Name]])</f>
        <v>0</v>
      </c>
      <c r="D452" s="63" t="b">
        <f>IF(Tab.11[[#This Row],[a1]]=1,AO452)</f>
        <v>0</v>
      </c>
      <c r="E452" s="63">
        <f t="shared" si="14"/>
        <v>0</v>
      </c>
      <c r="F452" s="64" t="b">
        <f>IF(Tab.11[[#This Row],[a1]]=1,Tab.11[[#This Row],[b1]])</f>
        <v>0</v>
      </c>
      <c r="G452" s="65" t="b">
        <f>IF(Tab.11[[#This Row],[a1]]=1,IF(Tab.11[[#This Row],[b3]]&gt;$L$989*$G$3,$L$989*$G$3,IF(Tab.11[[#This Row],[b3]]&lt;$M$989*$G$3,$M$989*$G$3,Tab.11[[#This Row],[b3]])))</f>
        <v>0</v>
      </c>
      <c r="H452" s="66" t="b">
        <f>IF(Tab.11[[#This Row],[a1]]=1,Tab.11[[#This Row],[b1]])</f>
        <v>0</v>
      </c>
      <c r="I452" s="67" t="b">
        <f>IF(Tab.11[[#This Row],[a1]]=1,Tab.11[[#This Row],[b1]])</f>
        <v>0</v>
      </c>
      <c r="J452" s="68" t="b">
        <f>IF(Tab.11[[#This Row],[a1]]=1,IF($I$3&lt;0,Tab.11[[#This Row],[b5]]-$I$3,Tab.11[[#This Row],[b5]]))</f>
        <v>0</v>
      </c>
      <c r="K452" s="68" t="b">
        <f>IF(Tab.11[[#This Row],[a1]]=1,IF($K$3=0,Tab.11[b6],Tab.11[[#This Row],[b6]]-AVERAGE(Tab.11[b6])))</f>
        <v>0</v>
      </c>
      <c r="L452" s="69" t="b">
        <f>IF(Tab.11[[#This Row],[a1]]=1,Tab.11[[#This Row],[data]]/(_xlfn.STDEV.P(Tab.11[data])*$B$989)+$A$989)</f>
        <v>0</v>
      </c>
      <c r="M452" s="69" t="b">
        <f>IF(Tab.11[[#This Row],[a1]]=1,Tab.11[[#This Row],[data]]/(_xlfn.STDEV.P(Tab.11[data])*$B$987)-$A$987)</f>
        <v>0</v>
      </c>
      <c r="N452" s="69" t="b">
        <f>IF(Tab.11[[#This Row],[a1]]=1,Tab.11[[#This Row],[data]]/(_xlfn.STDEV.P(Tab.11[data])*$B$988)+$A$988)</f>
        <v>0</v>
      </c>
      <c r="O452" s="70" t="b">
        <f>IF(Tab.11[[#This Row],[a1]]=1,_xlfn.NORM.DIST(Tab.11[[#This Row],[b8]],$P$1,$Q$1,FALSE))</f>
        <v>0</v>
      </c>
      <c r="P452" s="70" t="b">
        <f>IF(Tab.11[[#This Row],[a1]]=1,_xlfn.NORM.DIST(Tab.11[[#This Row],[b9]],$P$1,$Q$1,FALSE))</f>
        <v>0</v>
      </c>
      <c r="Q452" s="70" t="b">
        <f>IF(Tab.11[[#This Row],[a1]]=1,_xlfn.NORM.DIST(Tab.11[[#This Row],[b10]],$P$1,$Q$1,FALSE))</f>
        <v>0</v>
      </c>
      <c r="R452" s="67" t="b">
        <f>IF(Tab.11[[#This Row],[a1]]=1,$I$3+$A$989+IF($K$3=0,Tab.11[[#This Row],[b8]]*_xlfn.STDEV.P(Tab.11[data]),AVERAGE(Tab.11[b6])+Tab.11[[#This Row],[b8]]*_xlfn.STDEV.P(Tab.11[data])))</f>
        <v>0</v>
      </c>
      <c r="S452" s="71" t="b">
        <f>IF(Tab.11[[#This Row],[a1]]=1,$I$3+$A$987+IF($K$3=0,Tab.11[[#This Row],[b9]]*_xlfn.STDEV.P(Tab.11[data]),AVERAGE(Tab.11[b6])+Tab.11[[#This Row],[b9]]*_xlfn.STDEV.P(Tab.11[data])))</f>
        <v>0</v>
      </c>
      <c r="T452" s="71" t="b">
        <f>IF(Tab.11[[#This Row],[a1]]=1,$I$3+$A$988+IF($K$3=0,Tab.11[[#This Row],[b10]]*_xlfn.STDEV.P(Tab.11[data]),AVERAGE(Tab.11[b6])+Tab.11[[#This Row],[b10]]*_xlfn.STDEV.P(Tab.11[data])))</f>
        <v>0</v>
      </c>
      <c r="U452" s="72" t="b">
        <f>IF(Tab.11[[#This Row],[a1]]=1,Tab.11[[#This Row],[target]]-Tab.11[[#This Row],[Red]])</f>
        <v>0</v>
      </c>
      <c r="V452" s="72" t="b">
        <f>IF(Tab.11[[#This Row],[a1]]=1,Tab.11[[#This Row],[target]]-Tab.11[[#This Row],[Blue]])</f>
        <v>0</v>
      </c>
      <c r="W452" s="73" t="b">
        <f>IF(Tab.11[[#This Row],[a1]]=1,IF(ABS(Tab.11[[#This Row],[b17]])+ABS(Tab.11[[#This Row],[b18]])&lt;$W$2,$W$2,ABS(Tab.11[[#This Row],[b17]])+ABS(Tab.11[[#This Row],[b18]])))</f>
        <v>0</v>
      </c>
      <c r="X452" s="136" t="b">
        <f>IF(Tab.11[[#This Row],[a1]]=1,IF($W$3&lt;0,Tab.11[[#This Row],[IN]]-$I$3,Tab.11[[#This Row],[IN]]))</f>
        <v>0</v>
      </c>
      <c r="Y452" s="136" t="b">
        <f>IF(Tab.11[[#This Row],[a1]]=1,IF($X$3=0,Tab.11[b66],Tab.11[[#This Row],[b66]]-AVERAGE(Tab.11[b66])))</f>
        <v>0</v>
      </c>
      <c r="Z452" s="135" t="b">
        <f>IF(Tab.11[[#This Row],[a1]]=1,Tab.11[[#This Row],[b77]]/(_xlfn.STDEV.P(Tab.11[b77])))</f>
        <v>0</v>
      </c>
      <c r="AA452" s="70" t="b">
        <f>IF(Tab.11[[#This Row],[a1]]=1,_xlfn.NORM.DIST(Tab.11[[#This Row],[b88]],$Z$1,$AA$1,FALSE))</f>
        <v>0</v>
      </c>
      <c r="AB452" s="74" t="b">
        <f>IF(Tab.11[[#This Row],[a1]]=1,IF($A$3=0,FALSE,1/Tab.11[[#This Row],[IN]]*$AC$2*IF(Tab.11[[#This Row],[a1]]=0,,$A$3*$AC$1*1/$V$3*(Tab.11[[#This Row],[b14]]))))</f>
        <v>0</v>
      </c>
      <c r="AC452" s="75" t="b">
        <f>IF(Tab.11[[#This Row],[a1]]=1,IF($AC$3=0,Tab.11[[#This Row],[φ1]],Tab.11[[#This Row],[φ1]]/MAX(Tab.11[φ1])))</f>
        <v>0</v>
      </c>
      <c r="AD452" s="74" t="b">
        <f>IF(Tab.11[[#This Row],[a1]]=1,1/Tab.11[[#This Row],[φ2]])</f>
        <v>0</v>
      </c>
      <c r="AE452" s="74" t="b">
        <f>IF(Tab.11[[#This Row],[a1]]=1,IF($AE$3=0,Tab.11[[#This Row],[w.0]],Tab.11[[#This Row],[w.0]]/SUM(Tab.11[w.0])))</f>
        <v>0</v>
      </c>
      <c r="AF452" s="76" t="str">
        <f>IF(Tab.11[[#This Row],[a1]]=0,"false",[3]!Tab.x5[[#This Row],[%_seN_C]])</f>
        <v>false</v>
      </c>
      <c r="AG452" s="77" t="b">
        <f>IF(Tab.11[[#This Row],[a1]]=1,AP452)</f>
        <v>0</v>
      </c>
      <c r="AH452" s="78" t="b">
        <f>IF(Tab.11[[#This Row],[a1]]=1,AQ452)</f>
        <v>0</v>
      </c>
      <c r="AI452" s="41">
        <v>3.0000000000000001E-3</v>
      </c>
      <c r="AJ452" s="79">
        <v>-0.09</v>
      </c>
      <c r="AK452" s="80" t="b">
        <f>IF(Tab.11[[#This Row],[a1]]=1,1)</f>
        <v>0</v>
      </c>
      <c r="AZ452"/>
    </row>
    <row r="453" spans="1:52" hidden="1" x14ac:dyDescent="0.25">
      <c r="A453" s="61">
        <f t="shared" si="15"/>
        <v>0</v>
      </c>
      <c r="B453" s="62">
        <f t="shared" si="15"/>
        <v>0</v>
      </c>
      <c r="C453" s="62" t="b">
        <f>IF(Tab.11[[#This Row],[a1]]=1,[3]!Tab_x1[[#This Row],[Name]])</f>
        <v>0</v>
      </c>
      <c r="D453" s="63" t="b">
        <f>IF(Tab.11[[#This Row],[a1]]=1,AO453)</f>
        <v>0</v>
      </c>
      <c r="E453" s="63">
        <f t="shared" ref="E453:E516" si="16">AM453</f>
        <v>0</v>
      </c>
      <c r="F453" s="64" t="b">
        <f>IF(Tab.11[[#This Row],[a1]]=1,Tab.11[[#This Row],[b1]])</f>
        <v>0</v>
      </c>
      <c r="G453" s="65" t="b">
        <f>IF(Tab.11[[#This Row],[a1]]=1,IF(Tab.11[[#This Row],[b3]]&gt;$L$989*$G$3,$L$989*$G$3,IF(Tab.11[[#This Row],[b3]]&lt;$M$989*$G$3,$M$989*$G$3,Tab.11[[#This Row],[b3]])))</f>
        <v>0</v>
      </c>
      <c r="H453" s="66" t="b">
        <f>IF(Tab.11[[#This Row],[a1]]=1,Tab.11[[#This Row],[b1]])</f>
        <v>0</v>
      </c>
      <c r="I453" s="67" t="b">
        <f>IF(Tab.11[[#This Row],[a1]]=1,Tab.11[[#This Row],[b1]])</f>
        <v>0</v>
      </c>
      <c r="J453" s="68" t="b">
        <f>IF(Tab.11[[#This Row],[a1]]=1,IF($I$3&lt;0,Tab.11[[#This Row],[b5]]-$I$3,Tab.11[[#This Row],[b5]]))</f>
        <v>0</v>
      </c>
      <c r="K453" s="68" t="b">
        <f>IF(Tab.11[[#This Row],[a1]]=1,IF($K$3=0,Tab.11[b6],Tab.11[[#This Row],[b6]]-AVERAGE(Tab.11[b6])))</f>
        <v>0</v>
      </c>
      <c r="L453" s="69" t="b">
        <f>IF(Tab.11[[#This Row],[a1]]=1,Tab.11[[#This Row],[data]]/(_xlfn.STDEV.P(Tab.11[data])*$B$989)+$A$989)</f>
        <v>0</v>
      </c>
      <c r="M453" s="69" t="b">
        <f>IF(Tab.11[[#This Row],[a1]]=1,Tab.11[[#This Row],[data]]/(_xlfn.STDEV.P(Tab.11[data])*$B$987)-$A$987)</f>
        <v>0</v>
      </c>
      <c r="N453" s="69" t="b">
        <f>IF(Tab.11[[#This Row],[a1]]=1,Tab.11[[#This Row],[data]]/(_xlfn.STDEV.P(Tab.11[data])*$B$988)+$A$988)</f>
        <v>0</v>
      </c>
      <c r="O453" s="70" t="b">
        <f>IF(Tab.11[[#This Row],[a1]]=1,_xlfn.NORM.DIST(Tab.11[[#This Row],[b8]],$P$1,$Q$1,FALSE))</f>
        <v>0</v>
      </c>
      <c r="P453" s="70" t="b">
        <f>IF(Tab.11[[#This Row],[a1]]=1,_xlfn.NORM.DIST(Tab.11[[#This Row],[b9]],$P$1,$Q$1,FALSE))</f>
        <v>0</v>
      </c>
      <c r="Q453" s="70" t="b">
        <f>IF(Tab.11[[#This Row],[a1]]=1,_xlfn.NORM.DIST(Tab.11[[#This Row],[b10]],$P$1,$Q$1,FALSE))</f>
        <v>0</v>
      </c>
      <c r="R453" s="67" t="b">
        <f>IF(Tab.11[[#This Row],[a1]]=1,$I$3+$A$989+IF($K$3=0,Tab.11[[#This Row],[b8]]*_xlfn.STDEV.P(Tab.11[data]),AVERAGE(Tab.11[b6])+Tab.11[[#This Row],[b8]]*_xlfn.STDEV.P(Tab.11[data])))</f>
        <v>0</v>
      </c>
      <c r="S453" s="71" t="b">
        <f>IF(Tab.11[[#This Row],[a1]]=1,$I$3+$A$987+IF($K$3=0,Tab.11[[#This Row],[b9]]*_xlfn.STDEV.P(Tab.11[data]),AVERAGE(Tab.11[b6])+Tab.11[[#This Row],[b9]]*_xlfn.STDEV.P(Tab.11[data])))</f>
        <v>0</v>
      </c>
      <c r="T453" s="71" t="b">
        <f>IF(Tab.11[[#This Row],[a1]]=1,$I$3+$A$988+IF($K$3=0,Tab.11[[#This Row],[b10]]*_xlfn.STDEV.P(Tab.11[data]),AVERAGE(Tab.11[b6])+Tab.11[[#This Row],[b10]]*_xlfn.STDEV.P(Tab.11[data])))</f>
        <v>0</v>
      </c>
      <c r="U453" s="72" t="b">
        <f>IF(Tab.11[[#This Row],[a1]]=1,Tab.11[[#This Row],[target]]-Tab.11[[#This Row],[Red]])</f>
        <v>0</v>
      </c>
      <c r="V453" s="72" t="b">
        <f>IF(Tab.11[[#This Row],[a1]]=1,Tab.11[[#This Row],[target]]-Tab.11[[#This Row],[Blue]])</f>
        <v>0</v>
      </c>
      <c r="W453" s="73" t="b">
        <f>IF(Tab.11[[#This Row],[a1]]=1,IF(ABS(Tab.11[[#This Row],[b17]])+ABS(Tab.11[[#This Row],[b18]])&lt;$W$2,$W$2,ABS(Tab.11[[#This Row],[b17]])+ABS(Tab.11[[#This Row],[b18]])))</f>
        <v>0</v>
      </c>
      <c r="X453" s="136" t="b">
        <f>IF(Tab.11[[#This Row],[a1]]=1,IF($W$3&lt;0,Tab.11[[#This Row],[IN]]-$I$3,Tab.11[[#This Row],[IN]]))</f>
        <v>0</v>
      </c>
      <c r="Y453" s="136" t="b">
        <f>IF(Tab.11[[#This Row],[a1]]=1,IF($X$3=0,Tab.11[b66],Tab.11[[#This Row],[b66]]-AVERAGE(Tab.11[b66])))</f>
        <v>0</v>
      </c>
      <c r="Z453" s="135" t="b">
        <f>IF(Tab.11[[#This Row],[a1]]=1,Tab.11[[#This Row],[b77]]/(_xlfn.STDEV.P(Tab.11[b77])))</f>
        <v>0</v>
      </c>
      <c r="AA453" s="70" t="b">
        <f>IF(Tab.11[[#This Row],[a1]]=1,_xlfn.NORM.DIST(Tab.11[[#This Row],[b88]],$Z$1,$AA$1,FALSE))</f>
        <v>0</v>
      </c>
      <c r="AB453" s="74" t="b">
        <f>IF(Tab.11[[#This Row],[a1]]=1,IF($A$3=0,FALSE,1/Tab.11[[#This Row],[IN]]*$AC$2*IF(Tab.11[[#This Row],[a1]]=0,,$A$3*$AC$1*1/$V$3*(Tab.11[[#This Row],[b14]]))))</f>
        <v>0</v>
      </c>
      <c r="AC453" s="75" t="b">
        <f>IF(Tab.11[[#This Row],[a1]]=1,IF($AC$3=0,Tab.11[[#This Row],[φ1]],Tab.11[[#This Row],[φ1]]/MAX(Tab.11[φ1])))</f>
        <v>0</v>
      </c>
      <c r="AD453" s="74" t="b">
        <f>IF(Tab.11[[#This Row],[a1]]=1,1/Tab.11[[#This Row],[φ2]])</f>
        <v>0</v>
      </c>
      <c r="AE453" s="74" t="b">
        <f>IF(Tab.11[[#This Row],[a1]]=1,IF($AE$3=0,Tab.11[[#This Row],[w.0]],Tab.11[[#This Row],[w.0]]/SUM(Tab.11[w.0])))</f>
        <v>0</v>
      </c>
      <c r="AF453" s="76" t="str">
        <f>IF(Tab.11[[#This Row],[a1]]=0,"false",[3]!Tab.x5[[#This Row],[%_seN_C]])</f>
        <v>false</v>
      </c>
      <c r="AG453" s="77" t="b">
        <f>IF(Tab.11[[#This Row],[a1]]=1,AP453)</f>
        <v>0</v>
      </c>
      <c r="AH453" s="78" t="b">
        <f>IF(Tab.11[[#This Row],[a1]]=1,AQ453)</f>
        <v>0</v>
      </c>
      <c r="AI453" s="41">
        <v>3.0000000000000001E-3</v>
      </c>
      <c r="AJ453" s="79">
        <v>-0.08</v>
      </c>
      <c r="AK453" s="80" t="b">
        <f>IF(Tab.11[[#This Row],[a1]]=1,1)</f>
        <v>0</v>
      </c>
      <c r="AZ453"/>
    </row>
    <row r="454" spans="1:52" hidden="1" x14ac:dyDescent="0.25">
      <c r="A454" s="61">
        <f t="shared" si="15"/>
        <v>0</v>
      </c>
      <c r="B454" s="62">
        <f t="shared" si="15"/>
        <v>0</v>
      </c>
      <c r="C454" s="62" t="b">
        <f>IF(Tab.11[[#This Row],[a1]]=1,[3]!Tab_x1[[#This Row],[Name]])</f>
        <v>0</v>
      </c>
      <c r="D454" s="63" t="b">
        <f>IF(Tab.11[[#This Row],[a1]]=1,AO454)</f>
        <v>0</v>
      </c>
      <c r="E454" s="63">
        <f t="shared" si="16"/>
        <v>0</v>
      </c>
      <c r="F454" s="64" t="b">
        <f>IF(Tab.11[[#This Row],[a1]]=1,Tab.11[[#This Row],[b1]])</f>
        <v>0</v>
      </c>
      <c r="G454" s="65" t="b">
        <f>IF(Tab.11[[#This Row],[a1]]=1,IF(Tab.11[[#This Row],[b3]]&gt;$L$989*$G$3,$L$989*$G$3,IF(Tab.11[[#This Row],[b3]]&lt;$M$989*$G$3,$M$989*$G$3,Tab.11[[#This Row],[b3]])))</f>
        <v>0</v>
      </c>
      <c r="H454" s="66" t="b">
        <f>IF(Tab.11[[#This Row],[a1]]=1,Tab.11[[#This Row],[b1]])</f>
        <v>0</v>
      </c>
      <c r="I454" s="67" t="b">
        <f>IF(Tab.11[[#This Row],[a1]]=1,Tab.11[[#This Row],[b1]])</f>
        <v>0</v>
      </c>
      <c r="J454" s="68" t="b">
        <f>IF(Tab.11[[#This Row],[a1]]=1,IF($I$3&lt;0,Tab.11[[#This Row],[b5]]-$I$3,Tab.11[[#This Row],[b5]]))</f>
        <v>0</v>
      </c>
      <c r="K454" s="68" t="b">
        <f>IF(Tab.11[[#This Row],[a1]]=1,IF($K$3=0,Tab.11[b6],Tab.11[[#This Row],[b6]]-AVERAGE(Tab.11[b6])))</f>
        <v>0</v>
      </c>
      <c r="L454" s="69" t="b">
        <f>IF(Tab.11[[#This Row],[a1]]=1,Tab.11[[#This Row],[data]]/(_xlfn.STDEV.P(Tab.11[data])*$B$989)+$A$989)</f>
        <v>0</v>
      </c>
      <c r="M454" s="69" t="b">
        <f>IF(Tab.11[[#This Row],[a1]]=1,Tab.11[[#This Row],[data]]/(_xlfn.STDEV.P(Tab.11[data])*$B$987)-$A$987)</f>
        <v>0</v>
      </c>
      <c r="N454" s="69" t="b">
        <f>IF(Tab.11[[#This Row],[a1]]=1,Tab.11[[#This Row],[data]]/(_xlfn.STDEV.P(Tab.11[data])*$B$988)+$A$988)</f>
        <v>0</v>
      </c>
      <c r="O454" s="70" t="b">
        <f>IF(Tab.11[[#This Row],[a1]]=1,_xlfn.NORM.DIST(Tab.11[[#This Row],[b8]],$P$1,$Q$1,FALSE))</f>
        <v>0</v>
      </c>
      <c r="P454" s="70" t="b">
        <f>IF(Tab.11[[#This Row],[a1]]=1,_xlfn.NORM.DIST(Tab.11[[#This Row],[b9]],$P$1,$Q$1,FALSE))</f>
        <v>0</v>
      </c>
      <c r="Q454" s="70" t="b">
        <f>IF(Tab.11[[#This Row],[a1]]=1,_xlfn.NORM.DIST(Tab.11[[#This Row],[b10]],$P$1,$Q$1,FALSE))</f>
        <v>0</v>
      </c>
      <c r="R454" s="67" t="b">
        <f>IF(Tab.11[[#This Row],[a1]]=1,$I$3+$A$989+IF($K$3=0,Tab.11[[#This Row],[b8]]*_xlfn.STDEV.P(Tab.11[data]),AVERAGE(Tab.11[b6])+Tab.11[[#This Row],[b8]]*_xlfn.STDEV.P(Tab.11[data])))</f>
        <v>0</v>
      </c>
      <c r="S454" s="71" t="b">
        <f>IF(Tab.11[[#This Row],[a1]]=1,$I$3+$A$987+IF($K$3=0,Tab.11[[#This Row],[b9]]*_xlfn.STDEV.P(Tab.11[data]),AVERAGE(Tab.11[b6])+Tab.11[[#This Row],[b9]]*_xlfn.STDEV.P(Tab.11[data])))</f>
        <v>0</v>
      </c>
      <c r="T454" s="71" t="b">
        <f>IF(Tab.11[[#This Row],[a1]]=1,$I$3+$A$988+IF($K$3=0,Tab.11[[#This Row],[b10]]*_xlfn.STDEV.P(Tab.11[data]),AVERAGE(Tab.11[b6])+Tab.11[[#This Row],[b10]]*_xlfn.STDEV.P(Tab.11[data])))</f>
        <v>0</v>
      </c>
      <c r="U454" s="72" t="b">
        <f>IF(Tab.11[[#This Row],[a1]]=1,Tab.11[[#This Row],[target]]-Tab.11[[#This Row],[Red]])</f>
        <v>0</v>
      </c>
      <c r="V454" s="72" t="b">
        <f>IF(Tab.11[[#This Row],[a1]]=1,Tab.11[[#This Row],[target]]-Tab.11[[#This Row],[Blue]])</f>
        <v>0</v>
      </c>
      <c r="W454" s="73" t="b">
        <f>IF(Tab.11[[#This Row],[a1]]=1,IF(ABS(Tab.11[[#This Row],[b17]])+ABS(Tab.11[[#This Row],[b18]])&lt;$W$2,$W$2,ABS(Tab.11[[#This Row],[b17]])+ABS(Tab.11[[#This Row],[b18]])))</f>
        <v>0</v>
      </c>
      <c r="X454" s="136" t="b">
        <f>IF(Tab.11[[#This Row],[a1]]=1,IF($W$3&lt;0,Tab.11[[#This Row],[IN]]-$I$3,Tab.11[[#This Row],[IN]]))</f>
        <v>0</v>
      </c>
      <c r="Y454" s="136" t="b">
        <f>IF(Tab.11[[#This Row],[a1]]=1,IF($X$3=0,Tab.11[b66],Tab.11[[#This Row],[b66]]-AVERAGE(Tab.11[b66])))</f>
        <v>0</v>
      </c>
      <c r="Z454" s="135" t="b">
        <f>IF(Tab.11[[#This Row],[a1]]=1,Tab.11[[#This Row],[b77]]/(_xlfn.STDEV.P(Tab.11[b77])))</f>
        <v>0</v>
      </c>
      <c r="AA454" s="70" t="b">
        <f>IF(Tab.11[[#This Row],[a1]]=1,_xlfn.NORM.DIST(Tab.11[[#This Row],[b88]],$Z$1,$AA$1,FALSE))</f>
        <v>0</v>
      </c>
      <c r="AB454" s="74" t="b">
        <f>IF(Tab.11[[#This Row],[a1]]=1,IF($A$3=0,FALSE,1/Tab.11[[#This Row],[IN]]*$AC$2*IF(Tab.11[[#This Row],[a1]]=0,,$A$3*$AC$1*1/$V$3*(Tab.11[[#This Row],[b14]]))))</f>
        <v>0</v>
      </c>
      <c r="AC454" s="75" t="b">
        <f>IF(Tab.11[[#This Row],[a1]]=1,IF($AC$3=0,Tab.11[[#This Row],[φ1]],Tab.11[[#This Row],[φ1]]/MAX(Tab.11[φ1])))</f>
        <v>0</v>
      </c>
      <c r="AD454" s="74" t="b">
        <f>IF(Tab.11[[#This Row],[a1]]=1,1/Tab.11[[#This Row],[φ2]])</f>
        <v>0</v>
      </c>
      <c r="AE454" s="74" t="b">
        <f>IF(Tab.11[[#This Row],[a1]]=1,IF($AE$3=0,Tab.11[[#This Row],[w.0]],Tab.11[[#This Row],[w.0]]/SUM(Tab.11[w.0])))</f>
        <v>0</v>
      </c>
      <c r="AF454" s="76" t="str">
        <f>IF(Tab.11[[#This Row],[a1]]=0,"false",[3]!Tab.x5[[#This Row],[%_seN_C]])</f>
        <v>false</v>
      </c>
      <c r="AG454" s="77" t="b">
        <f>IF(Tab.11[[#This Row],[a1]]=1,AP454)</f>
        <v>0</v>
      </c>
      <c r="AH454" s="78" t="b">
        <f>IF(Tab.11[[#This Row],[a1]]=1,AQ454)</f>
        <v>0</v>
      </c>
      <c r="AI454" s="41">
        <v>3.0000000000000001E-3</v>
      </c>
      <c r="AJ454" s="79">
        <v>0.1</v>
      </c>
      <c r="AK454" s="80" t="b">
        <f>IF(Tab.11[[#This Row],[a1]]=1,1)</f>
        <v>0</v>
      </c>
      <c r="AZ454"/>
    </row>
    <row r="455" spans="1:52" hidden="1" x14ac:dyDescent="0.25">
      <c r="A455" s="61">
        <f t="shared" si="15"/>
        <v>0</v>
      </c>
      <c r="B455" s="62">
        <f t="shared" si="15"/>
        <v>0</v>
      </c>
      <c r="C455" s="62" t="b">
        <f>IF(Tab.11[[#This Row],[a1]]=1,[3]!Tab_x1[[#This Row],[Name]])</f>
        <v>0</v>
      </c>
      <c r="D455" s="63" t="b">
        <f>IF(Tab.11[[#This Row],[a1]]=1,AO455)</f>
        <v>0</v>
      </c>
      <c r="E455" s="63">
        <f t="shared" si="16"/>
        <v>0</v>
      </c>
      <c r="F455" s="64" t="b">
        <f>IF(Tab.11[[#This Row],[a1]]=1,Tab.11[[#This Row],[b1]])</f>
        <v>0</v>
      </c>
      <c r="G455" s="65" t="b">
        <f>IF(Tab.11[[#This Row],[a1]]=1,IF(Tab.11[[#This Row],[b3]]&gt;$L$989*$G$3,$L$989*$G$3,IF(Tab.11[[#This Row],[b3]]&lt;$M$989*$G$3,$M$989*$G$3,Tab.11[[#This Row],[b3]])))</f>
        <v>0</v>
      </c>
      <c r="H455" s="66" t="b">
        <f>IF(Tab.11[[#This Row],[a1]]=1,Tab.11[[#This Row],[b1]])</f>
        <v>0</v>
      </c>
      <c r="I455" s="67" t="b">
        <f>IF(Tab.11[[#This Row],[a1]]=1,Tab.11[[#This Row],[b1]])</f>
        <v>0</v>
      </c>
      <c r="J455" s="68" t="b">
        <f>IF(Tab.11[[#This Row],[a1]]=1,IF($I$3&lt;0,Tab.11[[#This Row],[b5]]-$I$3,Tab.11[[#This Row],[b5]]))</f>
        <v>0</v>
      </c>
      <c r="K455" s="68" t="b">
        <f>IF(Tab.11[[#This Row],[a1]]=1,IF($K$3=0,Tab.11[b6],Tab.11[[#This Row],[b6]]-AVERAGE(Tab.11[b6])))</f>
        <v>0</v>
      </c>
      <c r="L455" s="69" t="b">
        <f>IF(Tab.11[[#This Row],[a1]]=1,Tab.11[[#This Row],[data]]/(_xlfn.STDEV.P(Tab.11[data])*$B$989)+$A$989)</f>
        <v>0</v>
      </c>
      <c r="M455" s="69" t="b">
        <f>IF(Tab.11[[#This Row],[a1]]=1,Tab.11[[#This Row],[data]]/(_xlfn.STDEV.P(Tab.11[data])*$B$987)-$A$987)</f>
        <v>0</v>
      </c>
      <c r="N455" s="69" t="b">
        <f>IF(Tab.11[[#This Row],[a1]]=1,Tab.11[[#This Row],[data]]/(_xlfn.STDEV.P(Tab.11[data])*$B$988)+$A$988)</f>
        <v>0</v>
      </c>
      <c r="O455" s="70" t="b">
        <f>IF(Tab.11[[#This Row],[a1]]=1,_xlfn.NORM.DIST(Tab.11[[#This Row],[b8]],$P$1,$Q$1,FALSE))</f>
        <v>0</v>
      </c>
      <c r="P455" s="70" t="b">
        <f>IF(Tab.11[[#This Row],[a1]]=1,_xlfn.NORM.DIST(Tab.11[[#This Row],[b9]],$P$1,$Q$1,FALSE))</f>
        <v>0</v>
      </c>
      <c r="Q455" s="70" t="b">
        <f>IF(Tab.11[[#This Row],[a1]]=1,_xlfn.NORM.DIST(Tab.11[[#This Row],[b10]],$P$1,$Q$1,FALSE))</f>
        <v>0</v>
      </c>
      <c r="R455" s="67" t="b">
        <f>IF(Tab.11[[#This Row],[a1]]=1,$I$3+$A$989+IF($K$3=0,Tab.11[[#This Row],[b8]]*_xlfn.STDEV.P(Tab.11[data]),AVERAGE(Tab.11[b6])+Tab.11[[#This Row],[b8]]*_xlfn.STDEV.P(Tab.11[data])))</f>
        <v>0</v>
      </c>
      <c r="S455" s="71" t="b">
        <f>IF(Tab.11[[#This Row],[a1]]=1,$I$3+$A$987+IF($K$3=0,Tab.11[[#This Row],[b9]]*_xlfn.STDEV.P(Tab.11[data]),AVERAGE(Tab.11[b6])+Tab.11[[#This Row],[b9]]*_xlfn.STDEV.P(Tab.11[data])))</f>
        <v>0</v>
      </c>
      <c r="T455" s="71" t="b">
        <f>IF(Tab.11[[#This Row],[a1]]=1,$I$3+$A$988+IF($K$3=0,Tab.11[[#This Row],[b10]]*_xlfn.STDEV.P(Tab.11[data]),AVERAGE(Tab.11[b6])+Tab.11[[#This Row],[b10]]*_xlfn.STDEV.P(Tab.11[data])))</f>
        <v>0</v>
      </c>
      <c r="U455" s="72" t="b">
        <f>IF(Tab.11[[#This Row],[a1]]=1,Tab.11[[#This Row],[target]]-Tab.11[[#This Row],[Red]])</f>
        <v>0</v>
      </c>
      <c r="V455" s="72" t="b">
        <f>IF(Tab.11[[#This Row],[a1]]=1,Tab.11[[#This Row],[target]]-Tab.11[[#This Row],[Blue]])</f>
        <v>0</v>
      </c>
      <c r="W455" s="73" t="b">
        <f>IF(Tab.11[[#This Row],[a1]]=1,IF(ABS(Tab.11[[#This Row],[b17]])+ABS(Tab.11[[#This Row],[b18]])&lt;$W$2,$W$2,ABS(Tab.11[[#This Row],[b17]])+ABS(Tab.11[[#This Row],[b18]])))</f>
        <v>0</v>
      </c>
      <c r="X455" s="136" t="b">
        <f>IF(Tab.11[[#This Row],[a1]]=1,IF($W$3&lt;0,Tab.11[[#This Row],[IN]]-$I$3,Tab.11[[#This Row],[IN]]))</f>
        <v>0</v>
      </c>
      <c r="Y455" s="136" t="b">
        <f>IF(Tab.11[[#This Row],[a1]]=1,IF($X$3=0,Tab.11[b66],Tab.11[[#This Row],[b66]]-AVERAGE(Tab.11[b66])))</f>
        <v>0</v>
      </c>
      <c r="Z455" s="135" t="b">
        <f>IF(Tab.11[[#This Row],[a1]]=1,Tab.11[[#This Row],[b77]]/(_xlfn.STDEV.P(Tab.11[b77])))</f>
        <v>0</v>
      </c>
      <c r="AA455" s="70" t="b">
        <f>IF(Tab.11[[#This Row],[a1]]=1,_xlfn.NORM.DIST(Tab.11[[#This Row],[b88]],$Z$1,$AA$1,FALSE))</f>
        <v>0</v>
      </c>
      <c r="AB455" s="74" t="b">
        <f>IF(Tab.11[[#This Row],[a1]]=1,IF($A$3=0,FALSE,1/Tab.11[[#This Row],[IN]]*$AC$2*IF(Tab.11[[#This Row],[a1]]=0,,$A$3*$AC$1*1/$V$3*(Tab.11[[#This Row],[b14]]))))</f>
        <v>0</v>
      </c>
      <c r="AC455" s="75" t="b">
        <f>IF(Tab.11[[#This Row],[a1]]=1,IF($AC$3=0,Tab.11[[#This Row],[φ1]],Tab.11[[#This Row],[φ1]]/MAX(Tab.11[φ1])))</f>
        <v>0</v>
      </c>
      <c r="AD455" s="74" t="b">
        <f>IF(Tab.11[[#This Row],[a1]]=1,1/Tab.11[[#This Row],[φ2]])</f>
        <v>0</v>
      </c>
      <c r="AE455" s="74" t="b">
        <f>IF(Tab.11[[#This Row],[a1]]=1,IF($AE$3=0,Tab.11[[#This Row],[w.0]],Tab.11[[#This Row],[w.0]]/SUM(Tab.11[w.0])))</f>
        <v>0</v>
      </c>
      <c r="AF455" s="76" t="str">
        <f>IF(Tab.11[[#This Row],[a1]]=0,"false",[3]!Tab.x5[[#This Row],[%_seN_C]])</f>
        <v>false</v>
      </c>
      <c r="AG455" s="77" t="b">
        <f>IF(Tab.11[[#This Row],[a1]]=1,AP455)</f>
        <v>0</v>
      </c>
      <c r="AH455" s="78" t="b">
        <f>IF(Tab.11[[#This Row],[a1]]=1,AQ455)</f>
        <v>0</v>
      </c>
      <c r="AI455" s="41">
        <v>3.0000000000000001E-3</v>
      </c>
      <c r="AJ455" s="79">
        <v>0.09</v>
      </c>
      <c r="AK455" s="80" t="b">
        <f>IF(Tab.11[[#This Row],[a1]]=1,1)</f>
        <v>0</v>
      </c>
      <c r="AZ455"/>
    </row>
    <row r="456" spans="1:52" hidden="1" x14ac:dyDescent="0.25">
      <c r="A456" s="61">
        <f t="shared" si="15"/>
        <v>0</v>
      </c>
      <c r="B456" s="62">
        <f t="shared" si="15"/>
        <v>0</v>
      </c>
      <c r="C456" s="62" t="b">
        <f>IF(Tab.11[[#This Row],[a1]]=1,[3]!Tab_x1[[#This Row],[Name]])</f>
        <v>0</v>
      </c>
      <c r="D456" s="63" t="b">
        <f>IF(Tab.11[[#This Row],[a1]]=1,AO456)</f>
        <v>0</v>
      </c>
      <c r="E456" s="63">
        <f t="shared" si="16"/>
        <v>0</v>
      </c>
      <c r="F456" s="64" t="b">
        <f>IF(Tab.11[[#This Row],[a1]]=1,Tab.11[[#This Row],[b1]])</f>
        <v>0</v>
      </c>
      <c r="G456" s="65" t="b">
        <f>IF(Tab.11[[#This Row],[a1]]=1,IF(Tab.11[[#This Row],[b3]]&gt;$L$989*$G$3,$L$989*$G$3,IF(Tab.11[[#This Row],[b3]]&lt;$M$989*$G$3,$M$989*$G$3,Tab.11[[#This Row],[b3]])))</f>
        <v>0</v>
      </c>
      <c r="H456" s="66" t="b">
        <f>IF(Tab.11[[#This Row],[a1]]=1,Tab.11[[#This Row],[b1]])</f>
        <v>0</v>
      </c>
      <c r="I456" s="67" t="b">
        <f>IF(Tab.11[[#This Row],[a1]]=1,Tab.11[[#This Row],[b1]])</f>
        <v>0</v>
      </c>
      <c r="J456" s="68" t="b">
        <f>IF(Tab.11[[#This Row],[a1]]=1,IF($I$3&lt;0,Tab.11[[#This Row],[b5]]-$I$3,Tab.11[[#This Row],[b5]]))</f>
        <v>0</v>
      </c>
      <c r="K456" s="68" t="b">
        <f>IF(Tab.11[[#This Row],[a1]]=1,IF($K$3=0,Tab.11[b6],Tab.11[[#This Row],[b6]]-AVERAGE(Tab.11[b6])))</f>
        <v>0</v>
      </c>
      <c r="L456" s="69" t="b">
        <f>IF(Tab.11[[#This Row],[a1]]=1,Tab.11[[#This Row],[data]]/(_xlfn.STDEV.P(Tab.11[data])*$B$989)+$A$989)</f>
        <v>0</v>
      </c>
      <c r="M456" s="69" t="b">
        <f>IF(Tab.11[[#This Row],[a1]]=1,Tab.11[[#This Row],[data]]/(_xlfn.STDEV.P(Tab.11[data])*$B$987)-$A$987)</f>
        <v>0</v>
      </c>
      <c r="N456" s="69" t="b">
        <f>IF(Tab.11[[#This Row],[a1]]=1,Tab.11[[#This Row],[data]]/(_xlfn.STDEV.P(Tab.11[data])*$B$988)+$A$988)</f>
        <v>0</v>
      </c>
      <c r="O456" s="70" t="b">
        <f>IF(Tab.11[[#This Row],[a1]]=1,_xlfn.NORM.DIST(Tab.11[[#This Row],[b8]],$P$1,$Q$1,FALSE))</f>
        <v>0</v>
      </c>
      <c r="P456" s="70" t="b">
        <f>IF(Tab.11[[#This Row],[a1]]=1,_xlfn.NORM.DIST(Tab.11[[#This Row],[b9]],$P$1,$Q$1,FALSE))</f>
        <v>0</v>
      </c>
      <c r="Q456" s="70" t="b">
        <f>IF(Tab.11[[#This Row],[a1]]=1,_xlfn.NORM.DIST(Tab.11[[#This Row],[b10]],$P$1,$Q$1,FALSE))</f>
        <v>0</v>
      </c>
      <c r="R456" s="67" t="b">
        <f>IF(Tab.11[[#This Row],[a1]]=1,$I$3+$A$989+IF($K$3=0,Tab.11[[#This Row],[b8]]*_xlfn.STDEV.P(Tab.11[data]),AVERAGE(Tab.11[b6])+Tab.11[[#This Row],[b8]]*_xlfn.STDEV.P(Tab.11[data])))</f>
        <v>0</v>
      </c>
      <c r="S456" s="71" t="b">
        <f>IF(Tab.11[[#This Row],[a1]]=1,$I$3+$A$987+IF($K$3=0,Tab.11[[#This Row],[b9]]*_xlfn.STDEV.P(Tab.11[data]),AVERAGE(Tab.11[b6])+Tab.11[[#This Row],[b9]]*_xlfn.STDEV.P(Tab.11[data])))</f>
        <v>0</v>
      </c>
      <c r="T456" s="71" t="b">
        <f>IF(Tab.11[[#This Row],[a1]]=1,$I$3+$A$988+IF($K$3=0,Tab.11[[#This Row],[b10]]*_xlfn.STDEV.P(Tab.11[data]),AVERAGE(Tab.11[b6])+Tab.11[[#This Row],[b10]]*_xlfn.STDEV.P(Tab.11[data])))</f>
        <v>0</v>
      </c>
      <c r="U456" s="72" t="b">
        <f>IF(Tab.11[[#This Row],[a1]]=1,Tab.11[[#This Row],[target]]-Tab.11[[#This Row],[Red]])</f>
        <v>0</v>
      </c>
      <c r="V456" s="72" t="b">
        <f>IF(Tab.11[[#This Row],[a1]]=1,Tab.11[[#This Row],[target]]-Tab.11[[#This Row],[Blue]])</f>
        <v>0</v>
      </c>
      <c r="W456" s="73" t="b">
        <f>IF(Tab.11[[#This Row],[a1]]=1,IF(ABS(Tab.11[[#This Row],[b17]])+ABS(Tab.11[[#This Row],[b18]])&lt;$W$2,$W$2,ABS(Tab.11[[#This Row],[b17]])+ABS(Tab.11[[#This Row],[b18]])))</f>
        <v>0</v>
      </c>
      <c r="X456" s="136" t="b">
        <f>IF(Tab.11[[#This Row],[a1]]=1,IF($W$3&lt;0,Tab.11[[#This Row],[IN]]-$I$3,Tab.11[[#This Row],[IN]]))</f>
        <v>0</v>
      </c>
      <c r="Y456" s="136" t="b">
        <f>IF(Tab.11[[#This Row],[a1]]=1,IF($X$3=0,Tab.11[b66],Tab.11[[#This Row],[b66]]-AVERAGE(Tab.11[b66])))</f>
        <v>0</v>
      </c>
      <c r="Z456" s="135" t="b">
        <f>IF(Tab.11[[#This Row],[a1]]=1,Tab.11[[#This Row],[b77]]/(_xlfn.STDEV.P(Tab.11[b77])))</f>
        <v>0</v>
      </c>
      <c r="AA456" s="70" t="b">
        <f>IF(Tab.11[[#This Row],[a1]]=1,_xlfn.NORM.DIST(Tab.11[[#This Row],[b88]],$Z$1,$AA$1,FALSE))</f>
        <v>0</v>
      </c>
      <c r="AB456" s="74" t="b">
        <f>IF(Tab.11[[#This Row],[a1]]=1,IF($A$3=0,FALSE,1/Tab.11[[#This Row],[IN]]*$AC$2*IF(Tab.11[[#This Row],[a1]]=0,,$A$3*$AC$1*1/$V$3*(Tab.11[[#This Row],[b14]]))))</f>
        <v>0</v>
      </c>
      <c r="AC456" s="75" t="b">
        <f>IF(Tab.11[[#This Row],[a1]]=1,IF($AC$3=0,Tab.11[[#This Row],[φ1]],Tab.11[[#This Row],[φ1]]/MAX(Tab.11[φ1])))</f>
        <v>0</v>
      </c>
      <c r="AD456" s="74" t="b">
        <f>IF(Tab.11[[#This Row],[a1]]=1,1/Tab.11[[#This Row],[φ2]])</f>
        <v>0</v>
      </c>
      <c r="AE456" s="74" t="b">
        <f>IF(Tab.11[[#This Row],[a1]]=1,IF($AE$3=0,Tab.11[[#This Row],[w.0]],Tab.11[[#This Row],[w.0]]/SUM(Tab.11[w.0])))</f>
        <v>0</v>
      </c>
      <c r="AF456" s="76" t="str">
        <f>IF(Tab.11[[#This Row],[a1]]=0,"false",[3]!Tab.x5[[#This Row],[%_seN_C]])</f>
        <v>false</v>
      </c>
      <c r="AG456" s="77" t="b">
        <f>IF(Tab.11[[#This Row],[a1]]=1,AP456)</f>
        <v>0</v>
      </c>
      <c r="AH456" s="78" t="b">
        <f>IF(Tab.11[[#This Row],[a1]]=1,AQ456)</f>
        <v>0</v>
      </c>
      <c r="AI456" s="41">
        <v>3.0000000000000001E-3</v>
      </c>
      <c r="AJ456" s="79">
        <v>0.06</v>
      </c>
      <c r="AK456" s="80" t="b">
        <f>IF(Tab.11[[#This Row],[a1]]=1,1)</f>
        <v>0</v>
      </c>
      <c r="AZ456"/>
    </row>
    <row r="457" spans="1:52" hidden="1" x14ac:dyDescent="0.25">
      <c r="A457" s="61">
        <f t="shared" si="15"/>
        <v>0</v>
      </c>
      <c r="B457" s="62">
        <f t="shared" si="15"/>
        <v>0</v>
      </c>
      <c r="C457" s="62" t="b">
        <f>IF(Tab.11[[#This Row],[a1]]=1,[3]!Tab_x1[[#This Row],[Name]])</f>
        <v>0</v>
      </c>
      <c r="D457" s="63" t="b">
        <f>IF(Tab.11[[#This Row],[a1]]=1,AO457)</f>
        <v>0</v>
      </c>
      <c r="E457" s="63">
        <f t="shared" si="16"/>
        <v>0</v>
      </c>
      <c r="F457" s="64" t="b">
        <f>IF(Tab.11[[#This Row],[a1]]=1,Tab.11[[#This Row],[b1]])</f>
        <v>0</v>
      </c>
      <c r="G457" s="65" t="b">
        <f>IF(Tab.11[[#This Row],[a1]]=1,IF(Tab.11[[#This Row],[b3]]&gt;$L$989*$G$3,$L$989*$G$3,IF(Tab.11[[#This Row],[b3]]&lt;$M$989*$G$3,$M$989*$G$3,Tab.11[[#This Row],[b3]])))</f>
        <v>0</v>
      </c>
      <c r="H457" s="66" t="b">
        <f>IF(Tab.11[[#This Row],[a1]]=1,Tab.11[[#This Row],[b1]])</f>
        <v>0</v>
      </c>
      <c r="I457" s="67" t="b">
        <f>IF(Tab.11[[#This Row],[a1]]=1,Tab.11[[#This Row],[b1]])</f>
        <v>0</v>
      </c>
      <c r="J457" s="68" t="b">
        <f>IF(Tab.11[[#This Row],[a1]]=1,IF($I$3&lt;0,Tab.11[[#This Row],[b5]]-$I$3,Tab.11[[#This Row],[b5]]))</f>
        <v>0</v>
      </c>
      <c r="K457" s="68" t="b">
        <f>IF(Tab.11[[#This Row],[a1]]=1,IF($K$3=0,Tab.11[b6],Tab.11[[#This Row],[b6]]-AVERAGE(Tab.11[b6])))</f>
        <v>0</v>
      </c>
      <c r="L457" s="69" t="b">
        <f>IF(Tab.11[[#This Row],[a1]]=1,Tab.11[[#This Row],[data]]/(_xlfn.STDEV.P(Tab.11[data])*$B$989)+$A$989)</f>
        <v>0</v>
      </c>
      <c r="M457" s="69" t="b">
        <f>IF(Tab.11[[#This Row],[a1]]=1,Tab.11[[#This Row],[data]]/(_xlfn.STDEV.P(Tab.11[data])*$B$987)-$A$987)</f>
        <v>0</v>
      </c>
      <c r="N457" s="69" t="b">
        <f>IF(Tab.11[[#This Row],[a1]]=1,Tab.11[[#This Row],[data]]/(_xlfn.STDEV.P(Tab.11[data])*$B$988)+$A$988)</f>
        <v>0</v>
      </c>
      <c r="O457" s="70" t="b">
        <f>IF(Tab.11[[#This Row],[a1]]=1,_xlfn.NORM.DIST(Tab.11[[#This Row],[b8]],$P$1,$Q$1,FALSE))</f>
        <v>0</v>
      </c>
      <c r="P457" s="70" t="b">
        <f>IF(Tab.11[[#This Row],[a1]]=1,_xlfn.NORM.DIST(Tab.11[[#This Row],[b9]],$P$1,$Q$1,FALSE))</f>
        <v>0</v>
      </c>
      <c r="Q457" s="70" t="b">
        <f>IF(Tab.11[[#This Row],[a1]]=1,_xlfn.NORM.DIST(Tab.11[[#This Row],[b10]],$P$1,$Q$1,FALSE))</f>
        <v>0</v>
      </c>
      <c r="R457" s="67" t="b">
        <f>IF(Tab.11[[#This Row],[a1]]=1,$I$3+$A$989+IF($K$3=0,Tab.11[[#This Row],[b8]]*_xlfn.STDEV.P(Tab.11[data]),AVERAGE(Tab.11[b6])+Tab.11[[#This Row],[b8]]*_xlfn.STDEV.P(Tab.11[data])))</f>
        <v>0</v>
      </c>
      <c r="S457" s="71" t="b">
        <f>IF(Tab.11[[#This Row],[a1]]=1,$I$3+$A$987+IF($K$3=0,Tab.11[[#This Row],[b9]]*_xlfn.STDEV.P(Tab.11[data]),AVERAGE(Tab.11[b6])+Tab.11[[#This Row],[b9]]*_xlfn.STDEV.P(Tab.11[data])))</f>
        <v>0</v>
      </c>
      <c r="T457" s="71" t="b">
        <f>IF(Tab.11[[#This Row],[a1]]=1,$I$3+$A$988+IF($K$3=0,Tab.11[[#This Row],[b10]]*_xlfn.STDEV.P(Tab.11[data]),AVERAGE(Tab.11[b6])+Tab.11[[#This Row],[b10]]*_xlfn.STDEV.P(Tab.11[data])))</f>
        <v>0</v>
      </c>
      <c r="U457" s="72" t="b">
        <f>IF(Tab.11[[#This Row],[a1]]=1,Tab.11[[#This Row],[target]]-Tab.11[[#This Row],[Red]])</f>
        <v>0</v>
      </c>
      <c r="V457" s="72" t="b">
        <f>IF(Tab.11[[#This Row],[a1]]=1,Tab.11[[#This Row],[target]]-Tab.11[[#This Row],[Blue]])</f>
        <v>0</v>
      </c>
      <c r="W457" s="73" t="b">
        <f>IF(Tab.11[[#This Row],[a1]]=1,IF(ABS(Tab.11[[#This Row],[b17]])+ABS(Tab.11[[#This Row],[b18]])&lt;$W$2,$W$2,ABS(Tab.11[[#This Row],[b17]])+ABS(Tab.11[[#This Row],[b18]])))</f>
        <v>0</v>
      </c>
      <c r="X457" s="136" t="b">
        <f>IF(Tab.11[[#This Row],[a1]]=1,IF($W$3&lt;0,Tab.11[[#This Row],[IN]]-$I$3,Tab.11[[#This Row],[IN]]))</f>
        <v>0</v>
      </c>
      <c r="Y457" s="136" t="b">
        <f>IF(Tab.11[[#This Row],[a1]]=1,IF($X$3=0,Tab.11[b66],Tab.11[[#This Row],[b66]]-AVERAGE(Tab.11[b66])))</f>
        <v>0</v>
      </c>
      <c r="Z457" s="135" t="b">
        <f>IF(Tab.11[[#This Row],[a1]]=1,Tab.11[[#This Row],[b77]]/(_xlfn.STDEV.P(Tab.11[b77])))</f>
        <v>0</v>
      </c>
      <c r="AA457" s="70" t="b">
        <f>IF(Tab.11[[#This Row],[a1]]=1,_xlfn.NORM.DIST(Tab.11[[#This Row],[b88]],$Z$1,$AA$1,FALSE))</f>
        <v>0</v>
      </c>
      <c r="AB457" s="74" t="b">
        <f>IF(Tab.11[[#This Row],[a1]]=1,IF($A$3=0,FALSE,1/Tab.11[[#This Row],[IN]]*$AC$2*IF(Tab.11[[#This Row],[a1]]=0,,$A$3*$AC$1*1/$V$3*(Tab.11[[#This Row],[b14]]))))</f>
        <v>0</v>
      </c>
      <c r="AC457" s="75" t="b">
        <f>IF(Tab.11[[#This Row],[a1]]=1,IF($AC$3=0,Tab.11[[#This Row],[φ1]],Tab.11[[#This Row],[φ1]]/MAX(Tab.11[φ1])))</f>
        <v>0</v>
      </c>
      <c r="AD457" s="74" t="b">
        <f>IF(Tab.11[[#This Row],[a1]]=1,1/Tab.11[[#This Row],[φ2]])</f>
        <v>0</v>
      </c>
      <c r="AE457" s="74" t="b">
        <f>IF(Tab.11[[#This Row],[a1]]=1,IF($AE$3=0,Tab.11[[#This Row],[w.0]],Tab.11[[#This Row],[w.0]]/SUM(Tab.11[w.0])))</f>
        <v>0</v>
      </c>
      <c r="AF457" s="76" t="str">
        <f>IF(Tab.11[[#This Row],[a1]]=0,"false",[3]!Tab.x5[[#This Row],[%_seN_C]])</f>
        <v>false</v>
      </c>
      <c r="AG457" s="77" t="b">
        <f>IF(Tab.11[[#This Row],[a1]]=1,AP457)</f>
        <v>0</v>
      </c>
      <c r="AH457" s="78" t="b">
        <f>IF(Tab.11[[#This Row],[a1]]=1,AQ457)</f>
        <v>0</v>
      </c>
      <c r="AI457" s="41">
        <v>3.0000000000000001E-3</v>
      </c>
      <c r="AJ457" s="79">
        <v>-7.0000000000000007E-2</v>
      </c>
      <c r="AK457" s="80" t="b">
        <f>IF(Tab.11[[#This Row],[a1]]=1,1)</f>
        <v>0</v>
      </c>
      <c r="AZ457"/>
    </row>
    <row r="458" spans="1:52" hidden="1" x14ac:dyDescent="0.25">
      <c r="A458" s="61">
        <f t="shared" si="15"/>
        <v>0</v>
      </c>
      <c r="B458" s="62">
        <f t="shared" si="15"/>
        <v>0</v>
      </c>
      <c r="C458" s="62" t="b">
        <f>IF(Tab.11[[#This Row],[a1]]=1,[3]!Tab_x1[[#This Row],[Name]])</f>
        <v>0</v>
      </c>
      <c r="D458" s="63" t="b">
        <f>IF(Tab.11[[#This Row],[a1]]=1,AO458)</f>
        <v>0</v>
      </c>
      <c r="E458" s="63">
        <f t="shared" si="16"/>
        <v>0</v>
      </c>
      <c r="F458" s="64" t="b">
        <f>IF(Tab.11[[#This Row],[a1]]=1,Tab.11[[#This Row],[b1]])</f>
        <v>0</v>
      </c>
      <c r="G458" s="65" t="b">
        <f>IF(Tab.11[[#This Row],[a1]]=1,IF(Tab.11[[#This Row],[b3]]&gt;$L$989*$G$3,$L$989*$G$3,IF(Tab.11[[#This Row],[b3]]&lt;$M$989*$G$3,$M$989*$G$3,Tab.11[[#This Row],[b3]])))</f>
        <v>0</v>
      </c>
      <c r="H458" s="66" t="b">
        <f>IF(Tab.11[[#This Row],[a1]]=1,Tab.11[[#This Row],[b1]])</f>
        <v>0</v>
      </c>
      <c r="I458" s="67" t="b">
        <f>IF(Tab.11[[#This Row],[a1]]=1,Tab.11[[#This Row],[b1]])</f>
        <v>0</v>
      </c>
      <c r="J458" s="68" t="b">
        <f>IF(Tab.11[[#This Row],[a1]]=1,IF($I$3&lt;0,Tab.11[[#This Row],[b5]]-$I$3,Tab.11[[#This Row],[b5]]))</f>
        <v>0</v>
      </c>
      <c r="K458" s="68" t="b">
        <f>IF(Tab.11[[#This Row],[a1]]=1,IF($K$3=0,Tab.11[b6],Tab.11[[#This Row],[b6]]-AVERAGE(Tab.11[b6])))</f>
        <v>0</v>
      </c>
      <c r="L458" s="69" t="b">
        <f>IF(Tab.11[[#This Row],[a1]]=1,Tab.11[[#This Row],[data]]/(_xlfn.STDEV.P(Tab.11[data])*$B$989)+$A$989)</f>
        <v>0</v>
      </c>
      <c r="M458" s="69" t="b">
        <f>IF(Tab.11[[#This Row],[a1]]=1,Tab.11[[#This Row],[data]]/(_xlfn.STDEV.P(Tab.11[data])*$B$987)-$A$987)</f>
        <v>0</v>
      </c>
      <c r="N458" s="69" t="b">
        <f>IF(Tab.11[[#This Row],[a1]]=1,Tab.11[[#This Row],[data]]/(_xlfn.STDEV.P(Tab.11[data])*$B$988)+$A$988)</f>
        <v>0</v>
      </c>
      <c r="O458" s="70" t="b">
        <f>IF(Tab.11[[#This Row],[a1]]=1,_xlfn.NORM.DIST(Tab.11[[#This Row],[b8]],$P$1,$Q$1,FALSE))</f>
        <v>0</v>
      </c>
      <c r="P458" s="70" t="b">
        <f>IF(Tab.11[[#This Row],[a1]]=1,_xlfn.NORM.DIST(Tab.11[[#This Row],[b9]],$P$1,$Q$1,FALSE))</f>
        <v>0</v>
      </c>
      <c r="Q458" s="70" t="b">
        <f>IF(Tab.11[[#This Row],[a1]]=1,_xlfn.NORM.DIST(Tab.11[[#This Row],[b10]],$P$1,$Q$1,FALSE))</f>
        <v>0</v>
      </c>
      <c r="R458" s="67" t="b">
        <f>IF(Tab.11[[#This Row],[a1]]=1,$I$3+$A$989+IF($K$3=0,Tab.11[[#This Row],[b8]]*_xlfn.STDEV.P(Tab.11[data]),AVERAGE(Tab.11[b6])+Tab.11[[#This Row],[b8]]*_xlfn.STDEV.P(Tab.11[data])))</f>
        <v>0</v>
      </c>
      <c r="S458" s="71" t="b">
        <f>IF(Tab.11[[#This Row],[a1]]=1,$I$3+$A$987+IF($K$3=0,Tab.11[[#This Row],[b9]]*_xlfn.STDEV.P(Tab.11[data]),AVERAGE(Tab.11[b6])+Tab.11[[#This Row],[b9]]*_xlfn.STDEV.P(Tab.11[data])))</f>
        <v>0</v>
      </c>
      <c r="T458" s="71" t="b">
        <f>IF(Tab.11[[#This Row],[a1]]=1,$I$3+$A$988+IF($K$3=0,Tab.11[[#This Row],[b10]]*_xlfn.STDEV.P(Tab.11[data]),AVERAGE(Tab.11[b6])+Tab.11[[#This Row],[b10]]*_xlfn.STDEV.P(Tab.11[data])))</f>
        <v>0</v>
      </c>
      <c r="U458" s="72" t="b">
        <f>IF(Tab.11[[#This Row],[a1]]=1,Tab.11[[#This Row],[target]]-Tab.11[[#This Row],[Red]])</f>
        <v>0</v>
      </c>
      <c r="V458" s="72" t="b">
        <f>IF(Tab.11[[#This Row],[a1]]=1,Tab.11[[#This Row],[target]]-Tab.11[[#This Row],[Blue]])</f>
        <v>0</v>
      </c>
      <c r="W458" s="73" t="b">
        <f>IF(Tab.11[[#This Row],[a1]]=1,IF(ABS(Tab.11[[#This Row],[b17]])+ABS(Tab.11[[#This Row],[b18]])&lt;$W$2,$W$2,ABS(Tab.11[[#This Row],[b17]])+ABS(Tab.11[[#This Row],[b18]])))</f>
        <v>0</v>
      </c>
      <c r="X458" s="136" t="b">
        <f>IF(Tab.11[[#This Row],[a1]]=1,IF($W$3&lt;0,Tab.11[[#This Row],[IN]]-$I$3,Tab.11[[#This Row],[IN]]))</f>
        <v>0</v>
      </c>
      <c r="Y458" s="136" t="b">
        <f>IF(Tab.11[[#This Row],[a1]]=1,IF($X$3=0,Tab.11[b66],Tab.11[[#This Row],[b66]]-AVERAGE(Tab.11[b66])))</f>
        <v>0</v>
      </c>
      <c r="Z458" s="135" t="b">
        <f>IF(Tab.11[[#This Row],[a1]]=1,Tab.11[[#This Row],[b77]]/(_xlfn.STDEV.P(Tab.11[b77])))</f>
        <v>0</v>
      </c>
      <c r="AA458" s="70" t="b">
        <f>IF(Tab.11[[#This Row],[a1]]=1,_xlfn.NORM.DIST(Tab.11[[#This Row],[b88]],$Z$1,$AA$1,FALSE))</f>
        <v>0</v>
      </c>
      <c r="AB458" s="74" t="b">
        <f>IF(Tab.11[[#This Row],[a1]]=1,IF($A$3=0,FALSE,1/Tab.11[[#This Row],[IN]]*$AC$2*IF(Tab.11[[#This Row],[a1]]=0,,$A$3*$AC$1*1/$V$3*(Tab.11[[#This Row],[b14]]))))</f>
        <v>0</v>
      </c>
      <c r="AC458" s="75" t="b">
        <f>IF(Tab.11[[#This Row],[a1]]=1,IF($AC$3=0,Tab.11[[#This Row],[φ1]],Tab.11[[#This Row],[φ1]]/MAX(Tab.11[φ1])))</f>
        <v>0</v>
      </c>
      <c r="AD458" s="74" t="b">
        <f>IF(Tab.11[[#This Row],[a1]]=1,1/Tab.11[[#This Row],[φ2]])</f>
        <v>0</v>
      </c>
      <c r="AE458" s="74" t="b">
        <f>IF(Tab.11[[#This Row],[a1]]=1,IF($AE$3=0,Tab.11[[#This Row],[w.0]],Tab.11[[#This Row],[w.0]]/SUM(Tab.11[w.0])))</f>
        <v>0</v>
      </c>
      <c r="AF458" s="76" t="str">
        <f>IF(Tab.11[[#This Row],[a1]]=0,"false",[3]!Tab.x5[[#This Row],[%_seN_C]])</f>
        <v>false</v>
      </c>
      <c r="AG458" s="77" t="b">
        <f>IF(Tab.11[[#This Row],[a1]]=1,AP458)</f>
        <v>0</v>
      </c>
      <c r="AH458" s="78" t="b">
        <f>IF(Tab.11[[#This Row],[a1]]=1,AQ458)</f>
        <v>0</v>
      </c>
      <c r="AI458" s="41">
        <v>3.0000000000000001E-3</v>
      </c>
      <c r="AJ458" s="79">
        <v>0.09</v>
      </c>
      <c r="AK458" s="80" t="b">
        <f>IF(Tab.11[[#This Row],[a1]]=1,1)</f>
        <v>0</v>
      </c>
      <c r="AZ458"/>
    </row>
    <row r="459" spans="1:52" hidden="1" x14ac:dyDescent="0.25">
      <c r="A459" s="61">
        <f t="shared" si="15"/>
        <v>0</v>
      </c>
      <c r="B459" s="62">
        <f t="shared" si="15"/>
        <v>0</v>
      </c>
      <c r="C459" s="62" t="b">
        <f>IF(Tab.11[[#This Row],[a1]]=1,[3]!Tab_x1[[#This Row],[Name]])</f>
        <v>0</v>
      </c>
      <c r="D459" s="63" t="b">
        <f>IF(Tab.11[[#This Row],[a1]]=1,AO459)</f>
        <v>0</v>
      </c>
      <c r="E459" s="63">
        <f t="shared" si="16"/>
        <v>0</v>
      </c>
      <c r="F459" s="64" t="b">
        <f>IF(Tab.11[[#This Row],[a1]]=1,Tab.11[[#This Row],[b1]])</f>
        <v>0</v>
      </c>
      <c r="G459" s="65" t="b">
        <f>IF(Tab.11[[#This Row],[a1]]=1,IF(Tab.11[[#This Row],[b3]]&gt;$L$989*$G$3,$L$989*$G$3,IF(Tab.11[[#This Row],[b3]]&lt;$M$989*$G$3,$M$989*$G$3,Tab.11[[#This Row],[b3]])))</f>
        <v>0</v>
      </c>
      <c r="H459" s="66" t="b">
        <f>IF(Tab.11[[#This Row],[a1]]=1,Tab.11[[#This Row],[b1]])</f>
        <v>0</v>
      </c>
      <c r="I459" s="67" t="b">
        <f>IF(Tab.11[[#This Row],[a1]]=1,Tab.11[[#This Row],[b1]])</f>
        <v>0</v>
      </c>
      <c r="J459" s="68" t="b">
        <f>IF(Tab.11[[#This Row],[a1]]=1,IF($I$3&lt;0,Tab.11[[#This Row],[b5]]-$I$3,Tab.11[[#This Row],[b5]]))</f>
        <v>0</v>
      </c>
      <c r="K459" s="68" t="b">
        <f>IF(Tab.11[[#This Row],[a1]]=1,IF($K$3=0,Tab.11[b6],Tab.11[[#This Row],[b6]]-AVERAGE(Tab.11[b6])))</f>
        <v>0</v>
      </c>
      <c r="L459" s="69" t="b">
        <f>IF(Tab.11[[#This Row],[a1]]=1,Tab.11[[#This Row],[data]]/(_xlfn.STDEV.P(Tab.11[data])*$B$989)+$A$989)</f>
        <v>0</v>
      </c>
      <c r="M459" s="69" t="b">
        <f>IF(Tab.11[[#This Row],[a1]]=1,Tab.11[[#This Row],[data]]/(_xlfn.STDEV.P(Tab.11[data])*$B$987)-$A$987)</f>
        <v>0</v>
      </c>
      <c r="N459" s="69" t="b">
        <f>IF(Tab.11[[#This Row],[a1]]=1,Tab.11[[#This Row],[data]]/(_xlfn.STDEV.P(Tab.11[data])*$B$988)+$A$988)</f>
        <v>0</v>
      </c>
      <c r="O459" s="70" t="b">
        <f>IF(Tab.11[[#This Row],[a1]]=1,_xlfn.NORM.DIST(Tab.11[[#This Row],[b8]],$P$1,$Q$1,FALSE))</f>
        <v>0</v>
      </c>
      <c r="P459" s="70" t="b">
        <f>IF(Tab.11[[#This Row],[a1]]=1,_xlfn.NORM.DIST(Tab.11[[#This Row],[b9]],$P$1,$Q$1,FALSE))</f>
        <v>0</v>
      </c>
      <c r="Q459" s="70" t="b">
        <f>IF(Tab.11[[#This Row],[a1]]=1,_xlfn.NORM.DIST(Tab.11[[#This Row],[b10]],$P$1,$Q$1,FALSE))</f>
        <v>0</v>
      </c>
      <c r="R459" s="67" t="b">
        <f>IF(Tab.11[[#This Row],[a1]]=1,$I$3+$A$989+IF($K$3=0,Tab.11[[#This Row],[b8]]*_xlfn.STDEV.P(Tab.11[data]),AVERAGE(Tab.11[b6])+Tab.11[[#This Row],[b8]]*_xlfn.STDEV.P(Tab.11[data])))</f>
        <v>0</v>
      </c>
      <c r="S459" s="71" t="b">
        <f>IF(Tab.11[[#This Row],[a1]]=1,$I$3+$A$987+IF($K$3=0,Tab.11[[#This Row],[b9]]*_xlfn.STDEV.P(Tab.11[data]),AVERAGE(Tab.11[b6])+Tab.11[[#This Row],[b9]]*_xlfn.STDEV.P(Tab.11[data])))</f>
        <v>0</v>
      </c>
      <c r="T459" s="71" t="b">
        <f>IF(Tab.11[[#This Row],[a1]]=1,$I$3+$A$988+IF($K$3=0,Tab.11[[#This Row],[b10]]*_xlfn.STDEV.P(Tab.11[data]),AVERAGE(Tab.11[b6])+Tab.11[[#This Row],[b10]]*_xlfn.STDEV.P(Tab.11[data])))</f>
        <v>0</v>
      </c>
      <c r="U459" s="72" t="b">
        <f>IF(Tab.11[[#This Row],[a1]]=1,Tab.11[[#This Row],[target]]-Tab.11[[#This Row],[Red]])</f>
        <v>0</v>
      </c>
      <c r="V459" s="72" t="b">
        <f>IF(Tab.11[[#This Row],[a1]]=1,Tab.11[[#This Row],[target]]-Tab.11[[#This Row],[Blue]])</f>
        <v>0</v>
      </c>
      <c r="W459" s="73" t="b">
        <f>IF(Tab.11[[#This Row],[a1]]=1,IF(ABS(Tab.11[[#This Row],[b17]])+ABS(Tab.11[[#This Row],[b18]])&lt;$W$2,$W$2,ABS(Tab.11[[#This Row],[b17]])+ABS(Tab.11[[#This Row],[b18]])))</f>
        <v>0</v>
      </c>
      <c r="X459" s="136" t="b">
        <f>IF(Tab.11[[#This Row],[a1]]=1,IF($W$3&lt;0,Tab.11[[#This Row],[IN]]-$I$3,Tab.11[[#This Row],[IN]]))</f>
        <v>0</v>
      </c>
      <c r="Y459" s="136" t="b">
        <f>IF(Tab.11[[#This Row],[a1]]=1,IF($X$3=0,Tab.11[b66],Tab.11[[#This Row],[b66]]-AVERAGE(Tab.11[b66])))</f>
        <v>0</v>
      </c>
      <c r="Z459" s="135" t="b">
        <f>IF(Tab.11[[#This Row],[a1]]=1,Tab.11[[#This Row],[b77]]/(_xlfn.STDEV.P(Tab.11[b77])))</f>
        <v>0</v>
      </c>
      <c r="AA459" s="70" t="b">
        <f>IF(Tab.11[[#This Row],[a1]]=1,_xlfn.NORM.DIST(Tab.11[[#This Row],[b88]],$Z$1,$AA$1,FALSE))</f>
        <v>0</v>
      </c>
      <c r="AB459" s="74" t="b">
        <f>IF(Tab.11[[#This Row],[a1]]=1,IF($A$3=0,FALSE,1/Tab.11[[#This Row],[IN]]*$AC$2*IF(Tab.11[[#This Row],[a1]]=0,,$A$3*$AC$1*1/$V$3*(Tab.11[[#This Row],[b14]]))))</f>
        <v>0</v>
      </c>
      <c r="AC459" s="75" t="b">
        <f>IF(Tab.11[[#This Row],[a1]]=1,IF($AC$3=0,Tab.11[[#This Row],[φ1]],Tab.11[[#This Row],[φ1]]/MAX(Tab.11[φ1])))</f>
        <v>0</v>
      </c>
      <c r="AD459" s="74" t="b">
        <f>IF(Tab.11[[#This Row],[a1]]=1,1/Tab.11[[#This Row],[φ2]])</f>
        <v>0</v>
      </c>
      <c r="AE459" s="74" t="b">
        <f>IF(Tab.11[[#This Row],[a1]]=1,IF($AE$3=0,Tab.11[[#This Row],[w.0]],Tab.11[[#This Row],[w.0]]/SUM(Tab.11[w.0])))</f>
        <v>0</v>
      </c>
      <c r="AF459" s="76" t="str">
        <f>IF(Tab.11[[#This Row],[a1]]=0,"false",[3]!Tab.x5[[#This Row],[%_seN_C]])</f>
        <v>false</v>
      </c>
      <c r="AG459" s="77" t="b">
        <f>IF(Tab.11[[#This Row],[a1]]=1,AP459)</f>
        <v>0</v>
      </c>
      <c r="AH459" s="78" t="b">
        <f>IF(Tab.11[[#This Row],[a1]]=1,AQ459)</f>
        <v>0</v>
      </c>
      <c r="AI459" s="41">
        <v>3.0000000000000001E-3</v>
      </c>
      <c r="AJ459" s="79">
        <v>0.09</v>
      </c>
      <c r="AK459" s="80" t="b">
        <f>IF(Tab.11[[#This Row],[a1]]=1,1)</f>
        <v>0</v>
      </c>
      <c r="AZ459"/>
    </row>
    <row r="460" spans="1:52" hidden="1" x14ac:dyDescent="0.25">
      <c r="A460" s="61">
        <f t="shared" si="15"/>
        <v>0</v>
      </c>
      <c r="B460" s="62">
        <f t="shared" si="15"/>
        <v>0</v>
      </c>
      <c r="C460" s="62" t="b">
        <f>IF(Tab.11[[#This Row],[a1]]=1,[3]!Tab_x1[[#This Row],[Name]])</f>
        <v>0</v>
      </c>
      <c r="D460" s="63" t="b">
        <f>IF(Tab.11[[#This Row],[a1]]=1,AO460)</f>
        <v>0</v>
      </c>
      <c r="E460" s="63">
        <f t="shared" si="16"/>
        <v>0</v>
      </c>
      <c r="F460" s="64" t="b">
        <f>IF(Tab.11[[#This Row],[a1]]=1,Tab.11[[#This Row],[b1]])</f>
        <v>0</v>
      </c>
      <c r="G460" s="65" t="b">
        <f>IF(Tab.11[[#This Row],[a1]]=1,IF(Tab.11[[#This Row],[b3]]&gt;$L$989*$G$3,$L$989*$G$3,IF(Tab.11[[#This Row],[b3]]&lt;$M$989*$G$3,$M$989*$G$3,Tab.11[[#This Row],[b3]])))</f>
        <v>0</v>
      </c>
      <c r="H460" s="66" t="b">
        <f>IF(Tab.11[[#This Row],[a1]]=1,Tab.11[[#This Row],[b1]])</f>
        <v>0</v>
      </c>
      <c r="I460" s="67" t="b">
        <f>IF(Tab.11[[#This Row],[a1]]=1,Tab.11[[#This Row],[b1]])</f>
        <v>0</v>
      </c>
      <c r="J460" s="68" t="b">
        <f>IF(Tab.11[[#This Row],[a1]]=1,IF($I$3&lt;0,Tab.11[[#This Row],[b5]]-$I$3,Tab.11[[#This Row],[b5]]))</f>
        <v>0</v>
      </c>
      <c r="K460" s="68" t="b">
        <f>IF(Tab.11[[#This Row],[a1]]=1,IF($K$3=0,Tab.11[b6],Tab.11[[#This Row],[b6]]-AVERAGE(Tab.11[b6])))</f>
        <v>0</v>
      </c>
      <c r="L460" s="69" t="b">
        <f>IF(Tab.11[[#This Row],[a1]]=1,Tab.11[[#This Row],[data]]/(_xlfn.STDEV.P(Tab.11[data])*$B$989)+$A$989)</f>
        <v>0</v>
      </c>
      <c r="M460" s="69" t="b">
        <f>IF(Tab.11[[#This Row],[a1]]=1,Tab.11[[#This Row],[data]]/(_xlfn.STDEV.P(Tab.11[data])*$B$987)-$A$987)</f>
        <v>0</v>
      </c>
      <c r="N460" s="69" t="b">
        <f>IF(Tab.11[[#This Row],[a1]]=1,Tab.11[[#This Row],[data]]/(_xlfn.STDEV.P(Tab.11[data])*$B$988)+$A$988)</f>
        <v>0</v>
      </c>
      <c r="O460" s="70" t="b">
        <f>IF(Tab.11[[#This Row],[a1]]=1,_xlfn.NORM.DIST(Tab.11[[#This Row],[b8]],$P$1,$Q$1,FALSE))</f>
        <v>0</v>
      </c>
      <c r="P460" s="70" t="b">
        <f>IF(Tab.11[[#This Row],[a1]]=1,_xlfn.NORM.DIST(Tab.11[[#This Row],[b9]],$P$1,$Q$1,FALSE))</f>
        <v>0</v>
      </c>
      <c r="Q460" s="70" t="b">
        <f>IF(Tab.11[[#This Row],[a1]]=1,_xlfn.NORM.DIST(Tab.11[[#This Row],[b10]],$P$1,$Q$1,FALSE))</f>
        <v>0</v>
      </c>
      <c r="R460" s="67" t="b">
        <f>IF(Tab.11[[#This Row],[a1]]=1,$I$3+$A$989+IF($K$3=0,Tab.11[[#This Row],[b8]]*_xlfn.STDEV.P(Tab.11[data]),AVERAGE(Tab.11[b6])+Tab.11[[#This Row],[b8]]*_xlfn.STDEV.P(Tab.11[data])))</f>
        <v>0</v>
      </c>
      <c r="S460" s="71" t="b">
        <f>IF(Tab.11[[#This Row],[a1]]=1,$I$3+$A$987+IF($K$3=0,Tab.11[[#This Row],[b9]]*_xlfn.STDEV.P(Tab.11[data]),AVERAGE(Tab.11[b6])+Tab.11[[#This Row],[b9]]*_xlfn.STDEV.P(Tab.11[data])))</f>
        <v>0</v>
      </c>
      <c r="T460" s="71" t="b">
        <f>IF(Tab.11[[#This Row],[a1]]=1,$I$3+$A$988+IF($K$3=0,Tab.11[[#This Row],[b10]]*_xlfn.STDEV.P(Tab.11[data]),AVERAGE(Tab.11[b6])+Tab.11[[#This Row],[b10]]*_xlfn.STDEV.P(Tab.11[data])))</f>
        <v>0</v>
      </c>
      <c r="U460" s="72" t="b">
        <f>IF(Tab.11[[#This Row],[a1]]=1,Tab.11[[#This Row],[target]]-Tab.11[[#This Row],[Red]])</f>
        <v>0</v>
      </c>
      <c r="V460" s="72" t="b">
        <f>IF(Tab.11[[#This Row],[a1]]=1,Tab.11[[#This Row],[target]]-Tab.11[[#This Row],[Blue]])</f>
        <v>0</v>
      </c>
      <c r="W460" s="73" t="b">
        <f>IF(Tab.11[[#This Row],[a1]]=1,IF(ABS(Tab.11[[#This Row],[b17]])+ABS(Tab.11[[#This Row],[b18]])&lt;$W$2,$W$2,ABS(Tab.11[[#This Row],[b17]])+ABS(Tab.11[[#This Row],[b18]])))</f>
        <v>0</v>
      </c>
      <c r="X460" s="136" t="b">
        <f>IF(Tab.11[[#This Row],[a1]]=1,IF($W$3&lt;0,Tab.11[[#This Row],[IN]]-$I$3,Tab.11[[#This Row],[IN]]))</f>
        <v>0</v>
      </c>
      <c r="Y460" s="136" t="b">
        <f>IF(Tab.11[[#This Row],[a1]]=1,IF($X$3=0,Tab.11[b66],Tab.11[[#This Row],[b66]]-AVERAGE(Tab.11[b66])))</f>
        <v>0</v>
      </c>
      <c r="Z460" s="135" t="b">
        <f>IF(Tab.11[[#This Row],[a1]]=1,Tab.11[[#This Row],[b77]]/(_xlfn.STDEV.P(Tab.11[b77])))</f>
        <v>0</v>
      </c>
      <c r="AA460" s="70" t="b">
        <f>IF(Tab.11[[#This Row],[a1]]=1,_xlfn.NORM.DIST(Tab.11[[#This Row],[b88]],$Z$1,$AA$1,FALSE))</f>
        <v>0</v>
      </c>
      <c r="AB460" s="74" t="b">
        <f>IF(Tab.11[[#This Row],[a1]]=1,IF($A$3=0,FALSE,1/Tab.11[[#This Row],[IN]]*$AC$2*IF(Tab.11[[#This Row],[a1]]=0,,$A$3*$AC$1*1/$V$3*(Tab.11[[#This Row],[b14]]))))</f>
        <v>0</v>
      </c>
      <c r="AC460" s="75" t="b">
        <f>IF(Tab.11[[#This Row],[a1]]=1,IF($AC$3=0,Tab.11[[#This Row],[φ1]],Tab.11[[#This Row],[φ1]]/MAX(Tab.11[φ1])))</f>
        <v>0</v>
      </c>
      <c r="AD460" s="74" t="b">
        <f>IF(Tab.11[[#This Row],[a1]]=1,1/Tab.11[[#This Row],[φ2]])</f>
        <v>0</v>
      </c>
      <c r="AE460" s="74" t="b">
        <f>IF(Tab.11[[#This Row],[a1]]=1,IF($AE$3=0,Tab.11[[#This Row],[w.0]],Tab.11[[#This Row],[w.0]]/SUM(Tab.11[w.0])))</f>
        <v>0</v>
      </c>
      <c r="AF460" s="76" t="str">
        <f>IF(Tab.11[[#This Row],[a1]]=0,"false",[3]!Tab.x5[[#This Row],[%_seN_C]])</f>
        <v>false</v>
      </c>
      <c r="AG460" s="77" t="b">
        <f>IF(Tab.11[[#This Row],[a1]]=1,AP460)</f>
        <v>0</v>
      </c>
      <c r="AH460" s="78" t="b">
        <f>IF(Tab.11[[#This Row],[a1]]=1,AQ460)</f>
        <v>0</v>
      </c>
      <c r="AI460" s="41">
        <v>3.0000000000000001E-3</v>
      </c>
      <c r="AJ460" s="79">
        <v>-0.05</v>
      </c>
      <c r="AK460" s="80" t="b">
        <f>IF(Tab.11[[#This Row],[a1]]=1,1)</f>
        <v>0</v>
      </c>
      <c r="AZ460"/>
    </row>
    <row r="461" spans="1:52" hidden="1" x14ac:dyDescent="0.25">
      <c r="A461" s="61">
        <f t="shared" si="15"/>
        <v>0</v>
      </c>
      <c r="B461" s="62">
        <f t="shared" si="15"/>
        <v>0</v>
      </c>
      <c r="C461" s="62" t="b">
        <f>IF(Tab.11[[#This Row],[a1]]=1,[3]!Tab_x1[[#This Row],[Name]])</f>
        <v>0</v>
      </c>
      <c r="D461" s="63" t="b">
        <f>IF(Tab.11[[#This Row],[a1]]=1,AO461)</f>
        <v>0</v>
      </c>
      <c r="E461" s="63">
        <f t="shared" si="16"/>
        <v>0</v>
      </c>
      <c r="F461" s="64" t="b">
        <f>IF(Tab.11[[#This Row],[a1]]=1,Tab.11[[#This Row],[b1]])</f>
        <v>0</v>
      </c>
      <c r="G461" s="65" t="b">
        <f>IF(Tab.11[[#This Row],[a1]]=1,IF(Tab.11[[#This Row],[b3]]&gt;$L$989*$G$3,$L$989*$G$3,IF(Tab.11[[#This Row],[b3]]&lt;$M$989*$G$3,$M$989*$G$3,Tab.11[[#This Row],[b3]])))</f>
        <v>0</v>
      </c>
      <c r="H461" s="66" t="b">
        <f>IF(Tab.11[[#This Row],[a1]]=1,Tab.11[[#This Row],[b1]])</f>
        <v>0</v>
      </c>
      <c r="I461" s="67" t="b">
        <f>IF(Tab.11[[#This Row],[a1]]=1,Tab.11[[#This Row],[b1]])</f>
        <v>0</v>
      </c>
      <c r="J461" s="68" t="b">
        <f>IF(Tab.11[[#This Row],[a1]]=1,IF($I$3&lt;0,Tab.11[[#This Row],[b5]]-$I$3,Tab.11[[#This Row],[b5]]))</f>
        <v>0</v>
      </c>
      <c r="K461" s="68" t="b">
        <f>IF(Tab.11[[#This Row],[a1]]=1,IF($K$3=0,Tab.11[b6],Tab.11[[#This Row],[b6]]-AVERAGE(Tab.11[b6])))</f>
        <v>0</v>
      </c>
      <c r="L461" s="69" t="b">
        <f>IF(Tab.11[[#This Row],[a1]]=1,Tab.11[[#This Row],[data]]/(_xlfn.STDEV.P(Tab.11[data])*$B$989)+$A$989)</f>
        <v>0</v>
      </c>
      <c r="M461" s="69" t="b">
        <f>IF(Tab.11[[#This Row],[a1]]=1,Tab.11[[#This Row],[data]]/(_xlfn.STDEV.P(Tab.11[data])*$B$987)-$A$987)</f>
        <v>0</v>
      </c>
      <c r="N461" s="69" t="b">
        <f>IF(Tab.11[[#This Row],[a1]]=1,Tab.11[[#This Row],[data]]/(_xlfn.STDEV.P(Tab.11[data])*$B$988)+$A$988)</f>
        <v>0</v>
      </c>
      <c r="O461" s="70" t="b">
        <f>IF(Tab.11[[#This Row],[a1]]=1,_xlfn.NORM.DIST(Tab.11[[#This Row],[b8]],$P$1,$Q$1,FALSE))</f>
        <v>0</v>
      </c>
      <c r="P461" s="70" t="b">
        <f>IF(Tab.11[[#This Row],[a1]]=1,_xlfn.NORM.DIST(Tab.11[[#This Row],[b9]],$P$1,$Q$1,FALSE))</f>
        <v>0</v>
      </c>
      <c r="Q461" s="70" t="b">
        <f>IF(Tab.11[[#This Row],[a1]]=1,_xlfn.NORM.DIST(Tab.11[[#This Row],[b10]],$P$1,$Q$1,FALSE))</f>
        <v>0</v>
      </c>
      <c r="R461" s="67" t="b">
        <f>IF(Tab.11[[#This Row],[a1]]=1,$I$3+$A$989+IF($K$3=0,Tab.11[[#This Row],[b8]]*_xlfn.STDEV.P(Tab.11[data]),AVERAGE(Tab.11[b6])+Tab.11[[#This Row],[b8]]*_xlfn.STDEV.P(Tab.11[data])))</f>
        <v>0</v>
      </c>
      <c r="S461" s="71" t="b">
        <f>IF(Tab.11[[#This Row],[a1]]=1,$I$3+$A$987+IF($K$3=0,Tab.11[[#This Row],[b9]]*_xlfn.STDEV.P(Tab.11[data]),AVERAGE(Tab.11[b6])+Tab.11[[#This Row],[b9]]*_xlfn.STDEV.P(Tab.11[data])))</f>
        <v>0</v>
      </c>
      <c r="T461" s="71" t="b">
        <f>IF(Tab.11[[#This Row],[a1]]=1,$I$3+$A$988+IF($K$3=0,Tab.11[[#This Row],[b10]]*_xlfn.STDEV.P(Tab.11[data]),AVERAGE(Tab.11[b6])+Tab.11[[#This Row],[b10]]*_xlfn.STDEV.P(Tab.11[data])))</f>
        <v>0</v>
      </c>
      <c r="U461" s="72" t="b">
        <f>IF(Tab.11[[#This Row],[a1]]=1,Tab.11[[#This Row],[target]]-Tab.11[[#This Row],[Red]])</f>
        <v>0</v>
      </c>
      <c r="V461" s="72" t="b">
        <f>IF(Tab.11[[#This Row],[a1]]=1,Tab.11[[#This Row],[target]]-Tab.11[[#This Row],[Blue]])</f>
        <v>0</v>
      </c>
      <c r="W461" s="73" t="b">
        <f>IF(Tab.11[[#This Row],[a1]]=1,IF(ABS(Tab.11[[#This Row],[b17]])+ABS(Tab.11[[#This Row],[b18]])&lt;$W$2,$W$2,ABS(Tab.11[[#This Row],[b17]])+ABS(Tab.11[[#This Row],[b18]])))</f>
        <v>0</v>
      </c>
      <c r="X461" s="136" t="b">
        <f>IF(Tab.11[[#This Row],[a1]]=1,IF($W$3&lt;0,Tab.11[[#This Row],[IN]]-$I$3,Tab.11[[#This Row],[IN]]))</f>
        <v>0</v>
      </c>
      <c r="Y461" s="136" t="b">
        <f>IF(Tab.11[[#This Row],[a1]]=1,IF($X$3=0,Tab.11[b66],Tab.11[[#This Row],[b66]]-AVERAGE(Tab.11[b66])))</f>
        <v>0</v>
      </c>
      <c r="Z461" s="135" t="b">
        <f>IF(Tab.11[[#This Row],[a1]]=1,Tab.11[[#This Row],[b77]]/(_xlfn.STDEV.P(Tab.11[b77])))</f>
        <v>0</v>
      </c>
      <c r="AA461" s="70" t="b">
        <f>IF(Tab.11[[#This Row],[a1]]=1,_xlfn.NORM.DIST(Tab.11[[#This Row],[b88]],$Z$1,$AA$1,FALSE))</f>
        <v>0</v>
      </c>
      <c r="AB461" s="74" t="b">
        <f>IF(Tab.11[[#This Row],[a1]]=1,IF($A$3=0,FALSE,1/Tab.11[[#This Row],[IN]]*$AC$2*IF(Tab.11[[#This Row],[a1]]=0,,$A$3*$AC$1*1/$V$3*(Tab.11[[#This Row],[b14]]))))</f>
        <v>0</v>
      </c>
      <c r="AC461" s="75" t="b">
        <f>IF(Tab.11[[#This Row],[a1]]=1,IF($AC$3=0,Tab.11[[#This Row],[φ1]],Tab.11[[#This Row],[φ1]]/MAX(Tab.11[φ1])))</f>
        <v>0</v>
      </c>
      <c r="AD461" s="74" t="b">
        <f>IF(Tab.11[[#This Row],[a1]]=1,1/Tab.11[[#This Row],[φ2]])</f>
        <v>0</v>
      </c>
      <c r="AE461" s="74" t="b">
        <f>IF(Tab.11[[#This Row],[a1]]=1,IF($AE$3=0,Tab.11[[#This Row],[w.0]],Tab.11[[#This Row],[w.0]]/SUM(Tab.11[w.0])))</f>
        <v>0</v>
      </c>
      <c r="AF461" s="76" t="str">
        <f>IF(Tab.11[[#This Row],[a1]]=0,"false",[3]!Tab.x5[[#This Row],[%_seN_C]])</f>
        <v>false</v>
      </c>
      <c r="AG461" s="77" t="b">
        <f>IF(Tab.11[[#This Row],[a1]]=1,AP461)</f>
        <v>0</v>
      </c>
      <c r="AH461" s="78" t="b">
        <f>IF(Tab.11[[#This Row],[a1]]=1,AQ461)</f>
        <v>0</v>
      </c>
      <c r="AI461" s="41">
        <v>3.0000000000000001E-3</v>
      </c>
      <c r="AJ461" s="79">
        <v>-0.08</v>
      </c>
      <c r="AK461" s="80" t="b">
        <f>IF(Tab.11[[#This Row],[a1]]=1,1)</f>
        <v>0</v>
      </c>
      <c r="AZ461"/>
    </row>
    <row r="462" spans="1:52" hidden="1" x14ac:dyDescent="0.25">
      <c r="A462" s="61">
        <f t="shared" si="15"/>
        <v>0</v>
      </c>
      <c r="B462" s="62">
        <f t="shared" si="15"/>
        <v>0</v>
      </c>
      <c r="C462" s="62" t="b">
        <f>IF(Tab.11[[#This Row],[a1]]=1,[3]!Tab_x1[[#This Row],[Name]])</f>
        <v>0</v>
      </c>
      <c r="D462" s="63" t="b">
        <f>IF(Tab.11[[#This Row],[a1]]=1,AO462)</f>
        <v>0</v>
      </c>
      <c r="E462" s="63">
        <f t="shared" si="16"/>
        <v>0</v>
      </c>
      <c r="F462" s="64" t="b">
        <f>IF(Tab.11[[#This Row],[a1]]=1,Tab.11[[#This Row],[b1]])</f>
        <v>0</v>
      </c>
      <c r="G462" s="65" t="b">
        <f>IF(Tab.11[[#This Row],[a1]]=1,IF(Tab.11[[#This Row],[b3]]&gt;$L$989*$G$3,$L$989*$G$3,IF(Tab.11[[#This Row],[b3]]&lt;$M$989*$G$3,$M$989*$G$3,Tab.11[[#This Row],[b3]])))</f>
        <v>0</v>
      </c>
      <c r="H462" s="66" t="b">
        <f>IF(Tab.11[[#This Row],[a1]]=1,Tab.11[[#This Row],[b1]])</f>
        <v>0</v>
      </c>
      <c r="I462" s="67" t="b">
        <f>IF(Tab.11[[#This Row],[a1]]=1,Tab.11[[#This Row],[b1]])</f>
        <v>0</v>
      </c>
      <c r="J462" s="68" t="b">
        <f>IF(Tab.11[[#This Row],[a1]]=1,IF($I$3&lt;0,Tab.11[[#This Row],[b5]]-$I$3,Tab.11[[#This Row],[b5]]))</f>
        <v>0</v>
      </c>
      <c r="K462" s="68" t="b">
        <f>IF(Tab.11[[#This Row],[a1]]=1,IF($K$3=0,Tab.11[b6],Tab.11[[#This Row],[b6]]-AVERAGE(Tab.11[b6])))</f>
        <v>0</v>
      </c>
      <c r="L462" s="69" t="b">
        <f>IF(Tab.11[[#This Row],[a1]]=1,Tab.11[[#This Row],[data]]/(_xlfn.STDEV.P(Tab.11[data])*$B$989)+$A$989)</f>
        <v>0</v>
      </c>
      <c r="M462" s="69" t="b">
        <f>IF(Tab.11[[#This Row],[a1]]=1,Tab.11[[#This Row],[data]]/(_xlfn.STDEV.P(Tab.11[data])*$B$987)-$A$987)</f>
        <v>0</v>
      </c>
      <c r="N462" s="69" t="b">
        <f>IF(Tab.11[[#This Row],[a1]]=1,Tab.11[[#This Row],[data]]/(_xlfn.STDEV.P(Tab.11[data])*$B$988)+$A$988)</f>
        <v>0</v>
      </c>
      <c r="O462" s="70" t="b">
        <f>IF(Tab.11[[#This Row],[a1]]=1,_xlfn.NORM.DIST(Tab.11[[#This Row],[b8]],$P$1,$Q$1,FALSE))</f>
        <v>0</v>
      </c>
      <c r="P462" s="70" t="b">
        <f>IF(Tab.11[[#This Row],[a1]]=1,_xlfn.NORM.DIST(Tab.11[[#This Row],[b9]],$P$1,$Q$1,FALSE))</f>
        <v>0</v>
      </c>
      <c r="Q462" s="70" t="b">
        <f>IF(Tab.11[[#This Row],[a1]]=1,_xlfn.NORM.DIST(Tab.11[[#This Row],[b10]],$P$1,$Q$1,FALSE))</f>
        <v>0</v>
      </c>
      <c r="R462" s="67" t="b">
        <f>IF(Tab.11[[#This Row],[a1]]=1,$I$3+$A$989+IF($K$3=0,Tab.11[[#This Row],[b8]]*_xlfn.STDEV.P(Tab.11[data]),AVERAGE(Tab.11[b6])+Tab.11[[#This Row],[b8]]*_xlfn.STDEV.P(Tab.11[data])))</f>
        <v>0</v>
      </c>
      <c r="S462" s="71" t="b">
        <f>IF(Tab.11[[#This Row],[a1]]=1,$I$3+$A$987+IF($K$3=0,Tab.11[[#This Row],[b9]]*_xlfn.STDEV.P(Tab.11[data]),AVERAGE(Tab.11[b6])+Tab.11[[#This Row],[b9]]*_xlfn.STDEV.P(Tab.11[data])))</f>
        <v>0</v>
      </c>
      <c r="T462" s="71" t="b">
        <f>IF(Tab.11[[#This Row],[a1]]=1,$I$3+$A$988+IF($K$3=0,Tab.11[[#This Row],[b10]]*_xlfn.STDEV.P(Tab.11[data]),AVERAGE(Tab.11[b6])+Tab.11[[#This Row],[b10]]*_xlfn.STDEV.P(Tab.11[data])))</f>
        <v>0</v>
      </c>
      <c r="U462" s="72" t="b">
        <f>IF(Tab.11[[#This Row],[a1]]=1,Tab.11[[#This Row],[target]]-Tab.11[[#This Row],[Red]])</f>
        <v>0</v>
      </c>
      <c r="V462" s="72" t="b">
        <f>IF(Tab.11[[#This Row],[a1]]=1,Tab.11[[#This Row],[target]]-Tab.11[[#This Row],[Blue]])</f>
        <v>0</v>
      </c>
      <c r="W462" s="73" t="b">
        <f>IF(Tab.11[[#This Row],[a1]]=1,IF(ABS(Tab.11[[#This Row],[b17]])+ABS(Tab.11[[#This Row],[b18]])&lt;$W$2,$W$2,ABS(Tab.11[[#This Row],[b17]])+ABS(Tab.11[[#This Row],[b18]])))</f>
        <v>0</v>
      </c>
      <c r="X462" s="136" t="b">
        <f>IF(Tab.11[[#This Row],[a1]]=1,IF($W$3&lt;0,Tab.11[[#This Row],[IN]]-$I$3,Tab.11[[#This Row],[IN]]))</f>
        <v>0</v>
      </c>
      <c r="Y462" s="136" t="b">
        <f>IF(Tab.11[[#This Row],[a1]]=1,IF($X$3=0,Tab.11[b66],Tab.11[[#This Row],[b66]]-AVERAGE(Tab.11[b66])))</f>
        <v>0</v>
      </c>
      <c r="Z462" s="135" t="b">
        <f>IF(Tab.11[[#This Row],[a1]]=1,Tab.11[[#This Row],[b77]]/(_xlfn.STDEV.P(Tab.11[b77])))</f>
        <v>0</v>
      </c>
      <c r="AA462" s="70" t="b">
        <f>IF(Tab.11[[#This Row],[a1]]=1,_xlfn.NORM.DIST(Tab.11[[#This Row],[b88]],$Z$1,$AA$1,FALSE))</f>
        <v>0</v>
      </c>
      <c r="AB462" s="74" t="b">
        <f>IF(Tab.11[[#This Row],[a1]]=1,IF($A$3=0,FALSE,1/Tab.11[[#This Row],[IN]]*$AC$2*IF(Tab.11[[#This Row],[a1]]=0,,$A$3*$AC$1*1/$V$3*(Tab.11[[#This Row],[b14]]))))</f>
        <v>0</v>
      </c>
      <c r="AC462" s="75" t="b">
        <f>IF(Tab.11[[#This Row],[a1]]=1,IF($AC$3=0,Tab.11[[#This Row],[φ1]],Tab.11[[#This Row],[φ1]]/MAX(Tab.11[φ1])))</f>
        <v>0</v>
      </c>
      <c r="AD462" s="74" t="b">
        <f>IF(Tab.11[[#This Row],[a1]]=1,1/Tab.11[[#This Row],[φ2]])</f>
        <v>0</v>
      </c>
      <c r="AE462" s="74" t="b">
        <f>IF(Tab.11[[#This Row],[a1]]=1,IF($AE$3=0,Tab.11[[#This Row],[w.0]],Tab.11[[#This Row],[w.0]]/SUM(Tab.11[w.0])))</f>
        <v>0</v>
      </c>
      <c r="AF462" s="76" t="str">
        <f>IF(Tab.11[[#This Row],[a1]]=0,"false",[3]!Tab.x5[[#This Row],[%_seN_C]])</f>
        <v>false</v>
      </c>
      <c r="AG462" s="77" t="b">
        <f>IF(Tab.11[[#This Row],[a1]]=1,AP462)</f>
        <v>0</v>
      </c>
      <c r="AH462" s="78" t="b">
        <f>IF(Tab.11[[#This Row],[a1]]=1,AQ462)</f>
        <v>0</v>
      </c>
      <c r="AI462" s="41">
        <v>3.0000000000000001E-3</v>
      </c>
      <c r="AJ462" s="79">
        <v>-0.01</v>
      </c>
      <c r="AK462" s="80" t="b">
        <f>IF(Tab.11[[#This Row],[a1]]=1,1)</f>
        <v>0</v>
      </c>
      <c r="AZ462"/>
    </row>
    <row r="463" spans="1:52" hidden="1" x14ac:dyDescent="0.25">
      <c r="A463" s="61">
        <f t="shared" si="15"/>
        <v>0</v>
      </c>
      <c r="B463" s="62">
        <f t="shared" si="15"/>
        <v>0</v>
      </c>
      <c r="C463" s="62" t="b">
        <f>IF(Tab.11[[#This Row],[a1]]=1,[3]!Tab_x1[[#This Row],[Name]])</f>
        <v>0</v>
      </c>
      <c r="D463" s="63" t="b">
        <f>IF(Tab.11[[#This Row],[a1]]=1,AO463)</f>
        <v>0</v>
      </c>
      <c r="E463" s="63">
        <f t="shared" si="16"/>
        <v>0</v>
      </c>
      <c r="F463" s="64" t="b">
        <f>IF(Tab.11[[#This Row],[a1]]=1,Tab.11[[#This Row],[b1]])</f>
        <v>0</v>
      </c>
      <c r="G463" s="65" t="b">
        <f>IF(Tab.11[[#This Row],[a1]]=1,IF(Tab.11[[#This Row],[b3]]&gt;$L$989*$G$3,$L$989*$G$3,IF(Tab.11[[#This Row],[b3]]&lt;$M$989*$G$3,$M$989*$G$3,Tab.11[[#This Row],[b3]])))</f>
        <v>0</v>
      </c>
      <c r="H463" s="66" t="b">
        <f>IF(Tab.11[[#This Row],[a1]]=1,Tab.11[[#This Row],[b1]])</f>
        <v>0</v>
      </c>
      <c r="I463" s="67" t="b">
        <f>IF(Tab.11[[#This Row],[a1]]=1,Tab.11[[#This Row],[b1]])</f>
        <v>0</v>
      </c>
      <c r="J463" s="68" t="b">
        <f>IF(Tab.11[[#This Row],[a1]]=1,IF($I$3&lt;0,Tab.11[[#This Row],[b5]]-$I$3,Tab.11[[#This Row],[b5]]))</f>
        <v>0</v>
      </c>
      <c r="K463" s="68" t="b">
        <f>IF(Tab.11[[#This Row],[a1]]=1,IF($K$3=0,Tab.11[b6],Tab.11[[#This Row],[b6]]-AVERAGE(Tab.11[b6])))</f>
        <v>0</v>
      </c>
      <c r="L463" s="69" t="b">
        <f>IF(Tab.11[[#This Row],[a1]]=1,Tab.11[[#This Row],[data]]/(_xlfn.STDEV.P(Tab.11[data])*$B$989)+$A$989)</f>
        <v>0</v>
      </c>
      <c r="M463" s="69" t="b">
        <f>IF(Tab.11[[#This Row],[a1]]=1,Tab.11[[#This Row],[data]]/(_xlfn.STDEV.P(Tab.11[data])*$B$987)-$A$987)</f>
        <v>0</v>
      </c>
      <c r="N463" s="69" t="b">
        <f>IF(Tab.11[[#This Row],[a1]]=1,Tab.11[[#This Row],[data]]/(_xlfn.STDEV.P(Tab.11[data])*$B$988)+$A$988)</f>
        <v>0</v>
      </c>
      <c r="O463" s="70" t="b">
        <f>IF(Tab.11[[#This Row],[a1]]=1,_xlfn.NORM.DIST(Tab.11[[#This Row],[b8]],$P$1,$Q$1,FALSE))</f>
        <v>0</v>
      </c>
      <c r="P463" s="70" t="b">
        <f>IF(Tab.11[[#This Row],[a1]]=1,_xlfn.NORM.DIST(Tab.11[[#This Row],[b9]],$P$1,$Q$1,FALSE))</f>
        <v>0</v>
      </c>
      <c r="Q463" s="70" t="b">
        <f>IF(Tab.11[[#This Row],[a1]]=1,_xlfn.NORM.DIST(Tab.11[[#This Row],[b10]],$P$1,$Q$1,FALSE))</f>
        <v>0</v>
      </c>
      <c r="R463" s="67" t="b">
        <f>IF(Tab.11[[#This Row],[a1]]=1,$I$3+$A$989+IF($K$3=0,Tab.11[[#This Row],[b8]]*_xlfn.STDEV.P(Tab.11[data]),AVERAGE(Tab.11[b6])+Tab.11[[#This Row],[b8]]*_xlfn.STDEV.P(Tab.11[data])))</f>
        <v>0</v>
      </c>
      <c r="S463" s="71" t="b">
        <f>IF(Tab.11[[#This Row],[a1]]=1,$I$3+$A$987+IF($K$3=0,Tab.11[[#This Row],[b9]]*_xlfn.STDEV.P(Tab.11[data]),AVERAGE(Tab.11[b6])+Tab.11[[#This Row],[b9]]*_xlfn.STDEV.P(Tab.11[data])))</f>
        <v>0</v>
      </c>
      <c r="T463" s="71" t="b">
        <f>IF(Tab.11[[#This Row],[a1]]=1,$I$3+$A$988+IF($K$3=0,Tab.11[[#This Row],[b10]]*_xlfn.STDEV.P(Tab.11[data]),AVERAGE(Tab.11[b6])+Tab.11[[#This Row],[b10]]*_xlfn.STDEV.P(Tab.11[data])))</f>
        <v>0</v>
      </c>
      <c r="U463" s="72" t="b">
        <f>IF(Tab.11[[#This Row],[a1]]=1,Tab.11[[#This Row],[target]]-Tab.11[[#This Row],[Red]])</f>
        <v>0</v>
      </c>
      <c r="V463" s="72" t="b">
        <f>IF(Tab.11[[#This Row],[a1]]=1,Tab.11[[#This Row],[target]]-Tab.11[[#This Row],[Blue]])</f>
        <v>0</v>
      </c>
      <c r="W463" s="73" t="b">
        <f>IF(Tab.11[[#This Row],[a1]]=1,IF(ABS(Tab.11[[#This Row],[b17]])+ABS(Tab.11[[#This Row],[b18]])&lt;$W$2,$W$2,ABS(Tab.11[[#This Row],[b17]])+ABS(Tab.11[[#This Row],[b18]])))</f>
        <v>0</v>
      </c>
      <c r="X463" s="136" t="b">
        <f>IF(Tab.11[[#This Row],[a1]]=1,IF($W$3&lt;0,Tab.11[[#This Row],[IN]]-$I$3,Tab.11[[#This Row],[IN]]))</f>
        <v>0</v>
      </c>
      <c r="Y463" s="136" t="b">
        <f>IF(Tab.11[[#This Row],[a1]]=1,IF($X$3=0,Tab.11[b66],Tab.11[[#This Row],[b66]]-AVERAGE(Tab.11[b66])))</f>
        <v>0</v>
      </c>
      <c r="Z463" s="135" t="b">
        <f>IF(Tab.11[[#This Row],[a1]]=1,Tab.11[[#This Row],[b77]]/(_xlfn.STDEV.P(Tab.11[b77])))</f>
        <v>0</v>
      </c>
      <c r="AA463" s="70" t="b">
        <f>IF(Tab.11[[#This Row],[a1]]=1,_xlfn.NORM.DIST(Tab.11[[#This Row],[b88]],$Z$1,$AA$1,FALSE))</f>
        <v>0</v>
      </c>
      <c r="AB463" s="74" t="b">
        <f>IF(Tab.11[[#This Row],[a1]]=1,IF($A$3=0,FALSE,1/Tab.11[[#This Row],[IN]]*$AC$2*IF(Tab.11[[#This Row],[a1]]=0,,$A$3*$AC$1*1/$V$3*(Tab.11[[#This Row],[b14]]))))</f>
        <v>0</v>
      </c>
      <c r="AC463" s="75" t="b">
        <f>IF(Tab.11[[#This Row],[a1]]=1,IF($AC$3=0,Tab.11[[#This Row],[φ1]],Tab.11[[#This Row],[φ1]]/MAX(Tab.11[φ1])))</f>
        <v>0</v>
      </c>
      <c r="AD463" s="74" t="b">
        <f>IF(Tab.11[[#This Row],[a1]]=1,1/Tab.11[[#This Row],[φ2]])</f>
        <v>0</v>
      </c>
      <c r="AE463" s="74" t="b">
        <f>IF(Tab.11[[#This Row],[a1]]=1,IF($AE$3=0,Tab.11[[#This Row],[w.0]],Tab.11[[#This Row],[w.0]]/SUM(Tab.11[w.0])))</f>
        <v>0</v>
      </c>
      <c r="AF463" s="76" t="str">
        <f>IF(Tab.11[[#This Row],[a1]]=0,"false",[3]!Tab.x5[[#This Row],[%_seN_C]])</f>
        <v>false</v>
      </c>
      <c r="AG463" s="77" t="b">
        <f>IF(Tab.11[[#This Row],[a1]]=1,AP463)</f>
        <v>0</v>
      </c>
      <c r="AH463" s="78" t="b">
        <f>IF(Tab.11[[#This Row],[a1]]=1,AQ463)</f>
        <v>0</v>
      </c>
      <c r="AI463" s="41">
        <v>3.0000000000000001E-3</v>
      </c>
      <c r="AJ463" s="79">
        <v>0.08</v>
      </c>
      <c r="AK463" s="80" t="b">
        <f>IF(Tab.11[[#This Row],[a1]]=1,1)</f>
        <v>0</v>
      </c>
      <c r="AZ463"/>
    </row>
    <row r="464" spans="1:52" hidden="1" x14ac:dyDescent="0.25">
      <c r="A464" s="61">
        <f t="shared" si="15"/>
        <v>0</v>
      </c>
      <c r="B464" s="62">
        <f t="shared" si="15"/>
        <v>0</v>
      </c>
      <c r="C464" s="62" t="b">
        <f>IF(Tab.11[[#This Row],[a1]]=1,[3]!Tab_x1[[#This Row],[Name]])</f>
        <v>0</v>
      </c>
      <c r="D464" s="63" t="b">
        <f>IF(Tab.11[[#This Row],[a1]]=1,AO464)</f>
        <v>0</v>
      </c>
      <c r="E464" s="63">
        <f t="shared" si="16"/>
        <v>0</v>
      </c>
      <c r="F464" s="64" t="b">
        <f>IF(Tab.11[[#This Row],[a1]]=1,Tab.11[[#This Row],[b1]])</f>
        <v>0</v>
      </c>
      <c r="G464" s="65" t="b">
        <f>IF(Tab.11[[#This Row],[a1]]=1,IF(Tab.11[[#This Row],[b3]]&gt;$L$989*$G$3,$L$989*$G$3,IF(Tab.11[[#This Row],[b3]]&lt;$M$989*$G$3,$M$989*$G$3,Tab.11[[#This Row],[b3]])))</f>
        <v>0</v>
      </c>
      <c r="H464" s="66" t="b">
        <f>IF(Tab.11[[#This Row],[a1]]=1,Tab.11[[#This Row],[b1]])</f>
        <v>0</v>
      </c>
      <c r="I464" s="67" t="b">
        <f>IF(Tab.11[[#This Row],[a1]]=1,Tab.11[[#This Row],[b1]])</f>
        <v>0</v>
      </c>
      <c r="J464" s="68" t="b">
        <f>IF(Tab.11[[#This Row],[a1]]=1,IF($I$3&lt;0,Tab.11[[#This Row],[b5]]-$I$3,Tab.11[[#This Row],[b5]]))</f>
        <v>0</v>
      </c>
      <c r="K464" s="68" t="b">
        <f>IF(Tab.11[[#This Row],[a1]]=1,IF($K$3=0,Tab.11[b6],Tab.11[[#This Row],[b6]]-AVERAGE(Tab.11[b6])))</f>
        <v>0</v>
      </c>
      <c r="L464" s="69" t="b">
        <f>IF(Tab.11[[#This Row],[a1]]=1,Tab.11[[#This Row],[data]]/(_xlfn.STDEV.P(Tab.11[data])*$B$989)+$A$989)</f>
        <v>0</v>
      </c>
      <c r="M464" s="69" t="b">
        <f>IF(Tab.11[[#This Row],[a1]]=1,Tab.11[[#This Row],[data]]/(_xlfn.STDEV.P(Tab.11[data])*$B$987)-$A$987)</f>
        <v>0</v>
      </c>
      <c r="N464" s="69" t="b">
        <f>IF(Tab.11[[#This Row],[a1]]=1,Tab.11[[#This Row],[data]]/(_xlfn.STDEV.P(Tab.11[data])*$B$988)+$A$988)</f>
        <v>0</v>
      </c>
      <c r="O464" s="70" t="b">
        <f>IF(Tab.11[[#This Row],[a1]]=1,_xlfn.NORM.DIST(Tab.11[[#This Row],[b8]],$P$1,$Q$1,FALSE))</f>
        <v>0</v>
      </c>
      <c r="P464" s="70" t="b">
        <f>IF(Tab.11[[#This Row],[a1]]=1,_xlfn.NORM.DIST(Tab.11[[#This Row],[b9]],$P$1,$Q$1,FALSE))</f>
        <v>0</v>
      </c>
      <c r="Q464" s="70" t="b">
        <f>IF(Tab.11[[#This Row],[a1]]=1,_xlfn.NORM.DIST(Tab.11[[#This Row],[b10]],$P$1,$Q$1,FALSE))</f>
        <v>0</v>
      </c>
      <c r="R464" s="67" t="b">
        <f>IF(Tab.11[[#This Row],[a1]]=1,$I$3+$A$989+IF($K$3=0,Tab.11[[#This Row],[b8]]*_xlfn.STDEV.P(Tab.11[data]),AVERAGE(Tab.11[b6])+Tab.11[[#This Row],[b8]]*_xlfn.STDEV.P(Tab.11[data])))</f>
        <v>0</v>
      </c>
      <c r="S464" s="71" t="b">
        <f>IF(Tab.11[[#This Row],[a1]]=1,$I$3+$A$987+IF($K$3=0,Tab.11[[#This Row],[b9]]*_xlfn.STDEV.P(Tab.11[data]),AVERAGE(Tab.11[b6])+Tab.11[[#This Row],[b9]]*_xlfn.STDEV.P(Tab.11[data])))</f>
        <v>0</v>
      </c>
      <c r="T464" s="71" t="b">
        <f>IF(Tab.11[[#This Row],[a1]]=1,$I$3+$A$988+IF($K$3=0,Tab.11[[#This Row],[b10]]*_xlfn.STDEV.P(Tab.11[data]),AVERAGE(Tab.11[b6])+Tab.11[[#This Row],[b10]]*_xlfn.STDEV.P(Tab.11[data])))</f>
        <v>0</v>
      </c>
      <c r="U464" s="72" t="b">
        <f>IF(Tab.11[[#This Row],[a1]]=1,Tab.11[[#This Row],[target]]-Tab.11[[#This Row],[Red]])</f>
        <v>0</v>
      </c>
      <c r="V464" s="72" t="b">
        <f>IF(Tab.11[[#This Row],[a1]]=1,Tab.11[[#This Row],[target]]-Tab.11[[#This Row],[Blue]])</f>
        <v>0</v>
      </c>
      <c r="W464" s="73" t="b">
        <f>IF(Tab.11[[#This Row],[a1]]=1,IF(ABS(Tab.11[[#This Row],[b17]])+ABS(Tab.11[[#This Row],[b18]])&lt;$W$2,$W$2,ABS(Tab.11[[#This Row],[b17]])+ABS(Tab.11[[#This Row],[b18]])))</f>
        <v>0</v>
      </c>
      <c r="X464" s="136" t="b">
        <f>IF(Tab.11[[#This Row],[a1]]=1,IF($W$3&lt;0,Tab.11[[#This Row],[IN]]-$I$3,Tab.11[[#This Row],[IN]]))</f>
        <v>0</v>
      </c>
      <c r="Y464" s="136" t="b">
        <f>IF(Tab.11[[#This Row],[a1]]=1,IF($X$3=0,Tab.11[b66],Tab.11[[#This Row],[b66]]-AVERAGE(Tab.11[b66])))</f>
        <v>0</v>
      </c>
      <c r="Z464" s="135" t="b">
        <f>IF(Tab.11[[#This Row],[a1]]=1,Tab.11[[#This Row],[b77]]/(_xlfn.STDEV.P(Tab.11[b77])))</f>
        <v>0</v>
      </c>
      <c r="AA464" s="70" t="b">
        <f>IF(Tab.11[[#This Row],[a1]]=1,_xlfn.NORM.DIST(Tab.11[[#This Row],[b88]],$Z$1,$AA$1,FALSE))</f>
        <v>0</v>
      </c>
      <c r="AB464" s="74" t="b">
        <f>IF(Tab.11[[#This Row],[a1]]=1,IF($A$3=0,FALSE,1/Tab.11[[#This Row],[IN]]*$AC$2*IF(Tab.11[[#This Row],[a1]]=0,,$A$3*$AC$1*1/$V$3*(Tab.11[[#This Row],[b14]]))))</f>
        <v>0</v>
      </c>
      <c r="AC464" s="75" t="b">
        <f>IF(Tab.11[[#This Row],[a1]]=1,IF($AC$3=0,Tab.11[[#This Row],[φ1]],Tab.11[[#This Row],[φ1]]/MAX(Tab.11[φ1])))</f>
        <v>0</v>
      </c>
      <c r="AD464" s="74" t="b">
        <f>IF(Tab.11[[#This Row],[a1]]=1,1/Tab.11[[#This Row],[φ2]])</f>
        <v>0</v>
      </c>
      <c r="AE464" s="74" t="b">
        <f>IF(Tab.11[[#This Row],[a1]]=1,IF($AE$3=0,Tab.11[[#This Row],[w.0]],Tab.11[[#This Row],[w.0]]/SUM(Tab.11[w.0])))</f>
        <v>0</v>
      </c>
      <c r="AF464" s="76" t="str">
        <f>IF(Tab.11[[#This Row],[a1]]=0,"false",[3]!Tab.x5[[#This Row],[%_seN_C]])</f>
        <v>false</v>
      </c>
      <c r="AG464" s="77" t="b">
        <f>IF(Tab.11[[#This Row],[a1]]=1,AP464)</f>
        <v>0</v>
      </c>
      <c r="AH464" s="78" t="b">
        <f>IF(Tab.11[[#This Row],[a1]]=1,AQ464)</f>
        <v>0</v>
      </c>
      <c r="AI464" s="41">
        <v>3.0000000000000001E-3</v>
      </c>
      <c r="AJ464" s="79">
        <v>-0.06</v>
      </c>
      <c r="AK464" s="80" t="b">
        <f>IF(Tab.11[[#This Row],[a1]]=1,1)</f>
        <v>0</v>
      </c>
      <c r="AZ464"/>
    </row>
    <row r="465" spans="1:52" hidden="1" x14ac:dyDescent="0.25">
      <c r="A465" s="61">
        <f t="shared" si="15"/>
        <v>0</v>
      </c>
      <c r="B465" s="62">
        <f t="shared" si="15"/>
        <v>0</v>
      </c>
      <c r="C465" s="62" t="b">
        <f>IF(Tab.11[[#This Row],[a1]]=1,[3]!Tab_x1[[#This Row],[Name]])</f>
        <v>0</v>
      </c>
      <c r="D465" s="63" t="b">
        <f>IF(Tab.11[[#This Row],[a1]]=1,AO465)</f>
        <v>0</v>
      </c>
      <c r="E465" s="63">
        <f t="shared" si="16"/>
        <v>0</v>
      </c>
      <c r="F465" s="64" t="b">
        <f>IF(Tab.11[[#This Row],[a1]]=1,Tab.11[[#This Row],[b1]])</f>
        <v>0</v>
      </c>
      <c r="G465" s="65" t="b">
        <f>IF(Tab.11[[#This Row],[a1]]=1,IF(Tab.11[[#This Row],[b3]]&gt;$L$989*$G$3,$L$989*$G$3,IF(Tab.11[[#This Row],[b3]]&lt;$M$989*$G$3,$M$989*$G$3,Tab.11[[#This Row],[b3]])))</f>
        <v>0</v>
      </c>
      <c r="H465" s="66" t="b">
        <f>IF(Tab.11[[#This Row],[a1]]=1,Tab.11[[#This Row],[b1]])</f>
        <v>0</v>
      </c>
      <c r="I465" s="67" t="b">
        <f>IF(Tab.11[[#This Row],[a1]]=1,Tab.11[[#This Row],[b1]])</f>
        <v>0</v>
      </c>
      <c r="J465" s="68" t="b">
        <f>IF(Tab.11[[#This Row],[a1]]=1,IF($I$3&lt;0,Tab.11[[#This Row],[b5]]-$I$3,Tab.11[[#This Row],[b5]]))</f>
        <v>0</v>
      </c>
      <c r="K465" s="68" t="b">
        <f>IF(Tab.11[[#This Row],[a1]]=1,IF($K$3=0,Tab.11[b6],Tab.11[[#This Row],[b6]]-AVERAGE(Tab.11[b6])))</f>
        <v>0</v>
      </c>
      <c r="L465" s="69" t="b">
        <f>IF(Tab.11[[#This Row],[a1]]=1,Tab.11[[#This Row],[data]]/(_xlfn.STDEV.P(Tab.11[data])*$B$989)+$A$989)</f>
        <v>0</v>
      </c>
      <c r="M465" s="69" t="b">
        <f>IF(Tab.11[[#This Row],[a1]]=1,Tab.11[[#This Row],[data]]/(_xlfn.STDEV.P(Tab.11[data])*$B$987)-$A$987)</f>
        <v>0</v>
      </c>
      <c r="N465" s="69" t="b">
        <f>IF(Tab.11[[#This Row],[a1]]=1,Tab.11[[#This Row],[data]]/(_xlfn.STDEV.P(Tab.11[data])*$B$988)+$A$988)</f>
        <v>0</v>
      </c>
      <c r="O465" s="70" t="b">
        <f>IF(Tab.11[[#This Row],[a1]]=1,_xlfn.NORM.DIST(Tab.11[[#This Row],[b8]],$P$1,$Q$1,FALSE))</f>
        <v>0</v>
      </c>
      <c r="P465" s="70" t="b">
        <f>IF(Tab.11[[#This Row],[a1]]=1,_xlfn.NORM.DIST(Tab.11[[#This Row],[b9]],$P$1,$Q$1,FALSE))</f>
        <v>0</v>
      </c>
      <c r="Q465" s="70" t="b">
        <f>IF(Tab.11[[#This Row],[a1]]=1,_xlfn.NORM.DIST(Tab.11[[#This Row],[b10]],$P$1,$Q$1,FALSE))</f>
        <v>0</v>
      </c>
      <c r="R465" s="67" t="b">
        <f>IF(Tab.11[[#This Row],[a1]]=1,$I$3+$A$989+IF($K$3=0,Tab.11[[#This Row],[b8]]*_xlfn.STDEV.P(Tab.11[data]),AVERAGE(Tab.11[b6])+Tab.11[[#This Row],[b8]]*_xlfn.STDEV.P(Tab.11[data])))</f>
        <v>0</v>
      </c>
      <c r="S465" s="71" t="b">
        <f>IF(Tab.11[[#This Row],[a1]]=1,$I$3+$A$987+IF($K$3=0,Tab.11[[#This Row],[b9]]*_xlfn.STDEV.P(Tab.11[data]),AVERAGE(Tab.11[b6])+Tab.11[[#This Row],[b9]]*_xlfn.STDEV.P(Tab.11[data])))</f>
        <v>0</v>
      </c>
      <c r="T465" s="71" t="b">
        <f>IF(Tab.11[[#This Row],[a1]]=1,$I$3+$A$988+IF($K$3=0,Tab.11[[#This Row],[b10]]*_xlfn.STDEV.P(Tab.11[data]),AVERAGE(Tab.11[b6])+Tab.11[[#This Row],[b10]]*_xlfn.STDEV.P(Tab.11[data])))</f>
        <v>0</v>
      </c>
      <c r="U465" s="72" t="b">
        <f>IF(Tab.11[[#This Row],[a1]]=1,Tab.11[[#This Row],[target]]-Tab.11[[#This Row],[Red]])</f>
        <v>0</v>
      </c>
      <c r="V465" s="72" t="b">
        <f>IF(Tab.11[[#This Row],[a1]]=1,Tab.11[[#This Row],[target]]-Tab.11[[#This Row],[Blue]])</f>
        <v>0</v>
      </c>
      <c r="W465" s="73" t="b">
        <f>IF(Tab.11[[#This Row],[a1]]=1,IF(ABS(Tab.11[[#This Row],[b17]])+ABS(Tab.11[[#This Row],[b18]])&lt;$W$2,$W$2,ABS(Tab.11[[#This Row],[b17]])+ABS(Tab.11[[#This Row],[b18]])))</f>
        <v>0</v>
      </c>
      <c r="X465" s="136" t="b">
        <f>IF(Tab.11[[#This Row],[a1]]=1,IF($W$3&lt;0,Tab.11[[#This Row],[IN]]-$I$3,Tab.11[[#This Row],[IN]]))</f>
        <v>0</v>
      </c>
      <c r="Y465" s="136" t="b">
        <f>IF(Tab.11[[#This Row],[a1]]=1,IF($X$3=0,Tab.11[b66],Tab.11[[#This Row],[b66]]-AVERAGE(Tab.11[b66])))</f>
        <v>0</v>
      </c>
      <c r="Z465" s="135" t="b">
        <f>IF(Tab.11[[#This Row],[a1]]=1,Tab.11[[#This Row],[b77]]/(_xlfn.STDEV.P(Tab.11[b77])))</f>
        <v>0</v>
      </c>
      <c r="AA465" s="70" t="b">
        <f>IF(Tab.11[[#This Row],[a1]]=1,_xlfn.NORM.DIST(Tab.11[[#This Row],[b88]],$Z$1,$AA$1,FALSE))</f>
        <v>0</v>
      </c>
      <c r="AB465" s="74" t="b">
        <f>IF(Tab.11[[#This Row],[a1]]=1,IF($A$3=0,FALSE,1/Tab.11[[#This Row],[IN]]*$AC$2*IF(Tab.11[[#This Row],[a1]]=0,,$A$3*$AC$1*1/$V$3*(Tab.11[[#This Row],[b14]]))))</f>
        <v>0</v>
      </c>
      <c r="AC465" s="75" t="b">
        <f>IF(Tab.11[[#This Row],[a1]]=1,IF($AC$3=0,Tab.11[[#This Row],[φ1]],Tab.11[[#This Row],[φ1]]/MAX(Tab.11[φ1])))</f>
        <v>0</v>
      </c>
      <c r="AD465" s="74" t="b">
        <f>IF(Tab.11[[#This Row],[a1]]=1,1/Tab.11[[#This Row],[φ2]])</f>
        <v>0</v>
      </c>
      <c r="AE465" s="74" t="b">
        <f>IF(Tab.11[[#This Row],[a1]]=1,IF($AE$3=0,Tab.11[[#This Row],[w.0]],Tab.11[[#This Row],[w.0]]/SUM(Tab.11[w.0])))</f>
        <v>0</v>
      </c>
      <c r="AF465" s="76" t="str">
        <f>IF(Tab.11[[#This Row],[a1]]=0,"false",[3]!Tab.x5[[#This Row],[%_seN_C]])</f>
        <v>false</v>
      </c>
      <c r="AG465" s="77" t="b">
        <f>IF(Tab.11[[#This Row],[a1]]=1,AP465)</f>
        <v>0</v>
      </c>
      <c r="AH465" s="78" t="b">
        <f>IF(Tab.11[[#This Row],[a1]]=1,AQ465)</f>
        <v>0</v>
      </c>
      <c r="AI465" s="41">
        <v>3.0000000000000001E-3</v>
      </c>
      <c r="AJ465" s="79">
        <v>-0.09</v>
      </c>
      <c r="AK465" s="80" t="b">
        <f>IF(Tab.11[[#This Row],[a1]]=1,1)</f>
        <v>0</v>
      </c>
      <c r="AZ465"/>
    </row>
    <row r="466" spans="1:52" hidden="1" x14ac:dyDescent="0.25">
      <c r="A466" s="61">
        <f t="shared" si="15"/>
        <v>0</v>
      </c>
      <c r="B466" s="62">
        <f t="shared" si="15"/>
        <v>0</v>
      </c>
      <c r="C466" s="62" t="b">
        <f>IF(Tab.11[[#This Row],[a1]]=1,[3]!Tab_x1[[#This Row],[Name]])</f>
        <v>0</v>
      </c>
      <c r="D466" s="63" t="b">
        <f>IF(Tab.11[[#This Row],[a1]]=1,AO466)</f>
        <v>0</v>
      </c>
      <c r="E466" s="63">
        <f t="shared" si="16"/>
        <v>0</v>
      </c>
      <c r="F466" s="64" t="b">
        <f>IF(Tab.11[[#This Row],[a1]]=1,Tab.11[[#This Row],[b1]])</f>
        <v>0</v>
      </c>
      <c r="G466" s="65" t="b">
        <f>IF(Tab.11[[#This Row],[a1]]=1,IF(Tab.11[[#This Row],[b3]]&gt;$L$989*$G$3,$L$989*$G$3,IF(Tab.11[[#This Row],[b3]]&lt;$M$989*$G$3,$M$989*$G$3,Tab.11[[#This Row],[b3]])))</f>
        <v>0</v>
      </c>
      <c r="H466" s="66" t="b">
        <f>IF(Tab.11[[#This Row],[a1]]=1,Tab.11[[#This Row],[b1]])</f>
        <v>0</v>
      </c>
      <c r="I466" s="67" t="b">
        <f>IF(Tab.11[[#This Row],[a1]]=1,Tab.11[[#This Row],[b1]])</f>
        <v>0</v>
      </c>
      <c r="J466" s="68" t="b">
        <f>IF(Tab.11[[#This Row],[a1]]=1,IF($I$3&lt;0,Tab.11[[#This Row],[b5]]-$I$3,Tab.11[[#This Row],[b5]]))</f>
        <v>0</v>
      </c>
      <c r="K466" s="68" t="b">
        <f>IF(Tab.11[[#This Row],[a1]]=1,IF($K$3=0,Tab.11[b6],Tab.11[[#This Row],[b6]]-AVERAGE(Tab.11[b6])))</f>
        <v>0</v>
      </c>
      <c r="L466" s="69" t="b">
        <f>IF(Tab.11[[#This Row],[a1]]=1,Tab.11[[#This Row],[data]]/(_xlfn.STDEV.P(Tab.11[data])*$B$989)+$A$989)</f>
        <v>0</v>
      </c>
      <c r="M466" s="69" t="b">
        <f>IF(Tab.11[[#This Row],[a1]]=1,Tab.11[[#This Row],[data]]/(_xlfn.STDEV.P(Tab.11[data])*$B$987)-$A$987)</f>
        <v>0</v>
      </c>
      <c r="N466" s="69" t="b">
        <f>IF(Tab.11[[#This Row],[a1]]=1,Tab.11[[#This Row],[data]]/(_xlfn.STDEV.P(Tab.11[data])*$B$988)+$A$988)</f>
        <v>0</v>
      </c>
      <c r="O466" s="70" t="b">
        <f>IF(Tab.11[[#This Row],[a1]]=1,_xlfn.NORM.DIST(Tab.11[[#This Row],[b8]],$P$1,$Q$1,FALSE))</f>
        <v>0</v>
      </c>
      <c r="P466" s="70" t="b">
        <f>IF(Tab.11[[#This Row],[a1]]=1,_xlfn.NORM.DIST(Tab.11[[#This Row],[b9]],$P$1,$Q$1,FALSE))</f>
        <v>0</v>
      </c>
      <c r="Q466" s="70" t="b">
        <f>IF(Tab.11[[#This Row],[a1]]=1,_xlfn.NORM.DIST(Tab.11[[#This Row],[b10]],$P$1,$Q$1,FALSE))</f>
        <v>0</v>
      </c>
      <c r="R466" s="67" t="b">
        <f>IF(Tab.11[[#This Row],[a1]]=1,$I$3+$A$989+IF($K$3=0,Tab.11[[#This Row],[b8]]*_xlfn.STDEV.P(Tab.11[data]),AVERAGE(Tab.11[b6])+Tab.11[[#This Row],[b8]]*_xlfn.STDEV.P(Tab.11[data])))</f>
        <v>0</v>
      </c>
      <c r="S466" s="71" t="b">
        <f>IF(Tab.11[[#This Row],[a1]]=1,$I$3+$A$987+IF($K$3=0,Tab.11[[#This Row],[b9]]*_xlfn.STDEV.P(Tab.11[data]),AVERAGE(Tab.11[b6])+Tab.11[[#This Row],[b9]]*_xlfn.STDEV.P(Tab.11[data])))</f>
        <v>0</v>
      </c>
      <c r="T466" s="71" t="b">
        <f>IF(Tab.11[[#This Row],[a1]]=1,$I$3+$A$988+IF($K$3=0,Tab.11[[#This Row],[b10]]*_xlfn.STDEV.P(Tab.11[data]),AVERAGE(Tab.11[b6])+Tab.11[[#This Row],[b10]]*_xlfn.STDEV.P(Tab.11[data])))</f>
        <v>0</v>
      </c>
      <c r="U466" s="72" t="b">
        <f>IF(Tab.11[[#This Row],[a1]]=1,Tab.11[[#This Row],[target]]-Tab.11[[#This Row],[Red]])</f>
        <v>0</v>
      </c>
      <c r="V466" s="72" t="b">
        <f>IF(Tab.11[[#This Row],[a1]]=1,Tab.11[[#This Row],[target]]-Tab.11[[#This Row],[Blue]])</f>
        <v>0</v>
      </c>
      <c r="W466" s="73" t="b">
        <f>IF(Tab.11[[#This Row],[a1]]=1,IF(ABS(Tab.11[[#This Row],[b17]])+ABS(Tab.11[[#This Row],[b18]])&lt;$W$2,$W$2,ABS(Tab.11[[#This Row],[b17]])+ABS(Tab.11[[#This Row],[b18]])))</f>
        <v>0</v>
      </c>
      <c r="X466" s="136" t="b">
        <f>IF(Tab.11[[#This Row],[a1]]=1,IF($W$3&lt;0,Tab.11[[#This Row],[IN]]-$I$3,Tab.11[[#This Row],[IN]]))</f>
        <v>0</v>
      </c>
      <c r="Y466" s="136" t="b">
        <f>IF(Tab.11[[#This Row],[a1]]=1,IF($X$3=0,Tab.11[b66],Tab.11[[#This Row],[b66]]-AVERAGE(Tab.11[b66])))</f>
        <v>0</v>
      </c>
      <c r="Z466" s="135" t="b">
        <f>IF(Tab.11[[#This Row],[a1]]=1,Tab.11[[#This Row],[b77]]/(_xlfn.STDEV.P(Tab.11[b77])))</f>
        <v>0</v>
      </c>
      <c r="AA466" s="70" t="b">
        <f>IF(Tab.11[[#This Row],[a1]]=1,_xlfn.NORM.DIST(Tab.11[[#This Row],[b88]],$Z$1,$AA$1,FALSE))</f>
        <v>0</v>
      </c>
      <c r="AB466" s="74" t="b">
        <f>IF(Tab.11[[#This Row],[a1]]=1,IF($A$3=0,FALSE,1/Tab.11[[#This Row],[IN]]*$AC$2*IF(Tab.11[[#This Row],[a1]]=0,,$A$3*$AC$1*1/$V$3*(Tab.11[[#This Row],[b14]]))))</f>
        <v>0</v>
      </c>
      <c r="AC466" s="75" t="b">
        <f>IF(Tab.11[[#This Row],[a1]]=1,IF($AC$3=0,Tab.11[[#This Row],[φ1]],Tab.11[[#This Row],[φ1]]/MAX(Tab.11[φ1])))</f>
        <v>0</v>
      </c>
      <c r="AD466" s="74" t="b">
        <f>IF(Tab.11[[#This Row],[a1]]=1,1/Tab.11[[#This Row],[φ2]])</f>
        <v>0</v>
      </c>
      <c r="AE466" s="74" t="b">
        <f>IF(Tab.11[[#This Row],[a1]]=1,IF($AE$3=0,Tab.11[[#This Row],[w.0]],Tab.11[[#This Row],[w.0]]/SUM(Tab.11[w.0])))</f>
        <v>0</v>
      </c>
      <c r="AF466" s="76" t="str">
        <f>IF(Tab.11[[#This Row],[a1]]=0,"false",[3]!Tab.x5[[#This Row],[%_seN_C]])</f>
        <v>false</v>
      </c>
      <c r="AG466" s="77" t="b">
        <f>IF(Tab.11[[#This Row],[a1]]=1,AP466)</f>
        <v>0</v>
      </c>
      <c r="AH466" s="78" t="b">
        <f>IF(Tab.11[[#This Row],[a1]]=1,AQ466)</f>
        <v>0</v>
      </c>
      <c r="AI466" s="41">
        <v>3.0000000000000001E-3</v>
      </c>
      <c r="AJ466" s="79">
        <v>0.02</v>
      </c>
      <c r="AK466" s="80" t="b">
        <f>IF(Tab.11[[#This Row],[a1]]=1,1)</f>
        <v>0</v>
      </c>
      <c r="AZ466"/>
    </row>
    <row r="467" spans="1:52" hidden="1" x14ac:dyDescent="0.25">
      <c r="A467" s="61">
        <f t="shared" si="15"/>
        <v>0</v>
      </c>
      <c r="B467" s="62">
        <f t="shared" si="15"/>
        <v>0</v>
      </c>
      <c r="C467" s="62" t="b">
        <f>IF(Tab.11[[#This Row],[a1]]=1,[3]!Tab_x1[[#This Row],[Name]])</f>
        <v>0</v>
      </c>
      <c r="D467" s="63" t="b">
        <f>IF(Tab.11[[#This Row],[a1]]=1,AO467)</f>
        <v>0</v>
      </c>
      <c r="E467" s="63">
        <f t="shared" si="16"/>
        <v>0</v>
      </c>
      <c r="F467" s="64" t="b">
        <f>IF(Tab.11[[#This Row],[a1]]=1,Tab.11[[#This Row],[b1]])</f>
        <v>0</v>
      </c>
      <c r="G467" s="65" t="b">
        <f>IF(Tab.11[[#This Row],[a1]]=1,IF(Tab.11[[#This Row],[b3]]&gt;$L$989*$G$3,$L$989*$G$3,IF(Tab.11[[#This Row],[b3]]&lt;$M$989*$G$3,$M$989*$G$3,Tab.11[[#This Row],[b3]])))</f>
        <v>0</v>
      </c>
      <c r="H467" s="66" t="b">
        <f>IF(Tab.11[[#This Row],[a1]]=1,Tab.11[[#This Row],[b1]])</f>
        <v>0</v>
      </c>
      <c r="I467" s="67" t="b">
        <f>IF(Tab.11[[#This Row],[a1]]=1,Tab.11[[#This Row],[b1]])</f>
        <v>0</v>
      </c>
      <c r="J467" s="68" t="b">
        <f>IF(Tab.11[[#This Row],[a1]]=1,IF($I$3&lt;0,Tab.11[[#This Row],[b5]]-$I$3,Tab.11[[#This Row],[b5]]))</f>
        <v>0</v>
      </c>
      <c r="K467" s="68" t="b">
        <f>IF(Tab.11[[#This Row],[a1]]=1,IF($K$3=0,Tab.11[b6],Tab.11[[#This Row],[b6]]-AVERAGE(Tab.11[b6])))</f>
        <v>0</v>
      </c>
      <c r="L467" s="69" t="b">
        <f>IF(Tab.11[[#This Row],[a1]]=1,Tab.11[[#This Row],[data]]/(_xlfn.STDEV.P(Tab.11[data])*$B$989)+$A$989)</f>
        <v>0</v>
      </c>
      <c r="M467" s="69" t="b">
        <f>IF(Tab.11[[#This Row],[a1]]=1,Tab.11[[#This Row],[data]]/(_xlfn.STDEV.P(Tab.11[data])*$B$987)-$A$987)</f>
        <v>0</v>
      </c>
      <c r="N467" s="69" t="b">
        <f>IF(Tab.11[[#This Row],[a1]]=1,Tab.11[[#This Row],[data]]/(_xlfn.STDEV.P(Tab.11[data])*$B$988)+$A$988)</f>
        <v>0</v>
      </c>
      <c r="O467" s="70" t="b">
        <f>IF(Tab.11[[#This Row],[a1]]=1,_xlfn.NORM.DIST(Tab.11[[#This Row],[b8]],$P$1,$Q$1,FALSE))</f>
        <v>0</v>
      </c>
      <c r="P467" s="70" t="b">
        <f>IF(Tab.11[[#This Row],[a1]]=1,_xlfn.NORM.DIST(Tab.11[[#This Row],[b9]],$P$1,$Q$1,FALSE))</f>
        <v>0</v>
      </c>
      <c r="Q467" s="70" t="b">
        <f>IF(Tab.11[[#This Row],[a1]]=1,_xlfn.NORM.DIST(Tab.11[[#This Row],[b10]],$P$1,$Q$1,FALSE))</f>
        <v>0</v>
      </c>
      <c r="R467" s="67" t="b">
        <f>IF(Tab.11[[#This Row],[a1]]=1,$I$3+$A$989+IF($K$3=0,Tab.11[[#This Row],[b8]]*_xlfn.STDEV.P(Tab.11[data]),AVERAGE(Tab.11[b6])+Tab.11[[#This Row],[b8]]*_xlfn.STDEV.P(Tab.11[data])))</f>
        <v>0</v>
      </c>
      <c r="S467" s="71" t="b">
        <f>IF(Tab.11[[#This Row],[a1]]=1,$I$3+$A$987+IF($K$3=0,Tab.11[[#This Row],[b9]]*_xlfn.STDEV.P(Tab.11[data]),AVERAGE(Tab.11[b6])+Tab.11[[#This Row],[b9]]*_xlfn.STDEV.P(Tab.11[data])))</f>
        <v>0</v>
      </c>
      <c r="T467" s="71" t="b">
        <f>IF(Tab.11[[#This Row],[a1]]=1,$I$3+$A$988+IF($K$3=0,Tab.11[[#This Row],[b10]]*_xlfn.STDEV.P(Tab.11[data]),AVERAGE(Tab.11[b6])+Tab.11[[#This Row],[b10]]*_xlfn.STDEV.P(Tab.11[data])))</f>
        <v>0</v>
      </c>
      <c r="U467" s="72" t="b">
        <f>IF(Tab.11[[#This Row],[a1]]=1,Tab.11[[#This Row],[target]]-Tab.11[[#This Row],[Red]])</f>
        <v>0</v>
      </c>
      <c r="V467" s="72" t="b">
        <f>IF(Tab.11[[#This Row],[a1]]=1,Tab.11[[#This Row],[target]]-Tab.11[[#This Row],[Blue]])</f>
        <v>0</v>
      </c>
      <c r="W467" s="73" t="b">
        <f>IF(Tab.11[[#This Row],[a1]]=1,IF(ABS(Tab.11[[#This Row],[b17]])+ABS(Tab.11[[#This Row],[b18]])&lt;$W$2,$W$2,ABS(Tab.11[[#This Row],[b17]])+ABS(Tab.11[[#This Row],[b18]])))</f>
        <v>0</v>
      </c>
      <c r="X467" s="136" t="b">
        <f>IF(Tab.11[[#This Row],[a1]]=1,IF($W$3&lt;0,Tab.11[[#This Row],[IN]]-$I$3,Tab.11[[#This Row],[IN]]))</f>
        <v>0</v>
      </c>
      <c r="Y467" s="136" t="b">
        <f>IF(Tab.11[[#This Row],[a1]]=1,IF($X$3=0,Tab.11[b66],Tab.11[[#This Row],[b66]]-AVERAGE(Tab.11[b66])))</f>
        <v>0</v>
      </c>
      <c r="Z467" s="135" t="b">
        <f>IF(Tab.11[[#This Row],[a1]]=1,Tab.11[[#This Row],[b77]]/(_xlfn.STDEV.P(Tab.11[b77])))</f>
        <v>0</v>
      </c>
      <c r="AA467" s="70" t="b">
        <f>IF(Tab.11[[#This Row],[a1]]=1,_xlfn.NORM.DIST(Tab.11[[#This Row],[b88]],$Z$1,$AA$1,FALSE))</f>
        <v>0</v>
      </c>
      <c r="AB467" s="74" t="b">
        <f>IF(Tab.11[[#This Row],[a1]]=1,IF($A$3=0,FALSE,1/Tab.11[[#This Row],[IN]]*$AC$2*IF(Tab.11[[#This Row],[a1]]=0,,$A$3*$AC$1*1/$V$3*(Tab.11[[#This Row],[b14]]))))</f>
        <v>0</v>
      </c>
      <c r="AC467" s="75" t="b">
        <f>IF(Tab.11[[#This Row],[a1]]=1,IF($AC$3=0,Tab.11[[#This Row],[φ1]],Tab.11[[#This Row],[φ1]]/MAX(Tab.11[φ1])))</f>
        <v>0</v>
      </c>
      <c r="AD467" s="74" t="b">
        <f>IF(Tab.11[[#This Row],[a1]]=1,1/Tab.11[[#This Row],[φ2]])</f>
        <v>0</v>
      </c>
      <c r="AE467" s="74" t="b">
        <f>IF(Tab.11[[#This Row],[a1]]=1,IF($AE$3=0,Tab.11[[#This Row],[w.0]],Tab.11[[#This Row],[w.0]]/SUM(Tab.11[w.0])))</f>
        <v>0</v>
      </c>
      <c r="AF467" s="76" t="str">
        <f>IF(Tab.11[[#This Row],[a1]]=0,"false",[3]!Tab.x5[[#This Row],[%_seN_C]])</f>
        <v>false</v>
      </c>
      <c r="AG467" s="77" t="b">
        <f>IF(Tab.11[[#This Row],[a1]]=1,AP467)</f>
        <v>0</v>
      </c>
      <c r="AH467" s="78" t="b">
        <f>IF(Tab.11[[#This Row],[a1]]=1,AQ467)</f>
        <v>0</v>
      </c>
      <c r="AI467" s="41">
        <v>3.0000000000000001E-3</v>
      </c>
      <c r="AJ467" s="79">
        <v>-7.0000000000000007E-2</v>
      </c>
      <c r="AK467" s="80" t="b">
        <f>IF(Tab.11[[#This Row],[a1]]=1,1)</f>
        <v>0</v>
      </c>
      <c r="AZ467"/>
    </row>
    <row r="468" spans="1:52" hidden="1" x14ac:dyDescent="0.25">
      <c r="A468" s="61">
        <f t="shared" si="15"/>
        <v>0</v>
      </c>
      <c r="B468" s="62">
        <f t="shared" si="15"/>
        <v>0</v>
      </c>
      <c r="C468" s="62" t="b">
        <f>IF(Tab.11[[#This Row],[a1]]=1,[3]!Tab_x1[[#This Row],[Name]])</f>
        <v>0</v>
      </c>
      <c r="D468" s="63" t="b">
        <f>IF(Tab.11[[#This Row],[a1]]=1,AO468)</f>
        <v>0</v>
      </c>
      <c r="E468" s="63">
        <f t="shared" si="16"/>
        <v>0</v>
      </c>
      <c r="F468" s="64" t="b">
        <f>IF(Tab.11[[#This Row],[a1]]=1,Tab.11[[#This Row],[b1]])</f>
        <v>0</v>
      </c>
      <c r="G468" s="65" t="b">
        <f>IF(Tab.11[[#This Row],[a1]]=1,IF(Tab.11[[#This Row],[b3]]&gt;$L$989*$G$3,$L$989*$G$3,IF(Tab.11[[#This Row],[b3]]&lt;$M$989*$G$3,$M$989*$G$3,Tab.11[[#This Row],[b3]])))</f>
        <v>0</v>
      </c>
      <c r="H468" s="66" t="b">
        <f>IF(Tab.11[[#This Row],[a1]]=1,Tab.11[[#This Row],[b1]])</f>
        <v>0</v>
      </c>
      <c r="I468" s="67" t="b">
        <f>IF(Tab.11[[#This Row],[a1]]=1,Tab.11[[#This Row],[b1]])</f>
        <v>0</v>
      </c>
      <c r="J468" s="68" t="b">
        <f>IF(Tab.11[[#This Row],[a1]]=1,IF($I$3&lt;0,Tab.11[[#This Row],[b5]]-$I$3,Tab.11[[#This Row],[b5]]))</f>
        <v>0</v>
      </c>
      <c r="K468" s="68" t="b">
        <f>IF(Tab.11[[#This Row],[a1]]=1,IF($K$3=0,Tab.11[b6],Tab.11[[#This Row],[b6]]-AVERAGE(Tab.11[b6])))</f>
        <v>0</v>
      </c>
      <c r="L468" s="69" t="b">
        <f>IF(Tab.11[[#This Row],[a1]]=1,Tab.11[[#This Row],[data]]/(_xlfn.STDEV.P(Tab.11[data])*$B$989)+$A$989)</f>
        <v>0</v>
      </c>
      <c r="M468" s="69" t="b">
        <f>IF(Tab.11[[#This Row],[a1]]=1,Tab.11[[#This Row],[data]]/(_xlfn.STDEV.P(Tab.11[data])*$B$987)-$A$987)</f>
        <v>0</v>
      </c>
      <c r="N468" s="69" t="b">
        <f>IF(Tab.11[[#This Row],[a1]]=1,Tab.11[[#This Row],[data]]/(_xlfn.STDEV.P(Tab.11[data])*$B$988)+$A$988)</f>
        <v>0</v>
      </c>
      <c r="O468" s="70" t="b">
        <f>IF(Tab.11[[#This Row],[a1]]=1,_xlfn.NORM.DIST(Tab.11[[#This Row],[b8]],$P$1,$Q$1,FALSE))</f>
        <v>0</v>
      </c>
      <c r="P468" s="70" t="b">
        <f>IF(Tab.11[[#This Row],[a1]]=1,_xlfn.NORM.DIST(Tab.11[[#This Row],[b9]],$P$1,$Q$1,FALSE))</f>
        <v>0</v>
      </c>
      <c r="Q468" s="70" t="b">
        <f>IF(Tab.11[[#This Row],[a1]]=1,_xlfn.NORM.DIST(Tab.11[[#This Row],[b10]],$P$1,$Q$1,FALSE))</f>
        <v>0</v>
      </c>
      <c r="R468" s="67" t="b">
        <f>IF(Tab.11[[#This Row],[a1]]=1,$I$3+$A$989+IF($K$3=0,Tab.11[[#This Row],[b8]]*_xlfn.STDEV.P(Tab.11[data]),AVERAGE(Tab.11[b6])+Tab.11[[#This Row],[b8]]*_xlfn.STDEV.P(Tab.11[data])))</f>
        <v>0</v>
      </c>
      <c r="S468" s="71" t="b">
        <f>IF(Tab.11[[#This Row],[a1]]=1,$I$3+$A$987+IF($K$3=0,Tab.11[[#This Row],[b9]]*_xlfn.STDEV.P(Tab.11[data]),AVERAGE(Tab.11[b6])+Tab.11[[#This Row],[b9]]*_xlfn.STDEV.P(Tab.11[data])))</f>
        <v>0</v>
      </c>
      <c r="T468" s="71" t="b">
        <f>IF(Tab.11[[#This Row],[a1]]=1,$I$3+$A$988+IF($K$3=0,Tab.11[[#This Row],[b10]]*_xlfn.STDEV.P(Tab.11[data]),AVERAGE(Tab.11[b6])+Tab.11[[#This Row],[b10]]*_xlfn.STDEV.P(Tab.11[data])))</f>
        <v>0</v>
      </c>
      <c r="U468" s="72" t="b">
        <f>IF(Tab.11[[#This Row],[a1]]=1,Tab.11[[#This Row],[target]]-Tab.11[[#This Row],[Red]])</f>
        <v>0</v>
      </c>
      <c r="V468" s="72" t="b">
        <f>IF(Tab.11[[#This Row],[a1]]=1,Tab.11[[#This Row],[target]]-Tab.11[[#This Row],[Blue]])</f>
        <v>0</v>
      </c>
      <c r="W468" s="73" t="b">
        <f>IF(Tab.11[[#This Row],[a1]]=1,IF(ABS(Tab.11[[#This Row],[b17]])+ABS(Tab.11[[#This Row],[b18]])&lt;$W$2,$W$2,ABS(Tab.11[[#This Row],[b17]])+ABS(Tab.11[[#This Row],[b18]])))</f>
        <v>0</v>
      </c>
      <c r="X468" s="136" t="b">
        <f>IF(Tab.11[[#This Row],[a1]]=1,IF($W$3&lt;0,Tab.11[[#This Row],[IN]]-$I$3,Tab.11[[#This Row],[IN]]))</f>
        <v>0</v>
      </c>
      <c r="Y468" s="136" t="b">
        <f>IF(Tab.11[[#This Row],[a1]]=1,IF($X$3=0,Tab.11[b66],Tab.11[[#This Row],[b66]]-AVERAGE(Tab.11[b66])))</f>
        <v>0</v>
      </c>
      <c r="Z468" s="135" t="b">
        <f>IF(Tab.11[[#This Row],[a1]]=1,Tab.11[[#This Row],[b77]]/(_xlfn.STDEV.P(Tab.11[b77])))</f>
        <v>0</v>
      </c>
      <c r="AA468" s="70" t="b">
        <f>IF(Tab.11[[#This Row],[a1]]=1,_xlfn.NORM.DIST(Tab.11[[#This Row],[b88]],$Z$1,$AA$1,FALSE))</f>
        <v>0</v>
      </c>
      <c r="AB468" s="74" t="b">
        <f>IF(Tab.11[[#This Row],[a1]]=1,IF($A$3=0,FALSE,1/Tab.11[[#This Row],[IN]]*$AC$2*IF(Tab.11[[#This Row],[a1]]=0,,$A$3*$AC$1*1/$V$3*(Tab.11[[#This Row],[b14]]))))</f>
        <v>0</v>
      </c>
      <c r="AC468" s="75" t="b">
        <f>IF(Tab.11[[#This Row],[a1]]=1,IF($AC$3=0,Tab.11[[#This Row],[φ1]],Tab.11[[#This Row],[φ1]]/MAX(Tab.11[φ1])))</f>
        <v>0</v>
      </c>
      <c r="AD468" s="74" t="b">
        <f>IF(Tab.11[[#This Row],[a1]]=1,1/Tab.11[[#This Row],[φ2]])</f>
        <v>0</v>
      </c>
      <c r="AE468" s="74" t="b">
        <f>IF(Tab.11[[#This Row],[a1]]=1,IF($AE$3=0,Tab.11[[#This Row],[w.0]],Tab.11[[#This Row],[w.0]]/SUM(Tab.11[w.0])))</f>
        <v>0</v>
      </c>
      <c r="AF468" s="76" t="str">
        <f>IF(Tab.11[[#This Row],[a1]]=0,"false",[3]!Tab.x5[[#This Row],[%_seN_C]])</f>
        <v>false</v>
      </c>
      <c r="AG468" s="77" t="b">
        <f>IF(Tab.11[[#This Row],[a1]]=1,AP468)</f>
        <v>0</v>
      </c>
      <c r="AH468" s="78" t="b">
        <f>IF(Tab.11[[#This Row],[a1]]=1,AQ468)</f>
        <v>0</v>
      </c>
      <c r="AI468" s="41">
        <v>3.0000000000000001E-3</v>
      </c>
      <c r="AJ468" s="79">
        <v>0.03</v>
      </c>
      <c r="AK468" s="80" t="b">
        <f>IF(Tab.11[[#This Row],[a1]]=1,1)</f>
        <v>0</v>
      </c>
      <c r="AZ468"/>
    </row>
    <row r="469" spans="1:52" hidden="1" x14ac:dyDescent="0.25">
      <c r="A469" s="61">
        <f t="shared" ref="A469:B532" si="17">AM469</f>
        <v>0</v>
      </c>
      <c r="B469" s="62">
        <f t="shared" si="17"/>
        <v>0</v>
      </c>
      <c r="C469" s="62" t="b">
        <f>IF(Tab.11[[#This Row],[a1]]=1,[3]!Tab_x1[[#This Row],[Name]])</f>
        <v>0</v>
      </c>
      <c r="D469" s="63" t="b">
        <f>IF(Tab.11[[#This Row],[a1]]=1,AO469)</f>
        <v>0</v>
      </c>
      <c r="E469" s="63">
        <f t="shared" si="16"/>
        <v>0</v>
      </c>
      <c r="F469" s="64" t="b">
        <f>IF(Tab.11[[#This Row],[a1]]=1,Tab.11[[#This Row],[b1]])</f>
        <v>0</v>
      </c>
      <c r="G469" s="65" t="b">
        <f>IF(Tab.11[[#This Row],[a1]]=1,IF(Tab.11[[#This Row],[b3]]&gt;$L$989*$G$3,$L$989*$G$3,IF(Tab.11[[#This Row],[b3]]&lt;$M$989*$G$3,$M$989*$G$3,Tab.11[[#This Row],[b3]])))</f>
        <v>0</v>
      </c>
      <c r="H469" s="66" t="b">
        <f>IF(Tab.11[[#This Row],[a1]]=1,Tab.11[[#This Row],[b1]])</f>
        <v>0</v>
      </c>
      <c r="I469" s="67" t="b">
        <f>IF(Tab.11[[#This Row],[a1]]=1,Tab.11[[#This Row],[b1]])</f>
        <v>0</v>
      </c>
      <c r="J469" s="68" t="b">
        <f>IF(Tab.11[[#This Row],[a1]]=1,IF($I$3&lt;0,Tab.11[[#This Row],[b5]]-$I$3,Tab.11[[#This Row],[b5]]))</f>
        <v>0</v>
      </c>
      <c r="K469" s="68" t="b">
        <f>IF(Tab.11[[#This Row],[a1]]=1,IF($K$3=0,Tab.11[b6],Tab.11[[#This Row],[b6]]-AVERAGE(Tab.11[b6])))</f>
        <v>0</v>
      </c>
      <c r="L469" s="69" t="b">
        <f>IF(Tab.11[[#This Row],[a1]]=1,Tab.11[[#This Row],[data]]/(_xlfn.STDEV.P(Tab.11[data])*$B$989)+$A$989)</f>
        <v>0</v>
      </c>
      <c r="M469" s="69" t="b">
        <f>IF(Tab.11[[#This Row],[a1]]=1,Tab.11[[#This Row],[data]]/(_xlfn.STDEV.P(Tab.11[data])*$B$987)-$A$987)</f>
        <v>0</v>
      </c>
      <c r="N469" s="69" t="b">
        <f>IF(Tab.11[[#This Row],[a1]]=1,Tab.11[[#This Row],[data]]/(_xlfn.STDEV.P(Tab.11[data])*$B$988)+$A$988)</f>
        <v>0</v>
      </c>
      <c r="O469" s="70" t="b">
        <f>IF(Tab.11[[#This Row],[a1]]=1,_xlfn.NORM.DIST(Tab.11[[#This Row],[b8]],$P$1,$Q$1,FALSE))</f>
        <v>0</v>
      </c>
      <c r="P469" s="70" t="b">
        <f>IF(Tab.11[[#This Row],[a1]]=1,_xlfn.NORM.DIST(Tab.11[[#This Row],[b9]],$P$1,$Q$1,FALSE))</f>
        <v>0</v>
      </c>
      <c r="Q469" s="70" t="b">
        <f>IF(Tab.11[[#This Row],[a1]]=1,_xlfn.NORM.DIST(Tab.11[[#This Row],[b10]],$P$1,$Q$1,FALSE))</f>
        <v>0</v>
      </c>
      <c r="R469" s="67" t="b">
        <f>IF(Tab.11[[#This Row],[a1]]=1,$I$3+$A$989+IF($K$3=0,Tab.11[[#This Row],[b8]]*_xlfn.STDEV.P(Tab.11[data]),AVERAGE(Tab.11[b6])+Tab.11[[#This Row],[b8]]*_xlfn.STDEV.P(Tab.11[data])))</f>
        <v>0</v>
      </c>
      <c r="S469" s="71" t="b">
        <f>IF(Tab.11[[#This Row],[a1]]=1,$I$3+$A$987+IF($K$3=0,Tab.11[[#This Row],[b9]]*_xlfn.STDEV.P(Tab.11[data]),AVERAGE(Tab.11[b6])+Tab.11[[#This Row],[b9]]*_xlfn.STDEV.P(Tab.11[data])))</f>
        <v>0</v>
      </c>
      <c r="T469" s="71" t="b">
        <f>IF(Tab.11[[#This Row],[a1]]=1,$I$3+$A$988+IF($K$3=0,Tab.11[[#This Row],[b10]]*_xlfn.STDEV.P(Tab.11[data]),AVERAGE(Tab.11[b6])+Tab.11[[#This Row],[b10]]*_xlfn.STDEV.P(Tab.11[data])))</f>
        <v>0</v>
      </c>
      <c r="U469" s="72" t="b">
        <f>IF(Tab.11[[#This Row],[a1]]=1,Tab.11[[#This Row],[target]]-Tab.11[[#This Row],[Red]])</f>
        <v>0</v>
      </c>
      <c r="V469" s="72" t="b">
        <f>IF(Tab.11[[#This Row],[a1]]=1,Tab.11[[#This Row],[target]]-Tab.11[[#This Row],[Blue]])</f>
        <v>0</v>
      </c>
      <c r="W469" s="73" t="b">
        <f>IF(Tab.11[[#This Row],[a1]]=1,IF(ABS(Tab.11[[#This Row],[b17]])+ABS(Tab.11[[#This Row],[b18]])&lt;$W$2,$W$2,ABS(Tab.11[[#This Row],[b17]])+ABS(Tab.11[[#This Row],[b18]])))</f>
        <v>0</v>
      </c>
      <c r="X469" s="136" t="b">
        <f>IF(Tab.11[[#This Row],[a1]]=1,IF($W$3&lt;0,Tab.11[[#This Row],[IN]]-$I$3,Tab.11[[#This Row],[IN]]))</f>
        <v>0</v>
      </c>
      <c r="Y469" s="136" t="b">
        <f>IF(Tab.11[[#This Row],[a1]]=1,IF($X$3=0,Tab.11[b66],Tab.11[[#This Row],[b66]]-AVERAGE(Tab.11[b66])))</f>
        <v>0</v>
      </c>
      <c r="Z469" s="135" t="b">
        <f>IF(Tab.11[[#This Row],[a1]]=1,Tab.11[[#This Row],[b77]]/(_xlfn.STDEV.P(Tab.11[b77])))</f>
        <v>0</v>
      </c>
      <c r="AA469" s="70" t="b">
        <f>IF(Tab.11[[#This Row],[a1]]=1,_xlfn.NORM.DIST(Tab.11[[#This Row],[b88]],$Z$1,$AA$1,FALSE))</f>
        <v>0</v>
      </c>
      <c r="AB469" s="74" t="b">
        <f>IF(Tab.11[[#This Row],[a1]]=1,IF($A$3=0,FALSE,1/Tab.11[[#This Row],[IN]]*$AC$2*IF(Tab.11[[#This Row],[a1]]=0,,$A$3*$AC$1*1/$V$3*(Tab.11[[#This Row],[b14]]))))</f>
        <v>0</v>
      </c>
      <c r="AC469" s="75" t="b">
        <f>IF(Tab.11[[#This Row],[a1]]=1,IF($AC$3=0,Tab.11[[#This Row],[φ1]],Tab.11[[#This Row],[φ1]]/MAX(Tab.11[φ1])))</f>
        <v>0</v>
      </c>
      <c r="AD469" s="74" t="b">
        <f>IF(Tab.11[[#This Row],[a1]]=1,1/Tab.11[[#This Row],[φ2]])</f>
        <v>0</v>
      </c>
      <c r="AE469" s="74" t="b">
        <f>IF(Tab.11[[#This Row],[a1]]=1,IF($AE$3=0,Tab.11[[#This Row],[w.0]],Tab.11[[#This Row],[w.0]]/SUM(Tab.11[w.0])))</f>
        <v>0</v>
      </c>
      <c r="AF469" s="76" t="str">
        <f>IF(Tab.11[[#This Row],[a1]]=0,"false",[3]!Tab.x5[[#This Row],[%_seN_C]])</f>
        <v>false</v>
      </c>
      <c r="AG469" s="77" t="b">
        <f>IF(Tab.11[[#This Row],[a1]]=1,AP469)</f>
        <v>0</v>
      </c>
      <c r="AH469" s="78" t="b">
        <f>IF(Tab.11[[#This Row],[a1]]=1,AQ469)</f>
        <v>0</v>
      </c>
      <c r="AI469" s="41">
        <v>3.0000000000000001E-3</v>
      </c>
      <c r="AJ469" s="79">
        <v>-0.1</v>
      </c>
      <c r="AK469" s="80" t="b">
        <f>IF(Tab.11[[#This Row],[a1]]=1,1)</f>
        <v>0</v>
      </c>
      <c r="AZ469"/>
    </row>
    <row r="470" spans="1:52" hidden="1" x14ac:dyDescent="0.25">
      <c r="A470" s="61">
        <f t="shared" si="17"/>
        <v>0</v>
      </c>
      <c r="B470" s="62">
        <f t="shared" si="17"/>
        <v>0</v>
      </c>
      <c r="C470" s="62" t="b">
        <f>IF(Tab.11[[#This Row],[a1]]=1,[3]!Tab_x1[[#This Row],[Name]])</f>
        <v>0</v>
      </c>
      <c r="D470" s="63" t="b">
        <f>IF(Tab.11[[#This Row],[a1]]=1,AO470)</f>
        <v>0</v>
      </c>
      <c r="E470" s="63">
        <f t="shared" si="16"/>
        <v>0</v>
      </c>
      <c r="F470" s="64" t="b">
        <f>IF(Tab.11[[#This Row],[a1]]=1,Tab.11[[#This Row],[b1]])</f>
        <v>0</v>
      </c>
      <c r="G470" s="65" t="b">
        <f>IF(Tab.11[[#This Row],[a1]]=1,IF(Tab.11[[#This Row],[b3]]&gt;$L$989*$G$3,$L$989*$G$3,IF(Tab.11[[#This Row],[b3]]&lt;$M$989*$G$3,$M$989*$G$3,Tab.11[[#This Row],[b3]])))</f>
        <v>0</v>
      </c>
      <c r="H470" s="66" t="b">
        <f>IF(Tab.11[[#This Row],[a1]]=1,Tab.11[[#This Row],[b1]])</f>
        <v>0</v>
      </c>
      <c r="I470" s="67" t="b">
        <f>IF(Tab.11[[#This Row],[a1]]=1,Tab.11[[#This Row],[b1]])</f>
        <v>0</v>
      </c>
      <c r="J470" s="68" t="b">
        <f>IF(Tab.11[[#This Row],[a1]]=1,IF($I$3&lt;0,Tab.11[[#This Row],[b5]]-$I$3,Tab.11[[#This Row],[b5]]))</f>
        <v>0</v>
      </c>
      <c r="K470" s="68" t="b">
        <f>IF(Tab.11[[#This Row],[a1]]=1,IF($K$3=0,Tab.11[b6],Tab.11[[#This Row],[b6]]-AVERAGE(Tab.11[b6])))</f>
        <v>0</v>
      </c>
      <c r="L470" s="69" t="b">
        <f>IF(Tab.11[[#This Row],[a1]]=1,Tab.11[[#This Row],[data]]/(_xlfn.STDEV.P(Tab.11[data])*$B$989)+$A$989)</f>
        <v>0</v>
      </c>
      <c r="M470" s="69" t="b">
        <f>IF(Tab.11[[#This Row],[a1]]=1,Tab.11[[#This Row],[data]]/(_xlfn.STDEV.P(Tab.11[data])*$B$987)-$A$987)</f>
        <v>0</v>
      </c>
      <c r="N470" s="69" t="b">
        <f>IF(Tab.11[[#This Row],[a1]]=1,Tab.11[[#This Row],[data]]/(_xlfn.STDEV.P(Tab.11[data])*$B$988)+$A$988)</f>
        <v>0</v>
      </c>
      <c r="O470" s="70" t="b">
        <f>IF(Tab.11[[#This Row],[a1]]=1,_xlfn.NORM.DIST(Tab.11[[#This Row],[b8]],$P$1,$Q$1,FALSE))</f>
        <v>0</v>
      </c>
      <c r="P470" s="70" t="b">
        <f>IF(Tab.11[[#This Row],[a1]]=1,_xlfn.NORM.DIST(Tab.11[[#This Row],[b9]],$P$1,$Q$1,FALSE))</f>
        <v>0</v>
      </c>
      <c r="Q470" s="70" t="b">
        <f>IF(Tab.11[[#This Row],[a1]]=1,_xlfn.NORM.DIST(Tab.11[[#This Row],[b10]],$P$1,$Q$1,FALSE))</f>
        <v>0</v>
      </c>
      <c r="R470" s="67" t="b">
        <f>IF(Tab.11[[#This Row],[a1]]=1,$I$3+$A$989+IF($K$3=0,Tab.11[[#This Row],[b8]]*_xlfn.STDEV.P(Tab.11[data]),AVERAGE(Tab.11[b6])+Tab.11[[#This Row],[b8]]*_xlfn.STDEV.P(Tab.11[data])))</f>
        <v>0</v>
      </c>
      <c r="S470" s="71" t="b">
        <f>IF(Tab.11[[#This Row],[a1]]=1,$I$3+$A$987+IF($K$3=0,Tab.11[[#This Row],[b9]]*_xlfn.STDEV.P(Tab.11[data]),AVERAGE(Tab.11[b6])+Tab.11[[#This Row],[b9]]*_xlfn.STDEV.P(Tab.11[data])))</f>
        <v>0</v>
      </c>
      <c r="T470" s="71" t="b">
        <f>IF(Tab.11[[#This Row],[a1]]=1,$I$3+$A$988+IF($K$3=0,Tab.11[[#This Row],[b10]]*_xlfn.STDEV.P(Tab.11[data]),AVERAGE(Tab.11[b6])+Tab.11[[#This Row],[b10]]*_xlfn.STDEV.P(Tab.11[data])))</f>
        <v>0</v>
      </c>
      <c r="U470" s="72" t="b">
        <f>IF(Tab.11[[#This Row],[a1]]=1,Tab.11[[#This Row],[target]]-Tab.11[[#This Row],[Red]])</f>
        <v>0</v>
      </c>
      <c r="V470" s="72" t="b">
        <f>IF(Tab.11[[#This Row],[a1]]=1,Tab.11[[#This Row],[target]]-Tab.11[[#This Row],[Blue]])</f>
        <v>0</v>
      </c>
      <c r="W470" s="73" t="b">
        <f>IF(Tab.11[[#This Row],[a1]]=1,IF(ABS(Tab.11[[#This Row],[b17]])+ABS(Tab.11[[#This Row],[b18]])&lt;$W$2,$W$2,ABS(Tab.11[[#This Row],[b17]])+ABS(Tab.11[[#This Row],[b18]])))</f>
        <v>0</v>
      </c>
      <c r="X470" s="136" t="b">
        <f>IF(Tab.11[[#This Row],[a1]]=1,IF($W$3&lt;0,Tab.11[[#This Row],[IN]]-$I$3,Tab.11[[#This Row],[IN]]))</f>
        <v>0</v>
      </c>
      <c r="Y470" s="136" t="b">
        <f>IF(Tab.11[[#This Row],[a1]]=1,IF($X$3=0,Tab.11[b66],Tab.11[[#This Row],[b66]]-AVERAGE(Tab.11[b66])))</f>
        <v>0</v>
      </c>
      <c r="Z470" s="135" t="b">
        <f>IF(Tab.11[[#This Row],[a1]]=1,Tab.11[[#This Row],[b77]]/(_xlfn.STDEV.P(Tab.11[b77])))</f>
        <v>0</v>
      </c>
      <c r="AA470" s="70" t="b">
        <f>IF(Tab.11[[#This Row],[a1]]=1,_xlfn.NORM.DIST(Tab.11[[#This Row],[b88]],$Z$1,$AA$1,FALSE))</f>
        <v>0</v>
      </c>
      <c r="AB470" s="74" t="b">
        <f>IF(Tab.11[[#This Row],[a1]]=1,IF($A$3=0,FALSE,1/Tab.11[[#This Row],[IN]]*$AC$2*IF(Tab.11[[#This Row],[a1]]=0,,$A$3*$AC$1*1/$V$3*(Tab.11[[#This Row],[b14]]))))</f>
        <v>0</v>
      </c>
      <c r="AC470" s="75" t="b">
        <f>IF(Tab.11[[#This Row],[a1]]=1,IF($AC$3=0,Tab.11[[#This Row],[φ1]],Tab.11[[#This Row],[φ1]]/MAX(Tab.11[φ1])))</f>
        <v>0</v>
      </c>
      <c r="AD470" s="74" t="b">
        <f>IF(Tab.11[[#This Row],[a1]]=1,1/Tab.11[[#This Row],[φ2]])</f>
        <v>0</v>
      </c>
      <c r="AE470" s="74" t="b">
        <f>IF(Tab.11[[#This Row],[a1]]=1,IF($AE$3=0,Tab.11[[#This Row],[w.0]],Tab.11[[#This Row],[w.0]]/SUM(Tab.11[w.0])))</f>
        <v>0</v>
      </c>
      <c r="AF470" s="76" t="str">
        <f>IF(Tab.11[[#This Row],[a1]]=0,"false",[3]!Tab.x5[[#This Row],[%_seN_C]])</f>
        <v>false</v>
      </c>
      <c r="AG470" s="77" t="b">
        <f>IF(Tab.11[[#This Row],[a1]]=1,AP470)</f>
        <v>0</v>
      </c>
      <c r="AH470" s="78" t="b">
        <f>IF(Tab.11[[#This Row],[a1]]=1,AQ470)</f>
        <v>0</v>
      </c>
      <c r="AI470" s="41">
        <v>3.0000000000000001E-3</v>
      </c>
      <c r="AJ470" s="79">
        <v>0.06</v>
      </c>
      <c r="AK470" s="80" t="b">
        <f>IF(Tab.11[[#This Row],[a1]]=1,1)</f>
        <v>0</v>
      </c>
      <c r="AZ470"/>
    </row>
    <row r="471" spans="1:52" hidden="1" x14ac:dyDescent="0.25">
      <c r="A471" s="61">
        <f t="shared" si="17"/>
        <v>0</v>
      </c>
      <c r="B471" s="62">
        <f t="shared" si="17"/>
        <v>0</v>
      </c>
      <c r="C471" s="62" t="b">
        <f>IF(Tab.11[[#This Row],[a1]]=1,[3]!Tab_x1[[#This Row],[Name]])</f>
        <v>0</v>
      </c>
      <c r="D471" s="63" t="b">
        <f>IF(Tab.11[[#This Row],[a1]]=1,AO471)</f>
        <v>0</v>
      </c>
      <c r="E471" s="63">
        <f t="shared" si="16"/>
        <v>0</v>
      </c>
      <c r="F471" s="64" t="b">
        <f>IF(Tab.11[[#This Row],[a1]]=1,Tab.11[[#This Row],[b1]])</f>
        <v>0</v>
      </c>
      <c r="G471" s="65" t="b">
        <f>IF(Tab.11[[#This Row],[a1]]=1,IF(Tab.11[[#This Row],[b3]]&gt;$L$989*$G$3,$L$989*$G$3,IF(Tab.11[[#This Row],[b3]]&lt;$M$989*$G$3,$M$989*$G$3,Tab.11[[#This Row],[b3]])))</f>
        <v>0</v>
      </c>
      <c r="H471" s="66" t="b">
        <f>IF(Tab.11[[#This Row],[a1]]=1,Tab.11[[#This Row],[b1]])</f>
        <v>0</v>
      </c>
      <c r="I471" s="67" t="b">
        <f>IF(Tab.11[[#This Row],[a1]]=1,Tab.11[[#This Row],[b1]])</f>
        <v>0</v>
      </c>
      <c r="J471" s="68" t="b">
        <f>IF(Tab.11[[#This Row],[a1]]=1,IF($I$3&lt;0,Tab.11[[#This Row],[b5]]-$I$3,Tab.11[[#This Row],[b5]]))</f>
        <v>0</v>
      </c>
      <c r="K471" s="68" t="b">
        <f>IF(Tab.11[[#This Row],[a1]]=1,IF($K$3=0,Tab.11[b6],Tab.11[[#This Row],[b6]]-AVERAGE(Tab.11[b6])))</f>
        <v>0</v>
      </c>
      <c r="L471" s="69" t="b">
        <f>IF(Tab.11[[#This Row],[a1]]=1,Tab.11[[#This Row],[data]]/(_xlfn.STDEV.P(Tab.11[data])*$B$989)+$A$989)</f>
        <v>0</v>
      </c>
      <c r="M471" s="69" t="b">
        <f>IF(Tab.11[[#This Row],[a1]]=1,Tab.11[[#This Row],[data]]/(_xlfn.STDEV.P(Tab.11[data])*$B$987)-$A$987)</f>
        <v>0</v>
      </c>
      <c r="N471" s="69" t="b">
        <f>IF(Tab.11[[#This Row],[a1]]=1,Tab.11[[#This Row],[data]]/(_xlfn.STDEV.P(Tab.11[data])*$B$988)+$A$988)</f>
        <v>0</v>
      </c>
      <c r="O471" s="70" t="b">
        <f>IF(Tab.11[[#This Row],[a1]]=1,_xlfn.NORM.DIST(Tab.11[[#This Row],[b8]],$P$1,$Q$1,FALSE))</f>
        <v>0</v>
      </c>
      <c r="P471" s="70" t="b">
        <f>IF(Tab.11[[#This Row],[a1]]=1,_xlfn.NORM.DIST(Tab.11[[#This Row],[b9]],$P$1,$Q$1,FALSE))</f>
        <v>0</v>
      </c>
      <c r="Q471" s="70" t="b">
        <f>IF(Tab.11[[#This Row],[a1]]=1,_xlfn.NORM.DIST(Tab.11[[#This Row],[b10]],$P$1,$Q$1,FALSE))</f>
        <v>0</v>
      </c>
      <c r="R471" s="67" t="b">
        <f>IF(Tab.11[[#This Row],[a1]]=1,$I$3+$A$989+IF($K$3=0,Tab.11[[#This Row],[b8]]*_xlfn.STDEV.P(Tab.11[data]),AVERAGE(Tab.11[b6])+Tab.11[[#This Row],[b8]]*_xlfn.STDEV.P(Tab.11[data])))</f>
        <v>0</v>
      </c>
      <c r="S471" s="71" t="b">
        <f>IF(Tab.11[[#This Row],[a1]]=1,$I$3+$A$987+IF($K$3=0,Tab.11[[#This Row],[b9]]*_xlfn.STDEV.P(Tab.11[data]),AVERAGE(Tab.11[b6])+Tab.11[[#This Row],[b9]]*_xlfn.STDEV.P(Tab.11[data])))</f>
        <v>0</v>
      </c>
      <c r="T471" s="71" t="b">
        <f>IF(Tab.11[[#This Row],[a1]]=1,$I$3+$A$988+IF($K$3=0,Tab.11[[#This Row],[b10]]*_xlfn.STDEV.P(Tab.11[data]),AVERAGE(Tab.11[b6])+Tab.11[[#This Row],[b10]]*_xlfn.STDEV.P(Tab.11[data])))</f>
        <v>0</v>
      </c>
      <c r="U471" s="72" t="b">
        <f>IF(Tab.11[[#This Row],[a1]]=1,Tab.11[[#This Row],[target]]-Tab.11[[#This Row],[Red]])</f>
        <v>0</v>
      </c>
      <c r="V471" s="72" t="b">
        <f>IF(Tab.11[[#This Row],[a1]]=1,Tab.11[[#This Row],[target]]-Tab.11[[#This Row],[Blue]])</f>
        <v>0</v>
      </c>
      <c r="W471" s="73" t="b">
        <f>IF(Tab.11[[#This Row],[a1]]=1,IF(ABS(Tab.11[[#This Row],[b17]])+ABS(Tab.11[[#This Row],[b18]])&lt;$W$2,$W$2,ABS(Tab.11[[#This Row],[b17]])+ABS(Tab.11[[#This Row],[b18]])))</f>
        <v>0</v>
      </c>
      <c r="X471" s="136" t="b">
        <f>IF(Tab.11[[#This Row],[a1]]=1,IF($W$3&lt;0,Tab.11[[#This Row],[IN]]-$I$3,Tab.11[[#This Row],[IN]]))</f>
        <v>0</v>
      </c>
      <c r="Y471" s="136" t="b">
        <f>IF(Tab.11[[#This Row],[a1]]=1,IF($X$3=0,Tab.11[b66],Tab.11[[#This Row],[b66]]-AVERAGE(Tab.11[b66])))</f>
        <v>0</v>
      </c>
      <c r="Z471" s="135" t="b">
        <f>IF(Tab.11[[#This Row],[a1]]=1,Tab.11[[#This Row],[b77]]/(_xlfn.STDEV.P(Tab.11[b77])))</f>
        <v>0</v>
      </c>
      <c r="AA471" s="70" t="b">
        <f>IF(Tab.11[[#This Row],[a1]]=1,_xlfn.NORM.DIST(Tab.11[[#This Row],[b88]],$Z$1,$AA$1,FALSE))</f>
        <v>0</v>
      </c>
      <c r="AB471" s="74" t="b">
        <f>IF(Tab.11[[#This Row],[a1]]=1,IF($A$3=0,FALSE,1/Tab.11[[#This Row],[IN]]*$AC$2*IF(Tab.11[[#This Row],[a1]]=0,,$A$3*$AC$1*1/$V$3*(Tab.11[[#This Row],[b14]]))))</f>
        <v>0</v>
      </c>
      <c r="AC471" s="75" t="b">
        <f>IF(Tab.11[[#This Row],[a1]]=1,IF($AC$3=0,Tab.11[[#This Row],[φ1]],Tab.11[[#This Row],[φ1]]/MAX(Tab.11[φ1])))</f>
        <v>0</v>
      </c>
      <c r="AD471" s="74" t="b">
        <f>IF(Tab.11[[#This Row],[a1]]=1,1/Tab.11[[#This Row],[φ2]])</f>
        <v>0</v>
      </c>
      <c r="AE471" s="74" t="b">
        <f>IF(Tab.11[[#This Row],[a1]]=1,IF($AE$3=0,Tab.11[[#This Row],[w.0]],Tab.11[[#This Row],[w.0]]/SUM(Tab.11[w.0])))</f>
        <v>0</v>
      </c>
      <c r="AF471" s="76" t="str">
        <f>IF(Tab.11[[#This Row],[a1]]=0,"false",[3]!Tab.x5[[#This Row],[%_seN_C]])</f>
        <v>false</v>
      </c>
      <c r="AG471" s="77" t="b">
        <f>IF(Tab.11[[#This Row],[a1]]=1,AP471)</f>
        <v>0</v>
      </c>
      <c r="AH471" s="78" t="b">
        <f>IF(Tab.11[[#This Row],[a1]]=1,AQ471)</f>
        <v>0</v>
      </c>
      <c r="AI471" s="41">
        <v>3.0000000000000001E-3</v>
      </c>
      <c r="AJ471" s="79">
        <v>-7.0000000000000007E-2</v>
      </c>
      <c r="AK471" s="80" t="b">
        <f>IF(Tab.11[[#This Row],[a1]]=1,1)</f>
        <v>0</v>
      </c>
      <c r="AZ471"/>
    </row>
    <row r="472" spans="1:52" hidden="1" x14ac:dyDescent="0.25">
      <c r="A472" s="61">
        <f t="shared" si="17"/>
        <v>0</v>
      </c>
      <c r="B472" s="62">
        <f t="shared" si="17"/>
        <v>0</v>
      </c>
      <c r="C472" s="62" t="b">
        <f>IF(Tab.11[[#This Row],[a1]]=1,[3]!Tab_x1[[#This Row],[Name]])</f>
        <v>0</v>
      </c>
      <c r="D472" s="63" t="b">
        <f>IF(Tab.11[[#This Row],[a1]]=1,AO472)</f>
        <v>0</v>
      </c>
      <c r="E472" s="63">
        <f t="shared" si="16"/>
        <v>0</v>
      </c>
      <c r="F472" s="64" t="b">
        <f>IF(Tab.11[[#This Row],[a1]]=1,Tab.11[[#This Row],[b1]])</f>
        <v>0</v>
      </c>
      <c r="G472" s="65" t="b">
        <f>IF(Tab.11[[#This Row],[a1]]=1,IF(Tab.11[[#This Row],[b3]]&gt;$L$989*$G$3,$L$989*$G$3,IF(Tab.11[[#This Row],[b3]]&lt;$M$989*$G$3,$M$989*$G$3,Tab.11[[#This Row],[b3]])))</f>
        <v>0</v>
      </c>
      <c r="H472" s="66" t="b">
        <f>IF(Tab.11[[#This Row],[a1]]=1,Tab.11[[#This Row],[b1]])</f>
        <v>0</v>
      </c>
      <c r="I472" s="67" t="b">
        <f>IF(Tab.11[[#This Row],[a1]]=1,Tab.11[[#This Row],[b1]])</f>
        <v>0</v>
      </c>
      <c r="J472" s="68" t="b">
        <f>IF(Tab.11[[#This Row],[a1]]=1,IF($I$3&lt;0,Tab.11[[#This Row],[b5]]-$I$3,Tab.11[[#This Row],[b5]]))</f>
        <v>0</v>
      </c>
      <c r="K472" s="68" t="b">
        <f>IF(Tab.11[[#This Row],[a1]]=1,IF($K$3=0,Tab.11[b6],Tab.11[[#This Row],[b6]]-AVERAGE(Tab.11[b6])))</f>
        <v>0</v>
      </c>
      <c r="L472" s="69" t="b">
        <f>IF(Tab.11[[#This Row],[a1]]=1,Tab.11[[#This Row],[data]]/(_xlfn.STDEV.P(Tab.11[data])*$B$989)+$A$989)</f>
        <v>0</v>
      </c>
      <c r="M472" s="69" t="b">
        <f>IF(Tab.11[[#This Row],[a1]]=1,Tab.11[[#This Row],[data]]/(_xlfn.STDEV.P(Tab.11[data])*$B$987)-$A$987)</f>
        <v>0</v>
      </c>
      <c r="N472" s="69" t="b">
        <f>IF(Tab.11[[#This Row],[a1]]=1,Tab.11[[#This Row],[data]]/(_xlfn.STDEV.P(Tab.11[data])*$B$988)+$A$988)</f>
        <v>0</v>
      </c>
      <c r="O472" s="70" t="b">
        <f>IF(Tab.11[[#This Row],[a1]]=1,_xlfn.NORM.DIST(Tab.11[[#This Row],[b8]],$P$1,$Q$1,FALSE))</f>
        <v>0</v>
      </c>
      <c r="P472" s="70" t="b">
        <f>IF(Tab.11[[#This Row],[a1]]=1,_xlfn.NORM.DIST(Tab.11[[#This Row],[b9]],$P$1,$Q$1,FALSE))</f>
        <v>0</v>
      </c>
      <c r="Q472" s="70" t="b">
        <f>IF(Tab.11[[#This Row],[a1]]=1,_xlfn.NORM.DIST(Tab.11[[#This Row],[b10]],$P$1,$Q$1,FALSE))</f>
        <v>0</v>
      </c>
      <c r="R472" s="67" t="b">
        <f>IF(Tab.11[[#This Row],[a1]]=1,$I$3+$A$989+IF($K$3=0,Tab.11[[#This Row],[b8]]*_xlfn.STDEV.P(Tab.11[data]),AVERAGE(Tab.11[b6])+Tab.11[[#This Row],[b8]]*_xlfn.STDEV.P(Tab.11[data])))</f>
        <v>0</v>
      </c>
      <c r="S472" s="71" t="b">
        <f>IF(Tab.11[[#This Row],[a1]]=1,$I$3+$A$987+IF($K$3=0,Tab.11[[#This Row],[b9]]*_xlfn.STDEV.P(Tab.11[data]),AVERAGE(Tab.11[b6])+Tab.11[[#This Row],[b9]]*_xlfn.STDEV.P(Tab.11[data])))</f>
        <v>0</v>
      </c>
      <c r="T472" s="71" t="b">
        <f>IF(Tab.11[[#This Row],[a1]]=1,$I$3+$A$988+IF($K$3=0,Tab.11[[#This Row],[b10]]*_xlfn.STDEV.P(Tab.11[data]),AVERAGE(Tab.11[b6])+Tab.11[[#This Row],[b10]]*_xlfn.STDEV.P(Tab.11[data])))</f>
        <v>0</v>
      </c>
      <c r="U472" s="72" t="b">
        <f>IF(Tab.11[[#This Row],[a1]]=1,Tab.11[[#This Row],[target]]-Tab.11[[#This Row],[Red]])</f>
        <v>0</v>
      </c>
      <c r="V472" s="72" t="b">
        <f>IF(Tab.11[[#This Row],[a1]]=1,Tab.11[[#This Row],[target]]-Tab.11[[#This Row],[Blue]])</f>
        <v>0</v>
      </c>
      <c r="W472" s="73" t="b">
        <f>IF(Tab.11[[#This Row],[a1]]=1,IF(ABS(Tab.11[[#This Row],[b17]])+ABS(Tab.11[[#This Row],[b18]])&lt;$W$2,$W$2,ABS(Tab.11[[#This Row],[b17]])+ABS(Tab.11[[#This Row],[b18]])))</f>
        <v>0</v>
      </c>
      <c r="X472" s="136" t="b">
        <f>IF(Tab.11[[#This Row],[a1]]=1,IF($W$3&lt;0,Tab.11[[#This Row],[IN]]-$I$3,Tab.11[[#This Row],[IN]]))</f>
        <v>0</v>
      </c>
      <c r="Y472" s="136" t="b">
        <f>IF(Tab.11[[#This Row],[a1]]=1,IF($X$3=0,Tab.11[b66],Tab.11[[#This Row],[b66]]-AVERAGE(Tab.11[b66])))</f>
        <v>0</v>
      </c>
      <c r="Z472" s="135" t="b">
        <f>IF(Tab.11[[#This Row],[a1]]=1,Tab.11[[#This Row],[b77]]/(_xlfn.STDEV.P(Tab.11[b77])))</f>
        <v>0</v>
      </c>
      <c r="AA472" s="70" t="b">
        <f>IF(Tab.11[[#This Row],[a1]]=1,_xlfn.NORM.DIST(Tab.11[[#This Row],[b88]],$Z$1,$AA$1,FALSE))</f>
        <v>0</v>
      </c>
      <c r="AB472" s="74" t="b">
        <f>IF(Tab.11[[#This Row],[a1]]=1,IF($A$3=0,FALSE,1/Tab.11[[#This Row],[IN]]*$AC$2*IF(Tab.11[[#This Row],[a1]]=0,,$A$3*$AC$1*1/$V$3*(Tab.11[[#This Row],[b14]]))))</f>
        <v>0</v>
      </c>
      <c r="AC472" s="75" t="b">
        <f>IF(Tab.11[[#This Row],[a1]]=1,IF($AC$3=0,Tab.11[[#This Row],[φ1]],Tab.11[[#This Row],[φ1]]/MAX(Tab.11[φ1])))</f>
        <v>0</v>
      </c>
      <c r="AD472" s="74" t="b">
        <f>IF(Tab.11[[#This Row],[a1]]=1,1/Tab.11[[#This Row],[φ2]])</f>
        <v>0</v>
      </c>
      <c r="AE472" s="74" t="b">
        <f>IF(Tab.11[[#This Row],[a1]]=1,IF($AE$3=0,Tab.11[[#This Row],[w.0]],Tab.11[[#This Row],[w.0]]/SUM(Tab.11[w.0])))</f>
        <v>0</v>
      </c>
      <c r="AF472" s="76" t="str">
        <f>IF(Tab.11[[#This Row],[a1]]=0,"false",[3]!Tab.x5[[#This Row],[%_seN_C]])</f>
        <v>false</v>
      </c>
      <c r="AG472" s="77" t="b">
        <f>IF(Tab.11[[#This Row],[a1]]=1,AP472)</f>
        <v>0</v>
      </c>
      <c r="AH472" s="78" t="b">
        <f>IF(Tab.11[[#This Row],[a1]]=1,AQ472)</f>
        <v>0</v>
      </c>
      <c r="AI472" s="41">
        <v>3.0000000000000001E-3</v>
      </c>
      <c r="AJ472" s="79">
        <v>-7.0000000000000007E-2</v>
      </c>
      <c r="AK472" s="80" t="b">
        <f>IF(Tab.11[[#This Row],[a1]]=1,1)</f>
        <v>0</v>
      </c>
      <c r="AZ472"/>
    </row>
    <row r="473" spans="1:52" hidden="1" x14ac:dyDescent="0.25">
      <c r="A473" s="61">
        <f t="shared" si="17"/>
        <v>0</v>
      </c>
      <c r="B473" s="62">
        <f t="shared" si="17"/>
        <v>0</v>
      </c>
      <c r="C473" s="62" t="b">
        <f>IF(Tab.11[[#This Row],[a1]]=1,[3]!Tab_x1[[#This Row],[Name]])</f>
        <v>0</v>
      </c>
      <c r="D473" s="63" t="b">
        <f>IF(Tab.11[[#This Row],[a1]]=1,AO473)</f>
        <v>0</v>
      </c>
      <c r="E473" s="63">
        <f t="shared" si="16"/>
        <v>0</v>
      </c>
      <c r="F473" s="64" t="b">
        <f>IF(Tab.11[[#This Row],[a1]]=1,Tab.11[[#This Row],[b1]])</f>
        <v>0</v>
      </c>
      <c r="G473" s="65" t="b">
        <f>IF(Tab.11[[#This Row],[a1]]=1,IF(Tab.11[[#This Row],[b3]]&gt;$L$989*$G$3,$L$989*$G$3,IF(Tab.11[[#This Row],[b3]]&lt;$M$989*$G$3,$M$989*$G$3,Tab.11[[#This Row],[b3]])))</f>
        <v>0</v>
      </c>
      <c r="H473" s="66" t="b">
        <f>IF(Tab.11[[#This Row],[a1]]=1,Tab.11[[#This Row],[b1]])</f>
        <v>0</v>
      </c>
      <c r="I473" s="67" t="b">
        <f>IF(Tab.11[[#This Row],[a1]]=1,Tab.11[[#This Row],[b1]])</f>
        <v>0</v>
      </c>
      <c r="J473" s="68" t="b">
        <f>IF(Tab.11[[#This Row],[a1]]=1,IF($I$3&lt;0,Tab.11[[#This Row],[b5]]-$I$3,Tab.11[[#This Row],[b5]]))</f>
        <v>0</v>
      </c>
      <c r="K473" s="68" t="b">
        <f>IF(Tab.11[[#This Row],[a1]]=1,IF($K$3=0,Tab.11[b6],Tab.11[[#This Row],[b6]]-AVERAGE(Tab.11[b6])))</f>
        <v>0</v>
      </c>
      <c r="L473" s="69" t="b">
        <f>IF(Tab.11[[#This Row],[a1]]=1,Tab.11[[#This Row],[data]]/(_xlfn.STDEV.P(Tab.11[data])*$B$989)+$A$989)</f>
        <v>0</v>
      </c>
      <c r="M473" s="69" t="b">
        <f>IF(Tab.11[[#This Row],[a1]]=1,Tab.11[[#This Row],[data]]/(_xlfn.STDEV.P(Tab.11[data])*$B$987)-$A$987)</f>
        <v>0</v>
      </c>
      <c r="N473" s="69" t="b">
        <f>IF(Tab.11[[#This Row],[a1]]=1,Tab.11[[#This Row],[data]]/(_xlfn.STDEV.P(Tab.11[data])*$B$988)+$A$988)</f>
        <v>0</v>
      </c>
      <c r="O473" s="70" t="b">
        <f>IF(Tab.11[[#This Row],[a1]]=1,_xlfn.NORM.DIST(Tab.11[[#This Row],[b8]],$P$1,$Q$1,FALSE))</f>
        <v>0</v>
      </c>
      <c r="P473" s="70" t="b">
        <f>IF(Tab.11[[#This Row],[a1]]=1,_xlfn.NORM.DIST(Tab.11[[#This Row],[b9]],$P$1,$Q$1,FALSE))</f>
        <v>0</v>
      </c>
      <c r="Q473" s="70" t="b">
        <f>IF(Tab.11[[#This Row],[a1]]=1,_xlfn.NORM.DIST(Tab.11[[#This Row],[b10]],$P$1,$Q$1,FALSE))</f>
        <v>0</v>
      </c>
      <c r="R473" s="67" t="b">
        <f>IF(Tab.11[[#This Row],[a1]]=1,$I$3+$A$989+IF($K$3=0,Tab.11[[#This Row],[b8]]*_xlfn.STDEV.P(Tab.11[data]),AVERAGE(Tab.11[b6])+Tab.11[[#This Row],[b8]]*_xlfn.STDEV.P(Tab.11[data])))</f>
        <v>0</v>
      </c>
      <c r="S473" s="71" t="b">
        <f>IF(Tab.11[[#This Row],[a1]]=1,$I$3+$A$987+IF($K$3=0,Tab.11[[#This Row],[b9]]*_xlfn.STDEV.P(Tab.11[data]),AVERAGE(Tab.11[b6])+Tab.11[[#This Row],[b9]]*_xlfn.STDEV.P(Tab.11[data])))</f>
        <v>0</v>
      </c>
      <c r="T473" s="71" t="b">
        <f>IF(Tab.11[[#This Row],[a1]]=1,$I$3+$A$988+IF($K$3=0,Tab.11[[#This Row],[b10]]*_xlfn.STDEV.P(Tab.11[data]),AVERAGE(Tab.11[b6])+Tab.11[[#This Row],[b10]]*_xlfn.STDEV.P(Tab.11[data])))</f>
        <v>0</v>
      </c>
      <c r="U473" s="72" t="b">
        <f>IF(Tab.11[[#This Row],[a1]]=1,Tab.11[[#This Row],[target]]-Tab.11[[#This Row],[Red]])</f>
        <v>0</v>
      </c>
      <c r="V473" s="72" t="b">
        <f>IF(Tab.11[[#This Row],[a1]]=1,Tab.11[[#This Row],[target]]-Tab.11[[#This Row],[Blue]])</f>
        <v>0</v>
      </c>
      <c r="W473" s="73" t="b">
        <f>IF(Tab.11[[#This Row],[a1]]=1,IF(ABS(Tab.11[[#This Row],[b17]])+ABS(Tab.11[[#This Row],[b18]])&lt;$W$2,$W$2,ABS(Tab.11[[#This Row],[b17]])+ABS(Tab.11[[#This Row],[b18]])))</f>
        <v>0</v>
      </c>
      <c r="X473" s="136" t="b">
        <f>IF(Tab.11[[#This Row],[a1]]=1,IF($W$3&lt;0,Tab.11[[#This Row],[IN]]-$I$3,Tab.11[[#This Row],[IN]]))</f>
        <v>0</v>
      </c>
      <c r="Y473" s="136" t="b">
        <f>IF(Tab.11[[#This Row],[a1]]=1,IF($X$3=0,Tab.11[b66],Tab.11[[#This Row],[b66]]-AVERAGE(Tab.11[b66])))</f>
        <v>0</v>
      </c>
      <c r="Z473" s="135" t="b">
        <f>IF(Tab.11[[#This Row],[a1]]=1,Tab.11[[#This Row],[b77]]/(_xlfn.STDEV.P(Tab.11[b77])))</f>
        <v>0</v>
      </c>
      <c r="AA473" s="70" t="b">
        <f>IF(Tab.11[[#This Row],[a1]]=1,_xlfn.NORM.DIST(Tab.11[[#This Row],[b88]],$Z$1,$AA$1,FALSE))</f>
        <v>0</v>
      </c>
      <c r="AB473" s="74" t="b">
        <f>IF(Tab.11[[#This Row],[a1]]=1,IF($A$3=0,FALSE,1/Tab.11[[#This Row],[IN]]*$AC$2*IF(Tab.11[[#This Row],[a1]]=0,,$A$3*$AC$1*1/$V$3*(Tab.11[[#This Row],[b14]]))))</f>
        <v>0</v>
      </c>
      <c r="AC473" s="75" t="b">
        <f>IF(Tab.11[[#This Row],[a1]]=1,IF($AC$3=0,Tab.11[[#This Row],[φ1]],Tab.11[[#This Row],[φ1]]/MAX(Tab.11[φ1])))</f>
        <v>0</v>
      </c>
      <c r="AD473" s="74" t="b">
        <f>IF(Tab.11[[#This Row],[a1]]=1,1/Tab.11[[#This Row],[φ2]])</f>
        <v>0</v>
      </c>
      <c r="AE473" s="74" t="b">
        <f>IF(Tab.11[[#This Row],[a1]]=1,IF($AE$3=0,Tab.11[[#This Row],[w.0]],Tab.11[[#This Row],[w.0]]/SUM(Tab.11[w.0])))</f>
        <v>0</v>
      </c>
      <c r="AF473" s="76" t="str">
        <f>IF(Tab.11[[#This Row],[a1]]=0,"false",[3]!Tab.x5[[#This Row],[%_seN_C]])</f>
        <v>false</v>
      </c>
      <c r="AG473" s="77" t="b">
        <f>IF(Tab.11[[#This Row],[a1]]=1,AP473)</f>
        <v>0</v>
      </c>
      <c r="AH473" s="78" t="b">
        <f>IF(Tab.11[[#This Row],[a1]]=1,AQ473)</f>
        <v>0</v>
      </c>
      <c r="AI473" s="41">
        <v>3.0000000000000001E-3</v>
      </c>
      <c r="AJ473" s="79">
        <v>0.02</v>
      </c>
      <c r="AK473" s="80" t="b">
        <f>IF(Tab.11[[#This Row],[a1]]=1,1)</f>
        <v>0</v>
      </c>
      <c r="AZ473"/>
    </row>
    <row r="474" spans="1:52" hidden="1" x14ac:dyDescent="0.25">
      <c r="A474" s="61">
        <f t="shared" si="17"/>
        <v>0</v>
      </c>
      <c r="B474" s="62">
        <f t="shared" si="17"/>
        <v>0</v>
      </c>
      <c r="C474" s="62" t="b">
        <f>IF(Tab.11[[#This Row],[a1]]=1,[3]!Tab_x1[[#This Row],[Name]])</f>
        <v>0</v>
      </c>
      <c r="D474" s="63" t="b">
        <f>IF(Tab.11[[#This Row],[a1]]=1,AO474)</f>
        <v>0</v>
      </c>
      <c r="E474" s="63">
        <f t="shared" si="16"/>
        <v>0</v>
      </c>
      <c r="F474" s="64" t="b">
        <f>IF(Tab.11[[#This Row],[a1]]=1,Tab.11[[#This Row],[b1]])</f>
        <v>0</v>
      </c>
      <c r="G474" s="65" t="b">
        <f>IF(Tab.11[[#This Row],[a1]]=1,IF(Tab.11[[#This Row],[b3]]&gt;$L$989*$G$3,$L$989*$G$3,IF(Tab.11[[#This Row],[b3]]&lt;$M$989*$G$3,$M$989*$G$3,Tab.11[[#This Row],[b3]])))</f>
        <v>0</v>
      </c>
      <c r="H474" s="66" t="b">
        <f>IF(Tab.11[[#This Row],[a1]]=1,Tab.11[[#This Row],[b1]])</f>
        <v>0</v>
      </c>
      <c r="I474" s="67" t="b">
        <f>IF(Tab.11[[#This Row],[a1]]=1,Tab.11[[#This Row],[b1]])</f>
        <v>0</v>
      </c>
      <c r="J474" s="68" t="b">
        <f>IF(Tab.11[[#This Row],[a1]]=1,IF($I$3&lt;0,Tab.11[[#This Row],[b5]]-$I$3,Tab.11[[#This Row],[b5]]))</f>
        <v>0</v>
      </c>
      <c r="K474" s="68" t="b">
        <f>IF(Tab.11[[#This Row],[a1]]=1,IF($K$3=0,Tab.11[b6],Tab.11[[#This Row],[b6]]-AVERAGE(Tab.11[b6])))</f>
        <v>0</v>
      </c>
      <c r="L474" s="69" t="b">
        <f>IF(Tab.11[[#This Row],[a1]]=1,Tab.11[[#This Row],[data]]/(_xlfn.STDEV.P(Tab.11[data])*$B$989)+$A$989)</f>
        <v>0</v>
      </c>
      <c r="M474" s="69" t="b">
        <f>IF(Tab.11[[#This Row],[a1]]=1,Tab.11[[#This Row],[data]]/(_xlfn.STDEV.P(Tab.11[data])*$B$987)-$A$987)</f>
        <v>0</v>
      </c>
      <c r="N474" s="69" t="b">
        <f>IF(Tab.11[[#This Row],[a1]]=1,Tab.11[[#This Row],[data]]/(_xlfn.STDEV.P(Tab.11[data])*$B$988)+$A$988)</f>
        <v>0</v>
      </c>
      <c r="O474" s="70" t="b">
        <f>IF(Tab.11[[#This Row],[a1]]=1,_xlfn.NORM.DIST(Tab.11[[#This Row],[b8]],$P$1,$Q$1,FALSE))</f>
        <v>0</v>
      </c>
      <c r="P474" s="70" t="b">
        <f>IF(Tab.11[[#This Row],[a1]]=1,_xlfn.NORM.DIST(Tab.11[[#This Row],[b9]],$P$1,$Q$1,FALSE))</f>
        <v>0</v>
      </c>
      <c r="Q474" s="70" t="b">
        <f>IF(Tab.11[[#This Row],[a1]]=1,_xlfn.NORM.DIST(Tab.11[[#This Row],[b10]],$P$1,$Q$1,FALSE))</f>
        <v>0</v>
      </c>
      <c r="R474" s="67" t="b">
        <f>IF(Tab.11[[#This Row],[a1]]=1,$I$3+$A$989+IF($K$3=0,Tab.11[[#This Row],[b8]]*_xlfn.STDEV.P(Tab.11[data]),AVERAGE(Tab.11[b6])+Tab.11[[#This Row],[b8]]*_xlfn.STDEV.P(Tab.11[data])))</f>
        <v>0</v>
      </c>
      <c r="S474" s="71" t="b">
        <f>IF(Tab.11[[#This Row],[a1]]=1,$I$3+$A$987+IF($K$3=0,Tab.11[[#This Row],[b9]]*_xlfn.STDEV.P(Tab.11[data]),AVERAGE(Tab.11[b6])+Tab.11[[#This Row],[b9]]*_xlfn.STDEV.P(Tab.11[data])))</f>
        <v>0</v>
      </c>
      <c r="T474" s="71" t="b">
        <f>IF(Tab.11[[#This Row],[a1]]=1,$I$3+$A$988+IF($K$3=0,Tab.11[[#This Row],[b10]]*_xlfn.STDEV.P(Tab.11[data]),AVERAGE(Tab.11[b6])+Tab.11[[#This Row],[b10]]*_xlfn.STDEV.P(Tab.11[data])))</f>
        <v>0</v>
      </c>
      <c r="U474" s="72" t="b">
        <f>IF(Tab.11[[#This Row],[a1]]=1,Tab.11[[#This Row],[target]]-Tab.11[[#This Row],[Red]])</f>
        <v>0</v>
      </c>
      <c r="V474" s="72" t="b">
        <f>IF(Tab.11[[#This Row],[a1]]=1,Tab.11[[#This Row],[target]]-Tab.11[[#This Row],[Blue]])</f>
        <v>0</v>
      </c>
      <c r="W474" s="73" t="b">
        <f>IF(Tab.11[[#This Row],[a1]]=1,IF(ABS(Tab.11[[#This Row],[b17]])+ABS(Tab.11[[#This Row],[b18]])&lt;$W$2,$W$2,ABS(Tab.11[[#This Row],[b17]])+ABS(Tab.11[[#This Row],[b18]])))</f>
        <v>0</v>
      </c>
      <c r="X474" s="136" t="b">
        <f>IF(Tab.11[[#This Row],[a1]]=1,IF($W$3&lt;0,Tab.11[[#This Row],[IN]]-$I$3,Tab.11[[#This Row],[IN]]))</f>
        <v>0</v>
      </c>
      <c r="Y474" s="136" t="b">
        <f>IF(Tab.11[[#This Row],[a1]]=1,IF($X$3=0,Tab.11[b66],Tab.11[[#This Row],[b66]]-AVERAGE(Tab.11[b66])))</f>
        <v>0</v>
      </c>
      <c r="Z474" s="135" t="b">
        <f>IF(Tab.11[[#This Row],[a1]]=1,Tab.11[[#This Row],[b77]]/(_xlfn.STDEV.P(Tab.11[b77])))</f>
        <v>0</v>
      </c>
      <c r="AA474" s="70" t="b">
        <f>IF(Tab.11[[#This Row],[a1]]=1,_xlfn.NORM.DIST(Tab.11[[#This Row],[b88]],$Z$1,$AA$1,FALSE))</f>
        <v>0</v>
      </c>
      <c r="AB474" s="74" t="b">
        <f>IF(Tab.11[[#This Row],[a1]]=1,IF($A$3=0,FALSE,1/Tab.11[[#This Row],[IN]]*$AC$2*IF(Tab.11[[#This Row],[a1]]=0,,$A$3*$AC$1*1/$V$3*(Tab.11[[#This Row],[b14]]))))</f>
        <v>0</v>
      </c>
      <c r="AC474" s="75" t="b">
        <f>IF(Tab.11[[#This Row],[a1]]=1,IF($AC$3=0,Tab.11[[#This Row],[φ1]],Tab.11[[#This Row],[φ1]]/MAX(Tab.11[φ1])))</f>
        <v>0</v>
      </c>
      <c r="AD474" s="74" t="b">
        <f>IF(Tab.11[[#This Row],[a1]]=1,1/Tab.11[[#This Row],[φ2]])</f>
        <v>0</v>
      </c>
      <c r="AE474" s="74" t="b">
        <f>IF(Tab.11[[#This Row],[a1]]=1,IF($AE$3=0,Tab.11[[#This Row],[w.0]],Tab.11[[#This Row],[w.0]]/SUM(Tab.11[w.0])))</f>
        <v>0</v>
      </c>
      <c r="AF474" s="76" t="str">
        <f>IF(Tab.11[[#This Row],[a1]]=0,"false",[3]!Tab.x5[[#This Row],[%_seN_C]])</f>
        <v>false</v>
      </c>
      <c r="AG474" s="77" t="b">
        <f>IF(Tab.11[[#This Row],[a1]]=1,AP474)</f>
        <v>0</v>
      </c>
      <c r="AH474" s="78" t="b">
        <f>IF(Tab.11[[#This Row],[a1]]=1,AQ474)</f>
        <v>0</v>
      </c>
      <c r="AI474" s="41">
        <v>3.0000000000000001E-3</v>
      </c>
      <c r="AJ474" s="79">
        <v>-0.08</v>
      </c>
      <c r="AK474" s="80" t="b">
        <f>IF(Tab.11[[#This Row],[a1]]=1,1)</f>
        <v>0</v>
      </c>
      <c r="AZ474"/>
    </row>
    <row r="475" spans="1:52" hidden="1" x14ac:dyDescent="0.25">
      <c r="A475" s="61">
        <f t="shared" si="17"/>
        <v>0</v>
      </c>
      <c r="B475" s="62">
        <f t="shared" si="17"/>
        <v>0</v>
      </c>
      <c r="C475" s="62" t="b">
        <f>IF(Tab.11[[#This Row],[a1]]=1,[3]!Tab_x1[[#This Row],[Name]])</f>
        <v>0</v>
      </c>
      <c r="D475" s="63" t="b">
        <f>IF(Tab.11[[#This Row],[a1]]=1,AO475)</f>
        <v>0</v>
      </c>
      <c r="E475" s="63">
        <f t="shared" si="16"/>
        <v>0</v>
      </c>
      <c r="F475" s="64" t="b">
        <f>IF(Tab.11[[#This Row],[a1]]=1,Tab.11[[#This Row],[b1]])</f>
        <v>0</v>
      </c>
      <c r="G475" s="65" t="b">
        <f>IF(Tab.11[[#This Row],[a1]]=1,IF(Tab.11[[#This Row],[b3]]&gt;$L$989*$G$3,$L$989*$G$3,IF(Tab.11[[#This Row],[b3]]&lt;$M$989*$G$3,$M$989*$G$3,Tab.11[[#This Row],[b3]])))</f>
        <v>0</v>
      </c>
      <c r="H475" s="66" t="b">
        <f>IF(Tab.11[[#This Row],[a1]]=1,Tab.11[[#This Row],[b1]])</f>
        <v>0</v>
      </c>
      <c r="I475" s="67" t="b">
        <f>IF(Tab.11[[#This Row],[a1]]=1,Tab.11[[#This Row],[b1]])</f>
        <v>0</v>
      </c>
      <c r="J475" s="68" t="b">
        <f>IF(Tab.11[[#This Row],[a1]]=1,IF($I$3&lt;0,Tab.11[[#This Row],[b5]]-$I$3,Tab.11[[#This Row],[b5]]))</f>
        <v>0</v>
      </c>
      <c r="K475" s="68" t="b">
        <f>IF(Tab.11[[#This Row],[a1]]=1,IF($K$3=0,Tab.11[b6],Tab.11[[#This Row],[b6]]-AVERAGE(Tab.11[b6])))</f>
        <v>0</v>
      </c>
      <c r="L475" s="69" t="b">
        <f>IF(Tab.11[[#This Row],[a1]]=1,Tab.11[[#This Row],[data]]/(_xlfn.STDEV.P(Tab.11[data])*$B$989)+$A$989)</f>
        <v>0</v>
      </c>
      <c r="M475" s="69" t="b">
        <f>IF(Tab.11[[#This Row],[a1]]=1,Tab.11[[#This Row],[data]]/(_xlfn.STDEV.P(Tab.11[data])*$B$987)-$A$987)</f>
        <v>0</v>
      </c>
      <c r="N475" s="69" t="b">
        <f>IF(Tab.11[[#This Row],[a1]]=1,Tab.11[[#This Row],[data]]/(_xlfn.STDEV.P(Tab.11[data])*$B$988)+$A$988)</f>
        <v>0</v>
      </c>
      <c r="O475" s="70" t="b">
        <f>IF(Tab.11[[#This Row],[a1]]=1,_xlfn.NORM.DIST(Tab.11[[#This Row],[b8]],$P$1,$Q$1,FALSE))</f>
        <v>0</v>
      </c>
      <c r="P475" s="70" t="b">
        <f>IF(Tab.11[[#This Row],[a1]]=1,_xlfn.NORM.DIST(Tab.11[[#This Row],[b9]],$P$1,$Q$1,FALSE))</f>
        <v>0</v>
      </c>
      <c r="Q475" s="70" t="b">
        <f>IF(Tab.11[[#This Row],[a1]]=1,_xlfn.NORM.DIST(Tab.11[[#This Row],[b10]],$P$1,$Q$1,FALSE))</f>
        <v>0</v>
      </c>
      <c r="R475" s="67" t="b">
        <f>IF(Tab.11[[#This Row],[a1]]=1,$I$3+$A$989+IF($K$3=0,Tab.11[[#This Row],[b8]]*_xlfn.STDEV.P(Tab.11[data]),AVERAGE(Tab.11[b6])+Tab.11[[#This Row],[b8]]*_xlfn.STDEV.P(Tab.11[data])))</f>
        <v>0</v>
      </c>
      <c r="S475" s="71" t="b">
        <f>IF(Tab.11[[#This Row],[a1]]=1,$I$3+$A$987+IF($K$3=0,Tab.11[[#This Row],[b9]]*_xlfn.STDEV.P(Tab.11[data]),AVERAGE(Tab.11[b6])+Tab.11[[#This Row],[b9]]*_xlfn.STDEV.P(Tab.11[data])))</f>
        <v>0</v>
      </c>
      <c r="T475" s="71" t="b">
        <f>IF(Tab.11[[#This Row],[a1]]=1,$I$3+$A$988+IF($K$3=0,Tab.11[[#This Row],[b10]]*_xlfn.STDEV.P(Tab.11[data]),AVERAGE(Tab.11[b6])+Tab.11[[#This Row],[b10]]*_xlfn.STDEV.P(Tab.11[data])))</f>
        <v>0</v>
      </c>
      <c r="U475" s="72" t="b">
        <f>IF(Tab.11[[#This Row],[a1]]=1,Tab.11[[#This Row],[target]]-Tab.11[[#This Row],[Red]])</f>
        <v>0</v>
      </c>
      <c r="V475" s="72" t="b">
        <f>IF(Tab.11[[#This Row],[a1]]=1,Tab.11[[#This Row],[target]]-Tab.11[[#This Row],[Blue]])</f>
        <v>0</v>
      </c>
      <c r="W475" s="73" t="b">
        <f>IF(Tab.11[[#This Row],[a1]]=1,IF(ABS(Tab.11[[#This Row],[b17]])+ABS(Tab.11[[#This Row],[b18]])&lt;$W$2,$W$2,ABS(Tab.11[[#This Row],[b17]])+ABS(Tab.11[[#This Row],[b18]])))</f>
        <v>0</v>
      </c>
      <c r="X475" s="136" t="b">
        <f>IF(Tab.11[[#This Row],[a1]]=1,IF($W$3&lt;0,Tab.11[[#This Row],[IN]]-$I$3,Tab.11[[#This Row],[IN]]))</f>
        <v>0</v>
      </c>
      <c r="Y475" s="136" t="b">
        <f>IF(Tab.11[[#This Row],[a1]]=1,IF($X$3=0,Tab.11[b66],Tab.11[[#This Row],[b66]]-AVERAGE(Tab.11[b66])))</f>
        <v>0</v>
      </c>
      <c r="Z475" s="135" t="b">
        <f>IF(Tab.11[[#This Row],[a1]]=1,Tab.11[[#This Row],[b77]]/(_xlfn.STDEV.P(Tab.11[b77])))</f>
        <v>0</v>
      </c>
      <c r="AA475" s="70" t="b">
        <f>IF(Tab.11[[#This Row],[a1]]=1,_xlfn.NORM.DIST(Tab.11[[#This Row],[b88]],$Z$1,$AA$1,FALSE))</f>
        <v>0</v>
      </c>
      <c r="AB475" s="74" t="b">
        <f>IF(Tab.11[[#This Row],[a1]]=1,IF($A$3=0,FALSE,1/Tab.11[[#This Row],[IN]]*$AC$2*IF(Tab.11[[#This Row],[a1]]=0,,$A$3*$AC$1*1/$V$3*(Tab.11[[#This Row],[b14]]))))</f>
        <v>0</v>
      </c>
      <c r="AC475" s="75" t="b">
        <f>IF(Tab.11[[#This Row],[a1]]=1,IF($AC$3=0,Tab.11[[#This Row],[φ1]],Tab.11[[#This Row],[φ1]]/MAX(Tab.11[φ1])))</f>
        <v>0</v>
      </c>
      <c r="AD475" s="74" t="b">
        <f>IF(Tab.11[[#This Row],[a1]]=1,1/Tab.11[[#This Row],[φ2]])</f>
        <v>0</v>
      </c>
      <c r="AE475" s="74" t="b">
        <f>IF(Tab.11[[#This Row],[a1]]=1,IF($AE$3=0,Tab.11[[#This Row],[w.0]],Tab.11[[#This Row],[w.0]]/SUM(Tab.11[w.0])))</f>
        <v>0</v>
      </c>
      <c r="AF475" s="76" t="str">
        <f>IF(Tab.11[[#This Row],[a1]]=0,"false",[3]!Tab.x5[[#This Row],[%_seN_C]])</f>
        <v>false</v>
      </c>
      <c r="AG475" s="77" t="b">
        <f>IF(Tab.11[[#This Row],[a1]]=1,AP475)</f>
        <v>0</v>
      </c>
      <c r="AH475" s="78" t="b">
        <f>IF(Tab.11[[#This Row],[a1]]=1,AQ475)</f>
        <v>0</v>
      </c>
      <c r="AI475" s="41">
        <v>3.0000000000000001E-3</v>
      </c>
      <c r="AJ475" s="79">
        <v>0.1</v>
      </c>
      <c r="AK475" s="80" t="b">
        <f>IF(Tab.11[[#This Row],[a1]]=1,1)</f>
        <v>0</v>
      </c>
      <c r="AZ475"/>
    </row>
    <row r="476" spans="1:52" hidden="1" x14ac:dyDescent="0.25">
      <c r="A476" s="61">
        <f t="shared" si="17"/>
        <v>0</v>
      </c>
      <c r="B476" s="62">
        <f t="shared" si="17"/>
        <v>0</v>
      </c>
      <c r="C476" s="62" t="b">
        <f>IF(Tab.11[[#This Row],[a1]]=1,[3]!Tab_x1[[#This Row],[Name]])</f>
        <v>0</v>
      </c>
      <c r="D476" s="63" t="b">
        <f>IF(Tab.11[[#This Row],[a1]]=1,AO476)</f>
        <v>0</v>
      </c>
      <c r="E476" s="63">
        <f t="shared" si="16"/>
        <v>0</v>
      </c>
      <c r="F476" s="64" t="b">
        <f>IF(Tab.11[[#This Row],[a1]]=1,Tab.11[[#This Row],[b1]])</f>
        <v>0</v>
      </c>
      <c r="G476" s="65" t="b">
        <f>IF(Tab.11[[#This Row],[a1]]=1,IF(Tab.11[[#This Row],[b3]]&gt;$L$989*$G$3,$L$989*$G$3,IF(Tab.11[[#This Row],[b3]]&lt;$M$989*$G$3,$M$989*$G$3,Tab.11[[#This Row],[b3]])))</f>
        <v>0</v>
      </c>
      <c r="H476" s="66" t="b">
        <f>IF(Tab.11[[#This Row],[a1]]=1,Tab.11[[#This Row],[b1]])</f>
        <v>0</v>
      </c>
      <c r="I476" s="67" t="b">
        <f>IF(Tab.11[[#This Row],[a1]]=1,Tab.11[[#This Row],[b1]])</f>
        <v>0</v>
      </c>
      <c r="J476" s="68" t="b">
        <f>IF(Tab.11[[#This Row],[a1]]=1,IF($I$3&lt;0,Tab.11[[#This Row],[b5]]-$I$3,Tab.11[[#This Row],[b5]]))</f>
        <v>0</v>
      </c>
      <c r="K476" s="68" t="b">
        <f>IF(Tab.11[[#This Row],[a1]]=1,IF($K$3=0,Tab.11[b6],Tab.11[[#This Row],[b6]]-AVERAGE(Tab.11[b6])))</f>
        <v>0</v>
      </c>
      <c r="L476" s="69" t="b">
        <f>IF(Tab.11[[#This Row],[a1]]=1,Tab.11[[#This Row],[data]]/(_xlfn.STDEV.P(Tab.11[data])*$B$989)+$A$989)</f>
        <v>0</v>
      </c>
      <c r="M476" s="69" t="b">
        <f>IF(Tab.11[[#This Row],[a1]]=1,Tab.11[[#This Row],[data]]/(_xlfn.STDEV.P(Tab.11[data])*$B$987)-$A$987)</f>
        <v>0</v>
      </c>
      <c r="N476" s="69" t="b">
        <f>IF(Tab.11[[#This Row],[a1]]=1,Tab.11[[#This Row],[data]]/(_xlfn.STDEV.P(Tab.11[data])*$B$988)+$A$988)</f>
        <v>0</v>
      </c>
      <c r="O476" s="70" t="b">
        <f>IF(Tab.11[[#This Row],[a1]]=1,_xlfn.NORM.DIST(Tab.11[[#This Row],[b8]],$P$1,$Q$1,FALSE))</f>
        <v>0</v>
      </c>
      <c r="P476" s="70" t="b">
        <f>IF(Tab.11[[#This Row],[a1]]=1,_xlfn.NORM.DIST(Tab.11[[#This Row],[b9]],$P$1,$Q$1,FALSE))</f>
        <v>0</v>
      </c>
      <c r="Q476" s="70" t="b">
        <f>IF(Tab.11[[#This Row],[a1]]=1,_xlfn.NORM.DIST(Tab.11[[#This Row],[b10]],$P$1,$Q$1,FALSE))</f>
        <v>0</v>
      </c>
      <c r="R476" s="67" t="b">
        <f>IF(Tab.11[[#This Row],[a1]]=1,$I$3+$A$989+IF($K$3=0,Tab.11[[#This Row],[b8]]*_xlfn.STDEV.P(Tab.11[data]),AVERAGE(Tab.11[b6])+Tab.11[[#This Row],[b8]]*_xlfn.STDEV.P(Tab.11[data])))</f>
        <v>0</v>
      </c>
      <c r="S476" s="71" t="b">
        <f>IF(Tab.11[[#This Row],[a1]]=1,$I$3+$A$987+IF($K$3=0,Tab.11[[#This Row],[b9]]*_xlfn.STDEV.P(Tab.11[data]),AVERAGE(Tab.11[b6])+Tab.11[[#This Row],[b9]]*_xlfn.STDEV.P(Tab.11[data])))</f>
        <v>0</v>
      </c>
      <c r="T476" s="71" t="b">
        <f>IF(Tab.11[[#This Row],[a1]]=1,$I$3+$A$988+IF($K$3=0,Tab.11[[#This Row],[b10]]*_xlfn.STDEV.P(Tab.11[data]),AVERAGE(Tab.11[b6])+Tab.11[[#This Row],[b10]]*_xlfn.STDEV.P(Tab.11[data])))</f>
        <v>0</v>
      </c>
      <c r="U476" s="72" t="b">
        <f>IF(Tab.11[[#This Row],[a1]]=1,Tab.11[[#This Row],[target]]-Tab.11[[#This Row],[Red]])</f>
        <v>0</v>
      </c>
      <c r="V476" s="72" t="b">
        <f>IF(Tab.11[[#This Row],[a1]]=1,Tab.11[[#This Row],[target]]-Tab.11[[#This Row],[Blue]])</f>
        <v>0</v>
      </c>
      <c r="W476" s="73" t="b">
        <f>IF(Tab.11[[#This Row],[a1]]=1,IF(ABS(Tab.11[[#This Row],[b17]])+ABS(Tab.11[[#This Row],[b18]])&lt;$W$2,$W$2,ABS(Tab.11[[#This Row],[b17]])+ABS(Tab.11[[#This Row],[b18]])))</f>
        <v>0</v>
      </c>
      <c r="X476" s="136" t="b">
        <f>IF(Tab.11[[#This Row],[a1]]=1,IF($W$3&lt;0,Tab.11[[#This Row],[IN]]-$I$3,Tab.11[[#This Row],[IN]]))</f>
        <v>0</v>
      </c>
      <c r="Y476" s="136" t="b">
        <f>IF(Tab.11[[#This Row],[a1]]=1,IF($X$3=0,Tab.11[b66],Tab.11[[#This Row],[b66]]-AVERAGE(Tab.11[b66])))</f>
        <v>0</v>
      </c>
      <c r="Z476" s="135" t="b">
        <f>IF(Tab.11[[#This Row],[a1]]=1,Tab.11[[#This Row],[b77]]/(_xlfn.STDEV.P(Tab.11[b77])))</f>
        <v>0</v>
      </c>
      <c r="AA476" s="70" t="b">
        <f>IF(Tab.11[[#This Row],[a1]]=1,_xlfn.NORM.DIST(Tab.11[[#This Row],[b88]],$Z$1,$AA$1,FALSE))</f>
        <v>0</v>
      </c>
      <c r="AB476" s="74" t="b">
        <f>IF(Tab.11[[#This Row],[a1]]=1,IF($A$3=0,FALSE,1/Tab.11[[#This Row],[IN]]*$AC$2*IF(Tab.11[[#This Row],[a1]]=0,,$A$3*$AC$1*1/$V$3*(Tab.11[[#This Row],[b14]]))))</f>
        <v>0</v>
      </c>
      <c r="AC476" s="75" t="b">
        <f>IF(Tab.11[[#This Row],[a1]]=1,IF($AC$3=0,Tab.11[[#This Row],[φ1]],Tab.11[[#This Row],[φ1]]/MAX(Tab.11[φ1])))</f>
        <v>0</v>
      </c>
      <c r="AD476" s="74" t="b">
        <f>IF(Tab.11[[#This Row],[a1]]=1,1/Tab.11[[#This Row],[φ2]])</f>
        <v>0</v>
      </c>
      <c r="AE476" s="74" t="b">
        <f>IF(Tab.11[[#This Row],[a1]]=1,IF($AE$3=0,Tab.11[[#This Row],[w.0]],Tab.11[[#This Row],[w.0]]/SUM(Tab.11[w.0])))</f>
        <v>0</v>
      </c>
      <c r="AF476" s="76" t="str">
        <f>IF(Tab.11[[#This Row],[a1]]=0,"false",[3]!Tab.x5[[#This Row],[%_seN_C]])</f>
        <v>false</v>
      </c>
      <c r="AG476" s="77" t="b">
        <f>IF(Tab.11[[#This Row],[a1]]=1,AP476)</f>
        <v>0</v>
      </c>
      <c r="AH476" s="78" t="b">
        <f>IF(Tab.11[[#This Row],[a1]]=1,AQ476)</f>
        <v>0</v>
      </c>
      <c r="AI476" s="41">
        <v>3.0000000000000001E-3</v>
      </c>
      <c r="AJ476" s="79">
        <v>0.01</v>
      </c>
      <c r="AK476" s="80" t="b">
        <f>IF(Tab.11[[#This Row],[a1]]=1,1)</f>
        <v>0</v>
      </c>
      <c r="AZ476"/>
    </row>
    <row r="477" spans="1:52" hidden="1" x14ac:dyDescent="0.25">
      <c r="A477" s="61">
        <f t="shared" si="17"/>
        <v>0</v>
      </c>
      <c r="B477" s="62">
        <f t="shared" si="17"/>
        <v>0</v>
      </c>
      <c r="C477" s="62" t="b">
        <f>IF(Tab.11[[#This Row],[a1]]=1,[3]!Tab_x1[[#This Row],[Name]])</f>
        <v>0</v>
      </c>
      <c r="D477" s="63" t="b">
        <f>IF(Tab.11[[#This Row],[a1]]=1,AO477)</f>
        <v>0</v>
      </c>
      <c r="E477" s="63">
        <f t="shared" si="16"/>
        <v>0</v>
      </c>
      <c r="F477" s="64" t="b">
        <f>IF(Tab.11[[#This Row],[a1]]=1,Tab.11[[#This Row],[b1]])</f>
        <v>0</v>
      </c>
      <c r="G477" s="65" t="b">
        <f>IF(Tab.11[[#This Row],[a1]]=1,IF(Tab.11[[#This Row],[b3]]&gt;$L$989*$G$3,$L$989*$G$3,IF(Tab.11[[#This Row],[b3]]&lt;$M$989*$G$3,$M$989*$G$3,Tab.11[[#This Row],[b3]])))</f>
        <v>0</v>
      </c>
      <c r="H477" s="66" t="b">
        <f>IF(Tab.11[[#This Row],[a1]]=1,Tab.11[[#This Row],[b1]])</f>
        <v>0</v>
      </c>
      <c r="I477" s="67" t="b">
        <f>IF(Tab.11[[#This Row],[a1]]=1,Tab.11[[#This Row],[b1]])</f>
        <v>0</v>
      </c>
      <c r="J477" s="68" t="b">
        <f>IF(Tab.11[[#This Row],[a1]]=1,IF($I$3&lt;0,Tab.11[[#This Row],[b5]]-$I$3,Tab.11[[#This Row],[b5]]))</f>
        <v>0</v>
      </c>
      <c r="K477" s="68" t="b">
        <f>IF(Tab.11[[#This Row],[a1]]=1,IF($K$3=0,Tab.11[b6],Tab.11[[#This Row],[b6]]-AVERAGE(Tab.11[b6])))</f>
        <v>0</v>
      </c>
      <c r="L477" s="69" t="b">
        <f>IF(Tab.11[[#This Row],[a1]]=1,Tab.11[[#This Row],[data]]/(_xlfn.STDEV.P(Tab.11[data])*$B$989)+$A$989)</f>
        <v>0</v>
      </c>
      <c r="M477" s="69" t="b">
        <f>IF(Tab.11[[#This Row],[a1]]=1,Tab.11[[#This Row],[data]]/(_xlfn.STDEV.P(Tab.11[data])*$B$987)-$A$987)</f>
        <v>0</v>
      </c>
      <c r="N477" s="69" t="b">
        <f>IF(Tab.11[[#This Row],[a1]]=1,Tab.11[[#This Row],[data]]/(_xlfn.STDEV.P(Tab.11[data])*$B$988)+$A$988)</f>
        <v>0</v>
      </c>
      <c r="O477" s="70" t="b">
        <f>IF(Tab.11[[#This Row],[a1]]=1,_xlfn.NORM.DIST(Tab.11[[#This Row],[b8]],$P$1,$Q$1,FALSE))</f>
        <v>0</v>
      </c>
      <c r="P477" s="70" t="b">
        <f>IF(Tab.11[[#This Row],[a1]]=1,_xlfn.NORM.DIST(Tab.11[[#This Row],[b9]],$P$1,$Q$1,FALSE))</f>
        <v>0</v>
      </c>
      <c r="Q477" s="70" t="b">
        <f>IF(Tab.11[[#This Row],[a1]]=1,_xlfn.NORM.DIST(Tab.11[[#This Row],[b10]],$P$1,$Q$1,FALSE))</f>
        <v>0</v>
      </c>
      <c r="R477" s="67" t="b">
        <f>IF(Tab.11[[#This Row],[a1]]=1,$I$3+$A$989+IF($K$3=0,Tab.11[[#This Row],[b8]]*_xlfn.STDEV.P(Tab.11[data]),AVERAGE(Tab.11[b6])+Tab.11[[#This Row],[b8]]*_xlfn.STDEV.P(Tab.11[data])))</f>
        <v>0</v>
      </c>
      <c r="S477" s="71" t="b">
        <f>IF(Tab.11[[#This Row],[a1]]=1,$I$3+$A$987+IF($K$3=0,Tab.11[[#This Row],[b9]]*_xlfn.STDEV.P(Tab.11[data]),AVERAGE(Tab.11[b6])+Tab.11[[#This Row],[b9]]*_xlfn.STDEV.P(Tab.11[data])))</f>
        <v>0</v>
      </c>
      <c r="T477" s="71" t="b">
        <f>IF(Tab.11[[#This Row],[a1]]=1,$I$3+$A$988+IF($K$3=0,Tab.11[[#This Row],[b10]]*_xlfn.STDEV.P(Tab.11[data]),AVERAGE(Tab.11[b6])+Tab.11[[#This Row],[b10]]*_xlfn.STDEV.P(Tab.11[data])))</f>
        <v>0</v>
      </c>
      <c r="U477" s="72" t="b">
        <f>IF(Tab.11[[#This Row],[a1]]=1,Tab.11[[#This Row],[target]]-Tab.11[[#This Row],[Red]])</f>
        <v>0</v>
      </c>
      <c r="V477" s="72" t="b">
        <f>IF(Tab.11[[#This Row],[a1]]=1,Tab.11[[#This Row],[target]]-Tab.11[[#This Row],[Blue]])</f>
        <v>0</v>
      </c>
      <c r="W477" s="73" t="b">
        <f>IF(Tab.11[[#This Row],[a1]]=1,IF(ABS(Tab.11[[#This Row],[b17]])+ABS(Tab.11[[#This Row],[b18]])&lt;$W$2,$W$2,ABS(Tab.11[[#This Row],[b17]])+ABS(Tab.11[[#This Row],[b18]])))</f>
        <v>0</v>
      </c>
      <c r="X477" s="136" t="b">
        <f>IF(Tab.11[[#This Row],[a1]]=1,IF($W$3&lt;0,Tab.11[[#This Row],[IN]]-$I$3,Tab.11[[#This Row],[IN]]))</f>
        <v>0</v>
      </c>
      <c r="Y477" s="136" t="b">
        <f>IF(Tab.11[[#This Row],[a1]]=1,IF($X$3=0,Tab.11[b66],Tab.11[[#This Row],[b66]]-AVERAGE(Tab.11[b66])))</f>
        <v>0</v>
      </c>
      <c r="Z477" s="135" t="b">
        <f>IF(Tab.11[[#This Row],[a1]]=1,Tab.11[[#This Row],[b77]]/(_xlfn.STDEV.P(Tab.11[b77])))</f>
        <v>0</v>
      </c>
      <c r="AA477" s="70" t="b">
        <f>IF(Tab.11[[#This Row],[a1]]=1,_xlfn.NORM.DIST(Tab.11[[#This Row],[b88]],$Z$1,$AA$1,FALSE))</f>
        <v>0</v>
      </c>
      <c r="AB477" s="74" t="b">
        <f>IF(Tab.11[[#This Row],[a1]]=1,IF($A$3=0,FALSE,1/Tab.11[[#This Row],[IN]]*$AC$2*IF(Tab.11[[#This Row],[a1]]=0,,$A$3*$AC$1*1/$V$3*(Tab.11[[#This Row],[b14]]))))</f>
        <v>0</v>
      </c>
      <c r="AC477" s="75" t="b">
        <f>IF(Tab.11[[#This Row],[a1]]=1,IF($AC$3=0,Tab.11[[#This Row],[φ1]],Tab.11[[#This Row],[φ1]]/MAX(Tab.11[φ1])))</f>
        <v>0</v>
      </c>
      <c r="AD477" s="74" t="b">
        <f>IF(Tab.11[[#This Row],[a1]]=1,1/Tab.11[[#This Row],[φ2]])</f>
        <v>0</v>
      </c>
      <c r="AE477" s="74" t="b">
        <f>IF(Tab.11[[#This Row],[a1]]=1,IF($AE$3=0,Tab.11[[#This Row],[w.0]],Tab.11[[#This Row],[w.0]]/SUM(Tab.11[w.0])))</f>
        <v>0</v>
      </c>
      <c r="AF477" s="76" t="str">
        <f>IF(Tab.11[[#This Row],[a1]]=0,"false",[3]!Tab.x5[[#This Row],[%_seN_C]])</f>
        <v>false</v>
      </c>
      <c r="AG477" s="77" t="b">
        <f>IF(Tab.11[[#This Row],[a1]]=1,AP477)</f>
        <v>0</v>
      </c>
      <c r="AH477" s="78" t="b">
        <f>IF(Tab.11[[#This Row],[a1]]=1,AQ477)</f>
        <v>0</v>
      </c>
      <c r="AI477" s="41">
        <v>3.0000000000000001E-3</v>
      </c>
      <c r="AJ477" s="79">
        <v>0.1</v>
      </c>
      <c r="AK477" s="80" t="b">
        <f>IF(Tab.11[[#This Row],[a1]]=1,1)</f>
        <v>0</v>
      </c>
      <c r="AZ477"/>
    </row>
    <row r="478" spans="1:52" hidden="1" x14ac:dyDescent="0.25">
      <c r="A478" s="61">
        <f t="shared" si="17"/>
        <v>0</v>
      </c>
      <c r="B478" s="62">
        <f t="shared" si="17"/>
        <v>0</v>
      </c>
      <c r="C478" s="62" t="b">
        <f>IF(Tab.11[[#This Row],[a1]]=1,[3]!Tab_x1[[#This Row],[Name]])</f>
        <v>0</v>
      </c>
      <c r="D478" s="63" t="b">
        <f>IF(Tab.11[[#This Row],[a1]]=1,AO478)</f>
        <v>0</v>
      </c>
      <c r="E478" s="63">
        <f t="shared" si="16"/>
        <v>0</v>
      </c>
      <c r="F478" s="64" t="b">
        <f>IF(Tab.11[[#This Row],[a1]]=1,Tab.11[[#This Row],[b1]])</f>
        <v>0</v>
      </c>
      <c r="G478" s="65" t="b">
        <f>IF(Tab.11[[#This Row],[a1]]=1,IF(Tab.11[[#This Row],[b3]]&gt;$L$989*$G$3,$L$989*$G$3,IF(Tab.11[[#This Row],[b3]]&lt;$M$989*$G$3,$M$989*$G$3,Tab.11[[#This Row],[b3]])))</f>
        <v>0</v>
      </c>
      <c r="H478" s="66" t="b">
        <f>IF(Tab.11[[#This Row],[a1]]=1,Tab.11[[#This Row],[b1]])</f>
        <v>0</v>
      </c>
      <c r="I478" s="67" t="b">
        <f>IF(Tab.11[[#This Row],[a1]]=1,Tab.11[[#This Row],[b1]])</f>
        <v>0</v>
      </c>
      <c r="J478" s="68" t="b">
        <f>IF(Tab.11[[#This Row],[a1]]=1,IF($I$3&lt;0,Tab.11[[#This Row],[b5]]-$I$3,Tab.11[[#This Row],[b5]]))</f>
        <v>0</v>
      </c>
      <c r="K478" s="68" t="b">
        <f>IF(Tab.11[[#This Row],[a1]]=1,IF($K$3=0,Tab.11[b6],Tab.11[[#This Row],[b6]]-AVERAGE(Tab.11[b6])))</f>
        <v>0</v>
      </c>
      <c r="L478" s="69" t="b">
        <f>IF(Tab.11[[#This Row],[a1]]=1,Tab.11[[#This Row],[data]]/(_xlfn.STDEV.P(Tab.11[data])*$B$989)+$A$989)</f>
        <v>0</v>
      </c>
      <c r="M478" s="69" t="b">
        <f>IF(Tab.11[[#This Row],[a1]]=1,Tab.11[[#This Row],[data]]/(_xlfn.STDEV.P(Tab.11[data])*$B$987)-$A$987)</f>
        <v>0</v>
      </c>
      <c r="N478" s="69" t="b">
        <f>IF(Tab.11[[#This Row],[a1]]=1,Tab.11[[#This Row],[data]]/(_xlfn.STDEV.P(Tab.11[data])*$B$988)+$A$988)</f>
        <v>0</v>
      </c>
      <c r="O478" s="70" t="b">
        <f>IF(Tab.11[[#This Row],[a1]]=1,_xlfn.NORM.DIST(Tab.11[[#This Row],[b8]],$P$1,$Q$1,FALSE))</f>
        <v>0</v>
      </c>
      <c r="P478" s="70" t="b">
        <f>IF(Tab.11[[#This Row],[a1]]=1,_xlfn.NORM.DIST(Tab.11[[#This Row],[b9]],$P$1,$Q$1,FALSE))</f>
        <v>0</v>
      </c>
      <c r="Q478" s="70" t="b">
        <f>IF(Tab.11[[#This Row],[a1]]=1,_xlfn.NORM.DIST(Tab.11[[#This Row],[b10]],$P$1,$Q$1,FALSE))</f>
        <v>0</v>
      </c>
      <c r="R478" s="67" t="b">
        <f>IF(Tab.11[[#This Row],[a1]]=1,$I$3+$A$989+IF($K$3=0,Tab.11[[#This Row],[b8]]*_xlfn.STDEV.P(Tab.11[data]),AVERAGE(Tab.11[b6])+Tab.11[[#This Row],[b8]]*_xlfn.STDEV.P(Tab.11[data])))</f>
        <v>0</v>
      </c>
      <c r="S478" s="71" t="b">
        <f>IF(Tab.11[[#This Row],[a1]]=1,$I$3+$A$987+IF($K$3=0,Tab.11[[#This Row],[b9]]*_xlfn.STDEV.P(Tab.11[data]),AVERAGE(Tab.11[b6])+Tab.11[[#This Row],[b9]]*_xlfn.STDEV.P(Tab.11[data])))</f>
        <v>0</v>
      </c>
      <c r="T478" s="71" t="b">
        <f>IF(Tab.11[[#This Row],[a1]]=1,$I$3+$A$988+IF($K$3=0,Tab.11[[#This Row],[b10]]*_xlfn.STDEV.P(Tab.11[data]),AVERAGE(Tab.11[b6])+Tab.11[[#This Row],[b10]]*_xlfn.STDEV.P(Tab.11[data])))</f>
        <v>0</v>
      </c>
      <c r="U478" s="72" t="b">
        <f>IF(Tab.11[[#This Row],[a1]]=1,Tab.11[[#This Row],[target]]-Tab.11[[#This Row],[Red]])</f>
        <v>0</v>
      </c>
      <c r="V478" s="72" t="b">
        <f>IF(Tab.11[[#This Row],[a1]]=1,Tab.11[[#This Row],[target]]-Tab.11[[#This Row],[Blue]])</f>
        <v>0</v>
      </c>
      <c r="W478" s="73" t="b">
        <f>IF(Tab.11[[#This Row],[a1]]=1,IF(ABS(Tab.11[[#This Row],[b17]])+ABS(Tab.11[[#This Row],[b18]])&lt;$W$2,$W$2,ABS(Tab.11[[#This Row],[b17]])+ABS(Tab.11[[#This Row],[b18]])))</f>
        <v>0</v>
      </c>
      <c r="X478" s="136" t="b">
        <f>IF(Tab.11[[#This Row],[a1]]=1,IF($W$3&lt;0,Tab.11[[#This Row],[IN]]-$I$3,Tab.11[[#This Row],[IN]]))</f>
        <v>0</v>
      </c>
      <c r="Y478" s="136" t="b">
        <f>IF(Tab.11[[#This Row],[a1]]=1,IF($X$3=0,Tab.11[b66],Tab.11[[#This Row],[b66]]-AVERAGE(Tab.11[b66])))</f>
        <v>0</v>
      </c>
      <c r="Z478" s="135" t="b">
        <f>IF(Tab.11[[#This Row],[a1]]=1,Tab.11[[#This Row],[b77]]/(_xlfn.STDEV.P(Tab.11[b77])))</f>
        <v>0</v>
      </c>
      <c r="AA478" s="70" t="b">
        <f>IF(Tab.11[[#This Row],[a1]]=1,_xlfn.NORM.DIST(Tab.11[[#This Row],[b88]],$Z$1,$AA$1,FALSE))</f>
        <v>0</v>
      </c>
      <c r="AB478" s="74" t="b">
        <f>IF(Tab.11[[#This Row],[a1]]=1,IF($A$3=0,FALSE,1/Tab.11[[#This Row],[IN]]*$AC$2*IF(Tab.11[[#This Row],[a1]]=0,,$A$3*$AC$1*1/$V$3*(Tab.11[[#This Row],[b14]]))))</f>
        <v>0</v>
      </c>
      <c r="AC478" s="75" t="b">
        <f>IF(Tab.11[[#This Row],[a1]]=1,IF($AC$3=0,Tab.11[[#This Row],[φ1]],Tab.11[[#This Row],[φ1]]/MAX(Tab.11[φ1])))</f>
        <v>0</v>
      </c>
      <c r="AD478" s="74" t="b">
        <f>IF(Tab.11[[#This Row],[a1]]=1,1/Tab.11[[#This Row],[φ2]])</f>
        <v>0</v>
      </c>
      <c r="AE478" s="74" t="b">
        <f>IF(Tab.11[[#This Row],[a1]]=1,IF($AE$3=0,Tab.11[[#This Row],[w.0]],Tab.11[[#This Row],[w.0]]/SUM(Tab.11[w.0])))</f>
        <v>0</v>
      </c>
      <c r="AF478" s="76" t="str">
        <f>IF(Tab.11[[#This Row],[a1]]=0,"false",[3]!Tab.x5[[#This Row],[%_seN_C]])</f>
        <v>false</v>
      </c>
      <c r="AG478" s="77" t="b">
        <f>IF(Tab.11[[#This Row],[a1]]=1,AP478)</f>
        <v>0</v>
      </c>
      <c r="AH478" s="78" t="b">
        <f>IF(Tab.11[[#This Row],[a1]]=1,AQ478)</f>
        <v>0</v>
      </c>
      <c r="AI478" s="41">
        <v>3.0000000000000001E-3</v>
      </c>
      <c r="AJ478" s="79">
        <v>-0.06</v>
      </c>
      <c r="AK478" s="80" t="b">
        <f>IF(Tab.11[[#This Row],[a1]]=1,1)</f>
        <v>0</v>
      </c>
      <c r="AZ478"/>
    </row>
    <row r="479" spans="1:52" hidden="1" x14ac:dyDescent="0.25">
      <c r="A479" s="61">
        <f t="shared" si="17"/>
        <v>0</v>
      </c>
      <c r="B479" s="62">
        <f t="shared" si="17"/>
        <v>0</v>
      </c>
      <c r="C479" s="62" t="b">
        <f>IF(Tab.11[[#This Row],[a1]]=1,[3]!Tab_x1[[#This Row],[Name]])</f>
        <v>0</v>
      </c>
      <c r="D479" s="63" t="b">
        <f>IF(Tab.11[[#This Row],[a1]]=1,AO479)</f>
        <v>0</v>
      </c>
      <c r="E479" s="63">
        <f t="shared" si="16"/>
        <v>0</v>
      </c>
      <c r="F479" s="64" t="b">
        <f>IF(Tab.11[[#This Row],[a1]]=1,Tab.11[[#This Row],[b1]])</f>
        <v>0</v>
      </c>
      <c r="G479" s="65" t="b">
        <f>IF(Tab.11[[#This Row],[a1]]=1,IF(Tab.11[[#This Row],[b3]]&gt;$L$989*$G$3,$L$989*$G$3,IF(Tab.11[[#This Row],[b3]]&lt;$M$989*$G$3,$M$989*$G$3,Tab.11[[#This Row],[b3]])))</f>
        <v>0</v>
      </c>
      <c r="H479" s="66" t="b">
        <f>IF(Tab.11[[#This Row],[a1]]=1,Tab.11[[#This Row],[b1]])</f>
        <v>0</v>
      </c>
      <c r="I479" s="67" t="b">
        <f>IF(Tab.11[[#This Row],[a1]]=1,Tab.11[[#This Row],[b1]])</f>
        <v>0</v>
      </c>
      <c r="J479" s="68" t="b">
        <f>IF(Tab.11[[#This Row],[a1]]=1,IF($I$3&lt;0,Tab.11[[#This Row],[b5]]-$I$3,Tab.11[[#This Row],[b5]]))</f>
        <v>0</v>
      </c>
      <c r="K479" s="68" t="b">
        <f>IF(Tab.11[[#This Row],[a1]]=1,IF($K$3=0,Tab.11[b6],Tab.11[[#This Row],[b6]]-AVERAGE(Tab.11[b6])))</f>
        <v>0</v>
      </c>
      <c r="L479" s="69" t="b">
        <f>IF(Tab.11[[#This Row],[a1]]=1,Tab.11[[#This Row],[data]]/(_xlfn.STDEV.P(Tab.11[data])*$B$989)+$A$989)</f>
        <v>0</v>
      </c>
      <c r="M479" s="69" t="b">
        <f>IF(Tab.11[[#This Row],[a1]]=1,Tab.11[[#This Row],[data]]/(_xlfn.STDEV.P(Tab.11[data])*$B$987)-$A$987)</f>
        <v>0</v>
      </c>
      <c r="N479" s="69" t="b">
        <f>IF(Tab.11[[#This Row],[a1]]=1,Tab.11[[#This Row],[data]]/(_xlfn.STDEV.P(Tab.11[data])*$B$988)+$A$988)</f>
        <v>0</v>
      </c>
      <c r="O479" s="70" t="b">
        <f>IF(Tab.11[[#This Row],[a1]]=1,_xlfn.NORM.DIST(Tab.11[[#This Row],[b8]],$P$1,$Q$1,FALSE))</f>
        <v>0</v>
      </c>
      <c r="P479" s="70" t="b">
        <f>IF(Tab.11[[#This Row],[a1]]=1,_xlfn.NORM.DIST(Tab.11[[#This Row],[b9]],$P$1,$Q$1,FALSE))</f>
        <v>0</v>
      </c>
      <c r="Q479" s="70" t="b">
        <f>IF(Tab.11[[#This Row],[a1]]=1,_xlfn.NORM.DIST(Tab.11[[#This Row],[b10]],$P$1,$Q$1,FALSE))</f>
        <v>0</v>
      </c>
      <c r="R479" s="67" t="b">
        <f>IF(Tab.11[[#This Row],[a1]]=1,$I$3+$A$989+IF($K$3=0,Tab.11[[#This Row],[b8]]*_xlfn.STDEV.P(Tab.11[data]),AVERAGE(Tab.11[b6])+Tab.11[[#This Row],[b8]]*_xlfn.STDEV.P(Tab.11[data])))</f>
        <v>0</v>
      </c>
      <c r="S479" s="71" t="b">
        <f>IF(Tab.11[[#This Row],[a1]]=1,$I$3+$A$987+IF($K$3=0,Tab.11[[#This Row],[b9]]*_xlfn.STDEV.P(Tab.11[data]),AVERAGE(Tab.11[b6])+Tab.11[[#This Row],[b9]]*_xlfn.STDEV.P(Tab.11[data])))</f>
        <v>0</v>
      </c>
      <c r="T479" s="71" t="b">
        <f>IF(Tab.11[[#This Row],[a1]]=1,$I$3+$A$988+IF($K$3=0,Tab.11[[#This Row],[b10]]*_xlfn.STDEV.P(Tab.11[data]),AVERAGE(Tab.11[b6])+Tab.11[[#This Row],[b10]]*_xlfn.STDEV.P(Tab.11[data])))</f>
        <v>0</v>
      </c>
      <c r="U479" s="72" t="b">
        <f>IF(Tab.11[[#This Row],[a1]]=1,Tab.11[[#This Row],[target]]-Tab.11[[#This Row],[Red]])</f>
        <v>0</v>
      </c>
      <c r="V479" s="72" t="b">
        <f>IF(Tab.11[[#This Row],[a1]]=1,Tab.11[[#This Row],[target]]-Tab.11[[#This Row],[Blue]])</f>
        <v>0</v>
      </c>
      <c r="W479" s="73" t="b">
        <f>IF(Tab.11[[#This Row],[a1]]=1,IF(ABS(Tab.11[[#This Row],[b17]])+ABS(Tab.11[[#This Row],[b18]])&lt;$W$2,$W$2,ABS(Tab.11[[#This Row],[b17]])+ABS(Tab.11[[#This Row],[b18]])))</f>
        <v>0</v>
      </c>
      <c r="X479" s="136" t="b">
        <f>IF(Tab.11[[#This Row],[a1]]=1,IF($W$3&lt;0,Tab.11[[#This Row],[IN]]-$I$3,Tab.11[[#This Row],[IN]]))</f>
        <v>0</v>
      </c>
      <c r="Y479" s="136" t="b">
        <f>IF(Tab.11[[#This Row],[a1]]=1,IF($X$3=0,Tab.11[b66],Tab.11[[#This Row],[b66]]-AVERAGE(Tab.11[b66])))</f>
        <v>0</v>
      </c>
      <c r="Z479" s="135" t="b">
        <f>IF(Tab.11[[#This Row],[a1]]=1,Tab.11[[#This Row],[b77]]/(_xlfn.STDEV.P(Tab.11[b77])))</f>
        <v>0</v>
      </c>
      <c r="AA479" s="70" t="b">
        <f>IF(Tab.11[[#This Row],[a1]]=1,_xlfn.NORM.DIST(Tab.11[[#This Row],[b88]],$Z$1,$AA$1,FALSE))</f>
        <v>0</v>
      </c>
      <c r="AB479" s="74" t="b">
        <f>IF(Tab.11[[#This Row],[a1]]=1,IF($A$3=0,FALSE,1/Tab.11[[#This Row],[IN]]*$AC$2*IF(Tab.11[[#This Row],[a1]]=0,,$A$3*$AC$1*1/$V$3*(Tab.11[[#This Row],[b14]]))))</f>
        <v>0</v>
      </c>
      <c r="AC479" s="75" t="b">
        <f>IF(Tab.11[[#This Row],[a1]]=1,IF($AC$3=0,Tab.11[[#This Row],[φ1]],Tab.11[[#This Row],[φ1]]/MAX(Tab.11[φ1])))</f>
        <v>0</v>
      </c>
      <c r="AD479" s="74" t="b">
        <f>IF(Tab.11[[#This Row],[a1]]=1,1/Tab.11[[#This Row],[φ2]])</f>
        <v>0</v>
      </c>
      <c r="AE479" s="74" t="b">
        <f>IF(Tab.11[[#This Row],[a1]]=1,IF($AE$3=0,Tab.11[[#This Row],[w.0]],Tab.11[[#This Row],[w.0]]/SUM(Tab.11[w.0])))</f>
        <v>0</v>
      </c>
      <c r="AF479" s="76" t="str">
        <f>IF(Tab.11[[#This Row],[a1]]=0,"false",[3]!Tab.x5[[#This Row],[%_seN_C]])</f>
        <v>false</v>
      </c>
      <c r="AG479" s="77" t="b">
        <f>IF(Tab.11[[#This Row],[a1]]=1,AP479)</f>
        <v>0</v>
      </c>
      <c r="AH479" s="78" t="b">
        <f>IF(Tab.11[[#This Row],[a1]]=1,AQ479)</f>
        <v>0</v>
      </c>
      <c r="AI479" s="41">
        <v>3.0000000000000001E-3</v>
      </c>
      <c r="AJ479" s="79">
        <v>-7.0000000000000007E-2</v>
      </c>
      <c r="AK479" s="80" t="b">
        <f>IF(Tab.11[[#This Row],[a1]]=1,1)</f>
        <v>0</v>
      </c>
      <c r="AZ479"/>
    </row>
    <row r="480" spans="1:52" hidden="1" x14ac:dyDescent="0.25">
      <c r="A480" s="61">
        <f t="shared" si="17"/>
        <v>0</v>
      </c>
      <c r="B480" s="62">
        <f t="shared" si="17"/>
        <v>0</v>
      </c>
      <c r="C480" s="62" t="b">
        <f>IF(Tab.11[[#This Row],[a1]]=1,[3]!Tab_x1[[#This Row],[Name]])</f>
        <v>0</v>
      </c>
      <c r="D480" s="63" t="b">
        <f>IF(Tab.11[[#This Row],[a1]]=1,AO480)</f>
        <v>0</v>
      </c>
      <c r="E480" s="63">
        <f t="shared" si="16"/>
        <v>0</v>
      </c>
      <c r="F480" s="64" t="b">
        <f>IF(Tab.11[[#This Row],[a1]]=1,Tab.11[[#This Row],[b1]])</f>
        <v>0</v>
      </c>
      <c r="G480" s="65" t="b">
        <f>IF(Tab.11[[#This Row],[a1]]=1,IF(Tab.11[[#This Row],[b3]]&gt;$L$989*$G$3,$L$989*$G$3,IF(Tab.11[[#This Row],[b3]]&lt;$M$989*$G$3,$M$989*$G$3,Tab.11[[#This Row],[b3]])))</f>
        <v>0</v>
      </c>
      <c r="H480" s="66" t="b">
        <f>IF(Tab.11[[#This Row],[a1]]=1,Tab.11[[#This Row],[b1]])</f>
        <v>0</v>
      </c>
      <c r="I480" s="67" t="b">
        <f>IF(Tab.11[[#This Row],[a1]]=1,Tab.11[[#This Row],[b1]])</f>
        <v>0</v>
      </c>
      <c r="J480" s="68" t="b">
        <f>IF(Tab.11[[#This Row],[a1]]=1,IF($I$3&lt;0,Tab.11[[#This Row],[b5]]-$I$3,Tab.11[[#This Row],[b5]]))</f>
        <v>0</v>
      </c>
      <c r="K480" s="68" t="b">
        <f>IF(Tab.11[[#This Row],[a1]]=1,IF($K$3=0,Tab.11[b6],Tab.11[[#This Row],[b6]]-AVERAGE(Tab.11[b6])))</f>
        <v>0</v>
      </c>
      <c r="L480" s="69" t="b">
        <f>IF(Tab.11[[#This Row],[a1]]=1,Tab.11[[#This Row],[data]]/(_xlfn.STDEV.P(Tab.11[data])*$B$989)+$A$989)</f>
        <v>0</v>
      </c>
      <c r="M480" s="69" t="b">
        <f>IF(Tab.11[[#This Row],[a1]]=1,Tab.11[[#This Row],[data]]/(_xlfn.STDEV.P(Tab.11[data])*$B$987)-$A$987)</f>
        <v>0</v>
      </c>
      <c r="N480" s="69" t="b">
        <f>IF(Tab.11[[#This Row],[a1]]=1,Tab.11[[#This Row],[data]]/(_xlfn.STDEV.P(Tab.11[data])*$B$988)+$A$988)</f>
        <v>0</v>
      </c>
      <c r="O480" s="70" t="b">
        <f>IF(Tab.11[[#This Row],[a1]]=1,_xlfn.NORM.DIST(Tab.11[[#This Row],[b8]],$P$1,$Q$1,FALSE))</f>
        <v>0</v>
      </c>
      <c r="P480" s="70" t="b">
        <f>IF(Tab.11[[#This Row],[a1]]=1,_xlfn.NORM.DIST(Tab.11[[#This Row],[b9]],$P$1,$Q$1,FALSE))</f>
        <v>0</v>
      </c>
      <c r="Q480" s="70" t="b">
        <f>IF(Tab.11[[#This Row],[a1]]=1,_xlfn.NORM.DIST(Tab.11[[#This Row],[b10]],$P$1,$Q$1,FALSE))</f>
        <v>0</v>
      </c>
      <c r="R480" s="67" t="b">
        <f>IF(Tab.11[[#This Row],[a1]]=1,$I$3+$A$989+IF($K$3=0,Tab.11[[#This Row],[b8]]*_xlfn.STDEV.P(Tab.11[data]),AVERAGE(Tab.11[b6])+Tab.11[[#This Row],[b8]]*_xlfn.STDEV.P(Tab.11[data])))</f>
        <v>0</v>
      </c>
      <c r="S480" s="71" t="b">
        <f>IF(Tab.11[[#This Row],[a1]]=1,$I$3+$A$987+IF($K$3=0,Tab.11[[#This Row],[b9]]*_xlfn.STDEV.P(Tab.11[data]),AVERAGE(Tab.11[b6])+Tab.11[[#This Row],[b9]]*_xlfn.STDEV.P(Tab.11[data])))</f>
        <v>0</v>
      </c>
      <c r="T480" s="71" t="b">
        <f>IF(Tab.11[[#This Row],[a1]]=1,$I$3+$A$988+IF($K$3=0,Tab.11[[#This Row],[b10]]*_xlfn.STDEV.P(Tab.11[data]),AVERAGE(Tab.11[b6])+Tab.11[[#This Row],[b10]]*_xlfn.STDEV.P(Tab.11[data])))</f>
        <v>0</v>
      </c>
      <c r="U480" s="72" t="b">
        <f>IF(Tab.11[[#This Row],[a1]]=1,Tab.11[[#This Row],[target]]-Tab.11[[#This Row],[Red]])</f>
        <v>0</v>
      </c>
      <c r="V480" s="72" t="b">
        <f>IF(Tab.11[[#This Row],[a1]]=1,Tab.11[[#This Row],[target]]-Tab.11[[#This Row],[Blue]])</f>
        <v>0</v>
      </c>
      <c r="W480" s="73" t="b">
        <f>IF(Tab.11[[#This Row],[a1]]=1,IF(ABS(Tab.11[[#This Row],[b17]])+ABS(Tab.11[[#This Row],[b18]])&lt;$W$2,$W$2,ABS(Tab.11[[#This Row],[b17]])+ABS(Tab.11[[#This Row],[b18]])))</f>
        <v>0</v>
      </c>
      <c r="X480" s="136" t="b">
        <f>IF(Tab.11[[#This Row],[a1]]=1,IF($W$3&lt;0,Tab.11[[#This Row],[IN]]-$I$3,Tab.11[[#This Row],[IN]]))</f>
        <v>0</v>
      </c>
      <c r="Y480" s="136" t="b">
        <f>IF(Tab.11[[#This Row],[a1]]=1,IF($X$3=0,Tab.11[b66],Tab.11[[#This Row],[b66]]-AVERAGE(Tab.11[b66])))</f>
        <v>0</v>
      </c>
      <c r="Z480" s="135" t="b">
        <f>IF(Tab.11[[#This Row],[a1]]=1,Tab.11[[#This Row],[b77]]/(_xlfn.STDEV.P(Tab.11[b77])))</f>
        <v>0</v>
      </c>
      <c r="AA480" s="70" t="b">
        <f>IF(Tab.11[[#This Row],[a1]]=1,_xlfn.NORM.DIST(Tab.11[[#This Row],[b88]],$Z$1,$AA$1,FALSE))</f>
        <v>0</v>
      </c>
      <c r="AB480" s="74" t="b">
        <f>IF(Tab.11[[#This Row],[a1]]=1,IF($A$3=0,FALSE,1/Tab.11[[#This Row],[IN]]*$AC$2*IF(Tab.11[[#This Row],[a1]]=0,,$A$3*$AC$1*1/$V$3*(Tab.11[[#This Row],[b14]]))))</f>
        <v>0</v>
      </c>
      <c r="AC480" s="75" t="b">
        <f>IF(Tab.11[[#This Row],[a1]]=1,IF($AC$3=0,Tab.11[[#This Row],[φ1]],Tab.11[[#This Row],[φ1]]/MAX(Tab.11[φ1])))</f>
        <v>0</v>
      </c>
      <c r="AD480" s="74" t="b">
        <f>IF(Tab.11[[#This Row],[a1]]=1,1/Tab.11[[#This Row],[φ2]])</f>
        <v>0</v>
      </c>
      <c r="AE480" s="74" t="b">
        <f>IF(Tab.11[[#This Row],[a1]]=1,IF($AE$3=0,Tab.11[[#This Row],[w.0]],Tab.11[[#This Row],[w.0]]/SUM(Tab.11[w.0])))</f>
        <v>0</v>
      </c>
      <c r="AF480" s="76" t="str">
        <f>IF(Tab.11[[#This Row],[a1]]=0,"false",[3]!Tab.x5[[#This Row],[%_seN_C]])</f>
        <v>false</v>
      </c>
      <c r="AG480" s="77" t="b">
        <f>IF(Tab.11[[#This Row],[a1]]=1,AP480)</f>
        <v>0</v>
      </c>
      <c r="AH480" s="78" t="b">
        <f>IF(Tab.11[[#This Row],[a1]]=1,AQ480)</f>
        <v>0</v>
      </c>
      <c r="AI480" s="41">
        <v>3.0000000000000001E-3</v>
      </c>
      <c r="AJ480" s="79">
        <v>-0.03</v>
      </c>
      <c r="AK480" s="80" t="b">
        <f>IF(Tab.11[[#This Row],[a1]]=1,1)</f>
        <v>0</v>
      </c>
      <c r="AZ480"/>
    </row>
    <row r="481" spans="1:52" hidden="1" x14ac:dyDescent="0.25">
      <c r="A481" s="61">
        <f t="shared" si="17"/>
        <v>0</v>
      </c>
      <c r="B481" s="62">
        <f t="shared" si="17"/>
        <v>0</v>
      </c>
      <c r="C481" s="62" t="b">
        <f>IF(Tab.11[[#This Row],[a1]]=1,[3]!Tab_x1[[#This Row],[Name]])</f>
        <v>0</v>
      </c>
      <c r="D481" s="63" t="b">
        <f>IF(Tab.11[[#This Row],[a1]]=1,AO481)</f>
        <v>0</v>
      </c>
      <c r="E481" s="63">
        <f t="shared" si="16"/>
        <v>0</v>
      </c>
      <c r="F481" s="64" t="b">
        <f>IF(Tab.11[[#This Row],[a1]]=1,Tab.11[[#This Row],[b1]])</f>
        <v>0</v>
      </c>
      <c r="G481" s="65" t="b">
        <f>IF(Tab.11[[#This Row],[a1]]=1,IF(Tab.11[[#This Row],[b3]]&gt;$L$989*$G$3,$L$989*$G$3,IF(Tab.11[[#This Row],[b3]]&lt;$M$989*$G$3,$M$989*$G$3,Tab.11[[#This Row],[b3]])))</f>
        <v>0</v>
      </c>
      <c r="H481" s="66" t="b">
        <f>IF(Tab.11[[#This Row],[a1]]=1,Tab.11[[#This Row],[b1]])</f>
        <v>0</v>
      </c>
      <c r="I481" s="67" t="b">
        <f>IF(Tab.11[[#This Row],[a1]]=1,Tab.11[[#This Row],[b1]])</f>
        <v>0</v>
      </c>
      <c r="J481" s="68" t="b">
        <f>IF(Tab.11[[#This Row],[a1]]=1,IF($I$3&lt;0,Tab.11[[#This Row],[b5]]-$I$3,Tab.11[[#This Row],[b5]]))</f>
        <v>0</v>
      </c>
      <c r="K481" s="68" t="b">
        <f>IF(Tab.11[[#This Row],[a1]]=1,IF($K$3=0,Tab.11[b6],Tab.11[[#This Row],[b6]]-AVERAGE(Tab.11[b6])))</f>
        <v>0</v>
      </c>
      <c r="L481" s="69" t="b">
        <f>IF(Tab.11[[#This Row],[a1]]=1,Tab.11[[#This Row],[data]]/(_xlfn.STDEV.P(Tab.11[data])*$B$989)+$A$989)</f>
        <v>0</v>
      </c>
      <c r="M481" s="69" t="b">
        <f>IF(Tab.11[[#This Row],[a1]]=1,Tab.11[[#This Row],[data]]/(_xlfn.STDEV.P(Tab.11[data])*$B$987)-$A$987)</f>
        <v>0</v>
      </c>
      <c r="N481" s="69" t="b">
        <f>IF(Tab.11[[#This Row],[a1]]=1,Tab.11[[#This Row],[data]]/(_xlfn.STDEV.P(Tab.11[data])*$B$988)+$A$988)</f>
        <v>0</v>
      </c>
      <c r="O481" s="70" t="b">
        <f>IF(Tab.11[[#This Row],[a1]]=1,_xlfn.NORM.DIST(Tab.11[[#This Row],[b8]],$P$1,$Q$1,FALSE))</f>
        <v>0</v>
      </c>
      <c r="P481" s="70" t="b">
        <f>IF(Tab.11[[#This Row],[a1]]=1,_xlfn.NORM.DIST(Tab.11[[#This Row],[b9]],$P$1,$Q$1,FALSE))</f>
        <v>0</v>
      </c>
      <c r="Q481" s="70" t="b">
        <f>IF(Tab.11[[#This Row],[a1]]=1,_xlfn.NORM.DIST(Tab.11[[#This Row],[b10]],$P$1,$Q$1,FALSE))</f>
        <v>0</v>
      </c>
      <c r="R481" s="67" t="b">
        <f>IF(Tab.11[[#This Row],[a1]]=1,$I$3+$A$989+IF($K$3=0,Tab.11[[#This Row],[b8]]*_xlfn.STDEV.P(Tab.11[data]),AVERAGE(Tab.11[b6])+Tab.11[[#This Row],[b8]]*_xlfn.STDEV.P(Tab.11[data])))</f>
        <v>0</v>
      </c>
      <c r="S481" s="71" t="b">
        <f>IF(Tab.11[[#This Row],[a1]]=1,$I$3+$A$987+IF($K$3=0,Tab.11[[#This Row],[b9]]*_xlfn.STDEV.P(Tab.11[data]),AVERAGE(Tab.11[b6])+Tab.11[[#This Row],[b9]]*_xlfn.STDEV.P(Tab.11[data])))</f>
        <v>0</v>
      </c>
      <c r="T481" s="71" t="b">
        <f>IF(Tab.11[[#This Row],[a1]]=1,$I$3+$A$988+IF($K$3=0,Tab.11[[#This Row],[b10]]*_xlfn.STDEV.P(Tab.11[data]),AVERAGE(Tab.11[b6])+Tab.11[[#This Row],[b10]]*_xlfn.STDEV.P(Tab.11[data])))</f>
        <v>0</v>
      </c>
      <c r="U481" s="72" t="b">
        <f>IF(Tab.11[[#This Row],[a1]]=1,Tab.11[[#This Row],[target]]-Tab.11[[#This Row],[Red]])</f>
        <v>0</v>
      </c>
      <c r="V481" s="72" t="b">
        <f>IF(Tab.11[[#This Row],[a1]]=1,Tab.11[[#This Row],[target]]-Tab.11[[#This Row],[Blue]])</f>
        <v>0</v>
      </c>
      <c r="W481" s="73" t="b">
        <f>IF(Tab.11[[#This Row],[a1]]=1,IF(ABS(Tab.11[[#This Row],[b17]])+ABS(Tab.11[[#This Row],[b18]])&lt;$W$2,$W$2,ABS(Tab.11[[#This Row],[b17]])+ABS(Tab.11[[#This Row],[b18]])))</f>
        <v>0</v>
      </c>
      <c r="X481" s="136" t="b">
        <f>IF(Tab.11[[#This Row],[a1]]=1,IF($W$3&lt;0,Tab.11[[#This Row],[IN]]-$I$3,Tab.11[[#This Row],[IN]]))</f>
        <v>0</v>
      </c>
      <c r="Y481" s="136" t="b">
        <f>IF(Tab.11[[#This Row],[a1]]=1,IF($X$3=0,Tab.11[b66],Tab.11[[#This Row],[b66]]-AVERAGE(Tab.11[b66])))</f>
        <v>0</v>
      </c>
      <c r="Z481" s="135" t="b">
        <f>IF(Tab.11[[#This Row],[a1]]=1,Tab.11[[#This Row],[b77]]/(_xlfn.STDEV.P(Tab.11[b77])))</f>
        <v>0</v>
      </c>
      <c r="AA481" s="70" t="b">
        <f>IF(Tab.11[[#This Row],[a1]]=1,_xlfn.NORM.DIST(Tab.11[[#This Row],[b88]],$Z$1,$AA$1,FALSE))</f>
        <v>0</v>
      </c>
      <c r="AB481" s="74" t="b">
        <f>IF(Tab.11[[#This Row],[a1]]=1,IF($A$3=0,FALSE,1/Tab.11[[#This Row],[IN]]*$AC$2*IF(Tab.11[[#This Row],[a1]]=0,,$A$3*$AC$1*1/$V$3*(Tab.11[[#This Row],[b14]]))))</f>
        <v>0</v>
      </c>
      <c r="AC481" s="75" t="b">
        <f>IF(Tab.11[[#This Row],[a1]]=1,IF($AC$3=0,Tab.11[[#This Row],[φ1]],Tab.11[[#This Row],[φ1]]/MAX(Tab.11[φ1])))</f>
        <v>0</v>
      </c>
      <c r="AD481" s="74" t="b">
        <f>IF(Tab.11[[#This Row],[a1]]=1,1/Tab.11[[#This Row],[φ2]])</f>
        <v>0</v>
      </c>
      <c r="AE481" s="74" t="b">
        <f>IF(Tab.11[[#This Row],[a1]]=1,IF($AE$3=0,Tab.11[[#This Row],[w.0]],Tab.11[[#This Row],[w.0]]/SUM(Tab.11[w.0])))</f>
        <v>0</v>
      </c>
      <c r="AF481" s="76" t="str">
        <f>IF(Tab.11[[#This Row],[a1]]=0,"false",[3]!Tab.x5[[#This Row],[%_seN_C]])</f>
        <v>false</v>
      </c>
      <c r="AG481" s="77" t="b">
        <f>IF(Tab.11[[#This Row],[a1]]=1,AP481)</f>
        <v>0</v>
      </c>
      <c r="AH481" s="78" t="b">
        <f>IF(Tab.11[[#This Row],[a1]]=1,AQ481)</f>
        <v>0</v>
      </c>
      <c r="AI481" s="41">
        <v>3.0000000000000001E-3</v>
      </c>
      <c r="AJ481" s="79">
        <v>0.08</v>
      </c>
      <c r="AK481" s="80" t="b">
        <f>IF(Tab.11[[#This Row],[a1]]=1,1)</f>
        <v>0</v>
      </c>
      <c r="AZ481"/>
    </row>
    <row r="482" spans="1:52" hidden="1" x14ac:dyDescent="0.25">
      <c r="A482" s="61">
        <f t="shared" si="17"/>
        <v>0</v>
      </c>
      <c r="B482" s="62">
        <f t="shared" si="17"/>
        <v>0</v>
      </c>
      <c r="C482" s="62" t="b">
        <f>IF(Tab.11[[#This Row],[a1]]=1,[3]!Tab_x1[[#This Row],[Name]])</f>
        <v>0</v>
      </c>
      <c r="D482" s="63" t="b">
        <f>IF(Tab.11[[#This Row],[a1]]=1,AO482)</f>
        <v>0</v>
      </c>
      <c r="E482" s="63">
        <f t="shared" si="16"/>
        <v>0</v>
      </c>
      <c r="F482" s="64" t="b">
        <f>IF(Tab.11[[#This Row],[a1]]=1,Tab.11[[#This Row],[b1]])</f>
        <v>0</v>
      </c>
      <c r="G482" s="65" t="b">
        <f>IF(Tab.11[[#This Row],[a1]]=1,IF(Tab.11[[#This Row],[b3]]&gt;$L$989*$G$3,$L$989*$G$3,IF(Tab.11[[#This Row],[b3]]&lt;$M$989*$G$3,$M$989*$G$3,Tab.11[[#This Row],[b3]])))</f>
        <v>0</v>
      </c>
      <c r="H482" s="66" t="b">
        <f>IF(Tab.11[[#This Row],[a1]]=1,Tab.11[[#This Row],[b1]])</f>
        <v>0</v>
      </c>
      <c r="I482" s="67" t="b">
        <f>IF(Tab.11[[#This Row],[a1]]=1,Tab.11[[#This Row],[b1]])</f>
        <v>0</v>
      </c>
      <c r="J482" s="68" t="b">
        <f>IF(Tab.11[[#This Row],[a1]]=1,IF($I$3&lt;0,Tab.11[[#This Row],[b5]]-$I$3,Tab.11[[#This Row],[b5]]))</f>
        <v>0</v>
      </c>
      <c r="K482" s="68" t="b">
        <f>IF(Tab.11[[#This Row],[a1]]=1,IF($K$3=0,Tab.11[b6],Tab.11[[#This Row],[b6]]-AVERAGE(Tab.11[b6])))</f>
        <v>0</v>
      </c>
      <c r="L482" s="69" t="b">
        <f>IF(Tab.11[[#This Row],[a1]]=1,Tab.11[[#This Row],[data]]/(_xlfn.STDEV.P(Tab.11[data])*$B$989)+$A$989)</f>
        <v>0</v>
      </c>
      <c r="M482" s="69" t="b">
        <f>IF(Tab.11[[#This Row],[a1]]=1,Tab.11[[#This Row],[data]]/(_xlfn.STDEV.P(Tab.11[data])*$B$987)-$A$987)</f>
        <v>0</v>
      </c>
      <c r="N482" s="69" t="b">
        <f>IF(Tab.11[[#This Row],[a1]]=1,Tab.11[[#This Row],[data]]/(_xlfn.STDEV.P(Tab.11[data])*$B$988)+$A$988)</f>
        <v>0</v>
      </c>
      <c r="O482" s="70" t="b">
        <f>IF(Tab.11[[#This Row],[a1]]=1,_xlfn.NORM.DIST(Tab.11[[#This Row],[b8]],$P$1,$Q$1,FALSE))</f>
        <v>0</v>
      </c>
      <c r="P482" s="70" t="b">
        <f>IF(Tab.11[[#This Row],[a1]]=1,_xlfn.NORM.DIST(Tab.11[[#This Row],[b9]],$P$1,$Q$1,FALSE))</f>
        <v>0</v>
      </c>
      <c r="Q482" s="70" t="b">
        <f>IF(Tab.11[[#This Row],[a1]]=1,_xlfn.NORM.DIST(Tab.11[[#This Row],[b10]],$P$1,$Q$1,FALSE))</f>
        <v>0</v>
      </c>
      <c r="R482" s="67" t="b">
        <f>IF(Tab.11[[#This Row],[a1]]=1,$I$3+$A$989+IF($K$3=0,Tab.11[[#This Row],[b8]]*_xlfn.STDEV.P(Tab.11[data]),AVERAGE(Tab.11[b6])+Tab.11[[#This Row],[b8]]*_xlfn.STDEV.P(Tab.11[data])))</f>
        <v>0</v>
      </c>
      <c r="S482" s="71" t="b">
        <f>IF(Tab.11[[#This Row],[a1]]=1,$I$3+$A$987+IF($K$3=0,Tab.11[[#This Row],[b9]]*_xlfn.STDEV.P(Tab.11[data]),AVERAGE(Tab.11[b6])+Tab.11[[#This Row],[b9]]*_xlfn.STDEV.P(Tab.11[data])))</f>
        <v>0</v>
      </c>
      <c r="T482" s="71" t="b">
        <f>IF(Tab.11[[#This Row],[a1]]=1,$I$3+$A$988+IF($K$3=0,Tab.11[[#This Row],[b10]]*_xlfn.STDEV.P(Tab.11[data]),AVERAGE(Tab.11[b6])+Tab.11[[#This Row],[b10]]*_xlfn.STDEV.P(Tab.11[data])))</f>
        <v>0</v>
      </c>
      <c r="U482" s="72" t="b">
        <f>IF(Tab.11[[#This Row],[a1]]=1,Tab.11[[#This Row],[target]]-Tab.11[[#This Row],[Red]])</f>
        <v>0</v>
      </c>
      <c r="V482" s="72" t="b">
        <f>IF(Tab.11[[#This Row],[a1]]=1,Tab.11[[#This Row],[target]]-Tab.11[[#This Row],[Blue]])</f>
        <v>0</v>
      </c>
      <c r="W482" s="73" t="b">
        <f>IF(Tab.11[[#This Row],[a1]]=1,IF(ABS(Tab.11[[#This Row],[b17]])+ABS(Tab.11[[#This Row],[b18]])&lt;$W$2,$W$2,ABS(Tab.11[[#This Row],[b17]])+ABS(Tab.11[[#This Row],[b18]])))</f>
        <v>0</v>
      </c>
      <c r="X482" s="136" t="b">
        <f>IF(Tab.11[[#This Row],[a1]]=1,IF($W$3&lt;0,Tab.11[[#This Row],[IN]]-$I$3,Tab.11[[#This Row],[IN]]))</f>
        <v>0</v>
      </c>
      <c r="Y482" s="136" t="b">
        <f>IF(Tab.11[[#This Row],[a1]]=1,IF($X$3=0,Tab.11[b66],Tab.11[[#This Row],[b66]]-AVERAGE(Tab.11[b66])))</f>
        <v>0</v>
      </c>
      <c r="Z482" s="135" t="b">
        <f>IF(Tab.11[[#This Row],[a1]]=1,Tab.11[[#This Row],[b77]]/(_xlfn.STDEV.P(Tab.11[b77])))</f>
        <v>0</v>
      </c>
      <c r="AA482" s="70" t="b">
        <f>IF(Tab.11[[#This Row],[a1]]=1,_xlfn.NORM.DIST(Tab.11[[#This Row],[b88]],$Z$1,$AA$1,FALSE))</f>
        <v>0</v>
      </c>
      <c r="AB482" s="74" t="b">
        <f>IF(Tab.11[[#This Row],[a1]]=1,IF($A$3=0,FALSE,1/Tab.11[[#This Row],[IN]]*$AC$2*IF(Tab.11[[#This Row],[a1]]=0,,$A$3*$AC$1*1/$V$3*(Tab.11[[#This Row],[b14]]))))</f>
        <v>0</v>
      </c>
      <c r="AC482" s="75" t="b">
        <f>IF(Tab.11[[#This Row],[a1]]=1,IF($AC$3=0,Tab.11[[#This Row],[φ1]],Tab.11[[#This Row],[φ1]]/MAX(Tab.11[φ1])))</f>
        <v>0</v>
      </c>
      <c r="AD482" s="74" t="b">
        <f>IF(Tab.11[[#This Row],[a1]]=1,1/Tab.11[[#This Row],[φ2]])</f>
        <v>0</v>
      </c>
      <c r="AE482" s="74" t="b">
        <f>IF(Tab.11[[#This Row],[a1]]=1,IF($AE$3=0,Tab.11[[#This Row],[w.0]],Tab.11[[#This Row],[w.0]]/SUM(Tab.11[w.0])))</f>
        <v>0</v>
      </c>
      <c r="AF482" s="76" t="str">
        <f>IF(Tab.11[[#This Row],[a1]]=0,"false",[3]!Tab.x5[[#This Row],[%_seN_C]])</f>
        <v>false</v>
      </c>
      <c r="AG482" s="77" t="b">
        <f>IF(Tab.11[[#This Row],[a1]]=1,AP482)</f>
        <v>0</v>
      </c>
      <c r="AH482" s="78" t="b">
        <f>IF(Tab.11[[#This Row],[a1]]=1,AQ482)</f>
        <v>0</v>
      </c>
      <c r="AI482" s="41">
        <v>3.0000000000000001E-3</v>
      </c>
      <c r="AJ482" s="79">
        <v>-0.08</v>
      </c>
      <c r="AK482" s="80" t="b">
        <f>IF(Tab.11[[#This Row],[a1]]=1,1)</f>
        <v>0</v>
      </c>
      <c r="AZ482"/>
    </row>
    <row r="483" spans="1:52" hidden="1" x14ac:dyDescent="0.25">
      <c r="A483" s="61">
        <f t="shared" si="17"/>
        <v>0</v>
      </c>
      <c r="B483" s="62">
        <f t="shared" si="17"/>
        <v>0</v>
      </c>
      <c r="C483" s="62" t="b">
        <f>IF(Tab.11[[#This Row],[a1]]=1,[3]!Tab_x1[[#This Row],[Name]])</f>
        <v>0</v>
      </c>
      <c r="D483" s="63" t="b">
        <f>IF(Tab.11[[#This Row],[a1]]=1,AO483)</f>
        <v>0</v>
      </c>
      <c r="E483" s="63">
        <f t="shared" si="16"/>
        <v>0</v>
      </c>
      <c r="F483" s="64" t="b">
        <f>IF(Tab.11[[#This Row],[a1]]=1,Tab.11[[#This Row],[b1]])</f>
        <v>0</v>
      </c>
      <c r="G483" s="65" t="b">
        <f>IF(Tab.11[[#This Row],[a1]]=1,IF(Tab.11[[#This Row],[b3]]&gt;$L$989*$G$3,$L$989*$G$3,IF(Tab.11[[#This Row],[b3]]&lt;$M$989*$G$3,$M$989*$G$3,Tab.11[[#This Row],[b3]])))</f>
        <v>0</v>
      </c>
      <c r="H483" s="66" t="b">
        <f>IF(Tab.11[[#This Row],[a1]]=1,Tab.11[[#This Row],[b1]])</f>
        <v>0</v>
      </c>
      <c r="I483" s="67" t="b">
        <f>IF(Tab.11[[#This Row],[a1]]=1,Tab.11[[#This Row],[b1]])</f>
        <v>0</v>
      </c>
      <c r="J483" s="68" t="b">
        <f>IF(Tab.11[[#This Row],[a1]]=1,IF($I$3&lt;0,Tab.11[[#This Row],[b5]]-$I$3,Tab.11[[#This Row],[b5]]))</f>
        <v>0</v>
      </c>
      <c r="K483" s="68" t="b">
        <f>IF(Tab.11[[#This Row],[a1]]=1,IF($K$3=0,Tab.11[b6],Tab.11[[#This Row],[b6]]-AVERAGE(Tab.11[b6])))</f>
        <v>0</v>
      </c>
      <c r="L483" s="69" t="b">
        <f>IF(Tab.11[[#This Row],[a1]]=1,Tab.11[[#This Row],[data]]/(_xlfn.STDEV.P(Tab.11[data])*$B$989)+$A$989)</f>
        <v>0</v>
      </c>
      <c r="M483" s="69" t="b">
        <f>IF(Tab.11[[#This Row],[a1]]=1,Tab.11[[#This Row],[data]]/(_xlfn.STDEV.P(Tab.11[data])*$B$987)-$A$987)</f>
        <v>0</v>
      </c>
      <c r="N483" s="69" t="b">
        <f>IF(Tab.11[[#This Row],[a1]]=1,Tab.11[[#This Row],[data]]/(_xlfn.STDEV.P(Tab.11[data])*$B$988)+$A$988)</f>
        <v>0</v>
      </c>
      <c r="O483" s="70" t="b">
        <f>IF(Tab.11[[#This Row],[a1]]=1,_xlfn.NORM.DIST(Tab.11[[#This Row],[b8]],$P$1,$Q$1,FALSE))</f>
        <v>0</v>
      </c>
      <c r="P483" s="70" t="b">
        <f>IF(Tab.11[[#This Row],[a1]]=1,_xlfn.NORM.DIST(Tab.11[[#This Row],[b9]],$P$1,$Q$1,FALSE))</f>
        <v>0</v>
      </c>
      <c r="Q483" s="70" t="b">
        <f>IF(Tab.11[[#This Row],[a1]]=1,_xlfn.NORM.DIST(Tab.11[[#This Row],[b10]],$P$1,$Q$1,FALSE))</f>
        <v>0</v>
      </c>
      <c r="R483" s="67" t="b">
        <f>IF(Tab.11[[#This Row],[a1]]=1,$I$3+$A$989+IF($K$3=0,Tab.11[[#This Row],[b8]]*_xlfn.STDEV.P(Tab.11[data]),AVERAGE(Tab.11[b6])+Tab.11[[#This Row],[b8]]*_xlfn.STDEV.P(Tab.11[data])))</f>
        <v>0</v>
      </c>
      <c r="S483" s="71" t="b">
        <f>IF(Tab.11[[#This Row],[a1]]=1,$I$3+$A$987+IF($K$3=0,Tab.11[[#This Row],[b9]]*_xlfn.STDEV.P(Tab.11[data]),AVERAGE(Tab.11[b6])+Tab.11[[#This Row],[b9]]*_xlfn.STDEV.P(Tab.11[data])))</f>
        <v>0</v>
      </c>
      <c r="T483" s="71" t="b">
        <f>IF(Tab.11[[#This Row],[a1]]=1,$I$3+$A$988+IF($K$3=0,Tab.11[[#This Row],[b10]]*_xlfn.STDEV.P(Tab.11[data]),AVERAGE(Tab.11[b6])+Tab.11[[#This Row],[b10]]*_xlfn.STDEV.P(Tab.11[data])))</f>
        <v>0</v>
      </c>
      <c r="U483" s="72" t="b">
        <f>IF(Tab.11[[#This Row],[a1]]=1,Tab.11[[#This Row],[target]]-Tab.11[[#This Row],[Red]])</f>
        <v>0</v>
      </c>
      <c r="V483" s="72" t="b">
        <f>IF(Tab.11[[#This Row],[a1]]=1,Tab.11[[#This Row],[target]]-Tab.11[[#This Row],[Blue]])</f>
        <v>0</v>
      </c>
      <c r="W483" s="73" t="b">
        <f>IF(Tab.11[[#This Row],[a1]]=1,IF(ABS(Tab.11[[#This Row],[b17]])+ABS(Tab.11[[#This Row],[b18]])&lt;$W$2,$W$2,ABS(Tab.11[[#This Row],[b17]])+ABS(Tab.11[[#This Row],[b18]])))</f>
        <v>0</v>
      </c>
      <c r="X483" s="136" t="b">
        <f>IF(Tab.11[[#This Row],[a1]]=1,IF($W$3&lt;0,Tab.11[[#This Row],[IN]]-$I$3,Tab.11[[#This Row],[IN]]))</f>
        <v>0</v>
      </c>
      <c r="Y483" s="136" t="b">
        <f>IF(Tab.11[[#This Row],[a1]]=1,IF($X$3=0,Tab.11[b66],Tab.11[[#This Row],[b66]]-AVERAGE(Tab.11[b66])))</f>
        <v>0</v>
      </c>
      <c r="Z483" s="135" t="b">
        <f>IF(Tab.11[[#This Row],[a1]]=1,Tab.11[[#This Row],[b77]]/(_xlfn.STDEV.P(Tab.11[b77])))</f>
        <v>0</v>
      </c>
      <c r="AA483" s="70" t="b">
        <f>IF(Tab.11[[#This Row],[a1]]=1,_xlfn.NORM.DIST(Tab.11[[#This Row],[b88]],$Z$1,$AA$1,FALSE))</f>
        <v>0</v>
      </c>
      <c r="AB483" s="74" t="b">
        <f>IF(Tab.11[[#This Row],[a1]]=1,IF($A$3=0,FALSE,1/Tab.11[[#This Row],[IN]]*$AC$2*IF(Tab.11[[#This Row],[a1]]=0,,$A$3*$AC$1*1/$V$3*(Tab.11[[#This Row],[b14]]))))</f>
        <v>0</v>
      </c>
      <c r="AC483" s="75" t="b">
        <f>IF(Tab.11[[#This Row],[a1]]=1,IF($AC$3=0,Tab.11[[#This Row],[φ1]],Tab.11[[#This Row],[φ1]]/MAX(Tab.11[φ1])))</f>
        <v>0</v>
      </c>
      <c r="AD483" s="74" t="b">
        <f>IF(Tab.11[[#This Row],[a1]]=1,1/Tab.11[[#This Row],[φ2]])</f>
        <v>0</v>
      </c>
      <c r="AE483" s="74" t="b">
        <f>IF(Tab.11[[#This Row],[a1]]=1,IF($AE$3=0,Tab.11[[#This Row],[w.0]],Tab.11[[#This Row],[w.0]]/SUM(Tab.11[w.0])))</f>
        <v>0</v>
      </c>
      <c r="AF483" s="76" t="str">
        <f>IF(Tab.11[[#This Row],[a1]]=0,"false",[3]!Tab.x5[[#This Row],[%_seN_C]])</f>
        <v>false</v>
      </c>
      <c r="AG483" s="77" t="b">
        <f>IF(Tab.11[[#This Row],[a1]]=1,AP483)</f>
        <v>0</v>
      </c>
      <c r="AH483" s="78" t="b">
        <f>IF(Tab.11[[#This Row],[a1]]=1,AQ483)</f>
        <v>0</v>
      </c>
      <c r="AI483" s="41">
        <v>3.0000000000000001E-3</v>
      </c>
      <c r="AJ483" s="79">
        <v>-0.04</v>
      </c>
      <c r="AK483" s="80" t="b">
        <f>IF(Tab.11[[#This Row],[a1]]=1,1)</f>
        <v>0</v>
      </c>
      <c r="AZ483"/>
    </row>
    <row r="484" spans="1:52" hidden="1" x14ac:dyDescent="0.25">
      <c r="A484" s="61">
        <f t="shared" si="17"/>
        <v>0</v>
      </c>
      <c r="B484" s="62">
        <f t="shared" si="17"/>
        <v>0</v>
      </c>
      <c r="C484" s="62" t="b">
        <f>IF(Tab.11[[#This Row],[a1]]=1,[3]!Tab_x1[[#This Row],[Name]])</f>
        <v>0</v>
      </c>
      <c r="D484" s="63" t="b">
        <f>IF(Tab.11[[#This Row],[a1]]=1,AO484)</f>
        <v>0</v>
      </c>
      <c r="E484" s="63">
        <f t="shared" si="16"/>
        <v>0</v>
      </c>
      <c r="F484" s="64" t="b">
        <f>IF(Tab.11[[#This Row],[a1]]=1,Tab.11[[#This Row],[b1]])</f>
        <v>0</v>
      </c>
      <c r="G484" s="65" t="b">
        <f>IF(Tab.11[[#This Row],[a1]]=1,IF(Tab.11[[#This Row],[b3]]&gt;$L$989*$G$3,$L$989*$G$3,IF(Tab.11[[#This Row],[b3]]&lt;$M$989*$G$3,$M$989*$G$3,Tab.11[[#This Row],[b3]])))</f>
        <v>0</v>
      </c>
      <c r="H484" s="66" t="b">
        <f>IF(Tab.11[[#This Row],[a1]]=1,Tab.11[[#This Row],[b1]])</f>
        <v>0</v>
      </c>
      <c r="I484" s="67" t="b">
        <f>IF(Tab.11[[#This Row],[a1]]=1,Tab.11[[#This Row],[b1]])</f>
        <v>0</v>
      </c>
      <c r="J484" s="68" t="b">
        <f>IF(Tab.11[[#This Row],[a1]]=1,IF($I$3&lt;0,Tab.11[[#This Row],[b5]]-$I$3,Tab.11[[#This Row],[b5]]))</f>
        <v>0</v>
      </c>
      <c r="K484" s="68" t="b">
        <f>IF(Tab.11[[#This Row],[a1]]=1,IF($K$3=0,Tab.11[b6],Tab.11[[#This Row],[b6]]-AVERAGE(Tab.11[b6])))</f>
        <v>0</v>
      </c>
      <c r="L484" s="69" t="b">
        <f>IF(Tab.11[[#This Row],[a1]]=1,Tab.11[[#This Row],[data]]/(_xlfn.STDEV.P(Tab.11[data])*$B$989)+$A$989)</f>
        <v>0</v>
      </c>
      <c r="M484" s="69" t="b">
        <f>IF(Tab.11[[#This Row],[a1]]=1,Tab.11[[#This Row],[data]]/(_xlfn.STDEV.P(Tab.11[data])*$B$987)-$A$987)</f>
        <v>0</v>
      </c>
      <c r="N484" s="69" t="b">
        <f>IF(Tab.11[[#This Row],[a1]]=1,Tab.11[[#This Row],[data]]/(_xlfn.STDEV.P(Tab.11[data])*$B$988)+$A$988)</f>
        <v>0</v>
      </c>
      <c r="O484" s="70" t="b">
        <f>IF(Tab.11[[#This Row],[a1]]=1,_xlfn.NORM.DIST(Tab.11[[#This Row],[b8]],$P$1,$Q$1,FALSE))</f>
        <v>0</v>
      </c>
      <c r="P484" s="70" t="b">
        <f>IF(Tab.11[[#This Row],[a1]]=1,_xlfn.NORM.DIST(Tab.11[[#This Row],[b9]],$P$1,$Q$1,FALSE))</f>
        <v>0</v>
      </c>
      <c r="Q484" s="70" t="b">
        <f>IF(Tab.11[[#This Row],[a1]]=1,_xlfn.NORM.DIST(Tab.11[[#This Row],[b10]],$P$1,$Q$1,FALSE))</f>
        <v>0</v>
      </c>
      <c r="R484" s="67" t="b">
        <f>IF(Tab.11[[#This Row],[a1]]=1,$I$3+$A$989+IF($K$3=0,Tab.11[[#This Row],[b8]]*_xlfn.STDEV.P(Tab.11[data]),AVERAGE(Tab.11[b6])+Tab.11[[#This Row],[b8]]*_xlfn.STDEV.P(Tab.11[data])))</f>
        <v>0</v>
      </c>
      <c r="S484" s="71" t="b">
        <f>IF(Tab.11[[#This Row],[a1]]=1,$I$3+$A$987+IF($K$3=0,Tab.11[[#This Row],[b9]]*_xlfn.STDEV.P(Tab.11[data]),AVERAGE(Tab.11[b6])+Tab.11[[#This Row],[b9]]*_xlfn.STDEV.P(Tab.11[data])))</f>
        <v>0</v>
      </c>
      <c r="T484" s="71" t="b">
        <f>IF(Tab.11[[#This Row],[a1]]=1,$I$3+$A$988+IF($K$3=0,Tab.11[[#This Row],[b10]]*_xlfn.STDEV.P(Tab.11[data]),AVERAGE(Tab.11[b6])+Tab.11[[#This Row],[b10]]*_xlfn.STDEV.P(Tab.11[data])))</f>
        <v>0</v>
      </c>
      <c r="U484" s="72" t="b">
        <f>IF(Tab.11[[#This Row],[a1]]=1,Tab.11[[#This Row],[target]]-Tab.11[[#This Row],[Red]])</f>
        <v>0</v>
      </c>
      <c r="V484" s="72" t="b">
        <f>IF(Tab.11[[#This Row],[a1]]=1,Tab.11[[#This Row],[target]]-Tab.11[[#This Row],[Blue]])</f>
        <v>0</v>
      </c>
      <c r="W484" s="73" t="b">
        <f>IF(Tab.11[[#This Row],[a1]]=1,IF(ABS(Tab.11[[#This Row],[b17]])+ABS(Tab.11[[#This Row],[b18]])&lt;$W$2,$W$2,ABS(Tab.11[[#This Row],[b17]])+ABS(Tab.11[[#This Row],[b18]])))</f>
        <v>0</v>
      </c>
      <c r="X484" s="136" t="b">
        <f>IF(Tab.11[[#This Row],[a1]]=1,IF($W$3&lt;0,Tab.11[[#This Row],[IN]]-$I$3,Tab.11[[#This Row],[IN]]))</f>
        <v>0</v>
      </c>
      <c r="Y484" s="136" t="b">
        <f>IF(Tab.11[[#This Row],[a1]]=1,IF($X$3=0,Tab.11[b66],Tab.11[[#This Row],[b66]]-AVERAGE(Tab.11[b66])))</f>
        <v>0</v>
      </c>
      <c r="Z484" s="135" t="b">
        <f>IF(Tab.11[[#This Row],[a1]]=1,Tab.11[[#This Row],[b77]]/(_xlfn.STDEV.P(Tab.11[b77])))</f>
        <v>0</v>
      </c>
      <c r="AA484" s="70" t="b">
        <f>IF(Tab.11[[#This Row],[a1]]=1,_xlfn.NORM.DIST(Tab.11[[#This Row],[b88]],$Z$1,$AA$1,FALSE))</f>
        <v>0</v>
      </c>
      <c r="AB484" s="74" t="b">
        <f>IF(Tab.11[[#This Row],[a1]]=1,IF($A$3=0,FALSE,1/Tab.11[[#This Row],[IN]]*$AC$2*IF(Tab.11[[#This Row],[a1]]=0,,$A$3*$AC$1*1/$V$3*(Tab.11[[#This Row],[b14]]))))</f>
        <v>0</v>
      </c>
      <c r="AC484" s="75" t="b">
        <f>IF(Tab.11[[#This Row],[a1]]=1,IF($AC$3=0,Tab.11[[#This Row],[φ1]],Tab.11[[#This Row],[φ1]]/MAX(Tab.11[φ1])))</f>
        <v>0</v>
      </c>
      <c r="AD484" s="74" t="b">
        <f>IF(Tab.11[[#This Row],[a1]]=1,1/Tab.11[[#This Row],[φ2]])</f>
        <v>0</v>
      </c>
      <c r="AE484" s="74" t="b">
        <f>IF(Tab.11[[#This Row],[a1]]=1,IF($AE$3=0,Tab.11[[#This Row],[w.0]],Tab.11[[#This Row],[w.0]]/SUM(Tab.11[w.0])))</f>
        <v>0</v>
      </c>
      <c r="AF484" s="76" t="str">
        <f>IF(Tab.11[[#This Row],[a1]]=0,"false",[3]!Tab.x5[[#This Row],[%_seN_C]])</f>
        <v>false</v>
      </c>
      <c r="AG484" s="77" t="b">
        <f>IF(Tab.11[[#This Row],[a1]]=1,AP484)</f>
        <v>0</v>
      </c>
      <c r="AH484" s="78" t="b">
        <f>IF(Tab.11[[#This Row],[a1]]=1,AQ484)</f>
        <v>0</v>
      </c>
      <c r="AI484" s="41">
        <v>3.0000000000000001E-3</v>
      </c>
      <c r="AJ484" s="79">
        <v>0.08</v>
      </c>
      <c r="AK484" s="80" t="b">
        <f>IF(Tab.11[[#This Row],[a1]]=1,1)</f>
        <v>0</v>
      </c>
      <c r="AZ484"/>
    </row>
    <row r="485" spans="1:52" hidden="1" x14ac:dyDescent="0.25">
      <c r="A485" s="61">
        <f t="shared" si="17"/>
        <v>0</v>
      </c>
      <c r="B485" s="62">
        <f t="shared" si="17"/>
        <v>0</v>
      </c>
      <c r="C485" s="62" t="b">
        <f>IF(Tab.11[[#This Row],[a1]]=1,[3]!Tab_x1[[#This Row],[Name]])</f>
        <v>0</v>
      </c>
      <c r="D485" s="63" t="b">
        <f>IF(Tab.11[[#This Row],[a1]]=1,AO485)</f>
        <v>0</v>
      </c>
      <c r="E485" s="63">
        <f t="shared" si="16"/>
        <v>0</v>
      </c>
      <c r="F485" s="64" t="b">
        <f>IF(Tab.11[[#This Row],[a1]]=1,Tab.11[[#This Row],[b1]])</f>
        <v>0</v>
      </c>
      <c r="G485" s="65" t="b">
        <f>IF(Tab.11[[#This Row],[a1]]=1,IF(Tab.11[[#This Row],[b3]]&gt;$L$989*$G$3,$L$989*$G$3,IF(Tab.11[[#This Row],[b3]]&lt;$M$989*$G$3,$M$989*$G$3,Tab.11[[#This Row],[b3]])))</f>
        <v>0</v>
      </c>
      <c r="H485" s="66" t="b">
        <f>IF(Tab.11[[#This Row],[a1]]=1,Tab.11[[#This Row],[b1]])</f>
        <v>0</v>
      </c>
      <c r="I485" s="67" t="b">
        <f>IF(Tab.11[[#This Row],[a1]]=1,Tab.11[[#This Row],[b1]])</f>
        <v>0</v>
      </c>
      <c r="J485" s="68" t="b">
        <f>IF(Tab.11[[#This Row],[a1]]=1,IF($I$3&lt;0,Tab.11[[#This Row],[b5]]-$I$3,Tab.11[[#This Row],[b5]]))</f>
        <v>0</v>
      </c>
      <c r="K485" s="68" t="b">
        <f>IF(Tab.11[[#This Row],[a1]]=1,IF($K$3=0,Tab.11[b6],Tab.11[[#This Row],[b6]]-AVERAGE(Tab.11[b6])))</f>
        <v>0</v>
      </c>
      <c r="L485" s="69" t="b">
        <f>IF(Tab.11[[#This Row],[a1]]=1,Tab.11[[#This Row],[data]]/(_xlfn.STDEV.P(Tab.11[data])*$B$989)+$A$989)</f>
        <v>0</v>
      </c>
      <c r="M485" s="69" t="b">
        <f>IF(Tab.11[[#This Row],[a1]]=1,Tab.11[[#This Row],[data]]/(_xlfn.STDEV.P(Tab.11[data])*$B$987)-$A$987)</f>
        <v>0</v>
      </c>
      <c r="N485" s="69" t="b">
        <f>IF(Tab.11[[#This Row],[a1]]=1,Tab.11[[#This Row],[data]]/(_xlfn.STDEV.P(Tab.11[data])*$B$988)+$A$988)</f>
        <v>0</v>
      </c>
      <c r="O485" s="70" t="b">
        <f>IF(Tab.11[[#This Row],[a1]]=1,_xlfn.NORM.DIST(Tab.11[[#This Row],[b8]],$P$1,$Q$1,FALSE))</f>
        <v>0</v>
      </c>
      <c r="P485" s="70" t="b">
        <f>IF(Tab.11[[#This Row],[a1]]=1,_xlfn.NORM.DIST(Tab.11[[#This Row],[b9]],$P$1,$Q$1,FALSE))</f>
        <v>0</v>
      </c>
      <c r="Q485" s="70" t="b">
        <f>IF(Tab.11[[#This Row],[a1]]=1,_xlfn.NORM.DIST(Tab.11[[#This Row],[b10]],$P$1,$Q$1,FALSE))</f>
        <v>0</v>
      </c>
      <c r="R485" s="67" t="b">
        <f>IF(Tab.11[[#This Row],[a1]]=1,$I$3+$A$989+IF($K$3=0,Tab.11[[#This Row],[b8]]*_xlfn.STDEV.P(Tab.11[data]),AVERAGE(Tab.11[b6])+Tab.11[[#This Row],[b8]]*_xlfn.STDEV.P(Tab.11[data])))</f>
        <v>0</v>
      </c>
      <c r="S485" s="71" t="b">
        <f>IF(Tab.11[[#This Row],[a1]]=1,$I$3+$A$987+IF($K$3=0,Tab.11[[#This Row],[b9]]*_xlfn.STDEV.P(Tab.11[data]),AVERAGE(Tab.11[b6])+Tab.11[[#This Row],[b9]]*_xlfn.STDEV.P(Tab.11[data])))</f>
        <v>0</v>
      </c>
      <c r="T485" s="71" t="b">
        <f>IF(Tab.11[[#This Row],[a1]]=1,$I$3+$A$988+IF($K$3=0,Tab.11[[#This Row],[b10]]*_xlfn.STDEV.P(Tab.11[data]),AVERAGE(Tab.11[b6])+Tab.11[[#This Row],[b10]]*_xlfn.STDEV.P(Tab.11[data])))</f>
        <v>0</v>
      </c>
      <c r="U485" s="72" t="b">
        <f>IF(Tab.11[[#This Row],[a1]]=1,Tab.11[[#This Row],[target]]-Tab.11[[#This Row],[Red]])</f>
        <v>0</v>
      </c>
      <c r="V485" s="72" t="b">
        <f>IF(Tab.11[[#This Row],[a1]]=1,Tab.11[[#This Row],[target]]-Tab.11[[#This Row],[Blue]])</f>
        <v>0</v>
      </c>
      <c r="W485" s="73" t="b">
        <f>IF(Tab.11[[#This Row],[a1]]=1,IF(ABS(Tab.11[[#This Row],[b17]])+ABS(Tab.11[[#This Row],[b18]])&lt;$W$2,$W$2,ABS(Tab.11[[#This Row],[b17]])+ABS(Tab.11[[#This Row],[b18]])))</f>
        <v>0</v>
      </c>
      <c r="X485" s="136" t="b">
        <f>IF(Tab.11[[#This Row],[a1]]=1,IF($W$3&lt;0,Tab.11[[#This Row],[IN]]-$I$3,Tab.11[[#This Row],[IN]]))</f>
        <v>0</v>
      </c>
      <c r="Y485" s="136" t="b">
        <f>IF(Tab.11[[#This Row],[a1]]=1,IF($X$3=0,Tab.11[b66],Tab.11[[#This Row],[b66]]-AVERAGE(Tab.11[b66])))</f>
        <v>0</v>
      </c>
      <c r="Z485" s="135" t="b">
        <f>IF(Tab.11[[#This Row],[a1]]=1,Tab.11[[#This Row],[b77]]/(_xlfn.STDEV.P(Tab.11[b77])))</f>
        <v>0</v>
      </c>
      <c r="AA485" s="70" t="b">
        <f>IF(Tab.11[[#This Row],[a1]]=1,_xlfn.NORM.DIST(Tab.11[[#This Row],[b88]],$Z$1,$AA$1,FALSE))</f>
        <v>0</v>
      </c>
      <c r="AB485" s="74" t="b">
        <f>IF(Tab.11[[#This Row],[a1]]=1,IF($A$3=0,FALSE,1/Tab.11[[#This Row],[IN]]*$AC$2*IF(Tab.11[[#This Row],[a1]]=0,,$A$3*$AC$1*1/$V$3*(Tab.11[[#This Row],[b14]]))))</f>
        <v>0</v>
      </c>
      <c r="AC485" s="75" t="b">
        <f>IF(Tab.11[[#This Row],[a1]]=1,IF($AC$3=0,Tab.11[[#This Row],[φ1]],Tab.11[[#This Row],[φ1]]/MAX(Tab.11[φ1])))</f>
        <v>0</v>
      </c>
      <c r="AD485" s="74" t="b">
        <f>IF(Tab.11[[#This Row],[a1]]=1,1/Tab.11[[#This Row],[φ2]])</f>
        <v>0</v>
      </c>
      <c r="AE485" s="74" t="b">
        <f>IF(Tab.11[[#This Row],[a1]]=1,IF($AE$3=0,Tab.11[[#This Row],[w.0]],Tab.11[[#This Row],[w.0]]/SUM(Tab.11[w.0])))</f>
        <v>0</v>
      </c>
      <c r="AF485" s="76" t="str">
        <f>IF(Tab.11[[#This Row],[a1]]=0,"false",[3]!Tab.x5[[#This Row],[%_seN_C]])</f>
        <v>false</v>
      </c>
      <c r="AG485" s="77" t="b">
        <f>IF(Tab.11[[#This Row],[a1]]=1,AP485)</f>
        <v>0</v>
      </c>
      <c r="AH485" s="78" t="b">
        <f>IF(Tab.11[[#This Row],[a1]]=1,AQ485)</f>
        <v>0</v>
      </c>
      <c r="AI485" s="41">
        <v>3.0000000000000001E-3</v>
      </c>
      <c r="AJ485" s="79">
        <v>0</v>
      </c>
      <c r="AK485" s="80" t="b">
        <f>IF(Tab.11[[#This Row],[a1]]=1,1)</f>
        <v>0</v>
      </c>
      <c r="AZ485"/>
    </row>
    <row r="486" spans="1:52" hidden="1" x14ac:dyDescent="0.25">
      <c r="A486" s="61">
        <f t="shared" si="17"/>
        <v>0</v>
      </c>
      <c r="B486" s="62">
        <f t="shared" si="17"/>
        <v>0</v>
      </c>
      <c r="C486" s="62" t="b">
        <f>IF(Tab.11[[#This Row],[a1]]=1,[3]!Tab_x1[[#This Row],[Name]])</f>
        <v>0</v>
      </c>
      <c r="D486" s="63" t="b">
        <f>IF(Tab.11[[#This Row],[a1]]=1,AO486)</f>
        <v>0</v>
      </c>
      <c r="E486" s="63">
        <f t="shared" si="16"/>
        <v>0</v>
      </c>
      <c r="F486" s="64" t="b">
        <f>IF(Tab.11[[#This Row],[a1]]=1,Tab.11[[#This Row],[b1]])</f>
        <v>0</v>
      </c>
      <c r="G486" s="65" t="b">
        <f>IF(Tab.11[[#This Row],[a1]]=1,IF(Tab.11[[#This Row],[b3]]&gt;$L$989*$G$3,$L$989*$G$3,IF(Tab.11[[#This Row],[b3]]&lt;$M$989*$G$3,$M$989*$G$3,Tab.11[[#This Row],[b3]])))</f>
        <v>0</v>
      </c>
      <c r="H486" s="66" t="b">
        <f>IF(Tab.11[[#This Row],[a1]]=1,Tab.11[[#This Row],[b1]])</f>
        <v>0</v>
      </c>
      <c r="I486" s="67" t="b">
        <f>IF(Tab.11[[#This Row],[a1]]=1,Tab.11[[#This Row],[b1]])</f>
        <v>0</v>
      </c>
      <c r="J486" s="68" t="b">
        <f>IF(Tab.11[[#This Row],[a1]]=1,IF($I$3&lt;0,Tab.11[[#This Row],[b5]]-$I$3,Tab.11[[#This Row],[b5]]))</f>
        <v>0</v>
      </c>
      <c r="K486" s="68" t="b">
        <f>IF(Tab.11[[#This Row],[a1]]=1,IF($K$3=0,Tab.11[b6],Tab.11[[#This Row],[b6]]-AVERAGE(Tab.11[b6])))</f>
        <v>0</v>
      </c>
      <c r="L486" s="69" t="b">
        <f>IF(Tab.11[[#This Row],[a1]]=1,Tab.11[[#This Row],[data]]/(_xlfn.STDEV.P(Tab.11[data])*$B$989)+$A$989)</f>
        <v>0</v>
      </c>
      <c r="M486" s="69" t="b">
        <f>IF(Tab.11[[#This Row],[a1]]=1,Tab.11[[#This Row],[data]]/(_xlfn.STDEV.P(Tab.11[data])*$B$987)-$A$987)</f>
        <v>0</v>
      </c>
      <c r="N486" s="69" t="b">
        <f>IF(Tab.11[[#This Row],[a1]]=1,Tab.11[[#This Row],[data]]/(_xlfn.STDEV.P(Tab.11[data])*$B$988)+$A$988)</f>
        <v>0</v>
      </c>
      <c r="O486" s="70" t="b">
        <f>IF(Tab.11[[#This Row],[a1]]=1,_xlfn.NORM.DIST(Tab.11[[#This Row],[b8]],$P$1,$Q$1,FALSE))</f>
        <v>0</v>
      </c>
      <c r="P486" s="70" t="b">
        <f>IF(Tab.11[[#This Row],[a1]]=1,_xlfn.NORM.DIST(Tab.11[[#This Row],[b9]],$P$1,$Q$1,FALSE))</f>
        <v>0</v>
      </c>
      <c r="Q486" s="70" t="b">
        <f>IF(Tab.11[[#This Row],[a1]]=1,_xlfn.NORM.DIST(Tab.11[[#This Row],[b10]],$P$1,$Q$1,FALSE))</f>
        <v>0</v>
      </c>
      <c r="R486" s="67" t="b">
        <f>IF(Tab.11[[#This Row],[a1]]=1,$I$3+$A$989+IF($K$3=0,Tab.11[[#This Row],[b8]]*_xlfn.STDEV.P(Tab.11[data]),AVERAGE(Tab.11[b6])+Tab.11[[#This Row],[b8]]*_xlfn.STDEV.P(Tab.11[data])))</f>
        <v>0</v>
      </c>
      <c r="S486" s="71" t="b">
        <f>IF(Tab.11[[#This Row],[a1]]=1,$I$3+$A$987+IF($K$3=0,Tab.11[[#This Row],[b9]]*_xlfn.STDEV.P(Tab.11[data]),AVERAGE(Tab.11[b6])+Tab.11[[#This Row],[b9]]*_xlfn.STDEV.P(Tab.11[data])))</f>
        <v>0</v>
      </c>
      <c r="T486" s="71" t="b">
        <f>IF(Tab.11[[#This Row],[a1]]=1,$I$3+$A$988+IF($K$3=0,Tab.11[[#This Row],[b10]]*_xlfn.STDEV.P(Tab.11[data]),AVERAGE(Tab.11[b6])+Tab.11[[#This Row],[b10]]*_xlfn.STDEV.P(Tab.11[data])))</f>
        <v>0</v>
      </c>
      <c r="U486" s="72" t="b">
        <f>IF(Tab.11[[#This Row],[a1]]=1,Tab.11[[#This Row],[target]]-Tab.11[[#This Row],[Red]])</f>
        <v>0</v>
      </c>
      <c r="V486" s="72" t="b">
        <f>IF(Tab.11[[#This Row],[a1]]=1,Tab.11[[#This Row],[target]]-Tab.11[[#This Row],[Blue]])</f>
        <v>0</v>
      </c>
      <c r="W486" s="73" t="b">
        <f>IF(Tab.11[[#This Row],[a1]]=1,IF(ABS(Tab.11[[#This Row],[b17]])+ABS(Tab.11[[#This Row],[b18]])&lt;$W$2,$W$2,ABS(Tab.11[[#This Row],[b17]])+ABS(Tab.11[[#This Row],[b18]])))</f>
        <v>0</v>
      </c>
      <c r="X486" s="136" t="b">
        <f>IF(Tab.11[[#This Row],[a1]]=1,IF($W$3&lt;0,Tab.11[[#This Row],[IN]]-$I$3,Tab.11[[#This Row],[IN]]))</f>
        <v>0</v>
      </c>
      <c r="Y486" s="136" t="b">
        <f>IF(Tab.11[[#This Row],[a1]]=1,IF($X$3=0,Tab.11[b66],Tab.11[[#This Row],[b66]]-AVERAGE(Tab.11[b66])))</f>
        <v>0</v>
      </c>
      <c r="Z486" s="135" t="b">
        <f>IF(Tab.11[[#This Row],[a1]]=1,Tab.11[[#This Row],[b77]]/(_xlfn.STDEV.P(Tab.11[b77])))</f>
        <v>0</v>
      </c>
      <c r="AA486" s="70" t="b">
        <f>IF(Tab.11[[#This Row],[a1]]=1,_xlfn.NORM.DIST(Tab.11[[#This Row],[b88]],$Z$1,$AA$1,FALSE))</f>
        <v>0</v>
      </c>
      <c r="AB486" s="74" t="b">
        <f>IF(Tab.11[[#This Row],[a1]]=1,IF($A$3=0,FALSE,1/Tab.11[[#This Row],[IN]]*$AC$2*IF(Tab.11[[#This Row],[a1]]=0,,$A$3*$AC$1*1/$V$3*(Tab.11[[#This Row],[b14]]))))</f>
        <v>0</v>
      </c>
      <c r="AC486" s="75" t="b">
        <f>IF(Tab.11[[#This Row],[a1]]=1,IF($AC$3=0,Tab.11[[#This Row],[φ1]],Tab.11[[#This Row],[φ1]]/MAX(Tab.11[φ1])))</f>
        <v>0</v>
      </c>
      <c r="AD486" s="74" t="b">
        <f>IF(Tab.11[[#This Row],[a1]]=1,1/Tab.11[[#This Row],[φ2]])</f>
        <v>0</v>
      </c>
      <c r="AE486" s="74" t="b">
        <f>IF(Tab.11[[#This Row],[a1]]=1,IF($AE$3=0,Tab.11[[#This Row],[w.0]],Tab.11[[#This Row],[w.0]]/SUM(Tab.11[w.0])))</f>
        <v>0</v>
      </c>
      <c r="AF486" s="76" t="str">
        <f>IF(Tab.11[[#This Row],[a1]]=0,"false",[3]!Tab.x5[[#This Row],[%_seN_C]])</f>
        <v>false</v>
      </c>
      <c r="AG486" s="77" t="b">
        <f>IF(Tab.11[[#This Row],[a1]]=1,AP486)</f>
        <v>0</v>
      </c>
      <c r="AH486" s="78" t="b">
        <f>IF(Tab.11[[#This Row],[a1]]=1,AQ486)</f>
        <v>0</v>
      </c>
      <c r="AI486" s="41">
        <v>3.0000000000000001E-3</v>
      </c>
      <c r="AJ486" s="79">
        <v>0.06</v>
      </c>
      <c r="AK486" s="80" t="b">
        <f>IF(Tab.11[[#This Row],[a1]]=1,1)</f>
        <v>0</v>
      </c>
      <c r="AZ486"/>
    </row>
    <row r="487" spans="1:52" hidden="1" x14ac:dyDescent="0.25">
      <c r="A487" s="61">
        <f t="shared" si="17"/>
        <v>0</v>
      </c>
      <c r="B487" s="62">
        <f t="shared" si="17"/>
        <v>0</v>
      </c>
      <c r="C487" s="62" t="b">
        <f>IF(Tab.11[[#This Row],[a1]]=1,[3]!Tab_x1[[#This Row],[Name]])</f>
        <v>0</v>
      </c>
      <c r="D487" s="63" t="b">
        <f>IF(Tab.11[[#This Row],[a1]]=1,AO487)</f>
        <v>0</v>
      </c>
      <c r="E487" s="63">
        <f t="shared" si="16"/>
        <v>0</v>
      </c>
      <c r="F487" s="64" t="b">
        <f>IF(Tab.11[[#This Row],[a1]]=1,Tab.11[[#This Row],[b1]])</f>
        <v>0</v>
      </c>
      <c r="G487" s="65" t="b">
        <f>IF(Tab.11[[#This Row],[a1]]=1,IF(Tab.11[[#This Row],[b3]]&gt;$L$989*$G$3,$L$989*$G$3,IF(Tab.11[[#This Row],[b3]]&lt;$M$989*$G$3,$M$989*$G$3,Tab.11[[#This Row],[b3]])))</f>
        <v>0</v>
      </c>
      <c r="H487" s="66" t="b">
        <f>IF(Tab.11[[#This Row],[a1]]=1,Tab.11[[#This Row],[b1]])</f>
        <v>0</v>
      </c>
      <c r="I487" s="67" t="b">
        <f>IF(Tab.11[[#This Row],[a1]]=1,Tab.11[[#This Row],[b1]])</f>
        <v>0</v>
      </c>
      <c r="J487" s="68" t="b">
        <f>IF(Tab.11[[#This Row],[a1]]=1,IF($I$3&lt;0,Tab.11[[#This Row],[b5]]-$I$3,Tab.11[[#This Row],[b5]]))</f>
        <v>0</v>
      </c>
      <c r="K487" s="68" t="b">
        <f>IF(Tab.11[[#This Row],[a1]]=1,IF($K$3=0,Tab.11[b6],Tab.11[[#This Row],[b6]]-AVERAGE(Tab.11[b6])))</f>
        <v>0</v>
      </c>
      <c r="L487" s="69" t="b">
        <f>IF(Tab.11[[#This Row],[a1]]=1,Tab.11[[#This Row],[data]]/(_xlfn.STDEV.P(Tab.11[data])*$B$989)+$A$989)</f>
        <v>0</v>
      </c>
      <c r="M487" s="69" t="b">
        <f>IF(Tab.11[[#This Row],[a1]]=1,Tab.11[[#This Row],[data]]/(_xlfn.STDEV.P(Tab.11[data])*$B$987)-$A$987)</f>
        <v>0</v>
      </c>
      <c r="N487" s="69" t="b">
        <f>IF(Tab.11[[#This Row],[a1]]=1,Tab.11[[#This Row],[data]]/(_xlfn.STDEV.P(Tab.11[data])*$B$988)+$A$988)</f>
        <v>0</v>
      </c>
      <c r="O487" s="70" t="b">
        <f>IF(Tab.11[[#This Row],[a1]]=1,_xlfn.NORM.DIST(Tab.11[[#This Row],[b8]],$P$1,$Q$1,FALSE))</f>
        <v>0</v>
      </c>
      <c r="P487" s="70" t="b">
        <f>IF(Tab.11[[#This Row],[a1]]=1,_xlfn.NORM.DIST(Tab.11[[#This Row],[b9]],$P$1,$Q$1,FALSE))</f>
        <v>0</v>
      </c>
      <c r="Q487" s="70" t="b">
        <f>IF(Tab.11[[#This Row],[a1]]=1,_xlfn.NORM.DIST(Tab.11[[#This Row],[b10]],$P$1,$Q$1,FALSE))</f>
        <v>0</v>
      </c>
      <c r="R487" s="67" t="b">
        <f>IF(Tab.11[[#This Row],[a1]]=1,$I$3+$A$989+IF($K$3=0,Tab.11[[#This Row],[b8]]*_xlfn.STDEV.P(Tab.11[data]),AVERAGE(Tab.11[b6])+Tab.11[[#This Row],[b8]]*_xlfn.STDEV.P(Tab.11[data])))</f>
        <v>0</v>
      </c>
      <c r="S487" s="71" t="b">
        <f>IF(Tab.11[[#This Row],[a1]]=1,$I$3+$A$987+IF($K$3=0,Tab.11[[#This Row],[b9]]*_xlfn.STDEV.P(Tab.11[data]),AVERAGE(Tab.11[b6])+Tab.11[[#This Row],[b9]]*_xlfn.STDEV.P(Tab.11[data])))</f>
        <v>0</v>
      </c>
      <c r="T487" s="71" t="b">
        <f>IF(Tab.11[[#This Row],[a1]]=1,$I$3+$A$988+IF($K$3=0,Tab.11[[#This Row],[b10]]*_xlfn.STDEV.P(Tab.11[data]),AVERAGE(Tab.11[b6])+Tab.11[[#This Row],[b10]]*_xlfn.STDEV.P(Tab.11[data])))</f>
        <v>0</v>
      </c>
      <c r="U487" s="72" t="b">
        <f>IF(Tab.11[[#This Row],[a1]]=1,Tab.11[[#This Row],[target]]-Tab.11[[#This Row],[Red]])</f>
        <v>0</v>
      </c>
      <c r="V487" s="72" t="b">
        <f>IF(Tab.11[[#This Row],[a1]]=1,Tab.11[[#This Row],[target]]-Tab.11[[#This Row],[Blue]])</f>
        <v>0</v>
      </c>
      <c r="W487" s="73" t="b">
        <f>IF(Tab.11[[#This Row],[a1]]=1,IF(ABS(Tab.11[[#This Row],[b17]])+ABS(Tab.11[[#This Row],[b18]])&lt;$W$2,$W$2,ABS(Tab.11[[#This Row],[b17]])+ABS(Tab.11[[#This Row],[b18]])))</f>
        <v>0</v>
      </c>
      <c r="X487" s="136" t="b">
        <f>IF(Tab.11[[#This Row],[a1]]=1,IF($W$3&lt;0,Tab.11[[#This Row],[IN]]-$I$3,Tab.11[[#This Row],[IN]]))</f>
        <v>0</v>
      </c>
      <c r="Y487" s="136" t="b">
        <f>IF(Tab.11[[#This Row],[a1]]=1,IF($X$3=0,Tab.11[b66],Tab.11[[#This Row],[b66]]-AVERAGE(Tab.11[b66])))</f>
        <v>0</v>
      </c>
      <c r="Z487" s="135" t="b">
        <f>IF(Tab.11[[#This Row],[a1]]=1,Tab.11[[#This Row],[b77]]/(_xlfn.STDEV.P(Tab.11[b77])))</f>
        <v>0</v>
      </c>
      <c r="AA487" s="70" t="b">
        <f>IF(Tab.11[[#This Row],[a1]]=1,_xlfn.NORM.DIST(Tab.11[[#This Row],[b88]],$Z$1,$AA$1,FALSE))</f>
        <v>0</v>
      </c>
      <c r="AB487" s="74" t="b">
        <f>IF(Tab.11[[#This Row],[a1]]=1,IF($A$3=0,FALSE,1/Tab.11[[#This Row],[IN]]*$AC$2*IF(Tab.11[[#This Row],[a1]]=0,,$A$3*$AC$1*1/$V$3*(Tab.11[[#This Row],[b14]]))))</f>
        <v>0</v>
      </c>
      <c r="AC487" s="75" t="b">
        <f>IF(Tab.11[[#This Row],[a1]]=1,IF($AC$3=0,Tab.11[[#This Row],[φ1]],Tab.11[[#This Row],[φ1]]/MAX(Tab.11[φ1])))</f>
        <v>0</v>
      </c>
      <c r="AD487" s="74" t="b">
        <f>IF(Tab.11[[#This Row],[a1]]=1,1/Tab.11[[#This Row],[φ2]])</f>
        <v>0</v>
      </c>
      <c r="AE487" s="74" t="b">
        <f>IF(Tab.11[[#This Row],[a1]]=1,IF($AE$3=0,Tab.11[[#This Row],[w.0]],Tab.11[[#This Row],[w.0]]/SUM(Tab.11[w.0])))</f>
        <v>0</v>
      </c>
      <c r="AF487" s="76" t="str">
        <f>IF(Tab.11[[#This Row],[a1]]=0,"false",[3]!Tab.x5[[#This Row],[%_seN_C]])</f>
        <v>false</v>
      </c>
      <c r="AG487" s="77" t="b">
        <f>IF(Tab.11[[#This Row],[a1]]=1,AP487)</f>
        <v>0</v>
      </c>
      <c r="AH487" s="78" t="b">
        <f>IF(Tab.11[[#This Row],[a1]]=1,AQ487)</f>
        <v>0</v>
      </c>
      <c r="AI487" s="41">
        <v>3.0000000000000001E-3</v>
      </c>
      <c r="AJ487" s="79">
        <v>-0.02</v>
      </c>
      <c r="AK487" s="80" t="b">
        <f>IF(Tab.11[[#This Row],[a1]]=1,1)</f>
        <v>0</v>
      </c>
      <c r="AZ487"/>
    </row>
    <row r="488" spans="1:52" hidden="1" x14ac:dyDescent="0.25">
      <c r="A488" s="61">
        <f t="shared" si="17"/>
        <v>0</v>
      </c>
      <c r="B488" s="62">
        <f t="shared" si="17"/>
        <v>0</v>
      </c>
      <c r="C488" s="62" t="b">
        <f>IF(Tab.11[[#This Row],[a1]]=1,[3]!Tab_x1[[#This Row],[Name]])</f>
        <v>0</v>
      </c>
      <c r="D488" s="63" t="b">
        <f>IF(Tab.11[[#This Row],[a1]]=1,AO488)</f>
        <v>0</v>
      </c>
      <c r="E488" s="63">
        <f t="shared" si="16"/>
        <v>0</v>
      </c>
      <c r="F488" s="64" t="b">
        <f>IF(Tab.11[[#This Row],[a1]]=1,Tab.11[[#This Row],[b1]])</f>
        <v>0</v>
      </c>
      <c r="G488" s="65" t="b">
        <f>IF(Tab.11[[#This Row],[a1]]=1,IF(Tab.11[[#This Row],[b3]]&gt;$L$989*$G$3,$L$989*$G$3,IF(Tab.11[[#This Row],[b3]]&lt;$M$989*$G$3,$M$989*$G$3,Tab.11[[#This Row],[b3]])))</f>
        <v>0</v>
      </c>
      <c r="H488" s="66" t="b">
        <f>IF(Tab.11[[#This Row],[a1]]=1,Tab.11[[#This Row],[b1]])</f>
        <v>0</v>
      </c>
      <c r="I488" s="67" t="b">
        <f>IF(Tab.11[[#This Row],[a1]]=1,Tab.11[[#This Row],[b1]])</f>
        <v>0</v>
      </c>
      <c r="J488" s="68" t="b">
        <f>IF(Tab.11[[#This Row],[a1]]=1,IF($I$3&lt;0,Tab.11[[#This Row],[b5]]-$I$3,Tab.11[[#This Row],[b5]]))</f>
        <v>0</v>
      </c>
      <c r="K488" s="68" t="b">
        <f>IF(Tab.11[[#This Row],[a1]]=1,IF($K$3=0,Tab.11[b6],Tab.11[[#This Row],[b6]]-AVERAGE(Tab.11[b6])))</f>
        <v>0</v>
      </c>
      <c r="L488" s="69" t="b">
        <f>IF(Tab.11[[#This Row],[a1]]=1,Tab.11[[#This Row],[data]]/(_xlfn.STDEV.P(Tab.11[data])*$B$989)+$A$989)</f>
        <v>0</v>
      </c>
      <c r="M488" s="69" t="b">
        <f>IF(Tab.11[[#This Row],[a1]]=1,Tab.11[[#This Row],[data]]/(_xlfn.STDEV.P(Tab.11[data])*$B$987)-$A$987)</f>
        <v>0</v>
      </c>
      <c r="N488" s="69" t="b">
        <f>IF(Tab.11[[#This Row],[a1]]=1,Tab.11[[#This Row],[data]]/(_xlfn.STDEV.P(Tab.11[data])*$B$988)+$A$988)</f>
        <v>0</v>
      </c>
      <c r="O488" s="70" t="b">
        <f>IF(Tab.11[[#This Row],[a1]]=1,_xlfn.NORM.DIST(Tab.11[[#This Row],[b8]],$P$1,$Q$1,FALSE))</f>
        <v>0</v>
      </c>
      <c r="P488" s="70" t="b">
        <f>IF(Tab.11[[#This Row],[a1]]=1,_xlfn.NORM.DIST(Tab.11[[#This Row],[b9]],$P$1,$Q$1,FALSE))</f>
        <v>0</v>
      </c>
      <c r="Q488" s="70" t="b">
        <f>IF(Tab.11[[#This Row],[a1]]=1,_xlfn.NORM.DIST(Tab.11[[#This Row],[b10]],$P$1,$Q$1,FALSE))</f>
        <v>0</v>
      </c>
      <c r="R488" s="67" t="b">
        <f>IF(Tab.11[[#This Row],[a1]]=1,$I$3+$A$989+IF($K$3=0,Tab.11[[#This Row],[b8]]*_xlfn.STDEV.P(Tab.11[data]),AVERAGE(Tab.11[b6])+Tab.11[[#This Row],[b8]]*_xlfn.STDEV.P(Tab.11[data])))</f>
        <v>0</v>
      </c>
      <c r="S488" s="71" t="b">
        <f>IF(Tab.11[[#This Row],[a1]]=1,$I$3+$A$987+IF($K$3=0,Tab.11[[#This Row],[b9]]*_xlfn.STDEV.P(Tab.11[data]),AVERAGE(Tab.11[b6])+Tab.11[[#This Row],[b9]]*_xlfn.STDEV.P(Tab.11[data])))</f>
        <v>0</v>
      </c>
      <c r="T488" s="71" t="b">
        <f>IF(Tab.11[[#This Row],[a1]]=1,$I$3+$A$988+IF($K$3=0,Tab.11[[#This Row],[b10]]*_xlfn.STDEV.P(Tab.11[data]),AVERAGE(Tab.11[b6])+Tab.11[[#This Row],[b10]]*_xlfn.STDEV.P(Tab.11[data])))</f>
        <v>0</v>
      </c>
      <c r="U488" s="72" t="b">
        <f>IF(Tab.11[[#This Row],[a1]]=1,Tab.11[[#This Row],[target]]-Tab.11[[#This Row],[Red]])</f>
        <v>0</v>
      </c>
      <c r="V488" s="72" t="b">
        <f>IF(Tab.11[[#This Row],[a1]]=1,Tab.11[[#This Row],[target]]-Tab.11[[#This Row],[Blue]])</f>
        <v>0</v>
      </c>
      <c r="W488" s="73" t="b">
        <f>IF(Tab.11[[#This Row],[a1]]=1,IF(ABS(Tab.11[[#This Row],[b17]])+ABS(Tab.11[[#This Row],[b18]])&lt;$W$2,$W$2,ABS(Tab.11[[#This Row],[b17]])+ABS(Tab.11[[#This Row],[b18]])))</f>
        <v>0</v>
      </c>
      <c r="X488" s="136" t="b">
        <f>IF(Tab.11[[#This Row],[a1]]=1,IF($W$3&lt;0,Tab.11[[#This Row],[IN]]-$I$3,Tab.11[[#This Row],[IN]]))</f>
        <v>0</v>
      </c>
      <c r="Y488" s="136" t="b">
        <f>IF(Tab.11[[#This Row],[a1]]=1,IF($X$3=0,Tab.11[b66],Tab.11[[#This Row],[b66]]-AVERAGE(Tab.11[b66])))</f>
        <v>0</v>
      </c>
      <c r="Z488" s="135" t="b">
        <f>IF(Tab.11[[#This Row],[a1]]=1,Tab.11[[#This Row],[b77]]/(_xlfn.STDEV.P(Tab.11[b77])))</f>
        <v>0</v>
      </c>
      <c r="AA488" s="70" t="b">
        <f>IF(Tab.11[[#This Row],[a1]]=1,_xlfn.NORM.DIST(Tab.11[[#This Row],[b88]],$Z$1,$AA$1,FALSE))</f>
        <v>0</v>
      </c>
      <c r="AB488" s="74" t="b">
        <f>IF(Tab.11[[#This Row],[a1]]=1,IF($A$3=0,FALSE,1/Tab.11[[#This Row],[IN]]*$AC$2*IF(Tab.11[[#This Row],[a1]]=0,,$A$3*$AC$1*1/$V$3*(Tab.11[[#This Row],[b14]]))))</f>
        <v>0</v>
      </c>
      <c r="AC488" s="75" t="b">
        <f>IF(Tab.11[[#This Row],[a1]]=1,IF($AC$3=0,Tab.11[[#This Row],[φ1]],Tab.11[[#This Row],[φ1]]/MAX(Tab.11[φ1])))</f>
        <v>0</v>
      </c>
      <c r="AD488" s="74" t="b">
        <f>IF(Tab.11[[#This Row],[a1]]=1,1/Tab.11[[#This Row],[φ2]])</f>
        <v>0</v>
      </c>
      <c r="AE488" s="74" t="b">
        <f>IF(Tab.11[[#This Row],[a1]]=1,IF($AE$3=0,Tab.11[[#This Row],[w.0]],Tab.11[[#This Row],[w.0]]/SUM(Tab.11[w.0])))</f>
        <v>0</v>
      </c>
      <c r="AF488" s="76" t="str">
        <f>IF(Tab.11[[#This Row],[a1]]=0,"false",[3]!Tab.x5[[#This Row],[%_seN_C]])</f>
        <v>false</v>
      </c>
      <c r="AG488" s="77" t="b">
        <f>IF(Tab.11[[#This Row],[a1]]=1,AP488)</f>
        <v>0</v>
      </c>
      <c r="AH488" s="78" t="b">
        <f>IF(Tab.11[[#This Row],[a1]]=1,AQ488)</f>
        <v>0</v>
      </c>
      <c r="AI488" s="41">
        <v>3.0000000000000001E-3</v>
      </c>
      <c r="AJ488" s="79">
        <v>0.06</v>
      </c>
      <c r="AK488" s="80" t="b">
        <f>IF(Tab.11[[#This Row],[a1]]=1,1)</f>
        <v>0</v>
      </c>
      <c r="AZ488"/>
    </row>
    <row r="489" spans="1:52" hidden="1" x14ac:dyDescent="0.25">
      <c r="A489" s="61">
        <f t="shared" si="17"/>
        <v>0</v>
      </c>
      <c r="B489" s="62">
        <f t="shared" si="17"/>
        <v>0</v>
      </c>
      <c r="C489" s="62" t="b">
        <f>IF(Tab.11[[#This Row],[a1]]=1,[3]!Tab_x1[[#This Row],[Name]])</f>
        <v>0</v>
      </c>
      <c r="D489" s="63" t="b">
        <f>IF(Tab.11[[#This Row],[a1]]=1,AO489)</f>
        <v>0</v>
      </c>
      <c r="E489" s="63">
        <f t="shared" si="16"/>
        <v>0</v>
      </c>
      <c r="F489" s="64" t="b">
        <f>IF(Tab.11[[#This Row],[a1]]=1,Tab.11[[#This Row],[b1]])</f>
        <v>0</v>
      </c>
      <c r="G489" s="65" t="b">
        <f>IF(Tab.11[[#This Row],[a1]]=1,IF(Tab.11[[#This Row],[b3]]&gt;$L$989*$G$3,$L$989*$G$3,IF(Tab.11[[#This Row],[b3]]&lt;$M$989*$G$3,$M$989*$G$3,Tab.11[[#This Row],[b3]])))</f>
        <v>0</v>
      </c>
      <c r="H489" s="66" t="b">
        <f>IF(Tab.11[[#This Row],[a1]]=1,Tab.11[[#This Row],[b1]])</f>
        <v>0</v>
      </c>
      <c r="I489" s="67" t="b">
        <f>IF(Tab.11[[#This Row],[a1]]=1,Tab.11[[#This Row],[b1]])</f>
        <v>0</v>
      </c>
      <c r="J489" s="68" t="b">
        <f>IF(Tab.11[[#This Row],[a1]]=1,IF($I$3&lt;0,Tab.11[[#This Row],[b5]]-$I$3,Tab.11[[#This Row],[b5]]))</f>
        <v>0</v>
      </c>
      <c r="K489" s="68" t="b">
        <f>IF(Tab.11[[#This Row],[a1]]=1,IF($K$3=0,Tab.11[b6],Tab.11[[#This Row],[b6]]-AVERAGE(Tab.11[b6])))</f>
        <v>0</v>
      </c>
      <c r="L489" s="69" t="b">
        <f>IF(Tab.11[[#This Row],[a1]]=1,Tab.11[[#This Row],[data]]/(_xlfn.STDEV.P(Tab.11[data])*$B$989)+$A$989)</f>
        <v>0</v>
      </c>
      <c r="M489" s="69" t="b">
        <f>IF(Tab.11[[#This Row],[a1]]=1,Tab.11[[#This Row],[data]]/(_xlfn.STDEV.P(Tab.11[data])*$B$987)-$A$987)</f>
        <v>0</v>
      </c>
      <c r="N489" s="69" t="b">
        <f>IF(Tab.11[[#This Row],[a1]]=1,Tab.11[[#This Row],[data]]/(_xlfn.STDEV.P(Tab.11[data])*$B$988)+$A$988)</f>
        <v>0</v>
      </c>
      <c r="O489" s="70" t="b">
        <f>IF(Tab.11[[#This Row],[a1]]=1,_xlfn.NORM.DIST(Tab.11[[#This Row],[b8]],$P$1,$Q$1,FALSE))</f>
        <v>0</v>
      </c>
      <c r="P489" s="70" t="b">
        <f>IF(Tab.11[[#This Row],[a1]]=1,_xlfn.NORM.DIST(Tab.11[[#This Row],[b9]],$P$1,$Q$1,FALSE))</f>
        <v>0</v>
      </c>
      <c r="Q489" s="70" t="b">
        <f>IF(Tab.11[[#This Row],[a1]]=1,_xlfn.NORM.DIST(Tab.11[[#This Row],[b10]],$P$1,$Q$1,FALSE))</f>
        <v>0</v>
      </c>
      <c r="R489" s="67" t="b">
        <f>IF(Tab.11[[#This Row],[a1]]=1,$I$3+$A$989+IF($K$3=0,Tab.11[[#This Row],[b8]]*_xlfn.STDEV.P(Tab.11[data]),AVERAGE(Tab.11[b6])+Tab.11[[#This Row],[b8]]*_xlfn.STDEV.P(Tab.11[data])))</f>
        <v>0</v>
      </c>
      <c r="S489" s="71" t="b">
        <f>IF(Tab.11[[#This Row],[a1]]=1,$I$3+$A$987+IF($K$3=0,Tab.11[[#This Row],[b9]]*_xlfn.STDEV.P(Tab.11[data]),AVERAGE(Tab.11[b6])+Tab.11[[#This Row],[b9]]*_xlfn.STDEV.P(Tab.11[data])))</f>
        <v>0</v>
      </c>
      <c r="T489" s="71" t="b">
        <f>IF(Tab.11[[#This Row],[a1]]=1,$I$3+$A$988+IF($K$3=0,Tab.11[[#This Row],[b10]]*_xlfn.STDEV.P(Tab.11[data]),AVERAGE(Tab.11[b6])+Tab.11[[#This Row],[b10]]*_xlfn.STDEV.P(Tab.11[data])))</f>
        <v>0</v>
      </c>
      <c r="U489" s="72" t="b">
        <f>IF(Tab.11[[#This Row],[a1]]=1,Tab.11[[#This Row],[target]]-Tab.11[[#This Row],[Red]])</f>
        <v>0</v>
      </c>
      <c r="V489" s="72" t="b">
        <f>IF(Tab.11[[#This Row],[a1]]=1,Tab.11[[#This Row],[target]]-Tab.11[[#This Row],[Blue]])</f>
        <v>0</v>
      </c>
      <c r="W489" s="73" t="b">
        <f>IF(Tab.11[[#This Row],[a1]]=1,IF(ABS(Tab.11[[#This Row],[b17]])+ABS(Tab.11[[#This Row],[b18]])&lt;$W$2,$W$2,ABS(Tab.11[[#This Row],[b17]])+ABS(Tab.11[[#This Row],[b18]])))</f>
        <v>0</v>
      </c>
      <c r="X489" s="136" t="b">
        <f>IF(Tab.11[[#This Row],[a1]]=1,IF($W$3&lt;0,Tab.11[[#This Row],[IN]]-$I$3,Tab.11[[#This Row],[IN]]))</f>
        <v>0</v>
      </c>
      <c r="Y489" s="136" t="b">
        <f>IF(Tab.11[[#This Row],[a1]]=1,IF($X$3=0,Tab.11[b66],Tab.11[[#This Row],[b66]]-AVERAGE(Tab.11[b66])))</f>
        <v>0</v>
      </c>
      <c r="Z489" s="135" t="b">
        <f>IF(Tab.11[[#This Row],[a1]]=1,Tab.11[[#This Row],[b77]]/(_xlfn.STDEV.P(Tab.11[b77])))</f>
        <v>0</v>
      </c>
      <c r="AA489" s="70" t="b">
        <f>IF(Tab.11[[#This Row],[a1]]=1,_xlfn.NORM.DIST(Tab.11[[#This Row],[b88]],$Z$1,$AA$1,FALSE))</f>
        <v>0</v>
      </c>
      <c r="AB489" s="74" t="b">
        <f>IF(Tab.11[[#This Row],[a1]]=1,IF($A$3=0,FALSE,1/Tab.11[[#This Row],[IN]]*$AC$2*IF(Tab.11[[#This Row],[a1]]=0,,$A$3*$AC$1*1/$V$3*(Tab.11[[#This Row],[b14]]))))</f>
        <v>0</v>
      </c>
      <c r="AC489" s="75" t="b">
        <f>IF(Tab.11[[#This Row],[a1]]=1,IF($AC$3=0,Tab.11[[#This Row],[φ1]],Tab.11[[#This Row],[φ1]]/MAX(Tab.11[φ1])))</f>
        <v>0</v>
      </c>
      <c r="AD489" s="74" t="b">
        <f>IF(Tab.11[[#This Row],[a1]]=1,1/Tab.11[[#This Row],[φ2]])</f>
        <v>0</v>
      </c>
      <c r="AE489" s="74" t="b">
        <f>IF(Tab.11[[#This Row],[a1]]=1,IF($AE$3=0,Tab.11[[#This Row],[w.0]],Tab.11[[#This Row],[w.0]]/SUM(Tab.11[w.0])))</f>
        <v>0</v>
      </c>
      <c r="AF489" s="76" t="str">
        <f>IF(Tab.11[[#This Row],[a1]]=0,"false",[3]!Tab.x5[[#This Row],[%_seN_C]])</f>
        <v>false</v>
      </c>
      <c r="AG489" s="77" t="b">
        <f>IF(Tab.11[[#This Row],[a1]]=1,AP489)</f>
        <v>0</v>
      </c>
      <c r="AH489" s="78" t="b">
        <f>IF(Tab.11[[#This Row],[a1]]=1,AQ489)</f>
        <v>0</v>
      </c>
      <c r="AI489" s="41">
        <v>3.0000000000000001E-3</v>
      </c>
      <c r="AJ489" s="79">
        <v>0.05</v>
      </c>
      <c r="AK489" s="80" t="b">
        <f>IF(Tab.11[[#This Row],[a1]]=1,1)</f>
        <v>0</v>
      </c>
      <c r="AZ489"/>
    </row>
    <row r="490" spans="1:52" hidden="1" x14ac:dyDescent="0.25">
      <c r="A490" s="61">
        <f t="shared" si="17"/>
        <v>0</v>
      </c>
      <c r="B490" s="62">
        <f t="shared" si="17"/>
        <v>0</v>
      </c>
      <c r="C490" s="62" t="b">
        <f>IF(Tab.11[[#This Row],[a1]]=1,[3]!Tab_x1[[#This Row],[Name]])</f>
        <v>0</v>
      </c>
      <c r="D490" s="63" t="b">
        <f>IF(Tab.11[[#This Row],[a1]]=1,AO490)</f>
        <v>0</v>
      </c>
      <c r="E490" s="63">
        <f t="shared" si="16"/>
        <v>0</v>
      </c>
      <c r="F490" s="64" t="b">
        <f>IF(Tab.11[[#This Row],[a1]]=1,Tab.11[[#This Row],[b1]])</f>
        <v>0</v>
      </c>
      <c r="G490" s="65" t="b">
        <f>IF(Tab.11[[#This Row],[a1]]=1,IF(Tab.11[[#This Row],[b3]]&gt;$L$989*$G$3,$L$989*$G$3,IF(Tab.11[[#This Row],[b3]]&lt;$M$989*$G$3,$M$989*$G$3,Tab.11[[#This Row],[b3]])))</f>
        <v>0</v>
      </c>
      <c r="H490" s="66" t="b">
        <f>IF(Tab.11[[#This Row],[a1]]=1,Tab.11[[#This Row],[b1]])</f>
        <v>0</v>
      </c>
      <c r="I490" s="67" t="b">
        <f>IF(Tab.11[[#This Row],[a1]]=1,Tab.11[[#This Row],[b1]])</f>
        <v>0</v>
      </c>
      <c r="J490" s="68" t="b">
        <f>IF(Tab.11[[#This Row],[a1]]=1,IF($I$3&lt;0,Tab.11[[#This Row],[b5]]-$I$3,Tab.11[[#This Row],[b5]]))</f>
        <v>0</v>
      </c>
      <c r="K490" s="68" t="b">
        <f>IF(Tab.11[[#This Row],[a1]]=1,IF($K$3=0,Tab.11[b6],Tab.11[[#This Row],[b6]]-AVERAGE(Tab.11[b6])))</f>
        <v>0</v>
      </c>
      <c r="L490" s="69" t="b">
        <f>IF(Tab.11[[#This Row],[a1]]=1,Tab.11[[#This Row],[data]]/(_xlfn.STDEV.P(Tab.11[data])*$B$989)+$A$989)</f>
        <v>0</v>
      </c>
      <c r="M490" s="69" t="b">
        <f>IF(Tab.11[[#This Row],[a1]]=1,Tab.11[[#This Row],[data]]/(_xlfn.STDEV.P(Tab.11[data])*$B$987)-$A$987)</f>
        <v>0</v>
      </c>
      <c r="N490" s="69" t="b">
        <f>IF(Tab.11[[#This Row],[a1]]=1,Tab.11[[#This Row],[data]]/(_xlfn.STDEV.P(Tab.11[data])*$B$988)+$A$988)</f>
        <v>0</v>
      </c>
      <c r="O490" s="70" t="b">
        <f>IF(Tab.11[[#This Row],[a1]]=1,_xlfn.NORM.DIST(Tab.11[[#This Row],[b8]],$P$1,$Q$1,FALSE))</f>
        <v>0</v>
      </c>
      <c r="P490" s="70" t="b">
        <f>IF(Tab.11[[#This Row],[a1]]=1,_xlfn.NORM.DIST(Tab.11[[#This Row],[b9]],$P$1,$Q$1,FALSE))</f>
        <v>0</v>
      </c>
      <c r="Q490" s="70" t="b">
        <f>IF(Tab.11[[#This Row],[a1]]=1,_xlfn.NORM.DIST(Tab.11[[#This Row],[b10]],$P$1,$Q$1,FALSE))</f>
        <v>0</v>
      </c>
      <c r="R490" s="67" t="b">
        <f>IF(Tab.11[[#This Row],[a1]]=1,$I$3+$A$989+IF($K$3=0,Tab.11[[#This Row],[b8]]*_xlfn.STDEV.P(Tab.11[data]),AVERAGE(Tab.11[b6])+Tab.11[[#This Row],[b8]]*_xlfn.STDEV.P(Tab.11[data])))</f>
        <v>0</v>
      </c>
      <c r="S490" s="71" t="b">
        <f>IF(Tab.11[[#This Row],[a1]]=1,$I$3+$A$987+IF($K$3=0,Tab.11[[#This Row],[b9]]*_xlfn.STDEV.P(Tab.11[data]),AVERAGE(Tab.11[b6])+Tab.11[[#This Row],[b9]]*_xlfn.STDEV.P(Tab.11[data])))</f>
        <v>0</v>
      </c>
      <c r="T490" s="71" t="b">
        <f>IF(Tab.11[[#This Row],[a1]]=1,$I$3+$A$988+IF($K$3=0,Tab.11[[#This Row],[b10]]*_xlfn.STDEV.P(Tab.11[data]),AVERAGE(Tab.11[b6])+Tab.11[[#This Row],[b10]]*_xlfn.STDEV.P(Tab.11[data])))</f>
        <v>0</v>
      </c>
      <c r="U490" s="72" t="b">
        <f>IF(Tab.11[[#This Row],[a1]]=1,Tab.11[[#This Row],[target]]-Tab.11[[#This Row],[Red]])</f>
        <v>0</v>
      </c>
      <c r="V490" s="72" t="b">
        <f>IF(Tab.11[[#This Row],[a1]]=1,Tab.11[[#This Row],[target]]-Tab.11[[#This Row],[Blue]])</f>
        <v>0</v>
      </c>
      <c r="W490" s="73" t="b">
        <f>IF(Tab.11[[#This Row],[a1]]=1,IF(ABS(Tab.11[[#This Row],[b17]])+ABS(Tab.11[[#This Row],[b18]])&lt;$W$2,$W$2,ABS(Tab.11[[#This Row],[b17]])+ABS(Tab.11[[#This Row],[b18]])))</f>
        <v>0</v>
      </c>
      <c r="X490" s="136" t="b">
        <f>IF(Tab.11[[#This Row],[a1]]=1,IF($W$3&lt;0,Tab.11[[#This Row],[IN]]-$I$3,Tab.11[[#This Row],[IN]]))</f>
        <v>0</v>
      </c>
      <c r="Y490" s="136" t="b">
        <f>IF(Tab.11[[#This Row],[a1]]=1,IF($X$3=0,Tab.11[b66],Tab.11[[#This Row],[b66]]-AVERAGE(Tab.11[b66])))</f>
        <v>0</v>
      </c>
      <c r="Z490" s="135" t="b">
        <f>IF(Tab.11[[#This Row],[a1]]=1,Tab.11[[#This Row],[b77]]/(_xlfn.STDEV.P(Tab.11[b77])))</f>
        <v>0</v>
      </c>
      <c r="AA490" s="70" t="b">
        <f>IF(Tab.11[[#This Row],[a1]]=1,_xlfn.NORM.DIST(Tab.11[[#This Row],[b88]],$Z$1,$AA$1,FALSE))</f>
        <v>0</v>
      </c>
      <c r="AB490" s="74" t="b">
        <f>IF(Tab.11[[#This Row],[a1]]=1,IF($A$3=0,FALSE,1/Tab.11[[#This Row],[IN]]*$AC$2*IF(Tab.11[[#This Row],[a1]]=0,,$A$3*$AC$1*1/$V$3*(Tab.11[[#This Row],[b14]]))))</f>
        <v>0</v>
      </c>
      <c r="AC490" s="75" t="b">
        <f>IF(Tab.11[[#This Row],[a1]]=1,IF($AC$3=0,Tab.11[[#This Row],[φ1]],Tab.11[[#This Row],[φ1]]/MAX(Tab.11[φ1])))</f>
        <v>0</v>
      </c>
      <c r="AD490" s="74" t="b">
        <f>IF(Tab.11[[#This Row],[a1]]=1,1/Tab.11[[#This Row],[φ2]])</f>
        <v>0</v>
      </c>
      <c r="AE490" s="74" t="b">
        <f>IF(Tab.11[[#This Row],[a1]]=1,IF($AE$3=0,Tab.11[[#This Row],[w.0]],Tab.11[[#This Row],[w.0]]/SUM(Tab.11[w.0])))</f>
        <v>0</v>
      </c>
      <c r="AF490" s="76" t="str">
        <f>IF(Tab.11[[#This Row],[a1]]=0,"false",[3]!Tab.x5[[#This Row],[%_seN_C]])</f>
        <v>false</v>
      </c>
      <c r="AG490" s="77" t="b">
        <f>IF(Tab.11[[#This Row],[a1]]=1,AP490)</f>
        <v>0</v>
      </c>
      <c r="AH490" s="78" t="b">
        <f>IF(Tab.11[[#This Row],[a1]]=1,AQ490)</f>
        <v>0</v>
      </c>
      <c r="AI490" s="41">
        <v>3.0000000000000001E-3</v>
      </c>
      <c r="AJ490" s="79">
        <v>0.01</v>
      </c>
      <c r="AK490" s="80" t="b">
        <f>IF(Tab.11[[#This Row],[a1]]=1,1)</f>
        <v>0</v>
      </c>
      <c r="AZ490"/>
    </row>
    <row r="491" spans="1:52" hidden="1" x14ac:dyDescent="0.25">
      <c r="A491" s="61">
        <f t="shared" si="17"/>
        <v>0</v>
      </c>
      <c r="B491" s="62">
        <f t="shared" si="17"/>
        <v>0</v>
      </c>
      <c r="C491" s="62" t="b">
        <f>IF(Tab.11[[#This Row],[a1]]=1,[3]!Tab_x1[[#This Row],[Name]])</f>
        <v>0</v>
      </c>
      <c r="D491" s="63" t="b">
        <f>IF(Tab.11[[#This Row],[a1]]=1,AO491)</f>
        <v>0</v>
      </c>
      <c r="E491" s="63">
        <f t="shared" si="16"/>
        <v>0</v>
      </c>
      <c r="F491" s="64" t="b">
        <f>IF(Tab.11[[#This Row],[a1]]=1,Tab.11[[#This Row],[b1]])</f>
        <v>0</v>
      </c>
      <c r="G491" s="65" t="b">
        <f>IF(Tab.11[[#This Row],[a1]]=1,IF(Tab.11[[#This Row],[b3]]&gt;$L$989*$G$3,$L$989*$G$3,IF(Tab.11[[#This Row],[b3]]&lt;$M$989*$G$3,$M$989*$G$3,Tab.11[[#This Row],[b3]])))</f>
        <v>0</v>
      </c>
      <c r="H491" s="66" t="b">
        <f>IF(Tab.11[[#This Row],[a1]]=1,Tab.11[[#This Row],[b1]])</f>
        <v>0</v>
      </c>
      <c r="I491" s="67" t="b">
        <f>IF(Tab.11[[#This Row],[a1]]=1,Tab.11[[#This Row],[b1]])</f>
        <v>0</v>
      </c>
      <c r="J491" s="68" t="b">
        <f>IF(Tab.11[[#This Row],[a1]]=1,IF($I$3&lt;0,Tab.11[[#This Row],[b5]]-$I$3,Tab.11[[#This Row],[b5]]))</f>
        <v>0</v>
      </c>
      <c r="K491" s="68" t="b">
        <f>IF(Tab.11[[#This Row],[a1]]=1,IF($K$3=0,Tab.11[b6],Tab.11[[#This Row],[b6]]-AVERAGE(Tab.11[b6])))</f>
        <v>0</v>
      </c>
      <c r="L491" s="69" t="b">
        <f>IF(Tab.11[[#This Row],[a1]]=1,Tab.11[[#This Row],[data]]/(_xlfn.STDEV.P(Tab.11[data])*$B$989)+$A$989)</f>
        <v>0</v>
      </c>
      <c r="M491" s="69" t="b">
        <f>IF(Tab.11[[#This Row],[a1]]=1,Tab.11[[#This Row],[data]]/(_xlfn.STDEV.P(Tab.11[data])*$B$987)-$A$987)</f>
        <v>0</v>
      </c>
      <c r="N491" s="69" t="b">
        <f>IF(Tab.11[[#This Row],[a1]]=1,Tab.11[[#This Row],[data]]/(_xlfn.STDEV.P(Tab.11[data])*$B$988)+$A$988)</f>
        <v>0</v>
      </c>
      <c r="O491" s="70" t="b">
        <f>IF(Tab.11[[#This Row],[a1]]=1,_xlfn.NORM.DIST(Tab.11[[#This Row],[b8]],$P$1,$Q$1,FALSE))</f>
        <v>0</v>
      </c>
      <c r="P491" s="70" t="b">
        <f>IF(Tab.11[[#This Row],[a1]]=1,_xlfn.NORM.DIST(Tab.11[[#This Row],[b9]],$P$1,$Q$1,FALSE))</f>
        <v>0</v>
      </c>
      <c r="Q491" s="70" t="b">
        <f>IF(Tab.11[[#This Row],[a1]]=1,_xlfn.NORM.DIST(Tab.11[[#This Row],[b10]],$P$1,$Q$1,FALSE))</f>
        <v>0</v>
      </c>
      <c r="R491" s="67" t="b">
        <f>IF(Tab.11[[#This Row],[a1]]=1,$I$3+$A$989+IF($K$3=0,Tab.11[[#This Row],[b8]]*_xlfn.STDEV.P(Tab.11[data]),AVERAGE(Tab.11[b6])+Tab.11[[#This Row],[b8]]*_xlfn.STDEV.P(Tab.11[data])))</f>
        <v>0</v>
      </c>
      <c r="S491" s="71" t="b">
        <f>IF(Tab.11[[#This Row],[a1]]=1,$I$3+$A$987+IF($K$3=0,Tab.11[[#This Row],[b9]]*_xlfn.STDEV.P(Tab.11[data]),AVERAGE(Tab.11[b6])+Tab.11[[#This Row],[b9]]*_xlfn.STDEV.P(Tab.11[data])))</f>
        <v>0</v>
      </c>
      <c r="T491" s="71" t="b">
        <f>IF(Tab.11[[#This Row],[a1]]=1,$I$3+$A$988+IF($K$3=0,Tab.11[[#This Row],[b10]]*_xlfn.STDEV.P(Tab.11[data]),AVERAGE(Tab.11[b6])+Tab.11[[#This Row],[b10]]*_xlfn.STDEV.P(Tab.11[data])))</f>
        <v>0</v>
      </c>
      <c r="U491" s="72" t="b">
        <f>IF(Tab.11[[#This Row],[a1]]=1,Tab.11[[#This Row],[target]]-Tab.11[[#This Row],[Red]])</f>
        <v>0</v>
      </c>
      <c r="V491" s="72" t="b">
        <f>IF(Tab.11[[#This Row],[a1]]=1,Tab.11[[#This Row],[target]]-Tab.11[[#This Row],[Blue]])</f>
        <v>0</v>
      </c>
      <c r="W491" s="73" t="b">
        <f>IF(Tab.11[[#This Row],[a1]]=1,IF(ABS(Tab.11[[#This Row],[b17]])+ABS(Tab.11[[#This Row],[b18]])&lt;$W$2,$W$2,ABS(Tab.11[[#This Row],[b17]])+ABS(Tab.11[[#This Row],[b18]])))</f>
        <v>0</v>
      </c>
      <c r="X491" s="136" t="b">
        <f>IF(Tab.11[[#This Row],[a1]]=1,IF($W$3&lt;0,Tab.11[[#This Row],[IN]]-$I$3,Tab.11[[#This Row],[IN]]))</f>
        <v>0</v>
      </c>
      <c r="Y491" s="136" t="b">
        <f>IF(Tab.11[[#This Row],[a1]]=1,IF($X$3=0,Tab.11[b66],Tab.11[[#This Row],[b66]]-AVERAGE(Tab.11[b66])))</f>
        <v>0</v>
      </c>
      <c r="Z491" s="135" t="b">
        <f>IF(Tab.11[[#This Row],[a1]]=1,Tab.11[[#This Row],[b77]]/(_xlfn.STDEV.P(Tab.11[b77])))</f>
        <v>0</v>
      </c>
      <c r="AA491" s="70" t="b">
        <f>IF(Tab.11[[#This Row],[a1]]=1,_xlfn.NORM.DIST(Tab.11[[#This Row],[b88]],$Z$1,$AA$1,FALSE))</f>
        <v>0</v>
      </c>
      <c r="AB491" s="74" t="b">
        <f>IF(Tab.11[[#This Row],[a1]]=1,IF($A$3=0,FALSE,1/Tab.11[[#This Row],[IN]]*$AC$2*IF(Tab.11[[#This Row],[a1]]=0,,$A$3*$AC$1*1/$V$3*(Tab.11[[#This Row],[b14]]))))</f>
        <v>0</v>
      </c>
      <c r="AC491" s="75" t="b">
        <f>IF(Tab.11[[#This Row],[a1]]=1,IF($AC$3=0,Tab.11[[#This Row],[φ1]],Tab.11[[#This Row],[φ1]]/MAX(Tab.11[φ1])))</f>
        <v>0</v>
      </c>
      <c r="AD491" s="74" t="b">
        <f>IF(Tab.11[[#This Row],[a1]]=1,1/Tab.11[[#This Row],[φ2]])</f>
        <v>0</v>
      </c>
      <c r="AE491" s="74" t="b">
        <f>IF(Tab.11[[#This Row],[a1]]=1,IF($AE$3=0,Tab.11[[#This Row],[w.0]],Tab.11[[#This Row],[w.0]]/SUM(Tab.11[w.0])))</f>
        <v>0</v>
      </c>
      <c r="AF491" s="76" t="str">
        <f>IF(Tab.11[[#This Row],[a1]]=0,"false",[3]!Tab.x5[[#This Row],[%_seN_C]])</f>
        <v>false</v>
      </c>
      <c r="AG491" s="77" t="b">
        <f>IF(Tab.11[[#This Row],[a1]]=1,AP491)</f>
        <v>0</v>
      </c>
      <c r="AH491" s="78" t="b">
        <f>IF(Tab.11[[#This Row],[a1]]=1,AQ491)</f>
        <v>0</v>
      </c>
      <c r="AI491" s="41">
        <v>3.0000000000000001E-3</v>
      </c>
      <c r="AJ491" s="79">
        <v>-0.06</v>
      </c>
      <c r="AK491" s="80" t="b">
        <f>IF(Tab.11[[#This Row],[a1]]=1,1)</f>
        <v>0</v>
      </c>
      <c r="AZ491"/>
    </row>
    <row r="492" spans="1:52" hidden="1" x14ac:dyDescent="0.25">
      <c r="A492" s="61">
        <f t="shared" si="17"/>
        <v>0</v>
      </c>
      <c r="B492" s="62">
        <f t="shared" si="17"/>
        <v>0</v>
      </c>
      <c r="C492" s="62" t="b">
        <f>IF(Tab.11[[#This Row],[a1]]=1,[3]!Tab_x1[[#This Row],[Name]])</f>
        <v>0</v>
      </c>
      <c r="D492" s="63" t="b">
        <f>IF(Tab.11[[#This Row],[a1]]=1,AO492)</f>
        <v>0</v>
      </c>
      <c r="E492" s="63">
        <f t="shared" si="16"/>
        <v>0</v>
      </c>
      <c r="F492" s="64" t="b">
        <f>IF(Tab.11[[#This Row],[a1]]=1,Tab.11[[#This Row],[b1]])</f>
        <v>0</v>
      </c>
      <c r="G492" s="65" t="b">
        <f>IF(Tab.11[[#This Row],[a1]]=1,IF(Tab.11[[#This Row],[b3]]&gt;$L$989*$G$3,$L$989*$G$3,IF(Tab.11[[#This Row],[b3]]&lt;$M$989*$G$3,$M$989*$G$3,Tab.11[[#This Row],[b3]])))</f>
        <v>0</v>
      </c>
      <c r="H492" s="66" t="b">
        <f>IF(Tab.11[[#This Row],[a1]]=1,Tab.11[[#This Row],[b1]])</f>
        <v>0</v>
      </c>
      <c r="I492" s="67" t="b">
        <f>IF(Tab.11[[#This Row],[a1]]=1,Tab.11[[#This Row],[b1]])</f>
        <v>0</v>
      </c>
      <c r="J492" s="68" t="b">
        <f>IF(Tab.11[[#This Row],[a1]]=1,IF($I$3&lt;0,Tab.11[[#This Row],[b5]]-$I$3,Tab.11[[#This Row],[b5]]))</f>
        <v>0</v>
      </c>
      <c r="K492" s="68" t="b">
        <f>IF(Tab.11[[#This Row],[a1]]=1,IF($K$3=0,Tab.11[b6],Tab.11[[#This Row],[b6]]-AVERAGE(Tab.11[b6])))</f>
        <v>0</v>
      </c>
      <c r="L492" s="69" t="b">
        <f>IF(Tab.11[[#This Row],[a1]]=1,Tab.11[[#This Row],[data]]/(_xlfn.STDEV.P(Tab.11[data])*$B$989)+$A$989)</f>
        <v>0</v>
      </c>
      <c r="M492" s="69" t="b">
        <f>IF(Tab.11[[#This Row],[a1]]=1,Tab.11[[#This Row],[data]]/(_xlfn.STDEV.P(Tab.11[data])*$B$987)-$A$987)</f>
        <v>0</v>
      </c>
      <c r="N492" s="69" t="b">
        <f>IF(Tab.11[[#This Row],[a1]]=1,Tab.11[[#This Row],[data]]/(_xlfn.STDEV.P(Tab.11[data])*$B$988)+$A$988)</f>
        <v>0</v>
      </c>
      <c r="O492" s="70" t="b">
        <f>IF(Tab.11[[#This Row],[a1]]=1,_xlfn.NORM.DIST(Tab.11[[#This Row],[b8]],$P$1,$Q$1,FALSE))</f>
        <v>0</v>
      </c>
      <c r="P492" s="70" t="b">
        <f>IF(Tab.11[[#This Row],[a1]]=1,_xlfn.NORM.DIST(Tab.11[[#This Row],[b9]],$P$1,$Q$1,FALSE))</f>
        <v>0</v>
      </c>
      <c r="Q492" s="70" t="b">
        <f>IF(Tab.11[[#This Row],[a1]]=1,_xlfn.NORM.DIST(Tab.11[[#This Row],[b10]],$P$1,$Q$1,FALSE))</f>
        <v>0</v>
      </c>
      <c r="R492" s="67" t="b">
        <f>IF(Tab.11[[#This Row],[a1]]=1,$I$3+$A$989+IF($K$3=0,Tab.11[[#This Row],[b8]]*_xlfn.STDEV.P(Tab.11[data]),AVERAGE(Tab.11[b6])+Tab.11[[#This Row],[b8]]*_xlfn.STDEV.P(Tab.11[data])))</f>
        <v>0</v>
      </c>
      <c r="S492" s="71" t="b">
        <f>IF(Tab.11[[#This Row],[a1]]=1,$I$3+$A$987+IF($K$3=0,Tab.11[[#This Row],[b9]]*_xlfn.STDEV.P(Tab.11[data]),AVERAGE(Tab.11[b6])+Tab.11[[#This Row],[b9]]*_xlfn.STDEV.P(Tab.11[data])))</f>
        <v>0</v>
      </c>
      <c r="T492" s="71" t="b">
        <f>IF(Tab.11[[#This Row],[a1]]=1,$I$3+$A$988+IF($K$3=0,Tab.11[[#This Row],[b10]]*_xlfn.STDEV.P(Tab.11[data]),AVERAGE(Tab.11[b6])+Tab.11[[#This Row],[b10]]*_xlfn.STDEV.P(Tab.11[data])))</f>
        <v>0</v>
      </c>
      <c r="U492" s="72" t="b">
        <f>IF(Tab.11[[#This Row],[a1]]=1,Tab.11[[#This Row],[target]]-Tab.11[[#This Row],[Red]])</f>
        <v>0</v>
      </c>
      <c r="V492" s="72" t="b">
        <f>IF(Tab.11[[#This Row],[a1]]=1,Tab.11[[#This Row],[target]]-Tab.11[[#This Row],[Blue]])</f>
        <v>0</v>
      </c>
      <c r="W492" s="73" t="b">
        <f>IF(Tab.11[[#This Row],[a1]]=1,IF(ABS(Tab.11[[#This Row],[b17]])+ABS(Tab.11[[#This Row],[b18]])&lt;$W$2,$W$2,ABS(Tab.11[[#This Row],[b17]])+ABS(Tab.11[[#This Row],[b18]])))</f>
        <v>0</v>
      </c>
      <c r="X492" s="136" t="b">
        <f>IF(Tab.11[[#This Row],[a1]]=1,IF($W$3&lt;0,Tab.11[[#This Row],[IN]]-$I$3,Tab.11[[#This Row],[IN]]))</f>
        <v>0</v>
      </c>
      <c r="Y492" s="136" t="b">
        <f>IF(Tab.11[[#This Row],[a1]]=1,IF($X$3=0,Tab.11[b66],Tab.11[[#This Row],[b66]]-AVERAGE(Tab.11[b66])))</f>
        <v>0</v>
      </c>
      <c r="Z492" s="135" t="b">
        <f>IF(Tab.11[[#This Row],[a1]]=1,Tab.11[[#This Row],[b77]]/(_xlfn.STDEV.P(Tab.11[b77])))</f>
        <v>0</v>
      </c>
      <c r="AA492" s="70" t="b">
        <f>IF(Tab.11[[#This Row],[a1]]=1,_xlfn.NORM.DIST(Tab.11[[#This Row],[b88]],$Z$1,$AA$1,FALSE))</f>
        <v>0</v>
      </c>
      <c r="AB492" s="74" t="b">
        <f>IF(Tab.11[[#This Row],[a1]]=1,IF($A$3=0,FALSE,1/Tab.11[[#This Row],[IN]]*$AC$2*IF(Tab.11[[#This Row],[a1]]=0,,$A$3*$AC$1*1/$V$3*(Tab.11[[#This Row],[b14]]))))</f>
        <v>0</v>
      </c>
      <c r="AC492" s="75" t="b">
        <f>IF(Tab.11[[#This Row],[a1]]=1,IF($AC$3=0,Tab.11[[#This Row],[φ1]],Tab.11[[#This Row],[φ1]]/MAX(Tab.11[φ1])))</f>
        <v>0</v>
      </c>
      <c r="AD492" s="74" t="b">
        <f>IF(Tab.11[[#This Row],[a1]]=1,1/Tab.11[[#This Row],[φ2]])</f>
        <v>0</v>
      </c>
      <c r="AE492" s="74" t="b">
        <f>IF(Tab.11[[#This Row],[a1]]=1,IF($AE$3=0,Tab.11[[#This Row],[w.0]],Tab.11[[#This Row],[w.0]]/SUM(Tab.11[w.0])))</f>
        <v>0</v>
      </c>
      <c r="AF492" s="76" t="str">
        <f>IF(Tab.11[[#This Row],[a1]]=0,"false",[3]!Tab.x5[[#This Row],[%_seN_C]])</f>
        <v>false</v>
      </c>
      <c r="AG492" s="77" t="b">
        <f>IF(Tab.11[[#This Row],[a1]]=1,AP492)</f>
        <v>0</v>
      </c>
      <c r="AH492" s="78" t="b">
        <f>IF(Tab.11[[#This Row],[a1]]=1,AQ492)</f>
        <v>0</v>
      </c>
      <c r="AI492" s="41">
        <v>3.0000000000000001E-3</v>
      </c>
      <c r="AJ492" s="79">
        <v>-0.02</v>
      </c>
      <c r="AK492" s="80" t="b">
        <f>IF(Tab.11[[#This Row],[a1]]=1,1)</f>
        <v>0</v>
      </c>
      <c r="AZ492"/>
    </row>
    <row r="493" spans="1:52" hidden="1" x14ac:dyDescent="0.25">
      <c r="A493" s="61">
        <f t="shared" si="17"/>
        <v>0</v>
      </c>
      <c r="B493" s="62">
        <f t="shared" si="17"/>
        <v>0</v>
      </c>
      <c r="C493" s="62" t="b">
        <f>IF(Tab.11[[#This Row],[a1]]=1,[3]!Tab_x1[[#This Row],[Name]])</f>
        <v>0</v>
      </c>
      <c r="D493" s="63" t="b">
        <f>IF(Tab.11[[#This Row],[a1]]=1,AO493)</f>
        <v>0</v>
      </c>
      <c r="E493" s="63">
        <f t="shared" si="16"/>
        <v>0</v>
      </c>
      <c r="F493" s="64" t="b">
        <f>IF(Tab.11[[#This Row],[a1]]=1,Tab.11[[#This Row],[b1]])</f>
        <v>0</v>
      </c>
      <c r="G493" s="65" t="b">
        <f>IF(Tab.11[[#This Row],[a1]]=1,IF(Tab.11[[#This Row],[b3]]&gt;$L$989*$G$3,$L$989*$G$3,IF(Tab.11[[#This Row],[b3]]&lt;$M$989*$G$3,$M$989*$G$3,Tab.11[[#This Row],[b3]])))</f>
        <v>0</v>
      </c>
      <c r="H493" s="66" t="b">
        <f>IF(Tab.11[[#This Row],[a1]]=1,Tab.11[[#This Row],[b1]])</f>
        <v>0</v>
      </c>
      <c r="I493" s="67" t="b">
        <f>IF(Tab.11[[#This Row],[a1]]=1,Tab.11[[#This Row],[b1]])</f>
        <v>0</v>
      </c>
      <c r="J493" s="68" t="b">
        <f>IF(Tab.11[[#This Row],[a1]]=1,IF($I$3&lt;0,Tab.11[[#This Row],[b5]]-$I$3,Tab.11[[#This Row],[b5]]))</f>
        <v>0</v>
      </c>
      <c r="K493" s="68" t="b">
        <f>IF(Tab.11[[#This Row],[a1]]=1,IF($K$3=0,Tab.11[b6],Tab.11[[#This Row],[b6]]-AVERAGE(Tab.11[b6])))</f>
        <v>0</v>
      </c>
      <c r="L493" s="69" t="b">
        <f>IF(Tab.11[[#This Row],[a1]]=1,Tab.11[[#This Row],[data]]/(_xlfn.STDEV.P(Tab.11[data])*$B$989)+$A$989)</f>
        <v>0</v>
      </c>
      <c r="M493" s="69" t="b">
        <f>IF(Tab.11[[#This Row],[a1]]=1,Tab.11[[#This Row],[data]]/(_xlfn.STDEV.P(Tab.11[data])*$B$987)-$A$987)</f>
        <v>0</v>
      </c>
      <c r="N493" s="69" t="b">
        <f>IF(Tab.11[[#This Row],[a1]]=1,Tab.11[[#This Row],[data]]/(_xlfn.STDEV.P(Tab.11[data])*$B$988)+$A$988)</f>
        <v>0</v>
      </c>
      <c r="O493" s="70" t="b">
        <f>IF(Tab.11[[#This Row],[a1]]=1,_xlfn.NORM.DIST(Tab.11[[#This Row],[b8]],$P$1,$Q$1,FALSE))</f>
        <v>0</v>
      </c>
      <c r="P493" s="70" t="b">
        <f>IF(Tab.11[[#This Row],[a1]]=1,_xlfn.NORM.DIST(Tab.11[[#This Row],[b9]],$P$1,$Q$1,FALSE))</f>
        <v>0</v>
      </c>
      <c r="Q493" s="70" t="b">
        <f>IF(Tab.11[[#This Row],[a1]]=1,_xlfn.NORM.DIST(Tab.11[[#This Row],[b10]],$P$1,$Q$1,FALSE))</f>
        <v>0</v>
      </c>
      <c r="R493" s="67" t="b">
        <f>IF(Tab.11[[#This Row],[a1]]=1,$I$3+$A$989+IF($K$3=0,Tab.11[[#This Row],[b8]]*_xlfn.STDEV.P(Tab.11[data]),AVERAGE(Tab.11[b6])+Tab.11[[#This Row],[b8]]*_xlfn.STDEV.P(Tab.11[data])))</f>
        <v>0</v>
      </c>
      <c r="S493" s="71" t="b">
        <f>IF(Tab.11[[#This Row],[a1]]=1,$I$3+$A$987+IF($K$3=0,Tab.11[[#This Row],[b9]]*_xlfn.STDEV.P(Tab.11[data]),AVERAGE(Tab.11[b6])+Tab.11[[#This Row],[b9]]*_xlfn.STDEV.P(Tab.11[data])))</f>
        <v>0</v>
      </c>
      <c r="T493" s="71" t="b">
        <f>IF(Tab.11[[#This Row],[a1]]=1,$I$3+$A$988+IF($K$3=0,Tab.11[[#This Row],[b10]]*_xlfn.STDEV.P(Tab.11[data]),AVERAGE(Tab.11[b6])+Tab.11[[#This Row],[b10]]*_xlfn.STDEV.P(Tab.11[data])))</f>
        <v>0</v>
      </c>
      <c r="U493" s="72" t="b">
        <f>IF(Tab.11[[#This Row],[a1]]=1,Tab.11[[#This Row],[target]]-Tab.11[[#This Row],[Red]])</f>
        <v>0</v>
      </c>
      <c r="V493" s="72" t="b">
        <f>IF(Tab.11[[#This Row],[a1]]=1,Tab.11[[#This Row],[target]]-Tab.11[[#This Row],[Blue]])</f>
        <v>0</v>
      </c>
      <c r="W493" s="73" t="b">
        <f>IF(Tab.11[[#This Row],[a1]]=1,IF(ABS(Tab.11[[#This Row],[b17]])+ABS(Tab.11[[#This Row],[b18]])&lt;$W$2,$W$2,ABS(Tab.11[[#This Row],[b17]])+ABS(Tab.11[[#This Row],[b18]])))</f>
        <v>0</v>
      </c>
      <c r="X493" s="136" t="b">
        <f>IF(Tab.11[[#This Row],[a1]]=1,IF($W$3&lt;0,Tab.11[[#This Row],[IN]]-$I$3,Tab.11[[#This Row],[IN]]))</f>
        <v>0</v>
      </c>
      <c r="Y493" s="136" t="b">
        <f>IF(Tab.11[[#This Row],[a1]]=1,IF($X$3=0,Tab.11[b66],Tab.11[[#This Row],[b66]]-AVERAGE(Tab.11[b66])))</f>
        <v>0</v>
      </c>
      <c r="Z493" s="135" t="b">
        <f>IF(Tab.11[[#This Row],[a1]]=1,Tab.11[[#This Row],[b77]]/(_xlfn.STDEV.P(Tab.11[b77])))</f>
        <v>0</v>
      </c>
      <c r="AA493" s="70" t="b">
        <f>IF(Tab.11[[#This Row],[a1]]=1,_xlfn.NORM.DIST(Tab.11[[#This Row],[b88]],$Z$1,$AA$1,FALSE))</f>
        <v>0</v>
      </c>
      <c r="AB493" s="74" t="b">
        <f>IF(Tab.11[[#This Row],[a1]]=1,IF($A$3=0,FALSE,1/Tab.11[[#This Row],[IN]]*$AC$2*IF(Tab.11[[#This Row],[a1]]=0,,$A$3*$AC$1*1/$V$3*(Tab.11[[#This Row],[b14]]))))</f>
        <v>0</v>
      </c>
      <c r="AC493" s="75" t="b">
        <f>IF(Tab.11[[#This Row],[a1]]=1,IF($AC$3=0,Tab.11[[#This Row],[φ1]],Tab.11[[#This Row],[φ1]]/MAX(Tab.11[φ1])))</f>
        <v>0</v>
      </c>
      <c r="AD493" s="74" t="b">
        <f>IF(Tab.11[[#This Row],[a1]]=1,1/Tab.11[[#This Row],[φ2]])</f>
        <v>0</v>
      </c>
      <c r="AE493" s="74" t="b">
        <f>IF(Tab.11[[#This Row],[a1]]=1,IF($AE$3=0,Tab.11[[#This Row],[w.0]],Tab.11[[#This Row],[w.0]]/SUM(Tab.11[w.0])))</f>
        <v>0</v>
      </c>
      <c r="AF493" s="76" t="str">
        <f>IF(Tab.11[[#This Row],[a1]]=0,"false",[3]!Tab.x5[[#This Row],[%_seN_C]])</f>
        <v>false</v>
      </c>
      <c r="AG493" s="77" t="b">
        <f>IF(Tab.11[[#This Row],[a1]]=1,AP493)</f>
        <v>0</v>
      </c>
      <c r="AH493" s="78" t="b">
        <f>IF(Tab.11[[#This Row],[a1]]=1,AQ493)</f>
        <v>0</v>
      </c>
      <c r="AI493" s="41">
        <v>3.0000000000000001E-3</v>
      </c>
      <c r="AJ493" s="79">
        <v>-0.08</v>
      </c>
      <c r="AK493" s="80" t="b">
        <f>IF(Tab.11[[#This Row],[a1]]=1,1)</f>
        <v>0</v>
      </c>
      <c r="AZ493"/>
    </row>
    <row r="494" spans="1:52" hidden="1" x14ac:dyDescent="0.25">
      <c r="A494" s="61">
        <f t="shared" si="17"/>
        <v>0</v>
      </c>
      <c r="B494" s="62">
        <f t="shared" si="17"/>
        <v>0</v>
      </c>
      <c r="C494" s="62" t="b">
        <f>IF(Tab.11[[#This Row],[a1]]=1,[3]!Tab_x1[[#This Row],[Name]])</f>
        <v>0</v>
      </c>
      <c r="D494" s="63" t="b">
        <f>IF(Tab.11[[#This Row],[a1]]=1,AO494)</f>
        <v>0</v>
      </c>
      <c r="E494" s="63">
        <f t="shared" si="16"/>
        <v>0</v>
      </c>
      <c r="F494" s="64" t="b">
        <f>IF(Tab.11[[#This Row],[a1]]=1,Tab.11[[#This Row],[b1]])</f>
        <v>0</v>
      </c>
      <c r="G494" s="65" t="b">
        <f>IF(Tab.11[[#This Row],[a1]]=1,IF(Tab.11[[#This Row],[b3]]&gt;$L$989*$G$3,$L$989*$G$3,IF(Tab.11[[#This Row],[b3]]&lt;$M$989*$G$3,$M$989*$G$3,Tab.11[[#This Row],[b3]])))</f>
        <v>0</v>
      </c>
      <c r="H494" s="66" t="b">
        <f>IF(Tab.11[[#This Row],[a1]]=1,Tab.11[[#This Row],[b1]])</f>
        <v>0</v>
      </c>
      <c r="I494" s="67" t="b">
        <f>IF(Tab.11[[#This Row],[a1]]=1,Tab.11[[#This Row],[b1]])</f>
        <v>0</v>
      </c>
      <c r="J494" s="68" t="b">
        <f>IF(Tab.11[[#This Row],[a1]]=1,IF($I$3&lt;0,Tab.11[[#This Row],[b5]]-$I$3,Tab.11[[#This Row],[b5]]))</f>
        <v>0</v>
      </c>
      <c r="K494" s="68" t="b">
        <f>IF(Tab.11[[#This Row],[a1]]=1,IF($K$3=0,Tab.11[b6],Tab.11[[#This Row],[b6]]-AVERAGE(Tab.11[b6])))</f>
        <v>0</v>
      </c>
      <c r="L494" s="69" t="b">
        <f>IF(Tab.11[[#This Row],[a1]]=1,Tab.11[[#This Row],[data]]/(_xlfn.STDEV.P(Tab.11[data])*$B$989)+$A$989)</f>
        <v>0</v>
      </c>
      <c r="M494" s="69" t="b">
        <f>IF(Tab.11[[#This Row],[a1]]=1,Tab.11[[#This Row],[data]]/(_xlfn.STDEV.P(Tab.11[data])*$B$987)-$A$987)</f>
        <v>0</v>
      </c>
      <c r="N494" s="69" t="b">
        <f>IF(Tab.11[[#This Row],[a1]]=1,Tab.11[[#This Row],[data]]/(_xlfn.STDEV.P(Tab.11[data])*$B$988)+$A$988)</f>
        <v>0</v>
      </c>
      <c r="O494" s="70" t="b">
        <f>IF(Tab.11[[#This Row],[a1]]=1,_xlfn.NORM.DIST(Tab.11[[#This Row],[b8]],$P$1,$Q$1,FALSE))</f>
        <v>0</v>
      </c>
      <c r="P494" s="70" t="b">
        <f>IF(Tab.11[[#This Row],[a1]]=1,_xlfn.NORM.DIST(Tab.11[[#This Row],[b9]],$P$1,$Q$1,FALSE))</f>
        <v>0</v>
      </c>
      <c r="Q494" s="70" t="b">
        <f>IF(Tab.11[[#This Row],[a1]]=1,_xlfn.NORM.DIST(Tab.11[[#This Row],[b10]],$P$1,$Q$1,FALSE))</f>
        <v>0</v>
      </c>
      <c r="R494" s="67" t="b">
        <f>IF(Tab.11[[#This Row],[a1]]=1,$I$3+$A$989+IF($K$3=0,Tab.11[[#This Row],[b8]]*_xlfn.STDEV.P(Tab.11[data]),AVERAGE(Tab.11[b6])+Tab.11[[#This Row],[b8]]*_xlfn.STDEV.P(Tab.11[data])))</f>
        <v>0</v>
      </c>
      <c r="S494" s="71" t="b">
        <f>IF(Tab.11[[#This Row],[a1]]=1,$I$3+$A$987+IF($K$3=0,Tab.11[[#This Row],[b9]]*_xlfn.STDEV.P(Tab.11[data]),AVERAGE(Tab.11[b6])+Tab.11[[#This Row],[b9]]*_xlfn.STDEV.P(Tab.11[data])))</f>
        <v>0</v>
      </c>
      <c r="T494" s="71" t="b">
        <f>IF(Tab.11[[#This Row],[a1]]=1,$I$3+$A$988+IF($K$3=0,Tab.11[[#This Row],[b10]]*_xlfn.STDEV.P(Tab.11[data]),AVERAGE(Tab.11[b6])+Tab.11[[#This Row],[b10]]*_xlfn.STDEV.P(Tab.11[data])))</f>
        <v>0</v>
      </c>
      <c r="U494" s="72" t="b">
        <f>IF(Tab.11[[#This Row],[a1]]=1,Tab.11[[#This Row],[target]]-Tab.11[[#This Row],[Red]])</f>
        <v>0</v>
      </c>
      <c r="V494" s="72" t="b">
        <f>IF(Tab.11[[#This Row],[a1]]=1,Tab.11[[#This Row],[target]]-Tab.11[[#This Row],[Blue]])</f>
        <v>0</v>
      </c>
      <c r="W494" s="73" t="b">
        <f>IF(Tab.11[[#This Row],[a1]]=1,IF(ABS(Tab.11[[#This Row],[b17]])+ABS(Tab.11[[#This Row],[b18]])&lt;$W$2,$W$2,ABS(Tab.11[[#This Row],[b17]])+ABS(Tab.11[[#This Row],[b18]])))</f>
        <v>0</v>
      </c>
      <c r="X494" s="136" t="b">
        <f>IF(Tab.11[[#This Row],[a1]]=1,IF($W$3&lt;0,Tab.11[[#This Row],[IN]]-$I$3,Tab.11[[#This Row],[IN]]))</f>
        <v>0</v>
      </c>
      <c r="Y494" s="136" t="b">
        <f>IF(Tab.11[[#This Row],[a1]]=1,IF($X$3=0,Tab.11[b66],Tab.11[[#This Row],[b66]]-AVERAGE(Tab.11[b66])))</f>
        <v>0</v>
      </c>
      <c r="Z494" s="135" t="b">
        <f>IF(Tab.11[[#This Row],[a1]]=1,Tab.11[[#This Row],[b77]]/(_xlfn.STDEV.P(Tab.11[b77])))</f>
        <v>0</v>
      </c>
      <c r="AA494" s="70" t="b">
        <f>IF(Tab.11[[#This Row],[a1]]=1,_xlfn.NORM.DIST(Tab.11[[#This Row],[b88]],$Z$1,$AA$1,FALSE))</f>
        <v>0</v>
      </c>
      <c r="AB494" s="74" t="b">
        <f>IF(Tab.11[[#This Row],[a1]]=1,IF($A$3=0,FALSE,1/Tab.11[[#This Row],[IN]]*$AC$2*IF(Tab.11[[#This Row],[a1]]=0,,$A$3*$AC$1*1/$V$3*(Tab.11[[#This Row],[b14]]))))</f>
        <v>0</v>
      </c>
      <c r="AC494" s="75" t="b">
        <f>IF(Tab.11[[#This Row],[a1]]=1,IF($AC$3=0,Tab.11[[#This Row],[φ1]],Tab.11[[#This Row],[φ1]]/MAX(Tab.11[φ1])))</f>
        <v>0</v>
      </c>
      <c r="AD494" s="74" t="b">
        <f>IF(Tab.11[[#This Row],[a1]]=1,1/Tab.11[[#This Row],[φ2]])</f>
        <v>0</v>
      </c>
      <c r="AE494" s="74" t="b">
        <f>IF(Tab.11[[#This Row],[a1]]=1,IF($AE$3=0,Tab.11[[#This Row],[w.0]],Tab.11[[#This Row],[w.0]]/SUM(Tab.11[w.0])))</f>
        <v>0</v>
      </c>
      <c r="AF494" s="76" t="str">
        <f>IF(Tab.11[[#This Row],[a1]]=0,"false",[3]!Tab.x5[[#This Row],[%_seN_C]])</f>
        <v>false</v>
      </c>
      <c r="AG494" s="77" t="b">
        <f>IF(Tab.11[[#This Row],[a1]]=1,AP494)</f>
        <v>0</v>
      </c>
      <c r="AH494" s="78" t="b">
        <f>IF(Tab.11[[#This Row],[a1]]=1,AQ494)</f>
        <v>0</v>
      </c>
      <c r="AI494" s="41">
        <v>3.0000000000000001E-3</v>
      </c>
      <c r="AJ494" s="79">
        <v>-0.02</v>
      </c>
      <c r="AK494" s="80" t="b">
        <f>IF(Tab.11[[#This Row],[a1]]=1,1)</f>
        <v>0</v>
      </c>
      <c r="AZ494"/>
    </row>
    <row r="495" spans="1:52" hidden="1" x14ac:dyDescent="0.25">
      <c r="A495" s="61">
        <f t="shared" si="17"/>
        <v>0</v>
      </c>
      <c r="B495" s="62">
        <f t="shared" si="17"/>
        <v>0</v>
      </c>
      <c r="C495" s="62" t="b">
        <f>IF(Tab.11[[#This Row],[a1]]=1,[3]!Tab_x1[[#This Row],[Name]])</f>
        <v>0</v>
      </c>
      <c r="D495" s="63" t="b">
        <f>IF(Tab.11[[#This Row],[a1]]=1,AO495)</f>
        <v>0</v>
      </c>
      <c r="E495" s="63">
        <f t="shared" si="16"/>
        <v>0</v>
      </c>
      <c r="F495" s="64" t="b">
        <f>IF(Tab.11[[#This Row],[a1]]=1,Tab.11[[#This Row],[b1]])</f>
        <v>0</v>
      </c>
      <c r="G495" s="65" t="b">
        <f>IF(Tab.11[[#This Row],[a1]]=1,IF(Tab.11[[#This Row],[b3]]&gt;$L$989*$G$3,$L$989*$G$3,IF(Tab.11[[#This Row],[b3]]&lt;$M$989*$G$3,$M$989*$G$3,Tab.11[[#This Row],[b3]])))</f>
        <v>0</v>
      </c>
      <c r="H495" s="66" t="b">
        <f>IF(Tab.11[[#This Row],[a1]]=1,Tab.11[[#This Row],[b1]])</f>
        <v>0</v>
      </c>
      <c r="I495" s="67" t="b">
        <f>IF(Tab.11[[#This Row],[a1]]=1,Tab.11[[#This Row],[b1]])</f>
        <v>0</v>
      </c>
      <c r="J495" s="68" t="b">
        <f>IF(Tab.11[[#This Row],[a1]]=1,IF($I$3&lt;0,Tab.11[[#This Row],[b5]]-$I$3,Tab.11[[#This Row],[b5]]))</f>
        <v>0</v>
      </c>
      <c r="K495" s="68" t="b">
        <f>IF(Tab.11[[#This Row],[a1]]=1,IF($K$3=0,Tab.11[b6],Tab.11[[#This Row],[b6]]-AVERAGE(Tab.11[b6])))</f>
        <v>0</v>
      </c>
      <c r="L495" s="69" t="b">
        <f>IF(Tab.11[[#This Row],[a1]]=1,Tab.11[[#This Row],[data]]/(_xlfn.STDEV.P(Tab.11[data])*$B$989)+$A$989)</f>
        <v>0</v>
      </c>
      <c r="M495" s="69" t="b">
        <f>IF(Tab.11[[#This Row],[a1]]=1,Tab.11[[#This Row],[data]]/(_xlfn.STDEV.P(Tab.11[data])*$B$987)-$A$987)</f>
        <v>0</v>
      </c>
      <c r="N495" s="69" t="b">
        <f>IF(Tab.11[[#This Row],[a1]]=1,Tab.11[[#This Row],[data]]/(_xlfn.STDEV.P(Tab.11[data])*$B$988)+$A$988)</f>
        <v>0</v>
      </c>
      <c r="O495" s="70" t="b">
        <f>IF(Tab.11[[#This Row],[a1]]=1,_xlfn.NORM.DIST(Tab.11[[#This Row],[b8]],$P$1,$Q$1,FALSE))</f>
        <v>0</v>
      </c>
      <c r="P495" s="70" t="b">
        <f>IF(Tab.11[[#This Row],[a1]]=1,_xlfn.NORM.DIST(Tab.11[[#This Row],[b9]],$P$1,$Q$1,FALSE))</f>
        <v>0</v>
      </c>
      <c r="Q495" s="70" t="b">
        <f>IF(Tab.11[[#This Row],[a1]]=1,_xlfn.NORM.DIST(Tab.11[[#This Row],[b10]],$P$1,$Q$1,FALSE))</f>
        <v>0</v>
      </c>
      <c r="R495" s="67" t="b">
        <f>IF(Tab.11[[#This Row],[a1]]=1,$I$3+$A$989+IF($K$3=0,Tab.11[[#This Row],[b8]]*_xlfn.STDEV.P(Tab.11[data]),AVERAGE(Tab.11[b6])+Tab.11[[#This Row],[b8]]*_xlfn.STDEV.P(Tab.11[data])))</f>
        <v>0</v>
      </c>
      <c r="S495" s="71" t="b">
        <f>IF(Tab.11[[#This Row],[a1]]=1,$I$3+$A$987+IF($K$3=0,Tab.11[[#This Row],[b9]]*_xlfn.STDEV.P(Tab.11[data]),AVERAGE(Tab.11[b6])+Tab.11[[#This Row],[b9]]*_xlfn.STDEV.P(Tab.11[data])))</f>
        <v>0</v>
      </c>
      <c r="T495" s="71" t="b">
        <f>IF(Tab.11[[#This Row],[a1]]=1,$I$3+$A$988+IF($K$3=0,Tab.11[[#This Row],[b10]]*_xlfn.STDEV.P(Tab.11[data]),AVERAGE(Tab.11[b6])+Tab.11[[#This Row],[b10]]*_xlfn.STDEV.P(Tab.11[data])))</f>
        <v>0</v>
      </c>
      <c r="U495" s="72" t="b">
        <f>IF(Tab.11[[#This Row],[a1]]=1,Tab.11[[#This Row],[target]]-Tab.11[[#This Row],[Red]])</f>
        <v>0</v>
      </c>
      <c r="V495" s="72" t="b">
        <f>IF(Tab.11[[#This Row],[a1]]=1,Tab.11[[#This Row],[target]]-Tab.11[[#This Row],[Blue]])</f>
        <v>0</v>
      </c>
      <c r="W495" s="73" t="b">
        <f>IF(Tab.11[[#This Row],[a1]]=1,IF(ABS(Tab.11[[#This Row],[b17]])+ABS(Tab.11[[#This Row],[b18]])&lt;$W$2,$W$2,ABS(Tab.11[[#This Row],[b17]])+ABS(Tab.11[[#This Row],[b18]])))</f>
        <v>0</v>
      </c>
      <c r="X495" s="136" t="b">
        <f>IF(Tab.11[[#This Row],[a1]]=1,IF($W$3&lt;0,Tab.11[[#This Row],[IN]]-$I$3,Tab.11[[#This Row],[IN]]))</f>
        <v>0</v>
      </c>
      <c r="Y495" s="136" t="b">
        <f>IF(Tab.11[[#This Row],[a1]]=1,IF($X$3=0,Tab.11[b66],Tab.11[[#This Row],[b66]]-AVERAGE(Tab.11[b66])))</f>
        <v>0</v>
      </c>
      <c r="Z495" s="135" t="b">
        <f>IF(Tab.11[[#This Row],[a1]]=1,Tab.11[[#This Row],[b77]]/(_xlfn.STDEV.P(Tab.11[b77])))</f>
        <v>0</v>
      </c>
      <c r="AA495" s="70" t="b">
        <f>IF(Tab.11[[#This Row],[a1]]=1,_xlfn.NORM.DIST(Tab.11[[#This Row],[b88]],$Z$1,$AA$1,FALSE))</f>
        <v>0</v>
      </c>
      <c r="AB495" s="74" t="b">
        <f>IF(Tab.11[[#This Row],[a1]]=1,IF($A$3=0,FALSE,1/Tab.11[[#This Row],[IN]]*$AC$2*IF(Tab.11[[#This Row],[a1]]=0,,$A$3*$AC$1*1/$V$3*(Tab.11[[#This Row],[b14]]))))</f>
        <v>0</v>
      </c>
      <c r="AC495" s="75" t="b">
        <f>IF(Tab.11[[#This Row],[a1]]=1,IF($AC$3=0,Tab.11[[#This Row],[φ1]],Tab.11[[#This Row],[φ1]]/MAX(Tab.11[φ1])))</f>
        <v>0</v>
      </c>
      <c r="AD495" s="74" t="b">
        <f>IF(Tab.11[[#This Row],[a1]]=1,1/Tab.11[[#This Row],[φ2]])</f>
        <v>0</v>
      </c>
      <c r="AE495" s="74" t="b">
        <f>IF(Tab.11[[#This Row],[a1]]=1,IF($AE$3=0,Tab.11[[#This Row],[w.0]],Tab.11[[#This Row],[w.0]]/SUM(Tab.11[w.0])))</f>
        <v>0</v>
      </c>
      <c r="AF495" s="76" t="str">
        <f>IF(Tab.11[[#This Row],[a1]]=0,"false",[3]!Tab.x5[[#This Row],[%_seN_C]])</f>
        <v>false</v>
      </c>
      <c r="AG495" s="77" t="b">
        <f>IF(Tab.11[[#This Row],[a1]]=1,AP495)</f>
        <v>0</v>
      </c>
      <c r="AH495" s="78" t="b">
        <f>IF(Tab.11[[#This Row],[a1]]=1,AQ495)</f>
        <v>0</v>
      </c>
      <c r="AI495" s="41">
        <v>3.0000000000000001E-3</v>
      </c>
      <c r="AJ495" s="79">
        <v>-0.09</v>
      </c>
      <c r="AK495" s="80" t="b">
        <f>IF(Tab.11[[#This Row],[a1]]=1,1)</f>
        <v>0</v>
      </c>
      <c r="AZ495"/>
    </row>
    <row r="496" spans="1:52" hidden="1" x14ac:dyDescent="0.25">
      <c r="A496" s="61">
        <f t="shared" si="17"/>
        <v>0</v>
      </c>
      <c r="B496" s="62">
        <f t="shared" si="17"/>
        <v>0</v>
      </c>
      <c r="C496" s="62" t="b">
        <f>IF(Tab.11[[#This Row],[a1]]=1,[3]!Tab_x1[[#This Row],[Name]])</f>
        <v>0</v>
      </c>
      <c r="D496" s="63" t="b">
        <f>IF(Tab.11[[#This Row],[a1]]=1,AO496)</f>
        <v>0</v>
      </c>
      <c r="E496" s="63">
        <f t="shared" si="16"/>
        <v>0</v>
      </c>
      <c r="F496" s="64" t="b">
        <f>IF(Tab.11[[#This Row],[a1]]=1,Tab.11[[#This Row],[b1]])</f>
        <v>0</v>
      </c>
      <c r="G496" s="65" t="b">
        <f>IF(Tab.11[[#This Row],[a1]]=1,IF(Tab.11[[#This Row],[b3]]&gt;$L$989*$G$3,$L$989*$G$3,IF(Tab.11[[#This Row],[b3]]&lt;$M$989*$G$3,$M$989*$G$3,Tab.11[[#This Row],[b3]])))</f>
        <v>0</v>
      </c>
      <c r="H496" s="66" t="b">
        <f>IF(Tab.11[[#This Row],[a1]]=1,Tab.11[[#This Row],[b1]])</f>
        <v>0</v>
      </c>
      <c r="I496" s="67" t="b">
        <f>IF(Tab.11[[#This Row],[a1]]=1,Tab.11[[#This Row],[b1]])</f>
        <v>0</v>
      </c>
      <c r="J496" s="68" t="b">
        <f>IF(Tab.11[[#This Row],[a1]]=1,IF($I$3&lt;0,Tab.11[[#This Row],[b5]]-$I$3,Tab.11[[#This Row],[b5]]))</f>
        <v>0</v>
      </c>
      <c r="K496" s="68" t="b">
        <f>IF(Tab.11[[#This Row],[a1]]=1,IF($K$3=0,Tab.11[b6],Tab.11[[#This Row],[b6]]-AVERAGE(Tab.11[b6])))</f>
        <v>0</v>
      </c>
      <c r="L496" s="69" t="b">
        <f>IF(Tab.11[[#This Row],[a1]]=1,Tab.11[[#This Row],[data]]/(_xlfn.STDEV.P(Tab.11[data])*$B$989)+$A$989)</f>
        <v>0</v>
      </c>
      <c r="M496" s="69" t="b">
        <f>IF(Tab.11[[#This Row],[a1]]=1,Tab.11[[#This Row],[data]]/(_xlfn.STDEV.P(Tab.11[data])*$B$987)-$A$987)</f>
        <v>0</v>
      </c>
      <c r="N496" s="69" t="b">
        <f>IF(Tab.11[[#This Row],[a1]]=1,Tab.11[[#This Row],[data]]/(_xlfn.STDEV.P(Tab.11[data])*$B$988)+$A$988)</f>
        <v>0</v>
      </c>
      <c r="O496" s="70" t="b">
        <f>IF(Tab.11[[#This Row],[a1]]=1,_xlfn.NORM.DIST(Tab.11[[#This Row],[b8]],$P$1,$Q$1,FALSE))</f>
        <v>0</v>
      </c>
      <c r="P496" s="70" t="b">
        <f>IF(Tab.11[[#This Row],[a1]]=1,_xlfn.NORM.DIST(Tab.11[[#This Row],[b9]],$P$1,$Q$1,FALSE))</f>
        <v>0</v>
      </c>
      <c r="Q496" s="70" t="b">
        <f>IF(Tab.11[[#This Row],[a1]]=1,_xlfn.NORM.DIST(Tab.11[[#This Row],[b10]],$P$1,$Q$1,FALSE))</f>
        <v>0</v>
      </c>
      <c r="R496" s="67" t="b">
        <f>IF(Tab.11[[#This Row],[a1]]=1,$I$3+$A$989+IF($K$3=0,Tab.11[[#This Row],[b8]]*_xlfn.STDEV.P(Tab.11[data]),AVERAGE(Tab.11[b6])+Tab.11[[#This Row],[b8]]*_xlfn.STDEV.P(Tab.11[data])))</f>
        <v>0</v>
      </c>
      <c r="S496" s="71" t="b">
        <f>IF(Tab.11[[#This Row],[a1]]=1,$I$3+$A$987+IF($K$3=0,Tab.11[[#This Row],[b9]]*_xlfn.STDEV.P(Tab.11[data]),AVERAGE(Tab.11[b6])+Tab.11[[#This Row],[b9]]*_xlfn.STDEV.P(Tab.11[data])))</f>
        <v>0</v>
      </c>
      <c r="T496" s="71" t="b">
        <f>IF(Tab.11[[#This Row],[a1]]=1,$I$3+$A$988+IF($K$3=0,Tab.11[[#This Row],[b10]]*_xlfn.STDEV.P(Tab.11[data]),AVERAGE(Tab.11[b6])+Tab.11[[#This Row],[b10]]*_xlfn.STDEV.P(Tab.11[data])))</f>
        <v>0</v>
      </c>
      <c r="U496" s="72" t="b">
        <f>IF(Tab.11[[#This Row],[a1]]=1,Tab.11[[#This Row],[target]]-Tab.11[[#This Row],[Red]])</f>
        <v>0</v>
      </c>
      <c r="V496" s="72" t="b">
        <f>IF(Tab.11[[#This Row],[a1]]=1,Tab.11[[#This Row],[target]]-Tab.11[[#This Row],[Blue]])</f>
        <v>0</v>
      </c>
      <c r="W496" s="73" t="b">
        <f>IF(Tab.11[[#This Row],[a1]]=1,IF(ABS(Tab.11[[#This Row],[b17]])+ABS(Tab.11[[#This Row],[b18]])&lt;$W$2,$W$2,ABS(Tab.11[[#This Row],[b17]])+ABS(Tab.11[[#This Row],[b18]])))</f>
        <v>0</v>
      </c>
      <c r="X496" s="136" t="b">
        <f>IF(Tab.11[[#This Row],[a1]]=1,IF($W$3&lt;0,Tab.11[[#This Row],[IN]]-$I$3,Tab.11[[#This Row],[IN]]))</f>
        <v>0</v>
      </c>
      <c r="Y496" s="136" t="b">
        <f>IF(Tab.11[[#This Row],[a1]]=1,IF($X$3=0,Tab.11[b66],Tab.11[[#This Row],[b66]]-AVERAGE(Tab.11[b66])))</f>
        <v>0</v>
      </c>
      <c r="Z496" s="135" t="b">
        <f>IF(Tab.11[[#This Row],[a1]]=1,Tab.11[[#This Row],[b77]]/(_xlfn.STDEV.P(Tab.11[b77])))</f>
        <v>0</v>
      </c>
      <c r="AA496" s="70" t="b">
        <f>IF(Tab.11[[#This Row],[a1]]=1,_xlfn.NORM.DIST(Tab.11[[#This Row],[b88]],$Z$1,$AA$1,FALSE))</f>
        <v>0</v>
      </c>
      <c r="AB496" s="74" t="b">
        <f>IF(Tab.11[[#This Row],[a1]]=1,IF($A$3=0,FALSE,1/Tab.11[[#This Row],[IN]]*$AC$2*IF(Tab.11[[#This Row],[a1]]=0,,$A$3*$AC$1*1/$V$3*(Tab.11[[#This Row],[b14]]))))</f>
        <v>0</v>
      </c>
      <c r="AC496" s="75" t="b">
        <f>IF(Tab.11[[#This Row],[a1]]=1,IF($AC$3=0,Tab.11[[#This Row],[φ1]],Tab.11[[#This Row],[φ1]]/MAX(Tab.11[φ1])))</f>
        <v>0</v>
      </c>
      <c r="AD496" s="74" t="b">
        <f>IF(Tab.11[[#This Row],[a1]]=1,1/Tab.11[[#This Row],[φ2]])</f>
        <v>0</v>
      </c>
      <c r="AE496" s="74" t="b">
        <f>IF(Tab.11[[#This Row],[a1]]=1,IF($AE$3=0,Tab.11[[#This Row],[w.0]],Tab.11[[#This Row],[w.0]]/SUM(Tab.11[w.0])))</f>
        <v>0</v>
      </c>
      <c r="AF496" s="76" t="str">
        <f>IF(Tab.11[[#This Row],[a1]]=0,"false",[3]!Tab.x5[[#This Row],[%_seN_C]])</f>
        <v>false</v>
      </c>
      <c r="AG496" s="77" t="b">
        <f>IF(Tab.11[[#This Row],[a1]]=1,AP496)</f>
        <v>0</v>
      </c>
      <c r="AH496" s="78" t="b">
        <f>IF(Tab.11[[#This Row],[a1]]=1,AQ496)</f>
        <v>0</v>
      </c>
      <c r="AI496" s="41">
        <v>3.0000000000000001E-3</v>
      </c>
      <c r="AJ496" s="79">
        <v>0.05</v>
      </c>
      <c r="AK496" s="80" t="b">
        <f>IF(Tab.11[[#This Row],[a1]]=1,1)</f>
        <v>0</v>
      </c>
      <c r="AZ496"/>
    </row>
    <row r="497" spans="1:52" hidden="1" x14ac:dyDescent="0.25">
      <c r="A497" s="61">
        <f t="shared" si="17"/>
        <v>0</v>
      </c>
      <c r="B497" s="62">
        <f t="shared" si="17"/>
        <v>0</v>
      </c>
      <c r="C497" s="62" t="b">
        <f>IF(Tab.11[[#This Row],[a1]]=1,[3]!Tab_x1[[#This Row],[Name]])</f>
        <v>0</v>
      </c>
      <c r="D497" s="63" t="b">
        <f>IF(Tab.11[[#This Row],[a1]]=1,AO497)</f>
        <v>0</v>
      </c>
      <c r="E497" s="63">
        <f t="shared" si="16"/>
        <v>0</v>
      </c>
      <c r="F497" s="64" t="b">
        <f>IF(Tab.11[[#This Row],[a1]]=1,Tab.11[[#This Row],[b1]])</f>
        <v>0</v>
      </c>
      <c r="G497" s="65" t="b">
        <f>IF(Tab.11[[#This Row],[a1]]=1,IF(Tab.11[[#This Row],[b3]]&gt;$L$989*$G$3,$L$989*$G$3,IF(Tab.11[[#This Row],[b3]]&lt;$M$989*$G$3,$M$989*$G$3,Tab.11[[#This Row],[b3]])))</f>
        <v>0</v>
      </c>
      <c r="H497" s="66" t="b">
        <f>IF(Tab.11[[#This Row],[a1]]=1,Tab.11[[#This Row],[b1]])</f>
        <v>0</v>
      </c>
      <c r="I497" s="67" t="b">
        <f>IF(Tab.11[[#This Row],[a1]]=1,Tab.11[[#This Row],[b1]])</f>
        <v>0</v>
      </c>
      <c r="J497" s="68" t="b">
        <f>IF(Tab.11[[#This Row],[a1]]=1,IF($I$3&lt;0,Tab.11[[#This Row],[b5]]-$I$3,Tab.11[[#This Row],[b5]]))</f>
        <v>0</v>
      </c>
      <c r="K497" s="68" t="b">
        <f>IF(Tab.11[[#This Row],[a1]]=1,IF($K$3=0,Tab.11[b6],Tab.11[[#This Row],[b6]]-AVERAGE(Tab.11[b6])))</f>
        <v>0</v>
      </c>
      <c r="L497" s="69" t="b">
        <f>IF(Tab.11[[#This Row],[a1]]=1,Tab.11[[#This Row],[data]]/(_xlfn.STDEV.P(Tab.11[data])*$B$989)+$A$989)</f>
        <v>0</v>
      </c>
      <c r="M497" s="69" t="b">
        <f>IF(Tab.11[[#This Row],[a1]]=1,Tab.11[[#This Row],[data]]/(_xlfn.STDEV.P(Tab.11[data])*$B$987)-$A$987)</f>
        <v>0</v>
      </c>
      <c r="N497" s="69" t="b">
        <f>IF(Tab.11[[#This Row],[a1]]=1,Tab.11[[#This Row],[data]]/(_xlfn.STDEV.P(Tab.11[data])*$B$988)+$A$988)</f>
        <v>0</v>
      </c>
      <c r="O497" s="70" t="b">
        <f>IF(Tab.11[[#This Row],[a1]]=1,_xlfn.NORM.DIST(Tab.11[[#This Row],[b8]],$P$1,$Q$1,FALSE))</f>
        <v>0</v>
      </c>
      <c r="P497" s="70" t="b">
        <f>IF(Tab.11[[#This Row],[a1]]=1,_xlfn.NORM.DIST(Tab.11[[#This Row],[b9]],$P$1,$Q$1,FALSE))</f>
        <v>0</v>
      </c>
      <c r="Q497" s="70" t="b">
        <f>IF(Tab.11[[#This Row],[a1]]=1,_xlfn.NORM.DIST(Tab.11[[#This Row],[b10]],$P$1,$Q$1,FALSE))</f>
        <v>0</v>
      </c>
      <c r="R497" s="67" t="b">
        <f>IF(Tab.11[[#This Row],[a1]]=1,$I$3+$A$989+IF($K$3=0,Tab.11[[#This Row],[b8]]*_xlfn.STDEV.P(Tab.11[data]),AVERAGE(Tab.11[b6])+Tab.11[[#This Row],[b8]]*_xlfn.STDEV.P(Tab.11[data])))</f>
        <v>0</v>
      </c>
      <c r="S497" s="71" t="b">
        <f>IF(Tab.11[[#This Row],[a1]]=1,$I$3+$A$987+IF($K$3=0,Tab.11[[#This Row],[b9]]*_xlfn.STDEV.P(Tab.11[data]),AVERAGE(Tab.11[b6])+Tab.11[[#This Row],[b9]]*_xlfn.STDEV.P(Tab.11[data])))</f>
        <v>0</v>
      </c>
      <c r="T497" s="71" t="b">
        <f>IF(Tab.11[[#This Row],[a1]]=1,$I$3+$A$988+IF($K$3=0,Tab.11[[#This Row],[b10]]*_xlfn.STDEV.P(Tab.11[data]),AVERAGE(Tab.11[b6])+Tab.11[[#This Row],[b10]]*_xlfn.STDEV.P(Tab.11[data])))</f>
        <v>0</v>
      </c>
      <c r="U497" s="72" t="b">
        <f>IF(Tab.11[[#This Row],[a1]]=1,Tab.11[[#This Row],[target]]-Tab.11[[#This Row],[Red]])</f>
        <v>0</v>
      </c>
      <c r="V497" s="72" t="b">
        <f>IF(Tab.11[[#This Row],[a1]]=1,Tab.11[[#This Row],[target]]-Tab.11[[#This Row],[Blue]])</f>
        <v>0</v>
      </c>
      <c r="W497" s="73" t="b">
        <f>IF(Tab.11[[#This Row],[a1]]=1,IF(ABS(Tab.11[[#This Row],[b17]])+ABS(Tab.11[[#This Row],[b18]])&lt;$W$2,$W$2,ABS(Tab.11[[#This Row],[b17]])+ABS(Tab.11[[#This Row],[b18]])))</f>
        <v>0</v>
      </c>
      <c r="X497" s="136" t="b">
        <f>IF(Tab.11[[#This Row],[a1]]=1,IF($W$3&lt;0,Tab.11[[#This Row],[IN]]-$I$3,Tab.11[[#This Row],[IN]]))</f>
        <v>0</v>
      </c>
      <c r="Y497" s="136" t="b">
        <f>IF(Tab.11[[#This Row],[a1]]=1,IF($X$3=0,Tab.11[b66],Tab.11[[#This Row],[b66]]-AVERAGE(Tab.11[b66])))</f>
        <v>0</v>
      </c>
      <c r="Z497" s="135" t="b">
        <f>IF(Tab.11[[#This Row],[a1]]=1,Tab.11[[#This Row],[b77]]/(_xlfn.STDEV.P(Tab.11[b77])))</f>
        <v>0</v>
      </c>
      <c r="AA497" s="70" t="b">
        <f>IF(Tab.11[[#This Row],[a1]]=1,_xlfn.NORM.DIST(Tab.11[[#This Row],[b88]],$Z$1,$AA$1,FALSE))</f>
        <v>0</v>
      </c>
      <c r="AB497" s="74" t="b">
        <f>IF(Tab.11[[#This Row],[a1]]=1,IF($A$3=0,FALSE,1/Tab.11[[#This Row],[IN]]*$AC$2*IF(Tab.11[[#This Row],[a1]]=0,,$A$3*$AC$1*1/$V$3*(Tab.11[[#This Row],[b14]]))))</f>
        <v>0</v>
      </c>
      <c r="AC497" s="75" t="b">
        <f>IF(Tab.11[[#This Row],[a1]]=1,IF($AC$3=0,Tab.11[[#This Row],[φ1]],Tab.11[[#This Row],[φ1]]/MAX(Tab.11[φ1])))</f>
        <v>0</v>
      </c>
      <c r="AD497" s="74" t="b">
        <f>IF(Tab.11[[#This Row],[a1]]=1,1/Tab.11[[#This Row],[φ2]])</f>
        <v>0</v>
      </c>
      <c r="AE497" s="74" t="b">
        <f>IF(Tab.11[[#This Row],[a1]]=1,IF($AE$3=0,Tab.11[[#This Row],[w.0]],Tab.11[[#This Row],[w.0]]/SUM(Tab.11[w.0])))</f>
        <v>0</v>
      </c>
      <c r="AF497" s="76" t="str">
        <f>IF(Tab.11[[#This Row],[a1]]=0,"false",[3]!Tab.x5[[#This Row],[%_seN_C]])</f>
        <v>false</v>
      </c>
      <c r="AG497" s="77" t="b">
        <f>IF(Tab.11[[#This Row],[a1]]=1,AP497)</f>
        <v>0</v>
      </c>
      <c r="AH497" s="78" t="b">
        <f>IF(Tab.11[[#This Row],[a1]]=1,AQ497)</f>
        <v>0</v>
      </c>
      <c r="AI497" s="41">
        <v>3.0000000000000001E-3</v>
      </c>
      <c r="AJ497" s="79">
        <v>7.0000000000000007E-2</v>
      </c>
      <c r="AK497" s="80" t="b">
        <f>IF(Tab.11[[#This Row],[a1]]=1,1)</f>
        <v>0</v>
      </c>
      <c r="AZ497"/>
    </row>
    <row r="498" spans="1:52" hidden="1" x14ac:dyDescent="0.25">
      <c r="A498" s="61">
        <f t="shared" si="17"/>
        <v>0</v>
      </c>
      <c r="B498" s="62">
        <f t="shared" si="17"/>
        <v>0</v>
      </c>
      <c r="C498" s="62" t="b">
        <f>IF(Tab.11[[#This Row],[a1]]=1,[3]!Tab_x1[[#This Row],[Name]])</f>
        <v>0</v>
      </c>
      <c r="D498" s="63" t="b">
        <f>IF(Tab.11[[#This Row],[a1]]=1,AO498)</f>
        <v>0</v>
      </c>
      <c r="E498" s="63">
        <f t="shared" si="16"/>
        <v>0</v>
      </c>
      <c r="F498" s="64" t="b">
        <f>IF(Tab.11[[#This Row],[a1]]=1,Tab.11[[#This Row],[b1]])</f>
        <v>0</v>
      </c>
      <c r="G498" s="65" t="b">
        <f>IF(Tab.11[[#This Row],[a1]]=1,IF(Tab.11[[#This Row],[b3]]&gt;$L$989*$G$3,$L$989*$G$3,IF(Tab.11[[#This Row],[b3]]&lt;$M$989*$G$3,$M$989*$G$3,Tab.11[[#This Row],[b3]])))</f>
        <v>0</v>
      </c>
      <c r="H498" s="66" t="b">
        <f>IF(Tab.11[[#This Row],[a1]]=1,Tab.11[[#This Row],[b1]])</f>
        <v>0</v>
      </c>
      <c r="I498" s="67" t="b">
        <f>IF(Tab.11[[#This Row],[a1]]=1,Tab.11[[#This Row],[b1]])</f>
        <v>0</v>
      </c>
      <c r="J498" s="68" t="b">
        <f>IF(Tab.11[[#This Row],[a1]]=1,IF($I$3&lt;0,Tab.11[[#This Row],[b5]]-$I$3,Tab.11[[#This Row],[b5]]))</f>
        <v>0</v>
      </c>
      <c r="K498" s="68" t="b">
        <f>IF(Tab.11[[#This Row],[a1]]=1,IF($K$3=0,Tab.11[b6],Tab.11[[#This Row],[b6]]-AVERAGE(Tab.11[b6])))</f>
        <v>0</v>
      </c>
      <c r="L498" s="69" t="b">
        <f>IF(Tab.11[[#This Row],[a1]]=1,Tab.11[[#This Row],[data]]/(_xlfn.STDEV.P(Tab.11[data])*$B$989)+$A$989)</f>
        <v>0</v>
      </c>
      <c r="M498" s="69" t="b">
        <f>IF(Tab.11[[#This Row],[a1]]=1,Tab.11[[#This Row],[data]]/(_xlfn.STDEV.P(Tab.11[data])*$B$987)-$A$987)</f>
        <v>0</v>
      </c>
      <c r="N498" s="69" t="b">
        <f>IF(Tab.11[[#This Row],[a1]]=1,Tab.11[[#This Row],[data]]/(_xlfn.STDEV.P(Tab.11[data])*$B$988)+$A$988)</f>
        <v>0</v>
      </c>
      <c r="O498" s="70" t="b">
        <f>IF(Tab.11[[#This Row],[a1]]=1,_xlfn.NORM.DIST(Tab.11[[#This Row],[b8]],$P$1,$Q$1,FALSE))</f>
        <v>0</v>
      </c>
      <c r="P498" s="70" t="b">
        <f>IF(Tab.11[[#This Row],[a1]]=1,_xlfn.NORM.DIST(Tab.11[[#This Row],[b9]],$P$1,$Q$1,FALSE))</f>
        <v>0</v>
      </c>
      <c r="Q498" s="70" t="b">
        <f>IF(Tab.11[[#This Row],[a1]]=1,_xlfn.NORM.DIST(Tab.11[[#This Row],[b10]],$P$1,$Q$1,FALSE))</f>
        <v>0</v>
      </c>
      <c r="R498" s="67" t="b">
        <f>IF(Tab.11[[#This Row],[a1]]=1,$I$3+$A$989+IF($K$3=0,Tab.11[[#This Row],[b8]]*_xlfn.STDEV.P(Tab.11[data]),AVERAGE(Tab.11[b6])+Tab.11[[#This Row],[b8]]*_xlfn.STDEV.P(Tab.11[data])))</f>
        <v>0</v>
      </c>
      <c r="S498" s="71" t="b">
        <f>IF(Tab.11[[#This Row],[a1]]=1,$I$3+$A$987+IF($K$3=0,Tab.11[[#This Row],[b9]]*_xlfn.STDEV.P(Tab.11[data]),AVERAGE(Tab.11[b6])+Tab.11[[#This Row],[b9]]*_xlfn.STDEV.P(Tab.11[data])))</f>
        <v>0</v>
      </c>
      <c r="T498" s="71" t="b">
        <f>IF(Tab.11[[#This Row],[a1]]=1,$I$3+$A$988+IF($K$3=0,Tab.11[[#This Row],[b10]]*_xlfn.STDEV.P(Tab.11[data]),AVERAGE(Tab.11[b6])+Tab.11[[#This Row],[b10]]*_xlfn.STDEV.P(Tab.11[data])))</f>
        <v>0</v>
      </c>
      <c r="U498" s="72" t="b">
        <f>IF(Tab.11[[#This Row],[a1]]=1,Tab.11[[#This Row],[target]]-Tab.11[[#This Row],[Red]])</f>
        <v>0</v>
      </c>
      <c r="V498" s="72" t="b">
        <f>IF(Tab.11[[#This Row],[a1]]=1,Tab.11[[#This Row],[target]]-Tab.11[[#This Row],[Blue]])</f>
        <v>0</v>
      </c>
      <c r="W498" s="73" t="b">
        <f>IF(Tab.11[[#This Row],[a1]]=1,IF(ABS(Tab.11[[#This Row],[b17]])+ABS(Tab.11[[#This Row],[b18]])&lt;$W$2,$W$2,ABS(Tab.11[[#This Row],[b17]])+ABS(Tab.11[[#This Row],[b18]])))</f>
        <v>0</v>
      </c>
      <c r="X498" s="136" t="b">
        <f>IF(Tab.11[[#This Row],[a1]]=1,IF($W$3&lt;0,Tab.11[[#This Row],[IN]]-$I$3,Tab.11[[#This Row],[IN]]))</f>
        <v>0</v>
      </c>
      <c r="Y498" s="136" t="b">
        <f>IF(Tab.11[[#This Row],[a1]]=1,IF($X$3=0,Tab.11[b66],Tab.11[[#This Row],[b66]]-AVERAGE(Tab.11[b66])))</f>
        <v>0</v>
      </c>
      <c r="Z498" s="135" t="b">
        <f>IF(Tab.11[[#This Row],[a1]]=1,Tab.11[[#This Row],[b77]]/(_xlfn.STDEV.P(Tab.11[b77])))</f>
        <v>0</v>
      </c>
      <c r="AA498" s="70" t="b">
        <f>IF(Tab.11[[#This Row],[a1]]=1,_xlfn.NORM.DIST(Tab.11[[#This Row],[b88]],$Z$1,$AA$1,FALSE))</f>
        <v>0</v>
      </c>
      <c r="AB498" s="74" t="b">
        <f>IF(Tab.11[[#This Row],[a1]]=1,IF($A$3=0,FALSE,1/Tab.11[[#This Row],[IN]]*$AC$2*IF(Tab.11[[#This Row],[a1]]=0,,$A$3*$AC$1*1/$V$3*(Tab.11[[#This Row],[b14]]))))</f>
        <v>0</v>
      </c>
      <c r="AC498" s="75" t="b">
        <f>IF(Tab.11[[#This Row],[a1]]=1,IF($AC$3=0,Tab.11[[#This Row],[φ1]],Tab.11[[#This Row],[φ1]]/MAX(Tab.11[φ1])))</f>
        <v>0</v>
      </c>
      <c r="AD498" s="74" t="b">
        <f>IF(Tab.11[[#This Row],[a1]]=1,1/Tab.11[[#This Row],[φ2]])</f>
        <v>0</v>
      </c>
      <c r="AE498" s="74" t="b">
        <f>IF(Tab.11[[#This Row],[a1]]=1,IF($AE$3=0,Tab.11[[#This Row],[w.0]],Tab.11[[#This Row],[w.0]]/SUM(Tab.11[w.0])))</f>
        <v>0</v>
      </c>
      <c r="AF498" s="76" t="str">
        <f>IF(Tab.11[[#This Row],[a1]]=0,"false",[3]!Tab.x5[[#This Row],[%_seN_C]])</f>
        <v>false</v>
      </c>
      <c r="AG498" s="77" t="b">
        <f>IF(Tab.11[[#This Row],[a1]]=1,AP498)</f>
        <v>0</v>
      </c>
      <c r="AH498" s="78" t="b">
        <f>IF(Tab.11[[#This Row],[a1]]=1,AQ498)</f>
        <v>0</v>
      </c>
      <c r="AI498" s="41">
        <v>3.0000000000000001E-3</v>
      </c>
      <c r="AJ498" s="79">
        <v>0.02</v>
      </c>
      <c r="AK498" s="80" t="b">
        <f>IF(Tab.11[[#This Row],[a1]]=1,1)</f>
        <v>0</v>
      </c>
      <c r="AZ498"/>
    </row>
    <row r="499" spans="1:52" hidden="1" x14ac:dyDescent="0.25">
      <c r="A499" s="61">
        <f t="shared" si="17"/>
        <v>0</v>
      </c>
      <c r="B499" s="62">
        <f t="shared" si="17"/>
        <v>0</v>
      </c>
      <c r="C499" s="62" t="b">
        <f>IF(Tab.11[[#This Row],[a1]]=1,[3]!Tab_x1[[#This Row],[Name]])</f>
        <v>0</v>
      </c>
      <c r="D499" s="63" t="b">
        <f>IF(Tab.11[[#This Row],[a1]]=1,AO499)</f>
        <v>0</v>
      </c>
      <c r="E499" s="63">
        <f t="shared" si="16"/>
        <v>0</v>
      </c>
      <c r="F499" s="64" t="b">
        <f>IF(Tab.11[[#This Row],[a1]]=1,Tab.11[[#This Row],[b1]])</f>
        <v>0</v>
      </c>
      <c r="G499" s="65" t="b">
        <f>IF(Tab.11[[#This Row],[a1]]=1,IF(Tab.11[[#This Row],[b3]]&gt;$L$989*$G$3,$L$989*$G$3,IF(Tab.11[[#This Row],[b3]]&lt;$M$989*$G$3,$M$989*$G$3,Tab.11[[#This Row],[b3]])))</f>
        <v>0</v>
      </c>
      <c r="H499" s="66" t="b">
        <f>IF(Tab.11[[#This Row],[a1]]=1,Tab.11[[#This Row],[b1]])</f>
        <v>0</v>
      </c>
      <c r="I499" s="67" t="b">
        <f>IF(Tab.11[[#This Row],[a1]]=1,Tab.11[[#This Row],[b1]])</f>
        <v>0</v>
      </c>
      <c r="J499" s="68" t="b">
        <f>IF(Tab.11[[#This Row],[a1]]=1,IF($I$3&lt;0,Tab.11[[#This Row],[b5]]-$I$3,Tab.11[[#This Row],[b5]]))</f>
        <v>0</v>
      </c>
      <c r="K499" s="68" t="b">
        <f>IF(Tab.11[[#This Row],[a1]]=1,IF($K$3=0,Tab.11[b6],Tab.11[[#This Row],[b6]]-AVERAGE(Tab.11[b6])))</f>
        <v>0</v>
      </c>
      <c r="L499" s="69" t="b">
        <f>IF(Tab.11[[#This Row],[a1]]=1,Tab.11[[#This Row],[data]]/(_xlfn.STDEV.P(Tab.11[data])*$B$989)+$A$989)</f>
        <v>0</v>
      </c>
      <c r="M499" s="69" t="b">
        <f>IF(Tab.11[[#This Row],[a1]]=1,Tab.11[[#This Row],[data]]/(_xlfn.STDEV.P(Tab.11[data])*$B$987)-$A$987)</f>
        <v>0</v>
      </c>
      <c r="N499" s="69" t="b">
        <f>IF(Tab.11[[#This Row],[a1]]=1,Tab.11[[#This Row],[data]]/(_xlfn.STDEV.P(Tab.11[data])*$B$988)+$A$988)</f>
        <v>0</v>
      </c>
      <c r="O499" s="70" t="b">
        <f>IF(Tab.11[[#This Row],[a1]]=1,_xlfn.NORM.DIST(Tab.11[[#This Row],[b8]],$P$1,$Q$1,FALSE))</f>
        <v>0</v>
      </c>
      <c r="P499" s="70" t="b">
        <f>IF(Tab.11[[#This Row],[a1]]=1,_xlfn.NORM.DIST(Tab.11[[#This Row],[b9]],$P$1,$Q$1,FALSE))</f>
        <v>0</v>
      </c>
      <c r="Q499" s="70" t="b">
        <f>IF(Tab.11[[#This Row],[a1]]=1,_xlfn.NORM.DIST(Tab.11[[#This Row],[b10]],$P$1,$Q$1,FALSE))</f>
        <v>0</v>
      </c>
      <c r="R499" s="67" t="b">
        <f>IF(Tab.11[[#This Row],[a1]]=1,$I$3+$A$989+IF($K$3=0,Tab.11[[#This Row],[b8]]*_xlfn.STDEV.P(Tab.11[data]),AVERAGE(Tab.11[b6])+Tab.11[[#This Row],[b8]]*_xlfn.STDEV.P(Tab.11[data])))</f>
        <v>0</v>
      </c>
      <c r="S499" s="71" t="b">
        <f>IF(Tab.11[[#This Row],[a1]]=1,$I$3+$A$987+IF($K$3=0,Tab.11[[#This Row],[b9]]*_xlfn.STDEV.P(Tab.11[data]),AVERAGE(Tab.11[b6])+Tab.11[[#This Row],[b9]]*_xlfn.STDEV.P(Tab.11[data])))</f>
        <v>0</v>
      </c>
      <c r="T499" s="71" t="b">
        <f>IF(Tab.11[[#This Row],[a1]]=1,$I$3+$A$988+IF($K$3=0,Tab.11[[#This Row],[b10]]*_xlfn.STDEV.P(Tab.11[data]),AVERAGE(Tab.11[b6])+Tab.11[[#This Row],[b10]]*_xlfn.STDEV.P(Tab.11[data])))</f>
        <v>0</v>
      </c>
      <c r="U499" s="72" t="b">
        <f>IF(Tab.11[[#This Row],[a1]]=1,Tab.11[[#This Row],[target]]-Tab.11[[#This Row],[Red]])</f>
        <v>0</v>
      </c>
      <c r="V499" s="72" t="b">
        <f>IF(Tab.11[[#This Row],[a1]]=1,Tab.11[[#This Row],[target]]-Tab.11[[#This Row],[Blue]])</f>
        <v>0</v>
      </c>
      <c r="W499" s="73" t="b">
        <f>IF(Tab.11[[#This Row],[a1]]=1,IF(ABS(Tab.11[[#This Row],[b17]])+ABS(Tab.11[[#This Row],[b18]])&lt;$W$2,$W$2,ABS(Tab.11[[#This Row],[b17]])+ABS(Tab.11[[#This Row],[b18]])))</f>
        <v>0</v>
      </c>
      <c r="X499" s="136" t="b">
        <f>IF(Tab.11[[#This Row],[a1]]=1,IF($W$3&lt;0,Tab.11[[#This Row],[IN]]-$I$3,Tab.11[[#This Row],[IN]]))</f>
        <v>0</v>
      </c>
      <c r="Y499" s="136" t="b">
        <f>IF(Tab.11[[#This Row],[a1]]=1,IF($X$3=0,Tab.11[b66],Tab.11[[#This Row],[b66]]-AVERAGE(Tab.11[b66])))</f>
        <v>0</v>
      </c>
      <c r="Z499" s="135" t="b">
        <f>IF(Tab.11[[#This Row],[a1]]=1,Tab.11[[#This Row],[b77]]/(_xlfn.STDEV.P(Tab.11[b77])))</f>
        <v>0</v>
      </c>
      <c r="AA499" s="70" t="b">
        <f>IF(Tab.11[[#This Row],[a1]]=1,_xlfn.NORM.DIST(Tab.11[[#This Row],[b88]],$Z$1,$AA$1,FALSE))</f>
        <v>0</v>
      </c>
      <c r="AB499" s="74" t="b">
        <f>IF(Tab.11[[#This Row],[a1]]=1,IF($A$3=0,FALSE,1/Tab.11[[#This Row],[IN]]*$AC$2*IF(Tab.11[[#This Row],[a1]]=0,,$A$3*$AC$1*1/$V$3*(Tab.11[[#This Row],[b14]]))))</f>
        <v>0</v>
      </c>
      <c r="AC499" s="75" t="b">
        <f>IF(Tab.11[[#This Row],[a1]]=1,IF($AC$3=0,Tab.11[[#This Row],[φ1]],Tab.11[[#This Row],[φ1]]/MAX(Tab.11[φ1])))</f>
        <v>0</v>
      </c>
      <c r="AD499" s="74" t="b">
        <f>IF(Tab.11[[#This Row],[a1]]=1,1/Tab.11[[#This Row],[φ2]])</f>
        <v>0</v>
      </c>
      <c r="AE499" s="74" t="b">
        <f>IF(Tab.11[[#This Row],[a1]]=1,IF($AE$3=0,Tab.11[[#This Row],[w.0]],Tab.11[[#This Row],[w.0]]/SUM(Tab.11[w.0])))</f>
        <v>0</v>
      </c>
      <c r="AF499" s="76" t="str">
        <f>IF(Tab.11[[#This Row],[a1]]=0,"false",[3]!Tab.x5[[#This Row],[%_seN_C]])</f>
        <v>false</v>
      </c>
      <c r="AG499" s="77" t="b">
        <f>IF(Tab.11[[#This Row],[a1]]=1,AP499)</f>
        <v>0</v>
      </c>
      <c r="AH499" s="78" t="b">
        <f>IF(Tab.11[[#This Row],[a1]]=1,AQ499)</f>
        <v>0</v>
      </c>
      <c r="AI499" s="41">
        <v>3.0000000000000001E-3</v>
      </c>
      <c r="AJ499" s="79">
        <v>-0.04</v>
      </c>
      <c r="AK499" s="80" t="b">
        <f>IF(Tab.11[[#This Row],[a1]]=1,1)</f>
        <v>0</v>
      </c>
      <c r="AZ499"/>
    </row>
    <row r="500" spans="1:52" hidden="1" x14ac:dyDescent="0.25">
      <c r="A500" s="61">
        <f t="shared" si="17"/>
        <v>0</v>
      </c>
      <c r="B500" s="62">
        <f t="shared" si="17"/>
        <v>0</v>
      </c>
      <c r="C500" s="62" t="b">
        <f>IF(Tab.11[[#This Row],[a1]]=1,[3]!Tab_x1[[#This Row],[Name]])</f>
        <v>0</v>
      </c>
      <c r="D500" s="63" t="b">
        <f>IF(Tab.11[[#This Row],[a1]]=1,AO500)</f>
        <v>0</v>
      </c>
      <c r="E500" s="63">
        <f t="shared" si="16"/>
        <v>0</v>
      </c>
      <c r="F500" s="64" t="b">
        <f>IF(Tab.11[[#This Row],[a1]]=1,Tab.11[[#This Row],[b1]])</f>
        <v>0</v>
      </c>
      <c r="G500" s="65" t="b">
        <f>IF(Tab.11[[#This Row],[a1]]=1,IF(Tab.11[[#This Row],[b3]]&gt;$L$989*$G$3,$L$989*$G$3,IF(Tab.11[[#This Row],[b3]]&lt;$M$989*$G$3,$M$989*$G$3,Tab.11[[#This Row],[b3]])))</f>
        <v>0</v>
      </c>
      <c r="H500" s="66" t="b">
        <f>IF(Tab.11[[#This Row],[a1]]=1,Tab.11[[#This Row],[b1]])</f>
        <v>0</v>
      </c>
      <c r="I500" s="67" t="b">
        <f>IF(Tab.11[[#This Row],[a1]]=1,Tab.11[[#This Row],[b1]])</f>
        <v>0</v>
      </c>
      <c r="J500" s="68" t="b">
        <f>IF(Tab.11[[#This Row],[a1]]=1,IF($I$3&lt;0,Tab.11[[#This Row],[b5]]-$I$3,Tab.11[[#This Row],[b5]]))</f>
        <v>0</v>
      </c>
      <c r="K500" s="68" t="b">
        <f>IF(Tab.11[[#This Row],[a1]]=1,IF($K$3=0,Tab.11[b6],Tab.11[[#This Row],[b6]]-AVERAGE(Tab.11[b6])))</f>
        <v>0</v>
      </c>
      <c r="L500" s="69" t="b">
        <f>IF(Tab.11[[#This Row],[a1]]=1,Tab.11[[#This Row],[data]]/(_xlfn.STDEV.P(Tab.11[data])*$B$989)+$A$989)</f>
        <v>0</v>
      </c>
      <c r="M500" s="69" t="b">
        <f>IF(Tab.11[[#This Row],[a1]]=1,Tab.11[[#This Row],[data]]/(_xlfn.STDEV.P(Tab.11[data])*$B$987)-$A$987)</f>
        <v>0</v>
      </c>
      <c r="N500" s="69" t="b">
        <f>IF(Tab.11[[#This Row],[a1]]=1,Tab.11[[#This Row],[data]]/(_xlfn.STDEV.P(Tab.11[data])*$B$988)+$A$988)</f>
        <v>0</v>
      </c>
      <c r="O500" s="70" t="b">
        <f>IF(Tab.11[[#This Row],[a1]]=1,_xlfn.NORM.DIST(Tab.11[[#This Row],[b8]],$P$1,$Q$1,FALSE))</f>
        <v>0</v>
      </c>
      <c r="P500" s="70" t="b">
        <f>IF(Tab.11[[#This Row],[a1]]=1,_xlfn.NORM.DIST(Tab.11[[#This Row],[b9]],$P$1,$Q$1,FALSE))</f>
        <v>0</v>
      </c>
      <c r="Q500" s="70" t="b">
        <f>IF(Tab.11[[#This Row],[a1]]=1,_xlfn.NORM.DIST(Tab.11[[#This Row],[b10]],$P$1,$Q$1,FALSE))</f>
        <v>0</v>
      </c>
      <c r="R500" s="67" t="b">
        <f>IF(Tab.11[[#This Row],[a1]]=1,$I$3+$A$989+IF($K$3=0,Tab.11[[#This Row],[b8]]*_xlfn.STDEV.P(Tab.11[data]),AVERAGE(Tab.11[b6])+Tab.11[[#This Row],[b8]]*_xlfn.STDEV.P(Tab.11[data])))</f>
        <v>0</v>
      </c>
      <c r="S500" s="71" t="b">
        <f>IF(Tab.11[[#This Row],[a1]]=1,$I$3+$A$987+IF($K$3=0,Tab.11[[#This Row],[b9]]*_xlfn.STDEV.P(Tab.11[data]),AVERAGE(Tab.11[b6])+Tab.11[[#This Row],[b9]]*_xlfn.STDEV.P(Tab.11[data])))</f>
        <v>0</v>
      </c>
      <c r="T500" s="71" t="b">
        <f>IF(Tab.11[[#This Row],[a1]]=1,$I$3+$A$988+IF($K$3=0,Tab.11[[#This Row],[b10]]*_xlfn.STDEV.P(Tab.11[data]),AVERAGE(Tab.11[b6])+Tab.11[[#This Row],[b10]]*_xlfn.STDEV.P(Tab.11[data])))</f>
        <v>0</v>
      </c>
      <c r="U500" s="72" t="b">
        <f>IF(Tab.11[[#This Row],[a1]]=1,Tab.11[[#This Row],[target]]-Tab.11[[#This Row],[Red]])</f>
        <v>0</v>
      </c>
      <c r="V500" s="72" t="b">
        <f>IF(Tab.11[[#This Row],[a1]]=1,Tab.11[[#This Row],[target]]-Tab.11[[#This Row],[Blue]])</f>
        <v>0</v>
      </c>
      <c r="W500" s="73" t="b">
        <f>IF(Tab.11[[#This Row],[a1]]=1,IF(ABS(Tab.11[[#This Row],[b17]])+ABS(Tab.11[[#This Row],[b18]])&lt;$W$2,$W$2,ABS(Tab.11[[#This Row],[b17]])+ABS(Tab.11[[#This Row],[b18]])))</f>
        <v>0</v>
      </c>
      <c r="X500" s="136" t="b">
        <f>IF(Tab.11[[#This Row],[a1]]=1,IF($W$3&lt;0,Tab.11[[#This Row],[IN]]-$I$3,Tab.11[[#This Row],[IN]]))</f>
        <v>0</v>
      </c>
      <c r="Y500" s="136" t="b">
        <f>IF(Tab.11[[#This Row],[a1]]=1,IF($X$3=0,Tab.11[b66],Tab.11[[#This Row],[b66]]-AVERAGE(Tab.11[b66])))</f>
        <v>0</v>
      </c>
      <c r="Z500" s="135" t="b">
        <f>IF(Tab.11[[#This Row],[a1]]=1,Tab.11[[#This Row],[b77]]/(_xlfn.STDEV.P(Tab.11[b77])))</f>
        <v>0</v>
      </c>
      <c r="AA500" s="70" t="b">
        <f>IF(Tab.11[[#This Row],[a1]]=1,_xlfn.NORM.DIST(Tab.11[[#This Row],[b88]],$Z$1,$AA$1,FALSE))</f>
        <v>0</v>
      </c>
      <c r="AB500" s="74" t="b">
        <f>IF(Tab.11[[#This Row],[a1]]=1,IF($A$3=0,FALSE,1/Tab.11[[#This Row],[IN]]*$AC$2*IF(Tab.11[[#This Row],[a1]]=0,,$A$3*$AC$1*1/$V$3*(Tab.11[[#This Row],[b14]]))))</f>
        <v>0</v>
      </c>
      <c r="AC500" s="75" t="b">
        <f>IF(Tab.11[[#This Row],[a1]]=1,IF($AC$3=0,Tab.11[[#This Row],[φ1]],Tab.11[[#This Row],[φ1]]/MAX(Tab.11[φ1])))</f>
        <v>0</v>
      </c>
      <c r="AD500" s="74" t="b">
        <f>IF(Tab.11[[#This Row],[a1]]=1,1/Tab.11[[#This Row],[φ2]])</f>
        <v>0</v>
      </c>
      <c r="AE500" s="74" t="b">
        <f>IF(Tab.11[[#This Row],[a1]]=1,IF($AE$3=0,Tab.11[[#This Row],[w.0]],Tab.11[[#This Row],[w.0]]/SUM(Tab.11[w.0])))</f>
        <v>0</v>
      </c>
      <c r="AF500" s="76" t="str">
        <f>IF(Tab.11[[#This Row],[a1]]=0,"false",[3]!Tab.x5[[#This Row],[%_seN_C]])</f>
        <v>false</v>
      </c>
      <c r="AG500" s="77" t="b">
        <f>IF(Tab.11[[#This Row],[a1]]=1,AP500)</f>
        <v>0</v>
      </c>
      <c r="AH500" s="78" t="b">
        <f>IF(Tab.11[[#This Row],[a1]]=1,AQ500)</f>
        <v>0</v>
      </c>
      <c r="AI500" s="41">
        <v>3.0000000000000001E-3</v>
      </c>
      <c r="AJ500" s="79">
        <v>-0.1</v>
      </c>
      <c r="AK500" s="80" t="b">
        <f>IF(Tab.11[[#This Row],[a1]]=1,1)</f>
        <v>0</v>
      </c>
      <c r="AZ500"/>
    </row>
    <row r="501" spans="1:52" hidden="1" x14ac:dyDescent="0.25">
      <c r="A501" s="61">
        <f t="shared" si="17"/>
        <v>0</v>
      </c>
      <c r="B501" s="62">
        <f t="shared" si="17"/>
        <v>0</v>
      </c>
      <c r="C501" s="62" t="b">
        <f>IF(Tab.11[[#This Row],[a1]]=1,[3]!Tab_x1[[#This Row],[Name]])</f>
        <v>0</v>
      </c>
      <c r="D501" s="63" t="b">
        <f>IF(Tab.11[[#This Row],[a1]]=1,AO501)</f>
        <v>0</v>
      </c>
      <c r="E501" s="63">
        <f t="shared" si="16"/>
        <v>0</v>
      </c>
      <c r="F501" s="64" t="b">
        <f>IF(Tab.11[[#This Row],[a1]]=1,Tab.11[[#This Row],[b1]])</f>
        <v>0</v>
      </c>
      <c r="G501" s="65" t="b">
        <f>IF(Tab.11[[#This Row],[a1]]=1,IF(Tab.11[[#This Row],[b3]]&gt;$L$989*$G$3,$L$989*$G$3,IF(Tab.11[[#This Row],[b3]]&lt;$M$989*$G$3,$M$989*$G$3,Tab.11[[#This Row],[b3]])))</f>
        <v>0</v>
      </c>
      <c r="H501" s="66" t="b">
        <f>IF(Tab.11[[#This Row],[a1]]=1,Tab.11[[#This Row],[b1]])</f>
        <v>0</v>
      </c>
      <c r="I501" s="67" t="b">
        <f>IF(Tab.11[[#This Row],[a1]]=1,Tab.11[[#This Row],[b1]])</f>
        <v>0</v>
      </c>
      <c r="J501" s="68" t="b">
        <f>IF(Tab.11[[#This Row],[a1]]=1,IF($I$3&lt;0,Tab.11[[#This Row],[b5]]-$I$3,Tab.11[[#This Row],[b5]]))</f>
        <v>0</v>
      </c>
      <c r="K501" s="68" t="b">
        <f>IF(Tab.11[[#This Row],[a1]]=1,IF($K$3=0,Tab.11[b6],Tab.11[[#This Row],[b6]]-AVERAGE(Tab.11[b6])))</f>
        <v>0</v>
      </c>
      <c r="L501" s="69" t="b">
        <f>IF(Tab.11[[#This Row],[a1]]=1,Tab.11[[#This Row],[data]]/(_xlfn.STDEV.P(Tab.11[data])*$B$989)+$A$989)</f>
        <v>0</v>
      </c>
      <c r="M501" s="69" t="b">
        <f>IF(Tab.11[[#This Row],[a1]]=1,Tab.11[[#This Row],[data]]/(_xlfn.STDEV.P(Tab.11[data])*$B$987)-$A$987)</f>
        <v>0</v>
      </c>
      <c r="N501" s="69" t="b">
        <f>IF(Tab.11[[#This Row],[a1]]=1,Tab.11[[#This Row],[data]]/(_xlfn.STDEV.P(Tab.11[data])*$B$988)+$A$988)</f>
        <v>0</v>
      </c>
      <c r="O501" s="70" t="b">
        <f>IF(Tab.11[[#This Row],[a1]]=1,_xlfn.NORM.DIST(Tab.11[[#This Row],[b8]],$P$1,$Q$1,FALSE))</f>
        <v>0</v>
      </c>
      <c r="P501" s="70" t="b">
        <f>IF(Tab.11[[#This Row],[a1]]=1,_xlfn.NORM.DIST(Tab.11[[#This Row],[b9]],$P$1,$Q$1,FALSE))</f>
        <v>0</v>
      </c>
      <c r="Q501" s="70" t="b">
        <f>IF(Tab.11[[#This Row],[a1]]=1,_xlfn.NORM.DIST(Tab.11[[#This Row],[b10]],$P$1,$Q$1,FALSE))</f>
        <v>0</v>
      </c>
      <c r="R501" s="67" t="b">
        <f>IF(Tab.11[[#This Row],[a1]]=1,$I$3+$A$989+IF($K$3=0,Tab.11[[#This Row],[b8]]*_xlfn.STDEV.P(Tab.11[data]),AVERAGE(Tab.11[b6])+Tab.11[[#This Row],[b8]]*_xlfn.STDEV.P(Tab.11[data])))</f>
        <v>0</v>
      </c>
      <c r="S501" s="71" t="b">
        <f>IF(Tab.11[[#This Row],[a1]]=1,$I$3+$A$987+IF($K$3=0,Tab.11[[#This Row],[b9]]*_xlfn.STDEV.P(Tab.11[data]),AVERAGE(Tab.11[b6])+Tab.11[[#This Row],[b9]]*_xlfn.STDEV.P(Tab.11[data])))</f>
        <v>0</v>
      </c>
      <c r="T501" s="71" t="b">
        <f>IF(Tab.11[[#This Row],[a1]]=1,$I$3+$A$988+IF($K$3=0,Tab.11[[#This Row],[b10]]*_xlfn.STDEV.P(Tab.11[data]),AVERAGE(Tab.11[b6])+Tab.11[[#This Row],[b10]]*_xlfn.STDEV.P(Tab.11[data])))</f>
        <v>0</v>
      </c>
      <c r="U501" s="72" t="b">
        <f>IF(Tab.11[[#This Row],[a1]]=1,Tab.11[[#This Row],[target]]-Tab.11[[#This Row],[Red]])</f>
        <v>0</v>
      </c>
      <c r="V501" s="72" t="b">
        <f>IF(Tab.11[[#This Row],[a1]]=1,Tab.11[[#This Row],[target]]-Tab.11[[#This Row],[Blue]])</f>
        <v>0</v>
      </c>
      <c r="W501" s="73" t="b">
        <f>IF(Tab.11[[#This Row],[a1]]=1,IF(ABS(Tab.11[[#This Row],[b17]])+ABS(Tab.11[[#This Row],[b18]])&lt;$W$2,$W$2,ABS(Tab.11[[#This Row],[b17]])+ABS(Tab.11[[#This Row],[b18]])))</f>
        <v>0</v>
      </c>
      <c r="X501" s="136" t="b">
        <f>IF(Tab.11[[#This Row],[a1]]=1,IF($W$3&lt;0,Tab.11[[#This Row],[IN]]-$I$3,Tab.11[[#This Row],[IN]]))</f>
        <v>0</v>
      </c>
      <c r="Y501" s="136" t="b">
        <f>IF(Tab.11[[#This Row],[a1]]=1,IF($X$3=0,Tab.11[b66],Tab.11[[#This Row],[b66]]-AVERAGE(Tab.11[b66])))</f>
        <v>0</v>
      </c>
      <c r="Z501" s="135" t="b">
        <f>IF(Tab.11[[#This Row],[a1]]=1,Tab.11[[#This Row],[b77]]/(_xlfn.STDEV.P(Tab.11[b77])))</f>
        <v>0</v>
      </c>
      <c r="AA501" s="70" t="b">
        <f>IF(Tab.11[[#This Row],[a1]]=1,_xlfn.NORM.DIST(Tab.11[[#This Row],[b88]],$Z$1,$AA$1,FALSE))</f>
        <v>0</v>
      </c>
      <c r="AB501" s="74" t="b">
        <f>IF(Tab.11[[#This Row],[a1]]=1,IF($A$3=0,FALSE,1/Tab.11[[#This Row],[IN]]*$AC$2*IF(Tab.11[[#This Row],[a1]]=0,,$A$3*$AC$1*1/$V$3*(Tab.11[[#This Row],[b14]]))))</f>
        <v>0</v>
      </c>
      <c r="AC501" s="75" t="b">
        <f>IF(Tab.11[[#This Row],[a1]]=1,IF($AC$3=0,Tab.11[[#This Row],[φ1]],Tab.11[[#This Row],[φ1]]/MAX(Tab.11[φ1])))</f>
        <v>0</v>
      </c>
      <c r="AD501" s="74" t="b">
        <f>IF(Tab.11[[#This Row],[a1]]=1,1/Tab.11[[#This Row],[φ2]])</f>
        <v>0</v>
      </c>
      <c r="AE501" s="74" t="b">
        <f>IF(Tab.11[[#This Row],[a1]]=1,IF($AE$3=0,Tab.11[[#This Row],[w.0]],Tab.11[[#This Row],[w.0]]/SUM(Tab.11[w.0])))</f>
        <v>0</v>
      </c>
      <c r="AF501" s="76" t="str">
        <f>IF(Tab.11[[#This Row],[a1]]=0,"false",[3]!Tab.x5[[#This Row],[%_seN_C]])</f>
        <v>false</v>
      </c>
      <c r="AG501" s="77" t="b">
        <f>IF(Tab.11[[#This Row],[a1]]=1,AP501)</f>
        <v>0</v>
      </c>
      <c r="AH501" s="78" t="b">
        <f>IF(Tab.11[[#This Row],[a1]]=1,AQ501)</f>
        <v>0</v>
      </c>
      <c r="AI501" s="41">
        <v>3.0000000000000001E-3</v>
      </c>
      <c r="AJ501" s="79">
        <v>-0.05</v>
      </c>
      <c r="AK501" s="80" t="b">
        <f>IF(Tab.11[[#This Row],[a1]]=1,1)</f>
        <v>0</v>
      </c>
      <c r="AZ501"/>
    </row>
    <row r="502" spans="1:52" hidden="1" x14ac:dyDescent="0.25">
      <c r="A502" s="61">
        <f t="shared" si="17"/>
        <v>0</v>
      </c>
      <c r="B502" s="62">
        <f t="shared" si="17"/>
        <v>0</v>
      </c>
      <c r="C502" s="62" t="b">
        <f>IF(Tab.11[[#This Row],[a1]]=1,[3]!Tab_x1[[#This Row],[Name]])</f>
        <v>0</v>
      </c>
      <c r="D502" s="63" t="b">
        <f>IF(Tab.11[[#This Row],[a1]]=1,AO502)</f>
        <v>0</v>
      </c>
      <c r="E502" s="63">
        <f t="shared" si="16"/>
        <v>0</v>
      </c>
      <c r="F502" s="64" t="b">
        <f>IF(Tab.11[[#This Row],[a1]]=1,Tab.11[[#This Row],[b1]])</f>
        <v>0</v>
      </c>
      <c r="G502" s="65" t="b">
        <f>IF(Tab.11[[#This Row],[a1]]=1,IF(Tab.11[[#This Row],[b3]]&gt;$L$989*$G$3,$L$989*$G$3,IF(Tab.11[[#This Row],[b3]]&lt;$M$989*$G$3,$M$989*$G$3,Tab.11[[#This Row],[b3]])))</f>
        <v>0</v>
      </c>
      <c r="H502" s="66" t="b">
        <f>IF(Tab.11[[#This Row],[a1]]=1,Tab.11[[#This Row],[b1]])</f>
        <v>0</v>
      </c>
      <c r="I502" s="67" t="b">
        <f>IF(Tab.11[[#This Row],[a1]]=1,Tab.11[[#This Row],[b1]])</f>
        <v>0</v>
      </c>
      <c r="J502" s="68" t="b">
        <f>IF(Tab.11[[#This Row],[a1]]=1,IF($I$3&lt;0,Tab.11[[#This Row],[b5]]-$I$3,Tab.11[[#This Row],[b5]]))</f>
        <v>0</v>
      </c>
      <c r="K502" s="68" t="b">
        <f>IF(Tab.11[[#This Row],[a1]]=1,IF($K$3=0,Tab.11[b6],Tab.11[[#This Row],[b6]]-AVERAGE(Tab.11[b6])))</f>
        <v>0</v>
      </c>
      <c r="L502" s="69" t="b">
        <f>IF(Tab.11[[#This Row],[a1]]=1,Tab.11[[#This Row],[data]]/(_xlfn.STDEV.P(Tab.11[data])*$B$989)+$A$989)</f>
        <v>0</v>
      </c>
      <c r="M502" s="69" t="b">
        <f>IF(Tab.11[[#This Row],[a1]]=1,Tab.11[[#This Row],[data]]/(_xlfn.STDEV.P(Tab.11[data])*$B$987)-$A$987)</f>
        <v>0</v>
      </c>
      <c r="N502" s="69" t="b">
        <f>IF(Tab.11[[#This Row],[a1]]=1,Tab.11[[#This Row],[data]]/(_xlfn.STDEV.P(Tab.11[data])*$B$988)+$A$988)</f>
        <v>0</v>
      </c>
      <c r="O502" s="70" t="b">
        <f>IF(Tab.11[[#This Row],[a1]]=1,_xlfn.NORM.DIST(Tab.11[[#This Row],[b8]],$P$1,$Q$1,FALSE))</f>
        <v>0</v>
      </c>
      <c r="P502" s="70" t="b">
        <f>IF(Tab.11[[#This Row],[a1]]=1,_xlfn.NORM.DIST(Tab.11[[#This Row],[b9]],$P$1,$Q$1,FALSE))</f>
        <v>0</v>
      </c>
      <c r="Q502" s="70" t="b">
        <f>IF(Tab.11[[#This Row],[a1]]=1,_xlfn.NORM.DIST(Tab.11[[#This Row],[b10]],$P$1,$Q$1,FALSE))</f>
        <v>0</v>
      </c>
      <c r="R502" s="67" t="b">
        <f>IF(Tab.11[[#This Row],[a1]]=1,$I$3+$A$989+IF($K$3=0,Tab.11[[#This Row],[b8]]*_xlfn.STDEV.P(Tab.11[data]),AVERAGE(Tab.11[b6])+Tab.11[[#This Row],[b8]]*_xlfn.STDEV.P(Tab.11[data])))</f>
        <v>0</v>
      </c>
      <c r="S502" s="71" t="b">
        <f>IF(Tab.11[[#This Row],[a1]]=1,$I$3+$A$987+IF($K$3=0,Tab.11[[#This Row],[b9]]*_xlfn.STDEV.P(Tab.11[data]),AVERAGE(Tab.11[b6])+Tab.11[[#This Row],[b9]]*_xlfn.STDEV.P(Tab.11[data])))</f>
        <v>0</v>
      </c>
      <c r="T502" s="71" t="b">
        <f>IF(Tab.11[[#This Row],[a1]]=1,$I$3+$A$988+IF($K$3=0,Tab.11[[#This Row],[b10]]*_xlfn.STDEV.P(Tab.11[data]),AVERAGE(Tab.11[b6])+Tab.11[[#This Row],[b10]]*_xlfn.STDEV.P(Tab.11[data])))</f>
        <v>0</v>
      </c>
      <c r="U502" s="72" t="b">
        <f>IF(Tab.11[[#This Row],[a1]]=1,Tab.11[[#This Row],[target]]-Tab.11[[#This Row],[Red]])</f>
        <v>0</v>
      </c>
      <c r="V502" s="72" t="b">
        <f>IF(Tab.11[[#This Row],[a1]]=1,Tab.11[[#This Row],[target]]-Tab.11[[#This Row],[Blue]])</f>
        <v>0</v>
      </c>
      <c r="W502" s="73" t="b">
        <f>IF(Tab.11[[#This Row],[a1]]=1,IF(ABS(Tab.11[[#This Row],[b17]])+ABS(Tab.11[[#This Row],[b18]])&lt;$W$2,$W$2,ABS(Tab.11[[#This Row],[b17]])+ABS(Tab.11[[#This Row],[b18]])))</f>
        <v>0</v>
      </c>
      <c r="X502" s="136" t="b">
        <f>IF(Tab.11[[#This Row],[a1]]=1,IF($W$3&lt;0,Tab.11[[#This Row],[IN]]-$I$3,Tab.11[[#This Row],[IN]]))</f>
        <v>0</v>
      </c>
      <c r="Y502" s="136" t="b">
        <f>IF(Tab.11[[#This Row],[a1]]=1,IF($X$3=0,Tab.11[b66],Tab.11[[#This Row],[b66]]-AVERAGE(Tab.11[b66])))</f>
        <v>0</v>
      </c>
      <c r="Z502" s="135" t="b">
        <f>IF(Tab.11[[#This Row],[a1]]=1,Tab.11[[#This Row],[b77]]/(_xlfn.STDEV.P(Tab.11[b77])))</f>
        <v>0</v>
      </c>
      <c r="AA502" s="70" t="b">
        <f>IF(Tab.11[[#This Row],[a1]]=1,_xlfn.NORM.DIST(Tab.11[[#This Row],[b88]],$Z$1,$AA$1,FALSE))</f>
        <v>0</v>
      </c>
      <c r="AB502" s="74" t="b">
        <f>IF(Tab.11[[#This Row],[a1]]=1,IF($A$3=0,FALSE,1/Tab.11[[#This Row],[IN]]*$AC$2*IF(Tab.11[[#This Row],[a1]]=0,,$A$3*$AC$1*1/$V$3*(Tab.11[[#This Row],[b14]]))))</f>
        <v>0</v>
      </c>
      <c r="AC502" s="75" t="b">
        <f>IF(Tab.11[[#This Row],[a1]]=1,IF($AC$3=0,Tab.11[[#This Row],[φ1]],Tab.11[[#This Row],[φ1]]/MAX(Tab.11[φ1])))</f>
        <v>0</v>
      </c>
      <c r="AD502" s="74" t="b">
        <f>IF(Tab.11[[#This Row],[a1]]=1,1/Tab.11[[#This Row],[φ2]])</f>
        <v>0</v>
      </c>
      <c r="AE502" s="74" t="b">
        <f>IF(Tab.11[[#This Row],[a1]]=1,IF($AE$3=0,Tab.11[[#This Row],[w.0]],Tab.11[[#This Row],[w.0]]/SUM(Tab.11[w.0])))</f>
        <v>0</v>
      </c>
      <c r="AF502" s="76" t="str">
        <f>IF(Tab.11[[#This Row],[a1]]=0,"false",[3]!Tab.x5[[#This Row],[%_seN_C]])</f>
        <v>false</v>
      </c>
      <c r="AG502" s="77" t="b">
        <f>IF(Tab.11[[#This Row],[a1]]=1,AP502)</f>
        <v>0</v>
      </c>
      <c r="AH502" s="78" t="b">
        <f>IF(Tab.11[[#This Row],[a1]]=1,AQ502)</f>
        <v>0</v>
      </c>
      <c r="AI502" s="41">
        <v>3.0000000000000001E-3</v>
      </c>
      <c r="AJ502" s="79">
        <v>0.02</v>
      </c>
      <c r="AK502" s="80" t="b">
        <f>IF(Tab.11[[#This Row],[a1]]=1,1)</f>
        <v>0</v>
      </c>
      <c r="AZ502"/>
    </row>
    <row r="503" spans="1:52" hidden="1" x14ac:dyDescent="0.25">
      <c r="A503" s="61">
        <f t="shared" si="17"/>
        <v>0</v>
      </c>
      <c r="B503" s="62">
        <f t="shared" si="17"/>
        <v>0</v>
      </c>
      <c r="C503" s="62" t="b">
        <f>IF(Tab.11[[#This Row],[a1]]=1,[3]!Tab_x1[[#This Row],[Name]])</f>
        <v>0</v>
      </c>
      <c r="D503" s="63" t="b">
        <f>IF(Tab.11[[#This Row],[a1]]=1,AO503)</f>
        <v>0</v>
      </c>
      <c r="E503" s="63">
        <f t="shared" si="16"/>
        <v>0</v>
      </c>
      <c r="F503" s="64" t="b">
        <f>IF(Tab.11[[#This Row],[a1]]=1,Tab.11[[#This Row],[b1]])</f>
        <v>0</v>
      </c>
      <c r="G503" s="65" t="b">
        <f>IF(Tab.11[[#This Row],[a1]]=1,IF(Tab.11[[#This Row],[b3]]&gt;$L$989*$G$3,$L$989*$G$3,IF(Tab.11[[#This Row],[b3]]&lt;$M$989*$G$3,$M$989*$G$3,Tab.11[[#This Row],[b3]])))</f>
        <v>0</v>
      </c>
      <c r="H503" s="66" t="b">
        <f>IF(Tab.11[[#This Row],[a1]]=1,Tab.11[[#This Row],[b1]])</f>
        <v>0</v>
      </c>
      <c r="I503" s="67" t="b">
        <f>IF(Tab.11[[#This Row],[a1]]=1,Tab.11[[#This Row],[b1]])</f>
        <v>0</v>
      </c>
      <c r="J503" s="68" t="b">
        <f>IF(Tab.11[[#This Row],[a1]]=1,IF($I$3&lt;0,Tab.11[[#This Row],[b5]]-$I$3,Tab.11[[#This Row],[b5]]))</f>
        <v>0</v>
      </c>
      <c r="K503" s="68" t="b">
        <f>IF(Tab.11[[#This Row],[a1]]=1,IF($K$3=0,Tab.11[b6],Tab.11[[#This Row],[b6]]-AVERAGE(Tab.11[b6])))</f>
        <v>0</v>
      </c>
      <c r="L503" s="69" t="b">
        <f>IF(Tab.11[[#This Row],[a1]]=1,Tab.11[[#This Row],[data]]/(_xlfn.STDEV.P(Tab.11[data])*$B$989)+$A$989)</f>
        <v>0</v>
      </c>
      <c r="M503" s="69" t="b">
        <f>IF(Tab.11[[#This Row],[a1]]=1,Tab.11[[#This Row],[data]]/(_xlfn.STDEV.P(Tab.11[data])*$B$987)-$A$987)</f>
        <v>0</v>
      </c>
      <c r="N503" s="69" t="b">
        <f>IF(Tab.11[[#This Row],[a1]]=1,Tab.11[[#This Row],[data]]/(_xlfn.STDEV.P(Tab.11[data])*$B$988)+$A$988)</f>
        <v>0</v>
      </c>
      <c r="O503" s="70" t="b">
        <f>IF(Tab.11[[#This Row],[a1]]=1,_xlfn.NORM.DIST(Tab.11[[#This Row],[b8]],$P$1,$Q$1,FALSE))</f>
        <v>0</v>
      </c>
      <c r="P503" s="70" t="b">
        <f>IF(Tab.11[[#This Row],[a1]]=1,_xlfn.NORM.DIST(Tab.11[[#This Row],[b9]],$P$1,$Q$1,FALSE))</f>
        <v>0</v>
      </c>
      <c r="Q503" s="70" t="b">
        <f>IF(Tab.11[[#This Row],[a1]]=1,_xlfn.NORM.DIST(Tab.11[[#This Row],[b10]],$P$1,$Q$1,FALSE))</f>
        <v>0</v>
      </c>
      <c r="R503" s="67" t="b">
        <f>IF(Tab.11[[#This Row],[a1]]=1,$I$3+$A$989+IF($K$3=0,Tab.11[[#This Row],[b8]]*_xlfn.STDEV.P(Tab.11[data]),AVERAGE(Tab.11[b6])+Tab.11[[#This Row],[b8]]*_xlfn.STDEV.P(Tab.11[data])))</f>
        <v>0</v>
      </c>
      <c r="S503" s="71" t="b">
        <f>IF(Tab.11[[#This Row],[a1]]=1,$I$3+$A$987+IF($K$3=0,Tab.11[[#This Row],[b9]]*_xlfn.STDEV.P(Tab.11[data]),AVERAGE(Tab.11[b6])+Tab.11[[#This Row],[b9]]*_xlfn.STDEV.P(Tab.11[data])))</f>
        <v>0</v>
      </c>
      <c r="T503" s="71" t="b">
        <f>IF(Tab.11[[#This Row],[a1]]=1,$I$3+$A$988+IF($K$3=0,Tab.11[[#This Row],[b10]]*_xlfn.STDEV.P(Tab.11[data]),AVERAGE(Tab.11[b6])+Tab.11[[#This Row],[b10]]*_xlfn.STDEV.P(Tab.11[data])))</f>
        <v>0</v>
      </c>
      <c r="U503" s="72" t="b">
        <f>IF(Tab.11[[#This Row],[a1]]=1,Tab.11[[#This Row],[target]]-Tab.11[[#This Row],[Red]])</f>
        <v>0</v>
      </c>
      <c r="V503" s="72" t="b">
        <f>IF(Tab.11[[#This Row],[a1]]=1,Tab.11[[#This Row],[target]]-Tab.11[[#This Row],[Blue]])</f>
        <v>0</v>
      </c>
      <c r="W503" s="73" t="b">
        <f>IF(Tab.11[[#This Row],[a1]]=1,IF(ABS(Tab.11[[#This Row],[b17]])+ABS(Tab.11[[#This Row],[b18]])&lt;$W$2,$W$2,ABS(Tab.11[[#This Row],[b17]])+ABS(Tab.11[[#This Row],[b18]])))</f>
        <v>0</v>
      </c>
      <c r="X503" s="136" t="b">
        <f>IF(Tab.11[[#This Row],[a1]]=1,IF($W$3&lt;0,Tab.11[[#This Row],[IN]]-$I$3,Tab.11[[#This Row],[IN]]))</f>
        <v>0</v>
      </c>
      <c r="Y503" s="136" t="b">
        <f>IF(Tab.11[[#This Row],[a1]]=1,IF($X$3=0,Tab.11[b66],Tab.11[[#This Row],[b66]]-AVERAGE(Tab.11[b66])))</f>
        <v>0</v>
      </c>
      <c r="Z503" s="135" t="b">
        <f>IF(Tab.11[[#This Row],[a1]]=1,Tab.11[[#This Row],[b77]]/(_xlfn.STDEV.P(Tab.11[b77])))</f>
        <v>0</v>
      </c>
      <c r="AA503" s="70" t="b">
        <f>IF(Tab.11[[#This Row],[a1]]=1,_xlfn.NORM.DIST(Tab.11[[#This Row],[b88]],$Z$1,$AA$1,FALSE))</f>
        <v>0</v>
      </c>
      <c r="AB503" s="74" t="b">
        <f>IF(Tab.11[[#This Row],[a1]]=1,IF($A$3=0,FALSE,1/Tab.11[[#This Row],[IN]]*$AC$2*IF(Tab.11[[#This Row],[a1]]=0,,$A$3*$AC$1*1/$V$3*(Tab.11[[#This Row],[b14]]))))</f>
        <v>0</v>
      </c>
      <c r="AC503" s="75" t="b">
        <f>IF(Tab.11[[#This Row],[a1]]=1,IF($AC$3=0,Tab.11[[#This Row],[φ1]],Tab.11[[#This Row],[φ1]]/MAX(Tab.11[φ1])))</f>
        <v>0</v>
      </c>
      <c r="AD503" s="74" t="b">
        <f>IF(Tab.11[[#This Row],[a1]]=1,1/Tab.11[[#This Row],[φ2]])</f>
        <v>0</v>
      </c>
      <c r="AE503" s="74" t="b">
        <f>IF(Tab.11[[#This Row],[a1]]=1,IF($AE$3=0,Tab.11[[#This Row],[w.0]],Tab.11[[#This Row],[w.0]]/SUM(Tab.11[w.0])))</f>
        <v>0</v>
      </c>
      <c r="AF503" s="76" t="str">
        <f>IF(Tab.11[[#This Row],[a1]]=0,"false",[3]!Tab.x5[[#This Row],[%_seN_C]])</f>
        <v>false</v>
      </c>
      <c r="AG503" s="77" t="b">
        <f>IF(Tab.11[[#This Row],[a1]]=1,AP503)</f>
        <v>0</v>
      </c>
      <c r="AH503" s="78" t="b">
        <f>IF(Tab.11[[#This Row],[a1]]=1,AQ503)</f>
        <v>0</v>
      </c>
      <c r="AI503" s="41">
        <v>3.0000000000000001E-3</v>
      </c>
      <c r="AJ503" s="79">
        <v>-0.1</v>
      </c>
      <c r="AK503" s="80" t="b">
        <f>IF(Tab.11[[#This Row],[a1]]=1,1)</f>
        <v>0</v>
      </c>
      <c r="AZ503"/>
    </row>
    <row r="504" spans="1:52" hidden="1" x14ac:dyDescent="0.25">
      <c r="A504" s="61">
        <f t="shared" si="17"/>
        <v>0</v>
      </c>
      <c r="B504" s="62">
        <f t="shared" si="17"/>
        <v>0</v>
      </c>
      <c r="C504" s="62" t="b">
        <f>IF(Tab.11[[#This Row],[a1]]=1,[3]!Tab_x1[[#This Row],[Name]])</f>
        <v>0</v>
      </c>
      <c r="D504" s="63" t="b">
        <f>IF(Tab.11[[#This Row],[a1]]=1,AO504)</f>
        <v>0</v>
      </c>
      <c r="E504" s="63">
        <f t="shared" si="16"/>
        <v>0</v>
      </c>
      <c r="F504" s="64" t="b">
        <f>IF(Tab.11[[#This Row],[a1]]=1,Tab.11[[#This Row],[b1]])</f>
        <v>0</v>
      </c>
      <c r="G504" s="65" t="b">
        <f>IF(Tab.11[[#This Row],[a1]]=1,IF(Tab.11[[#This Row],[b3]]&gt;$L$989*$G$3,$L$989*$G$3,IF(Tab.11[[#This Row],[b3]]&lt;$M$989*$G$3,$M$989*$G$3,Tab.11[[#This Row],[b3]])))</f>
        <v>0</v>
      </c>
      <c r="H504" s="66" t="b">
        <f>IF(Tab.11[[#This Row],[a1]]=1,Tab.11[[#This Row],[b1]])</f>
        <v>0</v>
      </c>
      <c r="I504" s="67" t="b">
        <f>IF(Tab.11[[#This Row],[a1]]=1,Tab.11[[#This Row],[b1]])</f>
        <v>0</v>
      </c>
      <c r="J504" s="68" t="b">
        <f>IF(Tab.11[[#This Row],[a1]]=1,IF($I$3&lt;0,Tab.11[[#This Row],[b5]]-$I$3,Tab.11[[#This Row],[b5]]))</f>
        <v>0</v>
      </c>
      <c r="K504" s="68" t="b">
        <f>IF(Tab.11[[#This Row],[a1]]=1,IF($K$3=0,Tab.11[b6],Tab.11[[#This Row],[b6]]-AVERAGE(Tab.11[b6])))</f>
        <v>0</v>
      </c>
      <c r="L504" s="69" t="b">
        <f>IF(Tab.11[[#This Row],[a1]]=1,Tab.11[[#This Row],[data]]/(_xlfn.STDEV.P(Tab.11[data])*$B$989)+$A$989)</f>
        <v>0</v>
      </c>
      <c r="M504" s="69" t="b">
        <f>IF(Tab.11[[#This Row],[a1]]=1,Tab.11[[#This Row],[data]]/(_xlfn.STDEV.P(Tab.11[data])*$B$987)-$A$987)</f>
        <v>0</v>
      </c>
      <c r="N504" s="69" t="b">
        <f>IF(Tab.11[[#This Row],[a1]]=1,Tab.11[[#This Row],[data]]/(_xlfn.STDEV.P(Tab.11[data])*$B$988)+$A$988)</f>
        <v>0</v>
      </c>
      <c r="O504" s="70" t="b">
        <f>IF(Tab.11[[#This Row],[a1]]=1,_xlfn.NORM.DIST(Tab.11[[#This Row],[b8]],$P$1,$Q$1,FALSE))</f>
        <v>0</v>
      </c>
      <c r="P504" s="70" t="b">
        <f>IF(Tab.11[[#This Row],[a1]]=1,_xlfn.NORM.DIST(Tab.11[[#This Row],[b9]],$P$1,$Q$1,FALSE))</f>
        <v>0</v>
      </c>
      <c r="Q504" s="70" t="b">
        <f>IF(Tab.11[[#This Row],[a1]]=1,_xlfn.NORM.DIST(Tab.11[[#This Row],[b10]],$P$1,$Q$1,FALSE))</f>
        <v>0</v>
      </c>
      <c r="R504" s="67" t="b">
        <f>IF(Tab.11[[#This Row],[a1]]=1,$I$3+$A$989+IF($K$3=0,Tab.11[[#This Row],[b8]]*_xlfn.STDEV.P(Tab.11[data]),AVERAGE(Tab.11[b6])+Tab.11[[#This Row],[b8]]*_xlfn.STDEV.P(Tab.11[data])))</f>
        <v>0</v>
      </c>
      <c r="S504" s="71" t="b">
        <f>IF(Tab.11[[#This Row],[a1]]=1,$I$3+$A$987+IF($K$3=0,Tab.11[[#This Row],[b9]]*_xlfn.STDEV.P(Tab.11[data]),AVERAGE(Tab.11[b6])+Tab.11[[#This Row],[b9]]*_xlfn.STDEV.P(Tab.11[data])))</f>
        <v>0</v>
      </c>
      <c r="T504" s="71" t="b">
        <f>IF(Tab.11[[#This Row],[a1]]=1,$I$3+$A$988+IF($K$3=0,Tab.11[[#This Row],[b10]]*_xlfn.STDEV.P(Tab.11[data]),AVERAGE(Tab.11[b6])+Tab.11[[#This Row],[b10]]*_xlfn.STDEV.P(Tab.11[data])))</f>
        <v>0</v>
      </c>
      <c r="U504" s="72" t="b">
        <f>IF(Tab.11[[#This Row],[a1]]=1,Tab.11[[#This Row],[target]]-Tab.11[[#This Row],[Red]])</f>
        <v>0</v>
      </c>
      <c r="V504" s="72" t="b">
        <f>IF(Tab.11[[#This Row],[a1]]=1,Tab.11[[#This Row],[target]]-Tab.11[[#This Row],[Blue]])</f>
        <v>0</v>
      </c>
      <c r="W504" s="73" t="b">
        <f>IF(Tab.11[[#This Row],[a1]]=1,IF(ABS(Tab.11[[#This Row],[b17]])+ABS(Tab.11[[#This Row],[b18]])&lt;$W$2,$W$2,ABS(Tab.11[[#This Row],[b17]])+ABS(Tab.11[[#This Row],[b18]])))</f>
        <v>0</v>
      </c>
      <c r="X504" s="136" t="b">
        <f>IF(Tab.11[[#This Row],[a1]]=1,IF($W$3&lt;0,Tab.11[[#This Row],[IN]]-$I$3,Tab.11[[#This Row],[IN]]))</f>
        <v>0</v>
      </c>
      <c r="Y504" s="136" t="b">
        <f>IF(Tab.11[[#This Row],[a1]]=1,IF($X$3=0,Tab.11[b66],Tab.11[[#This Row],[b66]]-AVERAGE(Tab.11[b66])))</f>
        <v>0</v>
      </c>
      <c r="Z504" s="135" t="b">
        <f>IF(Tab.11[[#This Row],[a1]]=1,Tab.11[[#This Row],[b77]]/(_xlfn.STDEV.P(Tab.11[b77])))</f>
        <v>0</v>
      </c>
      <c r="AA504" s="70" t="b">
        <f>IF(Tab.11[[#This Row],[a1]]=1,_xlfn.NORM.DIST(Tab.11[[#This Row],[b88]],$Z$1,$AA$1,FALSE))</f>
        <v>0</v>
      </c>
      <c r="AB504" s="74" t="b">
        <f>IF(Tab.11[[#This Row],[a1]]=1,IF($A$3=0,FALSE,1/Tab.11[[#This Row],[IN]]*$AC$2*IF(Tab.11[[#This Row],[a1]]=0,,$A$3*$AC$1*1/$V$3*(Tab.11[[#This Row],[b14]]))))</f>
        <v>0</v>
      </c>
      <c r="AC504" s="75" t="b">
        <f>IF(Tab.11[[#This Row],[a1]]=1,IF($AC$3=0,Tab.11[[#This Row],[φ1]],Tab.11[[#This Row],[φ1]]/MAX(Tab.11[φ1])))</f>
        <v>0</v>
      </c>
      <c r="AD504" s="74" t="b">
        <f>IF(Tab.11[[#This Row],[a1]]=1,1/Tab.11[[#This Row],[φ2]])</f>
        <v>0</v>
      </c>
      <c r="AE504" s="74" t="b">
        <f>IF(Tab.11[[#This Row],[a1]]=1,IF($AE$3=0,Tab.11[[#This Row],[w.0]],Tab.11[[#This Row],[w.0]]/SUM(Tab.11[w.0])))</f>
        <v>0</v>
      </c>
      <c r="AF504" s="76" t="str">
        <f>IF(Tab.11[[#This Row],[a1]]=0,"false",[3]!Tab.x5[[#This Row],[%_seN_C]])</f>
        <v>false</v>
      </c>
      <c r="AG504" s="77" t="b">
        <f>IF(Tab.11[[#This Row],[a1]]=1,AP504)</f>
        <v>0</v>
      </c>
      <c r="AH504" s="78" t="b">
        <f>IF(Tab.11[[#This Row],[a1]]=1,AQ504)</f>
        <v>0</v>
      </c>
      <c r="AI504" s="41">
        <v>3.0000000000000001E-3</v>
      </c>
      <c r="AJ504" s="79">
        <v>-0.06</v>
      </c>
      <c r="AK504" s="80" t="b">
        <f>IF(Tab.11[[#This Row],[a1]]=1,1)</f>
        <v>0</v>
      </c>
      <c r="AZ504"/>
    </row>
    <row r="505" spans="1:52" hidden="1" x14ac:dyDescent="0.25">
      <c r="A505" s="61">
        <f t="shared" si="17"/>
        <v>0</v>
      </c>
      <c r="B505" s="62">
        <f t="shared" si="17"/>
        <v>0</v>
      </c>
      <c r="C505" s="62" t="b">
        <f>IF(Tab.11[[#This Row],[a1]]=1,[3]!Tab_x1[[#This Row],[Name]])</f>
        <v>0</v>
      </c>
      <c r="D505" s="63" t="b">
        <f>IF(Tab.11[[#This Row],[a1]]=1,AO505)</f>
        <v>0</v>
      </c>
      <c r="E505" s="63">
        <f t="shared" si="16"/>
        <v>0</v>
      </c>
      <c r="F505" s="64" t="b">
        <f>IF(Tab.11[[#This Row],[a1]]=1,Tab.11[[#This Row],[b1]])</f>
        <v>0</v>
      </c>
      <c r="G505" s="65" t="b">
        <f>IF(Tab.11[[#This Row],[a1]]=1,IF(Tab.11[[#This Row],[b3]]&gt;$L$989*$G$3,$L$989*$G$3,IF(Tab.11[[#This Row],[b3]]&lt;$M$989*$G$3,$M$989*$G$3,Tab.11[[#This Row],[b3]])))</f>
        <v>0</v>
      </c>
      <c r="H505" s="66" t="b">
        <f>IF(Tab.11[[#This Row],[a1]]=1,Tab.11[[#This Row],[b1]])</f>
        <v>0</v>
      </c>
      <c r="I505" s="67" t="b">
        <f>IF(Tab.11[[#This Row],[a1]]=1,Tab.11[[#This Row],[b1]])</f>
        <v>0</v>
      </c>
      <c r="J505" s="68" t="b">
        <f>IF(Tab.11[[#This Row],[a1]]=1,IF($I$3&lt;0,Tab.11[[#This Row],[b5]]-$I$3,Tab.11[[#This Row],[b5]]))</f>
        <v>0</v>
      </c>
      <c r="K505" s="68" t="b">
        <f>IF(Tab.11[[#This Row],[a1]]=1,IF($K$3=0,Tab.11[b6],Tab.11[[#This Row],[b6]]-AVERAGE(Tab.11[b6])))</f>
        <v>0</v>
      </c>
      <c r="L505" s="69" t="b">
        <f>IF(Tab.11[[#This Row],[a1]]=1,Tab.11[[#This Row],[data]]/(_xlfn.STDEV.P(Tab.11[data])*$B$989)+$A$989)</f>
        <v>0</v>
      </c>
      <c r="M505" s="69" t="b">
        <f>IF(Tab.11[[#This Row],[a1]]=1,Tab.11[[#This Row],[data]]/(_xlfn.STDEV.P(Tab.11[data])*$B$987)-$A$987)</f>
        <v>0</v>
      </c>
      <c r="N505" s="69" t="b">
        <f>IF(Tab.11[[#This Row],[a1]]=1,Tab.11[[#This Row],[data]]/(_xlfn.STDEV.P(Tab.11[data])*$B$988)+$A$988)</f>
        <v>0</v>
      </c>
      <c r="O505" s="70" t="b">
        <f>IF(Tab.11[[#This Row],[a1]]=1,_xlfn.NORM.DIST(Tab.11[[#This Row],[b8]],$P$1,$Q$1,FALSE))</f>
        <v>0</v>
      </c>
      <c r="P505" s="70" t="b">
        <f>IF(Tab.11[[#This Row],[a1]]=1,_xlfn.NORM.DIST(Tab.11[[#This Row],[b9]],$P$1,$Q$1,FALSE))</f>
        <v>0</v>
      </c>
      <c r="Q505" s="70" t="b">
        <f>IF(Tab.11[[#This Row],[a1]]=1,_xlfn.NORM.DIST(Tab.11[[#This Row],[b10]],$P$1,$Q$1,FALSE))</f>
        <v>0</v>
      </c>
      <c r="R505" s="67" t="b">
        <f>IF(Tab.11[[#This Row],[a1]]=1,$I$3+$A$989+IF($K$3=0,Tab.11[[#This Row],[b8]]*_xlfn.STDEV.P(Tab.11[data]),AVERAGE(Tab.11[b6])+Tab.11[[#This Row],[b8]]*_xlfn.STDEV.P(Tab.11[data])))</f>
        <v>0</v>
      </c>
      <c r="S505" s="71" t="b">
        <f>IF(Tab.11[[#This Row],[a1]]=1,$I$3+$A$987+IF($K$3=0,Tab.11[[#This Row],[b9]]*_xlfn.STDEV.P(Tab.11[data]),AVERAGE(Tab.11[b6])+Tab.11[[#This Row],[b9]]*_xlfn.STDEV.P(Tab.11[data])))</f>
        <v>0</v>
      </c>
      <c r="T505" s="71" t="b">
        <f>IF(Tab.11[[#This Row],[a1]]=1,$I$3+$A$988+IF($K$3=0,Tab.11[[#This Row],[b10]]*_xlfn.STDEV.P(Tab.11[data]),AVERAGE(Tab.11[b6])+Tab.11[[#This Row],[b10]]*_xlfn.STDEV.P(Tab.11[data])))</f>
        <v>0</v>
      </c>
      <c r="U505" s="72" t="b">
        <f>IF(Tab.11[[#This Row],[a1]]=1,Tab.11[[#This Row],[target]]-Tab.11[[#This Row],[Red]])</f>
        <v>0</v>
      </c>
      <c r="V505" s="72" t="b">
        <f>IF(Tab.11[[#This Row],[a1]]=1,Tab.11[[#This Row],[target]]-Tab.11[[#This Row],[Blue]])</f>
        <v>0</v>
      </c>
      <c r="W505" s="73" t="b">
        <f>IF(Tab.11[[#This Row],[a1]]=1,IF(ABS(Tab.11[[#This Row],[b17]])+ABS(Tab.11[[#This Row],[b18]])&lt;$W$2,$W$2,ABS(Tab.11[[#This Row],[b17]])+ABS(Tab.11[[#This Row],[b18]])))</f>
        <v>0</v>
      </c>
      <c r="X505" s="136" t="b">
        <f>IF(Tab.11[[#This Row],[a1]]=1,IF($W$3&lt;0,Tab.11[[#This Row],[IN]]-$I$3,Tab.11[[#This Row],[IN]]))</f>
        <v>0</v>
      </c>
      <c r="Y505" s="136" t="b">
        <f>IF(Tab.11[[#This Row],[a1]]=1,IF($X$3=0,Tab.11[b66],Tab.11[[#This Row],[b66]]-AVERAGE(Tab.11[b66])))</f>
        <v>0</v>
      </c>
      <c r="Z505" s="135" t="b">
        <f>IF(Tab.11[[#This Row],[a1]]=1,Tab.11[[#This Row],[b77]]/(_xlfn.STDEV.P(Tab.11[b77])))</f>
        <v>0</v>
      </c>
      <c r="AA505" s="70" t="b">
        <f>IF(Tab.11[[#This Row],[a1]]=1,_xlfn.NORM.DIST(Tab.11[[#This Row],[b88]],$Z$1,$AA$1,FALSE))</f>
        <v>0</v>
      </c>
      <c r="AB505" s="74" t="b">
        <f>IF(Tab.11[[#This Row],[a1]]=1,IF($A$3=0,FALSE,1/Tab.11[[#This Row],[IN]]*$AC$2*IF(Tab.11[[#This Row],[a1]]=0,,$A$3*$AC$1*1/$V$3*(Tab.11[[#This Row],[b14]]))))</f>
        <v>0</v>
      </c>
      <c r="AC505" s="75" t="b">
        <f>IF(Tab.11[[#This Row],[a1]]=1,IF($AC$3=0,Tab.11[[#This Row],[φ1]],Tab.11[[#This Row],[φ1]]/MAX(Tab.11[φ1])))</f>
        <v>0</v>
      </c>
      <c r="AD505" s="74" t="b">
        <f>IF(Tab.11[[#This Row],[a1]]=1,1/Tab.11[[#This Row],[φ2]])</f>
        <v>0</v>
      </c>
      <c r="AE505" s="74" t="b">
        <f>IF(Tab.11[[#This Row],[a1]]=1,IF($AE$3=0,Tab.11[[#This Row],[w.0]],Tab.11[[#This Row],[w.0]]/SUM(Tab.11[w.0])))</f>
        <v>0</v>
      </c>
      <c r="AF505" s="76" t="str">
        <f>IF(Tab.11[[#This Row],[a1]]=0,"false",[3]!Tab.x5[[#This Row],[%_seN_C]])</f>
        <v>false</v>
      </c>
      <c r="AG505" s="77" t="b">
        <f>IF(Tab.11[[#This Row],[a1]]=1,AP505)</f>
        <v>0</v>
      </c>
      <c r="AH505" s="78" t="b">
        <f>IF(Tab.11[[#This Row],[a1]]=1,AQ505)</f>
        <v>0</v>
      </c>
      <c r="AI505" s="41">
        <v>3.0000000000000001E-3</v>
      </c>
      <c r="AJ505" s="79">
        <v>0.04</v>
      </c>
      <c r="AK505" s="80" t="b">
        <f>IF(Tab.11[[#This Row],[a1]]=1,1)</f>
        <v>0</v>
      </c>
      <c r="AZ505"/>
    </row>
    <row r="506" spans="1:52" hidden="1" x14ac:dyDescent="0.25">
      <c r="A506" s="61">
        <f t="shared" si="17"/>
        <v>0</v>
      </c>
      <c r="B506" s="62">
        <f t="shared" si="17"/>
        <v>0</v>
      </c>
      <c r="C506" s="62" t="b">
        <f>IF(Tab.11[[#This Row],[a1]]=1,[3]!Tab_x1[[#This Row],[Name]])</f>
        <v>0</v>
      </c>
      <c r="D506" s="63" t="b">
        <f>IF(Tab.11[[#This Row],[a1]]=1,AO506)</f>
        <v>0</v>
      </c>
      <c r="E506" s="63">
        <f t="shared" si="16"/>
        <v>0</v>
      </c>
      <c r="F506" s="64" t="b">
        <f>IF(Tab.11[[#This Row],[a1]]=1,Tab.11[[#This Row],[b1]])</f>
        <v>0</v>
      </c>
      <c r="G506" s="65" t="b">
        <f>IF(Tab.11[[#This Row],[a1]]=1,IF(Tab.11[[#This Row],[b3]]&gt;$L$989*$G$3,$L$989*$G$3,IF(Tab.11[[#This Row],[b3]]&lt;$M$989*$G$3,$M$989*$G$3,Tab.11[[#This Row],[b3]])))</f>
        <v>0</v>
      </c>
      <c r="H506" s="66" t="b">
        <f>IF(Tab.11[[#This Row],[a1]]=1,Tab.11[[#This Row],[b1]])</f>
        <v>0</v>
      </c>
      <c r="I506" s="67" t="b">
        <f>IF(Tab.11[[#This Row],[a1]]=1,Tab.11[[#This Row],[b1]])</f>
        <v>0</v>
      </c>
      <c r="J506" s="68" t="b">
        <f>IF(Tab.11[[#This Row],[a1]]=1,IF($I$3&lt;0,Tab.11[[#This Row],[b5]]-$I$3,Tab.11[[#This Row],[b5]]))</f>
        <v>0</v>
      </c>
      <c r="K506" s="68" t="b">
        <f>IF(Tab.11[[#This Row],[a1]]=1,IF($K$3=0,Tab.11[b6],Tab.11[[#This Row],[b6]]-AVERAGE(Tab.11[b6])))</f>
        <v>0</v>
      </c>
      <c r="L506" s="69" t="b">
        <f>IF(Tab.11[[#This Row],[a1]]=1,Tab.11[[#This Row],[data]]/(_xlfn.STDEV.P(Tab.11[data])*$B$989)+$A$989)</f>
        <v>0</v>
      </c>
      <c r="M506" s="69" t="b">
        <f>IF(Tab.11[[#This Row],[a1]]=1,Tab.11[[#This Row],[data]]/(_xlfn.STDEV.P(Tab.11[data])*$B$987)-$A$987)</f>
        <v>0</v>
      </c>
      <c r="N506" s="69" t="b">
        <f>IF(Tab.11[[#This Row],[a1]]=1,Tab.11[[#This Row],[data]]/(_xlfn.STDEV.P(Tab.11[data])*$B$988)+$A$988)</f>
        <v>0</v>
      </c>
      <c r="O506" s="70" t="b">
        <f>IF(Tab.11[[#This Row],[a1]]=1,_xlfn.NORM.DIST(Tab.11[[#This Row],[b8]],$P$1,$Q$1,FALSE))</f>
        <v>0</v>
      </c>
      <c r="P506" s="70" t="b">
        <f>IF(Tab.11[[#This Row],[a1]]=1,_xlfn.NORM.DIST(Tab.11[[#This Row],[b9]],$P$1,$Q$1,FALSE))</f>
        <v>0</v>
      </c>
      <c r="Q506" s="70" t="b">
        <f>IF(Tab.11[[#This Row],[a1]]=1,_xlfn.NORM.DIST(Tab.11[[#This Row],[b10]],$P$1,$Q$1,FALSE))</f>
        <v>0</v>
      </c>
      <c r="R506" s="67" t="b">
        <f>IF(Tab.11[[#This Row],[a1]]=1,$I$3+$A$989+IF($K$3=0,Tab.11[[#This Row],[b8]]*_xlfn.STDEV.P(Tab.11[data]),AVERAGE(Tab.11[b6])+Tab.11[[#This Row],[b8]]*_xlfn.STDEV.P(Tab.11[data])))</f>
        <v>0</v>
      </c>
      <c r="S506" s="71" t="b">
        <f>IF(Tab.11[[#This Row],[a1]]=1,$I$3+$A$987+IF($K$3=0,Tab.11[[#This Row],[b9]]*_xlfn.STDEV.P(Tab.11[data]),AVERAGE(Tab.11[b6])+Tab.11[[#This Row],[b9]]*_xlfn.STDEV.P(Tab.11[data])))</f>
        <v>0</v>
      </c>
      <c r="T506" s="71" t="b">
        <f>IF(Tab.11[[#This Row],[a1]]=1,$I$3+$A$988+IF($K$3=0,Tab.11[[#This Row],[b10]]*_xlfn.STDEV.P(Tab.11[data]),AVERAGE(Tab.11[b6])+Tab.11[[#This Row],[b10]]*_xlfn.STDEV.P(Tab.11[data])))</f>
        <v>0</v>
      </c>
      <c r="U506" s="72" t="b">
        <f>IF(Tab.11[[#This Row],[a1]]=1,Tab.11[[#This Row],[target]]-Tab.11[[#This Row],[Red]])</f>
        <v>0</v>
      </c>
      <c r="V506" s="72" t="b">
        <f>IF(Tab.11[[#This Row],[a1]]=1,Tab.11[[#This Row],[target]]-Tab.11[[#This Row],[Blue]])</f>
        <v>0</v>
      </c>
      <c r="W506" s="73" t="b">
        <f>IF(Tab.11[[#This Row],[a1]]=1,IF(ABS(Tab.11[[#This Row],[b17]])+ABS(Tab.11[[#This Row],[b18]])&lt;$W$2,$W$2,ABS(Tab.11[[#This Row],[b17]])+ABS(Tab.11[[#This Row],[b18]])))</f>
        <v>0</v>
      </c>
      <c r="X506" s="136" t="b">
        <f>IF(Tab.11[[#This Row],[a1]]=1,IF($W$3&lt;0,Tab.11[[#This Row],[IN]]-$I$3,Tab.11[[#This Row],[IN]]))</f>
        <v>0</v>
      </c>
      <c r="Y506" s="136" t="b">
        <f>IF(Tab.11[[#This Row],[a1]]=1,IF($X$3=0,Tab.11[b66],Tab.11[[#This Row],[b66]]-AVERAGE(Tab.11[b66])))</f>
        <v>0</v>
      </c>
      <c r="Z506" s="135" t="b">
        <f>IF(Tab.11[[#This Row],[a1]]=1,Tab.11[[#This Row],[b77]]/(_xlfn.STDEV.P(Tab.11[b77])))</f>
        <v>0</v>
      </c>
      <c r="AA506" s="70" t="b">
        <f>IF(Tab.11[[#This Row],[a1]]=1,_xlfn.NORM.DIST(Tab.11[[#This Row],[b88]],$Z$1,$AA$1,FALSE))</f>
        <v>0</v>
      </c>
      <c r="AB506" s="74" t="b">
        <f>IF(Tab.11[[#This Row],[a1]]=1,IF($A$3=0,FALSE,1/Tab.11[[#This Row],[IN]]*$AC$2*IF(Tab.11[[#This Row],[a1]]=0,,$A$3*$AC$1*1/$V$3*(Tab.11[[#This Row],[b14]]))))</f>
        <v>0</v>
      </c>
      <c r="AC506" s="75" t="b">
        <f>IF(Tab.11[[#This Row],[a1]]=1,IF($AC$3=0,Tab.11[[#This Row],[φ1]],Tab.11[[#This Row],[φ1]]/MAX(Tab.11[φ1])))</f>
        <v>0</v>
      </c>
      <c r="AD506" s="74" t="b">
        <f>IF(Tab.11[[#This Row],[a1]]=1,1/Tab.11[[#This Row],[φ2]])</f>
        <v>0</v>
      </c>
      <c r="AE506" s="74" t="b">
        <f>IF(Tab.11[[#This Row],[a1]]=1,IF($AE$3=0,Tab.11[[#This Row],[w.0]],Tab.11[[#This Row],[w.0]]/SUM(Tab.11[w.0])))</f>
        <v>0</v>
      </c>
      <c r="AF506" s="76" t="str">
        <f>IF(Tab.11[[#This Row],[a1]]=0,"false",[3]!Tab.x5[[#This Row],[%_seN_C]])</f>
        <v>false</v>
      </c>
      <c r="AG506" s="77" t="b">
        <f>IF(Tab.11[[#This Row],[a1]]=1,AP506)</f>
        <v>0</v>
      </c>
      <c r="AH506" s="78" t="b">
        <f>IF(Tab.11[[#This Row],[a1]]=1,AQ506)</f>
        <v>0</v>
      </c>
      <c r="AI506" s="41">
        <v>3.0000000000000001E-3</v>
      </c>
      <c r="AJ506" s="79">
        <v>0.06</v>
      </c>
      <c r="AK506" s="80" t="b">
        <f>IF(Tab.11[[#This Row],[a1]]=1,1)</f>
        <v>0</v>
      </c>
      <c r="AZ506"/>
    </row>
    <row r="507" spans="1:52" hidden="1" x14ac:dyDescent="0.25">
      <c r="A507" s="61">
        <f t="shared" si="17"/>
        <v>0</v>
      </c>
      <c r="B507" s="62">
        <f t="shared" si="17"/>
        <v>0</v>
      </c>
      <c r="C507" s="62" t="b">
        <f>IF(Tab.11[[#This Row],[a1]]=1,[3]!Tab_x1[[#This Row],[Name]])</f>
        <v>0</v>
      </c>
      <c r="D507" s="63" t="b">
        <f>IF(Tab.11[[#This Row],[a1]]=1,AO507)</f>
        <v>0</v>
      </c>
      <c r="E507" s="63">
        <f t="shared" si="16"/>
        <v>0</v>
      </c>
      <c r="F507" s="64" t="b">
        <f>IF(Tab.11[[#This Row],[a1]]=1,Tab.11[[#This Row],[b1]])</f>
        <v>0</v>
      </c>
      <c r="G507" s="65" t="b">
        <f>IF(Tab.11[[#This Row],[a1]]=1,IF(Tab.11[[#This Row],[b3]]&gt;$L$989*$G$3,$L$989*$G$3,IF(Tab.11[[#This Row],[b3]]&lt;$M$989*$G$3,$M$989*$G$3,Tab.11[[#This Row],[b3]])))</f>
        <v>0</v>
      </c>
      <c r="H507" s="66" t="b">
        <f>IF(Tab.11[[#This Row],[a1]]=1,Tab.11[[#This Row],[b1]])</f>
        <v>0</v>
      </c>
      <c r="I507" s="67" t="b">
        <f>IF(Tab.11[[#This Row],[a1]]=1,Tab.11[[#This Row],[b1]])</f>
        <v>0</v>
      </c>
      <c r="J507" s="68" t="b">
        <f>IF(Tab.11[[#This Row],[a1]]=1,IF($I$3&lt;0,Tab.11[[#This Row],[b5]]-$I$3,Tab.11[[#This Row],[b5]]))</f>
        <v>0</v>
      </c>
      <c r="K507" s="68" t="b">
        <f>IF(Tab.11[[#This Row],[a1]]=1,IF($K$3=0,Tab.11[b6],Tab.11[[#This Row],[b6]]-AVERAGE(Tab.11[b6])))</f>
        <v>0</v>
      </c>
      <c r="L507" s="69" t="b">
        <f>IF(Tab.11[[#This Row],[a1]]=1,Tab.11[[#This Row],[data]]/(_xlfn.STDEV.P(Tab.11[data])*$B$989)+$A$989)</f>
        <v>0</v>
      </c>
      <c r="M507" s="69" t="b">
        <f>IF(Tab.11[[#This Row],[a1]]=1,Tab.11[[#This Row],[data]]/(_xlfn.STDEV.P(Tab.11[data])*$B$987)-$A$987)</f>
        <v>0</v>
      </c>
      <c r="N507" s="69" t="b">
        <f>IF(Tab.11[[#This Row],[a1]]=1,Tab.11[[#This Row],[data]]/(_xlfn.STDEV.P(Tab.11[data])*$B$988)+$A$988)</f>
        <v>0</v>
      </c>
      <c r="O507" s="70" t="b">
        <f>IF(Tab.11[[#This Row],[a1]]=1,_xlfn.NORM.DIST(Tab.11[[#This Row],[b8]],$P$1,$Q$1,FALSE))</f>
        <v>0</v>
      </c>
      <c r="P507" s="70" t="b">
        <f>IF(Tab.11[[#This Row],[a1]]=1,_xlfn.NORM.DIST(Tab.11[[#This Row],[b9]],$P$1,$Q$1,FALSE))</f>
        <v>0</v>
      </c>
      <c r="Q507" s="70" t="b">
        <f>IF(Tab.11[[#This Row],[a1]]=1,_xlfn.NORM.DIST(Tab.11[[#This Row],[b10]],$P$1,$Q$1,FALSE))</f>
        <v>0</v>
      </c>
      <c r="R507" s="67" t="b">
        <f>IF(Tab.11[[#This Row],[a1]]=1,$I$3+$A$989+IF($K$3=0,Tab.11[[#This Row],[b8]]*_xlfn.STDEV.P(Tab.11[data]),AVERAGE(Tab.11[b6])+Tab.11[[#This Row],[b8]]*_xlfn.STDEV.P(Tab.11[data])))</f>
        <v>0</v>
      </c>
      <c r="S507" s="71" t="b">
        <f>IF(Tab.11[[#This Row],[a1]]=1,$I$3+$A$987+IF($K$3=0,Tab.11[[#This Row],[b9]]*_xlfn.STDEV.P(Tab.11[data]),AVERAGE(Tab.11[b6])+Tab.11[[#This Row],[b9]]*_xlfn.STDEV.P(Tab.11[data])))</f>
        <v>0</v>
      </c>
      <c r="T507" s="71" t="b">
        <f>IF(Tab.11[[#This Row],[a1]]=1,$I$3+$A$988+IF($K$3=0,Tab.11[[#This Row],[b10]]*_xlfn.STDEV.P(Tab.11[data]),AVERAGE(Tab.11[b6])+Tab.11[[#This Row],[b10]]*_xlfn.STDEV.P(Tab.11[data])))</f>
        <v>0</v>
      </c>
      <c r="U507" s="72" t="b">
        <f>IF(Tab.11[[#This Row],[a1]]=1,Tab.11[[#This Row],[target]]-Tab.11[[#This Row],[Red]])</f>
        <v>0</v>
      </c>
      <c r="V507" s="72" t="b">
        <f>IF(Tab.11[[#This Row],[a1]]=1,Tab.11[[#This Row],[target]]-Tab.11[[#This Row],[Blue]])</f>
        <v>0</v>
      </c>
      <c r="W507" s="73" t="b">
        <f>IF(Tab.11[[#This Row],[a1]]=1,IF(ABS(Tab.11[[#This Row],[b17]])+ABS(Tab.11[[#This Row],[b18]])&lt;$W$2,$W$2,ABS(Tab.11[[#This Row],[b17]])+ABS(Tab.11[[#This Row],[b18]])))</f>
        <v>0</v>
      </c>
      <c r="X507" s="136" t="b">
        <f>IF(Tab.11[[#This Row],[a1]]=1,IF($W$3&lt;0,Tab.11[[#This Row],[IN]]-$I$3,Tab.11[[#This Row],[IN]]))</f>
        <v>0</v>
      </c>
      <c r="Y507" s="136" t="b">
        <f>IF(Tab.11[[#This Row],[a1]]=1,IF($X$3=0,Tab.11[b66],Tab.11[[#This Row],[b66]]-AVERAGE(Tab.11[b66])))</f>
        <v>0</v>
      </c>
      <c r="Z507" s="135" t="b">
        <f>IF(Tab.11[[#This Row],[a1]]=1,Tab.11[[#This Row],[b77]]/(_xlfn.STDEV.P(Tab.11[b77])))</f>
        <v>0</v>
      </c>
      <c r="AA507" s="70" t="b">
        <f>IF(Tab.11[[#This Row],[a1]]=1,_xlfn.NORM.DIST(Tab.11[[#This Row],[b88]],$Z$1,$AA$1,FALSE))</f>
        <v>0</v>
      </c>
      <c r="AB507" s="74" t="b">
        <f>IF(Tab.11[[#This Row],[a1]]=1,IF($A$3=0,FALSE,1/Tab.11[[#This Row],[IN]]*$AC$2*IF(Tab.11[[#This Row],[a1]]=0,,$A$3*$AC$1*1/$V$3*(Tab.11[[#This Row],[b14]]))))</f>
        <v>0</v>
      </c>
      <c r="AC507" s="75" t="b">
        <f>IF(Tab.11[[#This Row],[a1]]=1,IF($AC$3=0,Tab.11[[#This Row],[φ1]],Tab.11[[#This Row],[φ1]]/MAX(Tab.11[φ1])))</f>
        <v>0</v>
      </c>
      <c r="AD507" s="74" t="b">
        <f>IF(Tab.11[[#This Row],[a1]]=1,1/Tab.11[[#This Row],[φ2]])</f>
        <v>0</v>
      </c>
      <c r="AE507" s="74" t="b">
        <f>IF(Tab.11[[#This Row],[a1]]=1,IF($AE$3=0,Tab.11[[#This Row],[w.0]],Tab.11[[#This Row],[w.0]]/SUM(Tab.11[w.0])))</f>
        <v>0</v>
      </c>
      <c r="AF507" s="76" t="str">
        <f>IF(Tab.11[[#This Row],[a1]]=0,"false",[3]!Tab.x5[[#This Row],[%_seN_C]])</f>
        <v>false</v>
      </c>
      <c r="AG507" s="77" t="b">
        <f>IF(Tab.11[[#This Row],[a1]]=1,AP507)</f>
        <v>0</v>
      </c>
      <c r="AH507" s="78" t="b">
        <f>IF(Tab.11[[#This Row],[a1]]=1,AQ507)</f>
        <v>0</v>
      </c>
      <c r="AI507" s="41">
        <v>3.0000000000000001E-3</v>
      </c>
      <c r="AJ507" s="79">
        <v>-0.06</v>
      </c>
      <c r="AK507" s="80" t="b">
        <f>IF(Tab.11[[#This Row],[a1]]=1,1)</f>
        <v>0</v>
      </c>
      <c r="AZ507"/>
    </row>
    <row r="508" spans="1:52" hidden="1" x14ac:dyDescent="0.25">
      <c r="A508" s="61">
        <f t="shared" si="17"/>
        <v>0</v>
      </c>
      <c r="B508" s="62">
        <f t="shared" si="17"/>
        <v>0</v>
      </c>
      <c r="C508" s="62" t="b">
        <f>IF(Tab.11[[#This Row],[a1]]=1,[3]!Tab_x1[[#This Row],[Name]])</f>
        <v>0</v>
      </c>
      <c r="D508" s="63" t="b">
        <f>IF(Tab.11[[#This Row],[a1]]=1,AO508)</f>
        <v>0</v>
      </c>
      <c r="E508" s="63">
        <f t="shared" si="16"/>
        <v>0</v>
      </c>
      <c r="F508" s="64" t="b">
        <f>IF(Tab.11[[#This Row],[a1]]=1,Tab.11[[#This Row],[b1]])</f>
        <v>0</v>
      </c>
      <c r="G508" s="65" t="b">
        <f>IF(Tab.11[[#This Row],[a1]]=1,IF(Tab.11[[#This Row],[b3]]&gt;$L$989*$G$3,$L$989*$G$3,IF(Tab.11[[#This Row],[b3]]&lt;$M$989*$G$3,$M$989*$G$3,Tab.11[[#This Row],[b3]])))</f>
        <v>0</v>
      </c>
      <c r="H508" s="66" t="b">
        <f>IF(Tab.11[[#This Row],[a1]]=1,Tab.11[[#This Row],[b1]])</f>
        <v>0</v>
      </c>
      <c r="I508" s="67" t="b">
        <f>IF(Tab.11[[#This Row],[a1]]=1,Tab.11[[#This Row],[b1]])</f>
        <v>0</v>
      </c>
      <c r="J508" s="68" t="b">
        <f>IF(Tab.11[[#This Row],[a1]]=1,IF($I$3&lt;0,Tab.11[[#This Row],[b5]]-$I$3,Tab.11[[#This Row],[b5]]))</f>
        <v>0</v>
      </c>
      <c r="K508" s="68" t="b">
        <f>IF(Tab.11[[#This Row],[a1]]=1,IF($K$3=0,Tab.11[b6],Tab.11[[#This Row],[b6]]-AVERAGE(Tab.11[b6])))</f>
        <v>0</v>
      </c>
      <c r="L508" s="69" t="b">
        <f>IF(Tab.11[[#This Row],[a1]]=1,Tab.11[[#This Row],[data]]/(_xlfn.STDEV.P(Tab.11[data])*$B$989)+$A$989)</f>
        <v>0</v>
      </c>
      <c r="M508" s="69" t="b">
        <f>IF(Tab.11[[#This Row],[a1]]=1,Tab.11[[#This Row],[data]]/(_xlfn.STDEV.P(Tab.11[data])*$B$987)-$A$987)</f>
        <v>0</v>
      </c>
      <c r="N508" s="69" t="b">
        <f>IF(Tab.11[[#This Row],[a1]]=1,Tab.11[[#This Row],[data]]/(_xlfn.STDEV.P(Tab.11[data])*$B$988)+$A$988)</f>
        <v>0</v>
      </c>
      <c r="O508" s="70" t="b">
        <f>IF(Tab.11[[#This Row],[a1]]=1,_xlfn.NORM.DIST(Tab.11[[#This Row],[b8]],$P$1,$Q$1,FALSE))</f>
        <v>0</v>
      </c>
      <c r="P508" s="70" t="b">
        <f>IF(Tab.11[[#This Row],[a1]]=1,_xlfn.NORM.DIST(Tab.11[[#This Row],[b9]],$P$1,$Q$1,FALSE))</f>
        <v>0</v>
      </c>
      <c r="Q508" s="70" t="b">
        <f>IF(Tab.11[[#This Row],[a1]]=1,_xlfn.NORM.DIST(Tab.11[[#This Row],[b10]],$P$1,$Q$1,FALSE))</f>
        <v>0</v>
      </c>
      <c r="R508" s="67" t="b">
        <f>IF(Tab.11[[#This Row],[a1]]=1,$I$3+$A$989+IF($K$3=0,Tab.11[[#This Row],[b8]]*_xlfn.STDEV.P(Tab.11[data]),AVERAGE(Tab.11[b6])+Tab.11[[#This Row],[b8]]*_xlfn.STDEV.P(Tab.11[data])))</f>
        <v>0</v>
      </c>
      <c r="S508" s="71" t="b">
        <f>IF(Tab.11[[#This Row],[a1]]=1,$I$3+$A$987+IF($K$3=0,Tab.11[[#This Row],[b9]]*_xlfn.STDEV.P(Tab.11[data]),AVERAGE(Tab.11[b6])+Tab.11[[#This Row],[b9]]*_xlfn.STDEV.P(Tab.11[data])))</f>
        <v>0</v>
      </c>
      <c r="T508" s="71" t="b">
        <f>IF(Tab.11[[#This Row],[a1]]=1,$I$3+$A$988+IF($K$3=0,Tab.11[[#This Row],[b10]]*_xlfn.STDEV.P(Tab.11[data]),AVERAGE(Tab.11[b6])+Tab.11[[#This Row],[b10]]*_xlfn.STDEV.P(Tab.11[data])))</f>
        <v>0</v>
      </c>
      <c r="U508" s="72" t="b">
        <f>IF(Tab.11[[#This Row],[a1]]=1,Tab.11[[#This Row],[target]]-Tab.11[[#This Row],[Red]])</f>
        <v>0</v>
      </c>
      <c r="V508" s="72" t="b">
        <f>IF(Tab.11[[#This Row],[a1]]=1,Tab.11[[#This Row],[target]]-Tab.11[[#This Row],[Blue]])</f>
        <v>0</v>
      </c>
      <c r="W508" s="73" t="b">
        <f>IF(Tab.11[[#This Row],[a1]]=1,IF(ABS(Tab.11[[#This Row],[b17]])+ABS(Tab.11[[#This Row],[b18]])&lt;$W$2,$W$2,ABS(Tab.11[[#This Row],[b17]])+ABS(Tab.11[[#This Row],[b18]])))</f>
        <v>0</v>
      </c>
      <c r="X508" s="136" t="b">
        <f>IF(Tab.11[[#This Row],[a1]]=1,IF($W$3&lt;0,Tab.11[[#This Row],[IN]]-$I$3,Tab.11[[#This Row],[IN]]))</f>
        <v>0</v>
      </c>
      <c r="Y508" s="136" t="b">
        <f>IF(Tab.11[[#This Row],[a1]]=1,IF($X$3=0,Tab.11[b66],Tab.11[[#This Row],[b66]]-AVERAGE(Tab.11[b66])))</f>
        <v>0</v>
      </c>
      <c r="Z508" s="135" t="b">
        <f>IF(Tab.11[[#This Row],[a1]]=1,Tab.11[[#This Row],[b77]]/(_xlfn.STDEV.P(Tab.11[b77])))</f>
        <v>0</v>
      </c>
      <c r="AA508" s="70" t="b">
        <f>IF(Tab.11[[#This Row],[a1]]=1,_xlfn.NORM.DIST(Tab.11[[#This Row],[b88]],$Z$1,$AA$1,FALSE))</f>
        <v>0</v>
      </c>
      <c r="AB508" s="74" t="b">
        <f>IF(Tab.11[[#This Row],[a1]]=1,IF($A$3=0,FALSE,1/Tab.11[[#This Row],[IN]]*$AC$2*IF(Tab.11[[#This Row],[a1]]=0,,$A$3*$AC$1*1/$V$3*(Tab.11[[#This Row],[b14]]))))</f>
        <v>0</v>
      </c>
      <c r="AC508" s="75" t="b">
        <f>IF(Tab.11[[#This Row],[a1]]=1,IF($AC$3=0,Tab.11[[#This Row],[φ1]],Tab.11[[#This Row],[φ1]]/MAX(Tab.11[φ1])))</f>
        <v>0</v>
      </c>
      <c r="AD508" s="74" t="b">
        <f>IF(Tab.11[[#This Row],[a1]]=1,1/Tab.11[[#This Row],[φ2]])</f>
        <v>0</v>
      </c>
      <c r="AE508" s="74" t="b">
        <f>IF(Tab.11[[#This Row],[a1]]=1,IF($AE$3=0,Tab.11[[#This Row],[w.0]],Tab.11[[#This Row],[w.0]]/SUM(Tab.11[w.0])))</f>
        <v>0</v>
      </c>
      <c r="AF508" s="76" t="str">
        <f>IF(Tab.11[[#This Row],[a1]]=0,"false",[3]!Tab.x5[[#This Row],[%_seN_C]])</f>
        <v>false</v>
      </c>
      <c r="AG508" s="77" t="b">
        <f>IF(Tab.11[[#This Row],[a1]]=1,AP508)</f>
        <v>0</v>
      </c>
      <c r="AH508" s="78" t="b">
        <f>IF(Tab.11[[#This Row],[a1]]=1,AQ508)</f>
        <v>0</v>
      </c>
      <c r="AI508" s="41">
        <v>3.0000000000000001E-3</v>
      </c>
      <c r="AJ508" s="79">
        <v>-0.06</v>
      </c>
      <c r="AK508" s="80" t="b">
        <f>IF(Tab.11[[#This Row],[a1]]=1,1)</f>
        <v>0</v>
      </c>
      <c r="AZ508"/>
    </row>
    <row r="509" spans="1:52" hidden="1" x14ac:dyDescent="0.25">
      <c r="A509" s="61">
        <f t="shared" si="17"/>
        <v>0</v>
      </c>
      <c r="B509" s="62">
        <f t="shared" si="17"/>
        <v>0</v>
      </c>
      <c r="C509" s="62" t="b">
        <f>IF(Tab.11[[#This Row],[a1]]=1,[3]!Tab_x1[[#This Row],[Name]])</f>
        <v>0</v>
      </c>
      <c r="D509" s="63" t="b">
        <f>IF(Tab.11[[#This Row],[a1]]=1,AO509)</f>
        <v>0</v>
      </c>
      <c r="E509" s="63">
        <f t="shared" si="16"/>
        <v>0</v>
      </c>
      <c r="F509" s="64" t="b">
        <f>IF(Tab.11[[#This Row],[a1]]=1,Tab.11[[#This Row],[b1]])</f>
        <v>0</v>
      </c>
      <c r="G509" s="65" t="b">
        <f>IF(Tab.11[[#This Row],[a1]]=1,IF(Tab.11[[#This Row],[b3]]&gt;$L$989*$G$3,$L$989*$G$3,IF(Tab.11[[#This Row],[b3]]&lt;$M$989*$G$3,$M$989*$G$3,Tab.11[[#This Row],[b3]])))</f>
        <v>0</v>
      </c>
      <c r="H509" s="66" t="b">
        <f>IF(Tab.11[[#This Row],[a1]]=1,Tab.11[[#This Row],[b1]])</f>
        <v>0</v>
      </c>
      <c r="I509" s="67" t="b">
        <f>IF(Tab.11[[#This Row],[a1]]=1,Tab.11[[#This Row],[b1]])</f>
        <v>0</v>
      </c>
      <c r="J509" s="68" t="b">
        <f>IF(Tab.11[[#This Row],[a1]]=1,IF($I$3&lt;0,Tab.11[[#This Row],[b5]]-$I$3,Tab.11[[#This Row],[b5]]))</f>
        <v>0</v>
      </c>
      <c r="K509" s="68" t="b">
        <f>IF(Tab.11[[#This Row],[a1]]=1,IF($K$3=0,Tab.11[b6],Tab.11[[#This Row],[b6]]-AVERAGE(Tab.11[b6])))</f>
        <v>0</v>
      </c>
      <c r="L509" s="69" t="b">
        <f>IF(Tab.11[[#This Row],[a1]]=1,Tab.11[[#This Row],[data]]/(_xlfn.STDEV.P(Tab.11[data])*$B$989)+$A$989)</f>
        <v>0</v>
      </c>
      <c r="M509" s="69" t="b">
        <f>IF(Tab.11[[#This Row],[a1]]=1,Tab.11[[#This Row],[data]]/(_xlfn.STDEV.P(Tab.11[data])*$B$987)-$A$987)</f>
        <v>0</v>
      </c>
      <c r="N509" s="69" t="b">
        <f>IF(Tab.11[[#This Row],[a1]]=1,Tab.11[[#This Row],[data]]/(_xlfn.STDEV.P(Tab.11[data])*$B$988)+$A$988)</f>
        <v>0</v>
      </c>
      <c r="O509" s="70" t="b">
        <f>IF(Tab.11[[#This Row],[a1]]=1,_xlfn.NORM.DIST(Tab.11[[#This Row],[b8]],$P$1,$Q$1,FALSE))</f>
        <v>0</v>
      </c>
      <c r="P509" s="70" t="b">
        <f>IF(Tab.11[[#This Row],[a1]]=1,_xlfn.NORM.DIST(Tab.11[[#This Row],[b9]],$P$1,$Q$1,FALSE))</f>
        <v>0</v>
      </c>
      <c r="Q509" s="70" t="b">
        <f>IF(Tab.11[[#This Row],[a1]]=1,_xlfn.NORM.DIST(Tab.11[[#This Row],[b10]],$P$1,$Q$1,FALSE))</f>
        <v>0</v>
      </c>
      <c r="R509" s="67" t="b">
        <f>IF(Tab.11[[#This Row],[a1]]=1,$I$3+$A$989+IF($K$3=0,Tab.11[[#This Row],[b8]]*_xlfn.STDEV.P(Tab.11[data]),AVERAGE(Tab.11[b6])+Tab.11[[#This Row],[b8]]*_xlfn.STDEV.P(Tab.11[data])))</f>
        <v>0</v>
      </c>
      <c r="S509" s="71" t="b">
        <f>IF(Tab.11[[#This Row],[a1]]=1,$I$3+$A$987+IF($K$3=0,Tab.11[[#This Row],[b9]]*_xlfn.STDEV.P(Tab.11[data]),AVERAGE(Tab.11[b6])+Tab.11[[#This Row],[b9]]*_xlfn.STDEV.P(Tab.11[data])))</f>
        <v>0</v>
      </c>
      <c r="T509" s="71" t="b">
        <f>IF(Tab.11[[#This Row],[a1]]=1,$I$3+$A$988+IF($K$3=0,Tab.11[[#This Row],[b10]]*_xlfn.STDEV.P(Tab.11[data]),AVERAGE(Tab.11[b6])+Tab.11[[#This Row],[b10]]*_xlfn.STDEV.P(Tab.11[data])))</f>
        <v>0</v>
      </c>
      <c r="U509" s="72" t="b">
        <f>IF(Tab.11[[#This Row],[a1]]=1,Tab.11[[#This Row],[target]]-Tab.11[[#This Row],[Red]])</f>
        <v>0</v>
      </c>
      <c r="V509" s="72" t="b">
        <f>IF(Tab.11[[#This Row],[a1]]=1,Tab.11[[#This Row],[target]]-Tab.11[[#This Row],[Blue]])</f>
        <v>0</v>
      </c>
      <c r="W509" s="73" t="b">
        <f>IF(Tab.11[[#This Row],[a1]]=1,IF(ABS(Tab.11[[#This Row],[b17]])+ABS(Tab.11[[#This Row],[b18]])&lt;$W$2,$W$2,ABS(Tab.11[[#This Row],[b17]])+ABS(Tab.11[[#This Row],[b18]])))</f>
        <v>0</v>
      </c>
      <c r="X509" s="136" t="b">
        <f>IF(Tab.11[[#This Row],[a1]]=1,IF($W$3&lt;0,Tab.11[[#This Row],[IN]]-$I$3,Tab.11[[#This Row],[IN]]))</f>
        <v>0</v>
      </c>
      <c r="Y509" s="136" t="b">
        <f>IF(Tab.11[[#This Row],[a1]]=1,IF($X$3=0,Tab.11[b66],Tab.11[[#This Row],[b66]]-AVERAGE(Tab.11[b66])))</f>
        <v>0</v>
      </c>
      <c r="Z509" s="135" t="b">
        <f>IF(Tab.11[[#This Row],[a1]]=1,Tab.11[[#This Row],[b77]]/(_xlfn.STDEV.P(Tab.11[b77])))</f>
        <v>0</v>
      </c>
      <c r="AA509" s="70" t="b">
        <f>IF(Tab.11[[#This Row],[a1]]=1,_xlfn.NORM.DIST(Tab.11[[#This Row],[b88]],$Z$1,$AA$1,FALSE))</f>
        <v>0</v>
      </c>
      <c r="AB509" s="74" t="b">
        <f>IF(Tab.11[[#This Row],[a1]]=1,IF($A$3=0,FALSE,1/Tab.11[[#This Row],[IN]]*$AC$2*IF(Tab.11[[#This Row],[a1]]=0,,$A$3*$AC$1*1/$V$3*(Tab.11[[#This Row],[b14]]))))</f>
        <v>0</v>
      </c>
      <c r="AC509" s="75" t="b">
        <f>IF(Tab.11[[#This Row],[a1]]=1,IF($AC$3=0,Tab.11[[#This Row],[φ1]],Tab.11[[#This Row],[φ1]]/MAX(Tab.11[φ1])))</f>
        <v>0</v>
      </c>
      <c r="AD509" s="74" t="b">
        <f>IF(Tab.11[[#This Row],[a1]]=1,1/Tab.11[[#This Row],[φ2]])</f>
        <v>0</v>
      </c>
      <c r="AE509" s="74" t="b">
        <f>IF(Tab.11[[#This Row],[a1]]=1,IF($AE$3=0,Tab.11[[#This Row],[w.0]],Tab.11[[#This Row],[w.0]]/SUM(Tab.11[w.0])))</f>
        <v>0</v>
      </c>
      <c r="AF509" s="76" t="str">
        <f>IF(Tab.11[[#This Row],[a1]]=0,"false",[3]!Tab.x5[[#This Row],[%_seN_C]])</f>
        <v>false</v>
      </c>
      <c r="AG509" s="77" t="b">
        <f>IF(Tab.11[[#This Row],[a1]]=1,AP509)</f>
        <v>0</v>
      </c>
      <c r="AH509" s="78" t="b">
        <f>IF(Tab.11[[#This Row],[a1]]=1,AQ509)</f>
        <v>0</v>
      </c>
      <c r="AI509" s="41">
        <v>3.0000000000000001E-3</v>
      </c>
      <c r="AJ509" s="79">
        <v>-0.1</v>
      </c>
      <c r="AK509" s="80" t="b">
        <f>IF(Tab.11[[#This Row],[a1]]=1,1)</f>
        <v>0</v>
      </c>
      <c r="AZ509"/>
    </row>
    <row r="510" spans="1:52" hidden="1" x14ac:dyDescent="0.25">
      <c r="A510" s="61">
        <f t="shared" si="17"/>
        <v>0</v>
      </c>
      <c r="B510" s="62">
        <f t="shared" si="17"/>
        <v>0</v>
      </c>
      <c r="C510" s="62" t="b">
        <f>IF(Tab.11[[#This Row],[a1]]=1,[3]!Tab_x1[[#This Row],[Name]])</f>
        <v>0</v>
      </c>
      <c r="D510" s="63" t="b">
        <f>IF(Tab.11[[#This Row],[a1]]=1,AO510)</f>
        <v>0</v>
      </c>
      <c r="E510" s="63">
        <f t="shared" si="16"/>
        <v>0</v>
      </c>
      <c r="F510" s="64" t="b">
        <f>IF(Tab.11[[#This Row],[a1]]=1,Tab.11[[#This Row],[b1]])</f>
        <v>0</v>
      </c>
      <c r="G510" s="65" t="b">
        <f>IF(Tab.11[[#This Row],[a1]]=1,IF(Tab.11[[#This Row],[b3]]&gt;$L$989*$G$3,$L$989*$G$3,IF(Tab.11[[#This Row],[b3]]&lt;$M$989*$G$3,$M$989*$G$3,Tab.11[[#This Row],[b3]])))</f>
        <v>0</v>
      </c>
      <c r="H510" s="66" t="b">
        <f>IF(Tab.11[[#This Row],[a1]]=1,Tab.11[[#This Row],[b1]])</f>
        <v>0</v>
      </c>
      <c r="I510" s="67" t="b">
        <f>IF(Tab.11[[#This Row],[a1]]=1,Tab.11[[#This Row],[b1]])</f>
        <v>0</v>
      </c>
      <c r="J510" s="68" t="b">
        <f>IF(Tab.11[[#This Row],[a1]]=1,IF($I$3&lt;0,Tab.11[[#This Row],[b5]]-$I$3,Tab.11[[#This Row],[b5]]))</f>
        <v>0</v>
      </c>
      <c r="K510" s="68" t="b">
        <f>IF(Tab.11[[#This Row],[a1]]=1,IF($K$3=0,Tab.11[b6],Tab.11[[#This Row],[b6]]-AVERAGE(Tab.11[b6])))</f>
        <v>0</v>
      </c>
      <c r="L510" s="69" t="b">
        <f>IF(Tab.11[[#This Row],[a1]]=1,Tab.11[[#This Row],[data]]/(_xlfn.STDEV.P(Tab.11[data])*$B$989)+$A$989)</f>
        <v>0</v>
      </c>
      <c r="M510" s="69" t="b">
        <f>IF(Tab.11[[#This Row],[a1]]=1,Tab.11[[#This Row],[data]]/(_xlfn.STDEV.P(Tab.11[data])*$B$987)-$A$987)</f>
        <v>0</v>
      </c>
      <c r="N510" s="69" t="b">
        <f>IF(Tab.11[[#This Row],[a1]]=1,Tab.11[[#This Row],[data]]/(_xlfn.STDEV.P(Tab.11[data])*$B$988)+$A$988)</f>
        <v>0</v>
      </c>
      <c r="O510" s="70" t="b">
        <f>IF(Tab.11[[#This Row],[a1]]=1,_xlfn.NORM.DIST(Tab.11[[#This Row],[b8]],$P$1,$Q$1,FALSE))</f>
        <v>0</v>
      </c>
      <c r="P510" s="70" t="b">
        <f>IF(Tab.11[[#This Row],[a1]]=1,_xlfn.NORM.DIST(Tab.11[[#This Row],[b9]],$P$1,$Q$1,FALSE))</f>
        <v>0</v>
      </c>
      <c r="Q510" s="70" t="b">
        <f>IF(Tab.11[[#This Row],[a1]]=1,_xlfn.NORM.DIST(Tab.11[[#This Row],[b10]],$P$1,$Q$1,FALSE))</f>
        <v>0</v>
      </c>
      <c r="R510" s="67" t="b">
        <f>IF(Tab.11[[#This Row],[a1]]=1,$I$3+$A$989+IF($K$3=0,Tab.11[[#This Row],[b8]]*_xlfn.STDEV.P(Tab.11[data]),AVERAGE(Tab.11[b6])+Tab.11[[#This Row],[b8]]*_xlfn.STDEV.P(Tab.11[data])))</f>
        <v>0</v>
      </c>
      <c r="S510" s="71" t="b">
        <f>IF(Tab.11[[#This Row],[a1]]=1,$I$3+$A$987+IF($K$3=0,Tab.11[[#This Row],[b9]]*_xlfn.STDEV.P(Tab.11[data]),AVERAGE(Tab.11[b6])+Tab.11[[#This Row],[b9]]*_xlfn.STDEV.P(Tab.11[data])))</f>
        <v>0</v>
      </c>
      <c r="T510" s="71" t="b">
        <f>IF(Tab.11[[#This Row],[a1]]=1,$I$3+$A$988+IF($K$3=0,Tab.11[[#This Row],[b10]]*_xlfn.STDEV.P(Tab.11[data]),AVERAGE(Tab.11[b6])+Tab.11[[#This Row],[b10]]*_xlfn.STDEV.P(Tab.11[data])))</f>
        <v>0</v>
      </c>
      <c r="U510" s="72" t="b">
        <f>IF(Tab.11[[#This Row],[a1]]=1,Tab.11[[#This Row],[target]]-Tab.11[[#This Row],[Red]])</f>
        <v>0</v>
      </c>
      <c r="V510" s="72" t="b">
        <f>IF(Tab.11[[#This Row],[a1]]=1,Tab.11[[#This Row],[target]]-Tab.11[[#This Row],[Blue]])</f>
        <v>0</v>
      </c>
      <c r="W510" s="73" t="b">
        <f>IF(Tab.11[[#This Row],[a1]]=1,IF(ABS(Tab.11[[#This Row],[b17]])+ABS(Tab.11[[#This Row],[b18]])&lt;$W$2,$W$2,ABS(Tab.11[[#This Row],[b17]])+ABS(Tab.11[[#This Row],[b18]])))</f>
        <v>0</v>
      </c>
      <c r="X510" s="136" t="b">
        <f>IF(Tab.11[[#This Row],[a1]]=1,IF($W$3&lt;0,Tab.11[[#This Row],[IN]]-$I$3,Tab.11[[#This Row],[IN]]))</f>
        <v>0</v>
      </c>
      <c r="Y510" s="136" t="b">
        <f>IF(Tab.11[[#This Row],[a1]]=1,IF($X$3=0,Tab.11[b66],Tab.11[[#This Row],[b66]]-AVERAGE(Tab.11[b66])))</f>
        <v>0</v>
      </c>
      <c r="Z510" s="135" t="b">
        <f>IF(Tab.11[[#This Row],[a1]]=1,Tab.11[[#This Row],[b77]]/(_xlfn.STDEV.P(Tab.11[b77])))</f>
        <v>0</v>
      </c>
      <c r="AA510" s="70" t="b">
        <f>IF(Tab.11[[#This Row],[a1]]=1,_xlfn.NORM.DIST(Tab.11[[#This Row],[b88]],$Z$1,$AA$1,FALSE))</f>
        <v>0</v>
      </c>
      <c r="AB510" s="74" t="b">
        <f>IF(Tab.11[[#This Row],[a1]]=1,IF($A$3=0,FALSE,1/Tab.11[[#This Row],[IN]]*$AC$2*IF(Tab.11[[#This Row],[a1]]=0,,$A$3*$AC$1*1/$V$3*(Tab.11[[#This Row],[b14]]))))</f>
        <v>0</v>
      </c>
      <c r="AC510" s="75" t="b">
        <f>IF(Tab.11[[#This Row],[a1]]=1,IF($AC$3=0,Tab.11[[#This Row],[φ1]],Tab.11[[#This Row],[φ1]]/MAX(Tab.11[φ1])))</f>
        <v>0</v>
      </c>
      <c r="AD510" s="74" t="b">
        <f>IF(Tab.11[[#This Row],[a1]]=1,1/Tab.11[[#This Row],[φ2]])</f>
        <v>0</v>
      </c>
      <c r="AE510" s="74" t="b">
        <f>IF(Tab.11[[#This Row],[a1]]=1,IF($AE$3=0,Tab.11[[#This Row],[w.0]],Tab.11[[#This Row],[w.0]]/SUM(Tab.11[w.0])))</f>
        <v>0</v>
      </c>
      <c r="AF510" s="76" t="str">
        <f>IF(Tab.11[[#This Row],[a1]]=0,"false",[3]!Tab.x5[[#This Row],[%_seN_C]])</f>
        <v>false</v>
      </c>
      <c r="AG510" s="77" t="b">
        <f>IF(Tab.11[[#This Row],[a1]]=1,AP510)</f>
        <v>0</v>
      </c>
      <c r="AH510" s="78" t="b">
        <f>IF(Tab.11[[#This Row],[a1]]=1,AQ510)</f>
        <v>0</v>
      </c>
      <c r="AI510" s="41">
        <v>3.0000000000000001E-3</v>
      </c>
      <c r="AJ510" s="79">
        <v>-0.04</v>
      </c>
      <c r="AK510" s="80" t="b">
        <f>IF(Tab.11[[#This Row],[a1]]=1,1)</f>
        <v>0</v>
      </c>
      <c r="AZ510"/>
    </row>
    <row r="511" spans="1:52" hidden="1" x14ac:dyDescent="0.25">
      <c r="A511" s="61">
        <f t="shared" si="17"/>
        <v>0</v>
      </c>
      <c r="B511" s="62">
        <f t="shared" si="17"/>
        <v>0</v>
      </c>
      <c r="C511" s="62" t="b">
        <f>IF(Tab.11[[#This Row],[a1]]=1,[3]!Tab_x1[[#This Row],[Name]])</f>
        <v>0</v>
      </c>
      <c r="D511" s="63" t="b">
        <f>IF(Tab.11[[#This Row],[a1]]=1,AO511)</f>
        <v>0</v>
      </c>
      <c r="E511" s="63">
        <f t="shared" si="16"/>
        <v>0</v>
      </c>
      <c r="F511" s="64" t="b">
        <f>IF(Tab.11[[#This Row],[a1]]=1,Tab.11[[#This Row],[b1]])</f>
        <v>0</v>
      </c>
      <c r="G511" s="65" t="b">
        <f>IF(Tab.11[[#This Row],[a1]]=1,IF(Tab.11[[#This Row],[b3]]&gt;$L$989*$G$3,$L$989*$G$3,IF(Tab.11[[#This Row],[b3]]&lt;$M$989*$G$3,$M$989*$G$3,Tab.11[[#This Row],[b3]])))</f>
        <v>0</v>
      </c>
      <c r="H511" s="66" t="b">
        <f>IF(Tab.11[[#This Row],[a1]]=1,Tab.11[[#This Row],[b1]])</f>
        <v>0</v>
      </c>
      <c r="I511" s="67" t="b">
        <f>IF(Tab.11[[#This Row],[a1]]=1,Tab.11[[#This Row],[b1]])</f>
        <v>0</v>
      </c>
      <c r="J511" s="68" t="b">
        <f>IF(Tab.11[[#This Row],[a1]]=1,IF($I$3&lt;0,Tab.11[[#This Row],[b5]]-$I$3,Tab.11[[#This Row],[b5]]))</f>
        <v>0</v>
      </c>
      <c r="K511" s="68" t="b">
        <f>IF(Tab.11[[#This Row],[a1]]=1,IF($K$3=0,Tab.11[b6],Tab.11[[#This Row],[b6]]-AVERAGE(Tab.11[b6])))</f>
        <v>0</v>
      </c>
      <c r="L511" s="69" t="b">
        <f>IF(Tab.11[[#This Row],[a1]]=1,Tab.11[[#This Row],[data]]/(_xlfn.STDEV.P(Tab.11[data])*$B$989)+$A$989)</f>
        <v>0</v>
      </c>
      <c r="M511" s="69" t="b">
        <f>IF(Tab.11[[#This Row],[a1]]=1,Tab.11[[#This Row],[data]]/(_xlfn.STDEV.P(Tab.11[data])*$B$987)-$A$987)</f>
        <v>0</v>
      </c>
      <c r="N511" s="69" t="b">
        <f>IF(Tab.11[[#This Row],[a1]]=1,Tab.11[[#This Row],[data]]/(_xlfn.STDEV.P(Tab.11[data])*$B$988)+$A$988)</f>
        <v>0</v>
      </c>
      <c r="O511" s="70" t="b">
        <f>IF(Tab.11[[#This Row],[a1]]=1,_xlfn.NORM.DIST(Tab.11[[#This Row],[b8]],$P$1,$Q$1,FALSE))</f>
        <v>0</v>
      </c>
      <c r="P511" s="70" t="b">
        <f>IF(Tab.11[[#This Row],[a1]]=1,_xlfn.NORM.DIST(Tab.11[[#This Row],[b9]],$P$1,$Q$1,FALSE))</f>
        <v>0</v>
      </c>
      <c r="Q511" s="70" t="b">
        <f>IF(Tab.11[[#This Row],[a1]]=1,_xlfn.NORM.DIST(Tab.11[[#This Row],[b10]],$P$1,$Q$1,FALSE))</f>
        <v>0</v>
      </c>
      <c r="R511" s="67" t="b">
        <f>IF(Tab.11[[#This Row],[a1]]=1,$I$3+$A$989+IF($K$3=0,Tab.11[[#This Row],[b8]]*_xlfn.STDEV.P(Tab.11[data]),AVERAGE(Tab.11[b6])+Tab.11[[#This Row],[b8]]*_xlfn.STDEV.P(Tab.11[data])))</f>
        <v>0</v>
      </c>
      <c r="S511" s="71" t="b">
        <f>IF(Tab.11[[#This Row],[a1]]=1,$I$3+$A$987+IF($K$3=0,Tab.11[[#This Row],[b9]]*_xlfn.STDEV.P(Tab.11[data]),AVERAGE(Tab.11[b6])+Tab.11[[#This Row],[b9]]*_xlfn.STDEV.P(Tab.11[data])))</f>
        <v>0</v>
      </c>
      <c r="T511" s="71" t="b">
        <f>IF(Tab.11[[#This Row],[a1]]=1,$I$3+$A$988+IF($K$3=0,Tab.11[[#This Row],[b10]]*_xlfn.STDEV.P(Tab.11[data]),AVERAGE(Tab.11[b6])+Tab.11[[#This Row],[b10]]*_xlfn.STDEV.P(Tab.11[data])))</f>
        <v>0</v>
      </c>
      <c r="U511" s="72" t="b">
        <f>IF(Tab.11[[#This Row],[a1]]=1,Tab.11[[#This Row],[target]]-Tab.11[[#This Row],[Red]])</f>
        <v>0</v>
      </c>
      <c r="V511" s="72" t="b">
        <f>IF(Tab.11[[#This Row],[a1]]=1,Tab.11[[#This Row],[target]]-Tab.11[[#This Row],[Blue]])</f>
        <v>0</v>
      </c>
      <c r="W511" s="73" t="b">
        <f>IF(Tab.11[[#This Row],[a1]]=1,IF(ABS(Tab.11[[#This Row],[b17]])+ABS(Tab.11[[#This Row],[b18]])&lt;$W$2,$W$2,ABS(Tab.11[[#This Row],[b17]])+ABS(Tab.11[[#This Row],[b18]])))</f>
        <v>0</v>
      </c>
      <c r="X511" s="136" t="b">
        <f>IF(Tab.11[[#This Row],[a1]]=1,IF($W$3&lt;0,Tab.11[[#This Row],[IN]]-$I$3,Tab.11[[#This Row],[IN]]))</f>
        <v>0</v>
      </c>
      <c r="Y511" s="136" t="b">
        <f>IF(Tab.11[[#This Row],[a1]]=1,IF($X$3=0,Tab.11[b66],Tab.11[[#This Row],[b66]]-AVERAGE(Tab.11[b66])))</f>
        <v>0</v>
      </c>
      <c r="Z511" s="135" t="b">
        <f>IF(Tab.11[[#This Row],[a1]]=1,Tab.11[[#This Row],[b77]]/(_xlfn.STDEV.P(Tab.11[b77])))</f>
        <v>0</v>
      </c>
      <c r="AA511" s="70" t="b">
        <f>IF(Tab.11[[#This Row],[a1]]=1,_xlfn.NORM.DIST(Tab.11[[#This Row],[b88]],$Z$1,$AA$1,FALSE))</f>
        <v>0</v>
      </c>
      <c r="AB511" s="74" t="b">
        <f>IF(Tab.11[[#This Row],[a1]]=1,IF($A$3=0,FALSE,1/Tab.11[[#This Row],[IN]]*$AC$2*IF(Tab.11[[#This Row],[a1]]=0,,$A$3*$AC$1*1/$V$3*(Tab.11[[#This Row],[b14]]))))</f>
        <v>0</v>
      </c>
      <c r="AC511" s="75" t="b">
        <f>IF(Tab.11[[#This Row],[a1]]=1,IF($AC$3=0,Tab.11[[#This Row],[φ1]],Tab.11[[#This Row],[φ1]]/MAX(Tab.11[φ1])))</f>
        <v>0</v>
      </c>
      <c r="AD511" s="74" t="b">
        <f>IF(Tab.11[[#This Row],[a1]]=1,1/Tab.11[[#This Row],[φ2]])</f>
        <v>0</v>
      </c>
      <c r="AE511" s="74" t="b">
        <f>IF(Tab.11[[#This Row],[a1]]=1,IF($AE$3=0,Tab.11[[#This Row],[w.0]],Tab.11[[#This Row],[w.0]]/SUM(Tab.11[w.0])))</f>
        <v>0</v>
      </c>
      <c r="AF511" s="76" t="str">
        <f>IF(Tab.11[[#This Row],[a1]]=0,"false",[3]!Tab.x5[[#This Row],[%_seN_C]])</f>
        <v>false</v>
      </c>
      <c r="AG511" s="77" t="b">
        <f>IF(Tab.11[[#This Row],[a1]]=1,AP511)</f>
        <v>0</v>
      </c>
      <c r="AH511" s="78" t="b">
        <f>IF(Tab.11[[#This Row],[a1]]=1,AQ511)</f>
        <v>0</v>
      </c>
      <c r="AI511" s="41">
        <v>3.0000000000000001E-3</v>
      </c>
      <c r="AJ511" s="79">
        <v>-0.1</v>
      </c>
      <c r="AK511" s="80" t="b">
        <f>IF(Tab.11[[#This Row],[a1]]=1,1)</f>
        <v>0</v>
      </c>
      <c r="AZ511"/>
    </row>
    <row r="512" spans="1:52" hidden="1" x14ac:dyDescent="0.25">
      <c r="A512" s="61">
        <f t="shared" si="17"/>
        <v>0</v>
      </c>
      <c r="B512" s="62">
        <f t="shared" si="17"/>
        <v>0</v>
      </c>
      <c r="C512" s="62" t="b">
        <f>IF(Tab.11[[#This Row],[a1]]=1,[3]!Tab_x1[[#This Row],[Name]])</f>
        <v>0</v>
      </c>
      <c r="D512" s="63" t="b">
        <f>IF(Tab.11[[#This Row],[a1]]=1,AO512)</f>
        <v>0</v>
      </c>
      <c r="E512" s="63">
        <f t="shared" si="16"/>
        <v>0</v>
      </c>
      <c r="F512" s="64" t="b">
        <f>IF(Tab.11[[#This Row],[a1]]=1,Tab.11[[#This Row],[b1]])</f>
        <v>0</v>
      </c>
      <c r="G512" s="65" t="b">
        <f>IF(Tab.11[[#This Row],[a1]]=1,IF(Tab.11[[#This Row],[b3]]&gt;$L$989*$G$3,$L$989*$G$3,IF(Tab.11[[#This Row],[b3]]&lt;$M$989*$G$3,$M$989*$G$3,Tab.11[[#This Row],[b3]])))</f>
        <v>0</v>
      </c>
      <c r="H512" s="66" t="b">
        <f>IF(Tab.11[[#This Row],[a1]]=1,Tab.11[[#This Row],[b1]])</f>
        <v>0</v>
      </c>
      <c r="I512" s="67" t="b">
        <f>IF(Tab.11[[#This Row],[a1]]=1,Tab.11[[#This Row],[b1]])</f>
        <v>0</v>
      </c>
      <c r="J512" s="68" t="b">
        <f>IF(Tab.11[[#This Row],[a1]]=1,IF($I$3&lt;0,Tab.11[[#This Row],[b5]]-$I$3,Tab.11[[#This Row],[b5]]))</f>
        <v>0</v>
      </c>
      <c r="K512" s="68" t="b">
        <f>IF(Tab.11[[#This Row],[a1]]=1,IF($K$3=0,Tab.11[b6],Tab.11[[#This Row],[b6]]-AVERAGE(Tab.11[b6])))</f>
        <v>0</v>
      </c>
      <c r="L512" s="69" t="b">
        <f>IF(Tab.11[[#This Row],[a1]]=1,Tab.11[[#This Row],[data]]/(_xlfn.STDEV.P(Tab.11[data])*$B$989)+$A$989)</f>
        <v>0</v>
      </c>
      <c r="M512" s="69" t="b">
        <f>IF(Tab.11[[#This Row],[a1]]=1,Tab.11[[#This Row],[data]]/(_xlfn.STDEV.P(Tab.11[data])*$B$987)-$A$987)</f>
        <v>0</v>
      </c>
      <c r="N512" s="69" t="b">
        <f>IF(Tab.11[[#This Row],[a1]]=1,Tab.11[[#This Row],[data]]/(_xlfn.STDEV.P(Tab.11[data])*$B$988)+$A$988)</f>
        <v>0</v>
      </c>
      <c r="O512" s="70" t="b">
        <f>IF(Tab.11[[#This Row],[a1]]=1,_xlfn.NORM.DIST(Tab.11[[#This Row],[b8]],$P$1,$Q$1,FALSE))</f>
        <v>0</v>
      </c>
      <c r="P512" s="70" t="b">
        <f>IF(Tab.11[[#This Row],[a1]]=1,_xlfn.NORM.DIST(Tab.11[[#This Row],[b9]],$P$1,$Q$1,FALSE))</f>
        <v>0</v>
      </c>
      <c r="Q512" s="70" t="b">
        <f>IF(Tab.11[[#This Row],[a1]]=1,_xlfn.NORM.DIST(Tab.11[[#This Row],[b10]],$P$1,$Q$1,FALSE))</f>
        <v>0</v>
      </c>
      <c r="R512" s="67" t="b">
        <f>IF(Tab.11[[#This Row],[a1]]=1,$I$3+$A$989+IF($K$3=0,Tab.11[[#This Row],[b8]]*_xlfn.STDEV.P(Tab.11[data]),AVERAGE(Tab.11[b6])+Tab.11[[#This Row],[b8]]*_xlfn.STDEV.P(Tab.11[data])))</f>
        <v>0</v>
      </c>
      <c r="S512" s="71" t="b">
        <f>IF(Tab.11[[#This Row],[a1]]=1,$I$3+$A$987+IF($K$3=0,Tab.11[[#This Row],[b9]]*_xlfn.STDEV.P(Tab.11[data]),AVERAGE(Tab.11[b6])+Tab.11[[#This Row],[b9]]*_xlfn.STDEV.P(Tab.11[data])))</f>
        <v>0</v>
      </c>
      <c r="T512" s="71" t="b">
        <f>IF(Tab.11[[#This Row],[a1]]=1,$I$3+$A$988+IF($K$3=0,Tab.11[[#This Row],[b10]]*_xlfn.STDEV.P(Tab.11[data]),AVERAGE(Tab.11[b6])+Tab.11[[#This Row],[b10]]*_xlfn.STDEV.P(Tab.11[data])))</f>
        <v>0</v>
      </c>
      <c r="U512" s="72" t="b">
        <f>IF(Tab.11[[#This Row],[a1]]=1,Tab.11[[#This Row],[target]]-Tab.11[[#This Row],[Red]])</f>
        <v>0</v>
      </c>
      <c r="V512" s="72" t="b">
        <f>IF(Tab.11[[#This Row],[a1]]=1,Tab.11[[#This Row],[target]]-Tab.11[[#This Row],[Blue]])</f>
        <v>0</v>
      </c>
      <c r="W512" s="73" t="b">
        <f>IF(Tab.11[[#This Row],[a1]]=1,IF(ABS(Tab.11[[#This Row],[b17]])+ABS(Tab.11[[#This Row],[b18]])&lt;$W$2,$W$2,ABS(Tab.11[[#This Row],[b17]])+ABS(Tab.11[[#This Row],[b18]])))</f>
        <v>0</v>
      </c>
      <c r="X512" s="136" t="b">
        <f>IF(Tab.11[[#This Row],[a1]]=1,IF($W$3&lt;0,Tab.11[[#This Row],[IN]]-$I$3,Tab.11[[#This Row],[IN]]))</f>
        <v>0</v>
      </c>
      <c r="Y512" s="136" t="b">
        <f>IF(Tab.11[[#This Row],[a1]]=1,IF($X$3=0,Tab.11[b66],Tab.11[[#This Row],[b66]]-AVERAGE(Tab.11[b66])))</f>
        <v>0</v>
      </c>
      <c r="Z512" s="135" t="b">
        <f>IF(Tab.11[[#This Row],[a1]]=1,Tab.11[[#This Row],[b77]]/(_xlfn.STDEV.P(Tab.11[b77])))</f>
        <v>0</v>
      </c>
      <c r="AA512" s="70" t="b">
        <f>IF(Tab.11[[#This Row],[a1]]=1,_xlfn.NORM.DIST(Tab.11[[#This Row],[b88]],$Z$1,$AA$1,FALSE))</f>
        <v>0</v>
      </c>
      <c r="AB512" s="74" t="b">
        <f>IF(Tab.11[[#This Row],[a1]]=1,IF($A$3=0,FALSE,1/Tab.11[[#This Row],[IN]]*$AC$2*IF(Tab.11[[#This Row],[a1]]=0,,$A$3*$AC$1*1/$V$3*(Tab.11[[#This Row],[b14]]))))</f>
        <v>0</v>
      </c>
      <c r="AC512" s="75" t="b">
        <f>IF(Tab.11[[#This Row],[a1]]=1,IF($AC$3=0,Tab.11[[#This Row],[φ1]],Tab.11[[#This Row],[φ1]]/MAX(Tab.11[φ1])))</f>
        <v>0</v>
      </c>
      <c r="AD512" s="74" t="b">
        <f>IF(Tab.11[[#This Row],[a1]]=1,1/Tab.11[[#This Row],[φ2]])</f>
        <v>0</v>
      </c>
      <c r="AE512" s="74" t="b">
        <f>IF(Tab.11[[#This Row],[a1]]=1,IF($AE$3=0,Tab.11[[#This Row],[w.0]],Tab.11[[#This Row],[w.0]]/SUM(Tab.11[w.0])))</f>
        <v>0</v>
      </c>
      <c r="AF512" s="76" t="str">
        <f>IF(Tab.11[[#This Row],[a1]]=0,"false",[3]!Tab.x5[[#This Row],[%_seN_C]])</f>
        <v>false</v>
      </c>
      <c r="AG512" s="77" t="b">
        <f>IF(Tab.11[[#This Row],[a1]]=1,AP512)</f>
        <v>0</v>
      </c>
      <c r="AH512" s="78" t="b">
        <f>IF(Tab.11[[#This Row],[a1]]=1,AQ512)</f>
        <v>0</v>
      </c>
      <c r="AI512" s="41">
        <v>3.0000000000000001E-3</v>
      </c>
      <c r="AJ512" s="79">
        <v>-0.05</v>
      </c>
      <c r="AK512" s="80" t="b">
        <f>IF(Tab.11[[#This Row],[a1]]=1,1)</f>
        <v>0</v>
      </c>
      <c r="AZ512"/>
    </row>
    <row r="513" spans="1:52" hidden="1" x14ac:dyDescent="0.25">
      <c r="A513" s="61">
        <f t="shared" si="17"/>
        <v>0</v>
      </c>
      <c r="B513" s="62">
        <f t="shared" si="17"/>
        <v>0</v>
      </c>
      <c r="C513" s="62" t="b">
        <f>IF(Tab.11[[#This Row],[a1]]=1,[3]!Tab_x1[[#This Row],[Name]])</f>
        <v>0</v>
      </c>
      <c r="D513" s="63" t="b">
        <f>IF(Tab.11[[#This Row],[a1]]=1,AO513)</f>
        <v>0</v>
      </c>
      <c r="E513" s="63">
        <f t="shared" si="16"/>
        <v>0</v>
      </c>
      <c r="F513" s="64" t="b">
        <f>IF(Tab.11[[#This Row],[a1]]=1,Tab.11[[#This Row],[b1]])</f>
        <v>0</v>
      </c>
      <c r="G513" s="65" t="b">
        <f>IF(Tab.11[[#This Row],[a1]]=1,IF(Tab.11[[#This Row],[b3]]&gt;$L$989*$G$3,$L$989*$G$3,IF(Tab.11[[#This Row],[b3]]&lt;$M$989*$G$3,$M$989*$G$3,Tab.11[[#This Row],[b3]])))</f>
        <v>0</v>
      </c>
      <c r="H513" s="66" t="b">
        <f>IF(Tab.11[[#This Row],[a1]]=1,Tab.11[[#This Row],[b1]])</f>
        <v>0</v>
      </c>
      <c r="I513" s="67" t="b">
        <f>IF(Tab.11[[#This Row],[a1]]=1,Tab.11[[#This Row],[b1]])</f>
        <v>0</v>
      </c>
      <c r="J513" s="68" t="b">
        <f>IF(Tab.11[[#This Row],[a1]]=1,IF($I$3&lt;0,Tab.11[[#This Row],[b5]]-$I$3,Tab.11[[#This Row],[b5]]))</f>
        <v>0</v>
      </c>
      <c r="K513" s="68" t="b">
        <f>IF(Tab.11[[#This Row],[a1]]=1,IF($K$3=0,Tab.11[b6],Tab.11[[#This Row],[b6]]-AVERAGE(Tab.11[b6])))</f>
        <v>0</v>
      </c>
      <c r="L513" s="69" t="b">
        <f>IF(Tab.11[[#This Row],[a1]]=1,Tab.11[[#This Row],[data]]/(_xlfn.STDEV.P(Tab.11[data])*$B$989)+$A$989)</f>
        <v>0</v>
      </c>
      <c r="M513" s="69" t="b">
        <f>IF(Tab.11[[#This Row],[a1]]=1,Tab.11[[#This Row],[data]]/(_xlfn.STDEV.P(Tab.11[data])*$B$987)-$A$987)</f>
        <v>0</v>
      </c>
      <c r="N513" s="69" t="b">
        <f>IF(Tab.11[[#This Row],[a1]]=1,Tab.11[[#This Row],[data]]/(_xlfn.STDEV.P(Tab.11[data])*$B$988)+$A$988)</f>
        <v>0</v>
      </c>
      <c r="O513" s="70" t="b">
        <f>IF(Tab.11[[#This Row],[a1]]=1,_xlfn.NORM.DIST(Tab.11[[#This Row],[b8]],$P$1,$Q$1,FALSE))</f>
        <v>0</v>
      </c>
      <c r="P513" s="70" t="b">
        <f>IF(Tab.11[[#This Row],[a1]]=1,_xlfn.NORM.DIST(Tab.11[[#This Row],[b9]],$P$1,$Q$1,FALSE))</f>
        <v>0</v>
      </c>
      <c r="Q513" s="70" t="b">
        <f>IF(Tab.11[[#This Row],[a1]]=1,_xlfn.NORM.DIST(Tab.11[[#This Row],[b10]],$P$1,$Q$1,FALSE))</f>
        <v>0</v>
      </c>
      <c r="R513" s="67" t="b">
        <f>IF(Tab.11[[#This Row],[a1]]=1,$I$3+$A$989+IF($K$3=0,Tab.11[[#This Row],[b8]]*_xlfn.STDEV.P(Tab.11[data]),AVERAGE(Tab.11[b6])+Tab.11[[#This Row],[b8]]*_xlfn.STDEV.P(Tab.11[data])))</f>
        <v>0</v>
      </c>
      <c r="S513" s="71" t="b">
        <f>IF(Tab.11[[#This Row],[a1]]=1,$I$3+$A$987+IF($K$3=0,Tab.11[[#This Row],[b9]]*_xlfn.STDEV.P(Tab.11[data]),AVERAGE(Tab.11[b6])+Tab.11[[#This Row],[b9]]*_xlfn.STDEV.P(Tab.11[data])))</f>
        <v>0</v>
      </c>
      <c r="T513" s="71" t="b">
        <f>IF(Tab.11[[#This Row],[a1]]=1,$I$3+$A$988+IF($K$3=0,Tab.11[[#This Row],[b10]]*_xlfn.STDEV.P(Tab.11[data]),AVERAGE(Tab.11[b6])+Tab.11[[#This Row],[b10]]*_xlfn.STDEV.P(Tab.11[data])))</f>
        <v>0</v>
      </c>
      <c r="U513" s="72" t="b">
        <f>IF(Tab.11[[#This Row],[a1]]=1,Tab.11[[#This Row],[target]]-Tab.11[[#This Row],[Red]])</f>
        <v>0</v>
      </c>
      <c r="V513" s="72" t="b">
        <f>IF(Tab.11[[#This Row],[a1]]=1,Tab.11[[#This Row],[target]]-Tab.11[[#This Row],[Blue]])</f>
        <v>0</v>
      </c>
      <c r="W513" s="73" t="b">
        <f>IF(Tab.11[[#This Row],[a1]]=1,IF(ABS(Tab.11[[#This Row],[b17]])+ABS(Tab.11[[#This Row],[b18]])&lt;$W$2,$W$2,ABS(Tab.11[[#This Row],[b17]])+ABS(Tab.11[[#This Row],[b18]])))</f>
        <v>0</v>
      </c>
      <c r="X513" s="136" t="b">
        <f>IF(Tab.11[[#This Row],[a1]]=1,IF($W$3&lt;0,Tab.11[[#This Row],[IN]]-$I$3,Tab.11[[#This Row],[IN]]))</f>
        <v>0</v>
      </c>
      <c r="Y513" s="136" t="b">
        <f>IF(Tab.11[[#This Row],[a1]]=1,IF($X$3=0,Tab.11[b66],Tab.11[[#This Row],[b66]]-AVERAGE(Tab.11[b66])))</f>
        <v>0</v>
      </c>
      <c r="Z513" s="135" t="b">
        <f>IF(Tab.11[[#This Row],[a1]]=1,Tab.11[[#This Row],[b77]]/(_xlfn.STDEV.P(Tab.11[b77])))</f>
        <v>0</v>
      </c>
      <c r="AA513" s="70" t="b">
        <f>IF(Tab.11[[#This Row],[a1]]=1,_xlfn.NORM.DIST(Tab.11[[#This Row],[b88]],$Z$1,$AA$1,FALSE))</f>
        <v>0</v>
      </c>
      <c r="AB513" s="74" t="b">
        <f>IF(Tab.11[[#This Row],[a1]]=1,IF($A$3=0,FALSE,1/Tab.11[[#This Row],[IN]]*$AC$2*IF(Tab.11[[#This Row],[a1]]=0,,$A$3*$AC$1*1/$V$3*(Tab.11[[#This Row],[b14]]))))</f>
        <v>0</v>
      </c>
      <c r="AC513" s="75" t="b">
        <f>IF(Tab.11[[#This Row],[a1]]=1,IF($AC$3=0,Tab.11[[#This Row],[φ1]],Tab.11[[#This Row],[φ1]]/MAX(Tab.11[φ1])))</f>
        <v>0</v>
      </c>
      <c r="AD513" s="74" t="b">
        <f>IF(Tab.11[[#This Row],[a1]]=1,1/Tab.11[[#This Row],[φ2]])</f>
        <v>0</v>
      </c>
      <c r="AE513" s="74" t="b">
        <f>IF(Tab.11[[#This Row],[a1]]=1,IF($AE$3=0,Tab.11[[#This Row],[w.0]],Tab.11[[#This Row],[w.0]]/SUM(Tab.11[w.0])))</f>
        <v>0</v>
      </c>
      <c r="AF513" s="76" t="str">
        <f>IF(Tab.11[[#This Row],[a1]]=0,"false",[3]!Tab.x5[[#This Row],[%_seN_C]])</f>
        <v>false</v>
      </c>
      <c r="AG513" s="77" t="b">
        <f>IF(Tab.11[[#This Row],[a1]]=1,AP513)</f>
        <v>0</v>
      </c>
      <c r="AH513" s="78" t="b">
        <f>IF(Tab.11[[#This Row],[a1]]=1,AQ513)</f>
        <v>0</v>
      </c>
      <c r="AI513" s="41">
        <v>3.0000000000000001E-3</v>
      </c>
      <c r="AJ513" s="79">
        <v>0.1</v>
      </c>
      <c r="AK513" s="80" t="b">
        <f>IF(Tab.11[[#This Row],[a1]]=1,1)</f>
        <v>0</v>
      </c>
      <c r="AZ513"/>
    </row>
    <row r="514" spans="1:52" hidden="1" x14ac:dyDescent="0.25">
      <c r="A514" s="61">
        <f t="shared" si="17"/>
        <v>0</v>
      </c>
      <c r="B514" s="62">
        <f t="shared" si="17"/>
        <v>0</v>
      </c>
      <c r="C514" s="62" t="b">
        <f>IF(Tab.11[[#This Row],[a1]]=1,[3]!Tab_x1[[#This Row],[Name]])</f>
        <v>0</v>
      </c>
      <c r="D514" s="63" t="b">
        <f>IF(Tab.11[[#This Row],[a1]]=1,AO514)</f>
        <v>0</v>
      </c>
      <c r="E514" s="63">
        <f t="shared" si="16"/>
        <v>0</v>
      </c>
      <c r="F514" s="64" t="b">
        <f>IF(Tab.11[[#This Row],[a1]]=1,Tab.11[[#This Row],[b1]])</f>
        <v>0</v>
      </c>
      <c r="G514" s="65" t="b">
        <f>IF(Tab.11[[#This Row],[a1]]=1,IF(Tab.11[[#This Row],[b3]]&gt;$L$989*$G$3,$L$989*$G$3,IF(Tab.11[[#This Row],[b3]]&lt;$M$989*$G$3,$M$989*$G$3,Tab.11[[#This Row],[b3]])))</f>
        <v>0</v>
      </c>
      <c r="H514" s="66" t="b">
        <f>IF(Tab.11[[#This Row],[a1]]=1,Tab.11[[#This Row],[b1]])</f>
        <v>0</v>
      </c>
      <c r="I514" s="67" t="b">
        <f>IF(Tab.11[[#This Row],[a1]]=1,Tab.11[[#This Row],[b1]])</f>
        <v>0</v>
      </c>
      <c r="J514" s="68" t="b">
        <f>IF(Tab.11[[#This Row],[a1]]=1,IF($I$3&lt;0,Tab.11[[#This Row],[b5]]-$I$3,Tab.11[[#This Row],[b5]]))</f>
        <v>0</v>
      </c>
      <c r="K514" s="68" t="b">
        <f>IF(Tab.11[[#This Row],[a1]]=1,IF($K$3=0,Tab.11[b6],Tab.11[[#This Row],[b6]]-AVERAGE(Tab.11[b6])))</f>
        <v>0</v>
      </c>
      <c r="L514" s="69" t="b">
        <f>IF(Tab.11[[#This Row],[a1]]=1,Tab.11[[#This Row],[data]]/(_xlfn.STDEV.P(Tab.11[data])*$B$989)+$A$989)</f>
        <v>0</v>
      </c>
      <c r="M514" s="69" t="b">
        <f>IF(Tab.11[[#This Row],[a1]]=1,Tab.11[[#This Row],[data]]/(_xlfn.STDEV.P(Tab.11[data])*$B$987)-$A$987)</f>
        <v>0</v>
      </c>
      <c r="N514" s="69" t="b">
        <f>IF(Tab.11[[#This Row],[a1]]=1,Tab.11[[#This Row],[data]]/(_xlfn.STDEV.P(Tab.11[data])*$B$988)+$A$988)</f>
        <v>0</v>
      </c>
      <c r="O514" s="70" t="b">
        <f>IF(Tab.11[[#This Row],[a1]]=1,_xlfn.NORM.DIST(Tab.11[[#This Row],[b8]],$P$1,$Q$1,FALSE))</f>
        <v>0</v>
      </c>
      <c r="P514" s="70" t="b">
        <f>IF(Tab.11[[#This Row],[a1]]=1,_xlfn.NORM.DIST(Tab.11[[#This Row],[b9]],$P$1,$Q$1,FALSE))</f>
        <v>0</v>
      </c>
      <c r="Q514" s="70" t="b">
        <f>IF(Tab.11[[#This Row],[a1]]=1,_xlfn.NORM.DIST(Tab.11[[#This Row],[b10]],$P$1,$Q$1,FALSE))</f>
        <v>0</v>
      </c>
      <c r="R514" s="67" t="b">
        <f>IF(Tab.11[[#This Row],[a1]]=1,$I$3+$A$989+IF($K$3=0,Tab.11[[#This Row],[b8]]*_xlfn.STDEV.P(Tab.11[data]),AVERAGE(Tab.11[b6])+Tab.11[[#This Row],[b8]]*_xlfn.STDEV.P(Tab.11[data])))</f>
        <v>0</v>
      </c>
      <c r="S514" s="71" t="b">
        <f>IF(Tab.11[[#This Row],[a1]]=1,$I$3+$A$987+IF($K$3=0,Tab.11[[#This Row],[b9]]*_xlfn.STDEV.P(Tab.11[data]),AVERAGE(Tab.11[b6])+Tab.11[[#This Row],[b9]]*_xlfn.STDEV.P(Tab.11[data])))</f>
        <v>0</v>
      </c>
      <c r="T514" s="71" t="b">
        <f>IF(Tab.11[[#This Row],[a1]]=1,$I$3+$A$988+IF($K$3=0,Tab.11[[#This Row],[b10]]*_xlfn.STDEV.P(Tab.11[data]),AVERAGE(Tab.11[b6])+Tab.11[[#This Row],[b10]]*_xlfn.STDEV.P(Tab.11[data])))</f>
        <v>0</v>
      </c>
      <c r="U514" s="72" t="b">
        <f>IF(Tab.11[[#This Row],[a1]]=1,Tab.11[[#This Row],[target]]-Tab.11[[#This Row],[Red]])</f>
        <v>0</v>
      </c>
      <c r="V514" s="72" t="b">
        <f>IF(Tab.11[[#This Row],[a1]]=1,Tab.11[[#This Row],[target]]-Tab.11[[#This Row],[Blue]])</f>
        <v>0</v>
      </c>
      <c r="W514" s="73" t="b">
        <f>IF(Tab.11[[#This Row],[a1]]=1,IF(ABS(Tab.11[[#This Row],[b17]])+ABS(Tab.11[[#This Row],[b18]])&lt;$W$2,$W$2,ABS(Tab.11[[#This Row],[b17]])+ABS(Tab.11[[#This Row],[b18]])))</f>
        <v>0</v>
      </c>
      <c r="X514" s="136" t="b">
        <f>IF(Tab.11[[#This Row],[a1]]=1,IF($W$3&lt;0,Tab.11[[#This Row],[IN]]-$I$3,Tab.11[[#This Row],[IN]]))</f>
        <v>0</v>
      </c>
      <c r="Y514" s="136" t="b">
        <f>IF(Tab.11[[#This Row],[a1]]=1,IF($X$3=0,Tab.11[b66],Tab.11[[#This Row],[b66]]-AVERAGE(Tab.11[b66])))</f>
        <v>0</v>
      </c>
      <c r="Z514" s="135" t="b">
        <f>IF(Tab.11[[#This Row],[a1]]=1,Tab.11[[#This Row],[b77]]/(_xlfn.STDEV.P(Tab.11[b77])))</f>
        <v>0</v>
      </c>
      <c r="AA514" s="70" t="b">
        <f>IF(Tab.11[[#This Row],[a1]]=1,_xlfn.NORM.DIST(Tab.11[[#This Row],[b88]],$Z$1,$AA$1,FALSE))</f>
        <v>0</v>
      </c>
      <c r="AB514" s="74" t="b">
        <f>IF(Tab.11[[#This Row],[a1]]=1,IF($A$3=0,FALSE,1/Tab.11[[#This Row],[IN]]*$AC$2*IF(Tab.11[[#This Row],[a1]]=0,,$A$3*$AC$1*1/$V$3*(Tab.11[[#This Row],[b14]]))))</f>
        <v>0</v>
      </c>
      <c r="AC514" s="75" t="b">
        <f>IF(Tab.11[[#This Row],[a1]]=1,IF($AC$3=0,Tab.11[[#This Row],[φ1]],Tab.11[[#This Row],[φ1]]/MAX(Tab.11[φ1])))</f>
        <v>0</v>
      </c>
      <c r="AD514" s="74" t="b">
        <f>IF(Tab.11[[#This Row],[a1]]=1,1/Tab.11[[#This Row],[φ2]])</f>
        <v>0</v>
      </c>
      <c r="AE514" s="74" t="b">
        <f>IF(Tab.11[[#This Row],[a1]]=1,IF($AE$3=0,Tab.11[[#This Row],[w.0]],Tab.11[[#This Row],[w.0]]/SUM(Tab.11[w.0])))</f>
        <v>0</v>
      </c>
      <c r="AF514" s="76" t="str">
        <f>IF(Tab.11[[#This Row],[a1]]=0,"false",[3]!Tab.x5[[#This Row],[%_seN_C]])</f>
        <v>false</v>
      </c>
      <c r="AG514" s="77" t="b">
        <f>IF(Tab.11[[#This Row],[a1]]=1,AP514)</f>
        <v>0</v>
      </c>
      <c r="AH514" s="78" t="b">
        <f>IF(Tab.11[[#This Row],[a1]]=1,AQ514)</f>
        <v>0</v>
      </c>
      <c r="AI514" s="41">
        <v>3.0000000000000001E-3</v>
      </c>
      <c r="AJ514" s="79">
        <v>-0.1</v>
      </c>
      <c r="AK514" s="80" t="b">
        <f>IF(Tab.11[[#This Row],[a1]]=1,1)</f>
        <v>0</v>
      </c>
      <c r="AZ514"/>
    </row>
    <row r="515" spans="1:52" hidden="1" x14ac:dyDescent="0.25">
      <c r="A515" s="61">
        <f t="shared" si="17"/>
        <v>0</v>
      </c>
      <c r="B515" s="62">
        <f t="shared" si="17"/>
        <v>0</v>
      </c>
      <c r="C515" s="62" t="b">
        <f>IF(Tab.11[[#This Row],[a1]]=1,[3]!Tab_x1[[#This Row],[Name]])</f>
        <v>0</v>
      </c>
      <c r="D515" s="63" t="b">
        <f>IF(Tab.11[[#This Row],[a1]]=1,AO515)</f>
        <v>0</v>
      </c>
      <c r="E515" s="63">
        <f t="shared" si="16"/>
        <v>0</v>
      </c>
      <c r="F515" s="64" t="b">
        <f>IF(Tab.11[[#This Row],[a1]]=1,Tab.11[[#This Row],[b1]])</f>
        <v>0</v>
      </c>
      <c r="G515" s="65" t="b">
        <f>IF(Tab.11[[#This Row],[a1]]=1,IF(Tab.11[[#This Row],[b3]]&gt;$L$989*$G$3,$L$989*$G$3,IF(Tab.11[[#This Row],[b3]]&lt;$M$989*$G$3,$M$989*$G$3,Tab.11[[#This Row],[b3]])))</f>
        <v>0</v>
      </c>
      <c r="H515" s="66" t="b">
        <f>IF(Tab.11[[#This Row],[a1]]=1,Tab.11[[#This Row],[b1]])</f>
        <v>0</v>
      </c>
      <c r="I515" s="67" t="b">
        <f>IF(Tab.11[[#This Row],[a1]]=1,Tab.11[[#This Row],[b1]])</f>
        <v>0</v>
      </c>
      <c r="J515" s="68" t="b">
        <f>IF(Tab.11[[#This Row],[a1]]=1,IF($I$3&lt;0,Tab.11[[#This Row],[b5]]-$I$3,Tab.11[[#This Row],[b5]]))</f>
        <v>0</v>
      </c>
      <c r="K515" s="68" t="b">
        <f>IF(Tab.11[[#This Row],[a1]]=1,IF($K$3=0,Tab.11[b6],Tab.11[[#This Row],[b6]]-AVERAGE(Tab.11[b6])))</f>
        <v>0</v>
      </c>
      <c r="L515" s="69" t="b">
        <f>IF(Tab.11[[#This Row],[a1]]=1,Tab.11[[#This Row],[data]]/(_xlfn.STDEV.P(Tab.11[data])*$B$989)+$A$989)</f>
        <v>0</v>
      </c>
      <c r="M515" s="69" t="b">
        <f>IF(Tab.11[[#This Row],[a1]]=1,Tab.11[[#This Row],[data]]/(_xlfn.STDEV.P(Tab.11[data])*$B$987)-$A$987)</f>
        <v>0</v>
      </c>
      <c r="N515" s="69" t="b">
        <f>IF(Tab.11[[#This Row],[a1]]=1,Tab.11[[#This Row],[data]]/(_xlfn.STDEV.P(Tab.11[data])*$B$988)+$A$988)</f>
        <v>0</v>
      </c>
      <c r="O515" s="70" t="b">
        <f>IF(Tab.11[[#This Row],[a1]]=1,_xlfn.NORM.DIST(Tab.11[[#This Row],[b8]],$P$1,$Q$1,FALSE))</f>
        <v>0</v>
      </c>
      <c r="P515" s="70" t="b">
        <f>IF(Tab.11[[#This Row],[a1]]=1,_xlfn.NORM.DIST(Tab.11[[#This Row],[b9]],$P$1,$Q$1,FALSE))</f>
        <v>0</v>
      </c>
      <c r="Q515" s="70" t="b">
        <f>IF(Tab.11[[#This Row],[a1]]=1,_xlfn.NORM.DIST(Tab.11[[#This Row],[b10]],$P$1,$Q$1,FALSE))</f>
        <v>0</v>
      </c>
      <c r="R515" s="67" t="b">
        <f>IF(Tab.11[[#This Row],[a1]]=1,$I$3+$A$989+IF($K$3=0,Tab.11[[#This Row],[b8]]*_xlfn.STDEV.P(Tab.11[data]),AVERAGE(Tab.11[b6])+Tab.11[[#This Row],[b8]]*_xlfn.STDEV.P(Tab.11[data])))</f>
        <v>0</v>
      </c>
      <c r="S515" s="71" t="b">
        <f>IF(Tab.11[[#This Row],[a1]]=1,$I$3+$A$987+IF($K$3=0,Tab.11[[#This Row],[b9]]*_xlfn.STDEV.P(Tab.11[data]),AVERAGE(Tab.11[b6])+Tab.11[[#This Row],[b9]]*_xlfn.STDEV.P(Tab.11[data])))</f>
        <v>0</v>
      </c>
      <c r="T515" s="71" t="b">
        <f>IF(Tab.11[[#This Row],[a1]]=1,$I$3+$A$988+IF($K$3=0,Tab.11[[#This Row],[b10]]*_xlfn.STDEV.P(Tab.11[data]),AVERAGE(Tab.11[b6])+Tab.11[[#This Row],[b10]]*_xlfn.STDEV.P(Tab.11[data])))</f>
        <v>0</v>
      </c>
      <c r="U515" s="72" t="b">
        <f>IF(Tab.11[[#This Row],[a1]]=1,Tab.11[[#This Row],[target]]-Tab.11[[#This Row],[Red]])</f>
        <v>0</v>
      </c>
      <c r="V515" s="72" t="b">
        <f>IF(Tab.11[[#This Row],[a1]]=1,Tab.11[[#This Row],[target]]-Tab.11[[#This Row],[Blue]])</f>
        <v>0</v>
      </c>
      <c r="W515" s="73" t="b">
        <f>IF(Tab.11[[#This Row],[a1]]=1,IF(ABS(Tab.11[[#This Row],[b17]])+ABS(Tab.11[[#This Row],[b18]])&lt;$W$2,$W$2,ABS(Tab.11[[#This Row],[b17]])+ABS(Tab.11[[#This Row],[b18]])))</f>
        <v>0</v>
      </c>
      <c r="X515" s="136" t="b">
        <f>IF(Tab.11[[#This Row],[a1]]=1,IF($W$3&lt;0,Tab.11[[#This Row],[IN]]-$I$3,Tab.11[[#This Row],[IN]]))</f>
        <v>0</v>
      </c>
      <c r="Y515" s="136" t="b">
        <f>IF(Tab.11[[#This Row],[a1]]=1,IF($X$3=0,Tab.11[b66],Tab.11[[#This Row],[b66]]-AVERAGE(Tab.11[b66])))</f>
        <v>0</v>
      </c>
      <c r="Z515" s="135" t="b">
        <f>IF(Tab.11[[#This Row],[a1]]=1,Tab.11[[#This Row],[b77]]/(_xlfn.STDEV.P(Tab.11[b77])))</f>
        <v>0</v>
      </c>
      <c r="AA515" s="70" t="b">
        <f>IF(Tab.11[[#This Row],[a1]]=1,_xlfn.NORM.DIST(Tab.11[[#This Row],[b88]],$Z$1,$AA$1,FALSE))</f>
        <v>0</v>
      </c>
      <c r="AB515" s="74" t="b">
        <f>IF(Tab.11[[#This Row],[a1]]=1,IF($A$3=0,FALSE,1/Tab.11[[#This Row],[IN]]*$AC$2*IF(Tab.11[[#This Row],[a1]]=0,,$A$3*$AC$1*1/$V$3*(Tab.11[[#This Row],[b14]]))))</f>
        <v>0</v>
      </c>
      <c r="AC515" s="75" t="b">
        <f>IF(Tab.11[[#This Row],[a1]]=1,IF($AC$3=0,Tab.11[[#This Row],[φ1]],Tab.11[[#This Row],[φ1]]/MAX(Tab.11[φ1])))</f>
        <v>0</v>
      </c>
      <c r="AD515" s="74" t="b">
        <f>IF(Tab.11[[#This Row],[a1]]=1,1/Tab.11[[#This Row],[φ2]])</f>
        <v>0</v>
      </c>
      <c r="AE515" s="74" t="b">
        <f>IF(Tab.11[[#This Row],[a1]]=1,IF($AE$3=0,Tab.11[[#This Row],[w.0]],Tab.11[[#This Row],[w.0]]/SUM(Tab.11[w.0])))</f>
        <v>0</v>
      </c>
      <c r="AF515" s="76" t="str">
        <f>IF(Tab.11[[#This Row],[a1]]=0,"false",[3]!Tab.x5[[#This Row],[%_seN_C]])</f>
        <v>false</v>
      </c>
      <c r="AG515" s="77" t="b">
        <f>IF(Tab.11[[#This Row],[a1]]=1,AP515)</f>
        <v>0</v>
      </c>
      <c r="AH515" s="78" t="b">
        <f>IF(Tab.11[[#This Row],[a1]]=1,AQ515)</f>
        <v>0</v>
      </c>
      <c r="AI515" s="41">
        <v>3.0000000000000001E-3</v>
      </c>
      <c r="AJ515" s="79">
        <v>0.01</v>
      </c>
      <c r="AK515" s="80" t="b">
        <f>IF(Tab.11[[#This Row],[a1]]=1,1)</f>
        <v>0</v>
      </c>
      <c r="AZ515"/>
    </row>
    <row r="516" spans="1:52" hidden="1" x14ac:dyDescent="0.25">
      <c r="A516" s="61">
        <f t="shared" si="17"/>
        <v>0</v>
      </c>
      <c r="B516" s="62">
        <f t="shared" si="17"/>
        <v>0</v>
      </c>
      <c r="C516" s="62" t="b">
        <f>IF(Tab.11[[#This Row],[a1]]=1,[3]!Tab_x1[[#This Row],[Name]])</f>
        <v>0</v>
      </c>
      <c r="D516" s="63" t="b">
        <f>IF(Tab.11[[#This Row],[a1]]=1,AO516)</f>
        <v>0</v>
      </c>
      <c r="E516" s="63">
        <f t="shared" si="16"/>
        <v>0</v>
      </c>
      <c r="F516" s="64" t="b">
        <f>IF(Tab.11[[#This Row],[a1]]=1,Tab.11[[#This Row],[b1]])</f>
        <v>0</v>
      </c>
      <c r="G516" s="65" t="b">
        <f>IF(Tab.11[[#This Row],[a1]]=1,IF(Tab.11[[#This Row],[b3]]&gt;$L$989*$G$3,$L$989*$G$3,IF(Tab.11[[#This Row],[b3]]&lt;$M$989*$G$3,$M$989*$G$3,Tab.11[[#This Row],[b3]])))</f>
        <v>0</v>
      </c>
      <c r="H516" s="66" t="b">
        <f>IF(Tab.11[[#This Row],[a1]]=1,Tab.11[[#This Row],[b1]])</f>
        <v>0</v>
      </c>
      <c r="I516" s="67" t="b">
        <f>IF(Tab.11[[#This Row],[a1]]=1,Tab.11[[#This Row],[b1]])</f>
        <v>0</v>
      </c>
      <c r="J516" s="68" t="b">
        <f>IF(Tab.11[[#This Row],[a1]]=1,IF($I$3&lt;0,Tab.11[[#This Row],[b5]]-$I$3,Tab.11[[#This Row],[b5]]))</f>
        <v>0</v>
      </c>
      <c r="K516" s="68" t="b">
        <f>IF(Tab.11[[#This Row],[a1]]=1,IF($K$3=0,Tab.11[b6],Tab.11[[#This Row],[b6]]-AVERAGE(Tab.11[b6])))</f>
        <v>0</v>
      </c>
      <c r="L516" s="69" t="b">
        <f>IF(Tab.11[[#This Row],[a1]]=1,Tab.11[[#This Row],[data]]/(_xlfn.STDEV.P(Tab.11[data])*$B$989)+$A$989)</f>
        <v>0</v>
      </c>
      <c r="M516" s="69" t="b">
        <f>IF(Tab.11[[#This Row],[a1]]=1,Tab.11[[#This Row],[data]]/(_xlfn.STDEV.P(Tab.11[data])*$B$987)-$A$987)</f>
        <v>0</v>
      </c>
      <c r="N516" s="69" t="b">
        <f>IF(Tab.11[[#This Row],[a1]]=1,Tab.11[[#This Row],[data]]/(_xlfn.STDEV.P(Tab.11[data])*$B$988)+$A$988)</f>
        <v>0</v>
      </c>
      <c r="O516" s="70" t="b">
        <f>IF(Tab.11[[#This Row],[a1]]=1,_xlfn.NORM.DIST(Tab.11[[#This Row],[b8]],$P$1,$Q$1,FALSE))</f>
        <v>0</v>
      </c>
      <c r="P516" s="70" t="b">
        <f>IF(Tab.11[[#This Row],[a1]]=1,_xlfn.NORM.DIST(Tab.11[[#This Row],[b9]],$P$1,$Q$1,FALSE))</f>
        <v>0</v>
      </c>
      <c r="Q516" s="70" t="b">
        <f>IF(Tab.11[[#This Row],[a1]]=1,_xlfn.NORM.DIST(Tab.11[[#This Row],[b10]],$P$1,$Q$1,FALSE))</f>
        <v>0</v>
      </c>
      <c r="R516" s="67" t="b">
        <f>IF(Tab.11[[#This Row],[a1]]=1,$I$3+$A$989+IF($K$3=0,Tab.11[[#This Row],[b8]]*_xlfn.STDEV.P(Tab.11[data]),AVERAGE(Tab.11[b6])+Tab.11[[#This Row],[b8]]*_xlfn.STDEV.P(Tab.11[data])))</f>
        <v>0</v>
      </c>
      <c r="S516" s="71" t="b">
        <f>IF(Tab.11[[#This Row],[a1]]=1,$I$3+$A$987+IF($K$3=0,Tab.11[[#This Row],[b9]]*_xlfn.STDEV.P(Tab.11[data]),AVERAGE(Tab.11[b6])+Tab.11[[#This Row],[b9]]*_xlfn.STDEV.P(Tab.11[data])))</f>
        <v>0</v>
      </c>
      <c r="T516" s="71" t="b">
        <f>IF(Tab.11[[#This Row],[a1]]=1,$I$3+$A$988+IF($K$3=0,Tab.11[[#This Row],[b10]]*_xlfn.STDEV.P(Tab.11[data]),AVERAGE(Tab.11[b6])+Tab.11[[#This Row],[b10]]*_xlfn.STDEV.P(Tab.11[data])))</f>
        <v>0</v>
      </c>
      <c r="U516" s="72" t="b">
        <f>IF(Tab.11[[#This Row],[a1]]=1,Tab.11[[#This Row],[target]]-Tab.11[[#This Row],[Red]])</f>
        <v>0</v>
      </c>
      <c r="V516" s="72" t="b">
        <f>IF(Tab.11[[#This Row],[a1]]=1,Tab.11[[#This Row],[target]]-Tab.11[[#This Row],[Blue]])</f>
        <v>0</v>
      </c>
      <c r="W516" s="73" t="b">
        <f>IF(Tab.11[[#This Row],[a1]]=1,IF(ABS(Tab.11[[#This Row],[b17]])+ABS(Tab.11[[#This Row],[b18]])&lt;$W$2,$W$2,ABS(Tab.11[[#This Row],[b17]])+ABS(Tab.11[[#This Row],[b18]])))</f>
        <v>0</v>
      </c>
      <c r="X516" s="136" t="b">
        <f>IF(Tab.11[[#This Row],[a1]]=1,IF($W$3&lt;0,Tab.11[[#This Row],[IN]]-$I$3,Tab.11[[#This Row],[IN]]))</f>
        <v>0</v>
      </c>
      <c r="Y516" s="136" t="b">
        <f>IF(Tab.11[[#This Row],[a1]]=1,IF($X$3=0,Tab.11[b66],Tab.11[[#This Row],[b66]]-AVERAGE(Tab.11[b66])))</f>
        <v>0</v>
      </c>
      <c r="Z516" s="135" t="b">
        <f>IF(Tab.11[[#This Row],[a1]]=1,Tab.11[[#This Row],[b77]]/(_xlfn.STDEV.P(Tab.11[b77])))</f>
        <v>0</v>
      </c>
      <c r="AA516" s="70" t="b">
        <f>IF(Tab.11[[#This Row],[a1]]=1,_xlfn.NORM.DIST(Tab.11[[#This Row],[b88]],$Z$1,$AA$1,FALSE))</f>
        <v>0</v>
      </c>
      <c r="AB516" s="74" t="b">
        <f>IF(Tab.11[[#This Row],[a1]]=1,IF($A$3=0,FALSE,1/Tab.11[[#This Row],[IN]]*$AC$2*IF(Tab.11[[#This Row],[a1]]=0,,$A$3*$AC$1*1/$V$3*(Tab.11[[#This Row],[b14]]))))</f>
        <v>0</v>
      </c>
      <c r="AC516" s="75" t="b">
        <f>IF(Tab.11[[#This Row],[a1]]=1,IF($AC$3=0,Tab.11[[#This Row],[φ1]],Tab.11[[#This Row],[φ1]]/MAX(Tab.11[φ1])))</f>
        <v>0</v>
      </c>
      <c r="AD516" s="74" t="b">
        <f>IF(Tab.11[[#This Row],[a1]]=1,1/Tab.11[[#This Row],[φ2]])</f>
        <v>0</v>
      </c>
      <c r="AE516" s="74" t="b">
        <f>IF(Tab.11[[#This Row],[a1]]=1,IF($AE$3=0,Tab.11[[#This Row],[w.0]],Tab.11[[#This Row],[w.0]]/SUM(Tab.11[w.0])))</f>
        <v>0</v>
      </c>
      <c r="AF516" s="76" t="str">
        <f>IF(Tab.11[[#This Row],[a1]]=0,"false",[3]!Tab.x5[[#This Row],[%_seN_C]])</f>
        <v>false</v>
      </c>
      <c r="AG516" s="77" t="b">
        <f>IF(Tab.11[[#This Row],[a1]]=1,AP516)</f>
        <v>0</v>
      </c>
      <c r="AH516" s="78" t="b">
        <f>IF(Tab.11[[#This Row],[a1]]=1,AQ516)</f>
        <v>0</v>
      </c>
      <c r="AI516" s="41">
        <v>3.0000000000000001E-3</v>
      </c>
      <c r="AJ516" s="79">
        <v>0.1</v>
      </c>
      <c r="AK516" s="80" t="b">
        <f>IF(Tab.11[[#This Row],[a1]]=1,1)</f>
        <v>0</v>
      </c>
      <c r="AZ516"/>
    </row>
    <row r="517" spans="1:52" hidden="1" x14ac:dyDescent="0.25">
      <c r="A517" s="61">
        <f t="shared" si="17"/>
        <v>0</v>
      </c>
      <c r="B517" s="62">
        <f t="shared" si="17"/>
        <v>0</v>
      </c>
      <c r="C517" s="62" t="b">
        <f>IF(Tab.11[[#This Row],[a1]]=1,[3]!Tab_x1[[#This Row],[Name]])</f>
        <v>0</v>
      </c>
      <c r="D517" s="63" t="b">
        <f>IF(Tab.11[[#This Row],[a1]]=1,AO517)</f>
        <v>0</v>
      </c>
      <c r="E517" s="63">
        <f t="shared" ref="E517:E580" si="18">AM517</f>
        <v>0</v>
      </c>
      <c r="F517" s="64" t="b">
        <f>IF(Tab.11[[#This Row],[a1]]=1,Tab.11[[#This Row],[b1]])</f>
        <v>0</v>
      </c>
      <c r="G517" s="65" t="b">
        <f>IF(Tab.11[[#This Row],[a1]]=1,IF(Tab.11[[#This Row],[b3]]&gt;$L$989*$G$3,$L$989*$G$3,IF(Tab.11[[#This Row],[b3]]&lt;$M$989*$G$3,$M$989*$G$3,Tab.11[[#This Row],[b3]])))</f>
        <v>0</v>
      </c>
      <c r="H517" s="66" t="b">
        <f>IF(Tab.11[[#This Row],[a1]]=1,Tab.11[[#This Row],[b1]])</f>
        <v>0</v>
      </c>
      <c r="I517" s="67" t="b">
        <f>IF(Tab.11[[#This Row],[a1]]=1,Tab.11[[#This Row],[b1]])</f>
        <v>0</v>
      </c>
      <c r="J517" s="68" t="b">
        <f>IF(Tab.11[[#This Row],[a1]]=1,IF($I$3&lt;0,Tab.11[[#This Row],[b5]]-$I$3,Tab.11[[#This Row],[b5]]))</f>
        <v>0</v>
      </c>
      <c r="K517" s="68" t="b">
        <f>IF(Tab.11[[#This Row],[a1]]=1,IF($K$3=0,Tab.11[b6],Tab.11[[#This Row],[b6]]-AVERAGE(Tab.11[b6])))</f>
        <v>0</v>
      </c>
      <c r="L517" s="69" t="b">
        <f>IF(Tab.11[[#This Row],[a1]]=1,Tab.11[[#This Row],[data]]/(_xlfn.STDEV.P(Tab.11[data])*$B$989)+$A$989)</f>
        <v>0</v>
      </c>
      <c r="M517" s="69" t="b">
        <f>IF(Tab.11[[#This Row],[a1]]=1,Tab.11[[#This Row],[data]]/(_xlfn.STDEV.P(Tab.11[data])*$B$987)-$A$987)</f>
        <v>0</v>
      </c>
      <c r="N517" s="69" t="b">
        <f>IF(Tab.11[[#This Row],[a1]]=1,Tab.11[[#This Row],[data]]/(_xlfn.STDEV.P(Tab.11[data])*$B$988)+$A$988)</f>
        <v>0</v>
      </c>
      <c r="O517" s="70" t="b">
        <f>IF(Tab.11[[#This Row],[a1]]=1,_xlfn.NORM.DIST(Tab.11[[#This Row],[b8]],$P$1,$Q$1,FALSE))</f>
        <v>0</v>
      </c>
      <c r="P517" s="70" t="b">
        <f>IF(Tab.11[[#This Row],[a1]]=1,_xlfn.NORM.DIST(Tab.11[[#This Row],[b9]],$P$1,$Q$1,FALSE))</f>
        <v>0</v>
      </c>
      <c r="Q517" s="70" t="b">
        <f>IF(Tab.11[[#This Row],[a1]]=1,_xlfn.NORM.DIST(Tab.11[[#This Row],[b10]],$P$1,$Q$1,FALSE))</f>
        <v>0</v>
      </c>
      <c r="R517" s="67" t="b">
        <f>IF(Tab.11[[#This Row],[a1]]=1,$I$3+$A$989+IF($K$3=0,Tab.11[[#This Row],[b8]]*_xlfn.STDEV.P(Tab.11[data]),AVERAGE(Tab.11[b6])+Tab.11[[#This Row],[b8]]*_xlfn.STDEV.P(Tab.11[data])))</f>
        <v>0</v>
      </c>
      <c r="S517" s="71" t="b">
        <f>IF(Tab.11[[#This Row],[a1]]=1,$I$3+$A$987+IF($K$3=0,Tab.11[[#This Row],[b9]]*_xlfn.STDEV.P(Tab.11[data]),AVERAGE(Tab.11[b6])+Tab.11[[#This Row],[b9]]*_xlfn.STDEV.P(Tab.11[data])))</f>
        <v>0</v>
      </c>
      <c r="T517" s="71" t="b">
        <f>IF(Tab.11[[#This Row],[a1]]=1,$I$3+$A$988+IF($K$3=0,Tab.11[[#This Row],[b10]]*_xlfn.STDEV.P(Tab.11[data]),AVERAGE(Tab.11[b6])+Tab.11[[#This Row],[b10]]*_xlfn.STDEV.P(Tab.11[data])))</f>
        <v>0</v>
      </c>
      <c r="U517" s="72" t="b">
        <f>IF(Tab.11[[#This Row],[a1]]=1,Tab.11[[#This Row],[target]]-Tab.11[[#This Row],[Red]])</f>
        <v>0</v>
      </c>
      <c r="V517" s="72" t="b">
        <f>IF(Tab.11[[#This Row],[a1]]=1,Tab.11[[#This Row],[target]]-Tab.11[[#This Row],[Blue]])</f>
        <v>0</v>
      </c>
      <c r="W517" s="73" t="b">
        <f>IF(Tab.11[[#This Row],[a1]]=1,IF(ABS(Tab.11[[#This Row],[b17]])+ABS(Tab.11[[#This Row],[b18]])&lt;$W$2,$W$2,ABS(Tab.11[[#This Row],[b17]])+ABS(Tab.11[[#This Row],[b18]])))</f>
        <v>0</v>
      </c>
      <c r="X517" s="136" t="b">
        <f>IF(Tab.11[[#This Row],[a1]]=1,IF($W$3&lt;0,Tab.11[[#This Row],[IN]]-$I$3,Tab.11[[#This Row],[IN]]))</f>
        <v>0</v>
      </c>
      <c r="Y517" s="136" t="b">
        <f>IF(Tab.11[[#This Row],[a1]]=1,IF($X$3=0,Tab.11[b66],Tab.11[[#This Row],[b66]]-AVERAGE(Tab.11[b66])))</f>
        <v>0</v>
      </c>
      <c r="Z517" s="135" t="b">
        <f>IF(Tab.11[[#This Row],[a1]]=1,Tab.11[[#This Row],[b77]]/(_xlfn.STDEV.P(Tab.11[b77])))</f>
        <v>0</v>
      </c>
      <c r="AA517" s="70" t="b">
        <f>IF(Tab.11[[#This Row],[a1]]=1,_xlfn.NORM.DIST(Tab.11[[#This Row],[b88]],$Z$1,$AA$1,FALSE))</f>
        <v>0</v>
      </c>
      <c r="AB517" s="74" t="b">
        <f>IF(Tab.11[[#This Row],[a1]]=1,IF($A$3=0,FALSE,1/Tab.11[[#This Row],[IN]]*$AC$2*IF(Tab.11[[#This Row],[a1]]=0,,$A$3*$AC$1*1/$V$3*(Tab.11[[#This Row],[b14]]))))</f>
        <v>0</v>
      </c>
      <c r="AC517" s="75" t="b">
        <f>IF(Tab.11[[#This Row],[a1]]=1,IF($AC$3=0,Tab.11[[#This Row],[φ1]],Tab.11[[#This Row],[φ1]]/MAX(Tab.11[φ1])))</f>
        <v>0</v>
      </c>
      <c r="AD517" s="74" t="b">
        <f>IF(Tab.11[[#This Row],[a1]]=1,1/Tab.11[[#This Row],[φ2]])</f>
        <v>0</v>
      </c>
      <c r="AE517" s="74" t="b">
        <f>IF(Tab.11[[#This Row],[a1]]=1,IF($AE$3=0,Tab.11[[#This Row],[w.0]],Tab.11[[#This Row],[w.0]]/SUM(Tab.11[w.0])))</f>
        <v>0</v>
      </c>
      <c r="AF517" s="76" t="str">
        <f>IF(Tab.11[[#This Row],[a1]]=0,"false",[3]!Tab.x5[[#This Row],[%_seN_C]])</f>
        <v>false</v>
      </c>
      <c r="AG517" s="77" t="b">
        <f>IF(Tab.11[[#This Row],[a1]]=1,AP517)</f>
        <v>0</v>
      </c>
      <c r="AH517" s="78" t="b">
        <f>IF(Tab.11[[#This Row],[a1]]=1,AQ517)</f>
        <v>0</v>
      </c>
      <c r="AI517" s="41">
        <v>3.0000000000000001E-3</v>
      </c>
      <c r="AJ517" s="79">
        <v>0.04</v>
      </c>
      <c r="AK517" s="80" t="b">
        <f>IF(Tab.11[[#This Row],[a1]]=1,1)</f>
        <v>0</v>
      </c>
      <c r="AZ517"/>
    </row>
    <row r="518" spans="1:52" hidden="1" x14ac:dyDescent="0.25">
      <c r="A518" s="61">
        <f t="shared" si="17"/>
        <v>0</v>
      </c>
      <c r="B518" s="62">
        <f t="shared" si="17"/>
        <v>0</v>
      </c>
      <c r="C518" s="62" t="b">
        <f>IF(Tab.11[[#This Row],[a1]]=1,[3]!Tab_x1[[#This Row],[Name]])</f>
        <v>0</v>
      </c>
      <c r="D518" s="63" t="b">
        <f>IF(Tab.11[[#This Row],[a1]]=1,AO518)</f>
        <v>0</v>
      </c>
      <c r="E518" s="63">
        <f t="shared" si="18"/>
        <v>0</v>
      </c>
      <c r="F518" s="64" t="b">
        <f>IF(Tab.11[[#This Row],[a1]]=1,Tab.11[[#This Row],[b1]])</f>
        <v>0</v>
      </c>
      <c r="G518" s="65" t="b">
        <f>IF(Tab.11[[#This Row],[a1]]=1,IF(Tab.11[[#This Row],[b3]]&gt;$L$989*$G$3,$L$989*$G$3,IF(Tab.11[[#This Row],[b3]]&lt;$M$989*$G$3,$M$989*$G$3,Tab.11[[#This Row],[b3]])))</f>
        <v>0</v>
      </c>
      <c r="H518" s="66" t="b">
        <f>IF(Tab.11[[#This Row],[a1]]=1,Tab.11[[#This Row],[b1]])</f>
        <v>0</v>
      </c>
      <c r="I518" s="67" t="b">
        <f>IF(Tab.11[[#This Row],[a1]]=1,Tab.11[[#This Row],[b1]])</f>
        <v>0</v>
      </c>
      <c r="J518" s="68" t="b">
        <f>IF(Tab.11[[#This Row],[a1]]=1,IF($I$3&lt;0,Tab.11[[#This Row],[b5]]-$I$3,Tab.11[[#This Row],[b5]]))</f>
        <v>0</v>
      </c>
      <c r="K518" s="68" t="b">
        <f>IF(Tab.11[[#This Row],[a1]]=1,IF($K$3=0,Tab.11[b6],Tab.11[[#This Row],[b6]]-AVERAGE(Tab.11[b6])))</f>
        <v>0</v>
      </c>
      <c r="L518" s="69" t="b">
        <f>IF(Tab.11[[#This Row],[a1]]=1,Tab.11[[#This Row],[data]]/(_xlfn.STDEV.P(Tab.11[data])*$B$989)+$A$989)</f>
        <v>0</v>
      </c>
      <c r="M518" s="69" t="b">
        <f>IF(Tab.11[[#This Row],[a1]]=1,Tab.11[[#This Row],[data]]/(_xlfn.STDEV.P(Tab.11[data])*$B$987)-$A$987)</f>
        <v>0</v>
      </c>
      <c r="N518" s="69" t="b">
        <f>IF(Tab.11[[#This Row],[a1]]=1,Tab.11[[#This Row],[data]]/(_xlfn.STDEV.P(Tab.11[data])*$B$988)+$A$988)</f>
        <v>0</v>
      </c>
      <c r="O518" s="70" t="b">
        <f>IF(Tab.11[[#This Row],[a1]]=1,_xlfn.NORM.DIST(Tab.11[[#This Row],[b8]],$P$1,$Q$1,FALSE))</f>
        <v>0</v>
      </c>
      <c r="P518" s="70" t="b">
        <f>IF(Tab.11[[#This Row],[a1]]=1,_xlfn.NORM.DIST(Tab.11[[#This Row],[b9]],$P$1,$Q$1,FALSE))</f>
        <v>0</v>
      </c>
      <c r="Q518" s="70" t="b">
        <f>IF(Tab.11[[#This Row],[a1]]=1,_xlfn.NORM.DIST(Tab.11[[#This Row],[b10]],$P$1,$Q$1,FALSE))</f>
        <v>0</v>
      </c>
      <c r="R518" s="67" t="b">
        <f>IF(Tab.11[[#This Row],[a1]]=1,$I$3+$A$989+IF($K$3=0,Tab.11[[#This Row],[b8]]*_xlfn.STDEV.P(Tab.11[data]),AVERAGE(Tab.11[b6])+Tab.11[[#This Row],[b8]]*_xlfn.STDEV.P(Tab.11[data])))</f>
        <v>0</v>
      </c>
      <c r="S518" s="71" t="b">
        <f>IF(Tab.11[[#This Row],[a1]]=1,$I$3+$A$987+IF($K$3=0,Tab.11[[#This Row],[b9]]*_xlfn.STDEV.P(Tab.11[data]),AVERAGE(Tab.11[b6])+Tab.11[[#This Row],[b9]]*_xlfn.STDEV.P(Tab.11[data])))</f>
        <v>0</v>
      </c>
      <c r="T518" s="71" t="b">
        <f>IF(Tab.11[[#This Row],[a1]]=1,$I$3+$A$988+IF($K$3=0,Tab.11[[#This Row],[b10]]*_xlfn.STDEV.P(Tab.11[data]),AVERAGE(Tab.11[b6])+Tab.11[[#This Row],[b10]]*_xlfn.STDEV.P(Tab.11[data])))</f>
        <v>0</v>
      </c>
      <c r="U518" s="72" t="b">
        <f>IF(Tab.11[[#This Row],[a1]]=1,Tab.11[[#This Row],[target]]-Tab.11[[#This Row],[Red]])</f>
        <v>0</v>
      </c>
      <c r="V518" s="72" t="b">
        <f>IF(Tab.11[[#This Row],[a1]]=1,Tab.11[[#This Row],[target]]-Tab.11[[#This Row],[Blue]])</f>
        <v>0</v>
      </c>
      <c r="W518" s="73" t="b">
        <f>IF(Tab.11[[#This Row],[a1]]=1,IF(ABS(Tab.11[[#This Row],[b17]])+ABS(Tab.11[[#This Row],[b18]])&lt;$W$2,$W$2,ABS(Tab.11[[#This Row],[b17]])+ABS(Tab.11[[#This Row],[b18]])))</f>
        <v>0</v>
      </c>
      <c r="X518" s="136" t="b">
        <f>IF(Tab.11[[#This Row],[a1]]=1,IF($W$3&lt;0,Tab.11[[#This Row],[IN]]-$I$3,Tab.11[[#This Row],[IN]]))</f>
        <v>0</v>
      </c>
      <c r="Y518" s="136" t="b">
        <f>IF(Tab.11[[#This Row],[a1]]=1,IF($X$3=0,Tab.11[b66],Tab.11[[#This Row],[b66]]-AVERAGE(Tab.11[b66])))</f>
        <v>0</v>
      </c>
      <c r="Z518" s="135" t="b">
        <f>IF(Tab.11[[#This Row],[a1]]=1,Tab.11[[#This Row],[b77]]/(_xlfn.STDEV.P(Tab.11[b77])))</f>
        <v>0</v>
      </c>
      <c r="AA518" s="70" t="b">
        <f>IF(Tab.11[[#This Row],[a1]]=1,_xlfn.NORM.DIST(Tab.11[[#This Row],[b88]],$Z$1,$AA$1,FALSE))</f>
        <v>0</v>
      </c>
      <c r="AB518" s="74" t="b">
        <f>IF(Tab.11[[#This Row],[a1]]=1,IF($A$3=0,FALSE,1/Tab.11[[#This Row],[IN]]*$AC$2*IF(Tab.11[[#This Row],[a1]]=0,,$A$3*$AC$1*1/$V$3*(Tab.11[[#This Row],[b14]]))))</f>
        <v>0</v>
      </c>
      <c r="AC518" s="75" t="b">
        <f>IF(Tab.11[[#This Row],[a1]]=1,IF($AC$3=0,Tab.11[[#This Row],[φ1]],Tab.11[[#This Row],[φ1]]/MAX(Tab.11[φ1])))</f>
        <v>0</v>
      </c>
      <c r="AD518" s="74" t="b">
        <f>IF(Tab.11[[#This Row],[a1]]=1,1/Tab.11[[#This Row],[φ2]])</f>
        <v>0</v>
      </c>
      <c r="AE518" s="74" t="b">
        <f>IF(Tab.11[[#This Row],[a1]]=1,IF($AE$3=0,Tab.11[[#This Row],[w.0]],Tab.11[[#This Row],[w.0]]/SUM(Tab.11[w.0])))</f>
        <v>0</v>
      </c>
      <c r="AF518" s="76" t="str">
        <f>IF(Tab.11[[#This Row],[a1]]=0,"false",[3]!Tab.x5[[#This Row],[%_seN_C]])</f>
        <v>false</v>
      </c>
      <c r="AG518" s="77" t="b">
        <f>IF(Tab.11[[#This Row],[a1]]=1,AP518)</f>
        <v>0</v>
      </c>
      <c r="AH518" s="78" t="b">
        <f>IF(Tab.11[[#This Row],[a1]]=1,AQ518)</f>
        <v>0</v>
      </c>
      <c r="AI518" s="41">
        <v>3.0000000000000001E-3</v>
      </c>
      <c r="AJ518" s="79">
        <v>0.09</v>
      </c>
      <c r="AK518" s="80" t="b">
        <f>IF(Tab.11[[#This Row],[a1]]=1,1)</f>
        <v>0</v>
      </c>
      <c r="AZ518"/>
    </row>
    <row r="519" spans="1:52" hidden="1" x14ac:dyDescent="0.25">
      <c r="A519" s="61">
        <f t="shared" si="17"/>
        <v>0</v>
      </c>
      <c r="B519" s="62">
        <f t="shared" si="17"/>
        <v>0</v>
      </c>
      <c r="C519" s="62" t="b">
        <f>IF(Tab.11[[#This Row],[a1]]=1,[3]!Tab_x1[[#This Row],[Name]])</f>
        <v>0</v>
      </c>
      <c r="D519" s="63" t="b">
        <f>IF(Tab.11[[#This Row],[a1]]=1,AO519)</f>
        <v>0</v>
      </c>
      <c r="E519" s="63">
        <f t="shared" si="18"/>
        <v>0</v>
      </c>
      <c r="F519" s="64" t="b">
        <f>IF(Tab.11[[#This Row],[a1]]=1,Tab.11[[#This Row],[b1]])</f>
        <v>0</v>
      </c>
      <c r="G519" s="65" t="b">
        <f>IF(Tab.11[[#This Row],[a1]]=1,IF(Tab.11[[#This Row],[b3]]&gt;$L$989*$G$3,$L$989*$G$3,IF(Tab.11[[#This Row],[b3]]&lt;$M$989*$G$3,$M$989*$G$3,Tab.11[[#This Row],[b3]])))</f>
        <v>0</v>
      </c>
      <c r="H519" s="66" t="b">
        <f>IF(Tab.11[[#This Row],[a1]]=1,Tab.11[[#This Row],[b1]])</f>
        <v>0</v>
      </c>
      <c r="I519" s="67" t="b">
        <f>IF(Tab.11[[#This Row],[a1]]=1,Tab.11[[#This Row],[b1]])</f>
        <v>0</v>
      </c>
      <c r="J519" s="68" t="b">
        <f>IF(Tab.11[[#This Row],[a1]]=1,IF($I$3&lt;0,Tab.11[[#This Row],[b5]]-$I$3,Tab.11[[#This Row],[b5]]))</f>
        <v>0</v>
      </c>
      <c r="K519" s="68" t="b">
        <f>IF(Tab.11[[#This Row],[a1]]=1,IF($K$3=0,Tab.11[b6],Tab.11[[#This Row],[b6]]-AVERAGE(Tab.11[b6])))</f>
        <v>0</v>
      </c>
      <c r="L519" s="69" t="b">
        <f>IF(Tab.11[[#This Row],[a1]]=1,Tab.11[[#This Row],[data]]/(_xlfn.STDEV.P(Tab.11[data])*$B$989)+$A$989)</f>
        <v>0</v>
      </c>
      <c r="M519" s="69" t="b">
        <f>IF(Tab.11[[#This Row],[a1]]=1,Tab.11[[#This Row],[data]]/(_xlfn.STDEV.P(Tab.11[data])*$B$987)-$A$987)</f>
        <v>0</v>
      </c>
      <c r="N519" s="69" t="b">
        <f>IF(Tab.11[[#This Row],[a1]]=1,Tab.11[[#This Row],[data]]/(_xlfn.STDEV.P(Tab.11[data])*$B$988)+$A$988)</f>
        <v>0</v>
      </c>
      <c r="O519" s="70" t="b">
        <f>IF(Tab.11[[#This Row],[a1]]=1,_xlfn.NORM.DIST(Tab.11[[#This Row],[b8]],$P$1,$Q$1,FALSE))</f>
        <v>0</v>
      </c>
      <c r="P519" s="70" t="b">
        <f>IF(Tab.11[[#This Row],[a1]]=1,_xlfn.NORM.DIST(Tab.11[[#This Row],[b9]],$P$1,$Q$1,FALSE))</f>
        <v>0</v>
      </c>
      <c r="Q519" s="70" t="b">
        <f>IF(Tab.11[[#This Row],[a1]]=1,_xlfn.NORM.DIST(Tab.11[[#This Row],[b10]],$P$1,$Q$1,FALSE))</f>
        <v>0</v>
      </c>
      <c r="R519" s="67" t="b">
        <f>IF(Tab.11[[#This Row],[a1]]=1,$I$3+$A$989+IF($K$3=0,Tab.11[[#This Row],[b8]]*_xlfn.STDEV.P(Tab.11[data]),AVERAGE(Tab.11[b6])+Tab.11[[#This Row],[b8]]*_xlfn.STDEV.P(Tab.11[data])))</f>
        <v>0</v>
      </c>
      <c r="S519" s="71" t="b">
        <f>IF(Tab.11[[#This Row],[a1]]=1,$I$3+$A$987+IF($K$3=0,Tab.11[[#This Row],[b9]]*_xlfn.STDEV.P(Tab.11[data]),AVERAGE(Tab.11[b6])+Tab.11[[#This Row],[b9]]*_xlfn.STDEV.P(Tab.11[data])))</f>
        <v>0</v>
      </c>
      <c r="T519" s="71" t="b">
        <f>IF(Tab.11[[#This Row],[a1]]=1,$I$3+$A$988+IF($K$3=0,Tab.11[[#This Row],[b10]]*_xlfn.STDEV.P(Tab.11[data]),AVERAGE(Tab.11[b6])+Tab.11[[#This Row],[b10]]*_xlfn.STDEV.P(Tab.11[data])))</f>
        <v>0</v>
      </c>
      <c r="U519" s="72" t="b">
        <f>IF(Tab.11[[#This Row],[a1]]=1,Tab.11[[#This Row],[target]]-Tab.11[[#This Row],[Red]])</f>
        <v>0</v>
      </c>
      <c r="V519" s="72" t="b">
        <f>IF(Tab.11[[#This Row],[a1]]=1,Tab.11[[#This Row],[target]]-Tab.11[[#This Row],[Blue]])</f>
        <v>0</v>
      </c>
      <c r="W519" s="73" t="b">
        <f>IF(Tab.11[[#This Row],[a1]]=1,IF(ABS(Tab.11[[#This Row],[b17]])+ABS(Tab.11[[#This Row],[b18]])&lt;$W$2,$W$2,ABS(Tab.11[[#This Row],[b17]])+ABS(Tab.11[[#This Row],[b18]])))</f>
        <v>0</v>
      </c>
      <c r="X519" s="136" t="b">
        <f>IF(Tab.11[[#This Row],[a1]]=1,IF($W$3&lt;0,Tab.11[[#This Row],[IN]]-$I$3,Tab.11[[#This Row],[IN]]))</f>
        <v>0</v>
      </c>
      <c r="Y519" s="136" t="b">
        <f>IF(Tab.11[[#This Row],[a1]]=1,IF($X$3=0,Tab.11[b66],Tab.11[[#This Row],[b66]]-AVERAGE(Tab.11[b66])))</f>
        <v>0</v>
      </c>
      <c r="Z519" s="135" t="b">
        <f>IF(Tab.11[[#This Row],[a1]]=1,Tab.11[[#This Row],[b77]]/(_xlfn.STDEV.P(Tab.11[b77])))</f>
        <v>0</v>
      </c>
      <c r="AA519" s="70" t="b">
        <f>IF(Tab.11[[#This Row],[a1]]=1,_xlfn.NORM.DIST(Tab.11[[#This Row],[b88]],$Z$1,$AA$1,FALSE))</f>
        <v>0</v>
      </c>
      <c r="AB519" s="74" t="b">
        <f>IF(Tab.11[[#This Row],[a1]]=1,IF($A$3=0,FALSE,1/Tab.11[[#This Row],[IN]]*$AC$2*IF(Tab.11[[#This Row],[a1]]=0,,$A$3*$AC$1*1/$V$3*(Tab.11[[#This Row],[b14]]))))</f>
        <v>0</v>
      </c>
      <c r="AC519" s="75" t="b">
        <f>IF(Tab.11[[#This Row],[a1]]=1,IF($AC$3=0,Tab.11[[#This Row],[φ1]],Tab.11[[#This Row],[φ1]]/MAX(Tab.11[φ1])))</f>
        <v>0</v>
      </c>
      <c r="AD519" s="74" t="b">
        <f>IF(Tab.11[[#This Row],[a1]]=1,1/Tab.11[[#This Row],[φ2]])</f>
        <v>0</v>
      </c>
      <c r="AE519" s="74" t="b">
        <f>IF(Tab.11[[#This Row],[a1]]=1,IF($AE$3=0,Tab.11[[#This Row],[w.0]],Tab.11[[#This Row],[w.0]]/SUM(Tab.11[w.0])))</f>
        <v>0</v>
      </c>
      <c r="AF519" s="76" t="str">
        <f>IF(Tab.11[[#This Row],[a1]]=0,"false",[3]!Tab.x5[[#This Row],[%_seN_C]])</f>
        <v>false</v>
      </c>
      <c r="AG519" s="77" t="b">
        <f>IF(Tab.11[[#This Row],[a1]]=1,AP519)</f>
        <v>0</v>
      </c>
      <c r="AH519" s="78" t="b">
        <f>IF(Tab.11[[#This Row],[a1]]=1,AQ519)</f>
        <v>0</v>
      </c>
      <c r="AI519" s="41">
        <v>3.0000000000000001E-3</v>
      </c>
      <c r="AJ519" s="79">
        <v>0.02</v>
      </c>
      <c r="AK519" s="80" t="b">
        <f>IF(Tab.11[[#This Row],[a1]]=1,1)</f>
        <v>0</v>
      </c>
      <c r="AZ519"/>
    </row>
    <row r="520" spans="1:52" hidden="1" x14ac:dyDescent="0.25">
      <c r="A520" s="61">
        <f t="shared" si="17"/>
        <v>0</v>
      </c>
      <c r="B520" s="62">
        <f t="shared" si="17"/>
        <v>0</v>
      </c>
      <c r="C520" s="62" t="b">
        <f>IF(Tab.11[[#This Row],[a1]]=1,[3]!Tab_x1[[#This Row],[Name]])</f>
        <v>0</v>
      </c>
      <c r="D520" s="63" t="b">
        <f>IF(Tab.11[[#This Row],[a1]]=1,AO520)</f>
        <v>0</v>
      </c>
      <c r="E520" s="63">
        <f t="shared" si="18"/>
        <v>0</v>
      </c>
      <c r="F520" s="64" t="b">
        <f>IF(Tab.11[[#This Row],[a1]]=1,Tab.11[[#This Row],[b1]])</f>
        <v>0</v>
      </c>
      <c r="G520" s="65" t="b">
        <f>IF(Tab.11[[#This Row],[a1]]=1,IF(Tab.11[[#This Row],[b3]]&gt;$L$989*$G$3,$L$989*$G$3,IF(Tab.11[[#This Row],[b3]]&lt;$M$989*$G$3,$M$989*$G$3,Tab.11[[#This Row],[b3]])))</f>
        <v>0</v>
      </c>
      <c r="H520" s="66" t="b">
        <f>IF(Tab.11[[#This Row],[a1]]=1,Tab.11[[#This Row],[b1]])</f>
        <v>0</v>
      </c>
      <c r="I520" s="67" t="b">
        <f>IF(Tab.11[[#This Row],[a1]]=1,Tab.11[[#This Row],[b1]])</f>
        <v>0</v>
      </c>
      <c r="J520" s="68" t="b">
        <f>IF(Tab.11[[#This Row],[a1]]=1,IF($I$3&lt;0,Tab.11[[#This Row],[b5]]-$I$3,Tab.11[[#This Row],[b5]]))</f>
        <v>0</v>
      </c>
      <c r="K520" s="68" t="b">
        <f>IF(Tab.11[[#This Row],[a1]]=1,IF($K$3=0,Tab.11[b6],Tab.11[[#This Row],[b6]]-AVERAGE(Tab.11[b6])))</f>
        <v>0</v>
      </c>
      <c r="L520" s="69" t="b">
        <f>IF(Tab.11[[#This Row],[a1]]=1,Tab.11[[#This Row],[data]]/(_xlfn.STDEV.P(Tab.11[data])*$B$989)+$A$989)</f>
        <v>0</v>
      </c>
      <c r="M520" s="69" t="b">
        <f>IF(Tab.11[[#This Row],[a1]]=1,Tab.11[[#This Row],[data]]/(_xlfn.STDEV.P(Tab.11[data])*$B$987)-$A$987)</f>
        <v>0</v>
      </c>
      <c r="N520" s="69" t="b">
        <f>IF(Tab.11[[#This Row],[a1]]=1,Tab.11[[#This Row],[data]]/(_xlfn.STDEV.P(Tab.11[data])*$B$988)+$A$988)</f>
        <v>0</v>
      </c>
      <c r="O520" s="70" t="b">
        <f>IF(Tab.11[[#This Row],[a1]]=1,_xlfn.NORM.DIST(Tab.11[[#This Row],[b8]],$P$1,$Q$1,FALSE))</f>
        <v>0</v>
      </c>
      <c r="P520" s="70" t="b">
        <f>IF(Tab.11[[#This Row],[a1]]=1,_xlfn.NORM.DIST(Tab.11[[#This Row],[b9]],$P$1,$Q$1,FALSE))</f>
        <v>0</v>
      </c>
      <c r="Q520" s="70" t="b">
        <f>IF(Tab.11[[#This Row],[a1]]=1,_xlfn.NORM.DIST(Tab.11[[#This Row],[b10]],$P$1,$Q$1,FALSE))</f>
        <v>0</v>
      </c>
      <c r="R520" s="67" t="b">
        <f>IF(Tab.11[[#This Row],[a1]]=1,$I$3+$A$989+IF($K$3=0,Tab.11[[#This Row],[b8]]*_xlfn.STDEV.P(Tab.11[data]),AVERAGE(Tab.11[b6])+Tab.11[[#This Row],[b8]]*_xlfn.STDEV.P(Tab.11[data])))</f>
        <v>0</v>
      </c>
      <c r="S520" s="71" t="b">
        <f>IF(Tab.11[[#This Row],[a1]]=1,$I$3+$A$987+IF($K$3=0,Tab.11[[#This Row],[b9]]*_xlfn.STDEV.P(Tab.11[data]),AVERAGE(Tab.11[b6])+Tab.11[[#This Row],[b9]]*_xlfn.STDEV.P(Tab.11[data])))</f>
        <v>0</v>
      </c>
      <c r="T520" s="71" t="b">
        <f>IF(Tab.11[[#This Row],[a1]]=1,$I$3+$A$988+IF($K$3=0,Tab.11[[#This Row],[b10]]*_xlfn.STDEV.P(Tab.11[data]),AVERAGE(Tab.11[b6])+Tab.11[[#This Row],[b10]]*_xlfn.STDEV.P(Tab.11[data])))</f>
        <v>0</v>
      </c>
      <c r="U520" s="72" t="b">
        <f>IF(Tab.11[[#This Row],[a1]]=1,Tab.11[[#This Row],[target]]-Tab.11[[#This Row],[Red]])</f>
        <v>0</v>
      </c>
      <c r="V520" s="72" t="b">
        <f>IF(Tab.11[[#This Row],[a1]]=1,Tab.11[[#This Row],[target]]-Tab.11[[#This Row],[Blue]])</f>
        <v>0</v>
      </c>
      <c r="W520" s="73" t="b">
        <f>IF(Tab.11[[#This Row],[a1]]=1,IF(ABS(Tab.11[[#This Row],[b17]])+ABS(Tab.11[[#This Row],[b18]])&lt;$W$2,$W$2,ABS(Tab.11[[#This Row],[b17]])+ABS(Tab.11[[#This Row],[b18]])))</f>
        <v>0</v>
      </c>
      <c r="X520" s="136" t="b">
        <f>IF(Tab.11[[#This Row],[a1]]=1,IF($W$3&lt;0,Tab.11[[#This Row],[IN]]-$I$3,Tab.11[[#This Row],[IN]]))</f>
        <v>0</v>
      </c>
      <c r="Y520" s="136" t="b">
        <f>IF(Tab.11[[#This Row],[a1]]=1,IF($X$3=0,Tab.11[b66],Tab.11[[#This Row],[b66]]-AVERAGE(Tab.11[b66])))</f>
        <v>0</v>
      </c>
      <c r="Z520" s="135" t="b">
        <f>IF(Tab.11[[#This Row],[a1]]=1,Tab.11[[#This Row],[b77]]/(_xlfn.STDEV.P(Tab.11[b77])))</f>
        <v>0</v>
      </c>
      <c r="AA520" s="70" t="b">
        <f>IF(Tab.11[[#This Row],[a1]]=1,_xlfn.NORM.DIST(Tab.11[[#This Row],[b88]],$Z$1,$AA$1,FALSE))</f>
        <v>0</v>
      </c>
      <c r="AB520" s="74" t="b">
        <f>IF(Tab.11[[#This Row],[a1]]=1,IF($A$3=0,FALSE,1/Tab.11[[#This Row],[IN]]*$AC$2*IF(Tab.11[[#This Row],[a1]]=0,,$A$3*$AC$1*1/$V$3*(Tab.11[[#This Row],[b14]]))))</f>
        <v>0</v>
      </c>
      <c r="AC520" s="75" t="b">
        <f>IF(Tab.11[[#This Row],[a1]]=1,IF($AC$3=0,Tab.11[[#This Row],[φ1]],Tab.11[[#This Row],[φ1]]/MAX(Tab.11[φ1])))</f>
        <v>0</v>
      </c>
      <c r="AD520" s="74" t="b">
        <f>IF(Tab.11[[#This Row],[a1]]=1,1/Tab.11[[#This Row],[φ2]])</f>
        <v>0</v>
      </c>
      <c r="AE520" s="74" t="b">
        <f>IF(Tab.11[[#This Row],[a1]]=1,IF($AE$3=0,Tab.11[[#This Row],[w.0]],Tab.11[[#This Row],[w.0]]/SUM(Tab.11[w.0])))</f>
        <v>0</v>
      </c>
      <c r="AF520" s="76" t="str">
        <f>IF(Tab.11[[#This Row],[a1]]=0,"false",[3]!Tab.x5[[#This Row],[%_seN_C]])</f>
        <v>false</v>
      </c>
      <c r="AG520" s="77" t="b">
        <f>IF(Tab.11[[#This Row],[a1]]=1,AP520)</f>
        <v>0</v>
      </c>
      <c r="AH520" s="78" t="b">
        <f>IF(Tab.11[[#This Row],[a1]]=1,AQ520)</f>
        <v>0</v>
      </c>
      <c r="AI520" s="41">
        <v>3.0000000000000001E-3</v>
      </c>
      <c r="AJ520" s="79">
        <v>0.01</v>
      </c>
      <c r="AK520" s="80" t="b">
        <f>IF(Tab.11[[#This Row],[a1]]=1,1)</f>
        <v>0</v>
      </c>
      <c r="AZ520"/>
    </row>
    <row r="521" spans="1:52" hidden="1" x14ac:dyDescent="0.25">
      <c r="A521" s="61">
        <f t="shared" si="17"/>
        <v>0</v>
      </c>
      <c r="B521" s="62">
        <f t="shared" si="17"/>
        <v>0</v>
      </c>
      <c r="C521" s="62" t="b">
        <f>IF(Tab.11[[#This Row],[a1]]=1,[3]!Tab_x1[[#This Row],[Name]])</f>
        <v>0</v>
      </c>
      <c r="D521" s="63" t="b">
        <f>IF(Tab.11[[#This Row],[a1]]=1,AO521)</f>
        <v>0</v>
      </c>
      <c r="E521" s="63">
        <f t="shared" si="18"/>
        <v>0</v>
      </c>
      <c r="F521" s="64" t="b">
        <f>IF(Tab.11[[#This Row],[a1]]=1,Tab.11[[#This Row],[b1]])</f>
        <v>0</v>
      </c>
      <c r="G521" s="65" t="b">
        <f>IF(Tab.11[[#This Row],[a1]]=1,IF(Tab.11[[#This Row],[b3]]&gt;$L$989*$G$3,$L$989*$G$3,IF(Tab.11[[#This Row],[b3]]&lt;$M$989*$G$3,$M$989*$G$3,Tab.11[[#This Row],[b3]])))</f>
        <v>0</v>
      </c>
      <c r="H521" s="66" t="b">
        <f>IF(Tab.11[[#This Row],[a1]]=1,Tab.11[[#This Row],[b1]])</f>
        <v>0</v>
      </c>
      <c r="I521" s="67" t="b">
        <f>IF(Tab.11[[#This Row],[a1]]=1,Tab.11[[#This Row],[b1]])</f>
        <v>0</v>
      </c>
      <c r="J521" s="68" t="b">
        <f>IF(Tab.11[[#This Row],[a1]]=1,IF($I$3&lt;0,Tab.11[[#This Row],[b5]]-$I$3,Tab.11[[#This Row],[b5]]))</f>
        <v>0</v>
      </c>
      <c r="K521" s="68" t="b">
        <f>IF(Tab.11[[#This Row],[a1]]=1,IF($K$3=0,Tab.11[b6],Tab.11[[#This Row],[b6]]-AVERAGE(Tab.11[b6])))</f>
        <v>0</v>
      </c>
      <c r="L521" s="69" t="b">
        <f>IF(Tab.11[[#This Row],[a1]]=1,Tab.11[[#This Row],[data]]/(_xlfn.STDEV.P(Tab.11[data])*$B$989)+$A$989)</f>
        <v>0</v>
      </c>
      <c r="M521" s="69" t="b">
        <f>IF(Tab.11[[#This Row],[a1]]=1,Tab.11[[#This Row],[data]]/(_xlfn.STDEV.P(Tab.11[data])*$B$987)-$A$987)</f>
        <v>0</v>
      </c>
      <c r="N521" s="69" t="b">
        <f>IF(Tab.11[[#This Row],[a1]]=1,Tab.11[[#This Row],[data]]/(_xlfn.STDEV.P(Tab.11[data])*$B$988)+$A$988)</f>
        <v>0</v>
      </c>
      <c r="O521" s="70" t="b">
        <f>IF(Tab.11[[#This Row],[a1]]=1,_xlfn.NORM.DIST(Tab.11[[#This Row],[b8]],$P$1,$Q$1,FALSE))</f>
        <v>0</v>
      </c>
      <c r="P521" s="70" t="b">
        <f>IF(Tab.11[[#This Row],[a1]]=1,_xlfn.NORM.DIST(Tab.11[[#This Row],[b9]],$P$1,$Q$1,FALSE))</f>
        <v>0</v>
      </c>
      <c r="Q521" s="70" t="b">
        <f>IF(Tab.11[[#This Row],[a1]]=1,_xlfn.NORM.DIST(Tab.11[[#This Row],[b10]],$P$1,$Q$1,FALSE))</f>
        <v>0</v>
      </c>
      <c r="R521" s="67" t="b">
        <f>IF(Tab.11[[#This Row],[a1]]=1,$I$3+$A$989+IF($K$3=0,Tab.11[[#This Row],[b8]]*_xlfn.STDEV.P(Tab.11[data]),AVERAGE(Tab.11[b6])+Tab.11[[#This Row],[b8]]*_xlfn.STDEV.P(Tab.11[data])))</f>
        <v>0</v>
      </c>
      <c r="S521" s="71" t="b">
        <f>IF(Tab.11[[#This Row],[a1]]=1,$I$3+$A$987+IF($K$3=0,Tab.11[[#This Row],[b9]]*_xlfn.STDEV.P(Tab.11[data]),AVERAGE(Tab.11[b6])+Tab.11[[#This Row],[b9]]*_xlfn.STDEV.P(Tab.11[data])))</f>
        <v>0</v>
      </c>
      <c r="T521" s="71" t="b">
        <f>IF(Tab.11[[#This Row],[a1]]=1,$I$3+$A$988+IF($K$3=0,Tab.11[[#This Row],[b10]]*_xlfn.STDEV.P(Tab.11[data]),AVERAGE(Tab.11[b6])+Tab.11[[#This Row],[b10]]*_xlfn.STDEV.P(Tab.11[data])))</f>
        <v>0</v>
      </c>
      <c r="U521" s="72" t="b">
        <f>IF(Tab.11[[#This Row],[a1]]=1,Tab.11[[#This Row],[target]]-Tab.11[[#This Row],[Red]])</f>
        <v>0</v>
      </c>
      <c r="V521" s="72" t="b">
        <f>IF(Tab.11[[#This Row],[a1]]=1,Tab.11[[#This Row],[target]]-Tab.11[[#This Row],[Blue]])</f>
        <v>0</v>
      </c>
      <c r="W521" s="73" t="b">
        <f>IF(Tab.11[[#This Row],[a1]]=1,IF(ABS(Tab.11[[#This Row],[b17]])+ABS(Tab.11[[#This Row],[b18]])&lt;$W$2,$W$2,ABS(Tab.11[[#This Row],[b17]])+ABS(Tab.11[[#This Row],[b18]])))</f>
        <v>0</v>
      </c>
      <c r="X521" s="136" t="b">
        <f>IF(Tab.11[[#This Row],[a1]]=1,IF($W$3&lt;0,Tab.11[[#This Row],[IN]]-$I$3,Tab.11[[#This Row],[IN]]))</f>
        <v>0</v>
      </c>
      <c r="Y521" s="136" t="b">
        <f>IF(Tab.11[[#This Row],[a1]]=1,IF($X$3=0,Tab.11[b66],Tab.11[[#This Row],[b66]]-AVERAGE(Tab.11[b66])))</f>
        <v>0</v>
      </c>
      <c r="Z521" s="135" t="b">
        <f>IF(Tab.11[[#This Row],[a1]]=1,Tab.11[[#This Row],[b77]]/(_xlfn.STDEV.P(Tab.11[b77])))</f>
        <v>0</v>
      </c>
      <c r="AA521" s="70" t="b">
        <f>IF(Tab.11[[#This Row],[a1]]=1,_xlfn.NORM.DIST(Tab.11[[#This Row],[b88]],$Z$1,$AA$1,FALSE))</f>
        <v>0</v>
      </c>
      <c r="AB521" s="74" t="b">
        <f>IF(Tab.11[[#This Row],[a1]]=1,IF($A$3=0,FALSE,1/Tab.11[[#This Row],[IN]]*$AC$2*IF(Tab.11[[#This Row],[a1]]=0,,$A$3*$AC$1*1/$V$3*(Tab.11[[#This Row],[b14]]))))</f>
        <v>0</v>
      </c>
      <c r="AC521" s="75" t="b">
        <f>IF(Tab.11[[#This Row],[a1]]=1,IF($AC$3=0,Tab.11[[#This Row],[φ1]],Tab.11[[#This Row],[φ1]]/MAX(Tab.11[φ1])))</f>
        <v>0</v>
      </c>
      <c r="AD521" s="74" t="b">
        <f>IF(Tab.11[[#This Row],[a1]]=1,1/Tab.11[[#This Row],[φ2]])</f>
        <v>0</v>
      </c>
      <c r="AE521" s="74" t="b">
        <f>IF(Tab.11[[#This Row],[a1]]=1,IF($AE$3=0,Tab.11[[#This Row],[w.0]],Tab.11[[#This Row],[w.0]]/SUM(Tab.11[w.0])))</f>
        <v>0</v>
      </c>
      <c r="AF521" s="76" t="str">
        <f>IF(Tab.11[[#This Row],[a1]]=0,"false",[3]!Tab.x5[[#This Row],[%_seN_C]])</f>
        <v>false</v>
      </c>
      <c r="AG521" s="77" t="b">
        <f>IF(Tab.11[[#This Row],[a1]]=1,AP521)</f>
        <v>0</v>
      </c>
      <c r="AH521" s="78" t="b">
        <f>IF(Tab.11[[#This Row],[a1]]=1,AQ521)</f>
        <v>0</v>
      </c>
      <c r="AI521" s="41">
        <v>3.0000000000000001E-3</v>
      </c>
      <c r="AJ521" s="79">
        <v>0.01</v>
      </c>
      <c r="AK521" s="80" t="b">
        <f>IF(Tab.11[[#This Row],[a1]]=1,1)</f>
        <v>0</v>
      </c>
      <c r="AZ521"/>
    </row>
    <row r="522" spans="1:52" hidden="1" x14ac:dyDescent="0.25">
      <c r="A522" s="61">
        <f t="shared" si="17"/>
        <v>0</v>
      </c>
      <c r="B522" s="62">
        <f t="shared" si="17"/>
        <v>0</v>
      </c>
      <c r="C522" s="62" t="b">
        <f>IF(Tab.11[[#This Row],[a1]]=1,[3]!Tab_x1[[#This Row],[Name]])</f>
        <v>0</v>
      </c>
      <c r="D522" s="63" t="b">
        <f>IF(Tab.11[[#This Row],[a1]]=1,AO522)</f>
        <v>0</v>
      </c>
      <c r="E522" s="63">
        <f t="shared" si="18"/>
        <v>0</v>
      </c>
      <c r="F522" s="64" t="b">
        <f>IF(Tab.11[[#This Row],[a1]]=1,Tab.11[[#This Row],[b1]])</f>
        <v>0</v>
      </c>
      <c r="G522" s="65" t="b">
        <f>IF(Tab.11[[#This Row],[a1]]=1,IF(Tab.11[[#This Row],[b3]]&gt;$L$989*$G$3,$L$989*$G$3,IF(Tab.11[[#This Row],[b3]]&lt;$M$989*$G$3,$M$989*$G$3,Tab.11[[#This Row],[b3]])))</f>
        <v>0</v>
      </c>
      <c r="H522" s="66" t="b">
        <f>IF(Tab.11[[#This Row],[a1]]=1,Tab.11[[#This Row],[b1]])</f>
        <v>0</v>
      </c>
      <c r="I522" s="67" t="b">
        <f>IF(Tab.11[[#This Row],[a1]]=1,Tab.11[[#This Row],[b1]])</f>
        <v>0</v>
      </c>
      <c r="J522" s="68" t="b">
        <f>IF(Tab.11[[#This Row],[a1]]=1,IF($I$3&lt;0,Tab.11[[#This Row],[b5]]-$I$3,Tab.11[[#This Row],[b5]]))</f>
        <v>0</v>
      </c>
      <c r="K522" s="68" t="b">
        <f>IF(Tab.11[[#This Row],[a1]]=1,IF($K$3=0,Tab.11[b6],Tab.11[[#This Row],[b6]]-AVERAGE(Tab.11[b6])))</f>
        <v>0</v>
      </c>
      <c r="L522" s="69" t="b">
        <f>IF(Tab.11[[#This Row],[a1]]=1,Tab.11[[#This Row],[data]]/(_xlfn.STDEV.P(Tab.11[data])*$B$989)+$A$989)</f>
        <v>0</v>
      </c>
      <c r="M522" s="69" t="b">
        <f>IF(Tab.11[[#This Row],[a1]]=1,Tab.11[[#This Row],[data]]/(_xlfn.STDEV.P(Tab.11[data])*$B$987)-$A$987)</f>
        <v>0</v>
      </c>
      <c r="N522" s="69" t="b">
        <f>IF(Tab.11[[#This Row],[a1]]=1,Tab.11[[#This Row],[data]]/(_xlfn.STDEV.P(Tab.11[data])*$B$988)+$A$988)</f>
        <v>0</v>
      </c>
      <c r="O522" s="70" t="b">
        <f>IF(Tab.11[[#This Row],[a1]]=1,_xlfn.NORM.DIST(Tab.11[[#This Row],[b8]],$P$1,$Q$1,FALSE))</f>
        <v>0</v>
      </c>
      <c r="P522" s="70" t="b">
        <f>IF(Tab.11[[#This Row],[a1]]=1,_xlfn.NORM.DIST(Tab.11[[#This Row],[b9]],$P$1,$Q$1,FALSE))</f>
        <v>0</v>
      </c>
      <c r="Q522" s="70" t="b">
        <f>IF(Tab.11[[#This Row],[a1]]=1,_xlfn.NORM.DIST(Tab.11[[#This Row],[b10]],$P$1,$Q$1,FALSE))</f>
        <v>0</v>
      </c>
      <c r="R522" s="67" t="b">
        <f>IF(Tab.11[[#This Row],[a1]]=1,$I$3+$A$989+IF($K$3=0,Tab.11[[#This Row],[b8]]*_xlfn.STDEV.P(Tab.11[data]),AVERAGE(Tab.11[b6])+Tab.11[[#This Row],[b8]]*_xlfn.STDEV.P(Tab.11[data])))</f>
        <v>0</v>
      </c>
      <c r="S522" s="71" t="b">
        <f>IF(Tab.11[[#This Row],[a1]]=1,$I$3+$A$987+IF($K$3=0,Tab.11[[#This Row],[b9]]*_xlfn.STDEV.P(Tab.11[data]),AVERAGE(Tab.11[b6])+Tab.11[[#This Row],[b9]]*_xlfn.STDEV.P(Tab.11[data])))</f>
        <v>0</v>
      </c>
      <c r="T522" s="71" t="b">
        <f>IF(Tab.11[[#This Row],[a1]]=1,$I$3+$A$988+IF($K$3=0,Tab.11[[#This Row],[b10]]*_xlfn.STDEV.P(Tab.11[data]),AVERAGE(Tab.11[b6])+Tab.11[[#This Row],[b10]]*_xlfn.STDEV.P(Tab.11[data])))</f>
        <v>0</v>
      </c>
      <c r="U522" s="72" t="b">
        <f>IF(Tab.11[[#This Row],[a1]]=1,Tab.11[[#This Row],[target]]-Tab.11[[#This Row],[Red]])</f>
        <v>0</v>
      </c>
      <c r="V522" s="72" t="b">
        <f>IF(Tab.11[[#This Row],[a1]]=1,Tab.11[[#This Row],[target]]-Tab.11[[#This Row],[Blue]])</f>
        <v>0</v>
      </c>
      <c r="W522" s="73" t="b">
        <f>IF(Tab.11[[#This Row],[a1]]=1,IF(ABS(Tab.11[[#This Row],[b17]])+ABS(Tab.11[[#This Row],[b18]])&lt;$W$2,$W$2,ABS(Tab.11[[#This Row],[b17]])+ABS(Tab.11[[#This Row],[b18]])))</f>
        <v>0</v>
      </c>
      <c r="X522" s="136" t="b">
        <f>IF(Tab.11[[#This Row],[a1]]=1,IF($W$3&lt;0,Tab.11[[#This Row],[IN]]-$I$3,Tab.11[[#This Row],[IN]]))</f>
        <v>0</v>
      </c>
      <c r="Y522" s="136" t="b">
        <f>IF(Tab.11[[#This Row],[a1]]=1,IF($X$3=0,Tab.11[b66],Tab.11[[#This Row],[b66]]-AVERAGE(Tab.11[b66])))</f>
        <v>0</v>
      </c>
      <c r="Z522" s="135" t="b">
        <f>IF(Tab.11[[#This Row],[a1]]=1,Tab.11[[#This Row],[b77]]/(_xlfn.STDEV.P(Tab.11[b77])))</f>
        <v>0</v>
      </c>
      <c r="AA522" s="70" t="b">
        <f>IF(Tab.11[[#This Row],[a1]]=1,_xlfn.NORM.DIST(Tab.11[[#This Row],[b88]],$Z$1,$AA$1,FALSE))</f>
        <v>0</v>
      </c>
      <c r="AB522" s="74" t="b">
        <f>IF(Tab.11[[#This Row],[a1]]=1,IF($A$3=0,FALSE,1/Tab.11[[#This Row],[IN]]*$AC$2*IF(Tab.11[[#This Row],[a1]]=0,,$A$3*$AC$1*1/$V$3*(Tab.11[[#This Row],[b14]]))))</f>
        <v>0</v>
      </c>
      <c r="AC522" s="75" t="b">
        <f>IF(Tab.11[[#This Row],[a1]]=1,IF($AC$3=0,Tab.11[[#This Row],[φ1]],Tab.11[[#This Row],[φ1]]/MAX(Tab.11[φ1])))</f>
        <v>0</v>
      </c>
      <c r="AD522" s="74" t="b">
        <f>IF(Tab.11[[#This Row],[a1]]=1,1/Tab.11[[#This Row],[φ2]])</f>
        <v>0</v>
      </c>
      <c r="AE522" s="74" t="b">
        <f>IF(Tab.11[[#This Row],[a1]]=1,IF($AE$3=0,Tab.11[[#This Row],[w.0]],Tab.11[[#This Row],[w.0]]/SUM(Tab.11[w.0])))</f>
        <v>0</v>
      </c>
      <c r="AF522" s="76" t="str">
        <f>IF(Tab.11[[#This Row],[a1]]=0,"false",[3]!Tab.x5[[#This Row],[%_seN_C]])</f>
        <v>false</v>
      </c>
      <c r="AG522" s="77" t="b">
        <f>IF(Tab.11[[#This Row],[a1]]=1,AP522)</f>
        <v>0</v>
      </c>
      <c r="AH522" s="78" t="b">
        <f>IF(Tab.11[[#This Row],[a1]]=1,AQ522)</f>
        <v>0</v>
      </c>
      <c r="AI522" s="41">
        <v>3.0000000000000001E-3</v>
      </c>
      <c r="AJ522" s="79">
        <v>-0.1</v>
      </c>
      <c r="AK522" s="80" t="b">
        <f>IF(Tab.11[[#This Row],[a1]]=1,1)</f>
        <v>0</v>
      </c>
      <c r="AZ522"/>
    </row>
    <row r="523" spans="1:52" hidden="1" x14ac:dyDescent="0.25">
      <c r="A523" s="61">
        <f t="shared" si="17"/>
        <v>0</v>
      </c>
      <c r="B523" s="62">
        <f t="shared" si="17"/>
        <v>0</v>
      </c>
      <c r="C523" s="62" t="b">
        <f>IF(Tab.11[[#This Row],[a1]]=1,[3]!Tab_x1[[#This Row],[Name]])</f>
        <v>0</v>
      </c>
      <c r="D523" s="63" t="b">
        <f>IF(Tab.11[[#This Row],[a1]]=1,AO523)</f>
        <v>0</v>
      </c>
      <c r="E523" s="63">
        <f t="shared" si="18"/>
        <v>0</v>
      </c>
      <c r="F523" s="64" t="b">
        <f>IF(Tab.11[[#This Row],[a1]]=1,Tab.11[[#This Row],[b1]])</f>
        <v>0</v>
      </c>
      <c r="G523" s="65" t="b">
        <f>IF(Tab.11[[#This Row],[a1]]=1,IF(Tab.11[[#This Row],[b3]]&gt;$L$989*$G$3,$L$989*$G$3,IF(Tab.11[[#This Row],[b3]]&lt;$M$989*$G$3,$M$989*$G$3,Tab.11[[#This Row],[b3]])))</f>
        <v>0</v>
      </c>
      <c r="H523" s="66" t="b">
        <f>IF(Tab.11[[#This Row],[a1]]=1,Tab.11[[#This Row],[b1]])</f>
        <v>0</v>
      </c>
      <c r="I523" s="67" t="b">
        <f>IF(Tab.11[[#This Row],[a1]]=1,Tab.11[[#This Row],[b1]])</f>
        <v>0</v>
      </c>
      <c r="J523" s="68" t="b">
        <f>IF(Tab.11[[#This Row],[a1]]=1,IF($I$3&lt;0,Tab.11[[#This Row],[b5]]-$I$3,Tab.11[[#This Row],[b5]]))</f>
        <v>0</v>
      </c>
      <c r="K523" s="68" t="b">
        <f>IF(Tab.11[[#This Row],[a1]]=1,IF($K$3=0,Tab.11[b6],Tab.11[[#This Row],[b6]]-AVERAGE(Tab.11[b6])))</f>
        <v>0</v>
      </c>
      <c r="L523" s="69" t="b">
        <f>IF(Tab.11[[#This Row],[a1]]=1,Tab.11[[#This Row],[data]]/(_xlfn.STDEV.P(Tab.11[data])*$B$989)+$A$989)</f>
        <v>0</v>
      </c>
      <c r="M523" s="69" t="b">
        <f>IF(Tab.11[[#This Row],[a1]]=1,Tab.11[[#This Row],[data]]/(_xlfn.STDEV.P(Tab.11[data])*$B$987)-$A$987)</f>
        <v>0</v>
      </c>
      <c r="N523" s="69" t="b">
        <f>IF(Tab.11[[#This Row],[a1]]=1,Tab.11[[#This Row],[data]]/(_xlfn.STDEV.P(Tab.11[data])*$B$988)+$A$988)</f>
        <v>0</v>
      </c>
      <c r="O523" s="70" t="b">
        <f>IF(Tab.11[[#This Row],[a1]]=1,_xlfn.NORM.DIST(Tab.11[[#This Row],[b8]],$P$1,$Q$1,FALSE))</f>
        <v>0</v>
      </c>
      <c r="P523" s="70" t="b">
        <f>IF(Tab.11[[#This Row],[a1]]=1,_xlfn.NORM.DIST(Tab.11[[#This Row],[b9]],$P$1,$Q$1,FALSE))</f>
        <v>0</v>
      </c>
      <c r="Q523" s="70" t="b">
        <f>IF(Tab.11[[#This Row],[a1]]=1,_xlfn.NORM.DIST(Tab.11[[#This Row],[b10]],$P$1,$Q$1,FALSE))</f>
        <v>0</v>
      </c>
      <c r="R523" s="67" t="b">
        <f>IF(Tab.11[[#This Row],[a1]]=1,$I$3+$A$989+IF($K$3=0,Tab.11[[#This Row],[b8]]*_xlfn.STDEV.P(Tab.11[data]),AVERAGE(Tab.11[b6])+Tab.11[[#This Row],[b8]]*_xlfn.STDEV.P(Tab.11[data])))</f>
        <v>0</v>
      </c>
      <c r="S523" s="71" t="b">
        <f>IF(Tab.11[[#This Row],[a1]]=1,$I$3+$A$987+IF($K$3=0,Tab.11[[#This Row],[b9]]*_xlfn.STDEV.P(Tab.11[data]),AVERAGE(Tab.11[b6])+Tab.11[[#This Row],[b9]]*_xlfn.STDEV.P(Tab.11[data])))</f>
        <v>0</v>
      </c>
      <c r="T523" s="71" t="b">
        <f>IF(Tab.11[[#This Row],[a1]]=1,$I$3+$A$988+IF($K$3=0,Tab.11[[#This Row],[b10]]*_xlfn.STDEV.P(Tab.11[data]),AVERAGE(Tab.11[b6])+Tab.11[[#This Row],[b10]]*_xlfn.STDEV.P(Tab.11[data])))</f>
        <v>0</v>
      </c>
      <c r="U523" s="72" t="b">
        <f>IF(Tab.11[[#This Row],[a1]]=1,Tab.11[[#This Row],[target]]-Tab.11[[#This Row],[Red]])</f>
        <v>0</v>
      </c>
      <c r="V523" s="72" t="b">
        <f>IF(Tab.11[[#This Row],[a1]]=1,Tab.11[[#This Row],[target]]-Tab.11[[#This Row],[Blue]])</f>
        <v>0</v>
      </c>
      <c r="W523" s="73" t="b">
        <f>IF(Tab.11[[#This Row],[a1]]=1,IF(ABS(Tab.11[[#This Row],[b17]])+ABS(Tab.11[[#This Row],[b18]])&lt;$W$2,$W$2,ABS(Tab.11[[#This Row],[b17]])+ABS(Tab.11[[#This Row],[b18]])))</f>
        <v>0</v>
      </c>
      <c r="X523" s="136" t="b">
        <f>IF(Tab.11[[#This Row],[a1]]=1,IF($W$3&lt;0,Tab.11[[#This Row],[IN]]-$I$3,Tab.11[[#This Row],[IN]]))</f>
        <v>0</v>
      </c>
      <c r="Y523" s="136" t="b">
        <f>IF(Tab.11[[#This Row],[a1]]=1,IF($X$3=0,Tab.11[b66],Tab.11[[#This Row],[b66]]-AVERAGE(Tab.11[b66])))</f>
        <v>0</v>
      </c>
      <c r="Z523" s="135" t="b">
        <f>IF(Tab.11[[#This Row],[a1]]=1,Tab.11[[#This Row],[b77]]/(_xlfn.STDEV.P(Tab.11[b77])))</f>
        <v>0</v>
      </c>
      <c r="AA523" s="70" t="b">
        <f>IF(Tab.11[[#This Row],[a1]]=1,_xlfn.NORM.DIST(Tab.11[[#This Row],[b88]],$Z$1,$AA$1,FALSE))</f>
        <v>0</v>
      </c>
      <c r="AB523" s="74" t="b">
        <f>IF(Tab.11[[#This Row],[a1]]=1,IF($A$3=0,FALSE,1/Tab.11[[#This Row],[IN]]*$AC$2*IF(Tab.11[[#This Row],[a1]]=0,,$A$3*$AC$1*1/$V$3*(Tab.11[[#This Row],[b14]]))))</f>
        <v>0</v>
      </c>
      <c r="AC523" s="75" t="b">
        <f>IF(Tab.11[[#This Row],[a1]]=1,IF($AC$3=0,Tab.11[[#This Row],[φ1]],Tab.11[[#This Row],[φ1]]/MAX(Tab.11[φ1])))</f>
        <v>0</v>
      </c>
      <c r="AD523" s="74" t="b">
        <f>IF(Tab.11[[#This Row],[a1]]=1,1/Tab.11[[#This Row],[φ2]])</f>
        <v>0</v>
      </c>
      <c r="AE523" s="74" t="b">
        <f>IF(Tab.11[[#This Row],[a1]]=1,IF($AE$3=0,Tab.11[[#This Row],[w.0]],Tab.11[[#This Row],[w.0]]/SUM(Tab.11[w.0])))</f>
        <v>0</v>
      </c>
      <c r="AF523" s="76" t="str">
        <f>IF(Tab.11[[#This Row],[a1]]=0,"false",[3]!Tab.x5[[#This Row],[%_seN_C]])</f>
        <v>false</v>
      </c>
      <c r="AG523" s="77" t="b">
        <f>IF(Tab.11[[#This Row],[a1]]=1,AP523)</f>
        <v>0</v>
      </c>
      <c r="AH523" s="78" t="b">
        <f>IF(Tab.11[[#This Row],[a1]]=1,AQ523)</f>
        <v>0</v>
      </c>
      <c r="AI523" s="41">
        <v>3.0000000000000001E-3</v>
      </c>
      <c r="AJ523" s="79">
        <v>-0.04</v>
      </c>
      <c r="AK523" s="80" t="b">
        <f>IF(Tab.11[[#This Row],[a1]]=1,1)</f>
        <v>0</v>
      </c>
      <c r="AZ523"/>
    </row>
    <row r="524" spans="1:52" hidden="1" x14ac:dyDescent="0.25">
      <c r="A524" s="61">
        <f t="shared" si="17"/>
        <v>0</v>
      </c>
      <c r="B524" s="62">
        <f t="shared" si="17"/>
        <v>0</v>
      </c>
      <c r="C524" s="62" t="b">
        <f>IF(Tab.11[[#This Row],[a1]]=1,[3]!Tab_x1[[#This Row],[Name]])</f>
        <v>0</v>
      </c>
      <c r="D524" s="63" t="b">
        <f>IF(Tab.11[[#This Row],[a1]]=1,AO524)</f>
        <v>0</v>
      </c>
      <c r="E524" s="63">
        <f t="shared" si="18"/>
        <v>0</v>
      </c>
      <c r="F524" s="64" t="b">
        <f>IF(Tab.11[[#This Row],[a1]]=1,Tab.11[[#This Row],[b1]])</f>
        <v>0</v>
      </c>
      <c r="G524" s="65" t="b">
        <f>IF(Tab.11[[#This Row],[a1]]=1,IF(Tab.11[[#This Row],[b3]]&gt;$L$989*$G$3,$L$989*$G$3,IF(Tab.11[[#This Row],[b3]]&lt;$M$989*$G$3,$M$989*$G$3,Tab.11[[#This Row],[b3]])))</f>
        <v>0</v>
      </c>
      <c r="H524" s="66" t="b">
        <f>IF(Tab.11[[#This Row],[a1]]=1,Tab.11[[#This Row],[b1]])</f>
        <v>0</v>
      </c>
      <c r="I524" s="67" t="b">
        <f>IF(Tab.11[[#This Row],[a1]]=1,Tab.11[[#This Row],[b1]])</f>
        <v>0</v>
      </c>
      <c r="J524" s="68" t="b">
        <f>IF(Tab.11[[#This Row],[a1]]=1,IF($I$3&lt;0,Tab.11[[#This Row],[b5]]-$I$3,Tab.11[[#This Row],[b5]]))</f>
        <v>0</v>
      </c>
      <c r="K524" s="68" t="b">
        <f>IF(Tab.11[[#This Row],[a1]]=1,IF($K$3=0,Tab.11[b6],Tab.11[[#This Row],[b6]]-AVERAGE(Tab.11[b6])))</f>
        <v>0</v>
      </c>
      <c r="L524" s="69" t="b">
        <f>IF(Tab.11[[#This Row],[a1]]=1,Tab.11[[#This Row],[data]]/(_xlfn.STDEV.P(Tab.11[data])*$B$989)+$A$989)</f>
        <v>0</v>
      </c>
      <c r="M524" s="69" t="b">
        <f>IF(Tab.11[[#This Row],[a1]]=1,Tab.11[[#This Row],[data]]/(_xlfn.STDEV.P(Tab.11[data])*$B$987)-$A$987)</f>
        <v>0</v>
      </c>
      <c r="N524" s="69" t="b">
        <f>IF(Tab.11[[#This Row],[a1]]=1,Tab.11[[#This Row],[data]]/(_xlfn.STDEV.P(Tab.11[data])*$B$988)+$A$988)</f>
        <v>0</v>
      </c>
      <c r="O524" s="70" t="b">
        <f>IF(Tab.11[[#This Row],[a1]]=1,_xlfn.NORM.DIST(Tab.11[[#This Row],[b8]],$P$1,$Q$1,FALSE))</f>
        <v>0</v>
      </c>
      <c r="P524" s="70" t="b">
        <f>IF(Tab.11[[#This Row],[a1]]=1,_xlfn.NORM.DIST(Tab.11[[#This Row],[b9]],$P$1,$Q$1,FALSE))</f>
        <v>0</v>
      </c>
      <c r="Q524" s="70" t="b">
        <f>IF(Tab.11[[#This Row],[a1]]=1,_xlfn.NORM.DIST(Tab.11[[#This Row],[b10]],$P$1,$Q$1,FALSE))</f>
        <v>0</v>
      </c>
      <c r="R524" s="67" t="b">
        <f>IF(Tab.11[[#This Row],[a1]]=1,$I$3+$A$989+IF($K$3=0,Tab.11[[#This Row],[b8]]*_xlfn.STDEV.P(Tab.11[data]),AVERAGE(Tab.11[b6])+Tab.11[[#This Row],[b8]]*_xlfn.STDEV.P(Tab.11[data])))</f>
        <v>0</v>
      </c>
      <c r="S524" s="71" t="b">
        <f>IF(Tab.11[[#This Row],[a1]]=1,$I$3+$A$987+IF($K$3=0,Tab.11[[#This Row],[b9]]*_xlfn.STDEV.P(Tab.11[data]),AVERAGE(Tab.11[b6])+Tab.11[[#This Row],[b9]]*_xlfn.STDEV.P(Tab.11[data])))</f>
        <v>0</v>
      </c>
      <c r="T524" s="71" t="b">
        <f>IF(Tab.11[[#This Row],[a1]]=1,$I$3+$A$988+IF($K$3=0,Tab.11[[#This Row],[b10]]*_xlfn.STDEV.P(Tab.11[data]),AVERAGE(Tab.11[b6])+Tab.11[[#This Row],[b10]]*_xlfn.STDEV.P(Tab.11[data])))</f>
        <v>0</v>
      </c>
      <c r="U524" s="72" t="b">
        <f>IF(Tab.11[[#This Row],[a1]]=1,Tab.11[[#This Row],[target]]-Tab.11[[#This Row],[Red]])</f>
        <v>0</v>
      </c>
      <c r="V524" s="72" t="b">
        <f>IF(Tab.11[[#This Row],[a1]]=1,Tab.11[[#This Row],[target]]-Tab.11[[#This Row],[Blue]])</f>
        <v>0</v>
      </c>
      <c r="W524" s="73" t="b">
        <f>IF(Tab.11[[#This Row],[a1]]=1,IF(ABS(Tab.11[[#This Row],[b17]])+ABS(Tab.11[[#This Row],[b18]])&lt;$W$2,$W$2,ABS(Tab.11[[#This Row],[b17]])+ABS(Tab.11[[#This Row],[b18]])))</f>
        <v>0</v>
      </c>
      <c r="X524" s="136" t="b">
        <f>IF(Tab.11[[#This Row],[a1]]=1,IF($W$3&lt;0,Tab.11[[#This Row],[IN]]-$I$3,Tab.11[[#This Row],[IN]]))</f>
        <v>0</v>
      </c>
      <c r="Y524" s="136" t="b">
        <f>IF(Tab.11[[#This Row],[a1]]=1,IF($X$3=0,Tab.11[b66],Tab.11[[#This Row],[b66]]-AVERAGE(Tab.11[b66])))</f>
        <v>0</v>
      </c>
      <c r="Z524" s="135" t="b">
        <f>IF(Tab.11[[#This Row],[a1]]=1,Tab.11[[#This Row],[b77]]/(_xlfn.STDEV.P(Tab.11[b77])))</f>
        <v>0</v>
      </c>
      <c r="AA524" s="70" t="b">
        <f>IF(Tab.11[[#This Row],[a1]]=1,_xlfn.NORM.DIST(Tab.11[[#This Row],[b88]],$Z$1,$AA$1,FALSE))</f>
        <v>0</v>
      </c>
      <c r="AB524" s="74" t="b">
        <f>IF(Tab.11[[#This Row],[a1]]=1,IF($A$3=0,FALSE,1/Tab.11[[#This Row],[IN]]*$AC$2*IF(Tab.11[[#This Row],[a1]]=0,,$A$3*$AC$1*1/$V$3*(Tab.11[[#This Row],[b14]]))))</f>
        <v>0</v>
      </c>
      <c r="AC524" s="75" t="b">
        <f>IF(Tab.11[[#This Row],[a1]]=1,IF($AC$3=0,Tab.11[[#This Row],[φ1]],Tab.11[[#This Row],[φ1]]/MAX(Tab.11[φ1])))</f>
        <v>0</v>
      </c>
      <c r="AD524" s="74" t="b">
        <f>IF(Tab.11[[#This Row],[a1]]=1,1/Tab.11[[#This Row],[φ2]])</f>
        <v>0</v>
      </c>
      <c r="AE524" s="74" t="b">
        <f>IF(Tab.11[[#This Row],[a1]]=1,IF($AE$3=0,Tab.11[[#This Row],[w.0]],Tab.11[[#This Row],[w.0]]/SUM(Tab.11[w.0])))</f>
        <v>0</v>
      </c>
      <c r="AF524" s="76" t="str">
        <f>IF(Tab.11[[#This Row],[a1]]=0,"false",[3]!Tab.x5[[#This Row],[%_seN_C]])</f>
        <v>false</v>
      </c>
      <c r="AG524" s="77" t="b">
        <f>IF(Tab.11[[#This Row],[a1]]=1,AP524)</f>
        <v>0</v>
      </c>
      <c r="AH524" s="78" t="b">
        <f>IF(Tab.11[[#This Row],[a1]]=1,AQ524)</f>
        <v>0</v>
      </c>
      <c r="AI524" s="41">
        <v>3.0000000000000001E-3</v>
      </c>
      <c r="AJ524" s="79">
        <v>0.01</v>
      </c>
      <c r="AK524" s="80" t="b">
        <f>IF(Tab.11[[#This Row],[a1]]=1,1)</f>
        <v>0</v>
      </c>
      <c r="AZ524"/>
    </row>
    <row r="525" spans="1:52" hidden="1" x14ac:dyDescent="0.25">
      <c r="A525" s="61">
        <f t="shared" si="17"/>
        <v>0</v>
      </c>
      <c r="B525" s="62">
        <f t="shared" si="17"/>
        <v>0</v>
      </c>
      <c r="C525" s="62" t="b">
        <f>IF(Tab.11[[#This Row],[a1]]=1,[3]!Tab_x1[[#This Row],[Name]])</f>
        <v>0</v>
      </c>
      <c r="D525" s="63" t="b">
        <f>IF(Tab.11[[#This Row],[a1]]=1,AO525)</f>
        <v>0</v>
      </c>
      <c r="E525" s="63">
        <f t="shared" si="18"/>
        <v>0</v>
      </c>
      <c r="F525" s="64" t="b">
        <f>IF(Tab.11[[#This Row],[a1]]=1,Tab.11[[#This Row],[b1]])</f>
        <v>0</v>
      </c>
      <c r="G525" s="65" t="b">
        <f>IF(Tab.11[[#This Row],[a1]]=1,IF(Tab.11[[#This Row],[b3]]&gt;$L$989*$G$3,$L$989*$G$3,IF(Tab.11[[#This Row],[b3]]&lt;$M$989*$G$3,$M$989*$G$3,Tab.11[[#This Row],[b3]])))</f>
        <v>0</v>
      </c>
      <c r="H525" s="66" t="b">
        <f>IF(Tab.11[[#This Row],[a1]]=1,Tab.11[[#This Row],[b1]])</f>
        <v>0</v>
      </c>
      <c r="I525" s="67" t="b">
        <f>IF(Tab.11[[#This Row],[a1]]=1,Tab.11[[#This Row],[b1]])</f>
        <v>0</v>
      </c>
      <c r="J525" s="68" t="b">
        <f>IF(Tab.11[[#This Row],[a1]]=1,IF($I$3&lt;0,Tab.11[[#This Row],[b5]]-$I$3,Tab.11[[#This Row],[b5]]))</f>
        <v>0</v>
      </c>
      <c r="K525" s="68" t="b">
        <f>IF(Tab.11[[#This Row],[a1]]=1,IF($K$3=0,Tab.11[b6],Tab.11[[#This Row],[b6]]-AVERAGE(Tab.11[b6])))</f>
        <v>0</v>
      </c>
      <c r="L525" s="69" t="b">
        <f>IF(Tab.11[[#This Row],[a1]]=1,Tab.11[[#This Row],[data]]/(_xlfn.STDEV.P(Tab.11[data])*$B$989)+$A$989)</f>
        <v>0</v>
      </c>
      <c r="M525" s="69" t="b">
        <f>IF(Tab.11[[#This Row],[a1]]=1,Tab.11[[#This Row],[data]]/(_xlfn.STDEV.P(Tab.11[data])*$B$987)-$A$987)</f>
        <v>0</v>
      </c>
      <c r="N525" s="69" t="b">
        <f>IF(Tab.11[[#This Row],[a1]]=1,Tab.11[[#This Row],[data]]/(_xlfn.STDEV.P(Tab.11[data])*$B$988)+$A$988)</f>
        <v>0</v>
      </c>
      <c r="O525" s="70" t="b">
        <f>IF(Tab.11[[#This Row],[a1]]=1,_xlfn.NORM.DIST(Tab.11[[#This Row],[b8]],$P$1,$Q$1,FALSE))</f>
        <v>0</v>
      </c>
      <c r="P525" s="70" t="b">
        <f>IF(Tab.11[[#This Row],[a1]]=1,_xlfn.NORM.DIST(Tab.11[[#This Row],[b9]],$P$1,$Q$1,FALSE))</f>
        <v>0</v>
      </c>
      <c r="Q525" s="70" t="b">
        <f>IF(Tab.11[[#This Row],[a1]]=1,_xlfn.NORM.DIST(Tab.11[[#This Row],[b10]],$P$1,$Q$1,FALSE))</f>
        <v>0</v>
      </c>
      <c r="R525" s="67" t="b">
        <f>IF(Tab.11[[#This Row],[a1]]=1,$I$3+$A$989+IF($K$3=0,Tab.11[[#This Row],[b8]]*_xlfn.STDEV.P(Tab.11[data]),AVERAGE(Tab.11[b6])+Tab.11[[#This Row],[b8]]*_xlfn.STDEV.P(Tab.11[data])))</f>
        <v>0</v>
      </c>
      <c r="S525" s="71" t="b">
        <f>IF(Tab.11[[#This Row],[a1]]=1,$I$3+$A$987+IF($K$3=0,Tab.11[[#This Row],[b9]]*_xlfn.STDEV.P(Tab.11[data]),AVERAGE(Tab.11[b6])+Tab.11[[#This Row],[b9]]*_xlfn.STDEV.P(Tab.11[data])))</f>
        <v>0</v>
      </c>
      <c r="T525" s="71" t="b">
        <f>IF(Tab.11[[#This Row],[a1]]=1,$I$3+$A$988+IF($K$3=0,Tab.11[[#This Row],[b10]]*_xlfn.STDEV.P(Tab.11[data]),AVERAGE(Tab.11[b6])+Tab.11[[#This Row],[b10]]*_xlfn.STDEV.P(Tab.11[data])))</f>
        <v>0</v>
      </c>
      <c r="U525" s="72" t="b">
        <f>IF(Tab.11[[#This Row],[a1]]=1,Tab.11[[#This Row],[target]]-Tab.11[[#This Row],[Red]])</f>
        <v>0</v>
      </c>
      <c r="V525" s="72" t="b">
        <f>IF(Tab.11[[#This Row],[a1]]=1,Tab.11[[#This Row],[target]]-Tab.11[[#This Row],[Blue]])</f>
        <v>0</v>
      </c>
      <c r="W525" s="73" t="b">
        <f>IF(Tab.11[[#This Row],[a1]]=1,IF(ABS(Tab.11[[#This Row],[b17]])+ABS(Tab.11[[#This Row],[b18]])&lt;$W$2,$W$2,ABS(Tab.11[[#This Row],[b17]])+ABS(Tab.11[[#This Row],[b18]])))</f>
        <v>0</v>
      </c>
      <c r="X525" s="136" t="b">
        <f>IF(Tab.11[[#This Row],[a1]]=1,IF($W$3&lt;0,Tab.11[[#This Row],[IN]]-$I$3,Tab.11[[#This Row],[IN]]))</f>
        <v>0</v>
      </c>
      <c r="Y525" s="136" t="b">
        <f>IF(Tab.11[[#This Row],[a1]]=1,IF($X$3=0,Tab.11[b66],Tab.11[[#This Row],[b66]]-AVERAGE(Tab.11[b66])))</f>
        <v>0</v>
      </c>
      <c r="Z525" s="135" t="b">
        <f>IF(Tab.11[[#This Row],[a1]]=1,Tab.11[[#This Row],[b77]]/(_xlfn.STDEV.P(Tab.11[b77])))</f>
        <v>0</v>
      </c>
      <c r="AA525" s="70" t="b">
        <f>IF(Tab.11[[#This Row],[a1]]=1,_xlfn.NORM.DIST(Tab.11[[#This Row],[b88]],$Z$1,$AA$1,FALSE))</f>
        <v>0</v>
      </c>
      <c r="AB525" s="74" t="b">
        <f>IF(Tab.11[[#This Row],[a1]]=1,IF($A$3=0,FALSE,1/Tab.11[[#This Row],[IN]]*$AC$2*IF(Tab.11[[#This Row],[a1]]=0,,$A$3*$AC$1*1/$V$3*(Tab.11[[#This Row],[b14]]))))</f>
        <v>0</v>
      </c>
      <c r="AC525" s="75" t="b">
        <f>IF(Tab.11[[#This Row],[a1]]=1,IF($AC$3=0,Tab.11[[#This Row],[φ1]],Tab.11[[#This Row],[φ1]]/MAX(Tab.11[φ1])))</f>
        <v>0</v>
      </c>
      <c r="AD525" s="74" t="b">
        <f>IF(Tab.11[[#This Row],[a1]]=1,1/Tab.11[[#This Row],[φ2]])</f>
        <v>0</v>
      </c>
      <c r="AE525" s="74" t="b">
        <f>IF(Tab.11[[#This Row],[a1]]=1,IF($AE$3=0,Tab.11[[#This Row],[w.0]],Tab.11[[#This Row],[w.0]]/SUM(Tab.11[w.0])))</f>
        <v>0</v>
      </c>
      <c r="AF525" s="76" t="str">
        <f>IF(Tab.11[[#This Row],[a1]]=0,"false",[3]!Tab.x5[[#This Row],[%_seN_C]])</f>
        <v>false</v>
      </c>
      <c r="AG525" s="77" t="b">
        <f>IF(Tab.11[[#This Row],[a1]]=1,AP525)</f>
        <v>0</v>
      </c>
      <c r="AH525" s="78" t="b">
        <f>IF(Tab.11[[#This Row],[a1]]=1,AQ525)</f>
        <v>0</v>
      </c>
      <c r="AI525" s="41">
        <v>3.0000000000000001E-3</v>
      </c>
      <c r="AJ525" s="79">
        <v>0.1</v>
      </c>
      <c r="AK525" s="80" t="b">
        <f>IF(Tab.11[[#This Row],[a1]]=1,1)</f>
        <v>0</v>
      </c>
      <c r="AZ525"/>
    </row>
    <row r="526" spans="1:52" hidden="1" x14ac:dyDescent="0.25">
      <c r="A526" s="61">
        <f t="shared" si="17"/>
        <v>0</v>
      </c>
      <c r="B526" s="62">
        <f t="shared" si="17"/>
        <v>0</v>
      </c>
      <c r="C526" s="62" t="b">
        <f>IF(Tab.11[[#This Row],[a1]]=1,[3]!Tab_x1[[#This Row],[Name]])</f>
        <v>0</v>
      </c>
      <c r="D526" s="63" t="b">
        <f>IF(Tab.11[[#This Row],[a1]]=1,AO526)</f>
        <v>0</v>
      </c>
      <c r="E526" s="63">
        <f t="shared" si="18"/>
        <v>0</v>
      </c>
      <c r="F526" s="64" t="b">
        <f>IF(Tab.11[[#This Row],[a1]]=1,Tab.11[[#This Row],[b1]])</f>
        <v>0</v>
      </c>
      <c r="G526" s="65" t="b">
        <f>IF(Tab.11[[#This Row],[a1]]=1,IF(Tab.11[[#This Row],[b3]]&gt;$L$989*$G$3,$L$989*$G$3,IF(Tab.11[[#This Row],[b3]]&lt;$M$989*$G$3,$M$989*$G$3,Tab.11[[#This Row],[b3]])))</f>
        <v>0</v>
      </c>
      <c r="H526" s="66" t="b">
        <f>IF(Tab.11[[#This Row],[a1]]=1,Tab.11[[#This Row],[b1]])</f>
        <v>0</v>
      </c>
      <c r="I526" s="67" t="b">
        <f>IF(Tab.11[[#This Row],[a1]]=1,Tab.11[[#This Row],[b1]])</f>
        <v>0</v>
      </c>
      <c r="J526" s="68" t="b">
        <f>IF(Tab.11[[#This Row],[a1]]=1,IF($I$3&lt;0,Tab.11[[#This Row],[b5]]-$I$3,Tab.11[[#This Row],[b5]]))</f>
        <v>0</v>
      </c>
      <c r="K526" s="68" t="b">
        <f>IF(Tab.11[[#This Row],[a1]]=1,IF($K$3=0,Tab.11[b6],Tab.11[[#This Row],[b6]]-AVERAGE(Tab.11[b6])))</f>
        <v>0</v>
      </c>
      <c r="L526" s="69" t="b">
        <f>IF(Tab.11[[#This Row],[a1]]=1,Tab.11[[#This Row],[data]]/(_xlfn.STDEV.P(Tab.11[data])*$B$989)+$A$989)</f>
        <v>0</v>
      </c>
      <c r="M526" s="69" t="b">
        <f>IF(Tab.11[[#This Row],[a1]]=1,Tab.11[[#This Row],[data]]/(_xlfn.STDEV.P(Tab.11[data])*$B$987)-$A$987)</f>
        <v>0</v>
      </c>
      <c r="N526" s="69" t="b">
        <f>IF(Tab.11[[#This Row],[a1]]=1,Tab.11[[#This Row],[data]]/(_xlfn.STDEV.P(Tab.11[data])*$B$988)+$A$988)</f>
        <v>0</v>
      </c>
      <c r="O526" s="70" t="b">
        <f>IF(Tab.11[[#This Row],[a1]]=1,_xlfn.NORM.DIST(Tab.11[[#This Row],[b8]],$P$1,$Q$1,FALSE))</f>
        <v>0</v>
      </c>
      <c r="P526" s="70" t="b">
        <f>IF(Tab.11[[#This Row],[a1]]=1,_xlfn.NORM.DIST(Tab.11[[#This Row],[b9]],$P$1,$Q$1,FALSE))</f>
        <v>0</v>
      </c>
      <c r="Q526" s="70" t="b">
        <f>IF(Tab.11[[#This Row],[a1]]=1,_xlfn.NORM.DIST(Tab.11[[#This Row],[b10]],$P$1,$Q$1,FALSE))</f>
        <v>0</v>
      </c>
      <c r="R526" s="67" t="b">
        <f>IF(Tab.11[[#This Row],[a1]]=1,$I$3+$A$989+IF($K$3=0,Tab.11[[#This Row],[b8]]*_xlfn.STDEV.P(Tab.11[data]),AVERAGE(Tab.11[b6])+Tab.11[[#This Row],[b8]]*_xlfn.STDEV.P(Tab.11[data])))</f>
        <v>0</v>
      </c>
      <c r="S526" s="71" t="b">
        <f>IF(Tab.11[[#This Row],[a1]]=1,$I$3+$A$987+IF($K$3=0,Tab.11[[#This Row],[b9]]*_xlfn.STDEV.P(Tab.11[data]),AVERAGE(Tab.11[b6])+Tab.11[[#This Row],[b9]]*_xlfn.STDEV.P(Tab.11[data])))</f>
        <v>0</v>
      </c>
      <c r="T526" s="71" t="b">
        <f>IF(Tab.11[[#This Row],[a1]]=1,$I$3+$A$988+IF($K$3=0,Tab.11[[#This Row],[b10]]*_xlfn.STDEV.P(Tab.11[data]),AVERAGE(Tab.11[b6])+Tab.11[[#This Row],[b10]]*_xlfn.STDEV.P(Tab.11[data])))</f>
        <v>0</v>
      </c>
      <c r="U526" s="72" t="b">
        <f>IF(Tab.11[[#This Row],[a1]]=1,Tab.11[[#This Row],[target]]-Tab.11[[#This Row],[Red]])</f>
        <v>0</v>
      </c>
      <c r="V526" s="72" t="b">
        <f>IF(Tab.11[[#This Row],[a1]]=1,Tab.11[[#This Row],[target]]-Tab.11[[#This Row],[Blue]])</f>
        <v>0</v>
      </c>
      <c r="W526" s="73" t="b">
        <f>IF(Tab.11[[#This Row],[a1]]=1,IF(ABS(Tab.11[[#This Row],[b17]])+ABS(Tab.11[[#This Row],[b18]])&lt;$W$2,$W$2,ABS(Tab.11[[#This Row],[b17]])+ABS(Tab.11[[#This Row],[b18]])))</f>
        <v>0</v>
      </c>
      <c r="X526" s="136" t="b">
        <f>IF(Tab.11[[#This Row],[a1]]=1,IF($W$3&lt;0,Tab.11[[#This Row],[IN]]-$I$3,Tab.11[[#This Row],[IN]]))</f>
        <v>0</v>
      </c>
      <c r="Y526" s="136" t="b">
        <f>IF(Tab.11[[#This Row],[a1]]=1,IF($X$3=0,Tab.11[b66],Tab.11[[#This Row],[b66]]-AVERAGE(Tab.11[b66])))</f>
        <v>0</v>
      </c>
      <c r="Z526" s="135" t="b">
        <f>IF(Tab.11[[#This Row],[a1]]=1,Tab.11[[#This Row],[b77]]/(_xlfn.STDEV.P(Tab.11[b77])))</f>
        <v>0</v>
      </c>
      <c r="AA526" s="70" t="b">
        <f>IF(Tab.11[[#This Row],[a1]]=1,_xlfn.NORM.DIST(Tab.11[[#This Row],[b88]],$Z$1,$AA$1,FALSE))</f>
        <v>0</v>
      </c>
      <c r="AB526" s="74" t="b">
        <f>IF(Tab.11[[#This Row],[a1]]=1,IF($A$3=0,FALSE,1/Tab.11[[#This Row],[IN]]*$AC$2*IF(Tab.11[[#This Row],[a1]]=0,,$A$3*$AC$1*1/$V$3*(Tab.11[[#This Row],[b14]]))))</f>
        <v>0</v>
      </c>
      <c r="AC526" s="75" t="b">
        <f>IF(Tab.11[[#This Row],[a1]]=1,IF($AC$3=0,Tab.11[[#This Row],[φ1]],Tab.11[[#This Row],[φ1]]/MAX(Tab.11[φ1])))</f>
        <v>0</v>
      </c>
      <c r="AD526" s="74" t="b">
        <f>IF(Tab.11[[#This Row],[a1]]=1,1/Tab.11[[#This Row],[φ2]])</f>
        <v>0</v>
      </c>
      <c r="AE526" s="74" t="b">
        <f>IF(Tab.11[[#This Row],[a1]]=1,IF($AE$3=0,Tab.11[[#This Row],[w.0]],Tab.11[[#This Row],[w.0]]/SUM(Tab.11[w.0])))</f>
        <v>0</v>
      </c>
      <c r="AF526" s="76" t="str">
        <f>IF(Tab.11[[#This Row],[a1]]=0,"false",[3]!Tab.x5[[#This Row],[%_seN_C]])</f>
        <v>false</v>
      </c>
      <c r="AG526" s="77" t="b">
        <f>IF(Tab.11[[#This Row],[a1]]=1,AP526)</f>
        <v>0</v>
      </c>
      <c r="AH526" s="78" t="b">
        <f>IF(Tab.11[[#This Row],[a1]]=1,AQ526)</f>
        <v>0</v>
      </c>
      <c r="AI526" s="41">
        <v>3.0000000000000001E-3</v>
      </c>
      <c r="AJ526" s="79">
        <v>-0.02</v>
      </c>
      <c r="AK526" s="80" t="b">
        <f>IF(Tab.11[[#This Row],[a1]]=1,1)</f>
        <v>0</v>
      </c>
      <c r="AZ526"/>
    </row>
    <row r="527" spans="1:52" hidden="1" x14ac:dyDescent="0.25">
      <c r="A527" s="61">
        <f t="shared" si="17"/>
        <v>0</v>
      </c>
      <c r="B527" s="62">
        <f t="shared" si="17"/>
        <v>0</v>
      </c>
      <c r="C527" s="62" t="b">
        <f>IF(Tab.11[[#This Row],[a1]]=1,[3]!Tab_x1[[#This Row],[Name]])</f>
        <v>0</v>
      </c>
      <c r="D527" s="63" t="b">
        <f>IF(Tab.11[[#This Row],[a1]]=1,AO527)</f>
        <v>0</v>
      </c>
      <c r="E527" s="63">
        <f t="shared" si="18"/>
        <v>0</v>
      </c>
      <c r="F527" s="64" t="b">
        <f>IF(Tab.11[[#This Row],[a1]]=1,Tab.11[[#This Row],[b1]])</f>
        <v>0</v>
      </c>
      <c r="G527" s="65" t="b">
        <f>IF(Tab.11[[#This Row],[a1]]=1,IF(Tab.11[[#This Row],[b3]]&gt;$L$989*$G$3,$L$989*$G$3,IF(Tab.11[[#This Row],[b3]]&lt;$M$989*$G$3,$M$989*$G$3,Tab.11[[#This Row],[b3]])))</f>
        <v>0</v>
      </c>
      <c r="H527" s="66" t="b">
        <f>IF(Tab.11[[#This Row],[a1]]=1,Tab.11[[#This Row],[b1]])</f>
        <v>0</v>
      </c>
      <c r="I527" s="67" t="b">
        <f>IF(Tab.11[[#This Row],[a1]]=1,Tab.11[[#This Row],[b1]])</f>
        <v>0</v>
      </c>
      <c r="J527" s="68" t="b">
        <f>IF(Tab.11[[#This Row],[a1]]=1,IF($I$3&lt;0,Tab.11[[#This Row],[b5]]-$I$3,Tab.11[[#This Row],[b5]]))</f>
        <v>0</v>
      </c>
      <c r="K527" s="68" t="b">
        <f>IF(Tab.11[[#This Row],[a1]]=1,IF($K$3=0,Tab.11[b6],Tab.11[[#This Row],[b6]]-AVERAGE(Tab.11[b6])))</f>
        <v>0</v>
      </c>
      <c r="L527" s="69" t="b">
        <f>IF(Tab.11[[#This Row],[a1]]=1,Tab.11[[#This Row],[data]]/(_xlfn.STDEV.P(Tab.11[data])*$B$989)+$A$989)</f>
        <v>0</v>
      </c>
      <c r="M527" s="69" t="b">
        <f>IF(Tab.11[[#This Row],[a1]]=1,Tab.11[[#This Row],[data]]/(_xlfn.STDEV.P(Tab.11[data])*$B$987)-$A$987)</f>
        <v>0</v>
      </c>
      <c r="N527" s="69" t="b">
        <f>IF(Tab.11[[#This Row],[a1]]=1,Tab.11[[#This Row],[data]]/(_xlfn.STDEV.P(Tab.11[data])*$B$988)+$A$988)</f>
        <v>0</v>
      </c>
      <c r="O527" s="70" t="b">
        <f>IF(Tab.11[[#This Row],[a1]]=1,_xlfn.NORM.DIST(Tab.11[[#This Row],[b8]],$P$1,$Q$1,FALSE))</f>
        <v>0</v>
      </c>
      <c r="P527" s="70" t="b">
        <f>IF(Tab.11[[#This Row],[a1]]=1,_xlfn.NORM.DIST(Tab.11[[#This Row],[b9]],$P$1,$Q$1,FALSE))</f>
        <v>0</v>
      </c>
      <c r="Q527" s="70" t="b">
        <f>IF(Tab.11[[#This Row],[a1]]=1,_xlfn.NORM.DIST(Tab.11[[#This Row],[b10]],$P$1,$Q$1,FALSE))</f>
        <v>0</v>
      </c>
      <c r="R527" s="67" t="b">
        <f>IF(Tab.11[[#This Row],[a1]]=1,$I$3+$A$989+IF($K$3=0,Tab.11[[#This Row],[b8]]*_xlfn.STDEV.P(Tab.11[data]),AVERAGE(Tab.11[b6])+Tab.11[[#This Row],[b8]]*_xlfn.STDEV.P(Tab.11[data])))</f>
        <v>0</v>
      </c>
      <c r="S527" s="71" t="b">
        <f>IF(Tab.11[[#This Row],[a1]]=1,$I$3+$A$987+IF($K$3=0,Tab.11[[#This Row],[b9]]*_xlfn.STDEV.P(Tab.11[data]),AVERAGE(Tab.11[b6])+Tab.11[[#This Row],[b9]]*_xlfn.STDEV.P(Tab.11[data])))</f>
        <v>0</v>
      </c>
      <c r="T527" s="71" t="b">
        <f>IF(Tab.11[[#This Row],[a1]]=1,$I$3+$A$988+IF($K$3=0,Tab.11[[#This Row],[b10]]*_xlfn.STDEV.P(Tab.11[data]),AVERAGE(Tab.11[b6])+Tab.11[[#This Row],[b10]]*_xlfn.STDEV.P(Tab.11[data])))</f>
        <v>0</v>
      </c>
      <c r="U527" s="72" t="b">
        <f>IF(Tab.11[[#This Row],[a1]]=1,Tab.11[[#This Row],[target]]-Tab.11[[#This Row],[Red]])</f>
        <v>0</v>
      </c>
      <c r="V527" s="72" t="b">
        <f>IF(Tab.11[[#This Row],[a1]]=1,Tab.11[[#This Row],[target]]-Tab.11[[#This Row],[Blue]])</f>
        <v>0</v>
      </c>
      <c r="W527" s="73" t="b">
        <f>IF(Tab.11[[#This Row],[a1]]=1,IF(ABS(Tab.11[[#This Row],[b17]])+ABS(Tab.11[[#This Row],[b18]])&lt;$W$2,$W$2,ABS(Tab.11[[#This Row],[b17]])+ABS(Tab.11[[#This Row],[b18]])))</f>
        <v>0</v>
      </c>
      <c r="X527" s="136" t="b">
        <f>IF(Tab.11[[#This Row],[a1]]=1,IF($W$3&lt;0,Tab.11[[#This Row],[IN]]-$I$3,Tab.11[[#This Row],[IN]]))</f>
        <v>0</v>
      </c>
      <c r="Y527" s="136" t="b">
        <f>IF(Tab.11[[#This Row],[a1]]=1,IF($X$3=0,Tab.11[b66],Tab.11[[#This Row],[b66]]-AVERAGE(Tab.11[b66])))</f>
        <v>0</v>
      </c>
      <c r="Z527" s="135" t="b">
        <f>IF(Tab.11[[#This Row],[a1]]=1,Tab.11[[#This Row],[b77]]/(_xlfn.STDEV.P(Tab.11[b77])))</f>
        <v>0</v>
      </c>
      <c r="AA527" s="70" t="b">
        <f>IF(Tab.11[[#This Row],[a1]]=1,_xlfn.NORM.DIST(Tab.11[[#This Row],[b88]],$Z$1,$AA$1,FALSE))</f>
        <v>0</v>
      </c>
      <c r="AB527" s="74" t="b">
        <f>IF(Tab.11[[#This Row],[a1]]=1,IF($A$3=0,FALSE,1/Tab.11[[#This Row],[IN]]*$AC$2*IF(Tab.11[[#This Row],[a1]]=0,,$A$3*$AC$1*1/$V$3*(Tab.11[[#This Row],[b14]]))))</f>
        <v>0</v>
      </c>
      <c r="AC527" s="75" t="b">
        <f>IF(Tab.11[[#This Row],[a1]]=1,IF($AC$3=0,Tab.11[[#This Row],[φ1]],Tab.11[[#This Row],[φ1]]/MAX(Tab.11[φ1])))</f>
        <v>0</v>
      </c>
      <c r="AD527" s="74" t="b">
        <f>IF(Tab.11[[#This Row],[a1]]=1,1/Tab.11[[#This Row],[φ2]])</f>
        <v>0</v>
      </c>
      <c r="AE527" s="74" t="b">
        <f>IF(Tab.11[[#This Row],[a1]]=1,IF($AE$3=0,Tab.11[[#This Row],[w.0]],Tab.11[[#This Row],[w.0]]/SUM(Tab.11[w.0])))</f>
        <v>0</v>
      </c>
      <c r="AF527" s="76" t="str">
        <f>IF(Tab.11[[#This Row],[a1]]=0,"false",[3]!Tab.x5[[#This Row],[%_seN_C]])</f>
        <v>false</v>
      </c>
      <c r="AG527" s="77" t="b">
        <f>IF(Tab.11[[#This Row],[a1]]=1,AP527)</f>
        <v>0</v>
      </c>
      <c r="AH527" s="78" t="b">
        <f>IF(Tab.11[[#This Row],[a1]]=1,AQ527)</f>
        <v>0</v>
      </c>
      <c r="AI527" s="41">
        <v>3.0000000000000001E-3</v>
      </c>
      <c r="AJ527" s="79">
        <v>-0.05</v>
      </c>
      <c r="AK527" s="80" t="b">
        <f>IF(Tab.11[[#This Row],[a1]]=1,1)</f>
        <v>0</v>
      </c>
      <c r="AZ527"/>
    </row>
    <row r="528" spans="1:52" hidden="1" x14ac:dyDescent="0.25">
      <c r="A528" s="61">
        <f t="shared" si="17"/>
        <v>0</v>
      </c>
      <c r="B528" s="62">
        <f t="shared" si="17"/>
        <v>0</v>
      </c>
      <c r="C528" s="62" t="b">
        <f>IF(Tab.11[[#This Row],[a1]]=1,[3]!Tab_x1[[#This Row],[Name]])</f>
        <v>0</v>
      </c>
      <c r="D528" s="63" t="b">
        <f>IF(Tab.11[[#This Row],[a1]]=1,AO528)</f>
        <v>0</v>
      </c>
      <c r="E528" s="63">
        <f t="shared" si="18"/>
        <v>0</v>
      </c>
      <c r="F528" s="64" t="b">
        <f>IF(Tab.11[[#This Row],[a1]]=1,Tab.11[[#This Row],[b1]])</f>
        <v>0</v>
      </c>
      <c r="G528" s="65" t="b">
        <f>IF(Tab.11[[#This Row],[a1]]=1,IF(Tab.11[[#This Row],[b3]]&gt;$L$989*$G$3,$L$989*$G$3,IF(Tab.11[[#This Row],[b3]]&lt;$M$989*$G$3,$M$989*$G$3,Tab.11[[#This Row],[b3]])))</f>
        <v>0</v>
      </c>
      <c r="H528" s="66" t="b">
        <f>IF(Tab.11[[#This Row],[a1]]=1,Tab.11[[#This Row],[b1]])</f>
        <v>0</v>
      </c>
      <c r="I528" s="67" t="b">
        <f>IF(Tab.11[[#This Row],[a1]]=1,Tab.11[[#This Row],[b1]])</f>
        <v>0</v>
      </c>
      <c r="J528" s="68" t="b">
        <f>IF(Tab.11[[#This Row],[a1]]=1,IF($I$3&lt;0,Tab.11[[#This Row],[b5]]-$I$3,Tab.11[[#This Row],[b5]]))</f>
        <v>0</v>
      </c>
      <c r="K528" s="68" t="b">
        <f>IF(Tab.11[[#This Row],[a1]]=1,IF($K$3=0,Tab.11[b6],Tab.11[[#This Row],[b6]]-AVERAGE(Tab.11[b6])))</f>
        <v>0</v>
      </c>
      <c r="L528" s="69" t="b">
        <f>IF(Tab.11[[#This Row],[a1]]=1,Tab.11[[#This Row],[data]]/(_xlfn.STDEV.P(Tab.11[data])*$B$989)+$A$989)</f>
        <v>0</v>
      </c>
      <c r="M528" s="69" t="b">
        <f>IF(Tab.11[[#This Row],[a1]]=1,Tab.11[[#This Row],[data]]/(_xlfn.STDEV.P(Tab.11[data])*$B$987)-$A$987)</f>
        <v>0</v>
      </c>
      <c r="N528" s="69" t="b">
        <f>IF(Tab.11[[#This Row],[a1]]=1,Tab.11[[#This Row],[data]]/(_xlfn.STDEV.P(Tab.11[data])*$B$988)+$A$988)</f>
        <v>0</v>
      </c>
      <c r="O528" s="70" t="b">
        <f>IF(Tab.11[[#This Row],[a1]]=1,_xlfn.NORM.DIST(Tab.11[[#This Row],[b8]],$P$1,$Q$1,FALSE))</f>
        <v>0</v>
      </c>
      <c r="P528" s="70" t="b">
        <f>IF(Tab.11[[#This Row],[a1]]=1,_xlfn.NORM.DIST(Tab.11[[#This Row],[b9]],$P$1,$Q$1,FALSE))</f>
        <v>0</v>
      </c>
      <c r="Q528" s="70" t="b">
        <f>IF(Tab.11[[#This Row],[a1]]=1,_xlfn.NORM.DIST(Tab.11[[#This Row],[b10]],$P$1,$Q$1,FALSE))</f>
        <v>0</v>
      </c>
      <c r="R528" s="67" t="b">
        <f>IF(Tab.11[[#This Row],[a1]]=1,$I$3+$A$989+IF($K$3=0,Tab.11[[#This Row],[b8]]*_xlfn.STDEV.P(Tab.11[data]),AVERAGE(Tab.11[b6])+Tab.11[[#This Row],[b8]]*_xlfn.STDEV.P(Tab.11[data])))</f>
        <v>0</v>
      </c>
      <c r="S528" s="71" t="b">
        <f>IF(Tab.11[[#This Row],[a1]]=1,$I$3+$A$987+IF($K$3=0,Tab.11[[#This Row],[b9]]*_xlfn.STDEV.P(Tab.11[data]),AVERAGE(Tab.11[b6])+Tab.11[[#This Row],[b9]]*_xlfn.STDEV.P(Tab.11[data])))</f>
        <v>0</v>
      </c>
      <c r="T528" s="71" t="b">
        <f>IF(Tab.11[[#This Row],[a1]]=1,$I$3+$A$988+IF($K$3=0,Tab.11[[#This Row],[b10]]*_xlfn.STDEV.P(Tab.11[data]),AVERAGE(Tab.11[b6])+Tab.11[[#This Row],[b10]]*_xlfn.STDEV.P(Tab.11[data])))</f>
        <v>0</v>
      </c>
      <c r="U528" s="72" t="b">
        <f>IF(Tab.11[[#This Row],[a1]]=1,Tab.11[[#This Row],[target]]-Tab.11[[#This Row],[Red]])</f>
        <v>0</v>
      </c>
      <c r="V528" s="72" t="b">
        <f>IF(Tab.11[[#This Row],[a1]]=1,Tab.11[[#This Row],[target]]-Tab.11[[#This Row],[Blue]])</f>
        <v>0</v>
      </c>
      <c r="W528" s="73" t="b">
        <f>IF(Tab.11[[#This Row],[a1]]=1,IF(ABS(Tab.11[[#This Row],[b17]])+ABS(Tab.11[[#This Row],[b18]])&lt;$W$2,$W$2,ABS(Tab.11[[#This Row],[b17]])+ABS(Tab.11[[#This Row],[b18]])))</f>
        <v>0</v>
      </c>
      <c r="X528" s="136" t="b">
        <f>IF(Tab.11[[#This Row],[a1]]=1,IF($W$3&lt;0,Tab.11[[#This Row],[IN]]-$I$3,Tab.11[[#This Row],[IN]]))</f>
        <v>0</v>
      </c>
      <c r="Y528" s="136" t="b">
        <f>IF(Tab.11[[#This Row],[a1]]=1,IF($X$3=0,Tab.11[b66],Tab.11[[#This Row],[b66]]-AVERAGE(Tab.11[b66])))</f>
        <v>0</v>
      </c>
      <c r="Z528" s="135" t="b">
        <f>IF(Tab.11[[#This Row],[a1]]=1,Tab.11[[#This Row],[b77]]/(_xlfn.STDEV.P(Tab.11[b77])))</f>
        <v>0</v>
      </c>
      <c r="AA528" s="70" t="b">
        <f>IF(Tab.11[[#This Row],[a1]]=1,_xlfn.NORM.DIST(Tab.11[[#This Row],[b88]],$Z$1,$AA$1,FALSE))</f>
        <v>0</v>
      </c>
      <c r="AB528" s="74" t="b">
        <f>IF(Tab.11[[#This Row],[a1]]=1,IF($A$3=0,FALSE,1/Tab.11[[#This Row],[IN]]*$AC$2*IF(Tab.11[[#This Row],[a1]]=0,,$A$3*$AC$1*1/$V$3*(Tab.11[[#This Row],[b14]]))))</f>
        <v>0</v>
      </c>
      <c r="AC528" s="75" t="b">
        <f>IF(Tab.11[[#This Row],[a1]]=1,IF($AC$3=0,Tab.11[[#This Row],[φ1]],Tab.11[[#This Row],[φ1]]/MAX(Tab.11[φ1])))</f>
        <v>0</v>
      </c>
      <c r="AD528" s="74" t="b">
        <f>IF(Tab.11[[#This Row],[a1]]=1,1/Tab.11[[#This Row],[φ2]])</f>
        <v>0</v>
      </c>
      <c r="AE528" s="74" t="b">
        <f>IF(Tab.11[[#This Row],[a1]]=1,IF($AE$3=0,Tab.11[[#This Row],[w.0]],Tab.11[[#This Row],[w.0]]/SUM(Tab.11[w.0])))</f>
        <v>0</v>
      </c>
      <c r="AF528" s="76" t="str">
        <f>IF(Tab.11[[#This Row],[a1]]=0,"false",[3]!Tab.x5[[#This Row],[%_seN_C]])</f>
        <v>false</v>
      </c>
      <c r="AG528" s="77" t="b">
        <f>IF(Tab.11[[#This Row],[a1]]=1,AP528)</f>
        <v>0</v>
      </c>
      <c r="AH528" s="78" t="b">
        <f>IF(Tab.11[[#This Row],[a1]]=1,AQ528)</f>
        <v>0</v>
      </c>
      <c r="AI528" s="41">
        <v>3.0000000000000001E-3</v>
      </c>
      <c r="AJ528" s="79">
        <v>-0.06</v>
      </c>
      <c r="AK528" s="80" t="b">
        <f>IF(Tab.11[[#This Row],[a1]]=1,1)</f>
        <v>0</v>
      </c>
      <c r="AZ528"/>
    </row>
    <row r="529" spans="1:52" hidden="1" x14ac:dyDescent="0.25">
      <c r="A529" s="61">
        <f t="shared" si="17"/>
        <v>0</v>
      </c>
      <c r="B529" s="62">
        <f t="shared" si="17"/>
        <v>0</v>
      </c>
      <c r="C529" s="62" t="b">
        <f>IF(Tab.11[[#This Row],[a1]]=1,[3]!Tab_x1[[#This Row],[Name]])</f>
        <v>0</v>
      </c>
      <c r="D529" s="63" t="b">
        <f>IF(Tab.11[[#This Row],[a1]]=1,AO529)</f>
        <v>0</v>
      </c>
      <c r="E529" s="63">
        <f t="shared" si="18"/>
        <v>0</v>
      </c>
      <c r="F529" s="64" t="b">
        <f>IF(Tab.11[[#This Row],[a1]]=1,Tab.11[[#This Row],[b1]])</f>
        <v>0</v>
      </c>
      <c r="G529" s="65" t="b">
        <f>IF(Tab.11[[#This Row],[a1]]=1,IF(Tab.11[[#This Row],[b3]]&gt;$L$989*$G$3,$L$989*$G$3,IF(Tab.11[[#This Row],[b3]]&lt;$M$989*$G$3,$M$989*$G$3,Tab.11[[#This Row],[b3]])))</f>
        <v>0</v>
      </c>
      <c r="H529" s="66" t="b">
        <f>IF(Tab.11[[#This Row],[a1]]=1,Tab.11[[#This Row],[b1]])</f>
        <v>0</v>
      </c>
      <c r="I529" s="67" t="b">
        <f>IF(Tab.11[[#This Row],[a1]]=1,Tab.11[[#This Row],[b1]])</f>
        <v>0</v>
      </c>
      <c r="J529" s="68" t="b">
        <f>IF(Tab.11[[#This Row],[a1]]=1,IF($I$3&lt;0,Tab.11[[#This Row],[b5]]-$I$3,Tab.11[[#This Row],[b5]]))</f>
        <v>0</v>
      </c>
      <c r="K529" s="68" t="b">
        <f>IF(Tab.11[[#This Row],[a1]]=1,IF($K$3=0,Tab.11[b6],Tab.11[[#This Row],[b6]]-AVERAGE(Tab.11[b6])))</f>
        <v>0</v>
      </c>
      <c r="L529" s="69" t="b">
        <f>IF(Tab.11[[#This Row],[a1]]=1,Tab.11[[#This Row],[data]]/(_xlfn.STDEV.P(Tab.11[data])*$B$989)+$A$989)</f>
        <v>0</v>
      </c>
      <c r="M529" s="69" t="b">
        <f>IF(Tab.11[[#This Row],[a1]]=1,Tab.11[[#This Row],[data]]/(_xlfn.STDEV.P(Tab.11[data])*$B$987)-$A$987)</f>
        <v>0</v>
      </c>
      <c r="N529" s="69" t="b">
        <f>IF(Tab.11[[#This Row],[a1]]=1,Tab.11[[#This Row],[data]]/(_xlfn.STDEV.P(Tab.11[data])*$B$988)+$A$988)</f>
        <v>0</v>
      </c>
      <c r="O529" s="70" t="b">
        <f>IF(Tab.11[[#This Row],[a1]]=1,_xlfn.NORM.DIST(Tab.11[[#This Row],[b8]],$P$1,$Q$1,FALSE))</f>
        <v>0</v>
      </c>
      <c r="P529" s="70" t="b">
        <f>IF(Tab.11[[#This Row],[a1]]=1,_xlfn.NORM.DIST(Tab.11[[#This Row],[b9]],$P$1,$Q$1,FALSE))</f>
        <v>0</v>
      </c>
      <c r="Q529" s="70" t="b">
        <f>IF(Tab.11[[#This Row],[a1]]=1,_xlfn.NORM.DIST(Tab.11[[#This Row],[b10]],$P$1,$Q$1,FALSE))</f>
        <v>0</v>
      </c>
      <c r="R529" s="67" t="b">
        <f>IF(Tab.11[[#This Row],[a1]]=1,$I$3+$A$989+IF($K$3=0,Tab.11[[#This Row],[b8]]*_xlfn.STDEV.P(Tab.11[data]),AVERAGE(Tab.11[b6])+Tab.11[[#This Row],[b8]]*_xlfn.STDEV.P(Tab.11[data])))</f>
        <v>0</v>
      </c>
      <c r="S529" s="71" t="b">
        <f>IF(Tab.11[[#This Row],[a1]]=1,$I$3+$A$987+IF($K$3=0,Tab.11[[#This Row],[b9]]*_xlfn.STDEV.P(Tab.11[data]),AVERAGE(Tab.11[b6])+Tab.11[[#This Row],[b9]]*_xlfn.STDEV.P(Tab.11[data])))</f>
        <v>0</v>
      </c>
      <c r="T529" s="71" t="b">
        <f>IF(Tab.11[[#This Row],[a1]]=1,$I$3+$A$988+IF($K$3=0,Tab.11[[#This Row],[b10]]*_xlfn.STDEV.P(Tab.11[data]),AVERAGE(Tab.11[b6])+Tab.11[[#This Row],[b10]]*_xlfn.STDEV.P(Tab.11[data])))</f>
        <v>0</v>
      </c>
      <c r="U529" s="72" t="b">
        <f>IF(Tab.11[[#This Row],[a1]]=1,Tab.11[[#This Row],[target]]-Tab.11[[#This Row],[Red]])</f>
        <v>0</v>
      </c>
      <c r="V529" s="72" t="b">
        <f>IF(Tab.11[[#This Row],[a1]]=1,Tab.11[[#This Row],[target]]-Tab.11[[#This Row],[Blue]])</f>
        <v>0</v>
      </c>
      <c r="W529" s="73" t="b">
        <f>IF(Tab.11[[#This Row],[a1]]=1,IF(ABS(Tab.11[[#This Row],[b17]])+ABS(Tab.11[[#This Row],[b18]])&lt;$W$2,$W$2,ABS(Tab.11[[#This Row],[b17]])+ABS(Tab.11[[#This Row],[b18]])))</f>
        <v>0</v>
      </c>
      <c r="X529" s="136" t="b">
        <f>IF(Tab.11[[#This Row],[a1]]=1,IF($W$3&lt;0,Tab.11[[#This Row],[IN]]-$I$3,Tab.11[[#This Row],[IN]]))</f>
        <v>0</v>
      </c>
      <c r="Y529" s="136" t="b">
        <f>IF(Tab.11[[#This Row],[a1]]=1,IF($X$3=0,Tab.11[b66],Tab.11[[#This Row],[b66]]-AVERAGE(Tab.11[b66])))</f>
        <v>0</v>
      </c>
      <c r="Z529" s="135" t="b">
        <f>IF(Tab.11[[#This Row],[a1]]=1,Tab.11[[#This Row],[b77]]/(_xlfn.STDEV.P(Tab.11[b77])))</f>
        <v>0</v>
      </c>
      <c r="AA529" s="70" t="b">
        <f>IF(Tab.11[[#This Row],[a1]]=1,_xlfn.NORM.DIST(Tab.11[[#This Row],[b88]],$Z$1,$AA$1,FALSE))</f>
        <v>0</v>
      </c>
      <c r="AB529" s="74" t="b">
        <f>IF(Tab.11[[#This Row],[a1]]=1,IF($A$3=0,FALSE,1/Tab.11[[#This Row],[IN]]*$AC$2*IF(Tab.11[[#This Row],[a1]]=0,,$A$3*$AC$1*1/$V$3*(Tab.11[[#This Row],[b14]]))))</f>
        <v>0</v>
      </c>
      <c r="AC529" s="75" t="b">
        <f>IF(Tab.11[[#This Row],[a1]]=1,IF($AC$3=0,Tab.11[[#This Row],[φ1]],Tab.11[[#This Row],[φ1]]/MAX(Tab.11[φ1])))</f>
        <v>0</v>
      </c>
      <c r="AD529" s="74" t="b">
        <f>IF(Tab.11[[#This Row],[a1]]=1,1/Tab.11[[#This Row],[φ2]])</f>
        <v>0</v>
      </c>
      <c r="AE529" s="74" t="b">
        <f>IF(Tab.11[[#This Row],[a1]]=1,IF($AE$3=0,Tab.11[[#This Row],[w.0]],Tab.11[[#This Row],[w.0]]/SUM(Tab.11[w.0])))</f>
        <v>0</v>
      </c>
      <c r="AF529" s="76" t="str">
        <f>IF(Tab.11[[#This Row],[a1]]=0,"false",[3]!Tab.x5[[#This Row],[%_seN_C]])</f>
        <v>false</v>
      </c>
      <c r="AG529" s="77" t="b">
        <f>IF(Tab.11[[#This Row],[a1]]=1,AP529)</f>
        <v>0</v>
      </c>
      <c r="AH529" s="78" t="b">
        <f>IF(Tab.11[[#This Row],[a1]]=1,AQ529)</f>
        <v>0</v>
      </c>
      <c r="AI529" s="41">
        <v>3.0000000000000001E-3</v>
      </c>
      <c r="AJ529" s="79">
        <v>-0.09</v>
      </c>
      <c r="AK529" s="80" t="b">
        <f>IF(Tab.11[[#This Row],[a1]]=1,1)</f>
        <v>0</v>
      </c>
      <c r="AZ529"/>
    </row>
    <row r="530" spans="1:52" hidden="1" x14ac:dyDescent="0.25">
      <c r="A530" s="61">
        <f t="shared" si="17"/>
        <v>0</v>
      </c>
      <c r="B530" s="62">
        <f t="shared" si="17"/>
        <v>0</v>
      </c>
      <c r="C530" s="62" t="b">
        <f>IF(Tab.11[[#This Row],[a1]]=1,[3]!Tab_x1[[#This Row],[Name]])</f>
        <v>0</v>
      </c>
      <c r="D530" s="63" t="b">
        <f>IF(Tab.11[[#This Row],[a1]]=1,AO530)</f>
        <v>0</v>
      </c>
      <c r="E530" s="63">
        <f t="shared" si="18"/>
        <v>0</v>
      </c>
      <c r="F530" s="64" t="b">
        <f>IF(Tab.11[[#This Row],[a1]]=1,Tab.11[[#This Row],[b1]])</f>
        <v>0</v>
      </c>
      <c r="G530" s="65" t="b">
        <f>IF(Tab.11[[#This Row],[a1]]=1,IF(Tab.11[[#This Row],[b3]]&gt;$L$989*$G$3,$L$989*$G$3,IF(Tab.11[[#This Row],[b3]]&lt;$M$989*$G$3,$M$989*$G$3,Tab.11[[#This Row],[b3]])))</f>
        <v>0</v>
      </c>
      <c r="H530" s="66" t="b">
        <f>IF(Tab.11[[#This Row],[a1]]=1,Tab.11[[#This Row],[b1]])</f>
        <v>0</v>
      </c>
      <c r="I530" s="67" t="b">
        <f>IF(Tab.11[[#This Row],[a1]]=1,Tab.11[[#This Row],[b1]])</f>
        <v>0</v>
      </c>
      <c r="J530" s="68" t="b">
        <f>IF(Tab.11[[#This Row],[a1]]=1,IF($I$3&lt;0,Tab.11[[#This Row],[b5]]-$I$3,Tab.11[[#This Row],[b5]]))</f>
        <v>0</v>
      </c>
      <c r="K530" s="68" t="b">
        <f>IF(Tab.11[[#This Row],[a1]]=1,IF($K$3=0,Tab.11[b6],Tab.11[[#This Row],[b6]]-AVERAGE(Tab.11[b6])))</f>
        <v>0</v>
      </c>
      <c r="L530" s="69" t="b">
        <f>IF(Tab.11[[#This Row],[a1]]=1,Tab.11[[#This Row],[data]]/(_xlfn.STDEV.P(Tab.11[data])*$B$989)+$A$989)</f>
        <v>0</v>
      </c>
      <c r="M530" s="69" t="b">
        <f>IF(Tab.11[[#This Row],[a1]]=1,Tab.11[[#This Row],[data]]/(_xlfn.STDEV.P(Tab.11[data])*$B$987)-$A$987)</f>
        <v>0</v>
      </c>
      <c r="N530" s="69" t="b">
        <f>IF(Tab.11[[#This Row],[a1]]=1,Tab.11[[#This Row],[data]]/(_xlfn.STDEV.P(Tab.11[data])*$B$988)+$A$988)</f>
        <v>0</v>
      </c>
      <c r="O530" s="70" t="b">
        <f>IF(Tab.11[[#This Row],[a1]]=1,_xlfn.NORM.DIST(Tab.11[[#This Row],[b8]],$P$1,$Q$1,FALSE))</f>
        <v>0</v>
      </c>
      <c r="P530" s="70" t="b">
        <f>IF(Tab.11[[#This Row],[a1]]=1,_xlfn.NORM.DIST(Tab.11[[#This Row],[b9]],$P$1,$Q$1,FALSE))</f>
        <v>0</v>
      </c>
      <c r="Q530" s="70" t="b">
        <f>IF(Tab.11[[#This Row],[a1]]=1,_xlfn.NORM.DIST(Tab.11[[#This Row],[b10]],$P$1,$Q$1,FALSE))</f>
        <v>0</v>
      </c>
      <c r="R530" s="67" t="b">
        <f>IF(Tab.11[[#This Row],[a1]]=1,$I$3+$A$989+IF($K$3=0,Tab.11[[#This Row],[b8]]*_xlfn.STDEV.P(Tab.11[data]),AVERAGE(Tab.11[b6])+Tab.11[[#This Row],[b8]]*_xlfn.STDEV.P(Tab.11[data])))</f>
        <v>0</v>
      </c>
      <c r="S530" s="71" t="b">
        <f>IF(Tab.11[[#This Row],[a1]]=1,$I$3+$A$987+IF($K$3=0,Tab.11[[#This Row],[b9]]*_xlfn.STDEV.P(Tab.11[data]),AVERAGE(Tab.11[b6])+Tab.11[[#This Row],[b9]]*_xlfn.STDEV.P(Tab.11[data])))</f>
        <v>0</v>
      </c>
      <c r="T530" s="71" t="b">
        <f>IF(Tab.11[[#This Row],[a1]]=1,$I$3+$A$988+IF($K$3=0,Tab.11[[#This Row],[b10]]*_xlfn.STDEV.P(Tab.11[data]),AVERAGE(Tab.11[b6])+Tab.11[[#This Row],[b10]]*_xlfn.STDEV.P(Tab.11[data])))</f>
        <v>0</v>
      </c>
      <c r="U530" s="72" t="b">
        <f>IF(Tab.11[[#This Row],[a1]]=1,Tab.11[[#This Row],[target]]-Tab.11[[#This Row],[Red]])</f>
        <v>0</v>
      </c>
      <c r="V530" s="72" t="b">
        <f>IF(Tab.11[[#This Row],[a1]]=1,Tab.11[[#This Row],[target]]-Tab.11[[#This Row],[Blue]])</f>
        <v>0</v>
      </c>
      <c r="W530" s="73" t="b">
        <f>IF(Tab.11[[#This Row],[a1]]=1,IF(ABS(Tab.11[[#This Row],[b17]])+ABS(Tab.11[[#This Row],[b18]])&lt;$W$2,$W$2,ABS(Tab.11[[#This Row],[b17]])+ABS(Tab.11[[#This Row],[b18]])))</f>
        <v>0</v>
      </c>
      <c r="X530" s="136" t="b">
        <f>IF(Tab.11[[#This Row],[a1]]=1,IF($W$3&lt;0,Tab.11[[#This Row],[IN]]-$I$3,Tab.11[[#This Row],[IN]]))</f>
        <v>0</v>
      </c>
      <c r="Y530" s="136" t="b">
        <f>IF(Tab.11[[#This Row],[a1]]=1,IF($X$3=0,Tab.11[b66],Tab.11[[#This Row],[b66]]-AVERAGE(Tab.11[b66])))</f>
        <v>0</v>
      </c>
      <c r="Z530" s="135" t="b">
        <f>IF(Tab.11[[#This Row],[a1]]=1,Tab.11[[#This Row],[b77]]/(_xlfn.STDEV.P(Tab.11[b77])))</f>
        <v>0</v>
      </c>
      <c r="AA530" s="70" t="b">
        <f>IF(Tab.11[[#This Row],[a1]]=1,_xlfn.NORM.DIST(Tab.11[[#This Row],[b88]],$Z$1,$AA$1,FALSE))</f>
        <v>0</v>
      </c>
      <c r="AB530" s="74" t="b">
        <f>IF(Tab.11[[#This Row],[a1]]=1,IF($A$3=0,FALSE,1/Tab.11[[#This Row],[IN]]*$AC$2*IF(Tab.11[[#This Row],[a1]]=0,,$A$3*$AC$1*1/$V$3*(Tab.11[[#This Row],[b14]]))))</f>
        <v>0</v>
      </c>
      <c r="AC530" s="75" t="b">
        <f>IF(Tab.11[[#This Row],[a1]]=1,IF($AC$3=0,Tab.11[[#This Row],[φ1]],Tab.11[[#This Row],[φ1]]/MAX(Tab.11[φ1])))</f>
        <v>0</v>
      </c>
      <c r="AD530" s="74" t="b">
        <f>IF(Tab.11[[#This Row],[a1]]=1,1/Tab.11[[#This Row],[φ2]])</f>
        <v>0</v>
      </c>
      <c r="AE530" s="74" t="b">
        <f>IF(Tab.11[[#This Row],[a1]]=1,IF($AE$3=0,Tab.11[[#This Row],[w.0]],Tab.11[[#This Row],[w.0]]/SUM(Tab.11[w.0])))</f>
        <v>0</v>
      </c>
      <c r="AF530" s="76" t="str">
        <f>IF(Tab.11[[#This Row],[a1]]=0,"false",[3]!Tab.x5[[#This Row],[%_seN_C]])</f>
        <v>false</v>
      </c>
      <c r="AG530" s="77" t="b">
        <f>IF(Tab.11[[#This Row],[a1]]=1,AP530)</f>
        <v>0</v>
      </c>
      <c r="AH530" s="78" t="b">
        <f>IF(Tab.11[[#This Row],[a1]]=1,AQ530)</f>
        <v>0</v>
      </c>
      <c r="AI530" s="41">
        <v>3.0000000000000001E-3</v>
      </c>
      <c r="AJ530" s="79">
        <v>0.1</v>
      </c>
      <c r="AK530" s="80" t="b">
        <f>IF(Tab.11[[#This Row],[a1]]=1,1)</f>
        <v>0</v>
      </c>
      <c r="AZ530"/>
    </row>
    <row r="531" spans="1:52" hidden="1" x14ac:dyDescent="0.25">
      <c r="A531" s="61">
        <f t="shared" si="17"/>
        <v>0</v>
      </c>
      <c r="B531" s="62">
        <f t="shared" si="17"/>
        <v>0</v>
      </c>
      <c r="C531" s="62" t="b">
        <f>IF(Tab.11[[#This Row],[a1]]=1,[3]!Tab_x1[[#This Row],[Name]])</f>
        <v>0</v>
      </c>
      <c r="D531" s="63" t="b">
        <f>IF(Tab.11[[#This Row],[a1]]=1,AO531)</f>
        <v>0</v>
      </c>
      <c r="E531" s="63">
        <f t="shared" si="18"/>
        <v>0</v>
      </c>
      <c r="F531" s="64" t="b">
        <f>IF(Tab.11[[#This Row],[a1]]=1,Tab.11[[#This Row],[b1]])</f>
        <v>0</v>
      </c>
      <c r="G531" s="65" t="b">
        <f>IF(Tab.11[[#This Row],[a1]]=1,IF(Tab.11[[#This Row],[b3]]&gt;$L$989*$G$3,$L$989*$G$3,IF(Tab.11[[#This Row],[b3]]&lt;$M$989*$G$3,$M$989*$G$3,Tab.11[[#This Row],[b3]])))</f>
        <v>0</v>
      </c>
      <c r="H531" s="66" t="b">
        <f>IF(Tab.11[[#This Row],[a1]]=1,Tab.11[[#This Row],[b1]])</f>
        <v>0</v>
      </c>
      <c r="I531" s="67" t="b">
        <f>IF(Tab.11[[#This Row],[a1]]=1,Tab.11[[#This Row],[b1]])</f>
        <v>0</v>
      </c>
      <c r="J531" s="68" t="b">
        <f>IF(Tab.11[[#This Row],[a1]]=1,IF($I$3&lt;0,Tab.11[[#This Row],[b5]]-$I$3,Tab.11[[#This Row],[b5]]))</f>
        <v>0</v>
      </c>
      <c r="K531" s="68" t="b">
        <f>IF(Tab.11[[#This Row],[a1]]=1,IF($K$3=0,Tab.11[b6],Tab.11[[#This Row],[b6]]-AVERAGE(Tab.11[b6])))</f>
        <v>0</v>
      </c>
      <c r="L531" s="69" t="b">
        <f>IF(Tab.11[[#This Row],[a1]]=1,Tab.11[[#This Row],[data]]/(_xlfn.STDEV.P(Tab.11[data])*$B$989)+$A$989)</f>
        <v>0</v>
      </c>
      <c r="M531" s="69" t="b">
        <f>IF(Tab.11[[#This Row],[a1]]=1,Tab.11[[#This Row],[data]]/(_xlfn.STDEV.P(Tab.11[data])*$B$987)-$A$987)</f>
        <v>0</v>
      </c>
      <c r="N531" s="69" t="b">
        <f>IF(Tab.11[[#This Row],[a1]]=1,Tab.11[[#This Row],[data]]/(_xlfn.STDEV.P(Tab.11[data])*$B$988)+$A$988)</f>
        <v>0</v>
      </c>
      <c r="O531" s="70" t="b">
        <f>IF(Tab.11[[#This Row],[a1]]=1,_xlfn.NORM.DIST(Tab.11[[#This Row],[b8]],$P$1,$Q$1,FALSE))</f>
        <v>0</v>
      </c>
      <c r="P531" s="70" t="b">
        <f>IF(Tab.11[[#This Row],[a1]]=1,_xlfn.NORM.DIST(Tab.11[[#This Row],[b9]],$P$1,$Q$1,FALSE))</f>
        <v>0</v>
      </c>
      <c r="Q531" s="70" t="b">
        <f>IF(Tab.11[[#This Row],[a1]]=1,_xlfn.NORM.DIST(Tab.11[[#This Row],[b10]],$P$1,$Q$1,FALSE))</f>
        <v>0</v>
      </c>
      <c r="R531" s="67" t="b">
        <f>IF(Tab.11[[#This Row],[a1]]=1,$I$3+$A$989+IF($K$3=0,Tab.11[[#This Row],[b8]]*_xlfn.STDEV.P(Tab.11[data]),AVERAGE(Tab.11[b6])+Tab.11[[#This Row],[b8]]*_xlfn.STDEV.P(Tab.11[data])))</f>
        <v>0</v>
      </c>
      <c r="S531" s="71" t="b">
        <f>IF(Tab.11[[#This Row],[a1]]=1,$I$3+$A$987+IF($K$3=0,Tab.11[[#This Row],[b9]]*_xlfn.STDEV.P(Tab.11[data]),AVERAGE(Tab.11[b6])+Tab.11[[#This Row],[b9]]*_xlfn.STDEV.P(Tab.11[data])))</f>
        <v>0</v>
      </c>
      <c r="T531" s="71" t="b">
        <f>IF(Tab.11[[#This Row],[a1]]=1,$I$3+$A$988+IF($K$3=0,Tab.11[[#This Row],[b10]]*_xlfn.STDEV.P(Tab.11[data]),AVERAGE(Tab.11[b6])+Tab.11[[#This Row],[b10]]*_xlfn.STDEV.P(Tab.11[data])))</f>
        <v>0</v>
      </c>
      <c r="U531" s="72" t="b">
        <f>IF(Tab.11[[#This Row],[a1]]=1,Tab.11[[#This Row],[target]]-Tab.11[[#This Row],[Red]])</f>
        <v>0</v>
      </c>
      <c r="V531" s="72" t="b">
        <f>IF(Tab.11[[#This Row],[a1]]=1,Tab.11[[#This Row],[target]]-Tab.11[[#This Row],[Blue]])</f>
        <v>0</v>
      </c>
      <c r="W531" s="73" t="b">
        <f>IF(Tab.11[[#This Row],[a1]]=1,IF(ABS(Tab.11[[#This Row],[b17]])+ABS(Tab.11[[#This Row],[b18]])&lt;$W$2,$W$2,ABS(Tab.11[[#This Row],[b17]])+ABS(Tab.11[[#This Row],[b18]])))</f>
        <v>0</v>
      </c>
      <c r="X531" s="136" t="b">
        <f>IF(Tab.11[[#This Row],[a1]]=1,IF($W$3&lt;0,Tab.11[[#This Row],[IN]]-$I$3,Tab.11[[#This Row],[IN]]))</f>
        <v>0</v>
      </c>
      <c r="Y531" s="136" t="b">
        <f>IF(Tab.11[[#This Row],[a1]]=1,IF($X$3=0,Tab.11[b66],Tab.11[[#This Row],[b66]]-AVERAGE(Tab.11[b66])))</f>
        <v>0</v>
      </c>
      <c r="Z531" s="135" t="b">
        <f>IF(Tab.11[[#This Row],[a1]]=1,Tab.11[[#This Row],[b77]]/(_xlfn.STDEV.P(Tab.11[b77])))</f>
        <v>0</v>
      </c>
      <c r="AA531" s="70" t="b">
        <f>IF(Tab.11[[#This Row],[a1]]=1,_xlfn.NORM.DIST(Tab.11[[#This Row],[b88]],$Z$1,$AA$1,FALSE))</f>
        <v>0</v>
      </c>
      <c r="AB531" s="74" t="b">
        <f>IF(Tab.11[[#This Row],[a1]]=1,IF($A$3=0,FALSE,1/Tab.11[[#This Row],[IN]]*$AC$2*IF(Tab.11[[#This Row],[a1]]=0,,$A$3*$AC$1*1/$V$3*(Tab.11[[#This Row],[b14]]))))</f>
        <v>0</v>
      </c>
      <c r="AC531" s="75" t="b">
        <f>IF(Tab.11[[#This Row],[a1]]=1,IF($AC$3=0,Tab.11[[#This Row],[φ1]],Tab.11[[#This Row],[φ1]]/MAX(Tab.11[φ1])))</f>
        <v>0</v>
      </c>
      <c r="AD531" s="74" t="b">
        <f>IF(Tab.11[[#This Row],[a1]]=1,1/Tab.11[[#This Row],[φ2]])</f>
        <v>0</v>
      </c>
      <c r="AE531" s="74" t="b">
        <f>IF(Tab.11[[#This Row],[a1]]=1,IF($AE$3=0,Tab.11[[#This Row],[w.0]],Tab.11[[#This Row],[w.0]]/SUM(Tab.11[w.0])))</f>
        <v>0</v>
      </c>
      <c r="AF531" s="76" t="str">
        <f>IF(Tab.11[[#This Row],[a1]]=0,"false",[3]!Tab.x5[[#This Row],[%_seN_C]])</f>
        <v>false</v>
      </c>
      <c r="AG531" s="77" t="b">
        <f>IF(Tab.11[[#This Row],[a1]]=1,AP531)</f>
        <v>0</v>
      </c>
      <c r="AH531" s="78" t="b">
        <f>IF(Tab.11[[#This Row],[a1]]=1,AQ531)</f>
        <v>0</v>
      </c>
      <c r="AI531" s="41">
        <v>3.0000000000000001E-3</v>
      </c>
      <c r="AJ531" s="79">
        <v>-0.01</v>
      </c>
      <c r="AK531" s="80" t="b">
        <f>IF(Tab.11[[#This Row],[a1]]=1,1)</f>
        <v>0</v>
      </c>
      <c r="AZ531"/>
    </row>
    <row r="532" spans="1:52" hidden="1" x14ac:dyDescent="0.25">
      <c r="A532" s="61">
        <f t="shared" si="17"/>
        <v>0</v>
      </c>
      <c r="B532" s="62">
        <f t="shared" si="17"/>
        <v>0</v>
      </c>
      <c r="C532" s="62" t="b">
        <f>IF(Tab.11[[#This Row],[a1]]=1,[3]!Tab_x1[[#This Row],[Name]])</f>
        <v>0</v>
      </c>
      <c r="D532" s="63" t="b">
        <f>IF(Tab.11[[#This Row],[a1]]=1,AO532)</f>
        <v>0</v>
      </c>
      <c r="E532" s="63">
        <f t="shared" si="18"/>
        <v>0</v>
      </c>
      <c r="F532" s="64" t="b">
        <f>IF(Tab.11[[#This Row],[a1]]=1,Tab.11[[#This Row],[b1]])</f>
        <v>0</v>
      </c>
      <c r="G532" s="65" t="b">
        <f>IF(Tab.11[[#This Row],[a1]]=1,IF(Tab.11[[#This Row],[b3]]&gt;$L$989*$G$3,$L$989*$G$3,IF(Tab.11[[#This Row],[b3]]&lt;$M$989*$G$3,$M$989*$G$3,Tab.11[[#This Row],[b3]])))</f>
        <v>0</v>
      </c>
      <c r="H532" s="66" t="b">
        <f>IF(Tab.11[[#This Row],[a1]]=1,Tab.11[[#This Row],[b1]])</f>
        <v>0</v>
      </c>
      <c r="I532" s="67" t="b">
        <f>IF(Tab.11[[#This Row],[a1]]=1,Tab.11[[#This Row],[b1]])</f>
        <v>0</v>
      </c>
      <c r="J532" s="68" t="b">
        <f>IF(Tab.11[[#This Row],[a1]]=1,IF($I$3&lt;0,Tab.11[[#This Row],[b5]]-$I$3,Tab.11[[#This Row],[b5]]))</f>
        <v>0</v>
      </c>
      <c r="K532" s="68" t="b">
        <f>IF(Tab.11[[#This Row],[a1]]=1,IF($K$3=0,Tab.11[b6],Tab.11[[#This Row],[b6]]-AVERAGE(Tab.11[b6])))</f>
        <v>0</v>
      </c>
      <c r="L532" s="69" t="b">
        <f>IF(Tab.11[[#This Row],[a1]]=1,Tab.11[[#This Row],[data]]/(_xlfn.STDEV.P(Tab.11[data])*$B$989)+$A$989)</f>
        <v>0</v>
      </c>
      <c r="M532" s="69" t="b">
        <f>IF(Tab.11[[#This Row],[a1]]=1,Tab.11[[#This Row],[data]]/(_xlfn.STDEV.P(Tab.11[data])*$B$987)-$A$987)</f>
        <v>0</v>
      </c>
      <c r="N532" s="69" t="b">
        <f>IF(Tab.11[[#This Row],[a1]]=1,Tab.11[[#This Row],[data]]/(_xlfn.STDEV.P(Tab.11[data])*$B$988)+$A$988)</f>
        <v>0</v>
      </c>
      <c r="O532" s="70" t="b">
        <f>IF(Tab.11[[#This Row],[a1]]=1,_xlfn.NORM.DIST(Tab.11[[#This Row],[b8]],$P$1,$Q$1,FALSE))</f>
        <v>0</v>
      </c>
      <c r="P532" s="70" t="b">
        <f>IF(Tab.11[[#This Row],[a1]]=1,_xlfn.NORM.DIST(Tab.11[[#This Row],[b9]],$P$1,$Q$1,FALSE))</f>
        <v>0</v>
      </c>
      <c r="Q532" s="70" t="b">
        <f>IF(Tab.11[[#This Row],[a1]]=1,_xlfn.NORM.DIST(Tab.11[[#This Row],[b10]],$P$1,$Q$1,FALSE))</f>
        <v>0</v>
      </c>
      <c r="R532" s="67" t="b">
        <f>IF(Tab.11[[#This Row],[a1]]=1,$I$3+$A$989+IF($K$3=0,Tab.11[[#This Row],[b8]]*_xlfn.STDEV.P(Tab.11[data]),AVERAGE(Tab.11[b6])+Tab.11[[#This Row],[b8]]*_xlfn.STDEV.P(Tab.11[data])))</f>
        <v>0</v>
      </c>
      <c r="S532" s="71" t="b">
        <f>IF(Tab.11[[#This Row],[a1]]=1,$I$3+$A$987+IF($K$3=0,Tab.11[[#This Row],[b9]]*_xlfn.STDEV.P(Tab.11[data]),AVERAGE(Tab.11[b6])+Tab.11[[#This Row],[b9]]*_xlfn.STDEV.P(Tab.11[data])))</f>
        <v>0</v>
      </c>
      <c r="T532" s="71" t="b">
        <f>IF(Tab.11[[#This Row],[a1]]=1,$I$3+$A$988+IF($K$3=0,Tab.11[[#This Row],[b10]]*_xlfn.STDEV.P(Tab.11[data]),AVERAGE(Tab.11[b6])+Tab.11[[#This Row],[b10]]*_xlfn.STDEV.P(Tab.11[data])))</f>
        <v>0</v>
      </c>
      <c r="U532" s="72" t="b">
        <f>IF(Tab.11[[#This Row],[a1]]=1,Tab.11[[#This Row],[target]]-Tab.11[[#This Row],[Red]])</f>
        <v>0</v>
      </c>
      <c r="V532" s="72" t="b">
        <f>IF(Tab.11[[#This Row],[a1]]=1,Tab.11[[#This Row],[target]]-Tab.11[[#This Row],[Blue]])</f>
        <v>0</v>
      </c>
      <c r="W532" s="73" t="b">
        <f>IF(Tab.11[[#This Row],[a1]]=1,IF(ABS(Tab.11[[#This Row],[b17]])+ABS(Tab.11[[#This Row],[b18]])&lt;$W$2,$W$2,ABS(Tab.11[[#This Row],[b17]])+ABS(Tab.11[[#This Row],[b18]])))</f>
        <v>0</v>
      </c>
      <c r="X532" s="136" t="b">
        <f>IF(Tab.11[[#This Row],[a1]]=1,IF($W$3&lt;0,Tab.11[[#This Row],[IN]]-$I$3,Tab.11[[#This Row],[IN]]))</f>
        <v>0</v>
      </c>
      <c r="Y532" s="136" t="b">
        <f>IF(Tab.11[[#This Row],[a1]]=1,IF($X$3=0,Tab.11[b66],Tab.11[[#This Row],[b66]]-AVERAGE(Tab.11[b66])))</f>
        <v>0</v>
      </c>
      <c r="Z532" s="135" t="b">
        <f>IF(Tab.11[[#This Row],[a1]]=1,Tab.11[[#This Row],[b77]]/(_xlfn.STDEV.P(Tab.11[b77])))</f>
        <v>0</v>
      </c>
      <c r="AA532" s="70" t="b">
        <f>IF(Tab.11[[#This Row],[a1]]=1,_xlfn.NORM.DIST(Tab.11[[#This Row],[b88]],$Z$1,$AA$1,FALSE))</f>
        <v>0</v>
      </c>
      <c r="AB532" s="74" t="b">
        <f>IF(Tab.11[[#This Row],[a1]]=1,IF($A$3=0,FALSE,1/Tab.11[[#This Row],[IN]]*$AC$2*IF(Tab.11[[#This Row],[a1]]=0,,$A$3*$AC$1*1/$V$3*(Tab.11[[#This Row],[b14]]))))</f>
        <v>0</v>
      </c>
      <c r="AC532" s="75" t="b">
        <f>IF(Tab.11[[#This Row],[a1]]=1,IF($AC$3=0,Tab.11[[#This Row],[φ1]],Tab.11[[#This Row],[φ1]]/MAX(Tab.11[φ1])))</f>
        <v>0</v>
      </c>
      <c r="AD532" s="74" t="b">
        <f>IF(Tab.11[[#This Row],[a1]]=1,1/Tab.11[[#This Row],[φ2]])</f>
        <v>0</v>
      </c>
      <c r="AE532" s="74" t="b">
        <f>IF(Tab.11[[#This Row],[a1]]=1,IF($AE$3=0,Tab.11[[#This Row],[w.0]],Tab.11[[#This Row],[w.0]]/SUM(Tab.11[w.0])))</f>
        <v>0</v>
      </c>
      <c r="AF532" s="76" t="str">
        <f>IF(Tab.11[[#This Row],[a1]]=0,"false",[3]!Tab.x5[[#This Row],[%_seN_C]])</f>
        <v>false</v>
      </c>
      <c r="AG532" s="77" t="b">
        <f>IF(Tab.11[[#This Row],[a1]]=1,AP532)</f>
        <v>0</v>
      </c>
      <c r="AH532" s="78" t="b">
        <f>IF(Tab.11[[#This Row],[a1]]=1,AQ532)</f>
        <v>0</v>
      </c>
      <c r="AI532" s="41">
        <v>3.0000000000000001E-3</v>
      </c>
      <c r="AJ532" s="79">
        <v>-0.03</v>
      </c>
      <c r="AK532" s="80" t="b">
        <f>IF(Tab.11[[#This Row],[a1]]=1,1)</f>
        <v>0</v>
      </c>
      <c r="AZ532"/>
    </row>
    <row r="533" spans="1:52" hidden="1" x14ac:dyDescent="0.25">
      <c r="A533" s="61">
        <f t="shared" ref="A533:B596" si="19">AM533</f>
        <v>0</v>
      </c>
      <c r="B533" s="62">
        <f t="shared" si="19"/>
        <v>0</v>
      </c>
      <c r="C533" s="62" t="b">
        <f>IF(Tab.11[[#This Row],[a1]]=1,[3]!Tab_x1[[#This Row],[Name]])</f>
        <v>0</v>
      </c>
      <c r="D533" s="63" t="b">
        <f>IF(Tab.11[[#This Row],[a1]]=1,AO533)</f>
        <v>0</v>
      </c>
      <c r="E533" s="63">
        <f t="shared" si="18"/>
        <v>0</v>
      </c>
      <c r="F533" s="64" t="b">
        <f>IF(Tab.11[[#This Row],[a1]]=1,Tab.11[[#This Row],[b1]])</f>
        <v>0</v>
      </c>
      <c r="G533" s="65" t="b">
        <f>IF(Tab.11[[#This Row],[a1]]=1,IF(Tab.11[[#This Row],[b3]]&gt;$L$989*$G$3,$L$989*$G$3,IF(Tab.11[[#This Row],[b3]]&lt;$M$989*$G$3,$M$989*$G$3,Tab.11[[#This Row],[b3]])))</f>
        <v>0</v>
      </c>
      <c r="H533" s="66" t="b">
        <f>IF(Tab.11[[#This Row],[a1]]=1,Tab.11[[#This Row],[b1]])</f>
        <v>0</v>
      </c>
      <c r="I533" s="67" t="b">
        <f>IF(Tab.11[[#This Row],[a1]]=1,Tab.11[[#This Row],[b1]])</f>
        <v>0</v>
      </c>
      <c r="J533" s="68" t="b">
        <f>IF(Tab.11[[#This Row],[a1]]=1,IF($I$3&lt;0,Tab.11[[#This Row],[b5]]-$I$3,Tab.11[[#This Row],[b5]]))</f>
        <v>0</v>
      </c>
      <c r="K533" s="68" t="b">
        <f>IF(Tab.11[[#This Row],[a1]]=1,IF($K$3=0,Tab.11[b6],Tab.11[[#This Row],[b6]]-AVERAGE(Tab.11[b6])))</f>
        <v>0</v>
      </c>
      <c r="L533" s="69" t="b">
        <f>IF(Tab.11[[#This Row],[a1]]=1,Tab.11[[#This Row],[data]]/(_xlfn.STDEV.P(Tab.11[data])*$B$989)+$A$989)</f>
        <v>0</v>
      </c>
      <c r="M533" s="69" t="b">
        <f>IF(Tab.11[[#This Row],[a1]]=1,Tab.11[[#This Row],[data]]/(_xlfn.STDEV.P(Tab.11[data])*$B$987)-$A$987)</f>
        <v>0</v>
      </c>
      <c r="N533" s="69" t="b">
        <f>IF(Tab.11[[#This Row],[a1]]=1,Tab.11[[#This Row],[data]]/(_xlfn.STDEV.P(Tab.11[data])*$B$988)+$A$988)</f>
        <v>0</v>
      </c>
      <c r="O533" s="70" t="b">
        <f>IF(Tab.11[[#This Row],[a1]]=1,_xlfn.NORM.DIST(Tab.11[[#This Row],[b8]],$P$1,$Q$1,FALSE))</f>
        <v>0</v>
      </c>
      <c r="P533" s="70" t="b">
        <f>IF(Tab.11[[#This Row],[a1]]=1,_xlfn.NORM.DIST(Tab.11[[#This Row],[b9]],$P$1,$Q$1,FALSE))</f>
        <v>0</v>
      </c>
      <c r="Q533" s="70" t="b">
        <f>IF(Tab.11[[#This Row],[a1]]=1,_xlfn.NORM.DIST(Tab.11[[#This Row],[b10]],$P$1,$Q$1,FALSE))</f>
        <v>0</v>
      </c>
      <c r="R533" s="67" t="b">
        <f>IF(Tab.11[[#This Row],[a1]]=1,$I$3+$A$989+IF($K$3=0,Tab.11[[#This Row],[b8]]*_xlfn.STDEV.P(Tab.11[data]),AVERAGE(Tab.11[b6])+Tab.11[[#This Row],[b8]]*_xlfn.STDEV.P(Tab.11[data])))</f>
        <v>0</v>
      </c>
      <c r="S533" s="71" t="b">
        <f>IF(Tab.11[[#This Row],[a1]]=1,$I$3+$A$987+IF($K$3=0,Tab.11[[#This Row],[b9]]*_xlfn.STDEV.P(Tab.11[data]),AVERAGE(Tab.11[b6])+Tab.11[[#This Row],[b9]]*_xlfn.STDEV.P(Tab.11[data])))</f>
        <v>0</v>
      </c>
      <c r="T533" s="71" t="b">
        <f>IF(Tab.11[[#This Row],[a1]]=1,$I$3+$A$988+IF($K$3=0,Tab.11[[#This Row],[b10]]*_xlfn.STDEV.P(Tab.11[data]),AVERAGE(Tab.11[b6])+Tab.11[[#This Row],[b10]]*_xlfn.STDEV.P(Tab.11[data])))</f>
        <v>0</v>
      </c>
      <c r="U533" s="72" t="b">
        <f>IF(Tab.11[[#This Row],[a1]]=1,Tab.11[[#This Row],[target]]-Tab.11[[#This Row],[Red]])</f>
        <v>0</v>
      </c>
      <c r="V533" s="72" t="b">
        <f>IF(Tab.11[[#This Row],[a1]]=1,Tab.11[[#This Row],[target]]-Tab.11[[#This Row],[Blue]])</f>
        <v>0</v>
      </c>
      <c r="W533" s="73" t="b">
        <f>IF(Tab.11[[#This Row],[a1]]=1,IF(ABS(Tab.11[[#This Row],[b17]])+ABS(Tab.11[[#This Row],[b18]])&lt;$W$2,$W$2,ABS(Tab.11[[#This Row],[b17]])+ABS(Tab.11[[#This Row],[b18]])))</f>
        <v>0</v>
      </c>
      <c r="X533" s="136" t="b">
        <f>IF(Tab.11[[#This Row],[a1]]=1,IF($W$3&lt;0,Tab.11[[#This Row],[IN]]-$I$3,Tab.11[[#This Row],[IN]]))</f>
        <v>0</v>
      </c>
      <c r="Y533" s="136" t="b">
        <f>IF(Tab.11[[#This Row],[a1]]=1,IF($X$3=0,Tab.11[b66],Tab.11[[#This Row],[b66]]-AVERAGE(Tab.11[b66])))</f>
        <v>0</v>
      </c>
      <c r="Z533" s="135" t="b">
        <f>IF(Tab.11[[#This Row],[a1]]=1,Tab.11[[#This Row],[b77]]/(_xlfn.STDEV.P(Tab.11[b77])))</f>
        <v>0</v>
      </c>
      <c r="AA533" s="70" t="b">
        <f>IF(Tab.11[[#This Row],[a1]]=1,_xlfn.NORM.DIST(Tab.11[[#This Row],[b88]],$Z$1,$AA$1,FALSE))</f>
        <v>0</v>
      </c>
      <c r="AB533" s="74" t="b">
        <f>IF(Tab.11[[#This Row],[a1]]=1,IF($A$3=0,FALSE,1/Tab.11[[#This Row],[IN]]*$AC$2*IF(Tab.11[[#This Row],[a1]]=0,,$A$3*$AC$1*1/$V$3*(Tab.11[[#This Row],[b14]]))))</f>
        <v>0</v>
      </c>
      <c r="AC533" s="75" t="b">
        <f>IF(Tab.11[[#This Row],[a1]]=1,IF($AC$3=0,Tab.11[[#This Row],[φ1]],Tab.11[[#This Row],[φ1]]/MAX(Tab.11[φ1])))</f>
        <v>0</v>
      </c>
      <c r="AD533" s="74" t="b">
        <f>IF(Tab.11[[#This Row],[a1]]=1,1/Tab.11[[#This Row],[φ2]])</f>
        <v>0</v>
      </c>
      <c r="AE533" s="74" t="b">
        <f>IF(Tab.11[[#This Row],[a1]]=1,IF($AE$3=0,Tab.11[[#This Row],[w.0]],Tab.11[[#This Row],[w.0]]/SUM(Tab.11[w.0])))</f>
        <v>0</v>
      </c>
      <c r="AF533" s="76" t="str">
        <f>IF(Tab.11[[#This Row],[a1]]=0,"false",[3]!Tab.x5[[#This Row],[%_seN_C]])</f>
        <v>false</v>
      </c>
      <c r="AG533" s="77" t="b">
        <f>IF(Tab.11[[#This Row],[a1]]=1,AP533)</f>
        <v>0</v>
      </c>
      <c r="AH533" s="78" t="b">
        <f>IF(Tab.11[[#This Row],[a1]]=1,AQ533)</f>
        <v>0</v>
      </c>
      <c r="AI533" s="41">
        <v>3.0000000000000001E-3</v>
      </c>
      <c r="AJ533" s="79">
        <v>-0.02</v>
      </c>
      <c r="AK533" s="80" t="b">
        <f>IF(Tab.11[[#This Row],[a1]]=1,1)</f>
        <v>0</v>
      </c>
      <c r="AZ533"/>
    </row>
    <row r="534" spans="1:52" hidden="1" x14ac:dyDescent="0.25">
      <c r="A534" s="61">
        <f t="shared" si="19"/>
        <v>0</v>
      </c>
      <c r="B534" s="62">
        <f t="shared" si="19"/>
        <v>0</v>
      </c>
      <c r="C534" s="62" t="b">
        <f>IF(Tab.11[[#This Row],[a1]]=1,[3]!Tab_x1[[#This Row],[Name]])</f>
        <v>0</v>
      </c>
      <c r="D534" s="63" t="b">
        <f>IF(Tab.11[[#This Row],[a1]]=1,AO534)</f>
        <v>0</v>
      </c>
      <c r="E534" s="63">
        <f t="shared" si="18"/>
        <v>0</v>
      </c>
      <c r="F534" s="64" t="b">
        <f>IF(Tab.11[[#This Row],[a1]]=1,Tab.11[[#This Row],[b1]])</f>
        <v>0</v>
      </c>
      <c r="G534" s="65" t="b">
        <f>IF(Tab.11[[#This Row],[a1]]=1,IF(Tab.11[[#This Row],[b3]]&gt;$L$989*$G$3,$L$989*$G$3,IF(Tab.11[[#This Row],[b3]]&lt;$M$989*$G$3,$M$989*$G$3,Tab.11[[#This Row],[b3]])))</f>
        <v>0</v>
      </c>
      <c r="H534" s="66" t="b">
        <f>IF(Tab.11[[#This Row],[a1]]=1,Tab.11[[#This Row],[b1]])</f>
        <v>0</v>
      </c>
      <c r="I534" s="67" t="b">
        <f>IF(Tab.11[[#This Row],[a1]]=1,Tab.11[[#This Row],[b1]])</f>
        <v>0</v>
      </c>
      <c r="J534" s="68" t="b">
        <f>IF(Tab.11[[#This Row],[a1]]=1,IF($I$3&lt;0,Tab.11[[#This Row],[b5]]-$I$3,Tab.11[[#This Row],[b5]]))</f>
        <v>0</v>
      </c>
      <c r="K534" s="68" t="b">
        <f>IF(Tab.11[[#This Row],[a1]]=1,IF($K$3=0,Tab.11[b6],Tab.11[[#This Row],[b6]]-AVERAGE(Tab.11[b6])))</f>
        <v>0</v>
      </c>
      <c r="L534" s="69" t="b">
        <f>IF(Tab.11[[#This Row],[a1]]=1,Tab.11[[#This Row],[data]]/(_xlfn.STDEV.P(Tab.11[data])*$B$989)+$A$989)</f>
        <v>0</v>
      </c>
      <c r="M534" s="69" t="b">
        <f>IF(Tab.11[[#This Row],[a1]]=1,Tab.11[[#This Row],[data]]/(_xlfn.STDEV.P(Tab.11[data])*$B$987)-$A$987)</f>
        <v>0</v>
      </c>
      <c r="N534" s="69" t="b">
        <f>IF(Tab.11[[#This Row],[a1]]=1,Tab.11[[#This Row],[data]]/(_xlfn.STDEV.P(Tab.11[data])*$B$988)+$A$988)</f>
        <v>0</v>
      </c>
      <c r="O534" s="70" t="b">
        <f>IF(Tab.11[[#This Row],[a1]]=1,_xlfn.NORM.DIST(Tab.11[[#This Row],[b8]],$P$1,$Q$1,FALSE))</f>
        <v>0</v>
      </c>
      <c r="P534" s="70" t="b">
        <f>IF(Tab.11[[#This Row],[a1]]=1,_xlfn.NORM.DIST(Tab.11[[#This Row],[b9]],$P$1,$Q$1,FALSE))</f>
        <v>0</v>
      </c>
      <c r="Q534" s="70" t="b">
        <f>IF(Tab.11[[#This Row],[a1]]=1,_xlfn.NORM.DIST(Tab.11[[#This Row],[b10]],$P$1,$Q$1,FALSE))</f>
        <v>0</v>
      </c>
      <c r="R534" s="67" t="b">
        <f>IF(Tab.11[[#This Row],[a1]]=1,$I$3+$A$989+IF($K$3=0,Tab.11[[#This Row],[b8]]*_xlfn.STDEV.P(Tab.11[data]),AVERAGE(Tab.11[b6])+Tab.11[[#This Row],[b8]]*_xlfn.STDEV.P(Tab.11[data])))</f>
        <v>0</v>
      </c>
      <c r="S534" s="71" t="b">
        <f>IF(Tab.11[[#This Row],[a1]]=1,$I$3+$A$987+IF($K$3=0,Tab.11[[#This Row],[b9]]*_xlfn.STDEV.P(Tab.11[data]),AVERAGE(Tab.11[b6])+Tab.11[[#This Row],[b9]]*_xlfn.STDEV.P(Tab.11[data])))</f>
        <v>0</v>
      </c>
      <c r="T534" s="71" t="b">
        <f>IF(Tab.11[[#This Row],[a1]]=1,$I$3+$A$988+IF($K$3=0,Tab.11[[#This Row],[b10]]*_xlfn.STDEV.P(Tab.11[data]),AVERAGE(Tab.11[b6])+Tab.11[[#This Row],[b10]]*_xlfn.STDEV.P(Tab.11[data])))</f>
        <v>0</v>
      </c>
      <c r="U534" s="72" t="b">
        <f>IF(Tab.11[[#This Row],[a1]]=1,Tab.11[[#This Row],[target]]-Tab.11[[#This Row],[Red]])</f>
        <v>0</v>
      </c>
      <c r="V534" s="72" t="b">
        <f>IF(Tab.11[[#This Row],[a1]]=1,Tab.11[[#This Row],[target]]-Tab.11[[#This Row],[Blue]])</f>
        <v>0</v>
      </c>
      <c r="W534" s="73" t="b">
        <f>IF(Tab.11[[#This Row],[a1]]=1,IF(ABS(Tab.11[[#This Row],[b17]])+ABS(Tab.11[[#This Row],[b18]])&lt;$W$2,$W$2,ABS(Tab.11[[#This Row],[b17]])+ABS(Tab.11[[#This Row],[b18]])))</f>
        <v>0</v>
      </c>
      <c r="X534" s="136" t="b">
        <f>IF(Tab.11[[#This Row],[a1]]=1,IF($W$3&lt;0,Tab.11[[#This Row],[IN]]-$I$3,Tab.11[[#This Row],[IN]]))</f>
        <v>0</v>
      </c>
      <c r="Y534" s="136" t="b">
        <f>IF(Tab.11[[#This Row],[a1]]=1,IF($X$3=0,Tab.11[b66],Tab.11[[#This Row],[b66]]-AVERAGE(Tab.11[b66])))</f>
        <v>0</v>
      </c>
      <c r="Z534" s="135" t="b">
        <f>IF(Tab.11[[#This Row],[a1]]=1,Tab.11[[#This Row],[b77]]/(_xlfn.STDEV.P(Tab.11[b77])))</f>
        <v>0</v>
      </c>
      <c r="AA534" s="70" t="b">
        <f>IF(Tab.11[[#This Row],[a1]]=1,_xlfn.NORM.DIST(Tab.11[[#This Row],[b88]],$Z$1,$AA$1,FALSE))</f>
        <v>0</v>
      </c>
      <c r="AB534" s="74" t="b">
        <f>IF(Tab.11[[#This Row],[a1]]=1,IF($A$3=0,FALSE,1/Tab.11[[#This Row],[IN]]*$AC$2*IF(Tab.11[[#This Row],[a1]]=0,,$A$3*$AC$1*1/$V$3*(Tab.11[[#This Row],[b14]]))))</f>
        <v>0</v>
      </c>
      <c r="AC534" s="75" t="b">
        <f>IF(Tab.11[[#This Row],[a1]]=1,IF($AC$3=0,Tab.11[[#This Row],[φ1]],Tab.11[[#This Row],[φ1]]/MAX(Tab.11[φ1])))</f>
        <v>0</v>
      </c>
      <c r="AD534" s="74" t="b">
        <f>IF(Tab.11[[#This Row],[a1]]=1,1/Tab.11[[#This Row],[φ2]])</f>
        <v>0</v>
      </c>
      <c r="AE534" s="74" t="b">
        <f>IF(Tab.11[[#This Row],[a1]]=1,IF($AE$3=0,Tab.11[[#This Row],[w.0]],Tab.11[[#This Row],[w.0]]/SUM(Tab.11[w.0])))</f>
        <v>0</v>
      </c>
      <c r="AF534" s="76" t="str">
        <f>IF(Tab.11[[#This Row],[a1]]=0,"false",[3]!Tab.x5[[#This Row],[%_seN_C]])</f>
        <v>false</v>
      </c>
      <c r="AG534" s="77" t="b">
        <f>IF(Tab.11[[#This Row],[a1]]=1,AP534)</f>
        <v>0</v>
      </c>
      <c r="AH534" s="78" t="b">
        <f>IF(Tab.11[[#This Row],[a1]]=1,AQ534)</f>
        <v>0</v>
      </c>
      <c r="AI534" s="41">
        <v>3.0000000000000001E-3</v>
      </c>
      <c r="AJ534" s="79">
        <v>-7.0000000000000007E-2</v>
      </c>
      <c r="AK534" s="80" t="b">
        <f>IF(Tab.11[[#This Row],[a1]]=1,1)</f>
        <v>0</v>
      </c>
      <c r="AZ534"/>
    </row>
    <row r="535" spans="1:52" hidden="1" x14ac:dyDescent="0.25">
      <c r="A535" s="61">
        <f t="shared" si="19"/>
        <v>0</v>
      </c>
      <c r="B535" s="62">
        <f t="shared" si="19"/>
        <v>0</v>
      </c>
      <c r="C535" s="62" t="b">
        <f>IF(Tab.11[[#This Row],[a1]]=1,[3]!Tab_x1[[#This Row],[Name]])</f>
        <v>0</v>
      </c>
      <c r="D535" s="63" t="b">
        <f>IF(Tab.11[[#This Row],[a1]]=1,AO535)</f>
        <v>0</v>
      </c>
      <c r="E535" s="63">
        <f t="shared" si="18"/>
        <v>0</v>
      </c>
      <c r="F535" s="64" t="b">
        <f>IF(Tab.11[[#This Row],[a1]]=1,Tab.11[[#This Row],[b1]])</f>
        <v>0</v>
      </c>
      <c r="G535" s="65" t="b">
        <f>IF(Tab.11[[#This Row],[a1]]=1,IF(Tab.11[[#This Row],[b3]]&gt;$L$989*$G$3,$L$989*$G$3,IF(Tab.11[[#This Row],[b3]]&lt;$M$989*$G$3,$M$989*$G$3,Tab.11[[#This Row],[b3]])))</f>
        <v>0</v>
      </c>
      <c r="H535" s="66" t="b">
        <f>IF(Tab.11[[#This Row],[a1]]=1,Tab.11[[#This Row],[b1]])</f>
        <v>0</v>
      </c>
      <c r="I535" s="67" t="b">
        <f>IF(Tab.11[[#This Row],[a1]]=1,Tab.11[[#This Row],[b1]])</f>
        <v>0</v>
      </c>
      <c r="J535" s="68" t="b">
        <f>IF(Tab.11[[#This Row],[a1]]=1,IF($I$3&lt;0,Tab.11[[#This Row],[b5]]-$I$3,Tab.11[[#This Row],[b5]]))</f>
        <v>0</v>
      </c>
      <c r="K535" s="68" t="b">
        <f>IF(Tab.11[[#This Row],[a1]]=1,IF($K$3=0,Tab.11[b6],Tab.11[[#This Row],[b6]]-AVERAGE(Tab.11[b6])))</f>
        <v>0</v>
      </c>
      <c r="L535" s="69" t="b">
        <f>IF(Tab.11[[#This Row],[a1]]=1,Tab.11[[#This Row],[data]]/(_xlfn.STDEV.P(Tab.11[data])*$B$989)+$A$989)</f>
        <v>0</v>
      </c>
      <c r="M535" s="69" t="b">
        <f>IF(Tab.11[[#This Row],[a1]]=1,Tab.11[[#This Row],[data]]/(_xlfn.STDEV.P(Tab.11[data])*$B$987)-$A$987)</f>
        <v>0</v>
      </c>
      <c r="N535" s="69" t="b">
        <f>IF(Tab.11[[#This Row],[a1]]=1,Tab.11[[#This Row],[data]]/(_xlfn.STDEV.P(Tab.11[data])*$B$988)+$A$988)</f>
        <v>0</v>
      </c>
      <c r="O535" s="70" t="b">
        <f>IF(Tab.11[[#This Row],[a1]]=1,_xlfn.NORM.DIST(Tab.11[[#This Row],[b8]],$P$1,$Q$1,FALSE))</f>
        <v>0</v>
      </c>
      <c r="P535" s="70" t="b">
        <f>IF(Tab.11[[#This Row],[a1]]=1,_xlfn.NORM.DIST(Tab.11[[#This Row],[b9]],$P$1,$Q$1,FALSE))</f>
        <v>0</v>
      </c>
      <c r="Q535" s="70" t="b">
        <f>IF(Tab.11[[#This Row],[a1]]=1,_xlfn.NORM.DIST(Tab.11[[#This Row],[b10]],$P$1,$Q$1,FALSE))</f>
        <v>0</v>
      </c>
      <c r="R535" s="67" t="b">
        <f>IF(Tab.11[[#This Row],[a1]]=1,$I$3+$A$989+IF($K$3=0,Tab.11[[#This Row],[b8]]*_xlfn.STDEV.P(Tab.11[data]),AVERAGE(Tab.11[b6])+Tab.11[[#This Row],[b8]]*_xlfn.STDEV.P(Tab.11[data])))</f>
        <v>0</v>
      </c>
      <c r="S535" s="71" t="b">
        <f>IF(Tab.11[[#This Row],[a1]]=1,$I$3+$A$987+IF($K$3=0,Tab.11[[#This Row],[b9]]*_xlfn.STDEV.P(Tab.11[data]),AVERAGE(Tab.11[b6])+Tab.11[[#This Row],[b9]]*_xlfn.STDEV.P(Tab.11[data])))</f>
        <v>0</v>
      </c>
      <c r="T535" s="71" t="b">
        <f>IF(Tab.11[[#This Row],[a1]]=1,$I$3+$A$988+IF($K$3=0,Tab.11[[#This Row],[b10]]*_xlfn.STDEV.P(Tab.11[data]),AVERAGE(Tab.11[b6])+Tab.11[[#This Row],[b10]]*_xlfn.STDEV.P(Tab.11[data])))</f>
        <v>0</v>
      </c>
      <c r="U535" s="72" t="b">
        <f>IF(Tab.11[[#This Row],[a1]]=1,Tab.11[[#This Row],[target]]-Tab.11[[#This Row],[Red]])</f>
        <v>0</v>
      </c>
      <c r="V535" s="72" t="b">
        <f>IF(Tab.11[[#This Row],[a1]]=1,Tab.11[[#This Row],[target]]-Tab.11[[#This Row],[Blue]])</f>
        <v>0</v>
      </c>
      <c r="W535" s="73" t="b">
        <f>IF(Tab.11[[#This Row],[a1]]=1,IF(ABS(Tab.11[[#This Row],[b17]])+ABS(Tab.11[[#This Row],[b18]])&lt;$W$2,$W$2,ABS(Tab.11[[#This Row],[b17]])+ABS(Tab.11[[#This Row],[b18]])))</f>
        <v>0</v>
      </c>
      <c r="X535" s="136" t="b">
        <f>IF(Tab.11[[#This Row],[a1]]=1,IF($W$3&lt;0,Tab.11[[#This Row],[IN]]-$I$3,Tab.11[[#This Row],[IN]]))</f>
        <v>0</v>
      </c>
      <c r="Y535" s="136" t="b">
        <f>IF(Tab.11[[#This Row],[a1]]=1,IF($X$3=0,Tab.11[b66],Tab.11[[#This Row],[b66]]-AVERAGE(Tab.11[b66])))</f>
        <v>0</v>
      </c>
      <c r="Z535" s="135" t="b">
        <f>IF(Tab.11[[#This Row],[a1]]=1,Tab.11[[#This Row],[b77]]/(_xlfn.STDEV.P(Tab.11[b77])))</f>
        <v>0</v>
      </c>
      <c r="AA535" s="70" t="b">
        <f>IF(Tab.11[[#This Row],[a1]]=1,_xlfn.NORM.DIST(Tab.11[[#This Row],[b88]],$Z$1,$AA$1,FALSE))</f>
        <v>0</v>
      </c>
      <c r="AB535" s="74" t="b">
        <f>IF(Tab.11[[#This Row],[a1]]=1,IF($A$3=0,FALSE,1/Tab.11[[#This Row],[IN]]*$AC$2*IF(Tab.11[[#This Row],[a1]]=0,,$A$3*$AC$1*1/$V$3*(Tab.11[[#This Row],[b14]]))))</f>
        <v>0</v>
      </c>
      <c r="AC535" s="75" t="b">
        <f>IF(Tab.11[[#This Row],[a1]]=1,IF($AC$3=0,Tab.11[[#This Row],[φ1]],Tab.11[[#This Row],[φ1]]/MAX(Tab.11[φ1])))</f>
        <v>0</v>
      </c>
      <c r="AD535" s="74" t="b">
        <f>IF(Tab.11[[#This Row],[a1]]=1,1/Tab.11[[#This Row],[φ2]])</f>
        <v>0</v>
      </c>
      <c r="AE535" s="74" t="b">
        <f>IF(Tab.11[[#This Row],[a1]]=1,IF($AE$3=0,Tab.11[[#This Row],[w.0]],Tab.11[[#This Row],[w.0]]/SUM(Tab.11[w.0])))</f>
        <v>0</v>
      </c>
      <c r="AF535" s="76" t="str">
        <f>IF(Tab.11[[#This Row],[a1]]=0,"false",[3]!Tab.x5[[#This Row],[%_seN_C]])</f>
        <v>false</v>
      </c>
      <c r="AG535" s="77" t="b">
        <f>IF(Tab.11[[#This Row],[a1]]=1,AP535)</f>
        <v>0</v>
      </c>
      <c r="AH535" s="78" t="b">
        <f>IF(Tab.11[[#This Row],[a1]]=1,AQ535)</f>
        <v>0</v>
      </c>
      <c r="AI535" s="41">
        <v>3.0000000000000001E-3</v>
      </c>
      <c r="AJ535" s="79">
        <v>0.04</v>
      </c>
      <c r="AK535" s="80" t="b">
        <f>IF(Tab.11[[#This Row],[a1]]=1,1)</f>
        <v>0</v>
      </c>
      <c r="AZ535"/>
    </row>
    <row r="536" spans="1:52" hidden="1" x14ac:dyDescent="0.25">
      <c r="A536" s="61">
        <f t="shared" si="19"/>
        <v>0</v>
      </c>
      <c r="B536" s="62">
        <f t="shared" si="19"/>
        <v>0</v>
      </c>
      <c r="C536" s="62" t="b">
        <f>IF(Tab.11[[#This Row],[a1]]=1,[3]!Tab_x1[[#This Row],[Name]])</f>
        <v>0</v>
      </c>
      <c r="D536" s="63" t="b">
        <f>IF(Tab.11[[#This Row],[a1]]=1,AO536)</f>
        <v>0</v>
      </c>
      <c r="E536" s="63">
        <f t="shared" si="18"/>
        <v>0</v>
      </c>
      <c r="F536" s="64" t="b">
        <f>IF(Tab.11[[#This Row],[a1]]=1,Tab.11[[#This Row],[b1]])</f>
        <v>0</v>
      </c>
      <c r="G536" s="65" t="b">
        <f>IF(Tab.11[[#This Row],[a1]]=1,IF(Tab.11[[#This Row],[b3]]&gt;$L$989*$G$3,$L$989*$G$3,IF(Tab.11[[#This Row],[b3]]&lt;$M$989*$G$3,$M$989*$G$3,Tab.11[[#This Row],[b3]])))</f>
        <v>0</v>
      </c>
      <c r="H536" s="66" t="b">
        <f>IF(Tab.11[[#This Row],[a1]]=1,Tab.11[[#This Row],[b1]])</f>
        <v>0</v>
      </c>
      <c r="I536" s="67" t="b">
        <f>IF(Tab.11[[#This Row],[a1]]=1,Tab.11[[#This Row],[b1]])</f>
        <v>0</v>
      </c>
      <c r="J536" s="68" t="b">
        <f>IF(Tab.11[[#This Row],[a1]]=1,IF($I$3&lt;0,Tab.11[[#This Row],[b5]]-$I$3,Tab.11[[#This Row],[b5]]))</f>
        <v>0</v>
      </c>
      <c r="K536" s="68" t="b">
        <f>IF(Tab.11[[#This Row],[a1]]=1,IF($K$3=0,Tab.11[b6],Tab.11[[#This Row],[b6]]-AVERAGE(Tab.11[b6])))</f>
        <v>0</v>
      </c>
      <c r="L536" s="69" t="b">
        <f>IF(Tab.11[[#This Row],[a1]]=1,Tab.11[[#This Row],[data]]/(_xlfn.STDEV.P(Tab.11[data])*$B$989)+$A$989)</f>
        <v>0</v>
      </c>
      <c r="M536" s="69" t="b">
        <f>IF(Tab.11[[#This Row],[a1]]=1,Tab.11[[#This Row],[data]]/(_xlfn.STDEV.P(Tab.11[data])*$B$987)-$A$987)</f>
        <v>0</v>
      </c>
      <c r="N536" s="69" t="b">
        <f>IF(Tab.11[[#This Row],[a1]]=1,Tab.11[[#This Row],[data]]/(_xlfn.STDEV.P(Tab.11[data])*$B$988)+$A$988)</f>
        <v>0</v>
      </c>
      <c r="O536" s="70" t="b">
        <f>IF(Tab.11[[#This Row],[a1]]=1,_xlfn.NORM.DIST(Tab.11[[#This Row],[b8]],$P$1,$Q$1,FALSE))</f>
        <v>0</v>
      </c>
      <c r="P536" s="70" t="b">
        <f>IF(Tab.11[[#This Row],[a1]]=1,_xlfn.NORM.DIST(Tab.11[[#This Row],[b9]],$P$1,$Q$1,FALSE))</f>
        <v>0</v>
      </c>
      <c r="Q536" s="70" t="b">
        <f>IF(Tab.11[[#This Row],[a1]]=1,_xlfn.NORM.DIST(Tab.11[[#This Row],[b10]],$P$1,$Q$1,FALSE))</f>
        <v>0</v>
      </c>
      <c r="R536" s="67" t="b">
        <f>IF(Tab.11[[#This Row],[a1]]=1,$I$3+$A$989+IF($K$3=0,Tab.11[[#This Row],[b8]]*_xlfn.STDEV.P(Tab.11[data]),AVERAGE(Tab.11[b6])+Tab.11[[#This Row],[b8]]*_xlfn.STDEV.P(Tab.11[data])))</f>
        <v>0</v>
      </c>
      <c r="S536" s="71" t="b">
        <f>IF(Tab.11[[#This Row],[a1]]=1,$I$3+$A$987+IF($K$3=0,Tab.11[[#This Row],[b9]]*_xlfn.STDEV.P(Tab.11[data]),AVERAGE(Tab.11[b6])+Tab.11[[#This Row],[b9]]*_xlfn.STDEV.P(Tab.11[data])))</f>
        <v>0</v>
      </c>
      <c r="T536" s="71" t="b">
        <f>IF(Tab.11[[#This Row],[a1]]=1,$I$3+$A$988+IF($K$3=0,Tab.11[[#This Row],[b10]]*_xlfn.STDEV.P(Tab.11[data]),AVERAGE(Tab.11[b6])+Tab.11[[#This Row],[b10]]*_xlfn.STDEV.P(Tab.11[data])))</f>
        <v>0</v>
      </c>
      <c r="U536" s="72" t="b">
        <f>IF(Tab.11[[#This Row],[a1]]=1,Tab.11[[#This Row],[target]]-Tab.11[[#This Row],[Red]])</f>
        <v>0</v>
      </c>
      <c r="V536" s="72" t="b">
        <f>IF(Tab.11[[#This Row],[a1]]=1,Tab.11[[#This Row],[target]]-Tab.11[[#This Row],[Blue]])</f>
        <v>0</v>
      </c>
      <c r="W536" s="73" t="b">
        <f>IF(Tab.11[[#This Row],[a1]]=1,IF(ABS(Tab.11[[#This Row],[b17]])+ABS(Tab.11[[#This Row],[b18]])&lt;$W$2,$W$2,ABS(Tab.11[[#This Row],[b17]])+ABS(Tab.11[[#This Row],[b18]])))</f>
        <v>0</v>
      </c>
      <c r="X536" s="136" t="b">
        <f>IF(Tab.11[[#This Row],[a1]]=1,IF($W$3&lt;0,Tab.11[[#This Row],[IN]]-$I$3,Tab.11[[#This Row],[IN]]))</f>
        <v>0</v>
      </c>
      <c r="Y536" s="136" t="b">
        <f>IF(Tab.11[[#This Row],[a1]]=1,IF($X$3=0,Tab.11[b66],Tab.11[[#This Row],[b66]]-AVERAGE(Tab.11[b66])))</f>
        <v>0</v>
      </c>
      <c r="Z536" s="135" t="b">
        <f>IF(Tab.11[[#This Row],[a1]]=1,Tab.11[[#This Row],[b77]]/(_xlfn.STDEV.P(Tab.11[b77])))</f>
        <v>0</v>
      </c>
      <c r="AA536" s="70" t="b">
        <f>IF(Tab.11[[#This Row],[a1]]=1,_xlfn.NORM.DIST(Tab.11[[#This Row],[b88]],$Z$1,$AA$1,FALSE))</f>
        <v>0</v>
      </c>
      <c r="AB536" s="74" t="b">
        <f>IF(Tab.11[[#This Row],[a1]]=1,IF($A$3=0,FALSE,1/Tab.11[[#This Row],[IN]]*$AC$2*IF(Tab.11[[#This Row],[a1]]=0,,$A$3*$AC$1*1/$V$3*(Tab.11[[#This Row],[b14]]))))</f>
        <v>0</v>
      </c>
      <c r="AC536" s="75" t="b">
        <f>IF(Tab.11[[#This Row],[a1]]=1,IF($AC$3=0,Tab.11[[#This Row],[φ1]],Tab.11[[#This Row],[φ1]]/MAX(Tab.11[φ1])))</f>
        <v>0</v>
      </c>
      <c r="AD536" s="74" t="b">
        <f>IF(Tab.11[[#This Row],[a1]]=1,1/Tab.11[[#This Row],[φ2]])</f>
        <v>0</v>
      </c>
      <c r="AE536" s="74" t="b">
        <f>IF(Tab.11[[#This Row],[a1]]=1,IF($AE$3=0,Tab.11[[#This Row],[w.0]],Tab.11[[#This Row],[w.0]]/SUM(Tab.11[w.0])))</f>
        <v>0</v>
      </c>
      <c r="AF536" s="76" t="str">
        <f>IF(Tab.11[[#This Row],[a1]]=0,"false",[3]!Tab.x5[[#This Row],[%_seN_C]])</f>
        <v>false</v>
      </c>
      <c r="AG536" s="77" t="b">
        <f>IF(Tab.11[[#This Row],[a1]]=1,AP536)</f>
        <v>0</v>
      </c>
      <c r="AH536" s="78" t="b">
        <f>IF(Tab.11[[#This Row],[a1]]=1,AQ536)</f>
        <v>0</v>
      </c>
      <c r="AI536" s="41">
        <v>3.0000000000000001E-3</v>
      </c>
      <c r="AJ536" s="79">
        <v>-0.03</v>
      </c>
      <c r="AK536" s="80" t="b">
        <f>IF(Tab.11[[#This Row],[a1]]=1,1)</f>
        <v>0</v>
      </c>
      <c r="AZ536"/>
    </row>
    <row r="537" spans="1:52" hidden="1" x14ac:dyDescent="0.25">
      <c r="A537" s="61">
        <f t="shared" si="19"/>
        <v>0</v>
      </c>
      <c r="B537" s="62">
        <f t="shared" si="19"/>
        <v>0</v>
      </c>
      <c r="C537" s="62" t="b">
        <f>IF(Tab.11[[#This Row],[a1]]=1,[3]!Tab_x1[[#This Row],[Name]])</f>
        <v>0</v>
      </c>
      <c r="D537" s="63" t="b">
        <f>IF(Tab.11[[#This Row],[a1]]=1,AO537)</f>
        <v>0</v>
      </c>
      <c r="E537" s="63">
        <f t="shared" si="18"/>
        <v>0</v>
      </c>
      <c r="F537" s="64" t="b">
        <f>IF(Tab.11[[#This Row],[a1]]=1,Tab.11[[#This Row],[b1]])</f>
        <v>0</v>
      </c>
      <c r="G537" s="65" t="b">
        <f>IF(Tab.11[[#This Row],[a1]]=1,IF(Tab.11[[#This Row],[b3]]&gt;$L$989*$G$3,$L$989*$G$3,IF(Tab.11[[#This Row],[b3]]&lt;$M$989*$G$3,$M$989*$G$3,Tab.11[[#This Row],[b3]])))</f>
        <v>0</v>
      </c>
      <c r="H537" s="66" t="b">
        <f>IF(Tab.11[[#This Row],[a1]]=1,Tab.11[[#This Row],[b1]])</f>
        <v>0</v>
      </c>
      <c r="I537" s="67" t="b">
        <f>IF(Tab.11[[#This Row],[a1]]=1,Tab.11[[#This Row],[b1]])</f>
        <v>0</v>
      </c>
      <c r="J537" s="68" t="b">
        <f>IF(Tab.11[[#This Row],[a1]]=1,IF($I$3&lt;0,Tab.11[[#This Row],[b5]]-$I$3,Tab.11[[#This Row],[b5]]))</f>
        <v>0</v>
      </c>
      <c r="K537" s="68" t="b">
        <f>IF(Tab.11[[#This Row],[a1]]=1,IF($K$3=0,Tab.11[b6],Tab.11[[#This Row],[b6]]-AVERAGE(Tab.11[b6])))</f>
        <v>0</v>
      </c>
      <c r="L537" s="69" t="b">
        <f>IF(Tab.11[[#This Row],[a1]]=1,Tab.11[[#This Row],[data]]/(_xlfn.STDEV.P(Tab.11[data])*$B$989)+$A$989)</f>
        <v>0</v>
      </c>
      <c r="M537" s="69" t="b">
        <f>IF(Tab.11[[#This Row],[a1]]=1,Tab.11[[#This Row],[data]]/(_xlfn.STDEV.P(Tab.11[data])*$B$987)-$A$987)</f>
        <v>0</v>
      </c>
      <c r="N537" s="69" t="b">
        <f>IF(Tab.11[[#This Row],[a1]]=1,Tab.11[[#This Row],[data]]/(_xlfn.STDEV.P(Tab.11[data])*$B$988)+$A$988)</f>
        <v>0</v>
      </c>
      <c r="O537" s="70" t="b">
        <f>IF(Tab.11[[#This Row],[a1]]=1,_xlfn.NORM.DIST(Tab.11[[#This Row],[b8]],$P$1,$Q$1,FALSE))</f>
        <v>0</v>
      </c>
      <c r="P537" s="70" t="b">
        <f>IF(Tab.11[[#This Row],[a1]]=1,_xlfn.NORM.DIST(Tab.11[[#This Row],[b9]],$P$1,$Q$1,FALSE))</f>
        <v>0</v>
      </c>
      <c r="Q537" s="70" t="b">
        <f>IF(Tab.11[[#This Row],[a1]]=1,_xlfn.NORM.DIST(Tab.11[[#This Row],[b10]],$P$1,$Q$1,FALSE))</f>
        <v>0</v>
      </c>
      <c r="R537" s="67" t="b">
        <f>IF(Tab.11[[#This Row],[a1]]=1,$I$3+$A$989+IF($K$3=0,Tab.11[[#This Row],[b8]]*_xlfn.STDEV.P(Tab.11[data]),AVERAGE(Tab.11[b6])+Tab.11[[#This Row],[b8]]*_xlfn.STDEV.P(Tab.11[data])))</f>
        <v>0</v>
      </c>
      <c r="S537" s="71" t="b">
        <f>IF(Tab.11[[#This Row],[a1]]=1,$I$3+$A$987+IF($K$3=0,Tab.11[[#This Row],[b9]]*_xlfn.STDEV.P(Tab.11[data]),AVERAGE(Tab.11[b6])+Tab.11[[#This Row],[b9]]*_xlfn.STDEV.P(Tab.11[data])))</f>
        <v>0</v>
      </c>
      <c r="T537" s="71" t="b">
        <f>IF(Tab.11[[#This Row],[a1]]=1,$I$3+$A$988+IF($K$3=0,Tab.11[[#This Row],[b10]]*_xlfn.STDEV.P(Tab.11[data]),AVERAGE(Tab.11[b6])+Tab.11[[#This Row],[b10]]*_xlfn.STDEV.P(Tab.11[data])))</f>
        <v>0</v>
      </c>
      <c r="U537" s="72" t="b">
        <f>IF(Tab.11[[#This Row],[a1]]=1,Tab.11[[#This Row],[target]]-Tab.11[[#This Row],[Red]])</f>
        <v>0</v>
      </c>
      <c r="V537" s="72" t="b">
        <f>IF(Tab.11[[#This Row],[a1]]=1,Tab.11[[#This Row],[target]]-Tab.11[[#This Row],[Blue]])</f>
        <v>0</v>
      </c>
      <c r="W537" s="73" t="b">
        <f>IF(Tab.11[[#This Row],[a1]]=1,IF(ABS(Tab.11[[#This Row],[b17]])+ABS(Tab.11[[#This Row],[b18]])&lt;$W$2,$W$2,ABS(Tab.11[[#This Row],[b17]])+ABS(Tab.11[[#This Row],[b18]])))</f>
        <v>0</v>
      </c>
      <c r="X537" s="136" t="b">
        <f>IF(Tab.11[[#This Row],[a1]]=1,IF($W$3&lt;0,Tab.11[[#This Row],[IN]]-$I$3,Tab.11[[#This Row],[IN]]))</f>
        <v>0</v>
      </c>
      <c r="Y537" s="136" t="b">
        <f>IF(Tab.11[[#This Row],[a1]]=1,IF($X$3=0,Tab.11[b66],Tab.11[[#This Row],[b66]]-AVERAGE(Tab.11[b66])))</f>
        <v>0</v>
      </c>
      <c r="Z537" s="135" t="b">
        <f>IF(Tab.11[[#This Row],[a1]]=1,Tab.11[[#This Row],[b77]]/(_xlfn.STDEV.P(Tab.11[b77])))</f>
        <v>0</v>
      </c>
      <c r="AA537" s="70" t="b">
        <f>IF(Tab.11[[#This Row],[a1]]=1,_xlfn.NORM.DIST(Tab.11[[#This Row],[b88]],$Z$1,$AA$1,FALSE))</f>
        <v>0</v>
      </c>
      <c r="AB537" s="74" t="b">
        <f>IF(Tab.11[[#This Row],[a1]]=1,IF($A$3=0,FALSE,1/Tab.11[[#This Row],[IN]]*$AC$2*IF(Tab.11[[#This Row],[a1]]=0,,$A$3*$AC$1*1/$V$3*(Tab.11[[#This Row],[b14]]))))</f>
        <v>0</v>
      </c>
      <c r="AC537" s="75" t="b">
        <f>IF(Tab.11[[#This Row],[a1]]=1,IF($AC$3=0,Tab.11[[#This Row],[φ1]],Tab.11[[#This Row],[φ1]]/MAX(Tab.11[φ1])))</f>
        <v>0</v>
      </c>
      <c r="AD537" s="74" t="b">
        <f>IF(Tab.11[[#This Row],[a1]]=1,1/Tab.11[[#This Row],[φ2]])</f>
        <v>0</v>
      </c>
      <c r="AE537" s="74" t="b">
        <f>IF(Tab.11[[#This Row],[a1]]=1,IF($AE$3=0,Tab.11[[#This Row],[w.0]],Tab.11[[#This Row],[w.0]]/SUM(Tab.11[w.0])))</f>
        <v>0</v>
      </c>
      <c r="AF537" s="76" t="str">
        <f>IF(Tab.11[[#This Row],[a1]]=0,"false",[3]!Tab.x5[[#This Row],[%_seN_C]])</f>
        <v>false</v>
      </c>
      <c r="AG537" s="77" t="b">
        <f>IF(Tab.11[[#This Row],[a1]]=1,AP537)</f>
        <v>0</v>
      </c>
      <c r="AH537" s="78" t="b">
        <f>IF(Tab.11[[#This Row],[a1]]=1,AQ537)</f>
        <v>0</v>
      </c>
      <c r="AI537" s="41">
        <v>3.0000000000000001E-3</v>
      </c>
      <c r="AJ537" s="79">
        <v>-0.09</v>
      </c>
      <c r="AK537" s="80" t="b">
        <f>IF(Tab.11[[#This Row],[a1]]=1,1)</f>
        <v>0</v>
      </c>
      <c r="AZ537"/>
    </row>
    <row r="538" spans="1:52" hidden="1" x14ac:dyDescent="0.25">
      <c r="A538" s="61">
        <f t="shared" si="19"/>
        <v>0</v>
      </c>
      <c r="B538" s="62">
        <f t="shared" si="19"/>
        <v>0</v>
      </c>
      <c r="C538" s="62" t="b">
        <f>IF(Tab.11[[#This Row],[a1]]=1,[3]!Tab_x1[[#This Row],[Name]])</f>
        <v>0</v>
      </c>
      <c r="D538" s="63" t="b">
        <f>IF(Tab.11[[#This Row],[a1]]=1,AO538)</f>
        <v>0</v>
      </c>
      <c r="E538" s="63">
        <f t="shared" si="18"/>
        <v>0</v>
      </c>
      <c r="F538" s="64" t="b">
        <f>IF(Tab.11[[#This Row],[a1]]=1,Tab.11[[#This Row],[b1]])</f>
        <v>0</v>
      </c>
      <c r="G538" s="65" t="b">
        <f>IF(Tab.11[[#This Row],[a1]]=1,IF(Tab.11[[#This Row],[b3]]&gt;$L$989*$G$3,$L$989*$G$3,IF(Tab.11[[#This Row],[b3]]&lt;$M$989*$G$3,$M$989*$G$3,Tab.11[[#This Row],[b3]])))</f>
        <v>0</v>
      </c>
      <c r="H538" s="66" t="b">
        <f>IF(Tab.11[[#This Row],[a1]]=1,Tab.11[[#This Row],[b1]])</f>
        <v>0</v>
      </c>
      <c r="I538" s="67" t="b">
        <f>IF(Tab.11[[#This Row],[a1]]=1,Tab.11[[#This Row],[b1]])</f>
        <v>0</v>
      </c>
      <c r="J538" s="68" t="b">
        <f>IF(Tab.11[[#This Row],[a1]]=1,IF($I$3&lt;0,Tab.11[[#This Row],[b5]]-$I$3,Tab.11[[#This Row],[b5]]))</f>
        <v>0</v>
      </c>
      <c r="K538" s="68" t="b">
        <f>IF(Tab.11[[#This Row],[a1]]=1,IF($K$3=0,Tab.11[b6],Tab.11[[#This Row],[b6]]-AVERAGE(Tab.11[b6])))</f>
        <v>0</v>
      </c>
      <c r="L538" s="69" t="b">
        <f>IF(Tab.11[[#This Row],[a1]]=1,Tab.11[[#This Row],[data]]/(_xlfn.STDEV.P(Tab.11[data])*$B$989)+$A$989)</f>
        <v>0</v>
      </c>
      <c r="M538" s="69" t="b">
        <f>IF(Tab.11[[#This Row],[a1]]=1,Tab.11[[#This Row],[data]]/(_xlfn.STDEV.P(Tab.11[data])*$B$987)-$A$987)</f>
        <v>0</v>
      </c>
      <c r="N538" s="69" t="b">
        <f>IF(Tab.11[[#This Row],[a1]]=1,Tab.11[[#This Row],[data]]/(_xlfn.STDEV.P(Tab.11[data])*$B$988)+$A$988)</f>
        <v>0</v>
      </c>
      <c r="O538" s="70" t="b">
        <f>IF(Tab.11[[#This Row],[a1]]=1,_xlfn.NORM.DIST(Tab.11[[#This Row],[b8]],$P$1,$Q$1,FALSE))</f>
        <v>0</v>
      </c>
      <c r="P538" s="70" t="b">
        <f>IF(Tab.11[[#This Row],[a1]]=1,_xlfn.NORM.DIST(Tab.11[[#This Row],[b9]],$P$1,$Q$1,FALSE))</f>
        <v>0</v>
      </c>
      <c r="Q538" s="70" t="b">
        <f>IF(Tab.11[[#This Row],[a1]]=1,_xlfn.NORM.DIST(Tab.11[[#This Row],[b10]],$P$1,$Q$1,FALSE))</f>
        <v>0</v>
      </c>
      <c r="R538" s="67" t="b">
        <f>IF(Tab.11[[#This Row],[a1]]=1,$I$3+$A$989+IF($K$3=0,Tab.11[[#This Row],[b8]]*_xlfn.STDEV.P(Tab.11[data]),AVERAGE(Tab.11[b6])+Tab.11[[#This Row],[b8]]*_xlfn.STDEV.P(Tab.11[data])))</f>
        <v>0</v>
      </c>
      <c r="S538" s="71" t="b">
        <f>IF(Tab.11[[#This Row],[a1]]=1,$I$3+$A$987+IF($K$3=0,Tab.11[[#This Row],[b9]]*_xlfn.STDEV.P(Tab.11[data]),AVERAGE(Tab.11[b6])+Tab.11[[#This Row],[b9]]*_xlfn.STDEV.P(Tab.11[data])))</f>
        <v>0</v>
      </c>
      <c r="T538" s="71" t="b">
        <f>IF(Tab.11[[#This Row],[a1]]=1,$I$3+$A$988+IF($K$3=0,Tab.11[[#This Row],[b10]]*_xlfn.STDEV.P(Tab.11[data]),AVERAGE(Tab.11[b6])+Tab.11[[#This Row],[b10]]*_xlfn.STDEV.P(Tab.11[data])))</f>
        <v>0</v>
      </c>
      <c r="U538" s="72" t="b">
        <f>IF(Tab.11[[#This Row],[a1]]=1,Tab.11[[#This Row],[target]]-Tab.11[[#This Row],[Red]])</f>
        <v>0</v>
      </c>
      <c r="V538" s="72" t="b">
        <f>IF(Tab.11[[#This Row],[a1]]=1,Tab.11[[#This Row],[target]]-Tab.11[[#This Row],[Blue]])</f>
        <v>0</v>
      </c>
      <c r="W538" s="73" t="b">
        <f>IF(Tab.11[[#This Row],[a1]]=1,IF(ABS(Tab.11[[#This Row],[b17]])+ABS(Tab.11[[#This Row],[b18]])&lt;$W$2,$W$2,ABS(Tab.11[[#This Row],[b17]])+ABS(Tab.11[[#This Row],[b18]])))</f>
        <v>0</v>
      </c>
      <c r="X538" s="136" t="b">
        <f>IF(Tab.11[[#This Row],[a1]]=1,IF($W$3&lt;0,Tab.11[[#This Row],[IN]]-$I$3,Tab.11[[#This Row],[IN]]))</f>
        <v>0</v>
      </c>
      <c r="Y538" s="136" t="b">
        <f>IF(Tab.11[[#This Row],[a1]]=1,IF($X$3=0,Tab.11[b66],Tab.11[[#This Row],[b66]]-AVERAGE(Tab.11[b66])))</f>
        <v>0</v>
      </c>
      <c r="Z538" s="135" t="b">
        <f>IF(Tab.11[[#This Row],[a1]]=1,Tab.11[[#This Row],[b77]]/(_xlfn.STDEV.P(Tab.11[b77])))</f>
        <v>0</v>
      </c>
      <c r="AA538" s="70" t="b">
        <f>IF(Tab.11[[#This Row],[a1]]=1,_xlfn.NORM.DIST(Tab.11[[#This Row],[b88]],$Z$1,$AA$1,FALSE))</f>
        <v>0</v>
      </c>
      <c r="AB538" s="74" t="b">
        <f>IF(Tab.11[[#This Row],[a1]]=1,IF($A$3=0,FALSE,1/Tab.11[[#This Row],[IN]]*$AC$2*IF(Tab.11[[#This Row],[a1]]=0,,$A$3*$AC$1*1/$V$3*(Tab.11[[#This Row],[b14]]))))</f>
        <v>0</v>
      </c>
      <c r="AC538" s="75" t="b">
        <f>IF(Tab.11[[#This Row],[a1]]=1,IF($AC$3=0,Tab.11[[#This Row],[φ1]],Tab.11[[#This Row],[φ1]]/MAX(Tab.11[φ1])))</f>
        <v>0</v>
      </c>
      <c r="AD538" s="74" t="b">
        <f>IF(Tab.11[[#This Row],[a1]]=1,1/Tab.11[[#This Row],[φ2]])</f>
        <v>0</v>
      </c>
      <c r="AE538" s="74" t="b">
        <f>IF(Tab.11[[#This Row],[a1]]=1,IF($AE$3=0,Tab.11[[#This Row],[w.0]],Tab.11[[#This Row],[w.0]]/SUM(Tab.11[w.0])))</f>
        <v>0</v>
      </c>
      <c r="AF538" s="76" t="str">
        <f>IF(Tab.11[[#This Row],[a1]]=0,"false",[3]!Tab.x5[[#This Row],[%_seN_C]])</f>
        <v>false</v>
      </c>
      <c r="AG538" s="77" t="b">
        <f>IF(Tab.11[[#This Row],[a1]]=1,AP538)</f>
        <v>0</v>
      </c>
      <c r="AH538" s="78" t="b">
        <f>IF(Tab.11[[#This Row],[a1]]=1,AQ538)</f>
        <v>0</v>
      </c>
      <c r="AI538" s="41">
        <v>3.0000000000000001E-3</v>
      </c>
      <c r="AJ538" s="79">
        <v>0.02</v>
      </c>
      <c r="AK538" s="80" t="b">
        <f>IF(Tab.11[[#This Row],[a1]]=1,1)</f>
        <v>0</v>
      </c>
      <c r="AZ538"/>
    </row>
    <row r="539" spans="1:52" hidden="1" x14ac:dyDescent="0.25">
      <c r="A539" s="61">
        <f t="shared" si="19"/>
        <v>0</v>
      </c>
      <c r="B539" s="62">
        <f t="shared" si="19"/>
        <v>0</v>
      </c>
      <c r="C539" s="62" t="b">
        <f>IF(Tab.11[[#This Row],[a1]]=1,[3]!Tab_x1[[#This Row],[Name]])</f>
        <v>0</v>
      </c>
      <c r="D539" s="63" t="b">
        <f>IF(Tab.11[[#This Row],[a1]]=1,AO539)</f>
        <v>0</v>
      </c>
      <c r="E539" s="63">
        <f t="shared" si="18"/>
        <v>0</v>
      </c>
      <c r="F539" s="64" t="b">
        <f>IF(Tab.11[[#This Row],[a1]]=1,Tab.11[[#This Row],[b1]])</f>
        <v>0</v>
      </c>
      <c r="G539" s="65" t="b">
        <f>IF(Tab.11[[#This Row],[a1]]=1,IF(Tab.11[[#This Row],[b3]]&gt;$L$989*$G$3,$L$989*$G$3,IF(Tab.11[[#This Row],[b3]]&lt;$M$989*$G$3,$M$989*$G$3,Tab.11[[#This Row],[b3]])))</f>
        <v>0</v>
      </c>
      <c r="H539" s="66" t="b">
        <f>IF(Tab.11[[#This Row],[a1]]=1,Tab.11[[#This Row],[b1]])</f>
        <v>0</v>
      </c>
      <c r="I539" s="67" t="b">
        <f>IF(Tab.11[[#This Row],[a1]]=1,Tab.11[[#This Row],[b1]])</f>
        <v>0</v>
      </c>
      <c r="J539" s="68" t="b">
        <f>IF(Tab.11[[#This Row],[a1]]=1,IF($I$3&lt;0,Tab.11[[#This Row],[b5]]-$I$3,Tab.11[[#This Row],[b5]]))</f>
        <v>0</v>
      </c>
      <c r="K539" s="68" t="b">
        <f>IF(Tab.11[[#This Row],[a1]]=1,IF($K$3=0,Tab.11[b6],Tab.11[[#This Row],[b6]]-AVERAGE(Tab.11[b6])))</f>
        <v>0</v>
      </c>
      <c r="L539" s="69" t="b">
        <f>IF(Tab.11[[#This Row],[a1]]=1,Tab.11[[#This Row],[data]]/(_xlfn.STDEV.P(Tab.11[data])*$B$989)+$A$989)</f>
        <v>0</v>
      </c>
      <c r="M539" s="69" t="b">
        <f>IF(Tab.11[[#This Row],[a1]]=1,Tab.11[[#This Row],[data]]/(_xlfn.STDEV.P(Tab.11[data])*$B$987)-$A$987)</f>
        <v>0</v>
      </c>
      <c r="N539" s="69" t="b">
        <f>IF(Tab.11[[#This Row],[a1]]=1,Tab.11[[#This Row],[data]]/(_xlfn.STDEV.P(Tab.11[data])*$B$988)+$A$988)</f>
        <v>0</v>
      </c>
      <c r="O539" s="70" t="b">
        <f>IF(Tab.11[[#This Row],[a1]]=1,_xlfn.NORM.DIST(Tab.11[[#This Row],[b8]],$P$1,$Q$1,FALSE))</f>
        <v>0</v>
      </c>
      <c r="P539" s="70" t="b">
        <f>IF(Tab.11[[#This Row],[a1]]=1,_xlfn.NORM.DIST(Tab.11[[#This Row],[b9]],$P$1,$Q$1,FALSE))</f>
        <v>0</v>
      </c>
      <c r="Q539" s="70" t="b">
        <f>IF(Tab.11[[#This Row],[a1]]=1,_xlfn.NORM.DIST(Tab.11[[#This Row],[b10]],$P$1,$Q$1,FALSE))</f>
        <v>0</v>
      </c>
      <c r="R539" s="67" t="b">
        <f>IF(Tab.11[[#This Row],[a1]]=1,$I$3+$A$989+IF($K$3=0,Tab.11[[#This Row],[b8]]*_xlfn.STDEV.P(Tab.11[data]),AVERAGE(Tab.11[b6])+Tab.11[[#This Row],[b8]]*_xlfn.STDEV.P(Tab.11[data])))</f>
        <v>0</v>
      </c>
      <c r="S539" s="71" t="b">
        <f>IF(Tab.11[[#This Row],[a1]]=1,$I$3+$A$987+IF($K$3=0,Tab.11[[#This Row],[b9]]*_xlfn.STDEV.P(Tab.11[data]),AVERAGE(Tab.11[b6])+Tab.11[[#This Row],[b9]]*_xlfn.STDEV.P(Tab.11[data])))</f>
        <v>0</v>
      </c>
      <c r="T539" s="71" t="b">
        <f>IF(Tab.11[[#This Row],[a1]]=1,$I$3+$A$988+IF($K$3=0,Tab.11[[#This Row],[b10]]*_xlfn.STDEV.P(Tab.11[data]),AVERAGE(Tab.11[b6])+Tab.11[[#This Row],[b10]]*_xlfn.STDEV.P(Tab.11[data])))</f>
        <v>0</v>
      </c>
      <c r="U539" s="72" t="b">
        <f>IF(Tab.11[[#This Row],[a1]]=1,Tab.11[[#This Row],[target]]-Tab.11[[#This Row],[Red]])</f>
        <v>0</v>
      </c>
      <c r="V539" s="72" t="b">
        <f>IF(Tab.11[[#This Row],[a1]]=1,Tab.11[[#This Row],[target]]-Tab.11[[#This Row],[Blue]])</f>
        <v>0</v>
      </c>
      <c r="W539" s="73" t="b">
        <f>IF(Tab.11[[#This Row],[a1]]=1,IF(ABS(Tab.11[[#This Row],[b17]])+ABS(Tab.11[[#This Row],[b18]])&lt;$W$2,$W$2,ABS(Tab.11[[#This Row],[b17]])+ABS(Tab.11[[#This Row],[b18]])))</f>
        <v>0</v>
      </c>
      <c r="X539" s="136" t="b">
        <f>IF(Tab.11[[#This Row],[a1]]=1,IF($W$3&lt;0,Tab.11[[#This Row],[IN]]-$I$3,Tab.11[[#This Row],[IN]]))</f>
        <v>0</v>
      </c>
      <c r="Y539" s="136" t="b">
        <f>IF(Tab.11[[#This Row],[a1]]=1,IF($X$3=0,Tab.11[b66],Tab.11[[#This Row],[b66]]-AVERAGE(Tab.11[b66])))</f>
        <v>0</v>
      </c>
      <c r="Z539" s="135" t="b">
        <f>IF(Tab.11[[#This Row],[a1]]=1,Tab.11[[#This Row],[b77]]/(_xlfn.STDEV.P(Tab.11[b77])))</f>
        <v>0</v>
      </c>
      <c r="AA539" s="70" t="b">
        <f>IF(Tab.11[[#This Row],[a1]]=1,_xlfn.NORM.DIST(Tab.11[[#This Row],[b88]],$Z$1,$AA$1,FALSE))</f>
        <v>0</v>
      </c>
      <c r="AB539" s="74" t="b">
        <f>IF(Tab.11[[#This Row],[a1]]=1,IF($A$3=0,FALSE,1/Tab.11[[#This Row],[IN]]*$AC$2*IF(Tab.11[[#This Row],[a1]]=0,,$A$3*$AC$1*1/$V$3*(Tab.11[[#This Row],[b14]]))))</f>
        <v>0</v>
      </c>
      <c r="AC539" s="75" t="b">
        <f>IF(Tab.11[[#This Row],[a1]]=1,IF($AC$3=0,Tab.11[[#This Row],[φ1]],Tab.11[[#This Row],[φ1]]/MAX(Tab.11[φ1])))</f>
        <v>0</v>
      </c>
      <c r="AD539" s="74" t="b">
        <f>IF(Tab.11[[#This Row],[a1]]=1,1/Tab.11[[#This Row],[φ2]])</f>
        <v>0</v>
      </c>
      <c r="AE539" s="74" t="b">
        <f>IF(Tab.11[[#This Row],[a1]]=1,IF($AE$3=0,Tab.11[[#This Row],[w.0]],Tab.11[[#This Row],[w.0]]/SUM(Tab.11[w.0])))</f>
        <v>0</v>
      </c>
      <c r="AF539" s="76" t="str">
        <f>IF(Tab.11[[#This Row],[a1]]=0,"false",[3]!Tab.x5[[#This Row],[%_seN_C]])</f>
        <v>false</v>
      </c>
      <c r="AG539" s="77" t="b">
        <f>IF(Tab.11[[#This Row],[a1]]=1,AP539)</f>
        <v>0</v>
      </c>
      <c r="AH539" s="78" t="b">
        <f>IF(Tab.11[[#This Row],[a1]]=1,AQ539)</f>
        <v>0</v>
      </c>
      <c r="AI539" s="41">
        <v>3.0000000000000001E-3</v>
      </c>
      <c r="AJ539" s="79">
        <v>-0.01</v>
      </c>
      <c r="AK539" s="80" t="b">
        <f>IF(Tab.11[[#This Row],[a1]]=1,1)</f>
        <v>0</v>
      </c>
      <c r="AZ539"/>
    </row>
    <row r="540" spans="1:52" hidden="1" x14ac:dyDescent="0.25">
      <c r="A540" s="61">
        <f t="shared" si="19"/>
        <v>0</v>
      </c>
      <c r="B540" s="62">
        <f t="shared" si="19"/>
        <v>0</v>
      </c>
      <c r="C540" s="62" t="b">
        <f>IF(Tab.11[[#This Row],[a1]]=1,[3]!Tab_x1[[#This Row],[Name]])</f>
        <v>0</v>
      </c>
      <c r="D540" s="63" t="b">
        <f>IF(Tab.11[[#This Row],[a1]]=1,AO540)</f>
        <v>0</v>
      </c>
      <c r="E540" s="63">
        <f t="shared" si="18"/>
        <v>0</v>
      </c>
      <c r="F540" s="64" t="b">
        <f>IF(Tab.11[[#This Row],[a1]]=1,Tab.11[[#This Row],[b1]])</f>
        <v>0</v>
      </c>
      <c r="G540" s="65" t="b">
        <f>IF(Tab.11[[#This Row],[a1]]=1,IF(Tab.11[[#This Row],[b3]]&gt;$L$989*$G$3,$L$989*$G$3,IF(Tab.11[[#This Row],[b3]]&lt;$M$989*$G$3,$M$989*$G$3,Tab.11[[#This Row],[b3]])))</f>
        <v>0</v>
      </c>
      <c r="H540" s="66" t="b">
        <f>IF(Tab.11[[#This Row],[a1]]=1,Tab.11[[#This Row],[b1]])</f>
        <v>0</v>
      </c>
      <c r="I540" s="67" t="b">
        <f>IF(Tab.11[[#This Row],[a1]]=1,Tab.11[[#This Row],[b1]])</f>
        <v>0</v>
      </c>
      <c r="J540" s="68" t="b">
        <f>IF(Tab.11[[#This Row],[a1]]=1,IF($I$3&lt;0,Tab.11[[#This Row],[b5]]-$I$3,Tab.11[[#This Row],[b5]]))</f>
        <v>0</v>
      </c>
      <c r="K540" s="68" t="b">
        <f>IF(Tab.11[[#This Row],[a1]]=1,IF($K$3=0,Tab.11[b6],Tab.11[[#This Row],[b6]]-AVERAGE(Tab.11[b6])))</f>
        <v>0</v>
      </c>
      <c r="L540" s="69" t="b">
        <f>IF(Tab.11[[#This Row],[a1]]=1,Tab.11[[#This Row],[data]]/(_xlfn.STDEV.P(Tab.11[data])*$B$989)+$A$989)</f>
        <v>0</v>
      </c>
      <c r="M540" s="69" t="b">
        <f>IF(Tab.11[[#This Row],[a1]]=1,Tab.11[[#This Row],[data]]/(_xlfn.STDEV.P(Tab.11[data])*$B$987)-$A$987)</f>
        <v>0</v>
      </c>
      <c r="N540" s="69" t="b">
        <f>IF(Tab.11[[#This Row],[a1]]=1,Tab.11[[#This Row],[data]]/(_xlfn.STDEV.P(Tab.11[data])*$B$988)+$A$988)</f>
        <v>0</v>
      </c>
      <c r="O540" s="70" t="b">
        <f>IF(Tab.11[[#This Row],[a1]]=1,_xlfn.NORM.DIST(Tab.11[[#This Row],[b8]],$P$1,$Q$1,FALSE))</f>
        <v>0</v>
      </c>
      <c r="P540" s="70" t="b">
        <f>IF(Tab.11[[#This Row],[a1]]=1,_xlfn.NORM.DIST(Tab.11[[#This Row],[b9]],$P$1,$Q$1,FALSE))</f>
        <v>0</v>
      </c>
      <c r="Q540" s="70" t="b">
        <f>IF(Tab.11[[#This Row],[a1]]=1,_xlfn.NORM.DIST(Tab.11[[#This Row],[b10]],$P$1,$Q$1,FALSE))</f>
        <v>0</v>
      </c>
      <c r="R540" s="67" t="b">
        <f>IF(Tab.11[[#This Row],[a1]]=1,$I$3+$A$989+IF($K$3=0,Tab.11[[#This Row],[b8]]*_xlfn.STDEV.P(Tab.11[data]),AVERAGE(Tab.11[b6])+Tab.11[[#This Row],[b8]]*_xlfn.STDEV.P(Tab.11[data])))</f>
        <v>0</v>
      </c>
      <c r="S540" s="71" t="b">
        <f>IF(Tab.11[[#This Row],[a1]]=1,$I$3+$A$987+IF($K$3=0,Tab.11[[#This Row],[b9]]*_xlfn.STDEV.P(Tab.11[data]),AVERAGE(Tab.11[b6])+Tab.11[[#This Row],[b9]]*_xlfn.STDEV.P(Tab.11[data])))</f>
        <v>0</v>
      </c>
      <c r="T540" s="71" t="b">
        <f>IF(Tab.11[[#This Row],[a1]]=1,$I$3+$A$988+IF($K$3=0,Tab.11[[#This Row],[b10]]*_xlfn.STDEV.P(Tab.11[data]),AVERAGE(Tab.11[b6])+Tab.11[[#This Row],[b10]]*_xlfn.STDEV.P(Tab.11[data])))</f>
        <v>0</v>
      </c>
      <c r="U540" s="72" t="b">
        <f>IF(Tab.11[[#This Row],[a1]]=1,Tab.11[[#This Row],[target]]-Tab.11[[#This Row],[Red]])</f>
        <v>0</v>
      </c>
      <c r="V540" s="72" t="b">
        <f>IF(Tab.11[[#This Row],[a1]]=1,Tab.11[[#This Row],[target]]-Tab.11[[#This Row],[Blue]])</f>
        <v>0</v>
      </c>
      <c r="W540" s="73" t="b">
        <f>IF(Tab.11[[#This Row],[a1]]=1,IF(ABS(Tab.11[[#This Row],[b17]])+ABS(Tab.11[[#This Row],[b18]])&lt;$W$2,$W$2,ABS(Tab.11[[#This Row],[b17]])+ABS(Tab.11[[#This Row],[b18]])))</f>
        <v>0</v>
      </c>
      <c r="X540" s="136" t="b">
        <f>IF(Tab.11[[#This Row],[a1]]=1,IF($W$3&lt;0,Tab.11[[#This Row],[IN]]-$I$3,Tab.11[[#This Row],[IN]]))</f>
        <v>0</v>
      </c>
      <c r="Y540" s="136" t="b">
        <f>IF(Tab.11[[#This Row],[a1]]=1,IF($X$3=0,Tab.11[b66],Tab.11[[#This Row],[b66]]-AVERAGE(Tab.11[b66])))</f>
        <v>0</v>
      </c>
      <c r="Z540" s="135" t="b">
        <f>IF(Tab.11[[#This Row],[a1]]=1,Tab.11[[#This Row],[b77]]/(_xlfn.STDEV.P(Tab.11[b77])))</f>
        <v>0</v>
      </c>
      <c r="AA540" s="70" t="b">
        <f>IF(Tab.11[[#This Row],[a1]]=1,_xlfn.NORM.DIST(Tab.11[[#This Row],[b88]],$Z$1,$AA$1,FALSE))</f>
        <v>0</v>
      </c>
      <c r="AB540" s="74" t="b">
        <f>IF(Tab.11[[#This Row],[a1]]=1,IF($A$3=0,FALSE,1/Tab.11[[#This Row],[IN]]*$AC$2*IF(Tab.11[[#This Row],[a1]]=0,,$A$3*$AC$1*1/$V$3*(Tab.11[[#This Row],[b14]]))))</f>
        <v>0</v>
      </c>
      <c r="AC540" s="75" t="b">
        <f>IF(Tab.11[[#This Row],[a1]]=1,IF($AC$3=0,Tab.11[[#This Row],[φ1]],Tab.11[[#This Row],[φ1]]/MAX(Tab.11[φ1])))</f>
        <v>0</v>
      </c>
      <c r="AD540" s="74" t="b">
        <f>IF(Tab.11[[#This Row],[a1]]=1,1/Tab.11[[#This Row],[φ2]])</f>
        <v>0</v>
      </c>
      <c r="AE540" s="74" t="b">
        <f>IF(Tab.11[[#This Row],[a1]]=1,IF($AE$3=0,Tab.11[[#This Row],[w.0]],Tab.11[[#This Row],[w.0]]/SUM(Tab.11[w.0])))</f>
        <v>0</v>
      </c>
      <c r="AF540" s="76" t="str">
        <f>IF(Tab.11[[#This Row],[a1]]=0,"false",[3]!Tab.x5[[#This Row],[%_seN_C]])</f>
        <v>false</v>
      </c>
      <c r="AG540" s="77" t="b">
        <f>IF(Tab.11[[#This Row],[a1]]=1,AP540)</f>
        <v>0</v>
      </c>
      <c r="AH540" s="78" t="b">
        <f>IF(Tab.11[[#This Row],[a1]]=1,AQ540)</f>
        <v>0</v>
      </c>
      <c r="AI540" s="41">
        <v>3.0000000000000001E-3</v>
      </c>
      <c r="AJ540" s="79">
        <v>0.05</v>
      </c>
      <c r="AK540" s="80" t="b">
        <f>IF(Tab.11[[#This Row],[a1]]=1,1)</f>
        <v>0</v>
      </c>
      <c r="AZ540"/>
    </row>
    <row r="541" spans="1:52" hidden="1" x14ac:dyDescent="0.25">
      <c r="A541" s="61">
        <f t="shared" si="19"/>
        <v>0</v>
      </c>
      <c r="B541" s="62">
        <f t="shared" si="19"/>
        <v>0</v>
      </c>
      <c r="C541" s="62" t="b">
        <f>IF(Tab.11[[#This Row],[a1]]=1,[3]!Tab_x1[[#This Row],[Name]])</f>
        <v>0</v>
      </c>
      <c r="D541" s="63" t="b">
        <f>IF(Tab.11[[#This Row],[a1]]=1,AO541)</f>
        <v>0</v>
      </c>
      <c r="E541" s="63">
        <f t="shared" si="18"/>
        <v>0</v>
      </c>
      <c r="F541" s="64" t="b">
        <f>IF(Tab.11[[#This Row],[a1]]=1,Tab.11[[#This Row],[b1]])</f>
        <v>0</v>
      </c>
      <c r="G541" s="65" t="b">
        <f>IF(Tab.11[[#This Row],[a1]]=1,IF(Tab.11[[#This Row],[b3]]&gt;$L$989*$G$3,$L$989*$G$3,IF(Tab.11[[#This Row],[b3]]&lt;$M$989*$G$3,$M$989*$G$3,Tab.11[[#This Row],[b3]])))</f>
        <v>0</v>
      </c>
      <c r="H541" s="66" t="b">
        <f>IF(Tab.11[[#This Row],[a1]]=1,Tab.11[[#This Row],[b1]])</f>
        <v>0</v>
      </c>
      <c r="I541" s="67" t="b">
        <f>IF(Tab.11[[#This Row],[a1]]=1,Tab.11[[#This Row],[b1]])</f>
        <v>0</v>
      </c>
      <c r="J541" s="68" t="b">
        <f>IF(Tab.11[[#This Row],[a1]]=1,IF($I$3&lt;0,Tab.11[[#This Row],[b5]]-$I$3,Tab.11[[#This Row],[b5]]))</f>
        <v>0</v>
      </c>
      <c r="K541" s="68" t="b">
        <f>IF(Tab.11[[#This Row],[a1]]=1,IF($K$3=0,Tab.11[b6],Tab.11[[#This Row],[b6]]-AVERAGE(Tab.11[b6])))</f>
        <v>0</v>
      </c>
      <c r="L541" s="69" t="b">
        <f>IF(Tab.11[[#This Row],[a1]]=1,Tab.11[[#This Row],[data]]/(_xlfn.STDEV.P(Tab.11[data])*$B$989)+$A$989)</f>
        <v>0</v>
      </c>
      <c r="M541" s="69" t="b">
        <f>IF(Tab.11[[#This Row],[a1]]=1,Tab.11[[#This Row],[data]]/(_xlfn.STDEV.P(Tab.11[data])*$B$987)-$A$987)</f>
        <v>0</v>
      </c>
      <c r="N541" s="69" t="b">
        <f>IF(Tab.11[[#This Row],[a1]]=1,Tab.11[[#This Row],[data]]/(_xlfn.STDEV.P(Tab.11[data])*$B$988)+$A$988)</f>
        <v>0</v>
      </c>
      <c r="O541" s="70" t="b">
        <f>IF(Tab.11[[#This Row],[a1]]=1,_xlfn.NORM.DIST(Tab.11[[#This Row],[b8]],$P$1,$Q$1,FALSE))</f>
        <v>0</v>
      </c>
      <c r="P541" s="70" t="b">
        <f>IF(Tab.11[[#This Row],[a1]]=1,_xlfn.NORM.DIST(Tab.11[[#This Row],[b9]],$P$1,$Q$1,FALSE))</f>
        <v>0</v>
      </c>
      <c r="Q541" s="70" t="b">
        <f>IF(Tab.11[[#This Row],[a1]]=1,_xlfn.NORM.DIST(Tab.11[[#This Row],[b10]],$P$1,$Q$1,FALSE))</f>
        <v>0</v>
      </c>
      <c r="R541" s="67" t="b">
        <f>IF(Tab.11[[#This Row],[a1]]=1,$I$3+$A$989+IF($K$3=0,Tab.11[[#This Row],[b8]]*_xlfn.STDEV.P(Tab.11[data]),AVERAGE(Tab.11[b6])+Tab.11[[#This Row],[b8]]*_xlfn.STDEV.P(Tab.11[data])))</f>
        <v>0</v>
      </c>
      <c r="S541" s="71" t="b">
        <f>IF(Tab.11[[#This Row],[a1]]=1,$I$3+$A$987+IF($K$3=0,Tab.11[[#This Row],[b9]]*_xlfn.STDEV.P(Tab.11[data]),AVERAGE(Tab.11[b6])+Tab.11[[#This Row],[b9]]*_xlfn.STDEV.P(Tab.11[data])))</f>
        <v>0</v>
      </c>
      <c r="T541" s="71" t="b">
        <f>IF(Tab.11[[#This Row],[a1]]=1,$I$3+$A$988+IF($K$3=0,Tab.11[[#This Row],[b10]]*_xlfn.STDEV.P(Tab.11[data]),AVERAGE(Tab.11[b6])+Tab.11[[#This Row],[b10]]*_xlfn.STDEV.P(Tab.11[data])))</f>
        <v>0</v>
      </c>
      <c r="U541" s="72" t="b">
        <f>IF(Tab.11[[#This Row],[a1]]=1,Tab.11[[#This Row],[target]]-Tab.11[[#This Row],[Red]])</f>
        <v>0</v>
      </c>
      <c r="V541" s="72" t="b">
        <f>IF(Tab.11[[#This Row],[a1]]=1,Tab.11[[#This Row],[target]]-Tab.11[[#This Row],[Blue]])</f>
        <v>0</v>
      </c>
      <c r="W541" s="73" t="b">
        <f>IF(Tab.11[[#This Row],[a1]]=1,IF(ABS(Tab.11[[#This Row],[b17]])+ABS(Tab.11[[#This Row],[b18]])&lt;$W$2,$W$2,ABS(Tab.11[[#This Row],[b17]])+ABS(Tab.11[[#This Row],[b18]])))</f>
        <v>0</v>
      </c>
      <c r="X541" s="136" t="b">
        <f>IF(Tab.11[[#This Row],[a1]]=1,IF($W$3&lt;0,Tab.11[[#This Row],[IN]]-$I$3,Tab.11[[#This Row],[IN]]))</f>
        <v>0</v>
      </c>
      <c r="Y541" s="136" t="b">
        <f>IF(Tab.11[[#This Row],[a1]]=1,IF($X$3=0,Tab.11[b66],Tab.11[[#This Row],[b66]]-AVERAGE(Tab.11[b66])))</f>
        <v>0</v>
      </c>
      <c r="Z541" s="135" t="b">
        <f>IF(Tab.11[[#This Row],[a1]]=1,Tab.11[[#This Row],[b77]]/(_xlfn.STDEV.P(Tab.11[b77])))</f>
        <v>0</v>
      </c>
      <c r="AA541" s="70" t="b">
        <f>IF(Tab.11[[#This Row],[a1]]=1,_xlfn.NORM.DIST(Tab.11[[#This Row],[b88]],$Z$1,$AA$1,FALSE))</f>
        <v>0</v>
      </c>
      <c r="AB541" s="74" t="b">
        <f>IF(Tab.11[[#This Row],[a1]]=1,IF($A$3=0,FALSE,1/Tab.11[[#This Row],[IN]]*$AC$2*IF(Tab.11[[#This Row],[a1]]=0,,$A$3*$AC$1*1/$V$3*(Tab.11[[#This Row],[b14]]))))</f>
        <v>0</v>
      </c>
      <c r="AC541" s="75" t="b">
        <f>IF(Tab.11[[#This Row],[a1]]=1,IF($AC$3=0,Tab.11[[#This Row],[φ1]],Tab.11[[#This Row],[φ1]]/MAX(Tab.11[φ1])))</f>
        <v>0</v>
      </c>
      <c r="AD541" s="74" t="b">
        <f>IF(Tab.11[[#This Row],[a1]]=1,1/Tab.11[[#This Row],[φ2]])</f>
        <v>0</v>
      </c>
      <c r="AE541" s="74" t="b">
        <f>IF(Tab.11[[#This Row],[a1]]=1,IF($AE$3=0,Tab.11[[#This Row],[w.0]],Tab.11[[#This Row],[w.0]]/SUM(Tab.11[w.0])))</f>
        <v>0</v>
      </c>
      <c r="AF541" s="76" t="str">
        <f>IF(Tab.11[[#This Row],[a1]]=0,"false",[3]!Tab.x5[[#This Row],[%_seN_C]])</f>
        <v>false</v>
      </c>
      <c r="AG541" s="77" t="b">
        <f>IF(Tab.11[[#This Row],[a1]]=1,AP541)</f>
        <v>0</v>
      </c>
      <c r="AH541" s="78" t="b">
        <f>IF(Tab.11[[#This Row],[a1]]=1,AQ541)</f>
        <v>0</v>
      </c>
      <c r="AI541" s="41">
        <v>3.0000000000000001E-3</v>
      </c>
      <c r="AJ541" s="79">
        <v>0.02</v>
      </c>
      <c r="AK541" s="80" t="b">
        <f>IF(Tab.11[[#This Row],[a1]]=1,1)</f>
        <v>0</v>
      </c>
      <c r="AZ541"/>
    </row>
    <row r="542" spans="1:52" hidden="1" x14ac:dyDescent="0.25">
      <c r="A542" s="61">
        <f t="shared" si="19"/>
        <v>0</v>
      </c>
      <c r="B542" s="62">
        <f t="shared" si="19"/>
        <v>0</v>
      </c>
      <c r="C542" s="62" t="b">
        <f>IF(Tab.11[[#This Row],[a1]]=1,[3]!Tab_x1[[#This Row],[Name]])</f>
        <v>0</v>
      </c>
      <c r="D542" s="63" t="b">
        <f>IF(Tab.11[[#This Row],[a1]]=1,AO542)</f>
        <v>0</v>
      </c>
      <c r="E542" s="63">
        <f t="shared" si="18"/>
        <v>0</v>
      </c>
      <c r="F542" s="64" t="b">
        <f>IF(Tab.11[[#This Row],[a1]]=1,Tab.11[[#This Row],[b1]])</f>
        <v>0</v>
      </c>
      <c r="G542" s="65" t="b">
        <f>IF(Tab.11[[#This Row],[a1]]=1,IF(Tab.11[[#This Row],[b3]]&gt;$L$989*$G$3,$L$989*$G$3,IF(Tab.11[[#This Row],[b3]]&lt;$M$989*$G$3,$M$989*$G$3,Tab.11[[#This Row],[b3]])))</f>
        <v>0</v>
      </c>
      <c r="H542" s="66" t="b">
        <f>IF(Tab.11[[#This Row],[a1]]=1,Tab.11[[#This Row],[b1]])</f>
        <v>0</v>
      </c>
      <c r="I542" s="67" t="b">
        <f>IF(Tab.11[[#This Row],[a1]]=1,Tab.11[[#This Row],[b1]])</f>
        <v>0</v>
      </c>
      <c r="J542" s="68" t="b">
        <f>IF(Tab.11[[#This Row],[a1]]=1,IF($I$3&lt;0,Tab.11[[#This Row],[b5]]-$I$3,Tab.11[[#This Row],[b5]]))</f>
        <v>0</v>
      </c>
      <c r="K542" s="68" t="b">
        <f>IF(Tab.11[[#This Row],[a1]]=1,IF($K$3=0,Tab.11[b6],Tab.11[[#This Row],[b6]]-AVERAGE(Tab.11[b6])))</f>
        <v>0</v>
      </c>
      <c r="L542" s="69" t="b">
        <f>IF(Tab.11[[#This Row],[a1]]=1,Tab.11[[#This Row],[data]]/(_xlfn.STDEV.P(Tab.11[data])*$B$989)+$A$989)</f>
        <v>0</v>
      </c>
      <c r="M542" s="69" t="b">
        <f>IF(Tab.11[[#This Row],[a1]]=1,Tab.11[[#This Row],[data]]/(_xlfn.STDEV.P(Tab.11[data])*$B$987)-$A$987)</f>
        <v>0</v>
      </c>
      <c r="N542" s="69" t="b">
        <f>IF(Tab.11[[#This Row],[a1]]=1,Tab.11[[#This Row],[data]]/(_xlfn.STDEV.P(Tab.11[data])*$B$988)+$A$988)</f>
        <v>0</v>
      </c>
      <c r="O542" s="70" t="b">
        <f>IF(Tab.11[[#This Row],[a1]]=1,_xlfn.NORM.DIST(Tab.11[[#This Row],[b8]],$P$1,$Q$1,FALSE))</f>
        <v>0</v>
      </c>
      <c r="P542" s="70" t="b">
        <f>IF(Tab.11[[#This Row],[a1]]=1,_xlfn.NORM.DIST(Tab.11[[#This Row],[b9]],$P$1,$Q$1,FALSE))</f>
        <v>0</v>
      </c>
      <c r="Q542" s="70" t="b">
        <f>IF(Tab.11[[#This Row],[a1]]=1,_xlfn.NORM.DIST(Tab.11[[#This Row],[b10]],$P$1,$Q$1,FALSE))</f>
        <v>0</v>
      </c>
      <c r="R542" s="67" t="b">
        <f>IF(Tab.11[[#This Row],[a1]]=1,$I$3+$A$989+IF($K$3=0,Tab.11[[#This Row],[b8]]*_xlfn.STDEV.P(Tab.11[data]),AVERAGE(Tab.11[b6])+Tab.11[[#This Row],[b8]]*_xlfn.STDEV.P(Tab.11[data])))</f>
        <v>0</v>
      </c>
      <c r="S542" s="71" t="b">
        <f>IF(Tab.11[[#This Row],[a1]]=1,$I$3+$A$987+IF($K$3=0,Tab.11[[#This Row],[b9]]*_xlfn.STDEV.P(Tab.11[data]),AVERAGE(Tab.11[b6])+Tab.11[[#This Row],[b9]]*_xlfn.STDEV.P(Tab.11[data])))</f>
        <v>0</v>
      </c>
      <c r="T542" s="71" t="b">
        <f>IF(Tab.11[[#This Row],[a1]]=1,$I$3+$A$988+IF($K$3=0,Tab.11[[#This Row],[b10]]*_xlfn.STDEV.P(Tab.11[data]),AVERAGE(Tab.11[b6])+Tab.11[[#This Row],[b10]]*_xlfn.STDEV.P(Tab.11[data])))</f>
        <v>0</v>
      </c>
      <c r="U542" s="72" t="b">
        <f>IF(Tab.11[[#This Row],[a1]]=1,Tab.11[[#This Row],[target]]-Tab.11[[#This Row],[Red]])</f>
        <v>0</v>
      </c>
      <c r="V542" s="72" t="b">
        <f>IF(Tab.11[[#This Row],[a1]]=1,Tab.11[[#This Row],[target]]-Tab.11[[#This Row],[Blue]])</f>
        <v>0</v>
      </c>
      <c r="W542" s="73" t="b">
        <f>IF(Tab.11[[#This Row],[a1]]=1,IF(ABS(Tab.11[[#This Row],[b17]])+ABS(Tab.11[[#This Row],[b18]])&lt;$W$2,$W$2,ABS(Tab.11[[#This Row],[b17]])+ABS(Tab.11[[#This Row],[b18]])))</f>
        <v>0</v>
      </c>
      <c r="X542" s="136" t="b">
        <f>IF(Tab.11[[#This Row],[a1]]=1,IF($W$3&lt;0,Tab.11[[#This Row],[IN]]-$I$3,Tab.11[[#This Row],[IN]]))</f>
        <v>0</v>
      </c>
      <c r="Y542" s="136" t="b">
        <f>IF(Tab.11[[#This Row],[a1]]=1,IF($X$3=0,Tab.11[b66],Tab.11[[#This Row],[b66]]-AVERAGE(Tab.11[b66])))</f>
        <v>0</v>
      </c>
      <c r="Z542" s="135" t="b">
        <f>IF(Tab.11[[#This Row],[a1]]=1,Tab.11[[#This Row],[b77]]/(_xlfn.STDEV.P(Tab.11[b77])))</f>
        <v>0</v>
      </c>
      <c r="AA542" s="70" t="b">
        <f>IF(Tab.11[[#This Row],[a1]]=1,_xlfn.NORM.DIST(Tab.11[[#This Row],[b88]],$Z$1,$AA$1,FALSE))</f>
        <v>0</v>
      </c>
      <c r="AB542" s="74" t="b">
        <f>IF(Tab.11[[#This Row],[a1]]=1,IF($A$3=0,FALSE,1/Tab.11[[#This Row],[IN]]*$AC$2*IF(Tab.11[[#This Row],[a1]]=0,,$A$3*$AC$1*1/$V$3*(Tab.11[[#This Row],[b14]]))))</f>
        <v>0</v>
      </c>
      <c r="AC542" s="75" t="b">
        <f>IF(Tab.11[[#This Row],[a1]]=1,IF($AC$3=0,Tab.11[[#This Row],[φ1]],Tab.11[[#This Row],[φ1]]/MAX(Tab.11[φ1])))</f>
        <v>0</v>
      </c>
      <c r="AD542" s="74" t="b">
        <f>IF(Tab.11[[#This Row],[a1]]=1,1/Tab.11[[#This Row],[φ2]])</f>
        <v>0</v>
      </c>
      <c r="AE542" s="74" t="b">
        <f>IF(Tab.11[[#This Row],[a1]]=1,IF($AE$3=0,Tab.11[[#This Row],[w.0]],Tab.11[[#This Row],[w.0]]/SUM(Tab.11[w.0])))</f>
        <v>0</v>
      </c>
      <c r="AF542" s="76" t="str">
        <f>IF(Tab.11[[#This Row],[a1]]=0,"false",[3]!Tab.x5[[#This Row],[%_seN_C]])</f>
        <v>false</v>
      </c>
      <c r="AG542" s="77" t="b">
        <f>IF(Tab.11[[#This Row],[a1]]=1,AP542)</f>
        <v>0</v>
      </c>
      <c r="AH542" s="78" t="b">
        <f>IF(Tab.11[[#This Row],[a1]]=1,AQ542)</f>
        <v>0</v>
      </c>
      <c r="AI542" s="41">
        <v>3.0000000000000001E-3</v>
      </c>
      <c r="AJ542" s="79">
        <v>0</v>
      </c>
      <c r="AK542" s="80" t="b">
        <f>IF(Tab.11[[#This Row],[a1]]=1,1)</f>
        <v>0</v>
      </c>
      <c r="AZ542"/>
    </row>
    <row r="543" spans="1:52" hidden="1" x14ac:dyDescent="0.25">
      <c r="A543" s="61">
        <f t="shared" si="19"/>
        <v>0</v>
      </c>
      <c r="B543" s="62">
        <f t="shared" si="19"/>
        <v>0</v>
      </c>
      <c r="C543" s="62" t="b">
        <f>IF(Tab.11[[#This Row],[a1]]=1,[3]!Tab_x1[[#This Row],[Name]])</f>
        <v>0</v>
      </c>
      <c r="D543" s="63" t="b">
        <f>IF(Tab.11[[#This Row],[a1]]=1,AO543)</f>
        <v>0</v>
      </c>
      <c r="E543" s="63">
        <f t="shared" si="18"/>
        <v>0</v>
      </c>
      <c r="F543" s="64" t="b">
        <f>IF(Tab.11[[#This Row],[a1]]=1,Tab.11[[#This Row],[b1]])</f>
        <v>0</v>
      </c>
      <c r="G543" s="65" t="b">
        <f>IF(Tab.11[[#This Row],[a1]]=1,IF(Tab.11[[#This Row],[b3]]&gt;$L$989*$G$3,$L$989*$G$3,IF(Tab.11[[#This Row],[b3]]&lt;$M$989*$G$3,$M$989*$G$3,Tab.11[[#This Row],[b3]])))</f>
        <v>0</v>
      </c>
      <c r="H543" s="66" t="b">
        <f>IF(Tab.11[[#This Row],[a1]]=1,Tab.11[[#This Row],[b1]])</f>
        <v>0</v>
      </c>
      <c r="I543" s="67" t="b">
        <f>IF(Tab.11[[#This Row],[a1]]=1,Tab.11[[#This Row],[b1]])</f>
        <v>0</v>
      </c>
      <c r="J543" s="68" t="b">
        <f>IF(Tab.11[[#This Row],[a1]]=1,IF($I$3&lt;0,Tab.11[[#This Row],[b5]]-$I$3,Tab.11[[#This Row],[b5]]))</f>
        <v>0</v>
      </c>
      <c r="K543" s="68" t="b">
        <f>IF(Tab.11[[#This Row],[a1]]=1,IF($K$3=0,Tab.11[b6],Tab.11[[#This Row],[b6]]-AVERAGE(Tab.11[b6])))</f>
        <v>0</v>
      </c>
      <c r="L543" s="69" t="b">
        <f>IF(Tab.11[[#This Row],[a1]]=1,Tab.11[[#This Row],[data]]/(_xlfn.STDEV.P(Tab.11[data])*$B$989)+$A$989)</f>
        <v>0</v>
      </c>
      <c r="M543" s="69" t="b">
        <f>IF(Tab.11[[#This Row],[a1]]=1,Tab.11[[#This Row],[data]]/(_xlfn.STDEV.P(Tab.11[data])*$B$987)-$A$987)</f>
        <v>0</v>
      </c>
      <c r="N543" s="69" t="b">
        <f>IF(Tab.11[[#This Row],[a1]]=1,Tab.11[[#This Row],[data]]/(_xlfn.STDEV.P(Tab.11[data])*$B$988)+$A$988)</f>
        <v>0</v>
      </c>
      <c r="O543" s="70" t="b">
        <f>IF(Tab.11[[#This Row],[a1]]=1,_xlfn.NORM.DIST(Tab.11[[#This Row],[b8]],$P$1,$Q$1,FALSE))</f>
        <v>0</v>
      </c>
      <c r="P543" s="70" t="b">
        <f>IF(Tab.11[[#This Row],[a1]]=1,_xlfn.NORM.DIST(Tab.11[[#This Row],[b9]],$P$1,$Q$1,FALSE))</f>
        <v>0</v>
      </c>
      <c r="Q543" s="70" t="b">
        <f>IF(Tab.11[[#This Row],[a1]]=1,_xlfn.NORM.DIST(Tab.11[[#This Row],[b10]],$P$1,$Q$1,FALSE))</f>
        <v>0</v>
      </c>
      <c r="R543" s="67" t="b">
        <f>IF(Tab.11[[#This Row],[a1]]=1,$I$3+$A$989+IF($K$3=0,Tab.11[[#This Row],[b8]]*_xlfn.STDEV.P(Tab.11[data]),AVERAGE(Tab.11[b6])+Tab.11[[#This Row],[b8]]*_xlfn.STDEV.P(Tab.11[data])))</f>
        <v>0</v>
      </c>
      <c r="S543" s="71" t="b">
        <f>IF(Tab.11[[#This Row],[a1]]=1,$I$3+$A$987+IF($K$3=0,Tab.11[[#This Row],[b9]]*_xlfn.STDEV.P(Tab.11[data]),AVERAGE(Tab.11[b6])+Tab.11[[#This Row],[b9]]*_xlfn.STDEV.P(Tab.11[data])))</f>
        <v>0</v>
      </c>
      <c r="T543" s="71" t="b">
        <f>IF(Tab.11[[#This Row],[a1]]=1,$I$3+$A$988+IF($K$3=0,Tab.11[[#This Row],[b10]]*_xlfn.STDEV.P(Tab.11[data]),AVERAGE(Tab.11[b6])+Tab.11[[#This Row],[b10]]*_xlfn.STDEV.P(Tab.11[data])))</f>
        <v>0</v>
      </c>
      <c r="U543" s="72" t="b">
        <f>IF(Tab.11[[#This Row],[a1]]=1,Tab.11[[#This Row],[target]]-Tab.11[[#This Row],[Red]])</f>
        <v>0</v>
      </c>
      <c r="V543" s="72" t="b">
        <f>IF(Tab.11[[#This Row],[a1]]=1,Tab.11[[#This Row],[target]]-Tab.11[[#This Row],[Blue]])</f>
        <v>0</v>
      </c>
      <c r="W543" s="73" t="b">
        <f>IF(Tab.11[[#This Row],[a1]]=1,IF(ABS(Tab.11[[#This Row],[b17]])+ABS(Tab.11[[#This Row],[b18]])&lt;$W$2,$W$2,ABS(Tab.11[[#This Row],[b17]])+ABS(Tab.11[[#This Row],[b18]])))</f>
        <v>0</v>
      </c>
      <c r="X543" s="136" t="b">
        <f>IF(Tab.11[[#This Row],[a1]]=1,IF($W$3&lt;0,Tab.11[[#This Row],[IN]]-$I$3,Tab.11[[#This Row],[IN]]))</f>
        <v>0</v>
      </c>
      <c r="Y543" s="136" t="b">
        <f>IF(Tab.11[[#This Row],[a1]]=1,IF($X$3=0,Tab.11[b66],Tab.11[[#This Row],[b66]]-AVERAGE(Tab.11[b66])))</f>
        <v>0</v>
      </c>
      <c r="Z543" s="135" t="b">
        <f>IF(Tab.11[[#This Row],[a1]]=1,Tab.11[[#This Row],[b77]]/(_xlfn.STDEV.P(Tab.11[b77])))</f>
        <v>0</v>
      </c>
      <c r="AA543" s="70" t="b">
        <f>IF(Tab.11[[#This Row],[a1]]=1,_xlfn.NORM.DIST(Tab.11[[#This Row],[b88]],$Z$1,$AA$1,FALSE))</f>
        <v>0</v>
      </c>
      <c r="AB543" s="74" t="b">
        <f>IF(Tab.11[[#This Row],[a1]]=1,IF($A$3=0,FALSE,1/Tab.11[[#This Row],[IN]]*$AC$2*IF(Tab.11[[#This Row],[a1]]=0,,$A$3*$AC$1*1/$V$3*(Tab.11[[#This Row],[b14]]))))</f>
        <v>0</v>
      </c>
      <c r="AC543" s="75" t="b">
        <f>IF(Tab.11[[#This Row],[a1]]=1,IF($AC$3=0,Tab.11[[#This Row],[φ1]],Tab.11[[#This Row],[φ1]]/MAX(Tab.11[φ1])))</f>
        <v>0</v>
      </c>
      <c r="AD543" s="74" t="b">
        <f>IF(Tab.11[[#This Row],[a1]]=1,1/Tab.11[[#This Row],[φ2]])</f>
        <v>0</v>
      </c>
      <c r="AE543" s="74" t="b">
        <f>IF(Tab.11[[#This Row],[a1]]=1,IF($AE$3=0,Tab.11[[#This Row],[w.0]],Tab.11[[#This Row],[w.0]]/SUM(Tab.11[w.0])))</f>
        <v>0</v>
      </c>
      <c r="AF543" s="76" t="str">
        <f>IF(Tab.11[[#This Row],[a1]]=0,"false",[3]!Tab.x5[[#This Row],[%_seN_C]])</f>
        <v>false</v>
      </c>
      <c r="AG543" s="77" t="b">
        <f>IF(Tab.11[[#This Row],[a1]]=1,AP543)</f>
        <v>0</v>
      </c>
      <c r="AH543" s="78" t="b">
        <f>IF(Tab.11[[#This Row],[a1]]=1,AQ543)</f>
        <v>0</v>
      </c>
      <c r="AI543" s="41">
        <v>3.0000000000000001E-3</v>
      </c>
      <c r="AJ543" s="79">
        <v>7.0000000000000007E-2</v>
      </c>
      <c r="AK543" s="80" t="b">
        <f>IF(Tab.11[[#This Row],[a1]]=1,1)</f>
        <v>0</v>
      </c>
      <c r="AZ543"/>
    </row>
    <row r="544" spans="1:52" hidden="1" x14ac:dyDescent="0.25">
      <c r="A544" s="61">
        <f t="shared" si="19"/>
        <v>0</v>
      </c>
      <c r="B544" s="62">
        <f t="shared" si="19"/>
        <v>0</v>
      </c>
      <c r="C544" s="62" t="b">
        <f>IF(Tab.11[[#This Row],[a1]]=1,[3]!Tab_x1[[#This Row],[Name]])</f>
        <v>0</v>
      </c>
      <c r="D544" s="63" t="b">
        <f>IF(Tab.11[[#This Row],[a1]]=1,AO544)</f>
        <v>0</v>
      </c>
      <c r="E544" s="63">
        <f t="shared" si="18"/>
        <v>0</v>
      </c>
      <c r="F544" s="64" t="b">
        <f>IF(Tab.11[[#This Row],[a1]]=1,Tab.11[[#This Row],[b1]])</f>
        <v>0</v>
      </c>
      <c r="G544" s="65" t="b">
        <f>IF(Tab.11[[#This Row],[a1]]=1,IF(Tab.11[[#This Row],[b3]]&gt;$L$989*$G$3,$L$989*$G$3,IF(Tab.11[[#This Row],[b3]]&lt;$M$989*$G$3,$M$989*$G$3,Tab.11[[#This Row],[b3]])))</f>
        <v>0</v>
      </c>
      <c r="H544" s="66" t="b">
        <f>IF(Tab.11[[#This Row],[a1]]=1,Tab.11[[#This Row],[b1]])</f>
        <v>0</v>
      </c>
      <c r="I544" s="67" t="b">
        <f>IF(Tab.11[[#This Row],[a1]]=1,Tab.11[[#This Row],[b1]])</f>
        <v>0</v>
      </c>
      <c r="J544" s="68" t="b">
        <f>IF(Tab.11[[#This Row],[a1]]=1,IF($I$3&lt;0,Tab.11[[#This Row],[b5]]-$I$3,Tab.11[[#This Row],[b5]]))</f>
        <v>0</v>
      </c>
      <c r="K544" s="68" t="b">
        <f>IF(Tab.11[[#This Row],[a1]]=1,IF($K$3=0,Tab.11[b6],Tab.11[[#This Row],[b6]]-AVERAGE(Tab.11[b6])))</f>
        <v>0</v>
      </c>
      <c r="L544" s="69" t="b">
        <f>IF(Tab.11[[#This Row],[a1]]=1,Tab.11[[#This Row],[data]]/(_xlfn.STDEV.P(Tab.11[data])*$B$989)+$A$989)</f>
        <v>0</v>
      </c>
      <c r="M544" s="69" t="b">
        <f>IF(Tab.11[[#This Row],[a1]]=1,Tab.11[[#This Row],[data]]/(_xlfn.STDEV.P(Tab.11[data])*$B$987)-$A$987)</f>
        <v>0</v>
      </c>
      <c r="N544" s="69" t="b">
        <f>IF(Tab.11[[#This Row],[a1]]=1,Tab.11[[#This Row],[data]]/(_xlfn.STDEV.P(Tab.11[data])*$B$988)+$A$988)</f>
        <v>0</v>
      </c>
      <c r="O544" s="70" t="b">
        <f>IF(Tab.11[[#This Row],[a1]]=1,_xlfn.NORM.DIST(Tab.11[[#This Row],[b8]],$P$1,$Q$1,FALSE))</f>
        <v>0</v>
      </c>
      <c r="P544" s="70" t="b">
        <f>IF(Tab.11[[#This Row],[a1]]=1,_xlfn.NORM.DIST(Tab.11[[#This Row],[b9]],$P$1,$Q$1,FALSE))</f>
        <v>0</v>
      </c>
      <c r="Q544" s="70" t="b">
        <f>IF(Tab.11[[#This Row],[a1]]=1,_xlfn.NORM.DIST(Tab.11[[#This Row],[b10]],$P$1,$Q$1,FALSE))</f>
        <v>0</v>
      </c>
      <c r="R544" s="67" t="b">
        <f>IF(Tab.11[[#This Row],[a1]]=1,$I$3+$A$989+IF($K$3=0,Tab.11[[#This Row],[b8]]*_xlfn.STDEV.P(Tab.11[data]),AVERAGE(Tab.11[b6])+Tab.11[[#This Row],[b8]]*_xlfn.STDEV.P(Tab.11[data])))</f>
        <v>0</v>
      </c>
      <c r="S544" s="71" t="b">
        <f>IF(Tab.11[[#This Row],[a1]]=1,$I$3+$A$987+IF($K$3=0,Tab.11[[#This Row],[b9]]*_xlfn.STDEV.P(Tab.11[data]),AVERAGE(Tab.11[b6])+Tab.11[[#This Row],[b9]]*_xlfn.STDEV.P(Tab.11[data])))</f>
        <v>0</v>
      </c>
      <c r="T544" s="71" t="b">
        <f>IF(Tab.11[[#This Row],[a1]]=1,$I$3+$A$988+IF($K$3=0,Tab.11[[#This Row],[b10]]*_xlfn.STDEV.P(Tab.11[data]),AVERAGE(Tab.11[b6])+Tab.11[[#This Row],[b10]]*_xlfn.STDEV.P(Tab.11[data])))</f>
        <v>0</v>
      </c>
      <c r="U544" s="72" t="b">
        <f>IF(Tab.11[[#This Row],[a1]]=1,Tab.11[[#This Row],[target]]-Tab.11[[#This Row],[Red]])</f>
        <v>0</v>
      </c>
      <c r="V544" s="72" t="b">
        <f>IF(Tab.11[[#This Row],[a1]]=1,Tab.11[[#This Row],[target]]-Tab.11[[#This Row],[Blue]])</f>
        <v>0</v>
      </c>
      <c r="W544" s="73" t="b">
        <f>IF(Tab.11[[#This Row],[a1]]=1,IF(ABS(Tab.11[[#This Row],[b17]])+ABS(Tab.11[[#This Row],[b18]])&lt;$W$2,$W$2,ABS(Tab.11[[#This Row],[b17]])+ABS(Tab.11[[#This Row],[b18]])))</f>
        <v>0</v>
      </c>
      <c r="X544" s="136" t="b">
        <f>IF(Tab.11[[#This Row],[a1]]=1,IF($W$3&lt;0,Tab.11[[#This Row],[IN]]-$I$3,Tab.11[[#This Row],[IN]]))</f>
        <v>0</v>
      </c>
      <c r="Y544" s="136" t="b">
        <f>IF(Tab.11[[#This Row],[a1]]=1,IF($X$3=0,Tab.11[b66],Tab.11[[#This Row],[b66]]-AVERAGE(Tab.11[b66])))</f>
        <v>0</v>
      </c>
      <c r="Z544" s="135" t="b">
        <f>IF(Tab.11[[#This Row],[a1]]=1,Tab.11[[#This Row],[b77]]/(_xlfn.STDEV.P(Tab.11[b77])))</f>
        <v>0</v>
      </c>
      <c r="AA544" s="70" t="b">
        <f>IF(Tab.11[[#This Row],[a1]]=1,_xlfn.NORM.DIST(Tab.11[[#This Row],[b88]],$Z$1,$AA$1,FALSE))</f>
        <v>0</v>
      </c>
      <c r="AB544" s="74" t="b">
        <f>IF(Tab.11[[#This Row],[a1]]=1,IF($A$3=0,FALSE,1/Tab.11[[#This Row],[IN]]*$AC$2*IF(Tab.11[[#This Row],[a1]]=0,,$A$3*$AC$1*1/$V$3*(Tab.11[[#This Row],[b14]]))))</f>
        <v>0</v>
      </c>
      <c r="AC544" s="75" t="b">
        <f>IF(Tab.11[[#This Row],[a1]]=1,IF($AC$3=0,Tab.11[[#This Row],[φ1]],Tab.11[[#This Row],[φ1]]/MAX(Tab.11[φ1])))</f>
        <v>0</v>
      </c>
      <c r="AD544" s="74" t="b">
        <f>IF(Tab.11[[#This Row],[a1]]=1,1/Tab.11[[#This Row],[φ2]])</f>
        <v>0</v>
      </c>
      <c r="AE544" s="74" t="b">
        <f>IF(Tab.11[[#This Row],[a1]]=1,IF($AE$3=0,Tab.11[[#This Row],[w.0]],Tab.11[[#This Row],[w.0]]/SUM(Tab.11[w.0])))</f>
        <v>0</v>
      </c>
      <c r="AF544" s="76" t="str">
        <f>IF(Tab.11[[#This Row],[a1]]=0,"false",[3]!Tab.x5[[#This Row],[%_seN_C]])</f>
        <v>false</v>
      </c>
      <c r="AG544" s="77" t="b">
        <f>IF(Tab.11[[#This Row],[a1]]=1,AP544)</f>
        <v>0</v>
      </c>
      <c r="AH544" s="78" t="b">
        <f>IF(Tab.11[[#This Row],[a1]]=1,AQ544)</f>
        <v>0</v>
      </c>
      <c r="AI544" s="41">
        <v>3.0000000000000001E-3</v>
      </c>
      <c r="AJ544" s="79">
        <v>-0.03</v>
      </c>
      <c r="AK544" s="80" t="b">
        <f>IF(Tab.11[[#This Row],[a1]]=1,1)</f>
        <v>0</v>
      </c>
      <c r="AZ544"/>
    </row>
    <row r="545" spans="1:52" hidden="1" x14ac:dyDescent="0.25">
      <c r="A545" s="61">
        <f t="shared" si="19"/>
        <v>0</v>
      </c>
      <c r="B545" s="62">
        <f t="shared" si="19"/>
        <v>0</v>
      </c>
      <c r="C545" s="62" t="b">
        <f>IF(Tab.11[[#This Row],[a1]]=1,[3]!Tab_x1[[#This Row],[Name]])</f>
        <v>0</v>
      </c>
      <c r="D545" s="63" t="b">
        <f>IF(Tab.11[[#This Row],[a1]]=1,AO545)</f>
        <v>0</v>
      </c>
      <c r="E545" s="63">
        <f t="shared" si="18"/>
        <v>0</v>
      </c>
      <c r="F545" s="64" t="b">
        <f>IF(Tab.11[[#This Row],[a1]]=1,Tab.11[[#This Row],[b1]])</f>
        <v>0</v>
      </c>
      <c r="G545" s="65" t="b">
        <f>IF(Tab.11[[#This Row],[a1]]=1,IF(Tab.11[[#This Row],[b3]]&gt;$L$989*$G$3,$L$989*$G$3,IF(Tab.11[[#This Row],[b3]]&lt;$M$989*$G$3,$M$989*$G$3,Tab.11[[#This Row],[b3]])))</f>
        <v>0</v>
      </c>
      <c r="H545" s="66" t="b">
        <f>IF(Tab.11[[#This Row],[a1]]=1,Tab.11[[#This Row],[b1]])</f>
        <v>0</v>
      </c>
      <c r="I545" s="67" t="b">
        <f>IF(Tab.11[[#This Row],[a1]]=1,Tab.11[[#This Row],[b1]])</f>
        <v>0</v>
      </c>
      <c r="J545" s="68" t="b">
        <f>IF(Tab.11[[#This Row],[a1]]=1,IF($I$3&lt;0,Tab.11[[#This Row],[b5]]-$I$3,Tab.11[[#This Row],[b5]]))</f>
        <v>0</v>
      </c>
      <c r="K545" s="68" t="b">
        <f>IF(Tab.11[[#This Row],[a1]]=1,IF($K$3=0,Tab.11[b6],Tab.11[[#This Row],[b6]]-AVERAGE(Tab.11[b6])))</f>
        <v>0</v>
      </c>
      <c r="L545" s="69" t="b">
        <f>IF(Tab.11[[#This Row],[a1]]=1,Tab.11[[#This Row],[data]]/(_xlfn.STDEV.P(Tab.11[data])*$B$989)+$A$989)</f>
        <v>0</v>
      </c>
      <c r="M545" s="69" t="b">
        <f>IF(Tab.11[[#This Row],[a1]]=1,Tab.11[[#This Row],[data]]/(_xlfn.STDEV.P(Tab.11[data])*$B$987)-$A$987)</f>
        <v>0</v>
      </c>
      <c r="N545" s="69" t="b">
        <f>IF(Tab.11[[#This Row],[a1]]=1,Tab.11[[#This Row],[data]]/(_xlfn.STDEV.P(Tab.11[data])*$B$988)+$A$988)</f>
        <v>0</v>
      </c>
      <c r="O545" s="70" t="b">
        <f>IF(Tab.11[[#This Row],[a1]]=1,_xlfn.NORM.DIST(Tab.11[[#This Row],[b8]],$P$1,$Q$1,FALSE))</f>
        <v>0</v>
      </c>
      <c r="P545" s="70" t="b">
        <f>IF(Tab.11[[#This Row],[a1]]=1,_xlfn.NORM.DIST(Tab.11[[#This Row],[b9]],$P$1,$Q$1,FALSE))</f>
        <v>0</v>
      </c>
      <c r="Q545" s="70" t="b">
        <f>IF(Tab.11[[#This Row],[a1]]=1,_xlfn.NORM.DIST(Tab.11[[#This Row],[b10]],$P$1,$Q$1,FALSE))</f>
        <v>0</v>
      </c>
      <c r="R545" s="67" t="b">
        <f>IF(Tab.11[[#This Row],[a1]]=1,$I$3+$A$989+IF($K$3=0,Tab.11[[#This Row],[b8]]*_xlfn.STDEV.P(Tab.11[data]),AVERAGE(Tab.11[b6])+Tab.11[[#This Row],[b8]]*_xlfn.STDEV.P(Tab.11[data])))</f>
        <v>0</v>
      </c>
      <c r="S545" s="71" t="b">
        <f>IF(Tab.11[[#This Row],[a1]]=1,$I$3+$A$987+IF($K$3=0,Tab.11[[#This Row],[b9]]*_xlfn.STDEV.P(Tab.11[data]),AVERAGE(Tab.11[b6])+Tab.11[[#This Row],[b9]]*_xlfn.STDEV.P(Tab.11[data])))</f>
        <v>0</v>
      </c>
      <c r="T545" s="71" t="b">
        <f>IF(Tab.11[[#This Row],[a1]]=1,$I$3+$A$988+IF($K$3=0,Tab.11[[#This Row],[b10]]*_xlfn.STDEV.P(Tab.11[data]),AVERAGE(Tab.11[b6])+Tab.11[[#This Row],[b10]]*_xlfn.STDEV.P(Tab.11[data])))</f>
        <v>0</v>
      </c>
      <c r="U545" s="72" t="b">
        <f>IF(Tab.11[[#This Row],[a1]]=1,Tab.11[[#This Row],[target]]-Tab.11[[#This Row],[Red]])</f>
        <v>0</v>
      </c>
      <c r="V545" s="72" t="b">
        <f>IF(Tab.11[[#This Row],[a1]]=1,Tab.11[[#This Row],[target]]-Tab.11[[#This Row],[Blue]])</f>
        <v>0</v>
      </c>
      <c r="W545" s="73" t="b">
        <f>IF(Tab.11[[#This Row],[a1]]=1,IF(ABS(Tab.11[[#This Row],[b17]])+ABS(Tab.11[[#This Row],[b18]])&lt;$W$2,$W$2,ABS(Tab.11[[#This Row],[b17]])+ABS(Tab.11[[#This Row],[b18]])))</f>
        <v>0</v>
      </c>
      <c r="X545" s="136" t="b">
        <f>IF(Tab.11[[#This Row],[a1]]=1,IF($W$3&lt;0,Tab.11[[#This Row],[IN]]-$I$3,Tab.11[[#This Row],[IN]]))</f>
        <v>0</v>
      </c>
      <c r="Y545" s="136" t="b">
        <f>IF(Tab.11[[#This Row],[a1]]=1,IF($X$3=0,Tab.11[b66],Tab.11[[#This Row],[b66]]-AVERAGE(Tab.11[b66])))</f>
        <v>0</v>
      </c>
      <c r="Z545" s="135" t="b">
        <f>IF(Tab.11[[#This Row],[a1]]=1,Tab.11[[#This Row],[b77]]/(_xlfn.STDEV.P(Tab.11[b77])))</f>
        <v>0</v>
      </c>
      <c r="AA545" s="70" t="b">
        <f>IF(Tab.11[[#This Row],[a1]]=1,_xlfn.NORM.DIST(Tab.11[[#This Row],[b88]],$Z$1,$AA$1,FALSE))</f>
        <v>0</v>
      </c>
      <c r="AB545" s="74" t="b">
        <f>IF(Tab.11[[#This Row],[a1]]=1,IF($A$3=0,FALSE,1/Tab.11[[#This Row],[IN]]*$AC$2*IF(Tab.11[[#This Row],[a1]]=0,,$A$3*$AC$1*1/$V$3*(Tab.11[[#This Row],[b14]]))))</f>
        <v>0</v>
      </c>
      <c r="AC545" s="75" t="b">
        <f>IF(Tab.11[[#This Row],[a1]]=1,IF($AC$3=0,Tab.11[[#This Row],[φ1]],Tab.11[[#This Row],[φ1]]/MAX(Tab.11[φ1])))</f>
        <v>0</v>
      </c>
      <c r="AD545" s="74" t="b">
        <f>IF(Tab.11[[#This Row],[a1]]=1,1/Tab.11[[#This Row],[φ2]])</f>
        <v>0</v>
      </c>
      <c r="AE545" s="74" t="b">
        <f>IF(Tab.11[[#This Row],[a1]]=1,IF($AE$3=0,Tab.11[[#This Row],[w.0]],Tab.11[[#This Row],[w.0]]/SUM(Tab.11[w.0])))</f>
        <v>0</v>
      </c>
      <c r="AF545" s="76" t="str">
        <f>IF(Tab.11[[#This Row],[a1]]=0,"false",[3]!Tab.x5[[#This Row],[%_seN_C]])</f>
        <v>false</v>
      </c>
      <c r="AG545" s="77" t="b">
        <f>IF(Tab.11[[#This Row],[a1]]=1,AP545)</f>
        <v>0</v>
      </c>
      <c r="AH545" s="78" t="b">
        <f>IF(Tab.11[[#This Row],[a1]]=1,AQ545)</f>
        <v>0</v>
      </c>
      <c r="AI545" s="41">
        <v>3.0000000000000001E-3</v>
      </c>
      <c r="AJ545" s="79">
        <v>-0.04</v>
      </c>
      <c r="AK545" s="80" t="b">
        <f>IF(Tab.11[[#This Row],[a1]]=1,1)</f>
        <v>0</v>
      </c>
      <c r="AZ545"/>
    </row>
    <row r="546" spans="1:52" hidden="1" x14ac:dyDescent="0.25">
      <c r="A546" s="61">
        <f t="shared" si="19"/>
        <v>0</v>
      </c>
      <c r="B546" s="62">
        <f t="shared" si="19"/>
        <v>0</v>
      </c>
      <c r="C546" s="62" t="b">
        <f>IF(Tab.11[[#This Row],[a1]]=1,[3]!Tab_x1[[#This Row],[Name]])</f>
        <v>0</v>
      </c>
      <c r="D546" s="63" t="b">
        <f>IF(Tab.11[[#This Row],[a1]]=1,AO546)</f>
        <v>0</v>
      </c>
      <c r="E546" s="63">
        <f t="shared" si="18"/>
        <v>0</v>
      </c>
      <c r="F546" s="64" t="b">
        <f>IF(Tab.11[[#This Row],[a1]]=1,Tab.11[[#This Row],[b1]])</f>
        <v>0</v>
      </c>
      <c r="G546" s="65" t="b">
        <f>IF(Tab.11[[#This Row],[a1]]=1,IF(Tab.11[[#This Row],[b3]]&gt;$L$989*$G$3,$L$989*$G$3,IF(Tab.11[[#This Row],[b3]]&lt;$M$989*$G$3,$M$989*$G$3,Tab.11[[#This Row],[b3]])))</f>
        <v>0</v>
      </c>
      <c r="H546" s="66" t="b">
        <f>IF(Tab.11[[#This Row],[a1]]=1,Tab.11[[#This Row],[b1]])</f>
        <v>0</v>
      </c>
      <c r="I546" s="67" t="b">
        <f>IF(Tab.11[[#This Row],[a1]]=1,Tab.11[[#This Row],[b1]])</f>
        <v>0</v>
      </c>
      <c r="J546" s="68" t="b">
        <f>IF(Tab.11[[#This Row],[a1]]=1,IF($I$3&lt;0,Tab.11[[#This Row],[b5]]-$I$3,Tab.11[[#This Row],[b5]]))</f>
        <v>0</v>
      </c>
      <c r="K546" s="68" t="b">
        <f>IF(Tab.11[[#This Row],[a1]]=1,IF($K$3=0,Tab.11[b6],Tab.11[[#This Row],[b6]]-AVERAGE(Tab.11[b6])))</f>
        <v>0</v>
      </c>
      <c r="L546" s="69" t="b">
        <f>IF(Tab.11[[#This Row],[a1]]=1,Tab.11[[#This Row],[data]]/(_xlfn.STDEV.P(Tab.11[data])*$B$989)+$A$989)</f>
        <v>0</v>
      </c>
      <c r="M546" s="69" t="b">
        <f>IF(Tab.11[[#This Row],[a1]]=1,Tab.11[[#This Row],[data]]/(_xlfn.STDEV.P(Tab.11[data])*$B$987)-$A$987)</f>
        <v>0</v>
      </c>
      <c r="N546" s="69" t="b">
        <f>IF(Tab.11[[#This Row],[a1]]=1,Tab.11[[#This Row],[data]]/(_xlfn.STDEV.P(Tab.11[data])*$B$988)+$A$988)</f>
        <v>0</v>
      </c>
      <c r="O546" s="70" t="b">
        <f>IF(Tab.11[[#This Row],[a1]]=1,_xlfn.NORM.DIST(Tab.11[[#This Row],[b8]],$P$1,$Q$1,FALSE))</f>
        <v>0</v>
      </c>
      <c r="P546" s="70" t="b">
        <f>IF(Tab.11[[#This Row],[a1]]=1,_xlfn.NORM.DIST(Tab.11[[#This Row],[b9]],$P$1,$Q$1,FALSE))</f>
        <v>0</v>
      </c>
      <c r="Q546" s="70" t="b">
        <f>IF(Tab.11[[#This Row],[a1]]=1,_xlfn.NORM.DIST(Tab.11[[#This Row],[b10]],$P$1,$Q$1,FALSE))</f>
        <v>0</v>
      </c>
      <c r="R546" s="67" t="b">
        <f>IF(Tab.11[[#This Row],[a1]]=1,$I$3+$A$989+IF($K$3=0,Tab.11[[#This Row],[b8]]*_xlfn.STDEV.P(Tab.11[data]),AVERAGE(Tab.11[b6])+Tab.11[[#This Row],[b8]]*_xlfn.STDEV.P(Tab.11[data])))</f>
        <v>0</v>
      </c>
      <c r="S546" s="71" t="b">
        <f>IF(Tab.11[[#This Row],[a1]]=1,$I$3+$A$987+IF($K$3=0,Tab.11[[#This Row],[b9]]*_xlfn.STDEV.P(Tab.11[data]),AVERAGE(Tab.11[b6])+Tab.11[[#This Row],[b9]]*_xlfn.STDEV.P(Tab.11[data])))</f>
        <v>0</v>
      </c>
      <c r="T546" s="71" t="b">
        <f>IF(Tab.11[[#This Row],[a1]]=1,$I$3+$A$988+IF($K$3=0,Tab.11[[#This Row],[b10]]*_xlfn.STDEV.P(Tab.11[data]),AVERAGE(Tab.11[b6])+Tab.11[[#This Row],[b10]]*_xlfn.STDEV.P(Tab.11[data])))</f>
        <v>0</v>
      </c>
      <c r="U546" s="72" t="b">
        <f>IF(Tab.11[[#This Row],[a1]]=1,Tab.11[[#This Row],[target]]-Tab.11[[#This Row],[Red]])</f>
        <v>0</v>
      </c>
      <c r="V546" s="72" t="b">
        <f>IF(Tab.11[[#This Row],[a1]]=1,Tab.11[[#This Row],[target]]-Tab.11[[#This Row],[Blue]])</f>
        <v>0</v>
      </c>
      <c r="W546" s="73" t="b">
        <f>IF(Tab.11[[#This Row],[a1]]=1,IF(ABS(Tab.11[[#This Row],[b17]])+ABS(Tab.11[[#This Row],[b18]])&lt;$W$2,$W$2,ABS(Tab.11[[#This Row],[b17]])+ABS(Tab.11[[#This Row],[b18]])))</f>
        <v>0</v>
      </c>
      <c r="X546" s="136" t="b">
        <f>IF(Tab.11[[#This Row],[a1]]=1,IF($W$3&lt;0,Tab.11[[#This Row],[IN]]-$I$3,Tab.11[[#This Row],[IN]]))</f>
        <v>0</v>
      </c>
      <c r="Y546" s="136" t="b">
        <f>IF(Tab.11[[#This Row],[a1]]=1,IF($X$3=0,Tab.11[b66],Tab.11[[#This Row],[b66]]-AVERAGE(Tab.11[b66])))</f>
        <v>0</v>
      </c>
      <c r="Z546" s="135" t="b">
        <f>IF(Tab.11[[#This Row],[a1]]=1,Tab.11[[#This Row],[b77]]/(_xlfn.STDEV.P(Tab.11[b77])))</f>
        <v>0</v>
      </c>
      <c r="AA546" s="70" t="b">
        <f>IF(Tab.11[[#This Row],[a1]]=1,_xlfn.NORM.DIST(Tab.11[[#This Row],[b88]],$Z$1,$AA$1,FALSE))</f>
        <v>0</v>
      </c>
      <c r="AB546" s="74" t="b">
        <f>IF(Tab.11[[#This Row],[a1]]=1,IF($A$3=0,FALSE,1/Tab.11[[#This Row],[IN]]*$AC$2*IF(Tab.11[[#This Row],[a1]]=0,,$A$3*$AC$1*1/$V$3*(Tab.11[[#This Row],[b14]]))))</f>
        <v>0</v>
      </c>
      <c r="AC546" s="75" t="b">
        <f>IF(Tab.11[[#This Row],[a1]]=1,IF($AC$3=0,Tab.11[[#This Row],[φ1]],Tab.11[[#This Row],[φ1]]/MAX(Tab.11[φ1])))</f>
        <v>0</v>
      </c>
      <c r="AD546" s="74" t="b">
        <f>IF(Tab.11[[#This Row],[a1]]=1,1/Tab.11[[#This Row],[φ2]])</f>
        <v>0</v>
      </c>
      <c r="AE546" s="74" t="b">
        <f>IF(Tab.11[[#This Row],[a1]]=1,IF($AE$3=0,Tab.11[[#This Row],[w.0]],Tab.11[[#This Row],[w.0]]/SUM(Tab.11[w.0])))</f>
        <v>0</v>
      </c>
      <c r="AF546" s="76" t="str">
        <f>IF(Tab.11[[#This Row],[a1]]=0,"false",[3]!Tab.x5[[#This Row],[%_seN_C]])</f>
        <v>false</v>
      </c>
      <c r="AG546" s="77" t="b">
        <f>IF(Tab.11[[#This Row],[a1]]=1,AP546)</f>
        <v>0</v>
      </c>
      <c r="AH546" s="78" t="b">
        <f>IF(Tab.11[[#This Row],[a1]]=1,AQ546)</f>
        <v>0</v>
      </c>
      <c r="AI546" s="41">
        <v>3.0000000000000001E-3</v>
      </c>
      <c r="AJ546" s="79">
        <v>-7.0000000000000007E-2</v>
      </c>
      <c r="AK546" s="80" t="b">
        <f>IF(Tab.11[[#This Row],[a1]]=1,1)</f>
        <v>0</v>
      </c>
      <c r="AZ546"/>
    </row>
    <row r="547" spans="1:52" hidden="1" x14ac:dyDescent="0.25">
      <c r="A547" s="61">
        <f t="shared" si="19"/>
        <v>0</v>
      </c>
      <c r="B547" s="62">
        <f t="shared" si="19"/>
        <v>0</v>
      </c>
      <c r="C547" s="62" t="b">
        <f>IF(Tab.11[[#This Row],[a1]]=1,[3]!Tab_x1[[#This Row],[Name]])</f>
        <v>0</v>
      </c>
      <c r="D547" s="63" t="b">
        <f>IF(Tab.11[[#This Row],[a1]]=1,AO547)</f>
        <v>0</v>
      </c>
      <c r="E547" s="63">
        <f t="shared" si="18"/>
        <v>0</v>
      </c>
      <c r="F547" s="64" t="b">
        <f>IF(Tab.11[[#This Row],[a1]]=1,Tab.11[[#This Row],[b1]])</f>
        <v>0</v>
      </c>
      <c r="G547" s="65" t="b">
        <f>IF(Tab.11[[#This Row],[a1]]=1,IF(Tab.11[[#This Row],[b3]]&gt;$L$989*$G$3,$L$989*$G$3,IF(Tab.11[[#This Row],[b3]]&lt;$M$989*$G$3,$M$989*$G$3,Tab.11[[#This Row],[b3]])))</f>
        <v>0</v>
      </c>
      <c r="H547" s="66" t="b">
        <f>IF(Tab.11[[#This Row],[a1]]=1,Tab.11[[#This Row],[b1]])</f>
        <v>0</v>
      </c>
      <c r="I547" s="67" t="b">
        <f>IF(Tab.11[[#This Row],[a1]]=1,Tab.11[[#This Row],[b1]])</f>
        <v>0</v>
      </c>
      <c r="J547" s="68" t="b">
        <f>IF(Tab.11[[#This Row],[a1]]=1,IF($I$3&lt;0,Tab.11[[#This Row],[b5]]-$I$3,Tab.11[[#This Row],[b5]]))</f>
        <v>0</v>
      </c>
      <c r="K547" s="68" t="b">
        <f>IF(Tab.11[[#This Row],[a1]]=1,IF($K$3=0,Tab.11[b6],Tab.11[[#This Row],[b6]]-AVERAGE(Tab.11[b6])))</f>
        <v>0</v>
      </c>
      <c r="L547" s="69" t="b">
        <f>IF(Tab.11[[#This Row],[a1]]=1,Tab.11[[#This Row],[data]]/(_xlfn.STDEV.P(Tab.11[data])*$B$989)+$A$989)</f>
        <v>0</v>
      </c>
      <c r="M547" s="69" t="b">
        <f>IF(Tab.11[[#This Row],[a1]]=1,Tab.11[[#This Row],[data]]/(_xlfn.STDEV.P(Tab.11[data])*$B$987)-$A$987)</f>
        <v>0</v>
      </c>
      <c r="N547" s="69" t="b">
        <f>IF(Tab.11[[#This Row],[a1]]=1,Tab.11[[#This Row],[data]]/(_xlfn.STDEV.P(Tab.11[data])*$B$988)+$A$988)</f>
        <v>0</v>
      </c>
      <c r="O547" s="70" t="b">
        <f>IF(Tab.11[[#This Row],[a1]]=1,_xlfn.NORM.DIST(Tab.11[[#This Row],[b8]],$P$1,$Q$1,FALSE))</f>
        <v>0</v>
      </c>
      <c r="P547" s="70" t="b">
        <f>IF(Tab.11[[#This Row],[a1]]=1,_xlfn.NORM.DIST(Tab.11[[#This Row],[b9]],$P$1,$Q$1,FALSE))</f>
        <v>0</v>
      </c>
      <c r="Q547" s="70" t="b">
        <f>IF(Tab.11[[#This Row],[a1]]=1,_xlfn.NORM.DIST(Tab.11[[#This Row],[b10]],$P$1,$Q$1,FALSE))</f>
        <v>0</v>
      </c>
      <c r="R547" s="67" t="b">
        <f>IF(Tab.11[[#This Row],[a1]]=1,$I$3+$A$989+IF($K$3=0,Tab.11[[#This Row],[b8]]*_xlfn.STDEV.P(Tab.11[data]),AVERAGE(Tab.11[b6])+Tab.11[[#This Row],[b8]]*_xlfn.STDEV.P(Tab.11[data])))</f>
        <v>0</v>
      </c>
      <c r="S547" s="71" t="b">
        <f>IF(Tab.11[[#This Row],[a1]]=1,$I$3+$A$987+IF($K$3=0,Tab.11[[#This Row],[b9]]*_xlfn.STDEV.P(Tab.11[data]),AVERAGE(Tab.11[b6])+Tab.11[[#This Row],[b9]]*_xlfn.STDEV.P(Tab.11[data])))</f>
        <v>0</v>
      </c>
      <c r="T547" s="71" t="b">
        <f>IF(Tab.11[[#This Row],[a1]]=1,$I$3+$A$988+IF($K$3=0,Tab.11[[#This Row],[b10]]*_xlfn.STDEV.P(Tab.11[data]),AVERAGE(Tab.11[b6])+Tab.11[[#This Row],[b10]]*_xlfn.STDEV.P(Tab.11[data])))</f>
        <v>0</v>
      </c>
      <c r="U547" s="72" t="b">
        <f>IF(Tab.11[[#This Row],[a1]]=1,Tab.11[[#This Row],[target]]-Tab.11[[#This Row],[Red]])</f>
        <v>0</v>
      </c>
      <c r="V547" s="72" t="b">
        <f>IF(Tab.11[[#This Row],[a1]]=1,Tab.11[[#This Row],[target]]-Tab.11[[#This Row],[Blue]])</f>
        <v>0</v>
      </c>
      <c r="W547" s="73" t="b">
        <f>IF(Tab.11[[#This Row],[a1]]=1,IF(ABS(Tab.11[[#This Row],[b17]])+ABS(Tab.11[[#This Row],[b18]])&lt;$W$2,$W$2,ABS(Tab.11[[#This Row],[b17]])+ABS(Tab.11[[#This Row],[b18]])))</f>
        <v>0</v>
      </c>
      <c r="X547" s="136" t="b">
        <f>IF(Tab.11[[#This Row],[a1]]=1,IF($W$3&lt;0,Tab.11[[#This Row],[IN]]-$I$3,Tab.11[[#This Row],[IN]]))</f>
        <v>0</v>
      </c>
      <c r="Y547" s="136" t="b">
        <f>IF(Tab.11[[#This Row],[a1]]=1,IF($X$3=0,Tab.11[b66],Tab.11[[#This Row],[b66]]-AVERAGE(Tab.11[b66])))</f>
        <v>0</v>
      </c>
      <c r="Z547" s="135" t="b">
        <f>IF(Tab.11[[#This Row],[a1]]=1,Tab.11[[#This Row],[b77]]/(_xlfn.STDEV.P(Tab.11[b77])))</f>
        <v>0</v>
      </c>
      <c r="AA547" s="70" t="b">
        <f>IF(Tab.11[[#This Row],[a1]]=1,_xlfn.NORM.DIST(Tab.11[[#This Row],[b88]],$Z$1,$AA$1,FALSE))</f>
        <v>0</v>
      </c>
      <c r="AB547" s="74" t="b">
        <f>IF(Tab.11[[#This Row],[a1]]=1,IF($A$3=0,FALSE,1/Tab.11[[#This Row],[IN]]*$AC$2*IF(Tab.11[[#This Row],[a1]]=0,,$A$3*$AC$1*1/$V$3*(Tab.11[[#This Row],[b14]]))))</f>
        <v>0</v>
      </c>
      <c r="AC547" s="75" t="b">
        <f>IF(Tab.11[[#This Row],[a1]]=1,IF($AC$3=0,Tab.11[[#This Row],[φ1]],Tab.11[[#This Row],[φ1]]/MAX(Tab.11[φ1])))</f>
        <v>0</v>
      </c>
      <c r="AD547" s="74" t="b">
        <f>IF(Tab.11[[#This Row],[a1]]=1,1/Tab.11[[#This Row],[φ2]])</f>
        <v>0</v>
      </c>
      <c r="AE547" s="74" t="b">
        <f>IF(Tab.11[[#This Row],[a1]]=1,IF($AE$3=0,Tab.11[[#This Row],[w.0]],Tab.11[[#This Row],[w.0]]/SUM(Tab.11[w.0])))</f>
        <v>0</v>
      </c>
      <c r="AF547" s="76" t="str">
        <f>IF(Tab.11[[#This Row],[a1]]=0,"false",[3]!Tab.x5[[#This Row],[%_seN_C]])</f>
        <v>false</v>
      </c>
      <c r="AG547" s="77" t="b">
        <f>IF(Tab.11[[#This Row],[a1]]=1,AP547)</f>
        <v>0</v>
      </c>
      <c r="AH547" s="78" t="b">
        <f>IF(Tab.11[[#This Row],[a1]]=1,AQ547)</f>
        <v>0</v>
      </c>
      <c r="AI547" s="41">
        <v>3.0000000000000001E-3</v>
      </c>
      <c r="AJ547" s="79">
        <v>0.1</v>
      </c>
      <c r="AK547" s="80" t="b">
        <f>IF(Tab.11[[#This Row],[a1]]=1,1)</f>
        <v>0</v>
      </c>
      <c r="AZ547"/>
    </row>
    <row r="548" spans="1:52" hidden="1" x14ac:dyDescent="0.25">
      <c r="A548" s="61">
        <f t="shared" si="19"/>
        <v>0</v>
      </c>
      <c r="B548" s="62">
        <f t="shared" si="19"/>
        <v>0</v>
      </c>
      <c r="C548" s="62" t="b">
        <f>IF(Tab.11[[#This Row],[a1]]=1,[3]!Tab_x1[[#This Row],[Name]])</f>
        <v>0</v>
      </c>
      <c r="D548" s="63" t="b">
        <f>IF(Tab.11[[#This Row],[a1]]=1,AO548)</f>
        <v>0</v>
      </c>
      <c r="E548" s="63">
        <f t="shared" si="18"/>
        <v>0</v>
      </c>
      <c r="F548" s="64" t="b">
        <f>IF(Tab.11[[#This Row],[a1]]=1,Tab.11[[#This Row],[b1]])</f>
        <v>0</v>
      </c>
      <c r="G548" s="65" t="b">
        <f>IF(Tab.11[[#This Row],[a1]]=1,IF(Tab.11[[#This Row],[b3]]&gt;$L$989*$G$3,$L$989*$G$3,IF(Tab.11[[#This Row],[b3]]&lt;$M$989*$G$3,$M$989*$G$3,Tab.11[[#This Row],[b3]])))</f>
        <v>0</v>
      </c>
      <c r="H548" s="66" t="b">
        <f>IF(Tab.11[[#This Row],[a1]]=1,Tab.11[[#This Row],[b1]])</f>
        <v>0</v>
      </c>
      <c r="I548" s="67" t="b">
        <f>IF(Tab.11[[#This Row],[a1]]=1,Tab.11[[#This Row],[b1]])</f>
        <v>0</v>
      </c>
      <c r="J548" s="68" t="b">
        <f>IF(Tab.11[[#This Row],[a1]]=1,IF($I$3&lt;0,Tab.11[[#This Row],[b5]]-$I$3,Tab.11[[#This Row],[b5]]))</f>
        <v>0</v>
      </c>
      <c r="K548" s="68" t="b">
        <f>IF(Tab.11[[#This Row],[a1]]=1,IF($K$3=0,Tab.11[b6],Tab.11[[#This Row],[b6]]-AVERAGE(Tab.11[b6])))</f>
        <v>0</v>
      </c>
      <c r="L548" s="69" t="b">
        <f>IF(Tab.11[[#This Row],[a1]]=1,Tab.11[[#This Row],[data]]/(_xlfn.STDEV.P(Tab.11[data])*$B$989)+$A$989)</f>
        <v>0</v>
      </c>
      <c r="M548" s="69" t="b">
        <f>IF(Tab.11[[#This Row],[a1]]=1,Tab.11[[#This Row],[data]]/(_xlfn.STDEV.P(Tab.11[data])*$B$987)-$A$987)</f>
        <v>0</v>
      </c>
      <c r="N548" s="69" t="b">
        <f>IF(Tab.11[[#This Row],[a1]]=1,Tab.11[[#This Row],[data]]/(_xlfn.STDEV.P(Tab.11[data])*$B$988)+$A$988)</f>
        <v>0</v>
      </c>
      <c r="O548" s="70" t="b">
        <f>IF(Tab.11[[#This Row],[a1]]=1,_xlfn.NORM.DIST(Tab.11[[#This Row],[b8]],$P$1,$Q$1,FALSE))</f>
        <v>0</v>
      </c>
      <c r="P548" s="70" t="b">
        <f>IF(Tab.11[[#This Row],[a1]]=1,_xlfn.NORM.DIST(Tab.11[[#This Row],[b9]],$P$1,$Q$1,FALSE))</f>
        <v>0</v>
      </c>
      <c r="Q548" s="70" t="b">
        <f>IF(Tab.11[[#This Row],[a1]]=1,_xlfn.NORM.DIST(Tab.11[[#This Row],[b10]],$P$1,$Q$1,FALSE))</f>
        <v>0</v>
      </c>
      <c r="R548" s="67" t="b">
        <f>IF(Tab.11[[#This Row],[a1]]=1,$I$3+$A$989+IF($K$3=0,Tab.11[[#This Row],[b8]]*_xlfn.STDEV.P(Tab.11[data]),AVERAGE(Tab.11[b6])+Tab.11[[#This Row],[b8]]*_xlfn.STDEV.P(Tab.11[data])))</f>
        <v>0</v>
      </c>
      <c r="S548" s="71" t="b">
        <f>IF(Tab.11[[#This Row],[a1]]=1,$I$3+$A$987+IF($K$3=0,Tab.11[[#This Row],[b9]]*_xlfn.STDEV.P(Tab.11[data]),AVERAGE(Tab.11[b6])+Tab.11[[#This Row],[b9]]*_xlfn.STDEV.P(Tab.11[data])))</f>
        <v>0</v>
      </c>
      <c r="T548" s="71" t="b">
        <f>IF(Tab.11[[#This Row],[a1]]=1,$I$3+$A$988+IF($K$3=0,Tab.11[[#This Row],[b10]]*_xlfn.STDEV.P(Tab.11[data]),AVERAGE(Tab.11[b6])+Tab.11[[#This Row],[b10]]*_xlfn.STDEV.P(Tab.11[data])))</f>
        <v>0</v>
      </c>
      <c r="U548" s="72" t="b">
        <f>IF(Tab.11[[#This Row],[a1]]=1,Tab.11[[#This Row],[target]]-Tab.11[[#This Row],[Red]])</f>
        <v>0</v>
      </c>
      <c r="V548" s="72" t="b">
        <f>IF(Tab.11[[#This Row],[a1]]=1,Tab.11[[#This Row],[target]]-Tab.11[[#This Row],[Blue]])</f>
        <v>0</v>
      </c>
      <c r="W548" s="73" t="b">
        <f>IF(Tab.11[[#This Row],[a1]]=1,IF(ABS(Tab.11[[#This Row],[b17]])+ABS(Tab.11[[#This Row],[b18]])&lt;$W$2,$W$2,ABS(Tab.11[[#This Row],[b17]])+ABS(Tab.11[[#This Row],[b18]])))</f>
        <v>0</v>
      </c>
      <c r="X548" s="136" t="b">
        <f>IF(Tab.11[[#This Row],[a1]]=1,IF($W$3&lt;0,Tab.11[[#This Row],[IN]]-$I$3,Tab.11[[#This Row],[IN]]))</f>
        <v>0</v>
      </c>
      <c r="Y548" s="136" t="b">
        <f>IF(Tab.11[[#This Row],[a1]]=1,IF($X$3=0,Tab.11[b66],Tab.11[[#This Row],[b66]]-AVERAGE(Tab.11[b66])))</f>
        <v>0</v>
      </c>
      <c r="Z548" s="135" t="b">
        <f>IF(Tab.11[[#This Row],[a1]]=1,Tab.11[[#This Row],[b77]]/(_xlfn.STDEV.P(Tab.11[b77])))</f>
        <v>0</v>
      </c>
      <c r="AA548" s="70" t="b">
        <f>IF(Tab.11[[#This Row],[a1]]=1,_xlfn.NORM.DIST(Tab.11[[#This Row],[b88]],$Z$1,$AA$1,FALSE))</f>
        <v>0</v>
      </c>
      <c r="AB548" s="74" t="b">
        <f>IF(Tab.11[[#This Row],[a1]]=1,IF($A$3=0,FALSE,1/Tab.11[[#This Row],[IN]]*$AC$2*IF(Tab.11[[#This Row],[a1]]=0,,$A$3*$AC$1*1/$V$3*(Tab.11[[#This Row],[b14]]))))</f>
        <v>0</v>
      </c>
      <c r="AC548" s="75" t="b">
        <f>IF(Tab.11[[#This Row],[a1]]=1,IF($AC$3=0,Tab.11[[#This Row],[φ1]],Tab.11[[#This Row],[φ1]]/MAX(Tab.11[φ1])))</f>
        <v>0</v>
      </c>
      <c r="AD548" s="74" t="b">
        <f>IF(Tab.11[[#This Row],[a1]]=1,1/Tab.11[[#This Row],[φ2]])</f>
        <v>0</v>
      </c>
      <c r="AE548" s="74" t="b">
        <f>IF(Tab.11[[#This Row],[a1]]=1,IF($AE$3=0,Tab.11[[#This Row],[w.0]],Tab.11[[#This Row],[w.0]]/SUM(Tab.11[w.0])))</f>
        <v>0</v>
      </c>
      <c r="AF548" s="76" t="str">
        <f>IF(Tab.11[[#This Row],[a1]]=0,"false",[3]!Tab.x5[[#This Row],[%_seN_C]])</f>
        <v>false</v>
      </c>
      <c r="AG548" s="77" t="b">
        <f>IF(Tab.11[[#This Row],[a1]]=1,AP548)</f>
        <v>0</v>
      </c>
      <c r="AH548" s="78" t="b">
        <f>IF(Tab.11[[#This Row],[a1]]=1,AQ548)</f>
        <v>0</v>
      </c>
      <c r="AI548" s="41">
        <v>3.0000000000000001E-3</v>
      </c>
      <c r="AJ548" s="79">
        <v>-0.02</v>
      </c>
      <c r="AK548" s="80" t="b">
        <f>IF(Tab.11[[#This Row],[a1]]=1,1)</f>
        <v>0</v>
      </c>
      <c r="AZ548"/>
    </row>
    <row r="549" spans="1:52" hidden="1" x14ac:dyDescent="0.25">
      <c r="A549" s="61">
        <f t="shared" si="19"/>
        <v>0</v>
      </c>
      <c r="B549" s="62">
        <f t="shared" si="19"/>
        <v>0</v>
      </c>
      <c r="C549" s="62" t="b">
        <f>IF(Tab.11[[#This Row],[a1]]=1,[3]!Tab_x1[[#This Row],[Name]])</f>
        <v>0</v>
      </c>
      <c r="D549" s="63" t="b">
        <f>IF(Tab.11[[#This Row],[a1]]=1,AO549)</f>
        <v>0</v>
      </c>
      <c r="E549" s="63">
        <f t="shared" si="18"/>
        <v>0</v>
      </c>
      <c r="F549" s="64" t="b">
        <f>IF(Tab.11[[#This Row],[a1]]=1,Tab.11[[#This Row],[b1]])</f>
        <v>0</v>
      </c>
      <c r="G549" s="65" t="b">
        <f>IF(Tab.11[[#This Row],[a1]]=1,IF(Tab.11[[#This Row],[b3]]&gt;$L$989*$G$3,$L$989*$G$3,IF(Tab.11[[#This Row],[b3]]&lt;$M$989*$G$3,$M$989*$G$3,Tab.11[[#This Row],[b3]])))</f>
        <v>0</v>
      </c>
      <c r="H549" s="66" t="b">
        <f>IF(Tab.11[[#This Row],[a1]]=1,Tab.11[[#This Row],[b1]])</f>
        <v>0</v>
      </c>
      <c r="I549" s="67" t="b">
        <f>IF(Tab.11[[#This Row],[a1]]=1,Tab.11[[#This Row],[b1]])</f>
        <v>0</v>
      </c>
      <c r="J549" s="68" t="b">
        <f>IF(Tab.11[[#This Row],[a1]]=1,IF($I$3&lt;0,Tab.11[[#This Row],[b5]]-$I$3,Tab.11[[#This Row],[b5]]))</f>
        <v>0</v>
      </c>
      <c r="K549" s="68" t="b">
        <f>IF(Tab.11[[#This Row],[a1]]=1,IF($K$3=0,Tab.11[b6],Tab.11[[#This Row],[b6]]-AVERAGE(Tab.11[b6])))</f>
        <v>0</v>
      </c>
      <c r="L549" s="69" t="b">
        <f>IF(Tab.11[[#This Row],[a1]]=1,Tab.11[[#This Row],[data]]/(_xlfn.STDEV.P(Tab.11[data])*$B$989)+$A$989)</f>
        <v>0</v>
      </c>
      <c r="M549" s="69" t="b">
        <f>IF(Tab.11[[#This Row],[a1]]=1,Tab.11[[#This Row],[data]]/(_xlfn.STDEV.P(Tab.11[data])*$B$987)-$A$987)</f>
        <v>0</v>
      </c>
      <c r="N549" s="69" t="b">
        <f>IF(Tab.11[[#This Row],[a1]]=1,Tab.11[[#This Row],[data]]/(_xlfn.STDEV.P(Tab.11[data])*$B$988)+$A$988)</f>
        <v>0</v>
      </c>
      <c r="O549" s="70" t="b">
        <f>IF(Tab.11[[#This Row],[a1]]=1,_xlfn.NORM.DIST(Tab.11[[#This Row],[b8]],$P$1,$Q$1,FALSE))</f>
        <v>0</v>
      </c>
      <c r="P549" s="70" t="b">
        <f>IF(Tab.11[[#This Row],[a1]]=1,_xlfn.NORM.DIST(Tab.11[[#This Row],[b9]],$P$1,$Q$1,FALSE))</f>
        <v>0</v>
      </c>
      <c r="Q549" s="70" t="b">
        <f>IF(Tab.11[[#This Row],[a1]]=1,_xlfn.NORM.DIST(Tab.11[[#This Row],[b10]],$P$1,$Q$1,FALSE))</f>
        <v>0</v>
      </c>
      <c r="R549" s="67" t="b">
        <f>IF(Tab.11[[#This Row],[a1]]=1,$I$3+$A$989+IF($K$3=0,Tab.11[[#This Row],[b8]]*_xlfn.STDEV.P(Tab.11[data]),AVERAGE(Tab.11[b6])+Tab.11[[#This Row],[b8]]*_xlfn.STDEV.P(Tab.11[data])))</f>
        <v>0</v>
      </c>
      <c r="S549" s="71" t="b">
        <f>IF(Tab.11[[#This Row],[a1]]=1,$I$3+$A$987+IF($K$3=0,Tab.11[[#This Row],[b9]]*_xlfn.STDEV.P(Tab.11[data]),AVERAGE(Tab.11[b6])+Tab.11[[#This Row],[b9]]*_xlfn.STDEV.P(Tab.11[data])))</f>
        <v>0</v>
      </c>
      <c r="T549" s="71" t="b">
        <f>IF(Tab.11[[#This Row],[a1]]=1,$I$3+$A$988+IF($K$3=0,Tab.11[[#This Row],[b10]]*_xlfn.STDEV.P(Tab.11[data]),AVERAGE(Tab.11[b6])+Tab.11[[#This Row],[b10]]*_xlfn.STDEV.P(Tab.11[data])))</f>
        <v>0</v>
      </c>
      <c r="U549" s="72" t="b">
        <f>IF(Tab.11[[#This Row],[a1]]=1,Tab.11[[#This Row],[target]]-Tab.11[[#This Row],[Red]])</f>
        <v>0</v>
      </c>
      <c r="V549" s="72" t="b">
        <f>IF(Tab.11[[#This Row],[a1]]=1,Tab.11[[#This Row],[target]]-Tab.11[[#This Row],[Blue]])</f>
        <v>0</v>
      </c>
      <c r="W549" s="73" t="b">
        <f>IF(Tab.11[[#This Row],[a1]]=1,IF(ABS(Tab.11[[#This Row],[b17]])+ABS(Tab.11[[#This Row],[b18]])&lt;$W$2,$W$2,ABS(Tab.11[[#This Row],[b17]])+ABS(Tab.11[[#This Row],[b18]])))</f>
        <v>0</v>
      </c>
      <c r="X549" s="136" t="b">
        <f>IF(Tab.11[[#This Row],[a1]]=1,IF($W$3&lt;0,Tab.11[[#This Row],[IN]]-$I$3,Tab.11[[#This Row],[IN]]))</f>
        <v>0</v>
      </c>
      <c r="Y549" s="136" t="b">
        <f>IF(Tab.11[[#This Row],[a1]]=1,IF($X$3=0,Tab.11[b66],Tab.11[[#This Row],[b66]]-AVERAGE(Tab.11[b66])))</f>
        <v>0</v>
      </c>
      <c r="Z549" s="135" t="b">
        <f>IF(Tab.11[[#This Row],[a1]]=1,Tab.11[[#This Row],[b77]]/(_xlfn.STDEV.P(Tab.11[b77])))</f>
        <v>0</v>
      </c>
      <c r="AA549" s="70" t="b">
        <f>IF(Tab.11[[#This Row],[a1]]=1,_xlfn.NORM.DIST(Tab.11[[#This Row],[b88]],$Z$1,$AA$1,FALSE))</f>
        <v>0</v>
      </c>
      <c r="AB549" s="74" t="b">
        <f>IF(Tab.11[[#This Row],[a1]]=1,IF($A$3=0,FALSE,1/Tab.11[[#This Row],[IN]]*$AC$2*IF(Tab.11[[#This Row],[a1]]=0,,$A$3*$AC$1*1/$V$3*(Tab.11[[#This Row],[b14]]))))</f>
        <v>0</v>
      </c>
      <c r="AC549" s="75" t="b">
        <f>IF(Tab.11[[#This Row],[a1]]=1,IF($AC$3=0,Tab.11[[#This Row],[φ1]],Tab.11[[#This Row],[φ1]]/MAX(Tab.11[φ1])))</f>
        <v>0</v>
      </c>
      <c r="AD549" s="74" t="b">
        <f>IF(Tab.11[[#This Row],[a1]]=1,1/Tab.11[[#This Row],[φ2]])</f>
        <v>0</v>
      </c>
      <c r="AE549" s="74" t="b">
        <f>IF(Tab.11[[#This Row],[a1]]=1,IF($AE$3=0,Tab.11[[#This Row],[w.0]],Tab.11[[#This Row],[w.0]]/SUM(Tab.11[w.0])))</f>
        <v>0</v>
      </c>
      <c r="AF549" s="76" t="str">
        <f>IF(Tab.11[[#This Row],[a1]]=0,"false",[3]!Tab.x5[[#This Row],[%_seN_C]])</f>
        <v>false</v>
      </c>
      <c r="AG549" s="77" t="b">
        <f>IF(Tab.11[[#This Row],[a1]]=1,AP549)</f>
        <v>0</v>
      </c>
      <c r="AH549" s="78" t="b">
        <f>IF(Tab.11[[#This Row],[a1]]=1,AQ549)</f>
        <v>0</v>
      </c>
      <c r="AI549" s="41">
        <v>3.0000000000000001E-3</v>
      </c>
      <c r="AJ549" s="79">
        <v>0.01</v>
      </c>
      <c r="AK549" s="80" t="b">
        <f>IF(Tab.11[[#This Row],[a1]]=1,1)</f>
        <v>0</v>
      </c>
      <c r="AZ549"/>
    </row>
    <row r="550" spans="1:52" hidden="1" x14ac:dyDescent="0.25">
      <c r="A550" s="61">
        <f t="shared" si="19"/>
        <v>0</v>
      </c>
      <c r="B550" s="62">
        <f t="shared" si="19"/>
        <v>0</v>
      </c>
      <c r="C550" s="62" t="b">
        <f>IF(Tab.11[[#This Row],[a1]]=1,[3]!Tab_x1[[#This Row],[Name]])</f>
        <v>0</v>
      </c>
      <c r="D550" s="63" t="b">
        <f>IF(Tab.11[[#This Row],[a1]]=1,AO550)</f>
        <v>0</v>
      </c>
      <c r="E550" s="63">
        <f t="shared" si="18"/>
        <v>0</v>
      </c>
      <c r="F550" s="64" t="b">
        <f>IF(Tab.11[[#This Row],[a1]]=1,Tab.11[[#This Row],[b1]])</f>
        <v>0</v>
      </c>
      <c r="G550" s="65" t="b">
        <f>IF(Tab.11[[#This Row],[a1]]=1,IF(Tab.11[[#This Row],[b3]]&gt;$L$989*$G$3,$L$989*$G$3,IF(Tab.11[[#This Row],[b3]]&lt;$M$989*$G$3,$M$989*$G$3,Tab.11[[#This Row],[b3]])))</f>
        <v>0</v>
      </c>
      <c r="H550" s="66" t="b">
        <f>IF(Tab.11[[#This Row],[a1]]=1,Tab.11[[#This Row],[b1]])</f>
        <v>0</v>
      </c>
      <c r="I550" s="67" t="b">
        <f>IF(Tab.11[[#This Row],[a1]]=1,Tab.11[[#This Row],[b1]])</f>
        <v>0</v>
      </c>
      <c r="J550" s="68" t="b">
        <f>IF(Tab.11[[#This Row],[a1]]=1,IF($I$3&lt;0,Tab.11[[#This Row],[b5]]-$I$3,Tab.11[[#This Row],[b5]]))</f>
        <v>0</v>
      </c>
      <c r="K550" s="68" t="b">
        <f>IF(Tab.11[[#This Row],[a1]]=1,IF($K$3=0,Tab.11[b6],Tab.11[[#This Row],[b6]]-AVERAGE(Tab.11[b6])))</f>
        <v>0</v>
      </c>
      <c r="L550" s="69" t="b">
        <f>IF(Tab.11[[#This Row],[a1]]=1,Tab.11[[#This Row],[data]]/(_xlfn.STDEV.P(Tab.11[data])*$B$989)+$A$989)</f>
        <v>0</v>
      </c>
      <c r="M550" s="69" t="b">
        <f>IF(Tab.11[[#This Row],[a1]]=1,Tab.11[[#This Row],[data]]/(_xlfn.STDEV.P(Tab.11[data])*$B$987)-$A$987)</f>
        <v>0</v>
      </c>
      <c r="N550" s="69" t="b">
        <f>IF(Tab.11[[#This Row],[a1]]=1,Tab.11[[#This Row],[data]]/(_xlfn.STDEV.P(Tab.11[data])*$B$988)+$A$988)</f>
        <v>0</v>
      </c>
      <c r="O550" s="70" t="b">
        <f>IF(Tab.11[[#This Row],[a1]]=1,_xlfn.NORM.DIST(Tab.11[[#This Row],[b8]],$P$1,$Q$1,FALSE))</f>
        <v>0</v>
      </c>
      <c r="P550" s="70" t="b">
        <f>IF(Tab.11[[#This Row],[a1]]=1,_xlfn.NORM.DIST(Tab.11[[#This Row],[b9]],$P$1,$Q$1,FALSE))</f>
        <v>0</v>
      </c>
      <c r="Q550" s="70" t="b">
        <f>IF(Tab.11[[#This Row],[a1]]=1,_xlfn.NORM.DIST(Tab.11[[#This Row],[b10]],$P$1,$Q$1,FALSE))</f>
        <v>0</v>
      </c>
      <c r="R550" s="67" t="b">
        <f>IF(Tab.11[[#This Row],[a1]]=1,$I$3+$A$989+IF($K$3=0,Tab.11[[#This Row],[b8]]*_xlfn.STDEV.P(Tab.11[data]),AVERAGE(Tab.11[b6])+Tab.11[[#This Row],[b8]]*_xlfn.STDEV.P(Tab.11[data])))</f>
        <v>0</v>
      </c>
      <c r="S550" s="71" t="b">
        <f>IF(Tab.11[[#This Row],[a1]]=1,$I$3+$A$987+IF($K$3=0,Tab.11[[#This Row],[b9]]*_xlfn.STDEV.P(Tab.11[data]),AVERAGE(Tab.11[b6])+Tab.11[[#This Row],[b9]]*_xlfn.STDEV.P(Tab.11[data])))</f>
        <v>0</v>
      </c>
      <c r="T550" s="71" t="b">
        <f>IF(Tab.11[[#This Row],[a1]]=1,$I$3+$A$988+IF($K$3=0,Tab.11[[#This Row],[b10]]*_xlfn.STDEV.P(Tab.11[data]),AVERAGE(Tab.11[b6])+Tab.11[[#This Row],[b10]]*_xlfn.STDEV.P(Tab.11[data])))</f>
        <v>0</v>
      </c>
      <c r="U550" s="72" t="b">
        <f>IF(Tab.11[[#This Row],[a1]]=1,Tab.11[[#This Row],[target]]-Tab.11[[#This Row],[Red]])</f>
        <v>0</v>
      </c>
      <c r="V550" s="72" t="b">
        <f>IF(Tab.11[[#This Row],[a1]]=1,Tab.11[[#This Row],[target]]-Tab.11[[#This Row],[Blue]])</f>
        <v>0</v>
      </c>
      <c r="W550" s="73" t="b">
        <f>IF(Tab.11[[#This Row],[a1]]=1,IF(ABS(Tab.11[[#This Row],[b17]])+ABS(Tab.11[[#This Row],[b18]])&lt;$W$2,$W$2,ABS(Tab.11[[#This Row],[b17]])+ABS(Tab.11[[#This Row],[b18]])))</f>
        <v>0</v>
      </c>
      <c r="X550" s="136" t="b">
        <f>IF(Tab.11[[#This Row],[a1]]=1,IF($W$3&lt;0,Tab.11[[#This Row],[IN]]-$I$3,Tab.11[[#This Row],[IN]]))</f>
        <v>0</v>
      </c>
      <c r="Y550" s="136" t="b">
        <f>IF(Tab.11[[#This Row],[a1]]=1,IF($X$3=0,Tab.11[b66],Tab.11[[#This Row],[b66]]-AVERAGE(Tab.11[b66])))</f>
        <v>0</v>
      </c>
      <c r="Z550" s="135" t="b">
        <f>IF(Tab.11[[#This Row],[a1]]=1,Tab.11[[#This Row],[b77]]/(_xlfn.STDEV.P(Tab.11[b77])))</f>
        <v>0</v>
      </c>
      <c r="AA550" s="70" t="b">
        <f>IF(Tab.11[[#This Row],[a1]]=1,_xlfn.NORM.DIST(Tab.11[[#This Row],[b88]],$Z$1,$AA$1,FALSE))</f>
        <v>0</v>
      </c>
      <c r="AB550" s="74" t="b">
        <f>IF(Tab.11[[#This Row],[a1]]=1,IF($A$3=0,FALSE,1/Tab.11[[#This Row],[IN]]*$AC$2*IF(Tab.11[[#This Row],[a1]]=0,,$A$3*$AC$1*1/$V$3*(Tab.11[[#This Row],[b14]]))))</f>
        <v>0</v>
      </c>
      <c r="AC550" s="75" t="b">
        <f>IF(Tab.11[[#This Row],[a1]]=1,IF($AC$3=0,Tab.11[[#This Row],[φ1]],Tab.11[[#This Row],[φ1]]/MAX(Tab.11[φ1])))</f>
        <v>0</v>
      </c>
      <c r="AD550" s="74" t="b">
        <f>IF(Tab.11[[#This Row],[a1]]=1,1/Tab.11[[#This Row],[φ2]])</f>
        <v>0</v>
      </c>
      <c r="AE550" s="74" t="b">
        <f>IF(Tab.11[[#This Row],[a1]]=1,IF($AE$3=0,Tab.11[[#This Row],[w.0]],Tab.11[[#This Row],[w.0]]/SUM(Tab.11[w.0])))</f>
        <v>0</v>
      </c>
      <c r="AF550" s="76" t="str">
        <f>IF(Tab.11[[#This Row],[a1]]=0,"false",[3]!Tab.x5[[#This Row],[%_seN_C]])</f>
        <v>false</v>
      </c>
      <c r="AG550" s="77" t="b">
        <f>IF(Tab.11[[#This Row],[a1]]=1,AP550)</f>
        <v>0</v>
      </c>
      <c r="AH550" s="78" t="b">
        <f>IF(Tab.11[[#This Row],[a1]]=1,AQ550)</f>
        <v>0</v>
      </c>
      <c r="AI550" s="41">
        <v>3.0000000000000001E-3</v>
      </c>
      <c r="AJ550" s="79">
        <v>0.04</v>
      </c>
      <c r="AK550" s="80" t="b">
        <f>IF(Tab.11[[#This Row],[a1]]=1,1)</f>
        <v>0</v>
      </c>
      <c r="AZ550"/>
    </row>
    <row r="551" spans="1:52" hidden="1" x14ac:dyDescent="0.25">
      <c r="A551" s="61">
        <f t="shared" si="19"/>
        <v>0</v>
      </c>
      <c r="B551" s="62">
        <f t="shared" si="19"/>
        <v>0</v>
      </c>
      <c r="C551" s="62" t="b">
        <f>IF(Tab.11[[#This Row],[a1]]=1,[3]!Tab_x1[[#This Row],[Name]])</f>
        <v>0</v>
      </c>
      <c r="D551" s="63" t="b">
        <f>IF(Tab.11[[#This Row],[a1]]=1,AO551)</f>
        <v>0</v>
      </c>
      <c r="E551" s="63">
        <f t="shared" si="18"/>
        <v>0</v>
      </c>
      <c r="F551" s="64" t="b">
        <f>IF(Tab.11[[#This Row],[a1]]=1,Tab.11[[#This Row],[b1]])</f>
        <v>0</v>
      </c>
      <c r="G551" s="65" t="b">
        <f>IF(Tab.11[[#This Row],[a1]]=1,IF(Tab.11[[#This Row],[b3]]&gt;$L$989*$G$3,$L$989*$G$3,IF(Tab.11[[#This Row],[b3]]&lt;$M$989*$G$3,$M$989*$G$3,Tab.11[[#This Row],[b3]])))</f>
        <v>0</v>
      </c>
      <c r="H551" s="66" t="b">
        <f>IF(Tab.11[[#This Row],[a1]]=1,Tab.11[[#This Row],[b1]])</f>
        <v>0</v>
      </c>
      <c r="I551" s="67" t="b">
        <f>IF(Tab.11[[#This Row],[a1]]=1,Tab.11[[#This Row],[b1]])</f>
        <v>0</v>
      </c>
      <c r="J551" s="68" t="b">
        <f>IF(Tab.11[[#This Row],[a1]]=1,IF($I$3&lt;0,Tab.11[[#This Row],[b5]]-$I$3,Tab.11[[#This Row],[b5]]))</f>
        <v>0</v>
      </c>
      <c r="K551" s="68" t="b">
        <f>IF(Tab.11[[#This Row],[a1]]=1,IF($K$3=0,Tab.11[b6],Tab.11[[#This Row],[b6]]-AVERAGE(Tab.11[b6])))</f>
        <v>0</v>
      </c>
      <c r="L551" s="69" t="b">
        <f>IF(Tab.11[[#This Row],[a1]]=1,Tab.11[[#This Row],[data]]/(_xlfn.STDEV.P(Tab.11[data])*$B$989)+$A$989)</f>
        <v>0</v>
      </c>
      <c r="M551" s="69" t="b">
        <f>IF(Tab.11[[#This Row],[a1]]=1,Tab.11[[#This Row],[data]]/(_xlfn.STDEV.P(Tab.11[data])*$B$987)-$A$987)</f>
        <v>0</v>
      </c>
      <c r="N551" s="69" t="b">
        <f>IF(Tab.11[[#This Row],[a1]]=1,Tab.11[[#This Row],[data]]/(_xlfn.STDEV.P(Tab.11[data])*$B$988)+$A$988)</f>
        <v>0</v>
      </c>
      <c r="O551" s="70" t="b">
        <f>IF(Tab.11[[#This Row],[a1]]=1,_xlfn.NORM.DIST(Tab.11[[#This Row],[b8]],$P$1,$Q$1,FALSE))</f>
        <v>0</v>
      </c>
      <c r="P551" s="70" t="b">
        <f>IF(Tab.11[[#This Row],[a1]]=1,_xlfn.NORM.DIST(Tab.11[[#This Row],[b9]],$P$1,$Q$1,FALSE))</f>
        <v>0</v>
      </c>
      <c r="Q551" s="70" t="b">
        <f>IF(Tab.11[[#This Row],[a1]]=1,_xlfn.NORM.DIST(Tab.11[[#This Row],[b10]],$P$1,$Q$1,FALSE))</f>
        <v>0</v>
      </c>
      <c r="R551" s="67" t="b">
        <f>IF(Tab.11[[#This Row],[a1]]=1,$I$3+$A$989+IF($K$3=0,Tab.11[[#This Row],[b8]]*_xlfn.STDEV.P(Tab.11[data]),AVERAGE(Tab.11[b6])+Tab.11[[#This Row],[b8]]*_xlfn.STDEV.P(Tab.11[data])))</f>
        <v>0</v>
      </c>
      <c r="S551" s="71" t="b">
        <f>IF(Tab.11[[#This Row],[a1]]=1,$I$3+$A$987+IF($K$3=0,Tab.11[[#This Row],[b9]]*_xlfn.STDEV.P(Tab.11[data]),AVERAGE(Tab.11[b6])+Tab.11[[#This Row],[b9]]*_xlfn.STDEV.P(Tab.11[data])))</f>
        <v>0</v>
      </c>
      <c r="T551" s="71" t="b">
        <f>IF(Tab.11[[#This Row],[a1]]=1,$I$3+$A$988+IF($K$3=0,Tab.11[[#This Row],[b10]]*_xlfn.STDEV.P(Tab.11[data]),AVERAGE(Tab.11[b6])+Tab.11[[#This Row],[b10]]*_xlfn.STDEV.P(Tab.11[data])))</f>
        <v>0</v>
      </c>
      <c r="U551" s="72" t="b">
        <f>IF(Tab.11[[#This Row],[a1]]=1,Tab.11[[#This Row],[target]]-Tab.11[[#This Row],[Red]])</f>
        <v>0</v>
      </c>
      <c r="V551" s="72" t="b">
        <f>IF(Tab.11[[#This Row],[a1]]=1,Tab.11[[#This Row],[target]]-Tab.11[[#This Row],[Blue]])</f>
        <v>0</v>
      </c>
      <c r="W551" s="73" t="b">
        <f>IF(Tab.11[[#This Row],[a1]]=1,IF(ABS(Tab.11[[#This Row],[b17]])+ABS(Tab.11[[#This Row],[b18]])&lt;$W$2,$W$2,ABS(Tab.11[[#This Row],[b17]])+ABS(Tab.11[[#This Row],[b18]])))</f>
        <v>0</v>
      </c>
      <c r="X551" s="136" t="b">
        <f>IF(Tab.11[[#This Row],[a1]]=1,IF($W$3&lt;0,Tab.11[[#This Row],[IN]]-$I$3,Tab.11[[#This Row],[IN]]))</f>
        <v>0</v>
      </c>
      <c r="Y551" s="136" t="b">
        <f>IF(Tab.11[[#This Row],[a1]]=1,IF($X$3=0,Tab.11[b66],Tab.11[[#This Row],[b66]]-AVERAGE(Tab.11[b66])))</f>
        <v>0</v>
      </c>
      <c r="Z551" s="135" t="b">
        <f>IF(Tab.11[[#This Row],[a1]]=1,Tab.11[[#This Row],[b77]]/(_xlfn.STDEV.P(Tab.11[b77])))</f>
        <v>0</v>
      </c>
      <c r="AA551" s="70" t="b">
        <f>IF(Tab.11[[#This Row],[a1]]=1,_xlfn.NORM.DIST(Tab.11[[#This Row],[b88]],$Z$1,$AA$1,FALSE))</f>
        <v>0</v>
      </c>
      <c r="AB551" s="74" t="b">
        <f>IF(Tab.11[[#This Row],[a1]]=1,IF($A$3=0,FALSE,1/Tab.11[[#This Row],[IN]]*$AC$2*IF(Tab.11[[#This Row],[a1]]=0,,$A$3*$AC$1*1/$V$3*(Tab.11[[#This Row],[b14]]))))</f>
        <v>0</v>
      </c>
      <c r="AC551" s="75" t="b">
        <f>IF(Tab.11[[#This Row],[a1]]=1,IF($AC$3=0,Tab.11[[#This Row],[φ1]],Tab.11[[#This Row],[φ1]]/MAX(Tab.11[φ1])))</f>
        <v>0</v>
      </c>
      <c r="AD551" s="74" t="b">
        <f>IF(Tab.11[[#This Row],[a1]]=1,1/Tab.11[[#This Row],[φ2]])</f>
        <v>0</v>
      </c>
      <c r="AE551" s="74" t="b">
        <f>IF(Tab.11[[#This Row],[a1]]=1,IF($AE$3=0,Tab.11[[#This Row],[w.0]],Tab.11[[#This Row],[w.0]]/SUM(Tab.11[w.0])))</f>
        <v>0</v>
      </c>
      <c r="AF551" s="76" t="str">
        <f>IF(Tab.11[[#This Row],[a1]]=0,"false",[3]!Tab.x5[[#This Row],[%_seN_C]])</f>
        <v>false</v>
      </c>
      <c r="AG551" s="77" t="b">
        <f>IF(Tab.11[[#This Row],[a1]]=1,AP551)</f>
        <v>0</v>
      </c>
      <c r="AH551" s="78" t="b">
        <f>IF(Tab.11[[#This Row],[a1]]=1,AQ551)</f>
        <v>0</v>
      </c>
      <c r="AI551" s="41">
        <v>3.0000000000000001E-3</v>
      </c>
      <c r="AJ551" s="79">
        <v>0.05</v>
      </c>
      <c r="AK551" s="80" t="b">
        <f>IF(Tab.11[[#This Row],[a1]]=1,1)</f>
        <v>0</v>
      </c>
      <c r="AZ551"/>
    </row>
    <row r="552" spans="1:52" hidden="1" x14ac:dyDescent="0.25">
      <c r="A552" s="61">
        <f t="shared" si="19"/>
        <v>0</v>
      </c>
      <c r="B552" s="62">
        <f t="shared" si="19"/>
        <v>0</v>
      </c>
      <c r="C552" s="62" t="b">
        <f>IF(Tab.11[[#This Row],[a1]]=1,[3]!Tab_x1[[#This Row],[Name]])</f>
        <v>0</v>
      </c>
      <c r="D552" s="63" t="b">
        <f>IF(Tab.11[[#This Row],[a1]]=1,AO552)</f>
        <v>0</v>
      </c>
      <c r="E552" s="63">
        <f t="shared" si="18"/>
        <v>0</v>
      </c>
      <c r="F552" s="64" t="b">
        <f>IF(Tab.11[[#This Row],[a1]]=1,Tab.11[[#This Row],[b1]])</f>
        <v>0</v>
      </c>
      <c r="G552" s="65" t="b">
        <f>IF(Tab.11[[#This Row],[a1]]=1,IF(Tab.11[[#This Row],[b3]]&gt;$L$989*$G$3,$L$989*$G$3,IF(Tab.11[[#This Row],[b3]]&lt;$M$989*$G$3,$M$989*$G$3,Tab.11[[#This Row],[b3]])))</f>
        <v>0</v>
      </c>
      <c r="H552" s="66" t="b">
        <f>IF(Tab.11[[#This Row],[a1]]=1,Tab.11[[#This Row],[b1]])</f>
        <v>0</v>
      </c>
      <c r="I552" s="67" t="b">
        <f>IF(Tab.11[[#This Row],[a1]]=1,Tab.11[[#This Row],[b1]])</f>
        <v>0</v>
      </c>
      <c r="J552" s="68" t="b">
        <f>IF(Tab.11[[#This Row],[a1]]=1,IF($I$3&lt;0,Tab.11[[#This Row],[b5]]-$I$3,Tab.11[[#This Row],[b5]]))</f>
        <v>0</v>
      </c>
      <c r="K552" s="68" t="b">
        <f>IF(Tab.11[[#This Row],[a1]]=1,IF($K$3=0,Tab.11[b6],Tab.11[[#This Row],[b6]]-AVERAGE(Tab.11[b6])))</f>
        <v>0</v>
      </c>
      <c r="L552" s="69" t="b">
        <f>IF(Tab.11[[#This Row],[a1]]=1,Tab.11[[#This Row],[data]]/(_xlfn.STDEV.P(Tab.11[data])*$B$989)+$A$989)</f>
        <v>0</v>
      </c>
      <c r="M552" s="69" t="b">
        <f>IF(Tab.11[[#This Row],[a1]]=1,Tab.11[[#This Row],[data]]/(_xlfn.STDEV.P(Tab.11[data])*$B$987)-$A$987)</f>
        <v>0</v>
      </c>
      <c r="N552" s="69" t="b">
        <f>IF(Tab.11[[#This Row],[a1]]=1,Tab.11[[#This Row],[data]]/(_xlfn.STDEV.P(Tab.11[data])*$B$988)+$A$988)</f>
        <v>0</v>
      </c>
      <c r="O552" s="70" t="b">
        <f>IF(Tab.11[[#This Row],[a1]]=1,_xlfn.NORM.DIST(Tab.11[[#This Row],[b8]],$P$1,$Q$1,FALSE))</f>
        <v>0</v>
      </c>
      <c r="P552" s="70" t="b">
        <f>IF(Tab.11[[#This Row],[a1]]=1,_xlfn.NORM.DIST(Tab.11[[#This Row],[b9]],$P$1,$Q$1,FALSE))</f>
        <v>0</v>
      </c>
      <c r="Q552" s="70" t="b">
        <f>IF(Tab.11[[#This Row],[a1]]=1,_xlfn.NORM.DIST(Tab.11[[#This Row],[b10]],$P$1,$Q$1,FALSE))</f>
        <v>0</v>
      </c>
      <c r="R552" s="67" t="b">
        <f>IF(Tab.11[[#This Row],[a1]]=1,$I$3+$A$989+IF($K$3=0,Tab.11[[#This Row],[b8]]*_xlfn.STDEV.P(Tab.11[data]),AVERAGE(Tab.11[b6])+Tab.11[[#This Row],[b8]]*_xlfn.STDEV.P(Tab.11[data])))</f>
        <v>0</v>
      </c>
      <c r="S552" s="71" t="b">
        <f>IF(Tab.11[[#This Row],[a1]]=1,$I$3+$A$987+IF($K$3=0,Tab.11[[#This Row],[b9]]*_xlfn.STDEV.P(Tab.11[data]),AVERAGE(Tab.11[b6])+Tab.11[[#This Row],[b9]]*_xlfn.STDEV.P(Tab.11[data])))</f>
        <v>0</v>
      </c>
      <c r="T552" s="71" t="b">
        <f>IF(Tab.11[[#This Row],[a1]]=1,$I$3+$A$988+IF($K$3=0,Tab.11[[#This Row],[b10]]*_xlfn.STDEV.P(Tab.11[data]),AVERAGE(Tab.11[b6])+Tab.11[[#This Row],[b10]]*_xlfn.STDEV.P(Tab.11[data])))</f>
        <v>0</v>
      </c>
      <c r="U552" s="72" t="b">
        <f>IF(Tab.11[[#This Row],[a1]]=1,Tab.11[[#This Row],[target]]-Tab.11[[#This Row],[Red]])</f>
        <v>0</v>
      </c>
      <c r="V552" s="72" t="b">
        <f>IF(Tab.11[[#This Row],[a1]]=1,Tab.11[[#This Row],[target]]-Tab.11[[#This Row],[Blue]])</f>
        <v>0</v>
      </c>
      <c r="W552" s="73" t="b">
        <f>IF(Tab.11[[#This Row],[a1]]=1,IF(ABS(Tab.11[[#This Row],[b17]])+ABS(Tab.11[[#This Row],[b18]])&lt;$W$2,$W$2,ABS(Tab.11[[#This Row],[b17]])+ABS(Tab.11[[#This Row],[b18]])))</f>
        <v>0</v>
      </c>
      <c r="X552" s="136" t="b">
        <f>IF(Tab.11[[#This Row],[a1]]=1,IF($W$3&lt;0,Tab.11[[#This Row],[IN]]-$I$3,Tab.11[[#This Row],[IN]]))</f>
        <v>0</v>
      </c>
      <c r="Y552" s="136" t="b">
        <f>IF(Tab.11[[#This Row],[a1]]=1,IF($X$3=0,Tab.11[b66],Tab.11[[#This Row],[b66]]-AVERAGE(Tab.11[b66])))</f>
        <v>0</v>
      </c>
      <c r="Z552" s="135" t="b">
        <f>IF(Tab.11[[#This Row],[a1]]=1,Tab.11[[#This Row],[b77]]/(_xlfn.STDEV.P(Tab.11[b77])))</f>
        <v>0</v>
      </c>
      <c r="AA552" s="70" t="b">
        <f>IF(Tab.11[[#This Row],[a1]]=1,_xlfn.NORM.DIST(Tab.11[[#This Row],[b88]],$Z$1,$AA$1,FALSE))</f>
        <v>0</v>
      </c>
      <c r="AB552" s="74" t="b">
        <f>IF(Tab.11[[#This Row],[a1]]=1,IF($A$3=0,FALSE,1/Tab.11[[#This Row],[IN]]*$AC$2*IF(Tab.11[[#This Row],[a1]]=0,,$A$3*$AC$1*1/$V$3*(Tab.11[[#This Row],[b14]]))))</f>
        <v>0</v>
      </c>
      <c r="AC552" s="75" t="b">
        <f>IF(Tab.11[[#This Row],[a1]]=1,IF($AC$3=0,Tab.11[[#This Row],[φ1]],Tab.11[[#This Row],[φ1]]/MAX(Tab.11[φ1])))</f>
        <v>0</v>
      </c>
      <c r="AD552" s="74" t="b">
        <f>IF(Tab.11[[#This Row],[a1]]=1,1/Tab.11[[#This Row],[φ2]])</f>
        <v>0</v>
      </c>
      <c r="AE552" s="74" t="b">
        <f>IF(Tab.11[[#This Row],[a1]]=1,IF($AE$3=0,Tab.11[[#This Row],[w.0]],Tab.11[[#This Row],[w.0]]/SUM(Tab.11[w.0])))</f>
        <v>0</v>
      </c>
      <c r="AF552" s="76" t="str">
        <f>IF(Tab.11[[#This Row],[a1]]=0,"false",[3]!Tab.x5[[#This Row],[%_seN_C]])</f>
        <v>false</v>
      </c>
      <c r="AG552" s="77" t="b">
        <f>IF(Tab.11[[#This Row],[a1]]=1,AP552)</f>
        <v>0</v>
      </c>
      <c r="AH552" s="78" t="b">
        <f>IF(Tab.11[[#This Row],[a1]]=1,AQ552)</f>
        <v>0</v>
      </c>
      <c r="AI552" s="41">
        <v>3.0000000000000001E-3</v>
      </c>
      <c r="AJ552" s="79">
        <v>0.1</v>
      </c>
      <c r="AK552" s="80" t="b">
        <f>IF(Tab.11[[#This Row],[a1]]=1,1)</f>
        <v>0</v>
      </c>
      <c r="AZ552"/>
    </row>
    <row r="553" spans="1:52" hidden="1" x14ac:dyDescent="0.25">
      <c r="A553" s="61">
        <f t="shared" si="19"/>
        <v>0</v>
      </c>
      <c r="B553" s="62">
        <f t="shared" si="19"/>
        <v>0</v>
      </c>
      <c r="C553" s="62" t="b">
        <f>IF(Tab.11[[#This Row],[a1]]=1,[3]!Tab_x1[[#This Row],[Name]])</f>
        <v>0</v>
      </c>
      <c r="D553" s="63" t="b">
        <f>IF(Tab.11[[#This Row],[a1]]=1,AO553)</f>
        <v>0</v>
      </c>
      <c r="E553" s="63">
        <f t="shared" si="18"/>
        <v>0</v>
      </c>
      <c r="F553" s="64" t="b">
        <f>IF(Tab.11[[#This Row],[a1]]=1,Tab.11[[#This Row],[b1]])</f>
        <v>0</v>
      </c>
      <c r="G553" s="65" t="b">
        <f>IF(Tab.11[[#This Row],[a1]]=1,IF(Tab.11[[#This Row],[b3]]&gt;$L$989*$G$3,$L$989*$G$3,IF(Tab.11[[#This Row],[b3]]&lt;$M$989*$G$3,$M$989*$G$3,Tab.11[[#This Row],[b3]])))</f>
        <v>0</v>
      </c>
      <c r="H553" s="66" t="b">
        <f>IF(Tab.11[[#This Row],[a1]]=1,Tab.11[[#This Row],[b1]])</f>
        <v>0</v>
      </c>
      <c r="I553" s="67" t="b">
        <f>IF(Tab.11[[#This Row],[a1]]=1,Tab.11[[#This Row],[b1]])</f>
        <v>0</v>
      </c>
      <c r="J553" s="68" t="b">
        <f>IF(Tab.11[[#This Row],[a1]]=1,IF($I$3&lt;0,Tab.11[[#This Row],[b5]]-$I$3,Tab.11[[#This Row],[b5]]))</f>
        <v>0</v>
      </c>
      <c r="K553" s="68" t="b">
        <f>IF(Tab.11[[#This Row],[a1]]=1,IF($K$3=0,Tab.11[b6],Tab.11[[#This Row],[b6]]-AVERAGE(Tab.11[b6])))</f>
        <v>0</v>
      </c>
      <c r="L553" s="69" t="b">
        <f>IF(Tab.11[[#This Row],[a1]]=1,Tab.11[[#This Row],[data]]/(_xlfn.STDEV.P(Tab.11[data])*$B$989)+$A$989)</f>
        <v>0</v>
      </c>
      <c r="M553" s="69" t="b">
        <f>IF(Tab.11[[#This Row],[a1]]=1,Tab.11[[#This Row],[data]]/(_xlfn.STDEV.P(Tab.11[data])*$B$987)-$A$987)</f>
        <v>0</v>
      </c>
      <c r="N553" s="69" t="b">
        <f>IF(Tab.11[[#This Row],[a1]]=1,Tab.11[[#This Row],[data]]/(_xlfn.STDEV.P(Tab.11[data])*$B$988)+$A$988)</f>
        <v>0</v>
      </c>
      <c r="O553" s="70" t="b">
        <f>IF(Tab.11[[#This Row],[a1]]=1,_xlfn.NORM.DIST(Tab.11[[#This Row],[b8]],$P$1,$Q$1,FALSE))</f>
        <v>0</v>
      </c>
      <c r="P553" s="70" t="b">
        <f>IF(Tab.11[[#This Row],[a1]]=1,_xlfn.NORM.DIST(Tab.11[[#This Row],[b9]],$P$1,$Q$1,FALSE))</f>
        <v>0</v>
      </c>
      <c r="Q553" s="70" t="b">
        <f>IF(Tab.11[[#This Row],[a1]]=1,_xlfn.NORM.DIST(Tab.11[[#This Row],[b10]],$P$1,$Q$1,FALSE))</f>
        <v>0</v>
      </c>
      <c r="R553" s="67" t="b">
        <f>IF(Tab.11[[#This Row],[a1]]=1,$I$3+$A$989+IF($K$3=0,Tab.11[[#This Row],[b8]]*_xlfn.STDEV.P(Tab.11[data]),AVERAGE(Tab.11[b6])+Tab.11[[#This Row],[b8]]*_xlfn.STDEV.P(Tab.11[data])))</f>
        <v>0</v>
      </c>
      <c r="S553" s="71" t="b">
        <f>IF(Tab.11[[#This Row],[a1]]=1,$I$3+$A$987+IF($K$3=0,Tab.11[[#This Row],[b9]]*_xlfn.STDEV.P(Tab.11[data]),AVERAGE(Tab.11[b6])+Tab.11[[#This Row],[b9]]*_xlfn.STDEV.P(Tab.11[data])))</f>
        <v>0</v>
      </c>
      <c r="T553" s="71" t="b">
        <f>IF(Tab.11[[#This Row],[a1]]=1,$I$3+$A$988+IF($K$3=0,Tab.11[[#This Row],[b10]]*_xlfn.STDEV.P(Tab.11[data]),AVERAGE(Tab.11[b6])+Tab.11[[#This Row],[b10]]*_xlfn.STDEV.P(Tab.11[data])))</f>
        <v>0</v>
      </c>
      <c r="U553" s="72" t="b">
        <f>IF(Tab.11[[#This Row],[a1]]=1,Tab.11[[#This Row],[target]]-Tab.11[[#This Row],[Red]])</f>
        <v>0</v>
      </c>
      <c r="V553" s="72" t="b">
        <f>IF(Tab.11[[#This Row],[a1]]=1,Tab.11[[#This Row],[target]]-Tab.11[[#This Row],[Blue]])</f>
        <v>0</v>
      </c>
      <c r="W553" s="73" t="b">
        <f>IF(Tab.11[[#This Row],[a1]]=1,IF(ABS(Tab.11[[#This Row],[b17]])+ABS(Tab.11[[#This Row],[b18]])&lt;$W$2,$W$2,ABS(Tab.11[[#This Row],[b17]])+ABS(Tab.11[[#This Row],[b18]])))</f>
        <v>0</v>
      </c>
      <c r="X553" s="136" t="b">
        <f>IF(Tab.11[[#This Row],[a1]]=1,IF($W$3&lt;0,Tab.11[[#This Row],[IN]]-$I$3,Tab.11[[#This Row],[IN]]))</f>
        <v>0</v>
      </c>
      <c r="Y553" s="136" t="b">
        <f>IF(Tab.11[[#This Row],[a1]]=1,IF($X$3=0,Tab.11[b66],Tab.11[[#This Row],[b66]]-AVERAGE(Tab.11[b66])))</f>
        <v>0</v>
      </c>
      <c r="Z553" s="135" t="b">
        <f>IF(Tab.11[[#This Row],[a1]]=1,Tab.11[[#This Row],[b77]]/(_xlfn.STDEV.P(Tab.11[b77])))</f>
        <v>0</v>
      </c>
      <c r="AA553" s="70" t="b">
        <f>IF(Tab.11[[#This Row],[a1]]=1,_xlfn.NORM.DIST(Tab.11[[#This Row],[b88]],$Z$1,$AA$1,FALSE))</f>
        <v>0</v>
      </c>
      <c r="AB553" s="74" t="b">
        <f>IF(Tab.11[[#This Row],[a1]]=1,IF($A$3=0,FALSE,1/Tab.11[[#This Row],[IN]]*$AC$2*IF(Tab.11[[#This Row],[a1]]=0,,$A$3*$AC$1*1/$V$3*(Tab.11[[#This Row],[b14]]))))</f>
        <v>0</v>
      </c>
      <c r="AC553" s="75" t="b">
        <f>IF(Tab.11[[#This Row],[a1]]=1,IF($AC$3=0,Tab.11[[#This Row],[φ1]],Tab.11[[#This Row],[φ1]]/MAX(Tab.11[φ1])))</f>
        <v>0</v>
      </c>
      <c r="AD553" s="74" t="b">
        <f>IF(Tab.11[[#This Row],[a1]]=1,1/Tab.11[[#This Row],[φ2]])</f>
        <v>0</v>
      </c>
      <c r="AE553" s="74" t="b">
        <f>IF(Tab.11[[#This Row],[a1]]=1,IF($AE$3=0,Tab.11[[#This Row],[w.0]],Tab.11[[#This Row],[w.0]]/SUM(Tab.11[w.0])))</f>
        <v>0</v>
      </c>
      <c r="AF553" s="76" t="str">
        <f>IF(Tab.11[[#This Row],[a1]]=0,"false",[3]!Tab.x5[[#This Row],[%_seN_C]])</f>
        <v>false</v>
      </c>
      <c r="AG553" s="77" t="b">
        <f>IF(Tab.11[[#This Row],[a1]]=1,AP553)</f>
        <v>0</v>
      </c>
      <c r="AH553" s="78" t="b">
        <f>IF(Tab.11[[#This Row],[a1]]=1,AQ553)</f>
        <v>0</v>
      </c>
      <c r="AI553" s="41">
        <v>3.0000000000000001E-3</v>
      </c>
      <c r="AJ553" s="79">
        <v>-0.1</v>
      </c>
      <c r="AK553" s="80" t="b">
        <f>IF(Tab.11[[#This Row],[a1]]=1,1)</f>
        <v>0</v>
      </c>
      <c r="AZ553"/>
    </row>
    <row r="554" spans="1:52" hidden="1" x14ac:dyDescent="0.25">
      <c r="A554" s="61">
        <f t="shared" si="19"/>
        <v>0</v>
      </c>
      <c r="B554" s="62">
        <f t="shared" si="19"/>
        <v>0</v>
      </c>
      <c r="C554" s="62" t="b">
        <f>IF(Tab.11[[#This Row],[a1]]=1,[3]!Tab_x1[[#This Row],[Name]])</f>
        <v>0</v>
      </c>
      <c r="D554" s="63" t="b">
        <f>IF(Tab.11[[#This Row],[a1]]=1,AO554)</f>
        <v>0</v>
      </c>
      <c r="E554" s="63">
        <f t="shared" si="18"/>
        <v>0</v>
      </c>
      <c r="F554" s="64" t="b">
        <f>IF(Tab.11[[#This Row],[a1]]=1,Tab.11[[#This Row],[b1]])</f>
        <v>0</v>
      </c>
      <c r="G554" s="65" t="b">
        <f>IF(Tab.11[[#This Row],[a1]]=1,IF(Tab.11[[#This Row],[b3]]&gt;$L$989*$G$3,$L$989*$G$3,IF(Tab.11[[#This Row],[b3]]&lt;$M$989*$G$3,$M$989*$G$3,Tab.11[[#This Row],[b3]])))</f>
        <v>0</v>
      </c>
      <c r="H554" s="66" t="b">
        <f>IF(Tab.11[[#This Row],[a1]]=1,Tab.11[[#This Row],[b1]])</f>
        <v>0</v>
      </c>
      <c r="I554" s="67" t="b">
        <f>IF(Tab.11[[#This Row],[a1]]=1,Tab.11[[#This Row],[b1]])</f>
        <v>0</v>
      </c>
      <c r="J554" s="68" t="b">
        <f>IF(Tab.11[[#This Row],[a1]]=1,IF($I$3&lt;0,Tab.11[[#This Row],[b5]]-$I$3,Tab.11[[#This Row],[b5]]))</f>
        <v>0</v>
      </c>
      <c r="K554" s="68" t="b">
        <f>IF(Tab.11[[#This Row],[a1]]=1,IF($K$3=0,Tab.11[b6],Tab.11[[#This Row],[b6]]-AVERAGE(Tab.11[b6])))</f>
        <v>0</v>
      </c>
      <c r="L554" s="69" t="b">
        <f>IF(Tab.11[[#This Row],[a1]]=1,Tab.11[[#This Row],[data]]/(_xlfn.STDEV.P(Tab.11[data])*$B$989)+$A$989)</f>
        <v>0</v>
      </c>
      <c r="M554" s="69" t="b">
        <f>IF(Tab.11[[#This Row],[a1]]=1,Tab.11[[#This Row],[data]]/(_xlfn.STDEV.P(Tab.11[data])*$B$987)-$A$987)</f>
        <v>0</v>
      </c>
      <c r="N554" s="69" t="b">
        <f>IF(Tab.11[[#This Row],[a1]]=1,Tab.11[[#This Row],[data]]/(_xlfn.STDEV.P(Tab.11[data])*$B$988)+$A$988)</f>
        <v>0</v>
      </c>
      <c r="O554" s="70" t="b">
        <f>IF(Tab.11[[#This Row],[a1]]=1,_xlfn.NORM.DIST(Tab.11[[#This Row],[b8]],$P$1,$Q$1,FALSE))</f>
        <v>0</v>
      </c>
      <c r="P554" s="70" t="b">
        <f>IF(Tab.11[[#This Row],[a1]]=1,_xlfn.NORM.DIST(Tab.11[[#This Row],[b9]],$P$1,$Q$1,FALSE))</f>
        <v>0</v>
      </c>
      <c r="Q554" s="70" t="b">
        <f>IF(Tab.11[[#This Row],[a1]]=1,_xlfn.NORM.DIST(Tab.11[[#This Row],[b10]],$P$1,$Q$1,FALSE))</f>
        <v>0</v>
      </c>
      <c r="R554" s="67" t="b">
        <f>IF(Tab.11[[#This Row],[a1]]=1,$I$3+$A$989+IF($K$3=0,Tab.11[[#This Row],[b8]]*_xlfn.STDEV.P(Tab.11[data]),AVERAGE(Tab.11[b6])+Tab.11[[#This Row],[b8]]*_xlfn.STDEV.P(Tab.11[data])))</f>
        <v>0</v>
      </c>
      <c r="S554" s="71" t="b">
        <f>IF(Tab.11[[#This Row],[a1]]=1,$I$3+$A$987+IF($K$3=0,Tab.11[[#This Row],[b9]]*_xlfn.STDEV.P(Tab.11[data]),AVERAGE(Tab.11[b6])+Tab.11[[#This Row],[b9]]*_xlfn.STDEV.P(Tab.11[data])))</f>
        <v>0</v>
      </c>
      <c r="T554" s="71" t="b">
        <f>IF(Tab.11[[#This Row],[a1]]=1,$I$3+$A$988+IF($K$3=0,Tab.11[[#This Row],[b10]]*_xlfn.STDEV.P(Tab.11[data]),AVERAGE(Tab.11[b6])+Tab.11[[#This Row],[b10]]*_xlfn.STDEV.P(Tab.11[data])))</f>
        <v>0</v>
      </c>
      <c r="U554" s="72" t="b">
        <f>IF(Tab.11[[#This Row],[a1]]=1,Tab.11[[#This Row],[target]]-Tab.11[[#This Row],[Red]])</f>
        <v>0</v>
      </c>
      <c r="V554" s="72" t="b">
        <f>IF(Tab.11[[#This Row],[a1]]=1,Tab.11[[#This Row],[target]]-Tab.11[[#This Row],[Blue]])</f>
        <v>0</v>
      </c>
      <c r="W554" s="73" t="b">
        <f>IF(Tab.11[[#This Row],[a1]]=1,IF(ABS(Tab.11[[#This Row],[b17]])+ABS(Tab.11[[#This Row],[b18]])&lt;$W$2,$W$2,ABS(Tab.11[[#This Row],[b17]])+ABS(Tab.11[[#This Row],[b18]])))</f>
        <v>0</v>
      </c>
      <c r="X554" s="136" t="b">
        <f>IF(Tab.11[[#This Row],[a1]]=1,IF($W$3&lt;0,Tab.11[[#This Row],[IN]]-$I$3,Tab.11[[#This Row],[IN]]))</f>
        <v>0</v>
      </c>
      <c r="Y554" s="136" t="b">
        <f>IF(Tab.11[[#This Row],[a1]]=1,IF($X$3=0,Tab.11[b66],Tab.11[[#This Row],[b66]]-AVERAGE(Tab.11[b66])))</f>
        <v>0</v>
      </c>
      <c r="Z554" s="135" t="b">
        <f>IF(Tab.11[[#This Row],[a1]]=1,Tab.11[[#This Row],[b77]]/(_xlfn.STDEV.P(Tab.11[b77])))</f>
        <v>0</v>
      </c>
      <c r="AA554" s="70" t="b">
        <f>IF(Tab.11[[#This Row],[a1]]=1,_xlfn.NORM.DIST(Tab.11[[#This Row],[b88]],$Z$1,$AA$1,FALSE))</f>
        <v>0</v>
      </c>
      <c r="AB554" s="74" t="b">
        <f>IF(Tab.11[[#This Row],[a1]]=1,IF($A$3=0,FALSE,1/Tab.11[[#This Row],[IN]]*$AC$2*IF(Tab.11[[#This Row],[a1]]=0,,$A$3*$AC$1*1/$V$3*(Tab.11[[#This Row],[b14]]))))</f>
        <v>0</v>
      </c>
      <c r="AC554" s="75" t="b">
        <f>IF(Tab.11[[#This Row],[a1]]=1,IF($AC$3=0,Tab.11[[#This Row],[φ1]],Tab.11[[#This Row],[φ1]]/MAX(Tab.11[φ1])))</f>
        <v>0</v>
      </c>
      <c r="AD554" s="74" t="b">
        <f>IF(Tab.11[[#This Row],[a1]]=1,1/Tab.11[[#This Row],[φ2]])</f>
        <v>0</v>
      </c>
      <c r="AE554" s="74" t="b">
        <f>IF(Tab.11[[#This Row],[a1]]=1,IF($AE$3=0,Tab.11[[#This Row],[w.0]],Tab.11[[#This Row],[w.0]]/SUM(Tab.11[w.0])))</f>
        <v>0</v>
      </c>
      <c r="AF554" s="76" t="str">
        <f>IF(Tab.11[[#This Row],[a1]]=0,"false",[3]!Tab.x5[[#This Row],[%_seN_C]])</f>
        <v>false</v>
      </c>
      <c r="AG554" s="77" t="b">
        <f>IF(Tab.11[[#This Row],[a1]]=1,AP554)</f>
        <v>0</v>
      </c>
      <c r="AH554" s="78" t="b">
        <f>IF(Tab.11[[#This Row],[a1]]=1,AQ554)</f>
        <v>0</v>
      </c>
      <c r="AI554" s="41">
        <v>3.0000000000000001E-3</v>
      </c>
      <c r="AJ554" s="79">
        <v>-0.01</v>
      </c>
      <c r="AK554" s="80" t="b">
        <f>IF(Tab.11[[#This Row],[a1]]=1,1)</f>
        <v>0</v>
      </c>
      <c r="AZ554"/>
    </row>
    <row r="555" spans="1:52" hidden="1" x14ac:dyDescent="0.25">
      <c r="A555" s="61">
        <f t="shared" si="19"/>
        <v>0</v>
      </c>
      <c r="B555" s="62">
        <f t="shared" si="19"/>
        <v>0</v>
      </c>
      <c r="C555" s="62" t="b">
        <f>IF(Tab.11[[#This Row],[a1]]=1,[3]!Tab_x1[[#This Row],[Name]])</f>
        <v>0</v>
      </c>
      <c r="D555" s="63" t="b">
        <f>IF(Tab.11[[#This Row],[a1]]=1,AO555)</f>
        <v>0</v>
      </c>
      <c r="E555" s="63">
        <f t="shared" si="18"/>
        <v>0</v>
      </c>
      <c r="F555" s="64" t="b">
        <f>IF(Tab.11[[#This Row],[a1]]=1,Tab.11[[#This Row],[b1]])</f>
        <v>0</v>
      </c>
      <c r="G555" s="65" t="b">
        <f>IF(Tab.11[[#This Row],[a1]]=1,IF(Tab.11[[#This Row],[b3]]&gt;$L$989*$G$3,$L$989*$G$3,IF(Tab.11[[#This Row],[b3]]&lt;$M$989*$G$3,$M$989*$G$3,Tab.11[[#This Row],[b3]])))</f>
        <v>0</v>
      </c>
      <c r="H555" s="66" t="b">
        <f>IF(Tab.11[[#This Row],[a1]]=1,Tab.11[[#This Row],[b1]])</f>
        <v>0</v>
      </c>
      <c r="I555" s="67" t="b">
        <f>IF(Tab.11[[#This Row],[a1]]=1,Tab.11[[#This Row],[b1]])</f>
        <v>0</v>
      </c>
      <c r="J555" s="68" t="b">
        <f>IF(Tab.11[[#This Row],[a1]]=1,IF($I$3&lt;0,Tab.11[[#This Row],[b5]]-$I$3,Tab.11[[#This Row],[b5]]))</f>
        <v>0</v>
      </c>
      <c r="K555" s="68" t="b">
        <f>IF(Tab.11[[#This Row],[a1]]=1,IF($K$3=0,Tab.11[b6],Tab.11[[#This Row],[b6]]-AVERAGE(Tab.11[b6])))</f>
        <v>0</v>
      </c>
      <c r="L555" s="69" t="b">
        <f>IF(Tab.11[[#This Row],[a1]]=1,Tab.11[[#This Row],[data]]/(_xlfn.STDEV.P(Tab.11[data])*$B$989)+$A$989)</f>
        <v>0</v>
      </c>
      <c r="M555" s="69" t="b">
        <f>IF(Tab.11[[#This Row],[a1]]=1,Tab.11[[#This Row],[data]]/(_xlfn.STDEV.P(Tab.11[data])*$B$987)-$A$987)</f>
        <v>0</v>
      </c>
      <c r="N555" s="69" t="b">
        <f>IF(Tab.11[[#This Row],[a1]]=1,Tab.11[[#This Row],[data]]/(_xlfn.STDEV.P(Tab.11[data])*$B$988)+$A$988)</f>
        <v>0</v>
      </c>
      <c r="O555" s="70" t="b">
        <f>IF(Tab.11[[#This Row],[a1]]=1,_xlfn.NORM.DIST(Tab.11[[#This Row],[b8]],$P$1,$Q$1,FALSE))</f>
        <v>0</v>
      </c>
      <c r="P555" s="70" t="b">
        <f>IF(Tab.11[[#This Row],[a1]]=1,_xlfn.NORM.DIST(Tab.11[[#This Row],[b9]],$P$1,$Q$1,FALSE))</f>
        <v>0</v>
      </c>
      <c r="Q555" s="70" t="b">
        <f>IF(Tab.11[[#This Row],[a1]]=1,_xlfn.NORM.DIST(Tab.11[[#This Row],[b10]],$P$1,$Q$1,FALSE))</f>
        <v>0</v>
      </c>
      <c r="R555" s="67" t="b">
        <f>IF(Tab.11[[#This Row],[a1]]=1,$I$3+$A$989+IF($K$3=0,Tab.11[[#This Row],[b8]]*_xlfn.STDEV.P(Tab.11[data]),AVERAGE(Tab.11[b6])+Tab.11[[#This Row],[b8]]*_xlfn.STDEV.P(Tab.11[data])))</f>
        <v>0</v>
      </c>
      <c r="S555" s="71" t="b">
        <f>IF(Tab.11[[#This Row],[a1]]=1,$I$3+$A$987+IF($K$3=0,Tab.11[[#This Row],[b9]]*_xlfn.STDEV.P(Tab.11[data]),AVERAGE(Tab.11[b6])+Tab.11[[#This Row],[b9]]*_xlfn.STDEV.P(Tab.11[data])))</f>
        <v>0</v>
      </c>
      <c r="T555" s="71" t="b">
        <f>IF(Tab.11[[#This Row],[a1]]=1,$I$3+$A$988+IF($K$3=0,Tab.11[[#This Row],[b10]]*_xlfn.STDEV.P(Tab.11[data]),AVERAGE(Tab.11[b6])+Tab.11[[#This Row],[b10]]*_xlfn.STDEV.P(Tab.11[data])))</f>
        <v>0</v>
      </c>
      <c r="U555" s="72" t="b">
        <f>IF(Tab.11[[#This Row],[a1]]=1,Tab.11[[#This Row],[target]]-Tab.11[[#This Row],[Red]])</f>
        <v>0</v>
      </c>
      <c r="V555" s="72" t="b">
        <f>IF(Tab.11[[#This Row],[a1]]=1,Tab.11[[#This Row],[target]]-Tab.11[[#This Row],[Blue]])</f>
        <v>0</v>
      </c>
      <c r="W555" s="73" t="b">
        <f>IF(Tab.11[[#This Row],[a1]]=1,IF(ABS(Tab.11[[#This Row],[b17]])+ABS(Tab.11[[#This Row],[b18]])&lt;$W$2,$W$2,ABS(Tab.11[[#This Row],[b17]])+ABS(Tab.11[[#This Row],[b18]])))</f>
        <v>0</v>
      </c>
      <c r="X555" s="136" t="b">
        <f>IF(Tab.11[[#This Row],[a1]]=1,IF($W$3&lt;0,Tab.11[[#This Row],[IN]]-$I$3,Tab.11[[#This Row],[IN]]))</f>
        <v>0</v>
      </c>
      <c r="Y555" s="136" t="b">
        <f>IF(Tab.11[[#This Row],[a1]]=1,IF($X$3=0,Tab.11[b66],Tab.11[[#This Row],[b66]]-AVERAGE(Tab.11[b66])))</f>
        <v>0</v>
      </c>
      <c r="Z555" s="135" t="b">
        <f>IF(Tab.11[[#This Row],[a1]]=1,Tab.11[[#This Row],[b77]]/(_xlfn.STDEV.P(Tab.11[b77])))</f>
        <v>0</v>
      </c>
      <c r="AA555" s="70" t="b">
        <f>IF(Tab.11[[#This Row],[a1]]=1,_xlfn.NORM.DIST(Tab.11[[#This Row],[b88]],$Z$1,$AA$1,FALSE))</f>
        <v>0</v>
      </c>
      <c r="AB555" s="74" t="b">
        <f>IF(Tab.11[[#This Row],[a1]]=1,IF($A$3=0,FALSE,1/Tab.11[[#This Row],[IN]]*$AC$2*IF(Tab.11[[#This Row],[a1]]=0,,$A$3*$AC$1*1/$V$3*(Tab.11[[#This Row],[b14]]))))</f>
        <v>0</v>
      </c>
      <c r="AC555" s="75" t="b">
        <f>IF(Tab.11[[#This Row],[a1]]=1,IF($AC$3=0,Tab.11[[#This Row],[φ1]],Tab.11[[#This Row],[φ1]]/MAX(Tab.11[φ1])))</f>
        <v>0</v>
      </c>
      <c r="AD555" s="74" t="b">
        <f>IF(Tab.11[[#This Row],[a1]]=1,1/Tab.11[[#This Row],[φ2]])</f>
        <v>0</v>
      </c>
      <c r="AE555" s="74" t="b">
        <f>IF(Tab.11[[#This Row],[a1]]=1,IF($AE$3=0,Tab.11[[#This Row],[w.0]],Tab.11[[#This Row],[w.0]]/SUM(Tab.11[w.0])))</f>
        <v>0</v>
      </c>
      <c r="AF555" s="76" t="str">
        <f>IF(Tab.11[[#This Row],[a1]]=0,"false",[3]!Tab.x5[[#This Row],[%_seN_C]])</f>
        <v>false</v>
      </c>
      <c r="AG555" s="77" t="b">
        <f>IF(Tab.11[[#This Row],[a1]]=1,AP555)</f>
        <v>0</v>
      </c>
      <c r="AH555" s="78" t="b">
        <f>IF(Tab.11[[#This Row],[a1]]=1,AQ555)</f>
        <v>0</v>
      </c>
      <c r="AI555" s="41">
        <v>3.0000000000000001E-3</v>
      </c>
      <c r="AJ555" s="79">
        <v>0.03</v>
      </c>
      <c r="AK555" s="80" t="b">
        <f>IF(Tab.11[[#This Row],[a1]]=1,1)</f>
        <v>0</v>
      </c>
      <c r="AZ555"/>
    </row>
    <row r="556" spans="1:52" hidden="1" x14ac:dyDescent="0.25">
      <c r="A556" s="61">
        <f t="shared" si="19"/>
        <v>0</v>
      </c>
      <c r="B556" s="62">
        <f t="shared" si="19"/>
        <v>0</v>
      </c>
      <c r="C556" s="62" t="b">
        <f>IF(Tab.11[[#This Row],[a1]]=1,[3]!Tab_x1[[#This Row],[Name]])</f>
        <v>0</v>
      </c>
      <c r="D556" s="63" t="b">
        <f>IF(Tab.11[[#This Row],[a1]]=1,AO556)</f>
        <v>0</v>
      </c>
      <c r="E556" s="63">
        <f t="shared" si="18"/>
        <v>0</v>
      </c>
      <c r="F556" s="64" t="b">
        <f>IF(Tab.11[[#This Row],[a1]]=1,Tab.11[[#This Row],[b1]])</f>
        <v>0</v>
      </c>
      <c r="G556" s="65" t="b">
        <f>IF(Tab.11[[#This Row],[a1]]=1,IF(Tab.11[[#This Row],[b3]]&gt;$L$989*$G$3,$L$989*$G$3,IF(Tab.11[[#This Row],[b3]]&lt;$M$989*$G$3,$M$989*$G$3,Tab.11[[#This Row],[b3]])))</f>
        <v>0</v>
      </c>
      <c r="H556" s="66" t="b">
        <f>IF(Tab.11[[#This Row],[a1]]=1,Tab.11[[#This Row],[b1]])</f>
        <v>0</v>
      </c>
      <c r="I556" s="67" t="b">
        <f>IF(Tab.11[[#This Row],[a1]]=1,Tab.11[[#This Row],[b1]])</f>
        <v>0</v>
      </c>
      <c r="J556" s="68" t="b">
        <f>IF(Tab.11[[#This Row],[a1]]=1,IF($I$3&lt;0,Tab.11[[#This Row],[b5]]-$I$3,Tab.11[[#This Row],[b5]]))</f>
        <v>0</v>
      </c>
      <c r="K556" s="68" t="b">
        <f>IF(Tab.11[[#This Row],[a1]]=1,IF($K$3=0,Tab.11[b6],Tab.11[[#This Row],[b6]]-AVERAGE(Tab.11[b6])))</f>
        <v>0</v>
      </c>
      <c r="L556" s="69" t="b">
        <f>IF(Tab.11[[#This Row],[a1]]=1,Tab.11[[#This Row],[data]]/(_xlfn.STDEV.P(Tab.11[data])*$B$989)+$A$989)</f>
        <v>0</v>
      </c>
      <c r="M556" s="69" t="b">
        <f>IF(Tab.11[[#This Row],[a1]]=1,Tab.11[[#This Row],[data]]/(_xlfn.STDEV.P(Tab.11[data])*$B$987)-$A$987)</f>
        <v>0</v>
      </c>
      <c r="N556" s="69" t="b">
        <f>IF(Tab.11[[#This Row],[a1]]=1,Tab.11[[#This Row],[data]]/(_xlfn.STDEV.P(Tab.11[data])*$B$988)+$A$988)</f>
        <v>0</v>
      </c>
      <c r="O556" s="70" t="b">
        <f>IF(Tab.11[[#This Row],[a1]]=1,_xlfn.NORM.DIST(Tab.11[[#This Row],[b8]],$P$1,$Q$1,FALSE))</f>
        <v>0</v>
      </c>
      <c r="P556" s="70" t="b">
        <f>IF(Tab.11[[#This Row],[a1]]=1,_xlfn.NORM.DIST(Tab.11[[#This Row],[b9]],$P$1,$Q$1,FALSE))</f>
        <v>0</v>
      </c>
      <c r="Q556" s="70" t="b">
        <f>IF(Tab.11[[#This Row],[a1]]=1,_xlfn.NORM.DIST(Tab.11[[#This Row],[b10]],$P$1,$Q$1,FALSE))</f>
        <v>0</v>
      </c>
      <c r="R556" s="67" t="b">
        <f>IF(Tab.11[[#This Row],[a1]]=1,$I$3+$A$989+IF($K$3=0,Tab.11[[#This Row],[b8]]*_xlfn.STDEV.P(Tab.11[data]),AVERAGE(Tab.11[b6])+Tab.11[[#This Row],[b8]]*_xlfn.STDEV.P(Tab.11[data])))</f>
        <v>0</v>
      </c>
      <c r="S556" s="71" t="b">
        <f>IF(Tab.11[[#This Row],[a1]]=1,$I$3+$A$987+IF($K$3=0,Tab.11[[#This Row],[b9]]*_xlfn.STDEV.P(Tab.11[data]),AVERAGE(Tab.11[b6])+Tab.11[[#This Row],[b9]]*_xlfn.STDEV.P(Tab.11[data])))</f>
        <v>0</v>
      </c>
      <c r="T556" s="71" t="b">
        <f>IF(Tab.11[[#This Row],[a1]]=1,$I$3+$A$988+IF($K$3=0,Tab.11[[#This Row],[b10]]*_xlfn.STDEV.P(Tab.11[data]),AVERAGE(Tab.11[b6])+Tab.11[[#This Row],[b10]]*_xlfn.STDEV.P(Tab.11[data])))</f>
        <v>0</v>
      </c>
      <c r="U556" s="72" t="b">
        <f>IF(Tab.11[[#This Row],[a1]]=1,Tab.11[[#This Row],[target]]-Tab.11[[#This Row],[Red]])</f>
        <v>0</v>
      </c>
      <c r="V556" s="72" t="b">
        <f>IF(Tab.11[[#This Row],[a1]]=1,Tab.11[[#This Row],[target]]-Tab.11[[#This Row],[Blue]])</f>
        <v>0</v>
      </c>
      <c r="W556" s="73" t="b">
        <f>IF(Tab.11[[#This Row],[a1]]=1,IF(ABS(Tab.11[[#This Row],[b17]])+ABS(Tab.11[[#This Row],[b18]])&lt;$W$2,$W$2,ABS(Tab.11[[#This Row],[b17]])+ABS(Tab.11[[#This Row],[b18]])))</f>
        <v>0</v>
      </c>
      <c r="X556" s="136" t="b">
        <f>IF(Tab.11[[#This Row],[a1]]=1,IF($W$3&lt;0,Tab.11[[#This Row],[IN]]-$I$3,Tab.11[[#This Row],[IN]]))</f>
        <v>0</v>
      </c>
      <c r="Y556" s="136" t="b">
        <f>IF(Tab.11[[#This Row],[a1]]=1,IF($X$3=0,Tab.11[b66],Tab.11[[#This Row],[b66]]-AVERAGE(Tab.11[b66])))</f>
        <v>0</v>
      </c>
      <c r="Z556" s="135" t="b">
        <f>IF(Tab.11[[#This Row],[a1]]=1,Tab.11[[#This Row],[b77]]/(_xlfn.STDEV.P(Tab.11[b77])))</f>
        <v>0</v>
      </c>
      <c r="AA556" s="70" t="b">
        <f>IF(Tab.11[[#This Row],[a1]]=1,_xlfn.NORM.DIST(Tab.11[[#This Row],[b88]],$Z$1,$AA$1,FALSE))</f>
        <v>0</v>
      </c>
      <c r="AB556" s="74" t="b">
        <f>IF(Tab.11[[#This Row],[a1]]=1,IF($A$3=0,FALSE,1/Tab.11[[#This Row],[IN]]*$AC$2*IF(Tab.11[[#This Row],[a1]]=0,,$A$3*$AC$1*1/$V$3*(Tab.11[[#This Row],[b14]]))))</f>
        <v>0</v>
      </c>
      <c r="AC556" s="75" t="b">
        <f>IF(Tab.11[[#This Row],[a1]]=1,IF($AC$3=0,Tab.11[[#This Row],[φ1]],Tab.11[[#This Row],[φ1]]/MAX(Tab.11[φ1])))</f>
        <v>0</v>
      </c>
      <c r="AD556" s="74" t="b">
        <f>IF(Tab.11[[#This Row],[a1]]=1,1/Tab.11[[#This Row],[φ2]])</f>
        <v>0</v>
      </c>
      <c r="AE556" s="74" t="b">
        <f>IF(Tab.11[[#This Row],[a1]]=1,IF($AE$3=0,Tab.11[[#This Row],[w.0]],Tab.11[[#This Row],[w.0]]/SUM(Tab.11[w.0])))</f>
        <v>0</v>
      </c>
      <c r="AF556" s="76" t="str">
        <f>IF(Tab.11[[#This Row],[a1]]=0,"false",[3]!Tab.x5[[#This Row],[%_seN_C]])</f>
        <v>false</v>
      </c>
      <c r="AG556" s="77" t="b">
        <f>IF(Tab.11[[#This Row],[a1]]=1,AP556)</f>
        <v>0</v>
      </c>
      <c r="AH556" s="78" t="b">
        <f>IF(Tab.11[[#This Row],[a1]]=1,AQ556)</f>
        <v>0</v>
      </c>
      <c r="AI556" s="41">
        <v>3.0000000000000001E-3</v>
      </c>
      <c r="AJ556" s="79">
        <v>-0.04</v>
      </c>
      <c r="AK556" s="80" t="b">
        <f>IF(Tab.11[[#This Row],[a1]]=1,1)</f>
        <v>0</v>
      </c>
      <c r="AZ556"/>
    </row>
    <row r="557" spans="1:52" hidden="1" x14ac:dyDescent="0.25">
      <c r="A557" s="61">
        <f t="shared" si="19"/>
        <v>0</v>
      </c>
      <c r="B557" s="62">
        <f t="shared" si="19"/>
        <v>0</v>
      </c>
      <c r="C557" s="62" t="b">
        <f>IF(Tab.11[[#This Row],[a1]]=1,[3]!Tab_x1[[#This Row],[Name]])</f>
        <v>0</v>
      </c>
      <c r="D557" s="63" t="b">
        <f>IF(Tab.11[[#This Row],[a1]]=1,AO557)</f>
        <v>0</v>
      </c>
      <c r="E557" s="63">
        <f t="shared" si="18"/>
        <v>0</v>
      </c>
      <c r="F557" s="64" t="b">
        <f>IF(Tab.11[[#This Row],[a1]]=1,Tab.11[[#This Row],[b1]])</f>
        <v>0</v>
      </c>
      <c r="G557" s="65" t="b">
        <f>IF(Tab.11[[#This Row],[a1]]=1,IF(Tab.11[[#This Row],[b3]]&gt;$L$989*$G$3,$L$989*$G$3,IF(Tab.11[[#This Row],[b3]]&lt;$M$989*$G$3,$M$989*$G$3,Tab.11[[#This Row],[b3]])))</f>
        <v>0</v>
      </c>
      <c r="H557" s="66" t="b">
        <f>IF(Tab.11[[#This Row],[a1]]=1,Tab.11[[#This Row],[b1]])</f>
        <v>0</v>
      </c>
      <c r="I557" s="67" t="b">
        <f>IF(Tab.11[[#This Row],[a1]]=1,Tab.11[[#This Row],[b1]])</f>
        <v>0</v>
      </c>
      <c r="J557" s="68" t="b">
        <f>IF(Tab.11[[#This Row],[a1]]=1,IF($I$3&lt;0,Tab.11[[#This Row],[b5]]-$I$3,Tab.11[[#This Row],[b5]]))</f>
        <v>0</v>
      </c>
      <c r="K557" s="68" t="b">
        <f>IF(Tab.11[[#This Row],[a1]]=1,IF($K$3=0,Tab.11[b6],Tab.11[[#This Row],[b6]]-AVERAGE(Tab.11[b6])))</f>
        <v>0</v>
      </c>
      <c r="L557" s="69" t="b">
        <f>IF(Tab.11[[#This Row],[a1]]=1,Tab.11[[#This Row],[data]]/(_xlfn.STDEV.P(Tab.11[data])*$B$989)+$A$989)</f>
        <v>0</v>
      </c>
      <c r="M557" s="69" t="b">
        <f>IF(Tab.11[[#This Row],[a1]]=1,Tab.11[[#This Row],[data]]/(_xlfn.STDEV.P(Tab.11[data])*$B$987)-$A$987)</f>
        <v>0</v>
      </c>
      <c r="N557" s="69" t="b">
        <f>IF(Tab.11[[#This Row],[a1]]=1,Tab.11[[#This Row],[data]]/(_xlfn.STDEV.P(Tab.11[data])*$B$988)+$A$988)</f>
        <v>0</v>
      </c>
      <c r="O557" s="70" t="b">
        <f>IF(Tab.11[[#This Row],[a1]]=1,_xlfn.NORM.DIST(Tab.11[[#This Row],[b8]],$P$1,$Q$1,FALSE))</f>
        <v>0</v>
      </c>
      <c r="P557" s="70" t="b">
        <f>IF(Tab.11[[#This Row],[a1]]=1,_xlfn.NORM.DIST(Tab.11[[#This Row],[b9]],$P$1,$Q$1,FALSE))</f>
        <v>0</v>
      </c>
      <c r="Q557" s="70" t="b">
        <f>IF(Tab.11[[#This Row],[a1]]=1,_xlfn.NORM.DIST(Tab.11[[#This Row],[b10]],$P$1,$Q$1,FALSE))</f>
        <v>0</v>
      </c>
      <c r="R557" s="67" t="b">
        <f>IF(Tab.11[[#This Row],[a1]]=1,$I$3+$A$989+IF($K$3=0,Tab.11[[#This Row],[b8]]*_xlfn.STDEV.P(Tab.11[data]),AVERAGE(Tab.11[b6])+Tab.11[[#This Row],[b8]]*_xlfn.STDEV.P(Tab.11[data])))</f>
        <v>0</v>
      </c>
      <c r="S557" s="71" t="b">
        <f>IF(Tab.11[[#This Row],[a1]]=1,$I$3+$A$987+IF($K$3=0,Tab.11[[#This Row],[b9]]*_xlfn.STDEV.P(Tab.11[data]),AVERAGE(Tab.11[b6])+Tab.11[[#This Row],[b9]]*_xlfn.STDEV.P(Tab.11[data])))</f>
        <v>0</v>
      </c>
      <c r="T557" s="71" t="b">
        <f>IF(Tab.11[[#This Row],[a1]]=1,$I$3+$A$988+IF($K$3=0,Tab.11[[#This Row],[b10]]*_xlfn.STDEV.P(Tab.11[data]),AVERAGE(Tab.11[b6])+Tab.11[[#This Row],[b10]]*_xlfn.STDEV.P(Tab.11[data])))</f>
        <v>0</v>
      </c>
      <c r="U557" s="72" t="b">
        <f>IF(Tab.11[[#This Row],[a1]]=1,Tab.11[[#This Row],[target]]-Tab.11[[#This Row],[Red]])</f>
        <v>0</v>
      </c>
      <c r="V557" s="72" t="b">
        <f>IF(Tab.11[[#This Row],[a1]]=1,Tab.11[[#This Row],[target]]-Tab.11[[#This Row],[Blue]])</f>
        <v>0</v>
      </c>
      <c r="W557" s="73" t="b">
        <f>IF(Tab.11[[#This Row],[a1]]=1,IF(ABS(Tab.11[[#This Row],[b17]])+ABS(Tab.11[[#This Row],[b18]])&lt;$W$2,$W$2,ABS(Tab.11[[#This Row],[b17]])+ABS(Tab.11[[#This Row],[b18]])))</f>
        <v>0</v>
      </c>
      <c r="X557" s="136" t="b">
        <f>IF(Tab.11[[#This Row],[a1]]=1,IF($W$3&lt;0,Tab.11[[#This Row],[IN]]-$I$3,Tab.11[[#This Row],[IN]]))</f>
        <v>0</v>
      </c>
      <c r="Y557" s="136" t="b">
        <f>IF(Tab.11[[#This Row],[a1]]=1,IF($X$3=0,Tab.11[b66],Tab.11[[#This Row],[b66]]-AVERAGE(Tab.11[b66])))</f>
        <v>0</v>
      </c>
      <c r="Z557" s="135" t="b">
        <f>IF(Tab.11[[#This Row],[a1]]=1,Tab.11[[#This Row],[b77]]/(_xlfn.STDEV.P(Tab.11[b77])))</f>
        <v>0</v>
      </c>
      <c r="AA557" s="70" t="b">
        <f>IF(Tab.11[[#This Row],[a1]]=1,_xlfn.NORM.DIST(Tab.11[[#This Row],[b88]],$Z$1,$AA$1,FALSE))</f>
        <v>0</v>
      </c>
      <c r="AB557" s="74" t="b">
        <f>IF(Tab.11[[#This Row],[a1]]=1,IF($A$3=0,FALSE,1/Tab.11[[#This Row],[IN]]*$AC$2*IF(Tab.11[[#This Row],[a1]]=0,,$A$3*$AC$1*1/$V$3*(Tab.11[[#This Row],[b14]]))))</f>
        <v>0</v>
      </c>
      <c r="AC557" s="75" t="b">
        <f>IF(Tab.11[[#This Row],[a1]]=1,IF($AC$3=0,Tab.11[[#This Row],[φ1]],Tab.11[[#This Row],[φ1]]/MAX(Tab.11[φ1])))</f>
        <v>0</v>
      </c>
      <c r="AD557" s="74" t="b">
        <f>IF(Tab.11[[#This Row],[a1]]=1,1/Tab.11[[#This Row],[φ2]])</f>
        <v>0</v>
      </c>
      <c r="AE557" s="74" t="b">
        <f>IF(Tab.11[[#This Row],[a1]]=1,IF($AE$3=0,Tab.11[[#This Row],[w.0]],Tab.11[[#This Row],[w.0]]/SUM(Tab.11[w.0])))</f>
        <v>0</v>
      </c>
      <c r="AF557" s="76" t="str">
        <f>IF(Tab.11[[#This Row],[a1]]=0,"false",[3]!Tab.x5[[#This Row],[%_seN_C]])</f>
        <v>false</v>
      </c>
      <c r="AG557" s="77" t="b">
        <f>IF(Tab.11[[#This Row],[a1]]=1,AP557)</f>
        <v>0</v>
      </c>
      <c r="AH557" s="78" t="b">
        <f>IF(Tab.11[[#This Row],[a1]]=1,AQ557)</f>
        <v>0</v>
      </c>
      <c r="AI557" s="41">
        <v>3.0000000000000001E-3</v>
      </c>
      <c r="AJ557" s="79">
        <v>-0.01</v>
      </c>
      <c r="AK557" s="80" t="b">
        <f>IF(Tab.11[[#This Row],[a1]]=1,1)</f>
        <v>0</v>
      </c>
      <c r="AZ557"/>
    </row>
    <row r="558" spans="1:52" hidden="1" x14ac:dyDescent="0.25">
      <c r="A558" s="61">
        <f t="shared" si="19"/>
        <v>0</v>
      </c>
      <c r="B558" s="62">
        <f t="shared" si="19"/>
        <v>0</v>
      </c>
      <c r="C558" s="62" t="b">
        <f>IF(Tab.11[[#This Row],[a1]]=1,[3]!Tab_x1[[#This Row],[Name]])</f>
        <v>0</v>
      </c>
      <c r="D558" s="63" t="b">
        <f>IF(Tab.11[[#This Row],[a1]]=1,AO558)</f>
        <v>0</v>
      </c>
      <c r="E558" s="63">
        <f t="shared" si="18"/>
        <v>0</v>
      </c>
      <c r="F558" s="64" t="b">
        <f>IF(Tab.11[[#This Row],[a1]]=1,Tab.11[[#This Row],[b1]])</f>
        <v>0</v>
      </c>
      <c r="G558" s="65" t="b">
        <f>IF(Tab.11[[#This Row],[a1]]=1,IF(Tab.11[[#This Row],[b3]]&gt;$L$989*$G$3,$L$989*$G$3,IF(Tab.11[[#This Row],[b3]]&lt;$M$989*$G$3,$M$989*$G$3,Tab.11[[#This Row],[b3]])))</f>
        <v>0</v>
      </c>
      <c r="H558" s="66" t="b">
        <f>IF(Tab.11[[#This Row],[a1]]=1,Tab.11[[#This Row],[b1]])</f>
        <v>0</v>
      </c>
      <c r="I558" s="67" t="b">
        <f>IF(Tab.11[[#This Row],[a1]]=1,Tab.11[[#This Row],[b1]])</f>
        <v>0</v>
      </c>
      <c r="J558" s="68" t="b">
        <f>IF(Tab.11[[#This Row],[a1]]=1,IF($I$3&lt;0,Tab.11[[#This Row],[b5]]-$I$3,Tab.11[[#This Row],[b5]]))</f>
        <v>0</v>
      </c>
      <c r="K558" s="68" t="b">
        <f>IF(Tab.11[[#This Row],[a1]]=1,IF($K$3=0,Tab.11[b6],Tab.11[[#This Row],[b6]]-AVERAGE(Tab.11[b6])))</f>
        <v>0</v>
      </c>
      <c r="L558" s="69" t="b">
        <f>IF(Tab.11[[#This Row],[a1]]=1,Tab.11[[#This Row],[data]]/(_xlfn.STDEV.P(Tab.11[data])*$B$989)+$A$989)</f>
        <v>0</v>
      </c>
      <c r="M558" s="69" t="b">
        <f>IF(Tab.11[[#This Row],[a1]]=1,Tab.11[[#This Row],[data]]/(_xlfn.STDEV.P(Tab.11[data])*$B$987)-$A$987)</f>
        <v>0</v>
      </c>
      <c r="N558" s="69" t="b">
        <f>IF(Tab.11[[#This Row],[a1]]=1,Tab.11[[#This Row],[data]]/(_xlfn.STDEV.P(Tab.11[data])*$B$988)+$A$988)</f>
        <v>0</v>
      </c>
      <c r="O558" s="70" t="b">
        <f>IF(Tab.11[[#This Row],[a1]]=1,_xlfn.NORM.DIST(Tab.11[[#This Row],[b8]],$P$1,$Q$1,FALSE))</f>
        <v>0</v>
      </c>
      <c r="P558" s="70" t="b">
        <f>IF(Tab.11[[#This Row],[a1]]=1,_xlfn.NORM.DIST(Tab.11[[#This Row],[b9]],$P$1,$Q$1,FALSE))</f>
        <v>0</v>
      </c>
      <c r="Q558" s="70" t="b">
        <f>IF(Tab.11[[#This Row],[a1]]=1,_xlfn.NORM.DIST(Tab.11[[#This Row],[b10]],$P$1,$Q$1,FALSE))</f>
        <v>0</v>
      </c>
      <c r="R558" s="67" t="b">
        <f>IF(Tab.11[[#This Row],[a1]]=1,$I$3+$A$989+IF($K$3=0,Tab.11[[#This Row],[b8]]*_xlfn.STDEV.P(Tab.11[data]),AVERAGE(Tab.11[b6])+Tab.11[[#This Row],[b8]]*_xlfn.STDEV.P(Tab.11[data])))</f>
        <v>0</v>
      </c>
      <c r="S558" s="71" t="b">
        <f>IF(Tab.11[[#This Row],[a1]]=1,$I$3+$A$987+IF($K$3=0,Tab.11[[#This Row],[b9]]*_xlfn.STDEV.P(Tab.11[data]),AVERAGE(Tab.11[b6])+Tab.11[[#This Row],[b9]]*_xlfn.STDEV.P(Tab.11[data])))</f>
        <v>0</v>
      </c>
      <c r="T558" s="71" t="b">
        <f>IF(Tab.11[[#This Row],[a1]]=1,$I$3+$A$988+IF($K$3=0,Tab.11[[#This Row],[b10]]*_xlfn.STDEV.P(Tab.11[data]),AVERAGE(Tab.11[b6])+Tab.11[[#This Row],[b10]]*_xlfn.STDEV.P(Tab.11[data])))</f>
        <v>0</v>
      </c>
      <c r="U558" s="72" t="b">
        <f>IF(Tab.11[[#This Row],[a1]]=1,Tab.11[[#This Row],[target]]-Tab.11[[#This Row],[Red]])</f>
        <v>0</v>
      </c>
      <c r="V558" s="72" t="b">
        <f>IF(Tab.11[[#This Row],[a1]]=1,Tab.11[[#This Row],[target]]-Tab.11[[#This Row],[Blue]])</f>
        <v>0</v>
      </c>
      <c r="W558" s="73" t="b">
        <f>IF(Tab.11[[#This Row],[a1]]=1,IF(ABS(Tab.11[[#This Row],[b17]])+ABS(Tab.11[[#This Row],[b18]])&lt;$W$2,$W$2,ABS(Tab.11[[#This Row],[b17]])+ABS(Tab.11[[#This Row],[b18]])))</f>
        <v>0</v>
      </c>
      <c r="X558" s="136" t="b">
        <f>IF(Tab.11[[#This Row],[a1]]=1,IF($W$3&lt;0,Tab.11[[#This Row],[IN]]-$I$3,Tab.11[[#This Row],[IN]]))</f>
        <v>0</v>
      </c>
      <c r="Y558" s="136" t="b">
        <f>IF(Tab.11[[#This Row],[a1]]=1,IF($X$3=0,Tab.11[b66],Tab.11[[#This Row],[b66]]-AVERAGE(Tab.11[b66])))</f>
        <v>0</v>
      </c>
      <c r="Z558" s="135" t="b">
        <f>IF(Tab.11[[#This Row],[a1]]=1,Tab.11[[#This Row],[b77]]/(_xlfn.STDEV.P(Tab.11[b77])))</f>
        <v>0</v>
      </c>
      <c r="AA558" s="70" t="b">
        <f>IF(Tab.11[[#This Row],[a1]]=1,_xlfn.NORM.DIST(Tab.11[[#This Row],[b88]],$Z$1,$AA$1,FALSE))</f>
        <v>0</v>
      </c>
      <c r="AB558" s="74" t="b">
        <f>IF(Tab.11[[#This Row],[a1]]=1,IF($A$3=0,FALSE,1/Tab.11[[#This Row],[IN]]*$AC$2*IF(Tab.11[[#This Row],[a1]]=0,,$A$3*$AC$1*1/$V$3*(Tab.11[[#This Row],[b14]]))))</f>
        <v>0</v>
      </c>
      <c r="AC558" s="75" t="b">
        <f>IF(Tab.11[[#This Row],[a1]]=1,IF($AC$3=0,Tab.11[[#This Row],[φ1]],Tab.11[[#This Row],[φ1]]/MAX(Tab.11[φ1])))</f>
        <v>0</v>
      </c>
      <c r="AD558" s="74" t="b">
        <f>IF(Tab.11[[#This Row],[a1]]=1,1/Tab.11[[#This Row],[φ2]])</f>
        <v>0</v>
      </c>
      <c r="AE558" s="74" t="b">
        <f>IF(Tab.11[[#This Row],[a1]]=1,IF($AE$3=0,Tab.11[[#This Row],[w.0]],Tab.11[[#This Row],[w.0]]/SUM(Tab.11[w.0])))</f>
        <v>0</v>
      </c>
      <c r="AF558" s="76" t="str">
        <f>IF(Tab.11[[#This Row],[a1]]=0,"false",[3]!Tab.x5[[#This Row],[%_seN_C]])</f>
        <v>false</v>
      </c>
      <c r="AG558" s="77" t="b">
        <f>IF(Tab.11[[#This Row],[a1]]=1,AP558)</f>
        <v>0</v>
      </c>
      <c r="AH558" s="78" t="b">
        <f>IF(Tab.11[[#This Row],[a1]]=1,AQ558)</f>
        <v>0</v>
      </c>
      <c r="AI558" s="41">
        <v>3.0000000000000001E-3</v>
      </c>
      <c r="AJ558" s="79">
        <v>0.05</v>
      </c>
      <c r="AK558" s="80" t="b">
        <f>IF(Tab.11[[#This Row],[a1]]=1,1)</f>
        <v>0</v>
      </c>
      <c r="AZ558"/>
    </row>
    <row r="559" spans="1:52" hidden="1" x14ac:dyDescent="0.25">
      <c r="A559" s="61">
        <f t="shared" si="19"/>
        <v>0</v>
      </c>
      <c r="B559" s="62">
        <f t="shared" si="19"/>
        <v>0</v>
      </c>
      <c r="C559" s="62" t="b">
        <f>IF(Tab.11[[#This Row],[a1]]=1,[3]!Tab_x1[[#This Row],[Name]])</f>
        <v>0</v>
      </c>
      <c r="D559" s="63" t="b">
        <f>IF(Tab.11[[#This Row],[a1]]=1,AO559)</f>
        <v>0</v>
      </c>
      <c r="E559" s="63">
        <f t="shared" si="18"/>
        <v>0</v>
      </c>
      <c r="F559" s="64" t="b">
        <f>IF(Tab.11[[#This Row],[a1]]=1,Tab.11[[#This Row],[b1]])</f>
        <v>0</v>
      </c>
      <c r="G559" s="65" t="b">
        <f>IF(Tab.11[[#This Row],[a1]]=1,IF(Tab.11[[#This Row],[b3]]&gt;$L$989*$G$3,$L$989*$G$3,IF(Tab.11[[#This Row],[b3]]&lt;$M$989*$G$3,$M$989*$G$3,Tab.11[[#This Row],[b3]])))</f>
        <v>0</v>
      </c>
      <c r="H559" s="66" t="b">
        <f>IF(Tab.11[[#This Row],[a1]]=1,Tab.11[[#This Row],[b1]])</f>
        <v>0</v>
      </c>
      <c r="I559" s="67" t="b">
        <f>IF(Tab.11[[#This Row],[a1]]=1,Tab.11[[#This Row],[b1]])</f>
        <v>0</v>
      </c>
      <c r="J559" s="68" t="b">
        <f>IF(Tab.11[[#This Row],[a1]]=1,IF($I$3&lt;0,Tab.11[[#This Row],[b5]]-$I$3,Tab.11[[#This Row],[b5]]))</f>
        <v>0</v>
      </c>
      <c r="K559" s="68" t="b">
        <f>IF(Tab.11[[#This Row],[a1]]=1,IF($K$3=0,Tab.11[b6],Tab.11[[#This Row],[b6]]-AVERAGE(Tab.11[b6])))</f>
        <v>0</v>
      </c>
      <c r="L559" s="69" t="b">
        <f>IF(Tab.11[[#This Row],[a1]]=1,Tab.11[[#This Row],[data]]/(_xlfn.STDEV.P(Tab.11[data])*$B$989)+$A$989)</f>
        <v>0</v>
      </c>
      <c r="M559" s="69" t="b">
        <f>IF(Tab.11[[#This Row],[a1]]=1,Tab.11[[#This Row],[data]]/(_xlfn.STDEV.P(Tab.11[data])*$B$987)-$A$987)</f>
        <v>0</v>
      </c>
      <c r="N559" s="69" t="b">
        <f>IF(Tab.11[[#This Row],[a1]]=1,Tab.11[[#This Row],[data]]/(_xlfn.STDEV.P(Tab.11[data])*$B$988)+$A$988)</f>
        <v>0</v>
      </c>
      <c r="O559" s="70" t="b">
        <f>IF(Tab.11[[#This Row],[a1]]=1,_xlfn.NORM.DIST(Tab.11[[#This Row],[b8]],$P$1,$Q$1,FALSE))</f>
        <v>0</v>
      </c>
      <c r="P559" s="70" t="b">
        <f>IF(Tab.11[[#This Row],[a1]]=1,_xlfn.NORM.DIST(Tab.11[[#This Row],[b9]],$P$1,$Q$1,FALSE))</f>
        <v>0</v>
      </c>
      <c r="Q559" s="70" t="b">
        <f>IF(Tab.11[[#This Row],[a1]]=1,_xlfn.NORM.DIST(Tab.11[[#This Row],[b10]],$P$1,$Q$1,FALSE))</f>
        <v>0</v>
      </c>
      <c r="R559" s="67" t="b">
        <f>IF(Tab.11[[#This Row],[a1]]=1,$I$3+$A$989+IF($K$3=0,Tab.11[[#This Row],[b8]]*_xlfn.STDEV.P(Tab.11[data]),AVERAGE(Tab.11[b6])+Tab.11[[#This Row],[b8]]*_xlfn.STDEV.P(Tab.11[data])))</f>
        <v>0</v>
      </c>
      <c r="S559" s="71" t="b">
        <f>IF(Tab.11[[#This Row],[a1]]=1,$I$3+$A$987+IF($K$3=0,Tab.11[[#This Row],[b9]]*_xlfn.STDEV.P(Tab.11[data]),AVERAGE(Tab.11[b6])+Tab.11[[#This Row],[b9]]*_xlfn.STDEV.P(Tab.11[data])))</f>
        <v>0</v>
      </c>
      <c r="T559" s="71" t="b">
        <f>IF(Tab.11[[#This Row],[a1]]=1,$I$3+$A$988+IF($K$3=0,Tab.11[[#This Row],[b10]]*_xlfn.STDEV.P(Tab.11[data]),AVERAGE(Tab.11[b6])+Tab.11[[#This Row],[b10]]*_xlfn.STDEV.P(Tab.11[data])))</f>
        <v>0</v>
      </c>
      <c r="U559" s="72" t="b">
        <f>IF(Tab.11[[#This Row],[a1]]=1,Tab.11[[#This Row],[target]]-Tab.11[[#This Row],[Red]])</f>
        <v>0</v>
      </c>
      <c r="V559" s="72" t="b">
        <f>IF(Tab.11[[#This Row],[a1]]=1,Tab.11[[#This Row],[target]]-Tab.11[[#This Row],[Blue]])</f>
        <v>0</v>
      </c>
      <c r="W559" s="73" t="b">
        <f>IF(Tab.11[[#This Row],[a1]]=1,IF(ABS(Tab.11[[#This Row],[b17]])+ABS(Tab.11[[#This Row],[b18]])&lt;$W$2,$W$2,ABS(Tab.11[[#This Row],[b17]])+ABS(Tab.11[[#This Row],[b18]])))</f>
        <v>0</v>
      </c>
      <c r="X559" s="136" t="b">
        <f>IF(Tab.11[[#This Row],[a1]]=1,IF($W$3&lt;0,Tab.11[[#This Row],[IN]]-$I$3,Tab.11[[#This Row],[IN]]))</f>
        <v>0</v>
      </c>
      <c r="Y559" s="136" t="b">
        <f>IF(Tab.11[[#This Row],[a1]]=1,IF($X$3=0,Tab.11[b66],Tab.11[[#This Row],[b66]]-AVERAGE(Tab.11[b66])))</f>
        <v>0</v>
      </c>
      <c r="Z559" s="135" t="b">
        <f>IF(Tab.11[[#This Row],[a1]]=1,Tab.11[[#This Row],[b77]]/(_xlfn.STDEV.P(Tab.11[b77])))</f>
        <v>0</v>
      </c>
      <c r="AA559" s="70" t="b">
        <f>IF(Tab.11[[#This Row],[a1]]=1,_xlfn.NORM.DIST(Tab.11[[#This Row],[b88]],$Z$1,$AA$1,FALSE))</f>
        <v>0</v>
      </c>
      <c r="AB559" s="74" t="b">
        <f>IF(Tab.11[[#This Row],[a1]]=1,IF($A$3=0,FALSE,1/Tab.11[[#This Row],[IN]]*$AC$2*IF(Tab.11[[#This Row],[a1]]=0,,$A$3*$AC$1*1/$V$3*(Tab.11[[#This Row],[b14]]))))</f>
        <v>0</v>
      </c>
      <c r="AC559" s="75" t="b">
        <f>IF(Tab.11[[#This Row],[a1]]=1,IF($AC$3=0,Tab.11[[#This Row],[φ1]],Tab.11[[#This Row],[φ1]]/MAX(Tab.11[φ1])))</f>
        <v>0</v>
      </c>
      <c r="AD559" s="74" t="b">
        <f>IF(Tab.11[[#This Row],[a1]]=1,1/Tab.11[[#This Row],[φ2]])</f>
        <v>0</v>
      </c>
      <c r="AE559" s="74" t="b">
        <f>IF(Tab.11[[#This Row],[a1]]=1,IF($AE$3=0,Tab.11[[#This Row],[w.0]],Tab.11[[#This Row],[w.0]]/SUM(Tab.11[w.0])))</f>
        <v>0</v>
      </c>
      <c r="AF559" s="76" t="str">
        <f>IF(Tab.11[[#This Row],[a1]]=0,"false",[3]!Tab.x5[[#This Row],[%_seN_C]])</f>
        <v>false</v>
      </c>
      <c r="AG559" s="77" t="b">
        <f>IF(Tab.11[[#This Row],[a1]]=1,AP559)</f>
        <v>0</v>
      </c>
      <c r="AH559" s="78" t="b">
        <f>IF(Tab.11[[#This Row],[a1]]=1,AQ559)</f>
        <v>0</v>
      </c>
      <c r="AI559" s="41">
        <v>3.0000000000000001E-3</v>
      </c>
      <c r="AJ559" s="79">
        <v>-7.0000000000000007E-2</v>
      </c>
      <c r="AK559" s="80" t="b">
        <f>IF(Tab.11[[#This Row],[a1]]=1,1)</f>
        <v>0</v>
      </c>
      <c r="AZ559"/>
    </row>
    <row r="560" spans="1:52" hidden="1" x14ac:dyDescent="0.25">
      <c r="A560" s="61">
        <f t="shared" si="19"/>
        <v>0</v>
      </c>
      <c r="B560" s="62">
        <f t="shared" si="19"/>
        <v>0</v>
      </c>
      <c r="C560" s="62" t="b">
        <f>IF(Tab.11[[#This Row],[a1]]=1,[3]!Tab_x1[[#This Row],[Name]])</f>
        <v>0</v>
      </c>
      <c r="D560" s="63" t="b">
        <f>IF(Tab.11[[#This Row],[a1]]=1,AO560)</f>
        <v>0</v>
      </c>
      <c r="E560" s="63">
        <f t="shared" si="18"/>
        <v>0</v>
      </c>
      <c r="F560" s="64" t="b">
        <f>IF(Tab.11[[#This Row],[a1]]=1,Tab.11[[#This Row],[b1]])</f>
        <v>0</v>
      </c>
      <c r="G560" s="65" t="b">
        <f>IF(Tab.11[[#This Row],[a1]]=1,IF(Tab.11[[#This Row],[b3]]&gt;$L$989*$G$3,$L$989*$G$3,IF(Tab.11[[#This Row],[b3]]&lt;$M$989*$G$3,$M$989*$G$3,Tab.11[[#This Row],[b3]])))</f>
        <v>0</v>
      </c>
      <c r="H560" s="66" t="b">
        <f>IF(Tab.11[[#This Row],[a1]]=1,Tab.11[[#This Row],[b1]])</f>
        <v>0</v>
      </c>
      <c r="I560" s="67" t="b">
        <f>IF(Tab.11[[#This Row],[a1]]=1,Tab.11[[#This Row],[b1]])</f>
        <v>0</v>
      </c>
      <c r="J560" s="68" t="b">
        <f>IF(Tab.11[[#This Row],[a1]]=1,IF($I$3&lt;0,Tab.11[[#This Row],[b5]]-$I$3,Tab.11[[#This Row],[b5]]))</f>
        <v>0</v>
      </c>
      <c r="K560" s="68" t="b">
        <f>IF(Tab.11[[#This Row],[a1]]=1,IF($K$3=0,Tab.11[b6],Tab.11[[#This Row],[b6]]-AVERAGE(Tab.11[b6])))</f>
        <v>0</v>
      </c>
      <c r="L560" s="69" t="b">
        <f>IF(Tab.11[[#This Row],[a1]]=1,Tab.11[[#This Row],[data]]/(_xlfn.STDEV.P(Tab.11[data])*$B$989)+$A$989)</f>
        <v>0</v>
      </c>
      <c r="M560" s="69" t="b">
        <f>IF(Tab.11[[#This Row],[a1]]=1,Tab.11[[#This Row],[data]]/(_xlfn.STDEV.P(Tab.11[data])*$B$987)-$A$987)</f>
        <v>0</v>
      </c>
      <c r="N560" s="69" t="b">
        <f>IF(Tab.11[[#This Row],[a1]]=1,Tab.11[[#This Row],[data]]/(_xlfn.STDEV.P(Tab.11[data])*$B$988)+$A$988)</f>
        <v>0</v>
      </c>
      <c r="O560" s="70" t="b">
        <f>IF(Tab.11[[#This Row],[a1]]=1,_xlfn.NORM.DIST(Tab.11[[#This Row],[b8]],$P$1,$Q$1,FALSE))</f>
        <v>0</v>
      </c>
      <c r="P560" s="70" t="b">
        <f>IF(Tab.11[[#This Row],[a1]]=1,_xlfn.NORM.DIST(Tab.11[[#This Row],[b9]],$P$1,$Q$1,FALSE))</f>
        <v>0</v>
      </c>
      <c r="Q560" s="70" t="b">
        <f>IF(Tab.11[[#This Row],[a1]]=1,_xlfn.NORM.DIST(Tab.11[[#This Row],[b10]],$P$1,$Q$1,FALSE))</f>
        <v>0</v>
      </c>
      <c r="R560" s="67" t="b">
        <f>IF(Tab.11[[#This Row],[a1]]=1,$I$3+$A$989+IF($K$3=0,Tab.11[[#This Row],[b8]]*_xlfn.STDEV.P(Tab.11[data]),AVERAGE(Tab.11[b6])+Tab.11[[#This Row],[b8]]*_xlfn.STDEV.P(Tab.11[data])))</f>
        <v>0</v>
      </c>
      <c r="S560" s="71" t="b">
        <f>IF(Tab.11[[#This Row],[a1]]=1,$I$3+$A$987+IF($K$3=0,Tab.11[[#This Row],[b9]]*_xlfn.STDEV.P(Tab.11[data]),AVERAGE(Tab.11[b6])+Tab.11[[#This Row],[b9]]*_xlfn.STDEV.P(Tab.11[data])))</f>
        <v>0</v>
      </c>
      <c r="T560" s="71" t="b">
        <f>IF(Tab.11[[#This Row],[a1]]=1,$I$3+$A$988+IF($K$3=0,Tab.11[[#This Row],[b10]]*_xlfn.STDEV.P(Tab.11[data]),AVERAGE(Tab.11[b6])+Tab.11[[#This Row],[b10]]*_xlfn.STDEV.P(Tab.11[data])))</f>
        <v>0</v>
      </c>
      <c r="U560" s="72" t="b">
        <f>IF(Tab.11[[#This Row],[a1]]=1,Tab.11[[#This Row],[target]]-Tab.11[[#This Row],[Red]])</f>
        <v>0</v>
      </c>
      <c r="V560" s="72" t="b">
        <f>IF(Tab.11[[#This Row],[a1]]=1,Tab.11[[#This Row],[target]]-Tab.11[[#This Row],[Blue]])</f>
        <v>0</v>
      </c>
      <c r="W560" s="73" t="b">
        <f>IF(Tab.11[[#This Row],[a1]]=1,IF(ABS(Tab.11[[#This Row],[b17]])+ABS(Tab.11[[#This Row],[b18]])&lt;$W$2,$W$2,ABS(Tab.11[[#This Row],[b17]])+ABS(Tab.11[[#This Row],[b18]])))</f>
        <v>0</v>
      </c>
      <c r="X560" s="136" t="b">
        <f>IF(Tab.11[[#This Row],[a1]]=1,IF($W$3&lt;0,Tab.11[[#This Row],[IN]]-$I$3,Tab.11[[#This Row],[IN]]))</f>
        <v>0</v>
      </c>
      <c r="Y560" s="136" t="b">
        <f>IF(Tab.11[[#This Row],[a1]]=1,IF($X$3=0,Tab.11[b66],Tab.11[[#This Row],[b66]]-AVERAGE(Tab.11[b66])))</f>
        <v>0</v>
      </c>
      <c r="Z560" s="135" t="b">
        <f>IF(Tab.11[[#This Row],[a1]]=1,Tab.11[[#This Row],[b77]]/(_xlfn.STDEV.P(Tab.11[b77])))</f>
        <v>0</v>
      </c>
      <c r="AA560" s="70" t="b">
        <f>IF(Tab.11[[#This Row],[a1]]=1,_xlfn.NORM.DIST(Tab.11[[#This Row],[b88]],$Z$1,$AA$1,FALSE))</f>
        <v>0</v>
      </c>
      <c r="AB560" s="74" t="b">
        <f>IF(Tab.11[[#This Row],[a1]]=1,IF($A$3=0,FALSE,1/Tab.11[[#This Row],[IN]]*$AC$2*IF(Tab.11[[#This Row],[a1]]=0,,$A$3*$AC$1*1/$V$3*(Tab.11[[#This Row],[b14]]))))</f>
        <v>0</v>
      </c>
      <c r="AC560" s="75" t="b">
        <f>IF(Tab.11[[#This Row],[a1]]=1,IF($AC$3=0,Tab.11[[#This Row],[φ1]],Tab.11[[#This Row],[φ1]]/MAX(Tab.11[φ1])))</f>
        <v>0</v>
      </c>
      <c r="AD560" s="74" t="b">
        <f>IF(Tab.11[[#This Row],[a1]]=1,1/Tab.11[[#This Row],[φ2]])</f>
        <v>0</v>
      </c>
      <c r="AE560" s="74" t="b">
        <f>IF(Tab.11[[#This Row],[a1]]=1,IF($AE$3=0,Tab.11[[#This Row],[w.0]],Tab.11[[#This Row],[w.0]]/SUM(Tab.11[w.0])))</f>
        <v>0</v>
      </c>
      <c r="AF560" s="76" t="str">
        <f>IF(Tab.11[[#This Row],[a1]]=0,"false",[3]!Tab.x5[[#This Row],[%_seN_C]])</f>
        <v>false</v>
      </c>
      <c r="AG560" s="77" t="b">
        <f>IF(Tab.11[[#This Row],[a1]]=1,AP560)</f>
        <v>0</v>
      </c>
      <c r="AH560" s="78" t="b">
        <f>IF(Tab.11[[#This Row],[a1]]=1,AQ560)</f>
        <v>0</v>
      </c>
      <c r="AI560" s="41">
        <v>3.0000000000000001E-3</v>
      </c>
      <c r="AJ560" s="79">
        <v>7.0000000000000007E-2</v>
      </c>
      <c r="AK560" s="80" t="b">
        <f>IF(Tab.11[[#This Row],[a1]]=1,1)</f>
        <v>0</v>
      </c>
      <c r="AZ560"/>
    </row>
    <row r="561" spans="1:52" hidden="1" x14ac:dyDescent="0.25">
      <c r="A561" s="61">
        <f t="shared" si="19"/>
        <v>0</v>
      </c>
      <c r="B561" s="62">
        <f t="shared" si="19"/>
        <v>0</v>
      </c>
      <c r="C561" s="62" t="b">
        <f>IF(Tab.11[[#This Row],[a1]]=1,[3]!Tab_x1[[#This Row],[Name]])</f>
        <v>0</v>
      </c>
      <c r="D561" s="63" t="b">
        <f>IF(Tab.11[[#This Row],[a1]]=1,AO561)</f>
        <v>0</v>
      </c>
      <c r="E561" s="63">
        <f t="shared" si="18"/>
        <v>0</v>
      </c>
      <c r="F561" s="64" t="b">
        <f>IF(Tab.11[[#This Row],[a1]]=1,Tab.11[[#This Row],[b1]])</f>
        <v>0</v>
      </c>
      <c r="G561" s="65" t="b">
        <f>IF(Tab.11[[#This Row],[a1]]=1,IF(Tab.11[[#This Row],[b3]]&gt;$L$989*$G$3,$L$989*$G$3,IF(Tab.11[[#This Row],[b3]]&lt;$M$989*$G$3,$M$989*$G$3,Tab.11[[#This Row],[b3]])))</f>
        <v>0</v>
      </c>
      <c r="H561" s="66" t="b">
        <f>IF(Tab.11[[#This Row],[a1]]=1,Tab.11[[#This Row],[b1]])</f>
        <v>0</v>
      </c>
      <c r="I561" s="67" t="b">
        <f>IF(Tab.11[[#This Row],[a1]]=1,Tab.11[[#This Row],[b1]])</f>
        <v>0</v>
      </c>
      <c r="J561" s="68" t="b">
        <f>IF(Tab.11[[#This Row],[a1]]=1,IF($I$3&lt;0,Tab.11[[#This Row],[b5]]-$I$3,Tab.11[[#This Row],[b5]]))</f>
        <v>0</v>
      </c>
      <c r="K561" s="68" t="b">
        <f>IF(Tab.11[[#This Row],[a1]]=1,IF($K$3=0,Tab.11[b6],Tab.11[[#This Row],[b6]]-AVERAGE(Tab.11[b6])))</f>
        <v>0</v>
      </c>
      <c r="L561" s="69" t="b">
        <f>IF(Tab.11[[#This Row],[a1]]=1,Tab.11[[#This Row],[data]]/(_xlfn.STDEV.P(Tab.11[data])*$B$989)+$A$989)</f>
        <v>0</v>
      </c>
      <c r="M561" s="69" t="b">
        <f>IF(Tab.11[[#This Row],[a1]]=1,Tab.11[[#This Row],[data]]/(_xlfn.STDEV.P(Tab.11[data])*$B$987)-$A$987)</f>
        <v>0</v>
      </c>
      <c r="N561" s="69" t="b">
        <f>IF(Tab.11[[#This Row],[a1]]=1,Tab.11[[#This Row],[data]]/(_xlfn.STDEV.P(Tab.11[data])*$B$988)+$A$988)</f>
        <v>0</v>
      </c>
      <c r="O561" s="70" t="b">
        <f>IF(Tab.11[[#This Row],[a1]]=1,_xlfn.NORM.DIST(Tab.11[[#This Row],[b8]],$P$1,$Q$1,FALSE))</f>
        <v>0</v>
      </c>
      <c r="P561" s="70" t="b">
        <f>IF(Tab.11[[#This Row],[a1]]=1,_xlfn.NORM.DIST(Tab.11[[#This Row],[b9]],$P$1,$Q$1,FALSE))</f>
        <v>0</v>
      </c>
      <c r="Q561" s="70" t="b">
        <f>IF(Tab.11[[#This Row],[a1]]=1,_xlfn.NORM.DIST(Tab.11[[#This Row],[b10]],$P$1,$Q$1,FALSE))</f>
        <v>0</v>
      </c>
      <c r="R561" s="67" t="b">
        <f>IF(Tab.11[[#This Row],[a1]]=1,$I$3+$A$989+IF($K$3=0,Tab.11[[#This Row],[b8]]*_xlfn.STDEV.P(Tab.11[data]),AVERAGE(Tab.11[b6])+Tab.11[[#This Row],[b8]]*_xlfn.STDEV.P(Tab.11[data])))</f>
        <v>0</v>
      </c>
      <c r="S561" s="71" t="b">
        <f>IF(Tab.11[[#This Row],[a1]]=1,$I$3+$A$987+IF($K$3=0,Tab.11[[#This Row],[b9]]*_xlfn.STDEV.P(Tab.11[data]),AVERAGE(Tab.11[b6])+Tab.11[[#This Row],[b9]]*_xlfn.STDEV.P(Tab.11[data])))</f>
        <v>0</v>
      </c>
      <c r="T561" s="71" t="b">
        <f>IF(Tab.11[[#This Row],[a1]]=1,$I$3+$A$988+IF($K$3=0,Tab.11[[#This Row],[b10]]*_xlfn.STDEV.P(Tab.11[data]),AVERAGE(Tab.11[b6])+Tab.11[[#This Row],[b10]]*_xlfn.STDEV.P(Tab.11[data])))</f>
        <v>0</v>
      </c>
      <c r="U561" s="72" t="b">
        <f>IF(Tab.11[[#This Row],[a1]]=1,Tab.11[[#This Row],[target]]-Tab.11[[#This Row],[Red]])</f>
        <v>0</v>
      </c>
      <c r="V561" s="72" t="b">
        <f>IF(Tab.11[[#This Row],[a1]]=1,Tab.11[[#This Row],[target]]-Tab.11[[#This Row],[Blue]])</f>
        <v>0</v>
      </c>
      <c r="W561" s="73" t="b">
        <f>IF(Tab.11[[#This Row],[a1]]=1,IF(ABS(Tab.11[[#This Row],[b17]])+ABS(Tab.11[[#This Row],[b18]])&lt;$W$2,$W$2,ABS(Tab.11[[#This Row],[b17]])+ABS(Tab.11[[#This Row],[b18]])))</f>
        <v>0</v>
      </c>
      <c r="X561" s="136" t="b">
        <f>IF(Tab.11[[#This Row],[a1]]=1,IF($W$3&lt;0,Tab.11[[#This Row],[IN]]-$I$3,Tab.11[[#This Row],[IN]]))</f>
        <v>0</v>
      </c>
      <c r="Y561" s="136" t="b">
        <f>IF(Tab.11[[#This Row],[a1]]=1,IF($X$3=0,Tab.11[b66],Tab.11[[#This Row],[b66]]-AVERAGE(Tab.11[b66])))</f>
        <v>0</v>
      </c>
      <c r="Z561" s="135" t="b">
        <f>IF(Tab.11[[#This Row],[a1]]=1,Tab.11[[#This Row],[b77]]/(_xlfn.STDEV.P(Tab.11[b77])))</f>
        <v>0</v>
      </c>
      <c r="AA561" s="70" t="b">
        <f>IF(Tab.11[[#This Row],[a1]]=1,_xlfn.NORM.DIST(Tab.11[[#This Row],[b88]],$Z$1,$AA$1,FALSE))</f>
        <v>0</v>
      </c>
      <c r="AB561" s="74" t="b">
        <f>IF(Tab.11[[#This Row],[a1]]=1,IF($A$3=0,FALSE,1/Tab.11[[#This Row],[IN]]*$AC$2*IF(Tab.11[[#This Row],[a1]]=0,,$A$3*$AC$1*1/$V$3*(Tab.11[[#This Row],[b14]]))))</f>
        <v>0</v>
      </c>
      <c r="AC561" s="75" t="b">
        <f>IF(Tab.11[[#This Row],[a1]]=1,IF($AC$3=0,Tab.11[[#This Row],[φ1]],Tab.11[[#This Row],[φ1]]/MAX(Tab.11[φ1])))</f>
        <v>0</v>
      </c>
      <c r="AD561" s="74" t="b">
        <f>IF(Tab.11[[#This Row],[a1]]=1,1/Tab.11[[#This Row],[φ2]])</f>
        <v>0</v>
      </c>
      <c r="AE561" s="74" t="b">
        <f>IF(Tab.11[[#This Row],[a1]]=1,IF($AE$3=0,Tab.11[[#This Row],[w.0]],Tab.11[[#This Row],[w.0]]/SUM(Tab.11[w.0])))</f>
        <v>0</v>
      </c>
      <c r="AF561" s="76" t="str">
        <f>IF(Tab.11[[#This Row],[a1]]=0,"false",[3]!Tab.x5[[#This Row],[%_seN_C]])</f>
        <v>false</v>
      </c>
      <c r="AG561" s="77" t="b">
        <f>IF(Tab.11[[#This Row],[a1]]=1,AP561)</f>
        <v>0</v>
      </c>
      <c r="AH561" s="78" t="b">
        <f>IF(Tab.11[[#This Row],[a1]]=1,AQ561)</f>
        <v>0</v>
      </c>
      <c r="AI561" s="41">
        <v>3.0000000000000001E-3</v>
      </c>
      <c r="AJ561" s="79">
        <v>-0.1</v>
      </c>
      <c r="AK561" s="80" t="b">
        <f>IF(Tab.11[[#This Row],[a1]]=1,1)</f>
        <v>0</v>
      </c>
      <c r="AZ561"/>
    </row>
    <row r="562" spans="1:52" hidden="1" x14ac:dyDescent="0.25">
      <c r="A562" s="61">
        <f t="shared" si="19"/>
        <v>0</v>
      </c>
      <c r="B562" s="62">
        <f t="shared" si="19"/>
        <v>0</v>
      </c>
      <c r="C562" s="62" t="b">
        <f>IF(Tab.11[[#This Row],[a1]]=1,[3]!Tab_x1[[#This Row],[Name]])</f>
        <v>0</v>
      </c>
      <c r="D562" s="63" t="b">
        <f>IF(Tab.11[[#This Row],[a1]]=1,AO562)</f>
        <v>0</v>
      </c>
      <c r="E562" s="63">
        <f t="shared" si="18"/>
        <v>0</v>
      </c>
      <c r="F562" s="64" t="b">
        <f>IF(Tab.11[[#This Row],[a1]]=1,Tab.11[[#This Row],[b1]])</f>
        <v>0</v>
      </c>
      <c r="G562" s="65" t="b">
        <f>IF(Tab.11[[#This Row],[a1]]=1,IF(Tab.11[[#This Row],[b3]]&gt;$L$989*$G$3,$L$989*$G$3,IF(Tab.11[[#This Row],[b3]]&lt;$M$989*$G$3,$M$989*$G$3,Tab.11[[#This Row],[b3]])))</f>
        <v>0</v>
      </c>
      <c r="H562" s="66" t="b">
        <f>IF(Tab.11[[#This Row],[a1]]=1,Tab.11[[#This Row],[b1]])</f>
        <v>0</v>
      </c>
      <c r="I562" s="67" t="b">
        <f>IF(Tab.11[[#This Row],[a1]]=1,Tab.11[[#This Row],[b1]])</f>
        <v>0</v>
      </c>
      <c r="J562" s="68" t="b">
        <f>IF(Tab.11[[#This Row],[a1]]=1,IF($I$3&lt;0,Tab.11[[#This Row],[b5]]-$I$3,Tab.11[[#This Row],[b5]]))</f>
        <v>0</v>
      </c>
      <c r="K562" s="68" t="b">
        <f>IF(Tab.11[[#This Row],[a1]]=1,IF($K$3=0,Tab.11[b6],Tab.11[[#This Row],[b6]]-AVERAGE(Tab.11[b6])))</f>
        <v>0</v>
      </c>
      <c r="L562" s="69" t="b">
        <f>IF(Tab.11[[#This Row],[a1]]=1,Tab.11[[#This Row],[data]]/(_xlfn.STDEV.P(Tab.11[data])*$B$989)+$A$989)</f>
        <v>0</v>
      </c>
      <c r="M562" s="69" t="b">
        <f>IF(Tab.11[[#This Row],[a1]]=1,Tab.11[[#This Row],[data]]/(_xlfn.STDEV.P(Tab.11[data])*$B$987)-$A$987)</f>
        <v>0</v>
      </c>
      <c r="N562" s="69" t="b">
        <f>IF(Tab.11[[#This Row],[a1]]=1,Tab.11[[#This Row],[data]]/(_xlfn.STDEV.P(Tab.11[data])*$B$988)+$A$988)</f>
        <v>0</v>
      </c>
      <c r="O562" s="70" t="b">
        <f>IF(Tab.11[[#This Row],[a1]]=1,_xlfn.NORM.DIST(Tab.11[[#This Row],[b8]],$P$1,$Q$1,FALSE))</f>
        <v>0</v>
      </c>
      <c r="P562" s="70" t="b">
        <f>IF(Tab.11[[#This Row],[a1]]=1,_xlfn.NORM.DIST(Tab.11[[#This Row],[b9]],$P$1,$Q$1,FALSE))</f>
        <v>0</v>
      </c>
      <c r="Q562" s="70" t="b">
        <f>IF(Tab.11[[#This Row],[a1]]=1,_xlfn.NORM.DIST(Tab.11[[#This Row],[b10]],$P$1,$Q$1,FALSE))</f>
        <v>0</v>
      </c>
      <c r="R562" s="67" t="b">
        <f>IF(Tab.11[[#This Row],[a1]]=1,$I$3+$A$989+IF($K$3=0,Tab.11[[#This Row],[b8]]*_xlfn.STDEV.P(Tab.11[data]),AVERAGE(Tab.11[b6])+Tab.11[[#This Row],[b8]]*_xlfn.STDEV.P(Tab.11[data])))</f>
        <v>0</v>
      </c>
      <c r="S562" s="71" t="b">
        <f>IF(Tab.11[[#This Row],[a1]]=1,$I$3+$A$987+IF($K$3=0,Tab.11[[#This Row],[b9]]*_xlfn.STDEV.P(Tab.11[data]),AVERAGE(Tab.11[b6])+Tab.11[[#This Row],[b9]]*_xlfn.STDEV.P(Tab.11[data])))</f>
        <v>0</v>
      </c>
      <c r="T562" s="71" t="b">
        <f>IF(Tab.11[[#This Row],[a1]]=1,$I$3+$A$988+IF($K$3=0,Tab.11[[#This Row],[b10]]*_xlfn.STDEV.P(Tab.11[data]),AVERAGE(Tab.11[b6])+Tab.11[[#This Row],[b10]]*_xlfn.STDEV.P(Tab.11[data])))</f>
        <v>0</v>
      </c>
      <c r="U562" s="72" t="b">
        <f>IF(Tab.11[[#This Row],[a1]]=1,Tab.11[[#This Row],[target]]-Tab.11[[#This Row],[Red]])</f>
        <v>0</v>
      </c>
      <c r="V562" s="72" t="b">
        <f>IF(Tab.11[[#This Row],[a1]]=1,Tab.11[[#This Row],[target]]-Tab.11[[#This Row],[Blue]])</f>
        <v>0</v>
      </c>
      <c r="W562" s="73" t="b">
        <f>IF(Tab.11[[#This Row],[a1]]=1,IF(ABS(Tab.11[[#This Row],[b17]])+ABS(Tab.11[[#This Row],[b18]])&lt;$W$2,$W$2,ABS(Tab.11[[#This Row],[b17]])+ABS(Tab.11[[#This Row],[b18]])))</f>
        <v>0</v>
      </c>
      <c r="X562" s="136" t="b">
        <f>IF(Tab.11[[#This Row],[a1]]=1,IF($W$3&lt;0,Tab.11[[#This Row],[IN]]-$I$3,Tab.11[[#This Row],[IN]]))</f>
        <v>0</v>
      </c>
      <c r="Y562" s="136" t="b">
        <f>IF(Tab.11[[#This Row],[a1]]=1,IF($X$3=0,Tab.11[b66],Tab.11[[#This Row],[b66]]-AVERAGE(Tab.11[b66])))</f>
        <v>0</v>
      </c>
      <c r="Z562" s="135" t="b">
        <f>IF(Tab.11[[#This Row],[a1]]=1,Tab.11[[#This Row],[b77]]/(_xlfn.STDEV.P(Tab.11[b77])))</f>
        <v>0</v>
      </c>
      <c r="AA562" s="70" t="b">
        <f>IF(Tab.11[[#This Row],[a1]]=1,_xlfn.NORM.DIST(Tab.11[[#This Row],[b88]],$Z$1,$AA$1,FALSE))</f>
        <v>0</v>
      </c>
      <c r="AB562" s="74" t="b">
        <f>IF(Tab.11[[#This Row],[a1]]=1,IF($A$3=0,FALSE,1/Tab.11[[#This Row],[IN]]*$AC$2*IF(Tab.11[[#This Row],[a1]]=0,,$A$3*$AC$1*1/$V$3*(Tab.11[[#This Row],[b14]]))))</f>
        <v>0</v>
      </c>
      <c r="AC562" s="75" t="b">
        <f>IF(Tab.11[[#This Row],[a1]]=1,IF($AC$3=0,Tab.11[[#This Row],[φ1]],Tab.11[[#This Row],[φ1]]/MAX(Tab.11[φ1])))</f>
        <v>0</v>
      </c>
      <c r="AD562" s="74" t="b">
        <f>IF(Tab.11[[#This Row],[a1]]=1,1/Tab.11[[#This Row],[φ2]])</f>
        <v>0</v>
      </c>
      <c r="AE562" s="74" t="b">
        <f>IF(Tab.11[[#This Row],[a1]]=1,IF($AE$3=0,Tab.11[[#This Row],[w.0]],Tab.11[[#This Row],[w.0]]/SUM(Tab.11[w.0])))</f>
        <v>0</v>
      </c>
      <c r="AF562" s="76" t="str">
        <f>IF(Tab.11[[#This Row],[a1]]=0,"false",[3]!Tab.x5[[#This Row],[%_seN_C]])</f>
        <v>false</v>
      </c>
      <c r="AG562" s="77" t="b">
        <f>IF(Tab.11[[#This Row],[a1]]=1,AP562)</f>
        <v>0</v>
      </c>
      <c r="AH562" s="78" t="b">
        <f>IF(Tab.11[[#This Row],[a1]]=1,AQ562)</f>
        <v>0</v>
      </c>
      <c r="AI562" s="41">
        <v>3.0000000000000001E-3</v>
      </c>
      <c r="AJ562" s="79">
        <v>-0.1</v>
      </c>
      <c r="AK562" s="80" t="b">
        <f>IF(Tab.11[[#This Row],[a1]]=1,1)</f>
        <v>0</v>
      </c>
      <c r="AZ562"/>
    </row>
    <row r="563" spans="1:52" hidden="1" x14ac:dyDescent="0.25">
      <c r="A563" s="61">
        <f t="shared" si="19"/>
        <v>0</v>
      </c>
      <c r="B563" s="62">
        <f t="shared" si="19"/>
        <v>0</v>
      </c>
      <c r="C563" s="62" t="b">
        <f>IF(Tab.11[[#This Row],[a1]]=1,[3]!Tab_x1[[#This Row],[Name]])</f>
        <v>0</v>
      </c>
      <c r="D563" s="63" t="b">
        <f>IF(Tab.11[[#This Row],[a1]]=1,AO563)</f>
        <v>0</v>
      </c>
      <c r="E563" s="63">
        <f t="shared" si="18"/>
        <v>0</v>
      </c>
      <c r="F563" s="64" t="b">
        <f>IF(Tab.11[[#This Row],[a1]]=1,Tab.11[[#This Row],[b1]])</f>
        <v>0</v>
      </c>
      <c r="G563" s="65" t="b">
        <f>IF(Tab.11[[#This Row],[a1]]=1,IF(Tab.11[[#This Row],[b3]]&gt;$L$989*$G$3,$L$989*$G$3,IF(Tab.11[[#This Row],[b3]]&lt;$M$989*$G$3,$M$989*$G$3,Tab.11[[#This Row],[b3]])))</f>
        <v>0</v>
      </c>
      <c r="H563" s="66" t="b">
        <f>IF(Tab.11[[#This Row],[a1]]=1,Tab.11[[#This Row],[b1]])</f>
        <v>0</v>
      </c>
      <c r="I563" s="67" t="b">
        <f>IF(Tab.11[[#This Row],[a1]]=1,Tab.11[[#This Row],[b1]])</f>
        <v>0</v>
      </c>
      <c r="J563" s="68" t="b">
        <f>IF(Tab.11[[#This Row],[a1]]=1,IF($I$3&lt;0,Tab.11[[#This Row],[b5]]-$I$3,Tab.11[[#This Row],[b5]]))</f>
        <v>0</v>
      </c>
      <c r="K563" s="68" t="b">
        <f>IF(Tab.11[[#This Row],[a1]]=1,IF($K$3=0,Tab.11[b6],Tab.11[[#This Row],[b6]]-AVERAGE(Tab.11[b6])))</f>
        <v>0</v>
      </c>
      <c r="L563" s="69" t="b">
        <f>IF(Tab.11[[#This Row],[a1]]=1,Tab.11[[#This Row],[data]]/(_xlfn.STDEV.P(Tab.11[data])*$B$989)+$A$989)</f>
        <v>0</v>
      </c>
      <c r="M563" s="69" t="b">
        <f>IF(Tab.11[[#This Row],[a1]]=1,Tab.11[[#This Row],[data]]/(_xlfn.STDEV.P(Tab.11[data])*$B$987)-$A$987)</f>
        <v>0</v>
      </c>
      <c r="N563" s="69" t="b">
        <f>IF(Tab.11[[#This Row],[a1]]=1,Tab.11[[#This Row],[data]]/(_xlfn.STDEV.P(Tab.11[data])*$B$988)+$A$988)</f>
        <v>0</v>
      </c>
      <c r="O563" s="70" t="b">
        <f>IF(Tab.11[[#This Row],[a1]]=1,_xlfn.NORM.DIST(Tab.11[[#This Row],[b8]],$P$1,$Q$1,FALSE))</f>
        <v>0</v>
      </c>
      <c r="P563" s="70" t="b">
        <f>IF(Tab.11[[#This Row],[a1]]=1,_xlfn.NORM.DIST(Tab.11[[#This Row],[b9]],$P$1,$Q$1,FALSE))</f>
        <v>0</v>
      </c>
      <c r="Q563" s="70" t="b">
        <f>IF(Tab.11[[#This Row],[a1]]=1,_xlfn.NORM.DIST(Tab.11[[#This Row],[b10]],$P$1,$Q$1,FALSE))</f>
        <v>0</v>
      </c>
      <c r="R563" s="67" t="b">
        <f>IF(Tab.11[[#This Row],[a1]]=1,$I$3+$A$989+IF($K$3=0,Tab.11[[#This Row],[b8]]*_xlfn.STDEV.P(Tab.11[data]),AVERAGE(Tab.11[b6])+Tab.11[[#This Row],[b8]]*_xlfn.STDEV.P(Tab.11[data])))</f>
        <v>0</v>
      </c>
      <c r="S563" s="71" t="b">
        <f>IF(Tab.11[[#This Row],[a1]]=1,$I$3+$A$987+IF($K$3=0,Tab.11[[#This Row],[b9]]*_xlfn.STDEV.P(Tab.11[data]),AVERAGE(Tab.11[b6])+Tab.11[[#This Row],[b9]]*_xlfn.STDEV.P(Tab.11[data])))</f>
        <v>0</v>
      </c>
      <c r="T563" s="71" t="b">
        <f>IF(Tab.11[[#This Row],[a1]]=1,$I$3+$A$988+IF($K$3=0,Tab.11[[#This Row],[b10]]*_xlfn.STDEV.P(Tab.11[data]),AVERAGE(Tab.11[b6])+Tab.11[[#This Row],[b10]]*_xlfn.STDEV.P(Tab.11[data])))</f>
        <v>0</v>
      </c>
      <c r="U563" s="72" t="b">
        <f>IF(Tab.11[[#This Row],[a1]]=1,Tab.11[[#This Row],[target]]-Tab.11[[#This Row],[Red]])</f>
        <v>0</v>
      </c>
      <c r="V563" s="72" t="b">
        <f>IF(Tab.11[[#This Row],[a1]]=1,Tab.11[[#This Row],[target]]-Tab.11[[#This Row],[Blue]])</f>
        <v>0</v>
      </c>
      <c r="W563" s="73" t="b">
        <f>IF(Tab.11[[#This Row],[a1]]=1,IF(ABS(Tab.11[[#This Row],[b17]])+ABS(Tab.11[[#This Row],[b18]])&lt;$W$2,$W$2,ABS(Tab.11[[#This Row],[b17]])+ABS(Tab.11[[#This Row],[b18]])))</f>
        <v>0</v>
      </c>
      <c r="X563" s="136" t="b">
        <f>IF(Tab.11[[#This Row],[a1]]=1,IF($W$3&lt;0,Tab.11[[#This Row],[IN]]-$I$3,Tab.11[[#This Row],[IN]]))</f>
        <v>0</v>
      </c>
      <c r="Y563" s="136" t="b">
        <f>IF(Tab.11[[#This Row],[a1]]=1,IF($X$3=0,Tab.11[b66],Tab.11[[#This Row],[b66]]-AVERAGE(Tab.11[b66])))</f>
        <v>0</v>
      </c>
      <c r="Z563" s="135" t="b">
        <f>IF(Tab.11[[#This Row],[a1]]=1,Tab.11[[#This Row],[b77]]/(_xlfn.STDEV.P(Tab.11[b77])))</f>
        <v>0</v>
      </c>
      <c r="AA563" s="70" t="b">
        <f>IF(Tab.11[[#This Row],[a1]]=1,_xlfn.NORM.DIST(Tab.11[[#This Row],[b88]],$Z$1,$AA$1,FALSE))</f>
        <v>0</v>
      </c>
      <c r="AB563" s="74" t="b">
        <f>IF(Tab.11[[#This Row],[a1]]=1,IF($A$3=0,FALSE,1/Tab.11[[#This Row],[IN]]*$AC$2*IF(Tab.11[[#This Row],[a1]]=0,,$A$3*$AC$1*1/$V$3*(Tab.11[[#This Row],[b14]]))))</f>
        <v>0</v>
      </c>
      <c r="AC563" s="75" t="b">
        <f>IF(Tab.11[[#This Row],[a1]]=1,IF($AC$3=0,Tab.11[[#This Row],[φ1]],Tab.11[[#This Row],[φ1]]/MAX(Tab.11[φ1])))</f>
        <v>0</v>
      </c>
      <c r="AD563" s="74" t="b">
        <f>IF(Tab.11[[#This Row],[a1]]=1,1/Tab.11[[#This Row],[φ2]])</f>
        <v>0</v>
      </c>
      <c r="AE563" s="74" t="b">
        <f>IF(Tab.11[[#This Row],[a1]]=1,IF($AE$3=0,Tab.11[[#This Row],[w.0]],Tab.11[[#This Row],[w.0]]/SUM(Tab.11[w.0])))</f>
        <v>0</v>
      </c>
      <c r="AF563" s="76" t="str">
        <f>IF(Tab.11[[#This Row],[a1]]=0,"false",[3]!Tab.x5[[#This Row],[%_seN_C]])</f>
        <v>false</v>
      </c>
      <c r="AG563" s="77" t="b">
        <f>IF(Tab.11[[#This Row],[a1]]=1,AP563)</f>
        <v>0</v>
      </c>
      <c r="AH563" s="78" t="b">
        <f>IF(Tab.11[[#This Row],[a1]]=1,AQ563)</f>
        <v>0</v>
      </c>
      <c r="AI563" s="41">
        <v>3.0000000000000001E-3</v>
      </c>
      <c r="AJ563" s="79">
        <v>0.02</v>
      </c>
      <c r="AK563" s="80" t="b">
        <f>IF(Tab.11[[#This Row],[a1]]=1,1)</f>
        <v>0</v>
      </c>
      <c r="AZ563"/>
    </row>
    <row r="564" spans="1:52" hidden="1" x14ac:dyDescent="0.25">
      <c r="A564" s="61">
        <f t="shared" si="19"/>
        <v>0</v>
      </c>
      <c r="B564" s="62">
        <f t="shared" si="19"/>
        <v>0</v>
      </c>
      <c r="C564" s="62" t="b">
        <f>IF(Tab.11[[#This Row],[a1]]=1,[3]!Tab_x1[[#This Row],[Name]])</f>
        <v>0</v>
      </c>
      <c r="D564" s="63" t="b">
        <f>IF(Tab.11[[#This Row],[a1]]=1,AO564)</f>
        <v>0</v>
      </c>
      <c r="E564" s="63">
        <f t="shared" si="18"/>
        <v>0</v>
      </c>
      <c r="F564" s="64" t="b">
        <f>IF(Tab.11[[#This Row],[a1]]=1,Tab.11[[#This Row],[b1]])</f>
        <v>0</v>
      </c>
      <c r="G564" s="65" t="b">
        <f>IF(Tab.11[[#This Row],[a1]]=1,IF(Tab.11[[#This Row],[b3]]&gt;$L$989*$G$3,$L$989*$G$3,IF(Tab.11[[#This Row],[b3]]&lt;$M$989*$G$3,$M$989*$G$3,Tab.11[[#This Row],[b3]])))</f>
        <v>0</v>
      </c>
      <c r="H564" s="66" t="b">
        <f>IF(Tab.11[[#This Row],[a1]]=1,Tab.11[[#This Row],[b1]])</f>
        <v>0</v>
      </c>
      <c r="I564" s="67" t="b">
        <f>IF(Tab.11[[#This Row],[a1]]=1,Tab.11[[#This Row],[b1]])</f>
        <v>0</v>
      </c>
      <c r="J564" s="68" t="b">
        <f>IF(Tab.11[[#This Row],[a1]]=1,IF($I$3&lt;0,Tab.11[[#This Row],[b5]]-$I$3,Tab.11[[#This Row],[b5]]))</f>
        <v>0</v>
      </c>
      <c r="K564" s="68" t="b">
        <f>IF(Tab.11[[#This Row],[a1]]=1,IF($K$3=0,Tab.11[b6],Tab.11[[#This Row],[b6]]-AVERAGE(Tab.11[b6])))</f>
        <v>0</v>
      </c>
      <c r="L564" s="69" t="b">
        <f>IF(Tab.11[[#This Row],[a1]]=1,Tab.11[[#This Row],[data]]/(_xlfn.STDEV.P(Tab.11[data])*$B$989)+$A$989)</f>
        <v>0</v>
      </c>
      <c r="M564" s="69" t="b">
        <f>IF(Tab.11[[#This Row],[a1]]=1,Tab.11[[#This Row],[data]]/(_xlfn.STDEV.P(Tab.11[data])*$B$987)-$A$987)</f>
        <v>0</v>
      </c>
      <c r="N564" s="69" t="b">
        <f>IF(Tab.11[[#This Row],[a1]]=1,Tab.11[[#This Row],[data]]/(_xlfn.STDEV.P(Tab.11[data])*$B$988)+$A$988)</f>
        <v>0</v>
      </c>
      <c r="O564" s="70" t="b">
        <f>IF(Tab.11[[#This Row],[a1]]=1,_xlfn.NORM.DIST(Tab.11[[#This Row],[b8]],$P$1,$Q$1,FALSE))</f>
        <v>0</v>
      </c>
      <c r="P564" s="70" t="b">
        <f>IF(Tab.11[[#This Row],[a1]]=1,_xlfn.NORM.DIST(Tab.11[[#This Row],[b9]],$P$1,$Q$1,FALSE))</f>
        <v>0</v>
      </c>
      <c r="Q564" s="70" t="b">
        <f>IF(Tab.11[[#This Row],[a1]]=1,_xlfn.NORM.DIST(Tab.11[[#This Row],[b10]],$P$1,$Q$1,FALSE))</f>
        <v>0</v>
      </c>
      <c r="R564" s="67" t="b">
        <f>IF(Tab.11[[#This Row],[a1]]=1,$I$3+$A$989+IF($K$3=0,Tab.11[[#This Row],[b8]]*_xlfn.STDEV.P(Tab.11[data]),AVERAGE(Tab.11[b6])+Tab.11[[#This Row],[b8]]*_xlfn.STDEV.P(Tab.11[data])))</f>
        <v>0</v>
      </c>
      <c r="S564" s="71" t="b">
        <f>IF(Tab.11[[#This Row],[a1]]=1,$I$3+$A$987+IF($K$3=0,Tab.11[[#This Row],[b9]]*_xlfn.STDEV.P(Tab.11[data]),AVERAGE(Tab.11[b6])+Tab.11[[#This Row],[b9]]*_xlfn.STDEV.P(Tab.11[data])))</f>
        <v>0</v>
      </c>
      <c r="T564" s="71" t="b">
        <f>IF(Tab.11[[#This Row],[a1]]=1,$I$3+$A$988+IF($K$3=0,Tab.11[[#This Row],[b10]]*_xlfn.STDEV.P(Tab.11[data]),AVERAGE(Tab.11[b6])+Tab.11[[#This Row],[b10]]*_xlfn.STDEV.P(Tab.11[data])))</f>
        <v>0</v>
      </c>
      <c r="U564" s="72" t="b">
        <f>IF(Tab.11[[#This Row],[a1]]=1,Tab.11[[#This Row],[target]]-Tab.11[[#This Row],[Red]])</f>
        <v>0</v>
      </c>
      <c r="V564" s="72" t="b">
        <f>IF(Tab.11[[#This Row],[a1]]=1,Tab.11[[#This Row],[target]]-Tab.11[[#This Row],[Blue]])</f>
        <v>0</v>
      </c>
      <c r="W564" s="73" t="b">
        <f>IF(Tab.11[[#This Row],[a1]]=1,IF(ABS(Tab.11[[#This Row],[b17]])+ABS(Tab.11[[#This Row],[b18]])&lt;$W$2,$W$2,ABS(Tab.11[[#This Row],[b17]])+ABS(Tab.11[[#This Row],[b18]])))</f>
        <v>0</v>
      </c>
      <c r="X564" s="136" t="b">
        <f>IF(Tab.11[[#This Row],[a1]]=1,IF($W$3&lt;0,Tab.11[[#This Row],[IN]]-$I$3,Tab.11[[#This Row],[IN]]))</f>
        <v>0</v>
      </c>
      <c r="Y564" s="136" t="b">
        <f>IF(Tab.11[[#This Row],[a1]]=1,IF($X$3=0,Tab.11[b66],Tab.11[[#This Row],[b66]]-AVERAGE(Tab.11[b66])))</f>
        <v>0</v>
      </c>
      <c r="Z564" s="135" t="b">
        <f>IF(Tab.11[[#This Row],[a1]]=1,Tab.11[[#This Row],[b77]]/(_xlfn.STDEV.P(Tab.11[b77])))</f>
        <v>0</v>
      </c>
      <c r="AA564" s="70" t="b">
        <f>IF(Tab.11[[#This Row],[a1]]=1,_xlfn.NORM.DIST(Tab.11[[#This Row],[b88]],$Z$1,$AA$1,FALSE))</f>
        <v>0</v>
      </c>
      <c r="AB564" s="74" t="b">
        <f>IF(Tab.11[[#This Row],[a1]]=1,IF($A$3=0,FALSE,1/Tab.11[[#This Row],[IN]]*$AC$2*IF(Tab.11[[#This Row],[a1]]=0,,$A$3*$AC$1*1/$V$3*(Tab.11[[#This Row],[b14]]))))</f>
        <v>0</v>
      </c>
      <c r="AC564" s="75" t="b">
        <f>IF(Tab.11[[#This Row],[a1]]=1,IF($AC$3=0,Tab.11[[#This Row],[φ1]],Tab.11[[#This Row],[φ1]]/MAX(Tab.11[φ1])))</f>
        <v>0</v>
      </c>
      <c r="AD564" s="74" t="b">
        <f>IF(Tab.11[[#This Row],[a1]]=1,1/Tab.11[[#This Row],[φ2]])</f>
        <v>0</v>
      </c>
      <c r="AE564" s="74" t="b">
        <f>IF(Tab.11[[#This Row],[a1]]=1,IF($AE$3=0,Tab.11[[#This Row],[w.0]],Tab.11[[#This Row],[w.0]]/SUM(Tab.11[w.0])))</f>
        <v>0</v>
      </c>
      <c r="AF564" s="76" t="str">
        <f>IF(Tab.11[[#This Row],[a1]]=0,"false",[3]!Tab.x5[[#This Row],[%_seN_C]])</f>
        <v>false</v>
      </c>
      <c r="AG564" s="77" t="b">
        <f>IF(Tab.11[[#This Row],[a1]]=1,AP564)</f>
        <v>0</v>
      </c>
      <c r="AH564" s="78" t="b">
        <f>IF(Tab.11[[#This Row],[a1]]=1,AQ564)</f>
        <v>0</v>
      </c>
      <c r="AI564" s="41">
        <v>3.0000000000000001E-3</v>
      </c>
      <c r="AJ564" s="79">
        <v>0</v>
      </c>
      <c r="AK564" s="80" t="b">
        <f>IF(Tab.11[[#This Row],[a1]]=1,1)</f>
        <v>0</v>
      </c>
      <c r="AZ564"/>
    </row>
    <row r="565" spans="1:52" hidden="1" x14ac:dyDescent="0.25">
      <c r="A565" s="61">
        <f t="shared" si="19"/>
        <v>0</v>
      </c>
      <c r="B565" s="62">
        <f t="shared" si="19"/>
        <v>0</v>
      </c>
      <c r="C565" s="62" t="b">
        <f>IF(Tab.11[[#This Row],[a1]]=1,[3]!Tab_x1[[#This Row],[Name]])</f>
        <v>0</v>
      </c>
      <c r="D565" s="63" t="b">
        <f>IF(Tab.11[[#This Row],[a1]]=1,AO565)</f>
        <v>0</v>
      </c>
      <c r="E565" s="63">
        <f t="shared" si="18"/>
        <v>0</v>
      </c>
      <c r="F565" s="64" t="b">
        <f>IF(Tab.11[[#This Row],[a1]]=1,Tab.11[[#This Row],[b1]])</f>
        <v>0</v>
      </c>
      <c r="G565" s="65" t="b">
        <f>IF(Tab.11[[#This Row],[a1]]=1,IF(Tab.11[[#This Row],[b3]]&gt;$L$989*$G$3,$L$989*$G$3,IF(Tab.11[[#This Row],[b3]]&lt;$M$989*$G$3,$M$989*$G$3,Tab.11[[#This Row],[b3]])))</f>
        <v>0</v>
      </c>
      <c r="H565" s="66" t="b">
        <f>IF(Tab.11[[#This Row],[a1]]=1,Tab.11[[#This Row],[b1]])</f>
        <v>0</v>
      </c>
      <c r="I565" s="67" t="b">
        <f>IF(Tab.11[[#This Row],[a1]]=1,Tab.11[[#This Row],[b1]])</f>
        <v>0</v>
      </c>
      <c r="J565" s="68" t="b">
        <f>IF(Tab.11[[#This Row],[a1]]=1,IF($I$3&lt;0,Tab.11[[#This Row],[b5]]-$I$3,Tab.11[[#This Row],[b5]]))</f>
        <v>0</v>
      </c>
      <c r="K565" s="68" t="b">
        <f>IF(Tab.11[[#This Row],[a1]]=1,IF($K$3=0,Tab.11[b6],Tab.11[[#This Row],[b6]]-AVERAGE(Tab.11[b6])))</f>
        <v>0</v>
      </c>
      <c r="L565" s="69" t="b">
        <f>IF(Tab.11[[#This Row],[a1]]=1,Tab.11[[#This Row],[data]]/(_xlfn.STDEV.P(Tab.11[data])*$B$989)+$A$989)</f>
        <v>0</v>
      </c>
      <c r="M565" s="69" t="b">
        <f>IF(Tab.11[[#This Row],[a1]]=1,Tab.11[[#This Row],[data]]/(_xlfn.STDEV.P(Tab.11[data])*$B$987)-$A$987)</f>
        <v>0</v>
      </c>
      <c r="N565" s="69" t="b">
        <f>IF(Tab.11[[#This Row],[a1]]=1,Tab.11[[#This Row],[data]]/(_xlfn.STDEV.P(Tab.11[data])*$B$988)+$A$988)</f>
        <v>0</v>
      </c>
      <c r="O565" s="70" t="b">
        <f>IF(Tab.11[[#This Row],[a1]]=1,_xlfn.NORM.DIST(Tab.11[[#This Row],[b8]],$P$1,$Q$1,FALSE))</f>
        <v>0</v>
      </c>
      <c r="P565" s="70" t="b">
        <f>IF(Tab.11[[#This Row],[a1]]=1,_xlfn.NORM.DIST(Tab.11[[#This Row],[b9]],$P$1,$Q$1,FALSE))</f>
        <v>0</v>
      </c>
      <c r="Q565" s="70" t="b">
        <f>IF(Tab.11[[#This Row],[a1]]=1,_xlfn.NORM.DIST(Tab.11[[#This Row],[b10]],$P$1,$Q$1,FALSE))</f>
        <v>0</v>
      </c>
      <c r="R565" s="67" t="b">
        <f>IF(Tab.11[[#This Row],[a1]]=1,$I$3+$A$989+IF($K$3=0,Tab.11[[#This Row],[b8]]*_xlfn.STDEV.P(Tab.11[data]),AVERAGE(Tab.11[b6])+Tab.11[[#This Row],[b8]]*_xlfn.STDEV.P(Tab.11[data])))</f>
        <v>0</v>
      </c>
      <c r="S565" s="71" t="b">
        <f>IF(Tab.11[[#This Row],[a1]]=1,$I$3+$A$987+IF($K$3=0,Tab.11[[#This Row],[b9]]*_xlfn.STDEV.P(Tab.11[data]),AVERAGE(Tab.11[b6])+Tab.11[[#This Row],[b9]]*_xlfn.STDEV.P(Tab.11[data])))</f>
        <v>0</v>
      </c>
      <c r="T565" s="71" t="b">
        <f>IF(Tab.11[[#This Row],[a1]]=1,$I$3+$A$988+IF($K$3=0,Tab.11[[#This Row],[b10]]*_xlfn.STDEV.P(Tab.11[data]),AVERAGE(Tab.11[b6])+Tab.11[[#This Row],[b10]]*_xlfn.STDEV.P(Tab.11[data])))</f>
        <v>0</v>
      </c>
      <c r="U565" s="72" t="b">
        <f>IF(Tab.11[[#This Row],[a1]]=1,Tab.11[[#This Row],[target]]-Tab.11[[#This Row],[Red]])</f>
        <v>0</v>
      </c>
      <c r="V565" s="72" t="b">
        <f>IF(Tab.11[[#This Row],[a1]]=1,Tab.11[[#This Row],[target]]-Tab.11[[#This Row],[Blue]])</f>
        <v>0</v>
      </c>
      <c r="W565" s="73" t="b">
        <f>IF(Tab.11[[#This Row],[a1]]=1,IF(ABS(Tab.11[[#This Row],[b17]])+ABS(Tab.11[[#This Row],[b18]])&lt;$W$2,$W$2,ABS(Tab.11[[#This Row],[b17]])+ABS(Tab.11[[#This Row],[b18]])))</f>
        <v>0</v>
      </c>
      <c r="X565" s="136" t="b">
        <f>IF(Tab.11[[#This Row],[a1]]=1,IF($W$3&lt;0,Tab.11[[#This Row],[IN]]-$I$3,Tab.11[[#This Row],[IN]]))</f>
        <v>0</v>
      </c>
      <c r="Y565" s="136" t="b">
        <f>IF(Tab.11[[#This Row],[a1]]=1,IF($X$3=0,Tab.11[b66],Tab.11[[#This Row],[b66]]-AVERAGE(Tab.11[b66])))</f>
        <v>0</v>
      </c>
      <c r="Z565" s="135" t="b">
        <f>IF(Tab.11[[#This Row],[a1]]=1,Tab.11[[#This Row],[b77]]/(_xlfn.STDEV.P(Tab.11[b77])))</f>
        <v>0</v>
      </c>
      <c r="AA565" s="70" t="b">
        <f>IF(Tab.11[[#This Row],[a1]]=1,_xlfn.NORM.DIST(Tab.11[[#This Row],[b88]],$Z$1,$AA$1,FALSE))</f>
        <v>0</v>
      </c>
      <c r="AB565" s="74" t="b">
        <f>IF(Tab.11[[#This Row],[a1]]=1,IF($A$3=0,FALSE,1/Tab.11[[#This Row],[IN]]*$AC$2*IF(Tab.11[[#This Row],[a1]]=0,,$A$3*$AC$1*1/$V$3*(Tab.11[[#This Row],[b14]]))))</f>
        <v>0</v>
      </c>
      <c r="AC565" s="75" t="b">
        <f>IF(Tab.11[[#This Row],[a1]]=1,IF($AC$3=0,Tab.11[[#This Row],[φ1]],Tab.11[[#This Row],[φ1]]/MAX(Tab.11[φ1])))</f>
        <v>0</v>
      </c>
      <c r="AD565" s="74" t="b">
        <f>IF(Tab.11[[#This Row],[a1]]=1,1/Tab.11[[#This Row],[φ2]])</f>
        <v>0</v>
      </c>
      <c r="AE565" s="74" t="b">
        <f>IF(Tab.11[[#This Row],[a1]]=1,IF($AE$3=0,Tab.11[[#This Row],[w.0]],Tab.11[[#This Row],[w.0]]/SUM(Tab.11[w.0])))</f>
        <v>0</v>
      </c>
      <c r="AF565" s="76" t="str">
        <f>IF(Tab.11[[#This Row],[a1]]=0,"false",[3]!Tab.x5[[#This Row],[%_seN_C]])</f>
        <v>false</v>
      </c>
      <c r="AG565" s="77" t="b">
        <f>IF(Tab.11[[#This Row],[a1]]=1,AP565)</f>
        <v>0</v>
      </c>
      <c r="AH565" s="78" t="b">
        <f>IF(Tab.11[[#This Row],[a1]]=1,AQ565)</f>
        <v>0</v>
      </c>
      <c r="AI565" s="41">
        <v>3.0000000000000001E-3</v>
      </c>
      <c r="AJ565" s="79">
        <v>-7.0000000000000007E-2</v>
      </c>
      <c r="AK565" s="80" t="b">
        <f>IF(Tab.11[[#This Row],[a1]]=1,1)</f>
        <v>0</v>
      </c>
      <c r="AZ565"/>
    </row>
    <row r="566" spans="1:52" hidden="1" x14ac:dyDescent="0.25">
      <c r="A566" s="61">
        <f t="shared" si="19"/>
        <v>0</v>
      </c>
      <c r="B566" s="62">
        <f t="shared" si="19"/>
        <v>0</v>
      </c>
      <c r="C566" s="62" t="b">
        <f>IF(Tab.11[[#This Row],[a1]]=1,[3]!Tab_x1[[#This Row],[Name]])</f>
        <v>0</v>
      </c>
      <c r="D566" s="63" t="b">
        <f>IF(Tab.11[[#This Row],[a1]]=1,AO566)</f>
        <v>0</v>
      </c>
      <c r="E566" s="63">
        <f t="shared" si="18"/>
        <v>0</v>
      </c>
      <c r="F566" s="64" t="b">
        <f>IF(Tab.11[[#This Row],[a1]]=1,Tab.11[[#This Row],[b1]])</f>
        <v>0</v>
      </c>
      <c r="G566" s="65" t="b">
        <f>IF(Tab.11[[#This Row],[a1]]=1,IF(Tab.11[[#This Row],[b3]]&gt;$L$989*$G$3,$L$989*$G$3,IF(Tab.11[[#This Row],[b3]]&lt;$M$989*$G$3,$M$989*$G$3,Tab.11[[#This Row],[b3]])))</f>
        <v>0</v>
      </c>
      <c r="H566" s="66" t="b">
        <f>IF(Tab.11[[#This Row],[a1]]=1,Tab.11[[#This Row],[b1]])</f>
        <v>0</v>
      </c>
      <c r="I566" s="67" t="b">
        <f>IF(Tab.11[[#This Row],[a1]]=1,Tab.11[[#This Row],[b1]])</f>
        <v>0</v>
      </c>
      <c r="J566" s="68" t="b">
        <f>IF(Tab.11[[#This Row],[a1]]=1,IF($I$3&lt;0,Tab.11[[#This Row],[b5]]-$I$3,Tab.11[[#This Row],[b5]]))</f>
        <v>0</v>
      </c>
      <c r="K566" s="68" t="b">
        <f>IF(Tab.11[[#This Row],[a1]]=1,IF($K$3=0,Tab.11[b6],Tab.11[[#This Row],[b6]]-AVERAGE(Tab.11[b6])))</f>
        <v>0</v>
      </c>
      <c r="L566" s="69" t="b">
        <f>IF(Tab.11[[#This Row],[a1]]=1,Tab.11[[#This Row],[data]]/(_xlfn.STDEV.P(Tab.11[data])*$B$989)+$A$989)</f>
        <v>0</v>
      </c>
      <c r="M566" s="69" t="b">
        <f>IF(Tab.11[[#This Row],[a1]]=1,Tab.11[[#This Row],[data]]/(_xlfn.STDEV.P(Tab.11[data])*$B$987)-$A$987)</f>
        <v>0</v>
      </c>
      <c r="N566" s="69" t="b">
        <f>IF(Tab.11[[#This Row],[a1]]=1,Tab.11[[#This Row],[data]]/(_xlfn.STDEV.P(Tab.11[data])*$B$988)+$A$988)</f>
        <v>0</v>
      </c>
      <c r="O566" s="70" t="b">
        <f>IF(Tab.11[[#This Row],[a1]]=1,_xlfn.NORM.DIST(Tab.11[[#This Row],[b8]],$P$1,$Q$1,FALSE))</f>
        <v>0</v>
      </c>
      <c r="P566" s="70" t="b">
        <f>IF(Tab.11[[#This Row],[a1]]=1,_xlfn.NORM.DIST(Tab.11[[#This Row],[b9]],$P$1,$Q$1,FALSE))</f>
        <v>0</v>
      </c>
      <c r="Q566" s="70" t="b">
        <f>IF(Tab.11[[#This Row],[a1]]=1,_xlfn.NORM.DIST(Tab.11[[#This Row],[b10]],$P$1,$Q$1,FALSE))</f>
        <v>0</v>
      </c>
      <c r="R566" s="67" t="b">
        <f>IF(Tab.11[[#This Row],[a1]]=1,$I$3+$A$989+IF($K$3=0,Tab.11[[#This Row],[b8]]*_xlfn.STDEV.P(Tab.11[data]),AVERAGE(Tab.11[b6])+Tab.11[[#This Row],[b8]]*_xlfn.STDEV.P(Tab.11[data])))</f>
        <v>0</v>
      </c>
      <c r="S566" s="71" t="b">
        <f>IF(Tab.11[[#This Row],[a1]]=1,$I$3+$A$987+IF($K$3=0,Tab.11[[#This Row],[b9]]*_xlfn.STDEV.P(Tab.11[data]),AVERAGE(Tab.11[b6])+Tab.11[[#This Row],[b9]]*_xlfn.STDEV.P(Tab.11[data])))</f>
        <v>0</v>
      </c>
      <c r="T566" s="71" t="b">
        <f>IF(Tab.11[[#This Row],[a1]]=1,$I$3+$A$988+IF($K$3=0,Tab.11[[#This Row],[b10]]*_xlfn.STDEV.P(Tab.11[data]),AVERAGE(Tab.11[b6])+Tab.11[[#This Row],[b10]]*_xlfn.STDEV.P(Tab.11[data])))</f>
        <v>0</v>
      </c>
      <c r="U566" s="72" t="b">
        <f>IF(Tab.11[[#This Row],[a1]]=1,Tab.11[[#This Row],[target]]-Tab.11[[#This Row],[Red]])</f>
        <v>0</v>
      </c>
      <c r="V566" s="72" t="b">
        <f>IF(Tab.11[[#This Row],[a1]]=1,Tab.11[[#This Row],[target]]-Tab.11[[#This Row],[Blue]])</f>
        <v>0</v>
      </c>
      <c r="W566" s="73" t="b">
        <f>IF(Tab.11[[#This Row],[a1]]=1,IF(ABS(Tab.11[[#This Row],[b17]])+ABS(Tab.11[[#This Row],[b18]])&lt;$W$2,$W$2,ABS(Tab.11[[#This Row],[b17]])+ABS(Tab.11[[#This Row],[b18]])))</f>
        <v>0</v>
      </c>
      <c r="X566" s="136" t="b">
        <f>IF(Tab.11[[#This Row],[a1]]=1,IF($W$3&lt;0,Tab.11[[#This Row],[IN]]-$I$3,Tab.11[[#This Row],[IN]]))</f>
        <v>0</v>
      </c>
      <c r="Y566" s="136" t="b">
        <f>IF(Tab.11[[#This Row],[a1]]=1,IF($X$3=0,Tab.11[b66],Tab.11[[#This Row],[b66]]-AVERAGE(Tab.11[b66])))</f>
        <v>0</v>
      </c>
      <c r="Z566" s="135" t="b">
        <f>IF(Tab.11[[#This Row],[a1]]=1,Tab.11[[#This Row],[b77]]/(_xlfn.STDEV.P(Tab.11[b77])))</f>
        <v>0</v>
      </c>
      <c r="AA566" s="70" t="b">
        <f>IF(Tab.11[[#This Row],[a1]]=1,_xlfn.NORM.DIST(Tab.11[[#This Row],[b88]],$Z$1,$AA$1,FALSE))</f>
        <v>0</v>
      </c>
      <c r="AB566" s="74" t="b">
        <f>IF(Tab.11[[#This Row],[a1]]=1,IF($A$3=0,FALSE,1/Tab.11[[#This Row],[IN]]*$AC$2*IF(Tab.11[[#This Row],[a1]]=0,,$A$3*$AC$1*1/$V$3*(Tab.11[[#This Row],[b14]]))))</f>
        <v>0</v>
      </c>
      <c r="AC566" s="75" t="b">
        <f>IF(Tab.11[[#This Row],[a1]]=1,IF($AC$3=0,Tab.11[[#This Row],[φ1]],Tab.11[[#This Row],[φ1]]/MAX(Tab.11[φ1])))</f>
        <v>0</v>
      </c>
      <c r="AD566" s="74" t="b">
        <f>IF(Tab.11[[#This Row],[a1]]=1,1/Tab.11[[#This Row],[φ2]])</f>
        <v>0</v>
      </c>
      <c r="AE566" s="74" t="b">
        <f>IF(Tab.11[[#This Row],[a1]]=1,IF($AE$3=0,Tab.11[[#This Row],[w.0]],Tab.11[[#This Row],[w.0]]/SUM(Tab.11[w.0])))</f>
        <v>0</v>
      </c>
      <c r="AF566" s="76" t="str">
        <f>IF(Tab.11[[#This Row],[a1]]=0,"false",[3]!Tab.x5[[#This Row],[%_seN_C]])</f>
        <v>false</v>
      </c>
      <c r="AG566" s="77" t="b">
        <f>IF(Tab.11[[#This Row],[a1]]=1,AP566)</f>
        <v>0</v>
      </c>
      <c r="AH566" s="78" t="b">
        <f>IF(Tab.11[[#This Row],[a1]]=1,AQ566)</f>
        <v>0</v>
      </c>
      <c r="AI566" s="41">
        <v>3.0000000000000001E-3</v>
      </c>
      <c r="AJ566" s="79">
        <v>0.03</v>
      </c>
      <c r="AK566" s="80" t="b">
        <f>IF(Tab.11[[#This Row],[a1]]=1,1)</f>
        <v>0</v>
      </c>
      <c r="AZ566"/>
    </row>
    <row r="567" spans="1:52" hidden="1" x14ac:dyDescent="0.25">
      <c r="A567" s="61">
        <f t="shared" si="19"/>
        <v>0</v>
      </c>
      <c r="B567" s="62">
        <f t="shared" si="19"/>
        <v>0</v>
      </c>
      <c r="C567" s="62" t="b">
        <f>IF(Tab.11[[#This Row],[a1]]=1,[3]!Tab_x1[[#This Row],[Name]])</f>
        <v>0</v>
      </c>
      <c r="D567" s="63" t="b">
        <f>IF(Tab.11[[#This Row],[a1]]=1,AO567)</f>
        <v>0</v>
      </c>
      <c r="E567" s="63">
        <f t="shared" si="18"/>
        <v>0</v>
      </c>
      <c r="F567" s="64" t="b">
        <f>IF(Tab.11[[#This Row],[a1]]=1,Tab.11[[#This Row],[b1]])</f>
        <v>0</v>
      </c>
      <c r="G567" s="65" t="b">
        <f>IF(Tab.11[[#This Row],[a1]]=1,IF(Tab.11[[#This Row],[b3]]&gt;$L$989*$G$3,$L$989*$G$3,IF(Tab.11[[#This Row],[b3]]&lt;$M$989*$G$3,$M$989*$G$3,Tab.11[[#This Row],[b3]])))</f>
        <v>0</v>
      </c>
      <c r="H567" s="66" t="b">
        <f>IF(Tab.11[[#This Row],[a1]]=1,Tab.11[[#This Row],[b1]])</f>
        <v>0</v>
      </c>
      <c r="I567" s="67" t="b">
        <f>IF(Tab.11[[#This Row],[a1]]=1,Tab.11[[#This Row],[b1]])</f>
        <v>0</v>
      </c>
      <c r="J567" s="68" t="b">
        <f>IF(Tab.11[[#This Row],[a1]]=1,IF($I$3&lt;0,Tab.11[[#This Row],[b5]]-$I$3,Tab.11[[#This Row],[b5]]))</f>
        <v>0</v>
      </c>
      <c r="K567" s="68" t="b">
        <f>IF(Tab.11[[#This Row],[a1]]=1,IF($K$3=0,Tab.11[b6],Tab.11[[#This Row],[b6]]-AVERAGE(Tab.11[b6])))</f>
        <v>0</v>
      </c>
      <c r="L567" s="69" t="b">
        <f>IF(Tab.11[[#This Row],[a1]]=1,Tab.11[[#This Row],[data]]/(_xlfn.STDEV.P(Tab.11[data])*$B$989)+$A$989)</f>
        <v>0</v>
      </c>
      <c r="M567" s="69" t="b">
        <f>IF(Tab.11[[#This Row],[a1]]=1,Tab.11[[#This Row],[data]]/(_xlfn.STDEV.P(Tab.11[data])*$B$987)-$A$987)</f>
        <v>0</v>
      </c>
      <c r="N567" s="69" t="b">
        <f>IF(Tab.11[[#This Row],[a1]]=1,Tab.11[[#This Row],[data]]/(_xlfn.STDEV.P(Tab.11[data])*$B$988)+$A$988)</f>
        <v>0</v>
      </c>
      <c r="O567" s="70" t="b">
        <f>IF(Tab.11[[#This Row],[a1]]=1,_xlfn.NORM.DIST(Tab.11[[#This Row],[b8]],$P$1,$Q$1,FALSE))</f>
        <v>0</v>
      </c>
      <c r="P567" s="70" t="b">
        <f>IF(Tab.11[[#This Row],[a1]]=1,_xlfn.NORM.DIST(Tab.11[[#This Row],[b9]],$P$1,$Q$1,FALSE))</f>
        <v>0</v>
      </c>
      <c r="Q567" s="70" t="b">
        <f>IF(Tab.11[[#This Row],[a1]]=1,_xlfn.NORM.DIST(Tab.11[[#This Row],[b10]],$P$1,$Q$1,FALSE))</f>
        <v>0</v>
      </c>
      <c r="R567" s="67" t="b">
        <f>IF(Tab.11[[#This Row],[a1]]=1,$I$3+$A$989+IF($K$3=0,Tab.11[[#This Row],[b8]]*_xlfn.STDEV.P(Tab.11[data]),AVERAGE(Tab.11[b6])+Tab.11[[#This Row],[b8]]*_xlfn.STDEV.P(Tab.11[data])))</f>
        <v>0</v>
      </c>
      <c r="S567" s="71" t="b">
        <f>IF(Tab.11[[#This Row],[a1]]=1,$I$3+$A$987+IF($K$3=0,Tab.11[[#This Row],[b9]]*_xlfn.STDEV.P(Tab.11[data]),AVERAGE(Tab.11[b6])+Tab.11[[#This Row],[b9]]*_xlfn.STDEV.P(Tab.11[data])))</f>
        <v>0</v>
      </c>
      <c r="T567" s="71" t="b">
        <f>IF(Tab.11[[#This Row],[a1]]=1,$I$3+$A$988+IF($K$3=0,Tab.11[[#This Row],[b10]]*_xlfn.STDEV.P(Tab.11[data]),AVERAGE(Tab.11[b6])+Tab.11[[#This Row],[b10]]*_xlfn.STDEV.P(Tab.11[data])))</f>
        <v>0</v>
      </c>
      <c r="U567" s="72" t="b">
        <f>IF(Tab.11[[#This Row],[a1]]=1,Tab.11[[#This Row],[target]]-Tab.11[[#This Row],[Red]])</f>
        <v>0</v>
      </c>
      <c r="V567" s="72" t="b">
        <f>IF(Tab.11[[#This Row],[a1]]=1,Tab.11[[#This Row],[target]]-Tab.11[[#This Row],[Blue]])</f>
        <v>0</v>
      </c>
      <c r="W567" s="73" t="b">
        <f>IF(Tab.11[[#This Row],[a1]]=1,IF(ABS(Tab.11[[#This Row],[b17]])+ABS(Tab.11[[#This Row],[b18]])&lt;$W$2,$W$2,ABS(Tab.11[[#This Row],[b17]])+ABS(Tab.11[[#This Row],[b18]])))</f>
        <v>0</v>
      </c>
      <c r="X567" s="136" t="b">
        <f>IF(Tab.11[[#This Row],[a1]]=1,IF($W$3&lt;0,Tab.11[[#This Row],[IN]]-$I$3,Tab.11[[#This Row],[IN]]))</f>
        <v>0</v>
      </c>
      <c r="Y567" s="136" t="b">
        <f>IF(Tab.11[[#This Row],[a1]]=1,IF($X$3=0,Tab.11[b66],Tab.11[[#This Row],[b66]]-AVERAGE(Tab.11[b66])))</f>
        <v>0</v>
      </c>
      <c r="Z567" s="135" t="b">
        <f>IF(Tab.11[[#This Row],[a1]]=1,Tab.11[[#This Row],[b77]]/(_xlfn.STDEV.P(Tab.11[b77])))</f>
        <v>0</v>
      </c>
      <c r="AA567" s="70" t="b">
        <f>IF(Tab.11[[#This Row],[a1]]=1,_xlfn.NORM.DIST(Tab.11[[#This Row],[b88]],$Z$1,$AA$1,FALSE))</f>
        <v>0</v>
      </c>
      <c r="AB567" s="74" t="b">
        <f>IF(Tab.11[[#This Row],[a1]]=1,IF($A$3=0,FALSE,1/Tab.11[[#This Row],[IN]]*$AC$2*IF(Tab.11[[#This Row],[a1]]=0,,$A$3*$AC$1*1/$V$3*(Tab.11[[#This Row],[b14]]))))</f>
        <v>0</v>
      </c>
      <c r="AC567" s="75" t="b">
        <f>IF(Tab.11[[#This Row],[a1]]=1,IF($AC$3=0,Tab.11[[#This Row],[φ1]],Tab.11[[#This Row],[φ1]]/MAX(Tab.11[φ1])))</f>
        <v>0</v>
      </c>
      <c r="AD567" s="74" t="b">
        <f>IF(Tab.11[[#This Row],[a1]]=1,1/Tab.11[[#This Row],[φ2]])</f>
        <v>0</v>
      </c>
      <c r="AE567" s="74" t="b">
        <f>IF(Tab.11[[#This Row],[a1]]=1,IF($AE$3=0,Tab.11[[#This Row],[w.0]],Tab.11[[#This Row],[w.0]]/SUM(Tab.11[w.0])))</f>
        <v>0</v>
      </c>
      <c r="AF567" s="76" t="str">
        <f>IF(Tab.11[[#This Row],[a1]]=0,"false",[3]!Tab.x5[[#This Row],[%_seN_C]])</f>
        <v>false</v>
      </c>
      <c r="AG567" s="77" t="b">
        <f>IF(Tab.11[[#This Row],[a1]]=1,AP567)</f>
        <v>0</v>
      </c>
      <c r="AH567" s="78" t="b">
        <f>IF(Tab.11[[#This Row],[a1]]=1,AQ567)</f>
        <v>0</v>
      </c>
      <c r="AI567" s="41">
        <v>3.0000000000000001E-3</v>
      </c>
      <c r="AJ567" s="79">
        <v>7.0000000000000007E-2</v>
      </c>
      <c r="AK567" s="80" t="b">
        <f>IF(Tab.11[[#This Row],[a1]]=1,1)</f>
        <v>0</v>
      </c>
      <c r="AZ567"/>
    </row>
    <row r="568" spans="1:52" hidden="1" x14ac:dyDescent="0.25">
      <c r="A568" s="61">
        <f t="shared" si="19"/>
        <v>0</v>
      </c>
      <c r="B568" s="62">
        <f t="shared" si="19"/>
        <v>0</v>
      </c>
      <c r="C568" s="62" t="b">
        <f>IF(Tab.11[[#This Row],[a1]]=1,[3]!Tab_x1[[#This Row],[Name]])</f>
        <v>0</v>
      </c>
      <c r="D568" s="63" t="b">
        <f>IF(Tab.11[[#This Row],[a1]]=1,AO568)</f>
        <v>0</v>
      </c>
      <c r="E568" s="63">
        <f t="shared" si="18"/>
        <v>0</v>
      </c>
      <c r="F568" s="64" t="b">
        <f>IF(Tab.11[[#This Row],[a1]]=1,Tab.11[[#This Row],[b1]])</f>
        <v>0</v>
      </c>
      <c r="G568" s="65" t="b">
        <f>IF(Tab.11[[#This Row],[a1]]=1,IF(Tab.11[[#This Row],[b3]]&gt;$L$989*$G$3,$L$989*$G$3,IF(Tab.11[[#This Row],[b3]]&lt;$M$989*$G$3,$M$989*$G$3,Tab.11[[#This Row],[b3]])))</f>
        <v>0</v>
      </c>
      <c r="H568" s="66" t="b">
        <f>IF(Tab.11[[#This Row],[a1]]=1,Tab.11[[#This Row],[b1]])</f>
        <v>0</v>
      </c>
      <c r="I568" s="67" t="b">
        <f>IF(Tab.11[[#This Row],[a1]]=1,Tab.11[[#This Row],[b1]])</f>
        <v>0</v>
      </c>
      <c r="J568" s="68" t="b">
        <f>IF(Tab.11[[#This Row],[a1]]=1,IF($I$3&lt;0,Tab.11[[#This Row],[b5]]-$I$3,Tab.11[[#This Row],[b5]]))</f>
        <v>0</v>
      </c>
      <c r="K568" s="68" t="b">
        <f>IF(Tab.11[[#This Row],[a1]]=1,IF($K$3=0,Tab.11[b6],Tab.11[[#This Row],[b6]]-AVERAGE(Tab.11[b6])))</f>
        <v>0</v>
      </c>
      <c r="L568" s="69" t="b">
        <f>IF(Tab.11[[#This Row],[a1]]=1,Tab.11[[#This Row],[data]]/(_xlfn.STDEV.P(Tab.11[data])*$B$989)+$A$989)</f>
        <v>0</v>
      </c>
      <c r="M568" s="69" t="b">
        <f>IF(Tab.11[[#This Row],[a1]]=1,Tab.11[[#This Row],[data]]/(_xlfn.STDEV.P(Tab.11[data])*$B$987)-$A$987)</f>
        <v>0</v>
      </c>
      <c r="N568" s="69" t="b">
        <f>IF(Tab.11[[#This Row],[a1]]=1,Tab.11[[#This Row],[data]]/(_xlfn.STDEV.P(Tab.11[data])*$B$988)+$A$988)</f>
        <v>0</v>
      </c>
      <c r="O568" s="70" t="b">
        <f>IF(Tab.11[[#This Row],[a1]]=1,_xlfn.NORM.DIST(Tab.11[[#This Row],[b8]],$P$1,$Q$1,FALSE))</f>
        <v>0</v>
      </c>
      <c r="P568" s="70" t="b">
        <f>IF(Tab.11[[#This Row],[a1]]=1,_xlfn.NORM.DIST(Tab.11[[#This Row],[b9]],$P$1,$Q$1,FALSE))</f>
        <v>0</v>
      </c>
      <c r="Q568" s="70" t="b">
        <f>IF(Tab.11[[#This Row],[a1]]=1,_xlfn.NORM.DIST(Tab.11[[#This Row],[b10]],$P$1,$Q$1,FALSE))</f>
        <v>0</v>
      </c>
      <c r="R568" s="67" t="b">
        <f>IF(Tab.11[[#This Row],[a1]]=1,$I$3+$A$989+IF($K$3=0,Tab.11[[#This Row],[b8]]*_xlfn.STDEV.P(Tab.11[data]),AVERAGE(Tab.11[b6])+Tab.11[[#This Row],[b8]]*_xlfn.STDEV.P(Tab.11[data])))</f>
        <v>0</v>
      </c>
      <c r="S568" s="71" t="b">
        <f>IF(Tab.11[[#This Row],[a1]]=1,$I$3+$A$987+IF($K$3=0,Tab.11[[#This Row],[b9]]*_xlfn.STDEV.P(Tab.11[data]),AVERAGE(Tab.11[b6])+Tab.11[[#This Row],[b9]]*_xlfn.STDEV.P(Tab.11[data])))</f>
        <v>0</v>
      </c>
      <c r="T568" s="71" t="b">
        <f>IF(Tab.11[[#This Row],[a1]]=1,$I$3+$A$988+IF($K$3=0,Tab.11[[#This Row],[b10]]*_xlfn.STDEV.P(Tab.11[data]),AVERAGE(Tab.11[b6])+Tab.11[[#This Row],[b10]]*_xlfn.STDEV.P(Tab.11[data])))</f>
        <v>0</v>
      </c>
      <c r="U568" s="72" t="b">
        <f>IF(Tab.11[[#This Row],[a1]]=1,Tab.11[[#This Row],[target]]-Tab.11[[#This Row],[Red]])</f>
        <v>0</v>
      </c>
      <c r="V568" s="72" t="b">
        <f>IF(Tab.11[[#This Row],[a1]]=1,Tab.11[[#This Row],[target]]-Tab.11[[#This Row],[Blue]])</f>
        <v>0</v>
      </c>
      <c r="W568" s="73" t="b">
        <f>IF(Tab.11[[#This Row],[a1]]=1,IF(ABS(Tab.11[[#This Row],[b17]])+ABS(Tab.11[[#This Row],[b18]])&lt;$W$2,$W$2,ABS(Tab.11[[#This Row],[b17]])+ABS(Tab.11[[#This Row],[b18]])))</f>
        <v>0</v>
      </c>
      <c r="X568" s="136" t="b">
        <f>IF(Tab.11[[#This Row],[a1]]=1,IF($W$3&lt;0,Tab.11[[#This Row],[IN]]-$I$3,Tab.11[[#This Row],[IN]]))</f>
        <v>0</v>
      </c>
      <c r="Y568" s="136" t="b">
        <f>IF(Tab.11[[#This Row],[a1]]=1,IF($X$3=0,Tab.11[b66],Tab.11[[#This Row],[b66]]-AVERAGE(Tab.11[b66])))</f>
        <v>0</v>
      </c>
      <c r="Z568" s="135" t="b">
        <f>IF(Tab.11[[#This Row],[a1]]=1,Tab.11[[#This Row],[b77]]/(_xlfn.STDEV.P(Tab.11[b77])))</f>
        <v>0</v>
      </c>
      <c r="AA568" s="70" t="b">
        <f>IF(Tab.11[[#This Row],[a1]]=1,_xlfn.NORM.DIST(Tab.11[[#This Row],[b88]],$Z$1,$AA$1,FALSE))</f>
        <v>0</v>
      </c>
      <c r="AB568" s="74" t="b">
        <f>IF(Tab.11[[#This Row],[a1]]=1,IF($A$3=0,FALSE,1/Tab.11[[#This Row],[IN]]*$AC$2*IF(Tab.11[[#This Row],[a1]]=0,,$A$3*$AC$1*1/$V$3*(Tab.11[[#This Row],[b14]]))))</f>
        <v>0</v>
      </c>
      <c r="AC568" s="75" t="b">
        <f>IF(Tab.11[[#This Row],[a1]]=1,IF($AC$3=0,Tab.11[[#This Row],[φ1]],Tab.11[[#This Row],[φ1]]/MAX(Tab.11[φ1])))</f>
        <v>0</v>
      </c>
      <c r="AD568" s="74" t="b">
        <f>IF(Tab.11[[#This Row],[a1]]=1,1/Tab.11[[#This Row],[φ2]])</f>
        <v>0</v>
      </c>
      <c r="AE568" s="74" t="b">
        <f>IF(Tab.11[[#This Row],[a1]]=1,IF($AE$3=0,Tab.11[[#This Row],[w.0]],Tab.11[[#This Row],[w.0]]/SUM(Tab.11[w.0])))</f>
        <v>0</v>
      </c>
      <c r="AF568" s="76" t="str">
        <f>IF(Tab.11[[#This Row],[a1]]=0,"false",[3]!Tab.x5[[#This Row],[%_seN_C]])</f>
        <v>false</v>
      </c>
      <c r="AG568" s="77" t="b">
        <f>IF(Tab.11[[#This Row],[a1]]=1,AP568)</f>
        <v>0</v>
      </c>
      <c r="AH568" s="78" t="b">
        <f>IF(Tab.11[[#This Row],[a1]]=1,AQ568)</f>
        <v>0</v>
      </c>
      <c r="AI568" s="41">
        <v>3.0000000000000001E-3</v>
      </c>
      <c r="AJ568" s="79">
        <v>-7.0000000000000007E-2</v>
      </c>
      <c r="AK568" s="80" t="b">
        <f>IF(Tab.11[[#This Row],[a1]]=1,1)</f>
        <v>0</v>
      </c>
      <c r="AZ568"/>
    </row>
    <row r="569" spans="1:52" hidden="1" x14ac:dyDescent="0.25">
      <c r="A569" s="61">
        <f t="shared" si="19"/>
        <v>0</v>
      </c>
      <c r="B569" s="62">
        <f t="shared" si="19"/>
        <v>0</v>
      </c>
      <c r="C569" s="62" t="b">
        <f>IF(Tab.11[[#This Row],[a1]]=1,[3]!Tab_x1[[#This Row],[Name]])</f>
        <v>0</v>
      </c>
      <c r="D569" s="63" t="b">
        <f>IF(Tab.11[[#This Row],[a1]]=1,AO569)</f>
        <v>0</v>
      </c>
      <c r="E569" s="63">
        <f t="shared" si="18"/>
        <v>0</v>
      </c>
      <c r="F569" s="64" t="b">
        <f>IF(Tab.11[[#This Row],[a1]]=1,Tab.11[[#This Row],[b1]])</f>
        <v>0</v>
      </c>
      <c r="G569" s="65" t="b">
        <f>IF(Tab.11[[#This Row],[a1]]=1,IF(Tab.11[[#This Row],[b3]]&gt;$L$989*$G$3,$L$989*$G$3,IF(Tab.11[[#This Row],[b3]]&lt;$M$989*$G$3,$M$989*$G$3,Tab.11[[#This Row],[b3]])))</f>
        <v>0</v>
      </c>
      <c r="H569" s="66" t="b">
        <f>IF(Tab.11[[#This Row],[a1]]=1,Tab.11[[#This Row],[b1]])</f>
        <v>0</v>
      </c>
      <c r="I569" s="67" t="b">
        <f>IF(Tab.11[[#This Row],[a1]]=1,Tab.11[[#This Row],[b1]])</f>
        <v>0</v>
      </c>
      <c r="J569" s="68" t="b">
        <f>IF(Tab.11[[#This Row],[a1]]=1,IF($I$3&lt;0,Tab.11[[#This Row],[b5]]-$I$3,Tab.11[[#This Row],[b5]]))</f>
        <v>0</v>
      </c>
      <c r="K569" s="68" t="b">
        <f>IF(Tab.11[[#This Row],[a1]]=1,IF($K$3=0,Tab.11[b6],Tab.11[[#This Row],[b6]]-AVERAGE(Tab.11[b6])))</f>
        <v>0</v>
      </c>
      <c r="L569" s="69" t="b">
        <f>IF(Tab.11[[#This Row],[a1]]=1,Tab.11[[#This Row],[data]]/(_xlfn.STDEV.P(Tab.11[data])*$B$989)+$A$989)</f>
        <v>0</v>
      </c>
      <c r="M569" s="69" t="b">
        <f>IF(Tab.11[[#This Row],[a1]]=1,Tab.11[[#This Row],[data]]/(_xlfn.STDEV.P(Tab.11[data])*$B$987)-$A$987)</f>
        <v>0</v>
      </c>
      <c r="N569" s="69" t="b">
        <f>IF(Tab.11[[#This Row],[a1]]=1,Tab.11[[#This Row],[data]]/(_xlfn.STDEV.P(Tab.11[data])*$B$988)+$A$988)</f>
        <v>0</v>
      </c>
      <c r="O569" s="70" t="b">
        <f>IF(Tab.11[[#This Row],[a1]]=1,_xlfn.NORM.DIST(Tab.11[[#This Row],[b8]],$P$1,$Q$1,FALSE))</f>
        <v>0</v>
      </c>
      <c r="P569" s="70" t="b">
        <f>IF(Tab.11[[#This Row],[a1]]=1,_xlfn.NORM.DIST(Tab.11[[#This Row],[b9]],$P$1,$Q$1,FALSE))</f>
        <v>0</v>
      </c>
      <c r="Q569" s="70" t="b">
        <f>IF(Tab.11[[#This Row],[a1]]=1,_xlfn.NORM.DIST(Tab.11[[#This Row],[b10]],$P$1,$Q$1,FALSE))</f>
        <v>0</v>
      </c>
      <c r="R569" s="67" t="b">
        <f>IF(Tab.11[[#This Row],[a1]]=1,$I$3+$A$989+IF($K$3=0,Tab.11[[#This Row],[b8]]*_xlfn.STDEV.P(Tab.11[data]),AVERAGE(Tab.11[b6])+Tab.11[[#This Row],[b8]]*_xlfn.STDEV.P(Tab.11[data])))</f>
        <v>0</v>
      </c>
      <c r="S569" s="71" t="b">
        <f>IF(Tab.11[[#This Row],[a1]]=1,$I$3+$A$987+IF($K$3=0,Tab.11[[#This Row],[b9]]*_xlfn.STDEV.P(Tab.11[data]),AVERAGE(Tab.11[b6])+Tab.11[[#This Row],[b9]]*_xlfn.STDEV.P(Tab.11[data])))</f>
        <v>0</v>
      </c>
      <c r="T569" s="71" t="b">
        <f>IF(Tab.11[[#This Row],[a1]]=1,$I$3+$A$988+IF($K$3=0,Tab.11[[#This Row],[b10]]*_xlfn.STDEV.P(Tab.11[data]),AVERAGE(Tab.11[b6])+Tab.11[[#This Row],[b10]]*_xlfn.STDEV.P(Tab.11[data])))</f>
        <v>0</v>
      </c>
      <c r="U569" s="72" t="b">
        <f>IF(Tab.11[[#This Row],[a1]]=1,Tab.11[[#This Row],[target]]-Tab.11[[#This Row],[Red]])</f>
        <v>0</v>
      </c>
      <c r="V569" s="72" t="b">
        <f>IF(Tab.11[[#This Row],[a1]]=1,Tab.11[[#This Row],[target]]-Tab.11[[#This Row],[Blue]])</f>
        <v>0</v>
      </c>
      <c r="W569" s="73" t="b">
        <f>IF(Tab.11[[#This Row],[a1]]=1,IF(ABS(Tab.11[[#This Row],[b17]])+ABS(Tab.11[[#This Row],[b18]])&lt;$W$2,$W$2,ABS(Tab.11[[#This Row],[b17]])+ABS(Tab.11[[#This Row],[b18]])))</f>
        <v>0</v>
      </c>
      <c r="X569" s="136" t="b">
        <f>IF(Tab.11[[#This Row],[a1]]=1,IF($W$3&lt;0,Tab.11[[#This Row],[IN]]-$I$3,Tab.11[[#This Row],[IN]]))</f>
        <v>0</v>
      </c>
      <c r="Y569" s="136" t="b">
        <f>IF(Tab.11[[#This Row],[a1]]=1,IF($X$3=0,Tab.11[b66],Tab.11[[#This Row],[b66]]-AVERAGE(Tab.11[b66])))</f>
        <v>0</v>
      </c>
      <c r="Z569" s="135" t="b">
        <f>IF(Tab.11[[#This Row],[a1]]=1,Tab.11[[#This Row],[b77]]/(_xlfn.STDEV.P(Tab.11[b77])))</f>
        <v>0</v>
      </c>
      <c r="AA569" s="70" t="b">
        <f>IF(Tab.11[[#This Row],[a1]]=1,_xlfn.NORM.DIST(Tab.11[[#This Row],[b88]],$Z$1,$AA$1,FALSE))</f>
        <v>0</v>
      </c>
      <c r="AB569" s="74" t="b">
        <f>IF(Tab.11[[#This Row],[a1]]=1,IF($A$3=0,FALSE,1/Tab.11[[#This Row],[IN]]*$AC$2*IF(Tab.11[[#This Row],[a1]]=0,,$A$3*$AC$1*1/$V$3*(Tab.11[[#This Row],[b14]]))))</f>
        <v>0</v>
      </c>
      <c r="AC569" s="75" t="b">
        <f>IF(Tab.11[[#This Row],[a1]]=1,IF($AC$3=0,Tab.11[[#This Row],[φ1]],Tab.11[[#This Row],[φ1]]/MAX(Tab.11[φ1])))</f>
        <v>0</v>
      </c>
      <c r="AD569" s="74" t="b">
        <f>IF(Tab.11[[#This Row],[a1]]=1,1/Tab.11[[#This Row],[φ2]])</f>
        <v>0</v>
      </c>
      <c r="AE569" s="74" t="b">
        <f>IF(Tab.11[[#This Row],[a1]]=1,IF($AE$3=0,Tab.11[[#This Row],[w.0]],Tab.11[[#This Row],[w.0]]/SUM(Tab.11[w.0])))</f>
        <v>0</v>
      </c>
      <c r="AF569" s="76" t="str">
        <f>IF(Tab.11[[#This Row],[a1]]=0,"false",[3]!Tab.x5[[#This Row],[%_seN_C]])</f>
        <v>false</v>
      </c>
      <c r="AG569" s="77" t="b">
        <f>IF(Tab.11[[#This Row],[a1]]=1,AP569)</f>
        <v>0</v>
      </c>
      <c r="AH569" s="78" t="b">
        <f>IF(Tab.11[[#This Row],[a1]]=1,AQ569)</f>
        <v>0</v>
      </c>
      <c r="AI569" s="41">
        <v>3.0000000000000001E-3</v>
      </c>
      <c r="AJ569" s="79">
        <v>0</v>
      </c>
      <c r="AK569" s="80" t="b">
        <f>IF(Tab.11[[#This Row],[a1]]=1,1)</f>
        <v>0</v>
      </c>
      <c r="AZ569"/>
    </row>
    <row r="570" spans="1:52" hidden="1" x14ac:dyDescent="0.25">
      <c r="A570" s="61">
        <f t="shared" si="19"/>
        <v>0</v>
      </c>
      <c r="B570" s="62">
        <f t="shared" si="19"/>
        <v>0</v>
      </c>
      <c r="C570" s="62" t="b">
        <f>IF(Tab.11[[#This Row],[a1]]=1,[3]!Tab_x1[[#This Row],[Name]])</f>
        <v>0</v>
      </c>
      <c r="D570" s="63" t="b">
        <f>IF(Tab.11[[#This Row],[a1]]=1,AO570)</f>
        <v>0</v>
      </c>
      <c r="E570" s="63">
        <f t="shared" si="18"/>
        <v>0</v>
      </c>
      <c r="F570" s="64" t="b">
        <f>IF(Tab.11[[#This Row],[a1]]=1,Tab.11[[#This Row],[b1]])</f>
        <v>0</v>
      </c>
      <c r="G570" s="65" t="b">
        <f>IF(Tab.11[[#This Row],[a1]]=1,IF(Tab.11[[#This Row],[b3]]&gt;$L$989*$G$3,$L$989*$G$3,IF(Tab.11[[#This Row],[b3]]&lt;$M$989*$G$3,$M$989*$G$3,Tab.11[[#This Row],[b3]])))</f>
        <v>0</v>
      </c>
      <c r="H570" s="66" t="b">
        <f>IF(Tab.11[[#This Row],[a1]]=1,Tab.11[[#This Row],[b1]])</f>
        <v>0</v>
      </c>
      <c r="I570" s="67" t="b">
        <f>IF(Tab.11[[#This Row],[a1]]=1,Tab.11[[#This Row],[b1]])</f>
        <v>0</v>
      </c>
      <c r="J570" s="68" t="b">
        <f>IF(Tab.11[[#This Row],[a1]]=1,IF($I$3&lt;0,Tab.11[[#This Row],[b5]]-$I$3,Tab.11[[#This Row],[b5]]))</f>
        <v>0</v>
      </c>
      <c r="K570" s="68" t="b">
        <f>IF(Tab.11[[#This Row],[a1]]=1,IF($K$3=0,Tab.11[b6],Tab.11[[#This Row],[b6]]-AVERAGE(Tab.11[b6])))</f>
        <v>0</v>
      </c>
      <c r="L570" s="69" t="b">
        <f>IF(Tab.11[[#This Row],[a1]]=1,Tab.11[[#This Row],[data]]/(_xlfn.STDEV.P(Tab.11[data])*$B$989)+$A$989)</f>
        <v>0</v>
      </c>
      <c r="M570" s="69" t="b">
        <f>IF(Tab.11[[#This Row],[a1]]=1,Tab.11[[#This Row],[data]]/(_xlfn.STDEV.P(Tab.11[data])*$B$987)-$A$987)</f>
        <v>0</v>
      </c>
      <c r="N570" s="69" t="b">
        <f>IF(Tab.11[[#This Row],[a1]]=1,Tab.11[[#This Row],[data]]/(_xlfn.STDEV.P(Tab.11[data])*$B$988)+$A$988)</f>
        <v>0</v>
      </c>
      <c r="O570" s="70" t="b">
        <f>IF(Tab.11[[#This Row],[a1]]=1,_xlfn.NORM.DIST(Tab.11[[#This Row],[b8]],$P$1,$Q$1,FALSE))</f>
        <v>0</v>
      </c>
      <c r="P570" s="70" t="b">
        <f>IF(Tab.11[[#This Row],[a1]]=1,_xlfn.NORM.DIST(Tab.11[[#This Row],[b9]],$P$1,$Q$1,FALSE))</f>
        <v>0</v>
      </c>
      <c r="Q570" s="70" t="b">
        <f>IF(Tab.11[[#This Row],[a1]]=1,_xlfn.NORM.DIST(Tab.11[[#This Row],[b10]],$P$1,$Q$1,FALSE))</f>
        <v>0</v>
      </c>
      <c r="R570" s="67" t="b">
        <f>IF(Tab.11[[#This Row],[a1]]=1,$I$3+$A$989+IF($K$3=0,Tab.11[[#This Row],[b8]]*_xlfn.STDEV.P(Tab.11[data]),AVERAGE(Tab.11[b6])+Tab.11[[#This Row],[b8]]*_xlfn.STDEV.P(Tab.11[data])))</f>
        <v>0</v>
      </c>
      <c r="S570" s="71" t="b">
        <f>IF(Tab.11[[#This Row],[a1]]=1,$I$3+$A$987+IF($K$3=0,Tab.11[[#This Row],[b9]]*_xlfn.STDEV.P(Tab.11[data]),AVERAGE(Tab.11[b6])+Tab.11[[#This Row],[b9]]*_xlfn.STDEV.P(Tab.11[data])))</f>
        <v>0</v>
      </c>
      <c r="T570" s="71" t="b">
        <f>IF(Tab.11[[#This Row],[a1]]=1,$I$3+$A$988+IF($K$3=0,Tab.11[[#This Row],[b10]]*_xlfn.STDEV.P(Tab.11[data]),AVERAGE(Tab.11[b6])+Tab.11[[#This Row],[b10]]*_xlfn.STDEV.P(Tab.11[data])))</f>
        <v>0</v>
      </c>
      <c r="U570" s="72" t="b">
        <f>IF(Tab.11[[#This Row],[a1]]=1,Tab.11[[#This Row],[target]]-Tab.11[[#This Row],[Red]])</f>
        <v>0</v>
      </c>
      <c r="V570" s="72" t="b">
        <f>IF(Tab.11[[#This Row],[a1]]=1,Tab.11[[#This Row],[target]]-Tab.11[[#This Row],[Blue]])</f>
        <v>0</v>
      </c>
      <c r="W570" s="73" t="b">
        <f>IF(Tab.11[[#This Row],[a1]]=1,IF(ABS(Tab.11[[#This Row],[b17]])+ABS(Tab.11[[#This Row],[b18]])&lt;$W$2,$W$2,ABS(Tab.11[[#This Row],[b17]])+ABS(Tab.11[[#This Row],[b18]])))</f>
        <v>0</v>
      </c>
      <c r="X570" s="136" t="b">
        <f>IF(Tab.11[[#This Row],[a1]]=1,IF($W$3&lt;0,Tab.11[[#This Row],[IN]]-$I$3,Tab.11[[#This Row],[IN]]))</f>
        <v>0</v>
      </c>
      <c r="Y570" s="136" t="b">
        <f>IF(Tab.11[[#This Row],[a1]]=1,IF($X$3=0,Tab.11[b66],Tab.11[[#This Row],[b66]]-AVERAGE(Tab.11[b66])))</f>
        <v>0</v>
      </c>
      <c r="Z570" s="135" t="b">
        <f>IF(Tab.11[[#This Row],[a1]]=1,Tab.11[[#This Row],[b77]]/(_xlfn.STDEV.P(Tab.11[b77])))</f>
        <v>0</v>
      </c>
      <c r="AA570" s="70" t="b">
        <f>IF(Tab.11[[#This Row],[a1]]=1,_xlfn.NORM.DIST(Tab.11[[#This Row],[b88]],$Z$1,$AA$1,FALSE))</f>
        <v>0</v>
      </c>
      <c r="AB570" s="74" t="b">
        <f>IF(Tab.11[[#This Row],[a1]]=1,IF($A$3=0,FALSE,1/Tab.11[[#This Row],[IN]]*$AC$2*IF(Tab.11[[#This Row],[a1]]=0,,$A$3*$AC$1*1/$V$3*(Tab.11[[#This Row],[b14]]))))</f>
        <v>0</v>
      </c>
      <c r="AC570" s="75" t="b">
        <f>IF(Tab.11[[#This Row],[a1]]=1,IF($AC$3=0,Tab.11[[#This Row],[φ1]],Tab.11[[#This Row],[φ1]]/MAX(Tab.11[φ1])))</f>
        <v>0</v>
      </c>
      <c r="AD570" s="74" t="b">
        <f>IF(Tab.11[[#This Row],[a1]]=1,1/Tab.11[[#This Row],[φ2]])</f>
        <v>0</v>
      </c>
      <c r="AE570" s="74" t="b">
        <f>IF(Tab.11[[#This Row],[a1]]=1,IF($AE$3=0,Tab.11[[#This Row],[w.0]],Tab.11[[#This Row],[w.0]]/SUM(Tab.11[w.0])))</f>
        <v>0</v>
      </c>
      <c r="AF570" s="76" t="str">
        <f>IF(Tab.11[[#This Row],[a1]]=0,"false",[3]!Tab.x5[[#This Row],[%_seN_C]])</f>
        <v>false</v>
      </c>
      <c r="AG570" s="77" t="b">
        <f>IF(Tab.11[[#This Row],[a1]]=1,AP570)</f>
        <v>0</v>
      </c>
      <c r="AH570" s="78" t="b">
        <f>IF(Tab.11[[#This Row],[a1]]=1,AQ570)</f>
        <v>0</v>
      </c>
      <c r="AI570" s="41">
        <v>3.0000000000000001E-3</v>
      </c>
      <c r="AJ570" s="79">
        <v>0.08</v>
      </c>
      <c r="AK570" s="80" t="b">
        <f>IF(Tab.11[[#This Row],[a1]]=1,1)</f>
        <v>0</v>
      </c>
      <c r="AZ570"/>
    </row>
    <row r="571" spans="1:52" hidden="1" x14ac:dyDescent="0.25">
      <c r="A571" s="61">
        <f t="shared" si="19"/>
        <v>0</v>
      </c>
      <c r="B571" s="62">
        <f t="shared" si="19"/>
        <v>0</v>
      </c>
      <c r="C571" s="62" t="b">
        <f>IF(Tab.11[[#This Row],[a1]]=1,[3]!Tab_x1[[#This Row],[Name]])</f>
        <v>0</v>
      </c>
      <c r="D571" s="63" t="b">
        <f>IF(Tab.11[[#This Row],[a1]]=1,AO571)</f>
        <v>0</v>
      </c>
      <c r="E571" s="63">
        <f t="shared" si="18"/>
        <v>0</v>
      </c>
      <c r="F571" s="64" t="b">
        <f>IF(Tab.11[[#This Row],[a1]]=1,Tab.11[[#This Row],[b1]])</f>
        <v>0</v>
      </c>
      <c r="G571" s="65" t="b">
        <f>IF(Tab.11[[#This Row],[a1]]=1,IF(Tab.11[[#This Row],[b3]]&gt;$L$989*$G$3,$L$989*$G$3,IF(Tab.11[[#This Row],[b3]]&lt;$M$989*$G$3,$M$989*$G$3,Tab.11[[#This Row],[b3]])))</f>
        <v>0</v>
      </c>
      <c r="H571" s="66" t="b">
        <f>IF(Tab.11[[#This Row],[a1]]=1,Tab.11[[#This Row],[b1]])</f>
        <v>0</v>
      </c>
      <c r="I571" s="67" t="b">
        <f>IF(Tab.11[[#This Row],[a1]]=1,Tab.11[[#This Row],[b1]])</f>
        <v>0</v>
      </c>
      <c r="J571" s="68" t="b">
        <f>IF(Tab.11[[#This Row],[a1]]=1,IF($I$3&lt;0,Tab.11[[#This Row],[b5]]-$I$3,Tab.11[[#This Row],[b5]]))</f>
        <v>0</v>
      </c>
      <c r="K571" s="68" t="b">
        <f>IF(Tab.11[[#This Row],[a1]]=1,IF($K$3=0,Tab.11[b6],Tab.11[[#This Row],[b6]]-AVERAGE(Tab.11[b6])))</f>
        <v>0</v>
      </c>
      <c r="L571" s="69" t="b">
        <f>IF(Tab.11[[#This Row],[a1]]=1,Tab.11[[#This Row],[data]]/(_xlfn.STDEV.P(Tab.11[data])*$B$989)+$A$989)</f>
        <v>0</v>
      </c>
      <c r="M571" s="69" t="b">
        <f>IF(Tab.11[[#This Row],[a1]]=1,Tab.11[[#This Row],[data]]/(_xlfn.STDEV.P(Tab.11[data])*$B$987)-$A$987)</f>
        <v>0</v>
      </c>
      <c r="N571" s="69" t="b">
        <f>IF(Tab.11[[#This Row],[a1]]=1,Tab.11[[#This Row],[data]]/(_xlfn.STDEV.P(Tab.11[data])*$B$988)+$A$988)</f>
        <v>0</v>
      </c>
      <c r="O571" s="70" t="b">
        <f>IF(Tab.11[[#This Row],[a1]]=1,_xlfn.NORM.DIST(Tab.11[[#This Row],[b8]],$P$1,$Q$1,FALSE))</f>
        <v>0</v>
      </c>
      <c r="P571" s="70" t="b">
        <f>IF(Tab.11[[#This Row],[a1]]=1,_xlfn.NORM.DIST(Tab.11[[#This Row],[b9]],$P$1,$Q$1,FALSE))</f>
        <v>0</v>
      </c>
      <c r="Q571" s="70" t="b">
        <f>IF(Tab.11[[#This Row],[a1]]=1,_xlfn.NORM.DIST(Tab.11[[#This Row],[b10]],$P$1,$Q$1,FALSE))</f>
        <v>0</v>
      </c>
      <c r="R571" s="67" t="b">
        <f>IF(Tab.11[[#This Row],[a1]]=1,$I$3+$A$989+IF($K$3=0,Tab.11[[#This Row],[b8]]*_xlfn.STDEV.P(Tab.11[data]),AVERAGE(Tab.11[b6])+Tab.11[[#This Row],[b8]]*_xlfn.STDEV.P(Tab.11[data])))</f>
        <v>0</v>
      </c>
      <c r="S571" s="71" t="b">
        <f>IF(Tab.11[[#This Row],[a1]]=1,$I$3+$A$987+IF($K$3=0,Tab.11[[#This Row],[b9]]*_xlfn.STDEV.P(Tab.11[data]),AVERAGE(Tab.11[b6])+Tab.11[[#This Row],[b9]]*_xlfn.STDEV.P(Tab.11[data])))</f>
        <v>0</v>
      </c>
      <c r="T571" s="71" t="b">
        <f>IF(Tab.11[[#This Row],[a1]]=1,$I$3+$A$988+IF($K$3=0,Tab.11[[#This Row],[b10]]*_xlfn.STDEV.P(Tab.11[data]),AVERAGE(Tab.11[b6])+Tab.11[[#This Row],[b10]]*_xlfn.STDEV.P(Tab.11[data])))</f>
        <v>0</v>
      </c>
      <c r="U571" s="72" t="b">
        <f>IF(Tab.11[[#This Row],[a1]]=1,Tab.11[[#This Row],[target]]-Tab.11[[#This Row],[Red]])</f>
        <v>0</v>
      </c>
      <c r="V571" s="72" t="b">
        <f>IF(Tab.11[[#This Row],[a1]]=1,Tab.11[[#This Row],[target]]-Tab.11[[#This Row],[Blue]])</f>
        <v>0</v>
      </c>
      <c r="W571" s="73" t="b">
        <f>IF(Tab.11[[#This Row],[a1]]=1,IF(ABS(Tab.11[[#This Row],[b17]])+ABS(Tab.11[[#This Row],[b18]])&lt;$W$2,$W$2,ABS(Tab.11[[#This Row],[b17]])+ABS(Tab.11[[#This Row],[b18]])))</f>
        <v>0</v>
      </c>
      <c r="X571" s="136" t="b">
        <f>IF(Tab.11[[#This Row],[a1]]=1,IF($W$3&lt;0,Tab.11[[#This Row],[IN]]-$I$3,Tab.11[[#This Row],[IN]]))</f>
        <v>0</v>
      </c>
      <c r="Y571" s="136" t="b">
        <f>IF(Tab.11[[#This Row],[a1]]=1,IF($X$3=0,Tab.11[b66],Tab.11[[#This Row],[b66]]-AVERAGE(Tab.11[b66])))</f>
        <v>0</v>
      </c>
      <c r="Z571" s="135" t="b">
        <f>IF(Tab.11[[#This Row],[a1]]=1,Tab.11[[#This Row],[b77]]/(_xlfn.STDEV.P(Tab.11[b77])))</f>
        <v>0</v>
      </c>
      <c r="AA571" s="70" t="b">
        <f>IF(Tab.11[[#This Row],[a1]]=1,_xlfn.NORM.DIST(Tab.11[[#This Row],[b88]],$Z$1,$AA$1,FALSE))</f>
        <v>0</v>
      </c>
      <c r="AB571" s="74" t="b">
        <f>IF(Tab.11[[#This Row],[a1]]=1,IF($A$3=0,FALSE,1/Tab.11[[#This Row],[IN]]*$AC$2*IF(Tab.11[[#This Row],[a1]]=0,,$A$3*$AC$1*1/$V$3*(Tab.11[[#This Row],[b14]]))))</f>
        <v>0</v>
      </c>
      <c r="AC571" s="75" t="b">
        <f>IF(Tab.11[[#This Row],[a1]]=1,IF($AC$3=0,Tab.11[[#This Row],[φ1]],Tab.11[[#This Row],[φ1]]/MAX(Tab.11[φ1])))</f>
        <v>0</v>
      </c>
      <c r="AD571" s="74" t="b">
        <f>IF(Tab.11[[#This Row],[a1]]=1,1/Tab.11[[#This Row],[φ2]])</f>
        <v>0</v>
      </c>
      <c r="AE571" s="74" t="b">
        <f>IF(Tab.11[[#This Row],[a1]]=1,IF($AE$3=0,Tab.11[[#This Row],[w.0]],Tab.11[[#This Row],[w.0]]/SUM(Tab.11[w.0])))</f>
        <v>0</v>
      </c>
      <c r="AF571" s="76" t="str">
        <f>IF(Tab.11[[#This Row],[a1]]=0,"false",[3]!Tab.x5[[#This Row],[%_seN_C]])</f>
        <v>false</v>
      </c>
      <c r="AG571" s="77" t="b">
        <f>IF(Tab.11[[#This Row],[a1]]=1,AP571)</f>
        <v>0</v>
      </c>
      <c r="AH571" s="78" t="b">
        <f>IF(Tab.11[[#This Row],[a1]]=1,AQ571)</f>
        <v>0</v>
      </c>
      <c r="AI571" s="41">
        <v>3.0000000000000001E-3</v>
      </c>
      <c r="AJ571" s="79">
        <v>-7.0000000000000007E-2</v>
      </c>
      <c r="AK571" s="80" t="b">
        <f>IF(Tab.11[[#This Row],[a1]]=1,1)</f>
        <v>0</v>
      </c>
      <c r="AZ571"/>
    </row>
    <row r="572" spans="1:52" hidden="1" x14ac:dyDescent="0.25">
      <c r="A572" s="61">
        <f t="shared" si="19"/>
        <v>0</v>
      </c>
      <c r="B572" s="62">
        <f t="shared" si="19"/>
        <v>0</v>
      </c>
      <c r="C572" s="62" t="b">
        <f>IF(Tab.11[[#This Row],[a1]]=1,[3]!Tab_x1[[#This Row],[Name]])</f>
        <v>0</v>
      </c>
      <c r="D572" s="63" t="b">
        <f>IF(Tab.11[[#This Row],[a1]]=1,AO572)</f>
        <v>0</v>
      </c>
      <c r="E572" s="63">
        <f t="shared" si="18"/>
        <v>0</v>
      </c>
      <c r="F572" s="64" t="b">
        <f>IF(Tab.11[[#This Row],[a1]]=1,Tab.11[[#This Row],[b1]])</f>
        <v>0</v>
      </c>
      <c r="G572" s="65" t="b">
        <f>IF(Tab.11[[#This Row],[a1]]=1,IF(Tab.11[[#This Row],[b3]]&gt;$L$989*$G$3,$L$989*$G$3,IF(Tab.11[[#This Row],[b3]]&lt;$M$989*$G$3,$M$989*$G$3,Tab.11[[#This Row],[b3]])))</f>
        <v>0</v>
      </c>
      <c r="H572" s="66" t="b">
        <f>IF(Tab.11[[#This Row],[a1]]=1,Tab.11[[#This Row],[b1]])</f>
        <v>0</v>
      </c>
      <c r="I572" s="67" t="b">
        <f>IF(Tab.11[[#This Row],[a1]]=1,Tab.11[[#This Row],[b1]])</f>
        <v>0</v>
      </c>
      <c r="J572" s="68" t="b">
        <f>IF(Tab.11[[#This Row],[a1]]=1,IF($I$3&lt;0,Tab.11[[#This Row],[b5]]-$I$3,Tab.11[[#This Row],[b5]]))</f>
        <v>0</v>
      </c>
      <c r="K572" s="68" t="b">
        <f>IF(Tab.11[[#This Row],[a1]]=1,IF($K$3=0,Tab.11[b6],Tab.11[[#This Row],[b6]]-AVERAGE(Tab.11[b6])))</f>
        <v>0</v>
      </c>
      <c r="L572" s="69" t="b">
        <f>IF(Tab.11[[#This Row],[a1]]=1,Tab.11[[#This Row],[data]]/(_xlfn.STDEV.P(Tab.11[data])*$B$989)+$A$989)</f>
        <v>0</v>
      </c>
      <c r="M572" s="69" t="b">
        <f>IF(Tab.11[[#This Row],[a1]]=1,Tab.11[[#This Row],[data]]/(_xlfn.STDEV.P(Tab.11[data])*$B$987)-$A$987)</f>
        <v>0</v>
      </c>
      <c r="N572" s="69" t="b">
        <f>IF(Tab.11[[#This Row],[a1]]=1,Tab.11[[#This Row],[data]]/(_xlfn.STDEV.P(Tab.11[data])*$B$988)+$A$988)</f>
        <v>0</v>
      </c>
      <c r="O572" s="70" t="b">
        <f>IF(Tab.11[[#This Row],[a1]]=1,_xlfn.NORM.DIST(Tab.11[[#This Row],[b8]],$P$1,$Q$1,FALSE))</f>
        <v>0</v>
      </c>
      <c r="P572" s="70" t="b">
        <f>IF(Tab.11[[#This Row],[a1]]=1,_xlfn.NORM.DIST(Tab.11[[#This Row],[b9]],$P$1,$Q$1,FALSE))</f>
        <v>0</v>
      </c>
      <c r="Q572" s="70" t="b">
        <f>IF(Tab.11[[#This Row],[a1]]=1,_xlfn.NORM.DIST(Tab.11[[#This Row],[b10]],$P$1,$Q$1,FALSE))</f>
        <v>0</v>
      </c>
      <c r="R572" s="67" t="b">
        <f>IF(Tab.11[[#This Row],[a1]]=1,$I$3+$A$989+IF($K$3=0,Tab.11[[#This Row],[b8]]*_xlfn.STDEV.P(Tab.11[data]),AVERAGE(Tab.11[b6])+Tab.11[[#This Row],[b8]]*_xlfn.STDEV.P(Tab.11[data])))</f>
        <v>0</v>
      </c>
      <c r="S572" s="71" t="b">
        <f>IF(Tab.11[[#This Row],[a1]]=1,$I$3+$A$987+IF($K$3=0,Tab.11[[#This Row],[b9]]*_xlfn.STDEV.P(Tab.11[data]),AVERAGE(Tab.11[b6])+Tab.11[[#This Row],[b9]]*_xlfn.STDEV.P(Tab.11[data])))</f>
        <v>0</v>
      </c>
      <c r="T572" s="71" t="b">
        <f>IF(Tab.11[[#This Row],[a1]]=1,$I$3+$A$988+IF($K$3=0,Tab.11[[#This Row],[b10]]*_xlfn.STDEV.P(Tab.11[data]),AVERAGE(Tab.11[b6])+Tab.11[[#This Row],[b10]]*_xlfn.STDEV.P(Tab.11[data])))</f>
        <v>0</v>
      </c>
      <c r="U572" s="72" t="b">
        <f>IF(Tab.11[[#This Row],[a1]]=1,Tab.11[[#This Row],[target]]-Tab.11[[#This Row],[Red]])</f>
        <v>0</v>
      </c>
      <c r="V572" s="72" t="b">
        <f>IF(Tab.11[[#This Row],[a1]]=1,Tab.11[[#This Row],[target]]-Tab.11[[#This Row],[Blue]])</f>
        <v>0</v>
      </c>
      <c r="W572" s="73" t="b">
        <f>IF(Tab.11[[#This Row],[a1]]=1,IF(ABS(Tab.11[[#This Row],[b17]])+ABS(Tab.11[[#This Row],[b18]])&lt;$W$2,$W$2,ABS(Tab.11[[#This Row],[b17]])+ABS(Tab.11[[#This Row],[b18]])))</f>
        <v>0</v>
      </c>
      <c r="X572" s="136" t="b">
        <f>IF(Tab.11[[#This Row],[a1]]=1,IF($W$3&lt;0,Tab.11[[#This Row],[IN]]-$I$3,Tab.11[[#This Row],[IN]]))</f>
        <v>0</v>
      </c>
      <c r="Y572" s="136" t="b">
        <f>IF(Tab.11[[#This Row],[a1]]=1,IF($X$3=0,Tab.11[b66],Tab.11[[#This Row],[b66]]-AVERAGE(Tab.11[b66])))</f>
        <v>0</v>
      </c>
      <c r="Z572" s="135" t="b">
        <f>IF(Tab.11[[#This Row],[a1]]=1,Tab.11[[#This Row],[b77]]/(_xlfn.STDEV.P(Tab.11[b77])))</f>
        <v>0</v>
      </c>
      <c r="AA572" s="70" t="b">
        <f>IF(Tab.11[[#This Row],[a1]]=1,_xlfn.NORM.DIST(Tab.11[[#This Row],[b88]],$Z$1,$AA$1,FALSE))</f>
        <v>0</v>
      </c>
      <c r="AB572" s="74" t="b">
        <f>IF(Tab.11[[#This Row],[a1]]=1,IF($A$3=0,FALSE,1/Tab.11[[#This Row],[IN]]*$AC$2*IF(Tab.11[[#This Row],[a1]]=0,,$A$3*$AC$1*1/$V$3*(Tab.11[[#This Row],[b14]]))))</f>
        <v>0</v>
      </c>
      <c r="AC572" s="75" t="b">
        <f>IF(Tab.11[[#This Row],[a1]]=1,IF($AC$3=0,Tab.11[[#This Row],[φ1]],Tab.11[[#This Row],[φ1]]/MAX(Tab.11[φ1])))</f>
        <v>0</v>
      </c>
      <c r="AD572" s="74" t="b">
        <f>IF(Tab.11[[#This Row],[a1]]=1,1/Tab.11[[#This Row],[φ2]])</f>
        <v>0</v>
      </c>
      <c r="AE572" s="74" t="b">
        <f>IF(Tab.11[[#This Row],[a1]]=1,IF($AE$3=0,Tab.11[[#This Row],[w.0]],Tab.11[[#This Row],[w.0]]/SUM(Tab.11[w.0])))</f>
        <v>0</v>
      </c>
      <c r="AF572" s="76" t="str">
        <f>IF(Tab.11[[#This Row],[a1]]=0,"false",[3]!Tab.x5[[#This Row],[%_seN_C]])</f>
        <v>false</v>
      </c>
      <c r="AG572" s="77" t="b">
        <f>IF(Tab.11[[#This Row],[a1]]=1,AP572)</f>
        <v>0</v>
      </c>
      <c r="AH572" s="78" t="b">
        <f>IF(Tab.11[[#This Row],[a1]]=1,AQ572)</f>
        <v>0</v>
      </c>
      <c r="AI572" s="41">
        <v>3.0000000000000001E-3</v>
      </c>
      <c r="AJ572" s="79">
        <v>0.06</v>
      </c>
      <c r="AK572" s="80" t="b">
        <f>IF(Tab.11[[#This Row],[a1]]=1,1)</f>
        <v>0</v>
      </c>
      <c r="AZ572"/>
    </row>
    <row r="573" spans="1:52" hidden="1" x14ac:dyDescent="0.25">
      <c r="A573" s="61">
        <f t="shared" si="19"/>
        <v>0</v>
      </c>
      <c r="B573" s="62">
        <f t="shared" si="19"/>
        <v>0</v>
      </c>
      <c r="C573" s="62" t="b">
        <f>IF(Tab.11[[#This Row],[a1]]=1,[3]!Tab_x1[[#This Row],[Name]])</f>
        <v>0</v>
      </c>
      <c r="D573" s="63" t="b">
        <f>IF(Tab.11[[#This Row],[a1]]=1,AO573)</f>
        <v>0</v>
      </c>
      <c r="E573" s="63">
        <f t="shared" si="18"/>
        <v>0</v>
      </c>
      <c r="F573" s="64" t="b">
        <f>IF(Tab.11[[#This Row],[a1]]=1,Tab.11[[#This Row],[b1]])</f>
        <v>0</v>
      </c>
      <c r="G573" s="65" t="b">
        <f>IF(Tab.11[[#This Row],[a1]]=1,IF(Tab.11[[#This Row],[b3]]&gt;$L$989*$G$3,$L$989*$G$3,IF(Tab.11[[#This Row],[b3]]&lt;$M$989*$G$3,$M$989*$G$3,Tab.11[[#This Row],[b3]])))</f>
        <v>0</v>
      </c>
      <c r="H573" s="66" t="b">
        <f>IF(Tab.11[[#This Row],[a1]]=1,Tab.11[[#This Row],[b1]])</f>
        <v>0</v>
      </c>
      <c r="I573" s="67" t="b">
        <f>IF(Tab.11[[#This Row],[a1]]=1,Tab.11[[#This Row],[b1]])</f>
        <v>0</v>
      </c>
      <c r="J573" s="68" t="b">
        <f>IF(Tab.11[[#This Row],[a1]]=1,IF($I$3&lt;0,Tab.11[[#This Row],[b5]]-$I$3,Tab.11[[#This Row],[b5]]))</f>
        <v>0</v>
      </c>
      <c r="K573" s="68" t="b">
        <f>IF(Tab.11[[#This Row],[a1]]=1,IF($K$3=0,Tab.11[b6],Tab.11[[#This Row],[b6]]-AVERAGE(Tab.11[b6])))</f>
        <v>0</v>
      </c>
      <c r="L573" s="69" t="b">
        <f>IF(Tab.11[[#This Row],[a1]]=1,Tab.11[[#This Row],[data]]/(_xlfn.STDEV.P(Tab.11[data])*$B$989)+$A$989)</f>
        <v>0</v>
      </c>
      <c r="M573" s="69" t="b">
        <f>IF(Tab.11[[#This Row],[a1]]=1,Tab.11[[#This Row],[data]]/(_xlfn.STDEV.P(Tab.11[data])*$B$987)-$A$987)</f>
        <v>0</v>
      </c>
      <c r="N573" s="69" t="b">
        <f>IF(Tab.11[[#This Row],[a1]]=1,Tab.11[[#This Row],[data]]/(_xlfn.STDEV.P(Tab.11[data])*$B$988)+$A$988)</f>
        <v>0</v>
      </c>
      <c r="O573" s="70" t="b">
        <f>IF(Tab.11[[#This Row],[a1]]=1,_xlfn.NORM.DIST(Tab.11[[#This Row],[b8]],$P$1,$Q$1,FALSE))</f>
        <v>0</v>
      </c>
      <c r="P573" s="70" t="b">
        <f>IF(Tab.11[[#This Row],[a1]]=1,_xlfn.NORM.DIST(Tab.11[[#This Row],[b9]],$P$1,$Q$1,FALSE))</f>
        <v>0</v>
      </c>
      <c r="Q573" s="70" t="b">
        <f>IF(Tab.11[[#This Row],[a1]]=1,_xlfn.NORM.DIST(Tab.11[[#This Row],[b10]],$P$1,$Q$1,FALSE))</f>
        <v>0</v>
      </c>
      <c r="R573" s="67" t="b">
        <f>IF(Tab.11[[#This Row],[a1]]=1,$I$3+$A$989+IF($K$3=0,Tab.11[[#This Row],[b8]]*_xlfn.STDEV.P(Tab.11[data]),AVERAGE(Tab.11[b6])+Tab.11[[#This Row],[b8]]*_xlfn.STDEV.P(Tab.11[data])))</f>
        <v>0</v>
      </c>
      <c r="S573" s="71" t="b">
        <f>IF(Tab.11[[#This Row],[a1]]=1,$I$3+$A$987+IF($K$3=0,Tab.11[[#This Row],[b9]]*_xlfn.STDEV.P(Tab.11[data]),AVERAGE(Tab.11[b6])+Tab.11[[#This Row],[b9]]*_xlfn.STDEV.P(Tab.11[data])))</f>
        <v>0</v>
      </c>
      <c r="T573" s="71" t="b">
        <f>IF(Tab.11[[#This Row],[a1]]=1,$I$3+$A$988+IF($K$3=0,Tab.11[[#This Row],[b10]]*_xlfn.STDEV.P(Tab.11[data]),AVERAGE(Tab.11[b6])+Tab.11[[#This Row],[b10]]*_xlfn.STDEV.P(Tab.11[data])))</f>
        <v>0</v>
      </c>
      <c r="U573" s="72" t="b">
        <f>IF(Tab.11[[#This Row],[a1]]=1,Tab.11[[#This Row],[target]]-Tab.11[[#This Row],[Red]])</f>
        <v>0</v>
      </c>
      <c r="V573" s="72" t="b">
        <f>IF(Tab.11[[#This Row],[a1]]=1,Tab.11[[#This Row],[target]]-Tab.11[[#This Row],[Blue]])</f>
        <v>0</v>
      </c>
      <c r="W573" s="73" t="b">
        <f>IF(Tab.11[[#This Row],[a1]]=1,IF(ABS(Tab.11[[#This Row],[b17]])+ABS(Tab.11[[#This Row],[b18]])&lt;$W$2,$W$2,ABS(Tab.11[[#This Row],[b17]])+ABS(Tab.11[[#This Row],[b18]])))</f>
        <v>0</v>
      </c>
      <c r="X573" s="136" t="b">
        <f>IF(Tab.11[[#This Row],[a1]]=1,IF($W$3&lt;0,Tab.11[[#This Row],[IN]]-$I$3,Tab.11[[#This Row],[IN]]))</f>
        <v>0</v>
      </c>
      <c r="Y573" s="136" t="b">
        <f>IF(Tab.11[[#This Row],[a1]]=1,IF($X$3=0,Tab.11[b66],Tab.11[[#This Row],[b66]]-AVERAGE(Tab.11[b66])))</f>
        <v>0</v>
      </c>
      <c r="Z573" s="135" t="b">
        <f>IF(Tab.11[[#This Row],[a1]]=1,Tab.11[[#This Row],[b77]]/(_xlfn.STDEV.P(Tab.11[b77])))</f>
        <v>0</v>
      </c>
      <c r="AA573" s="70" t="b">
        <f>IF(Tab.11[[#This Row],[a1]]=1,_xlfn.NORM.DIST(Tab.11[[#This Row],[b88]],$Z$1,$AA$1,FALSE))</f>
        <v>0</v>
      </c>
      <c r="AB573" s="74" t="b">
        <f>IF(Tab.11[[#This Row],[a1]]=1,IF($A$3=0,FALSE,1/Tab.11[[#This Row],[IN]]*$AC$2*IF(Tab.11[[#This Row],[a1]]=0,,$A$3*$AC$1*1/$V$3*(Tab.11[[#This Row],[b14]]))))</f>
        <v>0</v>
      </c>
      <c r="AC573" s="75" t="b">
        <f>IF(Tab.11[[#This Row],[a1]]=1,IF($AC$3=0,Tab.11[[#This Row],[φ1]],Tab.11[[#This Row],[φ1]]/MAX(Tab.11[φ1])))</f>
        <v>0</v>
      </c>
      <c r="AD573" s="74" t="b">
        <f>IF(Tab.11[[#This Row],[a1]]=1,1/Tab.11[[#This Row],[φ2]])</f>
        <v>0</v>
      </c>
      <c r="AE573" s="74" t="b">
        <f>IF(Tab.11[[#This Row],[a1]]=1,IF($AE$3=0,Tab.11[[#This Row],[w.0]],Tab.11[[#This Row],[w.0]]/SUM(Tab.11[w.0])))</f>
        <v>0</v>
      </c>
      <c r="AF573" s="76" t="str">
        <f>IF(Tab.11[[#This Row],[a1]]=0,"false",[3]!Tab.x5[[#This Row],[%_seN_C]])</f>
        <v>false</v>
      </c>
      <c r="AG573" s="77" t="b">
        <f>IF(Tab.11[[#This Row],[a1]]=1,AP573)</f>
        <v>0</v>
      </c>
      <c r="AH573" s="78" t="b">
        <f>IF(Tab.11[[#This Row],[a1]]=1,AQ573)</f>
        <v>0</v>
      </c>
      <c r="AI573" s="41">
        <v>3.0000000000000001E-3</v>
      </c>
      <c r="AJ573" s="79">
        <v>-0.06</v>
      </c>
      <c r="AK573" s="80" t="b">
        <f>IF(Tab.11[[#This Row],[a1]]=1,1)</f>
        <v>0</v>
      </c>
      <c r="AZ573"/>
    </row>
    <row r="574" spans="1:52" hidden="1" x14ac:dyDescent="0.25">
      <c r="A574" s="61">
        <f t="shared" si="19"/>
        <v>0</v>
      </c>
      <c r="B574" s="62">
        <f t="shared" si="19"/>
        <v>0</v>
      </c>
      <c r="C574" s="62" t="b">
        <f>IF(Tab.11[[#This Row],[a1]]=1,[3]!Tab_x1[[#This Row],[Name]])</f>
        <v>0</v>
      </c>
      <c r="D574" s="63" t="b">
        <f>IF(Tab.11[[#This Row],[a1]]=1,AO574)</f>
        <v>0</v>
      </c>
      <c r="E574" s="63">
        <f t="shared" si="18"/>
        <v>0</v>
      </c>
      <c r="F574" s="64" t="b">
        <f>IF(Tab.11[[#This Row],[a1]]=1,Tab.11[[#This Row],[b1]])</f>
        <v>0</v>
      </c>
      <c r="G574" s="65" t="b">
        <f>IF(Tab.11[[#This Row],[a1]]=1,IF(Tab.11[[#This Row],[b3]]&gt;$L$989*$G$3,$L$989*$G$3,IF(Tab.11[[#This Row],[b3]]&lt;$M$989*$G$3,$M$989*$G$3,Tab.11[[#This Row],[b3]])))</f>
        <v>0</v>
      </c>
      <c r="H574" s="66" t="b">
        <f>IF(Tab.11[[#This Row],[a1]]=1,Tab.11[[#This Row],[b1]])</f>
        <v>0</v>
      </c>
      <c r="I574" s="67" t="b">
        <f>IF(Tab.11[[#This Row],[a1]]=1,Tab.11[[#This Row],[b1]])</f>
        <v>0</v>
      </c>
      <c r="J574" s="68" t="b">
        <f>IF(Tab.11[[#This Row],[a1]]=1,IF($I$3&lt;0,Tab.11[[#This Row],[b5]]-$I$3,Tab.11[[#This Row],[b5]]))</f>
        <v>0</v>
      </c>
      <c r="K574" s="68" t="b">
        <f>IF(Tab.11[[#This Row],[a1]]=1,IF($K$3=0,Tab.11[b6],Tab.11[[#This Row],[b6]]-AVERAGE(Tab.11[b6])))</f>
        <v>0</v>
      </c>
      <c r="L574" s="69" t="b">
        <f>IF(Tab.11[[#This Row],[a1]]=1,Tab.11[[#This Row],[data]]/(_xlfn.STDEV.P(Tab.11[data])*$B$989)+$A$989)</f>
        <v>0</v>
      </c>
      <c r="M574" s="69" t="b">
        <f>IF(Tab.11[[#This Row],[a1]]=1,Tab.11[[#This Row],[data]]/(_xlfn.STDEV.P(Tab.11[data])*$B$987)-$A$987)</f>
        <v>0</v>
      </c>
      <c r="N574" s="69" t="b">
        <f>IF(Tab.11[[#This Row],[a1]]=1,Tab.11[[#This Row],[data]]/(_xlfn.STDEV.P(Tab.11[data])*$B$988)+$A$988)</f>
        <v>0</v>
      </c>
      <c r="O574" s="70" t="b">
        <f>IF(Tab.11[[#This Row],[a1]]=1,_xlfn.NORM.DIST(Tab.11[[#This Row],[b8]],$P$1,$Q$1,FALSE))</f>
        <v>0</v>
      </c>
      <c r="P574" s="70" t="b">
        <f>IF(Tab.11[[#This Row],[a1]]=1,_xlfn.NORM.DIST(Tab.11[[#This Row],[b9]],$P$1,$Q$1,FALSE))</f>
        <v>0</v>
      </c>
      <c r="Q574" s="70" t="b">
        <f>IF(Tab.11[[#This Row],[a1]]=1,_xlfn.NORM.DIST(Tab.11[[#This Row],[b10]],$P$1,$Q$1,FALSE))</f>
        <v>0</v>
      </c>
      <c r="R574" s="67" t="b">
        <f>IF(Tab.11[[#This Row],[a1]]=1,$I$3+$A$989+IF($K$3=0,Tab.11[[#This Row],[b8]]*_xlfn.STDEV.P(Tab.11[data]),AVERAGE(Tab.11[b6])+Tab.11[[#This Row],[b8]]*_xlfn.STDEV.P(Tab.11[data])))</f>
        <v>0</v>
      </c>
      <c r="S574" s="71" t="b">
        <f>IF(Tab.11[[#This Row],[a1]]=1,$I$3+$A$987+IF($K$3=0,Tab.11[[#This Row],[b9]]*_xlfn.STDEV.P(Tab.11[data]),AVERAGE(Tab.11[b6])+Tab.11[[#This Row],[b9]]*_xlfn.STDEV.P(Tab.11[data])))</f>
        <v>0</v>
      </c>
      <c r="T574" s="71" t="b">
        <f>IF(Tab.11[[#This Row],[a1]]=1,$I$3+$A$988+IF($K$3=0,Tab.11[[#This Row],[b10]]*_xlfn.STDEV.P(Tab.11[data]),AVERAGE(Tab.11[b6])+Tab.11[[#This Row],[b10]]*_xlfn.STDEV.P(Tab.11[data])))</f>
        <v>0</v>
      </c>
      <c r="U574" s="72" t="b">
        <f>IF(Tab.11[[#This Row],[a1]]=1,Tab.11[[#This Row],[target]]-Tab.11[[#This Row],[Red]])</f>
        <v>0</v>
      </c>
      <c r="V574" s="72" t="b">
        <f>IF(Tab.11[[#This Row],[a1]]=1,Tab.11[[#This Row],[target]]-Tab.11[[#This Row],[Blue]])</f>
        <v>0</v>
      </c>
      <c r="W574" s="73" t="b">
        <f>IF(Tab.11[[#This Row],[a1]]=1,IF(ABS(Tab.11[[#This Row],[b17]])+ABS(Tab.11[[#This Row],[b18]])&lt;$W$2,$W$2,ABS(Tab.11[[#This Row],[b17]])+ABS(Tab.11[[#This Row],[b18]])))</f>
        <v>0</v>
      </c>
      <c r="X574" s="136" t="b">
        <f>IF(Tab.11[[#This Row],[a1]]=1,IF($W$3&lt;0,Tab.11[[#This Row],[IN]]-$I$3,Tab.11[[#This Row],[IN]]))</f>
        <v>0</v>
      </c>
      <c r="Y574" s="136" t="b">
        <f>IF(Tab.11[[#This Row],[a1]]=1,IF($X$3=0,Tab.11[b66],Tab.11[[#This Row],[b66]]-AVERAGE(Tab.11[b66])))</f>
        <v>0</v>
      </c>
      <c r="Z574" s="135" t="b">
        <f>IF(Tab.11[[#This Row],[a1]]=1,Tab.11[[#This Row],[b77]]/(_xlfn.STDEV.P(Tab.11[b77])))</f>
        <v>0</v>
      </c>
      <c r="AA574" s="70" t="b">
        <f>IF(Tab.11[[#This Row],[a1]]=1,_xlfn.NORM.DIST(Tab.11[[#This Row],[b88]],$Z$1,$AA$1,FALSE))</f>
        <v>0</v>
      </c>
      <c r="AB574" s="74" t="b">
        <f>IF(Tab.11[[#This Row],[a1]]=1,IF($A$3=0,FALSE,1/Tab.11[[#This Row],[IN]]*$AC$2*IF(Tab.11[[#This Row],[a1]]=0,,$A$3*$AC$1*1/$V$3*(Tab.11[[#This Row],[b14]]))))</f>
        <v>0</v>
      </c>
      <c r="AC574" s="75" t="b">
        <f>IF(Tab.11[[#This Row],[a1]]=1,IF($AC$3=0,Tab.11[[#This Row],[φ1]],Tab.11[[#This Row],[φ1]]/MAX(Tab.11[φ1])))</f>
        <v>0</v>
      </c>
      <c r="AD574" s="74" t="b">
        <f>IF(Tab.11[[#This Row],[a1]]=1,1/Tab.11[[#This Row],[φ2]])</f>
        <v>0</v>
      </c>
      <c r="AE574" s="74" t="b">
        <f>IF(Tab.11[[#This Row],[a1]]=1,IF($AE$3=0,Tab.11[[#This Row],[w.0]],Tab.11[[#This Row],[w.0]]/SUM(Tab.11[w.0])))</f>
        <v>0</v>
      </c>
      <c r="AF574" s="76" t="str">
        <f>IF(Tab.11[[#This Row],[a1]]=0,"false",[3]!Tab.x5[[#This Row],[%_seN_C]])</f>
        <v>false</v>
      </c>
      <c r="AG574" s="77" t="b">
        <f>IF(Tab.11[[#This Row],[a1]]=1,AP574)</f>
        <v>0</v>
      </c>
      <c r="AH574" s="78" t="b">
        <f>IF(Tab.11[[#This Row],[a1]]=1,AQ574)</f>
        <v>0</v>
      </c>
      <c r="AI574" s="41">
        <v>3.0000000000000001E-3</v>
      </c>
      <c r="AJ574" s="79">
        <v>0.09</v>
      </c>
      <c r="AK574" s="80" t="b">
        <f>IF(Tab.11[[#This Row],[a1]]=1,1)</f>
        <v>0</v>
      </c>
      <c r="AZ574"/>
    </row>
    <row r="575" spans="1:52" hidden="1" x14ac:dyDescent="0.25">
      <c r="A575" s="61">
        <f t="shared" si="19"/>
        <v>0</v>
      </c>
      <c r="B575" s="62">
        <f t="shared" si="19"/>
        <v>0</v>
      </c>
      <c r="C575" s="62" t="b">
        <f>IF(Tab.11[[#This Row],[a1]]=1,[3]!Tab_x1[[#This Row],[Name]])</f>
        <v>0</v>
      </c>
      <c r="D575" s="63" t="b">
        <f>IF(Tab.11[[#This Row],[a1]]=1,AO575)</f>
        <v>0</v>
      </c>
      <c r="E575" s="63">
        <f t="shared" si="18"/>
        <v>0</v>
      </c>
      <c r="F575" s="64" t="b">
        <f>IF(Tab.11[[#This Row],[a1]]=1,Tab.11[[#This Row],[b1]])</f>
        <v>0</v>
      </c>
      <c r="G575" s="65" t="b">
        <f>IF(Tab.11[[#This Row],[a1]]=1,IF(Tab.11[[#This Row],[b3]]&gt;$L$989*$G$3,$L$989*$G$3,IF(Tab.11[[#This Row],[b3]]&lt;$M$989*$G$3,$M$989*$G$3,Tab.11[[#This Row],[b3]])))</f>
        <v>0</v>
      </c>
      <c r="H575" s="66" t="b">
        <f>IF(Tab.11[[#This Row],[a1]]=1,Tab.11[[#This Row],[b1]])</f>
        <v>0</v>
      </c>
      <c r="I575" s="67" t="b">
        <f>IF(Tab.11[[#This Row],[a1]]=1,Tab.11[[#This Row],[b1]])</f>
        <v>0</v>
      </c>
      <c r="J575" s="68" t="b">
        <f>IF(Tab.11[[#This Row],[a1]]=1,IF($I$3&lt;0,Tab.11[[#This Row],[b5]]-$I$3,Tab.11[[#This Row],[b5]]))</f>
        <v>0</v>
      </c>
      <c r="K575" s="68" t="b">
        <f>IF(Tab.11[[#This Row],[a1]]=1,IF($K$3=0,Tab.11[b6],Tab.11[[#This Row],[b6]]-AVERAGE(Tab.11[b6])))</f>
        <v>0</v>
      </c>
      <c r="L575" s="69" t="b">
        <f>IF(Tab.11[[#This Row],[a1]]=1,Tab.11[[#This Row],[data]]/(_xlfn.STDEV.P(Tab.11[data])*$B$989)+$A$989)</f>
        <v>0</v>
      </c>
      <c r="M575" s="69" t="b">
        <f>IF(Tab.11[[#This Row],[a1]]=1,Tab.11[[#This Row],[data]]/(_xlfn.STDEV.P(Tab.11[data])*$B$987)-$A$987)</f>
        <v>0</v>
      </c>
      <c r="N575" s="69" t="b">
        <f>IF(Tab.11[[#This Row],[a1]]=1,Tab.11[[#This Row],[data]]/(_xlfn.STDEV.P(Tab.11[data])*$B$988)+$A$988)</f>
        <v>0</v>
      </c>
      <c r="O575" s="70" t="b">
        <f>IF(Tab.11[[#This Row],[a1]]=1,_xlfn.NORM.DIST(Tab.11[[#This Row],[b8]],$P$1,$Q$1,FALSE))</f>
        <v>0</v>
      </c>
      <c r="P575" s="70" t="b">
        <f>IF(Tab.11[[#This Row],[a1]]=1,_xlfn.NORM.DIST(Tab.11[[#This Row],[b9]],$P$1,$Q$1,FALSE))</f>
        <v>0</v>
      </c>
      <c r="Q575" s="70" t="b">
        <f>IF(Tab.11[[#This Row],[a1]]=1,_xlfn.NORM.DIST(Tab.11[[#This Row],[b10]],$P$1,$Q$1,FALSE))</f>
        <v>0</v>
      </c>
      <c r="R575" s="67" t="b">
        <f>IF(Tab.11[[#This Row],[a1]]=1,$I$3+$A$989+IF($K$3=0,Tab.11[[#This Row],[b8]]*_xlfn.STDEV.P(Tab.11[data]),AVERAGE(Tab.11[b6])+Tab.11[[#This Row],[b8]]*_xlfn.STDEV.P(Tab.11[data])))</f>
        <v>0</v>
      </c>
      <c r="S575" s="71" t="b">
        <f>IF(Tab.11[[#This Row],[a1]]=1,$I$3+$A$987+IF($K$3=0,Tab.11[[#This Row],[b9]]*_xlfn.STDEV.P(Tab.11[data]),AVERAGE(Tab.11[b6])+Tab.11[[#This Row],[b9]]*_xlfn.STDEV.P(Tab.11[data])))</f>
        <v>0</v>
      </c>
      <c r="T575" s="71" t="b">
        <f>IF(Tab.11[[#This Row],[a1]]=1,$I$3+$A$988+IF($K$3=0,Tab.11[[#This Row],[b10]]*_xlfn.STDEV.P(Tab.11[data]),AVERAGE(Tab.11[b6])+Tab.11[[#This Row],[b10]]*_xlfn.STDEV.P(Tab.11[data])))</f>
        <v>0</v>
      </c>
      <c r="U575" s="72" t="b">
        <f>IF(Tab.11[[#This Row],[a1]]=1,Tab.11[[#This Row],[target]]-Tab.11[[#This Row],[Red]])</f>
        <v>0</v>
      </c>
      <c r="V575" s="72" t="b">
        <f>IF(Tab.11[[#This Row],[a1]]=1,Tab.11[[#This Row],[target]]-Tab.11[[#This Row],[Blue]])</f>
        <v>0</v>
      </c>
      <c r="W575" s="73" t="b">
        <f>IF(Tab.11[[#This Row],[a1]]=1,IF(ABS(Tab.11[[#This Row],[b17]])+ABS(Tab.11[[#This Row],[b18]])&lt;$W$2,$W$2,ABS(Tab.11[[#This Row],[b17]])+ABS(Tab.11[[#This Row],[b18]])))</f>
        <v>0</v>
      </c>
      <c r="X575" s="136" t="b">
        <f>IF(Tab.11[[#This Row],[a1]]=1,IF($W$3&lt;0,Tab.11[[#This Row],[IN]]-$I$3,Tab.11[[#This Row],[IN]]))</f>
        <v>0</v>
      </c>
      <c r="Y575" s="136" t="b">
        <f>IF(Tab.11[[#This Row],[a1]]=1,IF($X$3=0,Tab.11[b66],Tab.11[[#This Row],[b66]]-AVERAGE(Tab.11[b66])))</f>
        <v>0</v>
      </c>
      <c r="Z575" s="135" t="b">
        <f>IF(Tab.11[[#This Row],[a1]]=1,Tab.11[[#This Row],[b77]]/(_xlfn.STDEV.P(Tab.11[b77])))</f>
        <v>0</v>
      </c>
      <c r="AA575" s="70" t="b">
        <f>IF(Tab.11[[#This Row],[a1]]=1,_xlfn.NORM.DIST(Tab.11[[#This Row],[b88]],$Z$1,$AA$1,FALSE))</f>
        <v>0</v>
      </c>
      <c r="AB575" s="74" t="b">
        <f>IF(Tab.11[[#This Row],[a1]]=1,IF($A$3=0,FALSE,1/Tab.11[[#This Row],[IN]]*$AC$2*IF(Tab.11[[#This Row],[a1]]=0,,$A$3*$AC$1*1/$V$3*(Tab.11[[#This Row],[b14]]))))</f>
        <v>0</v>
      </c>
      <c r="AC575" s="75" t="b">
        <f>IF(Tab.11[[#This Row],[a1]]=1,IF($AC$3=0,Tab.11[[#This Row],[φ1]],Tab.11[[#This Row],[φ1]]/MAX(Tab.11[φ1])))</f>
        <v>0</v>
      </c>
      <c r="AD575" s="74" t="b">
        <f>IF(Tab.11[[#This Row],[a1]]=1,1/Tab.11[[#This Row],[φ2]])</f>
        <v>0</v>
      </c>
      <c r="AE575" s="74" t="b">
        <f>IF(Tab.11[[#This Row],[a1]]=1,IF($AE$3=0,Tab.11[[#This Row],[w.0]],Tab.11[[#This Row],[w.0]]/SUM(Tab.11[w.0])))</f>
        <v>0</v>
      </c>
      <c r="AF575" s="76" t="str">
        <f>IF(Tab.11[[#This Row],[a1]]=0,"false",[3]!Tab.x5[[#This Row],[%_seN_C]])</f>
        <v>false</v>
      </c>
      <c r="AG575" s="77" t="b">
        <f>IF(Tab.11[[#This Row],[a1]]=1,AP575)</f>
        <v>0</v>
      </c>
      <c r="AH575" s="78" t="b">
        <f>IF(Tab.11[[#This Row],[a1]]=1,AQ575)</f>
        <v>0</v>
      </c>
      <c r="AI575" s="41">
        <v>3.0000000000000001E-3</v>
      </c>
      <c r="AJ575" s="79">
        <v>-0.03</v>
      </c>
      <c r="AK575" s="80" t="b">
        <f>IF(Tab.11[[#This Row],[a1]]=1,1)</f>
        <v>0</v>
      </c>
      <c r="AZ575"/>
    </row>
    <row r="576" spans="1:52" hidden="1" x14ac:dyDescent="0.25">
      <c r="A576" s="61">
        <f t="shared" si="19"/>
        <v>0</v>
      </c>
      <c r="B576" s="62">
        <f t="shared" si="19"/>
        <v>0</v>
      </c>
      <c r="C576" s="62" t="b">
        <f>IF(Tab.11[[#This Row],[a1]]=1,[3]!Tab_x1[[#This Row],[Name]])</f>
        <v>0</v>
      </c>
      <c r="D576" s="63" t="b">
        <f>IF(Tab.11[[#This Row],[a1]]=1,AO576)</f>
        <v>0</v>
      </c>
      <c r="E576" s="63">
        <f t="shared" si="18"/>
        <v>0</v>
      </c>
      <c r="F576" s="64" t="b">
        <f>IF(Tab.11[[#This Row],[a1]]=1,Tab.11[[#This Row],[b1]])</f>
        <v>0</v>
      </c>
      <c r="G576" s="65" t="b">
        <f>IF(Tab.11[[#This Row],[a1]]=1,IF(Tab.11[[#This Row],[b3]]&gt;$L$989*$G$3,$L$989*$G$3,IF(Tab.11[[#This Row],[b3]]&lt;$M$989*$G$3,$M$989*$G$3,Tab.11[[#This Row],[b3]])))</f>
        <v>0</v>
      </c>
      <c r="H576" s="66" t="b">
        <f>IF(Tab.11[[#This Row],[a1]]=1,Tab.11[[#This Row],[b1]])</f>
        <v>0</v>
      </c>
      <c r="I576" s="67" t="b">
        <f>IF(Tab.11[[#This Row],[a1]]=1,Tab.11[[#This Row],[b1]])</f>
        <v>0</v>
      </c>
      <c r="J576" s="68" t="b">
        <f>IF(Tab.11[[#This Row],[a1]]=1,IF($I$3&lt;0,Tab.11[[#This Row],[b5]]-$I$3,Tab.11[[#This Row],[b5]]))</f>
        <v>0</v>
      </c>
      <c r="K576" s="68" t="b">
        <f>IF(Tab.11[[#This Row],[a1]]=1,IF($K$3=0,Tab.11[b6],Tab.11[[#This Row],[b6]]-AVERAGE(Tab.11[b6])))</f>
        <v>0</v>
      </c>
      <c r="L576" s="69" t="b">
        <f>IF(Tab.11[[#This Row],[a1]]=1,Tab.11[[#This Row],[data]]/(_xlfn.STDEV.P(Tab.11[data])*$B$989)+$A$989)</f>
        <v>0</v>
      </c>
      <c r="M576" s="69" t="b">
        <f>IF(Tab.11[[#This Row],[a1]]=1,Tab.11[[#This Row],[data]]/(_xlfn.STDEV.P(Tab.11[data])*$B$987)-$A$987)</f>
        <v>0</v>
      </c>
      <c r="N576" s="69" t="b">
        <f>IF(Tab.11[[#This Row],[a1]]=1,Tab.11[[#This Row],[data]]/(_xlfn.STDEV.P(Tab.11[data])*$B$988)+$A$988)</f>
        <v>0</v>
      </c>
      <c r="O576" s="70" t="b">
        <f>IF(Tab.11[[#This Row],[a1]]=1,_xlfn.NORM.DIST(Tab.11[[#This Row],[b8]],$P$1,$Q$1,FALSE))</f>
        <v>0</v>
      </c>
      <c r="P576" s="70" t="b">
        <f>IF(Tab.11[[#This Row],[a1]]=1,_xlfn.NORM.DIST(Tab.11[[#This Row],[b9]],$P$1,$Q$1,FALSE))</f>
        <v>0</v>
      </c>
      <c r="Q576" s="70" t="b">
        <f>IF(Tab.11[[#This Row],[a1]]=1,_xlfn.NORM.DIST(Tab.11[[#This Row],[b10]],$P$1,$Q$1,FALSE))</f>
        <v>0</v>
      </c>
      <c r="R576" s="67" t="b">
        <f>IF(Tab.11[[#This Row],[a1]]=1,$I$3+$A$989+IF($K$3=0,Tab.11[[#This Row],[b8]]*_xlfn.STDEV.P(Tab.11[data]),AVERAGE(Tab.11[b6])+Tab.11[[#This Row],[b8]]*_xlfn.STDEV.P(Tab.11[data])))</f>
        <v>0</v>
      </c>
      <c r="S576" s="71" t="b">
        <f>IF(Tab.11[[#This Row],[a1]]=1,$I$3+$A$987+IF($K$3=0,Tab.11[[#This Row],[b9]]*_xlfn.STDEV.P(Tab.11[data]),AVERAGE(Tab.11[b6])+Tab.11[[#This Row],[b9]]*_xlfn.STDEV.P(Tab.11[data])))</f>
        <v>0</v>
      </c>
      <c r="T576" s="71" t="b">
        <f>IF(Tab.11[[#This Row],[a1]]=1,$I$3+$A$988+IF($K$3=0,Tab.11[[#This Row],[b10]]*_xlfn.STDEV.P(Tab.11[data]),AVERAGE(Tab.11[b6])+Tab.11[[#This Row],[b10]]*_xlfn.STDEV.P(Tab.11[data])))</f>
        <v>0</v>
      </c>
      <c r="U576" s="72" t="b">
        <f>IF(Tab.11[[#This Row],[a1]]=1,Tab.11[[#This Row],[target]]-Tab.11[[#This Row],[Red]])</f>
        <v>0</v>
      </c>
      <c r="V576" s="72" t="b">
        <f>IF(Tab.11[[#This Row],[a1]]=1,Tab.11[[#This Row],[target]]-Tab.11[[#This Row],[Blue]])</f>
        <v>0</v>
      </c>
      <c r="W576" s="73" t="b">
        <f>IF(Tab.11[[#This Row],[a1]]=1,IF(ABS(Tab.11[[#This Row],[b17]])+ABS(Tab.11[[#This Row],[b18]])&lt;$W$2,$W$2,ABS(Tab.11[[#This Row],[b17]])+ABS(Tab.11[[#This Row],[b18]])))</f>
        <v>0</v>
      </c>
      <c r="X576" s="136" t="b">
        <f>IF(Tab.11[[#This Row],[a1]]=1,IF($W$3&lt;0,Tab.11[[#This Row],[IN]]-$I$3,Tab.11[[#This Row],[IN]]))</f>
        <v>0</v>
      </c>
      <c r="Y576" s="136" t="b">
        <f>IF(Tab.11[[#This Row],[a1]]=1,IF($X$3=0,Tab.11[b66],Tab.11[[#This Row],[b66]]-AVERAGE(Tab.11[b66])))</f>
        <v>0</v>
      </c>
      <c r="Z576" s="135" t="b">
        <f>IF(Tab.11[[#This Row],[a1]]=1,Tab.11[[#This Row],[b77]]/(_xlfn.STDEV.P(Tab.11[b77])))</f>
        <v>0</v>
      </c>
      <c r="AA576" s="70" t="b">
        <f>IF(Tab.11[[#This Row],[a1]]=1,_xlfn.NORM.DIST(Tab.11[[#This Row],[b88]],$Z$1,$AA$1,FALSE))</f>
        <v>0</v>
      </c>
      <c r="AB576" s="74" t="b">
        <f>IF(Tab.11[[#This Row],[a1]]=1,IF($A$3=0,FALSE,1/Tab.11[[#This Row],[IN]]*$AC$2*IF(Tab.11[[#This Row],[a1]]=0,,$A$3*$AC$1*1/$V$3*(Tab.11[[#This Row],[b14]]))))</f>
        <v>0</v>
      </c>
      <c r="AC576" s="75" t="b">
        <f>IF(Tab.11[[#This Row],[a1]]=1,IF($AC$3=0,Tab.11[[#This Row],[φ1]],Tab.11[[#This Row],[φ1]]/MAX(Tab.11[φ1])))</f>
        <v>0</v>
      </c>
      <c r="AD576" s="74" t="b">
        <f>IF(Tab.11[[#This Row],[a1]]=1,1/Tab.11[[#This Row],[φ2]])</f>
        <v>0</v>
      </c>
      <c r="AE576" s="74" t="b">
        <f>IF(Tab.11[[#This Row],[a1]]=1,IF($AE$3=0,Tab.11[[#This Row],[w.0]],Tab.11[[#This Row],[w.0]]/SUM(Tab.11[w.0])))</f>
        <v>0</v>
      </c>
      <c r="AF576" s="76" t="str">
        <f>IF(Tab.11[[#This Row],[a1]]=0,"false",[3]!Tab.x5[[#This Row],[%_seN_C]])</f>
        <v>false</v>
      </c>
      <c r="AG576" s="77" t="b">
        <f>IF(Tab.11[[#This Row],[a1]]=1,AP576)</f>
        <v>0</v>
      </c>
      <c r="AH576" s="78" t="b">
        <f>IF(Tab.11[[#This Row],[a1]]=1,AQ576)</f>
        <v>0</v>
      </c>
      <c r="AI576" s="41">
        <v>3.0000000000000001E-3</v>
      </c>
      <c r="AJ576" s="79">
        <v>-0.1</v>
      </c>
      <c r="AK576" s="80" t="b">
        <f>IF(Tab.11[[#This Row],[a1]]=1,1)</f>
        <v>0</v>
      </c>
      <c r="AZ576"/>
    </row>
    <row r="577" spans="1:52" hidden="1" x14ac:dyDescent="0.25">
      <c r="A577" s="61">
        <f t="shared" si="19"/>
        <v>0</v>
      </c>
      <c r="B577" s="62">
        <f t="shared" si="19"/>
        <v>0</v>
      </c>
      <c r="C577" s="62" t="b">
        <f>IF(Tab.11[[#This Row],[a1]]=1,[3]!Tab_x1[[#This Row],[Name]])</f>
        <v>0</v>
      </c>
      <c r="D577" s="63" t="b">
        <f>IF(Tab.11[[#This Row],[a1]]=1,AO577)</f>
        <v>0</v>
      </c>
      <c r="E577" s="63">
        <f t="shared" si="18"/>
        <v>0</v>
      </c>
      <c r="F577" s="64" t="b">
        <f>IF(Tab.11[[#This Row],[a1]]=1,Tab.11[[#This Row],[b1]])</f>
        <v>0</v>
      </c>
      <c r="G577" s="65" t="b">
        <f>IF(Tab.11[[#This Row],[a1]]=1,IF(Tab.11[[#This Row],[b3]]&gt;$L$989*$G$3,$L$989*$G$3,IF(Tab.11[[#This Row],[b3]]&lt;$M$989*$G$3,$M$989*$G$3,Tab.11[[#This Row],[b3]])))</f>
        <v>0</v>
      </c>
      <c r="H577" s="66" t="b">
        <f>IF(Tab.11[[#This Row],[a1]]=1,Tab.11[[#This Row],[b1]])</f>
        <v>0</v>
      </c>
      <c r="I577" s="67" t="b">
        <f>IF(Tab.11[[#This Row],[a1]]=1,Tab.11[[#This Row],[b1]])</f>
        <v>0</v>
      </c>
      <c r="J577" s="68" t="b">
        <f>IF(Tab.11[[#This Row],[a1]]=1,IF($I$3&lt;0,Tab.11[[#This Row],[b5]]-$I$3,Tab.11[[#This Row],[b5]]))</f>
        <v>0</v>
      </c>
      <c r="K577" s="68" t="b">
        <f>IF(Tab.11[[#This Row],[a1]]=1,IF($K$3=0,Tab.11[b6],Tab.11[[#This Row],[b6]]-AVERAGE(Tab.11[b6])))</f>
        <v>0</v>
      </c>
      <c r="L577" s="69" t="b">
        <f>IF(Tab.11[[#This Row],[a1]]=1,Tab.11[[#This Row],[data]]/(_xlfn.STDEV.P(Tab.11[data])*$B$989)+$A$989)</f>
        <v>0</v>
      </c>
      <c r="M577" s="69" t="b">
        <f>IF(Tab.11[[#This Row],[a1]]=1,Tab.11[[#This Row],[data]]/(_xlfn.STDEV.P(Tab.11[data])*$B$987)-$A$987)</f>
        <v>0</v>
      </c>
      <c r="N577" s="69" t="b">
        <f>IF(Tab.11[[#This Row],[a1]]=1,Tab.11[[#This Row],[data]]/(_xlfn.STDEV.P(Tab.11[data])*$B$988)+$A$988)</f>
        <v>0</v>
      </c>
      <c r="O577" s="70" t="b">
        <f>IF(Tab.11[[#This Row],[a1]]=1,_xlfn.NORM.DIST(Tab.11[[#This Row],[b8]],$P$1,$Q$1,FALSE))</f>
        <v>0</v>
      </c>
      <c r="P577" s="70" t="b">
        <f>IF(Tab.11[[#This Row],[a1]]=1,_xlfn.NORM.DIST(Tab.11[[#This Row],[b9]],$P$1,$Q$1,FALSE))</f>
        <v>0</v>
      </c>
      <c r="Q577" s="70" t="b">
        <f>IF(Tab.11[[#This Row],[a1]]=1,_xlfn.NORM.DIST(Tab.11[[#This Row],[b10]],$P$1,$Q$1,FALSE))</f>
        <v>0</v>
      </c>
      <c r="R577" s="67" t="b">
        <f>IF(Tab.11[[#This Row],[a1]]=1,$I$3+$A$989+IF($K$3=0,Tab.11[[#This Row],[b8]]*_xlfn.STDEV.P(Tab.11[data]),AVERAGE(Tab.11[b6])+Tab.11[[#This Row],[b8]]*_xlfn.STDEV.P(Tab.11[data])))</f>
        <v>0</v>
      </c>
      <c r="S577" s="71" t="b">
        <f>IF(Tab.11[[#This Row],[a1]]=1,$I$3+$A$987+IF($K$3=0,Tab.11[[#This Row],[b9]]*_xlfn.STDEV.P(Tab.11[data]),AVERAGE(Tab.11[b6])+Tab.11[[#This Row],[b9]]*_xlfn.STDEV.P(Tab.11[data])))</f>
        <v>0</v>
      </c>
      <c r="T577" s="71" t="b">
        <f>IF(Tab.11[[#This Row],[a1]]=1,$I$3+$A$988+IF($K$3=0,Tab.11[[#This Row],[b10]]*_xlfn.STDEV.P(Tab.11[data]),AVERAGE(Tab.11[b6])+Tab.11[[#This Row],[b10]]*_xlfn.STDEV.P(Tab.11[data])))</f>
        <v>0</v>
      </c>
      <c r="U577" s="72" t="b">
        <f>IF(Tab.11[[#This Row],[a1]]=1,Tab.11[[#This Row],[target]]-Tab.11[[#This Row],[Red]])</f>
        <v>0</v>
      </c>
      <c r="V577" s="72" t="b">
        <f>IF(Tab.11[[#This Row],[a1]]=1,Tab.11[[#This Row],[target]]-Tab.11[[#This Row],[Blue]])</f>
        <v>0</v>
      </c>
      <c r="W577" s="73" t="b">
        <f>IF(Tab.11[[#This Row],[a1]]=1,IF(ABS(Tab.11[[#This Row],[b17]])+ABS(Tab.11[[#This Row],[b18]])&lt;$W$2,$W$2,ABS(Tab.11[[#This Row],[b17]])+ABS(Tab.11[[#This Row],[b18]])))</f>
        <v>0</v>
      </c>
      <c r="X577" s="136" t="b">
        <f>IF(Tab.11[[#This Row],[a1]]=1,IF($W$3&lt;0,Tab.11[[#This Row],[IN]]-$I$3,Tab.11[[#This Row],[IN]]))</f>
        <v>0</v>
      </c>
      <c r="Y577" s="136" t="b">
        <f>IF(Tab.11[[#This Row],[a1]]=1,IF($X$3=0,Tab.11[b66],Tab.11[[#This Row],[b66]]-AVERAGE(Tab.11[b66])))</f>
        <v>0</v>
      </c>
      <c r="Z577" s="135" t="b">
        <f>IF(Tab.11[[#This Row],[a1]]=1,Tab.11[[#This Row],[b77]]/(_xlfn.STDEV.P(Tab.11[b77])))</f>
        <v>0</v>
      </c>
      <c r="AA577" s="70" t="b">
        <f>IF(Tab.11[[#This Row],[a1]]=1,_xlfn.NORM.DIST(Tab.11[[#This Row],[b88]],$Z$1,$AA$1,FALSE))</f>
        <v>0</v>
      </c>
      <c r="AB577" s="74" t="b">
        <f>IF(Tab.11[[#This Row],[a1]]=1,IF($A$3=0,FALSE,1/Tab.11[[#This Row],[IN]]*$AC$2*IF(Tab.11[[#This Row],[a1]]=0,,$A$3*$AC$1*1/$V$3*(Tab.11[[#This Row],[b14]]))))</f>
        <v>0</v>
      </c>
      <c r="AC577" s="75" t="b">
        <f>IF(Tab.11[[#This Row],[a1]]=1,IF($AC$3=0,Tab.11[[#This Row],[φ1]],Tab.11[[#This Row],[φ1]]/MAX(Tab.11[φ1])))</f>
        <v>0</v>
      </c>
      <c r="AD577" s="74" t="b">
        <f>IF(Tab.11[[#This Row],[a1]]=1,1/Tab.11[[#This Row],[φ2]])</f>
        <v>0</v>
      </c>
      <c r="AE577" s="74" t="b">
        <f>IF(Tab.11[[#This Row],[a1]]=1,IF($AE$3=0,Tab.11[[#This Row],[w.0]],Tab.11[[#This Row],[w.0]]/SUM(Tab.11[w.0])))</f>
        <v>0</v>
      </c>
      <c r="AF577" s="76" t="str">
        <f>IF(Tab.11[[#This Row],[a1]]=0,"false",[3]!Tab.x5[[#This Row],[%_seN_C]])</f>
        <v>false</v>
      </c>
      <c r="AG577" s="77" t="b">
        <f>IF(Tab.11[[#This Row],[a1]]=1,AP577)</f>
        <v>0</v>
      </c>
      <c r="AH577" s="78" t="b">
        <f>IF(Tab.11[[#This Row],[a1]]=1,AQ577)</f>
        <v>0</v>
      </c>
      <c r="AI577" s="41">
        <v>3.0000000000000001E-3</v>
      </c>
      <c r="AJ577" s="79">
        <v>0.01</v>
      </c>
      <c r="AK577" s="80" t="b">
        <f>IF(Tab.11[[#This Row],[a1]]=1,1)</f>
        <v>0</v>
      </c>
      <c r="AZ577"/>
    </row>
    <row r="578" spans="1:52" hidden="1" x14ac:dyDescent="0.25">
      <c r="A578" s="61">
        <f t="shared" si="19"/>
        <v>0</v>
      </c>
      <c r="B578" s="62">
        <f t="shared" si="19"/>
        <v>0</v>
      </c>
      <c r="C578" s="62" t="b">
        <f>IF(Tab.11[[#This Row],[a1]]=1,[3]!Tab_x1[[#This Row],[Name]])</f>
        <v>0</v>
      </c>
      <c r="D578" s="63" t="b">
        <f>IF(Tab.11[[#This Row],[a1]]=1,AO578)</f>
        <v>0</v>
      </c>
      <c r="E578" s="63">
        <f t="shared" si="18"/>
        <v>0</v>
      </c>
      <c r="F578" s="64" t="b">
        <f>IF(Tab.11[[#This Row],[a1]]=1,Tab.11[[#This Row],[b1]])</f>
        <v>0</v>
      </c>
      <c r="G578" s="65" t="b">
        <f>IF(Tab.11[[#This Row],[a1]]=1,IF(Tab.11[[#This Row],[b3]]&gt;$L$989*$G$3,$L$989*$G$3,IF(Tab.11[[#This Row],[b3]]&lt;$M$989*$G$3,$M$989*$G$3,Tab.11[[#This Row],[b3]])))</f>
        <v>0</v>
      </c>
      <c r="H578" s="66" t="b">
        <f>IF(Tab.11[[#This Row],[a1]]=1,Tab.11[[#This Row],[b1]])</f>
        <v>0</v>
      </c>
      <c r="I578" s="67" t="b">
        <f>IF(Tab.11[[#This Row],[a1]]=1,Tab.11[[#This Row],[b1]])</f>
        <v>0</v>
      </c>
      <c r="J578" s="68" t="b">
        <f>IF(Tab.11[[#This Row],[a1]]=1,IF($I$3&lt;0,Tab.11[[#This Row],[b5]]-$I$3,Tab.11[[#This Row],[b5]]))</f>
        <v>0</v>
      </c>
      <c r="K578" s="68" t="b">
        <f>IF(Tab.11[[#This Row],[a1]]=1,IF($K$3=0,Tab.11[b6],Tab.11[[#This Row],[b6]]-AVERAGE(Tab.11[b6])))</f>
        <v>0</v>
      </c>
      <c r="L578" s="69" t="b">
        <f>IF(Tab.11[[#This Row],[a1]]=1,Tab.11[[#This Row],[data]]/(_xlfn.STDEV.P(Tab.11[data])*$B$989)+$A$989)</f>
        <v>0</v>
      </c>
      <c r="M578" s="69" t="b">
        <f>IF(Tab.11[[#This Row],[a1]]=1,Tab.11[[#This Row],[data]]/(_xlfn.STDEV.P(Tab.11[data])*$B$987)-$A$987)</f>
        <v>0</v>
      </c>
      <c r="N578" s="69" t="b">
        <f>IF(Tab.11[[#This Row],[a1]]=1,Tab.11[[#This Row],[data]]/(_xlfn.STDEV.P(Tab.11[data])*$B$988)+$A$988)</f>
        <v>0</v>
      </c>
      <c r="O578" s="70" t="b">
        <f>IF(Tab.11[[#This Row],[a1]]=1,_xlfn.NORM.DIST(Tab.11[[#This Row],[b8]],$P$1,$Q$1,FALSE))</f>
        <v>0</v>
      </c>
      <c r="P578" s="70" t="b">
        <f>IF(Tab.11[[#This Row],[a1]]=1,_xlfn.NORM.DIST(Tab.11[[#This Row],[b9]],$P$1,$Q$1,FALSE))</f>
        <v>0</v>
      </c>
      <c r="Q578" s="70" t="b">
        <f>IF(Tab.11[[#This Row],[a1]]=1,_xlfn.NORM.DIST(Tab.11[[#This Row],[b10]],$P$1,$Q$1,FALSE))</f>
        <v>0</v>
      </c>
      <c r="R578" s="67" t="b">
        <f>IF(Tab.11[[#This Row],[a1]]=1,$I$3+$A$989+IF($K$3=0,Tab.11[[#This Row],[b8]]*_xlfn.STDEV.P(Tab.11[data]),AVERAGE(Tab.11[b6])+Tab.11[[#This Row],[b8]]*_xlfn.STDEV.P(Tab.11[data])))</f>
        <v>0</v>
      </c>
      <c r="S578" s="71" t="b">
        <f>IF(Tab.11[[#This Row],[a1]]=1,$I$3+$A$987+IF($K$3=0,Tab.11[[#This Row],[b9]]*_xlfn.STDEV.P(Tab.11[data]),AVERAGE(Tab.11[b6])+Tab.11[[#This Row],[b9]]*_xlfn.STDEV.P(Tab.11[data])))</f>
        <v>0</v>
      </c>
      <c r="T578" s="71" t="b">
        <f>IF(Tab.11[[#This Row],[a1]]=1,$I$3+$A$988+IF($K$3=0,Tab.11[[#This Row],[b10]]*_xlfn.STDEV.P(Tab.11[data]),AVERAGE(Tab.11[b6])+Tab.11[[#This Row],[b10]]*_xlfn.STDEV.P(Tab.11[data])))</f>
        <v>0</v>
      </c>
      <c r="U578" s="72" t="b">
        <f>IF(Tab.11[[#This Row],[a1]]=1,Tab.11[[#This Row],[target]]-Tab.11[[#This Row],[Red]])</f>
        <v>0</v>
      </c>
      <c r="V578" s="72" t="b">
        <f>IF(Tab.11[[#This Row],[a1]]=1,Tab.11[[#This Row],[target]]-Tab.11[[#This Row],[Blue]])</f>
        <v>0</v>
      </c>
      <c r="W578" s="73" t="b">
        <f>IF(Tab.11[[#This Row],[a1]]=1,IF(ABS(Tab.11[[#This Row],[b17]])+ABS(Tab.11[[#This Row],[b18]])&lt;$W$2,$W$2,ABS(Tab.11[[#This Row],[b17]])+ABS(Tab.11[[#This Row],[b18]])))</f>
        <v>0</v>
      </c>
      <c r="X578" s="136" t="b">
        <f>IF(Tab.11[[#This Row],[a1]]=1,IF($W$3&lt;0,Tab.11[[#This Row],[IN]]-$I$3,Tab.11[[#This Row],[IN]]))</f>
        <v>0</v>
      </c>
      <c r="Y578" s="136" t="b">
        <f>IF(Tab.11[[#This Row],[a1]]=1,IF($X$3=0,Tab.11[b66],Tab.11[[#This Row],[b66]]-AVERAGE(Tab.11[b66])))</f>
        <v>0</v>
      </c>
      <c r="Z578" s="135" t="b">
        <f>IF(Tab.11[[#This Row],[a1]]=1,Tab.11[[#This Row],[b77]]/(_xlfn.STDEV.P(Tab.11[b77])))</f>
        <v>0</v>
      </c>
      <c r="AA578" s="70" t="b">
        <f>IF(Tab.11[[#This Row],[a1]]=1,_xlfn.NORM.DIST(Tab.11[[#This Row],[b88]],$Z$1,$AA$1,FALSE))</f>
        <v>0</v>
      </c>
      <c r="AB578" s="74" t="b">
        <f>IF(Tab.11[[#This Row],[a1]]=1,IF($A$3=0,FALSE,1/Tab.11[[#This Row],[IN]]*$AC$2*IF(Tab.11[[#This Row],[a1]]=0,,$A$3*$AC$1*1/$V$3*(Tab.11[[#This Row],[b14]]))))</f>
        <v>0</v>
      </c>
      <c r="AC578" s="75" t="b">
        <f>IF(Tab.11[[#This Row],[a1]]=1,IF($AC$3=0,Tab.11[[#This Row],[φ1]],Tab.11[[#This Row],[φ1]]/MAX(Tab.11[φ1])))</f>
        <v>0</v>
      </c>
      <c r="AD578" s="74" t="b">
        <f>IF(Tab.11[[#This Row],[a1]]=1,1/Tab.11[[#This Row],[φ2]])</f>
        <v>0</v>
      </c>
      <c r="AE578" s="74" t="b">
        <f>IF(Tab.11[[#This Row],[a1]]=1,IF($AE$3=0,Tab.11[[#This Row],[w.0]],Tab.11[[#This Row],[w.0]]/SUM(Tab.11[w.0])))</f>
        <v>0</v>
      </c>
      <c r="AF578" s="76" t="str">
        <f>IF(Tab.11[[#This Row],[a1]]=0,"false",[3]!Tab.x5[[#This Row],[%_seN_C]])</f>
        <v>false</v>
      </c>
      <c r="AG578" s="77" t="b">
        <f>IF(Tab.11[[#This Row],[a1]]=1,AP578)</f>
        <v>0</v>
      </c>
      <c r="AH578" s="78" t="b">
        <f>IF(Tab.11[[#This Row],[a1]]=1,AQ578)</f>
        <v>0</v>
      </c>
      <c r="AI578" s="41">
        <v>3.0000000000000001E-3</v>
      </c>
      <c r="AJ578" s="79">
        <v>-0.03</v>
      </c>
      <c r="AK578" s="80" t="b">
        <f>IF(Tab.11[[#This Row],[a1]]=1,1)</f>
        <v>0</v>
      </c>
      <c r="AZ578"/>
    </row>
    <row r="579" spans="1:52" hidden="1" x14ac:dyDescent="0.25">
      <c r="A579" s="61">
        <f t="shared" si="19"/>
        <v>0</v>
      </c>
      <c r="B579" s="62">
        <f t="shared" si="19"/>
        <v>0</v>
      </c>
      <c r="C579" s="62" t="b">
        <f>IF(Tab.11[[#This Row],[a1]]=1,[3]!Tab_x1[[#This Row],[Name]])</f>
        <v>0</v>
      </c>
      <c r="D579" s="63" t="b">
        <f>IF(Tab.11[[#This Row],[a1]]=1,AO579)</f>
        <v>0</v>
      </c>
      <c r="E579" s="63">
        <f t="shared" si="18"/>
        <v>0</v>
      </c>
      <c r="F579" s="64" t="b">
        <f>IF(Tab.11[[#This Row],[a1]]=1,Tab.11[[#This Row],[b1]])</f>
        <v>0</v>
      </c>
      <c r="G579" s="65" t="b">
        <f>IF(Tab.11[[#This Row],[a1]]=1,IF(Tab.11[[#This Row],[b3]]&gt;$L$989*$G$3,$L$989*$G$3,IF(Tab.11[[#This Row],[b3]]&lt;$M$989*$G$3,$M$989*$G$3,Tab.11[[#This Row],[b3]])))</f>
        <v>0</v>
      </c>
      <c r="H579" s="66" t="b">
        <f>IF(Tab.11[[#This Row],[a1]]=1,Tab.11[[#This Row],[b1]])</f>
        <v>0</v>
      </c>
      <c r="I579" s="67" t="b">
        <f>IF(Tab.11[[#This Row],[a1]]=1,Tab.11[[#This Row],[b1]])</f>
        <v>0</v>
      </c>
      <c r="J579" s="68" t="b">
        <f>IF(Tab.11[[#This Row],[a1]]=1,IF($I$3&lt;0,Tab.11[[#This Row],[b5]]-$I$3,Tab.11[[#This Row],[b5]]))</f>
        <v>0</v>
      </c>
      <c r="K579" s="68" t="b">
        <f>IF(Tab.11[[#This Row],[a1]]=1,IF($K$3=0,Tab.11[b6],Tab.11[[#This Row],[b6]]-AVERAGE(Tab.11[b6])))</f>
        <v>0</v>
      </c>
      <c r="L579" s="69" t="b">
        <f>IF(Tab.11[[#This Row],[a1]]=1,Tab.11[[#This Row],[data]]/(_xlfn.STDEV.P(Tab.11[data])*$B$989)+$A$989)</f>
        <v>0</v>
      </c>
      <c r="M579" s="69" t="b">
        <f>IF(Tab.11[[#This Row],[a1]]=1,Tab.11[[#This Row],[data]]/(_xlfn.STDEV.P(Tab.11[data])*$B$987)-$A$987)</f>
        <v>0</v>
      </c>
      <c r="N579" s="69" t="b">
        <f>IF(Tab.11[[#This Row],[a1]]=1,Tab.11[[#This Row],[data]]/(_xlfn.STDEV.P(Tab.11[data])*$B$988)+$A$988)</f>
        <v>0</v>
      </c>
      <c r="O579" s="70" t="b">
        <f>IF(Tab.11[[#This Row],[a1]]=1,_xlfn.NORM.DIST(Tab.11[[#This Row],[b8]],$P$1,$Q$1,FALSE))</f>
        <v>0</v>
      </c>
      <c r="P579" s="70" t="b">
        <f>IF(Tab.11[[#This Row],[a1]]=1,_xlfn.NORM.DIST(Tab.11[[#This Row],[b9]],$P$1,$Q$1,FALSE))</f>
        <v>0</v>
      </c>
      <c r="Q579" s="70" t="b">
        <f>IF(Tab.11[[#This Row],[a1]]=1,_xlfn.NORM.DIST(Tab.11[[#This Row],[b10]],$P$1,$Q$1,FALSE))</f>
        <v>0</v>
      </c>
      <c r="R579" s="67" t="b">
        <f>IF(Tab.11[[#This Row],[a1]]=1,$I$3+$A$989+IF($K$3=0,Tab.11[[#This Row],[b8]]*_xlfn.STDEV.P(Tab.11[data]),AVERAGE(Tab.11[b6])+Tab.11[[#This Row],[b8]]*_xlfn.STDEV.P(Tab.11[data])))</f>
        <v>0</v>
      </c>
      <c r="S579" s="71" t="b">
        <f>IF(Tab.11[[#This Row],[a1]]=1,$I$3+$A$987+IF($K$3=0,Tab.11[[#This Row],[b9]]*_xlfn.STDEV.P(Tab.11[data]),AVERAGE(Tab.11[b6])+Tab.11[[#This Row],[b9]]*_xlfn.STDEV.P(Tab.11[data])))</f>
        <v>0</v>
      </c>
      <c r="T579" s="71" t="b">
        <f>IF(Tab.11[[#This Row],[a1]]=1,$I$3+$A$988+IF($K$3=0,Tab.11[[#This Row],[b10]]*_xlfn.STDEV.P(Tab.11[data]),AVERAGE(Tab.11[b6])+Tab.11[[#This Row],[b10]]*_xlfn.STDEV.P(Tab.11[data])))</f>
        <v>0</v>
      </c>
      <c r="U579" s="72" t="b">
        <f>IF(Tab.11[[#This Row],[a1]]=1,Tab.11[[#This Row],[target]]-Tab.11[[#This Row],[Red]])</f>
        <v>0</v>
      </c>
      <c r="V579" s="72" t="b">
        <f>IF(Tab.11[[#This Row],[a1]]=1,Tab.11[[#This Row],[target]]-Tab.11[[#This Row],[Blue]])</f>
        <v>0</v>
      </c>
      <c r="W579" s="73" t="b">
        <f>IF(Tab.11[[#This Row],[a1]]=1,IF(ABS(Tab.11[[#This Row],[b17]])+ABS(Tab.11[[#This Row],[b18]])&lt;$W$2,$W$2,ABS(Tab.11[[#This Row],[b17]])+ABS(Tab.11[[#This Row],[b18]])))</f>
        <v>0</v>
      </c>
      <c r="X579" s="136" t="b">
        <f>IF(Tab.11[[#This Row],[a1]]=1,IF($W$3&lt;0,Tab.11[[#This Row],[IN]]-$I$3,Tab.11[[#This Row],[IN]]))</f>
        <v>0</v>
      </c>
      <c r="Y579" s="136" t="b">
        <f>IF(Tab.11[[#This Row],[a1]]=1,IF($X$3=0,Tab.11[b66],Tab.11[[#This Row],[b66]]-AVERAGE(Tab.11[b66])))</f>
        <v>0</v>
      </c>
      <c r="Z579" s="135" t="b">
        <f>IF(Tab.11[[#This Row],[a1]]=1,Tab.11[[#This Row],[b77]]/(_xlfn.STDEV.P(Tab.11[b77])))</f>
        <v>0</v>
      </c>
      <c r="AA579" s="70" t="b">
        <f>IF(Tab.11[[#This Row],[a1]]=1,_xlfn.NORM.DIST(Tab.11[[#This Row],[b88]],$Z$1,$AA$1,FALSE))</f>
        <v>0</v>
      </c>
      <c r="AB579" s="74" t="b">
        <f>IF(Tab.11[[#This Row],[a1]]=1,IF($A$3=0,FALSE,1/Tab.11[[#This Row],[IN]]*$AC$2*IF(Tab.11[[#This Row],[a1]]=0,,$A$3*$AC$1*1/$V$3*(Tab.11[[#This Row],[b14]]))))</f>
        <v>0</v>
      </c>
      <c r="AC579" s="75" t="b">
        <f>IF(Tab.11[[#This Row],[a1]]=1,IF($AC$3=0,Tab.11[[#This Row],[φ1]],Tab.11[[#This Row],[φ1]]/MAX(Tab.11[φ1])))</f>
        <v>0</v>
      </c>
      <c r="AD579" s="74" t="b">
        <f>IF(Tab.11[[#This Row],[a1]]=1,1/Tab.11[[#This Row],[φ2]])</f>
        <v>0</v>
      </c>
      <c r="AE579" s="74" t="b">
        <f>IF(Tab.11[[#This Row],[a1]]=1,IF($AE$3=0,Tab.11[[#This Row],[w.0]],Tab.11[[#This Row],[w.0]]/SUM(Tab.11[w.0])))</f>
        <v>0</v>
      </c>
      <c r="AF579" s="76" t="str">
        <f>IF(Tab.11[[#This Row],[a1]]=0,"false",[3]!Tab.x5[[#This Row],[%_seN_C]])</f>
        <v>false</v>
      </c>
      <c r="AG579" s="77" t="b">
        <f>IF(Tab.11[[#This Row],[a1]]=1,AP579)</f>
        <v>0</v>
      </c>
      <c r="AH579" s="78" t="b">
        <f>IF(Tab.11[[#This Row],[a1]]=1,AQ579)</f>
        <v>0</v>
      </c>
      <c r="AI579" s="41">
        <v>3.0000000000000001E-3</v>
      </c>
      <c r="AJ579" s="79">
        <v>0.05</v>
      </c>
      <c r="AK579" s="80" t="b">
        <f>IF(Tab.11[[#This Row],[a1]]=1,1)</f>
        <v>0</v>
      </c>
      <c r="AZ579"/>
    </row>
    <row r="580" spans="1:52" hidden="1" x14ac:dyDescent="0.25">
      <c r="A580" s="61">
        <f t="shared" si="19"/>
        <v>0</v>
      </c>
      <c r="B580" s="62">
        <f t="shared" si="19"/>
        <v>0</v>
      </c>
      <c r="C580" s="62" t="b">
        <f>IF(Tab.11[[#This Row],[a1]]=1,[3]!Tab_x1[[#This Row],[Name]])</f>
        <v>0</v>
      </c>
      <c r="D580" s="63" t="b">
        <f>IF(Tab.11[[#This Row],[a1]]=1,AO580)</f>
        <v>0</v>
      </c>
      <c r="E580" s="63">
        <f t="shared" si="18"/>
        <v>0</v>
      </c>
      <c r="F580" s="64" t="b">
        <f>IF(Tab.11[[#This Row],[a1]]=1,Tab.11[[#This Row],[b1]])</f>
        <v>0</v>
      </c>
      <c r="G580" s="65" t="b">
        <f>IF(Tab.11[[#This Row],[a1]]=1,IF(Tab.11[[#This Row],[b3]]&gt;$L$989*$G$3,$L$989*$G$3,IF(Tab.11[[#This Row],[b3]]&lt;$M$989*$G$3,$M$989*$G$3,Tab.11[[#This Row],[b3]])))</f>
        <v>0</v>
      </c>
      <c r="H580" s="66" t="b">
        <f>IF(Tab.11[[#This Row],[a1]]=1,Tab.11[[#This Row],[b1]])</f>
        <v>0</v>
      </c>
      <c r="I580" s="67" t="b">
        <f>IF(Tab.11[[#This Row],[a1]]=1,Tab.11[[#This Row],[b1]])</f>
        <v>0</v>
      </c>
      <c r="J580" s="68" t="b">
        <f>IF(Tab.11[[#This Row],[a1]]=1,IF($I$3&lt;0,Tab.11[[#This Row],[b5]]-$I$3,Tab.11[[#This Row],[b5]]))</f>
        <v>0</v>
      </c>
      <c r="K580" s="68" t="b">
        <f>IF(Tab.11[[#This Row],[a1]]=1,IF($K$3=0,Tab.11[b6],Tab.11[[#This Row],[b6]]-AVERAGE(Tab.11[b6])))</f>
        <v>0</v>
      </c>
      <c r="L580" s="69" t="b">
        <f>IF(Tab.11[[#This Row],[a1]]=1,Tab.11[[#This Row],[data]]/(_xlfn.STDEV.P(Tab.11[data])*$B$989)+$A$989)</f>
        <v>0</v>
      </c>
      <c r="M580" s="69" t="b">
        <f>IF(Tab.11[[#This Row],[a1]]=1,Tab.11[[#This Row],[data]]/(_xlfn.STDEV.P(Tab.11[data])*$B$987)-$A$987)</f>
        <v>0</v>
      </c>
      <c r="N580" s="69" t="b">
        <f>IF(Tab.11[[#This Row],[a1]]=1,Tab.11[[#This Row],[data]]/(_xlfn.STDEV.P(Tab.11[data])*$B$988)+$A$988)</f>
        <v>0</v>
      </c>
      <c r="O580" s="70" t="b">
        <f>IF(Tab.11[[#This Row],[a1]]=1,_xlfn.NORM.DIST(Tab.11[[#This Row],[b8]],$P$1,$Q$1,FALSE))</f>
        <v>0</v>
      </c>
      <c r="P580" s="70" t="b">
        <f>IF(Tab.11[[#This Row],[a1]]=1,_xlfn.NORM.DIST(Tab.11[[#This Row],[b9]],$P$1,$Q$1,FALSE))</f>
        <v>0</v>
      </c>
      <c r="Q580" s="70" t="b">
        <f>IF(Tab.11[[#This Row],[a1]]=1,_xlfn.NORM.DIST(Tab.11[[#This Row],[b10]],$P$1,$Q$1,FALSE))</f>
        <v>0</v>
      </c>
      <c r="R580" s="67" t="b">
        <f>IF(Tab.11[[#This Row],[a1]]=1,$I$3+$A$989+IF($K$3=0,Tab.11[[#This Row],[b8]]*_xlfn.STDEV.P(Tab.11[data]),AVERAGE(Tab.11[b6])+Tab.11[[#This Row],[b8]]*_xlfn.STDEV.P(Tab.11[data])))</f>
        <v>0</v>
      </c>
      <c r="S580" s="71" t="b">
        <f>IF(Tab.11[[#This Row],[a1]]=1,$I$3+$A$987+IF($K$3=0,Tab.11[[#This Row],[b9]]*_xlfn.STDEV.P(Tab.11[data]),AVERAGE(Tab.11[b6])+Tab.11[[#This Row],[b9]]*_xlfn.STDEV.P(Tab.11[data])))</f>
        <v>0</v>
      </c>
      <c r="T580" s="71" t="b">
        <f>IF(Tab.11[[#This Row],[a1]]=1,$I$3+$A$988+IF($K$3=0,Tab.11[[#This Row],[b10]]*_xlfn.STDEV.P(Tab.11[data]),AVERAGE(Tab.11[b6])+Tab.11[[#This Row],[b10]]*_xlfn.STDEV.P(Tab.11[data])))</f>
        <v>0</v>
      </c>
      <c r="U580" s="72" t="b">
        <f>IF(Tab.11[[#This Row],[a1]]=1,Tab.11[[#This Row],[target]]-Tab.11[[#This Row],[Red]])</f>
        <v>0</v>
      </c>
      <c r="V580" s="72" t="b">
        <f>IF(Tab.11[[#This Row],[a1]]=1,Tab.11[[#This Row],[target]]-Tab.11[[#This Row],[Blue]])</f>
        <v>0</v>
      </c>
      <c r="W580" s="73" t="b">
        <f>IF(Tab.11[[#This Row],[a1]]=1,IF(ABS(Tab.11[[#This Row],[b17]])+ABS(Tab.11[[#This Row],[b18]])&lt;$W$2,$W$2,ABS(Tab.11[[#This Row],[b17]])+ABS(Tab.11[[#This Row],[b18]])))</f>
        <v>0</v>
      </c>
      <c r="X580" s="136" t="b">
        <f>IF(Tab.11[[#This Row],[a1]]=1,IF($W$3&lt;0,Tab.11[[#This Row],[IN]]-$I$3,Tab.11[[#This Row],[IN]]))</f>
        <v>0</v>
      </c>
      <c r="Y580" s="136" t="b">
        <f>IF(Tab.11[[#This Row],[a1]]=1,IF($X$3=0,Tab.11[b66],Tab.11[[#This Row],[b66]]-AVERAGE(Tab.11[b66])))</f>
        <v>0</v>
      </c>
      <c r="Z580" s="135" t="b">
        <f>IF(Tab.11[[#This Row],[a1]]=1,Tab.11[[#This Row],[b77]]/(_xlfn.STDEV.P(Tab.11[b77])))</f>
        <v>0</v>
      </c>
      <c r="AA580" s="70" t="b">
        <f>IF(Tab.11[[#This Row],[a1]]=1,_xlfn.NORM.DIST(Tab.11[[#This Row],[b88]],$Z$1,$AA$1,FALSE))</f>
        <v>0</v>
      </c>
      <c r="AB580" s="74" t="b">
        <f>IF(Tab.11[[#This Row],[a1]]=1,IF($A$3=0,FALSE,1/Tab.11[[#This Row],[IN]]*$AC$2*IF(Tab.11[[#This Row],[a1]]=0,,$A$3*$AC$1*1/$V$3*(Tab.11[[#This Row],[b14]]))))</f>
        <v>0</v>
      </c>
      <c r="AC580" s="75" t="b">
        <f>IF(Tab.11[[#This Row],[a1]]=1,IF($AC$3=0,Tab.11[[#This Row],[φ1]],Tab.11[[#This Row],[φ1]]/MAX(Tab.11[φ1])))</f>
        <v>0</v>
      </c>
      <c r="AD580" s="74" t="b">
        <f>IF(Tab.11[[#This Row],[a1]]=1,1/Tab.11[[#This Row],[φ2]])</f>
        <v>0</v>
      </c>
      <c r="AE580" s="74" t="b">
        <f>IF(Tab.11[[#This Row],[a1]]=1,IF($AE$3=0,Tab.11[[#This Row],[w.0]],Tab.11[[#This Row],[w.0]]/SUM(Tab.11[w.0])))</f>
        <v>0</v>
      </c>
      <c r="AF580" s="76" t="str">
        <f>IF(Tab.11[[#This Row],[a1]]=0,"false",[3]!Tab.x5[[#This Row],[%_seN_C]])</f>
        <v>false</v>
      </c>
      <c r="AG580" s="77" t="b">
        <f>IF(Tab.11[[#This Row],[a1]]=1,AP580)</f>
        <v>0</v>
      </c>
      <c r="AH580" s="78" t="b">
        <f>IF(Tab.11[[#This Row],[a1]]=1,AQ580)</f>
        <v>0</v>
      </c>
      <c r="AI580" s="41">
        <v>3.0000000000000001E-3</v>
      </c>
      <c r="AJ580" s="79">
        <v>-0.08</v>
      </c>
      <c r="AK580" s="80" t="b">
        <f>IF(Tab.11[[#This Row],[a1]]=1,1)</f>
        <v>0</v>
      </c>
      <c r="AZ580"/>
    </row>
    <row r="581" spans="1:52" hidden="1" x14ac:dyDescent="0.25">
      <c r="A581" s="61">
        <f t="shared" si="19"/>
        <v>0</v>
      </c>
      <c r="B581" s="62">
        <f t="shared" si="19"/>
        <v>0</v>
      </c>
      <c r="C581" s="62" t="b">
        <f>IF(Tab.11[[#This Row],[a1]]=1,[3]!Tab_x1[[#This Row],[Name]])</f>
        <v>0</v>
      </c>
      <c r="D581" s="63" t="b">
        <f>IF(Tab.11[[#This Row],[a1]]=1,AO581)</f>
        <v>0</v>
      </c>
      <c r="E581" s="63">
        <f t="shared" ref="E581:E644" si="20">AM581</f>
        <v>0</v>
      </c>
      <c r="F581" s="64" t="b">
        <f>IF(Tab.11[[#This Row],[a1]]=1,Tab.11[[#This Row],[b1]])</f>
        <v>0</v>
      </c>
      <c r="G581" s="65" t="b">
        <f>IF(Tab.11[[#This Row],[a1]]=1,IF(Tab.11[[#This Row],[b3]]&gt;$L$989*$G$3,$L$989*$G$3,IF(Tab.11[[#This Row],[b3]]&lt;$M$989*$G$3,$M$989*$G$3,Tab.11[[#This Row],[b3]])))</f>
        <v>0</v>
      </c>
      <c r="H581" s="66" t="b">
        <f>IF(Tab.11[[#This Row],[a1]]=1,Tab.11[[#This Row],[b1]])</f>
        <v>0</v>
      </c>
      <c r="I581" s="67" t="b">
        <f>IF(Tab.11[[#This Row],[a1]]=1,Tab.11[[#This Row],[b1]])</f>
        <v>0</v>
      </c>
      <c r="J581" s="68" t="b">
        <f>IF(Tab.11[[#This Row],[a1]]=1,IF($I$3&lt;0,Tab.11[[#This Row],[b5]]-$I$3,Tab.11[[#This Row],[b5]]))</f>
        <v>0</v>
      </c>
      <c r="K581" s="68" t="b">
        <f>IF(Tab.11[[#This Row],[a1]]=1,IF($K$3=0,Tab.11[b6],Tab.11[[#This Row],[b6]]-AVERAGE(Tab.11[b6])))</f>
        <v>0</v>
      </c>
      <c r="L581" s="69" t="b">
        <f>IF(Tab.11[[#This Row],[a1]]=1,Tab.11[[#This Row],[data]]/(_xlfn.STDEV.P(Tab.11[data])*$B$989)+$A$989)</f>
        <v>0</v>
      </c>
      <c r="M581" s="69" t="b">
        <f>IF(Tab.11[[#This Row],[a1]]=1,Tab.11[[#This Row],[data]]/(_xlfn.STDEV.P(Tab.11[data])*$B$987)-$A$987)</f>
        <v>0</v>
      </c>
      <c r="N581" s="69" t="b">
        <f>IF(Tab.11[[#This Row],[a1]]=1,Tab.11[[#This Row],[data]]/(_xlfn.STDEV.P(Tab.11[data])*$B$988)+$A$988)</f>
        <v>0</v>
      </c>
      <c r="O581" s="70" t="b">
        <f>IF(Tab.11[[#This Row],[a1]]=1,_xlfn.NORM.DIST(Tab.11[[#This Row],[b8]],$P$1,$Q$1,FALSE))</f>
        <v>0</v>
      </c>
      <c r="P581" s="70" t="b">
        <f>IF(Tab.11[[#This Row],[a1]]=1,_xlfn.NORM.DIST(Tab.11[[#This Row],[b9]],$P$1,$Q$1,FALSE))</f>
        <v>0</v>
      </c>
      <c r="Q581" s="70" t="b">
        <f>IF(Tab.11[[#This Row],[a1]]=1,_xlfn.NORM.DIST(Tab.11[[#This Row],[b10]],$P$1,$Q$1,FALSE))</f>
        <v>0</v>
      </c>
      <c r="R581" s="67" t="b">
        <f>IF(Tab.11[[#This Row],[a1]]=1,$I$3+$A$989+IF($K$3=0,Tab.11[[#This Row],[b8]]*_xlfn.STDEV.P(Tab.11[data]),AVERAGE(Tab.11[b6])+Tab.11[[#This Row],[b8]]*_xlfn.STDEV.P(Tab.11[data])))</f>
        <v>0</v>
      </c>
      <c r="S581" s="71" t="b">
        <f>IF(Tab.11[[#This Row],[a1]]=1,$I$3+$A$987+IF($K$3=0,Tab.11[[#This Row],[b9]]*_xlfn.STDEV.P(Tab.11[data]),AVERAGE(Tab.11[b6])+Tab.11[[#This Row],[b9]]*_xlfn.STDEV.P(Tab.11[data])))</f>
        <v>0</v>
      </c>
      <c r="T581" s="71" t="b">
        <f>IF(Tab.11[[#This Row],[a1]]=1,$I$3+$A$988+IF($K$3=0,Tab.11[[#This Row],[b10]]*_xlfn.STDEV.P(Tab.11[data]),AVERAGE(Tab.11[b6])+Tab.11[[#This Row],[b10]]*_xlfn.STDEV.P(Tab.11[data])))</f>
        <v>0</v>
      </c>
      <c r="U581" s="72" t="b">
        <f>IF(Tab.11[[#This Row],[a1]]=1,Tab.11[[#This Row],[target]]-Tab.11[[#This Row],[Red]])</f>
        <v>0</v>
      </c>
      <c r="V581" s="72" t="b">
        <f>IF(Tab.11[[#This Row],[a1]]=1,Tab.11[[#This Row],[target]]-Tab.11[[#This Row],[Blue]])</f>
        <v>0</v>
      </c>
      <c r="W581" s="73" t="b">
        <f>IF(Tab.11[[#This Row],[a1]]=1,IF(ABS(Tab.11[[#This Row],[b17]])+ABS(Tab.11[[#This Row],[b18]])&lt;$W$2,$W$2,ABS(Tab.11[[#This Row],[b17]])+ABS(Tab.11[[#This Row],[b18]])))</f>
        <v>0</v>
      </c>
      <c r="X581" s="136" t="b">
        <f>IF(Tab.11[[#This Row],[a1]]=1,IF($W$3&lt;0,Tab.11[[#This Row],[IN]]-$I$3,Tab.11[[#This Row],[IN]]))</f>
        <v>0</v>
      </c>
      <c r="Y581" s="136" t="b">
        <f>IF(Tab.11[[#This Row],[a1]]=1,IF($X$3=0,Tab.11[b66],Tab.11[[#This Row],[b66]]-AVERAGE(Tab.11[b66])))</f>
        <v>0</v>
      </c>
      <c r="Z581" s="135" t="b">
        <f>IF(Tab.11[[#This Row],[a1]]=1,Tab.11[[#This Row],[b77]]/(_xlfn.STDEV.P(Tab.11[b77])))</f>
        <v>0</v>
      </c>
      <c r="AA581" s="70" t="b">
        <f>IF(Tab.11[[#This Row],[a1]]=1,_xlfn.NORM.DIST(Tab.11[[#This Row],[b88]],$Z$1,$AA$1,FALSE))</f>
        <v>0</v>
      </c>
      <c r="AB581" s="74" t="b">
        <f>IF(Tab.11[[#This Row],[a1]]=1,IF($A$3=0,FALSE,1/Tab.11[[#This Row],[IN]]*$AC$2*IF(Tab.11[[#This Row],[a1]]=0,,$A$3*$AC$1*1/$V$3*(Tab.11[[#This Row],[b14]]))))</f>
        <v>0</v>
      </c>
      <c r="AC581" s="75" t="b">
        <f>IF(Tab.11[[#This Row],[a1]]=1,IF($AC$3=0,Tab.11[[#This Row],[φ1]],Tab.11[[#This Row],[φ1]]/MAX(Tab.11[φ1])))</f>
        <v>0</v>
      </c>
      <c r="AD581" s="74" t="b">
        <f>IF(Tab.11[[#This Row],[a1]]=1,1/Tab.11[[#This Row],[φ2]])</f>
        <v>0</v>
      </c>
      <c r="AE581" s="74" t="b">
        <f>IF(Tab.11[[#This Row],[a1]]=1,IF($AE$3=0,Tab.11[[#This Row],[w.0]],Tab.11[[#This Row],[w.0]]/SUM(Tab.11[w.0])))</f>
        <v>0</v>
      </c>
      <c r="AF581" s="76" t="str">
        <f>IF(Tab.11[[#This Row],[a1]]=0,"false",[3]!Tab.x5[[#This Row],[%_seN_C]])</f>
        <v>false</v>
      </c>
      <c r="AG581" s="77" t="b">
        <f>IF(Tab.11[[#This Row],[a1]]=1,AP581)</f>
        <v>0</v>
      </c>
      <c r="AH581" s="78" t="b">
        <f>IF(Tab.11[[#This Row],[a1]]=1,AQ581)</f>
        <v>0</v>
      </c>
      <c r="AI581" s="41">
        <v>3.0000000000000001E-3</v>
      </c>
      <c r="AJ581" s="79">
        <v>0.1</v>
      </c>
      <c r="AK581" s="80" t="b">
        <f>IF(Tab.11[[#This Row],[a1]]=1,1)</f>
        <v>0</v>
      </c>
      <c r="AZ581"/>
    </row>
    <row r="582" spans="1:52" hidden="1" x14ac:dyDescent="0.25">
      <c r="A582" s="61">
        <f t="shared" si="19"/>
        <v>0</v>
      </c>
      <c r="B582" s="62">
        <f t="shared" si="19"/>
        <v>0</v>
      </c>
      <c r="C582" s="62" t="b">
        <f>IF(Tab.11[[#This Row],[a1]]=1,[3]!Tab_x1[[#This Row],[Name]])</f>
        <v>0</v>
      </c>
      <c r="D582" s="63" t="b">
        <f>IF(Tab.11[[#This Row],[a1]]=1,AO582)</f>
        <v>0</v>
      </c>
      <c r="E582" s="63">
        <f t="shared" si="20"/>
        <v>0</v>
      </c>
      <c r="F582" s="64" t="b">
        <f>IF(Tab.11[[#This Row],[a1]]=1,Tab.11[[#This Row],[b1]])</f>
        <v>0</v>
      </c>
      <c r="G582" s="65" t="b">
        <f>IF(Tab.11[[#This Row],[a1]]=1,IF(Tab.11[[#This Row],[b3]]&gt;$L$989*$G$3,$L$989*$G$3,IF(Tab.11[[#This Row],[b3]]&lt;$M$989*$G$3,$M$989*$G$3,Tab.11[[#This Row],[b3]])))</f>
        <v>0</v>
      </c>
      <c r="H582" s="66" t="b">
        <f>IF(Tab.11[[#This Row],[a1]]=1,Tab.11[[#This Row],[b1]])</f>
        <v>0</v>
      </c>
      <c r="I582" s="67" t="b">
        <f>IF(Tab.11[[#This Row],[a1]]=1,Tab.11[[#This Row],[b1]])</f>
        <v>0</v>
      </c>
      <c r="J582" s="68" t="b">
        <f>IF(Tab.11[[#This Row],[a1]]=1,IF($I$3&lt;0,Tab.11[[#This Row],[b5]]-$I$3,Tab.11[[#This Row],[b5]]))</f>
        <v>0</v>
      </c>
      <c r="K582" s="68" t="b">
        <f>IF(Tab.11[[#This Row],[a1]]=1,IF($K$3=0,Tab.11[b6],Tab.11[[#This Row],[b6]]-AVERAGE(Tab.11[b6])))</f>
        <v>0</v>
      </c>
      <c r="L582" s="69" t="b">
        <f>IF(Tab.11[[#This Row],[a1]]=1,Tab.11[[#This Row],[data]]/(_xlfn.STDEV.P(Tab.11[data])*$B$989)+$A$989)</f>
        <v>0</v>
      </c>
      <c r="M582" s="69" t="b">
        <f>IF(Tab.11[[#This Row],[a1]]=1,Tab.11[[#This Row],[data]]/(_xlfn.STDEV.P(Tab.11[data])*$B$987)-$A$987)</f>
        <v>0</v>
      </c>
      <c r="N582" s="69" t="b">
        <f>IF(Tab.11[[#This Row],[a1]]=1,Tab.11[[#This Row],[data]]/(_xlfn.STDEV.P(Tab.11[data])*$B$988)+$A$988)</f>
        <v>0</v>
      </c>
      <c r="O582" s="70" t="b">
        <f>IF(Tab.11[[#This Row],[a1]]=1,_xlfn.NORM.DIST(Tab.11[[#This Row],[b8]],$P$1,$Q$1,FALSE))</f>
        <v>0</v>
      </c>
      <c r="P582" s="70" t="b">
        <f>IF(Tab.11[[#This Row],[a1]]=1,_xlfn.NORM.DIST(Tab.11[[#This Row],[b9]],$P$1,$Q$1,FALSE))</f>
        <v>0</v>
      </c>
      <c r="Q582" s="70" t="b">
        <f>IF(Tab.11[[#This Row],[a1]]=1,_xlfn.NORM.DIST(Tab.11[[#This Row],[b10]],$P$1,$Q$1,FALSE))</f>
        <v>0</v>
      </c>
      <c r="R582" s="67" t="b">
        <f>IF(Tab.11[[#This Row],[a1]]=1,$I$3+$A$989+IF($K$3=0,Tab.11[[#This Row],[b8]]*_xlfn.STDEV.P(Tab.11[data]),AVERAGE(Tab.11[b6])+Tab.11[[#This Row],[b8]]*_xlfn.STDEV.P(Tab.11[data])))</f>
        <v>0</v>
      </c>
      <c r="S582" s="71" t="b">
        <f>IF(Tab.11[[#This Row],[a1]]=1,$I$3+$A$987+IF($K$3=0,Tab.11[[#This Row],[b9]]*_xlfn.STDEV.P(Tab.11[data]),AVERAGE(Tab.11[b6])+Tab.11[[#This Row],[b9]]*_xlfn.STDEV.P(Tab.11[data])))</f>
        <v>0</v>
      </c>
      <c r="T582" s="71" t="b">
        <f>IF(Tab.11[[#This Row],[a1]]=1,$I$3+$A$988+IF($K$3=0,Tab.11[[#This Row],[b10]]*_xlfn.STDEV.P(Tab.11[data]),AVERAGE(Tab.11[b6])+Tab.11[[#This Row],[b10]]*_xlfn.STDEV.P(Tab.11[data])))</f>
        <v>0</v>
      </c>
      <c r="U582" s="72" t="b">
        <f>IF(Tab.11[[#This Row],[a1]]=1,Tab.11[[#This Row],[target]]-Tab.11[[#This Row],[Red]])</f>
        <v>0</v>
      </c>
      <c r="V582" s="72" t="b">
        <f>IF(Tab.11[[#This Row],[a1]]=1,Tab.11[[#This Row],[target]]-Tab.11[[#This Row],[Blue]])</f>
        <v>0</v>
      </c>
      <c r="W582" s="73" t="b">
        <f>IF(Tab.11[[#This Row],[a1]]=1,IF(ABS(Tab.11[[#This Row],[b17]])+ABS(Tab.11[[#This Row],[b18]])&lt;$W$2,$W$2,ABS(Tab.11[[#This Row],[b17]])+ABS(Tab.11[[#This Row],[b18]])))</f>
        <v>0</v>
      </c>
      <c r="X582" s="136" t="b">
        <f>IF(Tab.11[[#This Row],[a1]]=1,IF($W$3&lt;0,Tab.11[[#This Row],[IN]]-$I$3,Tab.11[[#This Row],[IN]]))</f>
        <v>0</v>
      </c>
      <c r="Y582" s="136" t="b">
        <f>IF(Tab.11[[#This Row],[a1]]=1,IF($X$3=0,Tab.11[b66],Tab.11[[#This Row],[b66]]-AVERAGE(Tab.11[b66])))</f>
        <v>0</v>
      </c>
      <c r="Z582" s="135" t="b">
        <f>IF(Tab.11[[#This Row],[a1]]=1,Tab.11[[#This Row],[b77]]/(_xlfn.STDEV.P(Tab.11[b77])))</f>
        <v>0</v>
      </c>
      <c r="AA582" s="70" t="b">
        <f>IF(Tab.11[[#This Row],[a1]]=1,_xlfn.NORM.DIST(Tab.11[[#This Row],[b88]],$Z$1,$AA$1,FALSE))</f>
        <v>0</v>
      </c>
      <c r="AB582" s="74" t="b">
        <f>IF(Tab.11[[#This Row],[a1]]=1,IF($A$3=0,FALSE,1/Tab.11[[#This Row],[IN]]*$AC$2*IF(Tab.11[[#This Row],[a1]]=0,,$A$3*$AC$1*1/$V$3*(Tab.11[[#This Row],[b14]]))))</f>
        <v>0</v>
      </c>
      <c r="AC582" s="75" t="b">
        <f>IF(Tab.11[[#This Row],[a1]]=1,IF($AC$3=0,Tab.11[[#This Row],[φ1]],Tab.11[[#This Row],[φ1]]/MAX(Tab.11[φ1])))</f>
        <v>0</v>
      </c>
      <c r="AD582" s="74" t="b">
        <f>IF(Tab.11[[#This Row],[a1]]=1,1/Tab.11[[#This Row],[φ2]])</f>
        <v>0</v>
      </c>
      <c r="AE582" s="74" t="b">
        <f>IF(Tab.11[[#This Row],[a1]]=1,IF($AE$3=0,Tab.11[[#This Row],[w.0]],Tab.11[[#This Row],[w.0]]/SUM(Tab.11[w.0])))</f>
        <v>0</v>
      </c>
      <c r="AF582" s="76" t="str">
        <f>IF(Tab.11[[#This Row],[a1]]=0,"false",[3]!Tab.x5[[#This Row],[%_seN_C]])</f>
        <v>false</v>
      </c>
      <c r="AG582" s="77" t="b">
        <f>IF(Tab.11[[#This Row],[a1]]=1,AP582)</f>
        <v>0</v>
      </c>
      <c r="AH582" s="78" t="b">
        <f>IF(Tab.11[[#This Row],[a1]]=1,AQ582)</f>
        <v>0</v>
      </c>
      <c r="AI582" s="41">
        <v>3.0000000000000001E-3</v>
      </c>
      <c r="AJ582" s="79">
        <v>0</v>
      </c>
      <c r="AK582" s="80" t="b">
        <f>IF(Tab.11[[#This Row],[a1]]=1,1)</f>
        <v>0</v>
      </c>
      <c r="AZ582"/>
    </row>
    <row r="583" spans="1:52" hidden="1" x14ac:dyDescent="0.25">
      <c r="A583" s="61">
        <f t="shared" si="19"/>
        <v>0</v>
      </c>
      <c r="B583" s="62">
        <f t="shared" si="19"/>
        <v>0</v>
      </c>
      <c r="C583" s="62" t="b">
        <f>IF(Tab.11[[#This Row],[a1]]=1,[3]!Tab_x1[[#This Row],[Name]])</f>
        <v>0</v>
      </c>
      <c r="D583" s="63" t="b">
        <f>IF(Tab.11[[#This Row],[a1]]=1,AO583)</f>
        <v>0</v>
      </c>
      <c r="E583" s="63">
        <f t="shared" si="20"/>
        <v>0</v>
      </c>
      <c r="F583" s="64" t="b">
        <f>IF(Tab.11[[#This Row],[a1]]=1,Tab.11[[#This Row],[b1]])</f>
        <v>0</v>
      </c>
      <c r="G583" s="65" t="b">
        <f>IF(Tab.11[[#This Row],[a1]]=1,IF(Tab.11[[#This Row],[b3]]&gt;$L$989*$G$3,$L$989*$G$3,IF(Tab.11[[#This Row],[b3]]&lt;$M$989*$G$3,$M$989*$G$3,Tab.11[[#This Row],[b3]])))</f>
        <v>0</v>
      </c>
      <c r="H583" s="66" t="b">
        <f>IF(Tab.11[[#This Row],[a1]]=1,Tab.11[[#This Row],[b1]])</f>
        <v>0</v>
      </c>
      <c r="I583" s="67" t="b">
        <f>IF(Tab.11[[#This Row],[a1]]=1,Tab.11[[#This Row],[b1]])</f>
        <v>0</v>
      </c>
      <c r="J583" s="68" t="b">
        <f>IF(Tab.11[[#This Row],[a1]]=1,IF($I$3&lt;0,Tab.11[[#This Row],[b5]]-$I$3,Tab.11[[#This Row],[b5]]))</f>
        <v>0</v>
      </c>
      <c r="K583" s="68" t="b">
        <f>IF(Tab.11[[#This Row],[a1]]=1,IF($K$3=0,Tab.11[b6],Tab.11[[#This Row],[b6]]-AVERAGE(Tab.11[b6])))</f>
        <v>0</v>
      </c>
      <c r="L583" s="69" t="b">
        <f>IF(Tab.11[[#This Row],[a1]]=1,Tab.11[[#This Row],[data]]/(_xlfn.STDEV.P(Tab.11[data])*$B$989)+$A$989)</f>
        <v>0</v>
      </c>
      <c r="M583" s="69" t="b">
        <f>IF(Tab.11[[#This Row],[a1]]=1,Tab.11[[#This Row],[data]]/(_xlfn.STDEV.P(Tab.11[data])*$B$987)-$A$987)</f>
        <v>0</v>
      </c>
      <c r="N583" s="69" t="b">
        <f>IF(Tab.11[[#This Row],[a1]]=1,Tab.11[[#This Row],[data]]/(_xlfn.STDEV.P(Tab.11[data])*$B$988)+$A$988)</f>
        <v>0</v>
      </c>
      <c r="O583" s="70" t="b">
        <f>IF(Tab.11[[#This Row],[a1]]=1,_xlfn.NORM.DIST(Tab.11[[#This Row],[b8]],$P$1,$Q$1,FALSE))</f>
        <v>0</v>
      </c>
      <c r="P583" s="70" t="b">
        <f>IF(Tab.11[[#This Row],[a1]]=1,_xlfn.NORM.DIST(Tab.11[[#This Row],[b9]],$P$1,$Q$1,FALSE))</f>
        <v>0</v>
      </c>
      <c r="Q583" s="70" t="b">
        <f>IF(Tab.11[[#This Row],[a1]]=1,_xlfn.NORM.DIST(Tab.11[[#This Row],[b10]],$P$1,$Q$1,FALSE))</f>
        <v>0</v>
      </c>
      <c r="R583" s="67" t="b">
        <f>IF(Tab.11[[#This Row],[a1]]=1,$I$3+$A$989+IF($K$3=0,Tab.11[[#This Row],[b8]]*_xlfn.STDEV.P(Tab.11[data]),AVERAGE(Tab.11[b6])+Tab.11[[#This Row],[b8]]*_xlfn.STDEV.P(Tab.11[data])))</f>
        <v>0</v>
      </c>
      <c r="S583" s="71" t="b">
        <f>IF(Tab.11[[#This Row],[a1]]=1,$I$3+$A$987+IF($K$3=0,Tab.11[[#This Row],[b9]]*_xlfn.STDEV.P(Tab.11[data]),AVERAGE(Tab.11[b6])+Tab.11[[#This Row],[b9]]*_xlfn.STDEV.P(Tab.11[data])))</f>
        <v>0</v>
      </c>
      <c r="T583" s="71" t="b">
        <f>IF(Tab.11[[#This Row],[a1]]=1,$I$3+$A$988+IF($K$3=0,Tab.11[[#This Row],[b10]]*_xlfn.STDEV.P(Tab.11[data]),AVERAGE(Tab.11[b6])+Tab.11[[#This Row],[b10]]*_xlfn.STDEV.P(Tab.11[data])))</f>
        <v>0</v>
      </c>
      <c r="U583" s="72" t="b">
        <f>IF(Tab.11[[#This Row],[a1]]=1,Tab.11[[#This Row],[target]]-Tab.11[[#This Row],[Red]])</f>
        <v>0</v>
      </c>
      <c r="V583" s="72" t="b">
        <f>IF(Tab.11[[#This Row],[a1]]=1,Tab.11[[#This Row],[target]]-Tab.11[[#This Row],[Blue]])</f>
        <v>0</v>
      </c>
      <c r="W583" s="73" t="b">
        <f>IF(Tab.11[[#This Row],[a1]]=1,IF(ABS(Tab.11[[#This Row],[b17]])+ABS(Tab.11[[#This Row],[b18]])&lt;$W$2,$W$2,ABS(Tab.11[[#This Row],[b17]])+ABS(Tab.11[[#This Row],[b18]])))</f>
        <v>0</v>
      </c>
      <c r="X583" s="136" t="b">
        <f>IF(Tab.11[[#This Row],[a1]]=1,IF($W$3&lt;0,Tab.11[[#This Row],[IN]]-$I$3,Tab.11[[#This Row],[IN]]))</f>
        <v>0</v>
      </c>
      <c r="Y583" s="136" t="b">
        <f>IF(Tab.11[[#This Row],[a1]]=1,IF($X$3=0,Tab.11[b66],Tab.11[[#This Row],[b66]]-AVERAGE(Tab.11[b66])))</f>
        <v>0</v>
      </c>
      <c r="Z583" s="135" t="b">
        <f>IF(Tab.11[[#This Row],[a1]]=1,Tab.11[[#This Row],[b77]]/(_xlfn.STDEV.P(Tab.11[b77])))</f>
        <v>0</v>
      </c>
      <c r="AA583" s="70" t="b">
        <f>IF(Tab.11[[#This Row],[a1]]=1,_xlfn.NORM.DIST(Tab.11[[#This Row],[b88]],$Z$1,$AA$1,FALSE))</f>
        <v>0</v>
      </c>
      <c r="AB583" s="74" t="b">
        <f>IF(Tab.11[[#This Row],[a1]]=1,IF($A$3=0,FALSE,1/Tab.11[[#This Row],[IN]]*$AC$2*IF(Tab.11[[#This Row],[a1]]=0,,$A$3*$AC$1*1/$V$3*(Tab.11[[#This Row],[b14]]))))</f>
        <v>0</v>
      </c>
      <c r="AC583" s="75" t="b">
        <f>IF(Tab.11[[#This Row],[a1]]=1,IF($AC$3=0,Tab.11[[#This Row],[φ1]],Tab.11[[#This Row],[φ1]]/MAX(Tab.11[φ1])))</f>
        <v>0</v>
      </c>
      <c r="AD583" s="74" t="b">
        <f>IF(Tab.11[[#This Row],[a1]]=1,1/Tab.11[[#This Row],[φ2]])</f>
        <v>0</v>
      </c>
      <c r="AE583" s="74" t="b">
        <f>IF(Tab.11[[#This Row],[a1]]=1,IF($AE$3=0,Tab.11[[#This Row],[w.0]],Tab.11[[#This Row],[w.0]]/SUM(Tab.11[w.0])))</f>
        <v>0</v>
      </c>
      <c r="AF583" s="76" t="str">
        <f>IF(Tab.11[[#This Row],[a1]]=0,"false",[3]!Tab.x5[[#This Row],[%_seN_C]])</f>
        <v>false</v>
      </c>
      <c r="AG583" s="77" t="b">
        <f>IF(Tab.11[[#This Row],[a1]]=1,AP583)</f>
        <v>0</v>
      </c>
      <c r="AH583" s="78" t="b">
        <f>IF(Tab.11[[#This Row],[a1]]=1,AQ583)</f>
        <v>0</v>
      </c>
      <c r="AI583" s="41">
        <v>3.0000000000000001E-3</v>
      </c>
      <c r="AJ583" s="79">
        <v>-0.05</v>
      </c>
      <c r="AK583" s="80" t="b">
        <f>IF(Tab.11[[#This Row],[a1]]=1,1)</f>
        <v>0</v>
      </c>
      <c r="AZ583"/>
    </row>
    <row r="584" spans="1:52" hidden="1" x14ac:dyDescent="0.25">
      <c r="A584" s="61">
        <f t="shared" si="19"/>
        <v>0</v>
      </c>
      <c r="B584" s="62">
        <f t="shared" si="19"/>
        <v>0</v>
      </c>
      <c r="C584" s="62" t="b">
        <f>IF(Tab.11[[#This Row],[a1]]=1,[3]!Tab_x1[[#This Row],[Name]])</f>
        <v>0</v>
      </c>
      <c r="D584" s="63" t="b">
        <f>IF(Tab.11[[#This Row],[a1]]=1,AO584)</f>
        <v>0</v>
      </c>
      <c r="E584" s="63">
        <f t="shared" si="20"/>
        <v>0</v>
      </c>
      <c r="F584" s="64" t="b">
        <f>IF(Tab.11[[#This Row],[a1]]=1,Tab.11[[#This Row],[b1]])</f>
        <v>0</v>
      </c>
      <c r="G584" s="65" t="b">
        <f>IF(Tab.11[[#This Row],[a1]]=1,IF(Tab.11[[#This Row],[b3]]&gt;$L$989*$G$3,$L$989*$G$3,IF(Tab.11[[#This Row],[b3]]&lt;$M$989*$G$3,$M$989*$G$3,Tab.11[[#This Row],[b3]])))</f>
        <v>0</v>
      </c>
      <c r="H584" s="66" t="b">
        <f>IF(Tab.11[[#This Row],[a1]]=1,Tab.11[[#This Row],[b1]])</f>
        <v>0</v>
      </c>
      <c r="I584" s="67" t="b">
        <f>IF(Tab.11[[#This Row],[a1]]=1,Tab.11[[#This Row],[b1]])</f>
        <v>0</v>
      </c>
      <c r="J584" s="68" t="b">
        <f>IF(Tab.11[[#This Row],[a1]]=1,IF($I$3&lt;0,Tab.11[[#This Row],[b5]]-$I$3,Tab.11[[#This Row],[b5]]))</f>
        <v>0</v>
      </c>
      <c r="K584" s="68" t="b">
        <f>IF(Tab.11[[#This Row],[a1]]=1,IF($K$3=0,Tab.11[b6],Tab.11[[#This Row],[b6]]-AVERAGE(Tab.11[b6])))</f>
        <v>0</v>
      </c>
      <c r="L584" s="69" t="b">
        <f>IF(Tab.11[[#This Row],[a1]]=1,Tab.11[[#This Row],[data]]/(_xlfn.STDEV.P(Tab.11[data])*$B$989)+$A$989)</f>
        <v>0</v>
      </c>
      <c r="M584" s="69" t="b">
        <f>IF(Tab.11[[#This Row],[a1]]=1,Tab.11[[#This Row],[data]]/(_xlfn.STDEV.P(Tab.11[data])*$B$987)-$A$987)</f>
        <v>0</v>
      </c>
      <c r="N584" s="69" t="b">
        <f>IF(Tab.11[[#This Row],[a1]]=1,Tab.11[[#This Row],[data]]/(_xlfn.STDEV.P(Tab.11[data])*$B$988)+$A$988)</f>
        <v>0</v>
      </c>
      <c r="O584" s="70" t="b">
        <f>IF(Tab.11[[#This Row],[a1]]=1,_xlfn.NORM.DIST(Tab.11[[#This Row],[b8]],$P$1,$Q$1,FALSE))</f>
        <v>0</v>
      </c>
      <c r="P584" s="70" t="b">
        <f>IF(Tab.11[[#This Row],[a1]]=1,_xlfn.NORM.DIST(Tab.11[[#This Row],[b9]],$P$1,$Q$1,FALSE))</f>
        <v>0</v>
      </c>
      <c r="Q584" s="70" t="b">
        <f>IF(Tab.11[[#This Row],[a1]]=1,_xlfn.NORM.DIST(Tab.11[[#This Row],[b10]],$P$1,$Q$1,FALSE))</f>
        <v>0</v>
      </c>
      <c r="R584" s="67" t="b">
        <f>IF(Tab.11[[#This Row],[a1]]=1,$I$3+$A$989+IF($K$3=0,Tab.11[[#This Row],[b8]]*_xlfn.STDEV.P(Tab.11[data]),AVERAGE(Tab.11[b6])+Tab.11[[#This Row],[b8]]*_xlfn.STDEV.P(Tab.11[data])))</f>
        <v>0</v>
      </c>
      <c r="S584" s="71" t="b">
        <f>IF(Tab.11[[#This Row],[a1]]=1,$I$3+$A$987+IF($K$3=0,Tab.11[[#This Row],[b9]]*_xlfn.STDEV.P(Tab.11[data]),AVERAGE(Tab.11[b6])+Tab.11[[#This Row],[b9]]*_xlfn.STDEV.P(Tab.11[data])))</f>
        <v>0</v>
      </c>
      <c r="T584" s="71" t="b">
        <f>IF(Tab.11[[#This Row],[a1]]=1,$I$3+$A$988+IF($K$3=0,Tab.11[[#This Row],[b10]]*_xlfn.STDEV.P(Tab.11[data]),AVERAGE(Tab.11[b6])+Tab.11[[#This Row],[b10]]*_xlfn.STDEV.P(Tab.11[data])))</f>
        <v>0</v>
      </c>
      <c r="U584" s="72" t="b">
        <f>IF(Tab.11[[#This Row],[a1]]=1,Tab.11[[#This Row],[target]]-Tab.11[[#This Row],[Red]])</f>
        <v>0</v>
      </c>
      <c r="V584" s="72" t="b">
        <f>IF(Tab.11[[#This Row],[a1]]=1,Tab.11[[#This Row],[target]]-Tab.11[[#This Row],[Blue]])</f>
        <v>0</v>
      </c>
      <c r="W584" s="73" t="b">
        <f>IF(Tab.11[[#This Row],[a1]]=1,IF(ABS(Tab.11[[#This Row],[b17]])+ABS(Tab.11[[#This Row],[b18]])&lt;$W$2,$W$2,ABS(Tab.11[[#This Row],[b17]])+ABS(Tab.11[[#This Row],[b18]])))</f>
        <v>0</v>
      </c>
      <c r="X584" s="136" t="b">
        <f>IF(Tab.11[[#This Row],[a1]]=1,IF($W$3&lt;0,Tab.11[[#This Row],[IN]]-$I$3,Tab.11[[#This Row],[IN]]))</f>
        <v>0</v>
      </c>
      <c r="Y584" s="136" t="b">
        <f>IF(Tab.11[[#This Row],[a1]]=1,IF($X$3=0,Tab.11[b66],Tab.11[[#This Row],[b66]]-AVERAGE(Tab.11[b66])))</f>
        <v>0</v>
      </c>
      <c r="Z584" s="135" t="b">
        <f>IF(Tab.11[[#This Row],[a1]]=1,Tab.11[[#This Row],[b77]]/(_xlfn.STDEV.P(Tab.11[b77])))</f>
        <v>0</v>
      </c>
      <c r="AA584" s="70" t="b">
        <f>IF(Tab.11[[#This Row],[a1]]=1,_xlfn.NORM.DIST(Tab.11[[#This Row],[b88]],$Z$1,$AA$1,FALSE))</f>
        <v>0</v>
      </c>
      <c r="AB584" s="74" t="b">
        <f>IF(Tab.11[[#This Row],[a1]]=1,IF($A$3=0,FALSE,1/Tab.11[[#This Row],[IN]]*$AC$2*IF(Tab.11[[#This Row],[a1]]=0,,$A$3*$AC$1*1/$V$3*(Tab.11[[#This Row],[b14]]))))</f>
        <v>0</v>
      </c>
      <c r="AC584" s="75" t="b">
        <f>IF(Tab.11[[#This Row],[a1]]=1,IF($AC$3=0,Tab.11[[#This Row],[φ1]],Tab.11[[#This Row],[φ1]]/MAX(Tab.11[φ1])))</f>
        <v>0</v>
      </c>
      <c r="AD584" s="74" t="b">
        <f>IF(Tab.11[[#This Row],[a1]]=1,1/Tab.11[[#This Row],[φ2]])</f>
        <v>0</v>
      </c>
      <c r="AE584" s="74" t="b">
        <f>IF(Tab.11[[#This Row],[a1]]=1,IF($AE$3=0,Tab.11[[#This Row],[w.0]],Tab.11[[#This Row],[w.0]]/SUM(Tab.11[w.0])))</f>
        <v>0</v>
      </c>
      <c r="AF584" s="76" t="str">
        <f>IF(Tab.11[[#This Row],[a1]]=0,"false",[3]!Tab.x5[[#This Row],[%_seN_C]])</f>
        <v>false</v>
      </c>
      <c r="AG584" s="77" t="b">
        <f>IF(Tab.11[[#This Row],[a1]]=1,AP584)</f>
        <v>0</v>
      </c>
      <c r="AH584" s="78" t="b">
        <f>IF(Tab.11[[#This Row],[a1]]=1,AQ584)</f>
        <v>0</v>
      </c>
      <c r="AI584" s="41">
        <v>3.0000000000000001E-3</v>
      </c>
      <c r="AJ584" s="79">
        <v>-0.03</v>
      </c>
      <c r="AK584" s="80" t="b">
        <f>IF(Tab.11[[#This Row],[a1]]=1,1)</f>
        <v>0</v>
      </c>
      <c r="AZ584"/>
    </row>
    <row r="585" spans="1:52" hidden="1" x14ac:dyDescent="0.25">
      <c r="A585" s="61">
        <f t="shared" si="19"/>
        <v>0</v>
      </c>
      <c r="B585" s="62">
        <f t="shared" si="19"/>
        <v>0</v>
      </c>
      <c r="C585" s="62" t="b">
        <f>IF(Tab.11[[#This Row],[a1]]=1,[3]!Tab_x1[[#This Row],[Name]])</f>
        <v>0</v>
      </c>
      <c r="D585" s="63" t="b">
        <f>IF(Tab.11[[#This Row],[a1]]=1,AO585)</f>
        <v>0</v>
      </c>
      <c r="E585" s="63">
        <f t="shared" si="20"/>
        <v>0</v>
      </c>
      <c r="F585" s="64" t="b">
        <f>IF(Tab.11[[#This Row],[a1]]=1,Tab.11[[#This Row],[b1]])</f>
        <v>0</v>
      </c>
      <c r="G585" s="65" t="b">
        <f>IF(Tab.11[[#This Row],[a1]]=1,IF(Tab.11[[#This Row],[b3]]&gt;$L$989*$G$3,$L$989*$G$3,IF(Tab.11[[#This Row],[b3]]&lt;$M$989*$G$3,$M$989*$G$3,Tab.11[[#This Row],[b3]])))</f>
        <v>0</v>
      </c>
      <c r="H585" s="66" t="b">
        <f>IF(Tab.11[[#This Row],[a1]]=1,Tab.11[[#This Row],[b1]])</f>
        <v>0</v>
      </c>
      <c r="I585" s="67" t="b">
        <f>IF(Tab.11[[#This Row],[a1]]=1,Tab.11[[#This Row],[b1]])</f>
        <v>0</v>
      </c>
      <c r="J585" s="68" t="b">
        <f>IF(Tab.11[[#This Row],[a1]]=1,IF($I$3&lt;0,Tab.11[[#This Row],[b5]]-$I$3,Tab.11[[#This Row],[b5]]))</f>
        <v>0</v>
      </c>
      <c r="K585" s="68" t="b">
        <f>IF(Tab.11[[#This Row],[a1]]=1,IF($K$3=0,Tab.11[b6],Tab.11[[#This Row],[b6]]-AVERAGE(Tab.11[b6])))</f>
        <v>0</v>
      </c>
      <c r="L585" s="69" t="b">
        <f>IF(Tab.11[[#This Row],[a1]]=1,Tab.11[[#This Row],[data]]/(_xlfn.STDEV.P(Tab.11[data])*$B$989)+$A$989)</f>
        <v>0</v>
      </c>
      <c r="M585" s="69" t="b">
        <f>IF(Tab.11[[#This Row],[a1]]=1,Tab.11[[#This Row],[data]]/(_xlfn.STDEV.P(Tab.11[data])*$B$987)-$A$987)</f>
        <v>0</v>
      </c>
      <c r="N585" s="69" t="b">
        <f>IF(Tab.11[[#This Row],[a1]]=1,Tab.11[[#This Row],[data]]/(_xlfn.STDEV.P(Tab.11[data])*$B$988)+$A$988)</f>
        <v>0</v>
      </c>
      <c r="O585" s="70" t="b">
        <f>IF(Tab.11[[#This Row],[a1]]=1,_xlfn.NORM.DIST(Tab.11[[#This Row],[b8]],$P$1,$Q$1,FALSE))</f>
        <v>0</v>
      </c>
      <c r="P585" s="70" t="b">
        <f>IF(Tab.11[[#This Row],[a1]]=1,_xlfn.NORM.DIST(Tab.11[[#This Row],[b9]],$P$1,$Q$1,FALSE))</f>
        <v>0</v>
      </c>
      <c r="Q585" s="70" t="b">
        <f>IF(Tab.11[[#This Row],[a1]]=1,_xlfn.NORM.DIST(Tab.11[[#This Row],[b10]],$P$1,$Q$1,FALSE))</f>
        <v>0</v>
      </c>
      <c r="R585" s="67" t="b">
        <f>IF(Tab.11[[#This Row],[a1]]=1,$I$3+$A$989+IF($K$3=0,Tab.11[[#This Row],[b8]]*_xlfn.STDEV.P(Tab.11[data]),AVERAGE(Tab.11[b6])+Tab.11[[#This Row],[b8]]*_xlfn.STDEV.P(Tab.11[data])))</f>
        <v>0</v>
      </c>
      <c r="S585" s="71" t="b">
        <f>IF(Tab.11[[#This Row],[a1]]=1,$I$3+$A$987+IF($K$3=0,Tab.11[[#This Row],[b9]]*_xlfn.STDEV.P(Tab.11[data]),AVERAGE(Tab.11[b6])+Tab.11[[#This Row],[b9]]*_xlfn.STDEV.P(Tab.11[data])))</f>
        <v>0</v>
      </c>
      <c r="T585" s="71" t="b">
        <f>IF(Tab.11[[#This Row],[a1]]=1,$I$3+$A$988+IF($K$3=0,Tab.11[[#This Row],[b10]]*_xlfn.STDEV.P(Tab.11[data]),AVERAGE(Tab.11[b6])+Tab.11[[#This Row],[b10]]*_xlfn.STDEV.P(Tab.11[data])))</f>
        <v>0</v>
      </c>
      <c r="U585" s="72" t="b">
        <f>IF(Tab.11[[#This Row],[a1]]=1,Tab.11[[#This Row],[target]]-Tab.11[[#This Row],[Red]])</f>
        <v>0</v>
      </c>
      <c r="V585" s="72" t="b">
        <f>IF(Tab.11[[#This Row],[a1]]=1,Tab.11[[#This Row],[target]]-Tab.11[[#This Row],[Blue]])</f>
        <v>0</v>
      </c>
      <c r="W585" s="73" t="b">
        <f>IF(Tab.11[[#This Row],[a1]]=1,IF(ABS(Tab.11[[#This Row],[b17]])+ABS(Tab.11[[#This Row],[b18]])&lt;$W$2,$W$2,ABS(Tab.11[[#This Row],[b17]])+ABS(Tab.11[[#This Row],[b18]])))</f>
        <v>0</v>
      </c>
      <c r="X585" s="136" t="b">
        <f>IF(Tab.11[[#This Row],[a1]]=1,IF($W$3&lt;0,Tab.11[[#This Row],[IN]]-$I$3,Tab.11[[#This Row],[IN]]))</f>
        <v>0</v>
      </c>
      <c r="Y585" s="136" t="b">
        <f>IF(Tab.11[[#This Row],[a1]]=1,IF($X$3=0,Tab.11[b66],Tab.11[[#This Row],[b66]]-AVERAGE(Tab.11[b66])))</f>
        <v>0</v>
      </c>
      <c r="Z585" s="135" t="b">
        <f>IF(Tab.11[[#This Row],[a1]]=1,Tab.11[[#This Row],[b77]]/(_xlfn.STDEV.P(Tab.11[b77])))</f>
        <v>0</v>
      </c>
      <c r="AA585" s="70" t="b">
        <f>IF(Tab.11[[#This Row],[a1]]=1,_xlfn.NORM.DIST(Tab.11[[#This Row],[b88]],$Z$1,$AA$1,FALSE))</f>
        <v>0</v>
      </c>
      <c r="AB585" s="74" t="b">
        <f>IF(Tab.11[[#This Row],[a1]]=1,IF($A$3=0,FALSE,1/Tab.11[[#This Row],[IN]]*$AC$2*IF(Tab.11[[#This Row],[a1]]=0,,$A$3*$AC$1*1/$V$3*(Tab.11[[#This Row],[b14]]))))</f>
        <v>0</v>
      </c>
      <c r="AC585" s="75" t="b">
        <f>IF(Tab.11[[#This Row],[a1]]=1,IF($AC$3=0,Tab.11[[#This Row],[φ1]],Tab.11[[#This Row],[φ1]]/MAX(Tab.11[φ1])))</f>
        <v>0</v>
      </c>
      <c r="AD585" s="74" t="b">
        <f>IF(Tab.11[[#This Row],[a1]]=1,1/Tab.11[[#This Row],[φ2]])</f>
        <v>0</v>
      </c>
      <c r="AE585" s="74" t="b">
        <f>IF(Tab.11[[#This Row],[a1]]=1,IF($AE$3=0,Tab.11[[#This Row],[w.0]],Tab.11[[#This Row],[w.0]]/SUM(Tab.11[w.0])))</f>
        <v>0</v>
      </c>
      <c r="AF585" s="76" t="str">
        <f>IF(Tab.11[[#This Row],[a1]]=0,"false",[3]!Tab.x5[[#This Row],[%_seN_C]])</f>
        <v>false</v>
      </c>
      <c r="AG585" s="77" t="b">
        <f>IF(Tab.11[[#This Row],[a1]]=1,AP585)</f>
        <v>0</v>
      </c>
      <c r="AH585" s="78" t="b">
        <f>IF(Tab.11[[#This Row],[a1]]=1,AQ585)</f>
        <v>0</v>
      </c>
      <c r="AI585" s="41">
        <v>3.0000000000000001E-3</v>
      </c>
      <c r="AJ585" s="79">
        <v>0.05</v>
      </c>
      <c r="AK585" s="80" t="b">
        <f>IF(Tab.11[[#This Row],[a1]]=1,1)</f>
        <v>0</v>
      </c>
      <c r="AZ585"/>
    </row>
    <row r="586" spans="1:52" hidden="1" x14ac:dyDescent="0.25">
      <c r="A586" s="61">
        <f t="shared" si="19"/>
        <v>0</v>
      </c>
      <c r="B586" s="62">
        <f t="shared" si="19"/>
        <v>0</v>
      </c>
      <c r="C586" s="62" t="b">
        <f>IF(Tab.11[[#This Row],[a1]]=1,[3]!Tab_x1[[#This Row],[Name]])</f>
        <v>0</v>
      </c>
      <c r="D586" s="63" t="b">
        <f>IF(Tab.11[[#This Row],[a1]]=1,AO586)</f>
        <v>0</v>
      </c>
      <c r="E586" s="63">
        <f t="shared" si="20"/>
        <v>0</v>
      </c>
      <c r="F586" s="64" t="b">
        <f>IF(Tab.11[[#This Row],[a1]]=1,Tab.11[[#This Row],[b1]])</f>
        <v>0</v>
      </c>
      <c r="G586" s="65" t="b">
        <f>IF(Tab.11[[#This Row],[a1]]=1,IF(Tab.11[[#This Row],[b3]]&gt;$L$989*$G$3,$L$989*$G$3,IF(Tab.11[[#This Row],[b3]]&lt;$M$989*$G$3,$M$989*$G$3,Tab.11[[#This Row],[b3]])))</f>
        <v>0</v>
      </c>
      <c r="H586" s="66" t="b">
        <f>IF(Tab.11[[#This Row],[a1]]=1,Tab.11[[#This Row],[b1]])</f>
        <v>0</v>
      </c>
      <c r="I586" s="67" t="b">
        <f>IF(Tab.11[[#This Row],[a1]]=1,Tab.11[[#This Row],[b1]])</f>
        <v>0</v>
      </c>
      <c r="J586" s="68" t="b">
        <f>IF(Tab.11[[#This Row],[a1]]=1,IF($I$3&lt;0,Tab.11[[#This Row],[b5]]-$I$3,Tab.11[[#This Row],[b5]]))</f>
        <v>0</v>
      </c>
      <c r="K586" s="68" t="b">
        <f>IF(Tab.11[[#This Row],[a1]]=1,IF($K$3=0,Tab.11[b6],Tab.11[[#This Row],[b6]]-AVERAGE(Tab.11[b6])))</f>
        <v>0</v>
      </c>
      <c r="L586" s="69" t="b">
        <f>IF(Tab.11[[#This Row],[a1]]=1,Tab.11[[#This Row],[data]]/(_xlfn.STDEV.P(Tab.11[data])*$B$989)+$A$989)</f>
        <v>0</v>
      </c>
      <c r="M586" s="69" t="b">
        <f>IF(Tab.11[[#This Row],[a1]]=1,Tab.11[[#This Row],[data]]/(_xlfn.STDEV.P(Tab.11[data])*$B$987)-$A$987)</f>
        <v>0</v>
      </c>
      <c r="N586" s="69" t="b">
        <f>IF(Tab.11[[#This Row],[a1]]=1,Tab.11[[#This Row],[data]]/(_xlfn.STDEV.P(Tab.11[data])*$B$988)+$A$988)</f>
        <v>0</v>
      </c>
      <c r="O586" s="70" t="b">
        <f>IF(Tab.11[[#This Row],[a1]]=1,_xlfn.NORM.DIST(Tab.11[[#This Row],[b8]],$P$1,$Q$1,FALSE))</f>
        <v>0</v>
      </c>
      <c r="P586" s="70" t="b">
        <f>IF(Tab.11[[#This Row],[a1]]=1,_xlfn.NORM.DIST(Tab.11[[#This Row],[b9]],$P$1,$Q$1,FALSE))</f>
        <v>0</v>
      </c>
      <c r="Q586" s="70" t="b">
        <f>IF(Tab.11[[#This Row],[a1]]=1,_xlfn.NORM.DIST(Tab.11[[#This Row],[b10]],$P$1,$Q$1,FALSE))</f>
        <v>0</v>
      </c>
      <c r="R586" s="67" t="b">
        <f>IF(Tab.11[[#This Row],[a1]]=1,$I$3+$A$989+IF($K$3=0,Tab.11[[#This Row],[b8]]*_xlfn.STDEV.P(Tab.11[data]),AVERAGE(Tab.11[b6])+Tab.11[[#This Row],[b8]]*_xlfn.STDEV.P(Tab.11[data])))</f>
        <v>0</v>
      </c>
      <c r="S586" s="71" t="b">
        <f>IF(Tab.11[[#This Row],[a1]]=1,$I$3+$A$987+IF($K$3=0,Tab.11[[#This Row],[b9]]*_xlfn.STDEV.P(Tab.11[data]),AVERAGE(Tab.11[b6])+Tab.11[[#This Row],[b9]]*_xlfn.STDEV.P(Tab.11[data])))</f>
        <v>0</v>
      </c>
      <c r="T586" s="71" t="b">
        <f>IF(Tab.11[[#This Row],[a1]]=1,$I$3+$A$988+IF($K$3=0,Tab.11[[#This Row],[b10]]*_xlfn.STDEV.P(Tab.11[data]),AVERAGE(Tab.11[b6])+Tab.11[[#This Row],[b10]]*_xlfn.STDEV.P(Tab.11[data])))</f>
        <v>0</v>
      </c>
      <c r="U586" s="72" t="b">
        <f>IF(Tab.11[[#This Row],[a1]]=1,Tab.11[[#This Row],[target]]-Tab.11[[#This Row],[Red]])</f>
        <v>0</v>
      </c>
      <c r="V586" s="72" t="b">
        <f>IF(Tab.11[[#This Row],[a1]]=1,Tab.11[[#This Row],[target]]-Tab.11[[#This Row],[Blue]])</f>
        <v>0</v>
      </c>
      <c r="W586" s="73" t="b">
        <f>IF(Tab.11[[#This Row],[a1]]=1,IF(ABS(Tab.11[[#This Row],[b17]])+ABS(Tab.11[[#This Row],[b18]])&lt;$W$2,$W$2,ABS(Tab.11[[#This Row],[b17]])+ABS(Tab.11[[#This Row],[b18]])))</f>
        <v>0</v>
      </c>
      <c r="X586" s="136" t="b">
        <f>IF(Tab.11[[#This Row],[a1]]=1,IF($W$3&lt;0,Tab.11[[#This Row],[IN]]-$I$3,Tab.11[[#This Row],[IN]]))</f>
        <v>0</v>
      </c>
      <c r="Y586" s="136" t="b">
        <f>IF(Tab.11[[#This Row],[a1]]=1,IF($X$3=0,Tab.11[b66],Tab.11[[#This Row],[b66]]-AVERAGE(Tab.11[b66])))</f>
        <v>0</v>
      </c>
      <c r="Z586" s="135" t="b">
        <f>IF(Tab.11[[#This Row],[a1]]=1,Tab.11[[#This Row],[b77]]/(_xlfn.STDEV.P(Tab.11[b77])))</f>
        <v>0</v>
      </c>
      <c r="AA586" s="70" t="b">
        <f>IF(Tab.11[[#This Row],[a1]]=1,_xlfn.NORM.DIST(Tab.11[[#This Row],[b88]],$Z$1,$AA$1,FALSE))</f>
        <v>0</v>
      </c>
      <c r="AB586" s="74" t="b">
        <f>IF(Tab.11[[#This Row],[a1]]=1,IF($A$3=0,FALSE,1/Tab.11[[#This Row],[IN]]*$AC$2*IF(Tab.11[[#This Row],[a1]]=0,,$A$3*$AC$1*1/$V$3*(Tab.11[[#This Row],[b14]]))))</f>
        <v>0</v>
      </c>
      <c r="AC586" s="75" t="b">
        <f>IF(Tab.11[[#This Row],[a1]]=1,IF($AC$3=0,Tab.11[[#This Row],[φ1]],Tab.11[[#This Row],[φ1]]/MAX(Tab.11[φ1])))</f>
        <v>0</v>
      </c>
      <c r="AD586" s="74" t="b">
        <f>IF(Tab.11[[#This Row],[a1]]=1,1/Tab.11[[#This Row],[φ2]])</f>
        <v>0</v>
      </c>
      <c r="AE586" s="74" t="b">
        <f>IF(Tab.11[[#This Row],[a1]]=1,IF($AE$3=0,Tab.11[[#This Row],[w.0]],Tab.11[[#This Row],[w.0]]/SUM(Tab.11[w.0])))</f>
        <v>0</v>
      </c>
      <c r="AF586" s="76" t="str">
        <f>IF(Tab.11[[#This Row],[a1]]=0,"false",[3]!Tab.x5[[#This Row],[%_seN_C]])</f>
        <v>false</v>
      </c>
      <c r="AG586" s="77" t="b">
        <f>IF(Tab.11[[#This Row],[a1]]=1,AP586)</f>
        <v>0</v>
      </c>
      <c r="AH586" s="78" t="b">
        <f>IF(Tab.11[[#This Row],[a1]]=1,AQ586)</f>
        <v>0</v>
      </c>
      <c r="AI586" s="41">
        <v>3.0000000000000001E-3</v>
      </c>
      <c r="AJ586" s="79">
        <v>-0.09</v>
      </c>
      <c r="AK586" s="80" t="b">
        <f>IF(Tab.11[[#This Row],[a1]]=1,1)</f>
        <v>0</v>
      </c>
      <c r="AZ586"/>
    </row>
    <row r="587" spans="1:52" hidden="1" x14ac:dyDescent="0.25">
      <c r="A587" s="61">
        <f t="shared" si="19"/>
        <v>0</v>
      </c>
      <c r="B587" s="62">
        <f t="shared" si="19"/>
        <v>0</v>
      </c>
      <c r="C587" s="62" t="b">
        <f>IF(Tab.11[[#This Row],[a1]]=1,[3]!Tab_x1[[#This Row],[Name]])</f>
        <v>0</v>
      </c>
      <c r="D587" s="63" t="b">
        <f>IF(Tab.11[[#This Row],[a1]]=1,AO587)</f>
        <v>0</v>
      </c>
      <c r="E587" s="63">
        <f t="shared" si="20"/>
        <v>0</v>
      </c>
      <c r="F587" s="64" t="b">
        <f>IF(Tab.11[[#This Row],[a1]]=1,Tab.11[[#This Row],[b1]])</f>
        <v>0</v>
      </c>
      <c r="G587" s="65" t="b">
        <f>IF(Tab.11[[#This Row],[a1]]=1,IF(Tab.11[[#This Row],[b3]]&gt;$L$989*$G$3,$L$989*$G$3,IF(Tab.11[[#This Row],[b3]]&lt;$M$989*$G$3,$M$989*$G$3,Tab.11[[#This Row],[b3]])))</f>
        <v>0</v>
      </c>
      <c r="H587" s="66" t="b">
        <f>IF(Tab.11[[#This Row],[a1]]=1,Tab.11[[#This Row],[b1]])</f>
        <v>0</v>
      </c>
      <c r="I587" s="67" t="b">
        <f>IF(Tab.11[[#This Row],[a1]]=1,Tab.11[[#This Row],[b1]])</f>
        <v>0</v>
      </c>
      <c r="J587" s="68" t="b">
        <f>IF(Tab.11[[#This Row],[a1]]=1,IF($I$3&lt;0,Tab.11[[#This Row],[b5]]-$I$3,Tab.11[[#This Row],[b5]]))</f>
        <v>0</v>
      </c>
      <c r="K587" s="68" t="b">
        <f>IF(Tab.11[[#This Row],[a1]]=1,IF($K$3=0,Tab.11[b6],Tab.11[[#This Row],[b6]]-AVERAGE(Tab.11[b6])))</f>
        <v>0</v>
      </c>
      <c r="L587" s="69" t="b">
        <f>IF(Tab.11[[#This Row],[a1]]=1,Tab.11[[#This Row],[data]]/(_xlfn.STDEV.P(Tab.11[data])*$B$989)+$A$989)</f>
        <v>0</v>
      </c>
      <c r="M587" s="69" t="b">
        <f>IF(Tab.11[[#This Row],[a1]]=1,Tab.11[[#This Row],[data]]/(_xlfn.STDEV.P(Tab.11[data])*$B$987)-$A$987)</f>
        <v>0</v>
      </c>
      <c r="N587" s="69" t="b">
        <f>IF(Tab.11[[#This Row],[a1]]=1,Tab.11[[#This Row],[data]]/(_xlfn.STDEV.P(Tab.11[data])*$B$988)+$A$988)</f>
        <v>0</v>
      </c>
      <c r="O587" s="70" t="b">
        <f>IF(Tab.11[[#This Row],[a1]]=1,_xlfn.NORM.DIST(Tab.11[[#This Row],[b8]],$P$1,$Q$1,FALSE))</f>
        <v>0</v>
      </c>
      <c r="P587" s="70" t="b">
        <f>IF(Tab.11[[#This Row],[a1]]=1,_xlfn.NORM.DIST(Tab.11[[#This Row],[b9]],$P$1,$Q$1,FALSE))</f>
        <v>0</v>
      </c>
      <c r="Q587" s="70" t="b">
        <f>IF(Tab.11[[#This Row],[a1]]=1,_xlfn.NORM.DIST(Tab.11[[#This Row],[b10]],$P$1,$Q$1,FALSE))</f>
        <v>0</v>
      </c>
      <c r="R587" s="67" t="b">
        <f>IF(Tab.11[[#This Row],[a1]]=1,$I$3+$A$989+IF($K$3=0,Tab.11[[#This Row],[b8]]*_xlfn.STDEV.P(Tab.11[data]),AVERAGE(Tab.11[b6])+Tab.11[[#This Row],[b8]]*_xlfn.STDEV.P(Tab.11[data])))</f>
        <v>0</v>
      </c>
      <c r="S587" s="71" t="b">
        <f>IF(Tab.11[[#This Row],[a1]]=1,$I$3+$A$987+IF($K$3=0,Tab.11[[#This Row],[b9]]*_xlfn.STDEV.P(Tab.11[data]),AVERAGE(Tab.11[b6])+Tab.11[[#This Row],[b9]]*_xlfn.STDEV.P(Tab.11[data])))</f>
        <v>0</v>
      </c>
      <c r="T587" s="71" t="b">
        <f>IF(Tab.11[[#This Row],[a1]]=1,$I$3+$A$988+IF($K$3=0,Tab.11[[#This Row],[b10]]*_xlfn.STDEV.P(Tab.11[data]),AVERAGE(Tab.11[b6])+Tab.11[[#This Row],[b10]]*_xlfn.STDEV.P(Tab.11[data])))</f>
        <v>0</v>
      </c>
      <c r="U587" s="72" t="b">
        <f>IF(Tab.11[[#This Row],[a1]]=1,Tab.11[[#This Row],[target]]-Tab.11[[#This Row],[Red]])</f>
        <v>0</v>
      </c>
      <c r="V587" s="72" t="b">
        <f>IF(Tab.11[[#This Row],[a1]]=1,Tab.11[[#This Row],[target]]-Tab.11[[#This Row],[Blue]])</f>
        <v>0</v>
      </c>
      <c r="W587" s="73" t="b">
        <f>IF(Tab.11[[#This Row],[a1]]=1,IF(ABS(Tab.11[[#This Row],[b17]])+ABS(Tab.11[[#This Row],[b18]])&lt;$W$2,$W$2,ABS(Tab.11[[#This Row],[b17]])+ABS(Tab.11[[#This Row],[b18]])))</f>
        <v>0</v>
      </c>
      <c r="X587" s="136" t="b">
        <f>IF(Tab.11[[#This Row],[a1]]=1,IF($W$3&lt;0,Tab.11[[#This Row],[IN]]-$I$3,Tab.11[[#This Row],[IN]]))</f>
        <v>0</v>
      </c>
      <c r="Y587" s="136" t="b">
        <f>IF(Tab.11[[#This Row],[a1]]=1,IF($X$3=0,Tab.11[b66],Tab.11[[#This Row],[b66]]-AVERAGE(Tab.11[b66])))</f>
        <v>0</v>
      </c>
      <c r="Z587" s="135" t="b">
        <f>IF(Tab.11[[#This Row],[a1]]=1,Tab.11[[#This Row],[b77]]/(_xlfn.STDEV.P(Tab.11[b77])))</f>
        <v>0</v>
      </c>
      <c r="AA587" s="70" t="b">
        <f>IF(Tab.11[[#This Row],[a1]]=1,_xlfn.NORM.DIST(Tab.11[[#This Row],[b88]],$Z$1,$AA$1,FALSE))</f>
        <v>0</v>
      </c>
      <c r="AB587" s="74" t="b">
        <f>IF(Tab.11[[#This Row],[a1]]=1,IF($A$3=0,FALSE,1/Tab.11[[#This Row],[IN]]*$AC$2*IF(Tab.11[[#This Row],[a1]]=0,,$A$3*$AC$1*1/$V$3*(Tab.11[[#This Row],[b14]]))))</f>
        <v>0</v>
      </c>
      <c r="AC587" s="75" t="b">
        <f>IF(Tab.11[[#This Row],[a1]]=1,IF($AC$3=0,Tab.11[[#This Row],[φ1]],Tab.11[[#This Row],[φ1]]/MAX(Tab.11[φ1])))</f>
        <v>0</v>
      </c>
      <c r="AD587" s="74" t="b">
        <f>IF(Tab.11[[#This Row],[a1]]=1,1/Tab.11[[#This Row],[φ2]])</f>
        <v>0</v>
      </c>
      <c r="AE587" s="74" t="b">
        <f>IF(Tab.11[[#This Row],[a1]]=1,IF($AE$3=0,Tab.11[[#This Row],[w.0]],Tab.11[[#This Row],[w.0]]/SUM(Tab.11[w.0])))</f>
        <v>0</v>
      </c>
      <c r="AF587" s="76" t="str">
        <f>IF(Tab.11[[#This Row],[a1]]=0,"false",[3]!Tab.x5[[#This Row],[%_seN_C]])</f>
        <v>false</v>
      </c>
      <c r="AG587" s="77" t="b">
        <f>IF(Tab.11[[#This Row],[a1]]=1,AP587)</f>
        <v>0</v>
      </c>
      <c r="AH587" s="78" t="b">
        <f>IF(Tab.11[[#This Row],[a1]]=1,AQ587)</f>
        <v>0</v>
      </c>
      <c r="AI587" s="41">
        <v>3.0000000000000001E-3</v>
      </c>
      <c r="AJ587" s="79">
        <v>-0.04</v>
      </c>
      <c r="AK587" s="80" t="b">
        <f>IF(Tab.11[[#This Row],[a1]]=1,1)</f>
        <v>0</v>
      </c>
      <c r="AZ587"/>
    </row>
    <row r="588" spans="1:52" hidden="1" x14ac:dyDescent="0.25">
      <c r="A588" s="61">
        <f t="shared" si="19"/>
        <v>0</v>
      </c>
      <c r="B588" s="62">
        <f t="shared" si="19"/>
        <v>0</v>
      </c>
      <c r="C588" s="62" t="b">
        <f>IF(Tab.11[[#This Row],[a1]]=1,[3]!Tab_x1[[#This Row],[Name]])</f>
        <v>0</v>
      </c>
      <c r="D588" s="63" t="b">
        <f>IF(Tab.11[[#This Row],[a1]]=1,AO588)</f>
        <v>0</v>
      </c>
      <c r="E588" s="63">
        <f t="shared" si="20"/>
        <v>0</v>
      </c>
      <c r="F588" s="64" t="b">
        <f>IF(Tab.11[[#This Row],[a1]]=1,Tab.11[[#This Row],[b1]])</f>
        <v>0</v>
      </c>
      <c r="G588" s="65" t="b">
        <f>IF(Tab.11[[#This Row],[a1]]=1,IF(Tab.11[[#This Row],[b3]]&gt;$L$989*$G$3,$L$989*$G$3,IF(Tab.11[[#This Row],[b3]]&lt;$M$989*$G$3,$M$989*$G$3,Tab.11[[#This Row],[b3]])))</f>
        <v>0</v>
      </c>
      <c r="H588" s="66" t="b">
        <f>IF(Tab.11[[#This Row],[a1]]=1,Tab.11[[#This Row],[b1]])</f>
        <v>0</v>
      </c>
      <c r="I588" s="67" t="b">
        <f>IF(Tab.11[[#This Row],[a1]]=1,Tab.11[[#This Row],[b1]])</f>
        <v>0</v>
      </c>
      <c r="J588" s="68" t="b">
        <f>IF(Tab.11[[#This Row],[a1]]=1,IF($I$3&lt;0,Tab.11[[#This Row],[b5]]-$I$3,Tab.11[[#This Row],[b5]]))</f>
        <v>0</v>
      </c>
      <c r="K588" s="68" t="b">
        <f>IF(Tab.11[[#This Row],[a1]]=1,IF($K$3=0,Tab.11[b6],Tab.11[[#This Row],[b6]]-AVERAGE(Tab.11[b6])))</f>
        <v>0</v>
      </c>
      <c r="L588" s="69" t="b">
        <f>IF(Tab.11[[#This Row],[a1]]=1,Tab.11[[#This Row],[data]]/(_xlfn.STDEV.P(Tab.11[data])*$B$989)+$A$989)</f>
        <v>0</v>
      </c>
      <c r="M588" s="69" t="b">
        <f>IF(Tab.11[[#This Row],[a1]]=1,Tab.11[[#This Row],[data]]/(_xlfn.STDEV.P(Tab.11[data])*$B$987)-$A$987)</f>
        <v>0</v>
      </c>
      <c r="N588" s="69" t="b">
        <f>IF(Tab.11[[#This Row],[a1]]=1,Tab.11[[#This Row],[data]]/(_xlfn.STDEV.P(Tab.11[data])*$B$988)+$A$988)</f>
        <v>0</v>
      </c>
      <c r="O588" s="70" t="b">
        <f>IF(Tab.11[[#This Row],[a1]]=1,_xlfn.NORM.DIST(Tab.11[[#This Row],[b8]],$P$1,$Q$1,FALSE))</f>
        <v>0</v>
      </c>
      <c r="P588" s="70" t="b">
        <f>IF(Tab.11[[#This Row],[a1]]=1,_xlfn.NORM.DIST(Tab.11[[#This Row],[b9]],$P$1,$Q$1,FALSE))</f>
        <v>0</v>
      </c>
      <c r="Q588" s="70" t="b">
        <f>IF(Tab.11[[#This Row],[a1]]=1,_xlfn.NORM.DIST(Tab.11[[#This Row],[b10]],$P$1,$Q$1,FALSE))</f>
        <v>0</v>
      </c>
      <c r="R588" s="67" t="b">
        <f>IF(Tab.11[[#This Row],[a1]]=1,$I$3+$A$989+IF($K$3=0,Tab.11[[#This Row],[b8]]*_xlfn.STDEV.P(Tab.11[data]),AVERAGE(Tab.11[b6])+Tab.11[[#This Row],[b8]]*_xlfn.STDEV.P(Tab.11[data])))</f>
        <v>0</v>
      </c>
      <c r="S588" s="71" t="b">
        <f>IF(Tab.11[[#This Row],[a1]]=1,$I$3+$A$987+IF($K$3=0,Tab.11[[#This Row],[b9]]*_xlfn.STDEV.P(Tab.11[data]),AVERAGE(Tab.11[b6])+Tab.11[[#This Row],[b9]]*_xlfn.STDEV.P(Tab.11[data])))</f>
        <v>0</v>
      </c>
      <c r="T588" s="71" t="b">
        <f>IF(Tab.11[[#This Row],[a1]]=1,$I$3+$A$988+IF($K$3=0,Tab.11[[#This Row],[b10]]*_xlfn.STDEV.P(Tab.11[data]),AVERAGE(Tab.11[b6])+Tab.11[[#This Row],[b10]]*_xlfn.STDEV.P(Tab.11[data])))</f>
        <v>0</v>
      </c>
      <c r="U588" s="72" t="b">
        <f>IF(Tab.11[[#This Row],[a1]]=1,Tab.11[[#This Row],[target]]-Tab.11[[#This Row],[Red]])</f>
        <v>0</v>
      </c>
      <c r="V588" s="72" t="b">
        <f>IF(Tab.11[[#This Row],[a1]]=1,Tab.11[[#This Row],[target]]-Tab.11[[#This Row],[Blue]])</f>
        <v>0</v>
      </c>
      <c r="W588" s="73" t="b">
        <f>IF(Tab.11[[#This Row],[a1]]=1,IF(ABS(Tab.11[[#This Row],[b17]])+ABS(Tab.11[[#This Row],[b18]])&lt;$W$2,$W$2,ABS(Tab.11[[#This Row],[b17]])+ABS(Tab.11[[#This Row],[b18]])))</f>
        <v>0</v>
      </c>
      <c r="X588" s="136" t="b">
        <f>IF(Tab.11[[#This Row],[a1]]=1,IF($W$3&lt;0,Tab.11[[#This Row],[IN]]-$I$3,Tab.11[[#This Row],[IN]]))</f>
        <v>0</v>
      </c>
      <c r="Y588" s="136" t="b">
        <f>IF(Tab.11[[#This Row],[a1]]=1,IF($X$3=0,Tab.11[b66],Tab.11[[#This Row],[b66]]-AVERAGE(Tab.11[b66])))</f>
        <v>0</v>
      </c>
      <c r="Z588" s="135" t="b">
        <f>IF(Tab.11[[#This Row],[a1]]=1,Tab.11[[#This Row],[b77]]/(_xlfn.STDEV.P(Tab.11[b77])))</f>
        <v>0</v>
      </c>
      <c r="AA588" s="70" t="b">
        <f>IF(Tab.11[[#This Row],[a1]]=1,_xlfn.NORM.DIST(Tab.11[[#This Row],[b88]],$Z$1,$AA$1,FALSE))</f>
        <v>0</v>
      </c>
      <c r="AB588" s="74" t="b">
        <f>IF(Tab.11[[#This Row],[a1]]=1,IF($A$3=0,FALSE,1/Tab.11[[#This Row],[IN]]*$AC$2*IF(Tab.11[[#This Row],[a1]]=0,,$A$3*$AC$1*1/$V$3*(Tab.11[[#This Row],[b14]]))))</f>
        <v>0</v>
      </c>
      <c r="AC588" s="75" t="b">
        <f>IF(Tab.11[[#This Row],[a1]]=1,IF($AC$3=0,Tab.11[[#This Row],[φ1]],Tab.11[[#This Row],[φ1]]/MAX(Tab.11[φ1])))</f>
        <v>0</v>
      </c>
      <c r="AD588" s="74" t="b">
        <f>IF(Tab.11[[#This Row],[a1]]=1,1/Tab.11[[#This Row],[φ2]])</f>
        <v>0</v>
      </c>
      <c r="AE588" s="74" t="b">
        <f>IF(Tab.11[[#This Row],[a1]]=1,IF($AE$3=0,Tab.11[[#This Row],[w.0]],Tab.11[[#This Row],[w.0]]/SUM(Tab.11[w.0])))</f>
        <v>0</v>
      </c>
      <c r="AF588" s="76" t="str">
        <f>IF(Tab.11[[#This Row],[a1]]=0,"false",[3]!Tab.x5[[#This Row],[%_seN_C]])</f>
        <v>false</v>
      </c>
      <c r="AG588" s="77" t="b">
        <f>IF(Tab.11[[#This Row],[a1]]=1,AP588)</f>
        <v>0</v>
      </c>
      <c r="AH588" s="78" t="b">
        <f>IF(Tab.11[[#This Row],[a1]]=1,AQ588)</f>
        <v>0</v>
      </c>
      <c r="AI588" s="41">
        <v>3.0000000000000001E-3</v>
      </c>
      <c r="AJ588" s="79">
        <v>-0.05</v>
      </c>
      <c r="AK588" s="80" t="b">
        <f>IF(Tab.11[[#This Row],[a1]]=1,1)</f>
        <v>0</v>
      </c>
      <c r="AZ588"/>
    </row>
    <row r="589" spans="1:52" hidden="1" x14ac:dyDescent="0.25">
      <c r="A589" s="61">
        <f t="shared" si="19"/>
        <v>0</v>
      </c>
      <c r="B589" s="62">
        <f t="shared" si="19"/>
        <v>0</v>
      </c>
      <c r="C589" s="62" t="b">
        <f>IF(Tab.11[[#This Row],[a1]]=1,[3]!Tab_x1[[#This Row],[Name]])</f>
        <v>0</v>
      </c>
      <c r="D589" s="63" t="b">
        <f>IF(Tab.11[[#This Row],[a1]]=1,AO589)</f>
        <v>0</v>
      </c>
      <c r="E589" s="63">
        <f t="shared" si="20"/>
        <v>0</v>
      </c>
      <c r="F589" s="64" t="b">
        <f>IF(Tab.11[[#This Row],[a1]]=1,Tab.11[[#This Row],[b1]])</f>
        <v>0</v>
      </c>
      <c r="G589" s="65" t="b">
        <f>IF(Tab.11[[#This Row],[a1]]=1,IF(Tab.11[[#This Row],[b3]]&gt;$L$989*$G$3,$L$989*$G$3,IF(Tab.11[[#This Row],[b3]]&lt;$M$989*$G$3,$M$989*$G$3,Tab.11[[#This Row],[b3]])))</f>
        <v>0</v>
      </c>
      <c r="H589" s="66" t="b">
        <f>IF(Tab.11[[#This Row],[a1]]=1,Tab.11[[#This Row],[b1]])</f>
        <v>0</v>
      </c>
      <c r="I589" s="67" t="b">
        <f>IF(Tab.11[[#This Row],[a1]]=1,Tab.11[[#This Row],[b1]])</f>
        <v>0</v>
      </c>
      <c r="J589" s="68" t="b">
        <f>IF(Tab.11[[#This Row],[a1]]=1,IF($I$3&lt;0,Tab.11[[#This Row],[b5]]-$I$3,Tab.11[[#This Row],[b5]]))</f>
        <v>0</v>
      </c>
      <c r="K589" s="68" t="b">
        <f>IF(Tab.11[[#This Row],[a1]]=1,IF($K$3=0,Tab.11[b6],Tab.11[[#This Row],[b6]]-AVERAGE(Tab.11[b6])))</f>
        <v>0</v>
      </c>
      <c r="L589" s="69" t="b">
        <f>IF(Tab.11[[#This Row],[a1]]=1,Tab.11[[#This Row],[data]]/(_xlfn.STDEV.P(Tab.11[data])*$B$989)+$A$989)</f>
        <v>0</v>
      </c>
      <c r="M589" s="69" t="b">
        <f>IF(Tab.11[[#This Row],[a1]]=1,Tab.11[[#This Row],[data]]/(_xlfn.STDEV.P(Tab.11[data])*$B$987)-$A$987)</f>
        <v>0</v>
      </c>
      <c r="N589" s="69" t="b">
        <f>IF(Tab.11[[#This Row],[a1]]=1,Tab.11[[#This Row],[data]]/(_xlfn.STDEV.P(Tab.11[data])*$B$988)+$A$988)</f>
        <v>0</v>
      </c>
      <c r="O589" s="70" t="b">
        <f>IF(Tab.11[[#This Row],[a1]]=1,_xlfn.NORM.DIST(Tab.11[[#This Row],[b8]],$P$1,$Q$1,FALSE))</f>
        <v>0</v>
      </c>
      <c r="P589" s="70" t="b">
        <f>IF(Tab.11[[#This Row],[a1]]=1,_xlfn.NORM.DIST(Tab.11[[#This Row],[b9]],$P$1,$Q$1,FALSE))</f>
        <v>0</v>
      </c>
      <c r="Q589" s="70" t="b">
        <f>IF(Tab.11[[#This Row],[a1]]=1,_xlfn.NORM.DIST(Tab.11[[#This Row],[b10]],$P$1,$Q$1,FALSE))</f>
        <v>0</v>
      </c>
      <c r="R589" s="67" t="b">
        <f>IF(Tab.11[[#This Row],[a1]]=1,$I$3+$A$989+IF($K$3=0,Tab.11[[#This Row],[b8]]*_xlfn.STDEV.P(Tab.11[data]),AVERAGE(Tab.11[b6])+Tab.11[[#This Row],[b8]]*_xlfn.STDEV.P(Tab.11[data])))</f>
        <v>0</v>
      </c>
      <c r="S589" s="71" t="b">
        <f>IF(Tab.11[[#This Row],[a1]]=1,$I$3+$A$987+IF($K$3=0,Tab.11[[#This Row],[b9]]*_xlfn.STDEV.P(Tab.11[data]),AVERAGE(Tab.11[b6])+Tab.11[[#This Row],[b9]]*_xlfn.STDEV.P(Tab.11[data])))</f>
        <v>0</v>
      </c>
      <c r="T589" s="71" t="b">
        <f>IF(Tab.11[[#This Row],[a1]]=1,$I$3+$A$988+IF($K$3=0,Tab.11[[#This Row],[b10]]*_xlfn.STDEV.P(Tab.11[data]),AVERAGE(Tab.11[b6])+Tab.11[[#This Row],[b10]]*_xlfn.STDEV.P(Tab.11[data])))</f>
        <v>0</v>
      </c>
      <c r="U589" s="72" t="b">
        <f>IF(Tab.11[[#This Row],[a1]]=1,Tab.11[[#This Row],[target]]-Tab.11[[#This Row],[Red]])</f>
        <v>0</v>
      </c>
      <c r="V589" s="72" t="b">
        <f>IF(Tab.11[[#This Row],[a1]]=1,Tab.11[[#This Row],[target]]-Tab.11[[#This Row],[Blue]])</f>
        <v>0</v>
      </c>
      <c r="W589" s="73" t="b">
        <f>IF(Tab.11[[#This Row],[a1]]=1,IF(ABS(Tab.11[[#This Row],[b17]])+ABS(Tab.11[[#This Row],[b18]])&lt;$W$2,$W$2,ABS(Tab.11[[#This Row],[b17]])+ABS(Tab.11[[#This Row],[b18]])))</f>
        <v>0</v>
      </c>
      <c r="X589" s="136" t="b">
        <f>IF(Tab.11[[#This Row],[a1]]=1,IF($W$3&lt;0,Tab.11[[#This Row],[IN]]-$I$3,Tab.11[[#This Row],[IN]]))</f>
        <v>0</v>
      </c>
      <c r="Y589" s="136" t="b">
        <f>IF(Tab.11[[#This Row],[a1]]=1,IF($X$3=0,Tab.11[b66],Tab.11[[#This Row],[b66]]-AVERAGE(Tab.11[b66])))</f>
        <v>0</v>
      </c>
      <c r="Z589" s="135" t="b">
        <f>IF(Tab.11[[#This Row],[a1]]=1,Tab.11[[#This Row],[b77]]/(_xlfn.STDEV.P(Tab.11[b77])))</f>
        <v>0</v>
      </c>
      <c r="AA589" s="70" t="b">
        <f>IF(Tab.11[[#This Row],[a1]]=1,_xlfn.NORM.DIST(Tab.11[[#This Row],[b88]],$Z$1,$AA$1,FALSE))</f>
        <v>0</v>
      </c>
      <c r="AB589" s="74" t="b">
        <f>IF(Tab.11[[#This Row],[a1]]=1,IF($A$3=0,FALSE,1/Tab.11[[#This Row],[IN]]*$AC$2*IF(Tab.11[[#This Row],[a1]]=0,,$A$3*$AC$1*1/$V$3*(Tab.11[[#This Row],[b14]]))))</f>
        <v>0</v>
      </c>
      <c r="AC589" s="75" t="b">
        <f>IF(Tab.11[[#This Row],[a1]]=1,IF($AC$3=0,Tab.11[[#This Row],[φ1]],Tab.11[[#This Row],[φ1]]/MAX(Tab.11[φ1])))</f>
        <v>0</v>
      </c>
      <c r="AD589" s="74" t="b">
        <f>IF(Tab.11[[#This Row],[a1]]=1,1/Tab.11[[#This Row],[φ2]])</f>
        <v>0</v>
      </c>
      <c r="AE589" s="74" t="b">
        <f>IF(Tab.11[[#This Row],[a1]]=1,IF($AE$3=0,Tab.11[[#This Row],[w.0]],Tab.11[[#This Row],[w.0]]/SUM(Tab.11[w.0])))</f>
        <v>0</v>
      </c>
      <c r="AF589" s="76" t="str">
        <f>IF(Tab.11[[#This Row],[a1]]=0,"false",[3]!Tab.x5[[#This Row],[%_seN_C]])</f>
        <v>false</v>
      </c>
      <c r="AG589" s="77" t="b">
        <f>IF(Tab.11[[#This Row],[a1]]=1,AP589)</f>
        <v>0</v>
      </c>
      <c r="AH589" s="78" t="b">
        <f>IF(Tab.11[[#This Row],[a1]]=1,AQ589)</f>
        <v>0</v>
      </c>
      <c r="AI589" s="41">
        <v>3.0000000000000001E-3</v>
      </c>
      <c r="AJ589" s="79">
        <v>0.1</v>
      </c>
      <c r="AK589" s="80" t="b">
        <f>IF(Tab.11[[#This Row],[a1]]=1,1)</f>
        <v>0</v>
      </c>
      <c r="AZ589"/>
    </row>
    <row r="590" spans="1:52" hidden="1" x14ac:dyDescent="0.25">
      <c r="A590" s="61">
        <f t="shared" si="19"/>
        <v>0</v>
      </c>
      <c r="B590" s="62">
        <f t="shared" si="19"/>
        <v>0</v>
      </c>
      <c r="C590" s="62" t="b">
        <f>IF(Tab.11[[#This Row],[a1]]=1,[3]!Tab_x1[[#This Row],[Name]])</f>
        <v>0</v>
      </c>
      <c r="D590" s="63" t="b">
        <f>IF(Tab.11[[#This Row],[a1]]=1,AO590)</f>
        <v>0</v>
      </c>
      <c r="E590" s="63">
        <f t="shared" si="20"/>
        <v>0</v>
      </c>
      <c r="F590" s="64" t="b">
        <f>IF(Tab.11[[#This Row],[a1]]=1,Tab.11[[#This Row],[b1]])</f>
        <v>0</v>
      </c>
      <c r="G590" s="65" t="b">
        <f>IF(Tab.11[[#This Row],[a1]]=1,IF(Tab.11[[#This Row],[b3]]&gt;$L$989*$G$3,$L$989*$G$3,IF(Tab.11[[#This Row],[b3]]&lt;$M$989*$G$3,$M$989*$G$3,Tab.11[[#This Row],[b3]])))</f>
        <v>0</v>
      </c>
      <c r="H590" s="66" t="b">
        <f>IF(Tab.11[[#This Row],[a1]]=1,Tab.11[[#This Row],[b1]])</f>
        <v>0</v>
      </c>
      <c r="I590" s="67" t="b">
        <f>IF(Tab.11[[#This Row],[a1]]=1,Tab.11[[#This Row],[b1]])</f>
        <v>0</v>
      </c>
      <c r="J590" s="68" t="b">
        <f>IF(Tab.11[[#This Row],[a1]]=1,IF($I$3&lt;0,Tab.11[[#This Row],[b5]]-$I$3,Tab.11[[#This Row],[b5]]))</f>
        <v>0</v>
      </c>
      <c r="K590" s="68" t="b">
        <f>IF(Tab.11[[#This Row],[a1]]=1,IF($K$3=0,Tab.11[b6],Tab.11[[#This Row],[b6]]-AVERAGE(Tab.11[b6])))</f>
        <v>0</v>
      </c>
      <c r="L590" s="69" t="b">
        <f>IF(Tab.11[[#This Row],[a1]]=1,Tab.11[[#This Row],[data]]/(_xlfn.STDEV.P(Tab.11[data])*$B$989)+$A$989)</f>
        <v>0</v>
      </c>
      <c r="M590" s="69" t="b">
        <f>IF(Tab.11[[#This Row],[a1]]=1,Tab.11[[#This Row],[data]]/(_xlfn.STDEV.P(Tab.11[data])*$B$987)-$A$987)</f>
        <v>0</v>
      </c>
      <c r="N590" s="69" t="b">
        <f>IF(Tab.11[[#This Row],[a1]]=1,Tab.11[[#This Row],[data]]/(_xlfn.STDEV.P(Tab.11[data])*$B$988)+$A$988)</f>
        <v>0</v>
      </c>
      <c r="O590" s="70" t="b">
        <f>IF(Tab.11[[#This Row],[a1]]=1,_xlfn.NORM.DIST(Tab.11[[#This Row],[b8]],$P$1,$Q$1,FALSE))</f>
        <v>0</v>
      </c>
      <c r="P590" s="70" t="b">
        <f>IF(Tab.11[[#This Row],[a1]]=1,_xlfn.NORM.DIST(Tab.11[[#This Row],[b9]],$P$1,$Q$1,FALSE))</f>
        <v>0</v>
      </c>
      <c r="Q590" s="70" t="b">
        <f>IF(Tab.11[[#This Row],[a1]]=1,_xlfn.NORM.DIST(Tab.11[[#This Row],[b10]],$P$1,$Q$1,FALSE))</f>
        <v>0</v>
      </c>
      <c r="R590" s="67" t="b">
        <f>IF(Tab.11[[#This Row],[a1]]=1,$I$3+$A$989+IF($K$3=0,Tab.11[[#This Row],[b8]]*_xlfn.STDEV.P(Tab.11[data]),AVERAGE(Tab.11[b6])+Tab.11[[#This Row],[b8]]*_xlfn.STDEV.P(Tab.11[data])))</f>
        <v>0</v>
      </c>
      <c r="S590" s="71" t="b">
        <f>IF(Tab.11[[#This Row],[a1]]=1,$I$3+$A$987+IF($K$3=0,Tab.11[[#This Row],[b9]]*_xlfn.STDEV.P(Tab.11[data]),AVERAGE(Tab.11[b6])+Tab.11[[#This Row],[b9]]*_xlfn.STDEV.P(Tab.11[data])))</f>
        <v>0</v>
      </c>
      <c r="T590" s="71" t="b">
        <f>IF(Tab.11[[#This Row],[a1]]=1,$I$3+$A$988+IF($K$3=0,Tab.11[[#This Row],[b10]]*_xlfn.STDEV.P(Tab.11[data]),AVERAGE(Tab.11[b6])+Tab.11[[#This Row],[b10]]*_xlfn.STDEV.P(Tab.11[data])))</f>
        <v>0</v>
      </c>
      <c r="U590" s="72" t="b">
        <f>IF(Tab.11[[#This Row],[a1]]=1,Tab.11[[#This Row],[target]]-Tab.11[[#This Row],[Red]])</f>
        <v>0</v>
      </c>
      <c r="V590" s="72" t="b">
        <f>IF(Tab.11[[#This Row],[a1]]=1,Tab.11[[#This Row],[target]]-Tab.11[[#This Row],[Blue]])</f>
        <v>0</v>
      </c>
      <c r="W590" s="73" t="b">
        <f>IF(Tab.11[[#This Row],[a1]]=1,IF(ABS(Tab.11[[#This Row],[b17]])+ABS(Tab.11[[#This Row],[b18]])&lt;$W$2,$W$2,ABS(Tab.11[[#This Row],[b17]])+ABS(Tab.11[[#This Row],[b18]])))</f>
        <v>0</v>
      </c>
      <c r="X590" s="136" t="b">
        <f>IF(Tab.11[[#This Row],[a1]]=1,IF($W$3&lt;0,Tab.11[[#This Row],[IN]]-$I$3,Tab.11[[#This Row],[IN]]))</f>
        <v>0</v>
      </c>
      <c r="Y590" s="136" t="b">
        <f>IF(Tab.11[[#This Row],[a1]]=1,IF($X$3=0,Tab.11[b66],Tab.11[[#This Row],[b66]]-AVERAGE(Tab.11[b66])))</f>
        <v>0</v>
      </c>
      <c r="Z590" s="135" t="b">
        <f>IF(Tab.11[[#This Row],[a1]]=1,Tab.11[[#This Row],[b77]]/(_xlfn.STDEV.P(Tab.11[b77])))</f>
        <v>0</v>
      </c>
      <c r="AA590" s="70" t="b">
        <f>IF(Tab.11[[#This Row],[a1]]=1,_xlfn.NORM.DIST(Tab.11[[#This Row],[b88]],$Z$1,$AA$1,FALSE))</f>
        <v>0</v>
      </c>
      <c r="AB590" s="74" t="b">
        <f>IF(Tab.11[[#This Row],[a1]]=1,IF($A$3=0,FALSE,1/Tab.11[[#This Row],[IN]]*$AC$2*IF(Tab.11[[#This Row],[a1]]=0,,$A$3*$AC$1*1/$V$3*(Tab.11[[#This Row],[b14]]))))</f>
        <v>0</v>
      </c>
      <c r="AC590" s="75" t="b">
        <f>IF(Tab.11[[#This Row],[a1]]=1,IF($AC$3=0,Tab.11[[#This Row],[φ1]],Tab.11[[#This Row],[φ1]]/MAX(Tab.11[φ1])))</f>
        <v>0</v>
      </c>
      <c r="AD590" s="74" t="b">
        <f>IF(Tab.11[[#This Row],[a1]]=1,1/Tab.11[[#This Row],[φ2]])</f>
        <v>0</v>
      </c>
      <c r="AE590" s="74" t="b">
        <f>IF(Tab.11[[#This Row],[a1]]=1,IF($AE$3=0,Tab.11[[#This Row],[w.0]],Tab.11[[#This Row],[w.0]]/SUM(Tab.11[w.0])))</f>
        <v>0</v>
      </c>
      <c r="AF590" s="76" t="str">
        <f>IF(Tab.11[[#This Row],[a1]]=0,"false",[3]!Tab.x5[[#This Row],[%_seN_C]])</f>
        <v>false</v>
      </c>
      <c r="AG590" s="77" t="b">
        <f>IF(Tab.11[[#This Row],[a1]]=1,AP590)</f>
        <v>0</v>
      </c>
      <c r="AH590" s="78" t="b">
        <f>IF(Tab.11[[#This Row],[a1]]=1,AQ590)</f>
        <v>0</v>
      </c>
      <c r="AI590" s="41">
        <v>3.0000000000000001E-3</v>
      </c>
      <c r="AJ590" s="79">
        <v>0.05</v>
      </c>
      <c r="AK590" s="80" t="b">
        <f>IF(Tab.11[[#This Row],[a1]]=1,1)</f>
        <v>0</v>
      </c>
      <c r="AZ590"/>
    </row>
    <row r="591" spans="1:52" hidden="1" x14ac:dyDescent="0.25">
      <c r="A591" s="61">
        <f t="shared" si="19"/>
        <v>0</v>
      </c>
      <c r="B591" s="62">
        <f t="shared" si="19"/>
        <v>0</v>
      </c>
      <c r="C591" s="62" t="b">
        <f>IF(Tab.11[[#This Row],[a1]]=1,[3]!Tab_x1[[#This Row],[Name]])</f>
        <v>0</v>
      </c>
      <c r="D591" s="63" t="b">
        <f>IF(Tab.11[[#This Row],[a1]]=1,AO591)</f>
        <v>0</v>
      </c>
      <c r="E591" s="63">
        <f t="shared" si="20"/>
        <v>0</v>
      </c>
      <c r="F591" s="64" t="b">
        <f>IF(Tab.11[[#This Row],[a1]]=1,Tab.11[[#This Row],[b1]])</f>
        <v>0</v>
      </c>
      <c r="G591" s="65" t="b">
        <f>IF(Tab.11[[#This Row],[a1]]=1,IF(Tab.11[[#This Row],[b3]]&gt;$L$989*$G$3,$L$989*$G$3,IF(Tab.11[[#This Row],[b3]]&lt;$M$989*$G$3,$M$989*$G$3,Tab.11[[#This Row],[b3]])))</f>
        <v>0</v>
      </c>
      <c r="H591" s="66" t="b">
        <f>IF(Tab.11[[#This Row],[a1]]=1,Tab.11[[#This Row],[b1]])</f>
        <v>0</v>
      </c>
      <c r="I591" s="67" t="b">
        <f>IF(Tab.11[[#This Row],[a1]]=1,Tab.11[[#This Row],[b1]])</f>
        <v>0</v>
      </c>
      <c r="J591" s="68" t="b">
        <f>IF(Tab.11[[#This Row],[a1]]=1,IF($I$3&lt;0,Tab.11[[#This Row],[b5]]-$I$3,Tab.11[[#This Row],[b5]]))</f>
        <v>0</v>
      </c>
      <c r="K591" s="68" t="b">
        <f>IF(Tab.11[[#This Row],[a1]]=1,IF($K$3=0,Tab.11[b6],Tab.11[[#This Row],[b6]]-AVERAGE(Tab.11[b6])))</f>
        <v>0</v>
      </c>
      <c r="L591" s="69" t="b">
        <f>IF(Tab.11[[#This Row],[a1]]=1,Tab.11[[#This Row],[data]]/(_xlfn.STDEV.P(Tab.11[data])*$B$989)+$A$989)</f>
        <v>0</v>
      </c>
      <c r="M591" s="69" t="b">
        <f>IF(Tab.11[[#This Row],[a1]]=1,Tab.11[[#This Row],[data]]/(_xlfn.STDEV.P(Tab.11[data])*$B$987)-$A$987)</f>
        <v>0</v>
      </c>
      <c r="N591" s="69" t="b">
        <f>IF(Tab.11[[#This Row],[a1]]=1,Tab.11[[#This Row],[data]]/(_xlfn.STDEV.P(Tab.11[data])*$B$988)+$A$988)</f>
        <v>0</v>
      </c>
      <c r="O591" s="70" t="b">
        <f>IF(Tab.11[[#This Row],[a1]]=1,_xlfn.NORM.DIST(Tab.11[[#This Row],[b8]],$P$1,$Q$1,FALSE))</f>
        <v>0</v>
      </c>
      <c r="P591" s="70" t="b">
        <f>IF(Tab.11[[#This Row],[a1]]=1,_xlfn.NORM.DIST(Tab.11[[#This Row],[b9]],$P$1,$Q$1,FALSE))</f>
        <v>0</v>
      </c>
      <c r="Q591" s="70" t="b">
        <f>IF(Tab.11[[#This Row],[a1]]=1,_xlfn.NORM.DIST(Tab.11[[#This Row],[b10]],$P$1,$Q$1,FALSE))</f>
        <v>0</v>
      </c>
      <c r="R591" s="67" t="b">
        <f>IF(Tab.11[[#This Row],[a1]]=1,$I$3+$A$989+IF($K$3=0,Tab.11[[#This Row],[b8]]*_xlfn.STDEV.P(Tab.11[data]),AVERAGE(Tab.11[b6])+Tab.11[[#This Row],[b8]]*_xlfn.STDEV.P(Tab.11[data])))</f>
        <v>0</v>
      </c>
      <c r="S591" s="71" t="b">
        <f>IF(Tab.11[[#This Row],[a1]]=1,$I$3+$A$987+IF($K$3=0,Tab.11[[#This Row],[b9]]*_xlfn.STDEV.P(Tab.11[data]),AVERAGE(Tab.11[b6])+Tab.11[[#This Row],[b9]]*_xlfn.STDEV.P(Tab.11[data])))</f>
        <v>0</v>
      </c>
      <c r="T591" s="71" t="b">
        <f>IF(Tab.11[[#This Row],[a1]]=1,$I$3+$A$988+IF($K$3=0,Tab.11[[#This Row],[b10]]*_xlfn.STDEV.P(Tab.11[data]),AVERAGE(Tab.11[b6])+Tab.11[[#This Row],[b10]]*_xlfn.STDEV.P(Tab.11[data])))</f>
        <v>0</v>
      </c>
      <c r="U591" s="72" t="b">
        <f>IF(Tab.11[[#This Row],[a1]]=1,Tab.11[[#This Row],[target]]-Tab.11[[#This Row],[Red]])</f>
        <v>0</v>
      </c>
      <c r="V591" s="72" t="b">
        <f>IF(Tab.11[[#This Row],[a1]]=1,Tab.11[[#This Row],[target]]-Tab.11[[#This Row],[Blue]])</f>
        <v>0</v>
      </c>
      <c r="W591" s="73" t="b">
        <f>IF(Tab.11[[#This Row],[a1]]=1,IF(ABS(Tab.11[[#This Row],[b17]])+ABS(Tab.11[[#This Row],[b18]])&lt;$W$2,$W$2,ABS(Tab.11[[#This Row],[b17]])+ABS(Tab.11[[#This Row],[b18]])))</f>
        <v>0</v>
      </c>
      <c r="X591" s="136" t="b">
        <f>IF(Tab.11[[#This Row],[a1]]=1,IF($W$3&lt;0,Tab.11[[#This Row],[IN]]-$I$3,Tab.11[[#This Row],[IN]]))</f>
        <v>0</v>
      </c>
      <c r="Y591" s="136" t="b">
        <f>IF(Tab.11[[#This Row],[a1]]=1,IF($X$3=0,Tab.11[b66],Tab.11[[#This Row],[b66]]-AVERAGE(Tab.11[b66])))</f>
        <v>0</v>
      </c>
      <c r="Z591" s="135" t="b">
        <f>IF(Tab.11[[#This Row],[a1]]=1,Tab.11[[#This Row],[b77]]/(_xlfn.STDEV.P(Tab.11[b77])))</f>
        <v>0</v>
      </c>
      <c r="AA591" s="70" t="b">
        <f>IF(Tab.11[[#This Row],[a1]]=1,_xlfn.NORM.DIST(Tab.11[[#This Row],[b88]],$Z$1,$AA$1,FALSE))</f>
        <v>0</v>
      </c>
      <c r="AB591" s="74" t="b">
        <f>IF(Tab.11[[#This Row],[a1]]=1,IF($A$3=0,FALSE,1/Tab.11[[#This Row],[IN]]*$AC$2*IF(Tab.11[[#This Row],[a1]]=0,,$A$3*$AC$1*1/$V$3*(Tab.11[[#This Row],[b14]]))))</f>
        <v>0</v>
      </c>
      <c r="AC591" s="75" t="b">
        <f>IF(Tab.11[[#This Row],[a1]]=1,IF($AC$3=0,Tab.11[[#This Row],[φ1]],Tab.11[[#This Row],[φ1]]/MAX(Tab.11[φ1])))</f>
        <v>0</v>
      </c>
      <c r="AD591" s="74" t="b">
        <f>IF(Tab.11[[#This Row],[a1]]=1,1/Tab.11[[#This Row],[φ2]])</f>
        <v>0</v>
      </c>
      <c r="AE591" s="74" t="b">
        <f>IF(Tab.11[[#This Row],[a1]]=1,IF($AE$3=0,Tab.11[[#This Row],[w.0]],Tab.11[[#This Row],[w.0]]/SUM(Tab.11[w.0])))</f>
        <v>0</v>
      </c>
      <c r="AF591" s="76" t="str">
        <f>IF(Tab.11[[#This Row],[a1]]=0,"false",[3]!Tab.x5[[#This Row],[%_seN_C]])</f>
        <v>false</v>
      </c>
      <c r="AG591" s="77" t="b">
        <f>IF(Tab.11[[#This Row],[a1]]=1,AP591)</f>
        <v>0</v>
      </c>
      <c r="AH591" s="78" t="b">
        <f>IF(Tab.11[[#This Row],[a1]]=1,AQ591)</f>
        <v>0</v>
      </c>
      <c r="AI591" s="41">
        <v>3.0000000000000001E-3</v>
      </c>
      <c r="AJ591" s="79">
        <v>-0.05</v>
      </c>
      <c r="AK591" s="80" t="b">
        <f>IF(Tab.11[[#This Row],[a1]]=1,1)</f>
        <v>0</v>
      </c>
      <c r="AZ591"/>
    </row>
    <row r="592" spans="1:52" hidden="1" x14ac:dyDescent="0.25">
      <c r="A592" s="61">
        <f t="shared" si="19"/>
        <v>0</v>
      </c>
      <c r="B592" s="62">
        <f t="shared" si="19"/>
        <v>0</v>
      </c>
      <c r="C592" s="62" t="b">
        <f>IF(Tab.11[[#This Row],[a1]]=1,[3]!Tab_x1[[#This Row],[Name]])</f>
        <v>0</v>
      </c>
      <c r="D592" s="63" t="b">
        <f>IF(Tab.11[[#This Row],[a1]]=1,AO592)</f>
        <v>0</v>
      </c>
      <c r="E592" s="63">
        <f t="shared" si="20"/>
        <v>0</v>
      </c>
      <c r="F592" s="64" t="b">
        <f>IF(Tab.11[[#This Row],[a1]]=1,Tab.11[[#This Row],[b1]])</f>
        <v>0</v>
      </c>
      <c r="G592" s="65" t="b">
        <f>IF(Tab.11[[#This Row],[a1]]=1,IF(Tab.11[[#This Row],[b3]]&gt;$L$989*$G$3,$L$989*$G$3,IF(Tab.11[[#This Row],[b3]]&lt;$M$989*$G$3,$M$989*$G$3,Tab.11[[#This Row],[b3]])))</f>
        <v>0</v>
      </c>
      <c r="H592" s="66" t="b">
        <f>IF(Tab.11[[#This Row],[a1]]=1,Tab.11[[#This Row],[b1]])</f>
        <v>0</v>
      </c>
      <c r="I592" s="67" t="b">
        <f>IF(Tab.11[[#This Row],[a1]]=1,Tab.11[[#This Row],[b1]])</f>
        <v>0</v>
      </c>
      <c r="J592" s="68" t="b">
        <f>IF(Tab.11[[#This Row],[a1]]=1,IF($I$3&lt;0,Tab.11[[#This Row],[b5]]-$I$3,Tab.11[[#This Row],[b5]]))</f>
        <v>0</v>
      </c>
      <c r="K592" s="68" t="b">
        <f>IF(Tab.11[[#This Row],[a1]]=1,IF($K$3=0,Tab.11[b6],Tab.11[[#This Row],[b6]]-AVERAGE(Tab.11[b6])))</f>
        <v>0</v>
      </c>
      <c r="L592" s="69" t="b">
        <f>IF(Tab.11[[#This Row],[a1]]=1,Tab.11[[#This Row],[data]]/(_xlfn.STDEV.P(Tab.11[data])*$B$989)+$A$989)</f>
        <v>0</v>
      </c>
      <c r="M592" s="69" t="b">
        <f>IF(Tab.11[[#This Row],[a1]]=1,Tab.11[[#This Row],[data]]/(_xlfn.STDEV.P(Tab.11[data])*$B$987)-$A$987)</f>
        <v>0</v>
      </c>
      <c r="N592" s="69" t="b">
        <f>IF(Tab.11[[#This Row],[a1]]=1,Tab.11[[#This Row],[data]]/(_xlfn.STDEV.P(Tab.11[data])*$B$988)+$A$988)</f>
        <v>0</v>
      </c>
      <c r="O592" s="70" t="b">
        <f>IF(Tab.11[[#This Row],[a1]]=1,_xlfn.NORM.DIST(Tab.11[[#This Row],[b8]],$P$1,$Q$1,FALSE))</f>
        <v>0</v>
      </c>
      <c r="P592" s="70" t="b">
        <f>IF(Tab.11[[#This Row],[a1]]=1,_xlfn.NORM.DIST(Tab.11[[#This Row],[b9]],$P$1,$Q$1,FALSE))</f>
        <v>0</v>
      </c>
      <c r="Q592" s="70" t="b">
        <f>IF(Tab.11[[#This Row],[a1]]=1,_xlfn.NORM.DIST(Tab.11[[#This Row],[b10]],$P$1,$Q$1,FALSE))</f>
        <v>0</v>
      </c>
      <c r="R592" s="67" t="b">
        <f>IF(Tab.11[[#This Row],[a1]]=1,$I$3+$A$989+IF($K$3=0,Tab.11[[#This Row],[b8]]*_xlfn.STDEV.P(Tab.11[data]),AVERAGE(Tab.11[b6])+Tab.11[[#This Row],[b8]]*_xlfn.STDEV.P(Tab.11[data])))</f>
        <v>0</v>
      </c>
      <c r="S592" s="71" t="b">
        <f>IF(Tab.11[[#This Row],[a1]]=1,$I$3+$A$987+IF($K$3=0,Tab.11[[#This Row],[b9]]*_xlfn.STDEV.P(Tab.11[data]),AVERAGE(Tab.11[b6])+Tab.11[[#This Row],[b9]]*_xlfn.STDEV.P(Tab.11[data])))</f>
        <v>0</v>
      </c>
      <c r="T592" s="71" t="b">
        <f>IF(Tab.11[[#This Row],[a1]]=1,$I$3+$A$988+IF($K$3=0,Tab.11[[#This Row],[b10]]*_xlfn.STDEV.P(Tab.11[data]),AVERAGE(Tab.11[b6])+Tab.11[[#This Row],[b10]]*_xlfn.STDEV.P(Tab.11[data])))</f>
        <v>0</v>
      </c>
      <c r="U592" s="72" t="b">
        <f>IF(Tab.11[[#This Row],[a1]]=1,Tab.11[[#This Row],[target]]-Tab.11[[#This Row],[Red]])</f>
        <v>0</v>
      </c>
      <c r="V592" s="72" t="b">
        <f>IF(Tab.11[[#This Row],[a1]]=1,Tab.11[[#This Row],[target]]-Tab.11[[#This Row],[Blue]])</f>
        <v>0</v>
      </c>
      <c r="W592" s="73" t="b">
        <f>IF(Tab.11[[#This Row],[a1]]=1,IF(ABS(Tab.11[[#This Row],[b17]])+ABS(Tab.11[[#This Row],[b18]])&lt;$W$2,$W$2,ABS(Tab.11[[#This Row],[b17]])+ABS(Tab.11[[#This Row],[b18]])))</f>
        <v>0</v>
      </c>
      <c r="X592" s="136" t="b">
        <f>IF(Tab.11[[#This Row],[a1]]=1,IF($W$3&lt;0,Tab.11[[#This Row],[IN]]-$I$3,Tab.11[[#This Row],[IN]]))</f>
        <v>0</v>
      </c>
      <c r="Y592" s="136" t="b">
        <f>IF(Tab.11[[#This Row],[a1]]=1,IF($X$3=0,Tab.11[b66],Tab.11[[#This Row],[b66]]-AVERAGE(Tab.11[b66])))</f>
        <v>0</v>
      </c>
      <c r="Z592" s="135" t="b">
        <f>IF(Tab.11[[#This Row],[a1]]=1,Tab.11[[#This Row],[b77]]/(_xlfn.STDEV.P(Tab.11[b77])))</f>
        <v>0</v>
      </c>
      <c r="AA592" s="70" t="b">
        <f>IF(Tab.11[[#This Row],[a1]]=1,_xlfn.NORM.DIST(Tab.11[[#This Row],[b88]],$Z$1,$AA$1,FALSE))</f>
        <v>0</v>
      </c>
      <c r="AB592" s="74" t="b">
        <f>IF(Tab.11[[#This Row],[a1]]=1,IF($A$3=0,FALSE,1/Tab.11[[#This Row],[IN]]*$AC$2*IF(Tab.11[[#This Row],[a1]]=0,,$A$3*$AC$1*1/$V$3*(Tab.11[[#This Row],[b14]]))))</f>
        <v>0</v>
      </c>
      <c r="AC592" s="75" t="b">
        <f>IF(Tab.11[[#This Row],[a1]]=1,IF($AC$3=0,Tab.11[[#This Row],[φ1]],Tab.11[[#This Row],[φ1]]/MAX(Tab.11[φ1])))</f>
        <v>0</v>
      </c>
      <c r="AD592" s="74" t="b">
        <f>IF(Tab.11[[#This Row],[a1]]=1,1/Tab.11[[#This Row],[φ2]])</f>
        <v>0</v>
      </c>
      <c r="AE592" s="74" t="b">
        <f>IF(Tab.11[[#This Row],[a1]]=1,IF($AE$3=0,Tab.11[[#This Row],[w.0]],Tab.11[[#This Row],[w.0]]/SUM(Tab.11[w.0])))</f>
        <v>0</v>
      </c>
      <c r="AF592" s="76" t="str">
        <f>IF(Tab.11[[#This Row],[a1]]=0,"false",[3]!Tab.x5[[#This Row],[%_seN_C]])</f>
        <v>false</v>
      </c>
      <c r="AG592" s="77" t="b">
        <f>IF(Tab.11[[#This Row],[a1]]=1,AP592)</f>
        <v>0</v>
      </c>
      <c r="AH592" s="78" t="b">
        <f>IF(Tab.11[[#This Row],[a1]]=1,AQ592)</f>
        <v>0</v>
      </c>
      <c r="AI592" s="41">
        <v>3.0000000000000001E-3</v>
      </c>
      <c r="AJ592" s="79">
        <v>-0.01</v>
      </c>
      <c r="AK592" s="80" t="b">
        <f>IF(Tab.11[[#This Row],[a1]]=1,1)</f>
        <v>0</v>
      </c>
      <c r="AZ592"/>
    </row>
    <row r="593" spans="1:52" hidden="1" x14ac:dyDescent="0.25">
      <c r="A593" s="61">
        <f t="shared" si="19"/>
        <v>0</v>
      </c>
      <c r="B593" s="62">
        <f t="shared" si="19"/>
        <v>0</v>
      </c>
      <c r="C593" s="62" t="b">
        <f>IF(Tab.11[[#This Row],[a1]]=1,[3]!Tab_x1[[#This Row],[Name]])</f>
        <v>0</v>
      </c>
      <c r="D593" s="63" t="b">
        <f>IF(Tab.11[[#This Row],[a1]]=1,AO593)</f>
        <v>0</v>
      </c>
      <c r="E593" s="63">
        <f t="shared" si="20"/>
        <v>0</v>
      </c>
      <c r="F593" s="64" t="b">
        <f>IF(Tab.11[[#This Row],[a1]]=1,Tab.11[[#This Row],[b1]])</f>
        <v>0</v>
      </c>
      <c r="G593" s="65" t="b">
        <f>IF(Tab.11[[#This Row],[a1]]=1,IF(Tab.11[[#This Row],[b3]]&gt;$L$989*$G$3,$L$989*$G$3,IF(Tab.11[[#This Row],[b3]]&lt;$M$989*$G$3,$M$989*$G$3,Tab.11[[#This Row],[b3]])))</f>
        <v>0</v>
      </c>
      <c r="H593" s="66" t="b">
        <f>IF(Tab.11[[#This Row],[a1]]=1,Tab.11[[#This Row],[b1]])</f>
        <v>0</v>
      </c>
      <c r="I593" s="67" t="b">
        <f>IF(Tab.11[[#This Row],[a1]]=1,Tab.11[[#This Row],[b1]])</f>
        <v>0</v>
      </c>
      <c r="J593" s="68" t="b">
        <f>IF(Tab.11[[#This Row],[a1]]=1,IF($I$3&lt;0,Tab.11[[#This Row],[b5]]-$I$3,Tab.11[[#This Row],[b5]]))</f>
        <v>0</v>
      </c>
      <c r="K593" s="68" t="b">
        <f>IF(Tab.11[[#This Row],[a1]]=1,IF($K$3=0,Tab.11[b6],Tab.11[[#This Row],[b6]]-AVERAGE(Tab.11[b6])))</f>
        <v>0</v>
      </c>
      <c r="L593" s="69" t="b">
        <f>IF(Tab.11[[#This Row],[a1]]=1,Tab.11[[#This Row],[data]]/(_xlfn.STDEV.P(Tab.11[data])*$B$989)+$A$989)</f>
        <v>0</v>
      </c>
      <c r="M593" s="69" t="b">
        <f>IF(Tab.11[[#This Row],[a1]]=1,Tab.11[[#This Row],[data]]/(_xlfn.STDEV.P(Tab.11[data])*$B$987)-$A$987)</f>
        <v>0</v>
      </c>
      <c r="N593" s="69" t="b">
        <f>IF(Tab.11[[#This Row],[a1]]=1,Tab.11[[#This Row],[data]]/(_xlfn.STDEV.P(Tab.11[data])*$B$988)+$A$988)</f>
        <v>0</v>
      </c>
      <c r="O593" s="70" t="b">
        <f>IF(Tab.11[[#This Row],[a1]]=1,_xlfn.NORM.DIST(Tab.11[[#This Row],[b8]],$P$1,$Q$1,FALSE))</f>
        <v>0</v>
      </c>
      <c r="P593" s="70" t="b">
        <f>IF(Tab.11[[#This Row],[a1]]=1,_xlfn.NORM.DIST(Tab.11[[#This Row],[b9]],$P$1,$Q$1,FALSE))</f>
        <v>0</v>
      </c>
      <c r="Q593" s="70" t="b">
        <f>IF(Tab.11[[#This Row],[a1]]=1,_xlfn.NORM.DIST(Tab.11[[#This Row],[b10]],$P$1,$Q$1,FALSE))</f>
        <v>0</v>
      </c>
      <c r="R593" s="67" t="b">
        <f>IF(Tab.11[[#This Row],[a1]]=1,$I$3+$A$989+IF($K$3=0,Tab.11[[#This Row],[b8]]*_xlfn.STDEV.P(Tab.11[data]),AVERAGE(Tab.11[b6])+Tab.11[[#This Row],[b8]]*_xlfn.STDEV.P(Tab.11[data])))</f>
        <v>0</v>
      </c>
      <c r="S593" s="71" t="b">
        <f>IF(Tab.11[[#This Row],[a1]]=1,$I$3+$A$987+IF($K$3=0,Tab.11[[#This Row],[b9]]*_xlfn.STDEV.P(Tab.11[data]),AVERAGE(Tab.11[b6])+Tab.11[[#This Row],[b9]]*_xlfn.STDEV.P(Tab.11[data])))</f>
        <v>0</v>
      </c>
      <c r="T593" s="71" t="b">
        <f>IF(Tab.11[[#This Row],[a1]]=1,$I$3+$A$988+IF($K$3=0,Tab.11[[#This Row],[b10]]*_xlfn.STDEV.P(Tab.11[data]),AVERAGE(Tab.11[b6])+Tab.11[[#This Row],[b10]]*_xlfn.STDEV.P(Tab.11[data])))</f>
        <v>0</v>
      </c>
      <c r="U593" s="72" t="b">
        <f>IF(Tab.11[[#This Row],[a1]]=1,Tab.11[[#This Row],[target]]-Tab.11[[#This Row],[Red]])</f>
        <v>0</v>
      </c>
      <c r="V593" s="72" t="b">
        <f>IF(Tab.11[[#This Row],[a1]]=1,Tab.11[[#This Row],[target]]-Tab.11[[#This Row],[Blue]])</f>
        <v>0</v>
      </c>
      <c r="W593" s="73" t="b">
        <f>IF(Tab.11[[#This Row],[a1]]=1,IF(ABS(Tab.11[[#This Row],[b17]])+ABS(Tab.11[[#This Row],[b18]])&lt;$W$2,$W$2,ABS(Tab.11[[#This Row],[b17]])+ABS(Tab.11[[#This Row],[b18]])))</f>
        <v>0</v>
      </c>
      <c r="X593" s="136" t="b">
        <f>IF(Tab.11[[#This Row],[a1]]=1,IF($W$3&lt;0,Tab.11[[#This Row],[IN]]-$I$3,Tab.11[[#This Row],[IN]]))</f>
        <v>0</v>
      </c>
      <c r="Y593" s="136" t="b">
        <f>IF(Tab.11[[#This Row],[a1]]=1,IF($X$3=0,Tab.11[b66],Tab.11[[#This Row],[b66]]-AVERAGE(Tab.11[b66])))</f>
        <v>0</v>
      </c>
      <c r="Z593" s="135" t="b">
        <f>IF(Tab.11[[#This Row],[a1]]=1,Tab.11[[#This Row],[b77]]/(_xlfn.STDEV.P(Tab.11[b77])))</f>
        <v>0</v>
      </c>
      <c r="AA593" s="70" t="b">
        <f>IF(Tab.11[[#This Row],[a1]]=1,_xlfn.NORM.DIST(Tab.11[[#This Row],[b88]],$Z$1,$AA$1,FALSE))</f>
        <v>0</v>
      </c>
      <c r="AB593" s="74" t="b">
        <f>IF(Tab.11[[#This Row],[a1]]=1,IF($A$3=0,FALSE,1/Tab.11[[#This Row],[IN]]*$AC$2*IF(Tab.11[[#This Row],[a1]]=0,,$A$3*$AC$1*1/$V$3*(Tab.11[[#This Row],[b14]]))))</f>
        <v>0</v>
      </c>
      <c r="AC593" s="75" t="b">
        <f>IF(Tab.11[[#This Row],[a1]]=1,IF($AC$3=0,Tab.11[[#This Row],[φ1]],Tab.11[[#This Row],[φ1]]/MAX(Tab.11[φ1])))</f>
        <v>0</v>
      </c>
      <c r="AD593" s="74" t="b">
        <f>IF(Tab.11[[#This Row],[a1]]=1,1/Tab.11[[#This Row],[φ2]])</f>
        <v>0</v>
      </c>
      <c r="AE593" s="74" t="b">
        <f>IF(Tab.11[[#This Row],[a1]]=1,IF($AE$3=0,Tab.11[[#This Row],[w.0]],Tab.11[[#This Row],[w.0]]/SUM(Tab.11[w.0])))</f>
        <v>0</v>
      </c>
      <c r="AF593" s="76" t="str">
        <f>IF(Tab.11[[#This Row],[a1]]=0,"false",[3]!Tab.x5[[#This Row],[%_seN_C]])</f>
        <v>false</v>
      </c>
      <c r="AG593" s="77" t="b">
        <f>IF(Tab.11[[#This Row],[a1]]=1,AP593)</f>
        <v>0</v>
      </c>
      <c r="AH593" s="78" t="b">
        <f>IF(Tab.11[[#This Row],[a1]]=1,AQ593)</f>
        <v>0</v>
      </c>
      <c r="AI593" s="41">
        <v>3.0000000000000001E-3</v>
      </c>
      <c r="AJ593" s="79">
        <v>-0.09</v>
      </c>
      <c r="AK593" s="80" t="b">
        <f>IF(Tab.11[[#This Row],[a1]]=1,1)</f>
        <v>0</v>
      </c>
      <c r="AZ593"/>
    </row>
    <row r="594" spans="1:52" hidden="1" x14ac:dyDescent="0.25">
      <c r="A594" s="61">
        <f t="shared" si="19"/>
        <v>0</v>
      </c>
      <c r="B594" s="62">
        <f t="shared" si="19"/>
        <v>0</v>
      </c>
      <c r="C594" s="62" t="b">
        <f>IF(Tab.11[[#This Row],[a1]]=1,[3]!Tab_x1[[#This Row],[Name]])</f>
        <v>0</v>
      </c>
      <c r="D594" s="63" t="b">
        <f>IF(Tab.11[[#This Row],[a1]]=1,AO594)</f>
        <v>0</v>
      </c>
      <c r="E594" s="63">
        <f t="shared" si="20"/>
        <v>0</v>
      </c>
      <c r="F594" s="64" t="b">
        <f>IF(Tab.11[[#This Row],[a1]]=1,Tab.11[[#This Row],[b1]])</f>
        <v>0</v>
      </c>
      <c r="G594" s="65" t="b">
        <f>IF(Tab.11[[#This Row],[a1]]=1,IF(Tab.11[[#This Row],[b3]]&gt;$L$989*$G$3,$L$989*$G$3,IF(Tab.11[[#This Row],[b3]]&lt;$M$989*$G$3,$M$989*$G$3,Tab.11[[#This Row],[b3]])))</f>
        <v>0</v>
      </c>
      <c r="H594" s="66" t="b">
        <f>IF(Tab.11[[#This Row],[a1]]=1,Tab.11[[#This Row],[b1]])</f>
        <v>0</v>
      </c>
      <c r="I594" s="67" t="b">
        <f>IF(Tab.11[[#This Row],[a1]]=1,Tab.11[[#This Row],[b1]])</f>
        <v>0</v>
      </c>
      <c r="J594" s="68" t="b">
        <f>IF(Tab.11[[#This Row],[a1]]=1,IF($I$3&lt;0,Tab.11[[#This Row],[b5]]-$I$3,Tab.11[[#This Row],[b5]]))</f>
        <v>0</v>
      </c>
      <c r="K594" s="68" t="b">
        <f>IF(Tab.11[[#This Row],[a1]]=1,IF($K$3=0,Tab.11[b6],Tab.11[[#This Row],[b6]]-AVERAGE(Tab.11[b6])))</f>
        <v>0</v>
      </c>
      <c r="L594" s="69" t="b">
        <f>IF(Tab.11[[#This Row],[a1]]=1,Tab.11[[#This Row],[data]]/(_xlfn.STDEV.P(Tab.11[data])*$B$989)+$A$989)</f>
        <v>0</v>
      </c>
      <c r="M594" s="69" t="b">
        <f>IF(Tab.11[[#This Row],[a1]]=1,Tab.11[[#This Row],[data]]/(_xlfn.STDEV.P(Tab.11[data])*$B$987)-$A$987)</f>
        <v>0</v>
      </c>
      <c r="N594" s="69" t="b">
        <f>IF(Tab.11[[#This Row],[a1]]=1,Tab.11[[#This Row],[data]]/(_xlfn.STDEV.P(Tab.11[data])*$B$988)+$A$988)</f>
        <v>0</v>
      </c>
      <c r="O594" s="70" t="b">
        <f>IF(Tab.11[[#This Row],[a1]]=1,_xlfn.NORM.DIST(Tab.11[[#This Row],[b8]],$P$1,$Q$1,FALSE))</f>
        <v>0</v>
      </c>
      <c r="P594" s="70" t="b">
        <f>IF(Tab.11[[#This Row],[a1]]=1,_xlfn.NORM.DIST(Tab.11[[#This Row],[b9]],$P$1,$Q$1,FALSE))</f>
        <v>0</v>
      </c>
      <c r="Q594" s="70" t="b">
        <f>IF(Tab.11[[#This Row],[a1]]=1,_xlfn.NORM.DIST(Tab.11[[#This Row],[b10]],$P$1,$Q$1,FALSE))</f>
        <v>0</v>
      </c>
      <c r="R594" s="67" t="b">
        <f>IF(Tab.11[[#This Row],[a1]]=1,$I$3+$A$989+IF($K$3=0,Tab.11[[#This Row],[b8]]*_xlfn.STDEV.P(Tab.11[data]),AVERAGE(Tab.11[b6])+Tab.11[[#This Row],[b8]]*_xlfn.STDEV.P(Tab.11[data])))</f>
        <v>0</v>
      </c>
      <c r="S594" s="71" t="b">
        <f>IF(Tab.11[[#This Row],[a1]]=1,$I$3+$A$987+IF($K$3=0,Tab.11[[#This Row],[b9]]*_xlfn.STDEV.P(Tab.11[data]),AVERAGE(Tab.11[b6])+Tab.11[[#This Row],[b9]]*_xlfn.STDEV.P(Tab.11[data])))</f>
        <v>0</v>
      </c>
      <c r="T594" s="71" t="b">
        <f>IF(Tab.11[[#This Row],[a1]]=1,$I$3+$A$988+IF($K$3=0,Tab.11[[#This Row],[b10]]*_xlfn.STDEV.P(Tab.11[data]),AVERAGE(Tab.11[b6])+Tab.11[[#This Row],[b10]]*_xlfn.STDEV.P(Tab.11[data])))</f>
        <v>0</v>
      </c>
      <c r="U594" s="72" t="b">
        <f>IF(Tab.11[[#This Row],[a1]]=1,Tab.11[[#This Row],[target]]-Tab.11[[#This Row],[Red]])</f>
        <v>0</v>
      </c>
      <c r="V594" s="72" t="b">
        <f>IF(Tab.11[[#This Row],[a1]]=1,Tab.11[[#This Row],[target]]-Tab.11[[#This Row],[Blue]])</f>
        <v>0</v>
      </c>
      <c r="W594" s="73" t="b">
        <f>IF(Tab.11[[#This Row],[a1]]=1,IF(ABS(Tab.11[[#This Row],[b17]])+ABS(Tab.11[[#This Row],[b18]])&lt;$W$2,$W$2,ABS(Tab.11[[#This Row],[b17]])+ABS(Tab.11[[#This Row],[b18]])))</f>
        <v>0</v>
      </c>
      <c r="X594" s="136" t="b">
        <f>IF(Tab.11[[#This Row],[a1]]=1,IF($W$3&lt;0,Tab.11[[#This Row],[IN]]-$I$3,Tab.11[[#This Row],[IN]]))</f>
        <v>0</v>
      </c>
      <c r="Y594" s="136" t="b">
        <f>IF(Tab.11[[#This Row],[a1]]=1,IF($X$3=0,Tab.11[b66],Tab.11[[#This Row],[b66]]-AVERAGE(Tab.11[b66])))</f>
        <v>0</v>
      </c>
      <c r="Z594" s="135" t="b">
        <f>IF(Tab.11[[#This Row],[a1]]=1,Tab.11[[#This Row],[b77]]/(_xlfn.STDEV.P(Tab.11[b77])))</f>
        <v>0</v>
      </c>
      <c r="AA594" s="70" t="b">
        <f>IF(Tab.11[[#This Row],[a1]]=1,_xlfn.NORM.DIST(Tab.11[[#This Row],[b88]],$Z$1,$AA$1,FALSE))</f>
        <v>0</v>
      </c>
      <c r="AB594" s="74" t="b">
        <f>IF(Tab.11[[#This Row],[a1]]=1,IF($A$3=0,FALSE,1/Tab.11[[#This Row],[IN]]*$AC$2*IF(Tab.11[[#This Row],[a1]]=0,,$A$3*$AC$1*1/$V$3*(Tab.11[[#This Row],[b14]]))))</f>
        <v>0</v>
      </c>
      <c r="AC594" s="75" t="b">
        <f>IF(Tab.11[[#This Row],[a1]]=1,IF($AC$3=0,Tab.11[[#This Row],[φ1]],Tab.11[[#This Row],[φ1]]/MAX(Tab.11[φ1])))</f>
        <v>0</v>
      </c>
      <c r="AD594" s="74" t="b">
        <f>IF(Tab.11[[#This Row],[a1]]=1,1/Tab.11[[#This Row],[φ2]])</f>
        <v>0</v>
      </c>
      <c r="AE594" s="74" t="b">
        <f>IF(Tab.11[[#This Row],[a1]]=1,IF($AE$3=0,Tab.11[[#This Row],[w.0]],Tab.11[[#This Row],[w.0]]/SUM(Tab.11[w.0])))</f>
        <v>0</v>
      </c>
      <c r="AF594" s="76" t="str">
        <f>IF(Tab.11[[#This Row],[a1]]=0,"false",[3]!Tab.x5[[#This Row],[%_seN_C]])</f>
        <v>false</v>
      </c>
      <c r="AG594" s="77" t="b">
        <f>IF(Tab.11[[#This Row],[a1]]=1,AP594)</f>
        <v>0</v>
      </c>
      <c r="AH594" s="78" t="b">
        <f>IF(Tab.11[[#This Row],[a1]]=1,AQ594)</f>
        <v>0</v>
      </c>
      <c r="AI594" s="41">
        <v>3.0000000000000001E-3</v>
      </c>
      <c r="AJ594" s="79">
        <v>-0.08</v>
      </c>
      <c r="AK594" s="80" t="b">
        <f>IF(Tab.11[[#This Row],[a1]]=1,1)</f>
        <v>0</v>
      </c>
      <c r="AZ594"/>
    </row>
    <row r="595" spans="1:52" hidden="1" x14ac:dyDescent="0.25">
      <c r="A595" s="61">
        <f t="shared" si="19"/>
        <v>0</v>
      </c>
      <c r="B595" s="62">
        <f t="shared" si="19"/>
        <v>0</v>
      </c>
      <c r="C595" s="62" t="b">
        <f>IF(Tab.11[[#This Row],[a1]]=1,[3]!Tab_x1[[#This Row],[Name]])</f>
        <v>0</v>
      </c>
      <c r="D595" s="63" t="b">
        <f>IF(Tab.11[[#This Row],[a1]]=1,AO595)</f>
        <v>0</v>
      </c>
      <c r="E595" s="63">
        <f t="shared" si="20"/>
        <v>0</v>
      </c>
      <c r="F595" s="64" t="b">
        <f>IF(Tab.11[[#This Row],[a1]]=1,Tab.11[[#This Row],[b1]])</f>
        <v>0</v>
      </c>
      <c r="G595" s="65" t="b">
        <f>IF(Tab.11[[#This Row],[a1]]=1,IF(Tab.11[[#This Row],[b3]]&gt;$L$989*$G$3,$L$989*$G$3,IF(Tab.11[[#This Row],[b3]]&lt;$M$989*$G$3,$M$989*$G$3,Tab.11[[#This Row],[b3]])))</f>
        <v>0</v>
      </c>
      <c r="H595" s="66" t="b">
        <f>IF(Tab.11[[#This Row],[a1]]=1,Tab.11[[#This Row],[b1]])</f>
        <v>0</v>
      </c>
      <c r="I595" s="67" t="b">
        <f>IF(Tab.11[[#This Row],[a1]]=1,Tab.11[[#This Row],[b1]])</f>
        <v>0</v>
      </c>
      <c r="J595" s="68" t="b">
        <f>IF(Tab.11[[#This Row],[a1]]=1,IF($I$3&lt;0,Tab.11[[#This Row],[b5]]-$I$3,Tab.11[[#This Row],[b5]]))</f>
        <v>0</v>
      </c>
      <c r="K595" s="68" t="b">
        <f>IF(Tab.11[[#This Row],[a1]]=1,IF($K$3=0,Tab.11[b6],Tab.11[[#This Row],[b6]]-AVERAGE(Tab.11[b6])))</f>
        <v>0</v>
      </c>
      <c r="L595" s="69" t="b">
        <f>IF(Tab.11[[#This Row],[a1]]=1,Tab.11[[#This Row],[data]]/(_xlfn.STDEV.P(Tab.11[data])*$B$989)+$A$989)</f>
        <v>0</v>
      </c>
      <c r="M595" s="69" t="b">
        <f>IF(Tab.11[[#This Row],[a1]]=1,Tab.11[[#This Row],[data]]/(_xlfn.STDEV.P(Tab.11[data])*$B$987)-$A$987)</f>
        <v>0</v>
      </c>
      <c r="N595" s="69" t="b">
        <f>IF(Tab.11[[#This Row],[a1]]=1,Tab.11[[#This Row],[data]]/(_xlfn.STDEV.P(Tab.11[data])*$B$988)+$A$988)</f>
        <v>0</v>
      </c>
      <c r="O595" s="70" t="b">
        <f>IF(Tab.11[[#This Row],[a1]]=1,_xlfn.NORM.DIST(Tab.11[[#This Row],[b8]],$P$1,$Q$1,FALSE))</f>
        <v>0</v>
      </c>
      <c r="P595" s="70" t="b">
        <f>IF(Tab.11[[#This Row],[a1]]=1,_xlfn.NORM.DIST(Tab.11[[#This Row],[b9]],$P$1,$Q$1,FALSE))</f>
        <v>0</v>
      </c>
      <c r="Q595" s="70" t="b">
        <f>IF(Tab.11[[#This Row],[a1]]=1,_xlfn.NORM.DIST(Tab.11[[#This Row],[b10]],$P$1,$Q$1,FALSE))</f>
        <v>0</v>
      </c>
      <c r="R595" s="67" t="b">
        <f>IF(Tab.11[[#This Row],[a1]]=1,$I$3+$A$989+IF($K$3=0,Tab.11[[#This Row],[b8]]*_xlfn.STDEV.P(Tab.11[data]),AVERAGE(Tab.11[b6])+Tab.11[[#This Row],[b8]]*_xlfn.STDEV.P(Tab.11[data])))</f>
        <v>0</v>
      </c>
      <c r="S595" s="71" t="b">
        <f>IF(Tab.11[[#This Row],[a1]]=1,$I$3+$A$987+IF($K$3=0,Tab.11[[#This Row],[b9]]*_xlfn.STDEV.P(Tab.11[data]),AVERAGE(Tab.11[b6])+Tab.11[[#This Row],[b9]]*_xlfn.STDEV.P(Tab.11[data])))</f>
        <v>0</v>
      </c>
      <c r="T595" s="71" t="b">
        <f>IF(Tab.11[[#This Row],[a1]]=1,$I$3+$A$988+IF($K$3=0,Tab.11[[#This Row],[b10]]*_xlfn.STDEV.P(Tab.11[data]),AVERAGE(Tab.11[b6])+Tab.11[[#This Row],[b10]]*_xlfn.STDEV.P(Tab.11[data])))</f>
        <v>0</v>
      </c>
      <c r="U595" s="72" t="b">
        <f>IF(Tab.11[[#This Row],[a1]]=1,Tab.11[[#This Row],[target]]-Tab.11[[#This Row],[Red]])</f>
        <v>0</v>
      </c>
      <c r="V595" s="72" t="b">
        <f>IF(Tab.11[[#This Row],[a1]]=1,Tab.11[[#This Row],[target]]-Tab.11[[#This Row],[Blue]])</f>
        <v>0</v>
      </c>
      <c r="W595" s="73" t="b">
        <f>IF(Tab.11[[#This Row],[a1]]=1,IF(ABS(Tab.11[[#This Row],[b17]])+ABS(Tab.11[[#This Row],[b18]])&lt;$W$2,$W$2,ABS(Tab.11[[#This Row],[b17]])+ABS(Tab.11[[#This Row],[b18]])))</f>
        <v>0</v>
      </c>
      <c r="X595" s="136" t="b">
        <f>IF(Tab.11[[#This Row],[a1]]=1,IF($W$3&lt;0,Tab.11[[#This Row],[IN]]-$I$3,Tab.11[[#This Row],[IN]]))</f>
        <v>0</v>
      </c>
      <c r="Y595" s="136" t="b">
        <f>IF(Tab.11[[#This Row],[a1]]=1,IF($X$3=0,Tab.11[b66],Tab.11[[#This Row],[b66]]-AVERAGE(Tab.11[b66])))</f>
        <v>0</v>
      </c>
      <c r="Z595" s="135" t="b">
        <f>IF(Tab.11[[#This Row],[a1]]=1,Tab.11[[#This Row],[b77]]/(_xlfn.STDEV.P(Tab.11[b77])))</f>
        <v>0</v>
      </c>
      <c r="AA595" s="70" t="b">
        <f>IF(Tab.11[[#This Row],[a1]]=1,_xlfn.NORM.DIST(Tab.11[[#This Row],[b88]],$Z$1,$AA$1,FALSE))</f>
        <v>0</v>
      </c>
      <c r="AB595" s="74" t="b">
        <f>IF(Tab.11[[#This Row],[a1]]=1,IF($A$3=0,FALSE,1/Tab.11[[#This Row],[IN]]*$AC$2*IF(Tab.11[[#This Row],[a1]]=0,,$A$3*$AC$1*1/$V$3*(Tab.11[[#This Row],[b14]]))))</f>
        <v>0</v>
      </c>
      <c r="AC595" s="75" t="b">
        <f>IF(Tab.11[[#This Row],[a1]]=1,IF($AC$3=0,Tab.11[[#This Row],[φ1]],Tab.11[[#This Row],[φ1]]/MAX(Tab.11[φ1])))</f>
        <v>0</v>
      </c>
      <c r="AD595" s="74" t="b">
        <f>IF(Tab.11[[#This Row],[a1]]=1,1/Tab.11[[#This Row],[φ2]])</f>
        <v>0</v>
      </c>
      <c r="AE595" s="74" t="b">
        <f>IF(Tab.11[[#This Row],[a1]]=1,IF($AE$3=0,Tab.11[[#This Row],[w.0]],Tab.11[[#This Row],[w.0]]/SUM(Tab.11[w.0])))</f>
        <v>0</v>
      </c>
      <c r="AF595" s="76" t="str">
        <f>IF(Tab.11[[#This Row],[a1]]=0,"false",[3]!Tab.x5[[#This Row],[%_seN_C]])</f>
        <v>false</v>
      </c>
      <c r="AG595" s="77" t="b">
        <f>IF(Tab.11[[#This Row],[a1]]=1,AP595)</f>
        <v>0</v>
      </c>
      <c r="AH595" s="78" t="b">
        <f>IF(Tab.11[[#This Row],[a1]]=1,AQ595)</f>
        <v>0</v>
      </c>
      <c r="AI595" s="41">
        <v>3.0000000000000001E-3</v>
      </c>
      <c r="AJ595" s="79">
        <v>0.01</v>
      </c>
      <c r="AK595" s="80" t="b">
        <f>IF(Tab.11[[#This Row],[a1]]=1,1)</f>
        <v>0</v>
      </c>
      <c r="AZ595"/>
    </row>
    <row r="596" spans="1:52" hidden="1" x14ac:dyDescent="0.25">
      <c r="A596" s="61">
        <f t="shared" si="19"/>
        <v>0</v>
      </c>
      <c r="B596" s="62">
        <f t="shared" si="19"/>
        <v>0</v>
      </c>
      <c r="C596" s="62" t="b">
        <f>IF(Tab.11[[#This Row],[a1]]=1,[3]!Tab_x1[[#This Row],[Name]])</f>
        <v>0</v>
      </c>
      <c r="D596" s="63" t="b">
        <f>IF(Tab.11[[#This Row],[a1]]=1,AO596)</f>
        <v>0</v>
      </c>
      <c r="E596" s="63">
        <f t="shared" si="20"/>
        <v>0</v>
      </c>
      <c r="F596" s="64" t="b">
        <f>IF(Tab.11[[#This Row],[a1]]=1,Tab.11[[#This Row],[b1]])</f>
        <v>0</v>
      </c>
      <c r="G596" s="65" t="b">
        <f>IF(Tab.11[[#This Row],[a1]]=1,IF(Tab.11[[#This Row],[b3]]&gt;$L$989*$G$3,$L$989*$G$3,IF(Tab.11[[#This Row],[b3]]&lt;$M$989*$G$3,$M$989*$G$3,Tab.11[[#This Row],[b3]])))</f>
        <v>0</v>
      </c>
      <c r="H596" s="66" t="b">
        <f>IF(Tab.11[[#This Row],[a1]]=1,Tab.11[[#This Row],[b1]])</f>
        <v>0</v>
      </c>
      <c r="I596" s="67" t="b">
        <f>IF(Tab.11[[#This Row],[a1]]=1,Tab.11[[#This Row],[b1]])</f>
        <v>0</v>
      </c>
      <c r="J596" s="68" t="b">
        <f>IF(Tab.11[[#This Row],[a1]]=1,IF($I$3&lt;0,Tab.11[[#This Row],[b5]]-$I$3,Tab.11[[#This Row],[b5]]))</f>
        <v>0</v>
      </c>
      <c r="K596" s="68" t="b">
        <f>IF(Tab.11[[#This Row],[a1]]=1,IF($K$3=0,Tab.11[b6],Tab.11[[#This Row],[b6]]-AVERAGE(Tab.11[b6])))</f>
        <v>0</v>
      </c>
      <c r="L596" s="69" t="b">
        <f>IF(Tab.11[[#This Row],[a1]]=1,Tab.11[[#This Row],[data]]/(_xlfn.STDEV.P(Tab.11[data])*$B$989)+$A$989)</f>
        <v>0</v>
      </c>
      <c r="M596" s="69" t="b">
        <f>IF(Tab.11[[#This Row],[a1]]=1,Tab.11[[#This Row],[data]]/(_xlfn.STDEV.P(Tab.11[data])*$B$987)-$A$987)</f>
        <v>0</v>
      </c>
      <c r="N596" s="69" t="b">
        <f>IF(Tab.11[[#This Row],[a1]]=1,Tab.11[[#This Row],[data]]/(_xlfn.STDEV.P(Tab.11[data])*$B$988)+$A$988)</f>
        <v>0</v>
      </c>
      <c r="O596" s="70" t="b">
        <f>IF(Tab.11[[#This Row],[a1]]=1,_xlfn.NORM.DIST(Tab.11[[#This Row],[b8]],$P$1,$Q$1,FALSE))</f>
        <v>0</v>
      </c>
      <c r="P596" s="70" t="b">
        <f>IF(Tab.11[[#This Row],[a1]]=1,_xlfn.NORM.DIST(Tab.11[[#This Row],[b9]],$P$1,$Q$1,FALSE))</f>
        <v>0</v>
      </c>
      <c r="Q596" s="70" t="b">
        <f>IF(Tab.11[[#This Row],[a1]]=1,_xlfn.NORM.DIST(Tab.11[[#This Row],[b10]],$P$1,$Q$1,FALSE))</f>
        <v>0</v>
      </c>
      <c r="R596" s="67" t="b">
        <f>IF(Tab.11[[#This Row],[a1]]=1,$I$3+$A$989+IF($K$3=0,Tab.11[[#This Row],[b8]]*_xlfn.STDEV.P(Tab.11[data]),AVERAGE(Tab.11[b6])+Tab.11[[#This Row],[b8]]*_xlfn.STDEV.P(Tab.11[data])))</f>
        <v>0</v>
      </c>
      <c r="S596" s="71" t="b">
        <f>IF(Tab.11[[#This Row],[a1]]=1,$I$3+$A$987+IF($K$3=0,Tab.11[[#This Row],[b9]]*_xlfn.STDEV.P(Tab.11[data]),AVERAGE(Tab.11[b6])+Tab.11[[#This Row],[b9]]*_xlfn.STDEV.P(Tab.11[data])))</f>
        <v>0</v>
      </c>
      <c r="T596" s="71" t="b">
        <f>IF(Tab.11[[#This Row],[a1]]=1,$I$3+$A$988+IF($K$3=0,Tab.11[[#This Row],[b10]]*_xlfn.STDEV.P(Tab.11[data]),AVERAGE(Tab.11[b6])+Tab.11[[#This Row],[b10]]*_xlfn.STDEV.P(Tab.11[data])))</f>
        <v>0</v>
      </c>
      <c r="U596" s="72" t="b">
        <f>IF(Tab.11[[#This Row],[a1]]=1,Tab.11[[#This Row],[target]]-Tab.11[[#This Row],[Red]])</f>
        <v>0</v>
      </c>
      <c r="V596" s="72" t="b">
        <f>IF(Tab.11[[#This Row],[a1]]=1,Tab.11[[#This Row],[target]]-Tab.11[[#This Row],[Blue]])</f>
        <v>0</v>
      </c>
      <c r="W596" s="73" t="b">
        <f>IF(Tab.11[[#This Row],[a1]]=1,IF(ABS(Tab.11[[#This Row],[b17]])+ABS(Tab.11[[#This Row],[b18]])&lt;$W$2,$W$2,ABS(Tab.11[[#This Row],[b17]])+ABS(Tab.11[[#This Row],[b18]])))</f>
        <v>0</v>
      </c>
      <c r="X596" s="136" t="b">
        <f>IF(Tab.11[[#This Row],[a1]]=1,IF($W$3&lt;0,Tab.11[[#This Row],[IN]]-$I$3,Tab.11[[#This Row],[IN]]))</f>
        <v>0</v>
      </c>
      <c r="Y596" s="136" t="b">
        <f>IF(Tab.11[[#This Row],[a1]]=1,IF($X$3=0,Tab.11[b66],Tab.11[[#This Row],[b66]]-AVERAGE(Tab.11[b66])))</f>
        <v>0</v>
      </c>
      <c r="Z596" s="135" t="b">
        <f>IF(Tab.11[[#This Row],[a1]]=1,Tab.11[[#This Row],[b77]]/(_xlfn.STDEV.P(Tab.11[b77])))</f>
        <v>0</v>
      </c>
      <c r="AA596" s="70" t="b">
        <f>IF(Tab.11[[#This Row],[a1]]=1,_xlfn.NORM.DIST(Tab.11[[#This Row],[b88]],$Z$1,$AA$1,FALSE))</f>
        <v>0</v>
      </c>
      <c r="AB596" s="74" t="b">
        <f>IF(Tab.11[[#This Row],[a1]]=1,IF($A$3=0,FALSE,1/Tab.11[[#This Row],[IN]]*$AC$2*IF(Tab.11[[#This Row],[a1]]=0,,$A$3*$AC$1*1/$V$3*(Tab.11[[#This Row],[b14]]))))</f>
        <v>0</v>
      </c>
      <c r="AC596" s="75" t="b">
        <f>IF(Tab.11[[#This Row],[a1]]=1,IF($AC$3=0,Tab.11[[#This Row],[φ1]],Tab.11[[#This Row],[φ1]]/MAX(Tab.11[φ1])))</f>
        <v>0</v>
      </c>
      <c r="AD596" s="74" t="b">
        <f>IF(Tab.11[[#This Row],[a1]]=1,1/Tab.11[[#This Row],[φ2]])</f>
        <v>0</v>
      </c>
      <c r="AE596" s="74" t="b">
        <f>IF(Tab.11[[#This Row],[a1]]=1,IF($AE$3=0,Tab.11[[#This Row],[w.0]],Tab.11[[#This Row],[w.0]]/SUM(Tab.11[w.0])))</f>
        <v>0</v>
      </c>
      <c r="AF596" s="76" t="str">
        <f>IF(Tab.11[[#This Row],[a1]]=0,"false",[3]!Tab.x5[[#This Row],[%_seN_C]])</f>
        <v>false</v>
      </c>
      <c r="AG596" s="77" t="b">
        <f>IF(Tab.11[[#This Row],[a1]]=1,AP596)</f>
        <v>0</v>
      </c>
      <c r="AH596" s="78" t="b">
        <f>IF(Tab.11[[#This Row],[a1]]=1,AQ596)</f>
        <v>0</v>
      </c>
      <c r="AI596" s="41">
        <v>3.0000000000000001E-3</v>
      </c>
      <c r="AJ596" s="79">
        <v>0.1</v>
      </c>
      <c r="AK596" s="80" t="b">
        <f>IF(Tab.11[[#This Row],[a1]]=1,1)</f>
        <v>0</v>
      </c>
      <c r="AZ596"/>
    </row>
    <row r="597" spans="1:52" hidden="1" x14ac:dyDescent="0.25">
      <c r="A597" s="61">
        <f t="shared" ref="A597:B660" si="21">AM597</f>
        <v>0</v>
      </c>
      <c r="B597" s="62">
        <f t="shared" si="21"/>
        <v>0</v>
      </c>
      <c r="C597" s="62" t="b">
        <f>IF(Tab.11[[#This Row],[a1]]=1,[3]!Tab_x1[[#This Row],[Name]])</f>
        <v>0</v>
      </c>
      <c r="D597" s="63" t="b">
        <f>IF(Tab.11[[#This Row],[a1]]=1,AO597)</f>
        <v>0</v>
      </c>
      <c r="E597" s="63">
        <f t="shared" si="20"/>
        <v>0</v>
      </c>
      <c r="F597" s="64" t="b">
        <f>IF(Tab.11[[#This Row],[a1]]=1,Tab.11[[#This Row],[b1]])</f>
        <v>0</v>
      </c>
      <c r="G597" s="65" t="b">
        <f>IF(Tab.11[[#This Row],[a1]]=1,IF(Tab.11[[#This Row],[b3]]&gt;$L$989*$G$3,$L$989*$G$3,IF(Tab.11[[#This Row],[b3]]&lt;$M$989*$G$3,$M$989*$G$3,Tab.11[[#This Row],[b3]])))</f>
        <v>0</v>
      </c>
      <c r="H597" s="66" t="b">
        <f>IF(Tab.11[[#This Row],[a1]]=1,Tab.11[[#This Row],[b1]])</f>
        <v>0</v>
      </c>
      <c r="I597" s="67" t="b">
        <f>IF(Tab.11[[#This Row],[a1]]=1,Tab.11[[#This Row],[b1]])</f>
        <v>0</v>
      </c>
      <c r="J597" s="68" t="b">
        <f>IF(Tab.11[[#This Row],[a1]]=1,IF($I$3&lt;0,Tab.11[[#This Row],[b5]]-$I$3,Tab.11[[#This Row],[b5]]))</f>
        <v>0</v>
      </c>
      <c r="K597" s="68" t="b">
        <f>IF(Tab.11[[#This Row],[a1]]=1,IF($K$3=0,Tab.11[b6],Tab.11[[#This Row],[b6]]-AVERAGE(Tab.11[b6])))</f>
        <v>0</v>
      </c>
      <c r="L597" s="69" t="b">
        <f>IF(Tab.11[[#This Row],[a1]]=1,Tab.11[[#This Row],[data]]/(_xlfn.STDEV.P(Tab.11[data])*$B$989)+$A$989)</f>
        <v>0</v>
      </c>
      <c r="M597" s="69" t="b">
        <f>IF(Tab.11[[#This Row],[a1]]=1,Tab.11[[#This Row],[data]]/(_xlfn.STDEV.P(Tab.11[data])*$B$987)-$A$987)</f>
        <v>0</v>
      </c>
      <c r="N597" s="69" t="b">
        <f>IF(Tab.11[[#This Row],[a1]]=1,Tab.11[[#This Row],[data]]/(_xlfn.STDEV.P(Tab.11[data])*$B$988)+$A$988)</f>
        <v>0</v>
      </c>
      <c r="O597" s="70" t="b">
        <f>IF(Tab.11[[#This Row],[a1]]=1,_xlfn.NORM.DIST(Tab.11[[#This Row],[b8]],$P$1,$Q$1,FALSE))</f>
        <v>0</v>
      </c>
      <c r="P597" s="70" t="b">
        <f>IF(Tab.11[[#This Row],[a1]]=1,_xlfn.NORM.DIST(Tab.11[[#This Row],[b9]],$P$1,$Q$1,FALSE))</f>
        <v>0</v>
      </c>
      <c r="Q597" s="70" t="b">
        <f>IF(Tab.11[[#This Row],[a1]]=1,_xlfn.NORM.DIST(Tab.11[[#This Row],[b10]],$P$1,$Q$1,FALSE))</f>
        <v>0</v>
      </c>
      <c r="R597" s="67" t="b">
        <f>IF(Tab.11[[#This Row],[a1]]=1,$I$3+$A$989+IF($K$3=0,Tab.11[[#This Row],[b8]]*_xlfn.STDEV.P(Tab.11[data]),AVERAGE(Tab.11[b6])+Tab.11[[#This Row],[b8]]*_xlfn.STDEV.P(Tab.11[data])))</f>
        <v>0</v>
      </c>
      <c r="S597" s="71" t="b">
        <f>IF(Tab.11[[#This Row],[a1]]=1,$I$3+$A$987+IF($K$3=0,Tab.11[[#This Row],[b9]]*_xlfn.STDEV.P(Tab.11[data]),AVERAGE(Tab.11[b6])+Tab.11[[#This Row],[b9]]*_xlfn.STDEV.P(Tab.11[data])))</f>
        <v>0</v>
      </c>
      <c r="T597" s="71" t="b">
        <f>IF(Tab.11[[#This Row],[a1]]=1,$I$3+$A$988+IF($K$3=0,Tab.11[[#This Row],[b10]]*_xlfn.STDEV.P(Tab.11[data]),AVERAGE(Tab.11[b6])+Tab.11[[#This Row],[b10]]*_xlfn.STDEV.P(Tab.11[data])))</f>
        <v>0</v>
      </c>
      <c r="U597" s="72" t="b">
        <f>IF(Tab.11[[#This Row],[a1]]=1,Tab.11[[#This Row],[target]]-Tab.11[[#This Row],[Red]])</f>
        <v>0</v>
      </c>
      <c r="V597" s="72" t="b">
        <f>IF(Tab.11[[#This Row],[a1]]=1,Tab.11[[#This Row],[target]]-Tab.11[[#This Row],[Blue]])</f>
        <v>0</v>
      </c>
      <c r="W597" s="73" t="b">
        <f>IF(Tab.11[[#This Row],[a1]]=1,IF(ABS(Tab.11[[#This Row],[b17]])+ABS(Tab.11[[#This Row],[b18]])&lt;$W$2,$W$2,ABS(Tab.11[[#This Row],[b17]])+ABS(Tab.11[[#This Row],[b18]])))</f>
        <v>0</v>
      </c>
      <c r="X597" s="136" t="b">
        <f>IF(Tab.11[[#This Row],[a1]]=1,IF($W$3&lt;0,Tab.11[[#This Row],[IN]]-$I$3,Tab.11[[#This Row],[IN]]))</f>
        <v>0</v>
      </c>
      <c r="Y597" s="136" t="b">
        <f>IF(Tab.11[[#This Row],[a1]]=1,IF($X$3=0,Tab.11[b66],Tab.11[[#This Row],[b66]]-AVERAGE(Tab.11[b66])))</f>
        <v>0</v>
      </c>
      <c r="Z597" s="135" t="b">
        <f>IF(Tab.11[[#This Row],[a1]]=1,Tab.11[[#This Row],[b77]]/(_xlfn.STDEV.P(Tab.11[b77])))</f>
        <v>0</v>
      </c>
      <c r="AA597" s="70" t="b">
        <f>IF(Tab.11[[#This Row],[a1]]=1,_xlfn.NORM.DIST(Tab.11[[#This Row],[b88]],$Z$1,$AA$1,FALSE))</f>
        <v>0</v>
      </c>
      <c r="AB597" s="74" t="b">
        <f>IF(Tab.11[[#This Row],[a1]]=1,IF($A$3=0,FALSE,1/Tab.11[[#This Row],[IN]]*$AC$2*IF(Tab.11[[#This Row],[a1]]=0,,$A$3*$AC$1*1/$V$3*(Tab.11[[#This Row],[b14]]))))</f>
        <v>0</v>
      </c>
      <c r="AC597" s="75" t="b">
        <f>IF(Tab.11[[#This Row],[a1]]=1,IF($AC$3=0,Tab.11[[#This Row],[φ1]],Tab.11[[#This Row],[φ1]]/MAX(Tab.11[φ1])))</f>
        <v>0</v>
      </c>
      <c r="AD597" s="74" t="b">
        <f>IF(Tab.11[[#This Row],[a1]]=1,1/Tab.11[[#This Row],[φ2]])</f>
        <v>0</v>
      </c>
      <c r="AE597" s="74" t="b">
        <f>IF(Tab.11[[#This Row],[a1]]=1,IF($AE$3=0,Tab.11[[#This Row],[w.0]],Tab.11[[#This Row],[w.0]]/SUM(Tab.11[w.0])))</f>
        <v>0</v>
      </c>
      <c r="AF597" s="76" t="str">
        <f>IF(Tab.11[[#This Row],[a1]]=0,"false",[3]!Tab.x5[[#This Row],[%_seN_C]])</f>
        <v>false</v>
      </c>
      <c r="AG597" s="77" t="b">
        <f>IF(Tab.11[[#This Row],[a1]]=1,AP597)</f>
        <v>0</v>
      </c>
      <c r="AH597" s="78" t="b">
        <f>IF(Tab.11[[#This Row],[a1]]=1,AQ597)</f>
        <v>0</v>
      </c>
      <c r="AI597" s="41">
        <v>3.0000000000000001E-3</v>
      </c>
      <c r="AJ597" s="79">
        <v>7.0000000000000007E-2</v>
      </c>
      <c r="AK597" s="80" t="b">
        <f>IF(Tab.11[[#This Row],[a1]]=1,1)</f>
        <v>0</v>
      </c>
      <c r="AZ597"/>
    </row>
    <row r="598" spans="1:52" hidden="1" x14ac:dyDescent="0.25">
      <c r="A598" s="61">
        <f t="shared" si="21"/>
        <v>0</v>
      </c>
      <c r="B598" s="62">
        <f t="shared" si="21"/>
        <v>0</v>
      </c>
      <c r="C598" s="62" t="b">
        <f>IF(Tab.11[[#This Row],[a1]]=1,[3]!Tab_x1[[#This Row],[Name]])</f>
        <v>0</v>
      </c>
      <c r="D598" s="63" t="b">
        <f>IF(Tab.11[[#This Row],[a1]]=1,AO598)</f>
        <v>0</v>
      </c>
      <c r="E598" s="63">
        <f t="shared" si="20"/>
        <v>0</v>
      </c>
      <c r="F598" s="64" t="b">
        <f>IF(Tab.11[[#This Row],[a1]]=1,Tab.11[[#This Row],[b1]])</f>
        <v>0</v>
      </c>
      <c r="G598" s="65" t="b">
        <f>IF(Tab.11[[#This Row],[a1]]=1,IF(Tab.11[[#This Row],[b3]]&gt;$L$989*$G$3,$L$989*$G$3,IF(Tab.11[[#This Row],[b3]]&lt;$M$989*$G$3,$M$989*$G$3,Tab.11[[#This Row],[b3]])))</f>
        <v>0</v>
      </c>
      <c r="H598" s="66" t="b">
        <f>IF(Tab.11[[#This Row],[a1]]=1,Tab.11[[#This Row],[b1]])</f>
        <v>0</v>
      </c>
      <c r="I598" s="67" t="b">
        <f>IF(Tab.11[[#This Row],[a1]]=1,Tab.11[[#This Row],[b1]])</f>
        <v>0</v>
      </c>
      <c r="J598" s="68" t="b">
        <f>IF(Tab.11[[#This Row],[a1]]=1,IF($I$3&lt;0,Tab.11[[#This Row],[b5]]-$I$3,Tab.11[[#This Row],[b5]]))</f>
        <v>0</v>
      </c>
      <c r="K598" s="68" t="b">
        <f>IF(Tab.11[[#This Row],[a1]]=1,IF($K$3=0,Tab.11[b6],Tab.11[[#This Row],[b6]]-AVERAGE(Tab.11[b6])))</f>
        <v>0</v>
      </c>
      <c r="L598" s="69" t="b">
        <f>IF(Tab.11[[#This Row],[a1]]=1,Tab.11[[#This Row],[data]]/(_xlfn.STDEV.P(Tab.11[data])*$B$989)+$A$989)</f>
        <v>0</v>
      </c>
      <c r="M598" s="69" t="b">
        <f>IF(Tab.11[[#This Row],[a1]]=1,Tab.11[[#This Row],[data]]/(_xlfn.STDEV.P(Tab.11[data])*$B$987)-$A$987)</f>
        <v>0</v>
      </c>
      <c r="N598" s="69" t="b">
        <f>IF(Tab.11[[#This Row],[a1]]=1,Tab.11[[#This Row],[data]]/(_xlfn.STDEV.P(Tab.11[data])*$B$988)+$A$988)</f>
        <v>0</v>
      </c>
      <c r="O598" s="70" t="b">
        <f>IF(Tab.11[[#This Row],[a1]]=1,_xlfn.NORM.DIST(Tab.11[[#This Row],[b8]],$P$1,$Q$1,FALSE))</f>
        <v>0</v>
      </c>
      <c r="P598" s="70" t="b">
        <f>IF(Tab.11[[#This Row],[a1]]=1,_xlfn.NORM.DIST(Tab.11[[#This Row],[b9]],$P$1,$Q$1,FALSE))</f>
        <v>0</v>
      </c>
      <c r="Q598" s="70" t="b">
        <f>IF(Tab.11[[#This Row],[a1]]=1,_xlfn.NORM.DIST(Tab.11[[#This Row],[b10]],$P$1,$Q$1,FALSE))</f>
        <v>0</v>
      </c>
      <c r="R598" s="67" t="b">
        <f>IF(Tab.11[[#This Row],[a1]]=1,$I$3+$A$989+IF($K$3=0,Tab.11[[#This Row],[b8]]*_xlfn.STDEV.P(Tab.11[data]),AVERAGE(Tab.11[b6])+Tab.11[[#This Row],[b8]]*_xlfn.STDEV.P(Tab.11[data])))</f>
        <v>0</v>
      </c>
      <c r="S598" s="71" t="b">
        <f>IF(Tab.11[[#This Row],[a1]]=1,$I$3+$A$987+IF($K$3=0,Tab.11[[#This Row],[b9]]*_xlfn.STDEV.P(Tab.11[data]),AVERAGE(Tab.11[b6])+Tab.11[[#This Row],[b9]]*_xlfn.STDEV.P(Tab.11[data])))</f>
        <v>0</v>
      </c>
      <c r="T598" s="71" t="b">
        <f>IF(Tab.11[[#This Row],[a1]]=1,$I$3+$A$988+IF($K$3=0,Tab.11[[#This Row],[b10]]*_xlfn.STDEV.P(Tab.11[data]),AVERAGE(Tab.11[b6])+Tab.11[[#This Row],[b10]]*_xlfn.STDEV.P(Tab.11[data])))</f>
        <v>0</v>
      </c>
      <c r="U598" s="72" t="b">
        <f>IF(Tab.11[[#This Row],[a1]]=1,Tab.11[[#This Row],[target]]-Tab.11[[#This Row],[Red]])</f>
        <v>0</v>
      </c>
      <c r="V598" s="72" t="b">
        <f>IF(Tab.11[[#This Row],[a1]]=1,Tab.11[[#This Row],[target]]-Tab.11[[#This Row],[Blue]])</f>
        <v>0</v>
      </c>
      <c r="W598" s="73" t="b">
        <f>IF(Tab.11[[#This Row],[a1]]=1,IF(ABS(Tab.11[[#This Row],[b17]])+ABS(Tab.11[[#This Row],[b18]])&lt;$W$2,$W$2,ABS(Tab.11[[#This Row],[b17]])+ABS(Tab.11[[#This Row],[b18]])))</f>
        <v>0</v>
      </c>
      <c r="X598" s="136" t="b">
        <f>IF(Tab.11[[#This Row],[a1]]=1,IF($W$3&lt;0,Tab.11[[#This Row],[IN]]-$I$3,Tab.11[[#This Row],[IN]]))</f>
        <v>0</v>
      </c>
      <c r="Y598" s="136" t="b">
        <f>IF(Tab.11[[#This Row],[a1]]=1,IF($X$3=0,Tab.11[b66],Tab.11[[#This Row],[b66]]-AVERAGE(Tab.11[b66])))</f>
        <v>0</v>
      </c>
      <c r="Z598" s="135" t="b">
        <f>IF(Tab.11[[#This Row],[a1]]=1,Tab.11[[#This Row],[b77]]/(_xlfn.STDEV.P(Tab.11[b77])))</f>
        <v>0</v>
      </c>
      <c r="AA598" s="70" t="b">
        <f>IF(Tab.11[[#This Row],[a1]]=1,_xlfn.NORM.DIST(Tab.11[[#This Row],[b88]],$Z$1,$AA$1,FALSE))</f>
        <v>0</v>
      </c>
      <c r="AB598" s="74" t="b">
        <f>IF(Tab.11[[#This Row],[a1]]=1,IF($A$3=0,FALSE,1/Tab.11[[#This Row],[IN]]*$AC$2*IF(Tab.11[[#This Row],[a1]]=0,,$A$3*$AC$1*1/$V$3*(Tab.11[[#This Row],[b14]]))))</f>
        <v>0</v>
      </c>
      <c r="AC598" s="75" t="b">
        <f>IF(Tab.11[[#This Row],[a1]]=1,IF($AC$3=0,Tab.11[[#This Row],[φ1]],Tab.11[[#This Row],[φ1]]/MAX(Tab.11[φ1])))</f>
        <v>0</v>
      </c>
      <c r="AD598" s="74" t="b">
        <f>IF(Tab.11[[#This Row],[a1]]=1,1/Tab.11[[#This Row],[φ2]])</f>
        <v>0</v>
      </c>
      <c r="AE598" s="74" t="b">
        <f>IF(Tab.11[[#This Row],[a1]]=1,IF($AE$3=0,Tab.11[[#This Row],[w.0]],Tab.11[[#This Row],[w.0]]/SUM(Tab.11[w.0])))</f>
        <v>0</v>
      </c>
      <c r="AF598" s="76" t="str">
        <f>IF(Tab.11[[#This Row],[a1]]=0,"false",[3]!Tab.x5[[#This Row],[%_seN_C]])</f>
        <v>false</v>
      </c>
      <c r="AG598" s="77" t="b">
        <f>IF(Tab.11[[#This Row],[a1]]=1,AP598)</f>
        <v>0</v>
      </c>
      <c r="AH598" s="78" t="b">
        <f>IF(Tab.11[[#This Row],[a1]]=1,AQ598)</f>
        <v>0</v>
      </c>
      <c r="AI598" s="41">
        <v>3.0000000000000001E-3</v>
      </c>
      <c r="AJ598" s="79">
        <v>0.03</v>
      </c>
      <c r="AK598" s="80" t="b">
        <f>IF(Tab.11[[#This Row],[a1]]=1,1)</f>
        <v>0</v>
      </c>
      <c r="AZ598"/>
    </row>
    <row r="599" spans="1:52" hidden="1" x14ac:dyDescent="0.25">
      <c r="A599" s="61">
        <f t="shared" si="21"/>
        <v>0</v>
      </c>
      <c r="B599" s="62">
        <f t="shared" si="21"/>
        <v>0</v>
      </c>
      <c r="C599" s="62" t="b">
        <f>IF(Tab.11[[#This Row],[a1]]=1,[3]!Tab_x1[[#This Row],[Name]])</f>
        <v>0</v>
      </c>
      <c r="D599" s="63" t="b">
        <f>IF(Tab.11[[#This Row],[a1]]=1,AO599)</f>
        <v>0</v>
      </c>
      <c r="E599" s="63">
        <f t="shared" si="20"/>
        <v>0</v>
      </c>
      <c r="F599" s="64" t="b">
        <f>IF(Tab.11[[#This Row],[a1]]=1,Tab.11[[#This Row],[b1]])</f>
        <v>0</v>
      </c>
      <c r="G599" s="65" t="b">
        <f>IF(Tab.11[[#This Row],[a1]]=1,IF(Tab.11[[#This Row],[b3]]&gt;$L$989*$G$3,$L$989*$G$3,IF(Tab.11[[#This Row],[b3]]&lt;$M$989*$G$3,$M$989*$G$3,Tab.11[[#This Row],[b3]])))</f>
        <v>0</v>
      </c>
      <c r="H599" s="66" t="b">
        <f>IF(Tab.11[[#This Row],[a1]]=1,Tab.11[[#This Row],[b1]])</f>
        <v>0</v>
      </c>
      <c r="I599" s="67" t="b">
        <f>IF(Tab.11[[#This Row],[a1]]=1,Tab.11[[#This Row],[b1]])</f>
        <v>0</v>
      </c>
      <c r="J599" s="68" t="b">
        <f>IF(Tab.11[[#This Row],[a1]]=1,IF($I$3&lt;0,Tab.11[[#This Row],[b5]]-$I$3,Tab.11[[#This Row],[b5]]))</f>
        <v>0</v>
      </c>
      <c r="K599" s="68" t="b">
        <f>IF(Tab.11[[#This Row],[a1]]=1,IF($K$3=0,Tab.11[b6],Tab.11[[#This Row],[b6]]-AVERAGE(Tab.11[b6])))</f>
        <v>0</v>
      </c>
      <c r="L599" s="69" t="b">
        <f>IF(Tab.11[[#This Row],[a1]]=1,Tab.11[[#This Row],[data]]/(_xlfn.STDEV.P(Tab.11[data])*$B$989)+$A$989)</f>
        <v>0</v>
      </c>
      <c r="M599" s="69" t="b">
        <f>IF(Tab.11[[#This Row],[a1]]=1,Tab.11[[#This Row],[data]]/(_xlfn.STDEV.P(Tab.11[data])*$B$987)-$A$987)</f>
        <v>0</v>
      </c>
      <c r="N599" s="69" t="b">
        <f>IF(Tab.11[[#This Row],[a1]]=1,Tab.11[[#This Row],[data]]/(_xlfn.STDEV.P(Tab.11[data])*$B$988)+$A$988)</f>
        <v>0</v>
      </c>
      <c r="O599" s="70" t="b">
        <f>IF(Tab.11[[#This Row],[a1]]=1,_xlfn.NORM.DIST(Tab.11[[#This Row],[b8]],$P$1,$Q$1,FALSE))</f>
        <v>0</v>
      </c>
      <c r="P599" s="70" t="b">
        <f>IF(Tab.11[[#This Row],[a1]]=1,_xlfn.NORM.DIST(Tab.11[[#This Row],[b9]],$P$1,$Q$1,FALSE))</f>
        <v>0</v>
      </c>
      <c r="Q599" s="70" t="b">
        <f>IF(Tab.11[[#This Row],[a1]]=1,_xlfn.NORM.DIST(Tab.11[[#This Row],[b10]],$P$1,$Q$1,FALSE))</f>
        <v>0</v>
      </c>
      <c r="R599" s="67" t="b">
        <f>IF(Tab.11[[#This Row],[a1]]=1,$I$3+$A$989+IF($K$3=0,Tab.11[[#This Row],[b8]]*_xlfn.STDEV.P(Tab.11[data]),AVERAGE(Tab.11[b6])+Tab.11[[#This Row],[b8]]*_xlfn.STDEV.P(Tab.11[data])))</f>
        <v>0</v>
      </c>
      <c r="S599" s="71" t="b">
        <f>IF(Tab.11[[#This Row],[a1]]=1,$I$3+$A$987+IF($K$3=0,Tab.11[[#This Row],[b9]]*_xlfn.STDEV.P(Tab.11[data]),AVERAGE(Tab.11[b6])+Tab.11[[#This Row],[b9]]*_xlfn.STDEV.P(Tab.11[data])))</f>
        <v>0</v>
      </c>
      <c r="T599" s="71" t="b">
        <f>IF(Tab.11[[#This Row],[a1]]=1,$I$3+$A$988+IF($K$3=0,Tab.11[[#This Row],[b10]]*_xlfn.STDEV.P(Tab.11[data]),AVERAGE(Tab.11[b6])+Tab.11[[#This Row],[b10]]*_xlfn.STDEV.P(Tab.11[data])))</f>
        <v>0</v>
      </c>
      <c r="U599" s="72" t="b">
        <f>IF(Tab.11[[#This Row],[a1]]=1,Tab.11[[#This Row],[target]]-Tab.11[[#This Row],[Red]])</f>
        <v>0</v>
      </c>
      <c r="V599" s="72" t="b">
        <f>IF(Tab.11[[#This Row],[a1]]=1,Tab.11[[#This Row],[target]]-Tab.11[[#This Row],[Blue]])</f>
        <v>0</v>
      </c>
      <c r="W599" s="73" t="b">
        <f>IF(Tab.11[[#This Row],[a1]]=1,IF(ABS(Tab.11[[#This Row],[b17]])+ABS(Tab.11[[#This Row],[b18]])&lt;$W$2,$W$2,ABS(Tab.11[[#This Row],[b17]])+ABS(Tab.11[[#This Row],[b18]])))</f>
        <v>0</v>
      </c>
      <c r="X599" s="136" t="b">
        <f>IF(Tab.11[[#This Row],[a1]]=1,IF($W$3&lt;0,Tab.11[[#This Row],[IN]]-$I$3,Tab.11[[#This Row],[IN]]))</f>
        <v>0</v>
      </c>
      <c r="Y599" s="136" t="b">
        <f>IF(Tab.11[[#This Row],[a1]]=1,IF($X$3=0,Tab.11[b66],Tab.11[[#This Row],[b66]]-AVERAGE(Tab.11[b66])))</f>
        <v>0</v>
      </c>
      <c r="Z599" s="135" t="b">
        <f>IF(Tab.11[[#This Row],[a1]]=1,Tab.11[[#This Row],[b77]]/(_xlfn.STDEV.P(Tab.11[b77])))</f>
        <v>0</v>
      </c>
      <c r="AA599" s="70" t="b">
        <f>IF(Tab.11[[#This Row],[a1]]=1,_xlfn.NORM.DIST(Tab.11[[#This Row],[b88]],$Z$1,$AA$1,FALSE))</f>
        <v>0</v>
      </c>
      <c r="AB599" s="74" t="b">
        <f>IF(Tab.11[[#This Row],[a1]]=1,IF($A$3=0,FALSE,1/Tab.11[[#This Row],[IN]]*$AC$2*IF(Tab.11[[#This Row],[a1]]=0,,$A$3*$AC$1*1/$V$3*(Tab.11[[#This Row],[b14]]))))</f>
        <v>0</v>
      </c>
      <c r="AC599" s="75" t="b">
        <f>IF(Tab.11[[#This Row],[a1]]=1,IF($AC$3=0,Tab.11[[#This Row],[φ1]],Tab.11[[#This Row],[φ1]]/MAX(Tab.11[φ1])))</f>
        <v>0</v>
      </c>
      <c r="AD599" s="74" t="b">
        <f>IF(Tab.11[[#This Row],[a1]]=1,1/Tab.11[[#This Row],[φ2]])</f>
        <v>0</v>
      </c>
      <c r="AE599" s="74" t="b">
        <f>IF(Tab.11[[#This Row],[a1]]=1,IF($AE$3=0,Tab.11[[#This Row],[w.0]],Tab.11[[#This Row],[w.0]]/SUM(Tab.11[w.0])))</f>
        <v>0</v>
      </c>
      <c r="AF599" s="76" t="str">
        <f>IF(Tab.11[[#This Row],[a1]]=0,"false",[3]!Tab.x5[[#This Row],[%_seN_C]])</f>
        <v>false</v>
      </c>
      <c r="AG599" s="77" t="b">
        <f>IF(Tab.11[[#This Row],[a1]]=1,AP599)</f>
        <v>0</v>
      </c>
      <c r="AH599" s="78" t="b">
        <f>IF(Tab.11[[#This Row],[a1]]=1,AQ599)</f>
        <v>0</v>
      </c>
      <c r="AI599" s="41">
        <v>3.0000000000000001E-3</v>
      </c>
      <c r="AJ599" s="79">
        <v>-0.02</v>
      </c>
      <c r="AK599" s="80" t="b">
        <f>IF(Tab.11[[#This Row],[a1]]=1,1)</f>
        <v>0</v>
      </c>
      <c r="AZ599"/>
    </row>
    <row r="600" spans="1:52" hidden="1" x14ac:dyDescent="0.25">
      <c r="A600" s="61">
        <f t="shared" si="21"/>
        <v>0</v>
      </c>
      <c r="B600" s="62">
        <f t="shared" si="21"/>
        <v>0</v>
      </c>
      <c r="C600" s="62" t="b">
        <f>IF(Tab.11[[#This Row],[a1]]=1,[3]!Tab_x1[[#This Row],[Name]])</f>
        <v>0</v>
      </c>
      <c r="D600" s="63" t="b">
        <f>IF(Tab.11[[#This Row],[a1]]=1,AO600)</f>
        <v>0</v>
      </c>
      <c r="E600" s="63">
        <f t="shared" si="20"/>
        <v>0</v>
      </c>
      <c r="F600" s="64" t="b">
        <f>IF(Tab.11[[#This Row],[a1]]=1,Tab.11[[#This Row],[b1]])</f>
        <v>0</v>
      </c>
      <c r="G600" s="65" t="b">
        <f>IF(Tab.11[[#This Row],[a1]]=1,IF(Tab.11[[#This Row],[b3]]&gt;$L$989*$G$3,$L$989*$G$3,IF(Tab.11[[#This Row],[b3]]&lt;$M$989*$G$3,$M$989*$G$3,Tab.11[[#This Row],[b3]])))</f>
        <v>0</v>
      </c>
      <c r="H600" s="66" t="b">
        <f>IF(Tab.11[[#This Row],[a1]]=1,Tab.11[[#This Row],[b1]])</f>
        <v>0</v>
      </c>
      <c r="I600" s="67" t="b">
        <f>IF(Tab.11[[#This Row],[a1]]=1,Tab.11[[#This Row],[b1]])</f>
        <v>0</v>
      </c>
      <c r="J600" s="68" t="b">
        <f>IF(Tab.11[[#This Row],[a1]]=1,IF($I$3&lt;0,Tab.11[[#This Row],[b5]]-$I$3,Tab.11[[#This Row],[b5]]))</f>
        <v>0</v>
      </c>
      <c r="K600" s="68" t="b">
        <f>IF(Tab.11[[#This Row],[a1]]=1,IF($K$3=0,Tab.11[b6],Tab.11[[#This Row],[b6]]-AVERAGE(Tab.11[b6])))</f>
        <v>0</v>
      </c>
      <c r="L600" s="69" t="b">
        <f>IF(Tab.11[[#This Row],[a1]]=1,Tab.11[[#This Row],[data]]/(_xlfn.STDEV.P(Tab.11[data])*$B$989)+$A$989)</f>
        <v>0</v>
      </c>
      <c r="M600" s="69" t="b">
        <f>IF(Tab.11[[#This Row],[a1]]=1,Tab.11[[#This Row],[data]]/(_xlfn.STDEV.P(Tab.11[data])*$B$987)-$A$987)</f>
        <v>0</v>
      </c>
      <c r="N600" s="69" t="b">
        <f>IF(Tab.11[[#This Row],[a1]]=1,Tab.11[[#This Row],[data]]/(_xlfn.STDEV.P(Tab.11[data])*$B$988)+$A$988)</f>
        <v>0</v>
      </c>
      <c r="O600" s="70" t="b">
        <f>IF(Tab.11[[#This Row],[a1]]=1,_xlfn.NORM.DIST(Tab.11[[#This Row],[b8]],$P$1,$Q$1,FALSE))</f>
        <v>0</v>
      </c>
      <c r="P600" s="70" t="b">
        <f>IF(Tab.11[[#This Row],[a1]]=1,_xlfn.NORM.DIST(Tab.11[[#This Row],[b9]],$P$1,$Q$1,FALSE))</f>
        <v>0</v>
      </c>
      <c r="Q600" s="70" t="b">
        <f>IF(Tab.11[[#This Row],[a1]]=1,_xlfn.NORM.DIST(Tab.11[[#This Row],[b10]],$P$1,$Q$1,FALSE))</f>
        <v>0</v>
      </c>
      <c r="R600" s="67" t="b">
        <f>IF(Tab.11[[#This Row],[a1]]=1,$I$3+$A$989+IF($K$3=0,Tab.11[[#This Row],[b8]]*_xlfn.STDEV.P(Tab.11[data]),AVERAGE(Tab.11[b6])+Tab.11[[#This Row],[b8]]*_xlfn.STDEV.P(Tab.11[data])))</f>
        <v>0</v>
      </c>
      <c r="S600" s="71" t="b">
        <f>IF(Tab.11[[#This Row],[a1]]=1,$I$3+$A$987+IF($K$3=0,Tab.11[[#This Row],[b9]]*_xlfn.STDEV.P(Tab.11[data]),AVERAGE(Tab.11[b6])+Tab.11[[#This Row],[b9]]*_xlfn.STDEV.P(Tab.11[data])))</f>
        <v>0</v>
      </c>
      <c r="T600" s="71" t="b">
        <f>IF(Tab.11[[#This Row],[a1]]=1,$I$3+$A$988+IF($K$3=0,Tab.11[[#This Row],[b10]]*_xlfn.STDEV.P(Tab.11[data]),AVERAGE(Tab.11[b6])+Tab.11[[#This Row],[b10]]*_xlfn.STDEV.P(Tab.11[data])))</f>
        <v>0</v>
      </c>
      <c r="U600" s="72" t="b">
        <f>IF(Tab.11[[#This Row],[a1]]=1,Tab.11[[#This Row],[target]]-Tab.11[[#This Row],[Red]])</f>
        <v>0</v>
      </c>
      <c r="V600" s="72" t="b">
        <f>IF(Tab.11[[#This Row],[a1]]=1,Tab.11[[#This Row],[target]]-Tab.11[[#This Row],[Blue]])</f>
        <v>0</v>
      </c>
      <c r="W600" s="73" t="b">
        <f>IF(Tab.11[[#This Row],[a1]]=1,IF(ABS(Tab.11[[#This Row],[b17]])+ABS(Tab.11[[#This Row],[b18]])&lt;$W$2,$W$2,ABS(Tab.11[[#This Row],[b17]])+ABS(Tab.11[[#This Row],[b18]])))</f>
        <v>0</v>
      </c>
      <c r="X600" s="136" t="b">
        <f>IF(Tab.11[[#This Row],[a1]]=1,IF($W$3&lt;0,Tab.11[[#This Row],[IN]]-$I$3,Tab.11[[#This Row],[IN]]))</f>
        <v>0</v>
      </c>
      <c r="Y600" s="136" t="b">
        <f>IF(Tab.11[[#This Row],[a1]]=1,IF($X$3=0,Tab.11[b66],Tab.11[[#This Row],[b66]]-AVERAGE(Tab.11[b66])))</f>
        <v>0</v>
      </c>
      <c r="Z600" s="135" t="b">
        <f>IF(Tab.11[[#This Row],[a1]]=1,Tab.11[[#This Row],[b77]]/(_xlfn.STDEV.P(Tab.11[b77])))</f>
        <v>0</v>
      </c>
      <c r="AA600" s="70" t="b">
        <f>IF(Tab.11[[#This Row],[a1]]=1,_xlfn.NORM.DIST(Tab.11[[#This Row],[b88]],$Z$1,$AA$1,FALSE))</f>
        <v>0</v>
      </c>
      <c r="AB600" s="74" t="b">
        <f>IF(Tab.11[[#This Row],[a1]]=1,IF($A$3=0,FALSE,1/Tab.11[[#This Row],[IN]]*$AC$2*IF(Tab.11[[#This Row],[a1]]=0,,$A$3*$AC$1*1/$V$3*(Tab.11[[#This Row],[b14]]))))</f>
        <v>0</v>
      </c>
      <c r="AC600" s="75" t="b">
        <f>IF(Tab.11[[#This Row],[a1]]=1,IF($AC$3=0,Tab.11[[#This Row],[φ1]],Tab.11[[#This Row],[φ1]]/MAX(Tab.11[φ1])))</f>
        <v>0</v>
      </c>
      <c r="AD600" s="74" t="b">
        <f>IF(Tab.11[[#This Row],[a1]]=1,1/Tab.11[[#This Row],[φ2]])</f>
        <v>0</v>
      </c>
      <c r="AE600" s="74" t="b">
        <f>IF(Tab.11[[#This Row],[a1]]=1,IF($AE$3=0,Tab.11[[#This Row],[w.0]],Tab.11[[#This Row],[w.0]]/SUM(Tab.11[w.0])))</f>
        <v>0</v>
      </c>
      <c r="AF600" s="76" t="str">
        <f>IF(Tab.11[[#This Row],[a1]]=0,"false",[3]!Tab.x5[[#This Row],[%_seN_C]])</f>
        <v>false</v>
      </c>
      <c r="AG600" s="77" t="b">
        <f>IF(Tab.11[[#This Row],[a1]]=1,AP600)</f>
        <v>0</v>
      </c>
      <c r="AH600" s="78" t="b">
        <f>IF(Tab.11[[#This Row],[a1]]=1,AQ600)</f>
        <v>0</v>
      </c>
      <c r="AI600" s="41">
        <v>3.0000000000000001E-3</v>
      </c>
      <c r="AJ600" s="79">
        <v>-0.08</v>
      </c>
      <c r="AK600" s="80" t="b">
        <f>IF(Tab.11[[#This Row],[a1]]=1,1)</f>
        <v>0</v>
      </c>
      <c r="AZ600"/>
    </row>
    <row r="601" spans="1:52" hidden="1" x14ac:dyDescent="0.25">
      <c r="A601" s="61">
        <f t="shared" si="21"/>
        <v>0</v>
      </c>
      <c r="B601" s="62">
        <f t="shared" si="21"/>
        <v>0</v>
      </c>
      <c r="C601" s="62" t="b">
        <f>IF(Tab.11[[#This Row],[a1]]=1,[3]!Tab_x1[[#This Row],[Name]])</f>
        <v>0</v>
      </c>
      <c r="D601" s="63" t="b">
        <f>IF(Tab.11[[#This Row],[a1]]=1,AO601)</f>
        <v>0</v>
      </c>
      <c r="E601" s="63">
        <f t="shared" si="20"/>
        <v>0</v>
      </c>
      <c r="F601" s="64" t="b">
        <f>IF(Tab.11[[#This Row],[a1]]=1,Tab.11[[#This Row],[b1]])</f>
        <v>0</v>
      </c>
      <c r="G601" s="65" t="b">
        <f>IF(Tab.11[[#This Row],[a1]]=1,IF(Tab.11[[#This Row],[b3]]&gt;$L$989*$G$3,$L$989*$G$3,IF(Tab.11[[#This Row],[b3]]&lt;$M$989*$G$3,$M$989*$G$3,Tab.11[[#This Row],[b3]])))</f>
        <v>0</v>
      </c>
      <c r="H601" s="66" t="b">
        <f>IF(Tab.11[[#This Row],[a1]]=1,Tab.11[[#This Row],[b1]])</f>
        <v>0</v>
      </c>
      <c r="I601" s="67" t="b">
        <f>IF(Tab.11[[#This Row],[a1]]=1,Tab.11[[#This Row],[b1]])</f>
        <v>0</v>
      </c>
      <c r="J601" s="68" t="b">
        <f>IF(Tab.11[[#This Row],[a1]]=1,IF($I$3&lt;0,Tab.11[[#This Row],[b5]]-$I$3,Tab.11[[#This Row],[b5]]))</f>
        <v>0</v>
      </c>
      <c r="K601" s="68" t="b">
        <f>IF(Tab.11[[#This Row],[a1]]=1,IF($K$3=0,Tab.11[b6],Tab.11[[#This Row],[b6]]-AVERAGE(Tab.11[b6])))</f>
        <v>0</v>
      </c>
      <c r="L601" s="69" t="b">
        <f>IF(Tab.11[[#This Row],[a1]]=1,Tab.11[[#This Row],[data]]/(_xlfn.STDEV.P(Tab.11[data])*$B$989)+$A$989)</f>
        <v>0</v>
      </c>
      <c r="M601" s="69" t="b">
        <f>IF(Tab.11[[#This Row],[a1]]=1,Tab.11[[#This Row],[data]]/(_xlfn.STDEV.P(Tab.11[data])*$B$987)-$A$987)</f>
        <v>0</v>
      </c>
      <c r="N601" s="69" t="b">
        <f>IF(Tab.11[[#This Row],[a1]]=1,Tab.11[[#This Row],[data]]/(_xlfn.STDEV.P(Tab.11[data])*$B$988)+$A$988)</f>
        <v>0</v>
      </c>
      <c r="O601" s="70" t="b">
        <f>IF(Tab.11[[#This Row],[a1]]=1,_xlfn.NORM.DIST(Tab.11[[#This Row],[b8]],$P$1,$Q$1,FALSE))</f>
        <v>0</v>
      </c>
      <c r="P601" s="70" t="b">
        <f>IF(Tab.11[[#This Row],[a1]]=1,_xlfn.NORM.DIST(Tab.11[[#This Row],[b9]],$P$1,$Q$1,FALSE))</f>
        <v>0</v>
      </c>
      <c r="Q601" s="70" t="b">
        <f>IF(Tab.11[[#This Row],[a1]]=1,_xlfn.NORM.DIST(Tab.11[[#This Row],[b10]],$P$1,$Q$1,FALSE))</f>
        <v>0</v>
      </c>
      <c r="R601" s="67" t="b">
        <f>IF(Tab.11[[#This Row],[a1]]=1,$I$3+$A$989+IF($K$3=0,Tab.11[[#This Row],[b8]]*_xlfn.STDEV.P(Tab.11[data]),AVERAGE(Tab.11[b6])+Tab.11[[#This Row],[b8]]*_xlfn.STDEV.P(Tab.11[data])))</f>
        <v>0</v>
      </c>
      <c r="S601" s="71" t="b">
        <f>IF(Tab.11[[#This Row],[a1]]=1,$I$3+$A$987+IF($K$3=0,Tab.11[[#This Row],[b9]]*_xlfn.STDEV.P(Tab.11[data]),AVERAGE(Tab.11[b6])+Tab.11[[#This Row],[b9]]*_xlfn.STDEV.P(Tab.11[data])))</f>
        <v>0</v>
      </c>
      <c r="T601" s="71" t="b">
        <f>IF(Tab.11[[#This Row],[a1]]=1,$I$3+$A$988+IF($K$3=0,Tab.11[[#This Row],[b10]]*_xlfn.STDEV.P(Tab.11[data]),AVERAGE(Tab.11[b6])+Tab.11[[#This Row],[b10]]*_xlfn.STDEV.P(Tab.11[data])))</f>
        <v>0</v>
      </c>
      <c r="U601" s="72" t="b">
        <f>IF(Tab.11[[#This Row],[a1]]=1,Tab.11[[#This Row],[target]]-Tab.11[[#This Row],[Red]])</f>
        <v>0</v>
      </c>
      <c r="V601" s="72" t="b">
        <f>IF(Tab.11[[#This Row],[a1]]=1,Tab.11[[#This Row],[target]]-Tab.11[[#This Row],[Blue]])</f>
        <v>0</v>
      </c>
      <c r="W601" s="73" t="b">
        <f>IF(Tab.11[[#This Row],[a1]]=1,IF(ABS(Tab.11[[#This Row],[b17]])+ABS(Tab.11[[#This Row],[b18]])&lt;$W$2,$W$2,ABS(Tab.11[[#This Row],[b17]])+ABS(Tab.11[[#This Row],[b18]])))</f>
        <v>0</v>
      </c>
      <c r="X601" s="136" t="b">
        <f>IF(Tab.11[[#This Row],[a1]]=1,IF($W$3&lt;0,Tab.11[[#This Row],[IN]]-$I$3,Tab.11[[#This Row],[IN]]))</f>
        <v>0</v>
      </c>
      <c r="Y601" s="136" t="b">
        <f>IF(Tab.11[[#This Row],[a1]]=1,IF($X$3=0,Tab.11[b66],Tab.11[[#This Row],[b66]]-AVERAGE(Tab.11[b66])))</f>
        <v>0</v>
      </c>
      <c r="Z601" s="135" t="b">
        <f>IF(Tab.11[[#This Row],[a1]]=1,Tab.11[[#This Row],[b77]]/(_xlfn.STDEV.P(Tab.11[b77])))</f>
        <v>0</v>
      </c>
      <c r="AA601" s="70" t="b">
        <f>IF(Tab.11[[#This Row],[a1]]=1,_xlfn.NORM.DIST(Tab.11[[#This Row],[b88]],$Z$1,$AA$1,FALSE))</f>
        <v>0</v>
      </c>
      <c r="AB601" s="74" t="b">
        <f>IF(Tab.11[[#This Row],[a1]]=1,IF($A$3=0,FALSE,1/Tab.11[[#This Row],[IN]]*$AC$2*IF(Tab.11[[#This Row],[a1]]=0,,$A$3*$AC$1*1/$V$3*(Tab.11[[#This Row],[b14]]))))</f>
        <v>0</v>
      </c>
      <c r="AC601" s="75" t="b">
        <f>IF(Tab.11[[#This Row],[a1]]=1,IF($AC$3=0,Tab.11[[#This Row],[φ1]],Tab.11[[#This Row],[φ1]]/MAX(Tab.11[φ1])))</f>
        <v>0</v>
      </c>
      <c r="AD601" s="74" t="b">
        <f>IF(Tab.11[[#This Row],[a1]]=1,1/Tab.11[[#This Row],[φ2]])</f>
        <v>0</v>
      </c>
      <c r="AE601" s="74" t="b">
        <f>IF(Tab.11[[#This Row],[a1]]=1,IF($AE$3=0,Tab.11[[#This Row],[w.0]],Tab.11[[#This Row],[w.0]]/SUM(Tab.11[w.0])))</f>
        <v>0</v>
      </c>
      <c r="AF601" s="76" t="str">
        <f>IF(Tab.11[[#This Row],[a1]]=0,"false",[3]!Tab.x5[[#This Row],[%_seN_C]])</f>
        <v>false</v>
      </c>
      <c r="AG601" s="77" t="b">
        <f>IF(Tab.11[[#This Row],[a1]]=1,AP601)</f>
        <v>0</v>
      </c>
      <c r="AH601" s="78" t="b">
        <f>IF(Tab.11[[#This Row],[a1]]=1,AQ601)</f>
        <v>0</v>
      </c>
      <c r="AI601" s="41">
        <v>3.0000000000000001E-3</v>
      </c>
      <c r="AJ601" s="79">
        <v>0.02</v>
      </c>
      <c r="AK601" s="80" t="b">
        <f>IF(Tab.11[[#This Row],[a1]]=1,1)</f>
        <v>0</v>
      </c>
      <c r="AZ601"/>
    </row>
    <row r="602" spans="1:52" hidden="1" x14ac:dyDescent="0.25">
      <c r="A602" s="61">
        <f t="shared" si="21"/>
        <v>0</v>
      </c>
      <c r="B602" s="62">
        <f t="shared" si="21"/>
        <v>0</v>
      </c>
      <c r="C602" s="62" t="b">
        <f>IF(Tab.11[[#This Row],[a1]]=1,[3]!Tab_x1[[#This Row],[Name]])</f>
        <v>0</v>
      </c>
      <c r="D602" s="63" t="b">
        <f>IF(Tab.11[[#This Row],[a1]]=1,AO602)</f>
        <v>0</v>
      </c>
      <c r="E602" s="63">
        <f t="shared" si="20"/>
        <v>0</v>
      </c>
      <c r="F602" s="64" t="b">
        <f>IF(Tab.11[[#This Row],[a1]]=1,Tab.11[[#This Row],[b1]])</f>
        <v>0</v>
      </c>
      <c r="G602" s="65" t="b">
        <f>IF(Tab.11[[#This Row],[a1]]=1,IF(Tab.11[[#This Row],[b3]]&gt;$L$989*$G$3,$L$989*$G$3,IF(Tab.11[[#This Row],[b3]]&lt;$M$989*$G$3,$M$989*$G$3,Tab.11[[#This Row],[b3]])))</f>
        <v>0</v>
      </c>
      <c r="H602" s="66" t="b">
        <f>IF(Tab.11[[#This Row],[a1]]=1,Tab.11[[#This Row],[b1]])</f>
        <v>0</v>
      </c>
      <c r="I602" s="67" t="b">
        <f>IF(Tab.11[[#This Row],[a1]]=1,Tab.11[[#This Row],[b1]])</f>
        <v>0</v>
      </c>
      <c r="J602" s="68" t="b">
        <f>IF(Tab.11[[#This Row],[a1]]=1,IF($I$3&lt;0,Tab.11[[#This Row],[b5]]-$I$3,Tab.11[[#This Row],[b5]]))</f>
        <v>0</v>
      </c>
      <c r="K602" s="68" t="b">
        <f>IF(Tab.11[[#This Row],[a1]]=1,IF($K$3=0,Tab.11[b6],Tab.11[[#This Row],[b6]]-AVERAGE(Tab.11[b6])))</f>
        <v>0</v>
      </c>
      <c r="L602" s="69" t="b">
        <f>IF(Tab.11[[#This Row],[a1]]=1,Tab.11[[#This Row],[data]]/(_xlfn.STDEV.P(Tab.11[data])*$B$989)+$A$989)</f>
        <v>0</v>
      </c>
      <c r="M602" s="69" t="b">
        <f>IF(Tab.11[[#This Row],[a1]]=1,Tab.11[[#This Row],[data]]/(_xlfn.STDEV.P(Tab.11[data])*$B$987)-$A$987)</f>
        <v>0</v>
      </c>
      <c r="N602" s="69" t="b">
        <f>IF(Tab.11[[#This Row],[a1]]=1,Tab.11[[#This Row],[data]]/(_xlfn.STDEV.P(Tab.11[data])*$B$988)+$A$988)</f>
        <v>0</v>
      </c>
      <c r="O602" s="70" t="b">
        <f>IF(Tab.11[[#This Row],[a1]]=1,_xlfn.NORM.DIST(Tab.11[[#This Row],[b8]],$P$1,$Q$1,FALSE))</f>
        <v>0</v>
      </c>
      <c r="P602" s="70" t="b">
        <f>IF(Tab.11[[#This Row],[a1]]=1,_xlfn.NORM.DIST(Tab.11[[#This Row],[b9]],$P$1,$Q$1,FALSE))</f>
        <v>0</v>
      </c>
      <c r="Q602" s="70" t="b">
        <f>IF(Tab.11[[#This Row],[a1]]=1,_xlfn.NORM.DIST(Tab.11[[#This Row],[b10]],$P$1,$Q$1,FALSE))</f>
        <v>0</v>
      </c>
      <c r="R602" s="67" t="b">
        <f>IF(Tab.11[[#This Row],[a1]]=1,$I$3+$A$989+IF($K$3=0,Tab.11[[#This Row],[b8]]*_xlfn.STDEV.P(Tab.11[data]),AVERAGE(Tab.11[b6])+Tab.11[[#This Row],[b8]]*_xlfn.STDEV.P(Tab.11[data])))</f>
        <v>0</v>
      </c>
      <c r="S602" s="71" t="b">
        <f>IF(Tab.11[[#This Row],[a1]]=1,$I$3+$A$987+IF($K$3=0,Tab.11[[#This Row],[b9]]*_xlfn.STDEV.P(Tab.11[data]),AVERAGE(Tab.11[b6])+Tab.11[[#This Row],[b9]]*_xlfn.STDEV.P(Tab.11[data])))</f>
        <v>0</v>
      </c>
      <c r="T602" s="71" t="b">
        <f>IF(Tab.11[[#This Row],[a1]]=1,$I$3+$A$988+IF($K$3=0,Tab.11[[#This Row],[b10]]*_xlfn.STDEV.P(Tab.11[data]),AVERAGE(Tab.11[b6])+Tab.11[[#This Row],[b10]]*_xlfn.STDEV.P(Tab.11[data])))</f>
        <v>0</v>
      </c>
      <c r="U602" s="72" t="b">
        <f>IF(Tab.11[[#This Row],[a1]]=1,Tab.11[[#This Row],[target]]-Tab.11[[#This Row],[Red]])</f>
        <v>0</v>
      </c>
      <c r="V602" s="72" t="b">
        <f>IF(Tab.11[[#This Row],[a1]]=1,Tab.11[[#This Row],[target]]-Tab.11[[#This Row],[Blue]])</f>
        <v>0</v>
      </c>
      <c r="W602" s="73" t="b">
        <f>IF(Tab.11[[#This Row],[a1]]=1,IF(ABS(Tab.11[[#This Row],[b17]])+ABS(Tab.11[[#This Row],[b18]])&lt;$W$2,$W$2,ABS(Tab.11[[#This Row],[b17]])+ABS(Tab.11[[#This Row],[b18]])))</f>
        <v>0</v>
      </c>
      <c r="X602" s="136" t="b">
        <f>IF(Tab.11[[#This Row],[a1]]=1,IF($W$3&lt;0,Tab.11[[#This Row],[IN]]-$I$3,Tab.11[[#This Row],[IN]]))</f>
        <v>0</v>
      </c>
      <c r="Y602" s="136" t="b">
        <f>IF(Tab.11[[#This Row],[a1]]=1,IF($X$3=0,Tab.11[b66],Tab.11[[#This Row],[b66]]-AVERAGE(Tab.11[b66])))</f>
        <v>0</v>
      </c>
      <c r="Z602" s="135" t="b">
        <f>IF(Tab.11[[#This Row],[a1]]=1,Tab.11[[#This Row],[b77]]/(_xlfn.STDEV.P(Tab.11[b77])))</f>
        <v>0</v>
      </c>
      <c r="AA602" s="70" t="b">
        <f>IF(Tab.11[[#This Row],[a1]]=1,_xlfn.NORM.DIST(Tab.11[[#This Row],[b88]],$Z$1,$AA$1,FALSE))</f>
        <v>0</v>
      </c>
      <c r="AB602" s="74" t="b">
        <f>IF(Tab.11[[#This Row],[a1]]=1,IF($A$3=0,FALSE,1/Tab.11[[#This Row],[IN]]*$AC$2*IF(Tab.11[[#This Row],[a1]]=0,,$A$3*$AC$1*1/$V$3*(Tab.11[[#This Row],[b14]]))))</f>
        <v>0</v>
      </c>
      <c r="AC602" s="75" t="b">
        <f>IF(Tab.11[[#This Row],[a1]]=1,IF($AC$3=0,Tab.11[[#This Row],[φ1]],Tab.11[[#This Row],[φ1]]/MAX(Tab.11[φ1])))</f>
        <v>0</v>
      </c>
      <c r="AD602" s="74" t="b">
        <f>IF(Tab.11[[#This Row],[a1]]=1,1/Tab.11[[#This Row],[φ2]])</f>
        <v>0</v>
      </c>
      <c r="AE602" s="74" t="b">
        <f>IF(Tab.11[[#This Row],[a1]]=1,IF($AE$3=0,Tab.11[[#This Row],[w.0]],Tab.11[[#This Row],[w.0]]/SUM(Tab.11[w.0])))</f>
        <v>0</v>
      </c>
      <c r="AF602" s="76" t="str">
        <f>IF(Tab.11[[#This Row],[a1]]=0,"false",[3]!Tab.x5[[#This Row],[%_seN_C]])</f>
        <v>false</v>
      </c>
      <c r="AG602" s="77" t="b">
        <f>IF(Tab.11[[#This Row],[a1]]=1,AP602)</f>
        <v>0</v>
      </c>
      <c r="AH602" s="78" t="b">
        <f>IF(Tab.11[[#This Row],[a1]]=1,AQ602)</f>
        <v>0</v>
      </c>
      <c r="AI602" s="41">
        <v>3.0000000000000001E-3</v>
      </c>
      <c r="AJ602" s="79">
        <v>-0.1</v>
      </c>
      <c r="AK602" s="80" t="b">
        <f>IF(Tab.11[[#This Row],[a1]]=1,1)</f>
        <v>0</v>
      </c>
      <c r="AZ602"/>
    </row>
    <row r="603" spans="1:52" hidden="1" x14ac:dyDescent="0.25">
      <c r="A603" s="61">
        <f t="shared" si="21"/>
        <v>0</v>
      </c>
      <c r="B603" s="62">
        <f t="shared" si="21"/>
        <v>0</v>
      </c>
      <c r="C603" s="62" t="b">
        <f>IF(Tab.11[[#This Row],[a1]]=1,[3]!Tab_x1[[#This Row],[Name]])</f>
        <v>0</v>
      </c>
      <c r="D603" s="63" t="b">
        <f>IF(Tab.11[[#This Row],[a1]]=1,AO603)</f>
        <v>0</v>
      </c>
      <c r="E603" s="63">
        <f t="shared" si="20"/>
        <v>0</v>
      </c>
      <c r="F603" s="64" t="b">
        <f>IF(Tab.11[[#This Row],[a1]]=1,Tab.11[[#This Row],[b1]])</f>
        <v>0</v>
      </c>
      <c r="G603" s="65" t="b">
        <f>IF(Tab.11[[#This Row],[a1]]=1,IF(Tab.11[[#This Row],[b3]]&gt;$L$989*$G$3,$L$989*$G$3,IF(Tab.11[[#This Row],[b3]]&lt;$M$989*$G$3,$M$989*$G$3,Tab.11[[#This Row],[b3]])))</f>
        <v>0</v>
      </c>
      <c r="H603" s="66" t="b">
        <f>IF(Tab.11[[#This Row],[a1]]=1,Tab.11[[#This Row],[b1]])</f>
        <v>0</v>
      </c>
      <c r="I603" s="67" t="b">
        <f>IF(Tab.11[[#This Row],[a1]]=1,Tab.11[[#This Row],[b1]])</f>
        <v>0</v>
      </c>
      <c r="J603" s="68" t="b">
        <f>IF(Tab.11[[#This Row],[a1]]=1,IF($I$3&lt;0,Tab.11[[#This Row],[b5]]-$I$3,Tab.11[[#This Row],[b5]]))</f>
        <v>0</v>
      </c>
      <c r="K603" s="68" t="b">
        <f>IF(Tab.11[[#This Row],[a1]]=1,IF($K$3=0,Tab.11[b6],Tab.11[[#This Row],[b6]]-AVERAGE(Tab.11[b6])))</f>
        <v>0</v>
      </c>
      <c r="L603" s="69" t="b">
        <f>IF(Tab.11[[#This Row],[a1]]=1,Tab.11[[#This Row],[data]]/(_xlfn.STDEV.P(Tab.11[data])*$B$989)+$A$989)</f>
        <v>0</v>
      </c>
      <c r="M603" s="69" t="b">
        <f>IF(Tab.11[[#This Row],[a1]]=1,Tab.11[[#This Row],[data]]/(_xlfn.STDEV.P(Tab.11[data])*$B$987)-$A$987)</f>
        <v>0</v>
      </c>
      <c r="N603" s="69" t="b">
        <f>IF(Tab.11[[#This Row],[a1]]=1,Tab.11[[#This Row],[data]]/(_xlfn.STDEV.P(Tab.11[data])*$B$988)+$A$988)</f>
        <v>0</v>
      </c>
      <c r="O603" s="70" t="b">
        <f>IF(Tab.11[[#This Row],[a1]]=1,_xlfn.NORM.DIST(Tab.11[[#This Row],[b8]],$P$1,$Q$1,FALSE))</f>
        <v>0</v>
      </c>
      <c r="P603" s="70" t="b">
        <f>IF(Tab.11[[#This Row],[a1]]=1,_xlfn.NORM.DIST(Tab.11[[#This Row],[b9]],$P$1,$Q$1,FALSE))</f>
        <v>0</v>
      </c>
      <c r="Q603" s="70" t="b">
        <f>IF(Tab.11[[#This Row],[a1]]=1,_xlfn.NORM.DIST(Tab.11[[#This Row],[b10]],$P$1,$Q$1,FALSE))</f>
        <v>0</v>
      </c>
      <c r="R603" s="67" t="b">
        <f>IF(Tab.11[[#This Row],[a1]]=1,$I$3+$A$989+IF($K$3=0,Tab.11[[#This Row],[b8]]*_xlfn.STDEV.P(Tab.11[data]),AVERAGE(Tab.11[b6])+Tab.11[[#This Row],[b8]]*_xlfn.STDEV.P(Tab.11[data])))</f>
        <v>0</v>
      </c>
      <c r="S603" s="71" t="b">
        <f>IF(Tab.11[[#This Row],[a1]]=1,$I$3+$A$987+IF($K$3=0,Tab.11[[#This Row],[b9]]*_xlfn.STDEV.P(Tab.11[data]),AVERAGE(Tab.11[b6])+Tab.11[[#This Row],[b9]]*_xlfn.STDEV.P(Tab.11[data])))</f>
        <v>0</v>
      </c>
      <c r="T603" s="71" t="b">
        <f>IF(Tab.11[[#This Row],[a1]]=1,$I$3+$A$988+IF($K$3=0,Tab.11[[#This Row],[b10]]*_xlfn.STDEV.P(Tab.11[data]),AVERAGE(Tab.11[b6])+Tab.11[[#This Row],[b10]]*_xlfn.STDEV.P(Tab.11[data])))</f>
        <v>0</v>
      </c>
      <c r="U603" s="72" t="b">
        <f>IF(Tab.11[[#This Row],[a1]]=1,Tab.11[[#This Row],[target]]-Tab.11[[#This Row],[Red]])</f>
        <v>0</v>
      </c>
      <c r="V603" s="72" t="b">
        <f>IF(Tab.11[[#This Row],[a1]]=1,Tab.11[[#This Row],[target]]-Tab.11[[#This Row],[Blue]])</f>
        <v>0</v>
      </c>
      <c r="W603" s="73" t="b">
        <f>IF(Tab.11[[#This Row],[a1]]=1,IF(ABS(Tab.11[[#This Row],[b17]])+ABS(Tab.11[[#This Row],[b18]])&lt;$W$2,$W$2,ABS(Tab.11[[#This Row],[b17]])+ABS(Tab.11[[#This Row],[b18]])))</f>
        <v>0</v>
      </c>
      <c r="X603" s="136" t="b">
        <f>IF(Tab.11[[#This Row],[a1]]=1,IF($W$3&lt;0,Tab.11[[#This Row],[IN]]-$I$3,Tab.11[[#This Row],[IN]]))</f>
        <v>0</v>
      </c>
      <c r="Y603" s="136" t="b">
        <f>IF(Tab.11[[#This Row],[a1]]=1,IF($X$3=0,Tab.11[b66],Tab.11[[#This Row],[b66]]-AVERAGE(Tab.11[b66])))</f>
        <v>0</v>
      </c>
      <c r="Z603" s="135" t="b">
        <f>IF(Tab.11[[#This Row],[a1]]=1,Tab.11[[#This Row],[b77]]/(_xlfn.STDEV.P(Tab.11[b77])))</f>
        <v>0</v>
      </c>
      <c r="AA603" s="70" t="b">
        <f>IF(Tab.11[[#This Row],[a1]]=1,_xlfn.NORM.DIST(Tab.11[[#This Row],[b88]],$Z$1,$AA$1,FALSE))</f>
        <v>0</v>
      </c>
      <c r="AB603" s="74" t="b">
        <f>IF(Tab.11[[#This Row],[a1]]=1,IF($A$3=0,FALSE,1/Tab.11[[#This Row],[IN]]*$AC$2*IF(Tab.11[[#This Row],[a1]]=0,,$A$3*$AC$1*1/$V$3*(Tab.11[[#This Row],[b14]]))))</f>
        <v>0</v>
      </c>
      <c r="AC603" s="75" t="b">
        <f>IF(Tab.11[[#This Row],[a1]]=1,IF($AC$3=0,Tab.11[[#This Row],[φ1]],Tab.11[[#This Row],[φ1]]/MAX(Tab.11[φ1])))</f>
        <v>0</v>
      </c>
      <c r="AD603" s="74" t="b">
        <f>IF(Tab.11[[#This Row],[a1]]=1,1/Tab.11[[#This Row],[φ2]])</f>
        <v>0</v>
      </c>
      <c r="AE603" s="74" t="b">
        <f>IF(Tab.11[[#This Row],[a1]]=1,IF($AE$3=0,Tab.11[[#This Row],[w.0]],Tab.11[[#This Row],[w.0]]/SUM(Tab.11[w.0])))</f>
        <v>0</v>
      </c>
      <c r="AF603" s="76" t="str">
        <f>IF(Tab.11[[#This Row],[a1]]=0,"false",[3]!Tab.x5[[#This Row],[%_seN_C]])</f>
        <v>false</v>
      </c>
      <c r="AG603" s="77" t="b">
        <f>IF(Tab.11[[#This Row],[a1]]=1,AP603)</f>
        <v>0</v>
      </c>
      <c r="AH603" s="78" t="b">
        <f>IF(Tab.11[[#This Row],[a1]]=1,AQ603)</f>
        <v>0</v>
      </c>
      <c r="AI603" s="41">
        <v>3.0000000000000001E-3</v>
      </c>
      <c r="AJ603" s="79">
        <v>-0.05</v>
      </c>
      <c r="AK603" s="80" t="b">
        <f>IF(Tab.11[[#This Row],[a1]]=1,1)</f>
        <v>0</v>
      </c>
      <c r="AZ603"/>
    </row>
    <row r="604" spans="1:52" hidden="1" x14ac:dyDescent="0.25">
      <c r="A604" s="61">
        <f t="shared" si="21"/>
        <v>0</v>
      </c>
      <c r="B604" s="62">
        <f t="shared" si="21"/>
        <v>0</v>
      </c>
      <c r="C604" s="62" t="b">
        <f>IF(Tab.11[[#This Row],[a1]]=1,[3]!Tab_x1[[#This Row],[Name]])</f>
        <v>0</v>
      </c>
      <c r="D604" s="63" t="b">
        <f>IF(Tab.11[[#This Row],[a1]]=1,AO604)</f>
        <v>0</v>
      </c>
      <c r="E604" s="63">
        <f t="shared" si="20"/>
        <v>0</v>
      </c>
      <c r="F604" s="64" t="b">
        <f>IF(Tab.11[[#This Row],[a1]]=1,Tab.11[[#This Row],[b1]])</f>
        <v>0</v>
      </c>
      <c r="G604" s="65" t="b">
        <f>IF(Tab.11[[#This Row],[a1]]=1,IF(Tab.11[[#This Row],[b3]]&gt;$L$989*$G$3,$L$989*$G$3,IF(Tab.11[[#This Row],[b3]]&lt;$M$989*$G$3,$M$989*$G$3,Tab.11[[#This Row],[b3]])))</f>
        <v>0</v>
      </c>
      <c r="H604" s="66" t="b">
        <f>IF(Tab.11[[#This Row],[a1]]=1,Tab.11[[#This Row],[b1]])</f>
        <v>0</v>
      </c>
      <c r="I604" s="67" t="b">
        <f>IF(Tab.11[[#This Row],[a1]]=1,Tab.11[[#This Row],[b1]])</f>
        <v>0</v>
      </c>
      <c r="J604" s="68" t="b">
        <f>IF(Tab.11[[#This Row],[a1]]=1,IF($I$3&lt;0,Tab.11[[#This Row],[b5]]-$I$3,Tab.11[[#This Row],[b5]]))</f>
        <v>0</v>
      </c>
      <c r="K604" s="68" t="b">
        <f>IF(Tab.11[[#This Row],[a1]]=1,IF($K$3=0,Tab.11[b6],Tab.11[[#This Row],[b6]]-AVERAGE(Tab.11[b6])))</f>
        <v>0</v>
      </c>
      <c r="L604" s="69" t="b">
        <f>IF(Tab.11[[#This Row],[a1]]=1,Tab.11[[#This Row],[data]]/(_xlfn.STDEV.P(Tab.11[data])*$B$989)+$A$989)</f>
        <v>0</v>
      </c>
      <c r="M604" s="69" t="b">
        <f>IF(Tab.11[[#This Row],[a1]]=1,Tab.11[[#This Row],[data]]/(_xlfn.STDEV.P(Tab.11[data])*$B$987)-$A$987)</f>
        <v>0</v>
      </c>
      <c r="N604" s="69" t="b">
        <f>IF(Tab.11[[#This Row],[a1]]=1,Tab.11[[#This Row],[data]]/(_xlfn.STDEV.P(Tab.11[data])*$B$988)+$A$988)</f>
        <v>0</v>
      </c>
      <c r="O604" s="70" t="b">
        <f>IF(Tab.11[[#This Row],[a1]]=1,_xlfn.NORM.DIST(Tab.11[[#This Row],[b8]],$P$1,$Q$1,FALSE))</f>
        <v>0</v>
      </c>
      <c r="P604" s="70" t="b">
        <f>IF(Tab.11[[#This Row],[a1]]=1,_xlfn.NORM.DIST(Tab.11[[#This Row],[b9]],$P$1,$Q$1,FALSE))</f>
        <v>0</v>
      </c>
      <c r="Q604" s="70" t="b">
        <f>IF(Tab.11[[#This Row],[a1]]=1,_xlfn.NORM.DIST(Tab.11[[#This Row],[b10]],$P$1,$Q$1,FALSE))</f>
        <v>0</v>
      </c>
      <c r="R604" s="67" t="b">
        <f>IF(Tab.11[[#This Row],[a1]]=1,$I$3+$A$989+IF($K$3=0,Tab.11[[#This Row],[b8]]*_xlfn.STDEV.P(Tab.11[data]),AVERAGE(Tab.11[b6])+Tab.11[[#This Row],[b8]]*_xlfn.STDEV.P(Tab.11[data])))</f>
        <v>0</v>
      </c>
      <c r="S604" s="71" t="b">
        <f>IF(Tab.11[[#This Row],[a1]]=1,$I$3+$A$987+IF($K$3=0,Tab.11[[#This Row],[b9]]*_xlfn.STDEV.P(Tab.11[data]),AVERAGE(Tab.11[b6])+Tab.11[[#This Row],[b9]]*_xlfn.STDEV.P(Tab.11[data])))</f>
        <v>0</v>
      </c>
      <c r="T604" s="71" t="b">
        <f>IF(Tab.11[[#This Row],[a1]]=1,$I$3+$A$988+IF($K$3=0,Tab.11[[#This Row],[b10]]*_xlfn.STDEV.P(Tab.11[data]),AVERAGE(Tab.11[b6])+Tab.11[[#This Row],[b10]]*_xlfn.STDEV.P(Tab.11[data])))</f>
        <v>0</v>
      </c>
      <c r="U604" s="72" t="b">
        <f>IF(Tab.11[[#This Row],[a1]]=1,Tab.11[[#This Row],[target]]-Tab.11[[#This Row],[Red]])</f>
        <v>0</v>
      </c>
      <c r="V604" s="72" t="b">
        <f>IF(Tab.11[[#This Row],[a1]]=1,Tab.11[[#This Row],[target]]-Tab.11[[#This Row],[Blue]])</f>
        <v>0</v>
      </c>
      <c r="W604" s="73" t="b">
        <f>IF(Tab.11[[#This Row],[a1]]=1,IF(ABS(Tab.11[[#This Row],[b17]])+ABS(Tab.11[[#This Row],[b18]])&lt;$W$2,$W$2,ABS(Tab.11[[#This Row],[b17]])+ABS(Tab.11[[#This Row],[b18]])))</f>
        <v>0</v>
      </c>
      <c r="X604" s="136" t="b">
        <f>IF(Tab.11[[#This Row],[a1]]=1,IF($W$3&lt;0,Tab.11[[#This Row],[IN]]-$I$3,Tab.11[[#This Row],[IN]]))</f>
        <v>0</v>
      </c>
      <c r="Y604" s="136" t="b">
        <f>IF(Tab.11[[#This Row],[a1]]=1,IF($X$3=0,Tab.11[b66],Tab.11[[#This Row],[b66]]-AVERAGE(Tab.11[b66])))</f>
        <v>0</v>
      </c>
      <c r="Z604" s="135" t="b">
        <f>IF(Tab.11[[#This Row],[a1]]=1,Tab.11[[#This Row],[b77]]/(_xlfn.STDEV.P(Tab.11[b77])))</f>
        <v>0</v>
      </c>
      <c r="AA604" s="70" t="b">
        <f>IF(Tab.11[[#This Row],[a1]]=1,_xlfn.NORM.DIST(Tab.11[[#This Row],[b88]],$Z$1,$AA$1,FALSE))</f>
        <v>0</v>
      </c>
      <c r="AB604" s="74" t="b">
        <f>IF(Tab.11[[#This Row],[a1]]=1,IF($A$3=0,FALSE,1/Tab.11[[#This Row],[IN]]*$AC$2*IF(Tab.11[[#This Row],[a1]]=0,,$A$3*$AC$1*1/$V$3*(Tab.11[[#This Row],[b14]]))))</f>
        <v>0</v>
      </c>
      <c r="AC604" s="75" t="b">
        <f>IF(Tab.11[[#This Row],[a1]]=1,IF($AC$3=0,Tab.11[[#This Row],[φ1]],Tab.11[[#This Row],[φ1]]/MAX(Tab.11[φ1])))</f>
        <v>0</v>
      </c>
      <c r="AD604" s="74" t="b">
        <f>IF(Tab.11[[#This Row],[a1]]=1,1/Tab.11[[#This Row],[φ2]])</f>
        <v>0</v>
      </c>
      <c r="AE604" s="74" t="b">
        <f>IF(Tab.11[[#This Row],[a1]]=1,IF($AE$3=0,Tab.11[[#This Row],[w.0]],Tab.11[[#This Row],[w.0]]/SUM(Tab.11[w.0])))</f>
        <v>0</v>
      </c>
      <c r="AF604" s="76" t="str">
        <f>IF(Tab.11[[#This Row],[a1]]=0,"false",[3]!Tab.x5[[#This Row],[%_seN_C]])</f>
        <v>false</v>
      </c>
      <c r="AG604" s="77" t="b">
        <f>IF(Tab.11[[#This Row],[a1]]=1,AP604)</f>
        <v>0</v>
      </c>
      <c r="AH604" s="78" t="b">
        <f>IF(Tab.11[[#This Row],[a1]]=1,AQ604)</f>
        <v>0</v>
      </c>
      <c r="AI604" s="41">
        <v>3.0000000000000001E-3</v>
      </c>
      <c r="AJ604" s="79">
        <v>0.06</v>
      </c>
      <c r="AK604" s="80" t="b">
        <f>IF(Tab.11[[#This Row],[a1]]=1,1)</f>
        <v>0</v>
      </c>
      <c r="AZ604"/>
    </row>
    <row r="605" spans="1:52" hidden="1" x14ac:dyDescent="0.25">
      <c r="A605" s="61">
        <f t="shared" si="21"/>
        <v>0</v>
      </c>
      <c r="B605" s="62">
        <f t="shared" si="21"/>
        <v>0</v>
      </c>
      <c r="C605" s="62" t="b">
        <f>IF(Tab.11[[#This Row],[a1]]=1,[3]!Tab_x1[[#This Row],[Name]])</f>
        <v>0</v>
      </c>
      <c r="D605" s="63" t="b">
        <f>IF(Tab.11[[#This Row],[a1]]=1,AO605)</f>
        <v>0</v>
      </c>
      <c r="E605" s="63">
        <f t="shared" si="20"/>
        <v>0</v>
      </c>
      <c r="F605" s="64" t="b">
        <f>IF(Tab.11[[#This Row],[a1]]=1,Tab.11[[#This Row],[b1]])</f>
        <v>0</v>
      </c>
      <c r="G605" s="65" t="b">
        <f>IF(Tab.11[[#This Row],[a1]]=1,IF(Tab.11[[#This Row],[b3]]&gt;$L$989*$G$3,$L$989*$G$3,IF(Tab.11[[#This Row],[b3]]&lt;$M$989*$G$3,$M$989*$G$3,Tab.11[[#This Row],[b3]])))</f>
        <v>0</v>
      </c>
      <c r="H605" s="66" t="b">
        <f>IF(Tab.11[[#This Row],[a1]]=1,Tab.11[[#This Row],[b1]])</f>
        <v>0</v>
      </c>
      <c r="I605" s="67" t="b">
        <f>IF(Tab.11[[#This Row],[a1]]=1,Tab.11[[#This Row],[b1]])</f>
        <v>0</v>
      </c>
      <c r="J605" s="68" t="b">
        <f>IF(Tab.11[[#This Row],[a1]]=1,IF($I$3&lt;0,Tab.11[[#This Row],[b5]]-$I$3,Tab.11[[#This Row],[b5]]))</f>
        <v>0</v>
      </c>
      <c r="K605" s="68" t="b">
        <f>IF(Tab.11[[#This Row],[a1]]=1,IF($K$3=0,Tab.11[b6],Tab.11[[#This Row],[b6]]-AVERAGE(Tab.11[b6])))</f>
        <v>0</v>
      </c>
      <c r="L605" s="69" t="b">
        <f>IF(Tab.11[[#This Row],[a1]]=1,Tab.11[[#This Row],[data]]/(_xlfn.STDEV.P(Tab.11[data])*$B$989)+$A$989)</f>
        <v>0</v>
      </c>
      <c r="M605" s="69" t="b">
        <f>IF(Tab.11[[#This Row],[a1]]=1,Tab.11[[#This Row],[data]]/(_xlfn.STDEV.P(Tab.11[data])*$B$987)-$A$987)</f>
        <v>0</v>
      </c>
      <c r="N605" s="69" t="b">
        <f>IF(Tab.11[[#This Row],[a1]]=1,Tab.11[[#This Row],[data]]/(_xlfn.STDEV.P(Tab.11[data])*$B$988)+$A$988)</f>
        <v>0</v>
      </c>
      <c r="O605" s="70" t="b">
        <f>IF(Tab.11[[#This Row],[a1]]=1,_xlfn.NORM.DIST(Tab.11[[#This Row],[b8]],$P$1,$Q$1,FALSE))</f>
        <v>0</v>
      </c>
      <c r="P605" s="70" t="b">
        <f>IF(Tab.11[[#This Row],[a1]]=1,_xlfn.NORM.DIST(Tab.11[[#This Row],[b9]],$P$1,$Q$1,FALSE))</f>
        <v>0</v>
      </c>
      <c r="Q605" s="70" t="b">
        <f>IF(Tab.11[[#This Row],[a1]]=1,_xlfn.NORM.DIST(Tab.11[[#This Row],[b10]],$P$1,$Q$1,FALSE))</f>
        <v>0</v>
      </c>
      <c r="R605" s="67" t="b">
        <f>IF(Tab.11[[#This Row],[a1]]=1,$I$3+$A$989+IF($K$3=0,Tab.11[[#This Row],[b8]]*_xlfn.STDEV.P(Tab.11[data]),AVERAGE(Tab.11[b6])+Tab.11[[#This Row],[b8]]*_xlfn.STDEV.P(Tab.11[data])))</f>
        <v>0</v>
      </c>
      <c r="S605" s="71" t="b">
        <f>IF(Tab.11[[#This Row],[a1]]=1,$I$3+$A$987+IF($K$3=0,Tab.11[[#This Row],[b9]]*_xlfn.STDEV.P(Tab.11[data]),AVERAGE(Tab.11[b6])+Tab.11[[#This Row],[b9]]*_xlfn.STDEV.P(Tab.11[data])))</f>
        <v>0</v>
      </c>
      <c r="T605" s="71" t="b">
        <f>IF(Tab.11[[#This Row],[a1]]=1,$I$3+$A$988+IF($K$3=0,Tab.11[[#This Row],[b10]]*_xlfn.STDEV.P(Tab.11[data]),AVERAGE(Tab.11[b6])+Tab.11[[#This Row],[b10]]*_xlfn.STDEV.P(Tab.11[data])))</f>
        <v>0</v>
      </c>
      <c r="U605" s="72" t="b">
        <f>IF(Tab.11[[#This Row],[a1]]=1,Tab.11[[#This Row],[target]]-Tab.11[[#This Row],[Red]])</f>
        <v>0</v>
      </c>
      <c r="V605" s="72" t="b">
        <f>IF(Tab.11[[#This Row],[a1]]=1,Tab.11[[#This Row],[target]]-Tab.11[[#This Row],[Blue]])</f>
        <v>0</v>
      </c>
      <c r="W605" s="73" t="b">
        <f>IF(Tab.11[[#This Row],[a1]]=1,IF(ABS(Tab.11[[#This Row],[b17]])+ABS(Tab.11[[#This Row],[b18]])&lt;$W$2,$W$2,ABS(Tab.11[[#This Row],[b17]])+ABS(Tab.11[[#This Row],[b18]])))</f>
        <v>0</v>
      </c>
      <c r="X605" s="136" t="b">
        <f>IF(Tab.11[[#This Row],[a1]]=1,IF($W$3&lt;0,Tab.11[[#This Row],[IN]]-$I$3,Tab.11[[#This Row],[IN]]))</f>
        <v>0</v>
      </c>
      <c r="Y605" s="136" t="b">
        <f>IF(Tab.11[[#This Row],[a1]]=1,IF($X$3=0,Tab.11[b66],Tab.11[[#This Row],[b66]]-AVERAGE(Tab.11[b66])))</f>
        <v>0</v>
      </c>
      <c r="Z605" s="135" t="b">
        <f>IF(Tab.11[[#This Row],[a1]]=1,Tab.11[[#This Row],[b77]]/(_xlfn.STDEV.P(Tab.11[b77])))</f>
        <v>0</v>
      </c>
      <c r="AA605" s="70" t="b">
        <f>IF(Tab.11[[#This Row],[a1]]=1,_xlfn.NORM.DIST(Tab.11[[#This Row],[b88]],$Z$1,$AA$1,FALSE))</f>
        <v>0</v>
      </c>
      <c r="AB605" s="74" t="b">
        <f>IF(Tab.11[[#This Row],[a1]]=1,IF($A$3=0,FALSE,1/Tab.11[[#This Row],[IN]]*$AC$2*IF(Tab.11[[#This Row],[a1]]=0,,$A$3*$AC$1*1/$V$3*(Tab.11[[#This Row],[b14]]))))</f>
        <v>0</v>
      </c>
      <c r="AC605" s="75" t="b">
        <f>IF(Tab.11[[#This Row],[a1]]=1,IF($AC$3=0,Tab.11[[#This Row],[φ1]],Tab.11[[#This Row],[φ1]]/MAX(Tab.11[φ1])))</f>
        <v>0</v>
      </c>
      <c r="AD605" s="74" t="b">
        <f>IF(Tab.11[[#This Row],[a1]]=1,1/Tab.11[[#This Row],[φ2]])</f>
        <v>0</v>
      </c>
      <c r="AE605" s="74" t="b">
        <f>IF(Tab.11[[#This Row],[a1]]=1,IF($AE$3=0,Tab.11[[#This Row],[w.0]],Tab.11[[#This Row],[w.0]]/SUM(Tab.11[w.0])))</f>
        <v>0</v>
      </c>
      <c r="AF605" s="76" t="str">
        <f>IF(Tab.11[[#This Row],[a1]]=0,"false",[3]!Tab.x5[[#This Row],[%_seN_C]])</f>
        <v>false</v>
      </c>
      <c r="AG605" s="77" t="b">
        <f>IF(Tab.11[[#This Row],[a1]]=1,AP605)</f>
        <v>0</v>
      </c>
      <c r="AH605" s="78" t="b">
        <f>IF(Tab.11[[#This Row],[a1]]=1,AQ605)</f>
        <v>0</v>
      </c>
      <c r="AI605" s="41">
        <v>3.0000000000000001E-3</v>
      </c>
      <c r="AJ605" s="79">
        <v>0.08</v>
      </c>
      <c r="AK605" s="80" t="b">
        <f>IF(Tab.11[[#This Row],[a1]]=1,1)</f>
        <v>0</v>
      </c>
      <c r="AZ605"/>
    </row>
    <row r="606" spans="1:52" hidden="1" x14ac:dyDescent="0.25">
      <c r="A606" s="61">
        <f t="shared" si="21"/>
        <v>0</v>
      </c>
      <c r="B606" s="62">
        <f t="shared" si="21"/>
        <v>0</v>
      </c>
      <c r="C606" s="62" t="b">
        <f>IF(Tab.11[[#This Row],[a1]]=1,[3]!Tab_x1[[#This Row],[Name]])</f>
        <v>0</v>
      </c>
      <c r="D606" s="63" t="b">
        <f>IF(Tab.11[[#This Row],[a1]]=1,AO606)</f>
        <v>0</v>
      </c>
      <c r="E606" s="63">
        <f t="shared" si="20"/>
        <v>0</v>
      </c>
      <c r="F606" s="64" t="b">
        <f>IF(Tab.11[[#This Row],[a1]]=1,Tab.11[[#This Row],[b1]])</f>
        <v>0</v>
      </c>
      <c r="G606" s="65" t="b">
        <f>IF(Tab.11[[#This Row],[a1]]=1,IF(Tab.11[[#This Row],[b3]]&gt;$L$989*$G$3,$L$989*$G$3,IF(Tab.11[[#This Row],[b3]]&lt;$M$989*$G$3,$M$989*$G$3,Tab.11[[#This Row],[b3]])))</f>
        <v>0</v>
      </c>
      <c r="H606" s="66" t="b">
        <f>IF(Tab.11[[#This Row],[a1]]=1,Tab.11[[#This Row],[b1]])</f>
        <v>0</v>
      </c>
      <c r="I606" s="67" t="b">
        <f>IF(Tab.11[[#This Row],[a1]]=1,Tab.11[[#This Row],[b1]])</f>
        <v>0</v>
      </c>
      <c r="J606" s="68" t="b">
        <f>IF(Tab.11[[#This Row],[a1]]=1,IF($I$3&lt;0,Tab.11[[#This Row],[b5]]-$I$3,Tab.11[[#This Row],[b5]]))</f>
        <v>0</v>
      </c>
      <c r="K606" s="68" t="b">
        <f>IF(Tab.11[[#This Row],[a1]]=1,IF($K$3=0,Tab.11[b6],Tab.11[[#This Row],[b6]]-AVERAGE(Tab.11[b6])))</f>
        <v>0</v>
      </c>
      <c r="L606" s="69" t="b">
        <f>IF(Tab.11[[#This Row],[a1]]=1,Tab.11[[#This Row],[data]]/(_xlfn.STDEV.P(Tab.11[data])*$B$989)+$A$989)</f>
        <v>0</v>
      </c>
      <c r="M606" s="69" t="b">
        <f>IF(Tab.11[[#This Row],[a1]]=1,Tab.11[[#This Row],[data]]/(_xlfn.STDEV.P(Tab.11[data])*$B$987)-$A$987)</f>
        <v>0</v>
      </c>
      <c r="N606" s="69" t="b">
        <f>IF(Tab.11[[#This Row],[a1]]=1,Tab.11[[#This Row],[data]]/(_xlfn.STDEV.P(Tab.11[data])*$B$988)+$A$988)</f>
        <v>0</v>
      </c>
      <c r="O606" s="70" t="b">
        <f>IF(Tab.11[[#This Row],[a1]]=1,_xlfn.NORM.DIST(Tab.11[[#This Row],[b8]],$P$1,$Q$1,FALSE))</f>
        <v>0</v>
      </c>
      <c r="P606" s="70" t="b">
        <f>IF(Tab.11[[#This Row],[a1]]=1,_xlfn.NORM.DIST(Tab.11[[#This Row],[b9]],$P$1,$Q$1,FALSE))</f>
        <v>0</v>
      </c>
      <c r="Q606" s="70" t="b">
        <f>IF(Tab.11[[#This Row],[a1]]=1,_xlfn.NORM.DIST(Tab.11[[#This Row],[b10]],$P$1,$Q$1,FALSE))</f>
        <v>0</v>
      </c>
      <c r="R606" s="67" t="b">
        <f>IF(Tab.11[[#This Row],[a1]]=1,$I$3+$A$989+IF($K$3=0,Tab.11[[#This Row],[b8]]*_xlfn.STDEV.P(Tab.11[data]),AVERAGE(Tab.11[b6])+Tab.11[[#This Row],[b8]]*_xlfn.STDEV.P(Tab.11[data])))</f>
        <v>0</v>
      </c>
      <c r="S606" s="71" t="b">
        <f>IF(Tab.11[[#This Row],[a1]]=1,$I$3+$A$987+IF($K$3=0,Tab.11[[#This Row],[b9]]*_xlfn.STDEV.P(Tab.11[data]),AVERAGE(Tab.11[b6])+Tab.11[[#This Row],[b9]]*_xlfn.STDEV.P(Tab.11[data])))</f>
        <v>0</v>
      </c>
      <c r="T606" s="71" t="b">
        <f>IF(Tab.11[[#This Row],[a1]]=1,$I$3+$A$988+IF($K$3=0,Tab.11[[#This Row],[b10]]*_xlfn.STDEV.P(Tab.11[data]),AVERAGE(Tab.11[b6])+Tab.11[[#This Row],[b10]]*_xlfn.STDEV.P(Tab.11[data])))</f>
        <v>0</v>
      </c>
      <c r="U606" s="72" t="b">
        <f>IF(Tab.11[[#This Row],[a1]]=1,Tab.11[[#This Row],[target]]-Tab.11[[#This Row],[Red]])</f>
        <v>0</v>
      </c>
      <c r="V606" s="72" t="b">
        <f>IF(Tab.11[[#This Row],[a1]]=1,Tab.11[[#This Row],[target]]-Tab.11[[#This Row],[Blue]])</f>
        <v>0</v>
      </c>
      <c r="W606" s="73" t="b">
        <f>IF(Tab.11[[#This Row],[a1]]=1,IF(ABS(Tab.11[[#This Row],[b17]])+ABS(Tab.11[[#This Row],[b18]])&lt;$W$2,$W$2,ABS(Tab.11[[#This Row],[b17]])+ABS(Tab.11[[#This Row],[b18]])))</f>
        <v>0</v>
      </c>
      <c r="X606" s="136" t="b">
        <f>IF(Tab.11[[#This Row],[a1]]=1,IF($W$3&lt;0,Tab.11[[#This Row],[IN]]-$I$3,Tab.11[[#This Row],[IN]]))</f>
        <v>0</v>
      </c>
      <c r="Y606" s="136" t="b">
        <f>IF(Tab.11[[#This Row],[a1]]=1,IF($X$3=0,Tab.11[b66],Tab.11[[#This Row],[b66]]-AVERAGE(Tab.11[b66])))</f>
        <v>0</v>
      </c>
      <c r="Z606" s="135" t="b">
        <f>IF(Tab.11[[#This Row],[a1]]=1,Tab.11[[#This Row],[b77]]/(_xlfn.STDEV.P(Tab.11[b77])))</f>
        <v>0</v>
      </c>
      <c r="AA606" s="70" t="b">
        <f>IF(Tab.11[[#This Row],[a1]]=1,_xlfn.NORM.DIST(Tab.11[[#This Row],[b88]],$Z$1,$AA$1,FALSE))</f>
        <v>0</v>
      </c>
      <c r="AB606" s="74" t="b">
        <f>IF(Tab.11[[#This Row],[a1]]=1,IF($A$3=0,FALSE,1/Tab.11[[#This Row],[IN]]*$AC$2*IF(Tab.11[[#This Row],[a1]]=0,,$A$3*$AC$1*1/$V$3*(Tab.11[[#This Row],[b14]]))))</f>
        <v>0</v>
      </c>
      <c r="AC606" s="75" t="b">
        <f>IF(Tab.11[[#This Row],[a1]]=1,IF($AC$3=0,Tab.11[[#This Row],[φ1]],Tab.11[[#This Row],[φ1]]/MAX(Tab.11[φ1])))</f>
        <v>0</v>
      </c>
      <c r="AD606" s="74" t="b">
        <f>IF(Tab.11[[#This Row],[a1]]=1,1/Tab.11[[#This Row],[φ2]])</f>
        <v>0</v>
      </c>
      <c r="AE606" s="74" t="b">
        <f>IF(Tab.11[[#This Row],[a1]]=1,IF($AE$3=0,Tab.11[[#This Row],[w.0]],Tab.11[[#This Row],[w.0]]/SUM(Tab.11[w.0])))</f>
        <v>0</v>
      </c>
      <c r="AF606" s="76" t="str">
        <f>IF(Tab.11[[#This Row],[a1]]=0,"false",[3]!Tab.x5[[#This Row],[%_seN_C]])</f>
        <v>false</v>
      </c>
      <c r="AG606" s="77" t="b">
        <f>IF(Tab.11[[#This Row],[a1]]=1,AP606)</f>
        <v>0</v>
      </c>
      <c r="AH606" s="78" t="b">
        <f>IF(Tab.11[[#This Row],[a1]]=1,AQ606)</f>
        <v>0</v>
      </c>
      <c r="AI606" s="41">
        <v>3.0000000000000001E-3</v>
      </c>
      <c r="AJ606" s="79">
        <v>-7.0000000000000007E-2</v>
      </c>
      <c r="AK606" s="80" t="b">
        <f>IF(Tab.11[[#This Row],[a1]]=1,1)</f>
        <v>0</v>
      </c>
      <c r="AZ606"/>
    </row>
    <row r="607" spans="1:52" hidden="1" x14ac:dyDescent="0.25">
      <c r="A607" s="61">
        <f t="shared" si="21"/>
        <v>0</v>
      </c>
      <c r="B607" s="62">
        <f t="shared" si="21"/>
        <v>0</v>
      </c>
      <c r="C607" s="62" t="b">
        <f>IF(Tab.11[[#This Row],[a1]]=1,[3]!Tab_x1[[#This Row],[Name]])</f>
        <v>0</v>
      </c>
      <c r="D607" s="63" t="b">
        <f>IF(Tab.11[[#This Row],[a1]]=1,AO607)</f>
        <v>0</v>
      </c>
      <c r="E607" s="63">
        <f t="shared" si="20"/>
        <v>0</v>
      </c>
      <c r="F607" s="64" t="b">
        <f>IF(Tab.11[[#This Row],[a1]]=1,Tab.11[[#This Row],[b1]])</f>
        <v>0</v>
      </c>
      <c r="G607" s="65" t="b">
        <f>IF(Tab.11[[#This Row],[a1]]=1,IF(Tab.11[[#This Row],[b3]]&gt;$L$989*$G$3,$L$989*$G$3,IF(Tab.11[[#This Row],[b3]]&lt;$M$989*$G$3,$M$989*$G$3,Tab.11[[#This Row],[b3]])))</f>
        <v>0</v>
      </c>
      <c r="H607" s="66" t="b">
        <f>IF(Tab.11[[#This Row],[a1]]=1,Tab.11[[#This Row],[b1]])</f>
        <v>0</v>
      </c>
      <c r="I607" s="67" t="b">
        <f>IF(Tab.11[[#This Row],[a1]]=1,Tab.11[[#This Row],[b1]])</f>
        <v>0</v>
      </c>
      <c r="J607" s="68" t="b">
        <f>IF(Tab.11[[#This Row],[a1]]=1,IF($I$3&lt;0,Tab.11[[#This Row],[b5]]-$I$3,Tab.11[[#This Row],[b5]]))</f>
        <v>0</v>
      </c>
      <c r="K607" s="68" t="b">
        <f>IF(Tab.11[[#This Row],[a1]]=1,IF($K$3=0,Tab.11[b6],Tab.11[[#This Row],[b6]]-AVERAGE(Tab.11[b6])))</f>
        <v>0</v>
      </c>
      <c r="L607" s="69" t="b">
        <f>IF(Tab.11[[#This Row],[a1]]=1,Tab.11[[#This Row],[data]]/(_xlfn.STDEV.P(Tab.11[data])*$B$989)+$A$989)</f>
        <v>0</v>
      </c>
      <c r="M607" s="69" t="b">
        <f>IF(Tab.11[[#This Row],[a1]]=1,Tab.11[[#This Row],[data]]/(_xlfn.STDEV.P(Tab.11[data])*$B$987)-$A$987)</f>
        <v>0</v>
      </c>
      <c r="N607" s="69" t="b">
        <f>IF(Tab.11[[#This Row],[a1]]=1,Tab.11[[#This Row],[data]]/(_xlfn.STDEV.P(Tab.11[data])*$B$988)+$A$988)</f>
        <v>0</v>
      </c>
      <c r="O607" s="70" t="b">
        <f>IF(Tab.11[[#This Row],[a1]]=1,_xlfn.NORM.DIST(Tab.11[[#This Row],[b8]],$P$1,$Q$1,FALSE))</f>
        <v>0</v>
      </c>
      <c r="P607" s="70" t="b">
        <f>IF(Tab.11[[#This Row],[a1]]=1,_xlfn.NORM.DIST(Tab.11[[#This Row],[b9]],$P$1,$Q$1,FALSE))</f>
        <v>0</v>
      </c>
      <c r="Q607" s="70" t="b">
        <f>IF(Tab.11[[#This Row],[a1]]=1,_xlfn.NORM.DIST(Tab.11[[#This Row],[b10]],$P$1,$Q$1,FALSE))</f>
        <v>0</v>
      </c>
      <c r="R607" s="67" t="b">
        <f>IF(Tab.11[[#This Row],[a1]]=1,$I$3+$A$989+IF($K$3=0,Tab.11[[#This Row],[b8]]*_xlfn.STDEV.P(Tab.11[data]),AVERAGE(Tab.11[b6])+Tab.11[[#This Row],[b8]]*_xlfn.STDEV.P(Tab.11[data])))</f>
        <v>0</v>
      </c>
      <c r="S607" s="71" t="b">
        <f>IF(Tab.11[[#This Row],[a1]]=1,$I$3+$A$987+IF($K$3=0,Tab.11[[#This Row],[b9]]*_xlfn.STDEV.P(Tab.11[data]),AVERAGE(Tab.11[b6])+Tab.11[[#This Row],[b9]]*_xlfn.STDEV.P(Tab.11[data])))</f>
        <v>0</v>
      </c>
      <c r="T607" s="71" t="b">
        <f>IF(Tab.11[[#This Row],[a1]]=1,$I$3+$A$988+IF($K$3=0,Tab.11[[#This Row],[b10]]*_xlfn.STDEV.P(Tab.11[data]),AVERAGE(Tab.11[b6])+Tab.11[[#This Row],[b10]]*_xlfn.STDEV.P(Tab.11[data])))</f>
        <v>0</v>
      </c>
      <c r="U607" s="72" t="b">
        <f>IF(Tab.11[[#This Row],[a1]]=1,Tab.11[[#This Row],[target]]-Tab.11[[#This Row],[Red]])</f>
        <v>0</v>
      </c>
      <c r="V607" s="72" t="b">
        <f>IF(Tab.11[[#This Row],[a1]]=1,Tab.11[[#This Row],[target]]-Tab.11[[#This Row],[Blue]])</f>
        <v>0</v>
      </c>
      <c r="W607" s="73" t="b">
        <f>IF(Tab.11[[#This Row],[a1]]=1,IF(ABS(Tab.11[[#This Row],[b17]])+ABS(Tab.11[[#This Row],[b18]])&lt;$W$2,$W$2,ABS(Tab.11[[#This Row],[b17]])+ABS(Tab.11[[#This Row],[b18]])))</f>
        <v>0</v>
      </c>
      <c r="X607" s="136" t="b">
        <f>IF(Tab.11[[#This Row],[a1]]=1,IF($W$3&lt;0,Tab.11[[#This Row],[IN]]-$I$3,Tab.11[[#This Row],[IN]]))</f>
        <v>0</v>
      </c>
      <c r="Y607" s="136" t="b">
        <f>IF(Tab.11[[#This Row],[a1]]=1,IF($X$3=0,Tab.11[b66],Tab.11[[#This Row],[b66]]-AVERAGE(Tab.11[b66])))</f>
        <v>0</v>
      </c>
      <c r="Z607" s="135" t="b">
        <f>IF(Tab.11[[#This Row],[a1]]=1,Tab.11[[#This Row],[b77]]/(_xlfn.STDEV.P(Tab.11[b77])))</f>
        <v>0</v>
      </c>
      <c r="AA607" s="70" t="b">
        <f>IF(Tab.11[[#This Row],[a1]]=1,_xlfn.NORM.DIST(Tab.11[[#This Row],[b88]],$Z$1,$AA$1,FALSE))</f>
        <v>0</v>
      </c>
      <c r="AB607" s="74" t="b">
        <f>IF(Tab.11[[#This Row],[a1]]=1,IF($A$3=0,FALSE,1/Tab.11[[#This Row],[IN]]*$AC$2*IF(Tab.11[[#This Row],[a1]]=0,,$A$3*$AC$1*1/$V$3*(Tab.11[[#This Row],[b14]]))))</f>
        <v>0</v>
      </c>
      <c r="AC607" s="75" t="b">
        <f>IF(Tab.11[[#This Row],[a1]]=1,IF($AC$3=0,Tab.11[[#This Row],[φ1]],Tab.11[[#This Row],[φ1]]/MAX(Tab.11[φ1])))</f>
        <v>0</v>
      </c>
      <c r="AD607" s="74" t="b">
        <f>IF(Tab.11[[#This Row],[a1]]=1,1/Tab.11[[#This Row],[φ2]])</f>
        <v>0</v>
      </c>
      <c r="AE607" s="74" t="b">
        <f>IF(Tab.11[[#This Row],[a1]]=1,IF($AE$3=0,Tab.11[[#This Row],[w.0]],Tab.11[[#This Row],[w.0]]/SUM(Tab.11[w.0])))</f>
        <v>0</v>
      </c>
      <c r="AF607" s="76" t="str">
        <f>IF(Tab.11[[#This Row],[a1]]=0,"false",[3]!Tab.x5[[#This Row],[%_seN_C]])</f>
        <v>false</v>
      </c>
      <c r="AG607" s="77" t="b">
        <f>IF(Tab.11[[#This Row],[a1]]=1,AP607)</f>
        <v>0</v>
      </c>
      <c r="AH607" s="78" t="b">
        <f>IF(Tab.11[[#This Row],[a1]]=1,AQ607)</f>
        <v>0</v>
      </c>
      <c r="AI607" s="41">
        <v>3.0000000000000001E-3</v>
      </c>
      <c r="AJ607" s="79">
        <v>-0.06</v>
      </c>
      <c r="AK607" s="80" t="b">
        <f>IF(Tab.11[[#This Row],[a1]]=1,1)</f>
        <v>0</v>
      </c>
      <c r="AZ607"/>
    </row>
    <row r="608" spans="1:52" hidden="1" x14ac:dyDescent="0.25">
      <c r="A608" s="61">
        <f t="shared" si="21"/>
        <v>0</v>
      </c>
      <c r="B608" s="62">
        <f t="shared" si="21"/>
        <v>0</v>
      </c>
      <c r="C608" s="62" t="b">
        <f>IF(Tab.11[[#This Row],[a1]]=1,[3]!Tab_x1[[#This Row],[Name]])</f>
        <v>0</v>
      </c>
      <c r="D608" s="63" t="b">
        <f>IF(Tab.11[[#This Row],[a1]]=1,AO608)</f>
        <v>0</v>
      </c>
      <c r="E608" s="63">
        <f t="shared" si="20"/>
        <v>0</v>
      </c>
      <c r="F608" s="64" t="b">
        <f>IF(Tab.11[[#This Row],[a1]]=1,Tab.11[[#This Row],[b1]])</f>
        <v>0</v>
      </c>
      <c r="G608" s="65" t="b">
        <f>IF(Tab.11[[#This Row],[a1]]=1,IF(Tab.11[[#This Row],[b3]]&gt;$L$989*$G$3,$L$989*$G$3,IF(Tab.11[[#This Row],[b3]]&lt;$M$989*$G$3,$M$989*$G$3,Tab.11[[#This Row],[b3]])))</f>
        <v>0</v>
      </c>
      <c r="H608" s="66" t="b">
        <f>IF(Tab.11[[#This Row],[a1]]=1,Tab.11[[#This Row],[b1]])</f>
        <v>0</v>
      </c>
      <c r="I608" s="67" t="b">
        <f>IF(Tab.11[[#This Row],[a1]]=1,Tab.11[[#This Row],[b1]])</f>
        <v>0</v>
      </c>
      <c r="J608" s="68" t="b">
        <f>IF(Tab.11[[#This Row],[a1]]=1,IF($I$3&lt;0,Tab.11[[#This Row],[b5]]-$I$3,Tab.11[[#This Row],[b5]]))</f>
        <v>0</v>
      </c>
      <c r="K608" s="68" t="b">
        <f>IF(Tab.11[[#This Row],[a1]]=1,IF($K$3=0,Tab.11[b6],Tab.11[[#This Row],[b6]]-AVERAGE(Tab.11[b6])))</f>
        <v>0</v>
      </c>
      <c r="L608" s="69" t="b">
        <f>IF(Tab.11[[#This Row],[a1]]=1,Tab.11[[#This Row],[data]]/(_xlfn.STDEV.P(Tab.11[data])*$B$989)+$A$989)</f>
        <v>0</v>
      </c>
      <c r="M608" s="69" t="b">
        <f>IF(Tab.11[[#This Row],[a1]]=1,Tab.11[[#This Row],[data]]/(_xlfn.STDEV.P(Tab.11[data])*$B$987)-$A$987)</f>
        <v>0</v>
      </c>
      <c r="N608" s="69" t="b">
        <f>IF(Tab.11[[#This Row],[a1]]=1,Tab.11[[#This Row],[data]]/(_xlfn.STDEV.P(Tab.11[data])*$B$988)+$A$988)</f>
        <v>0</v>
      </c>
      <c r="O608" s="70" t="b">
        <f>IF(Tab.11[[#This Row],[a1]]=1,_xlfn.NORM.DIST(Tab.11[[#This Row],[b8]],$P$1,$Q$1,FALSE))</f>
        <v>0</v>
      </c>
      <c r="P608" s="70" t="b">
        <f>IF(Tab.11[[#This Row],[a1]]=1,_xlfn.NORM.DIST(Tab.11[[#This Row],[b9]],$P$1,$Q$1,FALSE))</f>
        <v>0</v>
      </c>
      <c r="Q608" s="70" t="b">
        <f>IF(Tab.11[[#This Row],[a1]]=1,_xlfn.NORM.DIST(Tab.11[[#This Row],[b10]],$P$1,$Q$1,FALSE))</f>
        <v>0</v>
      </c>
      <c r="R608" s="67" t="b">
        <f>IF(Tab.11[[#This Row],[a1]]=1,$I$3+$A$989+IF($K$3=0,Tab.11[[#This Row],[b8]]*_xlfn.STDEV.P(Tab.11[data]),AVERAGE(Tab.11[b6])+Tab.11[[#This Row],[b8]]*_xlfn.STDEV.P(Tab.11[data])))</f>
        <v>0</v>
      </c>
      <c r="S608" s="71" t="b">
        <f>IF(Tab.11[[#This Row],[a1]]=1,$I$3+$A$987+IF($K$3=0,Tab.11[[#This Row],[b9]]*_xlfn.STDEV.P(Tab.11[data]),AVERAGE(Tab.11[b6])+Tab.11[[#This Row],[b9]]*_xlfn.STDEV.P(Tab.11[data])))</f>
        <v>0</v>
      </c>
      <c r="T608" s="71" t="b">
        <f>IF(Tab.11[[#This Row],[a1]]=1,$I$3+$A$988+IF($K$3=0,Tab.11[[#This Row],[b10]]*_xlfn.STDEV.P(Tab.11[data]),AVERAGE(Tab.11[b6])+Tab.11[[#This Row],[b10]]*_xlfn.STDEV.P(Tab.11[data])))</f>
        <v>0</v>
      </c>
      <c r="U608" s="72" t="b">
        <f>IF(Tab.11[[#This Row],[a1]]=1,Tab.11[[#This Row],[target]]-Tab.11[[#This Row],[Red]])</f>
        <v>0</v>
      </c>
      <c r="V608" s="72" t="b">
        <f>IF(Tab.11[[#This Row],[a1]]=1,Tab.11[[#This Row],[target]]-Tab.11[[#This Row],[Blue]])</f>
        <v>0</v>
      </c>
      <c r="W608" s="73" t="b">
        <f>IF(Tab.11[[#This Row],[a1]]=1,IF(ABS(Tab.11[[#This Row],[b17]])+ABS(Tab.11[[#This Row],[b18]])&lt;$W$2,$W$2,ABS(Tab.11[[#This Row],[b17]])+ABS(Tab.11[[#This Row],[b18]])))</f>
        <v>0</v>
      </c>
      <c r="X608" s="136" t="b">
        <f>IF(Tab.11[[#This Row],[a1]]=1,IF($W$3&lt;0,Tab.11[[#This Row],[IN]]-$I$3,Tab.11[[#This Row],[IN]]))</f>
        <v>0</v>
      </c>
      <c r="Y608" s="136" t="b">
        <f>IF(Tab.11[[#This Row],[a1]]=1,IF($X$3=0,Tab.11[b66],Tab.11[[#This Row],[b66]]-AVERAGE(Tab.11[b66])))</f>
        <v>0</v>
      </c>
      <c r="Z608" s="135" t="b">
        <f>IF(Tab.11[[#This Row],[a1]]=1,Tab.11[[#This Row],[b77]]/(_xlfn.STDEV.P(Tab.11[b77])))</f>
        <v>0</v>
      </c>
      <c r="AA608" s="70" t="b">
        <f>IF(Tab.11[[#This Row],[a1]]=1,_xlfn.NORM.DIST(Tab.11[[#This Row],[b88]],$Z$1,$AA$1,FALSE))</f>
        <v>0</v>
      </c>
      <c r="AB608" s="74" t="b">
        <f>IF(Tab.11[[#This Row],[a1]]=1,IF($A$3=0,FALSE,1/Tab.11[[#This Row],[IN]]*$AC$2*IF(Tab.11[[#This Row],[a1]]=0,,$A$3*$AC$1*1/$V$3*(Tab.11[[#This Row],[b14]]))))</f>
        <v>0</v>
      </c>
      <c r="AC608" s="75" t="b">
        <f>IF(Tab.11[[#This Row],[a1]]=1,IF($AC$3=0,Tab.11[[#This Row],[φ1]],Tab.11[[#This Row],[φ1]]/MAX(Tab.11[φ1])))</f>
        <v>0</v>
      </c>
      <c r="AD608" s="74" t="b">
        <f>IF(Tab.11[[#This Row],[a1]]=1,1/Tab.11[[#This Row],[φ2]])</f>
        <v>0</v>
      </c>
      <c r="AE608" s="74" t="b">
        <f>IF(Tab.11[[#This Row],[a1]]=1,IF($AE$3=0,Tab.11[[#This Row],[w.0]],Tab.11[[#This Row],[w.0]]/SUM(Tab.11[w.0])))</f>
        <v>0</v>
      </c>
      <c r="AF608" s="76" t="str">
        <f>IF(Tab.11[[#This Row],[a1]]=0,"false",[3]!Tab.x5[[#This Row],[%_seN_C]])</f>
        <v>false</v>
      </c>
      <c r="AG608" s="77" t="b">
        <f>IF(Tab.11[[#This Row],[a1]]=1,AP608)</f>
        <v>0</v>
      </c>
      <c r="AH608" s="78" t="b">
        <f>IF(Tab.11[[#This Row],[a1]]=1,AQ608)</f>
        <v>0</v>
      </c>
      <c r="AI608" s="41">
        <v>3.0000000000000001E-3</v>
      </c>
      <c r="AJ608" s="79">
        <v>0.03</v>
      </c>
      <c r="AK608" s="80" t="b">
        <f>IF(Tab.11[[#This Row],[a1]]=1,1)</f>
        <v>0</v>
      </c>
      <c r="AZ608"/>
    </row>
    <row r="609" spans="1:52" hidden="1" x14ac:dyDescent="0.25">
      <c r="A609" s="61">
        <f t="shared" si="21"/>
        <v>0</v>
      </c>
      <c r="B609" s="62">
        <f t="shared" si="21"/>
        <v>0</v>
      </c>
      <c r="C609" s="62" t="b">
        <f>IF(Tab.11[[#This Row],[a1]]=1,[3]!Tab_x1[[#This Row],[Name]])</f>
        <v>0</v>
      </c>
      <c r="D609" s="63" t="b">
        <f>IF(Tab.11[[#This Row],[a1]]=1,AO609)</f>
        <v>0</v>
      </c>
      <c r="E609" s="63">
        <f t="shared" si="20"/>
        <v>0</v>
      </c>
      <c r="F609" s="64" t="b">
        <f>IF(Tab.11[[#This Row],[a1]]=1,Tab.11[[#This Row],[b1]])</f>
        <v>0</v>
      </c>
      <c r="G609" s="65" t="b">
        <f>IF(Tab.11[[#This Row],[a1]]=1,IF(Tab.11[[#This Row],[b3]]&gt;$L$989*$G$3,$L$989*$G$3,IF(Tab.11[[#This Row],[b3]]&lt;$M$989*$G$3,$M$989*$G$3,Tab.11[[#This Row],[b3]])))</f>
        <v>0</v>
      </c>
      <c r="H609" s="66" t="b">
        <f>IF(Tab.11[[#This Row],[a1]]=1,Tab.11[[#This Row],[b1]])</f>
        <v>0</v>
      </c>
      <c r="I609" s="67" t="b">
        <f>IF(Tab.11[[#This Row],[a1]]=1,Tab.11[[#This Row],[b1]])</f>
        <v>0</v>
      </c>
      <c r="J609" s="68" t="b">
        <f>IF(Tab.11[[#This Row],[a1]]=1,IF($I$3&lt;0,Tab.11[[#This Row],[b5]]-$I$3,Tab.11[[#This Row],[b5]]))</f>
        <v>0</v>
      </c>
      <c r="K609" s="68" t="b">
        <f>IF(Tab.11[[#This Row],[a1]]=1,IF($K$3=0,Tab.11[b6],Tab.11[[#This Row],[b6]]-AVERAGE(Tab.11[b6])))</f>
        <v>0</v>
      </c>
      <c r="L609" s="69" t="b">
        <f>IF(Tab.11[[#This Row],[a1]]=1,Tab.11[[#This Row],[data]]/(_xlfn.STDEV.P(Tab.11[data])*$B$989)+$A$989)</f>
        <v>0</v>
      </c>
      <c r="M609" s="69" t="b">
        <f>IF(Tab.11[[#This Row],[a1]]=1,Tab.11[[#This Row],[data]]/(_xlfn.STDEV.P(Tab.11[data])*$B$987)-$A$987)</f>
        <v>0</v>
      </c>
      <c r="N609" s="69" t="b">
        <f>IF(Tab.11[[#This Row],[a1]]=1,Tab.11[[#This Row],[data]]/(_xlfn.STDEV.P(Tab.11[data])*$B$988)+$A$988)</f>
        <v>0</v>
      </c>
      <c r="O609" s="70" t="b">
        <f>IF(Tab.11[[#This Row],[a1]]=1,_xlfn.NORM.DIST(Tab.11[[#This Row],[b8]],$P$1,$Q$1,FALSE))</f>
        <v>0</v>
      </c>
      <c r="P609" s="70" t="b">
        <f>IF(Tab.11[[#This Row],[a1]]=1,_xlfn.NORM.DIST(Tab.11[[#This Row],[b9]],$P$1,$Q$1,FALSE))</f>
        <v>0</v>
      </c>
      <c r="Q609" s="70" t="b">
        <f>IF(Tab.11[[#This Row],[a1]]=1,_xlfn.NORM.DIST(Tab.11[[#This Row],[b10]],$P$1,$Q$1,FALSE))</f>
        <v>0</v>
      </c>
      <c r="R609" s="67" t="b">
        <f>IF(Tab.11[[#This Row],[a1]]=1,$I$3+$A$989+IF($K$3=0,Tab.11[[#This Row],[b8]]*_xlfn.STDEV.P(Tab.11[data]),AVERAGE(Tab.11[b6])+Tab.11[[#This Row],[b8]]*_xlfn.STDEV.P(Tab.11[data])))</f>
        <v>0</v>
      </c>
      <c r="S609" s="71" t="b">
        <f>IF(Tab.11[[#This Row],[a1]]=1,$I$3+$A$987+IF($K$3=0,Tab.11[[#This Row],[b9]]*_xlfn.STDEV.P(Tab.11[data]),AVERAGE(Tab.11[b6])+Tab.11[[#This Row],[b9]]*_xlfn.STDEV.P(Tab.11[data])))</f>
        <v>0</v>
      </c>
      <c r="T609" s="71" t="b">
        <f>IF(Tab.11[[#This Row],[a1]]=1,$I$3+$A$988+IF($K$3=0,Tab.11[[#This Row],[b10]]*_xlfn.STDEV.P(Tab.11[data]),AVERAGE(Tab.11[b6])+Tab.11[[#This Row],[b10]]*_xlfn.STDEV.P(Tab.11[data])))</f>
        <v>0</v>
      </c>
      <c r="U609" s="72" t="b">
        <f>IF(Tab.11[[#This Row],[a1]]=1,Tab.11[[#This Row],[target]]-Tab.11[[#This Row],[Red]])</f>
        <v>0</v>
      </c>
      <c r="V609" s="72" t="b">
        <f>IF(Tab.11[[#This Row],[a1]]=1,Tab.11[[#This Row],[target]]-Tab.11[[#This Row],[Blue]])</f>
        <v>0</v>
      </c>
      <c r="W609" s="73" t="b">
        <f>IF(Tab.11[[#This Row],[a1]]=1,IF(ABS(Tab.11[[#This Row],[b17]])+ABS(Tab.11[[#This Row],[b18]])&lt;$W$2,$W$2,ABS(Tab.11[[#This Row],[b17]])+ABS(Tab.11[[#This Row],[b18]])))</f>
        <v>0</v>
      </c>
      <c r="X609" s="136" t="b">
        <f>IF(Tab.11[[#This Row],[a1]]=1,IF($W$3&lt;0,Tab.11[[#This Row],[IN]]-$I$3,Tab.11[[#This Row],[IN]]))</f>
        <v>0</v>
      </c>
      <c r="Y609" s="136" t="b">
        <f>IF(Tab.11[[#This Row],[a1]]=1,IF($X$3=0,Tab.11[b66],Tab.11[[#This Row],[b66]]-AVERAGE(Tab.11[b66])))</f>
        <v>0</v>
      </c>
      <c r="Z609" s="135" t="b">
        <f>IF(Tab.11[[#This Row],[a1]]=1,Tab.11[[#This Row],[b77]]/(_xlfn.STDEV.P(Tab.11[b77])))</f>
        <v>0</v>
      </c>
      <c r="AA609" s="70" t="b">
        <f>IF(Tab.11[[#This Row],[a1]]=1,_xlfn.NORM.DIST(Tab.11[[#This Row],[b88]],$Z$1,$AA$1,FALSE))</f>
        <v>0</v>
      </c>
      <c r="AB609" s="74" t="b">
        <f>IF(Tab.11[[#This Row],[a1]]=1,IF($A$3=0,FALSE,1/Tab.11[[#This Row],[IN]]*$AC$2*IF(Tab.11[[#This Row],[a1]]=0,,$A$3*$AC$1*1/$V$3*(Tab.11[[#This Row],[b14]]))))</f>
        <v>0</v>
      </c>
      <c r="AC609" s="75" t="b">
        <f>IF(Tab.11[[#This Row],[a1]]=1,IF($AC$3=0,Tab.11[[#This Row],[φ1]],Tab.11[[#This Row],[φ1]]/MAX(Tab.11[φ1])))</f>
        <v>0</v>
      </c>
      <c r="AD609" s="74" t="b">
        <f>IF(Tab.11[[#This Row],[a1]]=1,1/Tab.11[[#This Row],[φ2]])</f>
        <v>0</v>
      </c>
      <c r="AE609" s="74" t="b">
        <f>IF(Tab.11[[#This Row],[a1]]=1,IF($AE$3=0,Tab.11[[#This Row],[w.0]],Tab.11[[#This Row],[w.0]]/SUM(Tab.11[w.0])))</f>
        <v>0</v>
      </c>
      <c r="AF609" s="76" t="str">
        <f>IF(Tab.11[[#This Row],[a1]]=0,"false",[3]!Tab.x5[[#This Row],[%_seN_C]])</f>
        <v>false</v>
      </c>
      <c r="AG609" s="77" t="b">
        <f>IF(Tab.11[[#This Row],[a1]]=1,AP609)</f>
        <v>0</v>
      </c>
      <c r="AH609" s="78" t="b">
        <f>IF(Tab.11[[#This Row],[a1]]=1,AQ609)</f>
        <v>0</v>
      </c>
      <c r="AI609" s="41">
        <v>3.0000000000000001E-3</v>
      </c>
      <c r="AJ609" s="79">
        <v>-0.03</v>
      </c>
      <c r="AK609" s="80" t="b">
        <f>IF(Tab.11[[#This Row],[a1]]=1,1)</f>
        <v>0</v>
      </c>
      <c r="AZ609"/>
    </row>
    <row r="610" spans="1:52" hidden="1" x14ac:dyDescent="0.25">
      <c r="A610" s="61">
        <f t="shared" si="21"/>
        <v>0</v>
      </c>
      <c r="B610" s="62">
        <f t="shared" si="21"/>
        <v>0</v>
      </c>
      <c r="C610" s="62" t="b">
        <f>IF(Tab.11[[#This Row],[a1]]=1,[3]!Tab_x1[[#This Row],[Name]])</f>
        <v>0</v>
      </c>
      <c r="D610" s="63" t="b">
        <f>IF(Tab.11[[#This Row],[a1]]=1,AO610)</f>
        <v>0</v>
      </c>
      <c r="E610" s="63">
        <f t="shared" si="20"/>
        <v>0</v>
      </c>
      <c r="F610" s="64" t="b">
        <f>IF(Tab.11[[#This Row],[a1]]=1,Tab.11[[#This Row],[b1]])</f>
        <v>0</v>
      </c>
      <c r="G610" s="65" t="b">
        <f>IF(Tab.11[[#This Row],[a1]]=1,IF(Tab.11[[#This Row],[b3]]&gt;$L$989*$G$3,$L$989*$G$3,IF(Tab.11[[#This Row],[b3]]&lt;$M$989*$G$3,$M$989*$G$3,Tab.11[[#This Row],[b3]])))</f>
        <v>0</v>
      </c>
      <c r="H610" s="66" t="b">
        <f>IF(Tab.11[[#This Row],[a1]]=1,Tab.11[[#This Row],[b1]])</f>
        <v>0</v>
      </c>
      <c r="I610" s="67" t="b">
        <f>IF(Tab.11[[#This Row],[a1]]=1,Tab.11[[#This Row],[b1]])</f>
        <v>0</v>
      </c>
      <c r="J610" s="68" t="b">
        <f>IF(Tab.11[[#This Row],[a1]]=1,IF($I$3&lt;0,Tab.11[[#This Row],[b5]]-$I$3,Tab.11[[#This Row],[b5]]))</f>
        <v>0</v>
      </c>
      <c r="K610" s="68" t="b">
        <f>IF(Tab.11[[#This Row],[a1]]=1,IF($K$3=0,Tab.11[b6],Tab.11[[#This Row],[b6]]-AVERAGE(Tab.11[b6])))</f>
        <v>0</v>
      </c>
      <c r="L610" s="69" t="b">
        <f>IF(Tab.11[[#This Row],[a1]]=1,Tab.11[[#This Row],[data]]/(_xlfn.STDEV.P(Tab.11[data])*$B$989)+$A$989)</f>
        <v>0</v>
      </c>
      <c r="M610" s="69" t="b">
        <f>IF(Tab.11[[#This Row],[a1]]=1,Tab.11[[#This Row],[data]]/(_xlfn.STDEV.P(Tab.11[data])*$B$987)-$A$987)</f>
        <v>0</v>
      </c>
      <c r="N610" s="69" t="b">
        <f>IF(Tab.11[[#This Row],[a1]]=1,Tab.11[[#This Row],[data]]/(_xlfn.STDEV.P(Tab.11[data])*$B$988)+$A$988)</f>
        <v>0</v>
      </c>
      <c r="O610" s="70" t="b">
        <f>IF(Tab.11[[#This Row],[a1]]=1,_xlfn.NORM.DIST(Tab.11[[#This Row],[b8]],$P$1,$Q$1,FALSE))</f>
        <v>0</v>
      </c>
      <c r="P610" s="70" t="b">
        <f>IF(Tab.11[[#This Row],[a1]]=1,_xlfn.NORM.DIST(Tab.11[[#This Row],[b9]],$P$1,$Q$1,FALSE))</f>
        <v>0</v>
      </c>
      <c r="Q610" s="70" t="b">
        <f>IF(Tab.11[[#This Row],[a1]]=1,_xlfn.NORM.DIST(Tab.11[[#This Row],[b10]],$P$1,$Q$1,FALSE))</f>
        <v>0</v>
      </c>
      <c r="R610" s="67" t="b">
        <f>IF(Tab.11[[#This Row],[a1]]=1,$I$3+$A$989+IF($K$3=0,Tab.11[[#This Row],[b8]]*_xlfn.STDEV.P(Tab.11[data]),AVERAGE(Tab.11[b6])+Tab.11[[#This Row],[b8]]*_xlfn.STDEV.P(Tab.11[data])))</f>
        <v>0</v>
      </c>
      <c r="S610" s="71" t="b">
        <f>IF(Tab.11[[#This Row],[a1]]=1,$I$3+$A$987+IF($K$3=0,Tab.11[[#This Row],[b9]]*_xlfn.STDEV.P(Tab.11[data]),AVERAGE(Tab.11[b6])+Tab.11[[#This Row],[b9]]*_xlfn.STDEV.P(Tab.11[data])))</f>
        <v>0</v>
      </c>
      <c r="T610" s="71" t="b">
        <f>IF(Tab.11[[#This Row],[a1]]=1,$I$3+$A$988+IF($K$3=0,Tab.11[[#This Row],[b10]]*_xlfn.STDEV.P(Tab.11[data]),AVERAGE(Tab.11[b6])+Tab.11[[#This Row],[b10]]*_xlfn.STDEV.P(Tab.11[data])))</f>
        <v>0</v>
      </c>
      <c r="U610" s="72" t="b">
        <f>IF(Tab.11[[#This Row],[a1]]=1,Tab.11[[#This Row],[target]]-Tab.11[[#This Row],[Red]])</f>
        <v>0</v>
      </c>
      <c r="V610" s="72" t="b">
        <f>IF(Tab.11[[#This Row],[a1]]=1,Tab.11[[#This Row],[target]]-Tab.11[[#This Row],[Blue]])</f>
        <v>0</v>
      </c>
      <c r="W610" s="73" t="b">
        <f>IF(Tab.11[[#This Row],[a1]]=1,IF(ABS(Tab.11[[#This Row],[b17]])+ABS(Tab.11[[#This Row],[b18]])&lt;$W$2,$W$2,ABS(Tab.11[[#This Row],[b17]])+ABS(Tab.11[[#This Row],[b18]])))</f>
        <v>0</v>
      </c>
      <c r="X610" s="136" t="b">
        <f>IF(Tab.11[[#This Row],[a1]]=1,IF($W$3&lt;0,Tab.11[[#This Row],[IN]]-$I$3,Tab.11[[#This Row],[IN]]))</f>
        <v>0</v>
      </c>
      <c r="Y610" s="136" t="b">
        <f>IF(Tab.11[[#This Row],[a1]]=1,IF($X$3=0,Tab.11[b66],Tab.11[[#This Row],[b66]]-AVERAGE(Tab.11[b66])))</f>
        <v>0</v>
      </c>
      <c r="Z610" s="135" t="b">
        <f>IF(Tab.11[[#This Row],[a1]]=1,Tab.11[[#This Row],[b77]]/(_xlfn.STDEV.P(Tab.11[b77])))</f>
        <v>0</v>
      </c>
      <c r="AA610" s="70" t="b">
        <f>IF(Tab.11[[#This Row],[a1]]=1,_xlfn.NORM.DIST(Tab.11[[#This Row],[b88]],$Z$1,$AA$1,FALSE))</f>
        <v>0</v>
      </c>
      <c r="AB610" s="74" t="b">
        <f>IF(Tab.11[[#This Row],[a1]]=1,IF($A$3=0,FALSE,1/Tab.11[[#This Row],[IN]]*$AC$2*IF(Tab.11[[#This Row],[a1]]=0,,$A$3*$AC$1*1/$V$3*(Tab.11[[#This Row],[b14]]))))</f>
        <v>0</v>
      </c>
      <c r="AC610" s="75" t="b">
        <f>IF(Tab.11[[#This Row],[a1]]=1,IF($AC$3=0,Tab.11[[#This Row],[φ1]],Tab.11[[#This Row],[φ1]]/MAX(Tab.11[φ1])))</f>
        <v>0</v>
      </c>
      <c r="AD610" s="74" t="b">
        <f>IF(Tab.11[[#This Row],[a1]]=1,1/Tab.11[[#This Row],[φ2]])</f>
        <v>0</v>
      </c>
      <c r="AE610" s="74" t="b">
        <f>IF(Tab.11[[#This Row],[a1]]=1,IF($AE$3=0,Tab.11[[#This Row],[w.0]],Tab.11[[#This Row],[w.0]]/SUM(Tab.11[w.0])))</f>
        <v>0</v>
      </c>
      <c r="AF610" s="76" t="str">
        <f>IF(Tab.11[[#This Row],[a1]]=0,"false",[3]!Tab.x5[[#This Row],[%_seN_C]])</f>
        <v>false</v>
      </c>
      <c r="AG610" s="77" t="b">
        <f>IF(Tab.11[[#This Row],[a1]]=1,AP610)</f>
        <v>0</v>
      </c>
      <c r="AH610" s="78" t="b">
        <f>IF(Tab.11[[#This Row],[a1]]=1,AQ610)</f>
        <v>0</v>
      </c>
      <c r="AI610" s="41">
        <v>3.0000000000000001E-3</v>
      </c>
      <c r="AJ610" s="79">
        <v>-7.0000000000000007E-2</v>
      </c>
      <c r="AK610" s="80" t="b">
        <f>IF(Tab.11[[#This Row],[a1]]=1,1)</f>
        <v>0</v>
      </c>
      <c r="AZ610"/>
    </row>
    <row r="611" spans="1:52" hidden="1" x14ac:dyDescent="0.25">
      <c r="A611" s="61">
        <f t="shared" si="21"/>
        <v>0</v>
      </c>
      <c r="B611" s="62">
        <f t="shared" si="21"/>
        <v>0</v>
      </c>
      <c r="C611" s="62" t="b">
        <f>IF(Tab.11[[#This Row],[a1]]=1,[3]!Tab_x1[[#This Row],[Name]])</f>
        <v>0</v>
      </c>
      <c r="D611" s="63" t="b">
        <f>IF(Tab.11[[#This Row],[a1]]=1,AO611)</f>
        <v>0</v>
      </c>
      <c r="E611" s="63">
        <f t="shared" si="20"/>
        <v>0</v>
      </c>
      <c r="F611" s="64" t="b">
        <f>IF(Tab.11[[#This Row],[a1]]=1,Tab.11[[#This Row],[b1]])</f>
        <v>0</v>
      </c>
      <c r="G611" s="65" t="b">
        <f>IF(Tab.11[[#This Row],[a1]]=1,IF(Tab.11[[#This Row],[b3]]&gt;$L$989*$G$3,$L$989*$G$3,IF(Tab.11[[#This Row],[b3]]&lt;$M$989*$G$3,$M$989*$G$3,Tab.11[[#This Row],[b3]])))</f>
        <v>0</v>
      </c>
      <c r="H611" s="66" t="b">
        <f>IF(Tab.11[[#This Row],[a1]]=1,Tab.11[[#This Row],[b1]])</f>
        <v>0</v>
      </c>
      <c r="I611" s="67" t="b">
        <f>IF(Tab.11[[#This Row],[a1]]=1,Tab.11[[#This Row],[b1]])</f>
        <v>0</v>
      </c>
      <c r="J611" s="68" t="b">
        <f>IF(Tab.11[[#This Row],[a1]]=1,IF($I$3&lt;0,Tab.11[[#This Row],[b5]]-$I$3,Tab.11[[#This Row],[b5]]))</f>
        <v>0</v>
      </c>
      <c r="K611" s="68" t="b">
        <f>IF(Tab.11[[#This Row],[a1]]=1,IF($K$3=0,Tab.11[b6],Tab.11[[#This Row],[b6]]-AVERAGE(Tab.11[b6])))</f>
        <v>0</v>
      </c>
      <c r="L611" s="69" t="b">
        <f>IF(Tab.11[[#This Row],[a1]]=1,Tab.11[[#This Row],[data]]/(_xlfn.STDEV.P(Tab.11[data])*$B$989)+$A$989)</f>
        <v>0</v>
      </c>
      <c r="M611" s="69" t="b">
        <f>IF(Tab.11[[#This Row],[a1]]=1,Tab.11[[#This Row],[data]]/(_xlfn.STDEV.P(Tab.11[data])*$B$987)-$A$987)</f>
        <v>0</v>
      </c>
      <c r="N611" s="69" t="b">
        <f>IF(Tab.11[[#This Row],[a1]]=1,Tab.11[[#This Row],[data]]/(_xlfn.STDEV.P(Tab.11[data])*$B$988)+$A$988)</f>
        <v>0</v>
      </c>
      <c r="O611" s="70" t="b">
        <f>IF(Tab.11[[#This Row],[a1]]=1,_xlfn.NORM.DIST(Tab.11[[#This Row],[b8]],$P$1,$Q$1,FALSE))</f>
        <v>0</v>
      </c>
      <c r="P611" s="70" t="b">
        <f>IF(Tab.11[[#This Row],[a1]]=1,_xlfn.NORM.DIST(Tab.11[[#This Row],[b9]],$P$1,$Q$1,FALSE))</f>
        <v>0</v>
      </c>
      <c r="Q611" s="70" t="b">
        <f>IF(Tab.11[[#This Row],[a1]]=1,_xlfn.NORM.DIST(Tab.11[[#This Row],[b10]],$P$1,$Q$1,FALSE))</f>
        <v>0</v>
      </c>
      <c r="R611" s="67" t="b">
        <f>IF(Tab.11[[#This Row],[a1]]=1,$I$3+$A$989+IF($K$3=0,Tab.11[[#This Row],[b8]]*_xlfn.STDEV.P(Tab.11[data]),AVERAGE(Tab.11[b6])+Tab.11[[#This Row],[b8]]*_xlfn.STDEV.P(Tab.11[data])))</f>
        <v>0</v>
      </c>
      <c r="S611" s="71" t="b">
        <f>IF(Tab.11[[#This Row],[a1]]=1,$I$3+$A$987+IF($K$3=0,Tab.11[[#This Row],[b9]]*_xlfn.STDEV.P(Tab.11[data]),AVERAGE(Tab.11[b6])+Tab.11[[#This Row],[b9]]*_xlfn.STDEV.P(Tab.11[data])))</f>
        <v>0</v>
      </c>
      <c r="T611" s="71" t="b">
        <f>IF(Tab.11[[#This Row],[a1]]=1,$I$3+$A$988+IF($K$3=0,Tab.11[[#This Row],[b10]]*_xlfn.STDEV.P(Tab.11[data]),AVERAGE(Tab.11[b6])+Tab.11[[#This Row],[b10]]*_xlfn.STDEV.P(Tab.11[data])))</f>
        <v>0</v>
      </c>
      <c r="U611" s="72" t="b">
        <f>IF(Tab.11[[#This Row],[a1]]=1,Tab.11[[#This Row],[target]]-Tab.11[[#This Row],[Red]])</f>
        <v>0</v>
      </c>
      <c r="V611" s="72" t="b">
        <f>IF(Tab.11[[#This Row],[a1]]=1,Tab.11[[#This Row],[target]]-Tab.11[[#This Row],[Blue]])</f>
        <v>0</v>
      </c>
      <c r="W611" s="73" t="b">
        <f>IF(Tab.11[[#This Row],[a1]]=1,IF(ABS(Tab.11[[#This Row],[b17]])+ABS(Tab.11[[#This Row],[b18]])&lt;$W$2,$W$2,ABS(Tab.11[[#This Row],[b17]])+ABS(Tab.11[[#This Row],[b18]])))</f>
        <v>0</v>
      </c>
      <c r="X611" s="136" t="b">
        <f>IF(Tab.11[[#This Row],[a1]]=1,IF($W$3&lt;0,Tab.11[[#This Row],[IN]]-$I$3,Tab.11[[#This Row],[IN]]))</f>
        <v>0</v>
      </c>
      <c r="Y611" s="136" t="b">
        <f>IF(Tab.11[[#This Row],[a1]]=1,IF($X$3=0,Tab.11[b66],Tab.11[[#This Row],[b66]]-AVERAGE(Tab.11[b66])))</f>
        <v>0</v>
      </c>
      <c r="Z611" s="135" t="b">
        <f>IF(Tab.11[[#This Row],[a1]]=1,Tab.11[[#This Row],[b77]]/(_xlfn.STDEV.P(Tab.11[b77])))</f>
        <v>0</v>
      </c>
      <c r="AA611" s="70" t="b">
        <f>IF(Tab.11[[#This Row],[a1]]=1,_xlfn.NORM.DIST(Tab.11[[#This Row],[b88]],$Z$1,$AA$1,FALSE))</f>
        <v>0</v>
      </c>
      <c r="AB611" s="74" t="b">
        <f>IF(Tab.11[[#This Row],[a1]]=1,IF($A$3=0,FALSE,1/Tab.11[[#This Row],[IN]]*$AC$2*IF(Tab.11[[#This Row],[a1]]=0,,$A$3*$AC$1*1/$V$3*(Tab.11[[#This Row],[b14]]))))</f>
        <v>0</v>
      </c>
      <c r="AC611" s="75" t="b">
        <f>IF(Tab.11[[#This Row],[a1]]=1,IF($AC$3=0,Tab.11[[#This Row],[φ1]],Tab.11[[#This Row],[φ1]]/MAX(Tab.11[φ1])))</f>
        <v>0</v>
      </c>
      <c r="AD611" s="74" t="b">
        <f>IF(Tab.11[[#This Row],[a1]]=1,1/Tab.11[[#This Row],[φ2]])</f>
        <v>0</v>
      </c>
      <c r="AE611" s="74" t="b">
        <f>IF(Tab.11[[#This Row],[a1]]=1,IF($AE$3=0,Tab.11[[#This Row],[w.0]],Tab.11[[#This Row],[w.0]]/SUM(Tab.11[w.0])))</f>
        <v>0</v>
      </c>
      <c r="AF611" s="76" t="str">
        <f>IF(Tab.11[[#This Row],[a1]]=0,"false",[3]!Tab.x5[[#This Row],[%_seN_C]])</f>
        <v>false</v>
      </c>
      <c r="AG611" s="77" t="b">
        <f>IF(Tab.11[[#This Row],[a1]]=1,AP611)</f>
        <v>0</v>
      </c>
      <c r="AH611" s="78" t="b">
        <f>IF(Tab.11[[#This Row],[a1]]=1,AQ611)</f>
        <v>0</v>
      </c>
      <c r="AI611" s="41">
        <v>3.0000000000000001E-3</v>
      </c>
      <c r="AJ611" s="79">
        <v>0.04</v>
      </c>
      <c r="AK611" s="80" t="b">
        <f>IF(Tab.11[[#This Row],[a1]]=1,1)</f>
        <v>0</v>
      </c>
      <c r="AZ611"/>
    </row>
    <row r="612" spans="1:52" hidden="1" x14ac:dyDescent="0.25">
      <c r="A612" s="61">
        <f t="shared" si="21"/>
        <v>0</v>
      </c>
      <c r="B612" s="62">
        <f t="shared" si="21"/>
        <v>0</v>
      </c>
      <c r="C612" s="62" t="b">
        <f>IF(Tab.11[[#This Row],[a1]]=1,[3]!Tab_x1[[#This Row],[Name]])</f>
        <v>0</v>
      </c>
      <c r="D612" s="63" t="b">
        <f>IF(Tab.11[[#This Row],[a1]]=1,AO612)</f>
        <v>0</v>
      </c>
      <c r="E612" s="63">
        <f t="shared" si="20"/>
        <v>0</v>
      </c>
      <c r="F612" s="64" t="b">
        <f>IF(Tab.11[[#This Row],[a1]]=1,Tab.11[[#This Row],[b1]])</f>
        <v>0</v>
      </c>
      <c r="G612" s="65" t="b">
        <f>IF(Tab.11[[#This Row],[a1]]=1,IF(Tab.11[[#This Row],[b3]]&gt;$L$989*$G$3,$L$989*$G$3,IF(Tab.11[[#This Row],[b3]]&lt;$M$989*$G$3,$M$989*$G$3,Tab.11[[#This Row],[b3]])))</f>
        <v>0</v>
      </c>
      <c r="H612" s="66" t="b">
        <f>IF(Tab.11[[#This Row],[a1]]=1,Tab.11[[#This Row],[b1]])</f>
        <v>0</v>
      </c>
      <c r="I612" s="67" t="b">
        <f>IF(Tab.11[[#This Row],[a1]]=1,Tab.11[[#This Row],[b1]])</f>
        <v>0</v>
      </c>
      <c r="J612" s="68" t="b">
        <f>IF(Tab.11[[#This Row],[a1]]=1,IF($I$3&lt;0,Tab.11[[#This Row],[b5]]-$I$3,Tab.11[[#This Row],[b5]]))</f>
        <v>0</v>
      </c>
      <c r="K612" s="68" t="b">
        <f>IF(Tab.11[[#This Row],[a1]]=1,IF($K$3=0,Tab.11[b6],Tab.11[[#This Row],[b6]]-AVERAGE(Tab.11[b6])))</f>
        <v>0</v>
      </c>
      <c r="L612" s="69" t="b">
        <f>IF(Tab.11[[#This Row],[a1]]=1,Tab.11[[#This Row],[data]]/(_xlfn.STDEV.P(Tab.11[data])*$B$989)+$A$989)</f>
        <v>0</v>
      </c>
      <c r="M612" s="69" t="b">
        <f>IF(Tab.11[[#This Row],[a1]]=1,Tab.11[[#This Row],[data]]/(_xlfn.STDEV.P(Tab.11[data])*$B$987)-$A$987)</f>
        <v>0</v>
      </c>
      <c r="N612" s="69" t="b">
        <f>IF(Tab.11[[#This Row],[a1]]=1,Tab.11[[#This Row],[data]]/(_xlfn.STDEV.P(Tab.11[data])*$B$988)+$A$988)</f>
        <v>0</v>
      </c>
      <c r="O612" s="70" t="b">
        <f>IF(Tab.11[[#This Row],[a1]]=1,_xlfn.NORM.DIST(Tab.11[[#This Row],[b8]],$P$1,$Q$1,FALSE))</f>
        <v>0</v>
      </c>
      <c r="P612" s="70" t="b">
        <f>IF(Tab.11[[#This Row],[a1]]=1,_xlfn.NORM.DIST(Tab.11[[#This Row],[b9]],$P$1,$Q$1,FALSE))</f>
        <v>0</v>
      </c>
      <c r="Q612" s="70" t="b">
        <f>IF(Tab.11[[#This Row],[a1]]=1,_xlfn.NORM.DIST(Tab.11[[#This Row],[b10]],$P$1,$Q$1,FALSE))</f>
        <v>0</v>
      </c>
      <c r="R612" s="67" t="b">
        <f>IF(Tab.11[[#This Row],[a1]]=1,$I$3+$A$989+IF($K$3=0,Tab.11[[#This Row],[b8]]*_xlfn.STDEV.P(Tab.11[data]),AVERAGE(Tab.11[b6])+Tab.11[[#This Row],[b8]]*_xlfn.STDEV.P(Tab.11[data])))</f>
        <v>0</v>
      </c>
      <c r="S612" s="71" t="b">
        <f>IF(Tab.11[[#This Row],[a1]]=1,$I$3+$A$987+IF($K$3=0,Tab.11[[#This Row],[b9]]*_xlfn.STDEV.P(Tab.11[data]),AVERAGE(Tab.11[b6])+Tab.11[[#This Row],[b9]]*_xlfn.STDEV.P(Tab.11[data])))</f>
        <v>0</v>
      </c>
      <c r="T612" s="71" t="b">
        <f>IF(Tab.11[[#This Row],[a1]]=1,$I$3+$A$988+IF($K$3=0,Tab.11[[#This Row],[b10]]*_xlfn.STDEV.P(Tab.11[data]),AVERAGE(Tab.11[b6])+Tab.11[[#This Row],[b10]]*_xlfn.STDEV.P(Tab.11[data])))</f>
        <v>0</v>
      </c>
      <c r="U612" s="72" t="b">
        <f>IF(Tab.11[[#This Row],[a1]]=1,Tab.11[[#This Row],[target]]-Tab.11[[#This Row],[Red]])</f>
        <v>0</v>
      </c>
      <c r="V612" s="72" t="b">
        <f>IF(Tab.11[[#This Row],[a1]]=1,Tab.11[[#This Row],[target]]-Tab.11[[#This Row],[Blue]])</f>
        <v>0</v>
      </c>
      <c r="W612" s="73" t="b">
        <f>IF(Tab.11[[#This Row],[a1]]=1,IF(ABS(Tab.11[[#This Row],[b17]])+ABS(Tab.11[[#This Row],[b18]])&lt;$W$2,$W$2,ABS(Tab.11[[#This Row],[b17]])+ABS(Tab.11[[#This Row],[b18]])))</f>
        <v>0</v>
      </c>
      <c r="X612" s="136" t="b">
        <f>IF(Tab.11[[#This Row],[a1]]=1,IF($W$3&lt;0,Tab.11[[#This Row],[IN]]-$I$3,Tab.11[[#This Row],[IN]]))</f>
        <v>0</v>
      </c>
      <c r="Y612" s="136" t="b">
        <f>IF(Tab.11[[#This Row],[a1]]=1,IF($X$3=0,Tab.11[b66],Tab.11[[#This Row],[b66]]-AVERAGE(Tab.11[b66])))</f>
        <v>0</v>
      </c>
      <c r="Z612" s="135" t="b">
        <f>IF(Tab.11[[#This Row],[a1]]=1,Tab.11[[#This Row],[b77]]/(_xlfn.STDEV.P(Tab.11[b77])))</f>
        <v>0</v>
      </c>
      <c r="AA612" s="70" t="b">
        <f>IF(Tab.11[[#This Row],[a1]]=1,_xlfn.NORM.DIST(Tab.11[[#This Row],[b88]],$Z$1,$AA$1,FALSE))</f>
        <v>0</v>
      </c>
      <c r="AB612" s="74" t="b">
        <f>IF(Tab.11[[#This Row],[a1]]=1,IF($A$3=0,FALSE,1/Tab.11[[#This Row],[IN]]*$AC$2*IF(Tab.11[[#This Row],[a1]]=0,,$A$3*$AC$1*1/$V$3*(Tab.11[[#This Row],[b14]]))))</f>
        <v>0</v>
      </c>
      <c r="AC612" s="75" t="b">
        <f>IF(Tab.11[[#This Row],[a1]]=1,IF($AC$3=0,Tab.11[[#This Row],[φ1]],Tab.11[[#This Row],[φ1]]/MAX(Tab.11[φ1])))</f>
        <v>0</v>
      </c>
      <c r="AD612" s="74" t="b">
        <f>IF(Tab.11[[#This Row],[a1]]=1,1/Tab.11[[#This Row],[φ2]])</f>
        <v>0</v>
      </c>
      <c r="AE612" s="74" t="b">
        <f>IF(Tab.11[[#This Row],[a1]]=1,IF($AE$3=0,Tab.11[[#This Row],[w.0]],Tab.11[[#This Row],[w.0]]/SUM(Tab.11[w.0])))</f>
        <v>0</v>
      </c>
      <c r="AF612" s="76" t="str">
        <f>IF(Tab.11[[#This Row],[a1]]=0,"false",[3]!Tab.x5[[#This Row],[%_seN_C]])</f>
        <v>false</v>
      </c>
      <c r="AG612" s="77" t="b">
        <f>IF(Tab.11[[#This Row],[a1]]=1,AP612)</f>
        <v>0</v>
      </c>
      <c r="AH612" s="78" t="b">
        <f>IF(Tab.11[[#This Row],[a1]]=1,AQ612)</f>
        <v>0</v>
      </c>
      <c r="AI612" s="41">
        <v>3.0000000000000001E-3</v>
      </c>
      <c r="AJ612" s="79">
        <v>0.1</v>
      </c>
      <c r="AK612" s="80" t="b">
        <f>IF(Tab.11[[#This Row],[a1]]=1,1)</f>
        <v>0</v>
      </c>
      <c r="AZ612"/>
    </row>
    <row r="613" spans="1:52" hidden="1" x14ac:dyDescent="0.25">
      <c r="A613" s="61">
        <f t="shared" si="21"/>
        <v>0</v>
      </c>
      <c r="B613" s="62">
        <f t="shared" si="21"/>
        <v>0</v>
      </c>
      <c r="C613" s="62" t="b">
        <f>IF(Tab.11[[#This Row],[a1]]=1,[3]!Tab_x1[[#This Row],[Name]])</f>
        <v>0</v>
      </c>
      <c r="D613" s="63" t="b">
        <f>IF(Tab.11[[#This Row],[a1]]=1,AO613)</f>
        <v>0</v>
      </c>
      <c r="E613" s="63">
        <f t="shared" si="20"/>
        <v>0</v>
      </c>
      <c r="F613" s="64" t="b">
        <f>IF(Tab.11[[#This Row],[a1]]=1,Tab.11[[#This Row],[b1]])</f>
        <v>0</v>
      </c>
      <c r="G613" s="65" t="b">
        <f>IF(Tab.11[[#This Row],[a1]]=1,IF(Tab.11[[#This Row],[b3]]&gt;$L$989*$G$3,$L$989*$G$3,IF(Tab.11[[#This Row],[b3]]&lt;$M$989*$G$3,$M$989*$G$3,Tab.11[[#This Row],[b3]])))</f>
        <v>0</v>
      </c>
      <c r="H613" s="66" t="b">
        <f>IF(Tab.11[[#This Row],[a1]]=1,Tab.11[[#This Row],[b1]])</f>
        <v>0</v>
      </c>
      <c r="I613" s="67" t="b">
        <f>IF(Tab.11[[#This Row],[a1]]=1,Tab.11[[#This Row],[b1]])</f>
        <v>0</v>
      </c>
      <c r="J613" s="68" t="b">
        <f>IF(Tab.11[[#This Row],[a1]]=1,IF($I$3&lt;0,Tab.11[[#This Row],[b5]]-$I$3,Tab.11[[#This Row],[b5]]))</f>
        <v>0</v>
      </c>
      <c r="K613" s="68" t="b">
        <f>IF(Tab.11[[#This Row],[a1]]=1,IF($K$3=0,Tab.11[b6],Tab.11[[#This Row],[b6]]-AVERAGE(Tab.11[b6])))</f>
        <v>0</v>
      </c>
      <c r="L613" s="69" t="b">
        <f>IF(Tab.11[[#This Row],[a1]]=1,Tab.11[[#This Row],[data]]/(_xlfn.STDEV.P(Tab.11[data])*$B$989)+$A$989)</f>
        <v>0</v>
      </c>
      <c r="M613" s="69" t="b">
        <f>IF(Tab.11[[#This Row],[a1]]=1,Tab.11[[#This Row],[data]]/(_xlfn.STDEV.P(Tab.11[data])*$B$987)-$A$987)</f>
        <v>0</v>
      </c>
      <c r="N613" s="69" t="b">
        <f>IF(Tab.11[[#This Row],[a1]]=1,Tab.11[[#This Row],[data]]/(_xlfn.STDEV.P(Tab.11[data])*$B$988)+$A$988)</f>
        <v>0</v>
      </c>
      <c r="O613" s="70" t="b">
        <f>IF(Tab.11[[#This Row],[a1]]=1,_xlfn.NORM.DIST(Tab.11[[#This Row],[b8]],$P$1,$Q$1,FALSE))</f>
        <v>0</v>
      </c>
      <c r="P613" s="70" t="b">
        <f>IF(Tab.11[[#This Row],[a1]]=1,_xlfn.NORM.DIST(Tab.11[[#This Row],[b9]],$P$1,$Q$1,FALSE))</f>
        <v>0</v>
      </c>
      <c r="Q613" s="70" t="b">
        <f>IF(Tab.11[[#This Row],[a1]]=1,_xlfn.NORM.DIST(Tab.11[[#This Row],[b10]],$P$1,$Q$1,FALSE))</f>
        <v>0</v>
      </c>
      <c r="R613" s="67" t="b">
        <f>IF(Tab.11[[#This Row],[a1]]=1,$I$3+$A$989+IF($K$3=0,Tab.11[[#This Row],[b8]]*_xlfn.STDEV.P(Tab.11[data]),AVERAGE(Tab.11[b6])+Tab.11[[#This Row],[b8]]*_xlfn.STDEV.P(Tab.11[data])))</f>
        <v>0</v>
      </c>
      <c r="S613" s="71" t="b">
        <f>IF(Tab.11[[#This Row],[a1]]=1,$I$3+$A$987+IF($K$3=0,Tab.11[[#This Row],[b9]]*_xlfn.STDEV.P(Tab.11[data]),AVERAGE(Tab.11[b6])+Tab.11[[#This Row],[b9]]*_xlfn.STDEV.P(Tab.11[data])))</f>
        <v>0</v>
      </c>
      <c r="T613" s="71" t="b">
        <f>IF(Tab.11[[#This Row],[a1]]=1,$I$3+$A$988+IF($K$3=0,Tab.11[[#This Row],[b10]]*_xlfn.STDEV.P(Tab.11[data]),AVERAGE(Tab.11[b6])+Tab.11[[#This Row],[b10]]*_xlfn.STDEV.P(Tab.11[data])))</f>
        <v>0</v>
      </c>
      <c r="U613" s="72" t="b">
        <f>IF(Tab.11[[#This Row],[a1]]=1,Tab.11[[#This Row],[target]]-Tab.11[[#This Row],[Red]])</f>
        <v>0</v>
      </c>
      <c r="V613" s="72" t="b">
        <f>IF(Tab.11[[#This Row],[a1]]=1,Tab.11[[#This Row],[target]]-Tab.11[[#This Row],[Blue]])</f>
        <v>0</v>
      </c>
      <c r="W613" s="73" t="b">
        <f>IF(Tab.11[[#This Row],[a1]]=1,IF(ABS(Tab.11[[#This Row],[b17]])+ABS(Tab.11[[#This Row],[b18]])&lt;$W$2,$W$2,ABS(Tab.11[[#This Row],[b17]])+ABS(Tab.11[[#This Row],[b18]])))</f>
        <v>0</v>
      </c>
      <c r="X613" s="136" t="b">
        <f>IF(Tab.11[[#This Row],[a1]]=1,IF($W$3&lt;0,Tab.11[[#This Row],[IN]]-$I$3,Tab.11[[#This Row],[IN]]))</f>
        <v>0</v>
      </c>
      <c r="Y613" s="136" t="b">
        <f>IF(Tab.11[[#This Row],[a1]]=1,IF($X$3=0,Tab.11[b66],Tab.11[[#This Row],[b66]]-AVERAGE(Tab.11[b66])))</f>
        <v>0</v>
      </c>
      <c r="Z613" s="135" t="b">
        <f>IF(Tab.11[[#This Row],[a1]]=1,Tab.11[[#This Row],[b77]]/(_xlfn.STDEV.P(Tab.11[b77])))</f>
        <v>0</v>
      </c>
      <c r="AA613" s="70" t="b">
        <f>IF(Tab.11[[#This Row],[a1]]=1,_xlfn.NORM.DIST(Tab.11[[#This Row],[b88]],$Z$1,$AA$1,FALSE))</f>
        <v>0</v>
      </c>
      <c r="AB613" s="74" t="b">
        <f>IF(Tab.11[[#This Row],[a1]]=1,IF($A$3=0,FALSE,1/Tab.11[[#This Row],[IN]]*$AC$2*IF(Tab.11[[#This Row],[a1]]=0,,$A$3*$AC$1*1/$V$3*(Tab.11[[#This Row],[b14]]))))</f>
        <v>0</v>
      </c>
      <c r="AC613" s="75" t="b">
        <f>IF(Tab.11[[#This Row],[a1]]=1,IF($AC$3=0,Tab.11[[#This Row],[φ1]],Tab.11[[#This Row],[φ1]]/MAX(Tab.11[φ1])))</f>
        <v>0</v>
      </c>
      <c r="AD613" s="74" t="b">
        <f>IF(Tab.11[[#This Row],[a1]]=1,1/Tab.11[[#This Row],[φ2]])</f>
        <v>0</v>
      </c>
      <c r="AE613" s="74" t="b">
        <f>IF(Tab.11[[#This Row],[a1]]=1,IF($AE$3=0,Tab.11[[#This Row],[w.0]],Tab.11[[#This Row],[w.0]]/SUM(Tab.11[w.0])))</f>
        <v>0</v>
      </c>
      <c r="AF613" s="76" t="str">
        <f>IF(Tab.11[[#This Row],[a1]]=0,"false",[3]!Tab.x5[[#This Row],[%_seN_C]])</f>
        <v>false</v>
      </c>
      <c r="AG613" s="77" t="b">
        <f>IF(Tab.11[[#This Row],[a1]]=1,AP613)</f>
        <v>0</v>
      </c>
      <c r="AH613" s="78" t="b">
        <f>IF(Tab.11[[#This Row],[a1]]=1,AQ613)</f>
        <v>0</v>
      </c>
      <c r="AI613" s="41">
        <v>3.0000000000000001E-3</v>
      </c>
      <c r="AJ613" s="79">
        <v>-0.01</v>
      </c>
      <c r="AK613" s="80" t="b">
        <f>IF(Tab.11[[#This Row],[a1]]=1,1)</f>
        <v>0</v>
      </c>
      <c r="AZ613"/>
    </row>
    <row r="614" spans="1:52" hidden="1" x14ac:dyDescent="0.25">
      <c r="A614" s="61">
        <f t="shared" si="21"/>
        <v>0</v>
      </c>
      <c r="B614" s="62">
        <f t="shared" si="21"/>
        <v>0</v>
      </c>
      <c r="C614" s="62" t="b">
        <f>IF(Tab.11[[#This Row],[a1]]=1,[3]!Tab_x1[[#This Row],[Name]])</f>
        <v>0</v>
      </c>
      <c r="D614" s="63" t="b">
        <f>IF(Tab.11[[#This Row],[a1]]=1,AO614)</f>
        <v>0</v>
      </c>
      <c r="E614" s="63">
        <f t="shared" si="20"/>
        <v>0</v>
      </c>
      <c r="F614" s="64" t="b">
        <f>IF(Tab.11[[#This Row],[a1]]=1,Tab.11[[#This Row],[b1]])</f>
        <v>0</v>
      </c>
      <c r="G614" s="65" t="b">
        <f>IF(Tab.11[[#This Row],[a1]]=1,IF(Tab.11[[#This Row],[b3]]&gt;$L$989*$G$3,$L$989*$G$3,IF(Tab.11[[#This Row],[b3]]&lt;$M$989*$G$3,$M$989*$G$3,Tab.11[[#This Row],[b3]])))</f>
        <v>0</v>
      </c>
      <c r="H614" s="66" t="b">
        <f>IF(Tab.11[[#This Row],[a1]]=1,Tab.11[[#This Row],[b1]])</f>
        <v>0</v>
      </c>
      <c r="I614" s="67" t="b">
        <f>IF(Tab.11[[#This Row],[a1]]=1,Tab.11[[#This Row],[b1]])</f>
        <v>0</v>
      </c>
      <c r="J614" s="68" t="b">
        <f>IF(Tab.11[[#This Row],[a1]]=1,IF($I$3&lt;0,Tab.11[[#This Row],[b5]]-$I$3,Tab.11[[#This Row],[b5]]))</f>
        <v>0</v>
      </c>
      <c r="K614" s="68" t="b">
        <f>IF(Tab.11[[#This Row],[a1]]=1,IF($K$3=0,Tab.11[b6],Tab.11[[#This Row],[b6]]-AVERAGE(Tab.11[b6])))</f>
        <v>0</v>
      </c>
      <c r="L614" s="69" t="b">
        <f>IF(Tab.11[[#This Row],[a1]]=1,Tab.11[[#This Row],[data]]/(_xlfn.STDEV.P(Tab.11[data])*$B$989)+$A$989)</f>
        <v>0</v>
      </c>
      <c r="M614" s="69" t="b">
        <f>IF(Tab.11[[#This Row],[a1]]=1,Tab.11[[#This Row],[data]]/(_xlfn.STDEV.P(Tab.11[data])*$B$987)-$A$987)</f>
        <v>0</v>
      </c>
      <c r="N614" s="69" t="b">
        <f>IF(Tab.11[[#This Row],[a1]]=1,Tab.11[[#This Row],[data]]/(_xlfn.STDEV.P(Tab.11[data])*$B$988)+$A$988)</f>
        <v>0</v>
      </c>
      <c r="O614" s="70" t="b">
        <f>IF(Tab.11[[#This Row],[a1]]=1,_xlfn.NORM.DIST(Tab.11[[#This Row],[b8]],$P$1,$Q$1,FALSE))</f>
        <v>0</v>
      </c>
      <c r="P614" s="70" t="b">
        <f>IF(Tab.11[[#This Row],[a1]]=1,_xlfn.NORM.DIST(Tab.11[[#This Row],[b9]],$P$1,$Q$1,FALSE))</f>
        <v>0</v>
      </c>
      <c r="Q614" s="70" t="b">
        <f>IF(Tab.11[[#This Row],[a1]]=1,_xlfn.NORM.DIST(Tab.11[[#This Row],[b10]],$P$1,$Q$1,FALSE))</f>
        <v>0</v>
      </c>
      <c r="R614" s="67" t="b">
        <f>IF(Tab.11[[#This Row],[a1]]=1,$I$3+$A$989+IF($K$3=0,Tab.11[[#This Row],[b8]]*_xlfn.STDEV.P(Tab.11[data]),AVERAGE(Tab.11[b6])+Tab.11[[#This Row],[b8]]*_xlfn.STDEV.P(Tab.11[data])))</f>
        <v>0</v>
      </c>
      <c r="S614" s="71" t="b">
        <f>IF(Tab.11[[#This Row],[a1]]=1,$I$3+$A$987+IF($K$3=0,Tab.11[[#This Row],[b9]]*_xlfn.STDEV.P(Tab.11[data]),AVERAGE(Tab.11[b6])+Tab.11[[#This Row],[b9]]*_xlfn.STDEV.P(Tab.11[data])))</f>
        <v>0</v>
      </c>
      <c r="T614" s="71" t="b">
        <f>IF(Tab.11[[#This Row],[a1]]=1,$I$3+$A$988+IF($K$3=0,Tab.11[[#This Row],[b10]]*_xlfn.STDEV.P(Tab.11[data]),AVERAGE(Tab.11[b6])+Tab.11[[#This Row],[b10]]*_xlfn.STDEV.P(Tab.11[data])))</f>
        <v>0</v>
      </c>
      <c r="U614" s="72" t="b">
        <f>IF(Tab.11[[#This Row],[a1]]=1,Tab.11[[#This Row],[target]]-Tab.11[[#This Row],[Red]])</f>
        <v>0</v>
      </c>
      <c r="V614" s="72" t="b">
        <f>IF(Tab.11[[#This Row],[a1]]=1,Tab.11[[#This Row],[target]]-Tab.11[[#This Row],[Blue]])</f>
        <v>0</v>
      </c>
      <c r="W614" s="73" t="b">
        <f>IF(Tab.11[[#This Row],[a1]]=1,IF(ABS(Tab.11[[#This Row],[b17]])+ABS(Tab.11[[#This Row],[b18]])&lt;$W$2,$W$2,ABS(Tab.11[[#This Row],[b17]])+ABS(Tab.11[[#This Row],[b18]])))</f>
        <v>0</v>
      </c>
      <c r="X614" s="136" t="b">
        <f>IF(Tab.11[[#This Row],[a1]]=1,IF($W$3&lt;0,Tab.11[[#This Row],[IN]]-$I$3,Tab.11[[#This Row],[IN]]))</f>
        <v>0</v>
      </c>
      <c r="Y614" s="136" t="b">
        <f>IF(Tab.11[[#This Row],[a1]]=1,IF($X$3=0,Tab.11[b66],Tab.11[[#This Row],[b66]]-AVERAGE(Tab.11[b66])))</f>
        <v>0</v>
      </c>
      <c r="Z614" s="135" t="b">
        <f>IF(Tab.11[[#This Row],[a1]]=1,Tab.11[[#This Row],[b77]]/(_xlfn.STDEV.P(Tab.11[b77])))</f>
        <v>0</v>
      </c>
      <c r="AA614" s="70" t="b">
        <f>IF(Tab.11[[#This Row],[a1]]=1,_xlfn.NORM.DIST(Tab.11[[#This Row],[b88]],$Z$1,$AA$1,FALSE))</f>
        <v>0</v>
      </c>
      <c r="AB614" s="74" t="b">
        <f>IF(Tab.11[[#This Row],[a1]]=1,IF($A$3=0,FALSE,1/Tab.11[[#This Row],[IN]]*$AC$2*IF(Tab.11[[#This Row],[a1]]=0,,$A$3*$AC$1*1/$V$3*(Tab.11[[#This Row],[b14]]))))</f>
        <v>0</v>
      </c>
      <c r="AC614" s="75" t="b">
        <f>IF(Tab.11[[#This Row],[a1]]=1,IF($AC$3=0,Tab.11[[#This Row],[φ1]],Tab.11[[#This Row],[φ1]]/MAX(Tab.11[φ1])))</f>
        <v>0</v>
      </c>
      <c r="AD614" s="74" t="b">
        <f>IF(Tab.11[[#This Row],[a1]]=1,1/Tab.11[[#This Row],[φ2]])</f>
        <v>0</v>
      </c>
      <c r="AE614" s="74" t="b">
        <f>IF(Tab.11[[#This Row],[a1]]=1,IF($AE$3=0,Tab.11[[#This Row],[w.0]],Tab.11[[#This Row],[w.0]]/SUM(Tab.11[w.0])))</f>
        <v>0</v>
      </c>
      <c r="AF614" s="76" t="str">
        <f>IF(Tab.11[[#This Row],[a1]]=0,"false",[3]!Tab.x5[[#This Row],[%_seN_C]])</f>
        <v>false</v>
      </c>
      <c r="AG614" s="77" t="b">
        <f>IF(Tab.11[[#This Row],[a1]]=1,AP614)</f>
        <v>0</v>
      </c>
      <c r="AH614" s="78" t="b">
        <f>IF(Tab.11[[#This Row],[a1]]=1,AQ614)</f>
        <v>0</v>
      </c>
      <c r="AI614" s="41">
        <v>3.0000000000000001E-3</v>
      </c>
      <c r="AJ614" s="79">
        <v>0.05</v>
      </c>
      <c r="AK614" s="80" t="b">
        <f>IF(Tab.11[[#This Row],[a1]]=1,1)</f>
        <v>0</v>
      </c>
      <c r="AZ614"/>
    </row>
    <row r="615" spans="1:52" hidden="1" x14ac:dyDescent="0.25">
      <c r="A615" s="61">
        <f t="shared" si="21"/>
        <v>0</v>
      </c>
      <c r="B615" s="62">
        <f t="shared" si="21"/>
        <v>0</v>
      </c>
      <c r="C615" s="62" t="b">
        <f>IF(Tab.11[[#This Row],[a1]]=1,[3]!Tab_x1[[#This Row],[Name]])</f>
        <v>0</v>
      </c>
      <c r="D615" s="63" t="b">
        <f>IF(Tab.11[[#This Row],[a1]]=1,AO615)</f>
        <v>0</v>
      </c>
      <c r="E615" s="63">
        <f t="shared" si="20"/>
        <v>0</v>
      </c>
      <c r="F615" s="64" t="b">
        <f>IF(Tab.11[[#This Row],[a1]]=1,Tab.11[[#This Row],[b1]])</f>
        <v>0</v>
      </c>
      <c r="G615" s="65" t="b">
        <f>IF(Tab.11[[#This Row],[a1]]=1,IF(Tab.11[[#This Row],[b3]]&gt;$L$989*$G$3,$L$989*$G$3,IF(Tab.11[[#This Row],[b3]]&lt;$M$989*$G$3,$M$989*$G$3,Tab.11[[#This Row],[b3]])))</f>
        <v>0</v>
      </c>
      <c r="H615" s="66" t="b">
        <f>IF(Tab.11[[#This Row],[a1]]=1,Tab.11[[#This Row],[b1]])</f>
        <v>0</v>
      </c>
      <c r="I615" s="67" t="b">
        <f>IF(Tab.11[[#This Row],[a1]]=1,Tab.11[[#This Row],[b1]])</f>
        <v>0</v>
      </c>
      <c r="J615" s="68" t="b">
        <f>IF(Tab.11[[#This Row],[a1]]=1,IF($I$3&lt;0,Tab.11[[#This Row],[b5]]-$I$3,Tab.11[[#This Row],[b5]]))</f>
        <v>0</v>
      </c>
      <c r="K615" s="68" t="b">
        <f>IF(Tab.11[[#This Row],[a1]]=1,IF($K$3=0,Tab.11[b6],Tab.11[[#This Row],[b6]]-AVERAGE(Tab.11[b6])))</f>
        <v>0</v>
      </c>
      <c r="L615" s="69" t="b">
        <f>IF(Tab.11[[#This Row],[a1]]=1,Tab.11[[#This Row],[data]]/(_xlfn.STDEV.P(Tab.11[data])*$B$989)+$A$989)</f>
        <v>0</v>
      </c>
      <c r="M615" s="69" t="b">
        <f>IF(Tab.11[[#This Row],[a1]]=1,Tab.11[[#This Row],[data]]/(_xlfn.STDEV.P(Tab.11[data])*$B$987)-$A$987)</f>
        <v>0</v>
      </c>
      <c r="N615" s="69" t="b">
        <f>IF(Tab.11[[#This Row],[a1]]=1,Tab.11[[#This Row],[data]]/(_xlfn.STDEV.P(Tab.11[data])*$B$988)+$A$988)</f>
        <v>0</v>
      </c>
      <c r="O615" s="70" t="b">
        <f>IF(Tab.11[[#This Row],[a1]]=1,_xlfn.NORM.DIST(Tab.11[[#This Row],[b8]],$P$1,$Q$1,FALSE))</f>
        <v>0</v>
      </c>
      <c r="P615" s="70" t="b">
        <f>IF(Tab.11[[#This Row],[a1]]=1,_xlfn.NORM.DIST(Tab.11[[#This Row],[b9]],$P$1,$Q$1,FALSE))</f>
        <v>0</v>
      </c>
      <c r="Q615" s="70" t="b">
        <f>IF(Tab.11[[#This Row],[a1]]=1,_xlfn.NORM.DIST(Tab.11[[#This Row],[b10]],$P$1,$Q$1,FALSE))</f>
        <v>0</v>
      </c>
      <c r="R615" s="67" t="b">
        <f>IF(Tab.11[[#This Row],[a1]]=1,$I$3+$A$989+IF($K$3=0,Tab.11[[#This Row],[b8]]*_xlfn.STDEV.P(Tab.11[data]),AVERAGE(Tab.11[b6])+Tab.11[[#This Row],[b8]]*_xlfn.STDEV.P(Tab.11[data])))</f>
        <v>0</v>
      </c>
      <c r="S615" s="71" t="b">
        <f>IF(Tab.11[[#This Row],[a1]]=1,$I$3+$A$987+IF($K$3=0,Tab.11[[#This Row],[b9]]*_xlfn.STDEV.P(Tab.11[data]),AVERAGE(Tab.11[b6])+Tab.11[[#This Row],[b9]]*_xlfn.STDEV.P(Tab.11[data])))</f>
        <v>0</v>
      </c>
      <c r="T615" s="71" t="b">
        <f>IF(Tab.11[[#This Row],[a1]]=1,$I$3+$A$988+IF($K$3=0,Tab.11[[#This Row],[b10]]*_xlfn.STDEV.P(Tab.11[data]),AVERAGE(Tab.11[b6])+Tab.11[[#This Row],[b10]]*_xlfn.STDEV.P(Tab.11[data])))</f>
        <v>0</v>
      </c>
      <c r="U615" s="72" t="b">
        <f>IF(Tab.11[[#This Row],[a1]]=1,Tab.11[[#This Row],[target]]-Tab.11[[#This Row],[Red]])</f>
        <v>0</v>
      </c>
      <c r="V615" s="72" t="b">
        <f>IF(Tab.11[[#This Row],[a1]]=1,Tab.11[[#This Row],[target]]-Tab.11[[#This Row],[Blue]])</f>
        <v>0</v>
      </c>
      <c r="W615" s="73" t="b">
        <f>IF(Tab.11[[#This Row],[a1]]=1,IF(ABS(Tab.11[[#This Row],[b17]])+ABS(Tab.11[[#This Row],[b18]])&lt;$W$2,$W$2,ABS(Tab.11[[#This Row],[b17]])+ABS(Tab.11[[#This Row],[b18]])))</f>
        <v>0</v>
      </c>
      <c r="X615" s="136" t="b">
        <f>IF(Tab.11[[#This Row],[a1]]=1,IF($W$3&lt;0,Tab.11[[#This Row],[IN]]-$I$3,Tab.11[[#This Row],[IN]]))</f>
        <v>0</v>
      </c>
      <c r="Y615" s="136" t="b">
        <f>IF(Tab.11[[#This Row],[a1]]=1,IF($X$3=0,Tab.11[b66],Tab.11[[#This Row],[b66]]-AVERAGE(Tab.11[b66])))</f>
        <v>0</v>
      </c>
      <c r="Z615" s="135" t="b">
        <f>IF(Tab.11[[#This Row],[a1]]=1,Tab.11[[#This Row],[b77]]/(_xlfn.STDEV.P(Tab.11[b77])))</f>
        <v>0</v>
      </c>
      <c r="AA615" s="70" t="b">
        <f>IF(Tab.11[[#This Row],[a1]]=1,_xlfn.NORM.DIST(Tab.11[[#This Row],[b88]],$Z$1,$AA$1,FALSE))</f>
        <v>0</v>
      </c>
      <c r="AB615" s="74" t="b">
        <f>IF(Tab.11[[#This Row],[a1]]=1,IF($A$3=0,FALSE,1/Tab.11[[#This Row],[IN]]*$AC$2*IF(Tab.11[[#This Row],[a1]]=0,,$A$3*$AC$1*1/$V$3*(Tab.11[[#This Row],[b14]]))))</f>
        <v>0</v>
      </c>
      <c r="AC615" s="75" t="b">
        <f>IF(Tab.11[[#This Row],[a1]]=1,IF($AC$3=0,Tab.11[[#This Row],[φ1]],Tab.11[[#This Row],[φ1]]/MAX(Tab.11[φ1])))</f>
        <v>0</v>
      </c>
      <c r="AD615" s="74" t="b">
        <f>IF(Tab.11[[#This Row],[a1]]=1,1/Tab.11[[#This Row],[φ2]])</f>
        <v>0</v>
      </c>
      <c r="AE615" s="74" t="b">
        <f>IF(Tab.11[[#This Row],[a1]]=1,IF($AE$3=0,Tab.11[[#This Row],[w.0]],Tab.11[[#This Row],[w.0]]/SUM(Tab.11[w.0])))</f>
        <v>0</v>
      </c>
      <c r="AF615" s="76" t="str">
        <f>IF(Tab.11[[#This Row],[a1]]=0,"false",[3]!Tab.x5[[#This Row],[%_seN_C]])</f>
        <v>false</v>
      </c>
      <c r="AG615" s="77" t="b">
        <f>IF(Tab.11[[#This Row],[a1]]=1,AP615)</f>
        <v>0</v>
      </c>
      <c r="AH615" s="78" t="b">
        <f>IF(Tab.11[[#This Row],[a1]]=1,AQ615)</f>
        <v>0</v>
      </c>
      <c r="AI615" s="41">
        <v>3.0000000000000001E-3</v>
      </c>
      <c r="AJ615" s="79">
        <v>-0.03</v>
      </c>
      <c r="AK615" s="80" t="b">
        <f>IF(Tab.11[[#This Row],[a1]]=1,1)</f>
        <v>0</v>
      </c>
      <c r="AZ615"/>
    </row>
    <row r="616" spans="1:52" hidden="1" x14ac:dyDescent="0.25">
      <c r="A616" s="61">
        <f t="shared" si="21"/>
        <v>0</v>
      </c>
      <c r="B616" s="62">
        <f t="shared" si="21"/>
        <v>0</v>
      </c>
      <c r="C616" s="62" t="b">
        <f>IF(Tab.11[[#This Row],[a1]]=1,[3]!Tab_x1[[#This Row],[Name]])</f>
        <v>0</v>
      </c>
      <c r="D616" s="63" t="b">
        <f>IF(Tab.11[[#This Row],[a1]]=1,AO616)</f>
        <v>0</v>
      </c>
      <c r="E616" s="63">
        <f t="shared" si="20"/>
        <v>0</v>
      </c>
      <c r="F616" s="64" t="b">
        <f>IF(Tab.11[[#This Row],[a1]]=1,Tab.11[[#This Row],[b1]])</f>
        <v>0</v>
      </c>
      <c r="G616" s="65" t="b">
        <f>IF(Tab.11[[#This Row],[a1]]=1,IF(Tab.11[[#This Row],[b3]]&gt;$L$989*$G$3,$L$989*$G$3,IF(Tab.11[[#This Row],[b3]]&lt;$M$989*$G$3,$M$989*$G$3,Tab.11[[#This Row],[b3]])))</f>
        <v>0</v>
      </c>
      <c r="H616" s="66" t="b">
        <f>IF(Tab.11[[#This Row],[a1]]=1,Tab.11[[#This Row],[b1]])</f>
        <v>0</v>
      </c>
      <c r="I616" s="67" t="b">
        <f>IF(Tab.11[[#This Row],[a1]]=1,Tab.11[[#This Row],[b1]])</f>
        <v>0</v>
      </c>
      <c r="J616" s="68" t="b">
        <f>IF(Tab.11[[#This Row],[a1]]=1,IF($I$3&lt;0,Tab.11[[#This Row],[b5]]-$I$3,Tab.11[[#This Row],[b5]]))</f>
        <v>0</v>
      </c>
      <c r="K616" s="68" t="b">
        <f>IF(Tab.11[[#This Row],[a1]]=1,IF($K$3=0,Tab.11[b6],Tab.11[[#This Row],[b6]]-AVERAGE(Tab.11[b6])))</f>
        <v>0</v>
      </c>
      <c r="L616" s="69" t="b">
        <f>IF(Tab.11[[#This Row],[a1]]=1,Tab.11[[#This Row],[data]]/(_xlfn.STDEV.P(Tab.11[data])*$B$989)+$A$989)</f>
        <v>0</v>
      </c>
      <c r="M616" s="69" t="b">
        <f>IF(Tab.11[[#This Row],[a1]]=1,Tab.11[[#This Row],[data]]/(_xlfn.STDEV.P(Tab.11[data])*$B$987)-$A$987)</f>
        <v>0</v>
      </c>
      <c r="N616" s="69" t="b">
        <f>IF(Tab.11[[#This Row],[a1]]=1,Tab.11[[#This Row],[data]]/(_xlfn.STDEV.P(Tab.11[data])*$B$988)+$A$988)</f>
        <v>0</v>
      </c>
      <c r="O616" s="70" t="b">
        <f>IF(Tab.11[[#This Row],[a1]]=1,_xlfn.NORM.DIST(Tab.11[[#This Row],[b8]],$P$1,$Q$1,FALSE))</f>
        <v>0</v>
      </c>
      <c r="P616" s="70" t="b">
        <f>IF(Tab.11[[#This Row],[a1]]=1,_xlfn.NORM.DIST(Tab.11[[#This Row],[b9]],$P$1,$Q$1,FALSE))</f>
        <v>0</v>
      </c>
      <c r="Q616" s="70" t="b">
        <f>IF(Tab.11[[#This Row],[a1]]=1,_xlfn.NORM.DIST(Tab.11[[#This Row],[b10]],$P$1,$Q$1,FALSE))</f>
        <v>0</v>
      </c>
      <c r="R616" s="67" t="b">
        <f>IF(Tab.11[[#This Row],[a1]]=1,$I$3+$A$989+IF($K$3=0,Tab.11[[#This Row],[b8]]*_xlfn.STDEV.P(Tab.11[data]),AVERAGE(Tab.11[b6])+Tab.11[[#This Row],[b8]]*_xlfn.STDEV.P(Tab.11[data])))</f>
        <v>0</v>
      </c>
      <c r="S616" s="71" t="b">
        <f>IF(Tab.11[[#This Row],[a1]]=1,$I$3+$A$987+IF($K$3=0,Tab.11[[#This Row],[b9]]*_xlfn.STDEV.P(Tab.11[data]),AVERAGE(Tab.11[b6])+Tab.11[[#This Row],[b9]]*_xlfn.STDEV.P(Tab.11[data])))</f>
        <v>0</v>
      </c>
      <c r="T616" s="71" t="b">
        <f>IF(Tab.11[[#This Row],[a1]]=1,$I$3+$A$988+IF($K$3=0,Tab.11[[#This Row],[b10]]*_xlfn.STDEV.P(Tab.11[data]),AVERAGE(Tab.11[b6])+Tab.11[[#This Row],[b10]]*_xlfn.STDEV.P(Tab.11[data])))</f>
        <v>0</v>
      </c>
      <c r="U616" s="72" t="b">
        <f>IF(Tab.11[[#This Row],[a1]]=1,Tab.11[[#This Row],[target]]-Tab.11[[#This Row],[Red]])</f>
        <v>0</v>
      </c>
      <c r="V616" s="72" t="b">
        <f>IF(Tab.11[[#This Row],[a1]]=1,Tab.11[[#This Row],[target]]-Tab.11[[#This Row],[Blue]])</f>
        <v>0</v>
      </c>
      <c r="W616" s="73" t="b">
        <f>IF(Tab.11[[#This Row],[a1]]=1,IF(ABS(Tab.11[[#This Row],[b17]])+ABS(Tab.11[[#This Row],[b18]])&lt;$W$2,$W$2,ABS(Tab.11[[#This Row],[b17]])+ABS(Tab.11[[#This Row],[b18]])))</f>
        <v>0</v>
      </c>
      <c r="X616" s="136" t="b">
        <f>IF(Tab.11[[#This Row],[a1]]=1,IF($W$3&lt;0,Tab.11[[#This Row],[IN]]-$I$3,Tab.11[[#This Row],[IN]]))</f>
        <v>0</v>
      </c>
      <c r="Y616" s="136" t="b">
        <f>IF(Tab.11[[#This Row],[a1]]=1,IF($X$3=0,Tab.11[b66],Tab.11[[#This Row],[b66]]-AVERAGE(Tab.11[b66])))</f>
        <v>0</v>
      </c>
      <c r="Z616" s="135" t="b">
        <f>IF(Tab.11[[#This Row],[a1]]=1,Tab.11[[#This Row],[b77]]/(_xlfn.STDEV.P(Tab.11[b77])))</f>
        <v>0</v>
      </c>
      <c r="AA616" s="70" t="b">
        <f>IF(Tab.11[[#This Row],[a1]]=1,_xlfn.NORM.DIST(Tab.11[[#This Row],[b88]],$Z$1,$AA$1,FALSE))</f>
        <v>0</v>
      </c>
      <c r="AB616" s="74" t="b">
        <f>IF(Tab.11[[#This Row],[a1]]=1,IF($A$3=0,FALSE,1/Tab.11[[#This Row],[IN]]*$AC$2*IF(Tab.11[[#This Row],[a1]]=0,,$A$3*$AC$1*1/$V$3*(Tab.11[[#This Row],[b14]]))))</f>
        <v>0</v>
      </c>
      <c r="AC616" s="75" t="b">
        <f>IF(Tab.11[[#This Row],[a1]]=1,IF($AC$3=0,Tab.11[[#This Row],[φ1]],Tab.11[[#This Row],[φ1]]/MAX(Tab.11[φ1])))</f>
        <v>0</v>
      </c>
      <c r="AD616" s="74" t="b">
        <f>IF(Tab.11[[#This Row],[a1]]=1,1/Tab.11[[#This Row],[φ2]])</f>
        <v>0</v>
      </c>
      <c r="AE616" s="74" t="b">
        <f>IF(Tab.11[[#This Row],[a1]]=1,IF($AE$3=0,Tab.11[[#This Row],[w.0]],Tab.11[[#This Row],[w.0]]/SUM(Tab.11[w.0])))</f>
        <v>0</v>
      </c>
      <c r="AF616" s="76" t="str">
        <f>IF(Tab.11[[#This Row],[a1]]=0,"false",[3]!Tab.x5[[#This Row],[%_seN_C]])</f>
        <v>false</v>
      </c>
      <c r="AG616" s="77" t="b">
        <f>IF(Tab.11[[#This Row],[a1]]=1,AP616)</f>
        <v>0</v>
      </c>
      <c r="AH616" s="78" t="b">
        <f>IF(Tab.11[[#This Row],[a1]]=1,AQ616)</f>
        <v>0</v>
      </c>
      <c r="AI616" s="41">
        <v>3.0000000000000001E-3</v>
      </c>
      <c r="AJ616" s="79">
        <v>0.04</v>
      </c>
      <c r="AK616" s="80" t="b">
        <f>IF(Tab.11[[#This Row],[a1]]=1,1)</f>
        <v>0</v>
      </c>
      <c r="AZ616"/>
    </row>
    <row r="617" spans="1:52" hidden="1" x14ac:dyDescent="0.25">
      <c r="A617" s="61">
        <f t="shared" si="21"/>
        <v>0</v>
      </c>
      <c r="B617" s="62">
        <f t="shared" si="21"/>
        <v>0</v>
      </c>
      <c r="C617" s="62" t="b">
        <f>IF(Tab.11[[#This Row],[a1]]=1,[3]!Tab_x1[[#This Row],[Name]])</f>
        <v>0</v>
      </c>
      <c r="D617" s="63" t="b">
        <f>IF(Tab.11[[#This Row],[a1]]=1,AO617)</f>
        <v>0</v>
      </c>
      <c r="E617" s="63">
        <f t="shared" si="20"/>
        <v>0</v>
      </c>
      <c r="F617" s="64" t="b">
        <f>IF(Tab.11[[#This Row],[a1]]=1,Tab.11[[#This Row],[b1]])</f>
        <v>0</v>
      </c>
      <c r="G617" s="65" t="b">
        <f>IF(Tab.11[[#This Row],[a1]]=1,IF(Tab.11[[#This Row],[b3]]&gt;$L$989*$G$3,$L$989*$G$3,IF(Tab.11[[#This Row],[b3]]&lt;$M$989*$G$3,$M$989*$G$3,Tab.11[[#This Row],[b3]])))</f>
        <v>0</v>
      </c>
      <c r="H617" s="66" t="b">
        <f>IF(Tab.11[[#This Row],[a1]]=1,Tab.11[[#This Row],[b1]])</f>
        <v>0</v>
      </c>
      <c r="I617" s="67" t="b">
        <f>IF(Tab.11[[#This Row],[a1]]=1,Tab.11[[#This Row],[b1]])</f>
        <v>0</v>
      </c>
      <c r="J617" s="68" t="b">
        <f>IF(Tab.11[[#This Row],[a1]]=1,IF($I$3&lt;0,Tab.11[[#This Row],[b5]]-$I$3,Tab.11[[#This Row],[b5]]))</f>
        <v>0</v>
      </c>
      <c r="K617" s="68" t="b">
        <f>IF(Tab.11[[#This Row],[a1]]=1,IF($K$3=0,Tab.11[b6],Tab.11[[#This Row],[b6]]-AVERAGE(Tab.11[b6])))</f>
        <v>0</v>
      </c>
      <c r="L617" s="69" t="b">
        <f>IF(Tab.11[[#This Row],[a1]]=1,Tab.11[[#This Row],[data]]/(_xlfn.STDEV.P(Tab.11[data])*$B$989)+$A$989)</f>
        <v>0</v>
      </c>
      <c r="M617" s="69" t="b">
        <f>IF(Tab.11[[#This Row],[a1]]=1,Tab.11[[#This Row],[data]]/(_xlfn.STDEV.P(Tab.11[data])*$B$987)-$A$987)</f>
        <v>0</v>
      </c>
      <c r="N617" s="69" t="b">
        <f>IF(Tab.11[[#This Row],[a1]]=1,Tab.11[[#This Row],[data]]/(_xlfn.STDEV.P(Tab.11[data])*$B$988)+$A$988)</f>
        <v>0</v>
      </c>
      <c r="O617" s="70" t="b">
        <f>IF(Tab.11[[#This Row],[a1]]=1,_xlfn.NORM.DIST(Tab.11[[#This Row],[b8]],$P$1,$Q$1,FALSE))</f>
        <v>0</v>
      </c>
      <c r="P617" s="70" t="b">
        <f>IF(Tab.11[[#This Row],[a1]]=1,_xlfn.NORM.DIST(Tab.11[[#This Row],[b9]],$P$1,$Q$1,FALSE))</f>
        <v>0</v>
      </c>
      <c r="Q617" s="70" t="b">
        <f>IF(Tab.11[[#This Row],[a1]]=1,_xlfn.NORM.DIST(Tab.11[[#This Row],[b10]],$P$1,$Q$1,FALSE))</f>
        <v>0</v>
      </c>
      <c r="R617" s="67" t="b">
        <f>IF(Tab.11[[#This Row],[a1]]=1,$I$3+$A$989+IF($K$3=0,Tab.11[[#This Row],[b8]]*_xlfn.STDEV.P(Tab.11[data]),AVERAGE(Tab.11[b6])+Tab.11[[#This Row],[b8]]*_xlfn.STDEV.P(Tab.11[data])))</f>
        <v>0</v>
      </c>
      <c r="S617" s="71" t="b">
        <f>IF(Tab.11[[#This Row],[a1]]=1,$I$3+$A$987+IF($K$3=0,Tab.11[[#This Row],[b9]]*_xlfn.STDEV.P(Tab.11[data]),AVERAGE(Tab.11[b6])+Tab.11[[#This Row],[b9]]*_xlfn.STDEV.P(Tab.11[data])))</f>
        <v>0</v>
      </c>
      <c r="T617" s="71" t="b">
        <f>IF(Tab.11[[#This Row],[a1]]=1,$I$3+$A$988+IF($K$3=0,Tab.11[[#This Row],[b10]]*_xlfn.STDEV.P(Tab.11[data]),AVERAGE(Tab.11[b6])+Tab.11[[#This Row],[b10]]*_xlfn.STDEV.P(Tab.11[data])))</f>
        <v>0</v>
      </c>
      <c r="U617" s="72" t="b">
        <f>IF(Tab.11[[#This Row],[a1]]=1,Tab.11[[#This Row],[target]]-Tab.11[[#This Row],[Red]])</f>
        <v>0</v>
      </c>
      <c r="V617" s="72" t="b">
        <f>IF(Tab.11[[#This Row],[a1]]=1,Tab.11[[#This Row],[target]]-Tab.11[[#This Row],[Blue]])</f>
        <v>0</v>
      </c>
      <c r="W617" s="73" t="b">
        <f>IF(Tab.11[[#This Row],[a1]]=1,IF(ABS(Tab.11[[#This Row],[b17]])+ABS(Tab.11[[#This Row],[b18]])&lt;$W$2,$W$2,ABS(Tab.11[[#This Row],[b17]])+ABS(Tab.11[[#This Row],[b18]])))</f>
        <v>0</v>
      </c>
      <c r="X617" s="136" t="b">
        <f>IF(Tab.11[[#This Row],[a1]]=1,IF($W$3&lt;0,Tab.11[[#This Row],[IN]]-$I$3,Tab.11[[#This Row],[IN]]))</f>
        <v>0</v>
      </c>
      <c r="Y617" s="136" t="b">
        <f>IF(Tab.11[[#This Row],[a1]]=1,IF($X$3=0,Tab.11[b66],Tab.11[[#This Row],[b66]]-AVERAGE(Tab.11[b66])))</f>
        <v>0</v>
      </c>
      <c r="Z617" s="135" t="b">
        <f>IF(Tab.11[[#This Row],[a1]]=1,Tab.11[[#This Row],[b77]]/(_xlfn.STDEV.P(Tab.11[b77])))</f>
        <v>0</v>
      </c>
      <c r="AA617" s="70" t="b">
        <f>IF(Tab.11[[#This Row],[a1]]=1,_xlfn.NORM.DIST(Tab.11[[#This Row],[b88]],$Z$1,$AA$1,FALSE))</f>
        <v>0</v>
      </c>
      <c r="AB617" s="74" t="b">
        <f>IF(Tab.11[[#This Row],[a1]]=1,IF($A$3=0,FALSE,1/Tab.11[[#This Row],[IN]]*$AC$2*IF(Tab.11[[#This Row],[a1]]=0,,$A$3*$AC$1*1/$V$3*(Tab.11[[#This Row],[b14]]))))</f>
        <v>0</v>
      </c>
      <c r="AC617" s="75" t="b">
        <f>IF(Tab.11[[#This Row],[a1]]=1,IF($AC$3=0,Tab.11[[#This Row],[φ1]],Tab.11[[#This Row],[φ1]]/MAX(Tab.11[φ1])))</f>
        <v>0</v>
      </c>
      <c r="AD617" s="74" t="b">
        <f>IF(Tab.11[[#This Row],[a1]]=1,1/Tab.11[[#This Row],[φ2]])</f>
        <v>0</v>
      </c>
      <c r="AE617" s="74" t="b">
        <f>IF(Tab.11[[#This Row],[a1]]=1,IF($AE$3=0,Tab.11[[#This Row],[w.0]],Tab.11[[#This Row],[w.0]]/SUM(Tab.11[w.0])))</f>
        <v>0</v>
      </c>
      <c r="AF617" s="76" t="str">
        <f>IF(Tab.11[[#This Row],[a1]]=0,"false",[3]!Tab.x5[[#This Row],[%_seN_C]])</f>
        <v>false</v>
      </c>
      <c r="AG617" s="77" t="b">
        <f>IF(Tab.11[[#This Row],[a1]]=1,AP617)</f>
        <v>0</v>
      </c>
      <c r="AH617" s="78" t="b">
        <f>IF(Tab.11[[#This Row],[a1]]=1,AQ617)</f>
        <v>0</v>
      </c>
      <c r="AI617" s="41">
        <v>3.0000000000000001E-3</v>
      </c>
      <c r="AJ617" s="79">
        <v>0.06</v>
      </c>
      <c r="AK617" s="80" t="b">
        <f>IF(Tab.11[[#This Row],[a1]]=1,1)</f>
        <v>0</v>
      </c>
      <c r="AZ617"/>
    </row>
    <row r="618" spans="1:52" hidden="1" x14ac:dyDescent="0.25">
      <c r="A618" s="61">
        <f t="shared" si="21"/>
        <v>0</v>
      </c>
      <c r="B618" s="62">
        <f t="shared" si="21"/>
        <v>0</v>
      </c>
      <c r="C618" s="62" t="b">
        <f>IF(Tab.11[[#This Row],[a1]]=1,[3]!Tab_x1[[#This Row],[Name]])</f>
        <v>0</v>
      </c>
      <c r="D618" s="63" t="b">
        <f>IF(Tab.11[[#This Row],[a1]]=1,AO618)</f>
        <v>0</v>
      </c>
      <c r="E618" s="63">
        <f t="shared" si="20"/>
        <v>0</v>
      </c>
      <c r="F618" s="64" t="b">
        <f>IF(Tab.11[[#This Row],[a1]]=1,Tab.11[[#This Row],[b1]])</f>
        <v>0</v>
      </c>
      <c r="G618" s="65" t="b">
        <f>IF(Tab.11[[#This Row],[a1]]=1,IF(Tab.11[[#This Row],[b3]]&gt;$L$989*$G$3,$L$989*$G$3,IF(Tab.11[[#This Row],[b3]]&lt;$M$989*$G$3,$M$989*$G$3,Tab.11[[#This Row],[b3]])))</f>
        <v>0</v>
      </c>
      <c r="H618" s="66" t="b">
        <f>IF(Tab.11[[#This Row],[a1]]=1,Tab.11[[#This Row],[b1]])</f>
        <v>0</v>
      </c>
      <c r="I618" s="67" t="b">
        <f>IF(Tab.11[[#This Row],[a1]]=1,Tab.11[[#This Row],[b1]])</f>
        <v>0</v>
      </c>
      <c r="J618" s="68" t="b">
        <f>IF(Tab.11[[#This Row],[a1]]=1,IF($I$3&lt;0,Tab.11[[#This Row],[b5]]-$I$3,Tab.11[[#This Row],[b5]]))</f>
        <v>0</v>
      </c>
      <c r="K618" s="68" t="b">
        <f>IF(Tab.11[[#This Row],[a1]]=1,IF($K$3=0,Tab.11[b6],Tab.11[[#This Row],[b6]]-AVERAGE(Tab.11[b6])))</f>
        <v>0</v>
      </c>
      <c r="L618" s="69" t="b">
        <f>IF(Tab.11[[#This Row],[a1]]=1,Tab.11[[#This Row],[data]]/(_xlfn.STDEV.P(Tab.11[data])*$B$989)+$A$989)</f>
        <v>0</v>
      </c>
      <c r="M618" s="69" t="b">
        <f>IF(Tab.11[[#This Row],[a1]]=1,Tab.11[[#This Row],[data]]/(_xlfn.STDEV.P(Tab.11[data])*$B$987)-$A$987)</f>
        <v>0</v>
      </c>
      <c r="N618" s="69" t="b">
        <f>IF(Tab.11[[#This Row],[a1]]=1,Tab.11[[#This Row],[data]]/(_xlfn.STDEV.P(Tab.11[data])*$B$988)+$A$988)</f>
        <v>0</v>
      </c>
      <c r="O618" s="70" t="b">
        <f>IF(Tab.11[[#This Row],[a1]]=1,_xlfn.NORM.DIST(Tab.11[[#This Row],[b8]],$P$1,$Q$1,FALSE))</f>
        <v>0</v>
      </c>
      <c r="P618" s="70" t="b">
        <f>IF(Tab.11[[#This Row],[a1]]=1,_xlfn.NORM.DIST(Tab.11[[#This Row],[b9]],$P$1,$Q$1,FALSE))</f>
        <v>0</v>
      </c>
      <c r="Q618" s="70" t="b">
        <f>IF(Tab.11[[#This Row],[a1]]=1,_xlfn.NORM.DIST(Tab.11[[#This Row],[b10]],$P$1,$Q$1,FALSE))</f>
        <v>0</v>
      </c>
      <c r="R618" s="67" t="b">
        <f>IF(Tab.11[[#This Row],[a1]]=1,$I$3+$A$989+IF($K$3=0,Tab.11[[#This Row],[b8]]*_xlfn.STDEV.P(Tab.11[data]),AVERAGE(Tab.11[b6])+Tab.11[[#This Row],[b8]]*_xlfn.STDEV.P(Tab.11[data])))</f>
        <v>0</v>
      </c>
      <c r="S618" s="71" t="b">
        <f>IF(Tab.11[[#This Row],[a1]]=1,$I$3+$A$987+IF($K$3=0,Tab.11[[#This Row],[b9]]*_xlfn.STDEV.P(Tab.11[data]),AVERAGE(Tab.11[b6])+Tab.11[[#This Row],[b9]]*_xlfn.STDEV.P(Tab.11[data])))</f>
        <v>0</v>
      </c>
      <c r="T618" s="71" t="b">
        <f>IF(Tab.11[[#This Row],[a1]]=1,$I$3+$A$988+IF($K$3=0,Tab.11[[#This Row],[b10]]*_xlfn.STDEV.P(Tab.11[data]),AVERAGE(Tab.11[b6])+Tab.11[[#This Row],[b10]]*_xlfn.STDEV.P(Tab.11[data])))</f>
        <v>0</v>
      </c>
      <c r="U618" s="72" t="b">
        <f>IF(Tab.11[[#This Row],[a1]]=1,Tab.11[[#This Row],[target]]-Tab.11[[#This Row],[Red]])</f>
        <v>0</v>
      </c>
      <c r="V618" s="72" t="b">
        <f>IF(Tab.11[[#This Row],[a1]]=1,Tab.11[[#This Row],[target]]-Tab.11[[#This Row],[Blue]])</f>
        <v>0</v>
      </c>
      <c r="W618" s="73" t="b">
        <f>IF(Tab.11[[#This Row],[a1]]=1,IF(ABS(Tab.11[[#This Row],[b17]])+ABS(Tab.11[[#This Row],[b18]])&lt;$W$2,$W$2,ABS(Tab.11[[#This Row],[b17]])+ABS(Tab.11[[#This Row],[b18]])))</f>
        <v>0</v>
      </c>
      <c r="X618" s="136" t="b">
        <f>IF(Tab.11[[#This Row],[a1]]=1,IF($W$3&lt;0,Tab.11[[#This Row],[IN]]-$I$3,Tab.11[[#This Row],[IN]]))</f>
        <v>0</v>
      </c>
      <c r="Y618" s="136" t="b">
        <f>IF(Tab.11[[#This Row],[a1]]=1,IF($X$3=0,Tab.11[b66],Tab.11[[#This Row],[b66]]-AVERAGE(Tab.11[b66])))</f>
        <v>0</v>
      </c>
      <c r="Z618" s="135" t="b">
        <f>IF(Tab.11[[#This Row],[a1]]=1,Tab.11[[#This Row],[b77]]/(_xlfn.STDEV.P(Tab.11[b77])))</f>
        <v>0</v>
      </c>
      <c r="AA618" s="70" t="b">
        <f>IF(Tab.11[[#This Row],[a1]]=1,_xlfn.NORM.DIST(Tab.11[[#This Row],[b88]],$Z$1,$AA$1,FALSE))</f>
        <v>0</v>
      </c>
      <c r="AB618" s="74" t="b">
        <f>IF(Tab.11[[#This Row],[a1]]=1,IF($A$3=0,FALSE,1/Tab.11[[#This Row],[IN]]*$AC$2*IF(Tab.11[[#This Row],[a1]]=0,,$A$3*$AC$1*1/$V$3*(Tab.11[[#This Row],[b14]]))))</f>
        <v>0</v>
      </c>
      <c r="AC618" s="75" t="b">
        <f>IF(Tab.11[[#This Row],[a1]]=1,IF($AC$3=0,Tab.11[[#This Row],[φ1]],Tab.11[[#This Row],[φ1]]/MAX(Tab.11[φ1])))</f>
        <v>0</v>
      </c>
      <c r="AD618" s="74" t="b">
        <f>IF(Tab.11[[#This Row],[a1]]=1,1/Tab.11[[#This Row],[φ2]])</f>
        <v>0</v>
      </c>
      <c r="AE618" s="74" t="b">
        <f>IF(Tab.11[[#This Row],[a1]]=1,IF($AE$3=0,Tab.11[[#This Row],[w.0]],Tab.11[[#This Row],[w.0]]/SUM(Tab.11[w.0])))</f>
        <v>0</v>
      </c>
      <c r="AF618" s="76" t="str">
        <f>IF(Tab.11[[#This Row],[a1]]=0,"false",[3]!Tab.x5[[#This Row],[%_seN_C]])</f>
        <v>false</v>
      </c>
      <c r="AG618" s="77" t="b">
        <f>IF(Tab.11[[#This Row],[a1]]=1,AP618)</f>
        <v>0</v>
      </c>
      <c r="AH618" s="78" t="b">
        <f>IF(Tab.11[[#This Row],[a1]]=1,AQ618)</f>
        <v>0</v>
      </c>
      <c r="AI618" s="41">
        <v>3.0000000000000001E-3</v>
      </c>
      <c r="AJ618" s="79">
        <v>7.0000000000000007E-2</v>
      </c>
      <c r="AK618" s="80" t="b">
        <f>IF(Tab.11[[#This Row],[a1]]=1,1)</f>
        <v>0</v>
      </c>
      <c r="AZ618"/>
    </row>
    <row r="619" spans="1:52" hidden="1" x14ac:dyDescent="0.25">
      <c r="A619" s="61">
        <f t="shared" si="21"/>
        <v>0</v>
      </c>
      <c r="B619" s="62">
        <f t="shared" si="21"/>
        <v>0</v>
      </c>
      <c r="C619" s="62" t="b">
        <f>IF(Tab.11[[#This Row],[a1]]=1,[3]!Tab_x1[[#This Row],[Name]])</f>
        <v>0</v>
      </c>
      <c r="D619" s="63" t="b">
        <f>IF(Tab.11[[#This Row],[a1]]=1,AO619)</f>
        <v>0</v>
      </c>
      <c r="E619" s="63">
        <f t="shared" si="20"/>
        <v>0</v>
      </c>
      <c r="F619" s="64" t="b">
        <f>IF(Tab.11[[#This Row],[a1]]=1,Tab.11[[#This Row],[b1]])</f>
        <v>0</v>
      </c>
      <c r="G619" s="65" t="b">
        <f>IF(Tab.11[[#This Row],[a1]]=1,IF(Tab.11[[#This Row],[b3]]&gt;$L$989*$G$3,$L$989*$G$3,IF(Tab.11[[#This Row],[b3]]&lt;$M$989*$G$3,$M$989*$G$3,Tab.11[[#This Row],[b3]])))</f>
        <v>0</v>
      </c>
      <c r="H619" s="66" t="b">
        <f>IF(Tab.11[[#This Row],[a1]]=1,Tab.11[[#This Row],[b1]])</f>
        <v>0</v>
      </c>
      <c r="I619" s="67" t="b">
        <f>IF(Tab.11[[#This Row],[a1]]=1,Tab.11[[#This Row],[b1]])</f>
        <v>0</v>
      </c>
      <c r="J619" s="68" t="b">
        <f>IF(Tab.11[[#This Row],[a1]]=1,IF($I$3&lt;0,Tab.11[[#This Row],[b5]]-$I$3,Tab.11[[#This Row],[b5]]))</f>
        <v>0</v>
      </c>
      <c r="K619" s="68" t="b">
        <f>IF(Tab.11[[#This Row],[a1]]=1,IF($K$3=0,Tab.11[b6],Tab.11[[#This Row],[b6]]-AVERAGE(Tab.11[b6])))</f>
        <v>0</v>
      </c>
      <c r="L619" s="69" t="b">
        <f>IF(Tab.11[[#This Row],[a1]]=1,Tab.11[[#This Row],[data]]/(_xlfn.STDEV.P(Tab.11[data])*$B$989)+$A$989)</f>
        <v>0</v>
      </c>
      <c r="M619" s="69" t="b">
        <f>IF(Tab.11[[#This Row],[a1]]=1,Tab.11[[#This Row],[data]]/(_xlfn.STDEV.P(Tab.11[data])*$B$987)-$A$987)</f>
        <v>0</v>
      </c>
      <c r="N619" s="69" t="b">
        <f>IF(Tab.11[[#This Row],[a1]]=1,Tab.11[[#This Row],[data]]/(_xlfn.STDEV.P(Tab.11[data])*$B$988)+$A$988)</f>
        <v>0</v>
      </c>
      <c r="O619" s="70" t="b">
        <f>IF(Tab.11[[#This Row],[a1]]=1,_xlfn.NORM.DIST(Tab.11[[#This Row],[b8]],$P$1,$Q$1,FALSE))</f>
        <v>0</v>
      </c>
      <c r="P619" s="70" t="b">
        <f>IF(Tab.11[[#This Row],[a1]]=1,_xlfn.NORM.DIST(Tab.11[[#This Row],[b9]],$P$1,$Q$1,FALSE))</f>
        <v>0</v>
      </c>
      <c r="Q619" s="70" t="b">
        <f>IF(Tab.11[[#This Row],[a1]]=1,_xlfn.NORM.DIST(Tab.11[[#This Row],[b10]],$P$1,$Q$1,FALSE))</f>
        <v>0</v>
      </c>
      <c r="R619" s="67" t="b">
        <f>IF(Tab.11[[#This Row],[a1]]=1,$I$3+$A$989+IF($K$3=0,Tab.11[[#This Row],[b8]]*_xlfn.STDEV.P(Tab.11[data]),AVERAGE(Tab.11[b6])+Tab.11[[#This Row],[b8]]*_xlfn.STDEV.P(Tab.11[data])))</f>
        <v>0</v>
      </c>
      <c r="S619" s="71" t="b">
        <f>IF(Tab.11[[#This Row],[a1]]=1,$I$3+$A$987+IF($K$3=0,Tab.11[[#This Row],[b9]]*_xlfn.STDEV.P(Tab.11[data]),AVERAGE(Tab.11[b6])+Tab.11[[#This Row],[b9]]*_xlfn.STDEV.P(Tab.11[data])))</f>
        <v>0</v>
      </c>
      <c r="T619" s="71" t="b">
        <f>IF(Tab.11[[#This Row],[a1]]=1,$I$3+$A$988+IF($K$3=0,Tab.11[[#This Row],[b10]]*_xlfn.STDEV.P(Tab.11[data]),AVERAGE(Tab.11[b6])+Tab.11[[#This Row],[b10]]*_xlfn.STDEV.P(Tab.11[data])))</f>
        <v>0</v>
      </c>
      <c r="U619" s="72" t="b">
        <f>IF(Tab.11[[#This Row],[a1]]=1,Tab.11[[#This Row],[target]]-Tab.11[[#This Row],[Red]])</f>
        <v>0</v>
      </c>
      <c r="V619" s="72" t="b">
        <f>IF(Tab.11[[#This Row],[a1]]=1,Tab.11[[#This Row],[target]]-Tab.11[[#This Row],[Blue]])</f>
        <v>0</v>
      </c>
      <c r="W619" s="73" t="b">
        <f>IF(Tab.11[[#This Row],[a1]]=1,IF(ABS(Tab.11[[#This Row],[b17]])+ABS(Tab.11[[#This Row],[b18]])&lt;$W$2,$W$2,ABS(Tab.11[[#This Row],[b17]])+ABS(Tab.11[[#This Row],[b18]])))</f>
        <v>0</v>
      </c>
      <c r="X619" s="136" t="b">
        <f>IF(Tab.11[[#This Row],[a1]]=1,IF($W$3&lt;0,Tab.11[[#This Row],[IN]]-$I$3,Tab.11[[#This Row],[IN]]))</f>
        <v>0</v>
      </c>
      <c r="Y619" s="136" t="b">
        <f>IF(Tab.11[[#This Row],[a1]]=1,IF($X$3=0,Tab.11[b66],Tab.11[[#This Row],[b66]]-AVERAGE(Tab.11[b66])))</f>
        <v>0</v>
      </c>
      <c r="Z619" s="135" t="b">
        <f>IF(Tab.11[[#This Row],[a1]]=1,Tab.11[[#This Row],[b77]]/(_xlfn.STDEV.P(Tab.11[b77])))</f>
        <v>0</v>
      </c>
      <c r="AA619" s="70" t="b">
        <f>IF(Tab.11[[#This Row],[a1]]=1,_xlfn.NORM.DIST(Tab.11[[#This Row],[b88]],$Z$1,$AA$1,FALSE))</f>
        <v>0</v>
      </c>
      <c r="AB619" s="74" t="b">
        <f>IF(Tab.11[[#This Row],[a1]]=1,IF($A$3=0,FALSE,1/Tab.11[[#This Row],[IN]]*$AC$2*IF(Tab.11[[#This Row],[a1]]=0,,$A$3*$AC$1*1/$V$3*(Tab.11[[#This Row],[b14]]))))</f>
        <v>0</v>
      </c>
      <c r="AC619" s="75" t="b">
        <f>IF(Tab.11[[#This Row],[a1]]=1,IF($AC$3=0,Tab.11[[#This Row],[φ1]],Tab.11[[#This Row],[φ1]]/MAX(Tab.11[φ1])))</f>
        <v>0</v>
      </c>
      <c r="AD619" s="74" t="b">
        <f>IF(Tab.11[[#This Row],[a1]]=1,1/Tab.11[[#This Row],[φ2]])</f>
        <v>0</v>
      </c>
      <c r="AE619" s="74" t="b">
        <f>IF(Tab.11[[#This Row],[a1]]=1,IF($AE$3=0,Tab.11[[#This Row],[w.0]],Tab.11[[#This Row],[w.0]]/SUM(Tab.11[w.0])))</f>
        <v>0</v>
      </c>
      <c r="AF619" s="76" t="str">
        <f>IF(Tab.11[[#This Row],[a1]]=0,"false",[3]!Tab.x5[[#This Row],[%_seN_C]])</f>
        <v>false</v>
      </c>
      <c r="AG619" s="77" t="b">
        <f>IF(Tab.11[[#This Row],[a1]]=1,AP619)</f>
        <v>0</v>
      </c>
      <c r="AH619" s="78" t="b">
        <f>IF(Tab.11[[#This Row],[a1]]=1,AQ619)</f>
        <v>0</v>
      </c>
      <c r="AI619" s="41">
        <v>3.0000000000000001E-3</v>
      </c>
      <c r="AJ619" s="79">
        <v>0.01</v>
      </c>
      <c r="AK619" s="80" t="b">
        <f>IF(Tab.11[[#This Row],[a1]]=1,1)</f>
        <v>0</v>
      </c>
      <c r="AZ619"/>
    </row>
    <row r="620" spans="1:52" hidden="1" x14ac:dyDescent="0.25">
      <c r="A620" s="61">
        <f t="shared" si="21"/>
        <v>0</v>
      </c>
      <c r="B620" s="62">
        <f t="shared" si="21"/>
        <v>0</v>
      </c>
      <c r="C620" s="62" t="b">
        <f>IF(Tab.11[[#This Row],[a1]]=1,[3]!Tab_x1[[#This Row],[Name]])</f>
        <v>0</v>
      </c>
      <c r="D620" s="63" t="b">
        <f>IF(Tab.11[[#This Row],[a1]]=1,AO620)</f>
        <v>0</v>
      </c>
      <c r="E620" s="63">
        <f t="shared" si="20"/>
        <v>0</v>
      </c>
      <c r="F620" s="64" t="b">
        <f>IF(Tab.11[[#This Row],[a1]]=1,Tab.11[[#This Row],[b1]])</f>
        <v>0</v>
      </c>
      <c r="G620" s="65" t="b">
        <f>IF(Tab.11[[#This Row],[a1]]=1,IF(Tab.11[[#This Row],[b3]]&gt;$L$989*$G$3,$L$989*$G$3,IF(Tab.11[[#This Row],[b3]]&lt;$M$989*$G$3,$M$989*$G$3,Tab.11[[#This Row],[b3]])))</f>
        <v>0</v>
      </c>
      <c r="H620" s="66" t="b">
        <f>IF(Tab.11[[#This Row],[a1]]=1,Tab.11[[#This Row],[b1]])</f>
        <v>0</v>
      </c>
      <c r="I620" s="67" t="b">
        <f>IF(Tab.11[[#This Row],[a1]]=1,Tab.11[[#This Row],[b1]])</f>
        <v>0</v>
      </c>
      <c r="J620" s="68" t="b">
        <f>IF(Tab.11[[#This Row],[a1]]=1,IF($I$3&lt;0,Tab.11[[#This Row],[b5]]-$I$3,Tab.11[[#This Row],[b5]]))</f>
        <v>0</v>
      </c>
      <c r="K620" s="68" t="b">
        <f>IF(Tab.11[[#This Row],[a1]]=1,IF($K$3=0,Tab.11[b6],Tab.11[[#This Row],[b6]]-AVERAGE(Tab.11[b6])))</f>
        <v>0</v>
      </c>
      <c r="L620" s="69" t="b">
        <f>IF(Tab.11[[#This Row],[a1]]=1,Tab.11[[#This Row],[data]]/(_xlfn.STDEV.P(Tab.11[data])*$B$989)+$A$989)</f>
        <v>0</v>
      </c>
      <c r="M620" s="69" t="b">
        <f>IF(Tab.11[[#This Row],[a1]]=1,Tab.11[[#This Row],[data]]/(_xlfn.STDEV.P(Tab.11[data])*$B$987)-$A$987)</f>
        <v>0</v>
      </c>
      <c r="N620" s="69" t="b">
        <f>IF(Tab.11[[#This Row],[a1]]=1,Tab.11[[#This Row],[data]]/(_xlfn.STDEV.P(Tab.11[data])*$B$988)+$A$988)</f>
        <v>0</v>
      </c>
      <c r="O620" s="70" t="b">
        <f>IF(Tab.11[[#This Row],[a1]]=1,_xlfn.NORM.DIST(Tab.11[[#This Row],[b8]],$P$1,$Q$1,FALSE))</f>
        <v>0</v>
      </c>
      <c r="P620" s="70" t="b">
        <f>IF(Tab.11[[#This Row],[a1]]=1,_xlfn.NORM.DIST(Tab.11[[#This Row],[b9]],$P$1,$Q$1,FALSE))</f>
        <v>0</v>
      </c>
      <c r="Q620" s="70" t="b">
        <f>IF(Tab.11[[#This Row],[a1]]=1,_xlfn.NORM.DIST(Tab.11[[#This Row],[b10]],$P$1,$Q$1,FALSE))</f>
        <v>0</v>
      </c>
      <c r="R620" s="67" t="b">
        <f>IF(Tab.11[[#This Row],[a1]]=1,$I$3+$A$989+IF($K$3=0,Tab.11[[#This Row],[b8]]*_xlfn.STDEV.P(Tab.11[data]),AVERAGE(Tab.11[b6])+Tab.11[[#This Row],[b8]]*_xlfn.STDEV.P(Tab.11[data])))</f>
        <v>0</v>
      </c>
      <c r="S620" s="71" t="b">
        <f>IF(Tab.11[[#This Row],[a1]]=1,$I$3+$A$987+IF($K$3=0,Tab.11[[#This Row],[b9]]*_xlfn.STDEV.P(Tab.11[data]),AVERAGE(Tab.11[b6])+Tab.11[[#This Row],[b9]]*_xlfn.STDEV.P(Tab.11[data])))</f>
        <v>0</v>
      </c>
      <c r="T620" s="71" t="b">
        <f>IF(Tab.11[[#This Row],[a1]]=1,$I$3+$A$988+IF($K$3=0,Tab.11[[#This Row],[b10]]*_xlfn.STDEV.P(Tab.11[data]),AVERAGE(Tab.11[b6])+Tab.11[[#This Row],[b10]]*_xlfn.STDEV.P(Tab.11[data])))</f>
        <v>0</v>
      </c>
      <c r="U620" s="72" t="b">
        <f>IF(Tab.11[[#This Row],[a1]]=1,Tab.11[[#This Row],[target]]-Tab.11[[#This Row],[Red]])</f>
        <v>0</v>
      </c>
      <c r="V620" s="72" t="b">
        <f>IF(Tab.11[[#This Row],[a1]]=1,Tab.11[[#This Row],[target]]-Tab.11[[#This Row],[Blue]])</f>
        <v>0</v>
      </c>
      <c r="W620" s="73" t="b">
        <f>IF(Tab.11[[#This Row],[a1]]=1,IF(ABS(Tab.11[[#This Row],[b17]])+ABS(Tab.11[[#This Row],[b18]])&lt;$W$2,$W$2,ABS(Tab.11[[#This Row],[b17]])+ABS(Tab.11[[#This Row],[b18]])))</f>
        <v>0</v>
      </c>
      <c r="X620" s="136" t="b">
        <f>IF(Tab.11[[#This Row],[a1]]=1,IF($W$3&lt;0,Tab.11[[#This Row],[IN]]-$I$3,Tab.11[[#This Row],[IN]]))</f>
        <v>0</v>
      </c>
      <c r="Y620" s="136" t="b">
        <f>IF(Tab.11[[#This Row],[a1]]=1,IF($X$3=0,Tab.11[b66],Tab.11[[#This Row],[b66]]-AVERAGE(Tab.11[b66])))</f>
        <v>0</v>
      </c>
      <c r="Z620" s="135" t="b">
        <f>IF(Tab.11[[#This Row],[a1]]=1,Tab.11[[#This Row],[b77]]/(_xlfn.STDEV.P(Tab.11[b77])))</f>
        <v>0</v>
      </c>
      <c r="AA620" s="70" t="b">
        <f>IF(Tab.11[[#This Row],[a1]]=1,_xlfn.NORM.DIST(Tab.11[[#This Row],[b88]],$Z$1,$AA$1,FALSE))</f>
        <v>0</v>
      </c>
      <c r="AB620" s="74" t="b">
        <f>IF(Tab.11[[#This Row],[a1]]=1,IF($A$3=0,FALSE,1/Tab.11[[#This Row],[IN]]*$AC$2*IF(Tab.11[[#This Row],[a1]]=0,,$A$3*$AC$1*1/$V$3*(Tab.11[[#This Row],[b14]]))))</f>
        <v>0</v>
      </c>
      <c r="AC620" s="75" t="b">
        <f>IF(Tab.11[[#This Row],[a1]]=1,IF($AC$3=0,Tab.11[[#This Row],[φ1]],Tab.11[[#This Row],[φ1]]/MAX(Tab.11[φ1])))</f>
        <v>0</v>
      </c>
      <c r="AD620" s="74" t="b">
        <f>IF(Tab.11[[#This Row],[a1]]=1,1/Tab.11[[#This Row],[φ2]])</f>
        <v>0</v>
      </c>
      <c r="AE620" s="74" t="b">
        <f>IF(Tab.11[[#This Row],[a1]]=1,IF($AE$3=0,Tab.11[[#This Row],[w.0]],Tab.11[[#This Row],[w.0]]/SUM(Tab.11[w.0])))</f>
        <v>0</v>
      </c>
      <c r="AF620" s="76" t="str">
        <f>IF(Tab.11[[#This Row],[a1]]=0,"false",[3]!Tab.x5[[#This Row],[%_seN_C]])</f>
        <v>false</v>
      </c>
      <c r="AG620" s="77" t="b">
        <f>IF(Tab.11[[#This Row],[a1]]=1,AP620)</f>
        <v>0</v>
      </c>
      <c r="AH620" s="78" t="b">
        <f>IF(Tab.11[[#This Row],[a1]]=1,AQ620)</f>
        <v>0</v>
      </c>
      <c r="AI620" s="41">
        <v>3.0000000000000001E-3</v>
      </c>
      <c r="AJ620" s="79">
        <v>0.04</v>
      </c>
      <c r="AK620" s="80" t="b">
        <f>IF(Tab.11[[#This Row],[a1]]=1,1)</f>
        <v>0</v>
      </c>
      <c r="AZ620"/>
    </row>
    <row r="621" spans="1:52" hidden="1" x14ac:dyDescent="0.25">
      <c r="A621" s="61">
        <f t="shared" si="21"/>
        <v>0</v>
      </c>
      <c r="B621" s="62">
        <f t="shared" si="21"/>
        <v>0</v>
      </c>
      <c r="C621" s="62" t="b">
        <f>IF(Tab.11[[#This Row],[a1]]=1,[3]!Tab_x1[[#This Row],[Name]])</f>
        <v>0</v>
      </c>
      <c r="D621" s="63" t="b">
        <f>IF(Tab.11[[#This Row],[a1]]=1,AO621)</f>
        <v>0</v>
      </c>
      <c r="E621" s="63">
        <f t="shared" si="20"/>
        <v>0</v>
      </c>
      <c r="F621" s="64" t="b">
        <f>IF(Tab.11[[#This Row],[a1]]=1,Tab.11[[#This Row],[b1]])</f>
        <v>0</v>
      </c>
      <c r="G621" s="65" t="b">
        <f>IF(Tab.11[[#This Row],[a1]]=1,IF(Tab.11[[#This Row],[b3]]&gt;$L$989*$G$3,$L$989*$G$3,IF(Tab.11[[#This Row],[b3]]&lt;$M$989*$G$3,$M$989*$G$3,Tab.11[[#This Row],[b3]])))</f>
        <v>0</v>
      </c>
      <c r="H621" s="66" t="b">
        <f>IF(Tab.11[[#This Row],[a1]]=1,Tab.11[[#This Row],[b1]])</f>
        <v>0</v>
      </c>
      <c r="I621" s="67" t="b">
        <f>IF(Tab.11[[#This Row],[a1]]=1,Tab.11[[#This Row],[b1]])</f>
        <v>0</v>
      </c>
      <c r="J621" s="68" t="b">
        <f>IF(Tab.11[[#This Row],[a1]]=1,IF($I$3&lt;0,Tab.11[[#This Row],[b5]]-$I$3,Tab.11[[#This Row],[b5]]))</f>
        <v>0</v>
      </c>
      <c r="K621" s="68" t="b">
        <f>IF(Tab.11[[#This Row],[a1]]=1,IF($K$3=0,Tab.11[b6],Tab.11[[#This Row],[b6]]-AVERAGE(Tab.11[b6])))</f>
        <v>0</v>
      </c>
      <c r="L621" s="69" t="b">
        <f>IF(Tab.11[[#This Row],[a1]]=1,Tab.11[[#This Row],[data]]/(_xlfn.STDEV.P(Tab.11[data])*$B$989)+$A$989)</f>
        <v>0</v>
      </c>
      <c r="M621" s="69" t="b">
        <f>IF(Tab.11[[#This Row],[a1]]=1,Tab.11[[#This Row],[data]]/(_xlfn.STDEV.P(Tab.11[data])*$B$987)-$A$987)</f>
        <v>0</v>
      </c>
      <c r="N621" s="69" t="b">
        <f>IF(Tab.11[[#This Row],[a1]]=1,Tab.11[[#This Row],[data]]/(_xlfn.STDEV.P(Tab.11[data])*$B$988)+$A$988)</f>
        <v>0</v>
      </c>
      <c r="O621" s="70" t="b">
        <f>IF(Tab.11[[#This Row],[a1]]=1,_xlfn.NORM.DIST(Tab.11[[#This Row],[b8]],$P$1,$Q$1,FALSE))</f>
        <v>0</v>
      </c>
      <c r="P621" s="70" t="b">
        <f>IF(Tab.11[[#This Row],[a1]]=1,_xlfn.NORM.DIST(Tab.11[[#This Row],[b9]],$P$1,$Q$1,FALSE))</f>
        <v>0</v>
      </c>
      <c r="Q621" s="70" t="b">
        <f>IF(Tab.11[[#This Row],[a1]]=1,_xlfn.NORM.DIST(Tab.11[[#This Row],[b10]],$P$1,$Q$1,FALSE))</f>
        <v>0</v>
      </c>
      <c r="R621" s="67" t="b">
        <f>IF(Tab.11[[#This Row],[a1]]=1,$I$3+$A$989+IF($K$3=0,Tab.11[[#This Row],[b8]]*_xlfn.STDEV.P(Tab.11[data]),AVERAGE(Tab.11[b6])+Tab.11[[#This Row],[b8]]*_xlfn.STDEV.P(Tab.11[data])))</f>
        <v>0</v>
      </c>
      <c r="S621" s="71" t="b">
        <f>IF(Tab.11[[#This Row],[a1]]=1,$I$3+$A$987+IF($K$3=0,Tab.11[[#This Row],[b9]]*_xlfn.STDEV.P(Tab.11[data]),AVERAGE(Tab.11[b6])+Tab.11[[#This Row],[b9]]*_xlfn.STDEV.P(Tab.11[data])))</f>
        <v>0</v>
      </c>
      <c r="T621" s="71" t="b">
        <f>IF(Tab.11[[#This Row],[a1]]=1,$I$3+$A$988+IF($K$3=0,Tab.11[[#This Row],[b10]]*_xlfn.STDEV.P(Tab.11[data]),AVERAGE(Tab.11[b6])+Tab.11[[#This Row],[b10]]*_xlfn.STDEV.P(Tab.11[data])))</f>
        <v>0</v>
      </c>
      <c r="U621" s="72" t="b">
        <f>IF(Tab.11[[#This Row],[a1]]=1,Tab.11[[#This Row],[target]]-Tab.11[[#This Row],[Red]])</f>
        <v>0</v>
      </c>
      <c r="V621" s="72" t="b">
        <f>IF(Tab.11[[#This Row],[a1]]=1,Tab.11[[#This Row],[target]]-Tab.11[[#This Row],[Blue]])</f>
        <v>0</v>
      </c>
      <c r="W621" s="73" t="b">
        <f>IF(Tab.11[[#This Row],[a1]]=1,IF(ABS(Tab.11[[#This Row],[b17]])+ABS(Tab.11[[#This Row],[b18]])&lt;$W$2,$W$2,ABS(Tab.11[[#This Row],[b17]])+ABS(Tab.11[[#This Row],[b18]])))</f>
        <v>0</v>
      </c>
      <c r="X621" s="136" t="b">
        <f>IF(Tab.11[[#This Row],[a1]]=1,IF($W$3&lt;0,Tab.11[[#This Row],[IN]]-$I$3,Tab.11[[#This Row],[IN]]))</f>
        <v>0</v>
      </c>
      <c r="Y621" s="136" t="b">
        <f>IF(Tab.11[[#This Row],[a1]]=1,IF($X$3=0,Tab.11[b66],Tab.11[[#This Row],[b66]]-AVERAGE(Tab.11[b66])))</f>
        <v>0</v>
      </c>
      <c r="Z621" s="135" t="b">
        <f>IF(Tab.11[[#This Row],[a1]]=1,Tab.11[[#This Row],[b77]]/(_xlfn.STDEV.P(Tab.11[b77])))</f>
        <v>0</v>
      </c>
      <c r="AA621" s="70" t="b">
        <f>IF(Tab.11[[#This Row],[a1]]=1,_xlfn.NORM.DIST(Tab.11[[#This Row],[b88]],$Z$1,$AA$1,FALSE))</f>
        <v>0</v>
      </c>
      <c r="AB621" s="74" t="b">
        <f>IF(Tab.11[[#This Row],[a1]]=1,IF($A$3=0,FALSE,1/Tab.11[[#This Row],[IN]]*$AC$2*IF(Tab.11[[#This Row],[a1]]=0,,$A$3*$AC$1*1/$V$3*(Tab.11[[#This Row],[b14]]))))</f>
        <v>0</v>
      </c>
      <c r="AC621" s="75" t="b">
        <f>IF(Tab.11[[#This Row],[a1]]=1,IF($AC$3=0,Tab.11[[#This Row],[φ1]],Tab.11[[#This Row],[φ1]]/MAX(Tab.11[φ1])))</f>
        <v>0</v>
      </c>
      <c r="AD621" s="74" t="b">
        <f>IF(Tab.11[[#This Row],[a1]]=1,1/Tab.11[[#This Row],[φ2]])</f>
        <v>0</v>
      </c>
      <c r="AE621" s="74" t="b">
        <f>IF(Tab.11[[#This Row],[a1]]=1,IF($AE$3=0,Tab.11[[#This Row],[w.0]],Tab.11[[#This Row],[w.0]]/SUM(Tab.11[w.0])))</f>
        <v>0</v>
      </c>
      <c r="AF621" s="76" t="str">
        <f>IF(Tab.11[[#This Row],[a1]]=0,"false",[3]!Tab.x5[[#This Row],[%_seN_C]])</f>
        <v>false</v>
      </c>
      <c r="AG621" s="77" t="b">
        <f>IF(Tab.11[[#This Row],[a1]]=1,AP621)</f>
        <v>0</v>
      </c>
      <c r="AH621" s="78" t="b">
        <f>IF(Tab.11[[#This Row],[a1]]=1,AQ621)</f>
        <v>0</v>
      </c>
      <c r="AI621" s="41">
        <v>3.0000000000000001E-3</v>
      </c>
      <c r="AJ621" s="79">
        <v>0.01</v>
      </c>
      <c r="AK621" s="80" t="b">
        <f>IF(Tab.11[[#This Row],[a1]]=1,1)</f>
        <v>0</v>
      </c>
      <c r="AZ621"/>
    </row>
    <row r="622" spans="1:52" hidden="1" x14ac:dyDescent="0.25">
      <c r="A622" s="61">
        <f t="shared" si="21"/>
        <v>0</v>
      </c>
      <c r="B622" s="62">
        <f t="shared" si="21"/>
        <v>0</v>
      </c>
      <c r="C622" s="62" t="b">
        <f>IF(Tab.11[[#This Row],[a1]]=1,[3]!Tab_x1[[#This Row],[Name]])</f>
        <v>0</v>
      </c>
      <c r="D622" s="63" t="b">
        <f>IF(Tab.11[[#This Row],[a1]]=1,AO622)</f>
        <v>0</v>
      </c>
      <c r="E622" s="63">
        <f t="shared" si="20"/>
        <v>0</v>
      </c>
      <c r="F622" s="64" t="b">
        <f>IF(Tab.11[[#This Row],[a1]]=1,Tab.11[[#This Row],[b1]])</f>
        <v>0</v>
      </c>
      <c r="G622" s="65" t="b">
        <f>IF(Tab.11[[#This Row],[a1]]=1,IF(Tab.11[[#This Row],[b3]]&gt;$L$989*$G$3,$L$989*$G$3,IF(Tab.11[[#This Row],[b3]]&lt;$M$989*$G$3,$M$989*$G$3,Tab.11[[#This Row],[b3]])))</f>
        <v>0</v>
      </c>
      <c r="H622" s="66" t="b">
        <f>IF(Tab.11[[#This Row],[a1]]=1,Tab.11[[#This Row],[b1]])</f>
        <v>0</v>
      </c>
      <c r="I622" s="67" t="b">
        <f>IF(Tab.11[[#This Row],[a1]]=1,Tab.11[[#This Row],[b1]])</f>
        <v>0</v>
      </c>
      <c r="J622" s="68" t="b">
        <f>IF(Tab.11[[#This Row],[a1]]=1,IF($I$3&lt;0,Tab.11[[#This Row],[b5]]-$I$3,Tab.11[[#This Row],[b5]]))</f>
        <v>0</v>
      </c>
      <c r="K622" s="68" t="b">
        <f>IF(Tab.11[[#This Row],[a1]]=1,IF($K$3=0,Tab.11[b6],Tab.11[[#This Row],[b6]]-AVERAGE(Tab.11[b6])))</f>
        <v>0</v>
      </c>
      <c r="L622" s="69" t="b">
        <f>IF(Tab.11[[#This Row],[a1]]=1,Tab.11[[#This Row],[data]]/(_xlfn.STDEV.P(Tab.11[data])*$B$989)+$A$989)</f>
        <v>0</v>
      </c>
      <c r="M622" s="69" t="b">
        <f>IF(Tab.11[[#This Row],[a1]]=1,Tab.11[[#This Row],[data]]/(_xlfn.STDEV.P(Tab.11[data])*$B$987)-$A$987)</f>
        <v>0</v>
      </c>
      <c r="N622" s="69" t="b">
        <f>IF(Tab.11[[#This Row],[a1]]=1,Tab.11[[#This Row],[data]]/(_xlfn.STDEV.P(Tab.11[data])*$B$988)+$A$988)</f>
        <v>0</v>
      </c>
      <c r="O622" s="70" t="b">
        <f>IF(Tab.11[[#This Row],[a1]]=1,_xlfn.NORM.DIST(Tab.11[[#This Row],[b8]],$P$1,$Q$1,FALSE))</f>
        <v>0</v>
      </c>
      <c r="P622" s="70" t="b">
        <f>IF(Tab.11[[#This Row],[a1]]=1,_xlfn.NORM.DIST(Tab.11[[#This Row],[b9]],$P$1,$Q$1,FALSE))</f>
        <v>0</v>
      </c>
      <c r="Q622" s="70" t="b">
        <f>IF(Tab.11[[#This Row],[a1]]=1,_xlfn.NORM.DIST(Tab.11[[#This Row],[b10]],$P$1,$Q$1,FALSE))</f>
        <v>0</v>
      </c>
      <c r="R622" s="67" t="b">
        <f>IF(Tab.11[[#This Row],[a1]]=1,$I$3+$A$989+IF($K$3=0,Tab.11[[#This Row],[b8]]*_xlfn.STDEV.P(Tab.11[data]),AVERAGE(Tab.11[b6])+Tab.11[[#This Row],[b8]]*_xlfn.STDEV.P(Tab.11[data])))</f>
        <v>0</v>
      </c>
      <c r="S622" s="71" t="b">
        <f>IF(Tab.11[[#This Row],[a1]]=1,$I$3+$A$987+IF($K$3=0,Tab.11[[#This Row],[b9]]*_xlfn.STDEV.P(Tab.11[data]),AVERAGE(Tab.11[b6])+Tab.11[[#This Row],[b9]]*_xlfn.STDEV.P(Tab.11[data])))</f>
        <v>0</v>
      </c>
      <c r="T622" s="71" t="b">
        <f>IF(Tab.11[[#This Row],[a1]]=1,$I$3+$A$988+IF($K$3=0,Tab.11[[#This Row],[b10]]*_xlfn.STDEV.P(Tab.11[data]),AVERAGE(Tab.11[b6])+Tab.11[[#This Row],[b10]]*_xlfn.STDEV.P(Tab.11[data])))</f>
        <v>0</v>
      </c>
      <c r="U622" s="72" t="b">
        <f>IF(Tab.11[[#This Row],[a1]]=1,Tab.11[[#This Row],[target]]-Tab.11[[#This Row],[Red]])</f>
        <v>0</v>
      </c>
      <c r="V622" s="72" t="b">
        <f>IF(Tab.11[[#This Row],[a1]]=1,Tab.11[[#This Row],[target]]-Tab.11[[#This Row],[Blue]])</f>
        <v>0</v>
      </c>
      <c r="W622" s="73" t="b">
        <f>IF(Tab.11[[#This Row],[a1]]=1,IF(ABS(Tab.11[[#This Row],[b17]])+ABS(Tab.11[[#This Row],[b18]])&lt;$W$2,$W$2,ABS(Tab.11[[#This Row],[b17]])+ABS(Tab.11[[#This Row],[b18]])))</f>
        <v>0</v>
      </c>
      <c r="X622" s="136" t="b">
        <f>IF(Tab.11[[#This Row],[a1]]=1,IF($W$3&lt;0,Tab.11[[#This Row],[IN]]-$I$3,Tab.11[[#This Row],[IN]]))</f>
        <v>0</v>
      </c>
      <c r="Y622" s="136" t="b">
        <f>IF(Tab.11[[#This Row],[a1]]=1,IF($X$3=0,Tab.11[b66],Tab.11[[#This Row],[b66]]-AVERAGE(Tab.11[b66])))</f>
        <v>0</v>
      </c>
      <c r="Z622" s="135" t="b">
        <f>IF(Tab.11[[#This Row],[a1]]=1,Tab.11[[#This Row],[b77]]/(_xlfn.STDEV.P(Tab.11[b77])))</f>
        <v>0</v>
      </c>
      <c r="AA622" s="70" t="b">
        <f>IF(Tab.11[[#This Row],[a1]]=1,_xlfn.NORM.DIST(Tab.11[[#This Row],[b88]],$Z$1,$AA$1,FALSE))</f>
        <v>0</v>
      </c>
      <c r="AB622" s="74" t="b">
        <f>IF(Tab.11[[#This Row],[a1]]=1,IF($A$3=0,FALSE,1/Tab.11[[#This Row],[IN]]*$AC$2*IF(Tab.11[[#This Row],[a1]]=0,,$A$3*$AC$1*1/$V$3*(Tab.11[[#This Row],[b14]]))))</f>
        <v>0</v>
      </c>
      <c r="AC622" s="75" t="b">
        <f>IF(Tab.11[[#This Row],[a1]]=1,IF($AC$3=0,Tab.11[[#This Row],[φ1]],Tab.11[[#This Row],[φ1]]/MAX(Tab.11[φ1])))</f>
        <v>0</v>
      </c>
      <c r="AD622" s="74" t="b">
        <f>IF(Tab.11[[#This Row],[a1]]=1,1/Tab.11[[#This Row],[φ2]])</f>
        <v>0</v>
      </c>
      <c r="AE622" s="74" t="b">
        <f>IF(Tab.11[[#This Row],[a1]]=1,IF($AE$3=0,Tab.11[[#This Row],[w.0]],Tab.11[[#This Row],[w.0]]/SUM(Tab.11[w.0])))</f>
        <v>0</v>
      </c>
      <c r="AF622" s="76" t="str">
        <f>IF(Tab.11[[#This Row],[a1]]=0,"false",[3]!Tab.x5[[#This Row],[%_seN_C]])</f>
        <v>false</v>
      </c>
      <c r="AG622" s="77" t="b">
        <f>IF(Tab.11[[#This Row],[a1]]=1,AP622)</f>
        <v>0</v>
      </c>
      <c r="AH622" s="78" t="b">
        <f>IF(Tab.11[[#This Row],[a1]]=1,AQ622)</f>
        <v>0</v>
      </c>
      <c r="AI622" s="41">
        <v>3.0000000000000001E-3</v>
      </c>
      <c r="AJ622" s="79">
        <v>0.04</v>
      </c>
      <c r="AK622" s="80" t="b">
        <f>IF(Tab.11[[#This Row],[a1]]=1,1)</f>
        <v>0</v>
      </c>
      <c r="AZ622"/>
    </row>
    <row r="623" spans="1:52" hidden="1" x14ac:dyDescent="0.25">
      <c r="A623" s="61">
        <f t="shared" si="21"/>
        <v>0</v>
      </c>
      <c r="B623" s="62">
        <f t="shared" si="21"/>
        <v>0</v>
      </c>
      <c r="C623" s="62" t="b">
        <f>IF(Tab.11[[#This Row],[a1]]=1,[3]!Tab_x1[[#This Row],[Name]])</f>
        <v>0</v>
      </c>
      <c r="D623" s="63" t="b">
        <f>IF(Tab.11[[#This Row],[a1]]=1,AO623)</f>
        <v>0</v>
      </c>
      <c r="E623" s="63">
        <f t="shared" si="20"/>
        <v>0</v>
      </c>
      <c r="F623" s="64" t="b">
        <f>IF(Tab.11[[#This Row],[a1]]=1,Tab.11[[#This Row],[b1]])</f>
        <v>0</v>
      </c>
      <c r="G623" s="65" t="b">
        <f>IF(Tab.11[[#This Row],[a1]]=1,IF(Tab.11[[#This Row],[b3]]&gt;$L$989*$G$3,$L$989*$G$3,IF(Tab.11[[#This Row],[b3]]&lt;$M$989*$G$3,$M$989*$G$3,Tab.11[[#This Row],[b3]])))</f>
        <v>0</v>
      </c>
      <c r="H623" s="66" t="b">
        <f>IF(Tab.11[[#This Row],[a1]]=1,Tab.11[[#This Row],[b1]])</f>
        <v>0</v>
      </c>
      <c r="I623" s="67" t="b">
        <f>IF(Tab.11[[#This Row],[a1]]=1,Tab.11[[#This Row],[b1]])</f>
        <v>0</v>
      </c>
      <c r="J623" s="68" t="b">
        <f>IF(Tab.11[[#This Row],[a1]]=1,IF($I$3&lt;0,Tab.11[[#This Row],[b5]]-$I$3,Tab.11[[#This Row],[b5]]))</f>
        <v>0</v>
      </c>
      <c r="K623" s="68" t="b">
        <f>IF(Tab.11[[#This Row],[a1]]=1,IF($K$3=0,Tab.11[b6],Tab.11[[#This Row],[b6]]-AVERAGE(Tab.11[b6])))</f>
        <v>0</v>
      </c>
      <c r="L623" s="69" t="b">
        <f>IF(Tab.11[[#This Row],[a1]]=1,Tab.11[[#This Row],[data]]/(_xlfn.STDEV.P(Tab.11[data])*$B$989)+$A$989)</f>
        <v>0</v>
      </c>
      <c r="M623" s="69" t="b">
        <f>IF(Tab.11[[#This Row],[a1]]=1,Tab.11[[#This Row],[data]]/(_xlfn.STDEV.P(Tab.11[data])*$B$987)-$A$987)</f>
        <v>0</v>
      </c>
      <c r="N623" s="69" t="b">
        <f>IF(Tab.11[[#This Row],[a1]]=1,Tab.11[[#This Row],[data]]/(_xlfn.STDEV.P(Tab.11[data])*$B$988)+$A$988)</f>
        <v>0</v>
      </c>
      <c r="O623" s="70" t="b">
        <f>IF(Tab.11[[#This Row],[a1]]=1,_xlfn.NORM.DIST(Tab.11[[#This Row],[b8]],$P$1,$Q$1,FALSE))</f>
        <v>0</v>
      </c>
      <c r="P623" s="70" t="b">
        <f>IF(Tab.11[[#This Row],[a1]]=1,_xlfn.NORM.DIST(Tab.11[[#This Row],[b9]],$P$1,$Q$1,FALSE))</f>
        <v>0</v>
      </c>
      <c r="Q623" s="70" t="b">
        <f>IF(Tab.11[[#This Row],[a1]]=1,_xlfn.NORM.DIST(Tab.11[[#This Row],[b10]],$P$1,$Q$1,FALSE))</f>
        <v>0</v>
      </c>
      <c r="R623" s="67" t="b">
        <f>IF(Tab.11[[#This Row],[a1]]=1,$I$3+$A$989+IF($K$3=0,Tab.11[[#This Row],[b8]]*_xlfn.STDEV.P(Tab.11[data]),AVERAGE(Tab.11[b6])+Tab.11[[#This Row],[b8]]*_xlfn.STDEV.P(Tab.11[data])))</f>
        <v>0</v>
      </c>
      <c r="S623" s="71" t="b">
        <f>IF(Tab.11[[#This Row],[a1]]=1,$I$3+$A$987+IF($K$3=0,Tab.11[[#This Row],[b9]]*_xlfn.STDEV.P(Tab.11[data]),AVERAGE(Tab.11[b6])+Tab.11[[#This Row],[b9]]*_xlfn.STDEV.P(Tab.11[data])))</f>
        <v>0</v>
      </c>
      <c r="T623" s="71" t="b">
        <f>IF(Tab.11[[#This Row],[a1]]=1,$I$3+$A$988+IF($K$3=0,Tab.11[[#This Row],[b10]]*_xlfn.STDEV.P(Tab.11[data]),AVERAGE(Tab.11[b6])+Tab.11[[#This Row],[b10]]*_xlfn.STDEV.P(Tab.11[data])))</f>
        <v>0</v>
      </c>
      <c r="U623" s="72" t="b">
        <f>IF(Tab.11[[#This Row],[a1]]=1,Tab.11[[#This Row],[target]]-Tab.11[[#This Row],[Red]])</f>
        <v>0</v>
      </c>
      <c r="V623" s="72" t="b">
        <f>IF(Tab.11[[#This Row],[a1]]=1,Tab.11[[#This Row],[target]]-Tab.11[[#This Row],[Blue]])</f>
        <v>0</v>
      </c>
      <c r="W623" s="73" t="b">
        <f>IF(Tab.11[[#This Row],[a1]]=1,IF(ABS(Tab.11[[#This Row],[b17]])+ABS(Tab.11[[#This Row],[b18]])&lt;$W$2,$W$2,ABS(Tab.11[[#This Row],[b17]])+ABS(Tab.11[[#This Row],[b18]])))</f>
        <v>0</v>
      </c>
      <c r="X623" s="136" t="b">
        <f>IF(Tab.11[[#This Row],[a1]]=1,IF($W$3&lt;0,Tab.11[[#This Row],[IN]]-$I$3,Tab.11[[#This Row],[IN]]))</f>
        <v>0</v>
      </c>
      <c r="Y623" s="136" t="b">
        <f>IF(Tab.11[[#This Row],[a1]]=1,IF($X$3=0,Tab.11[b66],Tab.11[[#This Row],[b66]]-AVERAGE(Tab.11[b66])))</f>
        <v>0</v>
      </c>
      <c r="Z623" s="135" t="b">
        <f>IF(Tab.11[[#This Row],[a1]]=1,Tab.11[[#This Row],[b77]]/(_xlfn.STDEV.P(Tab.11[b77])))</f>
        <v>0</v>
      </c>
      <c r="AA623" s="70" t="b">
        <f>IF(Tab.11[[#This Row],[a1]]=1,_xlfn.NORM.DIST(Tab.11[[#This Row],[b88]],$Z$1,$AA$1,FALSE))</f>
        <v>0</v>
      </c>
      <c r="AB623" s="74" t="b">
        <f>IF(Tab.11[[#This Row],[a1]]=1,IF($A$3=0,FALSE,1/Tab.11[[#This Row],[IN]]*$AC$2*IF(Tab.11[[#This Row],[a1]]=0,,$A$3*$AC$1*1/$V$3*(Tab.11[[#This Row],[b14]]))))</f>
        <v>0</v>
      </c>
      <c r="AC623" s="75" t="b">
        <f>IF(Tab.11[[#This Row],[a1]]=1,IF($AC$3=0,Tab.11[[#This Row],[φ1]],Tab.11[[#This Row],[φ1]]/MAX(Tab.11[φ1])))</f>
        <v>0</v>
      </c>
      <c r="AD623" s="74" t="b">
        <f>IF(Tab.11[[#This Row],[a1]]=1,1/Tab.11[[#This Row],[φ2]])</f>
        <v>0</v>
      </c>
      <c r="AE623" s="74" t="b">
        <f>IF(Tab.11[[#This Row],[a1]]=1,IF($AE$3=0,Tab.11[[#This Row],[w.0]],Tab.11[[#This Row],[w.0]]/SUM(Tab.11[w.0])))</f>
        <v>0</v>
      </c>
      <c r="AF623" s="76" t="str">
        <f>IF(Tab.11[[#This Row],[a1]]=0,"false",[3]!Tab.x5[[#This Row],[%_seN_C]])</f>
        <v>false</v>
      </c>
      <c r="AG623" s="77" t="b">
        <f>IF(Tab.11[[#This Row],[a1]]=1,AP623)</f>
        <v>0</v>
      </c>
      <c r="AH623" s="78" t="b">
        <f>IF(Tab.11[[#This Row],[a1]]=1,AQ623)</f>
        <v>0</v>
      </c>
      <c r="AI623" s="41">
        <v>3.0000000000000001E-3</v>
      </c>
      <c r="AJ623" s="79">
        <v>0.05</v>
      </c>
      <c r="AK623" s="80" t="b">
        <f>IF(Tab.11[[#This Row],[a1]]=1,1)</f>
        <v>0</v>
      </c>
      <c r="AZ623"/>
    </row>
    <row r="624" spans="1:52" s="81" customFormat="1" hidden="1" x14ac:dyDescent="0.25">
      <c r="A624" s="61">
        <f t="shared" si="21"/>
        <v>0</v>
      </c>
      <c r="B624" s="62">
        <f t="shared" si="21"/>
        <v>0</v>
      </c>
      <c r="C624" s="62" t="b">
        <f>IF(Tab.11[[#This Row],[a1]]=1,[3]!Tab_x1[[#This Row],[Name]])</f>
        <v>0</v>
      </c>
      <c r="D624" s="63" t="b">
        <f>IF(Tab.11[[#This Row],[a1]]=1,AO624)</f>
        <v>0</v>
      </c>
      <c r="E624" s="63">
        <f t="shared" si="20"/>
        <v>0</v>
      </c>
      <c r="F624" s="64" t="b">
        <f>IF(Tab.11[[#This Row],[a1]]=1,Tab.11[[#This Row],[b1]])</f>
        <v>0</v>
      </c>
      <c r="G624" s="65" t="b">
        <f>IF(Tab.11[[#This Row],[a1]]=1,IF(Tab.11[[#This Row],[b3]]&gt;$L$989*$G$3,$L$989*$G$3,IF(Tab.11[[#This Row],[b3]]&lt;$M$989*$G$3,$M$989*$G$3,Tab.11[[#This Row],[b3]])))</f>
        <v>0</v>
      </c>
      <c r="H624" s="66" t="b">
        <f>IF(Tab.11[[#This Row],[a1]]=1,Tab.11[[#This Row],[b1]])</f>
        <v>0</v>
      </c>
      <c r="I624" s="67" t="b">
        <f>IF(Tab.11[[#This Row],[a1]]=1,Tab.11[[#This Row],[b1]])</f>
        <v>0</v>
      </c>
      <c r="J624" s="68" t="b">
        <f>IF(Tab.11[[#This Row],[a1]]=1,IF($I$3&lt;0,Tab.11[[#This Row],[b5]]-$I$3,Tab.11[[#This Row],[b5]]))</f>
        <v>0</v>
      </c>
      <c r="K624" s="68" t="b">
        <f>IF(Tab.11[[#This Row],[a1]]=1,IF($K$3=0,Tab.11[b6],Tab.11[[#This Row],[b6]]-AVERAGE(Tab.11[b6])))</f>
        <v>0</v>
      </c>
      <c r="L624" s="69" t="b">
        <f>IF(Tab.11[[#This Row],[a1]]=1,Tab.11[[#This Row],[data]]/(_xlfn.STDEV.P(Tab.11[data])*$B$989)+$A$989)</f>
        <v>0</v>
      </c>
      <c r="M624" s="69" t="b">
        <f>IF(Tab.11[[#This Row],[a1]]=1,Tab.11[[#This Row],[data]]/(_xlfn.STDEV.P(Tab.11[data])*$B$987)-$A$987)</f>
        <v>0</v>
      </c>
      <c r="N624" s="69" t="b">
        <f>IF(Tab.11[[#This Row],[a1]]=1,Tab.11[[#This Row],[data]]/(_xlfn.STDEV.P(Tab.11[data])*$B$988)+$A$988)</f>
        <v>0</v>
      </c>
      <c r="O624" s="70" t="b">
        <f>IF(Tab.11[[#This Row],[a1]]=1,_xlfn.NORM.DIST(Tab.11[[#This Row],[b8]],$P$1,$Q$1,FALSE))</f>
        <v>0</v>
      </c>
      <c r="P624" s="70" t="b">
        <f>IF(Tab.11[[#This Row],[a1]]=1,_xlfn.NORM.DIST(Tab.11[[#This Row],[b9]],$P$1,$Q$1,FALSE))</f>
        <v>0</v>
      </c>
      <c r="Q624" s="70" t="b">
        <f>IF(Tab.11[[#This Row],[a1]]=1,_xlfn.NORM.DIST(Tab.11[[#This Row],[b10]],$P$1,$Q$1,FALSE))</f>
        <v>0</v>
      </c>
      <c r="R624" s="67" t="b">
        <f>IF(Tab.11[[#This Row],[a1]]=1,$I$3+$A$989+IF($K$3=0,Tab.11[[#This Row],[b8]]*_xlfn.STDEV.P(Tab.11[data]),AVERAGE(Tab.11[b6])+Tab.11[[#This Row],[b8]]*_xlfn.STDEV.P(Tab.11[data])))</f>
        <v>0</v>
      </c>
      <c r="S624" s="71" t="b">
        <f>IF(Tab.11[[#This Row],[a1]]=1,$I$3+$A$987+IF($K$3=0,Tab.11[[#This Row],[b9]]*_xlfn.STDEV.P(Tab.11[data]),AVERAGE(Tab.11[b6])+Tab.11[[#This Row],[b9]]*_xlfn.STDEV.P(Tab.11[data])))</f>
        <v>0</v>
      </c>
      <c r="T624" s="71" t="b">
        <f>IF(Tab.11[[#This Row],[a1]]=1,$I$3+$A$988+IF($K$3=0,Tab.11[[#This Row],[b10]]*_xlfn.STDEV.P(Tab.11[data]),AVERAGE(Tab.11[b6])+Tab.11[[#This Row],[b10]]*_xlfn.STDEV.P(Tab.11[data])))</f>
        <v>0</v>
      </c>
      <c r="U624" s="72" t="b">
        <f>IF(Tab.11[[#This Row],[a1]]=1,Tab.11[[#This Row],[target]]-Tab.11[[#This Row],[Red]])</f>
        <v>0</v>
      </c>
      <c r="V624" s="72" t="b">
        <f>IF(Tab.11[[#This Row],[a1]]=1,Tab.11[[#This Row],[target]]-Tab.11[[#This Row],[Blue]])</f>
        <v>0</v>
      </c>
      <c r="W624" s="73" t="b">
        <f>IF(Tab.11[[#This Row],[a1]]=1,IF(ABS(Tab.11[[#This Row],[b17]])+ABS(Tab.11[[#This Row],[b18]])&lt;$W$2,$W$2,ABS(Tab.11[[#This Row],[b17]])+ABS(Tab.11[[#This Row],[b18]])))</f>
        <v>0</v>
      </c>
      <c r="X624" s="136" t="b">
        <f>IF(Tab.11[[#This Row],[a1]]=1,IF($W$3&lt;0,Tab.11[[#This Row],[IN]]-$I$3,Tab.11[[#This Row],[IN]]))</f>
        <v>0</v>
      </c>
      <c r="Y624" s="136" t="b">
        <f>IF(Tab.11[[#This Row],[a1]]=1,IF($X$3=0,Tab.11[b66],Tab.11[[#This Row],[b66]]-AVERAGE(Tab.11[b66])))</f>
        <v>0</v>
      </c>
      <c r="Z624" s="135" t="b">
        <f>IF(Tab.11[[#This Row],[a1]]=1,Tab.11[[#This Row],[b77]]/(_xlfn.STDEV.P(Tab.11[b77])))</f>
        <v>0</v>
      </c>
      <c r="AA624" s="70" t="b">
        <f>IF(Tab.11[[#This Row],[a1]]=1,_xlfn.NORM.DIST(Tab.11[[#This Row],[b88]],$Z$1,$AA$1,FALSE))</f>
        <v>0</v>
      </c>
      <c r="AB624" s="74" t="b">
        <f>IF(Tab.11[[#This Row],[a1]]=1,IF($A$3=0,FALSE,1/Tab.11[[#This Row],[IN]]*$AC$2*IF(Tab.11[[#This Row],[a1]]=0,,$A$3*$AC$1*1/$V$3*(Tab.11[[#This Row],[b14]]))))</f>
        <v>0</v>
      </c>
      <c r="AC624" s="75" t="b">
        <f>IF(Tab.11[[#This Row],[a1]]=1,IF($AC$3=0,Tab.11[[#This Row],[φ1]],Tab.11[[#This Row],[φ1]]/MAX(Tab.11[φ1])))</f>
        <v>0</v>
      </c>
      <c r="AD624" s="74" t="b">
        <f>IF(Tab.11[[#This Row],[a1]]=1,1/Tab.11[[#This Row],[φ2]])</f>
        <v>0</v>
      </c>
      <c r="AE624" s="74" t="b">
        <f>IF(Tab.11[[#This Row],[a1]]=1,IF($AE$3=0,Tab.11[[#This Row],[w.0]],Tab.11[[#This Row],[w.0]]/SUM(Tab.11[w.0])))</f>
        <v>0</v>
      </c>
      <c r="AF624" s="76" t="str">
        <f>IF(Tab.11[[#This Row],[a1]]=0,"false",[3]!Tab.x5[[#This Row],[%_seN_C]])</f>
        <v>false</v>
      </c>
      <c r="AG624" s="77" t="b">
        <f>IF(Tab.11[[#This Row],[a1]]=1,AP624)</f>
        <v>0</v>
      </c>
      <c r="AH624" s="78" t="b">
        <f>IF(Tab.11[[#This Row],[a1]]=1,AQ624)</f>
        <v>0</v>
      </c>
      <c r="AI624" s="41">
        <v>3.0000000000000001E-3</v>
      </c>
      <c r="AJ624" s="79">
        <v>0.05</v>
      </c>
      <c r="AK624" s="80" t="b">
        <f>IF(Tab.11[[#This Row],[a1]]=1,1)</f>
        <v>0</v>
      </c>
      <c r="AL624"/>
      <c r="AM624"/>
      <c r="AN624"/>
      <c r="AO624"/>
      <c r="AP624"/>
      <c r="AQ624"/>
      <c r="AR624"/>
      <c r="AS624"/>
    </row>
    <row r="625" spans="1:45" s="81" customFormat="1" hidden="1" x14ac:dyDescent="0.25">
      <c r="A625" s="61">
        <f t="shared" si="21"/>
        <v>0</v>
      </c>
      <c r="B625" s="62">
        <f t="shared" si="21"/>
        <v>0</v>
      </c>
      <c r="C625" s="62" t="b">
        <f>IF(Tab.11[[#This Row],[a1]]=1,[3]!Tab_x1[[#This Row],[Name]])</f>
        <v>0</v>
      </c>
      <c r="D625" s="63" t="b">
        <f>IF(Tab.11[[#This Row],[a1]]=1,AO625)</f>
        <v>0</v>
      </c>
      <c r="E625" s="63">
        <f t="shared" si="20"/>
        <v>0</v>
      </c>
      <c r="F625" s="64" t="b">
        <f>IF(Tab.11[[#This Row],[a1]]=1,Tab.11[[#This Row],[b1]])</f>
        <v>0</v>
      </c>
      <c r="G625" s="65" t="b">
        <f>IF(Tab.11[[#This Row],[a1]]=1,IF(Tab.11[[#This Row],[b3]]&gt;$L$989*$G$3,$L$989*$G$3,IF(Tab.11[[#This Row],[b3]]&lt;$M$989*$G$3,$M$989*$G$3,Tab.11[[#This Row],[b3]])))</f>
        <v>0</v>
      </c>
      <c r="H625" s="66" t="b">
        <f>IF(Tab.11[[#This Row],[a1]]=1,Tab.11[[#This Row],[b1]])</f>
        <v>0</v>
      </c>
      <c r="I625" s="67" t="b">
        <f>IF(Tab.11[[#This Row],[a1]]=1,Tab.11[[#This Row],[b1]])</f>
        <v>0</v>
      </c>
      <c r="J625" s="68" t="b">
        <f>IF(Tab.11[[#This Row],[a1]]=1,IF($I$3&lt;0,Tab.11[[#This Row],[b5]]-$I$3,Tab.11[[#This Row],[b5]]))</f>
        <v>0</v>
      </c>
      <c r="K625" s="68" t="b">
        <f>IF(Tab.11[[#This Row],[a1]]=1,IF($K$3=0,Tab.11[b6],Tab.11[[#This Row],[b6]]-AVERAGE(Tab.11[b6])))</f>
        <v>0</v>
      </c>
      <c r="L625" s="69" t="b">
        <f>IF(Tab.11[[#This Row],[a1]]=1,Tab.11[[#This Row],[data]]/(_xlfn.STDEV.P(Tab.11[data])*$B$989)+$A$989)</f>
        <v>0</v>
      </c>
      <c r="M625" s="69" t="b">
        <f>IF(Tab.11[[#This Row],[a1]]=1,Tab.11[[#This Row],[data]]/(_xlfn.STDEV.P(Tab.11[data])*$B$987)-$A$987)</f>
        <v>0</v>
      </c>
      <c r="N625" s="69" t="b">
        <f>IF(Tab.11[[#This Row],[a1]]=1,Tab.11[[#This Row],[data]]/(_xlfn.STDEV.P(Tab.11[data])*$B$988)+$A$988)</f>
        <v>0</v>
      </c>
      <c r="O625" s="70" t="b">
        <f>IF(Tab.11[[#This Row],[a1]]=1,_xlfn.NORM.DIST(Tab.11[[#This Row],[b8]],$P$1,$Q$1,FALSE))</f>
        <v>0</v>
      </c>
      <c r="P625" s="70" t="b">
        <f>IF(Tab.11[[#This Row],[a1]]=1,_xlfn.NORM.DIST(Tab.11[[#This Row],[b9]],$P$1,$Q$1,FALSE))</f>
        <v>0</v>
      </c>
      <c r="Q625" s="70" t="b">
        <f>IF(Tab.11[[#This Row],[a1]]=1,_xlfn.NORM.DIST(Tab.11[[#This Row],[b10]],$P$1,$Q$1,FALSE))</f>
        <v>0</v>
      </c>
      <c r="R625" s="67" t="b">
        <f>IF(Tab.11[[#This Row],[a1]]=1,$I$3+$A$989+IF($K$3=0,Tab.11[[#This Row],[b8]]*_xlfn.STDEV.P(Tab.11[data]),AVERAGE(Tab.11[b6])+Tab.11[[#This Row],[b8]]*_xlfn.STDEV.P(Tab.11[data])))</f>
        <v>0</v>
      </c>
      <c r="S625" s="71" t="b">
        <f>IF(Tab.11[[#This Row],[a1]]=1,$I$3+$A$987+IF($K$3=0,Tab.11[[#This Row],[b9]]*_xlfn.STDEV.P(Tab.11[data]),AVERAGE(Tab.11[b6])+Tab.11[[#This Row],[b9]]*_xlfn.STDEV.P(Tab.11[data])))</f>
        <v>0</v>
      </c>
      <c r="T625" s="71" t="b">
        <f>IF(Tab.11[[#This Row],[a1]]=1,$I$3+$A$988+IF($K$3=0,Tab.11[[#This Row],[b10]]*_xlfn.STDEV.P(Tab.11[data]),AVERAGE(Tab.11[b6])+Tab.11[[#This Row],[b10]]*_xlfn.STDEV.P(Tab.11[data])))</f>
        <v>0</v>
      </c>
      <c r="U625" s="72" t="b">
        <f>IF(Tab.11[[#This Row],[a1]]=1,Tab.11[[#This Row],[target]]-Tab.11[[#This Row],[Red]])</f>
        <v>0</v>
      </c>
      <c r="V625" s="72" t="b">
        <f>IF(Tab.11[[#This Row],[a1]]=1,Tab.11[[#This Row],[target]]-Tab.11[[#This Row],[Blue]])</f>
        <v>0</v>
      </c>
      <c r="W625" s="73" t="b">
        <f>IF(Tab.11[[#This Row],[a1]]=1,IF(ABS(Tab.11[[#This Row],[b17]])+ABS(Tab.11[[#This Row],[b18]])&lt;$W$2,$W$2,ABS(Tab.11[[#This Row],[b17]])+ABS(Tab.11[[#This Row],[b18]])))</f>
        <v>0</v>
      </c>
      <c r="X625" s="136" t="b">
        <f>IF(Tab.11[[#This Row],[a1]]=1,IF($W$3&lt;0,Tab.11[[#This Row],[IN]]-$I$3,Tab.11[[#This Row],[IN]]))</f>
        <v>0</v>
      </c>
      <c r="Y625" s="136" t="b">
        <f>IF(Tab.11[[#This Row],[a1]]=1,IF($X$3=0,Tab.11[b66],Tab.11[[#This Row],[b66]]-AVERAGE(Tab.11[b66])))</f>
        <v>0</v>
      </c>
      <c r="Z625" s="135" t="b">
        <f>IF(Tab.11[[#This Row],[a1]]=1,Tab.11[[#This Row],[b77]]/(_xlfn.STDEV.P(Tab.11[b77])))</f>
        <v>0</v>
      </c>
      <c r="AA625" s="70" t="b">
        <f>IF(Tab.11[[#This Row],[a1]]=1,_xlfn.NORM.DIST(Tab.11[[#This Row],[b88]],$Z$1,$AA$1,FALSE))</f>
        <v>0</v>
      </c>
      <c r="AB625" s="74" t="b">
        <f>IF(Tab.11[[#This Row],[a1]]=1,IF($A$3=0,FALSE,1/Tab.11[[#This Row],[IN]]*$AC$2*IF(Tab.11[[#This Row],[a1]]=0,,$A$3*$AC$1*1/$V$3*(Tab.11[[#This Row],[b14]]))))</f>
        <v>0</v>
      </c>
      <c r="AC625" s="75" t="b">
        <f>IF(Tab.11[[#This Row],[a1]]=1,IF($AC$3=0,Tab.11[[#This Row],[φ1]],Tab.11[[#This Row],[φ1]]/MAX(Tab.11[φ1])))</f>
        <v>0</v>
      </c>
      <c r="AD625" s="74" t="b">
        <f>IF(Tab.11[[#This Row],[a1]]=1,1/Tab.11[[#This Row],[φ2]])</f>
        <v>0</v>
      </c>
      <c r="AE625" s="74" t="b">
        <f>IF(Tab.11[[#This Row],[a1]]=1,IF($AE$3=0,Tab.11[[#This Row],[w.0]],Tab.11[[#This Row],[w.0]]/SUM(Tab.11[w.0])))</f>
        <v>0</v>
      </c>
      <c r="AF625" s="76" t="str">
        <f>IF(Tab.11[[#This Row],[a1]]=0,"false",[3]!Tab.x5[[#This Row],[%_seN_C]])</f>
        <v>false</v>
      </c>
      <c r="AG625" s="77" t="b">
        <f>IF(Tab.11[[#This Row],[a1]]=1,AP625)</f>
        <v>0</v>
      </c>
      <c r="AH625" s="78" t="b">
        <f>IF(Tab.11[[#This Row],[a1]]=1,AQ625)</f>
        <v>0</v>
      </c>
      <c r="AI625" s="41">
        <v>3.0000000000000001E-3</v>
      </c>
      <c r="AJ625" s="79">
        <v>0.06</v>
      </c>
      <c r="AK625" s="80" t="b">
        <f>IF(Tab.11[[#This Row],[a1]]=1,1)</f>
        <v>0</v>
      </c>
      <c r="AM625"/>
      <c r="AN625"/>
      <c r="AO625"/>
      <c r="AP625"/>
      <c r="AQ625"/>
      <c r="AR625"/>
      <c r="AS625"/>
    </row>
    <row r="626" spans="1:45" s="81" customFormat="1" hidden="1" x14ac:dyDescent="0.25">
      <c r="A626" s="61">
        <f t="shared" si="21"/>
        <v>0</v>
      </c>
      <c r="B626" s="62">
        <f t="shared" si="21"/>
        <v>0</v>
      </c>
      <c r="C626" s="62" t="b">
        <f>IF(Tab.11[[#This Row],[a1]]=1,[3]!Tab_x1[[#This Row],[Name]])</f>
        <v>0</v>
      </c>
      <c r="D626" s="63" t="b">
        <f>IF(Tab.11[[#This Row],[a1]]=1,AO626)</f>
        <v>0</v>
      </c>
      <c r="E626" s="63">
        <f t="shared" si="20"/>
        <v>0</v>
      </c>
      <c r="F626" s="64" t="b">
        <f>IF(Tab.11[[#This Row],[a1]]=1,Tab.11[[#This Row],[b1]])</f>
        <v>0</v>
      </c>
      <c r="G626" s="65" t="b">
        <f>IF(Tab.11[[#This Row],[a1]]=1,IF(Tab.11[[#This Row],[b3]]&gt;$L$989*$G$3,$L$989*$G$3,IF(Tab.11[[#This Row],[b3]]&lt;$M$989*$G$3,$M$989*$G$3,Tab.11[[#This Row],[b3]])))</f>
        <v>0</v>
      </c>
      <c r="H626" s="66" t="b">
        <f>IF(Tab.11[[#This Row],[a1]]=1,Tab.11[[#This Row],[b1]])</f>
        <v>0</v>
      </c>
      <c r="I626" s="67" t="b">
        <f>IF(Tab.11[[#This Row],[a1]]=1,Tab.11[[#This Row],[b1]])</f>
        <v>0</v>
      </c>
      <c r="J626" s="68" t="b">
        <f>IF(Tab.11[[#This Row],[a1]]=1,IF($I$3&lt;0,Tab.11[[#This Row],[b5]]-$I$3,Tab.11[[#This Row],[b5]]))</f>
        <v>0</v>
      </c>
      <c r="K626" s="68" t="b">
        <f>IF(Tab.11[[#This Row],[a1]]=1,IF($K$3=0,Tab.11[b6],Tab.11[[#This Row],[b6]]-AVERAGE(Tab.11[b6])))</f>
        <v>0</v>
      </c>
      <c r="L626" s="69" t="b">
        <f>IF(Tab.11[[#This Row],[a1]]=1,Tab.11[[#This Row],[data]]/(_xlfn.STDEV.P(Tab.11[data])*$B$989)+$A$989)</f>
        <v>0</v>
      </c>
      <c r="M626" s="69" t="b">
        <f>IF(Tab.11[[#This Row],[a1]]=1,Tab.11[[#This Row],[data]]/(_xlfn.STDEV.P(Tab.11[data])*$B$987)-$A$987)</f>
        <v>0</v>
      </c>
      <c r="N626" s="69" t="b">
        <f>IF(Tab.11[[#This Row],[a1]]=1,Tab.11[[#This Row],[data]]/(_xlfn.STDEV.P(Tab.11[data])*$B$988)+$A$988)</f>
        <v>0</v>
      </c>
      <c r="O626" s="70" t="b">
        <f>IF(Tab.11[[#This Row],[a1]]=1,_xlfn.NORM.DIST(Tab.11[[#This Row],[b8]],$P$1,$Q$1,FALSE))</f>
        <v>0</v>
      </c>
      <c r="P626" s="70" t="b">
        <f>IF(Tab.11[[#This Row],[a1]]=1,_xlfn.NORM.DIST(Tab.11[[#This Row],[b9]],$P$1,$Q$1,FALSE))</f>
        <v>0</v>
      </c>
      <c r="Q626" s="70" t="b">
        <f>IF(Tab.11[[#This Row],[a1]]=1,_xlfn.NORM.DIST(Tab.11[[#This Row],[b10]],$P$1,$Q$1,FALSE))</f>
        <v>0</v>
      </c>
      <c r="R626" s="67" t="b">
        <f>IF(Tab.11[[#This Row],[a1]]=1,$I$3+$A$989+IF($K$3=0,Tab.11[[#This Row],[b8]]*_xlfn.STDEV.P(Tab.11[data]),AVERAGE(Tab.11[b6])+Tab.11[[#This Row],[b8]]*_xlfn.STDEV.P(Tab.11[data])))</f>
        <v>0</v>
      </c>
      <c r="S626" s="71" t="b">
        <f>IF(Tab.11[[#This Row],[a1]]=1,$I$3+$A$987+IF($K$3=0,Tab.11[[#This Row],[b9]]*_xlfn.STDEV.P(Tab.11[data]),AVERAGE(Tab.11[b6])+Tab.11[[#This Row],[b9]]*_xlfn.STDEV.P(Tab.11[data])))</f>
        <v>0</v>
      </c>
      <c r="T626" s="71" t="b">
        <f>IF(Tab.11[[#This Row],[a1]]=1,$I$3+$A$988+IF($K$3=0,Tab.11[[#This Row],[b10]]*_xlfn.STDEV.P(Tab.11[data]),AVERAGE(Tab.11[b6])+Tab.11[[#This Row],[b10]]*_xlfn.STDEV.P(Tab.11[data])))</f>
        <v>0</v>
      </c>
      <c r="U626" s="72" t="b">
        <f>IF(Tab.11[[#This Row],[a1]]=1,Tab.11[[#This Row],[target]]-Tab.11[[#This Row],[Red]])</f>
        <v>0</v>
      </c>
      <c r="V626" s="72" t="b">
        <f>IF(Tab.11[[#This Row],[a1]]=1,Tab.11[[#This Row],[target]]-Tab.11[[#This Row],[Blue]])</f>
        <v>0</v>
      </c>
      <c r="W626" s="73" t="b">
        <f>IF(Tab.11[[#This Row],[a1]]=1,IF(ABS(Tab.11[[#This Row],[b17]])+ABS(Tab.11[[#This Row],[b18]])&lt;$W$2,$W$2,ABS(Tab.11[[#This Row],[b17]])+ABS(Tab.11[[#This Row],[b18]])))</f>
        <v>0</v>
      </c>
      <c r="X626" s="136" t="b">
        <f>IF(Tab.11[[#This Row],[a1]]=1,IF($W$3&lt;0,Tab.11[[#This Row],[IN]]-$I$3,Tab.11[[#This Row],[IN]]))</f>
        <v>0</v>
      </c>
      <c r="Y626" s="136" t="b">
        <f>IF(Tab.11[[#This Row],[a1]]=1,IF($X$3=0,Tab.11[b66],Tab.11[[#This Row],[b66]]-AVERAGE(Tab.11[b66])))</f>
        <v>0</v>
      </c>
      <c r="Z626" s="135" t="b">
        <f>IF(Tab.11[[#This Row],[a1]]=1,Tab.11[[#This Row],[b77]]/(_xlfn.STDEV.P(Tab.11[b77])))</f>
        <v>0</v>
      </c>
      <c r="AA626" s="70" t="b">
        <f>IF(Tab.11[[#This Row],[a1]]=1,_xlfn.NORM.DIST(Tab.11[[#This Row],[b88]],$Z$1,$AA$1,FALSE))</f>
        <v>0</v>
      </c>
      <c r="AB626" s="74" t="b">
        <f>IF(Tab.11[[#This Row],[a1]]=1,IF($A$3=0,FALSE,1/Tab.11[[#This Row],[IN]]*$AC$2*IF(Tab.11[[#This Row],[a1]]=0,,$A$3*$AC$1*1/$V$3*(Tab.11[[#This Row],[b14]]))))</f>
        <v>0</v>
      </c>
      <c r="AC626" s="75" t="b">
        <f>IF(Tab.11[[#This Row],[a1]]=1,IF($AC$3=0,Tab.11[[#This Row],[φ1]],Tab.11[[#This Row],[φ1]]/MAX(Tab.11[φ1])))</f>
        <v>0</v>
      </c>
      <c r="AD626" s="74" t="b">
        <f>IF(Tab.11[[#This Row],[a1]]=1,1/Tab.11[[#This Row],[φ2]])</f>
        <v>0</v>
      </c>
      <c r="AE626" s="74" t="b">
        <f>IF(Tab.11[[#This Row],[a1]]=1,IF($AE$3=0,Tab.11[[#This Row],[w.0]],Tab.11[[#This Row],[w.0]]/SUM(Tab.11[w.0])))</f>
        <v>0</v>
      </c>
      <c r="AF626" s="76" t="str">
        <f>IF(Tab.11[[#This Row],[a1]]=0,"false",[3]!Tab.x5[[#This Row],[%_seN_C]])</f>
        <v>false</v>
      </c>
      <c r="AG626" s="77" t="b">
        <f>IF(Tab.11[[#This Row],[a1]]=1,AP626)</f>
        <v>0</v>
      </c>
      <c r="AH626" s="78" t="b">
        <f>IF(Tab.11[[#This Row],[a1]]=1,AQ626)</f>
        <v>0</v>
      </c>
      <c r="AI626" s="41">
        <v>3.0000000000000001E-3</v>
      </c>
      <c r="AJ626" s="79">
        <v>0</v>
      </c>
      <c r="AK626" s="80" t="b">
        <f>IF(Tab.11[[#This Row],[a1]]=1,1)</f>
        <v>0</v>
      </c>
      <c r="AM626"/>
      <c r="AN626"/>
      <c r="AO626"/>
      <c r="AP626"/>
      <c r="AQ626"/>
      <c r="AR626"/>
      <c r="AS626"/>
    </row>
    <row r="627" spans="1:45" s="81" customFormat="1" hidden="1" x14ac:dyDescent="0.25">
      <c r="A627" s="61">
        <f t="shared" si="21"/>
        <v>0</v>
      </c>
      <c r="B627" s="62">
        <f t="shared" si="21"/>
        <v>0</v>
      </c>
      <c r="C627" s="62" t="b">
        <f>IF(Tab.11[[#This Row],[a1]]=1,[3]!Tab_x1[[#This Row],[Name]])</f>
        <v>0</v>
      </c>
      <c r="D627" s="63" t="b">
        <f>IF(Tab.11[[#This Row],[a1]]=1,AO627)</f>
        <v>0</v>
      </c>
      <c r="E627" s="63">
        <f t="shared" si="20"/>
        <v>0</v>
      </c>
      <c r="F627" s="64" t="b">
        <f>IF(Tab.11[[#This Row],[a1]]=1,Tab.11[[#This Row],[b1]])</f>
        <v>0</v>
      </c>
      <c r="G627" s="65" t="b">
        <f>IF(Tab.11[[#This Row],[a1]]=1,IF(Tab.11[[#This Row],[b3]]&gt;$L$989*$G$3,$L$989*$G$3,IF(Tab.11[[#This Row],[b3]]&lt;$M$989*$G$3,$M$989*$G$3,Tab.11[[#This Row],[b3]])))</f>
        <v>0</v>
      </c>
      <c r="H627" s="66" t="b">
        <f>IF(Tab.11[[#This Row],[a1]]=1,Tab.11[[#This Row],[b1]])</f>
        <v>0</v>
      </c>
      <c r="I627" s="67" t="b">
        <f>IF(Tab.11[[#This Row],[a1]]=1,Tab.11[[#This Row],[b1]])</f>
        <v>0</v>
      </c>
      <c r="J627" s="68" t="b">
        <f>IF(Tab.11[[#This Row],[a1]]=1,IF($I$3&lt;0,Tab.11[[#This Row],[b5]]-$I$3,Tab.11[[#This Row],[b5]]))</f>
        <v>0</v>
      </c>
      <c r="K627" s="68" t="b">
        <f>IF(Tab.11[[#This Row],[a1]]=1,IF($K$3=0,Tab.11[b6],Tab.11[[#This Row],[b6]]-AVERAGE(Tab.11[b6])))</f>
        <v>0</v>
      </c>
      <c r="L627" s="69" t="b">
        <f>IF(Tab.11[[#This Row],[a1]]=1,Tab.11[[#This Row],[data]]/(_xlfn.STDEV.P(Tab.11[data])*$B$989)+$A$989)</f>
        <v>0</v>
      </c>
      <c r="M627" s="69" t="b">
        <f>IF(Tab.11[[#This Row],[a1]]=1,Tab.11[[#This Row],[data]]/(_xlfn.STDEV.P(Tab.11[data])*$B$987)-$A$987)</f>
        <v>0</v>
      </c>
      <c r="N627" s="69" t="b">
        <f>IF(Tab.11[[#This Row],[a1]]=1,Tab.11[[#This Row],[data]]/(_xlfn.STDEV.P(Tab.11[data])*$B$988)+$A$988)</f>
        <v>0</v>
      </c>
      <c r="O627" s="70" t="b">
        <f>IF(Tab.11[[#This Row],[a1]]=1,_xlfn.NORM.DIST(Tab.11[[#This Row],[b8]],$P$1,$Q$1,FALSE))</f>
        <v>0</v>
      </c>
      <c r="P627" s="70" t="b">
        <f>IF(Tab.11[[#This Row],[a1]]=1,_xlfn.NORM.DIST(Tab.11[[#This Row],[b9]],$P$1,$Q$1,FALSE))</f>
        <v>0</v>
      </c>
      <c r="Q627" s="70" t="b">
        <f>IF(Tab.11[[#This Row],[a1]]=1,_xlfn.NORM.DIST(Tab.11[[#This Row],[b10]],$P$1,$Q$1,FALSE))</f>
        <v>0</v>
      </c>
      <c r="R627" s="67" t="b">
        <f>IF(Tab.11[[#This Row],[a1]]=1,$I$3+$A$989+IF($K$3=0,Tab.11[[#This Row],[b8]]*_xlfn.STDEV.P(Tab.11[data]),AVERAGE(Tab.11[b6])+Tab.11[[#This Row],[b8]]*_xlfn.STDEV.P(Tab.11[data])))</f>
        <v>0</v>
      </c>
      <c r="S627" s="71" t="b">
        <f>IF(Tab.11[[#This Row],[a1]]=1,$I$3+$A$987+IF($K$3=0,Tab.11[[#This Row],[b9]]*_xlfn.STDEV.P(Tab.11[data]),AVERAGE(Tab.11[b6])+Tab.11[[#This Row],[b9]]*_xlfn.STDEV.P(Tab.11[data])))</f>
        <v>0</v>
      </c>
      <c r="T627" s="71" t="b">
        <f>IF(Tab.11[[#This Row],[a1]]=1,$I$3+$A$988+IF($K$3=0,Tab.11[[#This Row],[b10]]*_xlfn.STDEV.P(Tab.11[data]),AVERAGE(Tab.11[b6])+Tab.11[[#This Row],[b10]]*_xlfn.STDEV.P(Tab.11[data])))</f>
        <v>0</v>
      </c>
      <c r="U627" s="72" t="b">
        <f>IF(Tab.11[[#This Row],[a1]]=1,Tab.11[[#This Row],[target]]-Tab.11[[#This Row],[Red]])</f>
        <v>0</v>
      </c>
      <c r="V627" s="72" t="b">
        <f>IF(Tab.11[[#This Row],[a1]]=1,Tab.11[[#This Row],[target]]-Tab.11[[#This Row],[Blue]])</f>
        <v>0</v>
      </c>
      <c r="W627" s="73" t="b">
        <f>IF(Tab.11[[#This Row],[a1]]=1,IF(ABS(Tab.11[[#This Row],[b17]])+ABS(Tab.11[[#This Row],[b18]])&lt;$W$2,$W$2,ABS(Tab.11[[#This Row],[b17]])+ABS(Tab.11[[#This Row],[b18]])))</f>
        <v>0</v>
      </c>
      <c r="X627" s="136" t="b">
        <f>IF(Tab.11[[#This Row],[a1]]=1,IF($W$3&lt;0,Tab.11[[#This Row],[IN]]-$I$3,Tab.11[[#This Row],[IN]]))</f>
        <v>0</v>
      </c>
      <c r="Y627" s="136" t="b">
        <f>IF(Tab.11[[#This Row],[a1]]=1,IF($X$3=0,Tab.11[b66],Tab.11[[#This Row],[b66]]-AVERAGE(Tab.11[b66])))</f>
        <v>0</v>
      </c>
      <c r="Z627" s="135" t="b">
        <f>IF(Tab.11[[#This Row],[a1]]=1,Tab.11[[#This Row],[b77]]/(_xlfn.STDEV.P(Tab.11[b77])))</f>
        <v>0</v>
      </c>
      <c r="AA627" s="70" t="b">
        <f>IF(Tab.11[[#This Row],[a1]]=1,_xlfn.NORM.DIST(Tab.11[[#This Row],[b88]],$Z$1,$AA$1,FALSE))</f>
        <v>0</v>
      </c>
      <c r="AB627" s="74" t="b">
        <f>IF(Tab.11[[#This Row],[a1]]=1,IF($A$3=0,FALSE,1/Tab.11[[#This Row],[IN]]*$AC$2*IF(Tab.11[[#This Row],[a1]]=0,,$A$3*$AC$1*1/$V$3*(Tab.11[[#This Row],[b14]]))))</f>
        <v>0</v>
      </c>
      <c r="AC627" s="75" t="b">
        <f>IF(Tab.11[[#This Row],[a1]]=1,IF($AC$3=0,Tab.11[[#This Row],[φ1]],Tab.11[[#This Row],[φ1]]/MAX(Tab.11[φ1])))</f>
        <v>0</v>
      </c>
      <c r="AD627" s="74" t="b">
        <f>IF(Tab.11[[#This Row],[a1]]=1,1/Tab.11[[#This Row],[φ2]])</f>
        <v>0</v>
      </c>
      <c r="AE627" s="74" t="b">
        <f>IF(Tab.11[[#This Row],[a1]]=1,IF($AE$3=0,Tab.11[[#This Row],[w.0]],Tab.11[[#This Row],[w.0]]/SUM(Tab.11[w.0])))</f>
        <v>0</v>
      </c>
      <c r="AF627" s="76" t="str">
        <f>IF(Tab.11[[#This Row],[a1]]=0,"false",[3]!Tab.x5[[#This Row],[%_seN_C]])</f>
        <v>false</v>
      </c>
      <c r="AG627" s="77" t="b">
        <f>IF(Tab.11[[#This Row],[a1]]=1,AP627)</f>
        <v>0</v>
      </c>
      <c r="AH627" s="78" t="b">
        <f>IF(Tab.11[[#This Row],[a1]]=1,AQ627)</f>
        <v>0</v>
      </c>
      <c r="AI627" s="41">
        <v>3.0000000000000001E-3</v>
      </c>
      <c r="AJ627" s="79">
        <v>-0.03</v>
      </c>
      <c r="AK627" s="80" t="b">
        <f>IF(Tab.11[[#This Row],[a1]]=1,1)</f>
        <v>0</v>
      </c>
      <c r="AM627"/>
      <c r="AN627"/>
      <c r="AO627"/>
      <c r="AP627"/>
      <c r="AQ627"/>
      <c r="AR627"/>
      <c r="AS627"/>
    </row>
    <row r="628" spans="1:45" s="81" customFormat="1" hidden="1" x14ac:dyDescent="0.25">
      <c r="A628" s="61">
        <f t="shared" si="21"/>
        <v>0</v>
      </c>
      <c r="B628" s="62">
        <f t="shared" si="21"/>
        <v>0</v>
      </c>
      <c r="C628" s="62" t="b">
        <f>IF(Tab.11[[#This Row],[a1]]=1,[3]!Tab_x1[[#This Row],[Name]])</f>
        <v>0</v>
      </c>
      <c r="D628" s="63" t="b">
        <f>IF(Tab.11[[#This Row],[a1]]=1,AO628)</f>
        <v>0</v>
      </c>
      <c r="E628" s="63">
        <f t="shared" si="20"/>
        <v>0</v>
      </c>
      <c r="F628" s="64" t="b">
        <f>IF(Tab.11[[#This Row],[a1]]=1,Tab.11[[#This Row],[b1]])</f>
        <v>0</v>
      </c>
      <c r="G628" s="65" t="b">
        <f>IF(Tab.11[[#This Row],[a1]]=1,IF(Tab.11[[#This Row],[b3]]&gt;$L$989*$G$3,$L$989*$G$3,IF(Tab.11[[#This Row],[b3]]&lt;$M$989*$G$3,$M$989*$G$3,Tab.11[[#This Row],[b3]])))</f>
        <v>0</v>
      </c>
      <c r="H628" s="66" t="b">
        <f>IF(Tab.11[[#This Row],[a1]]=1,Tab.11[[#This Row],[b1]])</f>
        <v>0</v>
      </c>
      <c r="I628" s="67" t="b">
        <f>IF(Tab.11[[#This Row],[a1]]=1,Tab.11[[#This Row],[b1]])</f>
        <v>0</v>
      </c>
      <c r="J628" s="68" t="b">
        <f>IF(Tab.11[[#This Row],[a1]]=1,IF($I$3&lt;0,Tab.11[[#This Row],[b5]]-$I$3,Tab.11[[#This Row],[b5]]))</f>
        <v>0</v>
      </c>
      <c r="K628" s="68" t="b">
        <f>IF(Tab.11[[#This Row],[a1]]=1,IF($K$3=0,Tab.11[b6],Tab.11[[#This Row],[b6]]-AVERAGE(Tab.11[b6])))</f>
        <v>0</v>
      </c>
      <c r="L628" s="69" t="b">
        <f>IF(Tab.11[[#This Row],[a1]]=1,Tab.11[[#This Row],[data]]/(_xlfn.STDEV.P(Tab.11[data])*$B$989)+$A$989)</f>
        <v>0</v>
      </c>
      <c r="M628" s="69" t="b">
        <f>IF(Tab.11[[#This Row],[a1]]=1,Tab.11[[#This Row],[data]]/(_xlfn.STDEV.P(Tab.11[data])*$B$987)-$A$987)</f>
        <v>0</v>
      </c>
      <c r="N628" s="69" t="b">
        <f>IF(Tab.11[[#This Row],[a1]]=1,Tab.11[[#This Row],[data]]/(_xlfn.STDEV.P(Tab.11[data])*$B$988)+$A$988)</f>
        <v>0</v>
      </c>
      <c r="O628" s="70" t="b">
        <f>IF(Tab.11[[#This Row],[a1]]=1,_xlfn.NORM.DIST(Tab.11[[#This Row],[b8]],$P$1,$Q$1,FALSE))</f>
        <v>0</v>
      </c>
      <c r="P628" s="70" t="b">
        <f>IF(Tab.11[[#This Row],[a1]]=1,_xlfn.NORM.DIST(Tab.11[[#This Row],[b9]],$P$1,$Q$1,FALSE))</f>
        <v>0</v>
      </c>
      <c r="Q628" s="70" t="b">
        <f>IF(Tab.11[[#This Row],[a1]]=1,_xlfn.NORM.DIST(Tab.11[[#This Row],[b10]],$P$1,$Q$1,FALSE))</f>
        <v>0</v>
      </c>
      <c r="R628" s="67" t="b">
        <f>IF(Tab.11[[#This Row],[a1]]=1,$I$3+$A$989+IF($K$3=0,Tab.11[[#This Row],[b8]]*_xlfn.STDEV.P(Tab.11[data]),AVERAGE(Tab.11[b6])+Tab.11[[#This Row],[b8]]*_xlfn.STDEV.P(Tab.11[data])))</f>
        <v>0</v>
      </c>
      <c r="S628" s="71" t="b">
        <f>IF(Tab.11[[#This Row],[a1]]=1,$I$3+$A$987+IF($K$3=0,Tab.11[[#This Row],[b9]]*_xlfn.STDEV.P(Tab.11[data]),AVERAGE(Tab.11[b6])+Tab.11[[#This Row],[b9]]*_xlfn.STDEV.P(Tab.11[data])))</f>
        <v>0</v>
      </c>
      <c r="T628" s="71" t="b">
        <f>IF(Tab.11[[#This Row],[a1]]=1,$I$3+$A$988+IF($K$3=0,Tab.11[[#This Row],[b10]]*_xlfn.STDEV.P(Tab.11[data]),AVERAGE(Tab.11[b6])+Tab.11[[#This Row],[b10]]*_xlfn.STDEV.P(Tab.11[data])))</f>
        <v>0</v>
      </c>
      <c r="U628" s="72" t="b">
        <f>IF(Tab.11[[#This Row],[a1]]=1,Tab.11[[#This Row],[target]]-Tab.11[[#This Row],[Red]])</f>
        <v>0</v>
      </c>
      <c r="V628" s="72" t="b">
        <f>IF(Tab.11[[#This Row],[a1]]=1,Tab.11[[#This Row],[target]]-Tab.11[[#This Row],[Blue]])</f>
        <v>0</v>
      </c>
      <c r="W628" s="73" t="b">
        <f>IF(Tab.11[[#This Row],[a1]]=1,IF(ABS(Tab.11[[#This Row],[b17]])+ABS(Tab.11[[#This Row],[b18]])&lt;$W$2,$W$2,ABS(Tab.11[[#This Row],[b17]])+ABS(Tab.11[[#This Row],[b18]])))</f>
        <v>0</v>
      </c>
      <c r="X628" s="136" t="b">
        <f>IF(Tab.11[[#This Row],[a1]]=1,IF($W$3&lt;0,Tab.11[[#This Row],[IN]]-$I$3,Tab.11[[#This Row],[IN]]))</f>
        <v>0</v>
      </c>
      <c r="Y628" s="136" t="b">
        <f>IF(Tab.11[[#This Row],[a1]]=1,IF($X$3=0,Tab.11[b66],Tab.11[[#This Row],[b66]]-AVERAGE(Tab.11[b66])))</f>
        <v>0</v>
      </c>
      <c r="Z628" s="135" t="b">
        <f>IF(Tab.11[[#This Row],[a1]]=1,Tab.11[[#This Row],[b77]]/(_xlfn.STDEV.P(Tab.11[b77])))</f>
        <v>0</v>
      </c>
      <c r="AA628" s="70" t="b">
        <f>IF(Tab.11[[#This Row],[a1]]=1,_xlfn.NORM.DIST(Tab.11[[#This Row],[b88]],$Z$1,$AA$1,FALSE))</f>
        <v>0</v>
      </c>
      <c r="AB628" s="74" t="b">
        <f>IF(Tab.11[[#This Row],[a1]]=1,IF($A$3=0,FALSE,1/Tab.11[[#This Row],[IN]]*$AC$2*IF(Tab.11[[#This Row],[a1]]=0,,$A$3*$AC$1*1/$V$3*(Tab.11[[#This Row],[b14]]))))</f>
        <v>0</v>
      </c>
      <c r="AC628" s="75" t="b">
        <f>IF(Tab.11[[#This Row],[a1]]=1,IF($AC$3=0,Tab.11[[#This Row],[φ1]],Tab.11[[#This Row],[φ1]]/MAX(Tab.11[φ1])))</f>
        <v>0</v>
      </c>
      <c r="AD628" s="74" t="b">
        <f>IF(Tab.11[[#This Row],[a1]]=1,1/Tab.11[[#This Row],[φ2]])</f>
        <v>0</v>
      </c>
      <c r="AE628" s="74" t="b">
        <f>IF(Tab.11[[#This Row],[a1]]=1,IF($AE$3=0,Tab.11[[#This Row],[w.0]],Tab.11[[#This Row],[w.0]]/SUM(Tab.11[w.0])))</f>
        <v>0</v>
      </c>
      <c r="AF628" s="76" t="str">
        <f>IF(Tab.11[[#This Row],[a1]]=0,"false",[3]!Tab.x5[[#This Row],[%_seN_C]])</f>
        <v>false</v>
      </c>
      <c r="AG628" s="77" t="b">
        <f>IF(Tab.11[[#This Row],[a1]]=1,AP628)</f>
        <v>0</v>
      </c>
      <c r="AH628" s="78" t="b">
        <f>IF(Tab.11[[#This Row],[a1]]=1,AQ628)</f>
        <v>0</v>
      </c>
      <c r="AI628" s="41">
        <v>3.0000000000000001E-3</v>
      </c>
      <c r="AJ628" s="79">
        <v>-0.02</v>
      </c>
      <c r="AK628" s="80" t="b">
        <f>IF(Tab.11[[#This Row],[a1]]=1,1)</f>
        <v>0</v>
      </c>
      <c r="AM628"/>
      <c r="AN628"/>
      <c r="AO628"/>
      <c r="AP628"/>
      <c r="AQ628"/>
      <c r="AR628"/>
      <c r="AS628"/>
    </row>
    <row r="629" spans="1:45" s="81" customFormat="1" hidden="1" x14ac:dyDescent="0.25">
      <c r="A629" s="61">
        <f t="shared" si="21"/>
        <v>0</v>
      </c>
      <c r="B629" s="62">
        <f t="shared" si="21"/>
        <v>0</v>
      </c>
      <c r="C629" s="62" t="b">
        <f>IF(Tab.11[[#This Row],[a1]]=1,[3]!Tab_x1[[#This Row],[Name]])</f>
        <v>0</v>
      </c>
      <c r="D629" s="63" t="b">
        <f>IF(Tab.11[[#This Row],[a1]]=1,AO629)</f>
        <v>0</v>
      </c>
      <c r="E629" s="63">
        <f t="shared" si="20"/>
        <v>0</v>
      </c>
      <c r="F629" s="64" t="b">
        <f>IF(Tab.11[[#This Row],[a1]]=1,Tab.11[[#This Row],[b1]])</f>
        <v>0</v>
      </c>
      <c r="G629" s="65" t="b">
        <f>IF(Tab.11[[#This Row],[a1]]=1,IF(Tab.11[[#This Row],[b3]]&gt;$L$989*$G$3,$L$989*$G$3,IF(Tab.11[[#This Row],[b3]]&lt;$M$989*$G$3,$M$989*$G$3,Tab.11[[#This Row],[b3]])))</f>
        <v>0</v>
      </c>
      <c r="H629" s="66" t="b">
        <f>IF(Tab.11[[#This Row],[a1]]=1,Tab.11[[#This Row],[b1]])</f>
        <v>0</v>
      </c>
      <c r="I629" s="67" t="b">
        <f>IF(Tab.11[[#This Row],[a1]]=1,Tab.11[[#This Row],[b1]])</f>
        <v>0</v>
      </c>
      <c r="J629" s="68" t="b">
        <f>IF(Tab.11[[#This Row],[a1]]=1,IF($I$3&lt;0,Tab.11[[#This Row],[b5]]-$I$3,Tab.11[[#This Row],[b5]]))</f>
        <v>0</v>
      </c>
      <c r="K629" s="68" t="b">
        <f>IF(Tab.11[[#This Row],[a1]]=1,IF($K$3=0,Tab.11[b6],Tab.11[[#This Row],[b6]]-AVERAGE(Tab.11[b6])))</f>
        <v>0</v>
      </c>
      <c r="L629" s="69" t="b">
        <f>IF(Tab.11[[#This Row],[a1]]=1,Tab.11[[#This Row],[data]]/(_xlfn.STDEV.P(Tab.11[data])*$B$989)+$A$989)</f>
        <v>0</v>
      </c>
      <c r="M629" s="69" t="b">
        <f>IF(Tab.11[[#This Row],[a1]]=1,Tab.11[[#This Row],[data]]/(_xlfn.STDEV.P(Tab.11[data])*$B$987)-$A$987)</f>
        <v>0</v>
      </c>
      <c r="N629" s="69" t="b">
        <f>IF(Tab.11[[#This Row],[a1]]=1,Tab.11[[#This Row],[data]]/(_xlfn.STDEV.P(Tab.11[data])*$B$988)+$A$988)</f>
        <v>0</v>
      </c>
      <c r="O629" s="70" t="b">
        <f>IF(Tab.11[[#This Row],[a1]]=1,_xlfn.NORM.DIST(Tab.11[[#This Row],[b8]],$P$1,$Q$1,FALSE))</f>
        <v>0</v>
      </c>
      <c r="P629" s="70" t="b">
        <f>IF(Tab.11[[#This Row],[a1]]=1,_xlfn.NORM.DIST(Tab.11[[#This Row],[b9]],$P$1,$Q$1,FALSE))</f>
        <v>0</v>
      </c>
      <c r="Q629" s="70" t="b">
        <f>IF(Tab.11[[#This Row],[a1]]=1,_xlfn.NORM.DIST(Tab.11[[#This Row],[b10]],$P$1,$Q$1,FALSE))</f>
        <v>0</v>
      </c>
      <c r="R629" s="67" t="b">
        <f>IF(Tab.11[[#This Row],[a1]]=1,$I$3+$A$989+IF($K$3=0,Tab.11[[#This Row],[b8]]*_xlfn.STDEV.P(Tab.11[data]),AVERAGE(Tab.11[b6])+Tab.11[[#This Row],[b8]]*_xlfn.STDEV.P(Tab.11[data])))</f>
        <v>0</v>
      </c>
      <c r="S629" s="71" t="b">
        <f>IF(Tab.11[[#This Row],[a1]]=1,$I$3+$A$987+IF($K$3=0,Tab.11[[#This Row],[b9]]*_xlfn.STDEV.P(Tab.11[data]),AVERAGE(Tab.11[b6])+Tab.11[[#This Row],[b9]]*_xlfn.STDEV.P(Tab.11[data])))</f>
        <v>0</v>
      </c>
      <c r="T629" s="71" t="b">
        <f>IF(Tab.11[[#This Row],[a1]]=1,$I$3+$A$988+IF($K$3=0,Tab.11[[#This Row],[b10]]*_xlfn.STDEV.P(Tab.11[data]),AVERAGE(Tab.11[b6])+Tab.11[[#This Row],[b10]]*_xlfn.STDEV.P(Tab.11[data])))</f>
        <v>0</v>
      </c>
      <c r="U629" s="72" t="b">
        <f>IF(Tab.11[[#This Row],[a1]]=1,Tab.11[[#This Row],[target]]-Tab.11[[#This Row],[Red]])</f>
        <v>0</v>
      </c>
      <c r="V629" s="72" t="b">
        <f>IF(Tab.11[[#This Row],[a1]]=1,Tab.11[[#This Row],[target]]-Tab.11[[#This Row],[Blue]])</f>
        <v>0</v>
      </c>
      <c r="W629" s="73" t="b">
        <f>IF(Tab.11[[#This Row],[a1]]=1,IF(ABS(Tab.11[[#This Row],[b17]])+ABS(Tab.11[[#This Row],[b18]])&lt;$W$2,$W$2,ABS(Tab.11[[#This Row],[b17]])+ABS(Tab.11[[#This Row],[b18]])))</f>
        <v>0</v>
      </c>
      <c r="X629" s="136" t="b">
        <f>IF(Tab.11[[#This Row],[a1]]=1,IF($W$3&lt;0,Tab.11[[#This Row],[IN]]-$I$3,Tab.11[[#This Row],[IN]]))</f>
        <v>0</v>
      </c>
      <c r="Y629" s="136" t="b">
        <f>IF(Tab.11[[#This Row],[a1]]=1,IF($X$3=0,Tab.11[b66],Tab.11[[#This Row],[b66]]-AVERAGE(Tab.11[b66])))</f>
        <v>0</v>
      </c>
      <c r="Z629" s="135" t="b">
        <f>IF(Tab.11[[#This Row],[a1]]=1,Tab.11[[#This Row],[b77]]/(_xlfn.STDEV.P(Tab.11[b77])))</f>
        <v>0</v>
      </c>
      <c r="AA629" s="70" t="b">
        <f>IF(Tab.11[[#This Row],[a1]]=1,_xlfn.NORM.DIST(Tab.11[[#This Row],[b88]],$Z$1,$AA$1,FALSE))</f>
        <v>0</v>
      </c>
      <c r="AB629" s="74" t="b">
        <f>IF(Tab.11[[#This Row],[a1]]=1,IF($A$3=0,FALSE,1/Tab.11[[#This Row],[IN]]*$AC$2*IF(Tab.11[[#This Row],[a1]]=0,,$A$3*$AC$1*1/$V$3*(Tab.11[[#This Row],[b14]]))))</f>
        <v>0</v>
      </c>
      <c r="AC629" s="75" t="b">
        <f>IF(Tab.11[[#This Row],[a1]]=1,IF($AC$3=0,Tab.11[[#This Row],[φ1]],Tab.11[[#This Row],[φ1]]/MAX(Tab.11[φ1])))</f>
        <v>0</v>
      </c>
      <c r="AD629" s="74" t="b">
        <f>IF(Tab.11[[#This Row],[a1]]=1,1/Tab.11[[#This Row],[φ2]])</f>
        <v>0</v>
      </c>
      <c r="AE629" s="74" t="b">
        <f>IF(Tab.11[[#This Row],[a1]]=1,IF($AE$3=0,Tab.11[[#This Row],[w.0]],Tab.11[[#This Row],[w.0]]/SUM(Tab.11[w.0])))</f>
        <v>0</v>
      </c>
      <c r="AF629" s="76" t="str">
        <f>IF(Tab.11[[#This Row],[a1]]=0,"false",[3]!Tab.x5[[#This Row],[%_seN_C]])</f>
        <v>false</v>
      </c>
      <c r="AG629" s="77" t="b">
        <f>IF(Tab.11[[#This Row],[a1]]=1,AP629)</f>
        <v>0</v>
      </c>
      <c r="AH629" s="78" t="b">
        <f>IF(Tab.11[[#This Row],[a1]]=1,AQ629)</f>
        <v>0</v>
      </c>
      <c r="AI629" s="41">
        <v>3.0000000000000001E-3</v>
      </c>
      <c r="AJ629" s="79">
        <v>0.03</v>
      </c>
      <c r="AK629" s="80" t="b">
        <f>IF(Tab.11[[#This Row],[a1]]=1,1)</f>
        <v>0</v>
      </c>
      <c r="AM629"/>
      <c r="AN629"/>
      <c r="AO629"/>
      <c r="AP629"/>
      <c r="AQ629"/>
      <c r="AR629"/>
      <c r="AS629"/>
    </row>
    <row r="630" spans="1:45" s="81" customFormat="1" hidden="1" x14ac:dyDescent="0.25">
      <c r="A630" s="61">
        <f t="shared" si="21"/>
        <v>0</v>
      </c>
      <c r="B630" s="62">
        <f t="shared" si="21"/>
        <v>0</v>
      </c>
      <c r="C630" s="62" t="b">
        <f>IF(Tab.11[[#This Row],[a1]]=1,[3]!Tab_x1[[#This Row],[Name]])</f>
        <v>0</v>
      </c>
      <c r="D630" s="63" t="b">
        <f>IF(Tab.11[[#This Row],[a1]]=1,AO630)</f>
        <v>0</v>
      </c>
      <c r="E630" s="63">
        <f t="shared" si="20"/>
        <v>0</v>
      </c>
      <c r="F630" s="64" t="b">
        <f>IF(Tab.11[[#This Row],[a1]]=1,Tab.11[[#This Row],[b1]])</f>
        <v>0</v>
      </c>
      <c r="G630" s="65" t="b">
        <f>IF(Tab.11[[#This Row],[a1]]=1,IF(Tab.11[[#This Row],[b3]]&gt;$L$989*$G$3,$L$989*$G$3,IF(Tab.11[[#This Row],[b3]]&lt;$M$989*$G$3,$M$989*$G$3,Tab.11[[#This Row],[b3]])))</f>
        <v>0</v>
      </c>
      <c r="H630" s="66" t="b">
        <f>IF(Tab.11[[#This Row],[a1]]=1,Tab.11[[#This Row],[b1]])</f>
        <v>0</v>
      </c>
      <c r="I630" s="67" t="b">
        <f>IF(Tab.11[[#This Row],[a1]]=1,Tab.11[[#This Row],[b1]])</f>
        <v>0</v>
      </c>
      <c r="J630" s="68" t="b">
        <f>IF(Tab.11[[#This Row],[a1]]=1,IF($I$3&lt;0,Tab.11[[#This Row],[b5]]-$I$3,Tab.11[[#This Row],[b5]]))</f>
        <v>0</v>
      </c>
      <c r="K630" s="68" t="b">
        <f>IF(Tab.11[[#This Row],[a1]]=1,IF($K$3=0,Tab.11[b6],Tab.11[[#This Row],[b6]]-AVERAGE(Tab.11[b6])))</f>
        <v>0</v>
      </c>
      <c r="L630" s="69" t="b">
        <f>IF(Tab.11[[#This Row],[a1]]=1,Tab.11[[#This Row],[data]]/(_xlfn.STDEV.P(Tab.11[data])*$B$989)+$A$989)</f>
        <v>0</v>
      </c>
      <c r="M630" s="69" t="b">
        <f>IF(Tab.11[[#This Row],[a1]]=1,Tab.11[[#This Row],[data]]/(_xlfn.STDEV.P(Tab.11[data])*$B$987)-$A$987)</f>
        <v>0</v>
      </c>
      <c r="N630" s="69" t="b">
        <f>IF(Tab.11[[#This Row],[a1]]=1,Tab.11[[#This Row],[data]]/(_xlfn.STDEV.P(Tab.11[data])*$B$988)+$A$988)</f>
        <v>0</v>
      </c>
      <c r="O630" s="70" t="b">
        <f>IF(Tab.11[[#This Row],[a1]]=1,_xlfn.NORM.DIST(Tab.11[[#This Row],[b8]],$P$1,$Q$1,FALSE))</f>
        <v>0</v>
      </c>
      <c r="P630" s="70" t="b">
        <f>IF(Tab.11[[#This Row],[a1]]=1,_xlfn.NORM.DIST(Tab.11[[#This Row],[b9]],$P$1,$Q$1,FALSE))</f>
        <v>0</v>
      </c>
      <c r="Q630" s="70" t="b">
        <f>IF(Tab.11[[#This Row],[a1]]=1,_xlfn.NORM.DIST(Tab.11[[#This Row],[b10]],$P$1,$Q$1,FALSE))</f>
        <v>0</v>
      </c>
      <c r="R630" s="67" t="b">
        <f>IF(Tab.11[[#This Row],[a1]]=1,$I$3+$A$989+IF($K$3=0,Tab.11[[#This Row],[b8]]*_xlfn.STDEV.P(Tab.11[data]),AVERAGE(Tab.11[b6])+Tab.11[[#This Row],[b8]]*_xlfn.STDEV.P(Tab.11[data])))</f>
        <v>0</v>
      </c>
      <c r="S630" s="71" t="b">
        <f>IF(Tab.11[[#This Row],[a1]]=1,$I$3+$A$987+IF($K$3=0,Tab.11[[#This Row],[b9]]*_xlfn.STDEV.P(Tab.11[data]),AVERAGE(Tab.11[b6])+Tab.11[[#This Row],[b9]]*_xlfn.STDEV.P(Tab.11[data])))</f>
        <v>0</v>
      </c>
      <c r="T630" s="71" t="b">
        <f>IF(Tab.11[[#This Row],[a1]]=1,$I$3+$A$988+IF($K$3=0,Tab.11[[#This Row],[b10]]*_xlfn.STDEV.P(Tab.11[data]),AVERAGE(Tab.11[b6])+Tab.11[[#This Row],[b10]]*_xlfn.STDEV.P(Tab.11[data])))</f>
        <v>0</v>
      </c>
      <c r="U630" s="72" t="b">
        <f>IF(Tab.11[[#This Row],[a1]]=1,Tab.11[[#This Row],[target]]-Tab.11[[#This Row],[Red]])</f>
        <v>0</v>
      </c>
      <c r="V630" s="72" t="b">
        <f>IF(Tab.11[[#This Row],[a1]]=1,Tab.11[[#This Row],[target]]-Tab.11[[#This Row],[Blue]])</f>
        <v>0</v>
      </c>
      <c r="W630" s="73" t="b">
        <f>IF(Tab.11[[#This Row],[a1]]=1,IF(ABS(Tab.11[[#This Row],[b17]])+ABS(Tab.11[[#This Row],[b18]])&lt;$W$2,$W$2,ABS(Tab.11[[#This Row],[b17]])+ABS(Tab.11[[#This Row],[b18]])))</f>
        <v>0</v>
      </c>
      <c r="X630" s="136" t="b">
        <f>IF(Tab.11[[#This Row],[a1]]=1,IF($W$3&lt;0,Tab.11[[#This Row],[IN]]-$I$3,Tab.11[[#This Row],[IN]]))</f>
        <v>0</v>
      </c>
      <c r="Y630" s="136" t="b">
        <f>IF(Tab.11[[#This Row],[a1]]=1,IF($X$3=0,Tab.11[b66],Tab.11[[#This Row],[b66]]-AVERAGE(Tab.11[b66])))</f>
        <v>0</v>
      </c>
      <c r="Z630" s="135" t="b">
        <f>IF(Tab.11[[#This Row],[a1]]=1,Tab.11[[#This Row],[b77]]/(_xlfn.STDEV.P(Tab.11[b77])))</f>
        <v>0</v>
      </c>
      <c r="AA630" s="70" t="b">
        <f>IF(Tab.11[[#This Row],[a1]]=1,_xlfn.NORM.DIST(Tab.11[[#This Row],[b88]],$Z$1,$AA$1,FALSE))</f>
        <v>0</v>
      </c>
      <c r="AB630" s="74" t="b">
        <f>IF(Tab.11[[#This Row],[a1]]=1,IF($A$3=0,FALSE,1/Tab.11[[#This Row],[IN]]*$AC$2*IF(Tab.11[[#This Row],[a1]]=0,,$A$3*$AC$1*1/$V$3*(Tab.11[[#This Row],[b14]]))))</f>
        <v>0</v>
      </c>
      <c r="AC630" s="75" t="b">
        <f>IF(Tab.11[[#This Row],[a1]]=1,IF($AC$3=0,Tab.11[[#This Row],[φ1]],Tab.11[[#This Row],[φ1]]/MAX(Tab.11[φ1])))</f>
        <v>0</v>
      </c>
      <c r="AD630" s="74" t="b">
        <f>IF(Tab.11[[#This Row],[a1]]=1,1/Tab.11[[#This Row],[φ2]])</f>
        <v>0</v>
      </c>
      <c r="AE630" s="74" t="b">
        <f>IF(Tab.11[[#This Row],[a1]]=1,IF($AE$3=0,Tab.11[[#This Row],[w.0]],Tab.11[[#This Row],[w.0]]/SUM(Tab.11[w.0])))</f>
        <v>0</v>
      </c>
      <c r="AF630" s="76" t="str">
        <f>IF(Tab.11[[#This Row],[a1]]=0,"false",[3]!Tab.x5[[#This Row],[%_seN_C]])</f>
        <v>false</v>
      </c>
      <c r="AG630" s="77" t="b">
        <f>IF(Tab.11[[#This Row],[a1]]=1,AP630)</f>
        <v>0</v>
      </c>
      <c r="AH630" s="78" t="b">
        <f>IF(Tab.11[[#This Row],[a1]]=1,AQ630)</f>
        <v>0</v>
      </c>
      <c r="AI630" s="41">
        <v>3.0000000000000001E-3</v>
      </c>
      <c r="AJ630" s="79">
        <v>0.1</v>
      </c>
      <c r="AK630" s="80" t="b">
        <f>IF(Tab.11[[#This Row],[a1]]=1,1)</f>
        <v>0</v>
      </c>
      <c r="AM630"/>
      <c r="AN630"/>
      <c r="AO630"/>
      <c r="AP630"/>
      <c r="AQ630"/>
      <c r="AR630"/>
      <c r="AS630"/>
    </row>
    <row r="631" spans="1:45" s="81" customFormat="1" hidden="1" x14ac:dyDescent="0.25">
      <c r="A631" s="61">
        <f t="shared" si="21"/>
        <v>0</v>
      </c>
      <c r="B631" s="62">
        <f t="shared" si="21"/>
        <v>0</v>
      </c>
      <c r="C631" s="62" t="b">
        <f>IF(Tab.11[[#This Row],[a1]]=1,[3]!Tab_x1[[#This Row],[Name]])</f>
        <v>0</v>
      </c>
      <c r="D631" s="63" t="b">
        <f>IF(Tab.11[[#This Row],[a1]]=1,AO631)</f>
        <v>0</v>
      </c>
      <c r="E631" s="63">
        <f t="shared" si="20"/>
        <v>0</v>
      </c>
      <c r="F631" s="64" t="b">
        <f>IF(Tab.11[[#This Row],[a1]]=1,Tab.11[[#This Row],[b1]])</f>
        <v>0</v>
      </c>
      <c r="G631" s="65" t="b">
        <f>IF(Tab.11[[#This Row],[a1]]=1,IF(Tab.11[[#This Row],[b3]]&gt;$L$989*$G$3,$L$989*$G$3,IF(Tab.11[[#This Row],[b3]]&lt;$M$989*$G$3,$M$989*$G$3,Tab.11[[#This Row],[b3]])))</f>
        <v>0</v>
      </c>
      <c r="H631" s="66" t="b">
        <f>IF(Tab.11[[#This Row],[a1]]=1,Tab.11[[#This Row],[b1]])</f>
        <v>0</v>
      </c>
      <c r="I631" s="67" t="b">
        <f>IF(Tab.11[[#This Row],[a1]]=1,Tab.11[[#This Row],[b1]])</f>
        <v>0</v>
      </c>
      <c r="J631" s="68" t="b">
        <f>IF(Tab.11[[#This Row],[a1]]=1,IF($I$3&lt;0,Tab.11[[#This Row],[b5]]-$I$3,Tab.11[[#This Row],[b5]]))</f>
        <v>0</v>
      </c>
      <c r="K631" s="68" t="b">
        <f>IF(Tab.11[[#This Row],[a1]]=1,IF($K$3=0,Tab.11[b6],Tab.11[[#This Row],[b6]]-AVERAGE(Tab.11[b6])))</f>
        <v>0</v>
      </c>
      <c r="L631" s="69" t="b">
        <f>IF(Tab.11[[#This Row],[a1]]=1,Tab.11[[#This Row],[data]]/(_xlfn.STDEV.P(Tab.11[data])*$B$989)+$A$989)</f>
        <v>0</v>
      </c>
      <c r="M631" s="69" t="b">
        <f>IF(Tab.11[[#This Row],[a1]]=1,Tab.11[[#This Row],[data]]/(_xlfn.STDEV.P(Tab.11[data])*$B$987)-$A$987)</f>
        <v>0</v>
      </c>
      <c r="N631" s="69" t="b">
        <f>IF(Tab.11[[#This Row],[a1]]=1,Tab.11[[#This Row],[data]]/(_xlfn.STDEV.P(Tab.11[data])*$B$988)+$A$988)</f>
        <v>0</v>
      </c>
      <c r="O631" s="70" t="b">
        <f>IF(Tab.11[[#This Row],[a1]]=1,_xlfn.NORM.DIST(Tab.11[[#This Row],[b8]],$P$1,$Q$1,FALSE))</f>
        <v>0</v>
      </c>
      <c r="P631" s="70" t="b">
        <f>IF(Tab.11[[#This Row],[a1]]=1,_xlfn.NORM.DIST(Tab.11[[#This Row],[b9]],$P$1,$Q$1,FALSE))</f>
        <v>0</v>
      </c>
      <c r="Q631" s="70" t="b">
        <f>IF(Tab.11[[#This Row],[a1]]=1,_xlfn.NORM.DIST(Tab.11[[#This Row],[b10]],$P$1,$Q$1,FALSE))</f>
        <v>0</v>
      </c>
      <c r="R631" s="67" t="b">
        <f>IF(Tab.11[[#This Row],[a1]]=1,$I$3+$A$989+IF($K$3=0,Tab.11[[#This Row],[b8]]*_xlfn.STDEV.P(Tab.11[data]),AVERAGE(Tab.11[b6])+Tab.11[[#This Row],[b8]]*_xlfn.STDEV.P(Tab.11[data])))</f>
        <v>0</v>
      </c>
      <c r="S631" s="71" t="b">
        <f>IF(Tab.11[[#This Row],[a1]]=1,$I$3+$A$987+IF($K$3=0,Tab.11[[#This Row],[b9]]*_xlfn.STDEV.P(Tab.11[data]),AVERAGE(Tab.11[b6])+Tab.11[[#This Row],[b9]]*_xlfn.STDEV.P(Tab.11[data])))</f>
        <v>0</v>
      </c>
      <c r="T631" s="71" t="b">
        <f>IF(Tab.11[[#This Row],[a1]]=1,$I$3+$A$988+IF($K$3=0,Tab.11[[#This Row],[b10]]*_xlfn.STDEV.P(Tab.11[data]),AVERAGE(Tab.11[b6])+Tab.11[[#This Row],[b10]]*_xlfn.STDEV.P(Tab.11[data])))</f>
        <v>0</v>
      </c>
      <c r="U631" s="72" t="b">
        <f>IF(Tab.11[[#This Row],[a1]]=1,Tab.11[[#This Row],[target]]-Tab.11[[#This Row],[Red]])</f>
        <v>0</v>
      </c>
      <c r="V631" s="72" t="b">
        <f>IF(Tab.11[[#This Row],[a1]]=1,Tab.11[[#This Row],[target]]-Tab.11[[#This Row],[Blue]])</f>
        <v>0</v>
      </c>
      <c r="W631" s="73" t="b">
        <f>IF(Tab.11[[#This Row],[a1]]=1,IF(ABS(Tab.11[[#This Row],[b17]])+ABS(Tab.11[[#This Row],[b18]])&lt;$W$2,$W$2,ABS(Tab.11[[#This Row],[b17]])+ABS(Tab.11[[#This Row],[b18]])))</f>
        <v>0</v>
      </c>
      <c r="X631" s="136" t="b">
        <f>IF(Tab.11[[#This Row],[a1]]=1,IF($W$3&lt;0,Tab.11[[#This Row],[IN]]-$I$3,Tab.11[[#This Row],[IN]]))</f>
        <v>0</v>
      </c>
      <c r="Y631" s="136" t="b">
        <f>IF(Tab.11[[#This Row],[a1]]=1,IF($X$3=0,Tab.11[b66],Tab.11[[#This Row],[b66]]-AVERAGE(Tab.11[b66])))</f>
        <v>0</v>
      </c>
      <c r="Z631" s="135" t="b">
        <f>IF(Tab.11[[#This Row],[a1]]=1,Tab.11[[#This Row],[b77]]/(_xlfn.STDEV.P(Tab.11[b77])))</f>
        <v>0</v>
      </c>
      <c r="AA631" s="70" t="b">
        <f>IF(Tab.11[[#This Row],[a1]]=1,_xlfn.NORM.DIST(Tab.11[[#This Row],[b88]],$Z$1,$AA$1,FALSE))</f>
        <v>0</v>
      </c>
      <c r="AB631" s="74" t="b">
        <f>IF(Tab.11[[#This Row],[a1]]=1,IF($A$3=0,FALSE,1/Tab.11[[#This Row],[IN]]*$AC$2*IF(Tab.11[[#This Row],[a1]]=0,,$A$3*$AC$1*1/$V$3*(Tab.11[[#This Row],[b14]]))))</f>
        <v>0</v>
      </c>
      <c r="AC631" s="75" t="b">
        <f>IF(Tab.11[[#This Row],[a1]]=1,IF($AC$3=0,Tab.11[[#This Row],[φ1]],Tab.11[[#This Row],[φ1]]/MAX(Tab.11[φ1])))</f>
        <v>0</v>
      </c>
      <c r="AD631" s="74" t="b">
        <f>IF(Tab.11[[#This Row],[a1]]=1,1/Tab.11[[#This Row],[φ2]])</f>
        <v>0</v>
      </c>
      <c r="AE631" s="74" t="b">
        <f>IF(Tab.11[[#This Row],[a1]]=1,IF($AE$3=0,Tab.11[[#This Row],[w.0]],Tab.11[[#This Row],[w.0]]/SUM(Tab.11[w.0])))</f>
        <v>0</v>
      </c>
      <c r="AF631" s="76" t="str">
        <f>IF(Tab.11[[#This Row],[a1]]=0,"false",[3]!Tab.x5[[#This Row],[%_seN_C]])</f>
        <v>false</v>
      </c>
      <c r="AG631" s="77" t="b">
        <f>IF(Tab.11[[#This Row],[a1]]=1,AP631)</f>
        <v>0</v>
      </c>
      <c r="AH631" s="78" t="b">
        <f>IF(Tab.11[[#This Row],[a1]]=1,AQ631)</f>
        <v>0</v>
      </c>
      <c r="AI631" s="41">
        <v>3.0000000000000001E-3</v>
      </c>
      <c r="AJ631" s="79">
        <v>-0.1</v>
      </c>
      <c r="AK631" s="80" t="b">
        <f>IF(Tab.11[[#This Row],[a1]]=1,1)</f>
        <v>0</v>
      </c>
      <c r="AM631"/>
      <c r="AN631"/>
      <c r="AO631"/>
      <c r="AP631"/>
      <c r="AQ631"/>
      <c r="AR631"/>
      <c r="AS631"/>
    </row>
    <row r="632" spans="1:45" s="81" customFormat="1" hidden="1" x14ac:dyDescent="0.25">
      <c r="A632" s="61">
        <f t="shared" si="21"/>
        <v>0</v>
      </c>
      <c r="B632" s="62">
        <f t="shared" si="21"/>
        <v>0</v>
      </c>
      <c r="C632" s="62" t="b">
        <f>IF(Tab.11[[#This Row],[a1]]=1,[3]!Tab_x1[[#This Row],[Name]])</f>
        <v>0</v>
      </c>
      <c r="D632" s="63" t="b">
        <f>IF(Tab.11[[#This Row],[a1]]=1,AO632)</f>
        <v>0</v>
      </c>
      <c r="E632" s="63">
        <f t="shared" si="20"/>
        <v>0</v>
      </c>
      <c r="F632" s="64" t="b">
        <f>IF(Tab.11[[#This Row],[a1]]=1,Tab.11[[#This Row],[b1]])</f>
        <v>0</v>
      </c>
      <c r="G632" s="65" t="b">
        <f>IF(Tab.11[[#This Row],[a1]]=1,IF(Tab.11[[#This Row],[b3]]&gt;$L$989*$G$3,$L$989*$G$3,IF(Tab.11[[#This Row],[b3]]&lt;$M$989*$G$3,$M$989*$G$3,Tab.11[[#This Row],[b3]])))</f>
        <v>0</v>
      </c>
      <c r="H632" s="66" t="b">
        <f>IF(Tab.11[[#This Row],[a1]]=1,Tab.11[[#This Row],[b1]])</f>
        <v>0</v>
      </c>
      <c r="I632" s="67" t="b">
        <f>IF(Tab.11[[#This Row],[a1]]=1,Tab.11[[#This Row],[b1]])</f>
        <v>0</v>
      </c>
      <c r="J632" s="68" t="b">
        <f>IF(Tab.11[[#This Row],[a1]]=1,IF($I$3&lt;0,Tab.11[[#This Row],[b5]]-$I$3,Tab.11[[#This Row],[b5]]))</f>
        <v>0</v>
      </c>
      <c r="K632" s="68" t="b">
        <f>IF(Tab.11[[#This Row],[a1]]=1,IF($K$3=0,Tab.11[b6],Tab.11[[#This Row],[b6]]-AVERAGE(Tab.11[b6])))</f>
        <v>0</v>
      </c>
      <c r="L632" s="69" t="b">
        <f>IF(Tab.11[[#This Row],[a1]]=1,Tab.11[[#This Row],[data]]/(_xlfn.STDEV.P(Tab.11[data])*$B$989)+$A$989)</f>
        <v>0</v>
      </c>
      <c r="M632" s="69" t="b">
        <f>IF(Tab.11[[#This Row],[a1]]=1,Tab.11[[#This Row],[data]]/(_xlfn.STDEV.P(Tab.11[data])*$B$987)-$A$987)</f>
        <v>0</v>
      </c>
      <c r="N632" s="69" t="b">
        <f>IF(Tab.11[[#This Row],[a1]]=1,Tab.11[[#This Row],[data]]/(_xlfn.STDEV.P(Tab.11[data])*$B$988)+$A$988)</f>
        <v>0</v>
      </c>
      <c r="O632" s="70" t="b">
        <f>IF(Tab.11[[#This Row],[a1]]=1,_xlfn.NORM.DIST(Tab.11[[#This Row],[b8]],$P$1,$Q$1,FALSE))</f>
        <v>0</v>
      </c>
      <c r="P632" s="70" t="b">
        <f>IF(Tab.11[[#This Row],[a1]]=1,_xlfn.NORM.DIST(Tab.11[[#This Row],[b9]],$P$1,$Q$1,FALSE))</f>
        <v>0</v>
      </c>
      <c r="Q632" s="70" t="b">
        <f>IF(Tab.11[[#This Row],[a1]]=1,_xlfn.NORM.DIST(Tab.11[[#This Row],[b10]],$P$1,$Q$1,FALSE))</f>
        <v>0</v>
      </c>
      <c r="R632" s="67" t="b">
        <f>IF(Tab.11[[#This Row],[a1]]=1,$I$3+$A$989+IF($K$3=0,Tab.11[[#This Row],[b8]]*_xlfn.STDEV.P(Tab.11[data]),AVERAGE(Tab.11[b6])+Tab.11[[#This Row],[b8]]*_xlfn.STDEV.P(Tab.11[data])))</f>
        <v>0</v>
      </c>
      <c r="S632" s="71" t="b">
        <f>IF(Tab.11[[#This Row],[a1]]=1,$I$3+$A$987+IF($K$3=0,Tab.11[[#This Row],[b9]]*_xlfn.STDEV.P(Tab.11[data]),AVERAGE(Tab.11[b6])+Tab.11[[#This Row],[b9]]*_xlfn.STDEV.P(Tab.11[data])))</f>
        <v>0</v>
      </c>
      <c r="T632" s="71" t="b">
        <f>IF(Tab.11[[#This Row],[a1]]=1,$I$3+$A$988+IF($K$3=0,Tab.11[[#This Row],[b10]]*_xlfn.STDEV.P(Tab.11[data]),AVERAGE(Tab.11[b6])+Tab.11[[#This Row],[b10]]*_xlfn.STDEV.P(Tab.11[data])))</f>
        <v>0</v>
      </c>
      <c r="U632" s="72" t="b">
        <f>IF(Tab.11[[#This Row],[a1]]=1,Tab.11[[#This Row],[target]]-Tab.11[[#This Row],[Red]])</f>
        <v>0</v>
      </c>
      <c r="V632" s="72" t="b">
        <f>IF(Tab.11[[#This Row],[a1]]=1,Tab.11[[#This Row],[target]]-Tab.11[[#This Row],[Blue]])</f>
        <v>0</v>
      </c>
      <c r="W632" s="73" t="b">
        <f>IF(Tab.11[[#This Row],[a1]]=1,IF(ABS(Tab.11[[#This Row],[b17]])+ABS(Tab.11[[#This Row],[b18]])&lt;$W$2,$W$2,ABS(Tab.11[[#This Row],[b17]])+ABS(Tab.11[[#This Row],[b18]])))</f>
        <v>0</v>
      </c>
      <c r="X632" s="136" t="b">
        <f>IF(Tab.11[[#This Row],[a1]]=1,IF($W$3&lt;0,Tab.11[[#This Row],[IN]]-$I$3,Tab.11[[#This Row],[IN]]))</f>
        <v>0</v>
      </c>
      <c r="Y632" s="136" t="b">
        <f>IF(Tab.11[[#This Row],[a1]]=1,IF($X$3=0,Tab.11[b66],Tab.11[[#This Row],[b66]]-AVERAGE(Tab.11[b66])))</f>
        <v>0</v>
      </c>
      <c r="Z632" s="135" t="b">
        <f>IF(Tab.11[[#This Row],[a1]]=1,Tab.11[[#This Row],[b77]]/(_xlfn.STDEV.P(Tab.11[b77])))</f>
        <v>0</v>
      </c>
      <c r="AA632" s="70" t="b">
        <f>IF(Tab.11[[#This Row],[a1]]=1,_xlfn.NORM.DIST(Tab.11[[#This Row],[b88]],$Z$1,$AA$1,FALSE))</f>
        <v>0</v>
      </c>
      <c r="AB632" s="74" t="b">
        <f>IF(Tab.11[[#This Row],[a1]]=1,IF($A$3=0,FALSE,1/Tab.11[[#This Row],[IN]]*$AC$2*IF(Tab.11[[#This Row],[a1]]=0,,$A$3*$AC$1*1/$V$3*(Tab.11[[#This Row],[b14]]))))</f>
        <v>0</v>
      </c>
      <c r="AC632" s="75" t="b">
        <f>IF(Tab.11[[#This Row],[a1]]=1,IF($AC$3=0,Tab.11[[#This Row],[φ1]],Tab.11[[#This Row],[φ1]]/MAX(Tab.11[φ1])))</f>
        <v>0</v>
      </c>
      <c r="AD632" s="74" t="b">
        <f>IF(Tab.11[[#This Row],[a1]]=1,1/Tab.11[[#This Row],[φ2]])</f>
        <v>0</v>
      </c>
      <c r="AE632" s="74" t="b">
        <f>IF(Tab.11[[#This Row],[a1]]=1,IF($AE$3=0,Tab.11[[#This Row],[w.0]],Tab.11[[#This Row],[w.0]]/SUM(Tab.11[w.0])))</f>
        <v>0</v>
      </c>
      <c r="AF632" s="76" t="str">
        <f>IF(Tab.11[[#This Row],[a1]]=0,"false",[3]!Tab.x5[[#This Row],[%_seN_C]])</f>
        <v>false</v>
      </c>
      <c r="AG632" s="77" t="b">
        <f>IF(Tab.11[[#This Row],[a1]]=1,AP632)</f>
        <v>0</v>
      </c>
      <c r="AH632" s="78" t="b">
        <f>IF(Tab.11[[#This Row],[a1]]=1,AQ632)</f>
        <v>0</v>
      </c>
      <c r="AI632" s="41">
        <v>3.0000000000000001E-3</v>
      </c>
      <c r="AJ632" s="79">
        <v>0.06</v>
      </c>
      <c r="AK632" s="80" t="b">
        <f>IF(Tab.11[[#This Row],[a1]]=1,1)</f>
        <v>0</v>
      </c>
      <c r="AM632"/>
      <c r="AN632"/>
      <c r="AO632"/>
      <c r="AP632"/>
      <c r="AQ632"/>
      <c r="AR632"/>
      <c r="AS632"/>
    </row>
    <row r="633" spans="1:45" s="81" customFormat="1" hidden="1" x14ac:dyDescent="0.25">
      <c r="A633" s="61">
        <f t="shared" si="21"/>
        <v>0</v>
      </c>
      <c r="B633" s="62">
        <f t="shared" si="21"/>
        <v>0</v>
      </c>
      <c r="C633" s="62" t="b">
        <f>IF(Tab.11[[#This Row],[a1]]=1,[3]!Tab_x1[[#This Row],[Name]])</f>
        <v>0</v>
      </c>
      <c r="D633" s="63" t="b">
        <f>IF(Tab.11[[#This Row],[a1]]=1,AO633)</f>
        <v>0</v>
      </c>
      <c r="E633" s="63">
        <f t="shared" si="20"/>
        <v>0</v>
      </c>
      <c r="F633" s="64" t="b">
        <f>IF(Tab.11[[#This Row],[a1]]=1,Tab.11[[#This Row],[b1]])</f>
        <v>0</v>
      </c>
      <c r="G633" s="65" t="b">
        <f>IF(Tab.11[[#This Row],[a1]]=1,IF(Tab.11[[#This Row],[b3]]&gt;$L$989*$G$3,$L$989*$G$3,IF(Tab.11[[#This Row],[b3]]&lt;$M$989*$G$3,$M$989*$G$3,Tab.11[[#This Row],[b3]])))</f>
        <v>0</v>
      </c>
      <c r="H633" s="66" t="b">
        <f>IF(Tab.11[[#This Row],[a1]]=1,Tab.11[[#This Row],[b1]])</f>
        <v>0</v>
      </c>
      <c r="I633" s="67" t="b">
        <f>IF(Tab.11[[#This Row],[a1]]=1,Tab.11[[#This Row],[b1]])</f>
        <v>0</v>
      </c>
      <c r="J633" s="68" t="b">
        <f>IF(Tab.11[[#This Row],[a1]]=1,IF($I$3&lt;0,Tab.11[[#This Row],[b5]]-$I$3,Tab.11[[#This Row],[b5]]))</f>
        <v>0</v>
      </c>
      <c r="K633" s="68" t="b">
        <f>IF(Tab.11[[#This Row],[a1]]=1,IF($K$3=0,Tab.11[b6],Tab.11[[#This Row],[b6]]-AVERAGE(Tab.11[b6])))</f>
        <v>0</v>
      </c>
      <c r="L633" s="69" t="b">
        <f>IF(Tab.11[[#This Row],[a1]]=1,Tab.11[[#This Row],[data]]/(_xlfn.STDEV.P(Tab.11[data])*$B$989)+$A$989)</f>
        <v>0</v>
      </c>
      <c r="M633" s="69" t="b">
        <f>IF(Tab.11[[#This Row],[a1]]=1,Tab.11[[#This Row],[data]]/(_xlfn.STDEV.P(Tab.11[data])*$B$987)-$A$987)</f>
        <v>0</v>
      </c>
      <c r="N633" s="69" t="b">
        <f>IF(Tab.11[[#This Row],[a1]]=1,Tab.11[[#This Row],[data]]/(_xlfn.STDEV.P(Tab.11[data])*$B$988)+$A$988)</f>
        <v>0</v>
      </c>
      <c r="O633" s="70" t="b">
        <f>IF(Tab.11[[#This Row],[a1]]=1,_xlfn.NORM.DIST(Tab.11[[#This Row],[b8]],$P$1,$Q$1,FALSE))</f>
        <v>0</v>
      </c>
      <c r="P633" s="70" t="b">
        <f>IF(Tab.11[[#This Row],[a1]]=1,_xlfn.NORM.DIST(Tab.11[[#This Row],[b9]],$P$1,$Q$1,FALSE))</f>
        <v>0</v>
      </c>
      <c r="Q633" s="70" t="b">
        <f>IF(Tab.11[[#This Row],[a1]]=1,_xlfn.NORM.DIST(Tab.11[[#This Row],[b10]],$P$1,$Q$1,FALSE))</f>
        <v>0</v>
      </c>
      <c r="R633" s="67" t="b">
        <f>IF(Tab.11[[#This Row],[a1]]=1,$I$3+$A$989+IF($K$3=0,Tab.11[[#This Row],[b8]]*_xlfn.STDEV.P(Tab.11[data]),AVERAGE(Tab.11[b6])+Tab.11[[#This Row],[b8]]*_xlfn.STDEV.P(Tab.11[data])))</f>
        <v>0</v>
      </c>
      <c r="S633" s="71" t="b">
        <f>IF(Tab.11[[#This Row],[a1]]=1,$I$3+$A$987+IF($K$3=0,Tab.11[[#This Row],[b9]]*_xlfn.STDEV.P(Tab.11[data]),AVERAGE(Tab.11[b6])+Tab.11[[#This Row],[b9]]*_xlfn.STDEV.P(Tab.11[data])))</f>
        <v>0</v>
      </c>
      <c r="T633" s="71" t="b">
        <f>IF(Tab.11[[#This Row],[a1]]=1,$I$3+$A$988+IF($K$3=0,Tab.11[[#This Row],[b10]]*_xlfn.STDEV.P(Tab.11[data]),AVERAGE(Tab.11[b6])+Tab.11[[#This Row],[b10]]*_xlfn.STDEV.P(Tab.11[data])))</f>
        <v>0</v>
      </c>
      <c r="U633" s="72" t="b">
        <f>IF(Tab.11[[#This Row],[a1]]=1,Tab.11[[#This Row],[target]]-Tab.11[[#This Row],[Red]])</f>
        <v>0</v>
      </c>
      <c r="V633" s="72" t="b">
        <f>IF(Tab.11[[#This Row],[a1]]=1,Tab.11[[#This Row],[target]]-Tab.11[[#This Row],[Blue]])</f>
        <v>0</v>
      </c>
      <c r="W633" s="73" t="b">
        <f>IF(Tab.11[[#This Row],[a1]]=1,IF(ABS(Tab.11[[#This Row],[b17]])+ABS(Tab.11[[#This Row],[b18]])&lt;$W$2,$W$2,ABS(Tab.11[[#This Row],[b17]])+ABS(Tab.11[[#This Row],[b18]])))</f>
        <v>0</v>
      </c>
      <c r="X633" s="136" t="b">
        <f>IF(Tab.11[[#This Row],[a1]]=1,IF($W$3&lt;0,Tab.11[[#This Row],[IN]]-$I$3,Tab.11[[#This Row],[IN]]))</f>
        <v>0</v>
      </c>
      <c r="Y633" s="136" t="b">
        <f>IF(Tab.11[[#This Row],[a1]]=1,IF($X$3=0,Tab.11[b66],Tab.11[[#This Row],[b66]]-AVERAGE(Tab.11[b66])))</f>
        <v>0</v>
      </c>
      <c r="Z633" s="135" t="b">
        <f>IF(Tab.11[[#This Row],[a1]]=1,Tab.11[[#This Row],[b77]]/(_xlfn.STDEV.P(Tab.11[b77])))</f>
        <v>0</v>
      </c>
      <c r="AA633" s="70" t="b">
        <f>IF(Tab.11[[#This Row],[a1]]=1,_xlfn.NORM.DIST(Tab.11[[#This Row],[b88]],$Z$1,$AA$1,FALSE))</f>
        <v>0</v>
      </c>
      <c r="AB633" s="74" t="b">
        <f>IF(Tab.11[[#This Row],[a1]]=1,IF($A$3=0,FALSE,1/Tab.11[[#This Row],[IN]]*$AC$2*IF(Tab.11[[#This Row],[a1]]=0,,$A$3*$AC$1*1/$V$3*(Tab.11[[#This Row],[b14]]))))</f>
        <v>0</v>
      </c>
      <c r="AC633" s="75" t="b">
        <f>IF(Tab.11[[#This Row],[a1]]=1,IF($AC$3=0,Tab.11[[#This Row],[φ1]],Tab.11[[#This Row],[φ1]]/MAX(Tab.11[φ1])))</f>
        <v>0</v>
      </c>
      <c r="AD633" s="74" t="b">
        <f>IF(Tab.11[[#This Row],[a1]]=1,1/Tab.11[[#This Row],[φ2]])</f>
        <v>0</v>
      </c>
      <c r="AE633" s="74" t="b">
        <f>IF(Tab.11[[#This Row],[a1]]=1,IF($AE$3=0,Tab.11[[#This Row],[w.0]],Tab.11[[#This Row],[w.0]]/SUM(Tab.11[w.0])))</f>
        <v>0</v>
      </c>
      <c r="AF633" s="76" t="str">
        <f>IF(Tab.11[[#This Row],[a1]]=0,"false",[3]!Tab.x5[[#This Row],[%_seN_C]])</f>
        <v>false</v>
      </c>
      <c r="AG633" s="77" t="b">
        <f>IF(Tab.11[[#This Row],[a1]]=1,AP633)</f>
        <v>0</v>
      </c>
      <c r="AH633" s="78" t="b">
        <f>IF(Tab.11[[#This Row],[a1]]=1,AQ633)</f>
        <v>0</v>
      </c>
      <c r="AI633" s="41">
        <v>3.0000000000000001E-3</v>
      </c>
      <c r="AJ633" s="79">
        <v>-0.06</v>
      </c>
      <c r="AK633" s="80" t="b">
        <f>IF(Tab.11[[#This Row],[a1]]=1,1)</f>
        <v>0</v>
      </c>
      <c r="AM633"/>
      <c r="AN633"/>
      <c r="AO633"/>
      <c r="AP633"/>
      <c r="AQ633"/>
      <c r="AR633"/>
      <c r="AS633"/>
    </row>
    <row r="634" spans="1:45" s="81" customFormat="1" hidden="1" x14ac:dyDescent="0.25">
      <c r="A634" s="61">
        <f t="shared" si="21"/>
        <v>0</v>
      </c>
      <c r="B634" s="62">
        <f t="shared" si="21"/>
        <v>0</v>
      </c>
      <c r="C634" s="62" t="b">
        <f>IF(Tab.11[[#This Row],[a1]]=1,[3]!Tab_x1[[#This Row],[Name]])</f>
        <v>0</v>
      </c>
      <c r="D634" s="63" t="b">
        <f>IF(Tab.11[[#This Row],[a1]]=1,AO634)</f>
        <v>0</v>
      </c>
      <c r="E634" s="63">
        <f t="shared" si="20"/>
        <v>0</v>
      </c>
      <c r="F634" s="64" t="b">
        <f>IF(Tab.11[[#This Row],[a1]]=1,Tab.11[[#This Row],[b1]])</f>
        <v>0</v>
      </c>
      <c r="G634" s="65" t="b">
        <f>IF(Tab.11[[#This Row],[a1]]=1,IF(Tab.11[[#This Row],[b3]]&gt;$L$989*$G$3,$L$989*$G$3,IF(Tab.11[[#This Row],[b3]]&lt;$M$989*$G$3,$M$989*$G$3,Tab.11[[#This Row],[b3]])))</f>
        <v>0</v>
      </c>
      <c r="H634" s="66" t="b">
        <f>IF(Tab.11[[#This Row],[a1]]=1,Tab.11[[#This Row],[b1]])</f>
        <v>0</v>
      </c>
      <c r="I634" s="67" t="b">
        <f>IF(Tab.11[[#This Row],[a1]]=1,Tab.11[[#This Row],[b1]])</f>
        <v>0</v>
      </c>
      <c r="J634" s="68" t="b">
        <f>IF(Tab.11[[#This Row],[a1]]=1,IF($I$3&lt;0,Tab.11[[#This Row],[b5]]-$I$3,Tab.11[[#This Row],[b5]]))</f>
        <v>0</v>
      </c>
      <c r="K634" s="68" t="b">
        <f>IF(Tab.11[[#This Row],[a1]]=1,IF($K$3=0,Tab.11[b6],Tab.11[[#This Row],[b6]]-AVERAGE(Tab.11[b6])))</f>
        <v>0</v>
      </c>
      <c r="L634" s="69" t="b">
        <f>IF(Tab.11[[#This Row],[a1]]=1,Tab.11[[#This Row],[data]]/(_xlfn.STDEV.P(Tab.11[data])*$B$989)+$A$989)</f>
        <v>0</v>
      </c>
      <c r="M634" s="69" t="b">
        <f>IF(Tab.11[[#This Row],[a1]]=1,Tab.11[[#This Row],[data]]/(_xlfn.STDEV.P(Tab.11[data])*$B$987)-$A$987)</f>
        <v>0</v>
      </c>
      <c r="N634" s="69" t="b">
        <f>IF(Tab.11[[#This Row],[a1]]=1,Tab.11[[#This Row],[data]]/(_xlfn.STDEV.P(Tab.11[data])*$B$988)+$A$988)</f>
        <v>0</v>
      </c>
      <c r="O634" s="70" t="b">
        <f>IF(Tab.11[[#This Row],[a1]]=1,_xlfn.NORM.DIST(Tab.11[[#This Row],[b8]],$P$1,$Q$1,FALSE))</f>
        <v>0</v>
      </c>
      <c r="P634" s="70" t="b">
        <f>IF(Tab.11[[#This Row],[a1]]=1,_xlfn.NORM.DIST(Tab.11[[#This Row],[b9]],$P$1,$Q$1,FALSE))</f>
        <v>0</v>
      </c>
      <c r="Q634" s="70" t="b">
        <f>IF(Tab.11[[#This Row],[a1]]=1,_xlfn.NORM.DIST(Tab.11[[#This Row],[b10]],$P$1,$Q$1,FALSE))</f>
        <v>0</v>
      </c>
      <c r="R634" s="67" t="b">
        <f>IF(Tab.11[[#This Row],[a1]]=1,$I$3+$A$989+IF($K$3=0,Tab.11[[#This Row],[b8]]*_xlfn.STDEV.P(Tab.11[data]),AVERAGE(Tab.11[b6])+Tab.11[[#This Row],[b8]]*_xlfn.STDEV.P(Tab.11[data])))</f>
        <v>0</v>
      </c>
      <c r="S634" s="71" t="b">
        <f>IF(Tab.11[[#This Row],[a1]]=1,$I$3+$A$987+IF($K$3=0,Tab.11[[#This Row],[b9]]*_xlfn.STDEV.P(Tab.11[data]),AVERAGE(Tab.11[b6])+Tab.11[[#This Row],[b9]]*_xlfn.STDEV.P(Tab.11[data])))</f>
        <v>0</v>
      </c>
      <c r="T634" s="71" t="b">
        <f>IF(Tab.11[[#This Row],[a1]]=1,$I$3+$A$988+IF($K$3=0,Tab.11[[#This Row],[b10]]*_xlfn.STDEV.P(Tab.11[data]),AVERAGE(Tab.11[b6])+Tab.11[[#This Row],[b10]]*_xlfn.STDEV.P(Tab.11[data])))</f>
        <v>0</v>
      </c>
      <c r="U634" s="72" t="b">
        <f>IF(Tab.11[[#This Row],[a1]]=1,Tab.11[[#This Row],[target]]-Tab.11[[#This Row],[Red]])</f>
        <v>0</v>
      </c>
      <c r="V634" s="72" t="b">
        <f>IF(Tab.11[[#This Row],[a1]]=1,Tab.11[[#This Row],[target]]-Tab.11[[#This Row],[Blue]])</f>
        <v>0</v>
      </c>
      <c r="W634" s="73" t="b">
        <f>IF(Tab.11[[#This Row],[a1]]=1,IF(ABS(Tab.11[[#This Row],[b17]])+ABS(Tab.11[[#This Row],[b18]])&lt;$W$2,$W$2,ABS(Tab.11[[#This Row],[b17]])+ABS(Tab.11[[#This Row],[b18]])))</f>
        <v>0</v>
      </c>
      <c r="X634" s="136" t="b">
        <f>IF(Tab.11[[#This Row],[a1]]=1,IF($W$3&lt;0,Tab.11[[#This Row],[IN]]-$I$3,Tab.11[[#This Row],[IN]]))</f>
        <v>0</v>
      </c>
      <c r="Y634" s="136" t="b">
        <f>IF(Tab.11[[#This Row],[a1]]=1,IF($X$3=0,Tab.11[b66],Tab.11[[#This Row],[b66]]-AVERAGE(Tab.11[b66])))</f>
        <v>0</v>
      </c>
      <c r="Z634" s="135" t="b">
        <f>IF(Tab.11[[#This Row],[a1]]=1,Tab.11[[#This Row],[b77]]/(_xlfn.STDEV.P(Tab.11[b77])))</f>
        <v>0</v>
      </c>
      <c r="AA634" s="70" t="b">
        <f>IF(Tab.11[[#This Row],[a1]]=1,_xlfn.NORM.DIST(Tab.11[[#This Row],[b88]],$Z$1,$AA$1,FALSE))</f>
        <v>0</v>
      </c>
      <c r="AB634" s="74" t="b">
        <f>IF(Tab.11[[#This Row],[a1]]=1,IF($A$3=0,FALSE,1/Tab.11[[#This Row],[IN]]*$AC$2*IF(Tab.11[[#This Row],[a1]]=0,,$A$3*$AC$1*1/$V$3*(Tab.11[[#This Row],[b14]]))))</f>
        <v>0</v>
      </c>
      <c r="AC634" s="75" t="b">
        <f>IF(Tab.11[[#This Row],[a1]]=1,IF($AC$3=0,Tab.11[[#This Row],[φ1]],Tab.11[[#This Row],[φ1]]/MAX(Tab.11[φ1])))</f>
        <v>0</v>
      </c>
      <c r="AD634" s="74" t="b">
        <f>IF(Tab.11[[#This Row],[a1]]=1,1/Tab.11[[#This Row],[φ2]])</f>
        <v>0</v>
      </c>
      <c r="AE634" s="74" t="b">
        <f>IF(Tab.11[[#This Row],[a1]]=1,IF($AE$3=0,Tab.11[[#This Row],[w.0]],Tab.11[[#This Row],[w.0]]/SUM(Tab.11[w.0])))</f>
        <v>0</v>
      </c>
      <c r="AF634" s="76" t="str">
        <f>IF(Tab.11[[#This Row],[a1]]=0,"false",[3]!Tab.x5[[#This Row],[%_seN_C]])</f>
        <v>false</v>
      </c>
      <c r="AG634" s="77" t="b">
        <f>IF(Tab.11[[#This Row],[a1]]=1,AP634)</f>
        <v>0</v>
      </c>
      <c r="AH634" s="78" t="b">
        <f>IF(Tab.11[[#This Row],[a1]]=1,AQ634)</f>
        <v>0</v>
      </c>
      <c r="AI634" s="41">
        <v>3.0000000000000001E-3</v>
      </c>
      <c r="AJ634" s="79">
        <v>-0.04</v>
      </c>
      <c r="AK634" s="80" t="b">
        <f>IF(Tab.11[[#This Row],[a1]]=1,1)</f>
        <v>0</v>
      </c>
      <c r="AM634"/>
      <c r="AN634"/>
      <c r="AO634"/>
      <c r="AP634"/>
      <c r="AQ634"/>
      <c r="AR634"/>
      <c r="AS634"/>
    </row>
    <row r="635" spans="1:45" s="81" customFormat="1" hidden="1" x14ac:dyDescent="0.25">
      <c r="A635" s="61">
        <f t="shared" si="21"/>
        <v>0</v>
      </c>
      <c r="B635" s="62">
        <f t="shared" si="21"/>
        <v>0</v>
      </c>
      <c r="C635" s="62" t="b">
        <f>IF(Tab.11[[#This Row],[a1]]=1,[3]!Tab_x1[[#This Row],[Name]])</f>
        <v>0</v>
      </c>
      <c r="D635" s="63" t="b">
        <f>IF(Tab.11[[#This Row],[a1]]=1,AO635)</f>
        <v>0</v>
      </c>
      <c r="E635" s="63">
        <f t="shared" si="20"/>
        <v>0</v>
      </c>
      <c r="F635" s="64" t="b">
        <f>IF(Tab.11[[#This Row],[a1]]=1,Tab.11[[#This Row],[b1]])</f>
        <v>0</v>
      </c>
      <c r="G635" s="65" t="b">
        <f>IF(Tab.11[[#This Row],[a1]]=1,IF(Tab.11[[#This Row],[b3]]&gt;$L$989*$G$3,$L$989*$G$3,IF(Tab.11[[#This Row],[b3]]&lt;$M$989*$G$3,$M$989*$G$3,Tab.11[[#This Row],[b3]])))</f>
        <v>0</v>
      </c>
      <c r="H635" s="66" t="b">
        <f>IF(Tab.11[[#This Row],[a1]]=1,Tab.11[[#This Row],[b1]])</f>
        <v>0</v>
      </c>
      <c r="I635" s="67" t="b">
        <f>IF(Tab.11[[#This Row],[a1]]=1,Tab.11[[#This Row],[b1]])</f>
        <v>0</v>
      </c>
      <c r="J635" s="68" t="b">
        <f>IF(Tab.11[[#This Row],[a1]]=1,IF($I$3&lt;0,Tab.11[[#This Row],[b5]]-$I$3,Tab.11[[#This Row],[b5]]))</f>
        <v>0</v>
      </c>
      <c r="K635" s="68" t="b">
        <f>IF(Tab.11[[#This Row],[a1]]=1,IF($K$3=0,Tab.11[b6],Tab.11[[#This Row],[b6]]-AVERAGE(Tab.11[b6])))</f>
        <v>0</v>
      </c>
      <c r="L635" s="69" t="b">
        <f>IF(Tab.11[[#This Row],[a1]]=1,Tab.11[[#This Row],[data]]/(_xlfn.STDEV.P(Tab.11[data])*$B$989)+$A$989)</f>
        <v>0</v>
      </c>
      <c r="M635" s="69" t="b">
        <f>IF(Tab.11[[#This Row],[a1]]=1,Tab.11[[#This Row],[data]]/(_xlfn.STDEV.P(Tab.11[data])*$B$987)-$A$987)</f>
        <v>0</v>
      </c>
      <c r="N635" s="69" t="b">
        <f>IF(Tab.11[[#This Row],[a1]]=1,Tab.11[[#This Row],[data]]/(_xlfn.STDEV.P(Tab.11[data])*$B$988)+$A$988)</f>
        <v>0</v>
      </c>
      <c r="O635" s="70" t="b">
        <f>IF(Tab.11[[#This Row],[a1]]=1,_xlfn.NORM.DIST(Tab.11[[#This Row],[b8]],$P$1,$Q$1,FALSE))</f>
        <v>0</v>
      </c>
      <c r="P635" s="70" t="b">
        <f>IF(Tab.11[[#This Row],[a1]]=1,_xlfn.NORM.DIST(Tab.11[[#This Row],[b9]],$P$1,$Q$1,FALSE))</f>
        <v>0</v>
      </c>
      <c r="Q635" s="70" t="b">
        <f>IF(Tab.11[[#This Row],[a1]]=1,_xlfn.NORM.DIST(Tab.11[[#This Row],[b10]],$P$1,$Q$1,FALSE))</f>
        <v>0</v>
      </c>
      <c r="R635" s="67" t="b">
        <f>IF(Tab.11[[#This Row],[a1]]=1,$I$3+$A$989+IF($K$3=0,Tab.11[[#This Row],[b8]]*_xlfn.STDEV.P(Tab.11[data]),AVERAGE(Tab.11[b6])+Tab.11[[#This Row],[b8]]*_xlfn.STDEV.P(Tab.11[data])))</f>
        <v>0</v>
      </c>
      <c r="S635" s="71" t="b">
        <f>IF(Tab.11[[#This Row],[a1]]=1,$I$3+$A$987+IF($K$3=0,Tab.11[[#This Row],[b9]]*_xlfn.STDEV.P(Tab.11[data]),AVERAGE(Tab.11[b6])+Tab.11[[#This Row],[b9]]*_xlfn.STDEV.P(Tab.11[data])))</f>
        <v>0</v>
      </c>
      <c r="T635" s="71" t="b">
        <f>IF(Tab.11[[#This Row],[a1]]=1,$I$3+$A$988+IF($K$3=0,Tab.11[[#This Row],[b10]]*_xlfn.STDEV.P(Tab.11[data]),AVERAGE(Tab.11[b6])+Tab.11[[#This Row],[b10]]*_xlfn.STDEV.P(Tab.11[data])))</f>
        <v>0</v>
      </c>
      <c r="U635" s="72" t="b">
        <f>IF(Tab.11[[#This Row],[a1]]=1,Tab.11[[#This Row],[target]]-Tab.11[[#This Row],[Red]])</f>
        <v>0</v>
      </c>
      <c r="V635" s="72" t="b">
        <f>IF(Tab.11[[#This Row],[a1]]=1,Tab.11[[#This Row],[target]]-Tab.11[[#This Row],[Blue]])</f>
        <v>0</v>
      </c>
      <c r="W635" s="73" t="b">
        <f>IF(Tab.11[[#This Row],[a1]]=1,IF(ABS(Tab.11[[#This Row],[b17]])+ABS(Tab.11[[#This Row],[b18]])&lt;$W$2,$W$2,ABS(Tab.11[[#This Row],[b17]])+ABS(Tab.11[[#This Row],[b18]])))</f>
        <v>0</v>
      </c>
      <c r="X635" s="136" t="b">
        <f>IF(Tab.11[[#This Row],[a1]]=1,IF($W$3&lt;0,Tab.11[[#This Row],[IN]]-$I$3,Tab.11[[#This Row],[IN]]))</f>
        <v>0</v>
      </c>
      <c r="Y635" s="136" t="b">
        <f>IF(Tab.11[[#This Row],[a1]]=1,IF($X$3=0,Tab.11[b66],Tab.11[[#This Row],[b66]]-AVERAGE(Tab.11[b66])))</f>
        <v>0</v>
      </c>
      <c r="Z635" s="135" t="b">
        <f>IF(Tab.11[[#This Row],[a1]]=1,Tab.11[[#This Row],[b77]]/(_xlfn.STDEV.P(Tab.11[b77])))</f>
        <v>0</v>
      </c>
      <c r="AA635" s="70" t="b">
        <f>IF(Tab.11[[#This Row],[a1]]=1,_xlfn.NORM.DIST(Tab.11[[#This Row],[b88]],$Z$1,$AA$1,FALSE))</f>
        <v>0</v>
      </c>
      <c r="AB635" s="74" t="b">
        <f>IF(Tab.11[[#This Row],[a1]]=1,IF($A$3=0,FALSE,1/Tab.11[[#This Row],[IN]]*$AC$2*IF(Tab.11[[#This Row],[a1]]=0,,$A$3*$AC$1*1/$V$3*(Tab.11[[#This Row],[b14]]))))</f>
        <v>0</v>
      </c>
      <c r="AC635" s="75" t="b">
        <f>IF(Tab.11[[#This Row],[a1]]=1,IF($AC$3=0,Tab.11[[#This Row],[φ1]],Tab.11[[#This Row],[φ1]]/MAX(Tab.11[φ1])))</f>
        <v>0</v>
      </c>
      <c r="AD635" s="74" t="b">
        <f>IF(Tab.11[[#This Row],[a1]]=1,1/Tab.11[[#This Row],[φ2]])</f>
        <v>0</v>
      </c>
      <c r="AE635" s="74" t="b">
        <f>IF(Tab.11[[#This Row],[a1]]=1,IF($AE$3=0,Tab.11[[#This Row],[w.0]],Tab.11[[#This Row],[w.0]]/SUM(Tab.11[w.0])))</f>
        <v>0</v>
      </c>
      <c r="AF635" s="76" t="str">
        <f>IF(Tab.11[[#This Row],[a1]]=0,"false",[3]!Tab.x5[[#This Row],[%_seN_C]])</f>
        <v>false</v>
      </c>
      <c r="AG635" s="77" t="b">
        <f>IF(Tab.11[[#This Row],[a1]]=1,AP635)</f>
        <v>0</v>
      </c>
      <c r="AH635" s="78" t="b">
        <f>IF(Tab.11[[#This Row],[a1]]=1,AQ635)</f>
        <v>0</v>
      </c>
      <c r="AI635" s="41">
        <v>3.0000000000000001E-3</v>
      </c>
      <c r="AJ635" s="79">
        <v>0.01</v>
      </c>
      <c r="AK635" s="80" t="b">
        <f>IF(Tab.11[[#This Row],[a1]]=1,1)</f>
        <v>0</v>
      </c>
      <c r="AM635"/>
      <c r="AN635"/>
      <c r="AO635"/>
      <c r="AP635"/>
      <c r="AQ635"/>
      <c r="AR635"/>
      <c r="AS635"/>
    </row>
    <row r="636" spans="1:45" s="81" customFormat="1" hidden="1" x14ac:dyDescent="0.25">
      <c r="A636" s="61">
        <f t="shared" si="21"/>
        <v>0</v>
      </c>
      <c r="B636" s="62">
        <f t="shared" si="21"/>
        <v>0</v>
      </c>
      <c r="C636" s="62" t="b">
        <f>IF(Tab.11[[#This Row],[a1]]=1,[3]!Tab_x1[[#This Row],[Name]])</f>
        <v>0</v>
      </c>
      <c r="D636" s="63" t="b">
        <f>IF(Tab.11[[#This Row],[a1]]=1,AO636)</f>
        <v>0</v>
      </c>
      <c r="E636" s="63">
        <f t="shared" si="20"/>
        <v>0</v>
      </c>
      <c r="F636" s="64" t="b">
        <f>IF(Tab.11[[#This Row],[a1]]=1,Tab.11[[#This Row],[b1]])</f>
        <v>0</v>
      </c>
      <c r="G636" s="65" t="b">
        <f>IF(Tab.11[[#This Row],[a1]]=1,IF(Tab.11[[#This Row],[b3]]&gt;$L$989*$G$3,$L$989*$G$3,IF(Tab.11[[#This Row],[b3]]&lt;$M$989*$G$3,$M$989*$G$3,Tab.11[[#This Row],[b3]])))</f>
        <v>0</v>
      </c>
      <c r="H636" s="66" t="b">
        <f>IF(Tab.11[[#This Row],[a1]]=1,Tab.11[[#This Row],[b1]])</f>
        <v>0</v>
      </c>
      <c r="I636" s="67" t="b">
        <f>IF(Tab.11[[#This Row],[a1]]=1,Tab.11[[#This Row],[b1]])</f>
        <v>0</v>
      </c>
      <c r="J636" s="68" t="b">
        <f>IF(Tab.11[[#This Row],[a1]]=1,IF($I$3&lt;0,Tab.11[[#This Row],[b5]]-$I$3,Tab.11[[#This Row],[b5]]))</f>
        <v>0</v>
      </c>
      <c r="K636" s="68" t="b">
        <f>IF(Tab.11[[#This Row],[a1]]=1,IF($K$3=0,Tab.11[b6],Tab.11[[#This Row],[b6]]-AVERAGE(Tab.11[b6])))</f>
        <v>0</v>
      </c>
      <c r="L636" s="69" t="b">
        <f>IF(Tab.11[[#This Row],[a1]]=1,Tab.11[[#This Row],[data]]/(_xlfn.STDEV.P(Tab.11[data])*$B$989)+$A$989)</f>
        <v>0</v>
      </c>
      <c r="M636" s="69" t="b">
        <f>IF(Tab.11[[#This Row],[a1]]=1,Tab.11[[#This Row],[data]]/(_xlfn.STDEV.P(Tab.11[data])*$B$987)-$A$987)</f>
        <v>0</v>
      </c>
      <c r="N636" s="69" t="b">
        <f>IF(Tab.11[[#This Row],[a1]]=1,Tab.11[[#This Row],[data]]/(_xlfn.STDEV.P(Tab.11[data])*$B$988)+$A$988)</f>
        <v>0</v>
      </c>
      <c r="O636" s="70" t="b">
        <f>IF(Tab.11[[#This Row],[a1]]=1,_xlfn.NORM.DIST(Tab.11[[#This Row],[b8]],$P$1,$Q$1,FALSE))</f>
        <v>0</v>
      </c>
      <c r="P636" s="70" t="b">
        <f>IF(Tab.11[[#This Row],[a1]]=1,_xlfn.NORM.DIST(Tab.11[[#This Row],[b9]],$P$1,$Q$1,FALSE))</f>
        <v>0</v>
      </c>
      <c r="Q636" s="70" t="b">
        <f>IF(Tab.11[[#This Row],[a1]]=1,_xlfn.NORM.DIST(Tab.11[[#This Row],[b10]],$P$1,$Q$1,FALSE))</f>
        <v>0</v>
      </c>
      <c r="R636" s="67" t="b">
        <f>IF(Tab.11[[#This Row],[a1]]=1,$I$3+$A$989+IF($K$3=0,Tab.11[[#This Row],[b8]]*_xlfn.STDEV.P(Tab.11[data]),AVERAGE(Tab.11[b6])+Tab.11[[#This Row],[b8]]*_xlfn.STDEV.P(Tab.11[data])))</f>
        <v>0</v>
      </c>
      <c r="S636" s="71" t="b">
        <f>IF(Tab.11[[#This Row],[a1]]=1,$I$3+$A$987+IF($K$3=0,Tab.11[[#This Row],[b9]]*_xlfn.STDEV.P(Tab.11[data]),AVERAGE(Tab.11[b6])+Tab.11[[#This Row],[b9]]*_xlfn.STDEV.P(Tab.11[data])))</f>
        <v>0</v>
      </c>
      <c r="T636" s="71" t="b">
        <f>IF(Tab.11[[#This Row],[a1]]=1,$I$3+$A$988+IF($K$3=0,Tab.11[[#This Row],[b10]]*_xlfn.STDEV.P(Tab.11[data]),AVERAGE(Tab.11[b6])+Tab.11[[#This Row],[b10]]*_xlfn.STDEV.P(Tab.11[data])))</f>
        <v>0</v>
      </c>
      <c r="U636" s="72" t="b">
        <f>IF(Tab.11[[#This Row],[a1]]=1,Tab.11[[#This Row],[target]]-Tab.11[[#This Row],[Red]])</f>
        <v>0</v>
      </c>
      <c r="V636" s="72" t="b">
        <f>IF(Tab.11[[#This Row],[a1]]=1,Tab.11[[#This Row],[target]]-Tab.11[[#This Row],[Blue]])</f>
        <v>0</v>
      </c>
      <c r="W636" s="73" t="b">
        <f>IF(Tab.11[[#This Row],[a1]]=1,IF(ABS(Tab.11[[#This Row],[b17]])+ABS(Tab.11[[#This Row],[b18]])&lt;$W$2,$W$2,ABS(Tab.11[[#This Row],[b17]])+ABS(Tab.11[[#This Row],[b18]])))</f>
        <v>0</v>
      </c>
      <c r="X636" s="136" t="b">
        <f>IF(Tab.11[[#This Row],[a1]]=1,IF($W$3&lt;0,Tab.11[[#This Row],[IN]]-$I$3,Tab.11[[#This Row],[IN]]))</f>
        <v>0</v>
      </c>
      <c r="Y636" s="136" t="b">
        <f>IF(Tab.11[[#This Row],[a1]]=1,IF($X$3=0,Tab.11[b66],Tab.11[[#This Row],[b66]]-AVERAGE(Tab.11[b66])))</f>
        <v>0</v>
      </c>
      <c r="Z636" s="135" t="b">
        <f>IF(Tab.11[[#This Row],[a1]]=1,Tab.11[[#This Row],[b77]]/(_xlfn.STDEV.P(Tab.11[b77])))</f>
        <v>0</v>
      </c>
      <c r="AA636" s="70" t="b">
        <f>IF(Tab.11[[#This Row],[a1]]=1,_xlfn.NORM.DIST(Tab.11[[#This Row],[b88]],$Z$1,$AA$1,FALSE))</f>
        <v>0</v>
      </c>
      <c r="AB636" s="74" t="b">
        <f>IF(Tab.11[[#This Row],[a1]]=1,IF($A$3=0,FALSE,1/Tab.11[[#This Row],[IN]]*$AC$2*IF(Tab.11[[#This Row],[a1]]=0,,$A$3*$AC$1*1/$V$3*(Tab.11[[#This Row],[b14]]))))</f>
        <v>0</v>
      </c>
      <c r="AC636" s="75" t="b">
        <f>IF(Tab.11[[#This Row],[a1]]=1,IF($AC$3=0,Tab.11[[#This Row],[φ1]],Tab.11[[#This Row],[φ1]]/MAX(Tab.11[φ1])))</f>
        <v>0</v>
      </c>
      <c r="AD636" s="74" t="b">
        <f>IF(Tab.11[[#This Row],[a1]]=1,1/Tab.11[[#This Row],[φ2]])</f>
        <v>0</v>
      </c>
      <c r="AE636" s="74" t="b">
        <f>IF(Tab.11[[#This Row],[a1]]=1,IF($AE$3=0,Tab.11[[#This Row],[w.0]],Tab.11[[#This Row],[w.0]]/SUM(Tab.11[w.0])))</f>
        <v>0</v>
      </c>
      <c r="AF636" s="76" t="str">
        <f>IF(Tab.11[[#This Row],[a1]]=0,"false",[3]!Tab.x5[[#This Row],[%_seN_C]])</f>
        <v>false</v>
      </c>
      <c r="AG636" s="77" t="b">
        <f>IF(Tab.11[[#This Row],[a1]]=1,AP636)</f>
        <v>0</v>
      </c>
      <c r="AH636" s="78" t="b">
        <f>IF(Tab.11[[#This Row],[a1]]=1,AQ636)</f>
        <v>0</v>
      </c>
      <c r="AI636" s="41">
        <v>3.0000000000000001E-3</v>
      </c>
      <c r="AJ636" s="79">
        <v>0.09</v>
      </c>
      <c r="AK636" s="80" t="b">
        <f>IF(Tab.11[[#This Row],[a1]]=1,1)</f>
        <v>0</v>
      </c>
      <c r="AM636"/>
      <c r="AN636"/>
      <c r="AO636"/>
      <c r="AP636"/>
      <c r="AQ636"/>
      <c r="AR636"/>
      <c r="AS636"/>
    </row>
    <row r="637" spans="1:45" s="81" customFormat="1" hidden="1" x14ac:dyDescent="0.25">
      <c r="A637" s="61">
        <f t="shared" si="21"/>
        <v>0</v>
      </c>
      <c r="B637" s="62">
        <f t="shared" si="21"/>
        <v>0</v>
      </c>
      <c r="C637" s="62" t="b">
        <f>IF(Tab.11[[#This Row],[a1]]=1,[3]!Tab_x1[[#This Row],[Name]])</f>
        <v>0</v>
      </c>
      <c r="D637" s="63" t="b">
        <f>IF(Tab.11[[#This Row],[a1]]=1,AO637)</f>
        <v>0</v>
      </c>
      <c r="E637" s="63">
        <f t="shared" si="20"/>
        <v>0</v>
      </c>
      <c r="F637" s="64" t="b">
        <f>IF(Tab.11[[#This Row],[a1]]=1,Tab.11[[#This Row],[b1]])</f>
        <v>0</v>
      </c>
      <c r="G637" s="65" t="b">
        <f>IF(Tab.11[[#This Row],[a1]]=1,IF(Tab.11[[#This Row],[b3]]&gt;$L$989*$G$3,$L$989*$G$3,IF(Tab.11[[#This Row],[b3]]&lt;$M$989*$G$3,$M$989*$G$3,Tab.11[[#This Row],[b3]])))</f>
        <v>0</v>
      </c>
      <c r="H637" s="66" t="b">
        <f>IF(Tab.11[[#This Row],[a1]]=1,Tab.11[[#This Row],[b1]])</f>
        <v>0</v>
      </c>
      <c r="I637" s="67" t="b">
        <f>IF(Tab.11[[#This Row],[a1]]=1,Tab.11[[#This Row],[b1]])</f>
        <v>0</v>
      </c>
      <c r="J637" s="68" t="b">
        <f>IF(Tab.11[[#This Row],[a1]]=1,IF($I$3&lt;0,Tab.11[[#This Row],[b5]]-$I$3,Tab.11[[#This Row],[b5]]))</f>
        <v>0</v>
      </c>
      <c r="K637" s="68" t="b">
        <f>IF(Tab.11[[#This Row],[a1]]=1,IF($K$3=0,Tab.11[b6],Tab.11[[#This Row],[b6]]-AVERAGE(Tab.11[b6])))</f>
        <v>0</v>
      </c>
      <c r="L637" s="69" t="b">
        <f>IF(Tab.11[[#This Row],[a1]]=1,Tab.11[[#This Row],[data]]/(_xlfn.STDEV.P(Tab.11[data])*$B$989)+$A$989)</f>
        <v>0</v>
      </c>
      <c r="M637" s="69" t="b">
        <f>IF(Tab.11[[#This Row],[a1]]=1,Tab.11[[#This Row],[data]]/(_xlfn.STDEV.P(Tab.11[data])*$B$987)-$A$987)</f>
        <v>0</v>
      </c>
      <c r="N637" s="69" t="b">
        <f>IF(Tab.11[[#This Row],[a1]]=1,Tab.11[[#This Row],[data]]/(_xlfn.STDEV.P(Tab.11[data])*$B$988)+$A$988)</f>
        <v>0</v>
      </c>
      <c r="O637" s="70" t="b">
        <f>IF(Tab.11[[#This Row],[a1]]=1,_xlfn.NORM.DIST(Tab.11[[#This Row],[b8]],$P$1,$Q$1,FALSE))</f>
        <v>0</v>
      </c>
      <c r="P637" s="70" t="b">
        <f>IF(Tab.11[[#This Row],[a1]]=1,_xlfn.NORM.DIST(Tab.11[[#This Row],[b9]],$P$1,$Q$1,FALSE))</f>
        <v>0</v>
      </c>
      <c r="Q637" s="70" t="b">
        <f>IF(Tab.11[[#This Row],[a1]]=1,_xlfn.NORM.DIST(Tab.11[[#This Row],[b10]],$P$1,$Q$1,FALSE))</f>
        <v>0</v>
      </c>
      <c r="R637" s="67" t="b">
        <f>IF(Tab.11[[#This Row],[a1]]=1,$I$3+$A$989+IF($K$3=0,Tab.11[[#This Row],[b8]]*_xlfn.STDEV.P(Tab.11[data]),AVERAGE(Tab.11[b6])+Tab.11[[#This Row],[b8]]*_xlfn.STDEV.P(Tab.11[data])))</f>
        <v>0</v>
      </c>
      <c r="S637" s="71" t="b">
        <f>IF(Tab.11[[#This Row],[a1]]=1,$I$3+$A$987+IF($K$3=0,Tab.11[[#This Row],[b9]]*_xlfn.STDEV.P(Tab.11[data]),AVERAGE(Tab.11[b6])+Tab.11[[#This Row],[b9]]*_xlfn.STDEV.P(Tab.11[data])))</f>
        <v>0</v>
      </c>
      <c r="T637" s="71" t="b">
        <f>IF(Tab.11[[#This Row],[a1]]=1,$I$3+$A$988+IF($K$3=0,Tab.11[[#This Row],[b10]]*_xlfn.STDEV.P(Tab.11[data]),AVERAGE(Tab.11[b6])+Tab.11[[#This Row],[b10]]*_xlfn.STDEV.P(Tab.11[data])))</f>
        <v>0</v>
      </c>
      <c r="U637" s="72" t="b">
        <f>IF(Tab.11[[#This Row],[a1]]=1,Tab.11[[#This Row],[target]]-Tab.11[[#This Row],[Red]])</f>
        <v>0</v>
      </c>
      <c r="V637" s="72" t="b">
        <f>IF(Tab.11[[#This Row],[a1]]=1,Tab.11[[#This Row],[target]]-Tab.11[[#This Row],[Blue]])</f>
        <v>0</v>
      </c>
      <c r="W637" s="73" t="b">
        <f>IF(Tab.11[[#This Row],[a1]]=1,IF(ABS(Tab.11[[#This Row],[b17]])+ABS(Tab.11[[#This Row],[b18]])&lt;$W$2,$W$2,ABS(Tab.11[[#This Row],[b17]])+ABS(Tab.11[[#This Row],[b18]])))</f>
        <v>0</v>
      </c>
      <c r="X637" s="136" t="b">
        <f>IF(Tab.11[[#This Row],[a1]]=1,IF($W$3&lt;0,Tab.11[[#This Row],[IN]]-$I$3,Tab.11[[#This Row],[IN]]))</f>
        <v>0</v>
      </c>
      <c r="Y637" s="136" t="b">
        <f>IF(Tab.11[[#This Row],[a1]]=1,IF($X$3=0,Tab.11[b66],Tab.11[[#This Row],[b66]]-AVERAGE(Tab.11[b66])))</f>
        <v>0</v>
      </c>
      <c r="Z637" s="135" t="b">
        <f>IF(Tab.11[[#This Row],[a1]]=1,Tab.11[[#This Row],[b77]]/(_xlfn.STDEV.P(Tab.11[b77])))</f>
        <v>0</v>
      </c>
      <c r="AA637" s="70" t="b">
        <f>IF(Tab.11[[#This Row],[a1]]=1,_xlfn.NORM.DIST(Tab.11[[#This Row],[b88]],$Z$1,$AA$1,FALSE))</f>
        <v>0</v>
      </c>
      <c r="AB637" s="74" t="b">
        <f>IF(Tab.11[[#This Row],[a1]]=1,IF($A$3=0,FALSE,1/Tab.11[[#This Row],[IN]]*$AC$2*IF(Tab.11[[#This Row],[a1]]=0,,$A$3*$AC$1*1/$V$3*(Tab.11[[#This Row],[b14]]))))</f>
        <v>0</v>
      </c>
      <c r="AC637" s="75" t="b">
        <f>IF(Tab.11[[#This Row],[a1]]=1,IF($AC$3=0,Tab.11[[#This Row],[φ1]],Tab.11[[#This Row],[φ1]]/MAX(Tab.11[φ1])))</f>
        <v>0</v>
      </c>
      <c r="AD637" s="74" t="b">
        <f>IF(Tab.11[[#This Row],[a1]]=1,1/Tab.11[[#This Row],[φ2]])</f>
        <v>0</v>
      </c>
      <c r="AE637" s="74" t="b">
        <f>IF(Tab.11[[#This Row],[a1]]=1,IF($AE$3=0,Tab.11[[#This Row],[w.0]],Tab.11[[#This Row],[w.0]]/SUM(Tab.11[w.0])))</f>
        <v>0</v>
      </c>
      <c r="AF637" s="76" t="str">
        <f>IF(Tab.11[[#This Row],[a1]]=0,"false",[3]!Tab.x5[[#This Row],[%_seN_C]])</f>
        <v>false</v>
      </c>
      <c r="AG637" s="77" t="b">
        <f>IF(Tab.11[[#This Row],[a1]]=1,AP637)</f>
        <v>0</v>
      </c>
      <c r="AH637" s="78" t="b">
        <f>IF(Tab.11[[#This Row],[a1]]=1,AQ637)</f>
        <v>0</v>
      </c>
      <c r="AI637" s="41">
        <v>3.0000000000000001E-3</v>
      </c>
      <c r="AJ637" s="79">
        <v>-0.03</v>
      </c>
      <c r="AK637" s="80" t="b">
        <f>IF(Tab.11[[#This Row],[a1]]=1,1)</f>
        <v>0</v>
      </c>
      <c r="AM637"/>
      <c r="AN637"/>
      <c r="AO637"/>
      <c r="AP637"/>
      <c r="AQ637"/>
      <c r="AR637"/>
      <c r="AS637"/>
    </row>
    <row r="638" spans="1:45" s="81" customFormat="1" hidden="1" x14ac:dyDescent="0.25">
      <c r="A638" s="61">
        <f t="shared" si="21"/>
        <v>0</v>
      </c>
      <c r="B638" s="62">
        <f t="shared" si="21"/>
        <v>0</v>
      </c>
      <c r="C638" s="62" t="b">
        <f>IF(Tab.11[[#This Row],[a1]]=1,[3]!Tab_x1[[#This Row],[Name]])</f>
        <v>0</v>
      </c>
      <c r="D638" s="63" t="b">
        <f>IF(Tab.11[[#This Row],[a1]]=1,AO638)</f>
        <v>0</v>
      </c>
      <c r="E638" s="63">
        <f t="shared" si="20"/>
        <v>0</v>
      </c>
      <c r="F638" s="64" t="b">
        <f>IF(Tab.11[[#This Row],[a1]]=1,Tab.11[[#This Row],[b1]])</f>
        <v>0</v>
      </c>
      <c r="G638" s="65" t="b">
        <f>IF(Tab.11[[#This Row],[a1]]=1,IF(Tab.11[[#This Row],[b3]]&gt;$L$989*$G$3,$L$989*$G$3,IF(Tab.11[[#This Row],[b3]]&lt;$M$989*$G$3,$M$989*$G$3,Tab.11[[#This Row],[b3]])))</f>
        <v>0</v>
      </c>
      <c r="H638" s="66" t="b">
        <f>IF(Tab.11[[#This Row],[a1]]=1,Tab.11[[#This Row],[b1]])</f>
        <v>0</v>
      </c>
      <c r="I638" s="67" t="b">
        <f>IF(Tab.11[[#This Row],[a1]]=1,Tab.11[[#This Row],[b1]])</f>
        <v>0</v>
      </c>
      <c r="J638" s="68" t="b">
        <f>IF(Tab.11[[#This Row],[a1]]=1,IF($I$3&lt;0,Tab.11[[#This Row],[b5]]-$I$3,Tab.11[[#This Row],[b5]]))</f>
        <v>0</v>
      </c>
      <c r="K638" s="68" t="b">
        <f>IF(Tab.11[[#This Row],[a1]]=1,IF($K$3=0,Tab.11[b6],Tab.11[[#This Row],[b6]]-AVERAGE(Tab.11[b6])))</f>
        <v>0</v>
      </c>
      <c r="L638" s="69" t="b">
        <f>IF(Tab.11[[#This Row],[a1]]=1,Tab.11[[#This Row],[data]]/(_xlfn.STDEV.P(Tab.11[data])*$B$989)+$A$989)</f>
        <v>0</v>
      </c>
      <c r="M638" s="69" t="b">
        <f>IF(Tab.11[[#This Row],[a1]]=1,Tab.11[[#This Row],[data]]/(_xlfn.STDEV.P(Tab.11[data])*$B$987)-$A$987)</f>
        <v>0</v>
      </c>
      <c r="N638" s="69" t="b">
        <f>IF(Tab.11[[#This Row],[a1]]=1,Tab.11[[#This Row],[data]]/(_xlfn.STDEV.P(Tab.11[data])*$B$988)+$A$988)</f>
        <v>0</v>
      </c>
      <c r="O638" s="70" t="b">
        <f>IF(Tab.11[[#This Row],[a1]]=1,_xlfn.NORM.DIST(Tab.11[[#This Row],[b8]],$P$1,$Q$1,FALSE))</f>
        <v>0</v>
      </c>
      <c r="P638" s="70" t="b">
        <f>IF(Tab.11[[#This Row],[a1]]=1,_xlfn.NORM.DIST(Tab.11[[#This Row],[b9]],$P$1,$Q$1,FALSE))</f>
        <v>0</v>
      </c>
      <c r="Q638" s="70" t="b">
        <f>IF(Tab.11[[#This Row],[a1]]=1,_xlfn.NORM.DIST(Tab.11[[#This Row],[b10]],$P$1,$Q$1,FALSE))</f>
        <v>0</v>
      </c>
      <c r="R638" s="67" t="b">
        <f>IF(Tab.11[[#This Row],[a1]]=1,$I$3+$A$989+IF($K$3=0,Tab.11[[#This Row],[b8]]*_xlfn.STDEV.P(Tab.11[data]),AVERAGE(Tab.11[b6])+Tab.11[[#This Row],[b8]]*_xlfn.STDEV.P(Tab.11[data])))</f>
        <v>0</v>
      </c>
      <c r="S638" s="71" t="b">
        <f>IF(Tab.11[[#This Row],[a1]]=1,$I$3+$A$987+IF($K$3=0,Tab.11[[#This Row],[b9]]*_xlfn.STDEV.P(Tab.11[data]),AVERAGE(Tab.11[b6])+Tab.11[[#This Row],[b9]]*_xlfn.STDEV.P(Tab.11[data])))</f>
        <v>0</v>
      </c>
      <c r="T638" s="71" t="b">
        <f>IF(Tab.11[[#This Row],[a1]]=1,$I$3+$A$988+IF($K$3=0,Tab.11[[#This Row],[b10]]*_xlfn.STDEV.P(Tab.11[data]),AVERAGE(Tab.11[b6])+Tab.11[[#This Row],[b10]]*_xlfn.STDEV.P(Tab.11[data])))</f>
        <v>0</v>
      </c>
      <c r="U638" s="72" t="b">
        <f>IF(Tab.11[[#This Row],[a1]]=1,Tab.11[[#This Row],[target]]-Tab.11[[#This Row],[Red]])</f>
        <v>0</v>
      </c>
      <c r="V638" s="72" t="b">
        <f>IF(Tab.11[[#This Row],[a1]]=1,Tab.11[[#This Row],[target]]-Tab.11[[#This Row],[Blue]])</f>
        <v>0</v>
      </c>
      <c r="W638" s="73" t="b">
        <f>IF(Tab.11[[#This Row],[a1]]=1,IF(ABS(Tab.11[[#This Row],[b17]])+ABS(Tab.11[[#This Row],[b18]])&lt;$W$2,$W$2,ABS(Tab.11[[#This Row],[b17]])+ABS(Tab.11[[#This Row],[b18]])))</f>
        <v>0</v>
      </c>
      <c r="X638" s="136" t="b">
        <f>IF(Tab.11[[#This Row],[a1]]=1,IF($W$3&lt;0,Tab.11[[#This Row],[IN]]-$I$3,Tab.11[[#This Row],[IN]]))</f>
        <v>0</v>
      </c>
      <c r="Y638" s="136" t="b">
        <f>IF(Tab.11[[#This Row],[a1]]=1,IF($X$3=0,Tab.11[b66],Tab.11[[#This Row],[b66]]-AVERAGE(Tab.11[b66])))</f>
        <v>0</v>
      </c>
      <c r="Z638" s="135" t="b">
        <f>IF(Tab.11[[#This Row],[a1]]=1,Tab.11[[#This Row],[b77]]/(_xlfn.STDEV.P(Tab.11[b77])))</f>
        <v>0</v>
      </c>
      <c r="AA638" s="70" t="b">
        <f>IF(Tab.11[[#This Row],[a1]]=1,_xlfn.NORM.DIST(Tab.11[[#This Row],[b88]],$Z$1,$AA$1,FALSE))</f>
        <v>0</v>
      </c>
      <c r="AB638" s="74" t="b">
        <f>IF(Tab.11[[#This Row],[a1]]=1,IF($A$3=0,FALSE,1/Tab.11[[#This Row],[IN]]*$AC$2*IF(Tab.11[[#This Row],[a1]]=0,,$A$3*$AC$1*1/$V$3*(Tab.11[[#This Row],[b14]]))))</f>
        <v>0</v>
      </c>
      <c r="AC638" s="75" t="b">
        <f>IF(Tab.11[[#This Row],[a1]]=1,IF($AC$3=0,Tab.11[[#This Row],[φ1]],Tab.11[[#This Row],[φ1]]/MAX(Tab.11[φ1])))</f>
        <v>0</v>
      </c>
      <c r="AD638" s="74" t="b">
        <f>IF(Tab.11[[#This Row],[a1]]=1,1/Tab.11[[#This Row],[φ2]])</f>
        <v>0</v>
      </c>
      <c r="AE638" s="74" t="b">
        <f>IF(Tab.11[[#This Row],[a1]]=1,IF($AE$3=0,Tab.11[[#This Row],[w.0]],Tab.11[[#This Row],[w.0]]/SUM(Tab.11[w.0])))</f>
        <v>0</v>
      </c>
      <c r="AF638" s="76" t="str">
        <f>IF(Tab.11[[#This Row],[a1]]=0,"false",[3]!Tab.x5[[#This Row],[%_seN_C]])</f>
        <v>false</v>
      </c>
      <c r="AG638" s="77" t="b">
        <f>IF(Tab.11[[#This Row],[a1]]=1,AP638)</f>
        <v>0</v>
      </c>
      <c r="AH638" s="78" t="b">
        <f>IF(Tab.11[[#This Row],[a1]]=1,AQ638)</f>
        <v>0</v>
      </c>
      <c r="AI638" s="41">
        <v>3.0000000000000001E-3</v>
      </c>
      <c r="AJ638" s="79">
        <v>-7.0000000000000007E-2</v>
      </c>
      <c r="AK638" s="80" t="b">
        <f>IF(Tab.11[[#This Row],[a1]]=1,1)</f>
        <v>0</v>
      </c>
      <c r="AL638"/>
      <c r="AM638"/>
      <c r="AN638"/>
      <c r="AO638"/>
      <c r="AP638"/>
      <c r="AQ638"/>
      <c r="AR638"/>
      <c r="AS638"/>
    </row>
    <row r="639" spans="1:45" s="81" customFormat="1" hidden="1" x14ac:dyDescent="0.25">
      <c r="A639" s="61">
        <f t="shared" si="21"/>
        <v>0</v>
      </c>
      <c r="B639" s="62">
        <f t="shared" si="21"/>
        <v>0</v>
      </c>
      <c r="C639" s="62" t="b">
        <f>IF(Tab.11[[#This Row],[a1]]=1,[3]!Tab_x1[[#This Row],[Name]])</f>
        <v>0</v>
      </c>
      <c r="D639" s="63" t="b">
        <f>IF(Tab.11[[#This Row],[a1]]=1,AO639)</f>
        <v>0</v>
      </c>
      <c r="E639" s="63">
        <f t="shared" si="20"/>
        <v>0</v>
      </c>
      <c r="F639" s="64" t="b">
        <f>IF(Tab.11[[#This Row],[a1]]=1,Tab.11[[#This Row],[b1]])</f>
        <v>0</v>
      </c>
      <c r="G639" s="65" t="b">
        <f>IF(Tab.11[[#This Row],[a1]]=1,IF(Tab.11[[#This Row],[b3]]&gt;$L$989*$G$3,$L$989*$G$3,IF(Tab.11[[#This Row],[b3]]&lt;$M$989*$G$3,$M$989*$G$3,Tab.11[[#This Row],[b3]])))</f>
        <v>0</v>
      </c>
      <c r="H639" s="66" t="b">
        <f>IF(Tab.11[[#This Row],[a1]]=1,Tab.11[[#This Row],[b1]])</f>
        <v>0</v>
      </c>
      <c r="I639" s="67" t="b">
        <f>IF(Tab.11[[#This Row],[a1]]=1,Tab.11[[#This Row],[b1]])</f>
        <v>0</v>
      </c>
      <c r="J639" s="68" t="b">
        <f>IF(Tab.11[[#This Row],[a1]]=1,IF($I$3&lt;0,Tab.11[[#This Row],[b5]]-$I$3,Tab.11[[#This Row],[b5]]))</f>
        <v>0</v>
      </c>
      <c r="K639" s="68" t="b">
        <f>IF(Tab.11[[#This Row],[a1]]=1,IF($K$3=0,Tab.11[b6],Tab.11[[#This Row],[b6]]-AVERAGE(Tab.11[b6])))</f>
        <v>0</v>
      </c>
      <c r="L639" s="69" t="b">
        <f>IF(Tab.11[[#This Row],[a1]]=1,Tab.11[[#This Row],[data]]/(_xlfn.STDEV.P(Tab.11[data])*$B$989)+$A$989)</f>
        <v>0</v>
      </c>
      <c r="M639" s="69" t="b">
        <f>IF(Tab.11[[#This Row],[a1]]=1,Tab.11[[#This Row],[data]]/(_xlfn.STDEV.P(Tab.11[data])*$B$987)-$A$987)</f>
        <v>0</v>
      </c>
      <c r="N639" s="69" t="b">
        <f>IF(Tab.11[[#This Row],[a1]]=1,Tab.11[[#This Row],[data]]/(_xlfn.STDEV.P(Tab.11[data])*$B$988)+$A$988)</f>
        <v>0</v>
      </c>
      <c r="O639" s="70" t="b">
        <f>IF(Tab.11[[#This Row],[a1]]=1,_xlfn.NORM.DIST(Tab.11[[#This Row],[b8]],$P$1,$Q$1,FALSE))</f>
        <v>0</v>
      </c>
      <c r="P639" s="70" t="b">
        <f>IF(Tab.11[[#This Row],[a1]]=1,_xlfn.NORM.DIST(Tab.11[[#This Row],[b9]],$P$1,$Q$1,FALSE))</f>
        <v>0</v>
      </c>
      <c r="Q639" s="70" t="b">
        <f>IF(Tab.11[[#This Row],[a1]]=1,_xlfn.NORM.DIST(Tab.11[[#This Row],[b10]],$P$1,$Q$1,FALSE))</f>
        <v>0</v>
      </c>
      <c r="R639" s="67" t="b">
        <f>IF(Tab.11[[#This Row],[a1]]=1,$I$3+$A$989+IF($K$3=0,Tab.11[[#This Row],[b8]]*_xlfn.STDEV.P(Tab.11[data]),AVERAGE(Tab.11[b6])+Tab.11[[#This Row],[b8]]*_xlfn.STDEV.P(Tab.11[data])))</f>
        <v>0</v>
      </c>
      <c r="S639" s="71" t="b">
        <f>IF(Tab.11[[#This Row],[a1]]=1,$I$3+$A$987+IF($K$3=0,Tab.11[[#This Row],[b9]]*_xlfn.STDEV.P(Tab.11[data]),AVERAGE(Tab.11[b6])+Tab.11[[#This Row],[b9]]*_xlfn.STDEV.P(Tab.11[data])))</f>
        <v>0</v>
      </c>
      <c r="T639" s="71" t="b">
        <f>IF(Tab.11[[#This Row],[a1]]=1,$I$3+$A$988+IF($K$3=0,Tab.11[[#This Row],[b10]]*_xlfn.STDEV.P(Tab.11[data]),AVERAGE(Tab.11[b6])+Tab.11[[#This Row],[b10]]*_xlfn.STDEV.P(Tab.11[data])))</f>
        <v>0</v>
      </c>
      <c r="U639" s="72" t="b">
        <f>IF(Tab.11[[#This Row],[a1]]=1,Tab.11[[#This Row],[target]]-Tab.11[[#This Row],[Red]])</f>
        <v>0</v>
      </c>
      <c r="V639" s="72" t="b">
        <f>IF(Tab.11[[#This Row],[a1]]=1,Tab.11[[#This Row],[target]]-Tab.11[[#This Row],[Blue]])</f>
        <v>0</v>
      </c>
      <c r="W639" s="73" t="b">
        <f>IF(Tab.11[[#This Row],[a1]]=1,IF(ABS(Tab.11[[#This Row],[b17]])+ABS(Tab.11[[#This Row],[b18]])&lt;$W$2,$W$2,ABS(Tab.11[[#This Row],[b17]])+ABS(Tab.11[[#This Row],[b18]])))</f>
        <v>0</v>
      </c>
      <c r="X639" s="136" t="b">
        <f>IF(Tab.11[[#This Row],[a1]]=1,IF($W$3&lt;0,Tab.11[[#This Row],[IN]]-$I$3,Tab.11[[#This Row],[IN]]))</f>
        <v>0</v>
      </c>
      <c r="Y639" s="136" t="b">
        <f>IF(Tab.11[[#This Row],[a1]]=1,IF($X$3=0,Tab.11[b66],Tab.11[[#This Row],[b66]]-AVERAGE(Tab.11[b66])))</f>
        <v>0</v>
      </c>
      <c r="Z639" s="135" t="b">
        <f>IF(Tab.11[[#This Row],[a1]]=1,Tab.11[[#This Row],[b77]]/(_xlfn.STDEV.P(Tab.11[b77])))</f>
        <v>0</v>
      </c>
      <c r="AA639" s="70" t="b">
        <f>IF(Tab.11[[#This Row],[a1]]=1,_xlfn.NORM.DIST(Tab.11[[#This Row],[b88]],$Z$1,$AA$1,FALSE))</f>
        <v>0</v>
      </c>
      <c r="AB639" s="74" t="b">
        <f>IF(Tab.11[[#This Row],[a1]]=1,IF($A$3=0,FALSE,1/Tab.11[[#This Row],[IN]]*$AC$2*IF(Tab.11[[#This Row],[a1]]=0,,$A$3*$AC$1*1/$V$3*(Tab.11[[#This Row],[b14]]))))</f>
        <v>0</v>
      </c>
      <c r="AC639" s="75" t="b">
        <f>IF(Tab.11[[#This Row],[a1]]=1,IF($AC$3=0,Tab.11[[#This Row],[φ1]],Tab.11[[#This Row],[φ1]]/MAX(Tab.11[φ1])))</f>
        <v>0</v>
      </c>
      <c r="AD639" s="74" t="b">
        <f>IF(Tab.11[[#This Row],[a1]]=1,1/Tab.11[[#This Row],[φ2]])</f>
        <v>0</v>
      </c>
      <c r="AE639" s="74" t="b">
        <f>IF(Tab.11[[#This Row],[a1]]=1,IF($AE$3=0,Tab.11[[#This Row],[w.0]],Tab.11[[#This Row],[w.0]]/SUM(Tab.11[w.0])))</f>
        <v>0</v>
      </c>
      <c r="AF639" s="76" t="str">
        <f>IF(Tab.11[[#This Row],[a1]]=0,"false",[3]!Tab.x5[[#This Row],[%_seN_C]])</f>
        <v>false</v>
      </c>
      <c r="AG639" s="77" t="b">
        <f>IF(Tab.11[[#This Row],[a1]]=1,AP639)</f>
        <v>0</v>
      </c>
      <c r="AH639" s="78" t="b">
        <f>IF(Tab.11[[#This Row],[a1]]=1,AQ639)</f>
        <v>0</v>
      </c>
      <c r="AI639" s="41">
        <v>3.0000000000000001E-3</v>
      </c>
      <c r="AJ639" s="79">
        <v>-0.1</v>
      </c>
      <c r="AK639" s="80" t="b">
        <f>IF(Tab.11[[#This Row],[a1]]=1,1)</f>
        <v>0</v>
      </c>
      <c r="AL639"/>
      <c r="AM639"/>
      <c r="AN639"/>
      <c r="AO639"/>
      <c r="AP639"/>
      <c r="AQ639"/>
      <c r="AR639"/>
      <c r="AS639"/>
    </row>
    <row r="640" spans="1:45" s="81" customFormat="1" hidden="1" x14ac:dyDescent="0.25">
      <c r="A640" s="61">
        <f t="shared" si="21"/>
        <v>0</v>
      </c>
      <c r="B640" s="62">
        <f t="shared" si="21"/>
        <v>0</v>
      </c>
      <c r="C640" s="62" t="b">
        <f>IF(Tab.11[[#This Row],[a1]]=1,[3]!Tab_x1[[#This Row],[Name]])</f>
        <v>0</v>
      </c>
      <c r="D640" s="63" t="b">
        <f>IF(Tab.11[[#This Row],[a1]]=1,AO640)</f>
        <v>0</v>
      </c>
      <c r="E640" s="63">
        <f t="shared" si="20"/>
        <v>0</v>
      </c>
      <c r="F640" s="64" t="b">
        <f>IF(Tab.11[[#This Row],[a1]]=1,Tab.11[[#This Row],[b1]])</f>
        <v>0</v>
      </c>
      <c r="G640" s="65" t="b">
        <f>IF(Tab.11[[#This Row],[a1]]=1,IF(Tab.11[[#This Row],[b3]]&gt;$L$989*$G$3,$L$989*$G$3,IF(Tab.11[[#This Row],[b3]]&lt;$M$989*$G$3,$M$989*$G$3,Tab.11[[#This Row],[b3]])))</f>
        <v>0</v>
      </c>
      <c r="H640" s="66" t="b">
        <f>IF(Tab.11[[#This Row],[a1]]=1,Tab.11[[#This Row],[b1]])</f>
        <v>0</v>
      </c>
      <c r="I640" s="67" t="b">
        <f>IF(Tab.11[[#This Row],[a1]]=1,Tab.11[[#This Row],[b1]])</f>
        <v>0</v>
      </c>
      <c r="J640" s="68" t="b">
        <f>IF(Tab.11[[#This Row],[a1]]=1,IF($I$3&lt;0,Tab.11[[#This Row],[b5]]-$I$3,Tab.11[[#This Row],[b5]]))</f>
        <v>0</v>
      </c>
      <c r="K640" s="68" t="b">
        <f>IF(Tab.11[[#This Row],[a1]]=1,IF($K$3=0,Tab.11[b6],Tab.11[[#This Row],[b6]]-AVERAGE(Tab.11[b6])))</f>
        <v>0</v>
      </c>
      <c r="L640" s="69" t="b">
        <f>IF(Tab.11[[#This Row],[a1]]=1,Tab.11[[#This Row],[data]]/(_xlfn.STDEV.P(Tab.11[data])*$B$989)+$A$989)</f>
        <v>0</v>
      </c>
      <c r="M640" s="69" t="b">
        <f>IF(Tab.11[[#This Row],[a1]]=1,Tab.11[[#This Row],[data]]/(_xlfn.STDEV.P(Tab.11[data])*$B$987)-$A$987)</f>
        <v>0</v>
      </c>
      <c r="N640" s="69" t="b">
        <f>IF(Tab.11[[#This Row],[a1]]=1,Tab.11[[#This Row],[data]]/(_xlfn.STDEV.P(Tab.11[data])*$B$988)+$A$988)</f>
        <v>0</v>
      </c>
      <c r="O640" s="70" t="b">
        <f>IF(Tab.11[[#This Row],[a1]]=1,_xlfn.NORM.DIST(Tab.11[[#This Row],[b8]],$P$1,$Q$1,FALSE))</f>
        <v>0</v>
      </c>
      <c r="P640" s="70" t="b">
        <f>IF(Tab.11[[#This Row],[a1]]=1,_xlfn.NORM.DIST(Tab.11[[#This Row],[b9]],$P$1,$Q$1,FALSE))</f>
        <v>0</v>
      </c>
      <c r="Q640" s="70" t="b">
        <f>IF(Tab.11[[#This Row],[a1]]=1,_xlfn.NORM.DIST(Tab.11[[#This Row],[b10]],$P$1,$Q$1,FALSE))</f>
        <v>0</v>
      </c>
      <c r="R640" s="67" t="b">
        <f>IF(Tab.11[[#This Row],[a1]]=1,$I$3+$A$989+IF($K$3=0,Tab.11[[#This Row],[b8]]*_xlfn.STDEV.P(Tab.11[data]),AVERAGE(Tab.11[b6])+Tab.11[[#This Row],[b8]]*_xlfn.STDEV.P(Tab.11[data])))</f>
        <v>0</v>
      </c>
      <c r="S640" s="71" t="b">
        <f>IF(Tab.11[[#This Row],[a1]]=1,$I$3+$A$987+IF($K$3=0,Tab.11[[#This Row],[b9]]*_xlfn.STDEV.P(Tab.11[data]),AVERAGE(Tab.11[b6])+Tab.11[[#This Row],[b9]]*_xlfn.STDEV.P(Tab.11[data])))</f>
        <v>0</v>
      </c>
      <c r="T640" s="71" t="b">
        <f>IF(Tab.11[[#This Row],[a1]]=1,$I$3+$A$988+IF($K$3=0,Tab.11[[#This Row],[b10]]*_xlfn.STDEV.P(Tab.11[data]),AVERAGE(Tab.11[b6])+Tab.11[[#This Row],[b10]]*_xlfn.STDEV.P(Tab.11[data])))</f>
        <v>0</v>
      </c>
      <c r="U640" s="72" t="b">
        <f>IF(Tab.11[[#This Row],[a1]]=1,Tab.11[[#This Row],[target]]-Tab.11[[#This Row],[Red]])</f>
        <v>0</v>
      </c>
      <c r="V640" s="72" t="b">
        <f>IF(Tab.11[[#This Row],[a1]]=1,Tab.11[[#This Row],[target]]-Tab.11[[#This Row],[Blue]])</f>
        <v>0</v>
      </c>
      <c r="W640" s="73" t="b">
        <f>IF(Tab.11[[#This Row],[a1]]=1,IF(ABS(Tab.11[[#This Row],[b17]])+ABS(Tab.11[[#This Row],[b18]])&lt;$W$2,$W$2,ABS(Tab.11[[#This Row],[b17]])+ABS(Tab.11[[#This Row],[b18]])))</f>
        <v>0</v>
      </c>
      <c r="X640" s="136" t="b">
        <f>IF(Tab.11[[#This Row],[a1]]=1,IF($W$3&lt;0,Tab.11[[#This Row],[IN]]-$I$3,Tab.11[[#This Row],[IN]]))</f>
        <v>0</v>
      </c>
      <c r="Y640" s="136" t="b">
        <f>IF(Tab.11[[#This Row],[a1]]=1,IF($X$3=0,Tab.11[b66],Tab.11[[#This Row],[b66]]-AVERAGE(Tab.11[b66])))</f>
        <v>0</v>
      </c>
      <c r="Z640" s="135" t="b">
        <f>IF(Tab.11[[#This Row],[a1]]=1,Tab.11[[#This Row],[b77]]/(_xlfn.STDEV.P(Tab.11[b77])))</f>
        <v>0</v>
      </c>
      <c r="AA640" s="70" t="b">
        <f>IF(Tab.11[[#This Row],[a1]]=1,_xlfn.NORM.DIST(Tab.11[[#This Row],[b88]],$Z$1,$AA$1,FALSE))</f>
        <v>0</v>
      </c>
      <c r="AB640" s="74" t="b">
        <f>IF(Tab.11[[#This Row],[a1]]=1,IF($A$3=0,FALSE,1/Tab.11[[#This Row],[IN]]*$AC$2*IF(Tab.11[[#This Row],[a1]]=0,,$A$3*$AC$1*1/$V$3*(Tab.11[[#This Row],[b14]]))))</f>
        <v>0</v>
      </c>
      <c r="AC640" s="75" t="b">
        <f>IF(Tab.11[[#This Row],[a1]]=1,IF($AC$3=0,Tab.11[[#This Row],[φ1]],Tab.11[[#This Row],[φ1]]/MAX(Tab.11[φ1])))</f>
        <v>0</v>
      </c>
      <c r="AD640" s="74" t="b">
        <f>IF(Tab.11[[#This Row],[a1]]=1,1/Tab.11[[#This Row],[φ2]])</f>
        <v>0</v>
      </c>
      <c r="AE640" s="74" t="b">
        <f>IF(Tab.11[[#This Row],[a1]]=1,IF($AE$3=0,Tab.11[[#This Row],[w.0]],Tab.11[[#This Row],[w.0]]/SUM(Tab.11[w.0])))</f>
        <v>0</v>
      </c>
      <c r="AF640" s="76" t="str">
        <f>IF(Tab.11[[#This Row],[a1]]=0,"false",[3]!Tab.x5[[#This Row],[%_seN_C]])</f>
        <v>false</v>
      </c>
      <c r="AG640" s="77" t="b">
        <f>IF(Tab.11[[#This Row],[a1]]=1,AP640)</f>
        <v>0</v>
      </c>
      <c r="AH640" s="78" t="b">
        <f>IF(Tab.11[[#This Row],[a1]]=1,AQ640)</f>
        <v>0</v>
      </c>
      <c r="AI640" s="41">
        <v>3.0000000000000001E-3</v>
      </c>
      <c r="AJ640" s="79">
        <v>0.04</v>
      </c>
      <c r="AK640" s="80" t="b">
        <f>IF(Tab.11[[#This Row],[a1]]=1,1)</f>
        <v>0</v>
      </c>
      <c r="AL640"/>
      <c r="AM640"/>
      <c r="AN640"/>
      <c r="AO640"/>
      <c r="AP640"/>
      <c r="AQ640"/>
      <c r="AR640"/>
      <c r="AS640"/>
    </row>
    <row r="641" spans="1:45" s="81" customFormat="1" hidden="1" x14ac:dyDescent="0.25">
      <c r="A641" s="61">
        <f t="shared" si="21"/>
        <v>0</v>
      </c>
      <c r="B641" s="62">
        <f t="shared" si="21"/>
        <v>0</v>
      </c>
      <c r="C641" s="62" t="b">
        <f>IF(Tab.11[[#This Row],[a1]]=1,[3]!Tab_x1[[#This Row],[Name]])</f>
        <v>0</v>
      </c>
      <c r="D641" s="63" t="b">
        <f>IF(Tab.11[[#This Row],[a1]]=1,AO641)</f>
        <v>0</v>
      </c>
      <c r="E641" s="63">
        <f t="shared" si="20"/>
        <v>0</v>
      </c>
      <c r="F641" s="64" t="b">
        <f>IF(Tab.11[[#This Row],[a1]]=1,Tab.11[[#This Row],[b1]])</f>
        <v>0</v>
      </c>
      <c r="G641" s="65" t="b">
        <f>IF(Tab.11[[#This Row],[a1]]=1,IF(Tab.11[[#This Row],[b3]]&gt;$L$989*$G$3,$L$989*$G$3,IF(Tab.11[[#This Row],[b3]]&lt;$M$989*$G$3,$M$989*$G$3,Tab.11[[#This Row],[b3]])))</f>
        <v>0</v>
      </c>
      <c r="H641" s="66" t="b">
        <f>IF(Tab.11[[#This Row],[a1]]=1,Tab.11[[#This Row],[b1]])</f>
        <v>0</v>
      </c>
      <c r="I641" s="67" t="b">
        <f>IF(Tab.11[[#This Row],[a1]]=1,Tab.11[[#This Row],[b1]])</f>
        <v>0</v>
      </c>
      <c r="J641" s="68" t="b">
        <f>IF(Tab.11[[#This Row],[a1]]=1,IF($I$3&lt;0,Tab.11[[#This Row],[b5]]-$I$3,Tab.11[[#This Row],[b5]]))</f>
        <v>0</v>
      </c>
      <c r="K641" s="68" t="b">
        <f>IF(Tab.11[[#This Row],[a1]]=1,IF($K$3=0,Tab.11[b6],Tab.11[[#This Row],[b6]]-AVERAGE(Tab.11[b6])))</f>
        <v>0</v>
      </c>
      <c r="L641" s="69" t="b">
        <f>IF(Tab.11[[#This Row],[a1]]=1,Tab.11[[#This Row],[data]]/(_xlfn.STDEV.P(Tab.11[data])*$B$989)+$A$989)</f>
        <v>0</v>
      </c>
      <c r="M641" s="69" t="b">
        <f>IF(Tab.11[[#This Row],[a1]]=1,Tab.11[[#This Row],[data]]/(_xlfn.STDEV.P(Tab.11[data])*$B$987)-$A$987)</f>
        <v>0</v>
      </c>
      <c r="N641" s="69" t="b">
        <f>IF(Tab.11[[#This Row],[a1]]=1,Tab.11[[#This Row],[data]]/(_xlfn.STDEV.P(Tab.11[data])*$B$988)+$A$988)</f>
        <v>0</v>
      </c>
      <c r="O641" s="70" t="b">
        <f>IF(Tab.11[[#This Row],[a1]]=1,_xlfn.NORM.DIST(Tab.11[[#This Row],[b8]],$P$1,$Q$1,FALSE))</f>
        <v>0</v>
      </c>
      <c r="P641" s="70" t="b">
        <f>IF(Tab.11[[#This Row],[a1]]=1,_xlfn.NORM.DIST(Tab.11[[#This Row],[b9]],$P$1,$Q$1,FALSE))</f>
        <v>0</v>
      </c>
      <c r="Q641" s="70" t="b">
        <f>IF(Tab.11[[#This Row],[a1]]=1,_xlfn.NORM.DIST(Tab.11[[#This Row],[b10]],$P$1,$Q$1,FALSE))</f>
        <v>0</v>
      </c>
      <c r="R641" s="67" t="b">
        <f>IF(Tab.11[[#This Row],[a1]]=1,$I$3+$A$989+IF($K$3=0,Tab.11[[#This Row],[b8]]*_xlfn.STDEV.P(Tab.11[data]),AVERAGE(Tab.11[b6])+Tab.11[[#This Row],[b8]]*_xlfn.STDEV.P(Tab.11[data])))</f>
        <v>0</v>
      </c>
      <c r="S641" s="71" t="b">
        <f>IF(Tab.11[[#This Row],[a1]]=1,$I$3+$A$987+IF($K$3=0,Tab.11[[#This Row],[b9]]*_xlfn.STDEV.P(Tab.11[data]),AVERAGE(Tab.11[b6])+Tab.11[[#This Row],[b9]]*_xlfn.STDEV.P(Tab.11[data])))</f>
        <v>0</v>
      </c>
      <c r="T641" s="71" t="b">
        <f>IF(Tab.11[[#This Row],[a1]]=1,$I$3+$A$988+IF($K$3=0,Tab.11[[#This Row],[b10]]*_xlfn.STDEV.P(Tab.11[data]),AVERAGE(Tab.11[b6])+Tab.11[[#This Row],[b10]]*_xlfn.STDEV.P(Tab.11[data])))</f>
        <v>0</v>
      </c>
      <c r="U641" s="72" t="b">
        <f>IF(Tab.11[[#This Row],[a1]]=1,Tab.11[[#This Row],[target]]-Tab.11[[#This Row],[Red]])</f>
        <v>0</v>
      </c>
      <c r="V641" s="72" t="b">
        <f>IF(Tab.11[[#This Row],[a1]]=1,Tab.11[[#This Row],[target]]-Tab.11[[#This Row],[Blue]])</f>
        <v>0</v>
      </c>
      <c r="W641" s="73" t="b">
        <f>IF(Tab.11[[#This Row],[a1]]=1,IF(ABS(Tab.11[[#This Row],[b17]])+ABS(Tab.11[[#This Row],[b18]])&lt;$W$2,$W$2,ABS(Tab.11[[#This Row],[b17]])+ABS(Tab.11[[#This Row],[b18]])))</f>
        <v>0</v>
      </c>
      <c r="X641" s="136" t="b">
        <f>IF(Tab.11[[#This Row],[a1]]=1,IF($W$3&lt;0,Tab.11[[#This Row],[IN]]-$I$3,Tab.11[[#This Row],[IN]]))</f>
        <v>0</v>
      </c>
      <c r="Y641" s="136" t="b">
        <f>IF(Tab.11[[#This Row],[a1]]=1,IF($X$3=0,Tab.11[b66],Tab.11[[#This Row],[b66]]-AVERAGE(Tab.11[b66])))</f>
        <v>0</v>
      </c>
      <c r="Z641" s="135" t="b">
        <f>IF(Tab.11[[#This Row],[a1]]=1,Tab.11[[#This Row],[b77]]/(_xlfn.STDEV.P(Tab.11[b77])))</f>
        <v>0</v>
      </c>
      <c r="AA641" s="70" t="b">
        <f>IF(Tab.11[[#This Row],[a1]]=1,_xlfn.NORM.DIST(Tab.11[[#This Row],[b88]],$Z$1,$AA$1,FALSE))</f>
        <v>0</v>
      </c>
      <c r="AB641" s="74" t="b">
        <f>IF(Tab.11[[#This Row],[a1]]=1,IF($A$3=0,FALSE,1/Tab.11[[#This Row],[IN]]*$AC$2*IF(Tab.11[[#This Row],[a1]]=0,,$A$3*$AC$1*1/$V$3*(Tab.11[[#This Row],[b14]]))))</f>
        <v>0</v>
      </c>
      <c r="AC641" s="75" t="b">
        <f>IF(Tab.11[[#This Row],[a1]]=1,IF($AC$3=0,Tab.11[[#This Row],[φ1]],Tab.11[[#This Row],[φ1]]/MAX(Tab.11[φ1])))</f>
        <v>0</v>
      </c>
      <c r="AD641" s="74" t="b">
        <f>IF(Tab.11[[#This Row],[a1]]=1,1/Tab.11[[#This Row],[φ2]])</f>
        <v>0</v>
      </c>
      <c r="AE641" s="74" t="b">
        <f>IF(Tab.11[[#This Row],[a1]]=1,IF($AE$3=0,Tab.11[[#This Row],[w.0]],Tab.11[[#This Row],[w.0]]/SUM(Tab.11[w.0])))</f>
        <v>0</v>
      </c>
      <c r="AF641" s="76" t="str">
        <f>IF(Tab.11[[#This Row],[a1]]=0,"false",[3]!Tab.x5[[#This Row],[%_seN_C]])</f>
        <v>false</v>
      </c>
      <c r="AG641" s="77" t="b">
        <f>IF(Tab.11[[#This Row],[a1]]=1,AP641)</f>
        <v>0</v>
      </c>
      <c r="AH641" s="78" t="b">
        <f>IF(Tab.11[[#This Row],[a1]]=1,AQ641)</f>
        <v>0</v>
      </c>
      <c r="AI641" s="41">
        <v>3.0000000000000001E-3</v>
      </c>
      <c r="AJ641" s="79">
        <v>0.08</v>
      </c>
      <c r="AK641" s="80" t="b">
        <f>IF(Tab.11[[#This Row],[a1]]=1,1)</f>
        <v>0</v>
      </c>
      <c r="AL641"/>
      <c r="AM641"/>
      <c r="AN641"/>
      <c r="AO641"/>
      <c r="AP641"/>
      <c r="AQ641"/>
      <c r="AR641"/>
      <c r="AS641"/>
    </row>
    <row r="642" spans="1:45" s="81" customFormat="1" hidden="1" x14ac:dyDescent="0.25">
      <c r="A642" s="61">
        <f t="shared" si="21"/>
        <v>0</v>
      </c>
      <c r="B642" s="62">
        <f t="shared" si="21"/>
        <v>0</v>
      </c>
      <c r="C642" s="62" t="b">
        <f>IF(Tab.11[[#This Row],[a1]]=1,[3]!Tab_x1[[#This Row],[Name]])</f>
        <v>0</v>
      </c>
      <c r="D642" s="63" t="b">
        <f>IF(Tab.11[[#This Row],[a1]]=1,AO642)</f>
        <v>0</v>
      </c>
      <c r="E642" s="63">
        <f t="shared" si="20"/>
        <v>0</v>
      </c>
      <c r="F642" s="64" t="b">
        <f>IF(Tab.11[[#This Row],[a1]]=1,Tab.11[[#This Row],[b1]])</f>
        <v>0</v>
      </c>
      <c r="G642" s="65" t="b">
        <f>IF(Tab.11[[#This Row],[a1]]=1,IF(Tab.11[[#This Row],[b3]]&gt;$L$989*$G$3,$L$989*$G$3,IF(Tab.11[[#This Row],[b3]]&lt;$M$989*$G$3,$M$989*$G$3,Tab.11[[#This Row],[b3]])))</f>
        <v>0</v>
      </c>
      <c r="H642" s="66" t="b">
        <f>IF(Tab.11[[#This Row],[a1]]=1,Tab.11[[#This Row],[b1]])</f>
        <v>0</v>
      </c>
      <c r="I642" s="67" t="b">
        <f>IF(Tab.11[[#This Row],[a1]]=1,Tab.11[[#This Row],[b1]])</f>
        <v>0</v>
      </c>
      <c r="J642" s="68" t="b">
        <f>IF(Tab.11[[#This Row],[a1]]=1,IF($I$3&lt;0,Tab.11[[#This Row],[b5]]-$I$3,Tab.11[[#This Row],[b5]]))</f>
        <v>0</v>
      </c>
      <c r="K642" s="68" t="b">
        <f>IF(Tab.11[[#This Row],[a1]]=1,IF($K$3=0,Tab.11[b6],Tab.11[[#This Row],[b6]]-AVERAGE(Tab.11[b6])))</f>
        <v>0</v>
      </c>
      <c r="L642" s="69" t="b">
        <f>IF(Tab.11[[#This Row],[a1]]=1,Tab.11[[#This Row],[data]]/(_xlfn.STDEV.P(Tab.11[data])*$B$989)+$A$989)</f>
        <v>0</v>
      </c>
      <c r="M642" s="69" t="b">
        <f>IF(Tab.11[[#This Row],[a1]]=1,Tab.11[[#This Row],[data]]/(_xlfn.STDEV.P(Tab.11[data])*$B$987)-$A$987)</f>
        <v>0</v>
      </c>
      <c r="N642" s="69" t="b">
        <f>IF(Tab.11[[#This Row],[a1]]=1,Tab.11[[#This Row],[data]]/(_xlfn.STDEV.P(Tab.11[data])*$B$988)+$A$988)</f>
        <v>0</v>
      </c>
      <c r="O642" s="70" t="b">
        <f>IF(Tab.11[[#This Row],[a1]]=1,_xlfn.NORM.DIST(Tab.11[[#This Row],[b8]],$P$1,$Q$1,FALSE))</f>
        <v>0</v>
      </c>
      <c r="P642" s="70" t="b">
        <f>IF(Tab.11[[#This Row],[a1]]=1,_xlfn.NORM.DIST(Tab.11[[#This Row],[b9]],$P$1,$Q$1,FALSE))</f>
        <v>0</v>
      </c>
      <c r="Q642" s="70" t="b">
        <f>IF(Tab.11[[#This Row],[a1]]=1,_xlfn.NORM.DIST(Tab.11[[#This Row],[b10]],$P$1,$Q$1,FALSE))</f>
        <v>0</v>
      </c>
      <c r="R642" s="67" t="b">
        <f>IF(Tab.11[[#This Row],[a1]]=1,$I$3+$A$989+IF($K$3=0,Tab.11[[#This Row],[b8]]*_xlfn.STDEV.P(Tab.11[data]),AVERAGE(Tab.11[b6])+Tab.11[[#This Row],[b8]]*_xlfn.STDEV.P(Tab.11[data])))</f>
        <v>0</v>
      </c>
      <c r="S642" s="71" t="b">
        <f>IF(Tab.11[[#This Row],[a1]]=1,$I$3+$A$987+IF($K$3=0,Tab.11[[#This Row],[b9]]*_xlfn.STDEV.P(Tab.11[data]),AVERAGE(Tab.11[b6])+Tab.11[[#This Row],[b9]]*_xlfn.STDEV.P(Tab.11[data])))</f>
        <v>0</v>
      </c>
      <c r="T642" s="71" t="b">
        <f>IF(Tab.11[[#This Row],[a1]]=1,$I$3+$A$988+IF($K$3=0,Tab.11[[#This Row],[b10]]*_xlfn.STDEV.P(Tab.11[data]),AVERAGE(Tab.11[b6])+Tab.11[[#This Row],[b10]]*_xlfn.STDEV.P(Tab.11[data])))</f>
        <v>0</v>
      </c>
      <c r="U642" s="72" t="b">
        <f>IF(Tab.11[[#This Row],[a1]]=1,Tab.11[[#This Row],[target]]-Tab.11[[#This Row],[Red]])</f>
        <v>0</v>
      </c>
      <c r="V642" s="72" t="b">
        <f>IF(Tab.11[[#This Row],[a1]]=1,Tab.11[[#This Row],[target]]-Tab.11[[#This Row],[Blue]])</f>
        <v>0</v>
      </c>
      <c r="W642" s="73" t="b">
        <f>IF(Tab.11[[#This Row],[a1]]=1,IF(ABS(Tab.11[[#This Row],[b17]])+ABS(Tab.11[[#This Row],[b18]])&lt;$W$2,$W$2,ABS(Tab.11[[#This Row],[b17]])+ABS(Tab.11[[#This Row],[b18]])))</f>
        <v>0</v>
      </c>
      <c r="X642" s="136" t="b">
        <f>IF(Tab.11[[#This Row],[a1]]=1,IF($W$3&lt;0,Tab.11[[#This Row],[IN]]-$I$3,Tab.11[[#This Row],[IN]]))</f>
        <v>0</v>
      </c>
      <c r="Y642" s="136" t="b">
        <f>IF(Tab.11[[#This Row],[a1]]=1,IF($X$3=0,Tab.11[b66],Tab.11[[#This Row],[b66]]-AVERAGE(Tab.11[b66])))</f>
        <v>0</v>
      </c>
      <c r="Z642" s="135" t="b">
        <f>IF(Tab.11[[#This Row],[a1]]=1,Tab.11[[#This Row],[b77]]/(_xlfn.STDEV.P(Tab.11[b77])))</f>
        <v>0</v>
      </c>
      <c r="AA642" s="70" t="b">
        <f>IF(Tab.11[[#This Row],[a1]]=1,_xlfn.NORM.DIST(Tab.11[[#This Row],[b88]],$Z$1,$AA$1,FALSE))</f>
        <v>0</v>
      </c>
      <c r="AB642" s="74" t="b">
        <f>IF(Tab.11[[#This Row],[a1]]=1,IF($A$3=0,FALSE,1/Tab.11[[#This Row],[IN]]*$AC$2*IF(Tab.11[[#This Row],[a1]]=0,,$A$3*$AC$1*1/$V$3*(Tab.11[[#This Row],[b14]]))))</f>
        <v>0</v>
      </c>
      <c r="AC642" s="75" t="b">
        <f>IF(Tab.11[[#This Row],[a1]]=1,IF($AC$3=0,Tab.11[[#This Row],[φ1]],Tab.11[[#This Row],[φ1]]/MAX(Tab.11[φ1])))</f>
        <v>0</v>
      </c>
      <c r="AD642" s="74" t="b">
        <f>IF(Tab.11[[#This Row],[a1]]=1,1/Tab.11[[#This Row],[φ2]])</f>
        <v>0</v>
      </c>
      <c r="AE642" s="74" t="b">
        <f>IF(Tab.11[[#This Row],[a1]]=1,IF($AE$3=0,Tab.11[[#This Row],[w.0]],Tab.11[[#This Row],[w.0]]/SUM(Tab.11[w.0])))</f>
        <v>0</v>
      </c>
      <c r="AF642" s="76" t="str">
        <f>IF(Tab.11[[#This Row],[a1]]=0,"false",[3]!Tab.x5[[#This Row],[%_seN_C]])</f>
        <v>false</v>
      </c>
      <c r="AG642" s="77" t="b">
        <f>IF(Tab.11[[#This Row],[a1]]=1,AP642)</f>
        <v>0</v>
      </c>
      <c r="AH642" s="78" t="b">
        <f>IF(Tab.11[[#This Row],[a1]]=1,AQ642)</f>
        <v>0</v>
      </c>
      <c r="AI642" s="41">
        <v>3.0000000000000001E-3</v>
      </c>
      <c r="AJ642" s="79">
        <v>0.08</v>
      </c>
      <c r="AK642" s="80" t="b">
        <f>IF(Tab.11[[#This Row],[a1]]=1,1)</f>
        <v>0</v>
      </c>
      <c r="AL642"/>
      <c r="AM642"/>
      <c r="AN642"/>
      <c r="AO642"/>
      <c r="AP642"/>
      <c r="AQ642"/>
      <c r="AR642"/>
      <c r="AS642"/>
    </row>
    <row r="643" spans="1:45" s="81" customFormat="1" hidden="1" x14ac:dyDescent="0.25">
      <c r="A643" s="61">
        <f t="shared" si="21"/>
        <v>0</v>
      </c>
      <c r="B643" s="62">
        <f t="shared" si="21"/>
        <v>0</v>
      </c>
      <c r="C643" s="62" t="b">
        <f>IF(Tab.11[[#This Row],[a1]]=1,[3]!Tab_x1[[#This Row],[Name]])</f>
        <v>0</v>
      </c>
      <c r="D643" s="63" t="b">
        <f>IF(Tab.11[[#This Row],[a1]]=1,AO643)</f>
        <v>0</v>
      </c>
      <c r="E643" s="63">
        <f t="shared" si="20"/>
        <v>0</v>
      </c>
      <c r="F643" s="64" t="b">
        <f>IF(Tab.11[[#This Row],[a1]]=1,Tab.11[[#This Row],[b1]])</f>
        <v>0</v>
      </c>
      <c r="G643" s="65" t="b">
        <f>IF(Tab.11[[#This Row],[a1]]=1,IF(Tab.11[[#This Row],[b3]]&gt;$L$989*$G$3,$L$989*$G$3,IF(Tab.11[[#This Row],[b3]]&lt;$M$989*$G$3,$M$989*$G$3,Tab.11[[#This Row],[b3]])))</f>
        <v>0</v>
      </c>
      <c r="H643" s="66" t="b">
        <f>IF(Tab.11[[#This Row],[a1]]=1,Tab.11[[#This Row],[b1]])</f>
        <v>0</v>
      </c>
      <c r="I643" s="67" t="b">
        <f>IF(Tab.11[[#This Row],[a1]]=1,Tab.11[[#This Row],[b1]])</f>
        <v>0</v>
      </c>
      <c r="J643" s="68" t="b">
        <f>IF(Tab.11[[#This Row],[a1]]=1,IF($I$3&lt;0,Tab.11[[#This Row],[b5]]-$I$3,Tab.11[[#This Row],[b5]]))</f>
        <v>0</v>
      </c>
      <c r="K643" s="68" t="b">
        <f>IF(Tab.11[[#This Row],[a1]]=1,IF($K$3=0,Tab.11[b6],Tab.11[[#This Row],[b6]]-AVERAGE(Tab.11[b6])))</f>
        <v>0</v>
      </c>
      <c r="L643" s="69" t="b">
        <f>IF(Tab.11[[#This Row],[a1]]=1,Tab.11[[#This Row],[data]]/(_xlfn.STDEV.P(Tab.11[data])*$B$989)+$A$989)</f>
        <v>0</v>
      </c>
      <c r="M643" s="69" t="b">
        <f>IF(Tab.11[[#This Row],[a1]]=1,Tab.11[[#This Row],[data]]/(_xlfn.STDEV.P(Tab.11[data])*$B$987)-$A$987)</f>
        <v>0</v>
      </c>
      <c r="N643" s="69" t="b">
        <f>IF(Tab.11[[#This Row],[a1]]=1,Tab.11[[#This Row],[data]]/(_xlfn.STDEV.P(Tab.11[data])*$B$988)+$A$988)</f>
        <v>0</v>
      </c>
      <c r="O643" s="70" t="b">
        <f>IF(Tab.11[[#This Row],[a1]]=1,_xlfn.NORM.DIST(Tab.11[[#This Row],[b8]],$P$1,$Q$1,FALSE))</f>
        <v>0</v>
      </c>
      <c r="P643" s="70" t="b">
        <f>IF(Tab.11[[#This Row],[a1]]=1,_xlfn.NORM.DIST(Tab.11[[#This Row],[b9]],$P$1,$Q$1,FALSE))</f>
        <v>0</v>
      </c>
      <c r="Q643" s="70" t="b">
        <f>IF(Tab.11[[#This Row],[a1]]=1,_xlfn.NORM.DIST(Tab.11[[#This Row],[b10]],$P$1,$Q$1,FALSE))</f>
        <v>0</v>
      </c>
      <c r="R643" s="67" t="b">
        <f>IF(Tab.11[[#This Row],[a1]]=1,$I$3+$A$989+IF($K$3=0,Tab.11[[#This Row],[b8]]*_xlfn.STDEV.P(Tab.11[data]),AVERAGE(Tab.11[b6])+Tab.11[[#This Row],[b8]]*_xlfn.STDEV.P(Tab.11[data])))</f>
        <v>0</v>
      </c>
      <c r="S643" s="71" t="b">
        <f>IF(Tab.11[[#This Row],[a1]]=1,$I$3+$A$987+IF($K$3=0,Tab.11[[#This Row],[b9]]*_xlfn.STDEV.P(Tab.11[data]),AVERAGE(Tab.11[b6])+Tab.11[[#This Row],[b9]]*_xlfn.STDEV.P(Tab.11[data])))</f>
        <v>0</v>
      </c>
      <c r="T643" s="71" t="b">
        <f>IF(Tab.11[[#This Row],[a1]]=1,$I$3+$A$988+IF($K$3=0,Tab.11[[#This Row],[b10]]*_xlfn.STDEV.P(Tab.11[data]),AVERAGE(Tab.11[b6])+Tab.11[[#This Row],[b10]]*_xlfn.STDEV.P(Tab.11[data])))</f>
        <v>0</v>
      </c>
      <c r="U643" s="72" t="b">
        <f>IF(Tab.11[[#This Row],[a1]]=1,Tab.11[[#This Row],[target]]-Tab.11[[#This Row],[Red]])</f>
        <v>0</v>
      </c>
      <c r="V643" s="72" t="b">
        <f>IF(Tab.11[[#This Row],[a1]]=1,Tab.11[[#This Row],[target]]-Tab.11[[#This Row],[Blue]])</f>
        <v>0</v>
      </c>
      <c r="W643" s="73" t="b">
        <f>IF(Tab.11[[#This Row],[a1]]=1,IF(ABS(Tab.11[[#This Row],[b17]])+ABS(Tab.11[[#This Row],[b18]])&lt;$W$2,$W$2,ABS(Tab.11[[#This Row],[b17]])+ABS(Tab.11[[#This Row],[b18]])))</f>
        <v>0</v>
      </c>
      <c r="X643" s="136" t="b">
        <f>IF(Tab.11[[#This Row],[a1]]=1,IF($W$3&lt;0,Tab.11[[#This Row],[IN]]-$I$3,Tab.11[[#This Row],[IN]]))</f>
        <v>0</v>
      </c>
      <c r="Y643" s="136" t="b">
        <f>IF(Tab.11[[#This Row],[a1]]=1,IF($X$3=0,Tab.11[b66],Tab.11[[#This Row],[b66]]-AVERAGE(Tab.11[b66])))</f>
        <v>0</v>
      </c>
      <c r="Z643" s="135" t="b">
        <f>IF(Tab.11[[#This Row],[a1]]=1,Tab.11[[#This Row],[b77]]/(_xlfn.STDEV.P(Tab.11[b77])))</f>
        <v>0</v>
      </c>
      <c r="AA643" s="70" t="b">
        <f>IF(Tab.11[[#This Row],[a1]]=1,_xlfn.NORM.DIST(Tab.11[[#This Row],[b88]],$Z$1,$AA$1,FALSE))</f>
        <v>0</v>
      </c>
      <c r="AB643" s="74" t="b">
        <f>IF(Tab.11[[#This Row],[a1]]=1,IF($A$3=0,FALSE,1/Tab.11[[#This Row],[IN]]*$AC$2*IF(Tab.11[[#This Row],[a1]]=0,,$A$3*$AC$1*1/$V$3*(Tab.11[[#This Row],[b14]]))))</f>
        <v>0</v>
      </c>
      <c r="AC643" s="75" t="b">
        <f>IF(Tab.11[[#This Row],[a1]]=1,IF($AC$3=0,Tab.11[[#This Row],[φ1]],Tab.11[[#This Row],[φ1]]/MAX(Tab.11[φ1])))</f>
        <v>0</v>
      </c>
      <c r="AD643" s="74" t="b">
        <f>IF(Tab.11[[#This Row],[a1]]=1,1/Tab.11[[#This Row],[φ2]])</f>
        <v>0</v>
      </c>
      <c r="AE643" s="74" t="b">
        <f>IF(Tab.11[[#This Row],[a1]]=1,IF($AE$3=0,Tab.11[[#This Row],[w.0]],Tab.11[[#This Row],[w.0]]/SUM(Tab.11[w.0])))</f>
        <v>0</v>
      </c>
      <c r="AF643" s="76" t="str">
        <f>IF(Tab.11[[#This Row],[a1]]=0,"false",[3]!Tab.x5[[#This Row],[%_seN_C]])</f>
        <v>false</v>
      </c>
      <c r="AG643" s="77" t="b">
        <f>IF(Tab.11[[#This Row],[a1]]=1,AP643)</f>
        <v>0</v>
      </c>
      <c r="AH643" s="78" t="b">
        <f>IF(Tab.11[[#This Row],[a1]]=1,AQ643)</f>
        <v>0</v>
      </c>
      <c r="AI643" s="41">
        <v>3.0000000000000001E-3</v>
      </c>
      <c r="AJ643" s="79">
        <v>0.1</v>
      </c>
      <c r="AK643" s="80" t="b">
        <f>IF(Tab.11[[#This Row],[a1]]=1,1)</f>
        <v>0</v>
      </c>
      <c r="AL643"/>
      <c r="AM643"/>
      <c r="AN643"/>
      <c r="AO643"/>
      <c r="AP643"/>
      <c r="AQ643"/>
      <c r="AR643"/>
      <c r="AS643"/>
    </row>
    <row r="644" spans="1:45" s="81" customFormat="1" hidden="1" x14ac:dyDescent="0.25">
      <c r="A644" s="61">
        <f t="shared" si="21"/>
        <v>0</v>
      </c>
      <c r="B644" s="62">
        <f t="shared" si="21"/>
        <v>0</v>
      </c>
      <c r="C644" s="62" t="b">
        <f>IF(Tab.11[[#This Row],[a1]]=1,[3]!Tab_x1[[#This Row],[Name]])</f>
        <v>0</v>
      </c>
      <c r="D644" s="63" t="b">
        <f>IF(Tab.11[[#This Row],[a1]]=1,AO644)</f>
        <v>0</v>
      </c>
      <c r="E644" s="63">
        <f t="shared" si="20"/>
        <v>0</v>
      </c>
      <c r="F644" s="64" t="b">
        <f>IF(Tab.11[[#This Row],[a1]]=1,Tab.11[[#This Row],[b1]])</f>
        <v>0</v>
      </c>
      <c r="G644" s="65" t="b">
        <f>IF(Tab.11[[#This Row],[a1]]=1,IF(Tab.11[[#This Row],[b3]]&gt;$L$989*$G$3,$L$989*$G$3,IF(Tab.11[[#This Row],[b3]]&lt;$M$989*$G$3,$M$989*$G$3,Tab.11[[#This Row],[b3]])))</f>
        <v>0</v>
      </c>
      <c r="H644" s="66" t="b">
        <f>IF(Tab.11[[#This Row],[a1]]=1,Tab.11[[#This Row],[b1]])</f>
        <v>0</v>
      </c>
      <c r="I644" s="67" t="b">
        <f>IF(Tab.11[[#This Row],[a1]]=1,Tab.11[[#This Row],[b1]])</f>
        <v>0</v>
      </c>
      <c r="J644" s="68" t="b">
        <f>IF(Tab.11[[#This Row],[a1]]=1,IF($I$3&lt;0,Tab.11[[#This Row],[b5]]-$I$3,Tab.11[[#This Row],[b5]]))</f>
        <v>0</v>
      </c>
      <c r="K644" s="68" t="b">
        <f>IF(Tab.11[[#This Row],[a1]]=1,IF($K$3=0,Tab.11[b6],Tab.11[[#This Row],[b6]]-AVERAGE(Tab.11[b6])))</f>
        <v>0</v>
      </c>
      <c r="L644" s="69" t="b">
        <f>IF(Tab.11[[#This Row],[a1]]=1,Tab.11[[#This Row],[data]]/(_xlfn.STDEV.P(Tab.11[data])*$B$989)+$A$989)</f>
        <v>0</v>
      </c>
      <c r="M644" s="69" t="b">
        <f>IF(Tab.11[[#This Row],[a1]]=1,Tab.11[[#This Row],[data]]/(_xlfn.STDEV.P(Tab.11[data])*$B$987)-$A$987)</f>
        <v>0</v>
      </c>
      <c r="N644" s="69" t="b">
        <f>IF(Tab.11[[#This Row],[a1]]=1,Tab.11[[#This Row],[data]]/(_xlfn.STDEV.P(Tab.11[data])*$B$988)+$A$988)</f>
        <v>0</v>
      </c>
      <c r="O644" s="70" t="b">
        <f>IF(Tab.11[[#This Row],[a1]]=1,_xlfn.NORM.DIST(Tab.11[[#This Row],[b8]],$P$1,$Q$1,FALSE))</f>
        <v>0</v>
      </c>
      <c r="P644" s="70" t="b">
        <f>IF(Tab.11[[#This Row],[a1]]=1,_xlfn.NORM.DIST(Tab.11[[#This Row],[b9]],$P$1,$Q$1,FALSE))</f>
        <v>0</v>
      </c>
      <c r="Q644" s="70" t="b">
        <f>IF(Tab.11[[#This Row],[a1]]=1,_xlfn.NORM.DIST(Tab.11[[#This Row],[b10]],$P$1,$Q$1,FALSE))</f>
        <v>0</v>
      </c>
      <c r="R644" s="67" t="b">
        <f>IF(Tab.11[[#This Row],[a1]]=1,$I$3+$A$989+IF($K$3=0,Tab.11[[#This Row],[b8]]*_xlfn.STDEV.P(Tab.11[data]),AVERAGE(Tab.11[b6])+Tab.11[[#This Row],[b8]]*_xlfn.STDEV.P(Tab.11[data])))</f>
        <v>0</v>
      </c>
      <c r="S644" s="71" t="b">
        <f>IF(Tab.11[[#This Row],[a1]]=1,$I$3+$A$987+IF($K$3=0,Tab.11[[#This Row],[b9]]*_xlfn.STDEV.P(Tab.11[data]),AVERAGE(Tab.11[b6])+Tab.11[[#This Row],[b9]]*_xlfn.STDEV.P(Tab.11[data])))</f>
        <v>0</v>
      </c>
      <c r="T644" s="71" t="b">
        <f>IF(Tab.11[[#This Row],[a1]]=1,$I$3+$A$988+IF($K$3=0,Tab.11[[#This Row],[b10]]*_xlfn.STDEV.P(Tab.11[data]),AVERAGE(Tab.11[b6])+Tab.11[[#This Row],[b10]]*_xlfn.STDEV.P(Tab.11[data])))</f>
        <v>0</v>
      </c>
      <c r="U644" s="72" t="b">
        <f>IF(Tab.11[[#This Row],[a1]]=1,Tab.11[[#This Row],[target]]-Tab.11[[#This Row],[Red]])</f>
        <v>0</v>
      </c>
      <c r="V644" s="72" t="b">
        <f>IF(Tab.11[[#This Row],[a1]]=1,Tab.11[[#This Row],[target]]-Tab.11[[#This Row],[Blue]])</f>
        <v>0</v>
      </c>
      <c r="W644" s="73" t="b">
        <f>IF(Tab.11[[#This Row],[a1]]=1,IF(ABS(Tab.11[[#This Row],[b17]])+ABS(Tab.11[[#This Row],[b18]])&lt;$W$2,$W$2,ABS(Tab.11[[#This Row],[b17]])+ABS(Tab.11[[#This Row],[b18]])))</f>
        <v>0</v>
      </c>
      <c r="X644" s="136" t="b">
        <f>IF(Tab.11[[#This Row],[a1]]=1,IF($W$3&lt;0,Tab.11[[#This Row],[IN]]-$I$3,Tab.11[[#This Row],[IN]]))</f>
        <v>0</v>
      </c>
      <c r="Y644" s="136" t="b">
        <f>IF(Tab.11[[#This Row],[a1]]=1,IF($X$3=0,Tab.11[b66],Tab.11[[#This Row],[b66]]-AVERAGE(Tab.11[b66])))</f>
        <v>0</v>
      </c>
      <c r="Z644" s="135" t="b">
        <f>IF(Tab.11[[#This Row],[a1]]=1,Tab.11[[#This Row],[b77]]/(_xlfn.STDEV.P(Tab.11[b77])))</f>
        <v>0</v>
      </c>
      <c r="AA644" s="70" t="b">
        <f>IF(Tab.11[[#This Row],[a1]]=1,_xlfn.NORM.DIST(Tab.11[[#This Row],[b88]],$Z$1,$AA$1,FALSE))</f>
        <v>0</v>
      </c>
      <c r="AB644" s="74" t="b">
        <f>IF(Tab.11[[#This Row],[a1]]=1,IF($A$3=0,FALSE,1/Tab.11[[#This Row],[IN]]*$AC$2*IF(Tab.11[[#This Row],[a1]]=0,,$A$3*$AC$1*1/$V$3*(Tab.11[[#This Row],[b14]]))))</f>
        <v>0</v>
      </c>
      <c r="AC644" s="75" t="b">
        <f>IF(Tab.11[[#This Row],[a1]]=1,IF($AC$3=0,Tab.11[[#This Row],[φ1]],Tab.11[[#This Row],[φ1]]/MAX(Tab.11[φ1])))</f>
        <v>0</v>
      </c>
      <c r="AD644" s="74" t="b">
        <f>IF(Tab.11[[#This Row],[a1]]=1,1/Tab.11[[#This Row],[φ2]])</f>
        <v>0</v>
      </c>
      <c r="AE644" s="74" t="b">
        <f>IF(Tab.11[[#This Row],[a1]]=1,IF($AE$3=0,Tab.11[[#This Row],[w.0]],Tab.11[[#This Row],[w.0]]/SUM(Tab.11[w.0])))</f>
        <v>0</v>
      </c>
      <c r="AF644" s="76" t="str">
        <f>IF(Tab.11[[#This Row],[a1]]=0,"false",[3]!Tab.x5[[#This Row],[%_seN_C]])</f>
        <v>false</v>
      </c>
      <c r="AG644" s="77" t="b">
        <f>IF(Tab.11[[#This Row],[a1]]=1,AP644)</f>
        <v>0</v>
      </c>
      <c r="AH644" s="78" t="b">
        <f>IF(Tab.11[[#This Row],[a1]]=1,AQ644)</f>
        <v>0</v>
      </c>
      <c r="AI644" s="41">
        <v>3.0000000000000001E-3</v>
      </c>
      <c r="AJ644" s="79">
        <v>0.09</v>
      </c>
      <c r="AK644" s="80" t="b">
        <f>IF(Tab.11[[#This Row],[a1]]=1,1)</f>
        <v>0</v>
      </c>
      <c r="AL644"/>
      <c r="AM644"/>
      <c r="AN644"/>
      <c r="AO644"/>
      <c r="AP644"/>
      <c r="AQ644"/>
      <c r="AR644"/>
      <c r="AS644"/>
    </row>
    <row r="645" spans="1:45" s="81" customFormat="1" hidden="1" x14ac:dyDescent="0.25">
      <c r="A645" s="61">
        <f t="shared" si="21"/>
        <v>0</v>
      </c>
      <c r="B645" s="62">
        <f t="shared" si="21"/>
        <v>0</v>
      </c>
      <c r="C645" s="62" t="b">
        <f>IF(Tab.11[[#This Row],[a1]]=1,[3]!Tab_x1[[#This Row],[Name]])</f>
        <v>0</v>
      </c>
      <c r="D645" s="63" t="b">
        <f>IF(Tab.11[[#This Row],[a1]]=1,AO645)</f>
        <v>0</v>
      </c>
      <c r="E645" s="63">
        <f t="shared" ref="E645:E708" si="22">AM645</f>
        <v>0</v>
      </c>
      <c r="F645" s="64" t="b">
        <f>IF(Tab.11[[#This Row],[a1]]=1,Tab.11[[#This Row],[b1]])</f>
        <v>0</v>
      </c>
      <c r="G645" s="65" t="b">
        <f>IF(Tab.11[[#This Row],[a1]]=1,IF(Tab.11[[#This Row],[b3]]&gt;$L$989*$G$3,$L$989*$G$3,IF(Tab.11[[#This Row],[b3]]&lt;$M$989*$G$3,$M$989*$G$3,Tab.11[[#This Row],[b3]])))</f>
        <v>0</v>
      </c>
      <c r="H645" s="66" t="b">
        <f>IF(Tab.11[[#This Row],[a1]]=1,Tab.11[[#This Row],[b1]])</f>
        <v>0</v>
      </c>
      <c r="I645" s="67" t="b">
        <f>IF(Tab.11[[#This Row],[a1]]=1,Tab.11[[#This Row],[b1]])</f>
        <v>0</v>
      </c>
      <c r="J645" s="68" t="b">
        <f>IF(Tab.11[[#This Row],[a1]]=1,IF($I$3&lt;0,Tab.11[[#This Row],[b5]]-$I$3,Tab.11[[#This Row],[b5]]))</f>
        <v>0</v>
      </c>
      <c r="K645" s="68" t="b">
        <f>IF(Tab.11[[#This Row],[a1]]=1,IF($K$3=0,Tab.11[b6],Tab.11[[#This Row],[b6]]-AVERAGE(Tab.11[b6])))</f>
        <v>0</v>
      </c>
      <c r="L645" s="69" t="b">
        <f>IF(Tab.11[[#This Row],[a1]]=1,Tab.11[[#This Row],[data]]/(_xlfn.STDEV.P(Tab.11[data])*$B$989)+$A$989)</f>
        <v>0</v>
      </c>
      <c r="M645" s="69" t="b">
        <f>IF(Tab.11[[#This Row],[a1]]=1,Tab.11[[#This Row],[data]]/(_xlfn.STDEV.P(Tab.11[data])*$B$987)-$A$987)</f>
        <v>0</v>
      </c>
      <c r="N645" s="69" t="b">
        <f>IF(Tab.11[[#This Row],[a1]]=1,Tab.11[[#This Row],[data]]/(_xlfn.STDEV.P(Tab.11[data])*$B$988)+$A$988)</f>
        <v>0</v>
      </c>
      <c r="O645" s="70" t="b">
        <f>IF(Tab.11[[#This Row],[a1]]=1,_xlfn.NORM.DIST(Tab.11[[#This Row],[b8]],$P$1,$Q$1,FALSE))</f>
        <v>0</v>
      </c>
      <c r="P645" s="70" t="b">
        <f>IF(Tab.11[[#This Row],[a1]]=1,_xlfn.NORM.DIST(Tab.11[[#This Row],[b9]],$P$1,$Q$1,FALSE))</f>
        <v>0</v>
      </c>
      <c r="Q645" s="70" t="b">
        <f>IF(Tab.11[[#This Row],[a1]]=1,_xlfn.NORM.DIST(Tab.11[[#This Row],[b10]],$P$1,$Q$1,FALSE))</f>
        <v>0</v>
      </c>
      <c r="R645" s="67" t="b">
        <f>IF(Tab.11[[#This Row],[a1]]=1,$I$3+$A$989+IF($K$3=0,Tab.11[[#This Row],[b8]]*_xlfn.STDEV.P(Tab.11[data]),AVERAGE(Tab.11[b6])+Tab.11[[#This Row],[b8]]*_xlfn.STDEV.P(Tab.11[data])))</f>
        <v>0</v>
      </c>
      <c r="S645" s="71" t="b">
        <f>IF(Tab.11[[#This Row],[a1]]=1,$I$3+$A$987+IF($K$3=0,Tab.11[[#This Row],[b9]]*_xlfn.STDEV.P(Tab.11[data]),AVERAGE(Tab.11[b6])+Tab.11[[#This Row],[b9]]*_xlfn.STDEV.P(Tab.11[data])))</f>
        <v>0</v>
      </c>
      <c r="T645" s="71" t="b">
        <f>IF(Tab.11[[#This Row],[a1]]=1,$I$3+$A$988+IF($K$3=0,Tab.11[[#This Row],[b10]]*_xlfn.STDEV.P(Tab.11[data]),AVERAGE(Tab.11[b6])+Tab.11[[#This Row],[b10]]*_xlfn.STDEV.P(Tab.11[data])))</f>
        <v>0</v>
      </c>
      <c r="U645" s="72" t="b">
        <f>IF(Tab.11[[#This Row],[a1]]=1,Tab.11[[#This Row],[target]]-Tab.11[[#This Row],[Red]])</f>
        <v>0</v>
      </c>
      <c r="V645" s="72" t="b">
        <f>IF(Tab.11[[#This Row],[a1]]=1,Tab.11[[#This Row],[target]]-Tab.11[[#This Row],[Blue]])</f>
        <v>0</v>
      </c>
      <c r="W645" s="73" t="b">
        <f>IF(Tab.11[[#This Row],[a1]]=1,IF(ABS(Tab.11[[#This Row],[b17]])+ABS(Tab.11[[#This Row],[b18]])&lt;$W$2,$W$2,ABS(Tab.11[[#This Row],[b17]])+ABS(Tab.11[[#This Row],[b18]])))</f>
        <v>0</v>
      </c>
      <c r="X645" s="136" t="b">
        <f>IF(Tab.11[[#This Row],[a1]]=1,IF($W$3&lt;0,Tab.11[[#This Row],[IN]]-$I$3,Tab.11[[#This Row],[IN]]))</f>
        <v>0</v>
      </c>
      <c r="Y645" s="136" t="b">
        <f>IF(Tab.11[[#This Row],[a1]]=1,IF($X$3=0,Tab.11[b66],Tab.11[[#This Row],[b66]]-AVERAGE(Tab.11[b66])))</f>
        <v>0</v>
      </c>
      <c r="Z645" s="135" t="b">
        <f>IF(Tab.11[[#This Row],[a1]]=1,Tab.11[[#This Row],[b77]]/(_xlfn.STDEV.P(Tab.11[b77])))</f>
        <v>0</v>
      </c>
      <c r="AA645" s="70" t="b">
        <f>IF(Tab.11[[#This Row],[a1]]=1,_xlfn.NORM.DIST(Tab.11[[#This Row],[b88]],$Z$1,$AA$1,FALSE))</f>
        <v>0</v>
      </c>
      <c r="AB645" s="74" t="b">
        <f>IF(Tab.11[[#This Row],[a1]]=1,IF($A$3=0,FALSE,1/Tab.11[[#This Row],[IN]]*$AC$2*IF(Tab.11[[#This Row],[a1]]=0,,$A$3*$AC$1*1/$V$3*(Tab.11[[#This Row],[b14]]))))</f>
        <v>0</v>
      </c>
      <c r="AC645" s="75" t="b">
        <f>IF(Tab.11[[#This Row],[a1]]=1,IF($AC$3=0,Tab.11[[#This Row],[φ1]],Tab.11[[#This Row],[φ1]]/MAX(Tab.11[φ1])))</f>
        <v>0</v>
      </c>
      <c r="AD645" s="74" t="b">
        <f>IF(Tab.11[[#This Row],[a1]]=1,1/Tab.11[[#This Row],[φ2]])</f>
        <v>0</v>
      </c>
      <c r="AE645" s="74" t="b">
        <f>IF(Tab.11[[#This Row],[a1]]=1,IF($AE$3=0,Tab.11[[#This Row],[w.0]],Tab.11[[#This Row],[w.0]]/SUM(Tab.11[w.0])))</f>
        <v>0</v>
      </c>
      <c r="AF645" s="76" t="str">
        <f>IF(Tab.11[[#This Row],[a1]]=0,"false",[3]!Tab.x5[[#This Row],[%_seN_C]])</f>
        <v>false</v>
      </c>
      <c r="AG645" s="77" t="b">
        <f>IF(Tab.11[[#This Row],[a1]]=1,AP645)</f>
        <v>0</v>
      </c>
      <c r="AH645" s="78" t="b">
        <f>IF(Tab.11[[#This Row],[a1]]=1,AQ645)</f>
        <v>0</v>
      </c>
      <c r="AI645" s="41">
        <v>3.0000000000000001E-3</v>
      </c>
      <c r="AJ645" s="79">
        <v>0.08</v>
      </c>
      <c r="AK645" s="80" t="b">
        <f>IF(Tab.11[[#This Row],[a1]]=1,1)</f>
        <v>0</v>
      </c>
      <c r="AL645"/>
      <c r="AM645"/>
      <c r="AN645"/>
      <c r="AO645"/>
      <c r="AP645"/>
      <c r="AQ645"/>
      <c r="AR645"/>
      <c r="AS645"/>
    </row>
    <row r="646" spans="1:45" s="81" customFormat="1" hidden="1" x14ac:dyDescent="0.25">
      <c r="A646" s="61">
        <f t="shared" si="21"/>
        <v>0</v>
      </c>
      <c r="B646" s="62">
        <f t="shared" si="21"/>
        <v>0</v>
      </c>
      <c r="C646" s="62" t="b">
        <f>IF(Tab.11[[#This Row],[a1]]=1,[3]!Tab_x1[[#This Row],[Name]])</f>
        <v>0</v>
      </c>
      <c r="D646" s="63" t="b">
        <f>IF(Tab.11[[#This Row],[a1]]=1,AO646)</f>
        <v>0</v>
      </c>
      <c r="E646" s="63">
        <f t="shared" si="22"/>
        <v>0</v>
      </c>
      <c r="F646" s="64" t="b">
        <f>IF(Tab.11[[#This Row],[a1]]=1,Tab.11[[#This Row],[b1]])</f>
        <v>0</v>
      </c>
      <c r="G646" s="65" t="b">
        <f>IF(Tab.11[[#This Row],[a1]]=1,IF(Tab.11[[#This Row],[b3]]&gt;$L$989*$G$3,$L$989*$G$3,IF(Tab.11[[#This Row],[b3]]&lt;$M$989*$G$3,$M$989*$G$3,Tab.11[[#This Row],[b3]])))</f>
        <v>0</v>
      </c>
      <c r="H646" s="66" t="b">
        <f>IF(Tab.11[[#This Row],[a1]]=1,Tab.11[[#This Row],[b1]])</f>
        <v>0</v>
      </c>
      <c r="I646" s="67" t="b">
        <f>IF(Tab.11[[#This Row],[a1]]=1,Tab.11[[#This Row],[b1]])</f>
        <v>0</v>
      </c>
      <c r="J646" s="68" t="b">
        <f>IF(Tab.11[[#This Row],[a1]]=1,IF($I$3&lt;0,Tab.11[[#This Row],[b5]]-$I$3,Tab.11[[#This Row],[b5]]))</f>
        <v>0</v>
      </c>
      <c r="K646" s="68" t="b">
        <f>IF(Tab.11[[#This Row],[a1]]=1,IF($K$3=0,Tab.11[b6],Tab.11[[#This Row],[b6]]-AVERAGE(Tab.11[b6])))</f>
        <v>0</v>
      </c>
      <c r="L646" s="69" t="b">
        <f>IF(Tab.11[[#This Row],[a1]]=1,Tab.11[[#This Row],[data]]/(_xlfn.STDEV.P(Tab.11[data])*$B$989)+$A$989)</f>
        <v>0</v>
      </c>
      <c r="M646" s="69" t="b">
        <f>IF(Tab.11[[#This Row],[a1]]=1,Tab.11[[#This Row],[data]]/(_xlfn.STDEV.P(Tab.11[data])*$B$987)-$A$987)</f>
        <v>0</v>
      </c>
      <c r="N646" s="69" t="b">
        <f>IF(Tab.11[[#This Row],[a1]]=1,Tab.11[[#This Row],[data]]/(_xlfn.STDEV.P(Tab.11[data])*$B$988)+$A$988)</f>
        <v>0</v>
      </c>
      <c r="O646" s="70" t="b">
        <f>IF(Tab.11[[#This Row],[a1]]=1,_xlfn.NORM.DIST(Tab.11[[#This Row],[b8]],$P$1,$Q$1,FALSE))</f>
        <v>0</v>
      </c>
      <c r="P646" s="70" t="b">
        <f>IF(Tab.11[[#This Row],[a1]]=1,_xlfn.NORM.DIST(Tab.11[[#This Row],[b9]],$P$1,$Q$1,FALSE))</f>
        <v>0</v>
      </c>
      <c r="Q646" s="70" t="b">
        <f>IF(Tab.11[[#This Row],[a1]]=1,_xlfn.NORM.DIST(Tab.11[[#This Row],[b10]],$P$1,$Q$1,FALSE))</f>
        <v>0</v>
      </c>
      <c r="R646" s="67" t="b">
        <f>IF(Tab.11[[#This Row],[a1]]=1,$I$3+$A$989+IF($K$3=0,Tab.11[[#This Row],[b8]]*_xlfn.STDEV.P(Tab.11[data]),AVERAGE(Tab.11[b6])+Tab.11[[#This Row],[b8]]*_xlfn.STDEV.P(Tab.11[data])))</f>
        <v>0</v>
      </c>
      <c r="S646" s="71" t="b">
        <f>IF(Tab.11[[#This Row],[a1]]=1,$I$3+$A$987+IF($K$3=0,Tab.11[[#This Row],[b9]]*_xlfn.STDEV.P(Tab.11[data]),AVERAGE(Tab.11[b6])+Tab.11[[#This Row],[b9]]*_xlfn.STDEV.P(Tab.11[data])))</f>
        <v>0</v>
      </c>
      <c r="T646" s="71" t="b">
        <f>IF(Tab.11[[#This Row],[a1]]=1,$I$3+$A$988+IF($K$3=0,Tab.11[[#This Row],[b10]]*_xlfn.STDEV.P(Tab.11[data]),AVERAGE(Tab.11[b6])+Tab.11[[#This Row],[b10]]*_xlfn.STDEV.P(Tab.11[data])))</f>
        <v>0</v>
      </c>
      <c r="U646" s="72" t="b">
        <f>IF(Tab.11[[#This Row],[a1]]=1,Tab.11[[#This Row],[target]]-Tab.11[[#This Row],[Red]])</f>
        <v>0</v>
      </c>
      <c r="V646" s="72" t="b">
        <f>IF(Tab.11[[#This Row],[a1]]=1,Tab.11[[#This Row],[target]]-Tab.11[[#This Row],[Blue]])</f>
        <v>0</v>
      </c>
      <c r="W646" s="73" t="b">
        <f>IF(Tab.11[[#This Row],[a1]]=1,IF(ABS(Tab.11[[#This Row],[b17]])+ABS(Tab.11[[#This Row],[b18]])&lt;$W$2,$W$2,ABS(Tab.11[[#This Row],[b17]])+ABS(Tab.11[[#This Row],[b18]])))</f>
        <v>0</v>
      </c>
      <c r="X646" s="136" t="b">
        <f>IF(Tab.11[[#This Row],[a1]]=1,IF($W$3&lt;0,Tab.11[[#This Row],[IN]]-$I$3,Tab.11[[#This Row],[IN]]))</f>
        <v>0</v>
      </c>
      <c r="Y646" s="136" t="b">
        <f>IF(Tab.11[[#This Row],[a1]]=1,IF($X$3=0,Tab.11[b66],Tab.11[[#This Row],[b66]]-AVERAGE(Tab.11[b66])))</f>
        <v>0</v>
      </c>
      <c r="Z646" s="135" t="b">
        <f>IF(Tab.11[[#This Row],[a1]]=1,Tab.11[[#This Row],[b77]]/(_xlfn.STDEV.P(Tab.11[b77])))</f>
        <v>0</v>
      </c>
      <c r="AA646" s="70" t="b">
        <f>IF(Tab.11[[#This Row],[a1]]=1,_xlfn.NORM.DIST(Tab.11[[#This Row],[b88]],$Z$1,$AA$1,FALSE))</f>
        <v>0</v>
      </c>
      <c r="AB646" s="74" t="b">
        <f>IF(Tab.11[[#This Row],[a1]]=1,IF($A$3=0,FALSE,1/Tab.11[[#This Row],[IN]]*$AC$2*IF(Tab.11[[#This Row],[a1]]=0,,$A$3*$AC$1*1/$V$3*(Tab.11[[#This Row],[b14]]))))</f>
        <v>0</v>
      </c>
      <c r="AC646" s="75" t="b">
        <f>IF(Tab.11[[#This Row],[a1]]=1,IF($AC$3=0,Tab.11[[#This Row],[φ1]],Tab.11[[#This Row],[φ1]]/MAX(Tab.11[φ1])))</f>
        <v>0</v>
      </c>
      <c r="AD646" s="74" t="b">
        <f>IF(Tab.11[[#This Row],[a1]]=1,1/Tab.11[[#This Row],[φ2]])</f>
        <v>0</v>
      </c>
      <c r="AE646" s="74" t="b">
        <f>IF(Tab.11[[#This Row],[a1]]=1,IF($AE$3=0,Tab.11[[#This Row],[w.0]],Tab.11[[#This Row],[w.0]]/SUM(Tab.11[w.0])))</f>
        <v>0</v>
      </c>
      <c r="AF646" s="76" t="str">
        <f>IF(Tab.11[[#This Row],[a1]]=0,"false",[3]!Tab.x5[[#This Row],[%_seN_C]])</f>
        <v>false</v>
      </c>
      <c r="AG646" s="77" t="b">
        <f>IF(Tab.11[[#This Row],[a1]]=1,AP646)</f>
        <v>0</v>
      </c>
      <c r="AH646" s="78" t="b">
        <f>IF(Tab.11[[#This Row],[a1]]=1,AQ646)</f>
        <v>0</v>
      </c>
      <c r="AI646" s="41">
        <v>3.0000000000000001E-3</v>
      </c>
      <c r="AJ646" s="79">
        <v>0.05</v>
      </c>
      <c r="AK646" s="80" t="b">
        <f>IF(Tab.11[[#This Row],[a1]]=1,1)</f>
        <v>0</v>
      </c>
      <c r="AL646"/>
      <c r="AM646"/>
      <c r="AN646"/>
      <c r="AO646"/>
      <c r="AP646"/>
      <c r="AQ646"/>
      <c r="AR646"/>
      <c r="AS646"/>
    </row>
    <row r="647" spans="1:45" s="81" customFormat="1" hidden="1" x14ac:dyDescent="0.25">
      <c r="A647" s="61">
        <f t="shared" si="21"/>
        <v>0</v>
      </c>
      <c r="B647" s="62">
        <f t="shared" si="21"/>
        <v>0</v>
      </c>
      <c r="C647" s="62" t="b">
        <f>IF(Tab.11[[#This Row],[a1]]=1,[3]!Tab_x1[[#This Row],[Name]])</f>
        <v>0</v>
      </c>
      <c r="D647" s="63" t="b">
        <f>IF(Tab.11[[#This Row],[a1]]=1,AO647)</f>
        <v>0</v>
      </c>
      <c r="E647" s="63">
        <f t="shared" si="22"/>
        <v>0</v>
      </c>
      <c r="F647" s="64" t="b">
        <f>IF(Tab.11[[#This Row],[a1]]=1,Tab.11[[#This Row],[b1]])</f>
        <v>0</v>
      </c>
      <c r="G647" s="65" t="b">
        <f>IF(Tab.11[[#This Row],[a1]]=1,IF(Tab.11[[#This Row],[b3]]&gt;$L$989*$G$3,$L$989*$G$3,IF(Tab.11[[#This Row],[b3]]&lt;$M$989*$G$3,$M$989*$G$3,Tab.11[[#This Row],[b3]])))</f>
        <v>0</v>
      </c>
      <c r="H647" s="66" t="b">
        <f>IF(Tab.11[[#This Row],[a1]]=1,Tab.11[[#This Row],[b1]])</f>
        <v>0</v>
      </c>
      <c r="I647" s="67" t="b">
        <f>IF(Tab.11[[#This Row],[a1]]=1,Tab.11[[#This Row],[b1]])</f>
        <v>0</v>
      </c>
      <c r="J647" s="68" t="b">
        <f>IF(Tab.11[[#This Row],[a1]]=1,IF($I$3&lt;0,Tab.11[[#This Row],[b5]]-$I$3,Tab.11[[#This Row],[b5]]))</f>
        <v>0</v>
      </c>
      <c r="K647" s="68" t="b">
        <f>IF(Tab.11[[#This Row],[a1]]=1,IF($K$3=0,Tab.11[b6],Tab.11[[#This Row],[b6]]-AVERAGE(Tab.11[b6])))</f>
        <v>0</v>
      </c>
      <c r="L647" s="69" t="b">
        <f>IF(Tab.11[[#This Row],[a1]]=1,Tab.11[[#This Row],[data]]/(_xlfn.STDEV.P(Tab.11[data])*$B$989)+$A$989)</f>
        <v>0</v>
      </c>
      <c r="M647" s="69" t="b">
        <f>IF(Tab.11[[#This Row],[a1]]=1,Tab.11[[#This Row],[data]]/(_xlfn.STDEV.P(Tab.11[data])*$B$987)-$A$987)</f>
        <v>0</v>
      </c>
      <c r="N647" s="69" t="b">
        <f>IF(Tab.11[[#This Row],[a1]]=1,Tab.11[[#This Row],[data]]/(_xlfn.STDEV.P(Tab.11[data])*$B$988)+$A$988)</f>
        <v>0</v>
      </c>
      <c r="O647" s="70" t="b">
        <f>IF(Tab.11[[#This Row],[a1]]=1,_xlfn.NORM.DIST(Tab.11[[#This Row],[b8]],$P$1,$Q$1,FALSE))</f>
        <v>0</v>
      </c>
      <c r="P647" s="70" t="b">
        <f>IF(Tab.11[[#This Row],[a1]]=1,_xlfn.NORM.DIST(Tab.11[[#This Row],[b9]],$P$1,$Q$1,FALSE))</f>
        <v>0</v>
      </c>
      <c r="Q647" s="70" t="b">
        <f>IF(Tab.11[[#This Row],[a1]]=1,_xlfn.NORM.DIST(Tab.11[[#This Row],[b10]],$P$1,$Q$1,FALSE))</f>
        <v>0</v>
      </c>
      <c r="R647" s="67" t="b">
        <f>IF(Tab.11[[#This Row],[a1]]=1,$I$3+$A$989+IF($K$3=0,Tab.11[[#This Row],[b8]]*_xlfn.STDEV.P(Tab.11[data]),AVERAGE(Tab.11[b6])+Tab.11[[#This Row],[b8]]*_xlfn.STDEV.P(Tab.11[data])))</f>
        <v>0</v>
      </c>
      <c r="S647" s="71" t="b">
        <f>IF(Tab.11[[#This Row],[a1]]=1,$I$3+$A$987+IF($K$3=0,Tab.11[[#This Row],[b9]]*_xlfn.STDEV.P(Tab.11[data]),AVERAGE(Tab.11[b6])+Tab.11[[#This Row],[b9]]*_xlfn.STDEV.P(Tab.11[data])))</f>
        <v>0</v>
      </c>
      <c r="T647" s="71" t="b">
        <f>IF(Tab.11[[#This Row],[a1]]=1,$I$3+$A$988+IF($K$3=0,Tab.11[[#This Row],[b10]]*_xlfn.STDEV.P(Tab.11[data]),AVERAGE(Tab.11[b6])+Tab.11[[#This Row],[b10]]*_xlfn.STDEV.P(Tab.11[data])))</f>
        <v>0</v>
      </c>
      <c r="U647" s="72" t="b">
        <f>IF(Tab.11[[#This Row],[a1]]=1,Tab.11[[#This Row],[target]]-Tab.11[[#This Row],[Red]])</f>
        <v>0</v>
      </c>
      <c r="V647" s="72" t="b">
        <f>IF(Tab.11[[#This Row],[a1]]=1,Tab.11[[#This Row],[target]]-Tab.11[[#This Row],[Blue]])</f>
        <v>0</v>
      </c>
      <c r="W647" s="73" t="b">
        <f>IF(Tab.11[[#This Row],[a1]]=1,IF(ABS(Tab.11[[#This Row],[b17]])+ABS(Tab.11[[#This Row],[b18]])&lt;$W$2,$W$2,ABS(Tab.11[[#This Row],[b17]])+ABS(Tab.11[[#This Row],[b18]])))</f>
        <v>0</v>
      </c>
      <c r="X647" s="136" t="b">
        <f>IF(Tab.11[[#This Row],[a1]]=1,IF($W$3&lt;0,Tab.11[[#This Row],[IN]]-$I$3,Tab.11[[#This Row],[IN]]))</f>
        <v>0</v>
      </c>
      <c r="Y647" s="136" t="b">
        <f>IF(Tab.11[[#This Row],[a1]]=1,IF($X$3=0,Tab.11[b66],Tab.11[[#This Row],[b66]]-AVERAGE(Tab.11[b66])))</f>
        <v>0</v>
      </c>
      <c r="Z647" s="135" t="b">
        <f>IF(Tab.11[[#This Row],[a1]]=1,Tab.11[[#This Row],[b77]]/(_xlfn.STDEV.P(Tab.11[b77])))</f>
        <v>0</v>
      </c>
      <c r="AA647" s="70" t="b">
        <f>IF(Tab.11[[#This Row],[a1]]=1,_xlfn.NORM.DIST(Tab.11[[#This Row],[b88]],$Z$1,$AA$1,FALSE))</f>
        <v>0</v>
      </c>
      <c r="AB647" s="74" t="b">
        <f>IF(Tab.11[[#This Row],[a1]]=1,IF($A$3=0,FALSE,1/Tab.11[[#This Row],[IN]]*$AC$2*IF(Tab.11[[#This Row],[a1]]=0,,$A$3*$AC$1*1/$V$3*(Tab.11[[#This Row],[b14]]))))</f>
        <v>0</v>
      </c>
      <c r="AC647" s="75" t="b">
        <f>IF(Tab.11[[#This Row],[a1]]=1,IF($AC$3=0,Tab.11[[#This Row],[φ1]],Tab.11[[#This Row],[φ1]]/MAX(Tab.11[φ1])))</f>
        <v>0</v>
      </c>
      <c r="AD647" s="74" t="b">
        <f>IF(Tab.11[[#This Row],[a1]]=1,1/Tab.11[[#This Row],[φ2]])</f>
        <v>0</v>
      </c>
      <c r="AE647" s="74" t="b">
        <f>IF(Tab.11[[#This Row],[a1]]=1,IF($AE$3=0,Tab.11[[#This Row],[w.0]],Tab.11[[#This Row],[w.0]]/SUM(Tab.11[w.0])))</f>
        <v>0</v>
      </c>
      <c r="AF647" s="76" t="str">
        <f>IF(Tab.11[[#This Row],[a1]]=0,"false",[3]!Tab.x5[[#This Row],[%_seN_C]])</f>
        <v>false</v>
      </c>
      <c r="AG647" s="77" t="b">
        <f>IF(Tab.11[[#This Row],[a1]]=1,AP647)</f>
        <v>0</v>
      </c>
      <c r="AH647" s="78" t="b">
        <f>IF(Tab.11[[#This Row],[a1]]=1,AQ647)</f>
        <v>0</v>
      </c>
      <c r="AI647" s="41">
        <v>3.0000000000000001E-3</v>
      </c>
      <c r="AJ647" s="79">
        <v>-0.1</v>
      </c>
      <c r="AK647" s="80" t="b">
        <f>IF(Tab.11[[#This Row],[a1]]=1,1)</f>
        <v>0</v>
      </c>
      <c r="AL647"/>
      <c r="AM647"/>
      <c r="AN647"/>
      <c r="AO647"/>
      <c r="AP647"/>
      <c r="AQ647"/>
      <c r="AR647"/>
      <c r="AS647"/>
    </row>
    <row r="648" spans="1:45" s="81" customFormat="1" hidden="1" x14ac:dyDescent="0.25">
      <c r="A648" s="61">
        <f t="shared" si="21"/>
        <v>0</v>
      </c>
      <c r="B648" s="62">
        <f t="shared" si="21"/>
        <v>0</v>
      </c>
      <c r="C648" s="62" t="b">
        <f>IF(Tab.11[[#This Row],[a1]]=1,[3]!Tab_x1[[#This Row],[Name]])</f>
        <v>0</v>
      </c>
      <c r="D648" s="63" t="b">
        <f>IF(Tab.11[[#This Row],[a1]]=1,AO648)</f>
        <v>0</v>
      </c>
      <c r="E648" s="63">
        <f t="shared" si="22"/>
        <v>0</v>
      </c>
      <c r="F648" s="64" t="b">
        <f>IF(Tab.11[[#This Row],[a1]]=1,Tab.11[[#This Row],[b1]])</f>
        <v>0</v>
      </c>
      <c r="G648" s="65" t="b">
        <f>IF(Tab.11[[#This Row],[a1]]=1,IF(Tab.11[[#This Row],[b3]]&gt;$L$989*$G$3,$L$989*$G$3,IF(Tab.11[[#This Row],[b3]]&lt;$M$989*$G$3,$M$989*$G$3,Tab.11[[#This Row],[b3]])))</f>
        <v>0</v>
      </c>
      <c r="H648" s="66" t="b">
        <f>IF(Tab.11[[#This Row],[a1]]=1,Tab.11[[#This Row],[b1]])</f>
        <v>0</v>
      </c>
      <c r="I648" s="67" t="b">
        <f>IF(Tab.11[[#This Row],[a1]]=1,Tab.11[[#This Row],[b1]])</f>
        <v>0</v>
      </c>
      <c r="J648" s="68" t="b">
        <f>IF(Tab.11[[#This Row],[a1]]=1,IF($I$3&lt;0,Tab.11[[#This Row],[b5]]-$I$3,Tab.11[[#This Row],[b5]]))</f>
        <v>0</v>
      </c>
      <c r="K648" s="68" t="b">
        <f>IF(Tab.11[[#This Row],[a1]]=1,IF($K$3=0,Tab.11[b6],Tab.11[[#This Row],[b6]]-AVERAGE(Tab.11[b6])))</f>
        <v>0</v>
      </c>
      <c r="L648" s="69" t="b">
        <f>IF(Tab.11[[#This Row],[a1]]=1,Tab.11[[#This Row],[data]]/(_xlfn.STDEV.P(Tab.11[data])*$B$989)+$A$989)</f>
        <v>0</v>
      </c>
      <c r="M648" s="69" t="b">
        <f>IF(Tab.11[[#This Row],[a1]]=1,Tab.11[[#This Row],[data]]/(_xlfn.STDEV.P(Tab.11[data])*$B$987)-$A$987)</f>
        <v>0</v>
      </c>
      <c r="N648" s="69" t="b">
        <f>IF(Tab.11[[#This Row],[a1]]=1,Tab.11[[#This Row],[data]]/(_xlfn.STDEV.P(Tab.11[data])*$B$988)+$A$988)</f>
        <v>0</v>
      </c>
      <c r="O648" s="70" t="b">
        <f>IF(Tab.11[[#This Row],[a1]]=1,_xlfn.NORM.DIST(Tab.11[[#This Row],[b8]],$P$1,$Q$1,FALSE))</f>
        <v>0</v>
      </c>
      <c r="P648" s="70" t="b">
        <f>IF(Tab.11[[#This Row],[a1]]=1,_xlfn.NORM.DIST(Tab.11[[#This Row],[b9]],$P$1,$Q$1,FALSE))</f>
        <v>0</v>
      </c>
      <c r="Q648" s="70" t="b">
        <f>IF(Tab.11[[#This Row],[a1]]=1,_xlfn.NORM.DIST(Tab.11[[#This Row],[b10]],$P$1,$Q$1,FALSE))</f>
        <v>0</v>
      </c>
      <c r="R648" s="67" t="b">
        <f>IF(Tab.11[[#This Row],[a1]]=1,$I$3+$A$989+IF($K$3=0,Tab.11[[#This Row],[b8]]*_xlfn.STDEV.P(Tab.11[data]),AVERAGE(Tab.11[b6])+Tab.11[[#This Row],[b8]]*_xlfn.STDEV.P(Tab.11[data])))</f>
        <v>0</v>
      </c>
      <c r="S648" s="71" t="b">
        <f>IF(Tab.11[[#This Row],[a1]]=1,$I$3+$A$987+IF($K$3=0,Tab.11[[#This Row],[b9]]*_xlfn.STDEV.P(Tab.11[data]),AVERAGE(Tab.11[b6])+Tab.11[[#This Row],[b9]]*_xlfn.STDEV.P(Tab.11[data])))</f>
        <v>0</v>
      </c>
      <c r="T648" s="71" t="b">
        <f>IF(Tab.11[[#This Row],[a1]]=1,$I$3+$A$988+IF($K$3=0,Tab.11[[#This Row],[b10]]*_xlfn.STDEV.P(Tab.11[data]),AVERAGE(Tab.11[b6])+Tab.11[[#This Row],[b10]]*_xlfn.STDEV.P(Tab.11[data])))</f>
        <v>0</v>
      </c>
      <c r="U648" s="72" t="b">
        <f>IF(Tab.11[[#This Row],[a1]]=1,Tab.11[[#This Row],[target]]-Tab.11[[#This Row],[Red]])</f>
        <v>0</v>
      </c>
      <c r="V648" s="72" t="b">
        <f>IF(Tab.11[[#This Row],[a1]]=1,Tab.11[[#This Row],[target]]-Tab.11[[#This Row],[Blue]])</f>
        <v>0</v>
      </c>
      <c r="W648" s="73" t="b">
        <f>IF(Tab.11[[#This Row],[a1]]=1,IF(ABS(Tab.11[[#This Row],[b17]])+ABS(Tab.11[[#This Row],[b18]])&lt;$W$2,$W$2,ABS(Tab.11[[#This Row],[b17]])+ABS(Tab.11[[#This Row],[b18]])))</f>
        <v>0</v>
      </c>
      <c r="X648" s="136" t="b">
        <f>IF(Tab.11[[#This Row],[a1]]=1,IF($W$3&lt;0,Tab.11[[#This Row],[IN]]-$I$3,Tab.11[[#This Row],[IN]]))</f>
        <v>0</v>
      </c>
      <c r="Y648" s="136" t="b">
        <f>IF(Tab.11[[#This Row],[a1]]=1,IF($X$3=0,Tab.11[b66],Tab.11[[#This Row],[b66]]-AVERAGE(Tab.11[b66])))</f>
        <v>0</v>
      </c>
      <c r="Z648" s="135" t="b">
        <f>IF(Tab.11[[#This Row],[a1]]=1,Tab.11[[#This Row],[b77]]/(_xlfn.STDEV.P(Tab.11[b77])))</f>
        <v>0</v>
      </c>
      <c r="AA648" s="70" t="b">
        <f>IF(Tab.11[[#This Row],[a1]]=1,_xlfn.NORM.DIST(Tab.11[[#This Row],[b88]],$Z$1,$AA$1,FALSE))</f>
        <v>0</v>
      </c>
      <c r="AB648" s="74" t="b">
        <f>IF(Tab.11[[#This Row],[a1]]=1,IF($A$3=0,FALSE,1/Tab.11[[#This Row],[IN]]*$AC$2*IF(Tab.11[[#This Row],[a1]]=0,,$A$3*$AC$1*1/$V$3*(Tab.11[[#This Row],[b14]]))))</f>
        <v>0</v>
      </c>
      <c r="AC648" s="75" t="b">
        <f>IF(Tab.11[[#This Row],[a1]]=1,IF($AC$3=0,Tab.11[[#This Row],[φ1]],Tab.11[[#This Row],[φ1]]/MAX(Tab.11[φ1])))</f>
        <v>0</v>
      </c>
      <c r="AD648" s="74" t="b">
        <f>IF(Tab.11[[#This Row],[a1]]=1,1/Tab.11[[#This Row],[φ2]])</f>
        <v>0</v>
      </c>
      <c r="AE648" s="74" t="b">
        <f>IF(Tab.11[[#This Row],[a1]]=1,IF($AE$3=0,Tab.11[[#This Row],[w.0]],Tab.11[[#This Row],[w.0]]/SUM(Tab.11[w.0])))</f>
        <v>0</v>
      </c>
      <c r="AF648" s="76" t="str">
        <f>IF(Tab.11[[#This Row],[a1]]=0,"false",[3]!Tab.x5[[#This Row],[%_seN_C]])</f>
        <v>false</v>
      </c>
      <c r="AG648" s="77" t="b">
        <f>IF(Tab.11[[#This Row],[a1]]=1,AP648)</f>
        <v>0</v>
      </c>
      <c r="AH648" s="78" t="b">
        <f>IF(Tab.11[[#This Row],[a1]]=1,AQ648)</f>
        <v>0</v>
      </c>
      <c r="AI648" s="41">
        <v>3.0000000000000001E-3</v>
      </c>
      <c r="AJ648" s="79">
        <v>0.1</v>
      </c>
      <c r="AK648" s="80" t="b">
        <f>IF(Tab.11[[#This Row],[a1]]=1,1)</f>
        <v>0</v>
      </c>
      <c r="AL648"/>
      <c r="AM648"/>
      <c r="AN648"/>
      <c r="AO648"/>
      <c r="AP648"/>
      <c r="AQ648"/>
      <c r="AR648"/>
      <c r="AS648"/>
    </row>
    <row r="649" spans="1:45" s="81" customFormat="1" hidden="1" x14ac:dyDescent="0.25">
      <c r="A649" s="61">
        <f t="shared" si="21"/>
        <v>0</v>
      </c>
      <c r="B649" s="62">
        <f t="shared" si="21"/>
        <v>0</v>
      </c>
      <c r="C649" s="62" t="b">
        <f>IF(Tab.11[[#This Row],[a1]]=1,[3]!Tab_x1[[#This Row],[Name]])</f>
        <v>0</v>
      </c>
      <c r="D649" s="63" t="b">
        <f>IF(Tab.11[[#This Row],[a1]]=1,AO649)</f>
        <v>0</v>
      </c>
      <c r="E649" s="63">
        <f t="shared" si="22"/>
        <v>0</v>
      </c>
      <c r="F649" s="64" t="b">
        <f>IF(Tab.11[[#This Row],[a1]]=1,Tab.11[[#This Row],[b1]])</f>
        <v>0</v>
      </c>
      <c r="G649" s="65" t="b">
        <f>IF(Tab.11[[#This Row],[a1]]=1,IF(Tab.11[[#This Row],[b3]]&gt;$L$989*$G$3,$L$989*$G$3,IF(Tab.11[[#This Row],[b3]]&lt;$M$989*$G$3,$M$989*$G$3,Tab.11[[#This Row],[b3]])))</f>
        <v>0</v>
      </c>
      <c r="H649" s="66" t="b">
        <f>IF(Tab.11[[#This Row],[a1]]=1,Tab.11[[#This Row],[b1]])</f>
        <v>0</v>
      </c>
      <c r="I649" s="67" t="b">
        <f>IF(Tab.11[[#This Row],[a1]]=1,Tab.11[[#This Row],[b1]])</f>
        <v>0</v>
      </c>
      <c r="J649" s="68" t="b">
        <f>IF(Tab.11[[#This Row],[a1]]=1,IF($I$3&lt;0,Tab.11[[#This Row],[b5]]-$I$3,Tab.11[[#This Row],[b5]]))</f>
        <v>0</v>
      </c>
      <c r="K649" s="68" t="b">
        <f>IF(Tab.11[[#This Row],[a1]]=1,IF($K$3=0,Tab.11[b6],Tab.11[[#This Row],[b6]]-AVERAGE(Tab.11[b6])))</f>
        <v>0</v>
      </c>
      <c r="L649" s="69" t="b">
        <f>IF(Tab.11[[#This Row],[a1]]=1,Tab.11[[#This Row],[data]]/(_xlfn.STDEV.P(Tab.11[data])*$B$989)+$A$989)</f>
        <v>0</v>
      </c>
      <c r="M649" s="69" t="b">
        <f>IF(Tab.11[[#This Row],[a1]]=1,Tab.11[[#This Row],[data]]/(_xlfn.STDEV.P(Tab.11[data])*$B$987)-$A$987)</f>
        <v>0</v>
      </c>
      <c r="N649" s="69" t="b">
        <f>IF(Tab.11[[#This Row],[a1]]=1,Tab.11[[#This Row],[data]]/(_xlfn.STDEV.P(Tab.11[data])*$B$988)+$A$988)</f>
        <v>0</v>
      </c>
      <c r="O649" s="70" t="b">
        <f>IF(Tab.11[[#This Row],[a1]]=1,_xlfn.NORM.DIST(Tab.11[[#This Row],[b8]],$P$1,$Q$1,FALSE))</f>
        <v>0</v>
      </c>
      <c r="P649" s="70" t="b">
        <f>IF(Tab.11[[#This Row],[a1]]=1,_xlfn.NORM.DIST(Tab.11[[#This Row],[b9]],$P$1,$Q$1,FALSE))</f>
        <v>0</v>
      </c>
      <c r="Q649" s="70" t="b">
        <f>IF(Tab.11[[#This Row],[a1]]=1,_xlfn.NORM.DIST(Tab.11[[#This Row],[b10]],$P$1,$Q$1,FALSE))</f>
        <v>0</v>
      </c>
      <c r="R649" s="67" t="b">
        <f>IF(Tab.11[[#This Row],[a1]]=1,$I$3+$A$989+IF($K$3=0,Tab.11[[#This Row],[b8]]*_xlfn.STDEV.P(Tab.11[data]),AVERAGE(Tab.11[b6])+Tab.11[[#This Row],[b8]]*_xlfn.STDEV.P(Tab.11[data])))</f>
        <v>0</v>
      </c>
      <c r="S649" s="71" t="b">
        <f>IF(Tab.11[[#This Row],[a1]]=1,$I$3+$A$987+IF($K$3=0,Tab.11[[#This Row],[b9]]*_xlfn.STDEV.P(Tab.11[data]),AVERAGE(Tab.11[b6])+Tab.11[[#This Row],[b9]]*_xlfn.STDEV.P(Tab.11[data])))</f>
        <v>0</v>
      </c>
      <c r="T649" s="71" t="b">
        <f>IF(Tab.11[[#This Row],[a1]]=1,$I$3+$A$988+IF($K$3=0,Tab.11[[#This Row],[b10]]*_xlfn.STDEV.P(Tab.11[data]),AVERAGE(Tab.11[b6])+Tab.11[[#This Row],[b10]]*_xlfn.STDEV.P(Tab.11[data])))</f>
        <v>0</v>
      </c>
      <c r="U649" s="72" t="b">
        <f>IF(Tab.11[[#This Row],[a1]]=1,Tab.11[[#This Row],[target]]-Tab.11[[#This Row],[Red]])</f>
        <v>0</v>
      </c>
      <c r="V649" s="72" t="b">
        <f>IF(Tab.11[[#This Row],[a1]]=1,Tab.11[[#This Row],[target]]-Tab.11[[#This Row],[Blue]])</f>
        <v>0</v>
      </c>
      <c r="W649" s="73" t="b">
        <f>IF(Tab.11[[#This Row],[a1]]=1,IF(ABS(Tab.11[[#This Row],[b17]])+ABS(Tab.11[[#This Row],[b18]])&lt;$W$2,$W$2,ABS(Tab.11[[#This Row],[b17]])+ABS(Tab.11[[#This Row],[b18]])))</f>
        <v>0</v>
      </c>
      <c r="X649" s="136" t="b">
        <f>IF(Tab.11[[#This Row],[a1]]=1,IF($W$3&lt;0,Tab.11[[#This Row],[IN]]-$I$3,Tab.11[[#This Row],[IN]]))</f>
        <v>0</v>
      </c>
      <c r="Y649" s="136" t="b">
        <f>IF(Tab.11[[#This Row],[a1]]=1,IF($X$3=0,Tab.11[b66],Tab.11[[#This Row],[b66]]-AVERAGE(Tab.11[b66])))</f>
        <v>0</v>
      </c>
      <c r="Z649" s="135" t="b">
        <f>IF(Tab.11[[#This Row],[a1]]=1,Tab.11[[#This Row],[b77]]/(_xlfn.STDEV.P(Tab.11[b77])))</f>
        <v>0</v>
      </c>
      <c r="AA649" s="70" t="b">
        <f>IF(Tab.11[[#This Row],[a1]]=1,_xlfn.NORM.DIST(Tab.11[[#This Row],[b88]],$Z$1,$AA$1,FALSE))</f>
        <v>0</v>
      </c>
      <c r="AB649" s="74" t="b">
        <f>IF(Tab.11[[#This Row],[a1]]=1,IF($A$3=0,FALSE,1/Tab.11[[#This Row],[IN]]*$AC$2*IF(Tab.11[[#This Row],[a1]]=0,,$A$3*$AC$1*1/$V$3*(Tab.11[[#This Row],[b14]]))))</f>
        <v>0</v>
      </c>
      <c r="AC649" s="75" t="b">
        <f>IF(Tab.11[[#This Row],[a1]]=1,IF($AC$3=0,Tab.11[[#This Row],[φ1]],Tab.11[[#This Row],[φ1]]/MAX(Tab.11[φ1])))</f>
        <v>0</v>
      </c>
      <c r="AD649" s="74" t="b">
        <f>IF(Tab.11[[#This Row],[a1]]=1,1/Tab.11[[#This Row],[φ2]])</f>
        <v>0</v>
      </c>
      <c r="AE649" s="74" t="b">
        <f>IF(Tab.11[[#This Row],[a1]]=1,IF($AE$3=0,Tab.11[[#This Row],[w.0]],Tab.11[[#This Row],[w.0]]/SUM(Tab.11[w.0])))</f>
        <v>0</v>
      </c>
      <c r="AF649" s="76" t="str">
        <f>IF(Tab.11[[#This Row],[a1]]=0,"false",[3]!Tab.x5[[#This Row],[%_seN_C]])</f>
        <v>false</v>
      </c>
      <c r="AG649" s="77" t="b">
        <f>IF(Tab.11[[#This Row],[a1]]=1,AP649)</f>
        <v>0</v>
      </c>
      <c r="AH649" s="78" t="b">
        <f>IF(Tab.11[[#This Row],[a1]]=1,AQ649)</f>
        <v>0</v>
      </c>
      <c r="AI649" s="41">
        <v>3.0000000000000001E-3</v>
      </c>
      <c r="AJ649" s="79">
        <v>0</v>
      </c>
      <c r="AK649" s="80" t="b">
        <f>IF(Tab.11[[#This Row],[a1]]=1,1)</f>
        <v>0</v>
      </c>
      <c r="AL649"/>
      <c r="AM649"/>
      <c r="AN649"/>
      <c r="AO649"/>
      <c r="AP649"/>
      <c r="AQ649"/>
      <c r="AR649"/>
      <c r="AS649"/>
    </row>
    <row r="650" spans="1:45" s="81" customFormat="1" hidden="1" x14ac:dyDescent="0.25">
      <c r="A650" s="61">
        <f t="shared" si="21"/>
        <v>0</v>
      </c>
      <c r="B650" s="62">
        <f t="shared" si="21"/>
        <v>0</v>
      </c>
      <c r="C650" s="62" t="b">
        <f>IF(Tab.11[[#This Row],[a1]]=1,[3]!Tab_x1[[#This Row],[Name]])</f>
        <v>0</v>
      </c>
      <c r="D650" s="63" t="b">
        <f>IF(Tab.11[[#This Row],[a1]]=1,AO650)</f>
        <v>0</v>
      </c>
      <c r="E650" s="63">
        <f t="shared" si="22"/>
        <v>0</v>
      </c>
      <c r="F650" s="64" t="b">
        <f>IF(Tab.11[[#This Row],[a1]]=1,Tab.11[[#This Row],[b1]])</f>
        <v>0</v>
      </c>
      <c r="G650" s="65" t="b">
        <f>IF(Tab.11[[#This Row],[a1]]=1,IF(Tab.11[[#This Row],[b3]]&gt;$L$989*$G$3,$L$989*$G$3,IF(Tab.11[[#This Row],[b3]]&lt;$M$989*$G$3,$M$989*$G$3,Tab.11[[#This Row],[b3]])))</f>
        <v>0</v>
      </c>
      <c r="H650" s="66" t="b">
        <f>IF(Tab.11[[#This Row],[a1]]=1,Tab.11[[#This Row],[b1]])</f>
        <v>0</v>
      </c>
      <c r="I650" s="67" t="b">
        <f>IF(Tab.11[[#This Row],[a1]]=1,Tab.11[[#This Row],[b1]])</f>
        <v>0</v>
      </c>
      <c r="J650" s="68" t="b">
        <f>IF(Tab.11[[#This Row],[a1]]=1,IF($I$3&lt;0,Tab.11[[#This Row],[b5]]-$I$3,Tab.11[[#This Row],[b5]]))</f>
        <v>0</v>
      </c>
      <c r="K650" s="68" t="b">
        <f>IF(Tab.11[[#This Row],[a1]]=1,IF($K$3=0,Tab.11[b6],Tab.11[[#This Row],[b6]]-AVERAGE(Tab.11[b6])))</f>
        <v>0</v>
      </c>
      <c r="L650" s="69" t="b">
        <f>IF(Tab.11[[#This Row],[a1]]=1,Tab.11[[#This Row],[data]]/(_xlfn.STDEV.P(Tab.11[data])*$B$989)+$A$989)</f>
        <v>0</v>
      </c>
      <c r="M650" s="69" t="b">
        <f>IF(Tab.11[[#This Row],[a1]]=1,Tab.11[[#This Row],[data]]/(_xlfn.STDEV.P(Tab.11[data])*$B$987)-$A$987)</f>
        <v>0</v>
      </c>
      <c r="N650" s="69" t="b">
        <f>IF(Tab.11[[#This Row],[a1]]=1,Tab.11[[#This Row],[data]]/(_xlfn.STDEV.P(Tab.11[data])*$B$988)+$A$988)</f>
        <v>0</v>
      </c>
      <c r="O650" s="70" t="b">
        <f>IF(Tab.11[[#This Row],[a1]]=1,_xlfn.NORM.DIST(Tab.11[[#This Row],[b8]],$P$1,$Q$1,FALSE))</f>
        <v>0</v>
      </c>
      <c r="P650" s="70" t="b">
        <f>IF(Tab.11[[#This Row],[a1]]=1,_xlfn.NORM.DIST(Tab.11[[#This Row],[b9]],$P$1,$Q$1,FALSE))</f>
        <v>0</v>
      </c>
      <c r="Q650" s="70" t="b">
        <f>IF(Tab.11[[#This Row],[a1]]=1,_xlfn.NORM.DIST(Tab.11[[#This Row],[b10]],$P$1,$Q$1,FALSE))</f>
        <v>0</v>
      </c>
      <c r="R650" s="67" t="b">
        <f>IF(Tab.11[[#This Row],[a1]]=1,$I$3+$A$989+IF($K$3=0,Tab.11[[#This Row],[b8]]*_xlfn.STDEV.P(Tab.11[data]),AVERAGE(Tab.11[b6])+Tab.11[[#This Row],[b8]]*_xlfn.STDEV.P(Tab.11[data])))</f>
        <v>0</v>
      </c>
      <c r="S650" s="71" t="b">
        <f>IF(Tab.11[[#This Row],[a1]]=1,$I$3+$A$987+IF($K$3=0,Tab.11[[#This Row],[b9]]*_xlfn.STDEV.P(Tab.11[data]),AVERAGE(Tab.11[b6])+Tab.11[[#This Row],[b9]]*_xlfn.STDEV.P(Tab.11[data])))</f>
        <v>0</v>
      </c>
      <c r="T650" s="71" t="b">
        <f>IF(Tab.11[[#This Row],[a1]]=1,$I$3+$A$988+IF($K$3=0,Tab.11[[#This Row],[b10]]*_xlfn.STDEV.P(Tab.11[data]),AVERAGE(Tab.11[b6])+Tab.11[[#This Row],[b10]]*_xlfn.STDEV.P(Tab.11[data])))</f>
        <v>0</v>
      </c>
      <c r="U650" s="72" t="b">
        <f>IF(Tab.11[[#This Row],[a1]]=1,Tab.11[[#This Row],[target]]-Tab.11[[#This Row],[Red]])</f>
        <v>0</v>
      </c>
      <c r="V650" s="72" t="b">
        <f>IF(Tab.11[[#This Row],[a1]]=1,Tab.11[[#This Row],[target]]-Tab.11[[#This Row],[Blue]])</f>
        <v>0</v>
      </c>
      <c r="W650" s="73" t="b">
        <f>IF(Tab.11[[#This Row],[a1]]=1,IF(ABS(Tab.11[[#This Row],[b17]])+ABS(Tab.11[[#This Row],[b18]])&lt;$W$2,$W$2,ABS(Tab.11[[#This Row],[b17]])+ABS(Tab.11[[#This Row],[b18]])))</f>
        <v>0</v>
      </c>
      <c r="X650" s="136" t="b">
        <f>IF(Tab.11[[#This Row],[a1]]=1,IF($W$3&lt;0,Tab.11[[#This Row],[IN]]-$I$3,Tab.11[[#This Row],[IN]]))</f>
        <v>0</v>
      </c>
      <c r="Y650" s="136" t="b">
        <f>IF(Tab.11[[#This Row],[a1]]=1,IF($X$3=0,Tab.11[b66],Tab.11[[#This Row],[b66]]-AVERAGE(Tab.11[b66])))</f>
        <v>0</v>
      </c>
      <c r="Z650" s="135" t="b">
        <f>IF(Tab.11[[#This Row],[a1]]=1,Tab.11[[#This Row],[b77]]/(_xlfn.STDEV.P(Tab.11[b77])))</f>
        <v>0</v>
      </c>
      <c r="AA650" s="70" t="b">
        <f>IF(Tab.11[[#This Row],[a1]]=1,_xlfn.NORM.DIST(Tab.11[[#This Row],[b88]],$Z$1,$AA$1,FALSE))</f>
        <v>0</v>
      </c>
      <c r="AB650" s="74" t="b">
        <f>IF(Tab.11[[#This Row],[a1]]=1,IF($A$3=0,FALSE,1/Tab.11[[#This Row],[IN]]*$AC$2*IF(Tab.11[[#This Row],[a1]]=0,,$A$3*$AC$1*1/$V$3*(Tab.11[[#This Row],[b14]]))))</f>
        <v>0</v>
      </c>
      <c r="AC650" s="75" t="b">
        <f>IF(Tab.11[[#This Row],[a1]]=1,IF($AC$3=0,Tab.11[[#This Row],[φ1]],Tab.11[[#This Row],[φ1]]/MAX(Tab.11[φ1])))</f>
        <v>0</v>
      </c>
      <c r="AD650" s="74" t="b">
        <f>IF(Tab.11[[#This Row],[a1]]=1,1/Tab.11[[#This Row],[φ2]])</f>
        <v>0</v>
      </c>
      <c r="AE650" s="74" t="b">
        <f>IF(Tab.11[[#This Row],[a1]]=1,IF($AE$3=0,Tab.11[[#This Row],[w.0]],Tab.11[[#This Row],[w.0]]/SUM(Tab.11[w.0])))</f>
        <v>0</v>
      </c>
      <c r="AF650" s="76" t="str">
        <f>IF(Tab.11[[#This Row],[a1]]=0,"false",[3]!Tab.x5[[#This Row],[%_seN_C]])</f>
        <v>false</v>
      </c>
      <c r="AG650" s="77" t="b">
        <f>IF(Tab.11[[#This Row],[a1]]=1,AP650)</f>
        <v>0</v>
      </c>
      <c r="AH650" s="78" t="b">
        <f>IF(Tab.11[[#This Row],[a1]]=1,AQ650)</f>
        <v>0</v>
      </c>
      <c r="AI650" s="41">
        <v>3.0000000000000001E-3</v>
      </c>
      <c r="AJ650" s="79">
        <v>0.04</v>
      </c>
      <c r="AK650" s="80" t="b">
        <f>IF(Tab.11[[#This Row],[a1]]=1,1)</f>
        <v>0</v>
      </c>
      <c r="AL650"/>
      <c r="AM650"/>
      <c r="AN650"/>
      <c r="AO650"/>
      <c r="AP650"/>
      <c r="AQ650"/>
      <c r="AR650"/>
      <c r="AS650"/>
    </row>
    <row r="651" spans="1:45" s="81" customFormat="1" hidden="1" x14ac:dyDescent="0.25">
      <c r="A651" s="61">
        <f t="shared" si="21"/>
        <v>0</v>
      </c>
      <c r="B651" s="62">
        <f t="shared" si="21"/>
        <v>0</v>
      </c>
      <c r="C651" s="62" t="b">
        <f>IF(Tab.11[[#This Row],[a1]]=1,[3]!Tab_x1[[#This Row],[Name]])</f>
        <v>0</v>
      </c>
      <c r="D651" s="63" t="b">
        <f>IF(Tab.11[[#This Row],[a1]]=1,AO651)</f>
        <v>0</v>
      </c>
      <c r="E651" s="63">
        <f t="shared" si="22"/>
        <v>0</v>
      </c>
      <c r="F651" s="64" t="b">
        <f>IF(Tab.11[[#This Row],[a1]]=1,Tab.11[[#This Row],[b1]])</f>
        <v>0</v>
      </c>
      <c r="G651" s="65" t="b">
        <f>IF(Tab.11[[#This Row],[a1]]=1,IF(Tab.11[[#This Row],[b3]]&gt;$L$989*$G$3,$L$989*$G$3,IF(Tab.11[[#This Row],[b3]]&lt;$M$989*$G$3,$M$989*$G$3,Tab.11[[#This Row],[b3]])))</f>
        <v>0</v>
      </c>
      <c r="H651" s="66" t="b">
        <f>IF(Tab.11[[#This Row],[a1]]=1,Tab.11[[#This Row],[b1]])</f>
        <v>0</v>
      </c>
      <c r="I651" s="67" t="b">
        <f>IF(Tab.11[[#This Row],[a1]]=1,Tab.11[[#This Row],[b1]])</f>
        <v>0</v>
      </c>
      <c r="J651" s="68" t="b">
        <f>IF(Tab.11[[#This Row],[a1]]=1,IF($I$3&lt;0,Tab.11[[#This Row],[b5]]-$I$3,Tab.11[[#This Row],[b5]]))</f>
        <v>0</v>
      </c>
      <c r="K651" s="68" t="b">
        <f>IF(Tab.11[[#This Row],[a1]]=1,IF($K$3=0,Tab.11[b6],Tab.11[[#This Row],[b6]]-AVERAGE(Tab.11[b6])))</f>
        <v>0</v>
      </c>
      <c r="L651" s="69" t="b">
        <f>IF(Tab.11[[#This Row],[a1]]=1,Tab.11[[#This Row],[data]]/(_xlfn.STDEV.P(Tab.11[data])*$B$989)+$A$989)</f>
        <v>0</v>
      </c>
      <c r="M651" s="69" t="b">
        <f>IF(Tab.11[[#This Row],[a1]]=1,Tab.11[[#This Row],[data]]/(_xlfn.STDEV.P(Tab.11[data])*$B$987)-$A$987)</f>
        <v>0</v>
      </c>
      <c r="N651" s="69" t="b">
        <f>IF(Tab.11[[#This Row],[a1]]=1,Tab.11[[#This Row],[data]]/(_xlfn.STDEV.P(Tab.11[data])*$B$988)+$A$988)</f>
        <v>0</v>
      </c>
      <c r="O651" s="70" t="b">
        <f>IF(Tab.11[[#This Row],[a1]]=1,_xlfn.NORM.DIST(Tab.11[[#This Row],[b8]],$P$1,$Q$1,FALSE))</f>
        <v>0</v>
      </c>
      <c r="P651" s="70" t="b">
        <f>IF(Tab.11[[#This Row],[a1]]=1,_xlfn.NORM.DIST(Tab.11[[#This Row],[b9]],$P$1,$Q$1,FALSE))</f>
        <v>0</v>
      </c>
      <c r="Q651" s="70" t="b">
        <f>IF(Tab.11[[#This Row],[a1]]=1,_xlfn.NORM.DIST(Tab.11[[#This Row],[b10]],$P$1,$Q$1,FALSE))</f>
        <v>0</v>
      </c>
      <c r="R651" s="67" t="b">
        <f>IF(Tab.11[[#This Row],[a1]]=1,$I$3+$A$989+IF($K$3=0,Tab.11[[#This Row],[b8]]*_xlfn.STDEV.P(Tab.11[data]),AVERAGE(Tab.11[b6])+Tab.11[[#This Row],[b8]]*_xlfn.STDEV.P(Tab.11[data])))</f>
        <v>0</v>
      </c>
      <c r="S651" s="71" t="b">
        <f>IF(Tab.11[[#This Row],[a1]]=1,$I$3+$A$987+IF($K$3=0,Tab.11[[#This Row],[b9]]*_xlfn.STDEV.P(Tab.11[data]),AVERAGE(Tab.11[b6])+Tab.11[[#This Row],[b9]]*_xlfn.STDEV.P(Tab.11[data])))</f>
        <v>0</v>
      </c>
      <c r="T651" s="71" t="b">
        <f>IF(Tab.11[[#This Row],[a1]]=1,$I$3+$A$988+IF($K$3=0,Tab.11[[#This Row],[b10]]*_xlfn.STDEV.P(Tab.11[data]),AVERAGE(Tab.11[b6])+Tab.11[[#This Row],[b10]]*_xlfn.STDEV.P(Tab.11[data])))</f>
        <v>0</v>
      </c>
      <c r="U651" s="72" t="b">
        <f>IF(Tab.11[[#This Row],[a1]]=1,Tab.11[[#This Row],[target]]-Tab.11[[#This Row],[Red]])</f>
        <v>0</v>
      </c>
      <c r="V651" s="72" t="b">
        <f>IF(Tab.11[[#This Row],[a1]]=1,Tab.11[[#This Row],[target]]-Tab.11[[#This Row],[Blue]])</f>
        <v>0</v>
      </c>
      <c r="W651" s="73" t="b">
        <f>IF(Tab.11[[#This Row],[a1]]=1,IF(ABS(Tab.11[[#This Row],[b17]])+ABS(Tab.11[[#This Row],[b18]])&lt;$W$2,$W$2,ABS(Tab.11[[#This Row],[b17]])+ABS(Tab.11[[#This Row],[b18]])))</f>
        <v>0</v>
      </c>
      <c r="X651" s="136" t="b">
        <f>IF(Tab.11[[#This Row],[a1]]=1,IF($W$3&lt;0,Tab.11[[#This Row],[IN]]-$I$3,Tab.11[[#This Row],[IN]]))</f>
        <v>0</v>
      </c>
      <c r="Y651" s="136" t="b">
        <f>IF(Tab.11[[#This Row],[a1]]=1,IF($X$3=0,Tab.11[b66],Tab.11[[#This Row],[b66]]-AVERAGE(Tab.11[b66])))</f>
        <v>0</v>
      </c>
      <c r="Z651" s="135" t="b">
        <f>IF(Tab.11[[#This Row],[a1]]=1,Tab.11[[#This Row],[b77]]/(_xlfn.STDEV.P(Tab.11[b77])))</f>
        <v>0</v>
      </c>
      <c r="AA651" s="70" t="b">
        <f>IF(Tab.11[[#This Row],[a1]]=1,_xlfn.NORM.DIST(Tab.11[[#This Row],[b88]],$Z$1,$AA$1,FALSE))</f>
        <v>0</v>
      </c>
      <c r="AB651" s="74" t="b">
        <f>IF(Tab.11[[#This Row],[a1]]=1,IF($A$3=0,FALSE,1/Tab.11[[#This Row],[IN]]*$AC$2*IF(Tab.11[[#This Row],[a1]]=0,,$A$3*$AC$1*1/$V$3*(Tab.11[[#This Row],[b14]]))))</f>
        <v>0</v>
      </c>
      <c r="AC651" s="75" t="b">
        <f>IF(Tab.11[[#This Row],[a1]]=1,IF($AC$3=0,Tab.11[[#This Row],[φ1]],Tab.11[[#This Row],[φ1]]/MAX(Tab.11[φ1])))</f>
        <v>0</v>
      </c>
      <c r="AD651" s="74" t="b">
        <f>IF(Tab.11[[#This Row],[a1]]=1,1/Tab.11[[#This Row],[φ2]])</f>
        <v>0</v>
      </c>
      <c r="AE651" s="74" t="b">
        <f>IF(Tab.11[[#This Row],[a1]]=1,IF($AE$3=0,Tab.11[[#This Row],[w.0]],Tab.11[[#This Row],[w.0]]/SUM(Tab.11[w.0])))</f>
        <v>0</v>
      </c>
      <c r="AF651" s="76" t="str">
        <f>IF(Tab.11[[#This Row],[a1]]=0,"false",[3]!Tab.x5[[#This Row],[%_seN_C]])</f>
        <v>false</v>
      </c>
      <c r="AG651" s="77" t="b">
        <f>IF(Tab.11[[#This Row],[a1]]=1,AP651)</f>
        <v>0</v>
      </c>
      <c r="AH651" s="78" t="b">
        <f>IF(Tab.11[[#This Row],[a1]]=1,AQ651)</f>
        <v>0</v>
      </c>
      <c r="AI651" s="41">
        <v>3.0000000000000001E-3</v>
      </c>
      <c r="AJ651" s="79">
        <v>-0.06</v>
      </c>
      <c r="AK651" s="80" t="b">
        <f>IF(Tab.11[[#This Row],[a1]]=1,1)</f>
        <v>0</v>
      </c>
      <c r="AL651"/>
      <c r="AM651"/>
      <c r="AN651"/>
      <c r="AO651"/>
      <c r="AP651"/>
      <c r="AQ651"/>
      <c r="AR651"/>
      <c r="AS651"/>
    </row>
    <row r="652" spans="1:45" s="81" customFormat="1" hidden="1" x14ac:dyDescent="0.25">
      <c r="A652" s="61">
        <f t="shared" si="21"/>
        <v>0</v>
      </c>
      <c r="B652" s="62">
        <f t="shared" si="21"/>
        <v>0</v>
      </c>
      <c r="C652" s="62" t="b">
        <f>IF(Tab.11[[#This Row],[a1]]=1,[3]!Tab_x1[[#This Row],[Name]])</f>
        <v>0</v>
      </c>
      <c r="D652" s="63" t="b">
        <f>IF(Tab.11[[#This Row],[a1]]=1,AO652)</f>
        <v>0</v>
      </c>
      <c r="E652" s="63">
        <f t="shared" si="22"/>
        <v>0</v>
      </c>
      <c r="F652" s="64" t="b">
        <f>IF(Tab.11[[#This Row],[a1]]=1,Tab.11[[#This Row],[b1]])</f>
        <v>0</v>
      </c>
      <c r="G652" s="65" t="b">
        <f>IF(Tab.11[[#This Row],[a1]]=1,IF(Tab.11[[#This Row],[b3]]&gt;$L$989*$G$3,$L$989*$G$3,IF(Tab.11[[#This Row],[b3]]&lt;$M$989*$G$3,$M$989*$G$3,Tab.11[[#This Row],[b3]])))</f>
        <v>0</v>
      </c>
      <c r="H652" s="66" t="b">
        <f>IF(Tab.11[[#This Row],[a1]]=1,Tab.11[[#This Row],[b1]])</f>
        <v>0</v>
      </c>
      <c r="I652" s="67" t="b">
        <f>IF(Tab.11[[#This Row],[a1]]=1,Tab.11[[#This Row],[b1]])</f>
        <v>0</v>
      </c>
      <c r="J652" s="68" t="b">
        <f>IF(Tab.11[[#This Row],[a1]]=1,IF($I$3&lt;0,Tab.11[[#This Row],[b5]]-$I$3,Tab.11[[#This Row],[b5]]))</f>
        <v>0</v>
      </c>
      <c r="K652" s="68" t="b">
        <f>IF(Tab.11[[#This Row],[a1]]=1,IF($K$3=0,Tab.11[b6],Tab.11[[#This Row],[b6]]-AVERAGE(Tab.11[b6])))</f>
        <v>0</v>
      </c>
      <c r="L652" s="69" t="b">
        <f>IF(Tab.11[[#This Row],[a1]]=1,Tab.11[[#This Row],[data]]/(_xlfn.STDEV.P(Tab.11[data])*$B$989)+$A$989)</f>
        <v>0</v>
      </c>
      <c r="M652" s="69" t="b">
        <f>IF(Tab.11[[#This Row],[a1]]=1,Tab.11[[#This Row],[data]]/(_xlfn.STDEV.P(Tab.11[data])*$B$987)-$A$987)</f>
        <v>0</v>
      </c>
      <c r="N652" s="69" t="b">
        <f>IF(Tab.11[[#This Row],[a1]]=1,Tab.11[[#This Row],[data]]/(_xlfn.STDEV.P(Tab.11[data])*$B$988)+$A$988)</f>
        <v>0</v>
      </c>
      <c r="O652" s="70" t="b">
        <f>IF(Tab.11[[#This Row],[a1]]=1,_xlfn.NORM.DIST(Tab.11[[#This Row],[b8]],$P$1,$Q$1,FALSE))</f>
        <v>0</v>
      </c>
      <c r="P652" s="70" t="b">
        <f>IF(Tab.11[[#This Row],[a1]]=1,_xlfn.NORM.DIST(Tab.11[[#This Row],[b9]],$P$1,$Q$1,FALSE))</f>
        <v>0</v>
      </c>
      <c r="Q652" s="70" t="b">
        <f>IF(Tab.11[[#This Row],[a1]]=1,_xlfn.NORM.DIST(Tab.11[[#This Row],[b10]],$P$1,$Q$1,FALSE))</f>
        <v>0</v>
      </c>
      <c r="R652" s="67" t="b">
        <f>IF(Tab.11[[#This Row],[a1]]=1,$I$3+$A$989+IF($K$3=0,Tab.11[[#This Row],[b8]]*_xlfn.STDEV.P(Tab.11[data]),AVERAGE(Tab.11[b6])+Tab.11[[#This Row],[b8]]*_xlfn.STDEV.P(Tab.11[data])))</f>
        <v>0</v>
      </c>
      <c r="S652" s="71" t="b">
        <f>IF(Tab.11[[#This Row],[a1]]=1,$I$3+$A$987+IF($K$3=0,Tab.11[[#This Row],[b9]]*_xlfn.STDEV.P(Tab.11[data]),AVERAGE(Tab.11[b6])+Tab.11[[#This Row],[b9]]*_xlfn.STDEV.P(Tab.11[data])))</f>
        <v>0</v>
      </c>
      <c r="T652" s="71" t="b">
        <f>IF(Tab.11[[#This Row],[a1]]=1,$I$3+$A$988+IF($K$3=0,Tab.11[[#This Row],[b10]]*_xlfn.STDEV.P(Tab.11[data]),AVERAGE(Tab.11[b6])+Tab.11[[#This Row],[b10]]*_xlfn.STDEV.P(Tab.11[data])))</f>
        <v>0</v>
      </c>
      <c r="U652" s="72" t="b">
        <f>IF(Tab.11[[#This Row],[a1]]=1,Tab.11[[#This Row],[target]]-Tab.11[[#This Row],[Red]])</f>
        <v>0</v>
      </c>
      <c r="V652" s="72" t="b">
        <f>IF(Tab.11[[#This Row],[a1]]=1,Tab.11[[#This Row],[target]]-Tab.11[[#This Row],[Blue]])</f>
        <v>0</v>
      </c>
      <c r="W652" s="73" t="b">
        <f>IF(Tab.11[[#This Row],[a1]]=1,IF(ABS(Tab.11[[#This Row],[b17]])+ABS(Tab.11[[#This Row],[b18]])&lt;$W$2,$W$2,ABS(Tab.11[[#This Row],[b17]])+ABS(Tab.11[[#This Row],[b18]])))</f>
        <v>0</v>
      </c>
      <c r="X652" s="136" t="b">
        <f>IF(Tab.11[[#This Row],[a1]]=1,IF($W$3&lt;0,Tab.11[[#This Row],[IN]]-$I$3,Tab.11[[#This Row],[IN]]))</f>
        <v>0</v>
      </c>
      <c r="Y652" s="136" t="b">
        <f>IF(Tab.11[[#This Row],[a1]]=1,IF($X$3=0,Tab.11[b66],Tab.11[[#This Row],[b66]]-AVERAGE(Tab.11[b66])))</f>
        <v>0</v>
      </c>
      <c r="Z652" s="135" t="b">
        <f>IF(Tab.11[[#This Row],[a1]]=1,Tab.11[[#This Row],[b77]]/(_xlfn.STDEV.P(Tab.11[b77])))</f>
        <v>0</v>
      </c>
      <c r="AA652" s="70" t="b">
        <f>IF(Tab.11[[#This Row],[a1]]=1,_xlfn.NORM.DIST(Tab.11[[#This Row],[b88]],$Z$1,$AA$1,FALSE))</f>
        <v>0</v>
      </c>
      <c r="AB652" s="74" t="b">
        <f>IF(Tab.11[[#This Row],[a1]]=1,IF($A$3=0,FALSE,1/Tab.11[[#This Row],[IN]]*$AC$2*IF(Tab.11[[#This Row],[a1]]=0,,$A$3*$AC$1*1/$V$3*(Tab.11[[#This Row],[b14]]))))</f>
        <v>0</v>
      </c>
      <c r="AC652" s="75" t="b">
        <f>IF(Tab.11[[#This Row],[a1]]=1,IF($AC$3=0,Tab.11[[#This Row],[φ1]],Tab.11[[#This Row],[φ1]]/MAX(Tab.11[φ1])))</f>
        <v>0</v>
      </c>
      <c r="AD652" s="74" t="b">
        <f>IF(Tab.11[[#This Row],[a1]]=1,1/Tab.11[[#This Row],[φ2]])</f>
        <v>0</v>
      </c>
      <c r="AE652" s="74" t="b">
        <f>IF(Tab.11[[#This Row],[a1]]=1,IF($AE$3=0,Tab.11[[#This Row],[w.0]],Tab.11[[#This Row],[w.0]]/SUM(Tab.11[w.0])))</f>
        <v>0</v>
      </c>
      <c r="AF652" s="76" t="str">
        <f>IF(Tab.11[[#This Row],[a1]]=0,"false",[3]!Tab.x5[[#This Row],[%_seN_C]])</f>
        <v>false</v>
      </c>
      <c r="AG652" s="77" t="b">
        <f>IF(Tab.11[[#This Row],[a1]]=1,AP652)</f>
        <v>0</v>
      </c>
      <c r="AH652" s="78" t="b">
        <f>IF(Tab.11[[#This Row],[a1]]=1,AQ652)</f>
        <v>0</v>
      </c>
      <c r="AI652" s="41">
        <v>3.0000000000000001E-3</v>
      </c>
      <c r="AJ652" s="79">
        <v>-0.02</v>
      </c>
      <c r="AK652" s="80" t="b">
        <f>IF(Tab.11[[#This Row],[a1]]=1,1)</f>
        <v>0</v>
      </c>
      <c r="AL652"/>
      <c r="AM652"/>
      <c r="AN652"/>
      <c r="AO652"/>
      <c r="AP652"/>
      <c r="AQ652"/>
      <c r="AR652"/>
      <c r="AS652"/>
    </row>
    <row r="653" spans="1:45" s="81" customFormat="1" hidden="1" x14ac:dyDescent="0.25">
      <c r="A653" s="61">
        <f t="shared" si="21"/>
        <v>0</v>
      </c>
      <c r="B653" s="62">
        <f t="shared" si="21"/>
        <v>0</v>
      </c>
      <c r="C653" s="62" t="b">
        <f>IF(Tab.11[[#This Row],[a1]]=1,[3]!Tab_x1[[#This Row],[Name]])</f>
        <v>0</v>
      </c>
      <c r="D653" s="63" t="b">
        <f>IF(Tab.11[[#This Row],[a1]]=1,AO653)</f>
        <v>0</v>
      </c>
      <c r="E653" s="63">
        <f t="shared" si="22"/>
        <v>0</v>
      </c>
      <c r="F653" s="64" t="b">
        <f>IF(Tab.11[[#This Row],[a1]]=1,Tab.11[[#This Row],[b1]])</f>
        <v>0</v>
      </c>
      <c r="G653" s="65" t="b">
        <f>IF(Tab.11[[#This Row],[a1]]=1,IF(Tab.11[[#This Row],[b3]]&gt;$L$989*$G$3,$L$989*$G$3,IF(Tab.11[[#This Row],[b3]]&lt;$M$989*$G$3,$M$989*$G$3,Tab.11[[#This Row],[b3]])))</f>
        <v>0</v>
      </c>
      <c r="H653" s="66" t="b">
        <f>IF(Tab.11[[#This Row],[a1]]=1,Tab.11[[#This Row],[b1]])</f>
        <v>0</v>
      </c>
      <c r="I653" s="67" t="b">
        <f>IF(Tab.11[[#This Row],[a1]]=1,Tab.11[[#This Row],[b1]])</f>
        <v>0</v>
      </c>
      <c r="J653" s="68" t="b">
        <f>IF(Tab.11[[#This Row],[a1]]=1,IF($I$3&lt;0,Tab.11[[#This Row],[b5]]-$I$3,Tab.11[[#This Row],[b5]]))</f>
        <v>0</v>
      </c>
      <c r="K653" s="68" t="b">
        <f>IF(Tab.11[[#This Row],[a1]]=1,IF($K$3=0,Tab.11[b6],Tab.11[[#This Row],[b6]]-AVERAGE(Tab.11[b6])))</f>
        <v>0</v>
      </c>
      <c r="L653" s="69" t="b">
        <f>IF(Tab.11[[#This Row],[a1]]=1,Tab.11[[#This Row],[data]]/(_xlfn.STDEV.P(Tab.11[data])*$B$989)+$A$989)</f>
        <v>0</v>
      </c>
      <c r="M653" s="69" t="b">
        <f>IF(Tab.11[[#This Row],[a1]]=1,Tab.11[[#This Row],[data]]/(_xlfn.STDEV.P(Tab.11[data])*$B$987)-$A$987)</f>
        <v>0</v>
      </c>
      <c r="N653" s="69" t="b">
        <f>IF(Tab.11[[#This Row],[a1]]=1,Tab.11[[#This Row],[data]]/(_xlfn.STDEV.P(Tab.11[data])*$B$988)+$A$988)</f>
        <v>0</v>
      </c>
      <c r="O653" s="70" t="b">
        <f>IF(Tab.11[[#This Row],[a1]]=1,_xlfn.NORM.DIST(Tab.11[[#This Row],[b8]],$P$1,$Q$1,FALSE))</f>
        <v>0</v>
      </c>
      <c r="P653" s="70" t="b">
        <f>IF(Tab.11[[#This Row],[a1]]=1,_xlfn.NORM.DIST(Tab.11[[#This Row],[b9]],$P$1,$Q$1,FALSE))</f>
        <v>0</v>
      </c>
      <c r="Q653" s="70" t="b">
        <f>IF(Tab.11[[#This Row],[a1]]=1,_xlfn.NORM.DIST(Tab.11[[#This Row],[b10]],$P$1,$Q$1,FALSE))</f>
        <v>0</v>
      </c>
      <c r="R653" s="67" t="b">
        <f>IF(Tab.11[[#This Row],[a1]]=1,$I$3+$A$989+IF($K$3=0,Tab.11[[#This Row],[b8]]*_xlfn.STDEV.P(Tab.11[data]),AVERAGE(Tab.11[b6])+Tab.11[[#This Row],[b8]]*_xlfn.STDEV.P(Tab.11[data])))</f>
        <v>0</v>
      </c>
      <c r="S653" s="71" t="b">
        <f>IF(Tab.11[[#This Row],[a1]]=1,$I$3+$A$987+IF($K$3=0,Tab.11[[#This Row],[b9]]*_xlfn.STDEV.P(Tab.11[data]),AVERAGE(Tab.11[b6])+Tab.11[[#This Row],[b9]]*_xlfn.STDEV.P(Tab.11[data])))</f>
        <v>0</v>
      </c>
      <c r="T653" s="71" t="b">
        <f>IF(Tab.11[[#This Row],[a1]]=1,$I$3+$A$988+IF($K$3=0,Tab.11[[#This Row],[b10]]*_xlfn.STDEV.P(Tab.11[data]),AVERAGE(Tab.11[b6])+Tab.11[[#This Row],[b10]]*_xlfn.STDEV.P(Tab.11[data])))</f>
        <v>0</v>
      </c>
      <c r="U653" s="72" t="b">
        <f>IF(Tab.11[[#This Row],[a1]]=1,Tab.11[[#This Row],[target]]-Tab.11[[#This Row],[Red]])</f>
        <v>0</v>
      </c>
      <c r="V653" s="72" t="b">
        <f>IF(Tab.11[[#This Row],[a1]]=1,Tab.11[[#This Row],[target]]-Tab.11[[#This Row],[Blue]])</f>
        <v>0</v>
      </c>
      <c r="W653" s="73" t="b">
        <f>IF(Tab.11[[#This Row],[a1]]=1,IF(ABS(Tab.11[[#This Row],[b17]])+ABS(Tab.11[[#This Row],[b18]])&lt;$W$2,$W$2,ABS(Tab.11[[#This Row],[b17]])+ABS(Tab.11[[#This Row],[b18]])))</f>
        <v>0</v>
      </c>
      <c r="X653" s="136" t="b">
        <f>IF(Tab.11[[#This Row],[a1]]=1,IF($W$3&lt;0,Tab.11[[#This Row],[IN]]-$I$3,Tab.11[[#This Row],[IN]]))</f>
        <v>0</v>
      </c>
      <c r="Y653" s="136" t="b">
        <f>IF(Tab.11[[#This Row],[a1]]=1,IF($X$3=0,Tab.11[b66],Tab.11[[#This Row],[b66]]-AVERAGE(Tab.11[b66])))</f>
        <v>0</v>
      </c>
      <c r="Z653" s="135" t="b">
        <f>IF(Tab.11[[#This Row],[a1]]=1,Tab.11[[#This Row],[b77]]/(_xlfn.STDEV.P(Tab.11[b77])))</f>
        <v>0</v>
      </c>
      <c r="AA653" s="70" t="b">
        <f>IF(Tab.11[[#This Row],[a1]]=1,_xlfn.NORM.DIST(Tab.11[[#This Row],[b88]],$Z$1,$AA$1,FALSE))</f>
        <v>0</v>
      </c>
      <c r="AB653" s="74" t="b">
        <f>IF(Tab.11[[#This Row],[a1]]=1,IF($A$3=0,FALSE,1/Tab.11[[#This Row],[IN]]*$AC$2*IF(Tab.11[[#This Row],[a1]]=0,,$A$3*$AC$1*1/$V$3*(Tab.11[[#This Row],[b14]]))))</f>
        <v>0</v>
      </c>
      <c r="AC653" s="75" t="b">
        <f>IF(Tab.11[[#This Row],[a1]]=1,IF($AC$3=0,Tab.11[[#This Row],[φ1]],Tab.11[[#This Row],[φ1]]/MAX(Tab.11[φ1])))</f>
        <v>0</v>
      </c>
      <c r="AD653" s="74" t="b">
        <f>IF(Tab.11[[#This Row],[a1]]=1,1/Tab.11[[#This Row],[φ2]])</f>
        <v>0</v>
      </c>
      <c r="AE653" s="74" t="b">
        <f>IF(Tab.11[[#This Row],[a1]]=1,IF($AE$3=0,Tab.11[[#This Row],[w.0]],Tab.11[[#This Row],[w.0]]/SUM(Tab.11[w.0])))</f>
        <v>0</v>
      </c>
      <c r="AF653" s="76" t="str">
        <f>IF(Tab.11[[#This Row],[a1]]=0,"false",[3]!Tab.x5[[#This Row],[%_seN_C]])</f>
        <v>false</v>
      </c>
      <c r="AG653" s="77" t="b">
        <f>IF(Tab.11[[#This Row],[a1]]=1,AP653)</f>
        <v>0</v>
      </c>
      <c r="AH653" s="78" t="b">
        <f>IF(Tab.11[[#This Row],[a1]]=1,AQ653)</f>
        <v>0</v>
      </c>
      <c r="AI653" s="41">
        <v>3.0000000000000001E-3</v>
      </c>
      <c r="AJ653" s="79">
        <v>-0.01</v>
      </c>
      <c r="AK653" s="80" t="b">
        <f>IF(Tab.11[[#This Row],[a1]]=1,1)</f>
        <v>0</v>
      </c>
      <c r="AL653"/>
      <c r="AM653"/>
      <c r="AN653"/>
      <c r="AO653"/>
      <c r="AP653"/>
      <c r="AQ653"/>
      <c r="AR653"/>
      <c r="AS653"/>
    </row>
    <row r="654" spans="1:45" s="81" customFormat="1" hidden="1" x14ac:dyDescent="0.25">
      <c r="A654" s="61">
        <f t="shared" si="21"/>
        <v>0</v>
      </c>
      <c r="B654" s="62">
        <f t="shared" si="21"/>
        <v>0</v>
      </c>
      <c r="C654" s="62" t="b">
        <f>IF(Tab.11[[#This Row],[a1]]=1,[3]!Tab_x1[[#This Row],[Name]])</f>
        <v>0</v>
      </c>
      <c r="D654" s="63" t="b">
        <f>IF(Tab.11[[#This Row],[a1]]=1,AO654)</f>
        <v>0</v>
      </c>
      <c r="E654" s="63">
        <f t="shared" si="22"/>
        <v>0</v>
      </c>
      <c r="F654" s="64" t="b">
        <f>IF(Tab.11[[#This Row],[a1]]=1,Tab.11[[#This Row],[b1]])</f>
        <v>0</v>
      </c>
      <c r="G654" s="65" t="b">
        <f>IF(Tab.11[[#This Row],[a1]]=1,IF(Tab.11[[#This Row],[b3]]&gt;$L$989*$G$3,$L$989*$G$3,IF(Tab.11[[#This Row],[b3]]&lt;$M$989*$G$3,$M$989*$G$3,Tab.11[[#This Row],[b3]])))</f>
        <v>0</v>
      </c>
      <c r="H654" s="66" t="b">
        <f>IF(Tab.11[[#This Row],[a1]]=1,Tab.11[[#This Row],[b1]])</f>
        <v>0</v>
      </c>
      <c r="I654" s="67" t="b">
        <f>IF(Tab.11[[#This Row],[a1]]=1,Tab.11[[#This Row],[b1]])</f>
        <v>0</v>
      </c>
      <c r="J654" s="68" t="b">
        <f>IF(Tab.11[[#This Row],[a1]]=1,IF($I$3&lt;0,Tab.11[[#This Row],[b5]]-$I$3,Tab.11[[#This Row],[b5]]))</f>
        <v>0</v>
      </c>
      <c r="K654" s="68" t="b">
        <f>IF(Tab.11[[#This Row],[a1]]=1,IF($K$3=0,Tab.11[b6],Tab.11[[#This Row],[b6]]-AVERAGE(Tab.11[b6])))</f>
        <v>0</v>
      </c>
      <c r="L654" s="69" t="b">
        <f>IF(Tab.11[[#This Row],[a1]]=1,Tab.11[[#This Row],[data]]/(_xlfn.STDEV.P(Tab.11[data])*$B$989)+$A$989)</f>
        <v>0</v>
      </c>
      <c r="M654" s="69" t="b">
        <f>IF(Tab.11[[#This Row],[a1]]=1,Tab.11[[#This Row],[data]]/(_xlfn.STDEV.P(Tab.11[data])*$B$987)-$A$987)</f>
        <v>0</v>
      </c>
      <c r="N654" s="69" t="b">
        <f>IF(Tab.11[[#This Row],[a1]]=1,Tab.11[[#This Row],[data]]/(_xlfn.STDEV.P(Tab.11[data])*$B$988)+$A$988)</f>
        <v>0</v>
      </c>
      <c r="O654" s="70" t="b">
        <f>IF(Tab.11[[#This Row],[a1]]=1,_xlfn.NORM.DIST(Tab.11[[#This Row],[b8]],$P$1,$Q$1,FALSE))</f>
        <v>0</v>
      </c>
      <c r="P654" s="70" t="b">
        <f>IF(Tab.11[[#This Row],[a1]]=1,_xlfn.NORM.DIST(Tab.11[[#This Row],[b9]],$P$1,$Q$1,FALSE))</f>
        <v>0</v>
      </c>
      <c r="Q654" s="70" t="b">
        <f>IF(Tab.11[[#This Row],[a1]]=1,_xlfn.NORM.DIST(Tab.11[[#This Row],[b10]],$P$1,$Q$1,FALSE))</f>
        <v>0</v>
      </c>
      <c r="R654" s="67" t="b">
        <f>IF(Tab.11[[#This Row],[a1]]=1,$I$3+$A$989+IF($K$3=0,Tab.11[[#This Row],[b8]]*_xlfn.STDEV.P(Tab.11[data]),AVERAGE(Tab.11[b6])+Tab.11[[#This Row],[b8]]*_xlfn.STDEV.P(Tab.11[data])))</f>
        <v>0</v>
      </c>
      <c r="S654" s="71" t="b">
        <f>IF(Tab.11[[#This Row],[a1]]=1,$I$3+$A$987+IF($K$3=0,Tab.11[[#This Row],[b9]]*_xlfn.STDEV.P(Tab.11[data]),AVERAGE(Tab.11[b6])+Tab.11[[#This Row],[b9]]*_xlfn.STDEV.P(Tab.11[data])))</f>
        <v>0</v>
      </c>
      <c r="T654" s="71" t="b">
        <f>IF(Tab.11[[#This Row],[a1]]=1,$I$3+$A$988+IF($K$3=0,Tab.11[[#This Row],[b10]]*_xlfn.STDEV.P(Tab.11[data]),AVERAGE(Tab.11[b6])+Tab.11[[#This Row],[b10]]*_xlfn.STDEV.P(Tab.11[data])))</f>
        <v>0</v>
      </c>
      <c r="U654" s="72" t="b">
        <f>IF(Tab.11[[#This Row],[a1]]=1,Tab.11[[#This Row],[target]]-Tab.11[[#This Row],[Red]])</f>
        <v>0</v>
      </c>
      <c r="V654" s="72" t="b">
        <f>IF(Tab.11[[#This Row],[a1]]=1,Tab.11[[#This Row],[target]]-Tab.11[[#This Row],[Blue]])</f>
        <v>0</v>
      </c>
      <c r="W654" s="73" t="b">
        <f>IF(Tab.11[[#This Row],[a1]]=1,IF(ABS(Tab.11[[#This Row],[b17]])+ABS(Tab.11[[#This Row],[b18]])&lt;$W$2,$W$2,ABS(Tab.11[[#This Row],[b17]])+ABS(Tab.11[[#This Row],[b18]])))</f>
        <v>0</v>
      </c>
      <c r="X654" s="136" t="b">
        <f>IF(Tab.11[[#This Row],[a1]]=1,IF($W$3&lt;0,Tab.11[[#This Row],[IN]]-$I$3,Tab.11[[#This Row],[IN]]))</f>
        <v>0</v>
      </c>
      <c r="Y654" s="136" t="b">
        <f>IF(Tab.11[[#This Row],[a1]]=1,IF($X$3=0,Tab.11[b66],Tab.11[[#This Row],[b66]]-AVERAGE(Tab.11[b66])))</f>
        <v>0</v>
      </c>
      <c r="Z654" s="135" t="b">
        <f>IF(Tab.11[[#This Row],[a1]]=1,Tab.11[[#This Row],[b77]]/(_xlfn.STDEV.P(Tab.11[b77])))</f>
        <v>0</v>
      </c>
      <c r="AA654" s="70" t="b">
        <f>IF(Tab.11[[#This Row],[a1]]=1,_xlfn.NORM.DIST(Tab.11[[#This Row],[b88]],$Z$1,$AA$1,FALSE))</f>
        <v>0</v>
      </c>
      <c r="AB654" s="74" t="b">
        <f>IF(Tab.11[[#This Row],[a1]]=1,IF($A$3=0,FALSE,1/Tab.11[[#This Row],[IN]]*$AC$2*IF(Tab.11[[#This Row],[a1]]=0,,$A$3*$AC$1*1/$V$3*(Tab.11[[#This Row],[b14]]))))</f>
        <v>0</v>
      </c>
      <c r="AC654" s="75" t="b">
        <f>IF(Tab.11[[#This Row],[a1]]=1,IF($AC$3=0,Tab.11[[#This Row],[φ1]],Tab.11[[#This Row],[φ1]]/MAX(Tab.11[φ1])))</f>
        <v>0</v>
      </c>
      <c r="AD654" s="74" t="b">
        <f>IF(Tab.11[[#This Row],[a1]]=1,1/Tab.11[[#This Row],[φ2]])</f>
        <v>0</v>
      </c>
      <c r="AE654" s="74" t="b">
        <f>IF(Tab.11[[#This Row],[a1]]=1,IF($AE$3=0,Tab.11[[#This Row],[w.0]],Tab.11[[#This Row],[w.0]]/SUM(Tab.11[w.0])))</f>
        <v>0</v>
      </c>
      <c r="AF654" s="76" t="str">
        <f>IF(Tab.11[[#This Row],[a1]]=0,"false",[3]!Tab.x5[[#This Row],[%_seN_C]])</f>
        <v>false</v>
      </c>
      <c r="AG654" s="77" t="b">
        <f>IF(Tab.11[[#This Row],[a1]]=1,AP654)</f>
        <v>0</v>
      </c>
      <c r="AH654" s="78" t="b">
        <f>IF(Tab.11[[#This Row],[a1]]=1,AQ654)</f>
        <v>0</v>
      </c>
      <c r="AI654" s="41">
        <v>3.0000000000000001E-3</v>
      </c>
      <c r="AJ654" s="79">
        <v>0</v>
      </c>
      <c r="AK654" s="80" t="b">
        <f>IF(Tab.11[[#This Row],[a1]]=1,1)</f>
        <v>0</v>
      </c>
      <c r="AL654"/>
      <c r="AM654"/>
      <c r="AN654"/>
      <c r="AO654"/>
      <c r="AP654"/>
      <c r="AQ654"/>
      <c r="AR654"/>
      <c r="AS654"/>
    </row>
    <row r="655" spans="1:45" s="81" customFormat="1" hidden="1" x14ac:dyDescent="0.25">
      <c r="A655" s="61">
        <f t="shared" si="21"/>
        <v>0</v>
      </c>
      <c r="B655" s="62">
        <f t="shared" si="21"/>
        <v>0</v>
      </c>
      <c r="C655" s="62" t="b">
        <f>IF(Tab.11[[#This Row],[a1]]=1,[3]!Tab_x1[[#This Row],[Name]])</f>
        <v>0</v>
      </c>
      <c r="D655" s="63" t="b">
        <f>IF(Tab.11[[#This Row],[a1]]=1,AO655)</f>
        <v>0</v>
      </c>
      <c r="E655" s="63">
        <f t="shared" si="22"/>
        <v>0</v>
      </c>
      <c r="F655" s="64" t="b">
        <f>IF(Tab.11[[#This Row],[a1]]=1,Tab.11[[#This Row],[b1]])</f>
        <v>0</v>
      </c>
      <c r="G655" s="65" t="b">
        <f>IF(Tab.11[[#This Row],[a1]]=1,IF(Tab.11[[#This Row],[b3]]&gt;$L$989*$G$3,$L$989*$G$3,IF(Tab.11[[#This Row],[b3]]&lt;$M$989*$G$3,$M$989*$G$3,Tab.11[[#This Row],[b3]])))</f>
        <v>0</v>
      </c>
      <c r="H655" s="66" t="b">
        <f>IF(Tab.11[[#This Row],[a1]]=1,Tab.11[[#This Row],[b1]])</f>
        <v>0</v>
      </c>
      <c r="I655" s="67" t="b">
        <f>IF(Tab.11[[#This Row],[a1]]=1,Tab.11[[#This Row],[b1]])</f>
        <v>0</v>
      </c>
      <c r="J655" s="68" t="b">
        <f>IF(Tab.11[[#This Row],[a1]]=1,IF($I$3&lt;0,Tab.11[[#This Row],[b5]]-$I$3,Tab.11[[#This Row],[b5]]))</f>
        <v>0</v>
      </c>
      <c r="K655" s="68" t="b">
        <f>IF(Tab.11[[#This Row],[a1]]=1,IF($K$3=0,Tab.11[b6],Tab.11[[#This Row],[b6]]-AVERAGE(Tab.11[b6])))</f>
        <v>0</v>
      </c>
      <c r="L655" s="69" t="b">
        <f>IF(Tab.11[[#This Row],[a1]]=1,Tab.11[[#This Row],[data]]/(_xlfn.STDEV.P(Tab.11[data])*$B$989)+$A$989)</f>
        <v>0</v>
      </c>
      <c r="M655" s="69" t="b">
        <f>IF(Tab.11[[#This Row],[a1]]=1,Tab.11[[#This Row],[data]]/(_xlfn.STDEV.P(Tab.11[data])*$B$987)-$A$987)</f>
        <v>0</v>
      </c>
      <c r="N655" s="69" t="b">
        <f>IF(Tab.11[[#This Row],[a1]]=1,Tab.11[[#This Row],[data]]/(_xlfn.STDEV.P(Tab.11[data])*$B$988)+$A$988)</f>
        <v>0</v>
      </c>
      <c r="O655" s="70" t="b">
        <f>IF(Tab.11[[#This Row],[a1]]=1,_xlfn.NORM.DIST(Tab.11[[#This Row],[b8]],$P$1,$Q$1,FALSE))</f>
        <v>0</v>
      </c>
      <c r="P655" s="70" t="b">
        <f>IF(Tab.11[[#This Row],[a1]]=1,_xlfn.NORM.DIST(Tab.11[[#This Row],[b9]],$P$1,$Q$1,FALSE))</f>
        <v>0</v>
      </c>
      <c r="Q655" s="70" t="b">
        <f>IF(Tab.11[[#This Row],[a1]]=1,_xlfn.NORM.DIST(Tab.11[[#This Row],[b10]],$P$1,$Q$1,FALSE))</f>
        <v>0</v>
      </c>
      <c r="R655" s="67" t="b">
        <f>IF(Tab.11[[#This Row],[a1]]=1,$I$3+$A$989+IF($K$3=0,Tab.11[[#This Row],[b8]]*_xlfn.STDEV.P(Tab.11[data]),AVERAGE(Tab.11[b6])+Tab.11[[#This Row],[b8]]*_xlfn.STDEV.P(Tab.11[data])))</f>
        <v>0</v>
      </c>
      <c r="S655" s="71" t="b">
        <f>IF(Tab.11[[#This Row],[a1]]=1,$I$3+$A$987+IF($K$3=0,Tab.11[[#This Row],[b9]]*_xlfn.STDEV.P(Tab.11[data]),AVERAGE(Tab.11[b6])+Tab.11[[#This Row],[b9]]*_xlfn.STDEV.P(Tab.11[data])))</f>
        <v>0</v>
      </c>
      <c r="T655" s="71" t="b">
        <f>IF(Tab.11[[#This Row],[a1]]=1,$I$3+$A$988+IF($K$3=0,Tab.11[[#This Row],[b10]]*_xlfn.STDEV.P(Tab.11[data]),AVERAGE(Tab.11[b6])+Tab.11[[#This Row],[b10]]*_xlfn.STDEV.P(Tab.11[data])))</f>
        <v>0</v>
      </c>
      <c r="U655" s="72" t="b">
        <f>IF(Tab.11[[#This Row],[a1]]=1,Tab.11[[#This Row],[target]]-Tab.11[[#This Row],[Red]])</f>
        <v>0</v>
      </c>
      <c r="V655" s="72" t="b">
        <f>IF(Tab.11[[#This Row],[a1]]=1,Tab.11[[#This Row],[target]]-Tab.11[[#This Row],[Blue]])</f>
        <v>0</v>
      </c>
      <c r="W655" s="73" t="b">
        <f>IF(Tab.11[[#This Row],[a1]]=1,IF(ABS(Tab.11[[#This Row],[b17]])+ABS(Tab.11[[#This Row],[b18]])&lt;$W$2,$W$2,ABS(Tab.11[[#This Row],[b17]])+ABS(Tab.11[[#This Row],[b18]])))</f>
        <v>0</v>
      </c>
      <c r="X655" s="136" t="b">
        <f>IF(Tab.11[[#This Row],[a1]]=1,IF($W$3&lt;0,Tab.11[[#This Row],[IN]]-$I$3,Tab.11[[#This Row],[IN]]))</f>
        <v>0</v>
      </c>
      <c r="Y655" s="136" t="b">
        <f>IF(Tab.11[[#This Row],[a1]]=1,IF($X$3=0,Tab.11[b66],Tab.11[[#This Row],[b66]]-AVERAGE(Tab.11[b66])))</f>
        <v>0</v>
      </c>
      <c r="Z655" s="135" t="b">
        <f>IF(Tab.11[[#This Row],[a1]]=1,Tab.11[[#This Row],[b77]]/(_xlfn.STDEV.P(Tab.11[b77])))</f>
        <v>0</v>
      </c>
      <c r="AA655" s="70" t="b">
        <f>IF(Tab.11[[#This Row],[a1]]=1,_xlfn.NORM.DIST(Tab.11[[#This Row],[b88]],$Z$1,$AA$1,FALSE))</f>
        <v>0</v>
      </c>
      <c r="AB655" s="74" t="b">
        <f>IF(Tab.11[[#This Row],[a1]]=1,IF($A$3=0,FALSE,1/Tab.11[[#This Row],[IN]]*$AC$2*IF(Tab.11[[#This Row],[a1]]=0,,$A$3*$AC$1*1/$V$3*(Tab.11[[#This Row],[b14]]))))</f>
        <v>0</v>
      </c>
      <c r="AC655" s="75" t="b">
        <f>IF(Tab.11[[#This Row],[a1]]=1,IF($AC$3=0,Tab.11[[#This Row],[φ1]],Tab.11[[#This Row],[φ1]]/MAX(Tab.11[φ1])))</f>
        <v>0</v>
      </c>
      <c r="AD655" s="74" t="b">
        <f>IF(Tab.11[[#This Row],[a1]]=1,1/Tab.11[[#This Row],[φ2]])</f>
        <v>0</v>
      </c>
      <c r="AE655" s="74" t="b">
        <f>IF(Tab.11[[#This Row],[a1]]=1,IF($AE$3=0,Tab.11[[#This Row],[w.0]],Tab.11[[#This Row],[w.0]]/SUM(Tab.11[w.0])))</f>
        <v>0</v>
      </c>
      <c r="AF655" s="76" t="str">
        <f>IF(Tab.11[[#This Row],[a1]]=0,"false",[3]!Tab.x5[[#This Row],[%_seN_C]])</f>
        <v>false</v>
      </c>
      <c r="AG655" s="77" t="b">
        <f>IF(Tab.11[[#This Row],[a1]]=1,AP655)</f>
        <v>0</v>
      </c>
      <c r="AH655" s="78" t="b">
        <f>IF(Tab.11[[#This Row],[a1]]=1,AQ655)</f>
        <v>0</v>
      </c>
      <c r="AI655" s="41">
        <v>3.0000000000000001E-3</v>
      </c>
      <c r="AJ655" s="79">
        <v>0.08</v>
      </c>
      <c r="AK655" s="80" t="b">
        <f>IF(Tab.11[[#This Row],[a1]]=1,1)</f>
        <v>0</v>
      </c>
      <c r="AL655"/>
      <c r="AM655"/>
      <c r="AN655"/>
      <c r="AO655"/>
      <c r="AP655"/>
      <c r="AQ655"/>
      <c r="AR655"/>
      <c r="AS655"/>
    </row>
    <row r="656" spans="1:45" s="81" customFormat="1" hidden="1" x14ac:dyDescent="0.25">
      <c r="A656" s="61">
        <f t="shared" si="21"/>
        <v>0</v>
      </c>
      <c r="B656" s="62">
        <f t="shared" si="21"/>
        <v>0</v>
      </c>
      <c r="C656" s="62" t="b">
        <f>IF(Tab.11[[#This Row],[a1]]=1,[3]!Tab_x1[[#This Row],[Name]])</f>
        <v>0</v>
      </c>
      <c r="D656" s="63" t="b">
        <f>IF(Tab.11[[#This Row],[a1]]=1,AO656)</f>
        <v>0</v>
      </c>
      <c r="E656" s="63">
        <f t="shared" si="22"/>
        <v>0</v>
      </c>
      <c r="F656" s="64" t="b">
        <f>IF(Tab.11[[#This Row],[a1]]=1,Tab.11[[#This Row],[b1]])</f>
        <v>0</v>
      </c>
      <c r="G656" s="65" t="b">
        <f>IF(Tab.11[[#This Row],[a1]]=1,IF(Tab.11[[#This Row],[b3]]&gt;$L$989*$G$3,$L$989*$G$3,IF(Tab.11[[#This Row],[b3]]&lt;$M$989*$G$3,$M$989*$G$3,Tab.11[[#This Row],[b3]])))</f>
        <v>0</v>
      </c>
      <c r="H656" s="66" t="b">
        <f>IF(Tab.11[[#This Row],[a1]]=1,Tab.11[[#This Row],[b1]])</f>
        <v>0</v>
      </c>
      <c r="I656" s="67" t="b">
        <f>IF(Tab.11[[#This Row],[a1]]=1,Tab.11[[#This Row],[b1]])</f>
        <v>0</v>
      </c>
      <c r="J656" s="68" t="b">
        <f>IF(Tab.11[[#This Row],[a1]]=1,IF($I$3&lt;0,Tab.11[[#This Row],[b5]]-$I$3,Tab.11[[#This Row],[b5]]))</f>
        <v>0</v>
      </c>
      <c r="K656" s="68" t="b">
        <f>IF(Tab.11[[#This Row],[a1]]=1,IF($K$3=0,Tab.11[b6],Tab.11[[#This Row],[b6]]-AVERAGE(Tab.11[b6])))</f>
        <v>0</v>
      </c>
      <c r="L656" s="69" t="b">
        <f>IF(Tab.11[[#This Row],[a1]]=1,Tab.11[[#This Row],[data]]/(_xlfn.STDEV.P(Tab.11[data])*$B$989)+$A$989)</f>
        <v>0</v>
      </c>
      <c r="M656" s="69" t="b">
        <f>IF(Tab.11[[#This Row],[a1]]=1,Tab.11[[#This Row],[data]]/(_xlfn.STDEV.P(Tab.11[data])*$B$987)-$A$987)</f>
        <v>0</v>
      </c>
      <c r="N656" s="69" t="b">
        <f>IF(Tab.11[[#This Row],[a1]]=1,Tab.11[[#This Row],[data]]/(_xlfn.STDEV.P(Tab.11[data])*$B$988)+$A$988)</f>
        <v>0</v>
      </c>
      <c r="O656" s="70" t="b">
        <f>IF(Tab.11[[#This Row],[a1]]=1,_xlfn.NORM.DIST(Tab.11[[#This Row],[b8]],$P$1,$Q$1,FALSE))</f>
        <v>0</v>
      </c>
      <c r="P656" s="70" t="b">
        <f>IF(Tab.11[[#This Row],[a1]]=1,_xlfn.NORM.DIST(Tab.11[[#This Row],[b9]],$P$1,$Q$1,FALSE))</f>
        <v>0</v>
      </c>
      <c r="Q656" s="70" t="b">
        <f>IF(Tab.11[[#This Row],[a1]]=1,_xlfn.NORM.DIST(Tab.11[[#This Row],[b10]],$P$1,$Q$1,FALSE))</f>
        <v>0</v>
      </c>
      <c r="R656" s="67" t="b">
        <f>IF(Tab.11[[#This Row],[a1]]=1,$I$3+$A$989+IF($K$3=0,Tab.11[[#This Row],[b8]]*_xlfn.STDEV.P(Tab.11[data]),AVERAGE(Tab.11[b6])+Tab.11[[#This Row],[b8]]*_xlfn.STDEV.P(Tab.11[data])))</f>
        <v>0</v>
      </c>
      <c r="S656" s="71" t="b">
        <f>IF(Tab.11[[#This Row],[a1]]=1,$I$3+$A$987+IF($K$3=0,Tab.11[[#This Row],[b9]]*_xlfn.STDEV.P(Tab.11[data]),AVERAGE(Tab.11[b6])+Tab.11[[#This Row],[b9]]*_xlfn.STDEV.P(Tab.11[data])))</f>
        <v>0</v>
      </c>
      <c r="T656" s="71" t="b">
        <f>IF(Tab.11[[#This Row],[a1]]=1,$I$3+$A$988+IF($K$3=0,Tab.11[[#This Row],[b10]]*_xlfn.STDEV.P(Tab.11[data]),AVERAGE(Tab.11[b6])+Tab.11[[#This Row],[b10]]*_xlfn.STDEV.P(Tab.11[data])))</f>
        <v>0</v>
      </c>
      <c r="U656" s="72" t="b">
        <f>IF(Tab.11[[#This Row],[a1]]=1,Tab.11[[#This Row],[target]]-Tab.11[[#This Row],[Red]])</f>
        <v>0</v>
      </c>
      <c r="V656" s="72" t="b">
        <f>IF(Tab.11[[#This Row],[a1]]=1,Tab.11[[#This Row],[target]]-Tab.11[[#This Row],[Blue]])</f>
        <v>0</v>
      </c>
      <c r="W656" s="73" t="b">
        <f>IF(Tab.11[[#This Row],[a1]]=1,IF(ABS(Tab.11[[#This Row],[b17]])+ABS(Tab.11[[#This Row],[b18]])&lt;$W$2,$W$2,ABS(Tab.11[[#This Row],[b17]])+ABS(Tab.11[[#This Row],[b18]])))</f>
        <v>0</v>
      </c>
      <c r="X656" s="136" t="b">
        <f>IF(Tab.11[[#This Row],[a1]]=1,IF($W$3&lt;0,Tab.11[[#This Row],[IN]]-$I$3,Tab.11[[#This Row],[IN]]))</f>
        <v>0</v>
      </c>
      <c r="Y656" s="136" t="b">
        <f>IF(Tab.11[[#This Row],[a1]]=1,IF($X$3=0,Tab.11[b66],Tab.11[[#This Row],[b66]]-AVERAGE(Tab.11[b66])))</f>
        <v>0</v>
      </c>
      <c r="Z656" s="135" t="b">
        <f>IF(Tab.11[[#This Row],[a1]]=1,Tab.11[[#This Row],[b77]]/(_xlfn.STDEV.P(Tab.11[b77])))</f>
        <v>0</v>
      </c>
      <c r="AA656" s="70" t="b">
        <f>IF(Tab.11[[#This Row],[a1]]=1,_xlfn.NORM.DIST(Tab.11[[#This Row],[b88]],$Z$1,$AA$1,FALSE))</f>
        <v>0</v>
      </c>
      <c r="AB656" s="74" t="b">
        <f>IF(Tab.11[[#This Row],[a1]]=1,IF($A$3=0,FALSE,1/Tab.11[[#This Row],[IN]]*$AC$2*IF(Tab.11[[#This Row],[a1]]=0,,$A$3*$AC$1*1/$V$3*(Tab.11[[#This Row],[b14]]))))</f>
        <v>0</v>
      </c>
      <c r="AC656" s="75" t="b">
        <f>IF(Tab.11[[#This Row],[a1]]=1,IF($AC$3=0,Tab.11[[#This Row],[φ1]],Tab.11[[#This Row],[φ1]]/MAX(Tab.11[φ1])))</f>
        <v>0</v>
      </c>
      <c r="AD656" s="74" t="b">
        <f>IF(Tab.11[[#This Row],[a1]]=1,1/Tab.11[[#This Row],[φ2]])</f>
        <v>0</v>
      </c>
      <c r="AE656" s="74" t="b">
        <f>IF(Tab.11[[#This Row],[a1]]=1,IF($AE$3=0,Tab.11[[#This Row],[w.0]],Tab.11[[#This Row],[w.0]]/SUM(Tab.11[w.0])))</f>
        <v>0</v>
      </c>
      <c r="AF656" s="76" t="str">
        <f>IF(Tab.11[[#This Row],[a1]]=0,"false",[3]!Tab.x5[[#This Row],[%_seN_C]])</f>
        <v>false</v>
      </c>
      <c r="AG656" s="77" t="b">
        <f>IF(Tab.11[[#This Row],[a1]]=1,AP656)</f>
        <v>0</v>
      </c>
      <c r="AH656" s="78" t="b">
        <f>IF(Tab.11[[#This Row],[a1]]=1,AQ656)</f>
        <v>0</v>
      </c>
      <c r="AI656" s="41">
        <v>3.0000000000000001E-3</v>
      </c>
      <c r="AJ656" s="79">
        <v>0.01</v>
      </c>
      <c r="AK656" s="80" t="b">
        <f>IF(Tab.11[[#This Row],[a1]]=1,1)</f>
        <v>0</v>
      </c>
      <c r="AL656"/>
      <c r="AM656"/>
      <c r="AN656"/>
      <c r="AO656"/>
      <c r="AP656"/>
      <c r="AQ656"/>
      <c r="AR656"/>
      <c r="AS656"/>
    </row>
    <row r="657" spans="1:45" s="81" customFormat="1" hidden="1" x14ac:dyDescent="0.25">
      <c r="A657" s="61">
        <f t="shared" si="21"/>
        <v>0</v>
      </c>
      <c r="B657" s="62">
        <f t="shared" si="21"/>
        <v>0</v>
      </c>
      <c r="C657" s="62" t="b">
        <f>IF(Tab.11[[#This Row],[a1]]=1,[3]!Tab_x1[[#This Row],[Name]])</f>
        <v>0</v>
      </c>
      <c r="D657" s="63" t="b">
        <f>IF(Tab.11[[#This Row],[a1]]=1,AO657)</f>
        <v>0</v>
      </c>
      <c r="E657" s="63">
        <f t="shared" si="22"/>
        <v>0</v>
      </c>
      <c r="F657" s="64" t="b">
        <f>IF(Tab.11[[#This Row],[a1]]=1,Tab.11[[#This Row],[b1]])</f>
        <v>0</v>
      </c>
      <c r="G657" s="65" t="b">
        <f>IF(Tab.11[[#This Row],[a1]]=1,IF(Tab.11[[#This Row],[b3]]&gt;$L$989*$G$3,$L$989*$G$3,IF(Tab.11[[#This Row],[b3]]&lt;$M$989*$G$3,$M$989*$G$3,Tab.11[[#This Row],[b3]])))</f>
        <v>0</v>
      </c>
      <c r="H657" s="66" t="b">
        <f>IF(Tab.11[[#This Row],[a1]]=1,Tab.11[[#This Row],[b1]])</f>
        <v>0</v>
      </c>
      <c r="I657" s="67" t="b">
        <f>IF(Tab.11[[#This Row],[a1]]=1,Tab.11[[#This Row],[b1]])</f>
        <v>0</v>
      </c>
      <c r="J657" s="68" t="b">
        <f>IF(Tab.11[[#This Row],[a1]]=1,IF($I$3&lt;0,Tab.11[[#This Row],[b5]]-$I$3,Tab.11[[#This Row],[b5]]))</f>
        <v>0</v>
      </c>
      <c r="K657" s="68" t="b">
        <f>IF(Tab.11[[#This Row],[a1]]=1,IF($K$3=0,Tab.11[b6],Tab.11[[#This Row],[b6]]-AVERAGE(Tab.11[b6])))</f>
        <v>0</v>
      </c>
      <c r="L657" s="69" t="b">
        <f>IF(Tab.11[[#This Row],[a1]]=1,Tab.11[[#This Row],[data]]/(_xlfn.STDEV.P(Tab.11[data])*$B$989)+$A$989)</f>
        <v>0</v>
      </c>
      <c r="M657" s="69" t="b">
        <f>IF(Tab.11[[#This Row],[a1]]=1,Tab.11[[#This Row],[data]]/(_xlfn.STDEV.P(Tab.11[data])*$B$987)-$A$987)</f>
        <v>0</v>
      </c>
      <c r="N657" s="69" t="b">
        <f>IF(Tab.11[[#This Row],[a1]]=1,Tab.11[[#This Row],[data]]/(_xlfn.STDEV.P(Tab.11[data])*$B$988)+$A$988)</f>
        <v>0</v>
      </c>
      <c r="O657" s="70" t="b">
        <f>IF(Tab.11[[#This Row],[a1]]=1,_xlfn.NORM.DIST(Tab.11[[#This Row],[b8]],$P$1,$Q$1,FALSE))</f>
        <v>0</v>
      </c>
      <c r="P657" s="70" t="b">
        <f>IF(Tab.11[[#This Row],[a1]]=1,_xlfn.NORM.DIST(Tab.11[[#This Row],[b9]],$P$1,$Q$1,FALSE))</f>
        <v>0</v>
      </c>
      <c r="Q657" s="70" t="b">
        <f>IF(Tab.11[[#This Row],[a1]]=1,_xlfn.NORM.DIST(Tab.11[[#This Row],[b10]],$P$1,$Q$1,FALSE))</f>
        <v>0</v>
      </c>
      <c r="R657" s="67" t="b">
        <f>IF(Tab.11[[#This Row],[a1]]=1,$I$3+$A$989+IF($K$3=0,Tab.11[[#This Row],[b8]]*_xlfn.STDEV.P(Tab.11[data]),AVERAGE(Tab.11[b6])+Tab.11[[#This Row],[b8]]*_xlfn.STDEV.P(Tab.11[data])))</f>
        <v>0</v>
      </c>
      <c r="S657" s="71" t="b">
        <f>IF(Tab.11[[#This Row],[a1]]=1,$I$3+$A$987+IF($K$3=0,Tab.11[[#This Row],[b9]]*_xlfn.STDEV.P(Tab.11[data]),AVERAGE(Tab.11[b6])+Tab.11[[#This Row],[b9]]*_xlfn.STDEV.P(Tab.11[data])))</f>
        <v>0</v>
      </c>
      <c r="T657" s="71" t="b">
        <f>IF(Tab.11[[#This Row],[a1]]=1,$I$3+$A$988+IF($K$3=0,Tab.11[[#This Row],[b10]]*_xlfn.STDEV.P(Tab.11[data]),AVERAGE(Tab.11[b6])+Tab.11[[#This Row],[b10]]*_xlfn.STDEV.P(Tab.11[data])))</f>
        <v>0</v>
      </c>
      <c r="U657" s="72" t="b">
        <f>IF(Tab.11[[#This Row],[a1]]=1,Tab.11[[#This Row],[target]]-Tab.11[[#This Row],[Red]])</f>
        <v>0</v>
      </c>
      <c r="V657" s="72" t="b">
        <f>IF(Tab.11[[#This Row],[a1]]=1,Tab.11[[#This Row],[target]]-Tab.11[[#This Row],[Blue]])</f>
        <v>0</v>
      </c>
      <c r="W657" s="73" t="b">
        <f>IF(Tab.11[[#This Row],[a1]]=1,IF(ABS(Tab.11[[#This Row],[b17]])+ABS(Tab.11[[#This Row],[b18]])&lt;$W$2,$W$2,ABS(Tab.11[[#This Row],[b17]])+ABS(Tab.11[[#This Row],[b18]])))</f>
        <v>0</v>
      </c>
      <c r="X657" s="136" t="b">
        <f>IF(Tab.11[[#This Row],[a1]]=1,IF($W$3&lt;0,Tab.11[[#This Row],[IN]]-$I$3,Tab.11[[#This Row],[IN]]))</f>
        <v>0</v>
      </c>
      <c r="Y657" s="136" t="b">
        <f>IF(Tab.11[[#This Row],[a1]]=1,IF($X$3=0,Tab.11[b66],Tab.11[[#This Row],[b66]]-AVERAGE(Tab.11[b66])))</f>
        <v>0</v>
      </c>
      <c r="Z657" s="135" t="b">
        <f>IF(Tab.11[[#This Row],[a1]]=1,Tab.11[[#This Row],[b77]]/(_xlfn.STDEV.P(Tab.11[b77])))</f>
        <v>0</v>
      </c>
      <c r="AA657" s="70" t="b">
        <f>IF(Tab.11[[#This Row],[a1]]=1,_xlfn.NORM.DIST(Tab.11[[#This Row],[b88]],$Z$1,$AA$1,FALSE))</f>
        <v>0</v>
      </c>
      <c r="AB657" s="74" t="b">
        <f>IF(Tab.11[[#This Row],[a1]]=1,IF($A$3=0,FALSE,1/Tab.11[[#This Row],[IN]]*$AC$2*IF(Tab.11[[#This Row],[a1]]=0,,$A$3*$AC$1*1/$V$3*(Tab.11[[#This Row],[b14]]))))</f>
        <v>0</v>
      </c>
      <c r="AC657" s="75" t="b">
        <f>IF(Tab.11[[#This Row],[a1]]=1,IF($AC$3=0,Tab.11[[#This Row],[φ1]],Tab.11[[#This Row],[φ1]]/MAX(Tab.11[φ1])))</f>
        <v>0</v>
      </c>
      <c r="AD657" s="74" t="b">
        <f>IF(Tab.11[[#This Row],[a1]]=1,1/Tab.11[[#This Row],[φ2]])</f>
        <v>0</v>
      </c>
      <c r="AE657" s="74" t="b">
        <f>IF(Tab.11[[#This Row],[a1]]=1,IF($AE$3=0,Tab.11[[#This Row],[w.0]],Tab.11[[#This Row],[w.0]]/SUM(Tab.11[w.0])))</f>
        <v>0</v>
      </c>
      <c r="AF657" s="76" t="str">
        <f>IF(Tab.11[[#This Row],[a1]]=0,"false",[3]!Tab.x5[[#This Row],[%_seN_C]])</f>
        <v>false</v>
      </c>
      <c r="AG657" s="77" t="b">
        <f>IF(Tab.11[[#This Row],[a1]]=1,AP657)</f>
        <v>0</v>
      </c>
      <c r="AH657" s="78" t="b">
        <f>IF(Tab.11[[#This Row],[a1]]=1,AQ657)</f>
        <v>0</v>
      </c>
      <c r="AI657" s="41">
        <v>3.0000000000000001E-3</v>
      </c>
      <c r="AJ657" s="79">
        <v>0.02</v>
      </c>
      <c r="AK657" s="80" t="b">
        <f>IF(Tab.11[[#This Row],[a1]]=1,1)</f>
        <v>0</v>
      </c>
      <c r="AL657"/>
      <c r="AM657"/>
      <c r="AN657"/>
      <c r="AO657"/>
      <c r="AP657"/>
      <c r="AQ657"/>
      <c r="AR657"/>
      <c r="AS657"/>
    </row>
    <row r="658" spans="1:45" s="81" customFormat="1" hidden="1" x14ac:dyDescent="0.25">
      <c r="A658" s="61">
        <f t="shared" si="21"/>
        <v>0</v>
      </c>
      <c r="B658" s="62">
        <f t="shared" si="21"/>
        <v>0</v>
      </c>
      <c r="C658" s="62" t="b">
        <f>IF(Tab.11[[#This Row],[a1]]=1,[3]!Tab_x1[[#This Row],[Name]])</f>
        <v>0</v>
      </c>
      <c r="D658" s="63" t="b">
        <f>IF(Tab.11[[#This Row],[a1]]=1,AO658)</f>
        <v>0</v>
      </c>
      <c r="E658" s="63">
        <f t="shared" si="22"/>
        <v>0</v>
      </c>
      <c r="F658" s="64" t="b">
        <f>IF(Tab.11[[#This Row],[a1]]=1,Tab.11[[#This Row],[b1]])</f>
        <v>0</v>
      </c>
      <c r="G658" s="65" t="b">
        <f>IF(Tab.11[[#This Row],[a1]]=1,IF(Tab.11[[#This Row],[b3]]&gt;$L$989*$G$3,$L$989*$G$3,IF(Tab.11[[#This Row],[b3]]&lt;$M$989*$G$3,$M$989*$G$3,Tab.11[[#This Row],[b3]])))</f>
        <v>0</v>
      </c>
      <c r="H658" s="66" t="b">
        <f>IF(Tab.11[[#This Row],[a1]]=1,Tab.11[[#This Row],[b1]])</f>
        <v>0</v>
      </c>
      <c r="I658" s="67" t="b">
        <f>IF(Tab.11[[#This Row],[a1]]=1,Tab.11[[#This Row],[b1]])</f>
        <v>0</v>
      </c>
      <c r="J658" s="68" t="b">
        <f>IF(Tab.11[[#This Row],[a1]]=1,IF($I$3&lt;0,Tab.11[[#This Row],[b5]]-$I$3,Tab.11[[#This Row],[b5]]))</f>
        <v>0</v>
      </c>
      <c r="K658" s="68" t="b">
        <f>IF(Tab.11[[#This Row],[a1]]=1,IF($K$3=0,Tab.11[b6],Tab.11[[#This Row],[b6]]-AVERAGE(Tab.11[b6])))</f>
        <v>0</v>
      </c>
      <c r="L658" s="69" t="b">
        <f>IF(Tab.11[[#This Row],[a1]]=1,Tab.11[[#This Row],[data]]/(_xlfn.STDEV.P(Tab.11[data])*$B$989)+$A$989)</f>
        <v>0</v>
      </c>
      <c r="M658" s="69" t="b">
        <f>IF(Tab.11[[#This Row],[a1]]=1,Tab.11[[#This Row],[data]]/(_xlfn.STDEV.P(Tab.11[data])*$B$987)-$A$987)</f>
        <v>0</v>
      </c>
      <c r="N658" s="69" t="b">
        <f>IF(Tab.11[[#This Row],[a1]]=1,Tab.11[[#This Row],[data]]/(_xlfn.STDEV.P(Tab.11[data])*$B$988)+$A$988)</f>
        <v>0</v>
      </c>
      <c r="O658" s="70" t="b">
        <f>IF(Tab.11[[#This Row],[a1]]=1,_xlfn.NORM.DIST(Tab.11[[#This Row],[b8]],$P$1,$Q$1,FALSE))</f>
        <v>0</v>
      </c>
      <c r="P658" s="70" t="b">
        <f>IF(Tab.11[[#This Row],[a1]]=1,_xlfn.NORM.DIST(Tab.11[[#This Row],[b9]],$P$1,$Q$1,FALSE))</f>
        <v>0</v>
      </c>
      <c r="Q658" s="70" t="b">
        <f>IF(Tab.11[[#This Row],[a1]]=1,_xlfn.NORM.DIST(Tab.11[[#This Row],[b10]],$P$1,$Q$1,FALSE))</f>
        <v>0</v>
      </c>
      <c r="R658" s="67" t="b">
        <f>IF(Tab.11[[#This Row],[a1]]=1,$I$3+$A$989+IF($K$3=0,Tab.11[[#This Row],[b8]]*_xlfn.STDEV.P(Tab.11[data]),AVERAGE(Tab.11[b6])+Tab.11[[#This Row],[b8]]*_xlfn.STDEV.P(Tab.11[data])))</f>
        <v>0</v>
      </c>
      <c r="S658" s="71" t="b">
        <f>IF(Tab.11[[#This Row],[a1]]=1,$I$3+$A$987+IF($K$3=0,Tab.11[[#This Row],[b9]]*_xlfn.STDEV.P(Tab.11[data]),AVERAGE(Tab.11[b6])+Tab.11[[#This Row],[b9]]*_xlfn.STDEV.P(Tab.11[data])))</f>
        <v>0</v>
      </c>
      <c r="T658" s="71" t="b">
        <f>IF(Tab.11[[#This Row],[a1]]=1,$I$3+$A$988+IF($K$3=0,Tab.11[[#This Row],[b10]]*_xlfn.STDEV.P(Tab.11[data]),AVERAGE(Tab.11[b6])+Tab.11[[#This Row],[b10]]*_xlfn.STDEV.P(Tab.11[data])))</f>
        <v>0</v>
      </c>
      <c r="U658" s="72" t="b">
        <f>IF(Tab.11[[#This Row],[a1]]=1,Tab.11[[#This Row],[target]]-Tab.11[[#This Row],[Red]])</f>
        <v>0</v>
      </c>
      <c r="V658" s="72" t="b">
        <f>IF(Tab.11[[#This Row],[a1]]=1,Tab.11[[#This Row],[target]]-Tab.11[[#This Row],[Blue]])</f>
        <v>0</v>
      </c>
      <c r="W658" s="73" t="b">
        <f>IF(Tab.11[[#This Row],[a1]]=1,IF(ABS(Tab.11[[#This Row],[b17]])+ABS(Tab.11[[#This Row],[b18]])&lt;$W$2,$W$2,ABS(Tab.11[[#This Row],[b17]])+ABS(Tab.11[[#This Row],[b18]])))</f>
        <v>0</v>
      </c>
      <c r="X658" s="136" t="b">
        <f>IF(Tab.11[[#This Row],[a1]]=1,IF($W$3&lt;0,Tab.11[[#This Row],[IN]]-$I$3,Tab.11[[#This Row],[IN]]))</f>
        <v>0</v>
      </c>
      <c r="Y658" s="136" t="b">
        <f>IF(Tab.11[[#This Row],[a1]]=1,IF($X$3=0,Tab.11[b66],Tab.11[[#This Row],[b66]]-AVERAGE(Tab.11[b66])))</f>
        <v>0</v>
      </c>
      <c r="Z658" s="135" t="b">
        <f>IF(Tab.11[[#This Row],[a1]]=1,Tab.11[[#This Row],[b77]]/(_xlfn.STDEV.P(Tab.11[b77])))</f>
        <v>0</v>
      </c>
      <c r="AA658" s="70" t="b">
        <f>IF(Tab.11[[#This Row],[a1]]=1,_xlfn.NORM.DIST(Tab.11[[#This Row],[b88]],$Z$1,$AA$1,FALSE))</f>
        <v>0</v>
      </c>
      <c r="AB658" s="74" t="b">
        <f>IF(Tab.11[[#This Row],[a1]]=1,IF($A$3=0,FALSE,1/Tab.11[[#This Row],[IN]]*$AC$2*IF(Tab.11[[#This Row],[a1]]=0,,$A$3*$AC$1*1/$V$3*(Tab.11[[#This Row],[b14]]))))</f>
        <v>0</v>
      </c>
      <c r="AC658" s="75" t="b">
        <f>IF(Tab.11[[#This Row],[a1]]=1,IF($AC$3=0,Tab.11[[#This Row],[φ1]],Tab.11[[#This Row],[φ1]]/MAX(Tab.11[φ1])))</f>
        <v>0</v>
      </c>
      <c r="AD658" s="74" t="b">
        <f>IF(Tab.11[[#This Row],[a1]]=1,1/Tab.11[[#This Row],[φ2]])</f>
        <v>0</v>
      </c>
      <c r="AE658" s="74" t="b">
        <f>IF(Tab.11[[#This Row],[a1]]=1,IF($AE$3=0,Tab.11[[#This Row],[w.0]],Tab.11[[#This Row],[w.0]]/SUM(Tab.11[w.0])))</f>
        <v>0</v>
      </c>
      <c r="AF658" s="76" t="str">
        <f>IF(Tab.11[[#This Row],[a1]]=0,"false",[3]!Tab.x5[[#This Row],[%_seN_C]])</f>
        <v>false</v>
      </c>
      <c r="AG658" s="77" t="b">
        <f>IF(Tab.11[[#This Row],[a1]]=1,AP658)</f>
        <v>0</v>
      </c>
      <c r="AH658" s="78" t="b">
        <f>IF(Tab.11[[#This Row],[a1]]=1,AQ658)</f>
        <v>0</v>
      </c>
      <c r="AI658" s="41">
        <v>3.0000000000000001E-3</v>
      </c>
      <c r="AJ658" s="79">
        <v>0.03</v>
      </c>
      <c r="AK658" s="80" t="b">
        <f>IF(Tab.11[[#This Row],[a1]]=1,1)</f>
        <v>0</v>
      </c>
      <c r="AL658"/>
      <c r="AM658"/>
      <c r="AN658"/>
      <c r="AO658"/>
      <c r="AP658"/>
      <c r="AQ658"/>
      <c r="AR658"/>
      <c r="AS658"/>
    </row>
    <row r="659" spans="1:45" s="81" customFormat="1" hidden="1" x14ac:dyDescent="0.25">
      <c r="A659" s="61">
        <f t="shared" si="21"/>
        <v>0</v>
      </c>
      <c r="B659" s="62">
        <f t="shared" si="21"/>
        <v>0</v>
      </c>
      <c r="C659" s="62" t="b">
        <f>IF(Tab.11[[#This Row],[a1]]=1,[3]!Tab_x1[[#This Row],[Name]])</f>
        <v>0</v>
      </c>
      <c r="D659" s="63" t="b">
        <f>IF(Tab.11[[#This Row],[a1]]=1,AO659)</f>
        <v>0</v>
      </c>
      <c r="E659" s="63">
        <f t="shared" si="22"/>
        <v>0</v>
      </c>
      <c r="F659" s="64" t="b">
        <f>IF(Tab.11[[#This Row],[a1]]=1,Tab.11[[#This Row],[b1]])</f>
        <v>0</v>
      </c>
      <c r="G659" s="65" t="b">
        <f>IF(Tab.11[[#This Row],[a1]]=1,IF(Tab.11[[#This Row],[b3]]&gt;$L$989*$G$3,$L$989*$G$3,IF(Tab.11[[#This Row],[b3]]&lt;$M$989*$G$3,$M$989*$G$3,Tab.11[[#This Row],[b3]])))</f>
        <v>0</v>
      </c>
      <c r="H659" s="66" t="b">
        <f>IF(Tab.11[[#This Row],[a1]]=1,Tab.11[[#This Row],[b1]])</f>
        <v>0</v>
      </c>
      <c r="I659" s="67" t="b">
        <f>IF(Tab.11[[#This Row],[a1]]=1,Tab.11[[#This Row],[b1]])</f>
        <v>0</v>
      </c>
      <c r="J659" s="68" t="b">
        <f>IF(Tab.11[[#This Row],[a1]]=1,IF($I$3&lt;0,Tab.11[[#This Row],[b5]]-$I$3,Tab.11[[#This Row],[b5]]))</f>
        <v>0</v>
      </c>
      <c r="K659" s="68" t="b">
        <f>IF(Tab.11[[#This Row],[a1]]=1,IF($K$3=0,Tab.11[b6],Tab.11[[#This Row],[b6]]-AVERAGE(Tab.11[b6])))</f>
        <v>0</v>
      </c>
      <c r="L659" s="69" t="b">
        <f>IF(Tab.11[[#This Row],[a1]]=1,Tab.11[[#This Row],[data]]/(_xlfn.STDEV.P(Tab.11[data])*$B$989)+$A$989)</f>
        <v>0</v>
      </c>
      <c r="M659" s="69" t="b">
        <f>IF(Tab.11[[#This Row],[a1]]=1,Tab.11[[#This Row],[data]]/(_xlfn.STDEV.P(Tab.11[data])*$B$987)-$A$987)</f>
        <v>0</v>
      </c>
      <c r="N659" s="69" t="b">
        <f>IF(Tab.11[[#This Row],[a1]]=1,Tab.11[[#This Row],[data]]/(_xlfn.STDEV.P(Tab.11[data])*$B$988)+$A$988)</f>
        <v>0</v>
      </c>
      <c r="O659" s="70" t="b">
        <f>IF(Tab.11[[#This Row],[a1]]=1,_xlfn.NORM.DIST(Tab.11[[#This Row],[b8]],$P$1,$Q$1,FALSE))</f>
        <v>0</v>
      </c>
      <c r="P659" s="70" t="b">
        <f>IF(Tab.11[[#This Row],[a1]]=1,_xlfn.NORM.DIST(Tab.11[[#This Row],[b9]],$P$1,$Q$1,FALSE))</f>
        <v>0</v>
      </c>
      <c r="Q659" s="70" t="b">
        <f>IF(Tab.11[[#This Row],[a1]]=1,_xlfn.NORM.DIST(Tab.11[[#This Row],[b10]],$P$1,$Q$1,FALSE))</f>
        <v>0</v>
      </c>
      <c r="R659" s="67" t="b">
        <f>IF(Tab.11[[#This Row],[a1]]=1,$I$3+$A$989+IF($K$3=0,Tab.11[[#This Row],[b8]]*_xlfn.STDEV.P(Tab.11[data]),AVERAGE(Tab.11[b6])+Tab.11[[#This Row],[b8]]*_xlfn.STDEV.P(Tab.11[data])))</f>
        <v>0</v>
      </c>
      <c r="S659" s="71" t="b">
        <f>IF(Tab.11[[#This Row],[a1]]=1,$I$3+$A$987+IF($K$3=0,Tab.11[[#This Row],[b9]]*_xlfn.STDEV.P(Tab.11[data]),AVERAGE(Tab.11[b6])+Tab.11[[#This Row],[b9]]*_xlfn.STDEV.P(Tab.11[data])))</f>
        <v>0</v>
      </c>
      <c r="T659" s="71" t="b">
        <f>IF(Tab.11[[#This Row],[a1]]=1,$I$3+$A$988+IF($K$3=0,Tab.11[[#This Row],[b10]]*_xlfn.STDEV.P(Tab.11[data]),AVERAGE(Tab.11[b6])+Tab.11[[#This Row],[b10]]*_xlfn.STDEV.P(Tab.11[data])))</f>
        <v>0</v>
      </c>
      <c r="U659" s="72" t="b">
        <f>IF(Tab.11[[#This Row],[a1]]=1,Tab.11[[#This Row],[target]]-Tab.11[[#This Row],[Red]])</f>
        <v>0</v>
      </c>
      <c r="V659" s="72" t="b">
        <f>IF(Tab.11[[#This Row],[a1]]=1,Tab.11[[#This Row],[target]]-Tab.11[[#This Row],[Blue]])</f>
        <v>0</v>
      </c>
      <c r="W659" s="73" t="b">
        <f>IF(Tab.11[[#This Row],[a1]]=1,IF(ABS(Tab.11[[#This Row],[b17]])+ABS(Tab.11[[#This Row],[b18]])&lt;$W$2,$W$2,ABS(Tab.11[[#This Row],[b17]])+ABS(Tab.11[[#This Row],[b18]])))</f>
        <v>0</v>
      </c>
      <c r="X659" s="136" t="b">
        <f>IF(Tab.11[[#This Row],[a1]]=1,IF($W$3&lt;0,Tab.11[[#This Row],[IN]]-$I$3,Tab.11[[#This Row],[IN]]))</f>
        <v>0</v>
      </c>
      <c r="Y659" s="136" t="b">
        <f>IF(Tab.11[[#This Row],[a1]]=1,IF($X$3=0,Tab.11[b66],Tab.11[[#This Row],[b66]]-AVERAGE(Tab.11[b66])))</f>
        <v>0</v>
      </c>
      <c r="Z659" s="135" t="b">
        <f>IF(Tab.11[[#This Row],[a1]]=1,Tab.11[[#This Row],[b77]]/(_xlfn.STDEV.P(Tab.11[b77])))</f>
        <v>0</v>
      </c>
      <c r="AA659" s="70" t="b">
        <f>IF(Tab.11[[#This Row],[a1]]=1,_xlfn.NORM.DIST(Tab.11[[#This Row],[b88]],$Z$1,$AA$1,FALSE))</f>
        <v>0</v>
      </c>
      <c r="AB659" s="74" t="b">
        <f>IF(Tab.11[[#This Row],[a1]]=1,IF($A$3=0,FALSE,1/Tab.11[[#This Row],[IN]]*$AC$2*IF(Tab.11[[#This Row],[a1]]=0,,$A$3*$AC$1*1/$V$3*(Tab.11[[#This Row],[b14]]))))</f>
        <v>0</v>
      </c>
      <c r="AC659" s="75" t="b">
        <f>IF(Tab.11[[#This Row],[a1]]=1,IF($AC$3=0,Tab.11[[#This Row],[φ1]],Tab.11[[#This Row],[φ1]]/MAX(Tab.11[φ1])))</f>
        <v>0</v>
      </c>
      <c r="AD659" s="74" t="b">
        <f>IF(Tab.11[[#This Row],[a1]]=1,1/Tab.11[[#This Row],[φ2]])</f>
        <v>0</v>
      </c>
      <c r="AE659" s="74" t="b">
        <f>IF(Tab.11[[#This Row],[a1]]=1,IF($AE$3=0,Tab.11[[#This Row],[w.0]],Tab.11[[#This Row],[w.0]]/SUM(Tab.11[w.0])))</f>
        <v>0</v>
      </c>
      <c r="AF659" s="76" t="str">
        <f>IF(Tab.11[[#This Row],[a1]]=0,"false",[3]!Tab.x5[[#This Row],[%_seN_C]])</f>
        <v>false</v>
      </c>
      <c r="AG659" s="77" t="b">
        <f>IF(Tab.11[[#This Row],[a1]]=1,AP659)</f>
        <v>0</v>
      </c>
      <c r="AH659" s="78" t="b">
        <f>IF(Tab.11[[#This Row],[a1]]=1,AQ659)</f>
        <v>0</v>
      </c>
      <c r="AI659" s="41">
        <v>3.0000000000000001E-3</v>
      </c>
      <c r="AJ659" s="79">
        <v>0.08</v>
      </c>
      <c r="AK659" s="80" t="b">
        <f>IF(Tab.11[[#This Row],[a1]]=1,1)</f>
        <v>0</v>
      </c>
      <c r="AL659"/>
      <c r="AM659"/>
      <c r="AN659"/>
      <c r="AO659"/>
      <c r="AP659"/>
      <c r="AQ659"/>
      <c r="AR659"/>
      <c r="AS659"/>
    </row>
    <row r="660" spans="1:45" s="81" customFormat="1" hidden="1" x14ac:dyDescent="0.25">
      <c r="A660" s="61">
        <f t="shared" si="21"/>
        <v>0</v>
      </c>
      <c r="B660" s="62">
        <f t="shared" si="21"/>
        <v>0</v>
      </c>
      <c r="C660" s="62" t="b">
        <f>IF(Tab.11[[#This Row],[a1]]=1,[3]!Tab_x1[[#This Row],[Name]])</f>
        <v>0</v>
      </c>
      <c r="D660" s="63" t="b">
        <f>IF(Tab.11[[#This Row],[a1]]=1,AO660)</f>
        <v>0</v>
      </c>
      <c r="E660" s="63">
        <f t="shared" si="22"/>
        <v>0</v>
      </c>
      <c r="F660" s="64" t="b">
        <f>IF(Tab.11[[#This Row],[a1]]=1,Tab.11[[#This Row],[b1]])</f>
        <v>0</v>
      </c>
      <c r="G660" s="65" t="b">
        <f>IF(Tab.11[[#This Row],[a1]]=1,IF(Tab.11[[#This Row],[b3]]&gt;$L$989*$G$3,$L$989*$G$3,IF(Tab.11[[#This Row],[b3]]&lt;$M$989*$G$3,$M$989*$G$3,Tab.11[[#This Row],[b3]])))</f>
        <v>0</v>
      </c>
      <c r="H660" s="66" t="b">
        <f>IF(Tab.11[[#This Row],[a1]]=1,Tab.11[[#This Row],[b1]])</f>
        <v>0</v>
      </c>
      <c r="I660" s="67" t="b">
        <f>IF(Tab.11[[#This Row],[a1]]=1,Tab.11[[#This Row],[b1]])</f>
        <v>0</v>
      </c>
      <c r="J660" s="68" t="b">
        <f>IF(Tab.11[[#This Row],[a1]]=1,IF($I$3&lt;0,Tab.11[[#This Row],[b5]]-$I$3,Tab.11[[#This Row],[b5]]))</f>
        <v>0</v>
      </c>
      <c r="K660" s="68" t="b">
        <f>IF(Tab.11[[#This Row],[a1]]=1,IF($K$3=0,Tab.11[b6],Tab.11[[#This Row],[b6]]-AVERAGE(Tab.11[b6])))</f>
        <v>0</v>
      </c>
      <c r="L660" s="69" t="b">
        <f>IF(Tab.11[[#This Row],[a1]]=1,Tab.11[[#This Row],[data]]/(_xlfn.STDEV.P(Tab.11[data])*$B$989)+$A$989)</f>
        <v>0</v>
      </c>
      <c r="M660" s="69" t="b">
        <f>IF(Tab.11[[#This Row],[a1]]=1,Tab.11[[#This Row],[data]]/(_xlfn.STDEV.P(Tab.11[data])*$B$987)-$A$987)</f>
        <v>0</v>
      </c>
      <c r="N660" s="69" t="b">
        <f>IF(Tab.11[[#This Row],[a1]]=1,Tab.11[[#This Row],[data]]/(_xlfn.STDEV.P(Tab.11[data])*$B$988)+$A$988)</f>
        <v>0</v>
      </c>
      <c r="O660" s="70" t="b">
        <f>IF(Tab.11[[#This Row],[a1]]=1,_xlfn.NORM.DIST(Tab.11[[#This Row],[b8]],$P$1,$Q$1,FALSE))</f>
        <v>0</v>
      </c>
      <c r="P660" s="70" t="b">
        <f>IF(Tab.11[[#This Row],[a1]]=1,_xlfn.NORM.DIST(Tab.11[[#This Row],[b9]],$P$1,$Q$1,FALSE))</f>
        <v>0</v>
      </c>
      <c r="Q660" s="70" t="b">
        <f>IF(Tab.11[[#This Row],[a1]]=1,_xlfn.NORM.DIST(Tab.11[[#This Row],[b10]],$P$1,$Q$1,FALSE))</f>
        <v>0</v>
      </c>
      <c r="R660" s="67" t="b">
        <f>IF(Tab.11[[#This Row],[a1]]=1,$I$3+$A$989+IF($K$3=0,Tab.11[[#This Row],[b8]]*_xlfn.STDEV.P(Tab.11[data]),AVERAGE(Tab.11[b6])+Tab.11[[#This Row],[b8]]*_xlfn.STDEV.P(Tab.11[data])))</f>
        <v>0</v>
      </c>
      <c r="S660" s="71" t="b">
        <f>IF(Tab.11[[#This Row],[a1]]=1,$I$3+$A$987+IF($K$3=0,Tab.11[[#This Row],[b9]]*_xlfn.STDEV.P(Tab.11[data]),AVERAGE(Tab.11[b6])+Tab.11[[#This Row],[b9]]*_xlfn.STDEV.P(Tab.11[data])))</f>
        <v>0</v>
      </c>
      <c r="T660" s="71" t="b">
        <f>IF(Tab.11[[#This Row],[a1]]=1,$I$3+$A$988+IF($K$3=0,Tab.11[[#This Row],[b10]]*_xlfn.STDEV.P(Tab.11[data]),AVERAGE(Tab.11[b6])+Tab.11[[#This Row],[b10]]*_xlfn.STDEV.P(Tab.11[data])))</f>
        <v>0</v>
      </c>
      <c r="U660" s="72" t="b">
        <f>IF(Tab.11[[#This Row],[a1]]=1,Tab.11[[#This Row],[target]]-Tab.11[[#This Row],[Red]])</f>
        <v>0</v>
      </c>
      <c r="V660" s="72" t="b">
        <f>IF(Tab.11[[#This Row],[a1]]=1,Tab.11[[#This Row],[target]]-Tab.11[[#This Row],[Blue]])</f>
        <v>0</v>
      </c>
      <c r="W660" s="73" t="b">
        <f>IF(Tab.11[[#This Row],[a1]]=1,IF(ABS(Tab.11[[#This Row],[b17]])+ABS(Tab.11[[#This Row],[b18]])&lt;$W$2,$W$2,ABS(Tab.11[[#This Row],[b17]])+ABS(Tab.11[[#This Row],[b18]])))</f>
        <v>0</v>
      </c>
      <c r="X660" s="136" t="b">
        <f>IF(Tab.11[[#This Row],[a1]]=1,IF($W$3&lt;0,Tab.11[[#This Row],[IN]]-$I$3,Tab.11[[#This Row],[IN]]))</f>
        <v>0</v>
      </c>
      <c r="Y660" s="136" t="b">
        <f>IF(Tab.11[[#This Row],[a1]]=1,IF($X$3=0,Tab.11[b66],Tab.11[[#This Row],[b66]]-AVERAGE(Tab.11[b66])))</f>
        <v>0</v>
      </c>
      <c r="Z660" s="135" t="b">
        <f>IF(Tab.11[[#This Row],[a1]]=1,Tab.11[[#This Row],[b77]]/(_xlfn.STDEV.P(Tab.11[b77])))</f>
        <v>0</v>
      </c>
      <c r="AA660" s="70" t="b">
        <f>IF(Tab.11[[#This Row],[a1]]=1,_xlfn.NORM.DIST(Tab.11[[#This Row],[b88]],$Z$1,$AA$1,FALSE))</f>
        <v>0</v>
      </c>
      <c r="AB660" s="74" t="b">
        <f>IF(Tab.11[[#This Row],[a1]]=1,IF($A$3=0,FALSE,1/Tab.11[[#This Row],[IN]]*$AC$2*IF(Tab.11[[#This Row],[a1]]=0,,$A$3*$AC$1*1/$V$3*(Tab.11[[#This Row],[b14]]))))</f>
        <v>0</v>
      </c>
      <c r="AC660" s="75" t="b">
        <f>IF(Tab.11[[#This Row],[a1]]=1,IF($AC$3=0,Tab.11[[#This Row],[φ1]],Tab.11[[#This Row],[φ1]]/MAX(Tab.11[φ1])))</f>
        <v>0</v>
      </c>
      <c r="AD660" s="74" t="b">
        <f>IF(Tab.11[[#This Row],[a1]]=1,1/Tab.11[[#This Row],[φ2]])</f>
        <v>0</v>
      </c>
      <c r="AE660" s="74" t="b">
        <f>IF(Tab.11[[#This Row],[a1]]=1,IF($AE$3=0,Tab.11[[#This Row],[w.0]],Tab.11[[#This Row],[w.0]]/SUM(Tab.11[w.0])))</f>
        <v>0</v>
      </c>
      <c r="AF660" s="76" t="str">
        <f>IF(Tab.11[[#This Row],[a1]]=0,"false",[3]!Tab.x5[[#This Row],[%_seN_C]])</f>
        <v>false</v>
      </c>
      <c r="AG660" s="77" t="b">
        <f>IF(Tab.11[[#This Row],[a1]]=1,AP660)</f>
        <v>0</v>
      </c>
      <c r="AH660" s="78" t="b">
        <f>IF(Tab.11[[#This Row],[a1]]=1,AQ660)</f>
        <v>0</v>
      </c>
      <c r="AI660" s="41">
        <v>3.0000000000000001E-3</v>
      </c>
      <c r="AJ660" s="79">
        <v>0.1</v>
      </c>
      <c r="AK660" s="80" t="b">
        <f>IF(Tab.11[[#This Row],[a1]]=1,1)</f>
        <v>0</v>
      </c>
      <c r="AL660"/>
      <c r="AM660"/>
      <c r="AN660"/>
      <c r="AO660"/>
      <c r="AP660"/>
      <c r="AQ660"/>
      <c r="AR660"/>
      <c r="AS660"/>
    </row>
    <row r="661" spans="1:45" s="81" customFormat="1" hidden="1" x14ac:dyDescent="0.25">
      <c r="A661" s="61">
        <f t="shared" ref="A661:B724" si="23">AM661</f>
        <v>0</v>
      </c>
      <c r="B661" s="62">
        <f t="shared" si="23"/>
        <v>0</v>
      </c>
      <c r="C661" s="62" t="b">
        <f>IF(Tab.11[[#This Row],[a1]]=1,[3]!Tab_x1[[#This Row],[Name]])</f>
        <v>0</v>
      </c>
      <c r="D661" s="63" t="b">
        <f>IF(Tab.11[[#This Row],[a1]]=1,AO661)</f>
        <v>0</v>
      </c>
      <c r="E661" s="63">
        <f t="shared" si="22"/>
        <v>0</v>
      </c>
      <c r="F661" s="64" t="b">
        <f>IF(Tab.11[[#This Row],[a1]]=1,Tab.11[[#This Row],[b1]])</f>
        <v>0</v>
      </c>
      <c r="G661" s="65" t="b">
        <f>IF(Tab.11[[#This Row],[a1]]=1,IF(Tab.11[[#This Row],[b3]]&gt;$L$989*$G$3,$L$989*$G$3,IF(Tab.11[[#This Row],[b3]]&lt;$M$989*$G$3,$M$989*$G$3,Tab.11[[#This Row],[b3]])))</f>
        <v>0</v>
      </c>
      <c r="H661" s="66" t="b">
        <f>IF(Tab.11[[#This Row],[a1]]=1,Tab.11[[#This Row],[b1]])</f>
        <v>0</v>
      </c>
      <c r="I661" s="67" t="b">
        <f>IF(Tab.11[[#This Row],[a1]]=1,Tab.11[[#This Row],[b1]])</f>
        <v>0</v>
      </c>
      <c r="J661" s="68" t="b">
        <f>IF(Tab.11[[#This Row],[a1]]=1,IF($I$3&lt;0,Tab.11[[#This Row],[b5]]-$I$3,Tab.11[[#This Row],[b5]]))</f>
        <v>0</v>
      </c>
      <c r="K661" s="68" t="b">
        <f>IF(Tab.11[[#This Row],[a1]]=1,IF($K$3=0,Tab.11[b6],Tab.11[[#This Row],[b6]]-AVERAGE(Tab.11[b6])))</f>
        <v>0</v>
      </c>
      <c r="L661" s="69" t="b">
        <f>IF(Tab.11[[#This Row],[a1]]=1,Tab.11[[#This Row],[data]]/(_xlfn.STDEV.P(Tab.11[data])*$B$989)+$A$989)</f>
        <v>0</v>
      </c>
      <c r="M661" s="69" t="b">
        <f>IF(Tab.11[[#This Row],[a1]]=1,Tab.11[[#This Row],[data]]/(_xlfn.STDEV.P(Tab.11[data])*$B$987)-$A$987)</f>
        <v>0</v>
      </c>
      <c r="N661" s="69" t="b">
        <f>IF(Tab.11[[#This Row],[a1]]=1,Tab.11[[#This Row],[data]]/(_xlfn.STDEV.P(Tab.11[data])*$B$988)+$A$988)</f>
        <v>0</v>
      </c>
      <c r="O661" s="70" t="b">
        <f>IF(Tab.11[[#This Row],[a1]]=1,_xlfn.NORM.DIST(Tab.11[[#This Row],[b8]],$P$1,$Q$1,FALSE))</f>
        <v>0</v>
      </c>
      <c r="P661" s="70" t="b">
        <f>IF(Tab.11[[#This Row],[a1]]=1,_xlfn.NORM.DIST(Tab.11[[#This Row],[b9]],$P$1,$Q$1,FALSE))</f>
        <v>0</v>
      </c>
      <c r="Q661" s="70" t="b">
        <f>IF(Tab.11[[#This Row],[a1]]=1,_xlfn.NORM.DIST(Tab.11[[#This Row],[b10]],$P$1,$Q$1,FALSE))</f>
        <v>0</v>
      </c>
      <c r="R661" s="67" t="b">
        <f>IF(Tab.11[[#This Row],[a1]]=1,$I$3+$A$989+IF($K$3=0,Tab.11[[#This Row],[b8]]*_xlfn.STDEV.P(Tab.11[data]),AVERAGE(Tab.11[b6])+Tab.11[[#This Row],[b8]]*_xlfn.STDEV.P(Tab.11[data])))</f>
        <v>0</v>
      </c>
      <c r="S661" s="71" t="b">
        <f>IF(Tab.11[[#This Row],[a1]]=1,$I$3+$A$987+IF($K$3=0,Tab.11[[#This Row],[b9]]*_xlfn.STDEV.P(Tab.11[data]),AVERAGE(Tab.11[b6])+Tab.11[[#This Row],[b9]]*_xlfn.STDEV.P(Tab.11[data])))</f>
        <v>0</v>
      </c>
      <c r="T661" s="71" t="b">
        <f>IF(Tab.11[[#This Row],[a1]]=1,$I$3+$A$988+IF($K$3=0,Tab.11[[#This Row],[b10]]*_xlfn.STDEV.P(Tab.11[data]),AVERAGE(Tab.11[b6])+Tab.11[[#This Row],[b10]]*_xlfn.STDEV.P(Tab.11[data])))</f>
        <v>0</v>
      </c>
      <c r="U661" s="72" t="b">
        <f>IF(Tab.11[[#This Row],[a1]]=1,Tab.11[[#This Row],[target]]-Tab.11[[#This Row],[Red]])</f>
        <v>0</v>
      </c>
      <c r="V661" s="72" t="b">
        <f>IF(Tab.11[[#This Row],[a1]]=1,Tab.11[[#This Row],[target]]-Tab.11[[#This Row],[Blue]])</f>
        <v>0</v>
      </c>
      <c r="W661" s="73" t="b">
        <f>IF(Tab.11[[#This Row],[a1]]=1,IF(ABS(Tab.11[[#This Row],[b17]])+ABS(Tab.11[[#This Row],[b18]])&lt;$W$2,$W$2,ABS(Tab.11[[#This Row],[b17]])+ABS(Tab.11[[#This Row],[b18]])))</f>
        <v>0</v>
      </c>
      <c r="X661" s="136" t="b">
        <f>IF(Tab.11[[#This Row],[a1]]=1,IF($W$3&lt;0,Tab.11[[#This Row],[IN]]-$I$3,Tab.11[[#This Row],[IN]]))</f>
        <v>0</v>
      </c>
      <c r="Y661" s="136" t="b">
        <f>IF(Tab.11[[#This Row],[a1]]=1,IF($X$3=0,Tab.11[b66],Tab.11[[#This Row],[b66]]-AVERAGE(Tab.11[b66])))</f>
        <v>0</v>
      </c>
      <c r="Z661" s="135" t="b">
        <f>IF(Tab.11[[#This Row],[a1]]=1,Tab.11[[#This Row],[b77]]/(_xlfn.STDEV.P(Tab.11[b77])))</f>
        <v>0</v>
      </c>
      <c r="AA661" s="70" t="b">
        <f>IF(Tab.11[[#This Row],[a1]]=1,_xlfn.NORM.DIST(Tab.11[[#This Row],[b88]],$Z$1,$AA$1,FALSE))</f>
        <v>0</v>
      </c>
      <c r="AB661" s="74" t="b">
        <f>IF(Tab.11[[#This Row],[a1]]=1,IF($A$3=0,FALSE,1/Tab.11[[#This Row],[IN]]*$AC$2*IF(Tab.11[[#This Row],[a1]]=0,,$A$3*$AC$1*1/$V$3*(Tab.11[[#This Row],[b14]]))))</f>
        <v>0</v>
      </c>
      <c r="AC661" s="75" t="b">
        <f>IF(Tab.11[[#This Row],[a1]]=1,IF($AC$3=0,Tab.11[[#This Row],[φ1]],Tab.11[[#This Row],[φ1]]/MAX(Tab.11[φ1])))</f>
        <v>0</v>
      </c>
      <c r="AD661" s="74" t="b">
        <f>IF(Tab.11[[#This Row],[a1]]=1,1/Tab.11[[#This Row],[φ2]])</f>
        <v>0</v>
      </c>
      <c r="AE661" s="74" t="b">
        <f>IF(Tab.11[[#This Row],[a1]]=1,IF($AE$3=0,Tab.11[[#This Row],[w.0]],Tab.11[[#This Row],[w.0]]/SUM(Tab.11[w.0])))</f>
        <v>0</v>
      </c>
      <c r="AF661" s="76" t="str">
        <f>IF(Tab.11[[#This Row],[a1]]=0,"false",[3]!Tab.x5[[#This Row],[%_seN_C]])</f>
        <v>false</v>
      </c>
      <c r="AG661" s="77" t="b">
        <f>IF(Tab.11[[#This Row],[a1]]=1,AP661)</f>
        <v>0</v>
      </c>
      <c r="AH661" s="78" t="b">
        <f>IF(Tab.11[[#This Row],[a1]]=1,AQ661)</f>
        <v>0</v>
      </c>
      <c r="AI661" s="41">
        <v>3.0000000000000001E-3</v>
      </c>
      <c r="AJ661" s="79">
        <v>0.01</v>
      </c>
      <c r="AK661" s="80" t="b">
        <f>IF(Tab.11[[#This Row],[a1]]=1,1)</f>
        <v>0</v>
      </c>
      <c r="AL661"/>
      <c r="AM661"/>
      <c r="AN661"/>
      <c r="AO661"/>
      <c r="AP661"/>
      <c r="AQ661"/>
      <c r="AR661"/>
      <c r="AS661"/>
    </row>
    <row r="662" spans="1:45" s="81" customFormat="1" hidden="1" x14ac:dyDescent="0.25">
      <c r="A662" s="61">
        <f t="shared" si="23"/>
        <v>0</v>
      </c>
      <c r="B662" s="62">
        <f t="shared" si="23"/>
        <v>0</v>
      </c>
      <c r="C662" s="62" t="b">
        <f>IF(Tab.11[[#This Row],[a1]]=1,[3]!Tab_x1[[#This Row],[Name]])</f>
        <v>0</v>
      </c>
      <c r="D662" s="63" t="b">
        <f>IF(Tab.11[[#This Row],[a1]]=1,AO662)</f>
        <v>0</v>
      </c>
      <c r="E662" s="63">
        <f t="shared" si="22"/>
        <v>0</v>
      </c>
      <c r="F662" s="64" t="b">
        <f>IF(Tab.11[[#This Row],[a1]]=1,Tab.11[[#This Row],[b1]])</f>
        <v>0</v>
      </c>
      <c r="G662" s="65" t="b">
        <f>IF(Tab.11[[#This Row],[a1]]=1,IF(Tab.11[[#This Row],[b3]]&gt;$L$989*$G$3,$L$989*$G$3,IF(Tab.11[[#This Row],[b3]]&lt;$M$989*$G$3,$M$989*$G$3,Tab.11[[#This Row],[b3]])))</f>
        <v>0</v>
      </c>
      <c r="H662" s="66" t="b">
        <f>IF(Tab.11[[#This Row],[a1]]=1,Tab.11[[#This Row],[b1]])</f>
        <v>0</v>
      </c>
      <c r="I662" s="67" t="b">
        <f>IF(Tab.11[[#This Row],[a1]]=1,Tab.11[[#This Row],[b1]])</f>
        <v>0</v>
      </c>
      <c r="J662" s="68" t="b">
        <f>IF(Tab.11[[#This Row],[a1]]=1,IF($I$3&lt;0,Tab.11[[#This Row],[b5]]-$I$3,Tab.11[[#This Row],[b5]]))</f>
        <v>0</v>
      </c>
      <c r="K662" s="68" t="b">
        <f>IF(Tab.11[[#This Row],[a1]]=1,IF($K$3=0,Tab.11[b6],Tab.11[[#This Row],[b6]]-AVERAGE(Tab.11[b6])))</f>
        <v>0</v>
      </c>
      <c r="L662" s="69" t="b">
        <f>IF(Tab.11[[#This Row],[a1]]=1,Tab.11[[#This Row],[data]]/(_xlfn.STDEV.P(Tab.11[data])*$B$989)+$A$989)</f>
        <v>0</v>
      </c>
      <c r="M662" s="69" t="b">
        <f>IF(Tab.11[[#This Row],[a1]]=1,Tab.11[[#This Row],[data]]/(_xlfn.STDEV.P(Tab.11[data])*$B$987)-$A$987)</f>
        <v>0</v>
      </c>
      <c r="N662" s="69" t="b">
        <f>IF(Tab.11[[#This Row],[a1]]=1,Tab.11[[#This Row],[data]]/(_xlfn.STDEV.P(Tab.11[data])*$B$988)+$A$988)</f>
        <v>0</v>
      </c>
      <c r="O662" s="70" t="b">
        <f>IF(Tab.11[[#This Row],[a1]]=1,_xlfn.NORM.DIST(Tab.11[[#This Row],[b8]],$P$1,$Q$1,FALSE))</f>
        <v>0</v>
      </c>
      <c r="P662" s="70" t="b">
        <f>IF(Tab.11[[#This Row],[a1]]=1,_xlfn.NORM.DIST(Tab.11[[#This Row],[b9]],$P$1,$Q$1,FALSE))</f>
        <v>0</v>
      </c>
      <c r="Q662" s="70" t="b">
        <f>IF(Tab.11[[#This Row],[a1]]=1,_xlfn.NORM.DIST(Tab.11[[#This Row],[b10]],$P$1,$Q$1,FALSE))</f>
        <v>0</v>
      </c>
      <c r="R662" s="67" t="b">
        <f>IF(Tab.11[[#This Row],[a1]]=1,$I$3+$A$989+IF($K$3=0,Tab.11[[#This Row],[b8]]*_xlfn.STDEV.P(Tab.11[data]),AVERAGE(Tab.11[b6])+Tab.11[[#This Row],[b8]]*_xlfn.STDEV.P(Tab.11[data])))</f>
        <v>0</v>
      </c>
      <c r="S662" s="71" t="b">
        <f>IF(Tab.11[[#This Row],[a1]]=1,$I$3+$A$987+IF($K$3=0,Tab.11[[#This Row],[b9]]*_xlfn.STDEV.P(Tab.11[data]),AVERAGE(Tab.11[b6])+Tab.11[[#This Row],[b9]]*_xlfn.STDEV.P(Tab.11[data])))</f>
        <v>0</v>
      </c>
      <c r="T662" s="71" t="b">
        <f>IF(Tab.11[[#This Row],[a1]]=1,$I$3+$A$988+IF($K$3=0,Tab.11[[#This Row],[b10]]*_xlfn.STDEV.P(Tab.11[data]),AVERAGE(Tab.11[b6])+Tab.11[[#This Row],[b10]]*_xlfn.STDEV.P(Tab.11[data])))</f>
        <v>0</v>
      </c>
      <c r="U662" s="72" t="b">
        <f>IF(Tab.11[[#This Row],[a1]]=1,Tab.11[[#This Row],[target]]-Tab.11[[#This Row],[Red]])</f>
        <v>0</v>
      </c>
      <c r="V662" s="72" t="b">
        <f>IF(Tab.11[[#This Row],[a1]]=1,Tab.11[[#This Row],[target]]-Tab.11[[#This Row],[Blue]])</f>
        <v>0</v>
      </c>
      <c r="W662" s="73" t="b">
        <f>IF(Tab.11[[#This Row],[a1]]=1,IF(ABS(Tab.11[[#This Row],[b17]])+ABS(Tab.11[[#This Row],[b18]])&lt;$W$2,$W$2,ABS(Tab.11[[#This Row],[b17]])+ABS(Tab.11[[#This Row],[b18]])))</f>
        <v>0</v>
      </c>
      <c r="X662" s="136" t="b">
        <f>IF(Tab.11[[#This Row],[a1]]=1,IF($W$3&lt;0,Tab.11[[#This Row],[IN]]-$I$3,Tab.11[[#This Row],[IN]]))</f>
        <v>0</v>
      </c>
      <c r="Y662" s="136" t="b">
        <f>IF(Tab.11[[#This Row],[a1]]=1,IF($X$3=0,Tab.11[b66],Tab.11[[#This Row],[b66]]-AVERAGE(Tab.11[b66])))</f>
        <v>0</v>
      </c>
      <c r="Z662" s="135" t="b">
        <f>IF(Tab.11[[#This Row],[a1]]=1,Tab.11[[#This Row],[b77]]/(_xlfn.STDEV.P(Tab.11[b77])))</f>
        <v>0</v>
      </c>
      <c r="AA662" s="70" t="b">
        <f>IF(Tab.11[[#This Row],[a1]]=1,_xlfn.NORM.DIST(Tab.11[[#This Row],[b88]],$Z$1,$AA$1,FALSE))</f>
        <v>0</v>
      </c>
      <c r="AB662" s="74" t="b">
        <f>IF(Tab.11[[#This Row],[a1]]=1,IF($A$3=0,FALSE,1/Tab.11[[#This Row],[IN]]*$AC$2*IF(Tab.11[[#This Row],[a1]]=0,,$A$3*$AC$1*1/$V$3*(Tab.11[[#This Row],[b14]]))))</f>
        <v>0</v>
      </c>
      <c r="AC662" s="75" t="b">
        <f>IF(Tab.11[[#This Row],[a1]]=1,IF($AC$3=0,Tab.11[[#This Row],[φ1]],Tab.11[[#This Row],[φ1]]/MAX(Tab.11[φ1])))</f>
        <v>0</v>
      </c>
      <c r="AD662" s="74" t="b">
        <f>IF(Tab.11[[#This Row],[a1]]=1,1/Tab.11[[#This Row],[φ2]])</f>
        <v>0</v>
      </c>
      <c r="AE662" s="74" t="b">
        <f>IF(Tab.11[[#This Row],[a1]]=1,IF($AE$3=0,Tab.11[[#This Row],[w.0]],Tab.11[[#This Row],[w.0]]/SUM(Tab.11[w.0])))</f>
        <v>0</v>
      </c>
      <c r="AF662" s="76" t="str">
        <f>IF(Tab.11[[#This Row],[a1]]=0,"false",[3]!Tab.x5[[#This Row],[%_seN_C]])</f>
        <v>false</v>
      </c>
      <c r="AG662" s="77" t="b">
        <f>IF(Tab.11[[#This Row],[a1]]=1,AP662)</f>
        <v>0</v>
      </c>
      <c r="AH662" s="78" t="b">
        <f>IF(Tab.11[[#This Row],[a1]]=1,AQ662)</f>
        <v>0</v>
      </c>
      <c r="AI662" s="41">
        <v>3.0000000000000001E-3</v>
      </c>
      <c r="AJ662" s="79">
        <v>0.01</v>
      </c>
      <c r="AK662" s="80" t="b">
        <f>IF(Tab.11[[#This Row],[a1]]=1,1)</f>
        <v>0</v>
      </c>
      <c r="AL662"/>
      <c r="AM662"/>
      <c r="AN662"/>
      <c r="AO662"/>
      <c r="AP662"/>
      <c r="AQ662"/>
      <c r="AR662"/>
      <c r="AS662"/>
    </row>
    <row r="663" spans="1:45" s="81" customFormat="1" hidden="1" x14ac:dyDescent="0.25">
      <c r="A663" s="61">
        <f t="shared" si="23"/>
        <v>0</v>
      </c>
      <c r="B663" s="62">
        <f t="shared" si="23"/>
        <v>0</v>
      </c>
      <c r="C663" s="62" t="b">
        <f>IF(Tab.11[[#This Row],[a1]]=1,[3]!Tab_x1[[#This Row],[Name]])</f>
        <v>0</v>
      </c>
      <c r="D663" s="63" t="b">
        <f>IF(Tab.11[[#This Row],[a1]]=1,AO663)</f>
        <v>0</v>
      </c>
      <c r="E663" s="63">
        <f t="shared" si="22"/>
        <v>0</v>
      </c>
      <c r="F663" s="64" t="b">
        <f>IF(Tab.11[[#This Row],[a1]]=1,Tab.11[[#This Row],[b1]])</f>
        <v>0</v>
      </c>
      <c r="G663" s="65" t="b">
        <f>IF(Tab.11[[#This Row],[a1]]=1,IF(Tab.11[[#This Row],[b3]]&gt;$L$989*$G$3,$L$989*$G$3,IF(Tab.11[[#This Row],[b3]]&lt;$M$989*$G$3,$M$989*$G$3,Tab.11[[#This Row],[b3]])))</f>
        <v>0</v>
      </c>
      <c r="H663" s="66" t="b">
        <f>IF(Tab.11[[#This Row],[a1]]=1,Tab.11[[#This Row],[b1]])</f>
        <v>0</v>
      </c>
      <c r="I663" s="67" t="b">
        <f>IF(Tab.11[[#This Row],[a1]]=1,Tab.11[[#This Row],[b1]])</f>
        <v>0</v>
      </c>
      <c r="J663" s="68" t="b">
        <f>IF(Tab.11[[#This Row],[a1]]=1,IF($I$3&lt;0,Tab.11[[#This Row],[b5]]-$I$3,Tab.11[[#This Row],[b5]]))</f>
        <v>0</v>
      </c>
      <c r="K663" s="68" t="b">
        <f>IF(Tab.11[[#This Row],[a1]]=1,IF($K$3=0,Tab.11[b6],Tab.11[[#This Row],[b6]]-AVERAGE(Tab.11[b6])))</f>
        <v>0</v>
      </c>
      <c r="L663" s="69" t="b">
        <f>IF(Tab.11[[#This Row],[a1]]=1,Tab.11[[#This Row],[data]]/(_xlfn.STDEV.P(Tab.11[data])*$B$989)+$A$989)</f>
        <v>0</v>
      </c>
      <c r="M663" s="69" t="b">
        <f>IF(Tab.11[[#This Row],[a1]]=1,Tab.11[[#This Row],[data]]/(_xlfn.STDEV.P(Tab.11[data])*$B$987)-$A$987)</f>
        <v>0</v>
      </c>
      <c r="N663" s="69" t="b">
        <f>IF(Tab.11[[#This Row],[a1]]=1,Tab.11[[#This Row],[data]]/(_xlfn.STDEV.P(Tab.11[data])*$B$988)+$A$988)</f>
        <v>0</v>
      </c>
      <c r="O663" s="70" t="b">
        <f>IF(Tab.11[[#This Row],[a1]]=1,_xlfn.NORM.DIST(Tab.11[[#This Row],[b8]],$P$1,$Q$1,FALSE))</f>
        <v>0</v>
      </c>
      <c r="P663" s="70" t="b">
        <f>IF(Tab.11[[#This Row],[a1]]=1,_xlfn.NORM.DIST(Tab.11[[#This Row],[b9]],$P$1,$Q$1,FALSE))</f>
        <v>0</v>
      </c>
      <c r="Q663" s="70" t="b">
        <f>IF(Tab.11[[#This Row],[a1]]=1,_xlfn.NORM.DIST(Tab.11[[#This Row],[b10]],$P$1,$Q$1,FALSE))</f>
        <v>0</v>
      </c>
      <c r="R663" s="67" t="b">
        <f>IF(Tab.11[[#This Row],[a1]]=1,$I$3+$A$989+IF($K$3=0,Tab.11[[#This Row],[b8]]*_xlfn.STDEV.P(Tab.11[data]),AVERAGE(Tab.11[b6])+Tab.11[[#This Row],[b8]]*_xlfn.STDEV.P(Tab.11[data])))</f>
        <v>0</v>
      </c>
      <c r="S663" s="71" t="b">
        <f>IF(Tab.11[[#This Row],[a1]]=1,$I$3+$A$987+IF($K$3=0,Tab.11[[#This Row],[b9]]*_xlfn.STDEV.P(Tab.11[data]),AVERAGE(Tab.11[b6])+Tab.11[[#This Row],[b9]]*_xlfn.STDEV.P(Tab.11[data])))</f>
        <v>0</v>
      </c>
      <c r="T663" s="71" t="b">
        <f>IF(Tab.11[[#This Row],[a1]]=1,$I$3+$A$988+IF($K$3=0,Tab.11[[#This Row],[b10]]*_xlfn.STDEV.P(Tab.11[data]),AVERAGE(Tab.11[b6])+Tab.11[[#This Row],[b10]]*_xlfn.STDEV.P(Tab.11[data])))</f>
        <v>0</v>
      </c>
      <c r="U663" s="72" t="b">
        <f>IF(Tab.11[[#This Row],[a1]]=1,Tab.11[[#This Row],[target]]-Tab.11[[#This Row],[Red]])</f>
        <v>0</v>
      </c>
      <c r="V663" s="72" t="b">
        <f>IF(Tab.11[[#This Row],[a1]]=1,Tab.11[[#This Row],[target]]-Tab.11[[#This Row],[Blue]])</f>
        <v>0</v>
      </c>
      <c r="W663" s="73" t="b">
        <f>IF(Tab.11[[#This Row],[a1]]=1,IF(ABS(Tab.11[[#This Row],[b17]])+ABS(Tab.11[[#This Row],[b18]])&lt;$W$2,$W$2,ABS(Tab.11[[#This Row],[b17]])+ABS(Tab.11[[#This Row],[b18]])))</f>
        <v>0</v>
      </c>
      <c r="X663" s="136" t="b">
        <f>IF(Tab.11[[#This Row],[a1]]=1,IF($W$3&lt;0,Tab.11[[#This Row],[IN]]-$I$3,Tab.11[[#This Row],[IN]]))</f>
        <v>0</v>
      </c>
      <c r="Y663" s="136" t="b">
        <f>IF(Tab.11[[#This Row],[a1]]=1,IF($X$3=0,Tab.11[b66],Tab.11[[#This Row],[b66]]-AVERAGE(Tab.11[b66])))</f>
        <v>0</v>
      </c>
      <c r="Z663" s="135" t="b">
        <f>IF(Tab.11[[#This Row],[a1]]=1,Tab.11[[#This Row],[b77]]/(_xlfn.STDEV.P(Tab.11[b77])))</f>
        <v>0</v>
      </c>
      <c r="AA663" s="70" t="b">
        <f>IF(Tab.11[[#This Row],[a1]]=1,_xlfn.NORM.DIST(Tab.11[[#This Row],[b88]],$Z$1,$AA$1,FALSE))</f>
        <v>0</v>
      </c>
      <c r="AB663" s="74" t="b">
        <f>IF(Tab.11[[#This Row],[a1]]=1,IF($A$3=0,FALSE,1/Tab.11[[#This Row],[IN]]*$AC$2*IF(Tab.11[[#This Row],[a1]]=0,,$A$3*$AC$1*1/$V$3*(Tab.11[[#This Row],[b14]]))))</f>
        <v>0</v>
      </c>
      <c r="AC663" s="75" t="b">
        <f>IF(Tab.11[[#This Row],[a1]]=1,IF($AC$3=0,Tab.11[[#This Row],[φ1]],Tab.11[[#This Row],[φ1]]/MAX(Tab.11[φ1])))</f>
        <v>0</v>
      </c>
      <c r="AD663" s="74" t="b">
        <f>IF(Tab.11[[#This Row],[a1]]=1,1/Tab.11[[#This Row],[φ2]])</f>
        <v>0</v>
      </c>
      <c r="AE663" s="74" t="b">
        <f>IF(Tab.11[[#This Row],[a1]]=1,IF($AE$3=0,Tab.11[[#This Row],[w.0]],Tab.11[[#This Row],[w.0]]/SUM(Tab.11[w.0])))</f>
        <v>0</v>
      </c>
      <c r="AF663" s="76" t="str">
        <f>IF(Tab.11[[#This Row],[a1]]=0,"false",[3]!Tab.x5[[#This Row],[%_seN_C]])</f>
        <v>false</v>
      </c>
      <c r="AG663" s="77" t="b">
        <f>IF(Tab.11[[#This Row],[a1]]=1,AP663)</f>
        <v>0</v>
      </c>
      <c r="AH663" s="78" t="b">
        <f>IF(Tab.11[[#This Row],[a1]]=1,AQ663)</f>
        <v>0</v>
      </c>
      <c r="AI663" s="41">
        <v>3.0000000000000001E-3</v>
      </c>
      <c r="AJ663" s="79">
        <v>-7.0000000000000007E-2</v>
      </c>
      <c r="AK663" s="80" t="b">
        <f>IF(Tab.11[[#This Row],[a1]]=1,1)</f>
        <v>0</v>
      </c>
      <c r="AL663"/>
      <c r="AM663"/>
      <c r="AN663"/>
      <c r="AO663"/>
      <c r="AP663"/>
      <c r="AQ663"/>
      <c r="AR663"/>
      <c r="AS663"/>
    </row>
    <row r="664" spans="1:45" s="81" customFormat="1" hidden="1" x14ac:dyDescent="0.25">
      <c r="A664" s="61">
        <f t="shared" si="23"/>
        <v>0</v>
      </c>
      <c r="B664" s="62">
        <f t="shared" si="23"/>
        <v>0</v>
      </c>
      <c r="C664" s="62" t="b">
        <f>IF(Tab.11[[#This Row],[a1]]=1,[3]!Tab_x1[[#This Row],[Name]])</f>
        <v>0</v>
      </c>
      <c r="D664" s="63" t="b">
        <f>IF(Tab.11[[#This Row],[a1]]=1,AO664)</f>
        <v>0</v>
      </c>
      <c r="E664" s="63">
        <f t="shared" si="22"/>
        <v>0</v>
      </c>
      <c r="F664" s="64" t="b">
        <f>IF(Tab.11[[#This Row],[a1]]=1,Tab.11[[#This Row],[b1]])</f>
        <v>0</v>
      </c>
      <c r="G664" s="65" t="b">
        <f>IF(Tab.11[[#This Row],[a1]]=1,IF(Tab.11[[#This Row],[b3]]&gt;$L$989*$G$3,$L$989*$G$3,IF(Tab.11[[#This Row],[b3]]&lt;$M$989*$G$3,$M$989*$G$3,Tab.11[[#This Row],[b3]])))</f>
        <v>0</v>
      </c>
      <c r="H664" s="66" t="b">
        <f>IF(Tab.11[[#This Row],[a1]]=1,Tab.11[[#This Row],[b1]])</f>
        <v>0</v>
      </c>
      <c r="I664" s="67" t="b">
        <f>IF(Tab.11[[#This Row],[a1]]=1,Tab.11[[#This Row],[b1]])</f>
        <v>0</v>
      </c>
      <c r="J664" s="68" t="b">
        <f>IF(Tab.11[[#This Row],[a1]]=1,IF($I$3&lt;0,Tab.11[[#This Row],[b5]]-$I$3,Tab.11[[#This Row],[b5]]))</f>
        <v>0</v>
      </c>
      <c r="K664" s="68" t="b">
        <f>IF(Tab.11[[#This Row],[a1]]=1,IF($K$3=0,Tab.11[b6],Tab.11[[#This Row],[b6]]-AVERAGE(Tab.11[b6])))</f>
        <v>0</v>
      </c>
      <c r="L664" s="69" t="b">
        <f>IF(Tab.11[[#This Row],[a1]]=1,Tab.11[[#This Row],[data]]/(_xlfn.STDEV.P(Tab.11[data])*$B$989)+$A$989)</f>
        <v>0</v>
      </c>
      <c r="M664" s="69" t="b">
        <f>IF(Tab.11[[#This Row],[a1]]=1,Tab.11[[#This Row],[data]]/(_xlfn.STDEV.P(Tab.11[data])*$B$987)-$A$987)</f>
        <v>0</v>
      </c>
      <c r="N664" s="69" t="b">
        <f>IF(Tab.11[[#This Row],[a1]]=1,Tab.11[[#This Row],[data]]/(_xlfn.STDEV.P(Tab.11[data])*$B$988)+$A$988)</f>
        <v>0</v>
      </c>
      <c r="O664" s="70" t="b">
        <f>IF(Tab.11[[#This Row],[a1]]=1,_xlfn.NORM.DIST(Tab.11[[#This Row],[b8]],$P$1,$Q$1,FALSE))</f>
        <v>0</v>
      </c>
      <c r="P664" s="70" t="b">
        <f>IF(Tab.11[[#This Row],[a1]]=1,_xlfn.NORM.DIST(Tab.11[[#This Row],[b9]],$P$1,$Q$1,FALSE))</f>
        <v>0</v>
      </c>
      <c r="Q664" s="70" t="b">
        <f>IF(Tab.11[[#This Row],[a1]]=1,_xlfn.NORM.DIST(Tab.11[[#This Row],[b10]],$P$1,$Q$1,FALSE))</f>
        <v>0</v>
      </c>
      <c r="R664" s="67" t="b">
        <f>IF(Tab.11[[#This Row],[a1]]=1,$I$3+$A$989+IF($K$3=0,Tab.11[[#This Row],[b8]]*_xlfn.STDEV.P(Tab.11[data]),AVERAGE(Tab.11[b6])+Tab.11[[#This Row],[b8]]*_xlfn.STDEV.P(Tab.11[data])))</f>
        <v>0</v>
      </c>
      <c r="S664" s="71" t="b">
        <f>IF(Tab.11[[#This Row],[a1]]=1,$I$3+$A$987+IF($K$3=0,Tab.11[[#This Row],[b9]]*_xlfn.STDEV.P(Tab.11[data]),AVERAGE(Tab.11[b6])+Tab.11[[#This Row],[b9]]*_xlfn.STDEV.P(Tab.11[data])))</f>
        <v>0</v>
      </c>
      <c r="T664" s="71" t="b">
        <f>IF(Tab.11[[#This Row],[a1]]=1,$I$3+$A$988+IF($K$3=0,Tab.11[[#This Row],[b10]]*_xlfn.STDEV.P(Tab.11[data]),AVERAGE(Tab.11[b6])+Tab.11[[#This Row],[b10]]*_xlfn.STDEV.P(Tab.11[data])))</f>
        <v>0</v>
      </c>
      <c r="U664" s="72" t="b">
        <f>IF(Tab.11[[#This Row],[a1]]=1,Tab.11[[#This Row],[target]]-Tab.11[[#This Row],[Red]])</f>
        <v>0</v>
      </c>
      <c r="V664" s="72" t="b">
        <f>IF(Tab.11[[#This Row],[a1]]=1,Tab.11[[#This Row],[target]]-Tab.11[[#This Row],[Blue]])</f>
        <v>0</v>
      </c>
      <c r="W664" s="73" t="b">
        <f>IF(Tab.11[[#This Row],[a1]]=1,IF(ABS(Tab.11[[#This Row],[b17]])+ABS(Tab.11[[#This Row],[b18]])&lt;$W$2,$W$2,ABS(Tab.11[[#This Row],[b17]])+ABS(Tab.11[[#This Row],[b18]])))</f>
        <v>0</v>
      </c>
      <c r="X664" s="136" t="b">
        <f>IF(Tab.11[[#This Row],[a1]]=1,IF($W$3&lt;0,Tab.11[[#This Row],[IN]]-$I$3,Tab.11[[#This Row],[IN]]))</f>
        <v>0</v>
      </c>
      <c r="Y664" s="136" t="b">
        <f>IF(Tab.11[[#This Row],[a1]]=1,IF($X$3=0,Tab.11[b66],Tab.11[[#This Row],[b66]]-AVERAGE(Tab.11[b66])))</f>
        <v>0</v>
      </c>
      <c r="Z664" s="135" t="b">
        <f>IF(Tab.11[[#This Row],[a1]]=1,Tab.11[[#This Row],[b77]]/(_xlfn.STDEV.P(Tab.11[b77])))</f>
        <v>0</v>
      </c>
      <c r="AA664" s="70" t="b">
        <f>IF(Tab.11[[#This Row],[a1]]=1,_xlfn.NORM.DIST(Tab.11[[#This Row],[b88]],$Z$1,$AA$1,FALSE))</f>
        <v>0</v>
      </c>
      <c r="AB664" s="74" t="b">
        <f>IF(Tab.11[[#This Row],[a1]]=1,IF($A$3=0,FALSE,1/Tab.11[[#This Row],[IN]]*$AC$2*IF(Tab.11[[#This Row],[a1]]=0,,$A$3*$AC$1*1/$V$3*(Tab.11[[#This Row],[b14]]))))</f>
        <v>0</v>
      </c>
      <c r="AC664" s="75" t="b">
        <f>IF(Tab.11[[#This Row],[a1]]=1,IF($AC$3=0,Tab.11[[#This Row],[φ1]],Tab.11[[#This Row],[φ1]]/MAX(Tab.11[φ1])))</f>
        <v>0</v>
      </c>
      <c r="AD664" s="74" t="b">
        <f>IF(Tab.11[[#This Row],[a1]]=1,1/Tab.11[[#This Row],[φ2]])</f>
        <v>0</v>
      </c>
      <c r="AE664" s="74" t="b">
        <f>IF(Tab.11[[#This Row],[a1]]=1,IF($AE$3=0,Tab.11[[#This Row],[w.0]],Tab.11[[#This Row],[w.0]]/SUM(Tab.11[w.0])))</f>
        <v>0</v>
      </c>
      <c r="AF664" s="76" t="str">
        <f>IF(Tab.11[[#This Row],[a1]]=0,"false",[3]!Tab.x5[[#This Row],[%_seN_C]])</f>
        <v>false</v>
      </c>
      <c r="AG664" s="77" t="b">
        <f>IF(Tab.11[[#This Row],[a1]]=1,AP664)</f>
        <v>0</v>
      </c>
      <c r="AH664" s="78" t="b">
        <f>IF(Tab.11[[#This Row],[a1]]=1,AQ664)</f>
        <v>0</v>
      </c>
      <c r="AI664" s="41">
        <v>3.0000000000000001E-3</v>
      </c>
      <c r="AJ664" s="79">
        <v>-0.08</v>
      </c>
      <c r="AK664" s="80" t="b">
        <f>IF(Tab.11[[#This Row],[a1]]=1,1)</f>
        <v>0</v>
      </c>
      <c r="AL664"/>
      <c r="AM664"/>
      <c r="AN664"/>
      <c r="AO664"/>
      <c r="AP664"/>
      <c r="AQ664"/>
      <c r="AR664"/>
      <c r="AS664"/>
    </row>
    <row r="665" spans="1:45" s="81" customFormat="1" hidden="1" x14ac:dyDescent="0.25">
      <c r="A665" s="61">
        <f t="shared" si="23"/>
        <v>0</v>
      </c>
      <c r="B665" s="62">
        <f t="shared" si="23"/>
        <v>0</v>
      </c>
      <c r="C665" s="62" t="b">
        <f>IF(Tab.11[[#This Row],[a1]]=1,[3]!Tab_x1[[#This Row],[Name]])</f>
        <v>0</v>
      </c>
      <c r="D665" s="63" t="b">
        <f>IF(Tab.11[[#This Row],[a1]]=1,AO665)</f>
        <v>0</v>
      </c>
      <c r="E665" s="63">
        <f t="shared" si="22"/>
        <v>0</v>
      </c>
      <c r="F665" s="64" t="b">
        <f>IF(Tab.11[[#This Row],[a1]]=1,Tab.11[[#This Row],[b1]])</f>
        <v>0</v>
      </c>
      <c r="G665" s="65" t="b">
        <f>IF(Tab.11[[#This Row],[a1]]=1,IF(Tab.11[[#This Row],[b3]]&gt;$L$989*$G$3,$L$989*$G$3,IF(Tab.11[[#This Row],[b3]]&lt;$M$989*$G$3,$M$989*$G$3,Tab.11[[#This Row],[b3]])))</f>
        <v>0</v>
      </c>
      <c r="H665" s="66" t="b">
        <f>IF(Tab.11[[#This Row],[a1]]=1,Tab.11[[#This Row],[b1]])</f>
        <v>0</v>
      </c>
      <c r="I665" s="67" t="b">
        <f>IF(Tab.11[[#This Row],[a1]]=1,Tab.11[[#This Row],[b1]])</f>
        <v>0</v>
      </c>
      <c r="J665" s="68" t="b">
        <f>IF(Tab.11[[#This Row],[a1]]=1,IF($I$3&lt;0,Tab.11[[#This Row],[b5]]-$I$3,Tab.11[[#This Row],[b5]]))</f>
        <v>0</v>
      </c>
      <c r="K665" s="68" t="b">
        <f>IF(Tab.11[[#This Row],[a1]]=1,IF($K$3=0,Tab.11[b6],Tab.11[[#This Row],[b6]]-AVERAGE(Tab.11[b6])))</f>
        <v>0</v>
      </c>
      <c r="L665" s="69" t="b">
        <f>IF(Tab.11[[#This Row],[a1]]=1,Tab.11[[#This Row],[data]]/(_xlfn.STDEV.P(Tab.11[data])*$B$989)+$A$989)</f>
        <v>0</v>
      </c>
      <c r="M665" s="69" t="b">
        <f>IF(Tab.11[[#This Row],[a1]]=1,Tab.11[[#This Row],[data]]/(_xlfn.STDEV.P(Tab.11[data])*$B$987)-$A$987)</f>
        <v>0</v>
      </c>
      <c r="N665" s="69" t="b">
        <f>IF(Tab.11[[#This Row],[a1]]=1,Tab.11[[#This Row],[data]]/(_xlfn.STDEV.P(Tab.11[data])*$B$988)+$A$988)</f>
        <v>0</v>
      </c>
      <c r="O665" s="70" t="b">
        <f>IF(Tab.11[[#This Row],[a1]]=1,_xlfn.NORM.DIST(Tab.11[[#This Row],[b8]],$P$1,$Q$1,FALSE))</f>
        <v>0</v>
      </c>
      <c r="P665" s="70" t="b">
        <f>IF(Tab.11[[#This Row],[a1]]=1,_xlfn.NORM.DIST(Tab.11[[#This Row],[b9]],$P$1,$Q$1,FALSE))</f>
        <v>0</v>
      </c>
      <c r="Q665" s="70" t="b">
        <f>IF(Tab.11[[#This Row],[a1]]=1,_xlfn.NORM.DIST(Tab.11[[#This Row],[b10]],$P$1,$Q$1,FALSE))</f>
        <v>0</v>
      </c>
      <c r="R665" s="67" t="b">
        <f>IF(Tab.11[[#This Row],[a1]]=1,$I$3+$A$989+IF($K$3=0,Tab.11[[#This Row],[b8]]*_xlfn.STDEV.P(Tab.11[data]),AVERAGE(Tab.11[b6])+Tab.11[[#This Row],[b8]]*_xlfn.STDEV.P(Tab.11[data])))</f>
        <v>0</v>
      </c>
      <c r="S665" s="71" t="b">
        <f>IF(Tab.11[[#This Row],[a1]]=1,$I$3+$A$987+IF($K$3=0,Tab.11[[#This Row],[b9]]*_xlfn.STDEV.P(Tab.11[data]),AVERAGE(Tab.11[b6])+Tab.11[[#This Row],[b9]]*_xlfn.STDEV.P(Tab.11[data])))</f>
        <v>0</v>
      </c>
      <c r="T665" s="71" t="b">
        <f>IF(Tab.11[[#This Row],[a1]]=1,$I$3+$A$988+IF($K$3=0,Tab.11[[#This Row],[b10]]*_xlfn.STDEV.P(Tab.11[data]),AVERAGE(Tab.11[b6])+Tab.11[[#This Row],[b10]]*_xlfn.STDEV.P(Tab.11[data])))</f>
        <v>0</v>
      </c>
      <c r="U665" s="72" t="b">
        <f>IF(Tab.11[[#This Row],[a1]]=1,Tab.11[[#This Row],[target]]-Tab.11[[#This Row],[Red]])</f>
        <v>0</v>
      </c>
      <c r="V665" s="72" t="b">
        <f>IF(Tab.11[[#This Row],[a1]]=1,Tab.11[[#This Row],[target]]-Tab.11[[#This Row],[Blue]])</f>
        <v>0</v>
      </c>
      <c r="W665" s="73" t="b">
        <f>IF(Tab.11[[#This Row],[a1]]=1,IF(ABS(Tab.11[[#This Row],[b17]])+ABS(Tab.11[[#This Row],[b18]])&lt;$W$2,$W$2,ABS(Tab.11[[#This Row],[b17]])+ABS(Tab.11[[#This Row],[b18]])))</f>
        <v>0</v>
      </c>
      <c r="X665" s="136" t="b">
        <f>IF(Tab.11[[#This Row],[a1]]=1,IF($W$3&lt;0,Tab.11[[#This Row],[IN]]-$I$3,Tab.11[[#This Row],[IN]]))</f>
        <v>0</v>
      </c>
      <c r="Y665" s="136" t="b">
        <f>IF(Tab.11[[#This Row],[a1]]=1,IF($X$3=0,Tab.11[b66],Tab.11[[#This Row],[b66]]-AVERAGE(Tab.11[b66])))</f>
        <v>0</v>
      </c>
      <c r="Z665" s="135" t="b">
        <f>IF(Tab.11[[#This Row],[a1]]=1,Tab.11[[#This Row],[b77]]/(_xlfn.STDEV.P(Tab.11[b77])))</f>
        <v>0</v>
      </c>
      <c r="AA665" s="70" t="b">
        <f>IF(Tab.11[[#This Row],[a1]]=1,_xlfn.NORM.DIST(Tab.11[[#This Row],[b88]],$Z$1,$AA$1,FALSE))</f>
        <v>0</v>
      </c>
      <c r="AB665" s="74" t="b">
        <f>IF(Tab.11[[#This Row],[a1]]=1,IF($A$3=0,FALSE,1/Tab.11[[#This Row],[IN]]*$AC$2*IF(Tab.11[[#This Row],[a1]]=0,,$A$3*$AC$1*1/$V$3*(Tab.11[[#This Row],[b14]]))))</f>
        <v>0</v>
      </c>
      <c r="AC665" s="75" t="b">
        <f>IF(Tab.11[[#This Row],[a1]]=1,IF($AC$3=0,Tab.11[[#This Row],[φ1]],Tab.11[[#This Row],[φ1]]/MAX(Tab.11[φ1])))</f>
        <v>0</v>
      </c>
      <c r="AD665" s="74" t="b">
        <f>IF(Tab.11[[#This Row],[a1]]=1,1/Tab.11[[#This Row],[φ2]])</f>
        <v>0</v>
      </c>
      <c r="AE665" s="74" t="b">
        <f>IF(Tab.11[[#This Row],[a1]]=1,IF($AE$3=0,Tab.11[[#This Row],[w.0]],Tab.11[[#This Row],[w.0]]/SUM(Tab.11[w.0])))</f>
        <v>0</v>
      </c>
      <c r="AF665" s="76" t="str">
        <f>IF(Tab.11[[#This Row],[a1]]=0,"false",[3]!Tab.x5[[#This Row],[%_seN_C]])</f>
        <v>false</v>
      </c>
      <c r="AG665" s="77" t="b">
        <f>IF(Tab.11[[#This Row],[a1]]=1,AP665)</f>
        <v>0</v>
      </c>
      <c r="AH665" s="78" t="b">
        <f>IF(Tab.11[[#This Row],[a1]]=1,AQ665)</f>
        <v>0</v>
      </c>
      <c r="AI665" s="41">
        <v>3.0000000000000001E-3</v>
      </c>
      <c r="AJ665" s="79">
        <v>-0.1</v>
      </c>
      <c r="AK665" s="80" t="b">
        <f>IF(Tab.11[[#This Row],[a1]]=1,1)</f>
        <v>0</v>
      </c>
      <c r="AL665"/>
      <c r="AM665"/>
      <c r="AN665"/>
      <c r="AO665"/>
      <c r="AP665"/>
      <c r="AQ665"/>
      <c r="AR665"/>
      <c r="AS665"/>
    </row>
    <row r="666" spans="1:45" s="81" customFormat="1" hidden="1" x14ac:dyDescent="0.25">
      <c r="A666" s="61">
        <f t="shared" si="23"/>
        <v>0</v>
      </c>
      <c r="B666" s="62">
        <f t="shared" si="23"/>
        <v>0</v>
      </c>
      <c r="C666" s="62" t="b">
        <f>IF(Tab.11[[#This Row],[a1]]=1,[3]!Tab_x1[[#This Row],[Name]])</f>
        <v>0</v>
      </c>
      <c r="D666" s="63" t="b">
        <f>IF(Tab.11[[#This Row],[a1]]=1,AO666)</f>
        <v>0</v>
      </c>
      <c r="E666" s="63">
        <f t="shared" si="22"/>
        <v>0</v>
      </c>
      <c r="F666" s="64" t="b">
        <f>IF(Tab.11[[#This Row],[a1]]=1,Tab.11[[#This Row],[b1]])</f>
        <v>0</v>
      </c>
      <c r="G666" s="65" t="b">
        <f>IF(Tab.11[[#This Row],[a1]]=1,IF(Tab.11[[#This Row],[b3]]&gt;$L$989*$G$3,$L$989*$G$3,IF(Tab.11[[#This Row],[b3]]&lt;$M$989*$G$3,$M$989*$G$3,Tab.11[[#This Row],[b3]])))</f>
        <v>0</v>
      </c>
      <c r="H666" s="66" t="b">
        <f>IF(Tab.11[[#This Row],[a1]]=1,Tab.11[[#This Row],[b1]])</f>
        <v>0</v>
      </c>
      <c r="I666" s="67" t="b">
        <f>IF(Tab.11[[#This Row],[a1]]=1,Tab.11[[#This Row],[b1]])</f>
        <v>0</v>
      </c>
      <c r="J666" s="68" t="b">
        <f>IF(Tab.11[[#This Row],[a1]]=1,IF($I$3&lt;0,Tab.11[[#This Row],[b5]]-$I$3,Tab.11[[#This Row],[b5]]))</f>
        <v>0</v>
      </c>
      <c r="K666" s="68" t="b">
        <f>IF(Tab.11[[#This Row],[a1]]=1,IF($K$3=0,Tab.11[b6],Tab.11[[#This Row],[b6]]-AVERAGE(Tab.11[b6])))</f>
        <v>0</v>
      </c>
      <c r="L666" s="69" t="b">
        <f>IF(Tab.11[[#This Row],[a1]]=1,Tab.11[[#This Row],[data]]/(_xlfn.STDEV.P(Tab.11[data])*$B$989)+$A$989)</f>
        <v>0</v>
      </c>
      <c r="M666" s="69" t="b">
        <f>IF(Tab.11[[#This Row],[a1]]=1,Tab.11[[#This Row],[data]]/(_xlfn.STDEV.P(Tab.11[data])*$B$987)-$A$987)</f>
        <v>0</v>
      </c>
      <c r="N666" s="69" t="b">
        <f>IF(Tab.11[[#This Row],[a1]]=1,Tab.11[[#This Row],[data]]/(_xlfn.STDEV.P(Tab.11[data])*$B$988)+$A$988)</f>
        <v>0</v>
      </c>
      <c r="O666" s="70" t="b">
        <f>IF(Tab.11[[#This Row],[a1]]=1,_xlfn.NORM.DIST(Tab.11[[#This Row],[b8]],$P$1,$Q$1,FALSE))</f>
        <v>0</v>
      </c>
      <c r="P666" s="70" t="b">
        <f>IF(Tab.11[[#This Row],[a1]]=1,_xlfn.NORM.DIST(Tab.11[[#This Row],[b9]],$P$1,$Q$1,FALSE))</f>
        <v>0</v>
      </c>
      <c r="Q666" s="70" t="b">
        <f>IF(Tab.11[[#This Row],[a1]]=1,_xlfn.NORM.DIST(Tab.11[[#This Row],[b10]],$P$1,$Q$1,FALSE))</f>
        <v>0</v>
      </c>
      <c r="R666" s="67" t="b">
        <f>IF(Tab.11[[#This Row],[a1]]=1,$I$3+$A$989+IF($K$3=0,Tab.11[[#This Row],[b8]]*_xlfn.STDEV.P(Tab.11[data]),AVERAGE(Tab.11[b6])+Tab.11[[#This Row],[b8]]*_xlfn.STDEV.P(Tab.11[data])))</f>
        <v>0</v>
      </c>
      <c r="S666" s="71" t="b">
        <f>IF(Tab.11[[#This Row],[a1]]=1,$I$3+$A$987+IF($K$3=0,Tab.11[[#This Row],[b9]]*_xlfn.STDEV.P(Tab.11[data]),AVERAGE(Tab.11[b6])+Tab.11[[#This Row],[b9]]*_xlfn.STDEV.P(Tab.11[data])))</f>
        <v>0</v>
      </c>
      <c r="T666" s="71" t="b">
        <f>IF(Tab.11[[#This Row],[a1]]=1,$I$3+$A$988+IF($K$3=0,Tab.11[[#This Row],[b10]]*_xlfn.STDEV.P(Tab.11[data]),AVERAGE(Tab.11[b6])+Tab.11[[#This Row],[b10]]*_xlfn.STDEV.P(Tab.11[data])))</f>
        <v>0</v>
      </c>
      <c r="U666" s="72" t="b">
        <f>IF(Tab.11[[#This Row],[a1]]=1,Tab.11[[#This Row],[target]]-Tab.11[[#This Row],[Red]])</f>
        <v>0</v>
      </c>
      <c r="V666" s="72" t="b">
        <f>IF(Tab.11[[#This Row],[a1]]=1,Tab.11[[#This Row],[target]]-Tab.11[[#This Row],[Blue]])</f>
        <v>0</v>
      </c>
      <c r="W666" s="73" t="b">
        <f>IF(Tab.11[[#This Row],[a1]]=1,IF(ABS(Tab.11[[#This Row],[b17]])+ABS(Tab.11[[#This Row],[b18]])&lt;$W$2,$W$2,ABS(Tab.11[[#This Row],[b17]])+ABS(Tab.11[[#This Row],[b18]])))</f>
        <v>0</v>
      </c>
      <c r="X666" s="136" t="b">
        <f>IF(Tab.11[[#This Row],[a1]]=1,IF($W$3&lt;0,Tab.11[[#This Row],[IN]]-$I$3,Tab.11[[#This Row],[IN]]))</f>
        <v>0</v>
      </c>
      <c r="Y666" s="136" t="b">
        <f>IF(Tab.11[[#This Row],[a1]]=1,IF($X$3=0,Tab.11[b66],Tab.11[[#This Row],[b66]]-AVERAGE(Tab.11[b66])))</f>
        <v>0</v>
      </c>
      <c r="Z666" s="135" t="b">
        <f>IF(Tab.11[[#This Row],[a1]]=1,Tab.11[[#This Row],[b77]]/(_xlfn.STDEV.P(Tab.11[b77])))</f>
        <v>0</v>
      </c>
      <c r="AA666" s="70" t="b">
        <f>IF(Tab.11[[#This Row],[a1]]=1,_xlfn.NORM.DIST(Tab.11[[#This Row],[b88]],$Z$1,$AA$1,FALSE))</f>
        <v>0</v>
      </c>
      <c r="AB666" s="74" t="b">
        <f>IF(Tab.11[[#This Row],[a1]]=1,IF($A$3=0,FALSE,1/Tab.11[[#This Row],[IN]]*$AC$2*IF(Tab.11[[#This Row],[a1]]=0,,$A$3*$AC$1*1/$V$3*(Tab.11[[#This Row],[b14]]))))</f>
        <v>0</v>
      </c>
      <c r="AC666" s="75" t="b">
        <f>IF(Tab.11[[#This Row],[a1]]=1,IF($AC$3=0,Tab.11[[#This Row],[φ1]],Tab.11[[#This Row],[φ1]]/MAX(Tab.11[φ1])))</f>
        <v>0</v>
      </c>
      <c r="AD666" s="74" t="b">
        <f>IF(Tab.11[[#This Row],[a1]]=1,1/Tab.11[[#This Row],[φ2]])</f>
        <v>0</v>
      </c>
      <c r="AE666" s="74" t="b">
        <f>IF(Tab.11[[#This Row],[a1]]=1,IF($AE$3=0,Tab.11[[#This Row],[w.0]],Tab.11[[#This Row],[w.0]]/SUM(Tab.11[w.0])))</f>
        <v>0</v>
      </c>
      <c r="AF666" s="76" t="str">
        <f>IF(Tab.11[[#This Row],[a1]]=0,"false",[3]!Tab.x5[[#This Row],[%_seN_C]])</f>
        <v>false</v>
      </c>
      <c r="AG666" s="77" t="b">
        <f>IF(Tab.11[[#This Row],[a1]]=1,AP666)</f>
        <v>0</v>
      </c>
      <c r="AH666" s="78" t="b">
        <f>IF(Tab.11[[#This Row],[a1]]=1,AQ666)</f>
        <v>0</v>
      </c>
      <c r="AI666" s="41">
        <v>3.0000000000000001E-3</v>
      </c>
      <c r="AJ666" s="79">
        <v>-0.08</v>
      </c>
      <c r="AK666" s="80" t="b">
        <f>IF(Tab.11[[#This Row],[a1]]=1,1)</f>
        <v>0</v>
      </c>
      <c r="AL666"/>
      <c r="AM666"/>
      <c r="AN666"/>
      <c r="AO666"/>
      <c r="AP666"/>
      <c r="AQ666"/>
      <c r="AR666"/>
      <c r="AS666"/>
    </row>
    <row r="667" spans="1:45" s="81" customFormat="1" hidden="1" x14ac:dyDescent="0.25">
      <c r="A667" s="61">
        <f t="shared" si="23"/>
        <v>0</v>
      </c>
      <c r="B667" s="62">
        <f t="shared" si="23"/>
        <v>0</v>
      </c>
      <c r="C667" s="62" t="b">
        <f>IF(Tab.11[[#This Row],[a1]]=1,[3]!Tab_x1[[#This Row],[Name]])</f>
        <v>0</v>
      </c>
      <c r="D667" s="63" t="b">
        <f>IF(Tab.11[[#This Row],[a1]]=1,AO667)</f>
        <v>0</v>
      </c>
      <c r="E667" s="63">
        <f t="shared" si="22"/>
        <v>0</v>
      </c>
      <c r="F667" s="64" t="b">
        <f>IF(Tab.11[[#This Row],[a1]]=1,Tab.11[[#This Row],[b1]])</f>
        <v>0</v>
      </c>
      <c r="G667" s="65" t="b">
        <f>IF(Tab.11[[#This Row],[a1]]=1,IF(Tab.11[[#This Row],[b3]]&gt;$L$989*$G$3,$L$989*$G$3,IF(Tab.11[[#This Row],[b3]]&lt;$M$989*$G$3,$M$989*$G$3,Tab.11[[#This Row],[b3]])))</f>
        <v>0</v>
      </c>
      <c r="H667" s="66" t="b">
        <f>IF(Tab.11[[#This Row],[a1]]=1,Tab.11[[#This Row],[b1]])</f>
        <v>0</v>
      </c>
      <c r="I667" s="67" t="b">
        <f>IF(Tab.11[[#This Row],[a1]]=1,Tab.11[[#This Row],[b1]])</f>
        <v>0</v>
      </c>
      <c r="J667" s="68" t="b">
        <f>IF(Tab.11[[#This Row],[a1]]=1,IF($I$3&lt;0,Tab.11[[#This Row],[b5]]-$I$3,Tab.11[[#This Row],[b5]]))</f>
        <v>0</v>
      </c>
      <c r="K667" s="68" t="b">
        <f>IF(Tab.11[[#This Row],[a1]]=1,IF($K$3=0,Tab.11[b6],Tab.11[[#This Row],[b6]]-AVERAGE(Tab.11[b6])))</f>
        <v>0</v>
      </c>
      <c r="L667" s="69" t="b">
        <f>IF(Tab.11[[#This Row],[a1]]=1,Tab.11[[#This Row],[data]]/(_xlfn.STDEV.P(Tab.11[data])*$B$989)+$A$989)</f>
        <v>0</v>
      </c>
      <c r="M667" s="69" t="b">
        <f>IF(Tab.11[[#This Row],[a1]]=1,Tab.11[[#This Row],[data]]/(_xlfn.STDEV.P(Tab.11[data])*$B$987)-$A$987)</f>
        <v>0</v>
      </c>
      <c r="N667" s="69" t="b">
        <f>IF(Tab.11[[#This Row],[a1]]=1,Tab.11[[#This Row],[data]]/(_xlfn.STDEV.P(Tab.11[data])*$B$988)+$A$988)</f>
        <v>0</v>
      </c>
      <c r="O667" s="70" t="b">
        <f>IF(Tab.11[[#This Row],[a1]]=1,_xlfn.NORM.DIST(Tab.11[[#This Row],[b8]],$P$1,$Q$1,FALSE))</f>
        <v>0</v>
      </c>
      <c r="P667" s="70" t="b">
        <f>IF(Tab.11[[#This Row],[a1]]=1,_xlfn.NORM.DIST(Tab.11[[#This Row],[b9]],$P$1,$Q$1,FALSE))</f>
        <v>0</v>
      </c>
      <c r="Q667" s="70" t="b">
        <f>IF(Tab.11[[#This Row],[a1]]=1,_xlfn.NORM.DIST(Tab.11[[#This Row],[b10]],$P$1,$Q$1,FALSE))</f>
        <v>0</v>
      </c>
      <c r="R667" s="67" t="b">
        <f>IF(Tab.11[[#This Row],[a1]]=1,$I$3+$A$989+IF($K$3=0,Tab.11[[#This Row],[b8]]*_xlfn.STDEV.P(Tab.11[data]),AVERAGE(Tab.11[b6])+Tab.11[[#This Row],[b8]]*_xlfn.STDEV.P(Tab.11[data])))</f>
        <v>0</v>
      </c>
      <c r="S667" s="71" t="b">
        <f>IF(Tab.11[[#This Row],[a1]]=1,$I$3+$A$987+IF($K$3=0,Tab.11[[#This Row],[b9]]*_xlfn.STDEV.P(Tab.11[data]),AVERAGE(Tab.11[b6])+Tab.11[[#This Row],[b9]]*_xlfn.STDEV.P(Tab.11[data])))</f>
        <v>0</v>
      </c>
      <c r="T667" s="71" t="b">
        <f>IF(Tab.11[[#This Row],[a1]]=1,$I$3+$A$988+IF($K$3=0,Tab.11[[#This Row],[b10]]*_xlfn.STDEV.P(Tab.11[data]),AVERAGE(Tab.11[b6])+Tab.11[[#This Row],[b10]]*_xlfn.STDEV.P(Tab.11[data])))</f>
        <v>0</v>
      </c>
      <c r="U667" s="72" t="b">
        <f>IF(Tab.11[[#This Row],[a1]]=1,Tab.11[[#This Row],[target]]-Tab.11[[#This Row],[Red]])</f>
        <v>0</v>
      </c>
      <c r="V667" s="72" t="b">
        <f>IF(Tab.11[[#This Row],[a1]]=1,Tab.11[[#This Row],[target]]-Tab.11[[#This Row],[Blue]])</f>
        <v>0</v>
      </c>
      <c r="W667" s="73" t="b">
        <f>IF(Tab.11[[#This Row],[a1]]=1,IF(ABS(Tab.11[[#This Row],[b17]])+ABS(Tab.11[[#This Row],[b18]])&lt;$W$2,$W$2,ABS(Tab.11[[#This Row],[b17]])+ABS(Tab.11[[#This Row],[b18]])))</f>
        <v>0</v>
      </c>
      <c r="X667" s="136" t="b">
        <f>IF(Tab.11[[#This Row],[a1]]=1,IF($W$3&lt;0,Tab.11[[#This Row],[IN]]-$I$3,Tab.11[[#This Row],[IN]]))</f>
        <v>0</v>
      </c>
      <c r="Y667" s="136" t="b">
        <f>IF(Tab.11[[#This Row],[a1]]=1,IF($X$3=0,Tab.11[b66],Tab.11[[#This Row],[b66]]-AVERAGE(Tab.11[b66])))</f>
        <v>0</v>
      </c>
      <c r="Z667" s="135" t="b">
        <f>IF(Tab.11[[#This Row],[a1]]=1,Tab.11[[#This Row],[b77]]/(_xlfn.STDEV.P(Tab.11[b77])))</f>
        <v>0</v>
      </c>
      <c r="AA667" s="70" t="b">
        <f>IF(Tab.11[[#This Row],[a1]]=1,_xlfn.NORM.DIST(Tab.11[[#This Row],[b88]],$Z$1,$AA$1,FALSE))</f>
        <v>0</v>
      </c>
      <c r="AB667" s="74" t="b">
        <f>IF(Tab.11[[#This Row],[a1]]=1,IF($A$3=0,FALSE,1/Tab.11[[#This Row],[IN]]*$AC$2*IF(Tab.11[[#This Row],[a1]]=0,,$A$3*$AC$1*1/$V$3*(Tab.11[[#This Row],[b14]]))))</f>
        <v>0</v>
      </c>
      <c r="AC667" s="75" t="b">
        <f>IF(Tab.11[[#This Row],[a1]]=1,IF($AC$3=0,Tab.11[[#This Row],[φ1]],Tab.11[[#This Row],[φ1]]/MAX(Tab.11[φ1])))</f>
        <v>0</v>
      </c>
      <c r="AD667" s="74" t="b">
        <f>IF(Tab.11[[#This Row],[a1]]=1,1/Tab.11[[#This Row],[φ2]])</f>
        <v>0</v>
      </c>
      <c r="AE667" s="74" t="b">
        <f>IF(Tab.11[[#This Row],[a1]]=1,IF($AE$3=0,Tab.11[[#This Row],[w.0]],Tab.11[[#This Row],[w.0]]/SUM(Tab.11[w.0])))</f>
        <v>0</v>
      </c>
      <c r="AF667" s="76" t="str">
        <f>IF(Tab.11[[#This Row],[a1]]=0,"false",[3]!Tab.x5[[#This Row],[%_seN_C]])</f>
        <v>false</v>
      </c>
      <c r="AG667" s="77" t="b">
        <f>IF(Tab.11[[#This Row],[a1]]=1,AP667)</f>
        <v>0</v>
      </c>
      <c r="AH667" s="78" t="b">
        <f>IF(Tab.11[[#This Row],[a1]]=1,AQ667)</f>
        <v>0</v>
      </c>
      <c r="AI667" s="41">
        <v>3.0000000000000001E-3</v>
      </c>
      <c r="AJ667" s="79">
        <v>0.06</v>
      </c>
      <c r="AK667" s="80" t="b">
        <f>IF(Tab.11[[#This Row],[a1]]=1,1)</f>
        <v>0</v>
      </c>
      <c r="AL667"/>
      <c r="AM667"/>
      <c r="AN667"/>
      <c r="AO667"/>
      <c r="AP667"/>
      <c r="AQ667"/>
      <c r="AR667"/>
      <c r="AS667"/>
    </row>
    <row r="668" spans="1:45" s="81" customFormat="1" hidden="1" x14ac:dyDescent="0.25">
      <c r="A668" s="61">
        <f t="shared" si="23"/>
        <v>0</v>
      </c>
      <c r="B668" s="62">
        <f t="shared" si="23"/>
        <v>0</v>
      </c>
      <c r="C668" s="62" t="b">
        <f>IF(Tab.11[[#This Row],[a1]]=1,[3]!Tab_x1[[#This Row],[Name]])</f>
        <v>0</v>
      </c>
      <c r="D668" s="63" t="b">
        <f>IF(Tab.11[[#This Row],[a1]]=1,AO668)</f>
        <v>0</v>
      </c>
      <c r="E668" s="63">
        <f t="shared" si="22"/>
        <v>0</v>
      </c>
      <c r="F668" s="64" t="b">
        <f>IF(Tab.11[[#This Row],[a1]]=1,Tab.11[[#This Row],[b1]])</f>
        <v>0</v>
      </c>
      <c r="G668" s="65" t="b">
        <f>IF(Tab.11[[#This Row],[a1]]=1,IF(Tab.11[[#This Row],[b3]]&gt;$L$989*$G$3,$L$989*$G$3,IF(Tab.11[[#This Row],[b3]]&lt;$M$989*$G$3,$M$989*$G$3,Tab.11[[#This Row],[b3]])))</f>
        <v>0</v>
      </c>
      <c r="H668" s="66" t="b">
        <f>IF(Tab.11[[#This Row],[a1]]=1,Tab.11[[#This Row],[b1]])</f>
        <v>0</v>
      </c>
      <c r="I668" s="67" t="b">
        <f>IF(Tab.11[[#This Row],[a1]]=1,Tab.11[[#This Row],[b1]])</f>
        <v>0</v>
      </c>
      <c r="J668" s="68" t="b">
        <f>IF(Tab.11[[#This Row],[a1]]=1,IF($I$3&lt;0,Tab.11[[#This Row],[b5]]-$I$3,Tab.11[[#This Row],[b5]]))</f>
        <v>0</v>
      </c>
      <c r="K668" s="68" t="b">
        <f>IF(Tab.11[[#This Row],[a1]]=1,IF($K$3=0,Tab.11[b6],Tab.11[[#This Row],[b6]]-AVERAGE(Tab.11[b6])))</f>
        <v>0</v>
      </c>
      <c r="L668" s="69" t="b">
        <f>IF(Tab.11[[#This Row],[a1]]=1,Tab.11[[#This Row],[data]]/(_xlfn.STDEV.P(Tab.11[data])*$B$989)+$A$989)</f>
        <v>0</v>
      </c>
      <c r="M668" s="69" t="b">
        <f>IF(Tab.11[[#This Row],[a1]]=1,Tab.11[[#This Row],[data]]/(_xlfn.STDEV.P(Tab.11[data])*$B$987)-$A$987)</f>
        <v>0</v>
      </c>
      <c r="N668" s="69" t="b">
        <f>IF(Tab.11[[#This Row],[a1]]=1,Tab.11[[#This Row],[data]]/(_xlfn.STDEV.P(Tab.11[data])*$B$988)+$A$988)</f>
        <v>0</v>
      </c>
      <c r="O668" s="70" t="b">
        <f>IF(Tab.11[[#This Row],[a1]]=1,_xlfn.NORM.DIST(Tab.11[[#This Row],[b8]],$P$1,$Q$1,FALSE))</f>
        <v>0</v>
      </c>
      <c r="P668" s="70" t="b">
        <f>IF(Tab.11[[#This Row],[a1]]=1,_xlfn.NORM.DIST(Tab.11[[#This Row],[b9]],$P$1,$Q$1,FALSE))</f>
        <v>0</v>
      </c>
      <c r="Q668" s="70" t="b">
        <f>IF(Tab.11[[#This Row],[a1]]=1,_xlfn.NORM.DIST(Tab.11[[#This Row],[b10]],$P$1,$Q$1,FALSE))</f>
        <v>0</v>
      </c>
      <c r="R668" s="67" t="b">
        <f>IF(Tab.11[[#This Row],[a1]]=1,$I$3+$A$989+IF($K$3=0,Tab.11[[#This Row],[b8]]*_xlfn.STDEV.P(Tab.11[data]),AVERAGE(Tab.11[b6])+Tab.11[[#This Row],[b8]]*_xlfn.STDEV.P(Tab.11[data])))</f>
        <v>0</v>
      </c>
      <c r="S668" s="71" t="b">
        <f>IF(Tab.11[[#This Row],[a1]]=1,$I$3+$A$987+IF($K$3=0,Tab.11[[#This Row],[b9]]*_xlfn.STDEV.P(Tab.11[data]),AVERAGE(Tab.11[b6])+Tab.11[[#This Row],[b9]]*_xlfn.STDEV.P(Tab.11[data])))</f>
        <v>0</v>
      </c>
      <c r="T668" s="71" t="b">
        <f>IF(Tab.11[[#This Row],[a1]]=1,$I$3+$A$988+IF($K$3=0,Tab.11[[#This Row],[b10]]*_xlfn.STDEV.P(Tab.11[data]),AVERAGE(Tab.11[b6])+Tab.11[[#This Row],[b10]]*_xlfn.STDEV.P(Tab.11[data])))</f>
        <v>0</v>
      </c>
      <c r="U668" s="72" t="b">
        <f>IF(Tab.11[[#This Row],[a1]]=1,Tab.11[[#This Row],[target]]-Tab.11[[#This Row],[Red]])</f>
        <v>0</v>
      </c>
      <c r="V668" s="72" t="b">
        <f>IF(Tab.11[[#This Row],[a1]]=1,Tab.11[[#This Row],[target]]-Tab.11[[#This Row],[Blue]])</f>
        <v>0</v>
      </c>
      <c r="W668" s="73" t="b">
        <f>IF(Tab.11[[#This Row],[a1]]=1,IF(ABS(Tab.11[[#This Row],[b17]])+ABS(Tab.11[[#This Row],[b18]])&lt;$W$2,$W$2,ABS(Tab.11[[#This Row],[b17]])+ABS(Tab.11[[#This Row],[b18]])))</f>
        <v>0</v>
      </c>
      <c r="X668" s="136" t="b">
        <f>IF(Tab.11[[#This Row],[a1]]=1,IF($W$3&lt;0,Tab.11[[#This Row],[IN]]-$I$3,Tab.11[[#This Row],[IN]]))</f>
        <v>0</v>
      </c>
      <c r="Y668" s="136" t="b">
        <f>IF(Tab.11[[#This Row],[a1]]=1,IF($X$3=0,Tab.11[b66],Tab.11[[#This Row],[b66]]-AVERAGE(Tab.11[b66])))</f>
        <v>0</v>
      </c>
      <c r="Z668" s="135" t="b">
        <f>IF(Tab.11[[#This Row],[a1]]=1,Tab.11[[#This Row],[b77]]/(_xlfn.STDEV.P(Tab.11[b77])))</f>
        <v>0</v>
      </c>
      <c r="AA668" s="70" t="b">
        <f>IF(Tab.11[[#This Row],[a1]]=1,_xlfn.NORM.DIST(Tab.11[[#This Row],[b88]],$Z$1,$AA$1,FALSE))</f>
        <v>0</v>
      </c>
      <c r="AB668" s="74" t="b">
        <f>IF(Tab.11[[#This Row],[a1]]=1,IF($A$3=0,FALSE,1/Tab.11[[#This Row],[IN]]*$AC$2*IF(Tab.11[[#This Row],[a1]]=0,,$A$3*$AC$1*1/$V$3*(Tab.11[[#This Row],[b14]]))))</f>
        <v>0</v>
      </c>
      <c r="AC668" s="75" t="b">
        <f>IF(Tab.11[[#This Row],[a1]]=1,IF($AC$3=0,Tab.11[[#This Row],[φ1]],Tab.11[[#This Row],[φ1]]/MAX(Tab.11[φ1])))</f>
        <v>0</v>
      </c>
      <c r="AD668" s="74" t="b">
        <f>IF(Tab.11[[#This Row],[a1]]=1,1/Tab.11[[#This Row],[φ2]])</f>
        <v>0</v>
      </c>
      <c r="AE668" s="74" t="b">
        <f>IF(Tab.11[[#This Row],[a1]]=1,IF($AE$3=0,Tab.11[[#This Row],[w.0]],Tab.11[[#This Row],[w.0]]/SUM(Tab.11[w.0])))</f>
        <v>0</v>
      </c>
      <c r="AF668" s="76" t="str">
        <f>IF(Tab.11[[#This Row],[a1]]=0,"false",[3]!Tab.x5[[#This Row],[%_seN_C]])</f>
        <v>false</v>
      </c>
      <c r="AG668" s="77" t="b">
        <f>IF(Tab.11[[#This Row],[a1]]=1,AP668)</f>
        <v>0</v>
      </c>
      <c r="AH668" s="78" t="b">
        <f>IF(Tab.11[[#This Row],[a1]]=1,AQ668)</f>
        <v>0</v>
      </c>
      <c r="AI668" s="41">
        <v>3.0000000000000001E-3</v>
      </c>
      <c r="AJ668" s="79">
        <v>-0.01</v>
      </c>
      <c r="AK668" s="80" t="b">
        <f>IF(Tab.11[[#This Row],[a1]]=1,1)</f>
        <v>0</v>
      </c>
      <c r="AL668"/>
      <c r="AM668"/>
      <c r="AN668"/>
      <c r="AO668"/>
      <c r="AP668"/>
      <c r="AQ668"/>
      <c r="AR668"/>
      <c r="AS668"/>
    </row>
    <row r="669" spans="1:45" s="81" customFormat="1" hidden="1" x14ac:dyDescent="0.25">
      <c r="A669" s="61">
        <f t="shared" si="23"/>
        <v>0</v>
      </c>
      <c r="B669" s="62">
        <f t="shared" si="23"/>
        <v>0</v>
      </c>
      <c r="C669" s="62" t="b">
        <f>IF(Tab.11[[#This Row],[a1]]=1,[3]!Tab_x1[[#This Row],[Name]])</f>
        <v>0</v>
      </c>
      <c r="D669" s="63" t="b">
        <f>IF(Tab.11[[#This Row],[a1]]=1,AO669)</f>
        <v>0</v>
      </c>
      <c r="E669" s="63">
        <f t="shared" si="22"/>
        <v>0</v>
      </c>
      <c r="F669" s="64" t="b">
        <f>IF(Tab.11[[#This Row],[a1]]=1,Tab.11[[#This Row],[b1]])</f>
        <v>0</v>
      </c>
      <c r="G669" s="65" t="b">
        <f>IF(Tab.11[[#This Row],[a1]]=1,IF(Tab.11[[#This Row],[b3]]&gt;$L$989*$G$3,$L$989*$G$3,IF(Tab.11[[#This Row],[b3]]&lt;$M$989*$G$3,$M$989*$G$3,Tab.11[[#This Row],[b3]])))</f>
        <v>0</v>
      </c>
      <c r="H669" s="66" t="b">
        <f>IF(Tab.11[[#This Row],[a1]]=1,Tab.11[[#This Row],[b1]])</f>
        <v>0</v>
      </c>
      <c r="I669" s="67" t="b">
        <f>IF(Tab.11[[#This Row],[a1]]=1,Tab.11[[#This Row],[b1]])</f>
        <v>0</v>
      </c>
      <c r="J669" s="68" t="b">
        <f>IF(Tab.11[[#This Row],[a1]]=1,IF($I$3&lt;0,Tab.11[[#This Row],[b5]]-$I$3,Tab.11[[#This Row],[b5]]))</f>
        <v>0</v>
      </c>
      <c r="K669" s="68" t="b">
        <f>IF(Tab.11[[#This Row],[a1]]=1,IF($K$3=0,Tab.11[b6],Tab.11[[#This Row],[b6]]-AVERAGE(Tab.11[b6])))</f>
        <v>0</v>
      </c>
      <c r="L669" s="69" t="b">
        <f>IF(Tab.11[[#This Row],[a1]]=1,Tab.11[[#This Row],[data]]/(_xlfn.STDEV.P(Tab.11[data])*$B$989)+$A$989)</f>
        <v>0</v>
      </c>
      <c r="M669" s="69" t="b">
        <f>IF(Tab.11[[#This Row],[a1]]=1,Tab.11[[#This Row],[data]]/(_xlfn.STDEV.P(Tab.11[data])*$B$987)-$A$987)</f>
        <v>0</v>
      </c>
      <c r="N669" s="69" t="b">
        <f>IF(Tab.11[[#This Row],[a1]]=1,Tab.11[[#This Row],[data]]/(_xlfn.STDEV.P(Tab.11[data])*$B$988)+$A$988)</f>
        <v>0</v>
      </c>
      <c r="O669" s="70" t="b">
        <f>IF(Tab.11[[#This Row],[a1]]=1,_xlfn.NORM.DIST(Tab.11[[#This Row],[b8]],$P$1,$Q$1,FALSE))</f>
        <v>0</v>
      </c>
      <c r="P669" s="70" t="b">
        <f>IF(Tab.11[[#This Row],[a1]]=1,_xlfn.NORM.DIST(Tab.11[[#This Row],[b9]],$P$1,$Q$1,FALSE))</f>
        <v>0</v>
      </c>
      <c r="Q669" s="70" t="b">
        <f>IF(Tab.11[[#This Row],[a1]]=1,_xlfn.NORM.DIST(Tab.11[[#This Row],[b10]],$P$1,$Q$1,FALSE))</f>
        <v>0</v>
      </c>
      <c r="R669" s="67" t="b">
        <f>IF(Tab.11[[#This Row],[a1]]=1,$I$3+$A$989+IF($K$3=0,Tab.11[[#This Row],[b8]]*_xlfn.STDEV.P(Tab.11[data]),AVERAGE(Tab.11[b6])+Tab.11[[#This Row],[b8]]*_xlfn.STDEV.P(Tab.11[data])))</f>
        <v>0</v>
      </c>
      <c r="S669" s="71" t="b">
        <f>IF(Tab.11[[#This Row],[a1]]=1,$I$3+$A$987+IF($K$3=0,Tab.11[[#This Row],[b9]]*_xlfn.STDEV.P(Tab.11[data]),AVERAGE(Tab.11[b6])+Tab.11[[#This Row],[b9]]*_xlfn.STDEV.P(Tab.11[data])))</f>
        <v>0</v>
      </c>
      <c r="T669" s="71" t="b">
        <f>IF(Tab.11[[#This Row],[a1]]=1,$I$3+$A$988+IF($K$3=0,Tab.11[[#This Row],[b10]]*_xlfn.STDEV.P(Tab.11[data]),AVERAGE(Tab.11[b6])+Tab.11[[#This Row],[b10]]*_xlfn.STDEV.P(Tab.11[data])))</f>
        <v>0</v>
      </c>
      <c r="U669" s="72" t="b">
        <f>IF(Tab.11[[#This Row],[a1]]=1,Tab.11[[#This Row],[target]]-Tab.11[[#This Row],[Red]])</f>
        <v>0</v>
      </c>
      <c r="V669" s="72" t="b">
        <f>IF(Tab.11[[#This Row],[a1]]=1,Tab.11[[#This Row],[target]]-Tab.11[[#This Row],[Blue]])</f>
        <v>0</v>
      </c>
      <c r="W669" s="73" t="b">
        <f>IF(Tab.11[[#This Row],[a1]]=1,IF(ABS(Tab.11[[#This Row],[b17]])+ABS(Tab.11[[#This Row],[b18]])&lt;$W$2,$W$2,ABS(Tab.11[[#This Row],[b17]])+ABS(Tab.11[[#This Row],[b18]])))</f>
        <v>0</v>
      </c>
      <c r="X669" s="136" t="b">
        <f>IF(Tab.11[[#This Row],[a1]]=1,IF($W$3&lt;0,Tab.11[[#This Row],[IN]]-$I$3,Tab.11[[#This Row],[IN]]))</f>
        <v>0</v>
      </c>
      <c r="Y669" s="136" t="b">
        <f>IF(Tab.11[[#This Row],[a1]]=1,IF($X$3=0,Tab.11[b66],Tab.11[[#This Row],[b66]]-AVERAGE(Tab.11[b66])))</f>
        <v>0</v>
      </c>
      <c r="Z669" s="135" t="b">
        <f>IF(Tab.11[[#This Row],[a1]]=1,Tab.11[[#This Row],[b77]]/(_xlfn.STDEV.P(Tab.11[b77])))</f>
        <v>0</v>
      </c>
      <c r="AA669" s="70" t="b">
        <f>IF(Tab.11[[#This Row],[a1]]=1,_xlfn.NORM.DIST(Tab.11[[#This Row],[b88]],$Z$1,$AA$1,FALSE))</f>
        <v>0</v>
      </c>
      <c r="AB669" s="74" t="b">
        <f>IF(Tab.11[[#This Row],[a1]]=1,IF($A$3=0,FALSE,1/Tab.11[[#This Row],[IN]]*$AC$2*IF(Tab.11[[#This Row],[a1]]=0,,$A$3*$AC$1*1/$V$3*(Tab.11[[#This Row],[b14]]))))</f>
        <v>0</v>
      </c>
      <c r="AC669" s="75" t="b">
        <f>IF(Tab.11[[#This Row],[a1]]=1,IF($AC$3=0,Tab.11[[#This Row],[φ1]],Tab.11[[#This Row],[φ1]]/MAX(Tab.11[φ1])))</f>
        <v>0</v>
      </c>
      <c r="AD669" s="74" t="b">
        <f>IF(Tab.11[[#This Row],[a1]]=1,1/Tab.11[[#This Row],[φ2]])</f>
        <v>0</v>
      </c>
      <c r="AE669" s="74" t="b">
        <f>IF(Tab.11[[#This Row],[a1]]=1,IF($AE$3=0,Tab.11[[#This Row],[w.0]],Tab.11[[#This Row],[w.0]]/SUM(Tab.11[w.0])))</f>
        <v>0</v>
      </c>
      <c r="AF669" s="76" t="str">
        <f>IF(Tab.11[[#This Row],[a1]]=0,"false",[3]!Tab.x5[[#This Row],[%_seN_C]])</f>
        <v>false</v>
      </c>
      <c r="AG669" s="77" t="b">
        <f>IF(Tab.11[[#This Row],[a1]]=1,AP669)</f>
        <v>0</v>
      </c>
      <c r="AH669" s="78" t="b">
        <f>IF(Tab.11[[#This Row],[a1]]=1,AQ669)</f>
        <v>0</v>
      </c>
      <c r="AI669" s="41">
        <v>3.0000000000000001E-3</v>
      </c>
      <c r="AJ669" s="79">
        <v>-0.05</v>
      </c>
      <c r="AK669" s="80" t="b">
        <f>IF(Tab.11[[#This Row],[a1]]=1,1)</f>
        <v>0</v>
      </c>
      <c r="AL669"/>
      <c r="AM669"/>
      <c r="AN669"/>
      <c r="AO669"/>
      <c r="AP669"/>
      <c r="AQ669"/>
      <c r="AR669"/>
      <c r="AS669"/>
    </row>
    <row r="670" spans="1:45" s="81" customFormat="1" hidden="1" x14ac:dyDescent="0.25">
      <c r="A670" s="61">
        <f t="shared" si="23"/>
        <v>0</v>
      </c>
      <c r="B670" s="62">
        <f t="shared" si="23"/>
        <v>0</v>
      </c>
      <c r="C670" s="62" t="b">
        <f>IF(Tab.11[[#This Row],[a1]]=1,[3]!Tab_x1[[#This Row],[Name]])</f>
        <v>0</v>
      </c>
      <c r="D670" s="63" t="b">
        <f>IF(Tab.11[[#This Row],[a1]]=1,AO670)</f>
        <v>0</v>
      </c>
      <c r="E670" s="63">
        <f t="shared" si="22"/>
        <v>0</v>
      </c>
      <c r="F670" s="64" t="b">
        <f>IF(Tab.11[[#This Row],[a1]]=1,Tab.11[[#This Row],[b1]])</f>
        <v>0</v>
      </c>
      <c r="G670" s="65" t="b">
        <f>IF(Tab.11[[#This Row],[a1]]=1,IF(Tab.11[[#This Row],[b3]]&gt;$L$989*$G$3,$L$989*$G$3,IF(Tab.11[[#This Row],[b3]]&lt;$M$989*$G$3,$M$989*$G$3,Tab.11[[#This Row],[b3]])))</f>
        <v>0</v>
      </c>
      <c r="H670" s="66" t="b">
        <f>IF(Tab.11[[#This Row],[a1]]=1,Tab.11[[#This Row],[b1]])</f>
        <v>0</v>
      </c>
      <c r="I670" s="67" t="b">
        <f>IF(Tab.11[[#This Row],[a1]]=1,Tab.11[[#This Row],[b1]])</f>
        <v>0</v>
      </c>
      <c r="J670" s="68" t="b">
        <f>IF(Tab.11[[#This Row],[a1]]=1,IF($I$3&lt;0,Tab.11[[#This Row],[b5]]-$I$3,Tab.11[[#This Row],[b5]]))</f>
        <v>0</v>
      </c>
      <c r="K670" s="68" t="b">
        <f>IF(Tab.11[[#This Row],[a1]]=1,IF($K$3=0,Tab.11[b6],Tab.11[[#This Row],[b6]]-AVERAGE(Tab.11[b6])))</f>
        <v>0</v>
      </c>
      <c r="L670" s="69" t="b">
        <f>IF(Tab.11[[#This Row],[a1]]=1,Tab.11[[#This Row],[data]]/(_xlfn.STDEV.P(Tab.11[data])*$B$989)+$A$989)</f>
        <v>0</v>
      </c>
      <c r="M670" s="69" t="b">
        <f>IF(Tab.11[[#This Row],[a1]]=1,Tab.11[[#This Row],[data]]/(_xlfn.STDEV.P(Tab.11[data])*$B$987)-$A$987)</f>
        <v>0</v>
      </c>
      <c r="N670" s="69" t="b">
        <f>IF(Tab.11[[#This Row],[a1]]=1,Tab.11[[#This Row],[data]]/(_xlfn.STDEV.P(Tab.11[data])*$B$988)+$A$988)</f>
        <v>0</v>
      </c>
      <c r="O670" s="70" t="b">
        <f>IF(Tab.11[[#This Row],[a1]]=1,_xlfn.NORM.DIST(Tab.11[[#This Row],[b8]],$P$1,$Q$1,FALSE))</f>
        <v>0</v>
      </c>
      <c r="P670" s="70" t="b">
        <f>IF(Tab.11[[#This Row],[a1]]=1,_xlfn.NORM.DIST(Tab.11[[#This Row],[b9]],$P$1,$Q$1,FALSE))</f>
        <v>0</v>
      </c>
      <c r="Q670" s="70" t="b">
        <f>IF(Tab.11[[#This Row],[a1]]=1,_xlfn.NORM.DIST(Tab.11[[#This Row],[b10]],$P$1,$Q$1,FALSE))</f>
        <v>0</v>
      </c>
      <c r="R670" s="67" t="b">
        <f>IF(Tab.11[[#This Row],[a1]]=1,$I$3+$A$989+IF($K$3=0,Tab.11[[#This Row],[b8]]*_xlfn.STDEV.P(Tab.11[data]),AVERAGE(Tab.11[b6])+Tab.11[[#This Row],[b8]]*_xlfn.STDEV.P(Tab.11[data])))</f>
        <v>0</v>
      </c>
      <c r="S670" s="71" t="b">
        <f>IF(Tab.11[[#This Row],[a1]]=1,$I$3+$A$987+IF($K$3=0,Tab.11[[#This Row],[b9]]*_xlfn.STDEV.P(Tab.11[data]),AVERAGE(Tab.11[b6])+Tab.11[[#This Row],[b9]]*_xlfn.STDEV.P(Tab.11[data])))</f>
        <v>0</v>
      </c>
      <c r="T670" s="71" t="b">
        <f>IF(Tab.11[[#This Row],[a1]]=1,$I$3+$A$988+IF($K$3=0,Tab.11[[#This Row],[b10]]*_xlfn.STDEV.P(Tab.11[data]),AVERAGE(Tab.11[b6])+Tab.11[[#This Row],[b10]]*_xlfn.STDEV.P(Tab.11[data])))</f>
        <v>0</v>
      </c>
      <c r="U670" s="72" t="b">
        <f>IF(Tab.11[[#This Row],[a1]]=1,Tab.11[[#This Row],[target]]-Tab.11[[#This Row],[Red]])</f>
        <v>0</v>
      </c>
      <c r="V670" s="72" t="b">
        <f>IF(Tab.11[[#This Row],[a1]]=1,Tab.11[[#This Row],[target]]-Tab.11[[#This Row],[Blue]])</f>
        <v>0</v>
      </c>
      <c r="W670" s="73" t="b">
        <f>IF(Tab.11[[#This Row],[a1]]=1,IF(ABS(Tab.11[[#This Row],[b17]])+ABS(Tab.11[[#This Row],[b18]])&lt;$W$2,$W$2,ABS(Tab.11[[#This Row],[b17]])+ABS(Tab.11[[#This Row],[b18]])))</f>
        <v>0</v>
      </c>
      <c r="X670" s="136" t="b">
        <f>IF(Tab.11[[#This Row],[a1]]=1,IF($W$3&lt;0,Tab.11[[#This Row],[IN]]-$I$3,Tab.11[[#This Row],[IN]]))</f>
        <v>0</v>
      </c>
      <c r="Y670" s="136" t="b">
        <f>IF(Tab.11[[#This Row],[a1]]=1,IF($X$3=0,Tab.11[b66],Tab.11[[#This Row],[b66]]-AVERAGE(Tab.11[b66])))</f>
        <v>0</v>
      </c>
      <c r="Z670" s="135" t="b">
        <f>IF(Tab.11[[#This Row],[a1]]=1,Tab.11[[#This Row],[b77]]/(_xlfn.STDEV.P(Tab.11[b77])))</f>
        <v>0</v>
      </c>
      <c r="AA670" s="70" t="b">
        <f>IF(Tab.11[[#This Row],[a1]]=1,_xlfn.NORM.DIST(Tab.11[[#This Row],[b88]],$Z$1,$AA$1,FALSE))</f>
        <v>0</v>
      </c>
      <c r="AB670" s="74" t="b">
        <f>IF(Tab.11[[#This Row],[a1]]=1,IF($A$3=0,FALSE,1/Tab.11[[#This Row],[IN]]*$AC$2*IF(Tab.11[[#This Row],[a1]]=0,,$A$3*$AC$1*1/$V$3*(Tab.11[[#This Row],[b14]]))))</f>
        <v>0</v>
      </c>
      <c r="AC670" s="75" t="b">
        <f>IF(Tab.11[[#This Row],[a1]]=1,IF($AC$3=0,Tab.11[[#This Row],[φ1]],Tab.11[[#This Row],[φ1]]/MAX(Tab.11[φ1])))</f>
        <v>0</v>
      </c>
      <c r="AD670" s="74" t="b">
        <f>IF(Tab.11[[#This Row],[a1]]=1,1/Tab.11[[#This Row],[φ2]])</f>
        <v>0</v>
      </c>
      <c r="AE670" s="74" t="b">
        <f>IF(Tab.11[[#This Row],[a1]]=1,IF($AE$3=0,Tab.11[[#This Row],[w.0]],Tab.11[[#This Row],[w.0]]/SUM(Tab.11[w.0])))</f>
        <v>0</v>
      </c>
      <c r="AF670" s="76" t="str">
        <f>IF(Tab.11[[#This Row],[a1]]=0,"false",[3]!Tab.x5[[#This Row],[%_seN_C]])</f>
        <v>false</v>
      </c>
      <c r="AG670" s="77" t="b">
        <f>IF(Tab.11[[#This Row],[a1]]=1,AP670)</f>
        <v>0</v>
      </c>
      <c r="AH670" s="78" t="b">
        <f>IF(Tab.11[[#This Row],[a1]]=1,AQ670)</f>
        <v>0</v>
      </c>
      <c r="AI670" s="41">
        <v>3.0000000000000001E-3</v>
      </c>
      <c r="AJ670" s="79">
        <v>0.06</v>
      </c>
      <c r="AK670" s="80" t="b">
        <f>IF(Tab.11[[#This Row],[a1]]=1,1)</f>
        <v>0</v>
      </c>
      <c r="AL670"/>
      <c r="AM670"/>
      <c r="AN670"/>
      <c r="AO670"/>
      <c r="AP670"/>
      <c r="AQ670"/>
      <c r="AR670"/>
      <c r="AS670"/>
    </row>
    <row r="671" spans="1:45" s="81" customFormat="1" hidden="1" x14ac:dyDescent="0.25">
      <c r="A671" s="61">
        <f t="shared" si="23"/>
        <v>0</v>
      </c>
      <c r="B671" s="62">
        <f t="shared" si="23"/>
        <v>0</v>
      </c>
      <c r="C671" s="62" t="b">
        <f>IF(Tab.11[[#This Row],[a1]]=1,[3]!Tab_x1[[#This Row],[Name]])</f>
        <v>0</v>
      </c>
      <c r="D671" s="63" t="b">
        <f>IF(Tab.11[[#This Row],[a1]]=1,AO671)</f>
        <v>0</v>
      </c>
      <c r="E671" s="63">
        <f t="shared" si="22"/>
        <v>0</v>
      </c>
      <c r="F671" s="64" t="b">
        <f>IF(Tab.11[[#This Row],[a1]]=1,Tab.11[[#This Row],[b1]])</f>
        <v>0</v>
      </c>
      <c r="G671" s="65" t="b">
        <f>IF(Tab.11[[#This Row],[a1]]=1,IF(Tab.11[[#This Row],[b3]]&gt;$L$989*$G$3,$L$989*$G$3,IF(Tab.11[[#This Row],[b3]]&lt;$M$989*$G$3,$M$989*$G$3,Tab.11[[#This Row],[b3]])))</f>
        <v>0</v>
      </c>
      <c r="H671" s="66" t="b">
        <f>IF(Tab.11[[#This Row],[a1]]=1,Tab.11[[#This Row],[b1]])</f>
        <v>0</v>
      </c>
      <c r="I671" s="67" t="b">
        <f>IF(Tab.11[[#This Row],[a1]]=1,Tab.11[[#This Row],[b1]])</f>
        <v>0</v>
      </c>
      <c r="J671" s="68" t="b">
        <f>IF(Tab.11[[#This Row],[a1]]=1,IF($I$3&lt;0,Tab.11[[#This Row],[b5]]-$I$3,Tab.11[[#This Row],[b5]]))</f>
        <v>0</v>
      </c>
      <c r="K671" s="68" t="b">
        <f>IF(Tab.11[[#This Row],[a1]]=1,IF($K$3=0,Tab.11[b6],Tab.11[[#This Row],[b6]]-AVERAGE(Tab.11[b6])))</f>
        <v>0</v>
      </c>
      <c r="L671" s="69" t="b">
        <f>IF(Tab.11[[#This Row],[a1]]=1,Tab.11[[#This Row],[data]]/(_xlfn.STDEV.P(Tab.11[data])*$B$989)+$A$989)</f>
        <v>0</v>
      </c>
      <c r="M671" s="69" t="b">
        <f>IF(Tab.11[[#This Row],[a1]]=1,Tab.11[[#This Row],[data]]/(_xlfn.STDEV.P(Tab.11[data])*$B$987)-$A$987)</f>
        <v>0</v>
      </c>
      <c r="N671" s="69" t="b">
        <f>IF(Tab.11[[#This Row],[a1]]=1,Tab.11[[#This Row],[data]]/(_xlfn.STDEV.P(Tab.11[data])*$B$988)+$A$988)</f>
        <v>0</v>
      </c>
      <c r="O671" s="70" t="b">
        <f>IF(Tab.11[[#This Row],[a1]]=1,_xlfn.NORM.DIST(Tab.11[[#This Row],[b8]],$P$1,$Q$1,FALSE))</f>
        <v>0</v>
      </c>
      <c r="P671" s="70" t="b">
        <f>IF(Tab.11[[#This Row],[a1]]=1,_xlfn.NORM.DIST(Tab.11[[#This Row],[b9]],$P$1,$Q$1,FALSE))</f>
        <v>0</v>
      </c>
      <c r="Q671" s="70" t="b">
        <f>IF(Tab.11[[#This Row],[a1]]=1,_xlfn.NORM.DIST(Tab.11[[#This Row],[b10]],$P$1,$Q$1,FALSE))</f>
        <v>0</v>
      </c>
      <c r="R671" s="67" t="b">
        <f>IF(Tab.11[[#This Row],[a1]]=1,$I$3+$A$989+IF($K$3=0,Tab.11[[#This Row],[b8]]*_xlfn.STDEV.P(Tab.11[data]),AVERAGE(Tab.11[b6])+Tab.11[[#This Row],[b8]]*_xlfn.STDEV.P(Tab.11[data])))</f>
        <v>0</v>
      </c>
      <c r="S671" s="71" t="b">
        <f>IF(Tab.11[[#This Row],[a1]]=1,$I$3+$A$987+IF($K$3=0,Tab.11[[#This Row],[b9]]*_xlfn.STDEV.P(Tab.11[data]),AVERAGE(Tab.11[b6])+Tab.11[[#This Row],[b9]]*_xlfn.STDEV.P(Tab.11[data])))</f>
        <v>0</v>
      </c>
      <c r="T671" s="71" t="b">
        <f>IF(Tab.11[[#This Row],[a1]]=1,$I$3+$A$988+IF($K$3=0,Tab.11[[#This Row],[b10]]*_xlfn.STDEV.P(Tab.11[data]),AVERAGE(Tab.11[b6])+Tab.11[[#This Row],[b10]]*_xlfn.STDEV.P(Tab.11[data])))</f>
        <v>0</v>
      </c>
      <c r="U671" s="72" t="b">
        <f>IF(Tab.11[[#This Row],[a1]]=1,Tab.11[[#This Row],[target]]-Tab.11[[#This Row],[Red]])</f>
        <v>0</v>
      </c>
      <c r="V671" s="72" t="b">
        <f>IF(Tab.11[[#This Row],[a1]]=1,Tab.11[[#This Row],[target]]-Tab.11[[#This Row],[Blue]])</f>
        <v>0</v>
      </c>
      <c r="W671" s="73" t="b">
        <f>IF(Tab.11[[#This Row],[a1]]=1,IF(ABS(Tab.11[[#This Row],[b17]])+ABS(Tab.11[[#This Row],[b18]])&lt;$W$2,$W$2,ABS(Tab.11[[#This Row],[b17]])+ABS(Tab.11[[#This Row],[b18]])))</f>
        <v>0</v>
      </c>
      <c r="X671" s="136" t="b">
        <f>IF(Tab.11[[#This Row],[a1]]=1,IF($W$3&lt;0,Tab.11[[#This Row],[IN]]-$I$3,Tab.11[[#This Row],[IN]]))</f>
        <v>0</v>
      </c>
      <c r="Y671" s="136" t="b">
        <f>IF(Tab.11[[#This Row],[a1]]=1,IF($X$3=0,Tab.11[b66],Tab.11[[#This Row],[b66]]-AVERAGE(Tab.11[b66])))</f>
        <v>0</v>
      </c>
      <c r="Z671" s="135" t="b">
        <f>IF(Tab.11[[#This Row],[a1]]=1,Tab.11[[#This Row],[b77]]/(_xlfn.STDEV.P(Tab.11[b77])))</f>
        <v>0</v>
      </c>
      <c r="AA671" s="70" t="b">
        <f>IF(Tab.11[[#This Row],[a1]]=1,_xlfn.NORM.DIST(Tab.11[[#This Row],[b88]],$Z$1,$AA$1,FALSE))</f>
        <v>0</v>
      </c>
      <c r="AB671" s="74" t="b">
        <f>IF(Tab.11[[#This Row],[a1]]=1,IF($A$3=0,FALSE,1/Tab.11[[#This Row],[IN]]*$AC$2*IF(Tab.11[[#This Row],[a1]]=0,,$A$3*$AC$1*1/$V$3*(Tab.11[[#This Row],[b14]]))))</f>
        <v>0</v>
      </c>
      <c r="AC671" s="75" t="b">
        <f>IF(Tab.11[[#This Row],[a1]]=1,IF($AC$3=0,Tab.11[[#This Row],[φ1]],Tab.11[[#This Row],[φ1]]/MAX(Tab.11[φ1])))</f>
        <v>0</v>
      </c>
      <c r="AD671" s="74" t="b">
        <f>IF(Tab.11[[#This Row],[a1]]=1,1/Tab.11[[#This Row],[φ2]])</f>
        <v>0</v>
      </c>
      <c r="AE671" s="74" t="b">
        <f>IF(Tab.11[[#This Row],[a1]]=1,IF($AE$3=0,Tab.11[[#This Row],[w.0]],Tab.11[[#This Row],[w.0]]/SUM(Tab.11[w.0])))</f>
        <v>0</v>
      </c>
      <c r="AF671" s="76" t="str">
        <f>IF(Tab.11[[#This Row],[a1]]=0,"false",[3]!Tab.x5[[#This Row],[%_seN_C]])</f>
        <v>false</v>
      </c>
      <c r="AG671" s="77" t="b">
        <f>IF(Tab.11[[#This Row],[a1]]=1,AP671)</f>
        <v>0</v>
      </c>
      <c r="AH671" s="78" t="b">
        <f>IF(Tab.11[[#This Row],[a1]]=1,AQ671)</f>
        <v>0</v>
      </c>
      <c r="AI671" s="41">
        <v>3.0000000000000001E-3</v>
      </c>
      <c r="AJ671" s="79">
        <v>0.03</v>
      </c>
      <c r="AK671" s="80" t="b">
        <f>IF(Tab.11[[#This Row],[a1]]=1,1)</f>
        <v>0</v>
      </c>
      <c r="AL671"/>
      <c r="AM671"/>
      <c r="AN671"/>
      <c r="AO671"/>
      <c r="AP671"/>
      <c r="AQ671"/>
      <c r="AR671"/>
      <c r="AS671"/>
    </row>
    <row r="672" spans="1:45" s="81" customFormat="1" hidden="1" x14ac:dyDescent="0.25">
      <c r="A672" s="61">
        <f t="shared" si="23"/>
        <v>0</v>
      </c>
      <c r="B672" s="62">
        <f t="shared" si="23"/>
        <v>0</v>
      </c>
      <c r="C672" s="62" t="b">
        <f>IF(Tab.11[[#This Row],[a1]]=1,[3]!Tab_x1[[#This Row],[Name]])</f>
        <v>0</v>
      </c>
      <c r="D672" s="63" t="b">
        <f>IF(Tab.11[[#This Row],[a1]]=1,AO672)</f>
        <v>0</v>
      </c>
      <c r="E672" s="63">
        <f t="shared" si="22"/>
        <v>0</v>
      </c>
      <c r="F672" s="64" t="b">
        <f>IF(Tab.11[[#This Row],[a1]]=1,Tab.11[[#This Row],[b1]])</f>
        <v>0</v>
      </c>
      <c r="G672" s="65" t="b">
        <f>IF(Tab.11[[#This Row],[a1]]=1,IF(Tab.11[[#This Row],[b3]]&gt;$L$989*$G$3,$L$989*$G$3,IF(Tab.11[[#This Row],[b3]]&lt;$M$989*$G$3,$M$989*$G$3,Tab.11[[#This Row],[b3]])))</f>
        <v>0</v>
      </c>
      <c r="H672" s="66" t="b">
        <f>IF(Tab.11[[#This Row],[a1]]=1,Tab.11[[#This Row],[b1]])</f>
        <v>0</v>
      </c>
      <c r="I672" s="67" t="b">
        <f>IF(Tab.11[[#This Row],[a1]]=1,Tab.11[[#This Row],[b1]])</f>
        <v>0</v>
      </c>
      <c r="J672" s="68" t="b">
        <f>IF(Tab.11[[#This Row],[a1]]=1,IF($I$3&lt;0,Tab.11[[#This Row],[b5]]-$I$3,Tab.11[[#This Row],[b5]]))</f>
        <v>0</v>
      </c>
      <c r="K672" s="68" t="b">
        <f>IF(Tab.11[[#This Row],[a1]]=1,IF($K$3=0,Tab.11[b6],Tab.11[[#This Row],[b6]]-AVERAGE(Tab.11[b6])))</f>
        <v>0</v>
      </c>
      <c r="L672" s="69" t="b">
        <f>IF(Tab.11[[#This Row],[a1]]=1,Tab.11[[#This Row],[data]]/(_xlfn.STDEV.P(Tab.11[data])*$B$989)+$A$989)</f>
        <v>0</v>
      </c>
      <c r="M672" s="69" t="b">
        <f>IF(Tab.11[[#This Row],[a1]]=1,Tab.11[[#This Row],[data]]/(_xlfn.STDEV.P(Tab.11[data])*$B$987)-$A$987)</f>
        <v>0</v>
      </c>
      <c r="N672" s="69" t="b">
        <f>IF(Tab.11[[#This Row],[a1]]=1,Tab.11[[#This Row],[data]]/(_xlfn.STDEV.P(Tab.11[data])*$B$988)+$A$988)</f>
        <v>0</v>
      </c>
      <c r="O672" s="70" t="b">
        <f>IF(Tab.11[[#This Row],[a1]]=1,_xlfn.NORM.DIST(Tab.11[[#This Row],[b8]],$P$1,$Q$1,FALSE))</f>
        <v>0</v>
      </c>
      <c r="P672" s="70" t="b">
        <f>IF(Tab.11[[#This Row],[a1]]=1,_xlfn.NORM.DIST(Tab.11[[#This Row],[b9]],$P$1,$Q$1,FALSE))</f>
        <v>0</v>
      </c>
      <c r="Q672" s="70" t="b">
        <f>IF(Tab.11[[#This Row],[a1]]=1,_xlfn.NORM.DIST(Tab.11[[#This Row],[b10]],$P$1,$Q$1,FALSE))</f>
        <v>0</v>
      </c>
      <c r="R672" s="67" t="b">
        <f>IF(Tab.11[[#This Row],[a1]]=1,$I$3+$A$989+IF($K$3=0,Tab.11[[#This Row],[b8]]*_xlfn.STDEV.P(Tab.11[data]),AVERAGE(Tab.11[b6])+Tab.11[[#This Row],[b8]]*_xlfn.STDEV.P(Tab.11[data])))</f>
        <v>0</v>
      </c>
      <c r="S672" s="71" t="b">
        <f>IF(Tab.11[[#This Row],[a1]]=1,$I$3+$A$987+IF($K$3=0,Tab.11[[#This Row],[b9]]*_xlfn.STDEV.P(Tab.11[data]),AVERAGE(Tab.11[b6])+Tab.11[[#This Row],[b9]]*_xlfn.STDEV.P(Tab.11[data])))</f>
        <v>0</v>
      </c>
      <c r="T672" s="71" t="b">
        <f>IF(Tab.11[[#This Row],[a1]]=1,$I$3+$A$988+IF($K$3=0,Tab.11[[#This Row],[b10]]*_xlfn.STDEV.P(Tab.11[data]),AVERAGE(Tab.11[b6])+Tab.11[[#This Row],[b10]]*_xlfn.STDEV.P(Tab.11[data])))</f>
        <v>0</v>
      </c>
      <c r="U672" s="72" t="b">
        <f>IF(Tab.11[[#This Row],[a1]]=1,Tab.11[[#This Row],[target]]-Tab.11[[#This Row],[Red]])</f>
        <v>0</v>
      </c>
      <c r="V672" s="72" t="b">
        <f>IF(Tab.11[[#This Row],[a1]]=1,Tab.11[[#This Row],[target]]-Tab.11[[#This Row],[Blue]])</f>
        <v>0</v>
      </c>
      <c r="W672" s="73" t="b">
        <f>IF(Tab.11[[#This Row],[a1]]=1,IF(ABS(Tab.11[[#This Row],[b17]])+ABS(Tab.11[[#This Row],[b18]])&lt;$W$2,$W$2,ABS(Tab.11[[#This Row],[b17]])+ABS(Tab.11[[#This Row],[b18]])))</f>
        <v>0</v>
      </c>
      <c r="X672" s="136" t="b">
        <f>IF(Tab.11[[#This Row],[a1]]=1,IF($W$3&lt;0,Tab.11[[#This Row],[IN]]-$I$3,Tab.11[[#This Row],[IN]]))</f>
        <v>0</v>
      </c>
      <c r="Y672" s="136" t="b">
        <f>IF(Tab.11[[#This Row],[a1]]=1,IF($X$3=0,Tab.11[b66],Tab.11[[#This Row],[b66]]-AVERAGE(Tab.11[b66])))</f>
        <v>0</v>
      </c>
      <c r="Z672" s="135" t="b">
        <f>IF(Tab.11[[#This Row],[a1]]=1,Tab.11[[#This Row],[b77]]/(_xlfn.STDEV.P(Tab.11[b77])))</f>
        <v>0</v>
      </c>
      <c r="AA672" s="70" t="b">
        <f>IF(Tab.11[[#This Row],[a1]]=1,_xlfn.NORM.DIST(Tab.11[[#This Row],[b88]],$Z$1,$AA$1,FALSE))</f>
        <v>0</v>
      </c>
      <c r="AB672" s="74" t="b">
        <f>IF(Tab.11[[#This Row],[a1]]=1,IF($A$3=0,FALSE,1/Tab.11[[#This Row],[IN]]*$AC$2*IF(Tab.11[[#This Row],[a1]]=0,,$A$3*$AC$1*1/$V$3*(Tab.11[[#This Row],[b14]]))))</f>
        <v>0</v>
      </c>
      <c r="AC672" s="75" t="b">
        <f>IF(Tab.11[[#This Row],[a1]]=1,IF($AC$3=0,Tab.11[[#This Row],[φ1]],Tab.11[[#This Row],[φ1]]/MAX(Tab.11[φ1])))</f>
        <v>0</v>
      </c>
      <c r="AD672" s="74" t="b">
        <f>IF(Tab.11[[#This Row],[a1]]=1,1/Tab.11[[#This Row],[φ2]])</f>
        <v>0</v>
      </c>
      <c r="AE672" s="74" t="b">
        <f>IF(Tab.11[[#This Row],[a1]]=1,IF($AE$3=0,Tab.11[[#This Row],[w.0]],Tab.11[[#This Row],[w.0]]/SUM(Tab.11[w.0])))</f>
        <v>0</v>
      </c>
      <c r="AF672" s="76" t="str">
        <f>IF(Tab.11[[#This Row],[a1]]=0,"false",[3]!Tab.x5[[#This Row],[%_seN_C]])</f>
        <v>false</v>
      </c>
      <c r="AG672" s="77" t="b">
        <f>IF(Tab.11[[#This Row],[a1]]=1,AP672)</f>
        <v>0</v>
      </c>
      <c r="AH672" s="78" t="b">
        <f>IF(Tab.11[[#This Row],[a1]]=1,AQ672)</f>
        <v>0</v>
      </c>
      <c r="AI672" s="41">
        <v>3.0000000000000001E-3</v>
      </c>
      <c r="AJ672" s="79">
        <v>-0.02</v>
      </c>
      <c r="AK672" s="80" t="b">
        <f>IF(Tab.11[[#This Row],[a1]]=1,1)</f>
        <v>0</v>
      </c>
      <c r="AL672"/>
      <c r="AM672"/>
      <c r="AN672"/>
      <c r="AO672"/>
      <c r="AP672"/>
      <c r="AQ672"/>
      <c r="AR672"/>
      <c r="AS672"/>
    </row>
    <row r="673" spans="1:45" s="81" customFormat="1" hidden="1" x14ac:dyDescent="0.25">
      <c r="A673" s="61">
        <f t="shared" si="23"/>
        <v>0</v>
      </c>
      <c r="B673" s="62">
        <f t="shared" si="23"/>
        <v>0</v>
      </c>
      <c r="C673" s="62" t="b">
        <f>IF(Tab.11[[#This Row],[a1]]=1,[3]!Tab_x1[[#This Row],[Name]])</f>
        <v>0</v>
      </c>
      <c r="D673" s="63" t="b">
        <f>IF(Tab.11[[#This Row],[a1]]=1,AO673)</f>
        <v>0</v>
      </c>
      <c r="E673" s="63">
        <f t="shared" si="22"/>
        <v>0</v>
      </c>
      <c r="F673" s="64" t="b">
        <f>IF(Tab.11[[#This Row],[a1]]=1,Tab.11[[#This Row],[b1]])</f>
        <v>0</v>
      </c>
      <c r="G673" s="65" t="b">
        <f>IF(Tab.11[[#This Row],[a1]]=1,IF(Tab.11[[#This Row],[b3]]&gt;$L$989*$G$3,$L$989*$G$3,IF(Tab.11[[#This Row],[b3]]&lt;$M$989*$G$3,$M$989*$G$3,Tab.11[[#This Row],[b3]])))</f>
        <v>0</v>
      </c>
      <c r="H673" s="66" t="b">
        <f>IF(Tab.11[[#This Row],[a1]]=1,Tab.11[[#This Row],[b1]])</f>
        <v>0</v>
      </c>
      <c r="I673" s="67" t="b">
        <f>IF(Tab.11[[#This Row],[a1]]=1,Tab.11[[#This Row],[b1]])</f>
        <v>0</v>
      </c>
      <c r="J673" s="68" t="b">
        <f>IF(Tab.11[[#This Row],[a1]]=1,IF($I$3&lt;0,Tab.11[[#This Row],[b5]]-$I$3,Tab.11[[#This Row],[b5]]))</f>
        <v>0</v>
      </c>
      <c r="K673" s="68" t="b">
        <f>IF(Tab.11[[#This Row],[a1]]=1,IF($K$3=0,Tab.11[b6],Tab.11[[#This Row],[b6]]-AVERAGE(Tab.11[b6])))</f>
        <v>0</v>
      </c>
      <c r="L673" s="69" t="b">
        <f>IF(Tab.11[[#This Row],[a1]]=1,Tab.11[[#This Row],[data]]/(_xlfn.STDEV.P(Tab.11[data])*$B$989)+$A$989)</f>
        <v>0</v>
      </c>
      <c r="M673" s="69" t="b">
        <f>IF(Tab.11[[#This Row],[a1]]=1,Tab.11[[#This Row],[data]]/(_xlfn.STDEV.P(Tab.11[data])*$B$987)-$A$987)</f>
        <v>0</v>
      </c>
      <c r="N673" s="69" t="b">
        <f>IF(Tab.11[[#This Row],[a1]]=1,Tab.11[[#This Row],[data]]/(_xlfn.STDEV.P(Tab.11[data])*$B$988)+$A$988)</f>
        <v>0</v>
      </c>
      <c r="O673" s="70" t="b">
        <f>IF(Tab.11[[#This Row],[a1]]=1,_xlfn.NORM.DIST(Tab.11[[#This Row],[b8]],$P$1,$Q$1,FALSE))</f>
        <v>0</v>
      </c>
      <c r="P673" s="70" t="b">
        <f>IF(Tab.11[[#This Row],[a1]]=1,_xlfn.NORM.DIST(Tab.11[[#This Row],[b9]],$P$1,$Q$1,FALSE))</f>
        <v>0</v>
      </c>
      <c r="Q673" s="70" t="b">
        <f>IF(Tab.11[[#This Row],[a1]]=1,_xlfn.NORM.DIST(Tab.11[[#This Row],[b10]],$P$1,$Q$1,FALSE))</f>
        <v>0</v>
      </c>
      <c r="R673" s="67" t="b">
        <f>IF(Tab.11[[#This Row],[a1]]=1,$I$3+$A$989+IF($K$3=0,Tab.11[[#This Row],[b8]]*_xlfn.STDEV.P(Tab.11[data]),AVERAGE(Tab.11[b6])+Tab.11[[#This Row],[b8]]*_xlfn.STDEV.P(Tab.11[data])))</f>
        <v>0</v>
      </c>
      <c r="S673" s="71" t="b">
        <f>IF(Tab.11[[#This Row],[a1]]=1,$I$3+$A$987+IF($K$3=0,Tab.11[[#This Row],[b9]]*_xlfn.STDEV.P(Tab.11[data]),AVERAGE(Tab.11[b6])+Tab.11[[#This Row],[b9]]*_xlfn.STDEV.P(Tab.11[data])))</f>
        <v>0</v>
      </c>
      <c r="T673" s="71" t="b">
        <f>IF(Tab.11[[#This Row],[a1]]=1,$I$3+$A$988+IF($K$3=0,Tab.11[[#This Row],[b10]]*_xlfn.STDEV.P(Tab.11[data]),AVERAGE(Tab.11[b6])+Tab.11[[#This Row],[b10]]*_xlfn.STDEV.P(Tab.11[data])))</f>
        <v>0</v>
      </c>
      <c r="U673" s="72" t="b">
        <f>IF(Tab.11[[#This Row],[a1]]=1,Tab.11[[#This Row],[target]]-Tab.11[[#This Row],[Red]])</f>
        <v>0</v>
      </c>
      <c r="V673" s="72" t="b">
        <f>IF(Tab.11[[#This Row],[a1]]=1,Tab.11[[#This Row],[target]]-Tab.11[[#This Row],[Blue]])</f>
        <v>0</v>
      </c>
      <c r="W673" s="73" t="b">
        <f>IF(Tab.11[[#This Row],[a1]]=1,IF(ABS(Tab.11[[#This Row],[b17]])+ABS(Tab.11[[#This Row],[b18]])&lt;$W$2,$W$2,ABS(Tab.11[[#This Row],[b17]])+ABS(Tab.11[[#This Row],[b18]])))</f>
        <v>0</v>
      </c>
      <c r="X673" s="136" t="b">
        <f>IF(Tab.11[[#This Row],[a1]]=1,IF($W$3&lt;0,Tab.11[[#This Row],[IN]]-$I$3,Tab.11[[#This Row],[IN]]))</f>
        <v>0</v>
      </c>
      <c r="Y673" s="136" t="b">
        <f>IF(Tab.11[[#This Row],[a1]]=1,IF($X$3=0,Tab.11[b66],Tab.11[[#This Row],[b66]]-AVERAGE(Tab.11[b66])))</f>
        <v>0</v>
      </c>
      <c r="Z673" s="135" t="b">
        <f>IF(Tab.11[[#This Row],[a1]]=1,Tab.11[[#This Row],[b77]]/(_xlfn.STDEV.P(Tab.11[b77])))</f>
        <v>0</v>
      </c>
      <c r="AA673" s="70" t="b">
        <f>IF(Tab.11[[#This Row],[a1]]=1,_xlfn.NORM.DIST(Tab.11[[#This Row],[b88]],$Z$1,$AA$1,FALSE))</f>
        <v>0</v>
      </c>
      <c r="AB673" s="74" t="b">
        <f>IF(Tab.11[[#This Row],[a1]]=1,IF($A$3=0,FALSE,1/Tab.11[[#This Row],[IN]]*$AC$2*IF(Tab.11[[#This Row],[a1]]=0,,$A$3*$AC$1*1/$V$3*(Tab.11[[#This Row],[b14]]))))</f>
        <v>0</v>
      </c>
      <c r="AC673" s="75" t="b">
        <f>IF(Tab.11[[#This Row],[a1]]=1,IF($AC$3=0,Tab.11[[#This Row],[φ1]],Tab.11[[#This Row],[φ1]]/MAX(Tab.11[φ1])))</f>
        <v>0</v>
      </c>
      <c r="AD673" s="74" t="b">
        <f>IF(Tab.11[[#This Row],[a1]]=1,1/Tab.11[[#This Row],[φ2]])</f>
        <v>0</v>
      </c>
      <c r="AE673" s="74" t="b">
        <f>IF(Tab.11[[#This Row],[a1]]=1,IF($AE$3=0,Tab.11[[#This Row],[w.0]],Tab.11[[#This Row],[w.0]]/SUM(Tab.11[w.0])))</f>
        <v>0</v>
      </c>
      <c r="AF673" s="76" t="str">
        <f>IF(Tab.11[[#This Row],[a1]]=0,"false",[3]!Tab.x5[[#This Row],[%_seN_C]])</f>
        <v>false</v>
      </c>
      <c r="AG673" s="77" t="b">
        <f>IF(Tab.11[[#This Row],[a1]]=1,AP673)</f>
        <v>0</v>
      </c>
      <c r="AH673" s="78" t="b">
        <f>IF(Tab.11[[#This Row],[a1]]=1,AQ673)</f>
        <v>0</v>
      </c>
      <c r="AI673" s="41">
        <v>3.0000000000000001E-3</v>
      </c>
      <c r="AJ673" s="79">
        <v>-0.02</v>
      </c>
      <c r="AK673" s="80" t="b">
        <f>IF(Tab.11[[#This Row],[a1]]=1,1)</f>
        <v>0</v>
      </c>
      <c r="AL673"/>
      <c r="AM673"/>
      <c r="AN673"/>
      <c r="AO673"/>
      <c r="AP673"/>
      <c r="AQ673"/>
      <c r="AR673"/>
      <c r="AS673"/>
    </row>
    <row r="674" spans="1:45" s="81" customFormat="1" hidden="1" x14ac:dyDescent="0.25">
      <c r="A674" s="61">
        <f t="shared" si="23"/>
        <v>0</v>
      </c>
      <c r="B674" s="62">
        <f t="shared" si="23"/>
        <v>0</v>
      </c>
      <c r="C674" s="62" t="b">
        <f>IF(Tab.11[[#This Row],[a1]]=1,[3]!Tab_x1[[#This Row],[Name]])</f>
        <v>0</v>
      </c>
      <c r="D674" s="63" t="b">
        <f>IF(Tab.11[[#This Row],[a1]]=1,AO674)</f>
        <v>0</v>
      </c>
      <c r="E674" s="63">
        <f t="shared" si="22"/>
        <v>0</v>
      </c>
      <c r="F674" s="64" t="b">
        <f>IF(Tab.11[[#This Row],[a1]]=1,Tab.11[[#This Row],[b1]])</f>
        <v>0</v>
      </c>
      <c r="G674" s="65" t="b">
        <f>IF(Tab.11[[#This Row],[a1]]=1,IF(Tab.11[[#This Row],[b3]]&gt;$L$989*$G$3,$L$989*$G$3,IF(Tab.11[[#This Row],[b3]]&lt;$M$989*$G$3,$M$989*$G$3,Tab.11[[#This Row],[b3]])))</f>
        <v>0</v>
      </c>
      <c r="H674" s="66" t="b">
        <f>IF(Tab.11[[#This Row],[a1]]=1,Tab.11[[#This Row],[b1]])</f>
        <v>0</v>
      </c>
      <c r="I674" s="67" t="b">
        <f>IF(Tab.11[[#This Row],[a1]]=1,Tab.11[[#This Row],[b1]])</f>
        <v>0</v>
      </c>
      <c r="J674" s="68" t="b">
        <f>IF(Tab.11[[#This Row],[a1]]=1,IF($I$3&lt;0,Tab.11[[#This Row],[b5]]-$I$3,Tab.11[[#This Row],[b5]]))</f>
        <v>0</v>
      </c>
      <c r="K674" s="68" t="b">
        <f>IF(Tab.11[[#This Row],[a1]]=1,IF($K$3=0,Tab.11[b6],Tab.11[[#This Row],[b6]]-AVERAGE(Tab.11[b6])))</f>
        <v>0</v>
      </c>
      <c r="L674" s="69" t="b">
        <f>IF(Tab.11[[#This Row],[a1]]=1,Tab.11[[#This Row],[data]]/(_xlfn.STDEV.P(Tab.11[data])*$B$989)+$A$989)</f>
        <v>0</v>
      </c>
      <c r="M674" s="69" t="b">
        <f>IF(Tab.11[[#This Row],[a1]]=1,Tab.11[[#This Row],[data]]/(_xlfn.STDEV.P(Tab.11[data])*$B$987)-$A$987)</f>
        <v>0</v>
      </c>
      <c r="N674" s="69" t="b">
        <f>IF(Tab.11[[#This Row],[a1]]=1,Tab.11[[#This Row],[data]]/(_xlfn.STDEV.P(Tab.11[data])*$B$988)+$A$988)</f>
        <v>0</v>
      </c>
      <c r="O674" s="70" t="b">
        <f>IF(Tab.11[[#This Row],[a1]]=1,_xlfn.NORM.DIST(Tab.11[[#This Row],[b8]],$P$1,$Q$1,FALSE))</f>
        <v>0</v>
      </c>
      <c r="P674" s="70" t="b">
        <f>IF(Tab.11[[#This Row],[a1]]=1,_xlfn.NORM.DIST(Tab.11[[#This Row],[b9]],$P$1,$Q$1,FALSE))</f>
        <v>0</v>
      </c>
      <c r="Q674" s="70" t="b">
        <f>IF(Tab.11[[#This Row],[a1]]=1,_xlfn.NORM.DIST(Tab.11[[#This Row],[b10]],$P$1,$Q$1,FALSE))</f>
        <v>0</v>
      </c>
      <c r="R674" s="67" t="b">
        <f>IF(Tab.11[[#This Row],[a1]]=1,$I$3+$A$989+IF($K$3=0,Tab.11[[#This Row],[b8]]*_xlfn.STDEV.P(Tab.11[data]),AVERAGE(Tab.11[b6])+Tab.11[[#This Row],[b8]]*_xlfn.STDEV.P(Tab.11[data])))</f>
        <v>0</v>
      </c>
      <c r="S674" s="71" t="b">
        <f>IF(Tab.11[[#This Row],[a1]]=1,$I$3+$A$987+IF($K$3=0,Tab.11[[#This Row],[b9]]*_xlfn.STDEV.P(Tab.11[data]),AVERAGE(Tab.11[b6])+Tab.11[[#This Row],[b9]]*_xlfn.STDEV.P(Tab.11[data])))</f>
        <v>0</v>
      </c>
      <c r="T674" s="71" t="b">
        <f>IF(Tab.11[[#This Row],[a1]]=1,$I$3+$A$988+IF($K$3=0,Tab.11[[#This Row],[b10]]*_xlfn.STDEV.P(Tab.11[data]),AVERAGE(Tab.11[b6])+Tab.11[[#This Row],[b10]]*_xlfn.STDEV.P(Tab.11[data])))</f>
        <v>0</v>
      </c>
      <c r="U674" s="72" t="b">
        <f>IF(Tab.11[[#This Row],[a1]]=1,Tab.11[[#This Row],[target]]-Tab.11[[#This Row],[Red]])</f>
        <v>0</v>
      </c>
      <c r="V674" s="72" t="b">
        <f>IF(Tab.11[[#This Row],[a1]]=1,Tab.11[[#This Row],[target]]-Tab.11[[#This Row],[Blue]])</f>
        <v>0</v>
      </c>
      <c r="W674" s="73" t="b">
        <f>IF(Tab.11[[#This Row],[a1]]=1,IF(ABS(Tab.11[[#This Row],[b17]])+ABS(Tab.11[[#This Row],[b18]])&lt;$W$2,$W$2,ABS(Tab.11[[#This Row],[b17]])+ABS(Tab.11[[#This Row],[b18]])))</f>
        <v>0</v>
      </c>
      <c r="X674" s="136" t="b">
        <f>IF(Tab.11[[#This Row],[a1]]=1,IF($W$3&lt;0,Tab.11[[#This Row],[IN]]-$I$3,Tab.11[[#This Row],[IN]]))</f>
        <v>0</v>
      </c>
      <c r="Y674" s="136" t="b">
        <f>IF(Tab.11[[#This Row],[a1]]=1,IF($X$3=0,Tab.11[b66],Tab.11[[#This Row],[b66]]-AVERAGE(Tab.11[b66])))</f>
        <v>0</v>
      </c>
      <c r="Z674" s="135" t="b">
        <f>IF(Tab.11[[#This Row],[a1]]=1,Tab.11[[#This Row],[b77]]/(_xlfn.STDEV.P(Tab.11[b77])))</f>
        <v>0</v>
      </c>
      <c r="AA674" s="70" t="b">
        <f>IF(Tab.11[[#This Row],[a1]]=1,_xlfn.NORM.DIST(Tab.11[[#This Row],[b88]],$Z$1,$AA$1,FALSE))</f>
        <v>0</v>
      </c>
      <c r="AB674" s="74" t="b">
        <f>IF(Tab.11[[#This Row],[a1]]=1,IF($A$3=0,FALSE,1/Tab.11[[#This Row],[IN]]*$AC$2*IF(Tab.11[[#This Row],[a1]]=0,,$A$3*$AC$1*1/$V$3*(Tab.11[[#This Row],[b14]]))))</f>
        <v>0</v>
      </c>
      <c r="AC674" s="75" t="b">
        <f>IF(Tab.11[[#This Row],[a1]]=1,IF($AC$3=0,Tab.11[[#This Row],[φ1]],Tab.11[[#This Row],[φ1]]/MAX(Tab.11[φ1])))</f>
        <v>0</v>
      </c>
      <c r="AD674" s="74" t="b">
        <f>IF(Tab.11[[#This Row],[a1]]=1,1/Tab.11[[#This Row],[φ2]])</f>
        <v>0</v>
      </c>
      <c r="AE674" s="74" t="b">
        <f>IF(Tab.11[[#This Row],[a1]]=1,IF($AE$3=0,Tab.11[[#This Row],[w.0]],Tab.11[[#This Row],[w.0]]/SUM(Tab.11[w.0])))</f>
        <v>0</v>
      </c>
      <c r="AF674" s="76" t="str">
        <f>IF(Tab.11[[#This Row],[a1]]=0,"false",[3]!Tab.x5[[#This Row],[%_seN_C]])</f>
        <v>false</v>
      </c>
      <c r="AG674" s="77" t="b">
        <f>IF(Tab.11[[#This Row],[a1]]=1,AP674)</f>
        <v>0</v>
      </c>
      <c r="AH674" s="78" t="b">
        <f>IF(Tab.11[[#This Row],[a1]]=1,AQ674)</f>
        <v>0</v>
      </c>
      <c r="AI674" s="41">
        <v>3.0000000000000001E-3</v>
      </c>
      <c r="AJ674" s="79">
        <v>-0.02</v>
      </c>
      <c r="AK674" s="80" t="b">
        <f>IF(Tab.11[[#This Row],[a1]]=1,1)</f>
        <v>0</v>
      </c>
      <c r="AL674"/>
      <c r="AM674"/>
      <c r="AN674"/>
      <c r="AO674"/>
      <c r="AP674"/>
      <c r="AQ674"/>
      <c r="AR674"/>
      <c r="AS674"/>
    </row>
    <row r="675" spans="1:45" s="81" customFormat="1" hidden="1" x14ac:dyDescent="0.25">
      <c r="A675" s="61">
        <f t="shared" si="23"/>
        <v>0</v>
      </c>
      <c r="B675" s="62">
        <f t="shared" si="23"/>
        <v>0</v>
      </c>
      <c r="C675" s="62" t="b">
        <f>IF(Tab.11[[#This Row],[a1]]=1,[3]!Tab_x1[[#This Row],[Name]])</f>
        <v>0</v>
      </c>
      <c r="D675" s="63" t="b">
        <f>IF(Tab.11[[#This Row],[a1]]=1,AO675)</f>
        <v>0</v>
      </c>
      <c r="E675" s="63">
        <f t="shared" si="22"/>
        <v>0</v>
      </c>
      <c r="F675" s="64" t="b">
        <f>IF(Tab.11[[#This Row],[a1]]=1,Tab.11[[#This Row],[b1]])</f>
        <v>0</v>
      </c>
      <c r="G675" s="65" t="b">
        <f>IF(Tab.11[[#This Row],[a1]]=1,IF(Tab.11[[#This Row],[b3]]&gt;$L$989*$G$3,$L$989*$G$3,IF(Tab.11[[#This Row],[b3]]&lt;$M$989*$G$3,$M$989*$G$3,Tab.11[[#This Row],[b3]])))</f>
        <v>0</v>
      </c>
      <c r="H675" s="66" t="b">
        <f>IF(Tab.11[[#This Row],[a1]]=1,Tab.11[[#This Row],[b1]])</f>
        <v>0</v>
      </c>
      <c r="I675" s="67" t="b">
        <f>IF(Tab.11[[#This Row],[a1]]=1,Tab.11[[#This Row],[b1]])</f>
        <v>0</v>
      </c>
      <c r="J675" s="68" t="b">
        <f>IF(Tab.11[[#This Row],[a1]]=1,IF($I$3&lt;0,Tab.11[[#This Row],[b5]]-$I$3,Tab.11[[#This Row],[b5]]))</f>
        <v>0</v>
      </c>
      <c r="K675" s="68" t="b">
        <f>IF(Tab.11[[#This Row],[a1]]=1,IF($K$3=0,Tab.11[b6],Tab.11[[#This Row],[b6]]-AVERAGE(Tab.11[b6])))</f>
        <v>0</v>
      </c>
      <c r="L675" s="69" t="b">
        <f>IF(Tab.11[[#This Row],[a1]]=1,Tab.11[[#This Row],[data]]/(_xlfn.STDEV.P(Tab.11[data])*$B$989)+$A$989)</f>
        <v>0</v>
      </c>
      <c r="M675" s="69" t="b">
        <f>IF(Tab.11[[#This Row],[a1]]=1,Tab.11[[#This Row],[data]]/(_xlfn.STDEV.P(Tab.11[data])*$B$987)-$A$987)</f>
        <v>0</v>
      </c>
      <c r="N675" s="69" t="b">
        <f>IF(Tab.11[[#This Row],[a1]]=1,Tab.11[[#This Row],[data]]/(_xlfn.STDEV.P(Tab.11[data])*$B$988)+$A$988)</f>
        <v>0</v>
      </c>
      <c r="O675" s="70" t="b">
        <f>IF(Tab.11[[#This Row],[a1]]=1,_xlfn.NORM.DIST(Tab.11[[#This Row],[b8]],$P$1,$Q$1,FALSE))</f>
        <v>0</v>
      </c>
      <c r="P675" s="70" t="b">
        <f>IF(Tab.11[[#This Row],[a1]]=1,_xlfn.NORM.DIST(Tab.11[[#This Row],[b9]],$P$1,$Q$1,FALSE))</f>
        <v>0</v>
      </c>
      <c r="Q675" s="70" t="b">
        <f>IF(Tab.11[[#This Row],[a1]]=1,_xlfn.NORM.DIST(Tab.11[[#This Row],[b10]],$P$1,$Q$1,FALSE))</f>
        <v>0</v>
      </c>
      <c r="R675" s="67" t="b">
        <f>IF(Tab.11[[#This Row],[a1]]=1,$I$3+$A$989+IF($K$3=0,Tab.11[[#This Row],[b8]]*_xlfn.STDEV.P(Tab.11[data]),AVERAGE(Tab.11[b6])+Tab.11[[#This Row],[b8]]*_xlfn.STDEV.P(Tab.11[data])))</f>
        <v>0</v>
      </c>
      <c r="S675" s="71" t="b">
        <f>IF(Tab.11[[#This Row],[a1]]=1,$I$3+$A$987+IF($K$3=0,Tab.11[[#This Row],[b9]]*_xlfn.STDEV.P(Tab.11[data]),AVERAGE(Tab.11[b6])+Tab.11[[#This Row],[b9]]*_xlfn.STDEV.P(Tab.11[data])))</f>
        <v>0</v>
      </c>
      <c r="T675" s="71" t="b">
        <f>IF(Tab.11[[#This Row],[a1]]=1,$I$3+$A$988+IF($K$3=0,Tab.11[[#This Row],[b10]]*_xlfn.STDEV.P(Tab.11[data]),AVERAGE(Tab.11[b6])+Tab.11[[#This Row],[b10]]*_xlfn.STDEV.P(Tab.11[data])))</f>
        <v>0</v>
      </c>
      <c r="U675" s="72" t="b">
        <f>IF(Tab.11[[#This Row],[a1]]=1,Tab.11[[#This Row],[target]]-Tab.11[[#This Row],[Red]])</f>
        <v>0</v>
      </c>
      <c r="V675" s="72" t="b">
        <f>IF(Tab.11[[#This Row],[a1]]=1,Tab.11[[#This Row],[target]]-Tab.11[[#This Row],[Blue]])</f>
        <v>0</v>
      </c>
      <c r="W675" s="73" t="b">
        <f>IF(Tab.11[[#This Row],[a1]]=1,IF(ABS(Tab.11[[#This Row],[b17]])+ABS(Tab.11[[#This Row],[b18]])&lt;$W$2,$W$2,ABS(Tab.11[[#This Row],[b17]])+ABS(Tab.11[[#This Row],[b18]])))</f>
        <v>0</v>
      </c>
      <c r="X675" s="136" t="b">
        <f>IF(Tab.11[[#This Row],[a1]]=1,IF($W$3&lt;0,Tab.11[[#This Row],[IN]]-$I$3,Tab.11[[#This Row],[IN]]))</f>
        <v>0</v>
      </c>
      <c r="Y675" s="136" t="b">
        <f>IF(Tab.11[[#This Row],[a1]]=1,IF($X$3=0,Tab.11[b66],Tab.11[[#This Row],[b66]]-AVERAGE(Tab.11[b66])))</f>
        <v>0</v>
      </c>
      <c r="Z675" s="135" t="b">
        <f>IF(Tab.11[[#This Row],[a1]]=1,Tab.11[[#This Row],[b77]]/(_xlfn.STDEV.P(Tab.11[b77])))</f>
        <v>0</v>
      </c>
      <c r="AA675" s="70" t="b">
        <f>IF(Tab.11[[#This Row],[a1]]=1,_xlfn.NORM.DIST(Tab.11[[#This Row],[b88]],$Z$1,$AA$1,FALSE))</f>
        <v>0</v>
      </c>
      <c r="AB675" s="74" t="b">
        <f>IF(Tab.11[[#This Row],[a1]]=1,IF($A$3=0,FALSE,1/Tab.11[[#This Row],[IN]]*$AC$2*IF(Tab.11[[#This Row],[a1]]=0,,$A$3*$AC$1*1/$V$3*(Tab.11[[#This Row],[b14]]))))</f>
        <v>0</v>
      </c>
      <c r="AC675" s="75" t="b">
        <f>IF(Tab.11[[#This Row],[a1]]=1,IF($AC$3=0,Tab.11[[#This Row],[φ1]],Tab.11[[#This Row],[φ1]]/MAX(Tab.11[φ1])))</f>
        <v>0</v>
      </c>
      <c r="AD675" s="74" t="b">
        <f>IF(Tab.11[[#This Row],[a1]]=1,1/Tab.11[[#This Row],[φ2]])</f>
        <v>0</v>
      </c>
      <c r="AE675" s="74" t="b">
        <f>IF(Tab.11[[#This Row],[a1]]=1,IF($AE$3=0,Tab.11[[#This Row],[w.0]],Tab.11[[#This Row],[w.0]]/SUM(Tab.11[w.0])))</f>
        <v>0</v>
      </c>
      <c r="AF675" s="76" t="str">
        <f>IF(Tab.11[[#This Row],[a1]]=0,"false",[3]!Tab.x5[[#This Row],[%_seN_C]])</f>
        <v>false</v>
      </c>
      <c r="AG675" s="77" t="b">
        <f>IF(Tab.11[[#This Row],[a1]]=1,AP675)</f>
        <v>0</v>
      </c>
      <c r="AH675" s="78" t="b">
        <f>IF(Tab.11[[#This Row],[a1]]=1,AQ675)</f>
        <v>0</v>
      </c>
      <c r="AI675" s="41">
        <v>3.0000000000000001E-3</v>
      </c>
      <c r="AJ675" s="79">
        <v>-0.03</v>
      </c>
      <c r="AK675" s="80" t="b">
        <f>IF(Tab.11[[#This Row],[a1]]=1,1)</f>
        <v>0</v>
      </c>
      <c r="AL675"/>
      <c r="AM675"/>
      <c r="AN675"/>
      <c r="AO675"/>
      <c r="AP675"/>
      <c r="AQ675"/>
      <c r="AR675"/>
      <c r="AS675"/>
    </row>
    <row r="676" spans="1:45" s="81" customFormat="1" hidden="1" x14ac:dyDescent="0.25">
      <c r="A676" s="61">
        <f t="shared" si="23"/>
        <v>0</v>
      </c>
      <c r="B676" s="62">
        <f t="shared" si="23"/>
        <v>0</v>
      </c>
      <c r="C676" s="62" t="b">
        <f>IF(Tab.11[[#This Row],[a1]]=1,[3]!Tab_x1[[#This Row],[Name]])</f>
        <v>0</v>
      </c>
      <c r="D676" s="63" t="b">
        <f>IF(Tab.11[[#This Row],[a1]]=1,AO676)</f>
        <v>0</v>
      </c>
      <c r="E676" s="63">
        <f t="shared" si="22"/>
        <v>0</v>
      </c>
      <c r="F676" s="64" t="b">
        <f>IF(Tab.11[[#This Row],[a1]]=1,Tab.11[[#This Row],[b1]])</f>
        <v>0</v>
      </c>
      <c r="G676" s="65" t="b">
        <f>IF(Tab.11[[#This Row],[a1]]=1,IF(Tab.11[[#This Row],[b3]]&gt;$L$989*$G$3,$L$989*$G$3,IF(Tab.11[[#This Row],[b3]]&lt;$M$989*$G$3,$M$989*$G$3,Tab.11[[#This Row],[b3]])))</f>
        <v>0</v>
      </c>
      <c r="H676" s="66" t="b">
        <f>IF(Tab.11[[#This Row],[a1]]=1,Tab.11[[#This Row],[b1]])</f>
        <v>0</v>
      </c>
      <c r="I676" s="67" t="b">
        <f>IF(Tab.11[[#This Row],[a1]]=1,Tab.11[[#This Row],[b1]])</f>
        <v>0</v>
      </c>
      <c r="J676" s="68" t="b">
        <f>IF(Tab.11[[#This Row],[a1]]=1,IF($I$3&lt;0,Tab.11[[#This Row],[b5]]-$I$3,Tab.11[[#This Row],[b5]]))</f>
        <v>0</v>
      </c>
      <c r="K676" s="68" t="b">
        <f>IF(Tab.11[[#This Row],[a1]]=1,IF($K$3=0,Tab.11[b6],Tab.11[[#This Row],[b6]]-AVERAGE(Tab.11[b6])))</f>
        <v>0</v>
      </c>
      <c r="L676" s="69" t="b">
        <f>IF(Tab.11[[#This Row],[a1]]=1,Tab.11[[#This Row],[data]]/(_xlfn.STDEV.P(Tab.11[data])*$B$989)+$A$989)</f>
        <v>0</v>
      </c>
      <c r="M676" s="69" t="b">
        <f>IF(Tab.11[[#This Row],[a1]]=1,Tab.11[[#This Row],[data]]/(_xlfn.STDEV.P(Tab.11[data])*$B$987)-$A$987)</f>
        <v>0</v>
      </c>
      <c r="N676" s="69" t="b">
        <f>IF(Tab.11[[#This Row],[a1]]=1,Tab.11[[#This Row],[data]]/(_xlfn.STDEV.P(Tab.11[data])*$B$988)+$A$988)</f>
        <v>0</v>
      </c>
      <c r="O676" s="70" t="b">
        <f>IF(Tab.11[[#This Row],[a1]]=1,_xlfn.NORM.DIST(Tab.11[[#This Row],[b8]],$P$1,$Q$1,FALSE))</f>
        <v>0</v>
      </c>
      <c r="P676" s="70" t="b">
        <f>IF(Tab.11[[#This Row],[a1]]=1,_xlfn.NORM.DIST(Tab.11[[#This Row],[b9]],$P$1,$Q$1,FALSE))</f>
        <v>0</v>
      </c>
      <c r="Q676" s="70" t="b">
        <f>IF(Tab.11[[#This Row],[a1]]=1,_xlfn.NORM.DIST(Tab.11[[#This Row],[b10]],$P$1,$Q$1,FALSE))</f>
        <v>0</v>
      </c>
      <c r="R676" s="67" t="b">
        <f>IF(Tab.11[[#This Row],[a1]]=1,$I$3+$A$989+IF($K$3=0,Tab.11[[#This Row],[b8]]*_xlfn.STDEV.P(Tab.11[data]),AVERAGE(Tab.11[b6])+Tab.11[[#This Row],[b8]]*_xlfn.STDEV.P(Tab.11[data])))</f>
        <v>0</v>
      </c>
      <c r="S676" s="71" t="b">
        <f>IF(Tab.11[[#This Row],[a1]]=1,$I$3+$A$987+IF($K$3=0,Tab.11[[#This Row],[b9]]*_xlfn.STDEV.P(Tab.11[data]),AVERAGE(Tab.11[b6])+Tab.11[[#This Row],[b9]]*_xlfn.STDEV.P(Tab.11[data])))</f>
        <v>0</v>
      </c>
      <c r="T676" s="71" t="b">
        <f>IF(Tab.11[[#This Row],[a1]]=1,$I$3+$A$988+IF($K$3=0,Tab.11[[#This Row],[b10]]*_xlfn.STDEV.P(Tab.11[data]),AVERAGE(Tab.11[b6])+Tab.11[[#This Row],[b10]]*_xlfn.STDEV.P(Tab.11[data])))</f>
        <v>0</v>
      </c>
      <c r="U676" s="72" t="b">
        <f>IF(Tab.11[[#This Row],[a1]]=1,Tab.11[[#This Row],[target]]-Tab.11[[#This Row],[Red]])</f>
        <v>0</v>
      </c>
      <c r="V676" s="72" t="b">
        <f>IF(Tab.11[[#This Row],[a1]]=1,Tab.11[[#This Row],[target]]-Tab.11[[#This Row],[Blue]])</f>
        <v>0</v>
      </c>
      <c r="W676" s="73" t="b">
        <f>IF(Tab.11[[#This Row],[a1]]=1,IF(ABS(Tab.11[[#This Row],[b17]])+ABS(Tab.11[[#This Row],[b18]])&lt;$W$2,$W$2,ABS(Tab.11[[#This Row],[b17]])+ABS(Tab.11[[#This Row],[b18]])))</f>
        <v>0</v>
      </c>
      <c r="X676" s="136" t="b">
        <f>IF(Tab.11[[#This Row],[a1]]=1,IF($W$3&lt;0,Tab.11[[#This Row],[IN]]-$I$3,Tab.11[[#This Row],[IN]]))</f>
        <v>0</v>
      </c>
      <c r="Y676" s="136" t="b">
        <f>IF(Tab.11[[#This Row],[a1]]=1,IF($X$3=0,Tab.11[b66],Tab.11[[#This Row],[b66]]-AVERAGE(Tab.11[b66])))</f>
        <v>0</v>
      </c>
      <c r="Z676" s="135" t="b">
        <f>IF(Tab.11[[#This Row],[a1]]=1,Tab.11[[#This Row],[b77]]/(_xlfn.STDEV.P(Tab.11[b77])))</f>
        <v>0</v>
      </c>
      <c r="AA676" s="70" t="b">
        <f>IF(Tab.11[[#This Row],[a1]]=1,_xlfn.NORM.DIST(Tab.11[[#This Row],[b88]],$Z$1,$AA$1,FALSE))</f>
        <v>0</v>
      </c>
      <c r="AB676" s="74" t="b">
        <f>IF(Tab.11[[#This Row],[a1]]=1,IF($A$3=0,FALSE,1/Tab.11[[#This Row],[IN]]*$AC$2*IF(Tab.11[[#This Row],[a1]]=0,,$A$3*$AC$1*1/$V$3*(Tab.11[[#This Row],[b14]]))))</f>
        <v>0</v>
      </c>
      <c r="AC676" s="75" t="b">
        <f>IF(Tab.11[[#This Row],[a1]]=1,IF($AC$3=0,Tab.11[[#This Row],[φ1]],Tab.11[[#This Row],[φ1]]/MAX(Tab.11[φ1])))</f>
        <v>0</v>
      </c>
      <c r="AD676" s="74" t="b">
        <f>IF(Tab.11[[#This Row],[a1]]=1,1/Tab.11[[#This Row],[φ2]])</f>
        <v>0</v>
      </c>
      <c r="AE676" s="74" t="b">
        <f>IF(Tab.11[[#This Row],[a1]]=1,IF($AE$3=0,Tab.11[[#This Row],[w.0]],Tab.11[[#This Row],[w.0]]/SUM(Tab.11[w.0])))</f>
        <v>0</v>
      </c>
      <c r="AF676" s="76" t="str">
        <f>IF(Tab.11[[#This Row],[a1]]=0,"false",[3]!Tab.x5[[#This Row],[%_seN_C]])</f>
        <v>false</v>
      </c>
      <c r="AG676" s="77" t="b">
        <f>IF(Tab.11[[#This Row],[a1]]=1,AP676)</f>
        <v>0</v>
      </c>
      <c r="AH676" s="78" t="b">
        <f>IF(Tab.11[[#This Row],[a1]]=1,AQ676)</f>
        <v>0</v>
      </c>
      <c r="AI676" s="41">
        <v>3.0000000000000001E-3</v>
      </c>
      <c r="AJ676" s="79">
        <v>-0.1</v>
      </c>
      <c r="AK676" s="80" t="b">
        <f>IF(Tab.11[[#This Row],[a1]]=1,1)</f>
        <v>0</v>
      </c>
      <c r="AL676"/>
      <c r="AM676"/>
      <c r="AN676"/>
      <c r="AO676"/>
      <c r="AP676"/>
      <c r="AQ676"/>
      <c r="AR676"/>
      <c r="AS676"/>
    </row>
    <row r="677" spans="1:45" s="81" customFormat="1" hidden="1" x14ac:dyDescent="0.25">
      <c r="A677" s="61">
        <f t="shared" si="23"/>
        <v>0</v>
      </c>
      <c r="B677" s="62">
        <f t="shared" si="23"/>
        <v>0</v>
      </c>
      <c r="C677" s="62" t="b">
        <f>IF(Tab.11[[#This Row],[a1]]=1,[3]!Tab_x1[[#This Row],[Name]])</f>
        <v>0</v>
      </c>
      <c r="D677" s="63" t="b">
        <f>IF(Tab.11[[#This Row],[a1]]=1,AO677)</f>
        <v>0</v>
      </c>
      <c r="E677" s="63">
        <f t="shared" si="22"/>
        <v>0</v>
      </c>
      <c r="F677" s="64" t="b">
        <f>IF(Tab.11[[#This Row],[a1]]=1,Tab.11[[#This Row],[b1]])</f>
        <v>0</v>
      </c>
      <c r="G677" s="65" t="b">
        <f>IF(Tab.11[[#This Row],[a1]]=1,IF(Tab.11[[#This Row],[b3]]&gt;$L$989*$G$3,$L$989*$G$3,IF(Tab.11[[#This Row],[b3]]&lt;$M$989*$G$3,$M$989*$G$3,Tab.11[[#This Row],[b3]])))</f>
        <v>0</v>
      </c>
      <c r="H677" s="66" t="b">
        <f>IF(Tab.11[[#This Row],[a1]]=1,Tab.11[[#This Row],[b1]])</f>
        <v>0</v>
      </c>
      <c r="I677" s="67" t="b">
        <f>IF(Tab.11[[#This Row],[a1]]=1,Tab.11[[#This Row],[b1]])</f>
        <v>0</v>
      </c>
      <c r="J677" s="68" t="b">
        <f>IF(Tab.11[[#This Row],[a1]]=1,IF($I$3&lt;0,Tab.11[[#This Row],[b5]]-$I$3,Tab.11[[#This Row],[b5]]))</f>
        <v>0</v>
      </c>
      <c r="K677" s="68" t="b">
        <f>IF(Tab.11[[#This Row],[a1]]=1,IF($K$3=0,Tab.11[b6],Tab.11[[#This Row],[b6]]-AVERAGE(Tab.11[b6])))</f>
        <v>0</v>
      </c>
      <c r="L677" s="69" t="b">
        <f>IF(Tab.11[[#This Row],[a1]]=1,Tab.11[[#This Row],[data]]/(_xlfn.STDEV.P(Tab.11[data])*$B$989)+$A$989)</f>
        <v>0</v>
      </c>
      <c r="M677" s="69" t="b">
        <f>IF(Tab.11[[#This Row],[a1]]=1,Tab.11[[#This Row],[data]]/(_xlfn.STDEV.P(Tab.11[data])*$B$987)-$A$987)</f>
        <v>0</v>
      </c>
      <c r="N677" s="69" t="b">
        <f>IF(Tab.11[[#This Row],[a1]]=1,Tab.11[[#This Row],[data]]/(_xlfn.STDEV.P(Tab.11[data])*$B$988)+$A$988)</f>
        <v>0</v>
      </c>
      <c r="O677" s="70" t="b">
        <f>IF(Tab.11[[#This Row],[a1]]=1,_xlfn.NORM.DIST(Tab.11[[#This Row],[b8]],$P$1,$Q$1,FALSE))</f>
        <v>0</v>
      </c>
      <c r="P677" s="70" t="b">
        <f>IF(Tab.11[[#This Row],[a1]]=1,_xlfn.NORM.DIST(Tab.11[[#This Row],[b9]],$P$1,$Q$1,FALSE))</f>
        <v>0</v>
      </c>
      <c r="Q677" s="70" t="b">
        <f>IF(Tab.11[[#This Row],[a1]]=1,_xlfn.NORM.DIST(Tab.11[[#This Row],[b10]],$P$1,$Q$1,FALSE))</f>
        <v>0</v>
      </c>
      <c r="R677" s="67" t="b">
        <f>IF(Tab.11[[#This Row],[a1]]=1,$I$3+$A$989+IF($K$3=0,Tab.11[[#This Row],[b8]]*_xlfn.STDEV.P(Tab.11[data]),AVERAGE(Tab.11[b6])+Tab.11[[#This Row],[b8]]*_xlfn.STDEV.P(Tab.11[data])))</f>
        <v>0</v>
      </c>
      <c r="S677" s="71" t="b">
        <f>IF(Tab.11[[#This Row],[a1]]=1,$I$3+$A$987+IF($K$3=0,Tab.11[[#This Row],[b9]]*_xlfn.STDEV.P(Tab.11[data]),AVERAGE(Tab.11[b6])+Tab.11[[#This Row],[b9]]*_xlfn.STDEV.P(Tab.11[data])))</f>
        <v>0</v>
      </c>
      <c r="T677" s="71" t="b">
        <f>IF(Tab.11[[#This Row],[a1]]=1,$I$3+$A$988+IF($K$3=0,Tab.11[[#This Row],[b10]]*_xlfn.STDEV.P(Tab.11[data]),AVERAGE(Tab.11[b6])+Tab.11[[#This Row],[b10]]*_xlfn.STDEV.P(Tab.11[data])))</f>
        <v>0</v>
      </c>
      <c r="U677" s="72" t="b">
        <f>IF(Tab.11[[#This Row],[a1]]=1,Tab.11[[#This Row],[target]]-Tab.11[[#This Row],[Red]])</f>
        <v>0</v>
      </c>
      <c r="V677" s="72" t="b">
        <f>IF(Tab.11[[#This Row],[a1]]=1,Tab.11[[#This Row],[target]]-Tab.11[[#This Row],[Blue]])</f>
        <v>0</v>
      </c>
      <c r="W677" s="73" t="b">
        <f>IF(Tab.11[[#This Row],[a1]]=1,IF(ABS(Tab.11[[#This Row],[b17]])+ABS(Tab.11[[#This Row],[b18]])&lt;$W$2,$W$2,ABS(Tab.11[[#This Row],[b17]])+ABS(Tab.11[[#This Row],[b18]])))</f>
        <v>0</v>
      </c>
      <c r="X677" s="136" t="b">
        <f>IF(Tab.11[[#This Row],[a1]]=1,IF($W$3&lt;0,Tab.11[[#This Row],[IN]]-$I$3,Tab.11[[#This Row],[IN]]))</f>
        <v>0</v>
      </c>
      <c r="Y677" s="136" t="b">
        <f>IF(Tab.11[[#This Row],[a1]]=1,IF($X$3=0,Tab.11[b66],Tab.11[[#This Row],[b66]]-AVERAGE(Tab.11[b66])))</f>
        <v>0</v>
      </c>
      <c r="Z677" s="135" t="b">
        <f>IF(Tab.11[[#This Row],[a1]]=1,Tab.11[[#This Row],[b77]]/(_xlfn.STDEV.P(Tab.11[b77])))</f>
        <v>0</v>
      </c>
      <c r="AA677" s="70" t="b">
        <f>IF(Tab.11[[#This Row],[a1]]=1,_xlfn.NORM.DIST(Tab.11[[#This Row],[b88]],$Z$1,$AA$1,FALSE))</f>
        <v>0</v>
      </c>
      <c r="AB677" s="74" t="b">
        <f>IF(Tab.11[[#This Row],[a1]]=1,IF($A$3=0,FALSE,1/Tab.11[[#This Row],[IN]]*$AC$2*IF(Tab.11[[#This Row],[a1]]=0,,$A$3*$AC$1*1/$V$3*(Tab.11[[#This Row],[b14]]))))</f>
        <v>0</v>
      </c>
      <c r="AC677" s="75" t="b">
        <f>IF(Tab.11[[#This Row],[a1]]=1,IF($AC$3=0,Tab.11[[#This Row],[φ1]],Tab.11[[#This Row],[φ1]]/MAX(Tab.11[φ1])))</f>
        <v>0</v>
      </c>
      <c r="AD677" s="74" t="b">
        <f>IF(Tab.11[[#This Row],[a1]]=1,1/Tab.11[[#This Row],[φ2]])</f>
        <v>0</v>
      </c>
      <c r="AE677" s="74" t="b">
        <f>IF(Tab.11[[#This Row],[a1]]=1,IF($AE$3=0,Tab.11[[#This Row],[w.0]],Tab.11[[#This Row],[w.0]]/SUM(Tab.11[w.0])))</f>
        <v>0</v>
      </c>
      <c r="AF677" s="76" t="str">
        <f>IF(Tab.11[[#This Row],[a1]]=0,"false",[3]!Tab.x5[[#This Row],[%_seN_C]])</f>
        <v>false</v>
      </c>
      <c r="AG677" s="77" t="b">
        <f>IF(Tab.11[[#This Row],[a1]]=1,AP677)</f>
        <v>0</v>
      </c>
      <c r="AH677" s="78" t="b">
        <f>IF(Tab.11[[#This Row],[a1]]=1,AQ677)</f>
        <v>0</v>
      </c>
      <c r="AI677" s="41">
        <v>3.0000000000000001E-3</v>
      </c>
      <c r="AJ677" s="79">
        <v>-0.1</v>
      </c>
      <c r="AK677" s="80" t="b">
        <f>IF(Tab.11[[#This Row],[a1]]=1,1)</f>
        <v>0</v>
      </c>
      <c r="AL677"/>
      <c r="AM677"/>
      <c r="AN677"/>
      <c r="AO677"/>
      <c r="AP677"/>
      <c r="AQ677"/>
      <c r="AR677"/>
      <c r="AS677"/>
    </row>
    <row r="678" spans="1:45" s="81" customFormat="1" hidden="1" x14ac:dyDescent="0.25">
      <c r="A678" s="61">
        <f t="shared" si="23"/>
        <v>0</v>
      </c>
      <c r="B678" s="62">
        <f t="shared" si="23"/>
        <v>0</v>
      </c>
      <c r="C678" s="62" t="b">
        <f>IF(Tab.11[[#This Row],[a1]]=1,[3]!Tab_x1[[#This Row],[Name]])</f>
        <v>0</v>
      </c>
      <c r="D678" s="63" t="b">
        <f>IF(Tab.11[[#This Row],[a1]]=1,AO678)</f>
        <v>0</v>
      </c>
      <c r="E678" s="63">
        <f t="shared" si="22"/>
        <v>0</v>
      </c>
      <c r="F678" s="64" t="b">
        <f>IF(Tab.11[[#This Row],[a1]]=1,Tab.11[[#This Row],[b1]])</f>
        <v>0</v>
      </c>
      <c r="G678" s="65" t="b">
        <f>IF(Tab.11[[#This Row],[a1]]=1,IF(Tab.11[[#This Row],[b3]]&gt;$L$989*$G$3,$L$989*$G$3,IF(Tab.11[[#This Row],[b3]]&lt;$M$989*$G$3,$M$989*$G$3,Tab.11[[#This Row],[b3]])))</f>
        <v>0</v>
      </c>
      <c r="H678" s="66" t="b">
        <f>IF(Tab.11[[#This Row],[a1]]=1,Tab.11[[#This Row],[b1]])</f>
        <v>0</v>
      </c>
      <c r="I678" s="67" t="b">
        <f>IF(Tab.11[[#This Row],[a1]]=1,Tab.11[[#This Row],[b1]])</f>
        <v>0</v>
      </c>
      <c r="J678" s="68" t="b">
        <f>IF(Tab.11[[#This Row],[a1]]=1,IF($I$3&lt;0,Tab.11[[#This Row],[b5]]-$I$3,Tab.11[[#This Row],[b5]]))</f>
        <v>0</v>
      </c>
      <c r="K678" s="68" t="b">
        <f>IF(Tab.11[[#This Row],[a1]]=1,IF($K$3=0,Tab.11[b6],Tab.11[[#This Row],[b6]]-AVERAGE(Tab.11[b6])))</f>
        <v>0</v>
      </c>
      <c r="L678" s="69" t="b">
        <f>IF(Tab.11[[#This Row],[a1]]=1,Tab.11[[#This Row],[data]]/(_xlfn.STDEV.P(Tab.11[data])*$B$989)+$A$989)</f>
        <v>0</v>
      </c>
      <c r="M678" s="69" t="b">
        <f>IF(Tab.11[[#This Row],[a1]]=1,Tab.11[[#This Row],[data]]/(_xlfn.STDEV.P(Tab.11[data])*$B$987)-$A$987)</f>
        <v>0</v>
      </c>
      <c r="N678" s="69" t="b">
        <f>IF(Tab.11[[#This Row],[a1]]=1,Tab.11[[#This Row],[data]]/(_xlfn.STDEV.P(Tab.11[data])*$B$988)+$A$988)</f>
        <v>0</v>
      </c>
      <c r="O678" s="70" t="b">
        <f>IF(Tab.11[[#This Row],[a1]]=1,_xlfn.NORM.DIST(Tab.11[[#This Row],[b8]],$P$1,$Q$1,FALSE))</f>
        <v>0</v>
      </c>
      <c r="P678" s="70" t="b">
        <f>IF(Tab.11[[#This Row],[a1]]=1,_xlfn.NORM.DIST(Tab.11[[#This Row],[b9]],$P$1,$Q$1,FALSE))</f>
        <v>0</v>
      </c>
      <c r="Q678" s="70" t="b">
        <f>IF(Tab.11[[#This Row],[a1]]=1,_xlfn.NORM.DIST(Tab.11[[#This Row],[b10]],$P$1,$Q$1,FALSE))</f>
        <v>0</v>
      </c>
      <c r="R678" s="67" t="b">
        <f>IF(Tab.11[[#This Row],[a1]]=1,$I$3+$A$989+IF($K$3=0,Tab.11[[#This Row],[b8]]*_xlfn.STDEV.P(Tab.11[data]),AVERAGE(Tab.11[b6])+Tab.11[[#This Row],[b8]]*_xlfn.STDEV.P(Tab.11[data])))</f>
        <v>0</v>
      </c>
      <c r="S678" s="71" t="b">
        <f>IF(Tab.11[[#This Row],[a1]]=1,$I$3+$A$987+IF($K$3=0,Tab.11[[#This Row],[b9]]*_xlfn.STDEV.P(Tab.11[data]),AVERAGE(Tab.11[b6])+Tab.11[[#This Row],[b9]]*_xlfn.STDEV.P(Tab.11[data])))</f>
        <v>0</v>
      </c>
      <c r="T678" s="71" t="b">
        <f>IF(Tab.11[[#This Row],[a1]]=1,$I$3+$A$988+IF($K$3=0,Tab.11[[#This Row],[b10]]*_xlfn.STDEV.P(Tab.11[data]),AVERAGE(Tab.11[b6])+Tab.11[[#This Row],[b10]]*_xlfn.STDEV.P(Tab.11[data])))</f>
        <v>0</v>
      </c>
      <c r="U678" s="72" t="b">
        <f>IF(Tab.11[[#This Row],[a1]]=1,Tab.11[[#This Row],[target]]-Tab.11[[#This Row],[Red]])</f>
        <v>0</v>
      </c>
      <c r="V678" s="72" t="b">
        <f>IF(Tab.11[[#This Row],[a1]]=1,Tab.11[[#This Row],[target]]-Tab.11[[#This Row],[Blue]])</f>
        <v>0</v>
      </c>
      <c r="W678" s="73" t="b">
        <f>IF(Tab.11[[#This Row],[a1]]=1,IF(ABS(Tab.11[[#This Row],[b17]])+ABS(Tab.11[[#This Row],[b18]])&lt;$W$2,$W$2,ABS(Tab.11[[#This Row],[b17]])+ABS(Tab.11[[#This Row],[b18]])))</f>
        <v>0</v>
      </c>
      <c r="X678" s="136" t="b">
        <f>IF(Tab.11[[#This Row],[a1]]=1,IF($W$3&lt;0,Tab.11[[#This Row],[IN]]-$I$3,Tab.11[[#This Row],[IN]]))</f>
        <v>0</v>
      </c>
      <c r="Y678" s="136" t="b">
        <f>IF(Tab.11[[#This Row],[a1]]=1,IF($X$3=0,Tab.11[b66],Tab.11[[#This Row],[b66]]-AVERAGE(Tab.11[b66])))</f>
        <v>0</v>
      </c>
      <c r="Z678" s="135" t="b">
        <f>IF(Tab.11[[#This Row],[a1]]=1,Tab.11[[#This Row],[b77]]/(_xlfn.STDEV.P(Tab.11[b77])))</f>
        <v>0</v>
      </c>
      <c r="AA678" s="70" t="b">
        <f>IF(Tab.11[[#This Row],[a1]]=1,_xlfn.NORM.DIST(Tab.11[[#This Row],[b88]],$Z$1,$AA$1,FALSE))</f>
        <v>0</v>
      </c>
      <c r="AB678" s="74" t="b">
        <f>IF(Tab.11[[#This Row],[a1]]=1,IF($A$3=0,FALSE,1/Tab.11[[#This Row],[IN]]*$AC$2*IF(Tab.11[[#This Row],[a1]]=0,,$A$3*$AC$1*1/$V$3*(Tab.11[[#This Row],[b14]]))))</f>
        <v>0</v>
      </c>
      <c r="AC678" s="75" t="b">
        <f>IF(Tab.11[[#This Row],[a1]]=1,IF($AC$3=0,Tab.11[[#This Row],[φ1]],Tab.11[[#This Row],[φ1]]/MAX(Tab.11[φ1])))</f>
        <v>0</v>
      </c>
      <c r="AD678" s="74" t="b">
        <f>IF(Tab.11[[#This Row],[a1]]=1,1/Tab.11[[#This Row],[φ2]])</f>
        <v>0</v>
      </c>
      <c r="AE678" s="74" t="b">
        <f>IF(Tab.11[[#This Row],[a1]]=1,IF($AE$3=0,Tab.11[[#This Row],[w.0]],Tab.11[[#This Row],[w.0]]/SUM(Tab.11[w.0])))</f>
        <v>0</v>
      </c>
      <c r="AF678" s="76" t="str">
        <f>IF(Tab.11[[#This Row],[a1]]=0,"false",[3]!Tab.x5[[#This Row],[%_seN_C]])</f>
        <v>false</v>
      </c>
      <c r="AG678" s="77" t="b">
        <f>IF(Tab.11[[#This Row],[a1]]=1,AP678)</f>
        <v>0</v>
      </c>
      <c r="AH678" s="78" t="b">
        <f>IF(Tab.11[[#This Row],[a1]]=1,AQ678)</f>
        <v>0</v>
      </c>
      <c r="AI678" s="41">
        <v>3.0000000000000001E-3</v>
      </c>
      <c r="AJ678" s="79">
        <v>0.05</v>
      </c>
      <c r="AK678" s="80" t="b">
        <f>IF(Tab.11[[#This Row],[a1]]=1,1)</f>
        <v>0</v>
      </c>
      <c r="AL678"/>
      <c r="AM678"/>
      <c r="AN678"/>
      <c r="AO678"/>
      <c r="AP678"/>
      <c r="AQ678"/>
      <c r="AR678"/>
      <c r="AS678"/>
    </row>
    <row r="679" spans="1:45" s="81" customFormat="1" hidden="1" x14ac:dyDescent="0.25">
      <c r="A679" s="61">
        <f t="shared" si="23"/>
        <v>0</v>
      </c>
      <c r="B679" s="62">
        <f t="shared" si="23"/>
        <v>0</v>
      </c>
      <c r="C679" s="62" t="b">
        <f>IF(Tab.11[[#This Row],[a1]]=1,[3]!Tab_x1[[#This Row],[Name]])</f>
        <v>0</v>
      </c>
      <c r="D679" s="63" t="b">
        <f>IF(Tab.11[[#This Row],[a1]]=1,AO679)</f>
        <v>0</v>
      </c>
      <c r="E679" s="63">
        <f t="shared" si="22"/>
        <v>0</v>
      </c>
      <c r="F679" s="64" t="b">
        <f>IF(Tab.11[[#This Row],[a1]]=1,Tab.11[[#This Row],[b1]])</f>
        <v>0</v>
      </c>
      <c r="G679" s="65" t="b">
        <f>IF(Tab.11[[#This Row],[a1]]=1,IF(Tab.11[[#This Row],[b3]]&gt;$L$989*$G$3,$L$989*$G$3,IF(Tab.11[[#This Row],[b3]]&lt;$M$989*$G$3,$M$989*$G$3,Tab.11[[#This Row],[b3]])))</f>
        <v>0</v>
      </c>
      <c r="H679" s="66" t="b">
        <f>IF(Tab.11[[#This Row],[a1]]=1,Tab.11[[#This Row],[b1]])</f>
        <v>0</v>
      </c>
      <c r="I679" s="67" t="b">
        <f>IF(Tab.11[[#This Row],[a1]]=1,Tab.11[[#This Row],[b1]])</f>
        <v>0</v>
      </c>
      <c r="J679" s="68" t="b">
        <f>IF(Tab.11[[#This Row],[a1]]=1,IF($I$3&lt;0,Tab.11[[#This Row],[b5]]-$I$3,Tab.11[[#This Row],[b5]]))</f>
        <v>0</v>
      </c>
      <c r="K679" s="68" t="b">
        <f>IF(Tab.11[[#This Row],[a1]]=1,IF($K$3=0,Tab.11[b6],Tab.11[[#This Row],[b6]]-AVERAGE(Tab.11[b6])))</f>
        <v>0</v>
      </c>
      <c r="L679" s="69" t="b">
        <f>IF(Tab.11[[#This Row],[a1]]=1,Tab.11[[#This Row],[data]]/(_xlfn.STDEV.P(Tab.11[data])*$B$989)+$A$989)</f>
        <v>0</v>
      </c>
      <c r="M679" s="69" t="b">
        <f>IF(Tab.11[[#This Row],[a1]]=1,Tab.11[[#This Row],[data]]/(_xlfn.STDEV.P(Tab.11[data])*$B$987)-$A$987)</f>
        <v>0</v>
      </c>
      <c r="N679" s="69" t="b">
        <f>IF(Tab.11[[#This Row],[a1]]=1,Tab.11[[#This Row],[data]]/(_xlfn.STDEV.P(Tab.11[data])*$B$988)+$A$988)</f>
        <v>0</v>
      </c>
      <c r="O679" s="70" t="b">
        <f>IF(Tab.11[[#This Row],[a1]]=1,_xlfn.NORM.DIST(Tab.11[[#This Row],[b8]],$P$1,$Q$1,FALSE))</f>
        <v>0</v>
      </c>
      <c r="P679" s="70" t="b">
        <f>IF(Tab.11[[#This Row],[a1]]=1,_xlfn.NORM.DIST(Tab.11[[#This Row],[b9]],$P$1,$Q$1,FALSE))</f>
        <v>0</v>
      </c>
      <c r="Q679" s="70" t="b">
        <f>IF(Tab.11[[#This Row],[a1]]=1,_xlfn.NORM.DIST(Tab.11[[#This Row],[b10]],$P$1,$Q$1,FALSE))</f>
        <v>0</v>
      </c>
      <c r="R679" s="67" t="b">
        <f>IF(Tab.11[[#This Row],[a1]]=1,$I$3+$A$989+IF($K$3=0,Tab.11[[#This Row],[b8]]*_xlfn.STDEV.P(Tab.11[data]),AVERAGE(Tab.11[b6])+Tab.11[[#This Row],[b8]]*_xlfn.STDEV.P(Tab.11[data])))</f>
        <v>0</v>
      </c>
      <c r="S679" s="71" t="b">
        <f>IF(Tab.11[[#This Row],[a1]]=1,$I$3+$A$987+IF($K$3=0,Tab.11[[#This Row],[b9]]*_xlfn.STDEV.P(Tab.11[data]),AVERAGE(Tab.11[b6])+Tab.11[[#This Row],[b9]]*_xlfn.STDEV.P(Tab.11[data])))</f>
        <v>0</v>
      </c>
      <c r="T679" s="71" t="b">
        <f>IF(Tab.11[[#This Row],[a1]]=1,$I$3+$A$988+IF($K$3=0,Tab.11[[#This Row],[b10]]*_xlfn.STDEV.P(Tab.11[data]),AVERAGE(Tab.11[b6])+Tab.11[[#This Row],[b10]]*_xlfn.STDEV.P(Tab.11[data])))</f>
        <v>0</v>
      </c>
      <c r="U679" s="72" t="b">
        <f>IF(Tab.11[[#This Row],[a1]]=1,Tab.11[[#This Row],[target]]-Tab.11[[#This Row],[Red]])</f>
        <v>0</v>
      </c>
      <c r="V679" s="72" t="b">
        <f>IF(Tab.11[[#This Row],[a1]]=1,Tab.11[[#This Row],[target]]-Tab.11[[#This Row],[Blue]])</f>
        <v>0</v>
      </c>
      <c r="W679" s="73" t="b">
        <f>IF(Tab.11[[#This Row],[a1]]=1,IF(ABS(Tab.11[[#This Row],[b17]])+ABS(Tab.11[[#This Row],[b18]])&lt;$W$2,$W$2,ABS(Tab.11[[#This Row],[b17]])+ABS(Tab.11[[#This Row],[b18]])))</f>
        <v>0</v>
      </c>
      <c r="X679" s="136" t="b">
        <f>IF(Tab.11[[#This Row],[a1]]=1,IF($W$3&lt;0,Tab.11[[#This Row],[IN]]-$I$3,Tab.11[[#This Row],[IN]]))</f>
        <v>0</v>
      </c>
      <c r="Y679" s="136" t="b">
        <f>IF(Tab.11[[#This Row],[a1]]=1,IF($X$3=0,Tab.11[b66],Tab.11[[#This Row],[b66]]-AVERAGE(Tab.11[b66])))</f>
        <v>0</v>
      </c>
      <c r="Z679" s="135" t="b">
        <f>IF(Tab.11[[#This Row],[a1]]=1,Tab.11[[#This Row],[b77]]/(_xlfn.STDEV.P(Tab.11[b77])))</f>
        <v>0</v>
      </c>
      <c r="AA679" s="70" t="b">
        <f>IF(Tab.11[[#This Row],[a1]]=1,_xlfn.NORM.DIST(Tab.11[[#This Row],[b88]],$Z$1,$AA$1,FALSE))</f>
        <v>0</v>
      </c>
      <c r="AB679" s="74" t="b">
        <f>IF(Tab.11[[#This Row],[a1]]=1,IF($A$3=0,FALSE,1/Tab.11[[#This Row],[IN]]*$AC$2*IF(Tab.11[[#This Row],[a1]]=0,,$A$3*$AC$1*1/$V$3*(Tab.11[[#This Row],[b14]]))))</f>
        <v>0</v>
      </c>
      <c r="AC679" s="75" t="b">
        <f>IF(Tab.11[[#This Row],[a1]]=1,IF($AC$3=0,Tab.11[[#This Row],[φ1]],Tab.11[[#This Row],[φ1]]/MAX(Tab.11[φ1])))</f>
        <v>0</v>
      </c>
      <c r="AD679" s="74" t="b">
        <f>IF(Tab.11[[#This Row],[a1]]=1,1/Tab.11[[#This Row],[φ2]])</f>
        <v>0</v>
      </c>
      <c r="AE679" s="74" t="b">
        <f>IF(Tab.11[[#This Row],[a1]]=1,IF($AE$3=0,Tab.11[[#This Row],[w.0]],Tab.11[[#This Row],[w.0]]/SUM(Tab.11[w.0])))</f>
        <v>0</v>
      </c>
      <c r="AF679" s="76" t="str">
        <f>IF(Tab.11[[#This Row],[a1]]=0,"false",[3]!Tab.x5[[#This Row],[%_seN_C]])</f>
        <v>false</v>
      </c>
      <c r="AG679" s="77" t="b">
        <f>IF(Tab.11[[#This Row],[a1]]=1,AP679)</f>
        <v>0</v>
      </c>
      <c r="AH679" s="78" t="b">
        <f>IF(Tab.11[[#This Row],[a1]]=1,AQ679)</f>
        <v>0</v>
      </c>
      <c r="AI679" s="41">
        <v>3.0000000000000001E-3</v>
      </c>
      <c r="AJ679" s="79">
        <v>-0.04</v>
      </c>
      <c r="AK679" s="80" t="b">
        <f>IF(Tab.11[[#This Row],[a1]]=1,1)</f>
        <v>0</v>
      </c>
      <c r="AL679"/>
      <c r="AM679"/>
      <c r="AN679"/>
      <c r="AO679"/>
      <c r="AP679"/>
      <c r="AQ679"/>
      <c r="AR679"/>
      <c r="AS679"/>
    </row>
    <row r="680" spans="1:45" s="81" customFormat="1" hidden="1" x14ac:dyDescent="0.25">
      <c r="A680" s="61">
        <f t="shared" si="23"/>
        <v>0</v>
      </c>
      <c r="B680" s="62">
        <f t="shared" si="23"/>
        <v>0</v>
      </c>
      <c r="C680" s="62" t="b">
        <f>IF(Tab.11[[#This Row],[a1]]=1,[3]!Tab_x1[[#This Row],[Name]])</f>
        <v>0</v>
      </c>
      <c r="D680" s="63" t="b">
        <f>IF(Tab.11[[#This Row],[a1]]=1,AO680)</f>
        <v>0</v>
      </c>
      <c r="E680" s="63">
        <f t="shared" si="22"/>
        <v>0</v>
      </c>
      <c r="F680" s="64" t="b">
        <f>IF(Tab.11[[#This Row],[a1]]=1,Tab.11[[#This Row],[b1]])</f>
        <v>0</v>
      </c>
      <c r="G680" s="65" t="b">
        <f>IF(Tab.11[[#This Row],[a1]]=1,IF(Tab.11[[#This Row],[b3]]&gt;$L$989*$G$3,$L$989*$G$3,IF(Tab.11[[#This Row],[b3]]&lt;$M$989*$G$3,$M$989*$G$3,Tab.11[[#This Row],[b3]])))</f>
        <v>0</v>
      </c>
      <c r="H680" s="66" t="b">
        <f>IF(Tab.11[[#This Row],[a1]]=1,Tab.11[[#This Row],[b1]])</f>
        <v>0</v>
      </c>
      <c r="I680" s="67" t="b">
        <f>IF(Tab.11[[#This Row],[a1]]=1,Tab.11[[#This Row],[b1]])</f>
        <v>0</v>
      </c>
      <c r="J680" s="68" t="b">
        <f>IF(Tab.11[[#This Row],[a1]]=1,IF($I$3&lt;0,Tab.11[[#This Row],[b5]]-$I$3,Tab.11[[#This Row],[b5]]))</f>
        <v>0</v>
      </c>
      <c r="K680" s="68" t="b">
        <f>IF(Tab.11[[#This Row],[a1]]=1,IF($K$3=0,Tab.11[b6],Tab.11[[#This Row],[b6]]-AVERAGE(Tab.11[b6])))</f>
        <v>0</v>
      </c>
      <c r="L680" s="69" t="b">
        <f>IF(Tab.11[[#This Row],[a1]]=1,Tab.11[[#This Row],[data]]/(_xlfn.STDEV.P(Tab.11[data])*$B$989)+$A$989)</f>
        <v>0</v>
      </c>
      <c r="M680" s="69" t="b">
        <f>IF(Tab.11[[#This Row],[a1]]=1,Tab.11[[#This Row],[data]]/(_xlfn.STDEV.P(Tab.11[data])*$B$987)-$A$987)</f>
        <v>0</v>
      </c>
      <c r="N680" s="69" t="b">
        <f>IF(Tab.11[[#This Row],[a1]]=1,Tab.11[[#This Row],[data]]/(_xlfn.STDEV.P(Tab.11[data])*$B$988)+$A$988)</f>
        <v>0</v>
      </c>
      <c r="O680" s="70" t="b">
        <f>IF(Tab.11[[#This Row],[a1]]=1,_xlfn.NORM.DIST(Tab.11[[#This Row],[b8]],$P$1,$Q$1,FALSE))</f>
        <v>0</v>
      </c>
      <c r="P680" s="70" t="b">
        <f>IF(Tab.11[[#This Row],[a1]]=1,_xlfn.NORM.DIST(Tab.11[[#This Row],[b9]],$P$1,$Q$1,FALSE))</f>
        <v>0</v>
      </c>
      <c r="Q680" s="70" t="b">
        <f>IF(Tab.11[[#This Row],[a1]]=1,_xlfn.NORM.DIST(Tab.11[[#This Row],[b10]],$P$1,$Q$1,FALSE))</f>
        <v>0</v>
      </c>
      <c r="R680" s="67" t="b">
        <f>IF(Tab.11[[#This Row],[a1]]=1,$I$3+$A$989+IF($K$3=0,Tab.11[[#This Row],[b8]]*_xlfn.STDEV.P(Tab.11[data]),AVERAGE(Tab.11[b6])+Tab.11[[#This Row],[b8]]*_xlfn.STDEV.P(Tab.11[data])))</f>
        <v>0</v>
      </c>
      <c r="S680" s="71" t="b">
        <f>IF(Tab.11[[#This Row],[a1]]=1,$I$3+$A$987+IF($K$3=0,Tab.11[[#This Row],[b9]]*_xlfn.STDEV.P(Tab.11[data]),AVERAGE(Tab.11[b6])+Tab.11[[#This Row],[b9]]*_xlfn.STDEV.P(Tab.11[data])))</f>
        <v>0</v>
      </c>
      <c r="T680" s="71" t="b">
        <f>IF(Tab.11[[#This Row],[a1]]=1,$I$3+$A$988+IF($K$3=0,Tab.11[[#This Row],[b10]]*_xlfn.STDEV.P(Tab.11[data]),AVERAGE(Tab.11[b6])+Tab.11[[#This Row],[b10]]*_xlfn.STDEV.P(Tab.11[data])))</f>
        <v>0</v>
      </c>
      <c r="U680" s="72" t="b">
        <f>IF(Tab.11[[#This Row],[a1]]=1,Tab.11[[#This Row],[target]]-Tab.11[[#This Row],[Red]])</f>
        <v>0</v>
      </c>
      <c r="V680" s="72" t="b">
        <f>IF(Tab.11[[#This Row],[a1]]=1,Tab.11[[#This Row],[target]]-Tab.11[[#This Row],[Blue]])</f>
        <v>0</v>
      </c>
      <c r="W680" s="73" t="b">
        <f>IF(Tab.11[[#This Row],[a1]]=1,IF(ABS(Tab.11[[#This Row],[b17]])+ABS(Tab.11[[#This Row],[b18]])&lt;$W$2,$W$2,ABS(Tab.11[[#This Row],[b17]])+ABS(Tab.11[[#This Row],[b18]])))</f>
        <v>0</v>
      </c>
      <c r="X680" s="136" t="b">
        <f>IF(Tab.11[[#This Row],[a1]]=1,IF($W$3&lt;0,Tab.11[[#This Row],[IN]]-$I$3,Tab.11[[#This Row],[IN]]))</f>
        <v>0</v>
      </c>
      <c r="Y680" s="136" t="b">
        <f>IF(Tab.11[[#This Row],[a1]]=1,IF($X$3=0,Tab.11[b66],Tab.11[[#This Row],[b66]]-AVERAGE(Tab.11[b66])))</f>
        <v>0</v>
      </c>
      <c r="Z680" s="135" t="b">
        <f>IF(Tab.11[[#This Row],[a1]]=1,Tab.11[[#This Row],[b77]]/(_xlfn.STDEV.P(Tab.11[b77])))</f>
        <v>0</v>
      </c>
      <c r="AA680" s="70" t="b">
        <f>IF(Tab.11[[#This Row],[a1]]=1,_xlfn.NORM.DIST(Tab.11[[#This Row],[b88]],$Z$1,$AA$1,FALSE))</f>
        <v>0</v>
      </c>
      <c r="AB680" s="74" t="b">
        <f>IF(Tab.11[[#This Row],[a1]]=1,IF($A$3=0,FALSE,1/Tab.11[[#This Row],[IN]]*$AC$2*IF(Tab.11[[#This Row],[a1]]=0,,$A$3*$AC$1*1/$V$3*(Tab.11[[#This Row],[b14]]))))</f>
        <v>0</v>
      </c>
      <c r="AC680" s="75" t="b">
        <f>IF(Tab.11[[#This Row],[a1]]=1,IF($AC$3=0,Tab.11[[#This Row],[φ1]],Tab.11[[#This Row],[φ1]]/MAX(Tab.11[φ1])))</f>
        <v>0</v>
      </c>
      <c r="AD680" s="74" t="b">
        <f>IF(Tab.11[[#This Row],[a1]]=1,1/Tab.11[[#This Row],[φ2]])</f>
        <v>0</v>
      </c>
      <c r="AE680" s="74" t="b">
        <f>IF(Tab.11[[#This Row],[a1]]=1,IF($AE$3=0,Tab.11[[#This Row],[w.0]],Tab.11[[#This Row],[w.0]]/SUM(Tab.11[w.0])))</f>
        <v>0</v>
      </c>
      <c r="AF680" s="76" t="str">
        <f>IF(Tab.11[[#This Row],[a1]]=0,"false",[3]!Tab.x5[[#This Row],[%_seN_C]])</f>
        <v>false</v>
      </c>
      <c r="AG680" s="77" t="b">
        <f>IF(Tab.11[[#This Row],[a1]]=1,AP680)</f>
        <v>0</v>
      </c>
      <c r="AH680" s="78" t="b">
        <f>IF(Tab.11[[#This Row],[a1]]=1,AQ680)</f>
        <v>0</v>
      </c>
      <c r="AI680" s="41">
        <v>3.0000000000000001E-3</v>
      </c>
      <c r="AJ680" s="79">
        <v>0</v>
      </c>
      <c r="AK680" s="80" t="b">
        <f>IF(Tab.11[[#This Row],[a1]]=1,1)</f>
        <v>0</v>
      </c>
      <c r="AL680"/>
      <c r="AM680"/>
      <c r="AN680"/>
      <c r="AO680"/>
      <c r="AP680"/>
      <c r="AQ680"/>
      <c r="AR680"/>
      <c r="AS680"/>
    </row>
    <row r="681" spans="1:45" s="81" customFormat="1" hidden="1" x14ac:dyDescent="0.25">
      <c r="A681" s="61">
        <f t="shared" si="23"/>
        <v>0</v>
      </c>
      <c r="B681" s="62">
        <f t="shared" si="23"/>
        <v>0</v>
      </c>
      <c r="C681" s="62" t="b">
        <f>IF(Tab.11[[#This Row],[a1]]=1,[3]!Tab_x1[[#This Row],[Name]])</f>
        <v>0</v>
      </c>
      <c r="D681" s="63" t="b">
        <f>IF(Tab.11[[#This Row],[a1]]=1,AO681)</f>
        <v>0</v>
      </c>
      <c r="E681" s="63">
        <f t="shared" si="22"/>
        <v>0</v>
      </c>
      <c r="F681" s="64" t="b">
        <f>IF(Tab.11[[#This Row],[a1]]=1,Tab.11[[#This Row],[b1]])</f>
        <v>0</v>
      </c>
      <c r="G681" s="65" t="b">
        <f>IF(Tab.11[[#This Row],[a1]]=1,IF(Tab.11[[#This Row],[b3]]&gt;$L$989*$G$3,$L$989*$G$3,IF(Tab.11[[#This Row],[b3]]&lt;$M$989*$G$3,$M$989*$G$3,Tab.11[[#This Row],[b3]])))</f>
        <v>0</v>
      </c>
      <c r="H681" s="66" t="b">
        <f>IF(Tab.11[[#This Row],[a1]]=1,Tab.11[[#This Row],[b1]])</f>
        <v>0</v>
      </c>
      <c r="I681" s="67" t="b">
        <f>IF(Tab.11[[#This Row],[a1]]=1,Tab.11[[#This Row],[b1]])</f>
        <v>0</v>
      </c>
      <c r="J681" s="68" t="b">
        <f>IF(Tab.11[[#This Row],[a1]]=1,IF($I$3&lt;0,Tab.11[[#This Row],[b5]]-$I$3,Tab.11[[#This Row],[b5]]))</f>
        <v>0</v>
      </c>
      <c r="K681" s="68" t="b">
        <f>IF(Tab.11[[#This Row],[a1]]=1,IF($K$3=0,Tab.11[b6],Tab.11[[#This Row],[b6]]-AVERAGE(Tab.11[b6])))</f>
        <v>0</v>
      </c>
      <c r="L681" s="69" t="b">
        <f>IF(Tab.11[[#This Row],[a1]]=1,Tab.11[[#This Row],[data]]/(_xlfn.STDEV.P(Tab.11[data])*$B$989)+$A$989)</f>
        <v>0</v>
      </c>
      <c r="M681" s="69" t="b">
        <f>IF(Tab.11[[#This Row],[a1]]=1,Tab.11[[#This Row],[data]]/(_xlfn.STDEV.P(Tab.11[data])*$B$987)-$A$987)</f>
        <v>0</v>
      </c>
      <c r="N681" s="69" t="b">
        <f>IF(Tab.11[[#This Row],[a1]]=1,Tab.11[[#This Row],[data]]/(_xlfn.STDEV.P(Tab.11[data])*$B$988)+$A$988)</f>
        <v>0</v>
      </c>
      <c r="O681" s="70" t="b">
        <f>IF(Tab.11[[#This Row],[a1]]=1,_xlfn.NORM.DIST(Tab.11[[#This Row],[b8]],$P$1,$Q$1,FALSE))</f>
        <v>0</v>
      </c>
      <c r="P681" s="70" t="b">
        <f>IF(Tab.11[[#This Row],[a1]]=1,_xlfn.NORM.DIST(Tab.11[[#This Row],[b9]],$P$1,$Q$1,FALSE))</f>
        <v>0</v>
      </c>
      <c r="Q681" s="70" t="b">
        <f>IF(Tab.11[[#This Row],[a1]]=1,_xlfn.NORM.DIST(Tab.11[[#This Row],[b10]],$P$1,$Q$1,FALSE))</f>
        <v>0</v>
      </c>
      <c r="R681" s="67" t="b">
        <f>IF(Tab.11[[#This Row],[a1]]=1,$I$3+$A$989+IF($K$3=0,Tab.11[[#This Row],[b8]]*_xlfn.STDEV.P(Tab.11[data]),AVERAGE(Tab.11[b6])+Tab.11[[#This Row],[b8]]*_xlfn.STDEV.P(Tab.11[data])))</f>
        <v>0</v>
      </c>
      <c r="S681" s="71" t="b">
        <f>IF(Tab.11[[#This Row],[a1]]=1,$I$3+$A$987+IF($K$3=0,Tab.11[[#This Row],[b9]]*_xlfn.STDEV.P(Tab.11[data]),AVERAGE(Tab.11[b6])+Tab.11[[#This Row],[b9]]*_xlfn.STDEV.P(Tab.11[data])))</f>
        <v>0</v>
      </c>
      <c r="T681" s="71" t="b">
        <f>IF(Tab.11[[#This Row],[a1]]=1,$I$3+$A$988+IF($K$3=0,Tab.11[[#This Row],[b10]]*_xlfn.STDEV.P(Tab.11[data]),AVERAGE(Tab.11[b6])+Tab.11[[#This Row],[b10]]*_xlfn.STDEV.P(Tab.11[data])))</f>
        <v>0</v>
      </c>
      <c r="U681" s="72" t="b">
        <f>IF(Tab.11[[#This Row],[a1]]=1,Tab.11[[#This Row],[target]]-Tab.11[[#This Row],[Red]])</f>
        <v>0</v>
      </c>
      <c r="V681" s="72" t="b">
        <f>IF(Tab.11[[#This Row],[a1]]=1,Tab.11[[#This Row],[target]]-Tab.11[[#This Row],[Blue]])</f>
        <v>0</v>
      </c>
      <c r="W681" s="73" t="b">
        <f>IF(Tab.11[[#This Row],[a1]]=1,IF(ABS(Tab.11[[#This Row],[b17]])+ABS(Tab.11[[#This Row],[b18]])&lt;$W$2,$W$2,ABS(Tab.11[[#This Row],[b17]])+ABS(Tab.11[[#This Row],[b18]])))</f>
        <v>0</v>
      </c>
      <c r="X681" s="136" t="b">
        <f>IF(Tab.11[[#This Row],[a1]]=1,IF($W$3&lt;0,Tab.11[[#This Row],[IN]]-$I$3,Tab.11[[#This Row],[IN]]))</f>
        <v>0</v>
      </c>
      <c r="Y681" s="136" t="b">
        <f>IF(Tab.11[[#This Row],[a1]]=1,IF($X$3=0,Tab.11[b66],Tab.11[[#This Row],[b66]]-AVERAGE(Tab.11[b66])))</f>
        <v>0</v>
      </c>
      <c r="Z681" s="135" t="b">
        <f>IF(Tab.11[[#This Row],[a1]]=1,Tab.11[[#This Row],[b77]]/(_xlfn.STDEV.P(Tab.11[b77])))</f>
        <v>0</v>
      </c>
      <c r="AA681" s="70" t="b">
        <f>IF(Tab.11[[#This Row],[a1]]=1,_xlfn.NORM.DIST(Tab.11[[#This Row],[b88]],$Z$1,$AA$1,FALSE))</f>
        <v>0</v>
      </c>
      <c r="AB681" s="74" t="b">
        <f>IF(Tab.11[[#This Row],[a1]]=1,IF($A$3=0,FALSE,1/Tab.11[[#This Row],[IN]]*$AC$2*IF(Tab.11[[#This Row],[a1]]=0,,$A$3*$AC$1*1/$V$3*(Tab.11[[#This Row],[b14]]))))</f>
        <v>0</v>
      </c>
      <c r="AC681" s="75" t="b">
        <f>IF(Tab.11[[#This Row],[a1]]=1,IF($AC$3=0,Tab.11[[#This Row],[φ1]],Tab.11[[#This Row],[φ1]]/MAX(Tab.11[φ1])))</f>
        <v>0</v>
      </c>
      <c r="AD681" s="74" t="b">
        <f>IF(Tab.11[[#This Row],[a1]]=1,1/Tab.11[[#This Row],[φ2]])</f>
        <v>0</v>
      </c>
      <c r="AE681" s="74" t="b">
        <f>IF(Tab.11[[#This Row],[a1]]=1,IF($AE$3=0,Tab.11[[#This Row],[w.0]],Tab.11[[#This Row],[w.0]]/SUM(Tab.11[w.0])))</f>
        <v>0</v>
      </c>
      <c r="AF681" s="76" t="str">
        <f>IF(Tab.11[[#This Row],[a1]]=0,"false",[3]!Tab.x5[[#This Row],[%_seN_C]])</f>
        <v>false</v>
      </c>
      <c r="AG681" s="77" t="b">
        <f>IF(Tab.11[[#This Row],[a1]]=1,AP681)</f>
        <v>0</v>
      </c>
      <c r="AH681" s="78" t="b">
        <f>IF(Tab.11[[#This Row],[a1]]=1,AQ681)</f>
        <v>0</v>
      </c>
      <c r="AI681" s="41">
        <v>3.0000000000000001E-3</v>
      </c>
      <c r="AJ681" s="79">
        <v>0.06</v>
      </c>
      <c r="AK681" s="80" t="b">
        <f>IF(Tab.11[[#This Row],[a1]]=1,1)</f>
        <v>0</v>
      </c>
      <c r="AL681"/>
      <c r="AM681"/>
      <c r="AN681"/>
      <c r="AO681"/>
      <c r="AP681"/>
      <c r="AQ681"/>
      <c r="AR681"/>
      <c r="AS681"/>
    </row>
    <row r="682" spans="1:45" s="81" customFormat="1" hidden="1" x14ac:dyDescent="0.25">
      <c r="A682" s="61">
        <f t="shared" si="23"/>
        <v>0</v>
      </c>
      <c r="B682" s="62">
        <f t="shared" si="23"/>
        <v>0</v>
      </c>
      <c r="C682" s="62" t="b">
        <f>IF(Tab.11[[#This Row],[a1]]=1,[3]!Tab_x1[[#This Row],[Name]])</f>
        <v>0</v>
      </c>
      <c r="D682" s="63" t="b">
        <f>IF(Tab.11[[#This Row],[a1]]=1,AO682)</f>
        <v>0</v>
      </c>
      <c r="E682" s="63">
        <f t="shared" si="22"/>
        <v>0</v>
      </c>
      <c r="F682" s="64" t="b">
        <f>IF(Tab.11[[#This Row],[a1]]=1,Tab.11[[#This Row],[b1]])</f>
        <v>0</v>
      </c>
      <c r="G682" s="65" t="b">
        <f>IF(Tab.11[[#This Row],[a1]]=1,IF(Tab.11[[#This Row],[b3]]&gt;$L$989*$G$3,$L$989*$G$3,IF(Tab.11[[#This Row],[b3]]&lt;$M$989*$G$3,$M$989*$G$3,Tab.11[[#This Row],[b3]])))</f>
        <v>0</v>
      </c>
      <c r="H682" s="66" t="b">
        <f>IF(Tab.11[[#This Row],[a1]]=1,Tab.11[[#This Row],[b1]])</f>
        <v>0</v>
      </c>
      <c r="I682" s="67" t="b">
        <f>IF(Tab.11[[#This Row],[a1]]=1,Tab.11[[#This Row],[b1]])</f>
        <v>0</v>
      </c>
      <c r="J682" s="68" t="b">
        <f>IF(Tab.11[[#This Row],[a1]]=1,IF($I$3&lt;0,Tab.11[[#This Row],[b5]]-$I$3,Tab.11[[#This Row],[b5]]))</f>
        <v>0</v>
      </c>
      <c r="K682" s="68" t="b">
        <f>IF(Tab.11[[#This Row],[a1]]=1,IF($K$3=0,Tab.11[b6],Tab.11[[#This Row],[b6]]-AVERAGE(Tab.11[b6])))</f>
        <v>0</v>
      </c>
      <c r="L682" s="69" t="b">
        <f>IF(Tab.11[[#This Row],[a1]]=1,Tab.11[[#This Row],[data]]/(_xlfn.STDEV.P(Tab.11[data])*$B$989)+$A$989)</f>
        <v>0</v>
      </c>
      <c r="M682" s="69" t="b">
        <f>IF(Tab.11[[#This Row],[a1]]=1,Tab.11[[#This Row],[data]]/(_xlfn.STDEV.P(Tab.11[data])*$B$987)-$A$987)</f>
        <v>0</v>
      </c>
      <c r="N682" s="69" t="b">
        <f>IF(Tab.11[[#This Row],[a1]]=1,Tab.11[[#This Row],[data]]/(_xlfn.STDEV.P(Tab.11[data])*$B$988)+$A$988)</f>
        <v>0</v>
      </c>
      <c r="O682" s="70" t="b">
        <f>IF(Tab.11[[#This Row],[a1]]=1,_xlfn.NORM.DIST(Tab.11[[#This Row],[b8]],$P$1,$Q$1,FALSE))</f>
        <v>0</v>
      </c>
      <c r="P682" s="70" t="b">
        <f>IF(Tab.11[[#This Row],[a1]]=1,_xlfn.NORM.DIST(Tab.11[[#This Row],[b9]],$P$1,$Q$1,FALSE))</f>
        <v>0</v>
      </c>
      <c r="Q682" s="70" t="b">
        <f>IF(Tab.11[[#This Row],[a1]]=1,_xlfn.NORM.DIST(Tab.11[[#This Row],[b10]],$P$1,$Q$1,FALSE))</f>
        <v>0</v>
      </c>
      <c r="R682" s="67" t="b">
        <f>IF(Tab.11[[#This Row],[a1]]=1,$I$3+$A$989+IF($K$3=0,Tab.11[[#This Row],[b8]]*_xlfn.STDEV.P(Tab.11[data]),AVERAGE(Tab.11[b6])+Tab.11[[#This Row],[b8]]*_xlfn.STDEV.P(Tab.11[data])))</f>
        <v>0</v>
      </c>
      <c r="S682" s="71" t="b">
        <f>IF(Tab.11[[#This Row],[a1]]=1,$I$3+$A$987+IF($K$3=0,Tab.11[[#This Row],[b9]]*_xlfn.STDEV.P(Tab.11[data]),AVERAGE(Tab.11[b6])+Tab.11[[#This Row],[b9]]*_xlfn.STDEV.P(Tab.11[data])))</f>
        <v>0</v>
      </c>
      <c r="T682" s="71" t="b">
        <f>IF(Tab.11[[#This Row],[a1]]=1,$I$3+$A$988+IF($K$3=0,Tab.11[[#This Row],[b10]]*_xlfn.STDEV.P(Tab.11[data]),AVERAGE(Tab.11[b6])+Tab.11[[#This Row],[b10]]*_xlfn.STDEV.P(Tab.11[data])))</f>
        <v>0</v>
      </c>
      <c r="U682" s="72" t="b">
        <f>IF(Tab.11[[#This Row],[a1]]=1,Tab.11[[#This Row],[target]]-Tab.11[[#This Row],[Red]])</f>
        <v>0</v>
      </c>
      <c r="V682" s="72" t="b">
        <f>IF(Tab.11[[#This Row],[a1]]=1,Tab.11[[#This Row],[target]]-Tab.11[[#This Row],[Blue]])</f>
        <v>0</v>
      </c>
      <c r="W682" s="73" t="b">
        <f>IF(Tab.11[[#This Row],[a1]]=1,IF(ABS(Tab.11[[#This Row],[b17]])+ABS(Tab.11[[#This Row],[b18]])&lt;$W$2,$W$2,ABS(Tab.11[[#This Row],[b17]])+ABS(Tab.11[[#This Row],[b18]])))</f>
        <v>0</v>
      </c>
      <c r="X682" s="136" t="b">
        <f>IF(Tab.11[[#This Row],[a1]]=1,IF($W$3&lt;0,Tab.11[[#This Row],[IN]]-$I$3,Tab.11[[#This Row],[IN]]))</f>
        <v>0</v>
      </c>
      <c r="Y682" s="136" t="b">
        <f>IF(Tab.11[[#This Row],[a1]]=1,IF($X$3=0,Tab.11[b66],Tab.11[[#This Row],[b66]]-AVERAGE(Tab.11[b66])))</f>
        <v>0</v>
      </c>
      <c r="Z682" s="135" t="b">
        <f>IF(Tab.11[[#This Row],[a1]]=1,Tab.11[[#This Row],[b77]]/(_xlfn.STDEV.P(Tab.11[b77])))</f>
        <v>0</v>
      </c>
      <c r="AA682" s="70" t="b">
        <f>IF(Tab.11[[#This Row],[a1]]=1,_xlfn.NORM.DIST(Tab.11[[#This Row],[b88]],$Z$1,$AA$1,FALSE))</f>
        <v>0</v>
      </c>
      <c r="AB682" s="74" t="b">
        <f>IF(Tab.11[[#This Row],[a1]]=1,IF($A$3=0,FALSE,1/Tab.11[[#This Row],[IN]]*$AC$2*IF(Tab.11[[#This Row],[a1]]=0,,$A$3*$AC$1*1/$V$3*(Tab.11[[#This Row],[b14]]))))</f>
        <v>0</v>
      </c>
      <c r="AC682" s="75" t="b">
        <f>IF(Tab.11[[#This Row],[a1]]=1,IF($AC$3=0,Tab.11[[#This Row],[φ1]],Tab.11[[#This Row],[φ1]]/MAX(Tab.11[φ1])))</f>
        <v>0</v>
      </c>
      <c r="AD682" s="74" t="b">
        <f>IF(Tab.11[[#This Row],[a1]]=1,1/Tab.11[[#This Row],[φ2]])</f>
        <v>0</v>
      </c>
      <c r="AE682" s="74" t="b">
        <f>IF(Tab.11[[#This Row],[a1]]=1,IF($AE$3=0,Tab.11[[#This Row],[w.0]],Tab.11[[#This Row],[w.0]]/SUM(Tab.11[w.0])))</f>
        <v>0</v>
      </c>
      <c r="AF682" s="76" t="str">
        <f>IF(Tab.11[[#This Row],[a1]]=0,"false",[3]!Tab.x5[[#This Row],[%_seN_C]])</f>
        <v>false</v>
      </c>
      <c r="AG682" s="77" t="b">
        <f>IF(Tab.11[[#This Row],[a1]]=1,AP682)</f>
        <v>0</v>
      </c>
      <c r="AH682" s="78" t="b">
        <f>IF(Tab.11[[#This Row],[a1]]=1,AQ682)</f>
        <v>0</v>
      </c>
      <c r="AI682" s="41">
        <v>3.0000000000000001E-3</v>
      </c>
      <c r="AJ682" s="79">
        <v>-0.05</v>
      </c>
      <c r="AK682" s="80" t="b">
        <f>IF(Tab.11[[#This Row],[a1]]=1,1)</f>
        <v>0</v>
      </c>
      <c r="AL682"/>
      <c r="AM682"/>
      <c r="AN682"/>
      <c r="AO682"/>
      <c r="AP682"/>
      <c r="AQ682"/>
      <c r="AR682"/>
      <c r="AS682"/>
    </row>
    <row r="683" spans="1:45" s="81" customFormat="1" hidden="1" x14ac:dyDescent="0.25">
      <c r="A683" s="61">
        <f t="shared" si="23"/>
        <v>0</v>
      </c>
      <c r="B683" s="62">
        <f t="shared" si="23"/>
        <v>0</v>
      </c>
      <c r="C683" s="62" t="b">
        <f>IF(Tab.11[[#This Row],[a1]]=1,[3]!Tab_x1[[#This Row],[Name]])</f>
        <v>0</v>
      </c>
      <c r="D683" s="63" t="b">
        <f>IF(Tab.11[[#This Row],[a1]]=1,AO683)</f>
        <v>0</v>
      </c>
      <c r="E683" s="63">
        <f t="shared" si="22"/>
        <v>0</v>
      </c>
      <c r="F683" s="64" t="b">
        <f>IF(Tab.11[[#This Row],[a1]]=1,Tab.11[[#This Row],[b1]])</f>
        <v>0</v>
      </c>
      <c r="G683" s="65" t="b">
        <f>IF(Tab.11[[#This Row],[a1]]=1,IF(Tab.11[[#This Row],[b3]]&gt;$L$989*$G$3,$L$989*$G$3,IF(Tab.11[[#This Row],[b3]]&lt;$M$989*$G$3,$M$989*$G$3,Tab.11[[#This Row],[b3]])))</f>
        <v>0</v>
      </c>
      <c r="H683" s="66" t="b">
        <f>IF(Tab.11[[#This Row],[a1]]=1,Tab.11[[#This Row],[b1]])</f>
        <v>0</v>
      </c>
      <c r="I683" s="67" t="b">
        <f>IF(Tab.11[[#This Row],[a1]]=1,Tab.11[[#This Row],[b1]])</f>
        <v>0</v>
      </c>
      <c r="J683" s="68" t="b">
        <f>IF(Tab.11[[#This Row],[a1]]=1,IF($I$3&lt;0,Tab.11[[#This Row],[b5]]-$I$3,Tab.11[[#This Row],[b5]]))</f>
        <v>0</v>
      </c>
      <c r="K683" s="68" t="b">
        <f>IF(Tab.11[[#This Row],[a1]]=1,IF($K$3=0,Tab.11[b6],Tab.11[[#This Row],[b6]]-AVERAGE(Tab.11[b6])))</f>
        <v>0</v>
      </c>
      <c r="L683" s="69" t="b">
        <f>IF(Tab.11[[#This Row],[a1]]=1,Tab.11[[#This Row],[data]]/(_xlfn.STDEV.P(Tab.11[data])*$B$989)+$A$989)</f>
        <v>0</v>
      </c>
      <c r="M683" s="69" t="b">
        <f>IF(Tab.11[[#This Row],[a1]]=1,Tab.11[[#This Row],[data]]/(_xlfn.STDEV.P(Tab.11[data])*$B$987)-$A$987)</f>
        <v>0</v>
      </c>
      <c r="N683" s="69" t="b">
        <f>IF(Tab.11[[#This Row],[a1]]=1,Tab.11[[#This Row],[data]]/(_xlfn.STDEV.P(Tab.11[data])*$B$988)+$A$988)</f>
        <v>0</v>
      </c>
      <c r="O683" s="70" t="b">
        <f>IF(Tab.11[[#This Row],[a1]]=1,_xlfn.NORM.DIST(Tab.11[[#This Row],[b8]],$P$1,$Q$1,FALSE))</f>
        <v>0</v>
      </c>
      <c r="P683" s="70" t="b">
        <f>IF(Tab.11[[#This Row],[a1]]=1,_xlfn.NORM.DIST(Tab.11[[#This Row],[b9]],$P$1,$Q$1,FALSE))</f>
        <v>0</v>
      </c>
      <c r="Q683" s="70" t="b">
        <f>IF(Tab.11[[#This Row],[a1]]=1,_xlfn.NORM.DIST(Tab.11[[#This Row],[b10]],$P$1,$Q$1,FALSE))</f>
        <v>0</v>
      </c>
      <c r="R683" s="67" t="b">
        <f>IF(Tab.11[[#This Row],[a1]]=1,$I$3+$A$989+IF($K$3=0,Tab.11[[#This Row],[b8]]*_xlfn.STDEV.P(Tab.11[data]),AVERAGE(Tab.11[b6])+Tab.11[[#This Row],[b8]]*_xlfn.STDEV.P(Tab.11[data])))</f>
        <v>0</v>
      </c>
      <c r="S683" s="71" t="b">
        <f>IF(Tab.11[[#This Row],[a1]]=1,$I$3+$A$987+IF($K$3=0,Tab.11[[#This Row],[b9]]*_xlfn.STDEV.P(Tab.11[data]),AVERAGE(Tab.11[b6])+Tab.11[[#This Row],[b9]]*_xlfn.STDEV.P(Tab.11[data])))</f>
        <v>0</v>
      </c>
      <c r="T683" s="71" t="b">
        <f>IF(Tab.11[[#This Row],[a1]]=1,$I$3+$A$988+IF($K$3=0,Tab.11[[#This Row],[b10]]*_xlfn.STDEV.P(Tab.11[data]),AVERAGE(Tab.11[b6])+Tab.11[[#This Row],[b10]]*_xlfn.STDEV.P(Tab.11[data])))</f>
        <v>0</v>
      </c>
      <c r="U683" s="72" t="b">
        <f>IF(Tab.11[[#This Row],[a1]]=1,Tab.11[[#This Row],[target]]-Tab.11[[#This Row],[Red]])</f>
        <v>0</v>
      </c>
      <c r="V683" s="72" t="b">
        <f>IF(Tab.11[[#This Row],[a1]]=1,Tab.11[[#This Row],[target]]-Tab.11[[#This Row],[Blue]])</f>
        <v>0</v>
      </c>
      <c r="W683" s="73" t="b">
        <f>IF(Tab.11[[#This Row],[a1]]=1,IF(ABS(Tab.11[[#This Row],[b17]])+ABS(Tab.11[[#This Row],[b18]])&lt;$W$2,$W$2,ABS(Tab.11[[#This Row],[b17]])+ABS(Tab.11[[#This Row],[b18]])))</f>
        <v>0</v>
      </c>
      <c r="X683" s="136" t="b">
        <f>IF(Tab.11[[#This Row],[a1]]=1,IF($W$3&lt;0,Tab.11[[#This Row],[IN]]-$I$3,Tab.11[[#This Row],[IN]]))</f>
        <v>0</v>
      </c>
      <c r="Y683" s="136" t="b">
        <f>IF(Tab.11[[#This Row],[a1]]=1,IF($X$3=0,Tab.11[b66],Tab.11[[#This Row],[b66]]-AVERAGE(Tab.11[b66])))</f>
        <v>0</v>
      </c>
      <c r="Z683" s="135" t="b">
        <f>IF(Tab.11[[#This Row],[a1]]=1,Tab.11[[#This Row],[b77]]/(_xlfn.STDEV.P(Tab.11[b77])))</f>
        <v>0</v>
      </c>
      <c r="AA683" s="70" t="b">
        <f>IF(Tab.11[[#This Row],[a1]]=1,_xlfn.NORM.DIST(Tab.11[[#This Row],[b88]],$Z$1,$AA$1,FALSE))</f>
        <v>0</v>
      </c>
      <c r="AB683" s="74" t="b">
        <f>IF(Tab.11[[#This Row],[a1]]=1,IF($A$3=0,FALSE,1/Tab.11[[#This Row],[IN]]*$AC$2*IF(Tab.11[[#This Row],[a1]]=0,,$A$3*$AC$1*1/$V$3*(Tab.11[[#This Row],[b14]]))))</f>
        <v>0</v>
      </c>
      <c r="AC683" s="75" t="b">
        <f>IF(Tab.11[[#This Row],[a1]]=1,IF($AC$3=0,Tab.11[[#This Row],[φ1]],Tab.11[[#This Row],[φ1]]/MAX(Tab.11[φ1])))</f>
        <v>0</v>
      </c>
      <c r="AD683" s="74" t="b">
        <f>IF(Tab.11[[#This Row],[a1]]=1,1/Tab.11[[#This Row],[φ2]])</f>
        <v>0</v>
      </c>
      <c r="AE683" s="74" t="b">
        <f>IF(Tab.11[[#This Row],[a1]]=1,IF($AE$3=0,Tab.11[[#This Row],[w.0]],Tab.11[[#This Row],[w.0]]/SUM(Tab.11[w.0])))</f>
        <v>0</v>
      </c>
      <c r="AF683" s="76" t="str">
        <f>IF(Tab.11[[#This Row],[a1]]=0,"false",[3]!Tab.x5[[#This Row],[%_seN_C]])</f>
        <v>false</v>
      </c>
      <c r="AG683" s="77" t="b">
        <f>IF(Tab.11[[#This Row],[a1]]=1,AP683)</f>
        <v>0</v>
      </c>
      <c r="AH683" s="78" t="b">
        <f>IF(Tab.11[[#This Row],[a1]]=1,AQ683)</f>
        <v>0</v>
      </c>
      <c r="AI683" s="41">
        <v>3.0000000000000001E-3</v>
      </c>
      <c r="AJ683" s="79">
        <v>-7.0000000000000007E-2</v>
      </c>
      <c r="AK683" s="80" t="b">
        <f>IF(Tab.11[[#This Row],[a1]]=1,1)</f>
        <v>0</v>
      </c>
      <c r="AL683"/>
      <c r="AM683"/>
      <c r="AN683"/>
      <c r="AO683"/>
      <c r="AP683"/>
      <c r="AQ683"/>
      <c r="AR683"/>
      <c r="AS683"/>
    </row>
    <row r="684" spans="1:45" s="81" customFormat="1" hidden="1" x14ac:dyDescent="0.25">
      <c r="A684" s="61">
        <f t="shared" si="23"/>
        <v>0</v>
      </c>
      <c r="B684" s="62">
        <f t="shared" si="23"/>
        <v>0</v>
      </c>
      <c r="C684" s="62" t="b">
        <f>IF(Tab.11[[#This Row],[a1]]=1,[3]!Tab_x1[[#This Row],[Name]])</f>
        <v>0</v>
      </c>
      <c r="D684" s="63" t="b">
        <f>IF(Tab.11[[#This Row],[a1]]=1,AO684)</f>
        <v>0</v>
      </c>
      <c r="E684" s="63">
        <f t="shared" si="22"/>
        <v>0</v>
      </c>
      <c r="F684" s="64" t="b">
        <f>IF(Tab.11[[#This Row],[a1]]=1,Tab.11[[#This Row],[b1]])</f>
        <v>0</v>
      </c>
      <c r="G684" s="65" t="b">
        <f>IF(Tab.11[[#This Row],[a1]]=1,IF(Tab.11[[#This Row],[b3]]&gt;$L$989*$G$3,$L$989*$G$3,IF(Tab.11[[#This Row],[b3]]&lt;$M$989*$G$3,$M$989*$G$3,Tab.11[[#This Row],[b3]])))</f>
        <v>0</v>
      </c>
      <c r="H684" s="66" t="b">
        <f>IF(Tab.11[[#This Row],[a1]]=1,Tab.11[[#This Row],[b1]])</f>
        <v>0</v>
      </c>
      <c r="I684" s="67" t="b">
        <f>IF(Tab.11[[#This Row],[a1]]=1,Tab.11[[#This Row],[b1]])</f>
        <v>0</v>
      </c>
      <c r="J684" s="68" t="b">
        <f>IF(Tab.11[[#This Row],[a1]]=1,IF($I$3&lt;0,Tab.11[[#This Row],[b5]]-$I$3,Tab.11[[#This Row],[b5]]))</f>
        <v>0</v>
      </c>
      <c r="K684" s="68" t="b">
        <f>IF(Tab.11[[#This Row],[a1]]=1,IF($K$3=0,Tab.11[b6],Tab.11[[#This Row],[b6]]-AVERAGE(Tab.11[b6])))</f>
        <v>0</v>
      </c>
      <c r="L684" s="69" t="b">
        <f>IF(Tab.11[[#This Row],[a1]]=1,Tab.11[[#This Row],[data]]/(_xlfn.STDEV.P(Tab.11[data])*$B$989)+$A$989)</f>
        <v>0</v>
      </c>
      <c r="M684" s="69" t="b">
        <f>IF(Tab.11[[#This Row],[a1]]=1,Tab.11[[#This Row],[data]]/(_xlfn.STDEV.P(Tab.11[data])*$B$987)-$A$987)</f>
        <v>0</v>
      </c>
      <c r="N684" s="69" t="b">
        <f>IF(Tab.11[[#This Row],[a1]]=1,Tab.11[[#This Row],[data]]/(_xlfn.STDEV.P(Tab.11[data])*$B$988)+$A$988)</f>
        <v>0</v>
      </c>
      <c r="O684" s="70" t="b">
        <f>IF(Tab.11[[#This Row],[a1]]=1,_xlfn.NORM.DIST(Tab.11[[#This Row],[b8]],$P$1,$Q$1,FALSE))</f>
        <v>0</v>
      </c>
      <c r="P684" s="70" t="b">
        <f>IF(Tab.11[[#This Row],[a1]]=1,_xlfn.NORM.DIST(Tab.11[[#This Row],[b9]],$P$1,$Q$1,FALSE))</f>
        <v>0</v>
      </c>
      <c r="Q684" s="70" t="b">
        <f>IF(Tab.11[[#This Row],[a1]]=1,_xlfn.NORM.DIST(Tab.11[[#This Row],[b10]],$P$1,$Q$1,FALSE))</f>
        <v>0</v>
      </c>
      <c r="R684" s="67" t="b">
        <f>IF(Tab.11[[#This Row],[a1]]=1,$I$3+$A$989+IF($K$3=0,Tab.11[[#This Row],[b8]]*_xlfn.STDEV.P(Tab.11[data]),AVERAGE(Tab.11[b6])+Tab.11[[#This Row],[b8]]*_xlfn.STDEV.P(Tab.11[data])))</f>
        <v>0</v>
      </c>
      <c r="S684" s="71" t="b">
        <f>IF(Tab.11[[#This Row],[a1]]=1,$I$3+$A$987+IF($K$3=0,Tab.11[[#This Row],[b9]]*_xlfn.STDEV.P(Tab.11[data]),AVERAGE(Tab.11[b6])+Tab.11[[#This Row],[b9]]*_xlfn.STDEV.P(Tab.11[data])))</f>
        <v>0</v>
      </c>
      <c r="T684" s="71" t="b">
        <f>IF(Tab.11[[#This Row],[a1]]=1,$I$3+$A$988+IF($K$3=0,Tab.11[[#This Row],[b10]]*_xlfn.STDEV.P(Tab.11[data]),AVERAGE(Tab.11[b6])+Tab.11[[#This Row],[b10]]*_xlfn.STDEV.P(Tab.11[data])))</f>
        <v>0</v>
      </c>
      <c r="U684" s="72" t="b">
        <f>IF(Tab.11[[#This Row],[a1]]=1,Tab.11[[#This Row],[target]]-Tab.11[[#This Row],[Red]])</f>
        <v>0</v>
      </c>
      <c r="V684" s="72" t="b">
        <f>IF(Tab.11[[#This Row],[a1]]=1,Tab.11[[#This Row],[target]]-Tab.11[[#This Row],[Blue]])</f>
        <v>0</v>
      </c>
      <c r="W684" s="73" t="b">
        <f>IF(Tab.11[[#This Row],[a1]]=1,IF(ABS(Tab.11[[#This Row],[b17]])+ABS(Tab.11[[#This Row],[b18]])&lt;$W$2,$W$2,ABS(Tab.11[[#This Row],[b17]])+ABS(Tab.11[[#This Row],[b18]])))</f>
        <v>0</v>
      </c>
      <c r="X684" s="136" t="b">
        <f>IF(Tab.11[[#This Row],[a1]]=1,IF($W$3&lt;0,Tab.11[[#This Row],[IN]]-$I$3,Tab.11[[#This Row],[IN]]))</f>
        <v>0</v>
      </c>
      <c r="Y684" s="136" t="b">
        <f>IF(Tab.11[[#This Row],[a1]]=1,IF($X$3=0,Tab.11[b66],Tab.11[[#This Row],[b66]]-AVERAGE(Tab.11[b66])))</f>
        <v>0</v>
      </c>
      <c r="Z684" s="135" t="b">
        <f>IF(Tab.11[[#This Row],[a1]]=1,Tab.11[[#This Row],[b77]]/(_xlfn.STDEV.P(Tab.11[b77])))</f>
        <v>0</v>
      </c>
      <c r="AA684" s="70" t="b">
        <f>IF(Tab.11[[#This Row],[a1]]=1,_xlfn.NORM.DIST(Tab.11[[#This Row],[b88]],$Z$1,$AA$1,FALSE))</f>
        <v>0</v>
      </c>
      <c r="AB684" s="74" t="b">
        <f>IF(Tab.11[[#This Row],[a1]]=1,IF($A$3=0,FALSE,1/Tab.11[[#This Row],[IN]]*$AC$2*IF(Tab.11[[#This Row],[a1]]=0,,$A$3*$AC$1*1/$V$3*(Tab.11[[#This Row],[b14]]))))</f>
        <v>0</v>
      </c>
      <c r="AC684" s="75" t="b">
        <f>IF(Tab.11[[#This Row],[a1]]=1,IF($AC$3=0,Tab.11[[#This Row],[φ1]],Tab.11[[#This Row],[φ1]]/MAX(Tab.11[φ1])))</f>
        <v>0</v>
      </c>
      <c r="AD684" s="74" t="b">
        <f>IF(Tab.11[[#This Row],[a1]]=1,1/Tab.11[[#This Row],[φ2]])</f>
        <v>0</v>
      </c>
      <c r="AE684" s="74" t="b">
        <f>IF(Tab.11[[#This Row],[a1]]=1,IF($AE$3=0,Tab.11[[#This Row],[w.0]],Tab.11[[#This Row],[w.0]]/SUM(Tab.11[w.0])))</f>
        <v>0</v>
      </c>
      <c r="AF684" s="76" t="str">
        <f>IF(Tab.11[[#This Row],[a1]]=0,"false",[3]!Tab.x5[[#This Row],[%_seN_C]])</f>
        <v>false</v>
      </c>
      <c r="AG684" s="77" t="b">
        <f>IF(Tab.11[[#This Row],[a1]]=1,AP684)</f>
        <v>0</v>
      </c>
      <c r="AH684" s="78" t="b">
        <f>IF(Tab.11[[#This Row],[a1]]=1,AQ684)</f>
        <v>0</v>
      </c>
      <c r="AI684" s="41">
        <v>3.0000000000000001E-3</v>
      </c>
      <c r="AJ684" s="79">
        <v>0.02</v>
      </c>
      <c r="AK684" s="80" t="b">
        <f>IF(Tab.11[[#This Row],[a1]]=1,1)</f>
        <v>0</v>
      </c>
      <c r="AL684"/>
      <c r="AM684"/>
      <c r="AN684"/>
      <c r="AO684"/>
      <c r="AP684"/>
      <c r="AQ684"/>
      <c r="AR684"/>
      <c r="AS684"/>
    </row>
    <row r="685" spans="1:45" s="81" customFormat="1" hidden="1" x14ac:dyDescent="0.25">
      <c r="A685" s="61">
        <f t="shared" si="23"/>
        <v>0</v>
      </c>
      <c r="B685" s="62">
        <f t="shared" si="23"/>
        <v>0</v>
      </c>
      <c r="C685" s="62" t="b">
        <f>IF(Tab.11[[#This Row],[a1]]=1,[3]!Tab_x1[[#This Row],[Name]])</f>
        <v>0</v>
      </c>
      <c r="D685" s="63" t="b">
        <f>IF(Tab.11[[#This Row],[a1]]=1,AO685)</f>
        <v>0</v>
      </c>
      <c r="E685" s="63">
        <f t="shared" si="22"/>
        <v>0</v>
      </c>
      <c r="F685" s="64" t="b">
        <f>IF(Tab.11[[#This Row],[a1]]=1,Tab.11[[#This Row],[b1]])</f>
        <v>0</v>
      </c>
      <c r="G685" s="65" t="b">
        <f>IF(Tab.11[[#This Row],[a1]]=1,IF(Tab.11[[#This Row],[b3]]&gt;$L$989*$G$3,$L$989*$G$3,IF(Tab.11[[#This Row],[b3]]&lt;$M$989*$G$3,$M$989*$G$3,Tab.11[[#This Row],[b3]])))</f>
        <v>0</v>
      </c>
      <c r="H685" s="66" t="b">
        <f>IF(Tab.11[[#This Row],[a1]]=1,Tab.11[[#This Row],[b1]])</f>
        <v>0</v>
      </c>
      <c r="I685" s="67" t="b">
        <f>IF(Tab.11[[#This Row],[a1]]=1,Tab.11[[#This Row],[b1]])</f>
        <v>0</v>
      </c>
      <c r="J685" s="68" t="b">
        <f>IF(Tab.11[[#This Row],[a1]]=1,IF($I$3&lt;0,Tab.11[[#This Row],[b5]]-$I$3,Tab.11[[#This Row],[b5]]))</f>
        <v>0</v>
      </c>
      <c r="K685" s="68" t="b">
        <f>IF(Tab.11[[#This Row],[a1]]=1,IF($K$3=0,Tab.11[b6],Tab.11[[#This Row],[b6]]-AVERAGE(Tab.11[b6])))</f>
        <v>0</v>
      </c>
      <c r="L685" s="69" t="b">
        <f>IF(Tab.11[[#This Row],[a1]]=1,Tab.11[[#This Row],[data]]/(_xlfn.STDEV.P(Tab.11[data])*$B$989)+$A$989)</f>
        <v>0</v>
      </c>
      <c r="M685" s="69" t="b">
        <f>IF(Tab.11[[#This Row],[a1]]=1,Tab.11[[#This Row],[data]]/(_xlfn.STDEV.P(Tab.11[data])*$B$987)-$A$987)</f>
        <v>0</v>
      </c>
      <c r="N685" s="69" t="b">
        <f>IF(Tab.11[[#This Row],[a1]]=1,Tab.11[[#This Row],[data]]/(_xlfn.STDEV.P(Tab.11[data])*$B$988)+$A$988)</f>
        <v>0</v>
      </c>
      <c r="O685" s="70" t="b">
        <f>IF(Tab.11[[#This Row],[a1]]=1,_xlfn.NORM.DIST(Tab.11[[#This Row],[b8]],$P$1,$Q$1,FALSE))</f>
        <v>0</v>
      </c>
      <c r="P685" s="70" t="b">
        <f>IF(Tab.11[[#This Row],[a1]]=1,_xlfn.NORM.DIST(Tab.11[[#This Row],[b9]],$P$1,$Q$1,FALSE))</f>
        <v>0</v>
      </c>
      <c r="Q685" s="70" t="b">
        <f>IF(Tab.11[[#This Row],[a1]]=1,_xlfn.NORM.DIST(Tab.11[[#This Row],[b10]],$P$1,$Q$1,FALSE))</f>
        <v>0</v>
      </c>
      <c r="R685" s="67" t="b">
        <f>IF(Tab.11[[#This Row],[a1]]=1,$I$3+$A$989+IF($K$3=0,Tab.11[[#This Row],[b8]]*_xlfn.STDEV.P(Tab.11[data]),AVERAGE(Tab.11[b6])+Tab.11[[#This Row],[b8]]*_xlfn.STDEV.P(Tab.11[data])))</f>
        <v>0</v>
      </c>
      <c r="S685" s="71" t="b">
        <f>IF(Tab.11[[#This Row],[a1]]=1,$I$3+$A$987+IF($K$3=0,Tab.11[[#This Row],[b9]]*_xlfn.STDEV.P(Tab.11[data]),AVERAGE(Tab.11[b6])+Tab.11[[#This Row],[b9]]*_xlfn.STDEV.P(Tab.11[data])))</f>
        <v>0</v>
      </c>
      <c r="T685" s="71" t="b">
        <f>IF(Tab.11[[#This Row],[a1]]=1,$I$3+$A$988+IF($K$3=0,Tab.11[[#This Row],[b10]]*_xlfn.STDEV.P(Tab.11[data]),AVERAGE(Tab.11[b6])+Tab.11[[#This Row],[b10]]*_xlfn.STDEV.P(Tab.11[data])))</f>
        <v>0</v>
      </c>
      <c r="U685" s="72" t="b">
        <f>IF(Tab.11[[#This Row],[a1]]=1,Tab.11[[#This Row],[target]]-Tab.11[[#This Row],[Red]])</f>
        <v>0</v>
      </c>
      <c r="V685" s="72" t="b">
        <f>IF(Tab.11[[#This Row],[a1]]=1,Tab.11[[#This Row],[target]]-Tab.11[[#This Row],[Blue]])</f>
        <v>0</v>
      </c>
      <c r="W685" s="73" t="b">
        <f>IF(Tab.11[[#This Row],[a1]]=1,IF(ABS(Tab.11[[#This Row],[b17]])+ABS(Tab.11[[#This Row],[b18]])&lt;$W$2,$W$2,ABS(Tab.11[[#This Row],[b17]])+ABS(Tab.11[[#This Row],[b18]])))</f>
        <v>0</v>
      </c>
      <c r="X685" s="136" t="b">
        <f>IF(Tab.11[[#This Row],[a1]]=1,IF($W$3&lt;0,Tab.11[[#This Row],[IN]]-$I$3,Tab.11[[#This Row],[IN]]))</f>
        <v>0</v>
      </c>
      <c r="Y685" s="136" t="b">
        <f>IF(Tab.11[[#This Row],[a1]]=1,IF($X$3=0,Tab.11[b66],Tab.11[[#This Row],[b66]]-AVERAGE(Tab.11[b66])))</f>
        <v>0</v>
      </c>
      <c r="Z685" s="135" t="b">
        <f>IF(Tab.11[[#This Row],[a1]]=1,Tab.11[[#This Row],[b77]]/(_xlfn.STDEV.P(Tab.11[b77])))</f>
        <v>0</v>
      </c>
      <c r="AA685" s="70" t="b">
        <f>IF(Tab.11[[#This Row],[a1]]=1,_xlfn.NORM.DIST(Tab.11[[#This Row],[b88]],$Z$1,$AA$1,FALSE))</f>
        <v>0</v>
      </c>
      <c r="AB685" s="74" t="b">
        <f>IF(Tab.11[[#This Row],[a1]]=1,IF($A$3=0,FALSE,1/Tab.11[[#This Row],[IN]]*$AC$2*IF(Tab.11[[#This Row],[a1]]=0,,$A$3*$AC$1*1/$V$3*(Tab.11[[#This Row],[b14]]))))</f>
        <v>0</v>
      </c>
      <c r="AC685" s="75" t="b">
        <f>IF(Tab.11[[#This Row],[a1]]=1,IF($AC$3=0,Tab.11[[#This Row],[φ1]],Tab.11[[#This Row],[φ1]]/MAX(Tab.11[φ1])))</f>
        <v>0</v>
      </c>
      <c r="AD685" s="74" t="b">
        <f>IF(Tab.11[[#This Row],[a1]]=1,1/Tab.11[[#This Row],[φ2]])</f>
        <v>0</v>
      </c>
      <c r="AE685" s="74" t="b">
        <f>IF(Tab.11[[#This Row],[a1]]=1,IF($AE$3=0,Tab.11[[#This Row],[w.0]],Tab.11[[#This Row],[w.0]]/SUM(Tab.11[w.0])))</f>
        <v>0</v>
      </c>
      <c r="AF685" s="76" t="str">
        <f>IF(Tab.11[[#This Row],[a1]]=0,"false",[3]!Tab.x5[[#This Row],[%_seN_C]])</f>
        <v>false</v>
      </c>
      <c r="AG685" s="77" t="b">
        <f>IF(Tab.11[[#This Row],[a1]]=1,AP685)</f>
        <v>0</v>
      </c>
      <c r="AH685" s="78" t="b">
        <f>IF(Tab.11[[#This Row],[a1]]=1,AQ685)</f>
        <v>0</v>
      </c>
      <c r="AI685" s="41">
        <v>3.0000000000000001E-3</v>
      </c>
      <c r="AJ685" s="79">
        <v>0.08</v>
      </c>
      <c r="AK685" s="80" t="b">
        <f>IF(Tab.11[[#This Row],[a1]]=1,1)</f>
        <v>0</v>
      </c>
      <c r="AL685"/>
      <c r="AM685"/>
      <c r="AN685"/>
      <c r="AO685"/>
      <c r="AP685"/>
      <c r="AQ685"/>
      <c r="AR685"/>
      <c r="AS685"/>
    </row>
    <row r="686" spans="1:45" s="81" customFormat="1" hidden="1" x14ac:dyDescent="0.25">
      <c r="A686" s="61">
        <f t="shared" si="23"/>
        <v>0</v>
      </c>
      <c r="B686" s="62">
        <f t="shared" si="23"/>
        <v>0</v>
      </c>
      <c r="C686" s="62" t="b">
        <f>IF(Tab.11[[#This Row],[a1]]=1,[3]!Tab_x1[[#This Row],[Name]])</f>
        <v>0</v>
      </c>
      <c r="D686" s="63" t="b">
        <f>IF(Tab.11[[#This Row],[a1]]=1,AO686)</f>
        <v>0</v>
      </c>
      <c r="E686" s="63">
        <f t="shared" si="22"/>
        <v>0</v>
      </c>
      <c r="F686" s="64" t="b">
        <f>IF(Tab.11[[#This Row],[a1]]=1,Tab.11[[#This Row],[b1]])</f>
        <v>0</v>
      </c>
      <c r="G686" s="65" t="b">
        <f>IF(Tab.11[[#This Row],[a1]]=1,IF(Tab.11[[#This Row],[b3]]&gt;$L$989*$G$3,$L$989*$G$3,IF(Tab.11[[#This Row],[b3]]&lt;$M$989*$G$3,$M$989*$G$3,Tab.11[[#This Row],[b3]])))</f>
        <v>0</v>
      </c>
      <c r="H686" s="66" t="b">
        <f>IF(Tab.11[[#This Row],[a1]]=1,Tab.11[[#This Row],[b1]])</f>
        <v>0</v>
      </c>
      <c r="I686" s="67" t="b">
        <f>IF(Tab.11[[#This Row],[a1]]=1,Tab.11[[#This Row],[b1]])</f>
        <v>0</v>
      </c>
      <c r="J686" s="68" t="b">
        <f>IF(Tab.11[[#This Row],[a1]]=1,IF($I$3&lt;0,Tab.11[[#This Row],[b5]]-$I$3,Tab.11[[#This Row],[b5]]))</f>
        <v>0</v>
      </c>
      <c r="K686" s="68" t="b">
        <f>IF(Tab.11[[#This Row],[a1]]=1,IF($K$3=0,Tab.11[b6],Tab.11[[#This Row],[b6]]-AVERAGE(Tab.11[b6])))</f>
        <v>0</v>
      </c>
      <c r="L686" s="69" t="b">
        <f>IF(Tab.11[[#This Row],[a1]]=1,Tab.11[[#This Row],[data]]/(_xlfn.STDEV.P(Tab.11[data])*$B$989)+$A$989)</f>
        <v>0</v>
      </c>
      <c r="M686" s="69" t="b">
        <f>IF(Tab.11[[#This Row],[a1]]=1,Tab.11[[#This Row],[data]]/(_xlfn.STDEV.P(Tab.11[data])*$B$987)-$A$987)</f>
        <v>0</v>
      </c>
      <c r="N686" s="69" t="b">
        <f>IF(Tab.11[[#This Row],[a1]]=1,Tab.11[[#This Row],[data]]/(_xlfn.STDEV.P(Tab.11[data])*$B$988)+$A$988)</f>
        <v>0</v>
      </c>
      <c r="O686" s="70" t="b">
        <f>IF(Tab.11[[#This Row],[a1]]=1,_xlfn.NORM.DIST(Tab.11[[#This Row],[b8]],$P$1,$Q$1,FALSE))</f>
        <v>0</v>
      </c>
      <c r="P686" s="70" t="b">
        <f>IF(Tab.11[[#This Row],[a1]]=1,_xlfn.NORM.DIST(Tab.11[[#This Row],[b9]],$P$1,$Q$1,FALSE))</f>
        <v>0</v>
      </c>
      <c r="Q686" s="70" t="b">
        <f>IF(Tab.11[[#This Row],[a1]]=1,_xlfn.NORM.DIST(Tab.11[[#This Row],[b10]],$P$1,$Q$1,FALSE))</f>
        <v>0</v>
      </c>
      <c r="R686" s="67" t="b">
        <f>IF(Tab.11[[#This Row],[a1]]=1,$I$3+$A$989+IF($K$3=0,Tab.11[[#This Row],[b8]]*_xlfn.STDEV.P(Tab.11[data]),AVERAGE(Tab.11[b6])+Tab.11[[#This Row],[b8]]*_xlfn.STDEV.P(Tab.11[data])))</f>
        <v>0</v>
      </c>
      <c r="S686" s="71" t="b">
        <f>IF(Tab.11[[#This Row],[a1]]=1,$I$3+$A$987+IF($K$3=0,Tab.11[[#This Row],[b9]]*_xlfn.STDEV.P(Tab.11[data]),AVERAGE(Tab.11[b6])+Tab.11[[#This Row],[b9]]*_xlfn.STDEV.P(Tab.11[data])))</f>
        <v>0</v>
      </c>
      <c r="T686" s="71" t="b">
        <f>IF(Tab.11[[#This Row],[a1]]=1,$I$3+$A$988+IF($K$3=0,Tab.11[[#This Row],[b10]]*_xlfn.STDEV.P(Tab.11[data]),AVERAGE(Tab.11[b6])+Tab.11[[#This Row],[b10]]*_xlfn.STDEV.P(Tab.11[data])))</f>
        <v>0</v>
      </c>
      <c r="U686" s="72" t="b">
        <f>IF(Tab.11[[#This Row],[a1]]=1,Tab.11[[#This Row],[target]]-Tab.11[[#This Row],[Red]])</f>
        <v>0</v>
      </c>
      <c r="V686" s="72" t="b">
        <f>IF(Tab.11[[#This Row],[a1]]=1,Tab.11[[#This Row],[target]]-Tab.11[[#This Row],[Blue]])</f>
        <v>0</v>
      </c>
      <c r="W686" s="73" t="b">
        <f>IF(Tab.11[[#This Row],[a1]]=1,IF(ABS(Tab.11[[#This Row],[b17]])+ABS(Tab.11[[#This Row],[b18]])&lt;$W$2,$W$2,ABS(Tab.11[[#This Row],[b17]])+ABS(Tab.11[[#This Row],[b18]])))</f>
        <v>0</v>
      </c>
      <c r="X686" s="136" t="b">
        <f>IF(Tab.11[[#This Row],[a1]]=1,IF($W$3&lt;0,Tab.11[[#This Row],[IN]]-$I$3,Tab.11[[#This Row],[IN]]))</f>
        <v>0</v>
      </c>
      <c r="Y686" s="136" t="b">
        <f>IF(Tab.11[[#This Row],[a1]]=1,IF($X$3=0,Tab.11[b66],Tab.11[[#This Row],[b66]]-AVERAGE(Tab.11[b66])))</f>
        <v>0</v>
      </c>
      <c r="Z686" s="135" t="b">
        <f>IF(Tab.11[[#This Row],[a1]]=1,Tab.11[[#This Row],[b77]]/(_xlfn.STDEV.P(Tab.11[b77])))</f>
        <v>0</v>
      </c>
      <c r="AA686" s="70" t="b">
        <f>IF(Tab.11[[#This Row],[a1]]=1,_xlfn.NORM.DIST(Tab.11[[#This Row],[b88]],$Z$1,$AA$1,FALSE))</f>
        <v>0</v>
      </c>
      <c r="AB686" s="74" t="b">
        <f>IF(Tab.11[[#This Row],[a1]]=1,IF($A$3=0,FALSE,1/Tab.11[[#This Row],[IN]]*$AC$2*IF(Tab.11[[#This Row],[a1]]=0,,$A$3*$AC$1*1/$V$3*(Tab.11[[#This Row],[b14]]))))</f>
        <v>0</v>
      </c>
      <c r="AC686" s="75" t="b">
        <f>IF(Tab.11[[#This Row],[a1]]=1,IF($AC$3=0,Tab.11[[#This Row],[φ1]],Tab.11[[#This Row],[φ1]]/MAX(Tab.11[φ1])))</f>
        <v>0</v>
      </c>
      <c r="AD686" s="74" t="b">
        <f>IF(Tab.11[[#This Row],[a1]]=1,1/Tab.11[[#This Row],[φ2]])</f>
        <v>0</v>
      </c>
      <c r="AE686" s="74" t="b">
        <f>IF(Tab.11[[#This Row],[a1]]=1,IF($AE$3=0,Tab.11[[#This Row],[w.0]],Tab.11[[#This Row],[w.0]]/SUM(Tab.11[w.0])))</f>
        <v>0</v>
      </c>
      <c r="AF686" s="76" t="str">
        <f>IF(Tab.11[[#This Row],[a1]]=0,"false",[3]!Tab.x5[[#This Row],[%_seN_C]])</f>
        <v>false</v>
      </c>
      <c r="AG686" s="77" t="b">
        <f>IF(Tab.11[[#This Row],[a1]]=1,AP686)</f>
        <v>0</v>
      </c>
      <c r="AH686" s="78" t="b">
        <f>IF(Tab.11[[#This Row],[a1]]=1,AQ686)</f>
        <v>0</v>
      </c>
      <c r="AI686" s="41">
        <v>3.0000000000000001E-3</v>
      </c>
      <c r="AJ686" s="79">
        <v>-0.09</v>
      </c>
      <c r="AK686" s="80" t="b">
        <f>IF(Tab.11[[#This Row],[a1]]=1,1)</f>
        <v>0</v>
      </c>
      <c r="AL686"/>
      <c r="AM686"/>
      <c r="AN686"/>
      <c r="AO686"/>
      <c r="AP686"/>
      <c r="AQ686"/>
      <c r="AR686"/>
      <c r="AS686"/>
    </row>
    <row r="687" spans="1:45" s="81" customFormat="1" hidden="1" x14ac:dyDescent="0.25">
      <c r="A687" s="61">
        <f t="shared" si="23"/>
        <v>0</v>
      </c>
      <c r="B687" s="62">
        <f t="shared" si="23"/>
        <v>0</v>
      </c>
      <c r="C687" s="62" t="b">
        <f>IF(Tab.11[[#This Row],[a1]]=1,[3]!Tab_x1[[#This Row],[Name]])</f>
        <v>0</v>
      </c>
      <c r="D687" s="63" t="b">
        <f>IF(Tab.11[[#This Row],[a1]]=1,AO687)</f>
        <v>0</v>
      </c>
      <c r="E687" s="63">
        <f t="shared" si="22"/>
        <v>0</v>
      </c>
      <c r="F687" s="64" t="b">
        <f>IF(Tab.11[[#This Row],[a1]]=1,Tab.11[[#This Row],[b1]])</f>
        <v>0</v>
      </c>
      <c r="G687" s="65" t="b">
        <f>IF(Tab.11[[#This Row],[a1]]=1,IF(Tab.11[[#This Row],[b3]]&gt;$L$989*$G$3,$L$989*$G$3,IF(Tab.11[[#This Row],[b3]]&lt;$M$989*$G$3,$M$989*$G$3,Tab.11[[#This Row],[b3]])))</f>
        <v>0</v>
      </c>
      <c r="H687" s="66" t="b">
        <f>IF(Tab.11[[#This Row],[a1]]=1,Tab.11[[#This Row],[b1]])</f>
        <v>0</v>
      </c>
      <c r="I687" s="67" t="b">
        <f>IF(Tab.11[[#This Row],[a1]]=1,Tab.11[[#This Row],[b1]])</f>
        <v>0</v>
      </c>
      <c r="J687" s="68" t="b">
        <f>IF(Tab.11[[#This Row],[a1]]=1,IF($I$3&lt;0,Tab.11[[#This Row],[b5]]-$I$3,Tab.11[[#This Row],[b5]]))</f>
        <v>0</v>
      </c>
      <c r="K687" s="68" t="b">
        <f>IF(Tab.11[[#This Row],[a1]]=1,IF($K$3=0,Tab.11[b6],Tab.11[[#This Row],[b6]]-AVERAGE(Tab.11[b6])))</f>
        <v>0</v>
      </c>
      <c r="L687" s="69" t="b">
        <f>IF(Tab.11[[#This Row],[a1]]=1,Tab.11[[#This Row],[data]]/(_xlfn.STDEV.P(Tab.11[data])*$B$989)+$A$989)</f>
        <v>0</v>
      </c>
      <c r="M687" s="69" t="b">
        <f>IF(Tab.11[[#This Row],[a1]]=1,Tab.11[[#This Row],[data]]/(_xlfn.STDEV.P(Tab.11[data])*$B$987)-$A$987)</f>
        <v>0</v>
      </c>
      <c r="N687" s="69" t="b">
        <f>IF(Tab.11[[#This Row],[a1]]=1,Tab.11[[#This Row],[data]]/(_xlfn.STDEV.P(Tab.11[data])*$B$988)+$A$988)</f>
        <v>0</v>
      </c>
      <c r="O687" s="70" t="b">
        <f>IF(Tab.11[[#This Row],[a1]]=1,_xlfn.NORM.DIST(Tab.11[[#This Row],[b8]],$P$1,$Q$1,FALSE))</f>
        <v>0</v>
      </c>
      <c r="P687" s="70" t="b">
        <f>IF(Tab.11[[#This Row],[a1]]=1,_xlfn.NORM.DIST(Tab.11[[#This Row],[b9]],$P$1,$Q$1,FALSE))</f>
        <v>0</v>
      </c>
      <c r="Q687" s="70" t="b">
        <f>IF(Tab.11[[#This Row],[a1]]=1,_xlfn.NORM.DIST(Tab.11[[#This Row],[b10]],$P$1,$Q$1,FALSE))</f>
        <v>0</v>
      </c>
      <c r="R687" s="67" t="b">
        <f>IF(Tab.11[[#This Row],[a1]]=1,$I$3+$A$989+IF($K$3=0,Tab.11[[#This Row],[b8]]*_xlfn.STDEV.P(Tab.11[data]),AVERAGE(Tab.11[b6])+Tab.11[[#This Row],[b8]]*_xlfn.STDEV.P(Tab.11[data])))</f>
        <v>0</v>
      </c>
      <c r="S687" s="71" t="b">
        <f>IF(Tab.11[[#This Row],[a1]]=1,$I$3+$A$987+IF($K$3=0,Tab.11[[#This Row],[b9]]*_xlfn.STDEV.P(Tab.11[data]),AVERAGE(Tab.11[b6])+Tab.11[[#This Row],[b9]]*_xlfn.STDEV.P(Tab.11[data])))</f>
        <v>0</v>
      </c>
      <c r="T687" s="71" t="b">
        <f>IF(Tab.11[[#This Row],[a1]]=1,$I$3+$A$988+IF($K$3=0,Tab.11[[#This Row],[b10]]*_xlfn.STDEV.P(Tab.11[data]),AVERAGE(Tab.11[b6])+Tab.11[[#This Row],[b10]]*_xlfn.STDEV.P(Tab.11[data])))</f>
        <v>0</v>
      </c>
      <c r="U687" s="72" t="b">
        <f>IF(Tab.11[[#This Row],[a1]]=1,Tab.11[[#This Row],[target]]-Tab.11[[#This Row],[Red]])</f>
        <v>0</v>
      </c>
      <c r="V687" s="72" t="b">
        <f>IF(Tab.11[[#This Row],[a1]]=1,Tab.11[[#This Row],[target]]-Tab.11[[#This Row],[Blue]])</f>
        <v>0</v>
      </c>
      <c r="W687" s="73" t="b">
        <f>IF(Tab.11[[#This Row],[a1]]=1,IF(ABS(Tab.11[[#This Row],[b17]])+ABS(Tab.11[[#This Row],[b18]])&lt;$W$2,$W$2,ABS(Tab.11[[#This Row],[b17]])+ABS(Tab.11[[#This Row],[b18]])))</f>
        <v>0</v>
      </c>
      <c r="X687" s="136" t="b">
        <f>IF(Tab.11[[#This Row],[a1]]=1,IF($W$3&lt;0,Tab.11[[#This Row],[IN]]-$I$3,Tab.11[[#This Row],[IN]]))</f>
        <v>0</v>
      </c>
      <c r="Y687" s="136" t="b">
        <f>IF(Tab.11[[#This Row],[a1]]=1,IF($X$3=0,Tab.11[b66],Tab.11[[#This Row],[b66]]-AVERAGE(Tab.11[b66])))</f>
        <v>0</v>
      </c>
      <c r="Z687" s="135" t="b">
        <f>IF(Tab.11[[#This Row],[a1]]=1,Tab.11[[#This Row],[b77]]/(_xlfn.STDEV.P(Tab.11[b77])))</f>
        <v>0</v>
      </c>
      <c r="AA687" s="70" t="b">
        <f>IF(Tab.11[[#This Row],[a1]]=1,_xlfn.NORM.DIST(Tab.11[[#This Row],[b88]],$Z$1,$AA$1,FALSE))</f>
        <v>0</v>
      </c>
      <c r="AB687" s="74" t="b">
        <f>IF(Tab.11[[#This Row],[a1]]=1,IF($A$3=0,FALSE,1/Tab.11[[#This Row],[IN]]*$AC$2*IF(Tab.11[[#This Row],[a1]]=0,,$A$3*$AC$1*1/$V$3*(Tab.11[[#This Row],[b14]]))))</f>
        <v>0</v>
      </c>
      <c r="AC687" s="75" t="b">
        <f>IF(Tab.11[[#This Row],[a1]]=1,IF($AC$3=0,Tab.11[[#This Row],[φ1]],Tab.11[[#This Row],[φ1]]/MAX(Tab.11[φ1])))</f>
        <v>0</v>
      </c>
      <c r="AD687" s="74" t="b">
        <f>IF(Tab.11[[#This Row],[a1]]=1,1/Tab.11[[#This Row],[φ2]])</f>
        <v>0</v>
      </c>
      <c r="AE687" s="74" t="b">
        <f>IF(Tab.11[[#This Row],[a1]]=1,IF($AE$3=0,Tab.11[[#This Row],[w.0]],Tab.11[[#This Row],[w.0]]/SUM(Tab.11[w.0])))</f>
        <v>0</v>
      </c>
      <c r="AF687" s="76" t="str">
        <f>IF(Tab.11[[#This Row],[a1]]=0,"false",[3]!Tab.x5[[#This Row],[%_seN_C]])</f>
        <v>false</v>
      </c>
      <c r="AG687" s="77" t="b">
        <f>IF(Tab.11[[#This Row],[a1]]=1,AP687)</f>
        <v>0</v>
      </c>
      <c r="AH687" s="78" t="b">
        <f>IF(Tab.11[[#This Row],[a1]]=1,AQ687)</f>
        <v>0</v>
      </c>
      <c r="AI687" s="41">
        <v>3.0000000000000001E-3</v>
      </c>
      <c r="AJ687" s="79">
        <v>0.03</v>
      </c>
      <c r="AK687" s="80" t="b">
        <f>IF(Tab.11[[#This Row],[a1]]=1,1)</f>
        <v>0</v>
      </c>
      <c r="AL687"/>
      <c r="AM687"/>
      <c r="AN687"/>
      <c r="AO687"/>
      <c r="AP687"/>
      <c r="AQ687"/>
      <c r="AR687"/>
      <c r="AS687"/>
    </row>
    <row r="688" spans="1:45" s="81" customFormat="1" hidden="1" x14ac:dyDescent="0.25">
      <c r="A688" s="61">
        <f t="shared" si="23"/>
        <v>0</v>
      </c>
      <c r="B688" s="62">
        <f t="shared" si="23"/>
        <v>0</v>
      </c>
      <c r="C688" s="62" t="b">
        <f>IF(Tab.11[[#This Row],[a1]]=1,[3]!Tab_x1[[#This Row],[Name]])</f>
        <v>0</v>
      </c>
      <c r="D688" s="63" t="b">
        <f>IF(Tab.11[[#This Row],[a1]]=1,AO688)</f>
        <v>0</v>
      </c>
      <c r="E688" s="63">
        <f t="shared" si="22"/>
        <v>0</v>
      </c>
      <c r="F688" s="64" t="b">
        <f>IF(Tab.11[[#This Row],[a1]]=1,Tab.11[[#This Row],[b1]])</f>
        <v>0</v>
      </c>
      <c r="G688" s="65" t="b">
        <f>IF(Tab.11[[#This Row],[a1]]=1,IF(Tab.11[[#This Row],[b3]]&gt;$L$989*$G$3,$L$989*$G$3,IF(Tab.11[[#This Row],[b3]]&lt;$M$989*$G$3,$M$989*$G$3,Tab.11[[#This Row],[b3]])))</f>
        <v>0</v>
      </c>
      <c r="H688" s="66" t="b">
        <f>IF(Tab.11[[#This Row],[a1]]=1,Tab.11[[#This Row],[b1]])</f>
        <v>0</v>
      </c>
      <c r="I688" s="67" t="b">
        <f>IF(Tab.11[[#This Row],[a1]]=1,Tab.11[[#This Row],[b1]])</f>
        <v>0</v>
      </c>
      <c r="J688" s="68" t="b">
        <f>IF(Tab.11[[#This Row],[a1]]=1,IF($I$3&lt;0,Tab.11[[#This Row],[b5]]-$I$3,Tab.11[[#This Row],[b5]]))</f>
        <v>0</v>
      </c>
      <c r="K688" s="68" t="b">
        <f>IF(Tab.11[[#This Row],[a1]]=1,IF($K$3=0,Tab.11[b6],Tab.11[[#This Row],[b6]]-AVERAGE(Tab.11[b6])))</f>
        <v>0</v>
      </c>
      <c r="L688" s="69" t="b">
        <f>IF(Tab.11[[#This Row],[a1]]=1,Tab.11[[#This Row],[data]]/(_xlfn.STDEV.P(Tab.11[data])*$B$989)+$A$989)</f>
        <v>0</v>
      </c>
      <c r="M688" s="69" t="b">
        <f>IF(Tab.11[[#This Row],[a1]]=1,Tab.11[[#This Row],[data]]/(_xlfn.STDEV.P(Tab.11[data])*$B$987)-$A$987)</f>
        <v>0</v>
      </c>
      <c r="N688" s="69" t="b">
        <f>IF(Tab.11[[#This Row],[a1]]=1,Tab.11[[#This Row],[data]]/(_xlfn.STDEV.P(Tab.11[data])*$B$988)+$A$988)</f>
        <v>0</v>
      </c>
      <c r="O688" s="70" t="b">
        <f>IF(Tab.11[[#This Row],[a1]]=1,_xlfn.NORM.DIST(Tab.11[[#This Row],[b8]],$P$1,$Q$1,FALSE))</f>
        <v>0</v>
      </c>
      <c r="P688" s="70" t="b">
        <f>IF(Tab.11[[#This Row],[a1]]=1,_xlfn.NORM.DIST(Tab.11[[#This Row],[b9]],$P$1,$Q$1,FALSE))</f>
        <v>0</v>
      </c>
      <c r="Q688" s="70" t="b">
        <f>IF(Tab.11[[#This Row],[a1]]=1,_xlfn.NORM.DIST(Tab.11[[#This Row],[b10]],$P$1,$Q$1,FALSE))</f>
        <v>0</v>
      </c>
      <c r="R688" s="67" t="b">
        <f>IF(Tab.11[[#This Row],[a1]]=1,$I$3+$A$989+IF($K$3=0,Tab.11[[#This Row],[b8]]*_xlfn.STDEV.P(Tab.11[data]),AVERAGE(Tab.11[b6])+Tab.11[[#This Row],[b8]]*_xlfn.STDEV.P(Tab.11[data])))</f>
        <v>0</v>
      </c>
      <c r="S688" s="71" t="b">
        <f>IF(Tab.11[[#This Row],[a1]]=1,$I$3+$A$987+IF($K$3=0,Tab.11[[#This Row],[b9]]*_xlfn.STDEV.P(Tab.11[data]),AVERAGE(Tab.11[b6])+Tab.11[[#This Row],[b9]]*_xlfn.STDEV.P(Tab.11[data])))</f>
        <v>0</v>
      </c>
      <c r="T688" s="71" t="b">
        <f>IF(Tab.11[[#This Row],[a1]]=1,$I$3+$A$988+IF($K$3=0,Tab.11[[#This Row],[b10]]*_xlfn.STDEV.P(Tab.11[data]),AVERAGE(Tab.11[b6])+Tab.11[[#This Row],[b10]]*_xlfn.STDEV.P(Tab.11[data])))</f>
        <v>0</v>
      </c>
      <c r="U688" s="72" t="b">
        <f>IF(Tab.11[[#This Row],[a1]]=1,Tab.11[[#This Row],[target]]-Tab.11[[#This Row],[Red]])</f>
        <v>0</v>
      </c>
      <c r="V688" s="72" t="b">
        <f>IF(Tab.11[[#This Row],[a1]]=1,Tab.11[[#This Row],[target]]-Tab.11[[#This Row],[Blue]])</f>
        <v>0</v>
      </c>
      <c r="W688" s="73" t="b">
        <f>IF(Tab.11[[#This Row],[a1]]=1,IF(ABS(Tab.11[[#This Row],[b17]])+ABS(Tab.11[[#This Row],[b18]])&lt;$W$2,$W$2,ABS(Tab.11[[#This Row],[b17]])+ABS(Tab.11[[#This Row],[b18]])))</f>
        <v>0</v>
      </c>
      <c r="X688" s="136" t="b">
        <f>IF(Tab.11[[#This Row],[a1]]=1,IF($W$3&lt;0,Tab.11[[#This Row],[IN]]-$I$3,Tab.11[[#This Row],[IN]]))</f>
        <v>0</v>
      </c>
      <c r="Y688" s="136" t="b">
        <f>IF(Tab.11[[#This Row],[a1]]=1,IF($X$3=0,Tab.11[b66],Tab.11[[#This Row],[b66]]-AVERAGE(Tab.11[b66])))</f>
        <v>0</v>
      </c>
      <c r="Z688" s="135" t="b">
        <f>IF(Tab.11[[#This Row],[a1]]=1,Tab.11[[#This Row],[b77]]/(_xlfn.STDEV.P(Tab.11[b77])))</f>
        <v>0</v>
      </c>
      <c r="AA688" s="70" t="b">
        <f>IF(Tab.11[[#This Row],[a1]]=1,_xlfn.NORM.DIST(Tab.11[[#This Row],[b88]],$Z$1,$AA$1,FALSE))</f>
        <v>0</v>
      </c>
      <c r="AB688" s="74" t="b">
        <f>IF(Tab.11[[#This Row],[a1]]=1,IF($A$3=0,FALSE,1/Tab.11[[#This Row],[IN]]*$AC$2*IF(Tab.11[[#This Row],[a1]]=0,,$A$3*$AC$1*1/$V$3*(Tab.11[[#This Row],[b14]]))))</f>
        <v>0</v>
      </c>
      <c r="AC688" s="75" t="b">
        <f>IF(Tab.11[[#This Row],[a1]]=1,IF($AC$3=0,Tab.11[[#This Row],[φ1]],Tab.11[[#This Row],[φ1]]/MAX(Tab.11[φ1])))</f>
        <v>0</v>
      </c>
      <c r="AD688" s="74" t="b">
        <f>IF(Tab.11[[#This Row],[a1]]=1,1/Tab.11[[#This Row],[φ2]])</f>
        <v>0</v>
      </c>
      <c r="AE688" s="74" t="b">
        <f>IF(Tab.11[[#This Row],[a1]]=1,IF($AE$3=0,Tab.11[[#This Row],[w.0]],Tab.11[[#This Row],[w.0]]/SUM(Tab.11[w.0])))</f>
        <v>0</v>
      </c>
      <c r="AF688" s="76" t="str">
        <f>IF(Tab.11[[#This Row],[a1]]=0,"false",[3]!Tab.x5[[#This Row],[%_seN_C]])</f>
        <v>false</v>
      </c>
      <c r="AG688" s="77" t="b">
        <f>IF(Tab.11[[#This Row],[a1]]=1,AP688)</f>
        <v>0</v>
      </c>
      <c r="AH688" s="78" t="b">
        <f>IF(Tab.11[[#This Row],[a1]]=1,AQ688)</f>
        <v>0</v>
      </c>
      <c r="AI688" s="41">
        <v>3.0000000000000001E-3</v>
      </c>
      <c r="AJ688" s="79">
        <v>0.02</v>
      </c>
      <c r="AK688" s="80" t="b">
        <f>IF(Tab.11[[#This Row],[a1]]=1,1)</f>
        <v>0</v>
      </c>
      <c r="AL688"/>
      <c r="AM688"/>
      <c r="AN688"/>
      <c r="AO688"/>
      <c r="AP688"/>
      <c r="AQ688"/>
      <c r="AR688"/>
      <c r="AS688"/>
    </row>
    <row r="689" spans="1:45" s="81" customFormat="1" hidden="1" x14ac:dyDescent="0.25">
      <c r="A689" s="61">
        <f t="shared" si="23"/>
        <v>0</v>
      </c>
      <c r="B689" s="62">
        <f t="shared" si="23"/>
        <v>0</v>
      </c>
      <c r="C689" s="62" t="b">
        <f>IF(Tab.11[[#This Row],[a1]]=1,[3]!Tab_x1[[#This Row],[Name]])</f>
        <v>0</v>
      </c>
      <c r="D689" s="63" t="b">
        <f>IF(Tab.11[[#This Row],[a1]]=1,AO689)</f>
        <v>0</v>
      </c>
      <c r="E689" s="63">
        <f t="shared" si="22"/>
        <v>0</v>
      </c>
      <c r="F689" s="64" t="b">
        <f>IF(Tab.11[[#This Row],[a1]]=1,Tab.11[[#This Row],[b1]])</f>
        <v>0</v>
      </c>
      <c r="G689" s="65" t="b">
        <f>IF(Tab.11[[#This Row],[a1]]=1,IF(Tab.11[[#This Row],[b3]]&gt;$L$989*$G$3,$L$989*$G$3,IF(Tab.11[[#This Row],[b3]]&lt;$M$989*$G$3,$M$989*$G$3,Tab.11[[#This Row],[b3]])))</f>
        <v>0</v>
      </c>
      <c r="H689" s="66" t="b">
        <f>IF(Tab.11[[#This Row],[a1]]=1,Tab.11[[#This Row],[b1]])</f>
        <v>0</v>
      </c>
      <c r="I689" s="67" t="b">
        <f>IF(Tab.11[[#This Row],[a1]]=1,Tab.11[[#This Row],[b1]])</f>
        <v>0</v>
      </c>
      <c r="J689" s="68" t="b">
        <f>IF(Tab.11[[#This Row],[a1]]=1,IF($I$3&lt;0,Tab.11[[#This Row],[b5]]-$I$3,Tab.11[[#This Row],[b5]]))</f>
        <v>0</v>
      </c>
      <c r="K689" s="68" t="b">
        <f>IF(Tab.11[[#This Row],[a1]]=1,IF($K$3=0,Tab.11[b6],Tab.11[[#This Row],[b6]]-AVERAGE(Tab.11[b6])))</f>
        <v>0</v>
      </c>
      <c r="L689" s="69" t="b">
        <f>IF(Tab.11[[#This Row],[a1]]=1,Tab.11[[#This Row],[data]]/(_xlfn.STDEV.P(Tab.11[data])*$B$989)+$A$989)</f>
        <v>0</v>
      </c>
      <c r="M689" s="69" t="b">
        <f>IF(Tab.11[[#This Row],[a1]]=1,Tab.11[[#This Row],[data]]/(_xlfn.STDEV.P(Tab.11[data])*$B$987)-$A$987)</f>
        <v>0</v>
      </c>
      <c r="N689" s="69" t="b">
        <f>IF(Tab.11[[#This Row],[a1]]=1,Tab.11[[#This Row],[data]]/(_xlfn.STDEV.P(Tab.11[data])*$B$988)+$A$988)</f>
        <v>0</v>
      </c>
      <c r="O689" s="70" t="b">
        <f>IF(Tab.11[[#This Row],[a1]]=1,_xlfn.NORM.DIST(Tab.11[[#This Row],[b8]],$P$1,$Q$1,FALSE))</f>
        <v>0</v>
      </c>
      <c r="P689" s="70" t="b">
        <f>IF(Tab.11[[#This Row],[a1]]=1,_xlfn.NORM.DIST(Tab.11[[#This Row],[b9]],$P$1,$Q$1,FALSE))</f>
        <v>0</v>
      </c>
      <c r="Q689" s="70" t="b">
        <f>IF(Tab.11[[#This Row],[a1]]=1,_xlfn.NORM.DIST(Tab.11[[#This Row],[b10]],$P$1,$Q$1,FALSE))</f>
        <v>0</v>
      </c>
      <c r="R689" s="67" t="b">
        <f>IF(Tab.11[[#This Row],[a1]]=1,$I$3+$A$989+IF($K$3=0,Tab.11[[#This Row],[b8]]*_xlfn.STDEV.P(Tab.11[data]),AVERAGE(Tab.11[b6])+Tab.11[[#This Row],[b8]]*_xlfn.STDEV.P(Tab.11[data])))</f>
        <v>0</v>
      </c>
      <c r="S689" s="71" t="b">
        <f>IF(Tab.11[[#This Row],[a1]]=1,$I$3+$A$987+IF($K$3=0,Tab.11[[#This Row],[b9]]*_xlfn.STDEV.P(Tab.11[data]),AVERAGE(Tab.11[b6])+Tab.11[[#This Row],[b9]]*_xlfn.STDEV.P(Tab.11[data])))</f>
        <v>0</v>
      </c>
      <c r="T689" s="71" t="b">
        <f>IF(Tab.11[[#This Row],[a1]]=1,$I$3+$A$988+IF($K$3=0,Tab.11[[#This Row],[b10]]*_xlfn.STDEV.P(Tab.11[data]),AVERAGE(Tab.11[b6])+Tab.11[[#This Row],[b10]]*_xlfn.STDEV.P(Tab.11[data])))</f>
        <v>0</v>
      </c>
      <c r="U689" s="72" t="b">
        <f>IF(Tab.11[[#This Row],[a1]]=1,Tab.11[[#This Row],[target]]-Tab.11[[#This Row],[Red]])</f>
        <v>0</v>
      </c>
      <c r="V689" s="72" t="b">
        <f>IF(Tab.11[[#This Row],[a1]]=1,Tab.11[[#This Row],[target]]-Tab.11[[#This Row],[Blue]])</f>
        <v>0</v>
      </c>
      <c r="W689" s="73" t="b">
        <f>IF(Tab.11[[#This Row],[a1]]=1,IF(ABS(Tab.11[[#This Row],[b17]])+ABS(Tab.11[[#This Row],[b18]])&lt;$W$2,$W$2,ABS(Tab.11[[#This Row],[b17]])+ABS(Tab.11[[#This Row],[b18]])))</f>
        <v>0</v>
      </c>
      <c r="X689" s="136" t="b">
        <f>IF(Tab.11[[#This Row],[a1]]=1,IF($W$3&lt;0,Tab.11[[#This Row],[IN]]-$I$3,Tab.11[[#This Row],[IN]]))</f>
        <v>0</v>
      </c>
      <c r="Y689" s="136" t="b">
        <f>IF(Tab.11[[#This Row],[a1]]=1,IF($X$3=0,Tab.11[b66],Tab.11[[#This Row],[b66]]-AVERAGE(Tab.11[b66])))</f>
        <v>0</v>
      </c>
      <c r="Z689" s="135" t="b">
        <f>IF(Tab.11[[#This Row],[a1]]=1,Tab.11[[#This Row],[b77]]/(_xlfn.STDEV.P(Tab.11[b77])))</f>
        <v>0</v>
      </c>
      <c r="AA689" s="70" t="b">
        <f>IF(Tab.11[[#This Row],[a1]]=1,_xlfn.NORM.DIST(Tab.11[[#This Row],[b88]],$Z$1,$AA$1,FALSE))</f>
        <v>0</v>
      </c>
      <c r="AB689" s="74" t="b">
        <f>IF(Tab.11[[#This Row],[a1]]=1,IF($A$3=0,FALSE,1/Tab.11[[#This Row],[IN]]*$AC$2*IF(Tab.11[[#This Row],[a1]]=0,,$A$3*$AC$1*1/$V$3*(Tab.11[[#This Row],[b14]]))))</f>
        <v>0</v>
      </c>
      <c r="AC689" s="75" t="b">
        <f>IF(Tab.11[[#This Row],[a1]]=1,IF($AC$3=0,Tab.11[[#This Row],[φ1]],Tab.11[[#This Row],[φ1]]/MAX(Tab.11[φ1])))</f>
        <v>0</v>
      </c>
      <c r="AD689" s="74" t="b">
        <f>IF(Tab.11[[#This Row],[a1]]=1,1/Tab.11[[#This Row],[φ2]])</f>
        <v>0</v>
      </c>
      <c r="AE689" s="74" t="b">
        <f>IF(Tab.11[[#This Row],[a1]]=1,IF($AE$3=0,Tab.11[[#This Row],[w.0]],Tab.11[[#This Row],[w.0]]/SUM(Tab.11[w.0])))</f>
        <v>0</v>
      </c>
      <c r="AF689" s="76" t="str">
        <f>IF(Tab.11[[#This Row],[a1]]=0,"false",[3]!Tab.x5[[#This Row],[%_seN_C]])</f>
        <v>false</v>
      </c>
      <c r="AG689" s="77" t="b">
        <f>IF(Tab.11[[#This Row],[a1]]=1,AP689)</f>
        <v>0</v>
      </c>
      <c r="AH689" s="78" t="b">
        <f>IF(Tab.11[[#This Row],[a1]]=1,AQ689)</f>
        <v>0</v>
      </c>
      <c r="AI689" s="41">
        <v>3.0000000000000001E-3</v>
      </c>
      <c r="AJ689" s="79">
        <v>-0.04</v>
      </c>
      <c r="AK689" s="80" t="b">
        <f>IF(Tab.11[[#This Row],[a1]]=1,1)</f>
        <v>0</v>
      </c>
      <c r="AL689"/>
      <c r="AM689"/>
      <c r="AN689"/>
      <c r="AO689"/>
      <c r="AP689"/>
      <c r="AQ689"/>
      <c r="AR689"/>
      <c r="AS689"/>
    </row>
    <row r="690" spans="1:45" s="81" customFormat="1" hidden="1" x14ac:dyDescent="0.25">
      <c r="A690" s="61">
        <f t="shared" si="23"/>
        <v>0</v>
      </c>
      <c r="B690" s="62">
        <f t="shared" si="23"/>
        <v>0</v>
      </c>
      <c r="C690" s="62" t="b">
        <f>IF(Tab.11[[#This Row],[a1]]=1,[3]!Tab_x1[[#This Row],[Name]])</f>
        <v>0</v>
      </c>
      <c r="D690" s="63" t="b">
        <f>IF(Tab.11[[#This Row],[a1]]=1,AO690)</f>
        <v>0</v>
      </c>
      <c r="E690" s="63">
        <f t="shared" si="22"/>
        <v>0</v>
      </c>
      <c r="F690" s="64" t="b">
        <f>IF(Tab.11[[#This Row],[a1]]=1,Tab.11[[#This Row],[b1]])</f>
        <v>0</v>
      </c>
      <c r="G690" s="65" t="b">
        <f>IF(Tab.11[[#This Row],[a1]]=1,IF(Tab.11[[#This Row],[b3]]&gt;$L$989*$G$3,$L$989*$G$3,IF(Tab.11[[#This Row],[b3]]&lt;$M$989*$G$3,$M$989*$G$3,Tab.11[[#This Row],[b3]])))</f>
        <v>0</v>
      </c>
      <c r="H690" s="66" t="b">
        <f>IF(Tab.11[[#This Row],[a1]]=1,Tab.11[[#This Row],[b1]])</f>
        <v>0</v>
      </c>
      <c r="I690" s="67" t="b">
        <f>IF(Tab.11[[#This Row],[a1]]=1,Tab.11[[#This Row],[b1]])</f>
        <v>0</v>
      </c>
      <c r="J690" s="68" t="b">
        <f>IF(Tab.11[[#This Row],[a1]]=1,IF($I$3&lt;0,Tab.11[[#This Row],[b5]]-$I$3,Tab.11[[#This Row],[b5]]))</f>
        <v>0</v>
      </c>
      <c r="K690" s="68" t="b">
        <f>IF(Tab.11[[#This Row],[a1]]=1,IF($K$3=0,Tab.11[b6],Tab.11[[#This Row],[b6]]-AVERAGE(Tab.11[b6])))</f>
        <v>0</v>
      </c>
      <c r="L690" s="69" t="b">
        <f>IF(Tab.11[[#This Row],[a1]]=1,Tab.11[[#This Row],[data]]/(_xlfn.STDEV.P(Tab.11[data])*$B$989)+$A$989)</f>
        <v>0</v>
      </c>
      <c r="M690" s="69" t="b">
        <f>IF(Tab.11[[#This Row],[a1]]=1,Tab.11[[#This Row],[data]]/(_xlfn.STDEV.P(Tab.11[data])*$B$987)-$A$987)</f>
        <v>0</v>
      </c>
      <c r="N690" s="69" t="b">
        <f>IF(Tab.11[[#This Row],[a1]]=1,Tab.11[[#This Row],[data]]/(_xlfn.STDEV.P(Tab.11[data])*$B$988)+$A$988)</f>
        <v>0</v>
      </c>
      <c r="O690" s="70" t="b">
        <f>IF(Tab.11[[#This Row],[a1]]=1,_xlfn.NORM.DIST(Tab.11[[#This Row],[b8]],$P$1,$Q$1,FALSE))</f>
        <v>0</v>
      </c>
      <c r="P690" s="70" t="b">
        <f>IF(Tab.11[[#This Row],[a1]]=1,_xlfn.NORM.DIST(Tab.11[[#This Row],[b9]],$P$1,$Q$1,FALSE))</f>
        <v>0</v>
      </c>
      <c r="Q690" s="70" t="b">
        <f>IF(Tab.11[[#This Row],[a1]]=1,_xlfn.NORM.DIST(Tab.11[[#This Row],[b10]],$P$1,$Q$1,FALSE))</f>
        <v>0</v>
      </c>
      <c r="R690" s="67" t="b">
        <f>IF(Tab.11[[#This Row],[a1]]=1,$I$3+$A$989+IF($K$3=0,Tab.11[[#This Row],[b8]]*_xlfn.STDEV.P(Tab.11[data]),AVERAGE(Tab.11[b6])+Tab.11[[#This Row],[b8]]*_xlfn.STDEV.P(Tab.11[data])))</f>
        <v>0</v>
      </c>
      <c r="S690" s="71" t="b">
        <f>IF(Tab.11[[#This Row],[a1]]=1,$I$3+$A$987+IF($K$3=0,Tab.11[[#This Row],[b9]]*_xlfn.STDEV.P(Tab.11[data]),AVERAGE(Tab.11[b6])+Tab.11[[#This Row],[b9]]*_xlfn.STDEV.P(Tab.11[data])))</f>
        <v>0</v>
      </c>
      <c r="T690" s="71" t="b">
        <f>IF(Tab.11[[#This Row],[a1]]=1,$I$3+$A$988+IF($K$3=0,Tab.11[[#This Row],[b10]]*_xlfn.STDEV.P(Tab.11[data]),AVERAGE(Tab.11[b6])+Tab.11[[#This Row],[b10]]*_xlfn.STDEV.P(Tab.11[data])))</f>
        <v>0</v>
      </c>
      <c r="U690" s="72" t="b">
        <f>IF(Tab.11[[#This Row],[a1]]=1,Tab.11[[#This Row],[target]]-Tab.11[[#This Row],[Red]])</f>
        <v>0</v>
      </c>
      <c r="V690" s="72" t="b">
        <f>IF(Tab.11[[#This Row],[a1]]=1,Tab.11[[#This Row],[target]]-Tab.11[[#This Row],[Blue]])</f>
        <v>0</v>
      </c>
      <c r="W690" s="73" t="b">
        <f>IF(Tab.11[[#This Row],[a1]]=1,IF(ABS(Tab.11[[#This Row],[b17]])+ABS(Tab.11[[#This Row],[b18]])&lt;$W$2,$W$2,ABS(Tab.11[[#This Row],[b17]])+ABS(Tab.11[[#This Row],[b18]])))</f>
        <v>0</v>
      </c>
      <c r="X690" s="136" t="b">
        <f>IF(Tab.11[[#This Row],[a1]]=1,IF($W$3&lt;0,Tab.11[[#This Row],[IN]]-$I$3,Tab.11[[#This Row],[IN]]))</f>
        <v>0</v>
      </c>
      <c r="Y690" s="136" t="b">
        <f>IF(Tab.11[[#This Row],[a1]]=1,IF($X$3=0,Tab.11[b66],Tab.11[[#This Row],[b66]]-AVERAGE(Tab.11[b66])))</f>
        <v>0</v>
      </c>
      <c r="Z690" s="135" t="b">
        <f>IF(Tab.11[[#This Row],[a1]]=1,Tab.11[[#This Row],[b77]]/(_xlfn.STDEV.P(Tab.11[b77])))</f>
        <v>0</v>
      </c>
      <c r="AA690" s="70" t="b">
        <f>IF(Tab.11[[#This Row],[a1]]=1,_xlfn.NORM.DIST(Tab.11[[#This Row],[b88]],$Z$1,$AA$1,FALSE))</f>
        <v>0</v>
      </c>
      <c r="AB690" s="74" t="b">
        <f>IF(Tab.11[[#This Row],[a1]]=1,IF($A$3=0,FALSE,1/Tab.11[[#This Row],[IN]]*$AC$2*IF(Tab.11[[#This Row],[a1]]=0,,$A$3*$AC$1*1/$V$3*(Tab.11[[#This Row],[b14]]))))</f>
        <v>0</v>
      </c>
      <c r="AC690" s="75" t="b">
        <f>IF(Tab.11[[#This Row],[a1]]=1,IF($AC$3=0,Tab.11[[#This Row],[φ1]],Tab.11[[#This Row],[φ1]]/MAX(Tab.11[φ1])))</f>
        <v>0</v>
      </c>
      <c r="AD690" s="74" t="b">
        <f>IF(Tab.11[[#This Row],[a1]]=1,1/Tab.11[[#This Row],[φ2]])</f>
        <v>0</v>
      </c>
      <c r="AE690" s="74" t="b">
        <f>IF(Tab.11[[#This Row],[a1]]=1,IF($AE$3=0,Tab.11[[#This Row],[w.0]],Tab.11[[#This Row],[w.0]]/SUM(Tab.11[w.0])))</f>
        <v>0</v>
      </c>
      <c r="AF690" s="76" t="str">
        <f>IF(Tab.11[[#This Row],[a1]]=0,"false",[3]!Tab.x5[[#This Row],[%_seN_C]])</f>
        <v>false</v>
      </c>
      <c r="AG690" s="77" t="b">
        <f>IF(Tab.11[[#This Row],[a1]]=1,AP690)</f>
        <v>0</v>
      </c>
      <c r="AH690" s="78" t="b">
        <f>IF(Tab.11[[#This Row],[a1]]=1,AQ690)</f>
        <v>0</v>
      </c>
      <c r="AI690" s="41">
        <v>3.0000000000000001E-3</v>
      </c>
      <c r="AJ690" s="79">
        <v>-0.08</v>
      </c>
      <c r="AK690" s="80" t="b">
        <f>IF(Tab.11[[#This Row],[a1]]=1,1)</f>
        <v>0</v>
      </c>
      <c r="AL690"/>
      <c r="AM690"/>
      <c r="AN690"/>
      <c r="AO690"/>
      <c r="AP690"/>
      <c r="AQ690"/>
      <c r="AR690"/>
      <c r="AS690"/>
    </row>
    <row r="691" spans="1:45" s="81" customFormat="1" hidden="1" x14ac:dyDescent="0.25">
      <c r="A691" s="61">
        <f t="shared" si="23"/>
        <v>0</v>
      </c>
      <c r="B691" s="62">
        <f t="shared" si="23"/>
        <v>0</v>
      </c>
      <c r="C691" s="62" t="b">
        <f>IF(Tab.11[[#This Row],[a1]]=1,[3]!Tab_x1[[#This Row],[Name]])</f>
        <v>0</v>
      </c>
      <c r="D691" s="63" t="b">
        <f>IF(Tab.11[[#This Row],[a1]]=1,AO691)</f>
        <v>0</v>
      </c>
      <c r="E691" s="63">
        <f t="shared" si="22"/>
        <v>0</v>
      </c>
      <c r="F691" s="64" t="b">
        <f>IF(Tab.11[[#This Row],[a1]]=1,Tab.11[[#This Row],[b1]])</f>
        <v>0</v>
      </c>
      <c r="G691" s="65" t="b">
        <f>IF(Tab.11[[#This Row],[a1]]=1,IF(Tab.11[[#This Row],[b3]]&gt;$L$989*$G$3,$L$989*$G$3,IF(Tab.11[[#This Row],[b3]]&lt;$M$989*$G$3,$M$989*$G$3,Tab.11[[#This Row],[b3]])))</f>
        <v>0</v>
      </c>
      <c r="H691" s="66" t="b">
        <f>IF(Tab.11[[#This Row],[a1]]=1,Tab.11[[#This Row],[b1]])</f>
        <v>0</v>
      </c>
      <c r="I691" s="67" t="b">
        <f>IF(Tab.11[[#This Row],[a1]]=1,Tab.11[[#This Row],[b1]])</f>
        <v>0</v>
      </c>
      <c r="J691" s="68" t="b">
        <f>IF(Tab.11[[#This Row],[a1]]=1,IF($I$3&lt;0,Tab.11[[#This Row],[b5]]-$I$3,Tab.11[[#This Row],[b5]]))</f>
        <v>0</v>
      </c>
      <c r="K691" s="68" t="b">
        <f>IF(Tab.11[[#This Row],[a1]]=1,IF($K$3=0,Tab.11[b6],Tab.11[[#This Row],[b6]]-AVERAGE(Tab.11[b6])))</f>
        <v>0</v>
      </c>
      <c r="L691" s="69" t="b">
        <f>IF(Tab.11[[#This Row],[a1]]=1,Tab.11[[#This Row],[data]]/(_xlfn.STDEV.P(Tab.11[data])*$B$989)+$A$989)</f>
        <v>0</v>
      </c>
      <c r="M691" s="69" t="b">
        <f>IF(Tab.11[[#This Row],[a1]]=1,Tab.11[[#This Row],[data]]/(_xlfn.STDEV.P(Tab.11[data])*$B$987)-$A$987)</f>
        <v>0</v>
      </c>
      <c r="N691" s="69" t="b">
        <f>IF(Tab.11[[#This Row],[a1]]=1,Tab.11[[#This Row],[data]]/(_xlfn.STDEV.P(Tab.11[data])*$B$988)+$A$988)</f>
        <v>0</v>
      </c>
      <c r="O691" s="70" t="b">
        <f>IF(Tab.11[[#This Row],[a1]]=1,_xlfn.NORM.DIST(Tab.11[[#This Row],[b8]],$P$1,$Q$1,FALSE))</f>
        <v>0</v>
      </c>
      <c r="P691" s="70" t="b">
        <f>IF(Tab.11[[#This Row],[a1]]=1,_xlfn.NORM.DIST(Tab.11[[#This Row],[b9]],$P$1,$Q$1,FALSE))</f>
        <v>0</v>
      </c>
      <c r="Q691" s="70" t="b">
        <f>IF(Tab.11[[#This Row],[a1]]=1,_xlfn.NORM.DIST(Tab.11[[#This Row],[b10]],$P$1,$Q$1,FALSE))</f>
        <v>0</v>
      </c>
      <c r="R691" s="67" t="b">
        <f>IF(Tab.11[[#This Row],[a1]]=1,$I$3+$A$989+IF($K$3=0,Tab.11[[#This Row],[b8]]*_xlfn.STDEV.P(Tab.11[data]),AVERAGE(Tab.11[b6])+Tab.11[[#This Row],[b8]]*_xlfn.STDEV.P(Tab.11[data])))</f>
        <v>0</v>
      </c>
      <c r="S691" s="71" t="b">
        <f>IF(Tab.11[[#This Row],[a1]]=1,$I$3+$A$987+IF($K$3=0,Tab.11[[#This Row],[b9]]*_xlfn.STDEV.P(Tab.11[data]),AVERAGE(Tab.11[b6])+Tab.11[[#This Row],[b9]]*_xlfn.STDEV.P(Tab.11[data])))</f>
        <v>0</v>
      </c>
      <c r="T691" s="71" t="b">
        <f>IF(Tab.11[[#This Row],[a1]]=1,$I$3+$A$988+IF($K$3=0,Tab.11[[#This Row],[b10]]*_xlfn.STDEV.P(Tab.11[data]),AVERAGE(Tab.11[b6])+Tab.11[[#This Row],[b10]]*_xlfn.STDEV.P(Tab.11[data])))</f>
        <v>0</v>
      </c>
      <c r="U691" s="72" t="b">
        <f>IF(Tab.11[[#This Row],[a1]]=1,Tab.11[[#This Row],[target]]-Tab.11[[#This Row],[Red]])</f>
        <v>0</v>
      </c>
      <c r="V691" s="72" t="b">
        <f>IF(Tab.11[[#This Row],[a1]]=1,Tab.11[[#This Row],[target]]-Tab.11[[#This Row],[Blue]])</f>
        <v>0</v>
      </c>
      <c r="W691" s="73" t="b">
        <f>IF(Tab.11[[#This Row],[a1]]=1,IF(ABS(Tab.11[[#This Row],[b17]])+ABS(Tab.11[[#This Row],[b18]])&lt;$W$2,$W$2,ABS(Tab.11[[#This Row],[b17]])+ABS(Tab.11[[#This Row],[b18]])))</f>
        <v>0</v>
      </c>
      <c r="X691" s="136" t="b">
        <f>IF(Tab.11[[#This Row],[a1]]=1,IF($W$3&lt;0,Tab.11[[#This Row],[IN]]-$I$3,Tab.11[[#This Row],[IN]]))</f>
        <v>0</v>
      </c>
      <c r="Y691" s="136" t="b">
        <f>IF(Tab.11[[#This Row],[a1]]=1,IF($X$3=0,Tab.11[b66],Tab.11[[#This Row],[b66]]-AVERAGE(Tab.11[b66])))</f>
        <v>0</v>
      </c>
      <c r="Z691" s="135" t="b">
        <f>IF(Tab.11[[#This Row],[a1]]=1,Tab.11[[#This Row],[b77]]/(_xlfn.STDEV.P(Tab.11[b77])))</f>
        <v>0</v>
      </c>
      <c r="AA691" s="70" t="b">
        <f>IF(Tab.11[[#This Row],[a1]]=1,_xlfn.NORM.DIST(Tab.11[[#This Row],[b88]],$Z$1,$AA$1,FALSE))</f>
        <v>0</v>
      </c>
      <c r="AB691" s="74" t="b">
        <f>IF(Tab.11[[#This Row],[a1]]=1,IF($A$3=0,FALSE,1/Tab.11[[#This Row],[IN]]*$AC$2*IF(Tab.11[[#This Row],[a1]]=0,,$A$3*$AC$1*1/$V$3*(Tab.11[[#This Row],[b14]]))))</f>
        <v>0</v>
      </c>
      <c r="AC691" s="75" t="b">
        <f>IF(Tab.11[[#This Row],[a1]]=1,IF($AC$3=0,Tab.11[[#This Row],[φ1]],Tab.11[[#This Row],[φ1]]/MAX(Tab.11[φ1])))</f>
        <v>0</v>
      </c>
      <c r="AD691" s="74" t="b">
        <f>IF(Tab.11[[#This Row],[a1]]=1,1/Tab.11[[#This Row],[φ2]])</f>
        <v>0</v>
      </c>
      <c r="AE691" s="74" t="b">
        <f>IF(Tab.11[[#This Row],[a1]]=1,IF($AE$3=0,Tab.11[[#This Row],[w.0]],Tab.11[[#This Row],[w.0]]/SUM(Tab.11[w.0])))</f>
        <v>0</v>
      </c>
      <c r="AF691" s="76" t="str">
        <f>IF(Tab.11[[#This Row],[a1]]=0,"false",[3]!Tab.x5[[#This Row],[%_seN_C]])</f>
        <v>false</v>
      </c>
      <c r="AG691" s="77" t="b">
        <f>IF(Tab.11[[#This Row],[a1]]=1,AP691)</f>
        <v>0</v>
      </c>
      <c r="AH691" s="78" t="b">
        <f>IF(Tab.11[[#This Row],[a1]]=1,AQ691)</f>
        <v>0</v>
      </c>
      <c r="AI691" s="41">
        <v>3.0000000000000001E-3</v>
      </c>
      <c r="AJ691" s="79">
        <v>-0.09</v>
      </c>
      <c r="AK691" s="80" t="b">
        <f>IF(Tab.11[[#This Row],[a1]]=1,1)</f>
        <v>0</v>
      </c>
      <c r="AL691"/>
      <c r="AM691"/>
      <c r="AN691"/>
      <c r="AO691"/>
      <c r="AP691"/>
      <c r="AQ691"/>
      <c r="AR691"/>
      <c r="AS691"/>
    </row>
    <row r="692" spans="1:45" s="81" customFormat="1" hidden="1" x14ac:dyDescent="0.25">
      <c r="A692" s="61">
        <f t="shared" si="23"/>
        <v>0</v>
      </c>
      <c r="B692" s="62">
        <f t="shared" si="23"/>
        <v>0</v>
      </c>
      <c r="C692" s="62" t="b">
        <f>IF(Tab.11[[#This Row],[a1]]=1,[3]!Tab_x1[[#This Row],[Name]])</f>
        <v>0</v>
      </c>
      <c r="D692" s="63" t="b">
        <f>IF(Tab.11[[#This Row],[a1]]=1,AO692)</f>
        <v>0</v>
      </c>
      <c r="E692" s="63">
        <f t="shared" si="22"/>
        <v>0</v>
      </c>
      <c r="F692" s="64" t="b">
        <f>IF(Tab.11[[#This Row],[a1]]=1,Tab.11[[#This Row],[b1]])</f>
        <v>0</v>
      </c>
      <c r="G692" s="65" t="b">
        <f>IF(Tab.11[[#This Row],[a1]]=1,IF(Tab.11[[#This Row],[b3]]&gt;$L$989*$G$3,$L$989*$G$3,IF(Tab.11[[#This Row],[b3]]&lt;$M$989*$G$3,$M$989*$G$3,Tab.11[[#This Row],[b3]])))</f>
        <v>0</v>
      </c>
      <c r="H692" s="66" t="b">
        <f>IF(Tab.11[[#This Row],[a1]]=1,Tab.11[[#This Row],[b1]])</f>
        <v>0</v>
      </c>
      <c r="I692" s="67" t="b">
        <f>IF(Tab.11[[#This Row],[a1]]=1,Tab.11[[#This Row],[b1]])</f>
        <v>0</v>
      </c>
      <c r="J692" s="68" t="b">
        <f>IF(Tab.11[[#This Row],[a1]]=1,IF($I$3&lt;0,Tab.11[[#This Row],[b5]]-$I$3,Tab.11[[#This Row],[b5]]))</f>
        <v>0</v>
      </c>
      <c r="K692" s="68" t="b">
        <f>IF(Tab.11[[#This Row],[a1]]=1,IF($K$3=0,Tab.11[b6],Tab.11[[#This Row],[b6]]-AVERAGE(Tab.11[b6])))</f>
        <v>0</v>
      </c>
      <c r="L692" s="69" t="b">
        <f>IF(Tab.11[[#This Row],[a1]]=1,Tab.11[[#This Row],[data]]/(_xlfn.STDEV.P(Tab.11[data])*$B$989)+$A$989)</f>
        <v>0</v>
      </c>
      <c r="M692" s="69" t="b">
        <f>IF(Tab.11[[#This Row],[a1]]=1,Tab.11[[#This Row],[data]]/(_xlfn.STDEV.P(Tab.11[data])*$B$987)-$A$987)</f>
        <v>0</v>
      </c>
      <c r="N692" s="69" t="b">
        <f>IF(Tab.11[[#This Row],[a1]]=1,Tab.11[[#This Row],[data]]/(_xlfn.STDEV.P(Tab.11[data])*$B$988)+$A$988)</f>
        <v>0</v>
      </c>
      <c r="O692" s="70" t="b">
        <f>IF(Tab.11[[#This Row],[a1]]=1,_xlfn.NORM.DIST(Tab.11[[#This Row],[b8]],$P$1,$Q$1,FALSE))</f>
        <v>0</v>
      </c>
      <c r="P692" s="70" t="b">
        <f>IF(Tab.11[[#This Row],[a1]]=1,_xlfn.NORM.DIST(Tab.11[[#This Row],[b9]],$P$1,$Q$1,FALSE))</f>
        <v>0</v>
      </c>
      <c r="Q692" s="70" t="b">
        <f>IF(Tab.11[[#This Row],[a1]]=1,_xlfn.NORM.DIST(Tab.11[[#This Row],[b10]],$P$1,$Q$1,FALSE))</f>
        <v>0</v>
      </c>
      <c r="R692" s="67" t="b">
        <f>IF(Tab.11[[#This Row],[a1]]=1,$I$3+$A$989+IF($K$3=0,Tab.11[[#This Row],[b8]]*_xlfn.STDEV.P(Tab.11[data]),AVERAGE(Tab.11[b6])+Tab.11[[#This Row],[b8]]*_xlfn.STDEV.P(Tab.11[data])))</f>
        <v>0</v>
      </c>
      <c r="S692" s="71" t="b">
        <f>IF(Tab.11[[#This Row],[a1]]=1,$I$3+$A$987+IF($K$3=0,Tab.11[[#This Row],[b9]]*_xlfn.STDEV.P(Tab.11[data]),AVERAGE(Tab.11[b6])+Tab.11[[#This Row],[b9]]*_xlfn.STDEV.P(Tab.11[data])))</f>
        <v>0</v>
      </c>
      <c r="T692" s="71" t="b">
        <f>IF(Tab.11[[#This Row],[a1]]=1,$I$3+$A$988+IF($K$3=0,Tab.11[[#This Row],[b10]]*_xlfn.STDEV.P(Tab.11[data]),AVERAGE(Tab.11[b6])+Tab.11[[#This Row],[b10]]*_xlfn.STDEV.P(Tab.11[data])))</f>
        <v>0</v>
      </c>
      <c r="U692" s="72" t="b">
        <f>IF(Tab.11[[#This Row],[a1]]=1,Tab.11[[#This Row],[target]]-Tab.11[[#This Row],[Red]])</f>
        <v>0</v>
      </c>
      <c r="V692" s="72" t="b">
        <f>IF(Tab.11[[#This Row],[a1]]=1,Tab.11[[#This Row],[target]]-Tab.11[[#This Row],[Blue]])</f>
        <v>0</v>
      </c>
      <c r="W692" s="73" t="b">
        <f>IF(Tab.11[[#This Row],[a1]]=1,IF(ABS(Tab.11[[#This Row],[b17]])+ABS(Tab.11[[#This Row],[b18]])&lt;$W$2,$W$2,ABS(Tab.11[[#This Row],[b17]])+ABS(Tab.11[[#This Row],[b18]])))</f>
        <v>0</v>
      </c>
      <c r="X692" s="136" t="b">
        <f>IF(Tab.11[[#This Row],[a1]]=1,IF($W$3&lt;0,Tab.11[[#This Row],[IN]]-$I$3,Tab.11[[#This Row],[IN]]))</f>
        <v>0</v>
      </c>
      <c r="Y692" s="136" t="b">
        <f>IF(Tab.11[[#This Row],[a1]]=1,IF($X$3=0,Tab.11[b66],Tab.11[[#This Row],[b66]]-AVERAGE(Tab.11[b66])))</f>
        <v>0</v>
      </c>
      <c r="Z692" s="135" t="b">
        <f>IF(Tab.11[[#This Row],[a1]]=1,Tab.11[[#This Row],[b77]]/(_xlfn.STDEV.P(Tab.11[b77])))</f>
        <v>0</v>
      </c>
      <c r="AA692" s="70" t="b">
        <f>IF(Tab.11[[#This Row],[a1]]=1,_xlfn.NORM.DIST(Tab.11[[#This Row],[b88]],$Z$1,$AA$1,FALSE))</f>
        <v>0</v>
      </c>
      <c r="AB692" s="74" t="b">
        <f>IF(Tab.11[[#This Row],[a1]]=1,IF($A$3=0,FALSE,1/Tab.11[[#This Row],[IN]]*$AC$2*IF(Tab.11[[#This Row],[a1]]=0,,$A$3*$AC$1*1/$V$3*(Tab.11[[#This Row],[b14]]))))</f>
        <v>0</v>
      </c>
      <c r="AC692" s="75" t="b">
        <f>IF(Tab.11[[#This Row],[a1]]=1,IF($AC$3=0,Tab.11[[#This Row],[φ1]],Tab.11[[#This Row],[φ1]]/MAX(Tab.11[φ1])))</f>
        <v>0</v>
      </c>
      <c r="AD692" s="74" t="b">
        <f>IF(Tab.11[[#This Row],[a1]]=1,1/Tab.11[[#This Row],[φ2]])</f>
        <v>0</v>
      </c>
      <c r="AE692" s="74" t="b">
        <f>IF(Tab.11[[#This Row],[a1]]=1,IF($AE$3=0,Tab.11[[#This Row],[w.0]],Tab.11[[#This Row],[w.0]]/SUM(Tab.11[w.0])))</f>
        <v>0</v>
      </c>
      <c r="AF692" s="76" t="str">
        <f>IF(Tab.11[[#This Row],[a1]]=0,"false",[3]!Tab.x5[[#This Row],[%_seN_C]])</f>
        <v>false</v>
      </c>
      <c r="AG692" s="77" t="b">
        <f>IF(Tab.11[[#This Row],[a1]]=1,AP692)</f>
        <v>0</v>
      </c>
      <c r="AH692" s="78" t="b">
        <f>IF(Tab.11[[#This Row],[a1]]=1,AQ692)</f>
        <v>0</v>
      </c>
      <c r="AI692" s="41">
        <v>3.0000000000000001E-3</v>
      </c>
      <c r="AJ692" s="79">
        <v>-0.02</v>
      </c>
      <c r="AK692" s="80" t="b">
        <f>IF(Tab.11[[#This Row],[a1]]=1,1)</f>
        <v>0</v>
      </c>
      <c r="AL692"/>
      <c r="AM692"/>
      <c r="AN692"/>
      <c r="AO692"/>
      <c r="AP692"/>
      <c r="AQ692"/>
      <c r="AR692"/>
      <c r="AS692"/>
    </row>
    <row r="693" spans="1:45" s="81" customFormat="1" hidden="1" x14ac:dyDescent="0.25">
      <c r="A693" s="61">
        <f t="shared" si="23"/>
        <v>0</v>
      </c>
      <c r="B693" s="62">
        <f t="shared" si="23"/>
        <v>0</v>
      </c>
      <c r="C693" s="62" t="b">
        <f>IF(Tab.11[[#This Row],[a1]]=1,[3]!Tab_x1[[#This Row],[Name]])</f>
        <v>0</v>
      </c>
      <c r="D693" s="63" t="b">
        <f>IF(Tab.11[[#This Row],[a1]]=1,AO693)</f>
        <v>0</v>
      </c>
      <c r="E693" s="63">
        <f t="shared" si="22"/>
        <v>0</v>
      </c>
      <c r="F693" s="64" t="b">
        <f>IF(Tab.11[[#This Row],[a1]]=1,Tab.11[[#This Row],[b1]])</f>
        <v>0</v>
      </c>
      <c r="G693" s="65" t="b">
        <f>IF(Tab.11[[#This Row],[a1]]=1,IF(Tab.11[[#This Row],[b3]]&gt;$L$989*$G$3,$L$989*$G$3,IF(Tab.11[[#This Row],[b3]]&lt;$M$989*$G$3,$M$989*$G$3,Tab.11[[#This Row],[b3]])))</f>
        <v>0</v>
      </c>
      <c r="H693" s="66" t="b">
        <f>IF(Tab.11[[#This Row],[a1]]=1,Tab.11[[#This Row],[b1]])</f>
        <v>0</v>
      </c>
      <c r="I693" s="67" t="b">
        <f>IF(Tab.11[[#This Row],[a1]]=1,Tab.11[[#This Row],[b1]])</f>
        <v>0</v>
      </c>
      <c r="J693" s="68" t="b">
        <f>IF(Tab.11[[#This Row],[a1]]=1,IF($I$3&lt;0,Tab.11[[#This Row],[b5]]-$I$3,Tab.11[[#This Row],[b5]]))</f>
        <v>0</v>
      </c>
      <c r="K693" s="68" t="b">
        <f>IF(Tab.11[[#This Row],[a1]]=1,IF($K$3=0,Tab.11[b6],Tab.11[[#This Row],[b6]]-AVERAGE(Tab.11[b6])))</f>
        <v>0</v>
      </c>
      <c r="L693" s="69" t="b">
        <f>IF(Tab.11[[#This Row],[a1]]=1,Tab.11[[#This Row],[data]]/(_xlfn.STDEV.P(Tab.11[data])*$B$989)+$A$989)</f>
        <v>0</v>
      </c>
      <c r="M693" s="69" t="b">
        <f>IF(Tab.11[[#This Row],[a1]]=1,Tab.11[[#This Row],[data]]/(_xlfn.STDEV.P(Tab.11[data])*$B$987)-$A$987)</f>
        <v>0</v>
      </c>
      <c r="N693" s="69" t="b">
        <f>IF(Tab.11[[#This Row],[a1]]=1,Tab.11[[#This Row],[data]]/(_xlfn.STDEV.P(Tab.11[data])*$B$988)+$A$988)</f>
        <v>0</v>
      </c>
      <c r="O693" s="70" t="b">
        <f>IF(Tab.11[[#This Row],[a1]]=1,_xlfn.NORM.DIST(Tab.11[[#This Row],[b8]],$P$1,$Q$1,FALSE))</f>
        <v>0</v>
      </c>
      <c r="P693" s="70" t="b">
        <f>IF(Tab.11[[#This Row],[a1]]=1,_xlfn.NORM.DIST(Tab.11[[#This Row],[b9]],$P$1,$Q$1,FALSE))</f>
        <v>0</v>
      </c>
      <c r="Q693" s="70" t="b">
        <f>IF(Tab.11[[#This Row],[a1]]=1,_xlfn.NORM.DIST(Tab.11[[#This Row],[b10]],$P$1,$Q$1,FALSE))</f>
        <v>0</v>
      </c>
      <c r="R693" s="67" t="b">
        <f>IF(Tab.11[[#This Row],[a1]]=1,$I$3+$A$989+IF($K$3=0,Tab.11[[#This Row],[b8]]*_xlfn.STDEV.P(Tab.11[data]),AVERAGE(Tab.11[b6])+Tab.11[[#This Row],[b8]]*_xlfn.STDEV.P(Tab.11[data])))</f>
        <v>0</v>
      </c>
      <c r="S693" s="71" t="b">
        <f>IF(Tab.11[[#This Row],[a1]]=1,$I$3+$A$987+IF($K$3=0,Tab.11[[#This Row],[b9]]*_xlfn.STDEV.P(Tab.11[data]),AVERAGE(Tab.11[b6])+Tab.11[[#This Row],[b9]]*_xlfn.STDEV.P(Tab.11[data])))</f>
        <v>0</v>
      </c>
      <c r="T693" s="71" t="b">
        <f>IF(Tab.11[[#This Row],[a1]]=1,$I$3+$A$988+IF($K$3=0,Tab.11[[#This Row],[b10]]*_xlfn.STDEV.P(Tab.11[data]),AVERAGE(Tab.11[b6])+Tab.11[[#This Row],[b10]]*_xlfn.STDEV.P(Tab.11[data])))</f>
        <v>0</v>
      </c>
      <c r="U693" s="72" t="b">
        <f>IF(Tab.11[[#This Row],[a1]]=1,Tab.11[[#This Row],[target]]-Tab.11[[#This Row],[Red]])</f>
        <v>0</v>
      </c>
      <c r="V693" s="72" t="b">
        <f>IF(Tab.11[[#This Row],[a1]]=1,Tab.11[[#This Row],[target]]-Tab.11[[#This Row],[Blue]])</f>
        <v>0</v>
      </c>
      <c r="W693" s="73" t="b">
        <f>IF(Tab.11[[#This Row],[a1]]=1,IF(ABS(Tab.11[[#This Row],[b17]])+ABS(Tab.11[[#This Row],[b18]])&lt;$W$2,$W$2,ABS(Tab.11[[#This Row],[b17]])+ABS(Tab.11[[#This Row],[b18]])))</f>
        <v>0</v>
      </c>
      <c r="X693" s="136" t="b">
        <f>IF(Tab.11[[#This Row],[a1]]=1,IF($W$3&lt;0,Tab.11[[#This Row],[IN]]-$I$3,Tab.11[[#This Row],[IN]]))</f>
        <v>0</v>
      </c>
      <c r="Y693" s="136" t="b">
        <f>IF(Tab.11[[#This Row],[a1]]=1,IF($X$3=0,Tab.11[b66],Tab.11[[#This Row],[b66]]-AVERAGE(Tab.11[b66])))</f>
        <v>0</v>
      </c>
      <c r="Z693" s="135" t="b">
        <f>IF(Tab.11[[#This Row],[a1]]=1,Tab.11[[#This Row],[b77]]/(_xlfn.STDEV.P(Tab.11[b77])))</f>
        <v>0</v>
      </c>
      <c r="AA693" s="70" t="b">
        <f>IF(Tab.11[[#This Row],[a1]]=1,_xlfn.NORM.DIST(Tab.11[[#This Row],[b88]],$Z$1,$AA$1,FALSE))</f>
        <v>0</v>
      </c>
      <c r="AB693" s="74" t="b">
        <f>IF(Tab.11[[#This Row],[a1]]=1,IF($A$3=0,FALSE,1/Tab.11[[#This Row],[IN]]*$AC$2*IF(Tab.11[[#This Row],[a1]]=0,,$A$3*$AC$1*1/$V$3*(Tab.11[[#This Row],[b14]]))))</f>
        <v>0</v>
      </c>
      <c r="AC693" s="75" t="b">
        <f>IF(Tab.11[[#This Row],[a1]]=1,IF($AC$3=0,Tab.11[[#This Row],[φ1]],Tab.11[[#This Row],[φ1]]/MAX(Tab.11[φ1])))</f>
        <v>0</v>
      </c>
      <c r="AD693" s="74" t="b">
        <f>IF(Tab.11[[#This Row],[a1]]=1,1/Tab.11[[#This Row],[φ2]])</f>
        <v>0</v>
      </c>
      <c r="AE693" s="74" t="b">
        <f>IF(Tab.11[[#This Row],[a1]]=1,IF($AE$3=0,Tab.11[[#This Row],[w.0]],Tab.11[[#This Row],[w.0]]/SUM(Tab.11[w.0])))</f>
        <v>0</v>
      </c>
      <c r="AF693" s="76" t="str">
        <f>IF(Tab.11[[#This Row],[a1]]=0,"false",[3]!Tab.x5[[#This Row],[%_seN_C]])</f>
        <v>false</v>
      </c>
      <c r="AG693" s="77" t="b">
        <f>IF(Tab.11[[#This Row],[a1]]=1,AP693)</f>
        <v>0</v>
      </c>
      <c r="AH693" s="78" t="b">
        <f>IF(Tab.11[[#This Row],[a1]]=1,AQ693)</f>
        <v>0</v>
      </c>
      <c r="AI693" s="41">
        <v>3.0000000000000001E-3</v>
      </c>
      <c r="AJ693" s="79">
        <v>0.04</v>
      </c>
      <c r="AK693" s="80" t="b">
        <f>IF(Tab.11[[#This Row],[a1]]=1,1)</f>
        <v>0</v>
      </c>
      <c r="AL693"/>
      <c r="AM693"/>
      <c r="AN693"/>
      <c r="AO693"/>
      <c r="AP693"/>
      <c r="AQ693"/>
      <c r="AR693"/>
      <c r="AS693"/>
    </row>
    <row r="694" spans="1:45" s="81" customFormat="1" hidden="1" x14ac:dyDescent="0.25">
      <c r="A694" s="61">
        <f t="shared" si="23"/>
        <v>0</v>
      </c>
      <c r="B694" s="62">
        <f t="shared" si="23"/>
        <v>0</v>
      </c>
      <c r="C694" s="62" t="b">
        <f>IF(Tab.11[[#This Row],[a1]]=1,[3]!Tab_x1[[#This Row],[Name]])</f>
        <v>0</v>
      </c>
      <c r="D694" s="63" t="b">
        <f>IF(Tab.11[[#This Row],[a1]]=1,AO694)</f>
        <v>0</v>
      </c>
      <c r="E694" s="63">
        <f t="shared" si="22"/>
        <v>0</v>
      </c>
      <c r="F694" s="64" t="b">
        <f>IF(Tab.11[[#This Row],[a1]]=1,Tab.11[[#This Row],[b1]])</f>
        <v>0</v>
      </c>
      <c r="G694" s="65" t="b">
        <f>IF(Tab.11[[#This Row],[a1]]=1,IF(Tab.11[[#This Row],[b3]]&gt;$L$989*$G$3,$L$989*$G$3,IF(Tab.11[[#This Row],[b3]]&lt;$M$989*$G$3,$M$989*$G$3,Tab.11[[#This Row],[b3]])))</f>
        <v>0</v>
      </c>
      <c r="H694" s="66" t="b">
        <f>IF(Tab.11[[#This Row],[a1]]=1,Tab.11[[#This Row],[b1]])</f>
        <v>0</v>
      </c>
      <c r="I694" s="67" t="b">
        <f>IF(Tab.11[[#This Row],[a1]]=1,Tab.11[[#This Row],[b1]])</f>
        <v>0</v>
      </c>
      <c r="J694" s="68" t="b">
        <f>IF(Tab.11[[#This Row],[a1]]=1,IF($I$3&lt;0,Tab.11[[#This Row],[b5]]-$I$3,Tab.11[[#This Row],[b5]]))</f>
        <v>0</v>
      </c>
      <c r="K694" s="68" t="b">
        <f>IF(Tab.11[[#This Row],[a1]]=1,IF($K$3=0,Tab.11[b6],Tab.11[[#This Row],[b6]]-AVERAGE(Tab.11[b6])))</f>
        <v>0</v>
      </c>
      <c r="L694" s="69" t="b">
        <f>IF(Tab.11[[#This Row],[a1]]=1,Tab.11[[#This Row],[data]]/(_xlfn.STDEV.P(Tab.11[data])*$B$989)+$A$989)</f>
        <v>0</v>
      </c>
      <c r="M694" s="69" t="b">
        <f>IF(Tab.11[[#This Row],[a1]]=1,Tab.11[[#This Row],[data]]/(_xlfn.STDEV.P(Tab.11[data])*$B$987)-$A$987)</f>
        <v>0</v>
      </c>
      <c r="N694" s="69" t="b">
        <f>IF(Tab.11[[#This Row],[a1]]=1,Tab.11[[#This Row],[data]]/(_xlfn.STDEV.P(Tab.11[data])*$B$988)+$A$988)</f>
        <v>0</v>
      </c>
      <c r="O694" s="70" t="b">
        <f>IF(Tab.11[[#This Row],[a1]]=1,_xlfn.NORM.DIST(Tab.11[[#This Row],[b8]],$P$1,$Q$1,FALSE))</f>
        <v>0</v>
      </c>
      <c r="P694" s="70" t="b">
        <f>IF(Tab.11[[#This Row],[a1]]=1,_xlfn.NORM.DIST(Tab.11[[#This Row],[b9]],$P$1,$Q$1,FALSE))</f>
        <v>0</v>
      </c>
      <c r="Q694" s="70" t="b">
        <f>IF(Tab.11[[#This Row],[a1]]=1,_xlfn.NORM.DIST(Tab.11[[#This Row],[b10]],$P$1,$Q$1,FALSE))</f>
        <v>0</v>
      </c>
      <c r="R694" s="67" t="b">
        <f>IF(Tab.11[[#This Row],[a1]]=1,$I$3+$A$989+IF($K$3=0,Tab.11[[#This Row],[b8]]*_xlfn.STDEV.P(Tab.11[data]),AVERAGE(Tab.11[b6])+Tab.11[[#This Row],[b8]]*_xlfn.STDEV.P(Tab.11[data])))</f>
        <v>0</v>
      </c>
      <c r="S694" s="71" t="b">
        <f>IF(Tab.11[[#This Row],[a1]]=1,$I$3+$A$987+IF($K$3=0,Tab.11[[#This Row],[b9]]*_xlfn.STDEV.P(Tab.11[data]),AVERAGE(Tab.11[b6])+Tab.11[[#This Row],[b9]]*_xlfn.STDEV.P(Tab.11[data])))</f>
        <v>0</v>
      </c>
      <c r="T694" s="71" t="b">
        <f>IF(Tab.11[[#This Row],[a1]]=1,$I$3+$A$988+IF($K$3=0,Tab.11[[#This Row],[b10]]*_xlfn.STDEV.P(Tab.11[data]),AVERAGE(Tab.11[b6])+Tab.11[[#This Row],[b10]]*_xlfn.STDEV.P(Tab.11[data])))</f>
        <v>0</v>
      </c>
      <c r="U694" s="72" t="b">
        <f>IF(Tab.11[[#This Row],[a1]]=1,Tab.11[[#This Row],[target]]-Tab.11[[#This Row],[Red]])</f>
        <v>0</v>
      </c>
      <c r="V694" s="72" t="b">
        <f>IF(Tab.11[[#This Row],[a1]]=1,Tab.11[[#This Row],[target]]-Tab.11[[#This Row],[Blue]])</f>
        <v>0</v>
      </c>
      <c r="W694" s="73" t="b">
        <f>IF(Tab.11[[#This Row],[a1]]=1,IF(ABS(Tab.11[[#This Row],[b17]])+ABS(Tab.11[[#This Row],[b18]])&lt;$W$2,$W$2,ABS(Tab.11[[#This Row],[b17]])+ABS(Tab.11[[#This Row],[b18]])))</f>
        <v>0</v>
      </c>
      <c r="X694" s="136" t="b">
        <f>IF(Tab.11[[#This Row],[a1]]=1,IF($W$3&lt;0,Tab.11[[#This Row],[IN]]-$I$3,Tab.11[[#This Row],[IN]]))</f>
        <v>0</v>
      </c>
      <c r="Y694" s="136" t="b">
        <f>IF(Tab.11[[#This Row],[a1]]=1,IF($X$3=0,Tab.11[b66],Tab.11[[#This Row],[b66]]-AVERAGE(Tab.11[b66])))</f>
        <v>0</v>
      </c>
      <c r="Z694" s="135" t="b">
        <f>IF(Tab.11[[#This Row],[a1]]=1,Tab.11[[#This Row],[b77]]/(_xlfn.STDEV.P(Tab.11[b77])))</f>
        <v>0</v>
      </c>
      <c r="AA694" s="70" t="b">
        <f>IF(Tab.11[[#This Row],[a1]]=1,_xlfn.NORM.DIST(Tab.11[[#This Row],[b88]],$Z$1,$AA$1,FALSE))</f>
        <v>0</v>
      </c>
      <c r="AB694" s="74" t="b">
        <f>IF(Tab.11[[#This Row],[a1]]=1,IF($A$3=0,FALSE,1/Tab.11[[#This Row],[IN]]*$AC$2*IF(Tab.11[[#This Row],[a1]]=0,,$A$3*$AC$1*1/$V$3*(Tab.11[[#This Row],[b14]]))))</f>
        <v>0</v>
      </c>
      <c r="AC694" s="75" t="b">
        <f>IF(Tab.11[[#This Row],[a1]]=1,IF($AC$3=0,Tab.11[[#This Row],[φ1]],Tab.11[[#This Row],[φ1]]/MAX(Tab.11[φ1])))</f>
        <v>0</v>
      </c>
      <c r="AD694" s="74" t="b">
        <f>IF(Tab.11[[#This Row],[a1]]=1,1/Tab.11[[#This Row],[φ2]])</f>
        <v>0</v>
      </c>
      <c r="AE694" s="74" t="b">
        <f>IF(Tab.11[[#This Row],[a1]]=1,IF($AE$3=0,Tab.11[[#This Row],[w.0]],Tab.11[[#This Row],[w.0]]/SUM(Tab.11[w.0])))</f>
        <v>0</v>
      </c>
      <c r="AF694" s="76" t="str">
        <f>IF(Tab.11[[#This Row],[a1]]=0,"false",[3]!Tab.x5[[#This Row],[%_seN_C]])</f>
        <v>false</v>
      </c>
      <c r="AG694" s="77" t="b">
        <f>IF(Tab.11[[#This Row],[a1]]=1,AP694)</f>
        <v>0</v>
      </c>
      <c r="AH694" s="78" t="b">
        <f>IF(Tab.11[[#This Row],[a1]]=1,AQ694)</f>
        <v>0</v>
      </c>
      <c r="AI694" s="41">
        <v>3.0000000000000001E-3</v>
      </c>
      <c r="AJ694" s="79">
        <v>0.03</v>
      </c>
      <c r="AK694" s="80" t="b">
        <f>IF(Tab.11[[#This Row],[a1]]=1,1)</f>
        <v>0</v>
      </c>
      <c r="AL694"/>
      <c r="AM694"/>
      <c r="AN694"/>
      <c r="AO694"/>
      <c r="AP694"/>
      <c r="AQ694"/>
      <c r="AR694"/>
      <c r="AS694"/>
    </row>
    <row r="695" spans="1:45" s="81" customFormat="1" hidden="1" x14ac:dyDescent="0.25">
      <c r="A695" s="61">
        <f t="shared" si="23"/>
        <v>0</v>
      </c>
      <c r="B695" s="62">
        <f t="shared" si="23"/>
        <v>0</v>
      </c>
      <c r="C695" s="62" t="b">
        <f>IF(Tab.11[[#This Row],[a1]]=1,[3]!Tab_x1[[#This Row],[Name]])</f>
        <v>0</v>
      </c>
      <c r="D695" s="63" t="b">
        <f>IF(Tab.11[[#This Row],[a1]]=1,AO695)</f>
        <v>0</v>
      </c>
      <c r="E695" s="63">
        <f t="shared" si="22"/>
        <v>0</v>
      </c>
      <c r="F695" s="64" t="b">
        <f>IF(Tab.11[[#This Row],[a1]]=1,Tab.11[[#This Row],[b1]])</f>
        <v>0</v>
      </c>
      <c r="G695" s="65" t="b">
        <f>IF(Tab.11[[#This Row],[a1]]=1,IF(Tab.11[[#This Row],[b3]]&gt;$L$989*$G$3,$L$989*$G$3,IF(Tab.11[[#This Row],[b3]]&lt;$M$989*$G$3,$M$989*$G$3,Tab.11[[#This Row],[b3]])))</f>
        <v>0</v>
      </c>
      <c r="H695" s="66" t="b">
        <f>IF(Tab.11[[#This Row],[a1]]=1,Tab.11[[#This Row],[b1]])</f>
        <v>0</v>
      </c>
      <c r="I695" s="67" t="b">
        <f>IF(Tab.11[[#This Row],[a1]]=1,Tab.11[[#This Row],[b1]])</f>
        <v>0</v>
      </c>
      <c r="J695" s="68" t="b">
        <f>IF(Tab.11[[#This Row],[a1]]=1,IF($I$3&lt;0,Tab.11[[#This Row],[b5]]-$I$3,Tab.11[[#This Row],[b5]]))</f>
        <v>0</v>
      </c>
      <c r="K695" s="68" t="b">
        <f>IF(Tab.11[[#This Row],[a1]]=1,IF($K$3=0,Tab.11[b6],Tab.11[[#This Row],[b6]]-AVERAGE(Tab.11[b6])))</f>
        <v>0</v>
      </c>
      <c r="L695" s="69" t="b">
        <f>IF(Tab.11[[#This Row],[a1]]=1,Tab.11[[#This Row],[data]]/(_xlfn.STDEV.P(Tab.11[data])*$B$989)+$A$989)</f>
        <v>0</v>
      </c>
      <c r="M695" s="69" t="b">
        <f>IF(Tab.11[[#This Row],[a1]]=1,Tab.11[[#This Row],[data]]/(_xlfn.STDEV.P(Tab.11[data])*$B$987)-$A$987)</f>
        <v>0</v>
      </c>
      <c r="N695" s="69" t="b">
        <f>IF(Tab.11[[#This Row],[a1]]=1,Tab.11[[#This Row],[data]]/(_xlfn.STDEV.P(Tab.11[data])*$B$988)+$A$988)</f>
        <v>0</v>
      </c>
      <c r="O695" s="70" t="b">
        <f>IF(Tab.11[[#This Row],[a1]]=1,_xlfn.NORM.DIST(Tab.11[[#This Row],[b8]],$P$1,$Q$1,FALSE))</f>
        <v>0</v>
      </c>
      <c r="P695" s="70" t="b">
        <f>IF(Tab.11[[#This Row],[a1]]=1,_xlfn.NORM.DIST(Tab.11[[#This Row],[b9]],$P$1,$Q$1,FALSE))</f>
        <v>0</v>
      </c>
      <c r="Q695" s="70" t="b">
        <f>IF(Tab.11[[#This Row],[a1]]=1,_xlfn.NORM.DIST(Tab.11[[#This Row],[b10]],$P$1,$Q$1,FALSE))</f>
        <v>0</v>
      </c>
      <c r="R695" s="67" t="b">
        <f>IF(Tab.11[[#This Row],[a1]]=1,$I$3+$A$989+IF($K$3=0,Tab.11[[#This Row],[b8]]*_xlfn.STDEV.P(Tab.11[data]),AVERAGE(Tab.11[b6])+Tab.11[[#This Row],[b8]]*_xlfn.STDEV.P(Tab.11[data])))</f>
        <v>0</v>
      </c>
      <c r="S695" s="71" t="b">
        <f>IF(Tab.11[[#This Row],[a1]]=1,$I$3+$A$987+IF($K$3=0,Tab.11[[#This Row],[b9]]*_xlfn.STDEV.P(Tab.11[data]),AVERAGE(Tab.11[b6])+Tab.11[[#This Row],[b9]]*_xlfn.STDEV.P(Tab.11[data])))</f>
        <v>0</v>
      </c>
      <c r="T695" s="71" t="b">
        <f>IF(Tab.11[[#This Row],[a1]]=1,$I$3+$A$988+IF($K$3=0,Tab.11[[#This Row],[b10]]*_xlfn.STDEV.P(Tab.11[data]),AVERAGE(Tab.11[b6])+Tab.11[[#This Row],[b10]]*_xlfn.STDEV.P(Tab.11[data])))</f>
        <v>0</v>
      </c>
      <c r="U695" s="72" t="b">
        <f>IF(Tab.11[[#This Row],[a1]]=1,Tab.11[[#This Row],[target]]-Tab.11[[#This Row],[Red]])</f>
        <v>0</v>
      </c>
      <c r="V695" s="72" t="b">
        <f>IF(Tab.11[[#This Row],[a1]]=1,Tab.11[[#This Row],[target]]-Tab.11[[#This Row],[Blue]])</f>
        <v>0</v>
      </c>
      <c r="W695" s="73" t="b">
        <f>IF(Tab.11[[#This Row],[a1]]=1,IF(ABS(Tab.11[[#This Row],[b17]])+ABS(Tab.11[[#This Row],[b18]])&lt;$W$2,$W$2,ABS(Tab.11[[#This Row],[b17]])+ABS(Tab.11[[#This Row],[b18]])))</f>
        <v>0</v>
      </c>
      <c r="X695" s="136" t="b">
        <f>IF(Tab.11[[#This Row],[a1]]=1,IF($W$3&lt;0,Tab.11[[#This Row],[IN]]-$I$3,Tab.11[[#This Row],[IN]]))</f>
        <v>0</v>
      </c>
      <c r="Y695" s="136" t="b">
        <f>IF(Tab.11[[#This Row],[a1]]=1,IF($X$3=0,Tab.11[b66],Tab.11[[#This Row],[b66]]-AVERAGE(Tab.11[b66])))</f>
        <v>0</v>
      </c>
      <c r="Z695" s="135" t="b">
        <f>IF(Tab.11[[#This Row],[a1]]=1,Tab.11[[#This Row],[b77]]/(_xlfn.STDEV.P(Tab.11[b77])))</f>
        <v>0</v>
      </c>
      <c r="AA695" s="70" t="b">
        <f>IF(Tab.11[[#This Row],[a1]]=1,_xlfn.NORM.DIST(Tab.11[[#This Row],[b88]],$Z$1,$AA$1,FALSE))</f>
        <v>0</v>
      </c>
      <c r="AB695" s="74" t="b">
        <f>IF(Tab.11[[#This Row],[a1]]=1,IF($A$3=0,FALSE,1/Tab.11[[#This Row],[IN]]*$AC$2*IF(Tab.11[[#This Row],[a1]]=0,,$A$3*$AC$1*1/$V$3*(Tab.11[[#This Row],[b14]]))))</f>
        <v>0</v>
      </c>
      <c r="AC695" s="75" t="b">
        <f>IF(Tab.11[[#This Row],[a1]]=1,IF($AC$3=0,Tab.11[[#This Row],[φ1]],Tab.11[[#This Row],[φ1]]/MAX(Tab.11[φ1])))</f>
        <v>0</v>
      </c>
      <c r="AD695" s="74" t="b">
        <f>IF(Tab.11[[#This Row],[a1]]=1,1/Tab.11[[#This Row],[φ2]])</f>
        <v>0</v>
      </c>
      <c r="AE695" s="74" t="b">
        <f>IF(Tab.11[[#This Row],[a1]]=1,IF($AE$3=0,Tab.11[[#This Row],[w.0]],Tab.11[[#This Row],[w.0]]/SUM(Tab.11[w.0])))</f>
        <v>0</v>
      </c>
      <c r="AF695" s="76" t="str">
        <f>IF(Tab.11[[#This Row],[a1]]=0,"false",[3]!Tab.x5[[#This Row],[%_seN_C]])</f>
        <v>false</v>
      </c>
      <c r="AG695" s="77" t="b">
        <f>IF(Tab.11[[#This Row],[a1]]=1,AP695)</f>
        <v>0</v>
      </c>
      <c r="AH695" s="78" t="b">
        <f>IF(Tab.11[[#This Row],[a1]]=1,AQ695)</f>
        <v>0</v>
      </c>
      <c r="AI695" s="41">
        <v>3.0000000000000001E-3</v>
      </c>
      <c r="AJ695" s="79">
        <v>-0.06</v>
      </c>
      <c r="AK695" s="80" t="b">
        <f>IF(Tab.11[[#This Row],[a1]]=1,1)</f>
        <v>0</v>
      </c>
      <c r="AL695"/>
      <c r="AM695"/>
      <c r="AN695"/>
      <c r="AO695"/>
      <c r="AP695"/>
      <c r="AQ695"/>
      <c r="AR695"/>
      <c r="AS695"/>
    </row>
    <row r="696" spans="1:45" s="81" customFormat="1" hidden="1" x14ac:dyDescent="0.25">
      <c r="A696" s="61">
        <f t="shared" si="23"/>
        <v>0</v>
      </c>
      <c r="B696" s="62">
        <f t="shared" si="23"/>
        <v>0</v>
      </c>
      <c r="C696" s="62" t="b">
        <f>IF(Tab.11[[#This Row],[a1]]=1,[3]!Tab_x1[[#This Row],[Name]])</f>
        <v>0</v>
      </c>
      <c r="D696" s="63" t="b">
        <f>IF(Tab.11[[#This Row],[a1]]=1,AO696)</f>
        <v>0</v>
      </c>
      <c r="E696" s="63">
        <f t="shared" si="22"/>
        <v>0</v>
      </c>
      <c r="F696" s="64" t="b">
        <f>IF(Tab.11[[#This Row],[a1]]=1,Tab.11[[#This Row],[b1]])</f>
        <v>0</v>
      </c>
      <c r="G696" s="65" t="b">
        <f>IF(Tab.11[[#This Row],[a1]]=1,IF(Tab.11[[#This Row],[b3]]&gt;$L$989*$G$3,$L$989*$G$3,IF(Tab.11[[#This Row],[b3]]&lt;$M$989*$G$3,$M$989*$G$3,Tab.11[[#This Row],[b3]])))</f>
        <v>0</v>
      </c>
      <c r="H696" s="66" t="b">
        <f>IF(Tab.11[[#This Row],[a1]]=1,Tab.11[[#This Row],[b1]])</f>
        <v>0</v>
      </c>
      <c r="I696" s="67" t="b">
        <f>IF(Tab.11[[#This Row],[a1]]=1,Tab.11[[#This Row],[b1]])</f>
        <v>0</v>
      </c>
      <c r="J696" s="68" t="b">
        <f>IF(Tab.11[[#This Row],[a1]]=1,IF($I$3&lt;0,Tab.11[[#This Row],[b5]]-$I$3,Tab.11[[#This Row],[b5]]))</f>
        <v>0</v>
      </c>
      <c r="K696" s="68" t="b">
        <f>IF(Tab.11[[#This Row],[a1]]=1,IF($K$3=0,Tab.11[b6],Tab.11[[#This Row],[b6]]-AVERAGE(Tab.11[b6])))</f>
        <v>0</v>
      </c>
      <c r="L696" s="69" t="b">
        <f>IF(Tab.11[[#This Row],[a1]]=1,Tab.11[[#This Row],[data]]/(_xlfn.STDEV.P(Tab.11[data])*$B$989)+$A$989)</f>
        <v>0</v>
      </c>
      <c r="M696" s="69" t="b">
        <f>IF(Tab.11[[#This Row],[a1]]=1,Tab.11[[#This Row],[data]]/(_xlfn.STDEV.P(Tab.11[data])*$B$987)-$A$987)</f>
        <v>0</v>
      </c>
      <c r="N696" s="69" t="b">
        <f>IF(Tab.11[[#This Row],[a1]]=1,Tab.11[[#This Row],[data]]/(_xlfn.STDEV.P(Tab.11[data])*$B$988)+$A$988)</f>
        <v>0</v>
      </c>
      <c r="O696" s="70" t="b">
        <f>IF(Tab.11[[#This Row],[a1]]=1,_xlfn.NORM.DIST(Tab.11[[#This Row],[b8]],$P$1,$Q$1,FALSE))</f>
        <v>0</v>
      </c>
      <c r="P696" s="70" t="b">
        <f>IF(Tab.11[[#This Row],[a1]]=1,_xlfn.NORM.DIST(Tab.11[[#This Row],[b9]],$P$1,$Q$1,FALSE))</f>
        <v>0</v>
      </c>
      <c r="Q696" s="70" t="b">
        <f>IF(Tab.11[[#This Row],[a1]]=1,_xlfn.NORM.DIST(Tab.11[[#This Row],[b10]],$P$1,$Q$1,FALSE))</f>
        <v>0</v>
      </c>
      <c r="R696" s="67" t="b">
        <f>IF(Tab.11[[#This Row],[a1]]=1,$I$3+$A$989+IF($K$3=0,Tab.11[[#This Row],[b8]]*_xlfn.STDEV.P(Tab.11[data]),AVERAGE(Tab.11[b6])+Tab.11[[#This Row],[b8]]*_xlfn.STDEV.P(Tab.11[data])))</f>
        <v>0</v>
      </c>
      <c r="S696" s="71" t="b">
        <f>IF(Tab.11[[#This Row],[a1]]=1,$I$3+$A$987+IF($K$3=0,Tab.11[[#This Row],[b9]]*_xlfn.STDEV.P(Tab.11[data]),AVERAGE(Tab.11[b6])+Tab.11[[#This Row],[b9]]*_xlfn.STDEV.P(Tab.11[data])))</f>
        <v>0</v>
      </c>
      <c r="T696" s="71" t="b">
        <f>IF(Tab.11[[#This Row],[a1]]=1,$I$3+$A$988+IF($K$3=0,Tab.11[[#This Row],[b10]]*_xlfn.STDEV.P(Tab.11[data]),AVERAGE(Tab.11[b6])+Tab.11[[#This Row],[b10]]*_xlfn.STDEV.P(Tab.11[data])))</f>
        <v>0</v>
      </c>
      <c r="U696" s="72" t="b">
        <f>IF(Tab.11[[#This Row],[a1]]=1,Tab.11[[#This Row],[target]]-Tab.11[[#This Row],[Red]])</f>
        <v>0</v>
      </c>
      <c r="V696" s="72" t="b">
        <f>IF(Tab.11[[#This Row],[a1]]=1,Tab.11[[#This Row],[target]]-Tab.11[[#This Row],[Blue]])</f>
        <v>0</v>
      </c>
      <c r="W696" s="73" t="b">
        <f>IF(Tab.11[[#This Row],[a1]]=1,IF(ABS(Tab.11[[#This Row],[b17]])+ABS(Tab.11[[#This Row],[b18]])&lt;$W$2,$W$2,ABS(Tab.11[[#This Row],[b17]])+ABS(Tab.11[[#This Row],[b18]])))</f>
        <v>0</v>
      </c>
      <c r="X696" s="136" t="b">
        <f>IF(Tab.11[[#This Row],[a1]]=1,IF($W$3&lt;0,Tab.11[[#This Row],[IN]]-$I$3,Tab.11[[#This Row],[IN]]))</f>
        <v>0</v>
      </c>
      <c r="Y696" s="136" t="b">
        <f>IF(Tab.11[[#This Row],[a1]]=1,IF($X$3=0,Tab.11[b66],Tab.11[[#This Row],[b66]]-AVERAGE(Tab.11[b66])))</f>
        <v>0</v>
      </c>
      <c r="Z696" s="135" t="b">
        <f>IF(Tab.11[[#This Row],[a1]]=1,Tab.11[[#This Row],[b77]]/(_xlfn.STDEV.P(Tab.11[b77])))</f>
        <v>0</v>
      </c>
      <c r="AA696" s="70" t="b">
        <f>IF(Tab.11[[#This Row],[a1]]=1,_xlfn.NORM.DIST(Tab.11[[#This Row],[b88]],$Z$1,$AA$1,FALSE))</f>
        <v>0</v>
      </c>
      <c r="AB696" s="74" t="b">
        <f>IF(Tab.11[[#This Row],[a1]]=1,IF($A$3=0,FALSE,1/Tab.11[[#This Row],[IN]]*$AC$2*IF(Tab.11[[#This Row],[a1]]=0,,$A$3*$AC$1*1/$V$3*(Tab.11[[#This Row],[b14]]))))</f>
        <v>0</v>
      </c>
      <c r="AC696" s="75" t="b">
        <f>IF(Tab.11[[#This Row],[a1]]=1,IF($AC$3=0,Tab.11[[#This Row],[φ1]],Tab.11[[#This Row],[φ1]]/MAX(Tab.11[φ1])))</f>
        <v>0</v>
      </c>
      <c r="AD696" s="74" t="b">
        <f>IF(Tab.11[[#This Row],[a1]]=1,1/Tab.11[[#This Row],[φ2]])</f>
        <v>0</v>
      </c>
      <c r="AE696" s="74" t="b">
        <f>IF(Tab.11[[#This Row],[a1]]=1,IF($AE$3=0,Tab.11[[#This Row],[w.0]],Tab.11[[#This Row],[w.0]]/SUM(Tab.11[w.0])))</f>
        <v>0</v>
      </c>
      <c r="AF696" s="76" t="str">
        <f>IF(Tab.11[[#This Row],[a1]]=0,"false",[3]!Tab.x5[[#This Row],[%_seN_C]])</f>
        <v>false</v>
      </c>
      <c r="AG696" s="77" t="b">
        <f>IF(Tab.11[[#This Row],[a1]]=1,AP696)</f>
        <v>0</v>
      </c>
      <c r="AH696" s="78" t="b">
        <f>IF(Tab.11[[#This Row],[a1]]=1,AQ696)</f>
        <v>0</v>
      </c>
      <c r="AI696" s="41">
        <v>3.0000000000000001E-3</v>
      </c>
      <c r="AJ696" s="79">
        <v>7.0000000000000007E-2</v>
      </c>
      <c r="AK696" s="80" t="b">
        <f>IF(Tab.11[[#This Row],[a1]]=1,1)</f>
        <v>0</v>
      </c>
      <c r="AL696"/>
      <c r="AM696"/>
      <c r="AN696"/>
      <c r="AO696"/>
      <c r="AP696"/>
      <c r="AQ696"/>
      <c r="AR696"/>
      <c r="AS696"/>
    </row>
    <row r="697" spans="1:45" s="81" customFormat="1" hidden="1" x14ac:dyDescent="0.25">
      <c r="A697" s="61">
        <f t="shared" si="23"/>
        <v>0</v>
      </c>
      <c r="B697" s="62">
        <f t="shared" si="23"/>
        <v>0</v>
      </c>
      <c r="C697" s="62" t="b">
        <f>IF(Tab.11[[#This Row],[a1]]=1,[3]!Tab_x1[[#This Row],[Name]])</f>
        <v>0</v>
      </c>
      <c r="D697" s="63" t="b">
        <f>IF(Tab.11[[#This Row],[a1]]=1,AO697)</f>
        <v>0</v>
      </c>
      <c r="E697" s="63">
        <f t="shared" si="22"/>
        <v>0</v>
      </c>
      <c r="F697" s="64" t="b">
        <f>IF(Tab.11[[#This Row],[a1]]=1,Tab.11[[#This Row],[b1]])</f>
        <v>0</v>
      </c>
      <c r="G697" s="65" t="b">
        <f>IF(Tab.11[[#This Row],[a1]]=1,IF(Tab.11[[#This Row],[b3]]&gt;$L$989*$G$3,$L$989*$G$3,IF(Tab.11[[#This Row],[b3]]&lt;$M$989*$G$3,$M$989*$G$3,Tab.11[[#This Row],[b3]])))</f>
        <v>0</v>
      </c>
      <c r="H697" s="66" t="b">
        <f>IF(Tab.11[[#This Row],[a1]]=1,Tab.11[[#This Row],[b1]])</f>
        <v>0</v>
      </c>
      <c r="I697" s="67" t="b">
        <f>IF(Tab.11[[#This Row],[a1]]=1,Tab.11[[#This Row],[b1]])</f>
        <v>0</v>
      </c>
      <c r="J697" s="68" t="b">
        <f>IF(Tab.11[[#This Row],[a1]]=1,IF($I$3&lt;0,Tab.11[[#This Row],[b5]]-$I$3,Tab.11[[#This Row],[b5]]))</f>
        <v>0</v>
      </c>
      <c r="K697" s="68" t="b">
        <f>IF(Tab.11[[#This Row],[a1]]=1,IF($K$3=0,Tab.11[b6],Tab.11[[#This Row],[b6]]-AVERAGE(Tab.11[b6])))</f>
        <v>0</v>
      </c>
      <c r="L697" s="69" t="b">
        <f>IF(Tab.11[[#This Row],[a1]]=1,Tab.11[[#This Row],[data]]/(_xlfn.STDEV.P(Tab.11[data])*$B$989)+$A$989)</f>
        <v>0</v>
      </c>
      <c r="M697" s="69" t="b">
        <f>IF(Tab.11[[#This Row],[a1]]=1,Tab.11[[#This Row],[data]]/(_xlfn.STDEV.P(Tab.11[data])*$B$987)-$A$987)</f>
        <v>0</v>
      </c>
      <c r="N697" s="69" t="b">
        <f>IF(Tab.11[[#This Row],[a1]]=1,Tab.11[[#This Row],[data]]/(_xlfn.STDEV.P(Tab.11[data])*$B$988)+$A$988)</f>
        <v>0</v>
      </c>
      <c r="O697" s="70" t="b">
        <f>IF(Tab.11[[#This Row],[a1]]=1,_xlfn.NORM.DIST(Tab.11[[#This Row],[b8]],$P$1,$Q$1,FALSE))</f>
        <v>0</v>
      </c>
      <c r="P697" s="70" t="b">
        <f>IF(Tab.11[[#This Row],[a1]]=1,_xlfn.NORM.DIST(Tab.11[[#This Row],[b9]],$P$1,$Q$1,FALSE))</f>
        <v>0</v>
      </c>
      <c r="Q697" s="70" t="b">
        <f>IF(Tab.11[[#This Row],[a1]]=1,_xlfn.NORM.DIST(Tab.11[[#This Row],[b10]],$P$1,$Q$1,FALSE))</f>
        <v>0</v>
      </c>
      <c r="R697" s="67" t="b">
        <f>IF(Tab.11[[#This Row],[a1]]=1,$I$3+$A$989+IF($K$3=0,Tab.11[[#This Row],[b8]]*_xlfn.STDEV.P(Tab.11[data]),AVERAGE(Tab.11[b6])+Tab.11[[#This Row],[b8]]*_xlfn.STDEV.P(Tab.11[data])))</f>
        <v>0</v>
      </c>
      <c r="S697" s="71" t="b">
        <f>IF(Tab.11[[#This Row],[a1]]=1,$I$3+$A$987+IF($K$3=0,Tab.11[[#This Row],[b9]]*_xlfn.STDEV.P(Tab.11[data]),AVERAGE(Tab.11[b6])+Tab.11[[#This Row],[b9]]*_xlfn.STDEV.P(Tab.11[data])))</f>
        <v>0</v>
      </c>
      <c r="T697" s="71" t="b">
        <f>IF(Tab.11[[#This Row],[a1]]=1,$I$3+$A$988+IF($K$3=0,Tab.11[[#This Row],[b10]]*_xlfn.STDEV.P(Tab.11[data]),AVERAGE(Tab.11[b6])+Tab.11[[#This Row],[b10]]*_xlfn.STDEV.P(Tab.11[data])))</f>
        <v>0</v>
      </c>
      <c r="U697" s="72" t="b">
        <f>IF(Tab.11[[#This Row],[a1]]=1,Tab.11[[#This Row],[target]]-Tab.11[[#This Row],[Red]])</f>
        <v>0</v>
      </c>
      <c r="V697" s="72" t="b">
        <f>IF(Tab.11[[#This Row],[a1]]=1,Tab.11[[#This Row],[target]]-Tab.11[[#This Row],[Blue]])</f>
        <v>0</v>
      </c>
      <c r="W697" s="73" t="b">
        <f>IF(Tab.11[[#This Row],[a1]]=1,IF(ABS(Tab.11[[#This Row],[b17]])+ABS(Tab.11[[#This Row],[b18]])&lt;$W$2,$W$2,ABS(Tab.11[[#This Row],[b17]])+ABS(Tab.11[[#This Row],[b18]])))</f>
        <v>0</v>
      </c>
      <c r="X697" s="136" t="b">
        <f>IF(Tab.11[[#This Row],[a1]]=1,IF($W$3&lt;0,Tab.11[[#This Row],[IN]]-$I$3,Tab.11[[#This Row],[IN]]))</f>
        <v>0</v>
      </c>
      <c r="Y697" s="136" t="b">
        <f>IF(Tab.11[[#This Row],[a1]]=1,IF($X$3=0,Tab.11[b66],Tab.11[[#This Row],[b66]]-AVERAGE(Tab.11[b66])))</f>
        <v>0</v>
      </c>
      <c r="Z697" s="135" t="b">
        <f>IF(Tab.11[[#This Row],[a1]]=1,Tab.11[[#This Row],[b77]]/(_xlfn.STDEV.P(Tab.11[b77])))</f>
        <v>0</v>
      </c>
      <c r="AA697" s="70" t="b">
        <f>IF(Tab.11[[#This Row],[a1]]=1,_xlfn.NORM.DIST(Tab.11[[#This Row],[b88]],$Z$1,$AA$1,FALSE))</f>
        <v>0</v>
      </c>
      <c r="AB697" s="74" t="b">
        <f>IF(Tab.11[[#This Row],[a1]]=1,IF($A$3=0,FALSE,1/Tab.11[[#This Row],[IN]]*$AC$2*IF(Tab.11[[#This Row],[a1]]=0,,$A$3*$AC$1*1/$V$3*(Tab.11[[#This Row],[b14]]))))</f>
        <v>0</v>
      </c>
      <c r="AC697" s="75" t="b">
        <f>IF(Tab.11[[#This Row],[a1]]=1,IF($AC$3=0,Tab.11[[#This Row],[φ1]],Tab.11[[#This Row],[φ1]]/MAX(Tab.11[φ1])))</f>
        <v>0</v>
      </c>
      <c r="AD697" s="74" t="b">
        <f>IF(Tab.11[[#This Row],[a1]]=1,1/Tab.11[[#This Row],[φ2]])</f>
        <v>0</v>
      </c>
      <c r="AE697" s="74" t="b">
        <f>IF(Tab.11[[#This Row],[a1]]=1,IF($AE$3=0,Tab.11[[#This Row],[w.0]],Tab.11[[#This Row],[w.0]]/SUM(Tab.11[w.0])))</f>
        <v>0</v>
      </c>
      <c r="AF697" s="76" t="str">
        <f>IF(Tab.11[[#This Row],[a1]]=0,"false",[3]!Tab.x5[[#This Row],[%_seN_C]])</f>
        <v>false</v>
      </c>
      <c r="AG697" s="77" t="b">
        <f>IF(Tab.11[[#This Row],[a1]]=1,AP697)</f>
        <v>0</v>
      </c>
      <c r="AH697" s="78" t="b">
        <f>IF(Tab.11[[#This Row],[a1]]=1,AQ697)</f>
        <v>0</v>
      </c>
      <c r="AI697" s="41">
        <v>3.0000000000000001E-3</v>
      </c>
      <c r="AJ697" s="79">
        <v>0.01</v>
      </c>
      <c r="AK697" s="80" t="b">
        <f>IF(Tab.11[[#This Row],[a1]]=1,1)</f>
        <v>0</v>
      </c>
      <c r="AL697"/>
      <c r="AM697"/>
      <c r="AN697"/>
      <c r="AO697"/>
      <c r="AP697"/>
      <c r="AQ697"/>
      <c r="AR697"/>
      <c r="AS697"/>
    </row>
    <row r="698" spans="1:45" s="81" customFormat="1" hidden="1" x14ac:dyDescent="0.25">
      <c r="A698" s="61">
        <f t="shared" si="23"/>
        <v>0</v>
      </c>
      <c r="B698" s="62">
        <f t="shared" si="23"/>
        <v>0</v>
      </c>
      <c r="C698" s="62" t="b">
        <f>IF(Tab.11[[#This Row],[a1]]=1,[3]!Tab_x1[[#This Row],[Name]])</f>
        <v>0</v>
      </c>
      <c r="D698" s="63" t="b">
        <f>IF(Tab.11[[#This Row],[a1]]=1,AO698)</f>
        <v>0</v>
      </c>
      <c r="E698" s="63">
        <f t="shared" si="22"/>
        <v>0</v>
      </c>
      <c r="F698" s="64" t="b">
        <f>IF(Tab.11[[#This Row],[a1]]=1,Tab.11[[#This Row],[b1]])</f>
        <v>0</v>
      </c>
      <c r="G698" s="65" t="b">
        <f>IF(Tab.11[[#This Row],[a1]]=1,IF(Tab.11[[#This Row],[b3]]&gt;$L$989*$G$3,$L$989*$G$3,IF(Tab.11[[#This Row],[b3]]&lt;$M$989*$G$3,$M$989*$G$3,Tab.11[[#This Row],[b3]])))</f>
        <v>0</v>
      </c>
      <c r="H698" s="66" t="b">
        <f>IF(Tab.11[[#This Row],[a1]]=1,Tab.11[[#This Row],[b1]])</f>
        <v>0</v>
      </c>
      <c r="I698" s="67" t="b">
        <f>IF(Tab.11[[#This Row],[a1]]=1,Tab.11[[#This Row],[b1]])</f>
        <v>0</v>
      </c>
      <c r="J698" s="68" t="b">
        <f>IF(Tab.11[[#This Row],[a1]]=1,IF($I$3&lt;0,Tab.11[[#This Row],[b5]]-$I$3,Tab.11[[#This Row],[b5]]))</f>
        <v>0</v>
      </c>
      <c r="K698" s="68" t="b">
        <f>IF(Tab.11[[#This Row],[a1]]=1,IF($K$3=0,Tab.11[b6],Tab.11[[#This Row],[b6]]-AVERAGE(Tab.11[b6])))</f>
        <v>0</v>
      </c>
      <c r="L698" s="69" t="b">
        <f>IF(Tab.11[[#This Row],[a1]]=1,Tab.11[[#This Row],[data]]/(_xlfn.STDEV.P(Tab.11[data])*$B$989)+$A$989)</f>
        <v>0</v>
      </c>
      <c r="M698" s="69" t="b">
        <f>IF(Tab.11[[#This Row],[a1]]=1,Tab.11[[#This Row],[data]]/(_xlfn.STDEV.P(Tab.11[data])*$B$987)-$A$987)</f>
        <v>0</v>
      </c>
      <c r="N698" s="69" t="b">
        <f>IF(Tab.11[[#This Row],[a1]]=1,Tab.11[[#This Row],[data]]/(_xlfn.STDEV.P(Tab.11[data])*$B$988)+$A$988)</f>
        <v>0</v>
      </c>
      <c r="O698" s="70" t="b">
        <f>IF(Tab.11[[#This Row],[a1]]=1,_xlfn.NORM.DIST(Tab.11[[#This Row],[b8]],$P$1,$Q$1,FALSE))</f>
        <v>0</v>
      </c>
      <c r="P698" s="70" t="b">
        <f>IF(Tab.11[[#This Row],[a1]]=1,_xlfn.NORM.DIST(Tab.11[[#This Row],[b9]],$P$1,$Q$1,FALSE))</f>
        <v>0</v>
      </c>
      <c r="Q698" s="70" t="b">
        <f>IF(Tab.11[[#This Row],[a1]]=1,_xlfn.NORM.DIST(Tab.11[[#This Row],[b10]],$P$1,$Q$1,FALSE))</f>
        <v>0</v>
      </c>
      <c r="R698" s="67" t="b">
        <f>IF(Tab.11[[#This Row],[a1]]=1,$I$3+$A$989+IF($K$3=0,Tab.11[[#This Row],[b8]]*_xlfn.STDEV.P(Tab.11[data]),AVERAGE(Tab.11[b6])+Tab.11[[#This Row],[b8]]*_xlfn.STDEV.P(Tab.11[data])))</f>
        <v>0</v>
      </c>
      <c r="S698" s="71" t="b">
        <f>IF(Tab.11[[#This Row],[a1]]=1,$I$3+$A$987+IF($K$3=0,Tab.11[[#This Row],[b9]]*_xlfn.STDEV.P(Tab.11[data]),AVERAGE(Tab.11[b6])+Tab.11[[#This Row],[b9]]*_xlfn.STDEV.P(Tab.11[data])))</f>
        <v>0</v>
      </c>
      <c r="T698" s="71" t="b">
        <f>IF(Tab.11[[#This Row],[a1]]=1,$I$3+$A$988+IF($K$3=0,Tab.11[[#This Row],[b10]]*_xlfn.STDEV.P(Tab.11[data]),AVERAGE(Tab.11[b6])+Tab.11[[#This Row],[b10]]*_xlfn.STDEV.P(Tab.11[data])))</f>
        <v>0</v>
      </c>
      <c r="U698" s="72" t="b">
        <f>IF(Tab.11[[#This Row],[a1]]=1,Tab.11[[#This Row],[target]]-Tab.11[[#This Row],[Red]])</f>
        <v>0</v>
      </c>
      <c r="V698" s="72" t="b">
        <f>IF(Tab.11[[#This Row],[a1]]=1,Tab.11[[#This Row],[target]]-Tab.11[[#This Row],[Blue]])</f>
        <v>0</v>
      </c>
      <c r="W698" s="73" t="b">
        <f>IF(Tab.11[[#This Row],[a1]]=1,IF(ABS(Tab.11[[#This Row],[b17]])+ABS(Tab.11[[#This Row],[b18]])&lt;$W$2,$W$2,ABS(Tab.11[[#This Row],[b17]])+ABS(Tab.11[[#This Row],[b18]])))</f>
        <v>0</v>
      </c>
      <c r="X698" s="136" t="b">
        <f>IF(Tab.11[[#This Row],[a1]]=1,IF($W$3&lt;0,Tab.11[[#This Row],[IN]]-$I$3,Tab.11[[#This Row],[IN]]))</f>
        <v>0</v>
      </c>
      <c r="Y698" s="136" t="b">
        <f>IF(Tab.11[[#This Row],[a1]]=1,IF($X$3=0,Tab.11[b66],Tab.11[[#This Row],[b66]]-AVERAGE(Tab.11[b66])))</f>
        <v>0</v>
      </c>
      <c r="Z698" s="135" t="b">
        <f>IF(Tab.11[[#This Row],[a1]]=1,Tab.11[[#This Row],[b77]]/(_xlfn.STDEV.P(Tab.11[b77])))</f>
        <v>0</v>
      </c>
      <c r="AA698" s="70" t="b">
        <f>IF(Tab.11[[#This Row],[a1]]=1,_xlfn.NORM.DIST(Tab.11[[#This Row],[b88]],$Z$1,$AA$1,FALSE))</f>
        <v>0</v>
      </c>
      <c r="AB698" s="74" t="b">
        <f>IF(Tab.11[[#This Row],[a1]]=1,IF($A$3=0,FALSE,1/Tab.11[[#This Row],[IN]]*$AC$2*IF(Tab.11[[#This Row],[a1]]=0,,$A$3*$AC$1*1/$V$3*(Tab.11[[#This Row],[b14]]))))</f>
        <v>0</v>
      </c>
      <c r="AC698" s="75" t="b">
        <f>IF(Tab.11[[#This Row],[a1]]=1,IF($AC$3=0,Tab.11[[#This Row],[φ1]],Tab.11[[#This Row],[φ1]]/MAX(Tab.11[φ1])))</f>
        <v>0</v>
      </c>
      <c r="AD698" s="74" t="b">
        <f>IF(Tab.11[[#This Row],[a1]]=1,1/Tab.11[[#This Row],[φ2]])</f>
        <v>0</v>
      </c>
      <c r="AE698" s="74" t="b">
        <f>IF(Tab.11[[#This Row],[a1]]=1,IF($AE$3=0,Tab.11[[#This Row],[w.0]],Tab.11[[#This Row],[w.0]]/SUM(Tab.11[w.0])))</f>
        <v>0</v>
      </c>
      <c r="AF698" s="76" t="str">
        <f>IF(Tab.11[[#This Row],[a1]]=0,"false",[3]!Tab.x5[[#This Row],[%_seN_C]])</f>
        <v>false</v>
      </c>
      <c r="AG698" s="77" t="b">
        <f>IF(Tab.11[[#This Row],[a1]]=1,AP698)</f>
        <v>0</v>
      </c>
      <c r="AH698" s="78" t="b">
        <f>IF(Tab.11[[#This Row],[a1]]=1,AQ698)</f>
        <v>0</v>
      </c>
      <c r="AI698" s="41">
        <v>3.0000000000000001E-3</v>
      </c>
      <c r="AJ698" s="79">
        <v>0.06</v>
      </c>
      <c r="AK698" s="80" t="b">
        <f>IF(Tab.11[[#This Row],[a1]]=1,1)</f>
        <v>0</v>
      </c>
      <c r="AL698"/>
      <c r="AM698"/>
      <c r="AN698"/>
      <c r="AO698"/>
      <c r="AP698"/>
      <c r="AQ698"/>
      <c r="AR698"/>
      <c r="AS698"/>
    </row>
    <row r="699" spans="1:45" s="81" customFormat="1" hidden="1" x14ac:dyDescent="0.25">
      <c r="A699" s="61">
        <f t="shared" si="23"/>
        <v>0</v>
      </c>
      <c r="B699" s="62">
        <f t="shared" si="23"/>
        <v>0</v>
      </c>
      <c r="C699" s="62" t="b">
        <f>IF(Tab.11[[#This Row],[a1]]=1,[3]!Tab_x1[[#This Row],[Name]])</f>
        <v>0</v>
      </c>
      <c r="D699" s="63" t="b">
        <f>IF(Tab.11[[#This Row],[a1]]=1,AO699)</f>
        <v>0</v>
      </c>
      <c r="E699" s="63">
        <f t="shared" si="22"/>
        <v>0</v>
      </c>
      <c r="F699" s="64" t="b">
        <f>IF(Tab.11[[#This Row],[a1]]=1,Tab.11[[#This Row],[b1]])</f>
        <v>0</v>
      </c>
      <c r="G699" s="65" t="b">
        <f>IF(Tab.11[[#This Row],[a1]]=1,IF(Tab.11[[#This Row],[b3]]&gt;$L$989*$G$3,$L$989*$G$3,IF(Tab.11[[#This Row],[b3]]&lt;$M$989*$G$3,$M$989*$G$3,Tab.11[[#This Row],[b3]])))</f>
        <v>0</v>
      </c>
      <c r="H699" s="66" t="b">
        <f>IF(Tab.11[[#This Row],[a1]]=1,Tab.11[[#This Row],[b1]])</f>
        <v>0</v>
      </c>
      <c r="I699" s="67" t="b">
        <f>IF(Tab.11[[#This Row],[a1]]=1,Tab.11[[#This Row],[b1]])</f>
        <v>0</v>
      </c>
      <c r="J699" s="68" t="b">
        <f>IF(Tab.11[[#This Row],[a1]]=1,IF($I$3&lt;0,Tab.11[[#This Row],[b5]]-$I$3,Tab.11[[#This Row],[b5]]))</f>
        <v>0</v>
      </c>
      <c r="K699" s="68" t="b">
        <f>IF(Tab.11[[#This Row],[a1]]=1,IF($K$3=0,Tab.11[b6],Tab.11[[#This Row],[b6]]-AVERAGE(Tab.11[b6])))</f>
        <v>0</v>
      </c>
      <c r="L699" s="69" t="b">
        <f>IF(Tab.11[[#This Row],[a1]]=1,Tab.11[[#This Row],[data]]/(_xlfn.STDEV.P(Tab.11[data])*$B$989)+$A$989)</f>
        <v>0</v>
      </c>
      <c r="M699" s="69" t="b">
        <f>IF(Tab.11[[#This Row],[a1]]=1,Tab.11[[#This Row],[data]]/(_xlfn.STDEV.P(Tab.11[data])*$B$987)-$A$987)</f>
        <v>0</v>
      </c>
      <c r="N699" s="69" t="b">
        <f>IF(Tab.11[[#This Row],[a1]]=1,Tab.11[[#This Row],[data]]/(_xlfn.STDEV.P(Tab.11[data])*$B$988)+$A$988)</f>
        <v>0</v>
      </c>
      <c r="O699" s="70" t="b">
        <f>IF(Tab.11[[#This Row],[a1]]=1,_xlfn.NORM.DIST(Tab.11[[#This Row],[b8]],$P$1,$Q$1,FALSE))</f>
        <v>0</v>
      </c>
      <c r="P699" s="70" t="b">
        <f>IF(Tab.11[[#This Row],[a1]]=1,_xlfn.NORM.DIST(Tab.11[[#This Row],[b9]],$P$1,$Q$1,FALSE))</f>
        <v>0</v>
      </c>
      <c r="Q699" s="70" t="b">
        <f>IF(Tab.11[[#This Row],[a1]]=1,_xlfn.NORM.DIST(Tab.11[[#This Row],[b10]],$P$1,$Q$1,FALSE))</f>
        <v>0</v>
      </c>
      <c r="R699" s="67" t="b">
        <f>IF(Tab.11[[#This Row],[a1]]=1,$I$3+$A$989+IF($K$3=0,Tab.11[[#This Row],[b8]]*_xlfn.STDEV.P(Tab.11[data]),AVERAGE(Tab.11[b6])+Tab.11[[#This Row],[b8]]*_xlfn.STDEV.P(Tab.11[data])))</f>
        <v>0</v>
      </c>
      <c r="S699" s="71" t="b">
        <f>IF(Tab.11[[#This Row],[a1]]=1,$I$3+$A$987+IF($K$3=0,Tab.11[[#This Row],[b9]]*_xlfn.STDEV.P(Tab.11[data]),AVERAGE(Tab.11[b6])+Tab.11[[#This Row],[b9]]*_xlfn.STDEV.P(Tab.11[data])))</f>
        <v>0</v>
      </c>
      <c r="T699" s="71" t="b">
        <f>IF(Tab.11[[#This Row],[a1]]=1,$I$3+$A$988+IF($K$3=0,Tab.11[[#This Row],[b10]]*_xlfn.STDEV.P(Tab.11[data]),AVERAGE(Tab.11[b6])+Tab.11[[#This Row],[b10]]*_xlfn.STDEV.P(Tab.11[data])))</f>
        <v>0</v>
      </c>
      <c r="U699" s="72" t="b">
        <f>IF(Tab.11[[#This Row],[a1]]=1,Tab.11[[#This Row],[target]]-Tab.11[[#This Row],[Red]])</f>
        <v>0</v>
      </c>
      <c r="V699" s="72" t="b">
        <f>IF(Tab.11[[#This Row],[a1]]=1,Tab.11[[#This Row],[target]]-Tab.11[[#This Row],[Blue]])</f>
        <v>0</v>
      </c>
      <c r="W699" s="73" t="b">
        <f>IF(Tab.11[[#This Row],[a1]]=1,IF(ABS(Tab.11[[#This Row],[b17]])+ABS(Tab.11[[#This Row],[b18]])&lt;$W$2,$W$2,ABS(Tab.11[[#This Row],[b17]])+ABS(Tab.11[[#This Row],[b18]])))</f>
        <v>0</v>
      </c>
      <c r="X699" s="136" t="b">
        <f>IF(Tab.11[[#This Row],[a1]]=1,IF($W$3&lt;0,Tab.11[[#This Row],[IN]]-$I$3,Tab.11[[#This Row],[IN]]))</f>
        <v>0</v>
      </c>
      <c r="Y699" s="136" t="b">
        <f>IF(Tab.11[[#This Row],[a1]]=1,IF($X$3=0,Tab.11[b66],Tab.11[[#This Row],[b66]]-AVERAGE(Tab.11[b66])))</f>
        <v>0</v>
      </c>
      <c r="Z699" s="135" t="b">
        <f>IF(Tab.11[[#This Row],[a1]]=1,Tab.11[[#This Row],[b77]]/(_xlfn.STDEV.P(Tab.11[b77])))</f>
        <v>0</v>
      </c>
      <c r="AA699" s="70" t="b">
        <f>IF(Tab.11[[#This Row],[a1]]=1,_xlfn.NORM.DIST(Tab.11[[#This Row],[b88]],$Z$1,$AA$1,FALSE))</f>
        <v>0</v>
      </c>
      <c r="AB699" s="74" t="b">
        <f>IF(Tab.11[[#This Row],[a1]]=1,IF($A$3=0,FALSE,1/Tab.11[[#This Row],[IN]]*$AC$2*IF(Tab.11[[#This Row],[a1]]=0,,$A$3*$AC$1*1/$V$3*(Tab.11[[#This Row],[b14]]))))</f>
        <v>0</v>
      </c>
      <c r="AC699" s="75" t="b">
        <f>IF(Tab.11[[#This Row],[a1]]=1,IF($AC$3=0,Tab.11[[#This Row],[φ1]],Tab.11[[#This Row],[φ1]]/MAX(Tab.11[φ1])))</f>
        <v>0</v>
      </c>
      <c r="AD699" s="74" t="b">
        <f>IF(Tab.11[[#This Row],[a1]]=1,1/Tab.11[[#This Row],[φ2]])</f>
        <v>0</v>
      </c>
      <c r="AE699" s="74" t="b">
        <f>IF(Tab.11[[#This Row],[a1]]=1,IF($AE$3=0,Tab.11[[#This Row],[w.0]],Tab.11[[#This Row],[w.0]]/SUM(Tab.11[w.0])))</f>
        <v>0</v>
      </c>
      <c r="AF699" s="76" t="str">
        <f>IF(Tab.11[[#This Row],[a1]]=0,"false",[3]!Tab.x5[[#This Row],[%_seN_C]])</f>
        <v>false</v>
      </c>
      <c r="AG699" s="77" t="b">
        <f>IF(Tab.11[[#This Row],[a1]]=1,AP699)</f>
        <v>0</v>
      </c>
      <c r="AH699" s="78" t="b">
        <f>IF(Tab.11[[#This Row],[a1]]=1,AQ699)</f>
        <v>0</v>
      </c>
      <c r="AI699" s="41">
        <v>3.0000000000000001E-3</v>
      </c>
      <c r="AJ699" s="79">
        <v>-0.05</v>
      </c>
      <c r="AK699" s="80" t="b">
        <f>IF(Tab.11[[#This Row],[a1]]=1,1)</f>
        <v>0</v>
      </c>
      <c r="AL699"/>
      <c r="AM699"/>
      <c r="AN699"/>
      <c r="AO699"/>
      <c r="AP699"/>
      <c r="AQ699"/>
      <c r="AR699"/>
      <c r="AS699"/>
    </row>
    <row r="700" spans="1:45" s="81" customFormat="1" hidden="1" x14ac:dyDescent="0.25">
      <c r="A700" s="61">
        <f t="shared" si="23"/>
        <v>0</v>
      </c>
      <c r="B700" s="62">
        <f t="shared" si="23"/>
        <v>0</v>
      </c>
      <c r="C700" s="62" t="b">
        <f>IF(Tab.11[[#This Row],[a1]]=1,[3]!Tab_x1[[#This Row],[Name]])</f>
        <v>0</v>
      </c>
      <c r="D700" s="63" t="b">
        <f>IF(Tab.11[[#This Row],[a1]]=1,AO700)</f>
        <v>0</v>
      </c>
      <c r="E700" s="63">
        <f t="shared" si="22"/>
        <v>0</v>
      </c>
      <c r="F700" s="64" t="b">
        <f>IF(Tab.11[[#This Row],[a1]]=1,Tab.11[[#This Row],[b1]])</f>
        <v>0</v>
      </c>
      <c r="G700" s="65" t="b">
        <f>IF(Tab.11[[#This Row],[a1]]=1,IF(Tab.11[[#This Row],[b3]]&gt;$L$989*$G$3,$L$989*$G$3,IF(Tab.11[[#This Row],[b3]]&lt;$M$989*$G$3,$M$989*$G$3,Tab.11[[#This Row],[b3]])))</f>
        <v>0</v>
      </c>
      <c r="H700" s="66" t="b">
        <f>IF(Tab.11[[#This Row],[a1]]=1,Tab.11[[#This Row],[b1]])</f>
        <v>0</v>
      </c>
      <c r="I700" s="67" t="b">
        <f>IF(Tab.11[[#This Row],[a1]]=1,Tab.11[[#This Row],[b1]])</f>
        <v>0</v>
      </c>
      <c r="J700" s="68" t="b">
        <f>IF(Tab.11[[#This Row],[a1]]=1,IF($I$3&lt;0,Tab.11[[#This Row],[b5]]-$I$3,Tab.11[[#This Row],[b5]]))</f>
        <v>0</v>
      </c>
      <c r="K700" s="68" t="b">
        <f>IF(Tab.11[[#This Row],[a1]]=1,IF($K$3=0,Tab.11[b6],Tab.11[[#This Row],[b6]]-AVERAGE(Tab.11[b6])))</f>
        <v>0</v>
      </c>
      <c r="L700" s="69" t="b">
        <f>IF(Tab.11[[#This Row],[a1]]=1,Tab.11[[#This Row],[data]]/(_xlfn.STDEV.P(Tab.11[data])*$B$989)+$A$989)</f>
        <v>0</v>
      </c>
      <c r="M700" s="69" t="b">
        <f>IF(Tab.11[[#This Row],[a1]]=1,Tab.11[[#This Row],[data]]/(_xlfn.STDEV.P(Tab.11[data])*$B$987)-$A$987)</f>
        <v>0</v>
      </c>
      <c r="N700" s="69" t="b">
        <f>IF(Tab.11[[#This Row],[a1]]=1,Tab.11[[#This Row],[data]]/(_xlfn.STDEV.P(Tab.11[data])*$B$988)+$A$988)</f>
        <v>0</v>
      </c>
      <c r="O700" s="70" t="b">
        <f>IF(Tab.11[[#This Row],[a1]]=1,_xlfn.NORM.DIST(Tab.11[[#This Row],[b8]],$P$1,$Q$1,FALSE))</f>
        <v>0</v>
      </c>
      <c r="P700" s="70" t="b">
        <f>IF(Tab.11[[#This Row],[a1]]=1,_xlfn.NORM.DIST(Tab.11[[#This Row],[b9]],$P$1,$Q$1,FALSE))</f>
        <v>0</v>
      </c>
      <c r="Q700" s="70" t="b">
        <f>IF(Tab.11[[#This Row],[a1]]=1,_xlfn.NORM.DIST(Tab.11[[#This Row],[b10]],$P$1,$Q$1,FALSE))</f>
        <v>0</v>
      </c>
      <c r="R700" s="67" t="b">
        <f>IF(Tab.11[[#This Row],[a1]]=1,$I$3+$A$989+IF($K$3=0,Tab.11[[#This Row],[b8]]*_xlfn.STDEV.P(Tab.11[data]),AVERAGE(Tab.11[b6])+Tab.11[[#This Row],[b8]]*_xlfn.STDEV.P(Tab.11[data])))</f>
        <v>0</v>
      </c>
      <c r="S700" s="71" t="b">
        <f>IF(Tab.11[[#This Row],[a1]]=1,$I$3+$A$987+IF($K$3=0,Tab.11[[#This Row],[b9]]*_xlfn.STDEV.P(Tab.11[data]),AVERAGE(Tab.11[b6])+Tab.11[[#This Row],[b9]]*_xlfn.STDEV.P(Tab.11[data])))</f>
        <v>0</v>
      </c>
      <c r="T700" s="71" t="b">
        <f>IF(Tab.11[[#This Row],[a1]]=1,$I$3+$A$988+IF($K$3=0,Tab.11[[#This Row],[b10]]*_xlfn.STDEV.P(Tab.11[data]),AVERAGE(Tab.11[b6])+Tab.11[[#This Row],[b10]]*_xlfn.STDEV.P(Tab.11[data])))</f>
        <v>0</v>
      </c>
      <c r="U700" s="72" t="b">
        <f>IF(Tab.11[[#This Row],[a1]]=1,Tab.11[[#This Row],[target]]-Tab.11[[#This Row],[Red]])</f>
        <v>0</v>
      </c>
      <c r="V700" s="72" t="b">
        <f>IF(Tab.11[[#This Row],[a1]]=1,Tab.11[[#This Row],[target]]-Tab.11[[#This Row],[Blue]])</f>
        <v>0</v>
      </c>
      <c r="W700" s="73" t="b">
        <f>IF(Tab.11[[#This Row],[a1]]=1,IF(ABS(Tab.11[[#This Row],[b17]])+ABS(Tab.11[[#This Row],[b18]])&lt;$W$2,$W$2,ABS(Tab.11[[#This Row],[b17]])+ABS(Tab.11[[#This Row],[b18]])))</f>
        <v>0</v>
      </c>
      <c r="X700" s="136" t="b">
        <f>IF(Tab.11[[#This Row],[a1]]=1,IF($W$3&lt;0,Tab.11[[#This Row],[IN]]-$I$3,Tab.11[[#This Row],[IN]]))</f>
        <v>0</v>
      </c>
      <c r="Y700" s="136" t="b">
        <f>IF(Tab.11[[#This Row],[a1]]=1,IF($X$3=0,Tab.11[b66],Tab.11[[#This Row],[b66]]-AVERAGE(Tab.11[b66])))</f>
        <v>0</v>
      </c>
      <c r="Z700" s="135" t="b">
        <f>IF(Tab.11[[#This Row],[a1]]=1,Tab.11[[#This Row],[b77]]/(_xlfn.STDEV.P(Tab.11[b77])))</f>
        <v>0</v>
      </c>
      <c r="AA700" s="70" t="b">
        <f>IF(Tab.11[[#This Row],[a1]]=1,_xlfn.NORM.DIST(Tab.11[[#This Row],[b88]],$Z$1,$AA$1,FALSE))</f>
        <v>0</v>
      </c>
      <c r="AB700" s="74" t="b">
        <f>IF(Tab.11[[#This Row],[a1]]=1,IF($A$3=0,FALSE,1/Tab.11[[#This Row],[IN]]*$AC$2*IF(Tab.11[[#This Row],[a1]]=0,,$A$3*$AC$1*1/$V$3*(Tab.11[[#This Row],[b14]]))))</f>
        <v>0</v>
      </c>
      <c r="AC700" s="75" t="b">
        <f>IF(Tab.11[[#This Row],[a1]]=1,IF($AC$3=0,Tab.11[[#This Row],[φ1]],Tab.11[[#This Row],[φ1]]/MAX(Tab.11[φ1])))</f>
        <v>0</v>
      </c>
      <c r="AD700" s="74" t="b">
        <f>IF(Tab.11[[#This Row],[a1]]=1,1/Tab.11[[#This Row],[φ2]])</f>
        <v>0</v>
      </c>
      <c r="AE700" s="74" t="b">
        <f>IF(Tab.11[[#This Row],[a1]]=1,IF($AE$3=0,Tab.11[[#This Row],[w.0]],Tab.11[[#This Row],[w.0]]/SUM(Tab.11[w.0])))</f>
        <v>0</v>
      </c>
      <c r="AF700" s="76" t="str">
        <f>IF(Tab.11[[#This Row],[a1]]=0,"false",[3]!Tab.x5[[#This Row],[%_seN_C]])</f>
        <v>false</v>
      </c>
      <c r="AG700" s="77" t="b">
        <f>IF(Tab.11[[#This Row],[a1]]=1,AP700)</f>
        <v>0</v>
      </c>
      <c r="AH700" s="78" t="b">
        <f>IF(Tab.11[[#This Row],[a1]]=1,AQ700)</f>
        <v>0</v>
      </c>
      <c r="AI700" s="41">
        <v>3.0000000000000001E-3</v>
      </c>
      <c r="AJ700" s="79">
        <v>0.01</v>
      </c>
      <c r="AK700" s="80" t="b">
        <f>IF(Tab.11[[#This Row],[a1]]=1,1)</f>
        <v>0</v>
      </c>
      <c r="AL700"/>
      <c r="AM700"/>
      <c r="AN700"/>
      <c r="AO700"/>
      <c r="AP700"/>
      <c r="AQ700"/>
      <c r="AR700"/>
      <c r="AS700"/>
    </row>
    <row r="701" spans="1:45" s="81" customFormat="1" hidden="1" x14ac:dyDescent="0.25">
      <c r="A701" s="61">
        <f t="shared" si="23"/>
        <v>0</v>
      </c>
      <c r="B701" s="62">
        <f t="shared" si="23"/>
        <v>0</v>
      </c>
      <c r="C701" s="62" t="b">
        <f>IF(Tab.11[[#This Row],[a1]]=1,[3]!Tab_x1[[#This Row],[Name]])</f>
        <v>0</v>
      </c>
      <c r="D701" s="63" t="b">
        <f>IF(Tab.11[[#This Row],[a1]]=1,AO701)</f>
        <v>0</v>
      </c>
      <c r="E701" s="63">
        <f t="shared" si="22"/>
        <v>0</v>
      </c>
      <c r="F701" s="64" t="b">
        <f>IF(Tab.11[[#This Row],[a1]]=1,Tab.11[[#This Row],[b1]])</f>
        <v>0</v>
      </c>
      <c r="G701" s="65" t="b">
        <f>IF(Tab.11[[#This Row],[a1]]=1,IF(Tab.11[[#This Row],[b3]]&gt;$L$989*$G$3,$L$989*$G$3,IF(Tab.11[[#This Row],[b3]]&lt;$M$989*$G$3,$M$989*$G$3,Tab.11[[#This Row],[b3]])))</f>
        <v>0</v>
      </c>
      <c r="H701" s="66" t="b">
        <f>IF(Tab.11[[#This Row],[a1]]=1,Tab.11[[#This Row],[b1]])</f>
        <v>0</v>
      </c>
      <c r="I701" s="67" t="b">
        <f>IF(Tab.11[[#This Row],[a1]]=1,Tab.11[[#This Row],[b1]])</f>
        <v>0</v>
      </c>
      <c r="J701" s="68" t="b">
        <f>IF(Tab.11[[#This Row],[a1]]=1,IF($I$3&lt;0,Tab.11[[#This Row],[b5]]-$I$3,Tab.11[[#This Row],[b5]]))</f>
        <v>0</v>
      </c>
      <c r="K701" s="68" t="b">
        <f>IF(Tab.11[[#This Row],[a1]]=1,IF($K$3=0,Tab.11[b6],Tab.11[[#This Row],[b6]]-AVERAGE(Tab.11[b6])))</f>
        <v>0</v>
      </c>
      <c r="L701" s="69" t="b">
        <f>IF(Tab.11[[#This Row],[a1]]=1,Tab.11[[#This Row],[data]]/(_xlfn.STDEV.P(Tab.11[data])*$B$989)+$A$989)</f>
        <v>0</v>
      </c>
      <c r="M701" s="69" t="b">
        <f>IF(Tab.11[[#This Row],[a1]]=1,Tab.11[[#This Row],[data]]/(_xlfn.STDEV.P(Tab.11[data])*$B$987)-$A$987)</f>
        <v>0</v>
      </c>
      <c r="N701" s="69" t="b">
        <f>IF(Tab.11[[#This Row],[a1]]=1,Tab.11[[#This Row],[data]]/(_xlfn.STDEV.P(Tab.11[data])*$B$988)+$A$988)</f>
        <v>0</v>
      </c>
      <c r="O701" s="70" t="b">
        <f>IF(Tab.11[[#This Row],[a1]]=1,_xlfn.NORM.DIST(Tab.11[[#This Row],[b8]],$P$1,$Q$1,FALSE))</f>
        <v>0</v>
      </c>
      <c r="P701" s="70" t="b">
        <f>IF(Tab.11[[#This Row],[a1]]=1,_xlfn.NORM.DIST(Tab.11[[#This Row],[b9]],$P$1,$Q$1,FALSE))</f>
        <v>0</v>
      </c>
      <c r="Q701" s="70" t="b">
        <f>IF(Tab.11[[#This Row],[a1]]=1,_xlfn.NORM.DIST(Tab.11[[#This Row],[b10]],$P$1,$Q$1,FALSE))</f>
        <v>0</v>
      </c>
      <c r="R701" s="67" t="b">
        <f>IF(Tab.11[[#This Row],[a1]]=1,$I$3+$A$989+IF($K$3=0,Tab.11[[#This Row],[b8]]*_xlfn.STDEV.P(Tab.11[data]),AVERAGE(Tab.11[b6])+Tab.11[[#This Row],[b8]]*_xlfn.STDEV.P(Tab.11[data])))</f>
        <v>0</v>
      </c>
      <c r="S701" s="71" t="b">
        <f>IF(Tab.11[[#This Row],[a1]]=1,$I$3+$A$987+IF($K$3=0,Tab.11[[#This Row],[b9]]*_xlfn.STDEV.P(Tab.11[data]),AVERAGE(Tab.11[b6])+Tab.11[[#This Row],[b9]]*_xlfn.STDEV.P(Tab.11[data])))</f>
        <v>0</v>
      </c>
      <c r="T701" s="71" t="b">
        <f>IF(Tab.11[[#This Row],[a1]]=1,$I$3+$A$988+IF($K$3=0,Tab.11[[#This Row],[b10]]*_xlfn.STDEV.P(Tab.11[data]),AVERAGE(Tab.11[b6])+Tab.11[[#This Row],[b10]]*_xlfn.STDEV.P(Tab.11[data])))</f>
        <v>0</v>
      </c>
      <c r="U701" s="72" t="b">
        <f>IF(Tab.11[[#This Row],[a1]]=1,Tab.11[[#This Row],[target]]-Tab.11[[#This Row],[Red]])</f>
        <v>0</v>
      </c>
      <c r="V701" s="72" t="b">
        <f>IF(Tab.11[[#This Row],[a1]]=1,Tab.11[[#This Row],[target]]-Tab.11[[#This Row],[Blue]])</f>
        <v>0</v>
      </c>
      <c r="W701" s="73" t="b">
        <f>IF(Tab.11[[#This Row],[a1]]=1,IF(ABS(Tab.11[[#This Row],[b17]])+ABS(Tab.11[[#This Row],[b18]])&lt;$W$2,$W$2,ABS(Tab.11[[#This Row],[b17]])+ABS(Tab.11[[#This Row],[b18]])))</f>
        <v>0</v>
      </c>
      <c r="X701" s="136" t="b">
        <f>IF(Tab.11[[#This Row],[a1]]=1,IF($W$3&lt;0,Tab.11[[#This Row],[IN]]-$I$3,Tab.11[[#This Row],[IN]]))</f>
        <v>0</v>
      </c>
      <c r="Y701" s="136" t="b">
        <f>IF(Tab.11[[#This Row],[a1]]=1,IF($X$3=0,Tab.11[b66],Tab.11[[#This Row],[b66]]-AVERAGE(Tab.11[b66])))</f>
        <v>0</v>
      </c>
      <c r="Z701" s="135" t="b">
        <f>IF(Tab.11[[#This Row],[a1]]=1,Tab.11[[#This Row],[b77]]/(_xlfn.STDEV.P(Tab.11[b77])))</f>
        <v>0</v>
      </c>
      <c r="AA701" s="70" t="b">
        <f>IF(Tab.11[[#This Row],[a1]]=1,_xlfn.NORM.DIST(Tab.11[[#This Row],[b88]],$Z$1,$AA$1,FALSE))</f>
        <v>0</v>
      </c>
      <c r="AB701" s="74" t="b">
        <f>IF(Tab.11[[#This Row],[a1]]=1,IF($A$3=0,FALSE,1/Tab.11[[#This Row],[IN]]*$AC$2*IF(Tab.11[[#This Row],[a1]]=0,,$A$3*$AC$1*1/$V$3*(Tab.11[[#This Row],[b14]]))))</f>
        <v>0</v>
      </c>
      <c r="AC701" s="75" t="b">
        <f>IF(Tab.11[[#This Row],[a1]]=1,IF($AC$3=0,Tab.11[[#This Row],[φ1]],Tab.11[[#This Row],[φ1]]/MAX(Tab.11[φ1])))</f>
        <v>0</v>
      </c>
      <c r="AD701" s="74" t="b">
        <f>IF(Tab.11[[#This Row],[a1]]=1,1/Tab.11[[#This Row],[φ2]])</f>
        <v>0</v>
      </c>
      <c r="AE701" s="74" t="b">
        <f>IF(Tab.11[[#This Row],[a1]]=1,IF($AE$3=0,Tab.11[[#This Row],[w.0]],Tab.11[[#This Row],[w.0]]/SUM(Tab.11[w.0])))</f>
        <v>0</v>
      </c>
      <c r="AF701" s="76" t="str">
        <f>IF(Tab.11[[#This Row],[a1]]=0,"false",[3]!Tab.x5[[#This Row],[%_seN_C]])</f>
        <v>false</v>
      </c>
      <c r="AG701" s="77" t="b">
        <f>IF(Tab.11[[#This Row],[a1]]=1,AP701)</f>
        <v>0</v>
      </c>
      <c r="AH701" s="78" t="b">
        <f>IF(Tab.11[[#This Row],[a1]]=1,AQ701)</f>
        <v>0</v>
      </c>
      <c r="AI701" s="41">
        <v>3.0000000000000001E-3</v>
      </c>
      <c r="AJ701" s="79">
        <v>0.05</v>
      </c>
      <c r="AK701" s="80" t="b">
        <f>IF(Tab.11[[#This Row],[a1]]=1,1)</f>
        <v>0</v>
      </c>
      <c r="AL701"/>
      <c r="AM701"/>
      <c r="AN701"/>
      <c r="AO701"/>
      <c r="AP701"/>
      <c r="AQ701"/>
      <c r="AR701"/>
      <c r="AS701"/>
    </row>
    <row r="702" spans="1:45" s="81" customFormat="1" hidden="1" x14ac:dyDescent="0.25">
      <c r="A702" s="61">
        <f t="shared" si="23"/>
        <v>0</v>
      </c>
      <c r="B702" s="62">
        <f t="shared" si="23"/>
        <v>0</v>
      </c>
      <c r="C702" s="62" t="b">
        <f>IF(Tab.11[[#This Row],[a1]]=1,[3]!Tab_x1[[#This Row],[Name]])</f>
        <v>0</v>
      </c>
      <c r="D702" s="63" t="b">
        <f>IF(Tab.11[[#This Row],[a1]]=1,AO702)</f>
        <v>0</v>
      </c>
      <c r="E702" s="63">
        <f t="shared" si="22"/>
        <v>0</v>
      </c>
      <c r="F702" s="64" t="b">
        <f>IF(Tab.11[[#This Row],[a1]]=1,Tab.11[[#This Row],[b1]])</f>
        <v>0</v>
      </c>
      <c r="G702" s="65" t="b">
        <f>IF(Tab.11[[#This Row],[a1]]=1,IF(Tab.11[[#This Row],[b3]]&gt;$L$989*$G$3,$L$989*$G$3,IF(Tab.11[[#This Row],[b3]]&lt;$M$989*$G$3,$M$989*$G$3,Tab.11[[#This Row],[b3]])))</f>
        <v>0</v>
      </c>
      <c r="H702" s="66" t="b">
        <f>IF(Tab.11[[#This Row],[a1]]=1,Tab.11[[#This Row],[b1]])</f>
        <v>0</v>
      </c>
      <c r="I702" s="67" t="b">
        <f>IF(Tab.11[[#This Row],[a1]]=1,Tab.11[[#This Row],[b1]])</f>
        <v>0</v>
      </c>
      <c r="J702" s="68" t="b">
        <f>IF(Tab.11[[#This Row],[a1]]=1,IF($I$3&lt;0,Tab.11[[#This Row],[b5]]-$I$3,Tab.11[[#This Row],[b5]]))</f>
        <v>0</v>
      </c>
      <c r="K702" s="68" t="b">
        <f>IF(Tab.11[[#This Row],[a1]]=1,IF($K$3=0,Tab.11[b6],Tab.11[[#This Row],[b6]]-AVERAGE(Tab.11[b6])))</f>
        <v>0</v>
      </c>
      <c r="L702" s="69" t="b">
        <f>IF(Tab.11[[#This Row],[a1]]=1,Tab.11[[#This Row],[data]]/(_xlfn.STDEV.P(Tab.11[data])*$B$989)+$A$989)</f>
        <v>0</v>
      </c>
      <c r="M702" s="69" t="b">
        <f>IF(Tab.11[[#This Row],[a1]]=1,Tab.11[[#This Row],[data]]/(_xlfn.STDEV.P(Tab.11[data])*$B$987)-$A$987)</f>
        <v>0</v>
      </c>
      <c r="N702" s="69" t="b">
        <f>IF(Tab.11[[#This Row],[a1]]=1,Tab.11[[#This Row],[data]]/(_xlfn.STDEV.P(Tab.11[data])*$B$988)+$A$988)</f>
        <v>0</v>
      </c>
      <c r="O702" s="70" t="b">
        <f>IF(Tab.11[[#This Row],[a1]]=1,_xlfn.NORM.DIST(Tab.11[[#This Row],[b8]],$P$1,$Q$1,FALSE))</f>
        <v>0</v>
      </c>
      <c r="P702" s="70" t="b">
        <f>IF(Tab.11[[#This Row],[a1]]=1,_xlfn.NORM.DIST(Tab.11[[#This Row],[b9]],$P$1,$Q$1,FALSE))</f>
        <v>0</v>
      </c>
      <c r="Q702" s="70" t="b">
        <f>IF(Tab.11[[#This Row],[a1]]=1,_xlfn.NORM.DIST(Tab.11[[#This Row],[b10]],$P$1,$Q$1,FALSE))</f>
        <v>0</v>
      </c>
      <c r="R702" s="67" t="b">
        <f>IF(Tab.11[[#This Row],[a1]]=1,$I$3+$A$989+IF($K$3=0,Tab.11[[#This Row],[b8]]*_xlfn.STDEV.P(Tab.11[data]),AVERAGE(Tab.11[b6])+Tab.11[[#This Row],[b8]]*_xlfn.STDEV.P(Tab.11[data])))</f>
        <v>0</v>
      </c>
      <c r="S702" s="71" t="b">
        <f>IF(Tab.11[[#This Row],[a1]]=1,$I$3+$A$987+IF($K$3=0,Tab.11[[#This Row],[b9]]*_xlfn.STDEV.P(Tab.11[data]),AVERAGE(Tab.11[b6])+Tab.11[[#This Row],[b9]]*_xlfn.STDEV.P(Tab.11[data])))</f>
        <v>0</v>
      </c>
      <c r="T702" s="71" t="b">
        <f>IF(Tab.11[[#This Row],[a1]]=1,$I$3+$A$988+IF($K$3=0,Tab.11[[#This Row],[b10]]*_xlfn.STDEV.P(Tab.11[data]),AVERAGE(Tab.11[b6])+Tab.11[[#This Row],[b10]]*_xlfn.STDEV.P(Tab.11[data])))</f>
        <v>0</v>
      </c>
      <c r="U702" s="72" t="b">
        <f>IF(Tab.11[[#This Row],[a1]]=1,Tab.11[[#This Row],[target]]-Tab.11[[#This Row],[Red]])</f>
        <v>0</v>
      </c>
      <c r="V702" s="72" t="b">
        <f>IF(Tab.11[[#This Row],[a1]]=1,Tab.11[[#This Row],[target]]-Tab.11[[#This Row],[Blue]])</f>
        <v>0</v>
      </c>
      <c r="W702" s="73" t="b">
        <f>IF(Tab.11[[#This Row],[a1]]=1,IF(ABS(Tab.11[[#This Row],[b17]])+ABS(Tab.11[[#This Row],[b18]])&lt;$W$2,$W$2,ABS(Tab.11[[#This Row],[b17]])+ABS(Tab.11[[#This Row],[b18]])))</f>
        <v>0</v>
      </c>
      <c r="X702" s="136" t="b">
        <f>IF(Tab.11[[#This Row],[a1]]=1,IF($W$3&lt;0,Tab.11[[#This Row],[IN]]-$I$3,Tab.11[[#This Row],[IN]]))</f>
        <v>0</v>
      </c>
      <c r="Y702" s="136" t="b">
        <f>IF(Tab.11[[#This Row],[a1]]=1,IF($X$3=0,Tab.11[b66],Tab.11[[#This Row],[b66]]-AVERAGE(Tab.11[b66])))</f>
        <v>0</v>
      </c>
      <c r="Z702" s="135" t="b">
        <f>IF(Tab.11[[#This Row],[a1]]=1,Tab.11[[#This Row],[b77]]/(_xlfn.STDEV.P(Tab.11[b77])))</f>
        <v>0</v>
      </c>
      <c r="AA702" s="70" t="b">
        <f>IF(Tab.11[[#This Row],[a1]]=1,_xlfn.NORM.DIST(Tab.11[[#This Row],[b88]],$Z$1,$AA$1,FALSE))</f>
        <v>0</v>
      </c>
      <c r="AB702" s="74" t="b">
        <f>IF(Tab.11[[#This Row],[a1]]=1,IF($A$3=0,FALSE,1/Tab.11[[#This Row],[IN]]*$AC$2*IF(Tab.11[[#This Row],[a1]]=0,,$A$3*$AC$1*1/$V$3*(Tab.11[[#This Row],[b14]]))))</f>
        <v>0</v>
      </c>
      <c r="AC702" s="75" t="b">
        <f>IF(Tab.11[[#This Row],[a1]]=1,IF($AC$3=0,Tab.11[[#This Row],[φ1]],Tab.11[[#This Row],[φ1]]/MAX(Tab.11[φ1])))</f>
        <v>0</v>
      </c>
      <c r="AD702" s="74" t="b">
        <f>IF(Tab.11[[#This Row],[a1]]=1,1/Tab.11[[#This Row],[φ2]])</f>
        <v>0</v>
      </c>
      <c r="AE702" s="74" t="b">
        <f>IF(Tab.11[[#This Row],[a1]]=1,IF($AE$3=0,Tab.11[[#This Row],[w.0]],Tab.11[[#This Row],[w.0]]/SUM(Tab.11[w.0])))</f>
        <v>0</v>
      </c>
      <c r="AF702" s="76" t="str">
        <f>IF(Tab.11[[#This Row],[a1]]=0,"false",[3]!Tab.x5[[#This Row],[%_seN_C]])</f>
        <v>false</v>
      </c>
      <c r="AG702" s="77" t="b">
        <f>IF(Tab.11[[#This Row],[a1]]=1,AP702)</f>
        <v>0</v>
      </c>
      <c r="AH702" s="78" t="b">
        <f>IF(Tab.11[[#This Row],[a1]]=1,AQ702)</f>
        <v>0</v>
      </c>
      <c r="AI702" s="41">
        <v>3.0000000000000001E-3</v>
      </c>
      <c r="AJ702" s="79">
        <v>0.1</v>
      </c>
      <c r="AK702" s="80" t="b">
        <f>IF(Tab.11[[#This Row],[a1]]=1,1)</f>
        <v>0</v>
      </c>
      <c r="AL702"/>
      <c r="AM702"/>
      <c r="AN702"/>
      <c r="AO702"/>
      <c r="AP702"/>
      <c r="AQ702"/>
      <c r="AR702"/>
      <c r="AS702"/>
    </row>
    <row r="703" spans="1:45" s="81" customFormat="1" hidden="1" x14ac:dyDescent="0.25">
      <c r="A703" s="61">
        <f t="shared" si="23"/>
        <v>0</v>
      </c>
      <c r="B703" s="62">
        <f t="shared" si="23"/>
        <v>0</v>
      </c>
      <c r="C703" s="62" t="b">
        <f>IF(Tab.11[[#This Row],[a1]]=1,[3]!Tab_x1[[#This Row],[Name]])</f>
        <v>0</v>
      </c>
      <c r="D703" s="63" t="b">
        <f>IF(Tab.11[[#This Row],[a1]]=1,AO703)</f>
        <v>0</v>
      </c>
      <c r="E703" s="63">
        <f t="shared" si="22"/>
        <v>0</v>
      </c>
      <c r="F703" s="64" t="b">
        <f>IF(Tab.11[[#This Row],[a1]]=1,Tab.11[[#This Row],[b1]])</f>
        <v>0</v>
      </c>
      <c r="G703" s="65" t="b">
        <f>IF(Tab.11[[#This Row],[a1]]=1,IF(Tab.11[[#This Row],[b3]]&gt;$L$989*$G$3,$L$989*$G$3,IF(Tab.11[[#This Row],[b3]]&lt;$M$989*$G$3,$M$989*$G$3,Tab.11[[#This Row],[b3]])))</f>
        <v>0</v>
      </c>
      <c r="H703" s="66" t="b">
        <f>IF(Tab.11[[#This Row],[a1]]=1,Tab.11[[#This Row],[b1]])</f>
        <v>0</v>
      </c>
      <c r="I703" s="67" t="b">
        <f>IF(Tab.11[[#This Row],[a1]]=1,Tab.11[[#This Row],[b1]])</f>
        <v>0</v>
      </c>
      <c r="J703" s="68" t="b">
        <f>IF(Tab.11[[#This Row],[a1]]=1,IF($I$3&lt;0,Tab.11[[#This Row],[b5]]-$I$3,Tab.11[[#This Row],[b5]]))</f>
        <v>0</v>
      </c>
      <c r="K703" s="68" t="b">
        <f>IF(Tab.11[[#This Row],[a1]]=1,IF($K$3=0,Tab.11[b6],Tab.11[[#This Row],[b6]]-AVERAGE(Tab.11[b6])))</f>
        <v>0</v>
      </c>
      <c r="L703" s="69" t="b">
        <f>IF(Tab.11[[#This Row],[a1]]=1,Tab.11[[#This Row],[data]]/(_xlfn.STDEV.P(Tab.11[data])*$B$989)+$A$989)</f>
        <v>0</v>
      </c>
      <c r="M703" s="69" t="b">
        <f>IF(Tab.11[[#This Row],[a1]]=1,Tab.11[[#This Row],[data]]/(_xlfn.STDEV.P(Tab.11[data])*$B$987)-$A$987)</f>
        <v>0</v>
      </c>
      <c r="N703" s="69" t="b">
        <f>IF(Tab.11[[#This Row],[a1]]=1,Tab.11[[#This Row],[data]]/(_xlfn.STDEV.P(Tab.11[data])*$B$988)+$A$988)</f>
        <v>0</v>
      </c>
      <c r="O703" s="70" t="b">
        <f>IF(Tab.11[[#This Row],[a1]]=1,_xlfn.NORM.DIST(Tab.11[[#This Row],[b8]],$P$1,$Q$1,FALSE))</f>
        <v>0</v>
      </c>
      <c r="P703" s="70" t="b">
        <f>IF(Tab.11[[#This Row],[a1]]=1,_xlfn.NORM.DIST(Tab.11[[#This Row],[b9]],$P$1,$Q$1,FALSE))</f>
        <v>0</v>
      </c>
      <c r="Q703" s="70" t="b">
        <f>IF(Tab.11[[#This Row],[a1]]=1,_xlfn.NORM.DIST(Tab.11[[#This Row],[b10]],$P$1,$Q$1,FALSE))</f>
        <v>0</v>
      </c>
      <c r="R703" s="67" t="b">
        <f>IF(Tab.11[[#This Row],[a1]]=1,$I$3+$A$989+IF($K$3=0,Tab.11[[#This Row],[b8]]*_xlfn.STDEV.P(Tab.11[data]),AVERAGE(Tab.11[b6])+Tab.11[[#This Row],[b8]]*_xlfn.STDEV.P(Tab.11[data])))</f>
        <v>0</v>
      </c>
      <c r="S703" s="71" t="b">
        <f>IF(Tab.11[[#This Row],[a1]]=1,$I$3+$A$987+IF($K$3=0,Tab.11[[#This Row],[b9]]*_xlfn.STDEV.P(Tab.11[data]),AVERAGE(Tab.11[b6])+Tab.11[[#This Row],[b9]]*_xlfn.STDEV.P(Tab.11[data])))</f>
        <v>0</v>
      </c>
      <c r="T703" s="71" t="b">
        <f>IF(Tab.11[[#This Row],[a1]]=1,$I$3+$A$988+IF($K$3=0,Tab.11[[#This Row],[b10]]*_xlfn.STDEV.P(Tab.11[data]),AVERAGE(Tab.11[b6])+Tab.11[[#This Row],[b10]]*_xlfn.STDEV.P(Tab.11[data])))</f>
        <v>0</v>
      </c>
      <c r="U703" s="72" t="b">
        <f>IF(Tab.11[[#This Row],[a1]]=1,Tab.11[[#This Row],[target]]-Tab.11[[#This Row],[Red]])</f>
        <v>0</v>
      </c>
      <c r="V703" s="72" t="b">
        <f>IF(Tab.11[[#This Row],[a1]]=1,Tab.11[[#This Row],[target]]-Tab.11[[#This Row],[Blue]])</f>
        <v>0</v>
      </c>
      <c r="W703" s="73" t="b">
        <f>IF(Tab.11[[#This Row],[a1]]=1,IF(ABS(Tab.11[[#This Row],[b17]])+ABS(Tab.11[[#This Row],[b18]])&lt;$W$2,$W$2,ABS(Tab.11[[#This Row],[b17]])+ABS(Tab.11[[#This Row],[b18]])))</f>
        <v>0</v>
      </c>
      <c r="X703" s="136" t="b">
        <f>IF(Tab.11[[#This Row],[a1]]=1,IF($W$3&lt;0,Tab.11[[#This Row],[IN]]-$I$3,Tab.11[[#This Row],[IN]]))</f>
        <v>0</v>
      </c>
      <c r="Y703" s="136" t="b">
        <f>IF(Tab.11[[#This Row],[a1]]=1,IF($X$3=0,Tab.11[b66],Tab.11[[#This Row],[b66]]-AVERAGE(Tab.11[b66])))</f>
        <v>0</v>
      </c>
      <c r="Z703" s="135" t="b">
        <f>IF(Tab.11[[#This Row],[a1]]=1,Tab.11[[#This Row],[b77]]/(_xlfn.STDEV.P(Tab.11[b77])))</f>
        <v>0</v>
      </c>
      <c r="AA703" s="70" t="b">
        <f>IF(Tab.11[[#This Row],[a1]]=1,_xlfn.NORM.DIST(Tab.11[[#This Row],[b88]],$Z$1,$AA$1,FALSE))</f>
        <v>0</v>
      </c>
      <c r="AB703" s="74" t="b">
        <f>IF(Tab.11[[#This Row],[a1]]=1,IF($A$3=0,FALSE,1/Tab.11[[#This Row],[IN]]*$AC$2*IF(Tab.11[[#This Row],[a1]]=0,,$A$3*$AC$1*1/$V$3*(Tab.11[[#This Row],[b14]]))))</f>
        <v>0</v>
      </c>
      <c r="AC703" s="75" t="b">
        <f>IF(Tab.11[[#This Row],[a1]]=1,IF($AC$3=0,Tab.11[[#This Row],[φ1]],Tab.11[[#This Row],[φ1]]/MAX(Tab.11[φ1])))</f>
        <v>0</v>
      </c>
      <c r="AD703" s="74" t="b">
        <f>IF(Tab.11[[#This Row],[a1]]=1,1/Tab.11[[#This Row],[φ2]])</f>
        <v>0</v>
      </c>
      <c r="AE703" s="74" t="b">
        <f>IF(Tab.11[[#This Row],[a1]]=1,IF($AE$3=0,Tab.11[[#This Row],[w.0]],Tab.11[[#This Row],[w.0]]/SUM(Tab.11[w.0])))</f>
        <v>0</v>
      </c>
      <c r="AF703" s="76" t="str">
        <f>IF(Tab.11[[#This Row],[a1]]=0,"false",[3]!Tab.x5[[#This Row],[%_seN_C]])</f>
        <v>false</v>
      </c>
      <c r="AG703" s="77" t="b">
        <f>IF(Tab.11[[#This Row],[a1]]=1,AP703)</f>
        <v>0</v>
      </c>
      <c r="AH703" s="78" t="b">
        <f>IF(Tab.11[[#This Row],[a1]]=1,AQ703)</f>
        <v>0</v>
      </c>
      <c r="AI703" s="41">
        <v>3.0000000000000001E-3</v>
      </c>
      <c r="AJ703" s="79">
        <v>0.03</v>
      </c>
      <c r="AK703" s="80" t="b">
        <f>IF(Tab.11[[#This Row],[a1]]=1,1)</f>
        <v>0</v>
      </c>
      <c r="AL703"/>
      <c r="AM703"/>
      <c r="AN703"/>
      <c r="AO703"/>
      <c r="AP703"/>
      <c r="AQ703"/>
      <c r="AR703"/>
      <c r="AS703"/>
    </row>
    <row r="704" spans="1:45" s="81" customFormat="1" hidden="1" x14ac:dyDescent="0.25">
      <c r="A704" s="61">
        <f t="shared" si="23"/>
        <v>0</v>
      </c>
      <c r="B704" s="62">
        <f t="shared" si="23"/>
        <v>0</v>
      </c>
      <c r="C704" s="62" t="b">
        <f>IF(Tab.11[[#This Row],[a1]]=1,[3]!Tab_x1[[#This Row],[Name]])</f>
        <v>0</v>
      </c>
      <c r="D704" s="63" t="b">
        <f>IF(Tab.11[[#This Row],[a1]]=1,AO704)</f>
        <v>0</v>
      </c>
      <c r="E704" s="63">
        <f t="shared" si="22"/>
        <v>0</v>
      </c>
      <c r="F704" s="64" t="b">
        <f>IF(Tab.11[[#This Row],[a1]]=1,Tab.11[[#This Row],[b1]])</f>
        <v>0</v>
      </c>
      <c r="G704" s="65" t="b">
        <f>IF(Tab.11[[#This Row],[a1]]=1,IF(Tab.11[[#This Row],[b3]]&gt;$L$989*$G$3,$L$989*$G$3,IF(Tab.11[[#This Row],[b3]]&lt;$M$989*$G$3,$M$989*$G$3,Tab.11[[#This Row],[b3]])))</f>
        <v>0</v>
      </c>
      <c r="H704" s="66" t="b">
        <f>IF(Tab.11[[#This Row],[a1]]=1,Tab.11[[#This Row],[b1]])</f>
        <v>0</v>
      </c>
      <c r="I704" s="67" t="b">
        <f>IF(Tab.11[[#This Row],[a1]]=1,Tab.11[[#This Row],[b1]])</f>
        <v>0</v>
      </c>
      <c r="J704" s="68" t="b">
        <f>IF(Tab.11[[#This Row],[a1]]=1,IF($I$3&lt;0,Tab.11[[#This Row],[b5]]-$I$3,Tab.11[[#This Row],[b5]]))</f>
        <v>0</v>
      </c>
      <c r="K704" s="68" t="b">
        <f>IF(Tab.11[[#This Row],[a1]]=1,IF($K$3=0,Tab.11[b6],Tab.11[[#This Row],[b6]]-AVERAGE(Tab.11[b6])))</f>
        <v>0</v>
      </c>
      <c r="L704" s="69" t="b">
        <f>IF(Tab.11[[#This Row],[a1]]=1,Tab.11[[#This Row],[data]]/(_xlfn.STDEV.P(Tab.11[data])*$B$989)+$A$989)</f>
        <v>0</v>
      </c>
      <c r="M704" s="69" t="b">
        <f>IF(Tab.11[[#This Row],[a1]]=1,Tab.11[[#This Row],[data]]/(_xlfn.STDEV.P(Tab.11[data])*$B$987)-$A$987)</f>
        <v>0</v>
      </c>
      <c r="N704" s="69" t="b">
        <f>IF(Tab.11[[#This Row],[a1]]=1,Tab.11[[#This Row],[data]]/(_xlfn.STDEV.P(Tab.11[data])*$B$988)+$A$988)</f>
        <v>0</v>
      </c>
      <c r="O704" s="70" t="b">
        <f>IF(Tab.11[[#This Row],[a1]]=1,_xlfn.NORM.DIST(Tab.11[[#This Row],[b8]],$P$1,$Q$1,FALSE))</f>
        <v>0</v>
      </c>
      <c r="P704" s="70" t="b">
        <f>IF(Tab.11[[#This Row],[a1]]=1,_xlfn.NORM.DIST(Tab.11[[#This Row],[b9]],$P$1,$Q$1,FALSE))</f>
        <v>0</v>
      </c>
      <c r="Q704" s="70" t="b">
        <f>IF(Tab.11[[#This Row],[a1]]=1,_xlfn.NORM.DIST(Tab.11[[#This Row],[b10]],$P$1,$Q$1,FALSE))</f>
        <v>0</v>
      </c>
      <c r="R704" s="67" t="b">
        <f>IF(Tab.11[[#This Row],[a1]]=1,$I$3+$A$989+IF($K$3=0,Tab.11[[#This Row],[b8]]*_xlfn.STDEV.P(Tab.11[data]),AVERAGE(Tab.11[b6])+Tab.11[[#This Row],[b8]]*_xlfn.STDEV.P(Tab.11[data])))</f>
        <v>0</v>
      </c>
      <c r="S704" s="71" t="b">
        <f>IF(Tab.11[[#This Row],[a1]]=1,$I$3+$A$987+IF($K$3=0,Tab.11[[#This Row],[b9]]*_xlfn.STDEV.P(Tab.11[data]),AVERAGE(Tab.11[b6])+Tab.11[[#This Row],[b9]]*_xlfn.STDEV.P(Tab.11[data])))</f>
        <v>0</v>
      </c>
      <c r="T704" s="71" t="b">
        <f>IF(Tab.11[[#This Row],[a1]]=1,$I$3+$A$988+IF($K$3=0,Tab.11[[#This Row],[b10]]*_xlfn.STDEV.P(Tab.11[data]),AVERAGE(Tab.11[b6])+Tab.11[[#This Row],[b10]]*_xlfn.STDEV.P(Tab.11[data])))</f>
        <v>0</v>
      </c>
      <c r="U704" s="72" t="b">
        <f>IF(Tab.11[[#This Row],[a1]]=1,Tab.11[[#This Row],[target]]-Tab.11[[#This Row],[Red]])</f>
        <v>0</v>
      </c>
      <c r="V704" s="72" t="b">
        <f>IF(Tab.11[[#This Row],[a1]]=1,Tab.11[[#This Row],[target]]-Tab.11[[#This Row],[Blue]])</f>
        <v>0</v>
      </c>
      <c r="W704" s="73" t="b">
        <f>IF(Tab.11[[#This Row],[a1]]=1,IF(ABS(Tab.11[[#This Row],[b17]])+ABS(Tab.11[[#This Row],[b18]])&lt;$W$2,$W$2,ABS(Tab.11[[#This Row],[b17]])+ABS(Tab.11[[#This Row],[b18]])))</f>
        <v>0</v>
      </c>
      <c r="X704" s="136" t="b">
        <f>IF(Tab.11[[#This Row],[a1]]=1,IF($W$3&lt;0,Tab.11[[#This Row],[IN]]-$I$3,Tab.11[[#This Row],[IN]]))</f>
        <v>0</v>
      </c>
      <c r="Y704" s="136" t="b">
        <f>IF(Tab.11[[#This Row],[a1]]=1,IF($X$3=0,Tab.11[b66],Tab.11[[#This Row],[b66]]-AVERAGE(Tab.11[b66])))</f>
        <v>0</v>
      </c>
      <c r="Z704" s="135" t="b">
        <f>IF(Tab.11[[#This Row],[a1]]=1,Tab.11[[#This Row],[b77]]/(_xlfn.STDEV.P(Tab.11[b77])))</f>
        <v>0</v>
      </c>
      <c r="AA704" s="70" t="b">
        <f>IF(Tab.11[[#This Row],[a1]]=1,_xlfn.NORM.DIST(Tab.11[[#This Row],[b88]],$Z$1,$AA$1,FALSE))</f>
        <v>0</v>
      </c>
      <c r="AB704" s="74" t="b">
        <f>IF(Tab.11[[#This Row],[a1]]=1,IF($A$3=0,FALSE,1/Tab.11[[#This Row],[IN]]*$AC$2*IF(Tab.11[[#This Row],[a1]]=0,,$A$3*$AC$1*1/$V$3*(Tab.11[[#This Row],[b14]]))))</f>
        <v>0</v>
      </c>
      <c r="AC704" s="75" t="b">
        <f>IF(Tab.11[[#This Row],[a1]]=1,IF($AC$3=0,Tab.11[[#This Row],[φ1]],Tab.11[[#This Row],[φ1]]/MAX(Tab.11[φ1])))</f>
        <v>0</v>
      </c>
      <c r="AD704" s="74" t="b">
        <f>IF(Tab.11[[#This Row],[a1]]=1,1/Tab.11[[#This Row],[φ2]])</f>
        <v>0</v>
      </c>
      <c r="AE704" s="74" t="b">
        <f>IF(Tab.11[[#This Row],[a1]]=1,IF($AE$3=0,Tab.11[[#This Row],[w.0]],Tab.11[[#This Row],[w.0]]/SUM(Tab.11[w.0])))</f>
        <v>0</v>
      </c>
      <c r="AF704" s="76" t="str">
        <f>IF(Tab.11[[#This Row],[a1]]=0,"false",[3]!Tab.x5[[#This Row],[%_seN_C]])</f>
        <v>false</v>
      </c>
      <c r="AG704" s="77" t="b">
        <f>IF(Tab.11[[#This Row],[a1]]=1,AP704)</f>
        <v>0</v>
      </c>
      <c r="AH704" s="78" t="b">
        <f>IF(Tab.11[[#This Row],[a1]]=1,AQ704)</f>
        <v>0</v>
      </c>
      <c r="AI704" s="41">
        <v>3.0000000000000001E-3</v>
      </c>
      <c r="AJ704" s="79">
        <v>-0.01</v>
      </c>
      <c r="AK704" s="80" t="b">
        <f>IF(Tab.11[[#This Row],[a1]]=1,1)</f>
        <v>0</v>
      </c>
      <c r="AL704"/>
      <c r="AM704"/>
      <c r="AN704"/>
      <c r="AO704"/>
      <c r="AP704"/>
      <c r="AQ704"/>
      <c r="AR704"/>
      <c r="AS704"/>
    </row>
    <row r="705" spans="1:45" s="81" customFormat="1" hidden="1" x14ac:dyDescent="0.25">
      <c r="A705" s="61">
        <f t="shared" si="23"/>
        <v>0</v>
      </c>
      <c r="B705" s="62">
        <f t="shared" si="23"/>
        <v>0</v>
      </c>
      <c r="C705" s="62" t="b">
        <f>IF(Tab.11[[#This Row],[a1]]=1,[3]!Tab_x1[[#This Row],[Name]])</f>
        <v>0</v>
      </c>
      <c r="D705" s="63" t="b">
        <f>IF(Tab.11[[#This Row],[a1]]=1,AO705)</f>
        <v>0</v>
      </c>
      <c r="E705" s="63">
        <f t="shared" si="22"/>
        <v>0</v>
      </c>
      <c r="F705" s="64" t="b">
        <f>IF(Tab.11[[#This Row],[a1]]=1,Tab.11[[#This Row],[b1]])</f>
        <v>0</v>
      </c>
      <c r="G705" s="65" t="b">
        <f>IF(Tab.11[[#This Row],[a1]]=1,IF(Tab.11[[#This Row],[b3]]&gt;$L$989*$G$3,$L$989*$G$3,IF(Tab.11[[#This Row],[b3]]&lt;$M$989*$G$3,$M$989*$G$3,Tab.11[[#This Row],[b3]])))</f>
        <v>0</v>
      </c>
      <c r="H705" s="66" t="b">
        <f>IF(Tab.11[[#This Row],[a1]]=1,Tab.11[[#This Row],[b1]])</f>
        <v>0</v>
      </c>
      <c r="I705" s="67" t="b">
        <f>IF(Tab.11[[#This Row],[a1]]=1,Tab.11[[#This Row],[b1]])</f>
        <v>0</v>
      </c>
      <c r="J705" s="68" t="b">
        <f>IF(Tab.11[[#This Row],[a1]]=1,IF($I$3&lt;0,Tab.11[[#This Row],[b5]]-$I$3,Tab.11[[#This Row],[b5]]))</f>
        <v>0</v>
      </c>
      <c r="K705" s="68" t="b">
        <f>IF(Tab.11[[#This Row],[a1]]=1,IF($K$3=0,Tab.11[b6],Tab.11[[#This Row],[b6]]-AVERAGE(Tab.11[b6])))</f>
        <v>0</v>
      </c>
      <c r="L705" s="69" t="b">
        <f>IF(Tab.11[[#This Row],[a1]]=1,Tab.11[[#This Row],[data]]/(_xlfn.STDEV.P(Tab.11[data])*$B$989)+$A$989)</f>
        <v>0</v>
      </c>
      <c r="M705" s="69" t="b">
        <f>IF(Tab.11[[#This Row],[a1]]=1,Tab.11[[#This Row],[data]]/(_xlfn.STDEV.P(Tab.11[data])*$B$987)-$A$987)</f>
        <v>0</v>
      </c>
      <c r="N705" s="69" t="b">
        <f>IF(Tab.11[[#This Row],[a1]]=1,Tab.11[[#This Row],[data]]/(_xlfn.STDEV.P(Tab.11[data])*$B$988)+$A$988)</f>
        <v>0</v>
      </c>
      <c r="O705" s="70" t="b">
        <f>IF(Tab.11[[#This Row],[a1]]=1,_xlfn.NORM.DIST(Tab.11[[#This Row],[b8]],$P$1,$Q$1,FALSE))</f>
        <v>0</v>
      </c>
      <c r="P705" s="70" t="b">
        <f>IF(Tab.11[[#This Row],[a1]]=1,_xlfn.NORM.DIST(Tab.11[[#This Row],[b9]],$P$1,$Q$1,FALSE))</f>
        <v>0</v>
      </c>
      <c r="Q705" s="70" t="b">
        <f>IF(Tab.11[[#This Row],[a1]]=1,_xlfn.NORM.DIST(Tab.11[[#This Row],[b10]],$P$1,$Q$1,FALSE))</f>
        <v>0</v>
      </c>
      <c r="R705" s="67" t="b">
        <f>IF(Tab.11[[#This Row],[a1]]=1,$I$3+$A$989+IF($K$3=0,Tab.11[[#This Row],[b8]]*_xlfn.STDEV.P(Tab.11[data]),AVERAGE(Tab.11[b6])+Tab.11[[#This Row],[b8]]*_xlfn.STDEV.P(Tab.11[data])))</f>
        <v>0</v>
      </c>
      <c r="S705" s="71" t="b">
        <f>IF(Tab.11[[#This Row],[a1]]=1,$I$3+$A$987+IF($K$3=0,Tab.11[[#This Row],[b9]]*_xlfn.STDEV.P(Tab.11[data]),AVERAGE(Tab.11[b6])+Tab.11[[#This Row],[b9]]*_xlfn.STDEV.P(Tab.11[data])))</f>
        <v>0</v>
      </c>
      <c r="T705" s="71" t="b">
        <f>IF(Tab.11[[#This Row],[a1]]=1,$I$3+$A$988+IF($K$3=0,Tab.11[[#This Row],[b10]]*_xlfn.STDEV.P(Tab.11[data]),AVERAGE(Tab.11[b6])+Tab.11[[#This Row],[b10]]*_xlfn.STDEV.P(Tab.11[data])))</f>
        <v>0</v>
      </c>
      <c r="U705" s="72" t="b">
        <f>IF(Tab.11[[#This Row],[a1]]=1,Tab.11[[#This Row],[target]]-Tab.11[[#This Row],[Red]])</f>
        <v>0</v>
      </c>
      <c r="V705" s="72" t="b">
        <f>IF(Tab.11[[#This Row],[a1]]=1,Tab.11[[#This Row],[target]]-Tab.11[[#This Row],[Blue]])</f>
        <v>0</v>
      </c>
      <c r="W705" s="73" t="b">
        <f>IF(Tab.11[[#This Row],[a1]]=1,IF(ABS(Tab.11[[#This Row],[b17]])+ABS(Tab.11[[#This Row],[b18]])&lt;$W$2,$W$2,ABS(Tab.11[[#This Row],[b17]])+ABS(Tab.11[[#This Row],[b18]])))</f>
        <v>0</v>
      </c>
      <c r="X705" s="136" t="b">
        <f>IF(Tab.11[[#This Row],[a1]]=1,IF($W$3&lt;0,Tab.11[[#This Row],[IN]]-$I$3,Tab.11[[#This Row],[IN]]))</f>
        <v>0</v>
      </c>
      <c r="Y705" s="136" t="b">
        <f>IF(Tab.11[[#This Row],[a1]]=1,IF($X$3=0,Tab.11[b66],Tab.11[[#This Row],[b66]]-AVERAGE(Tab.11[b66])))</f>
        <v>0</v>
      </c>
      <c r="Z705" s="135" t="b">
        <f>IF(Tab.11[[#This Row],[a1]]=1,Tab.11[[#This Row],[b77]]/(_xlfn.STDEV.P(Tab.11[b77])))</f>
        <v>0</v>
      </c>
      <c r="AA705" s="70" t="b">
        <f>IF(Tab.11[[#This Row],[a1]]=1,_xlfn.NORM.DIST(Tab.11[[#This Row],[b88]],$Z$1,$AA$1,FALSE))</f>
        <v>0</v>
      </c>
      <c r="AB705" s="74" t="b">
        <f>IF(Tab.11[[#This Row],[a1]]=1,IF($A$3=0,FALSE,1/Tab.11[[#This Row],[IN]]*$AC$2*IF(Tab.11[[#This Row],[a1]]=0,,$A$3*$AC$1*1/$V$3*(Tab.11[[#This Row],[b14]]))))</f>
        <v>0</v>
      </c>
      <c r="AC705" s="75" t="b">
        <f>IF(Tab.11[[#This Row],[a1]]=1,IF($AC$3=0,Tab.11[[#This Row],[φ1]],Tab.11[[#This Row],[φ1]]/MAX(Tab.11[φ1])))</f>
        <v>0</v>
      </c>
      <c r="AD705" s="74" t="b">
        <f>IF(Tab.11[[#This Row],[a1]]=1,1/Tab.11[[#This Row],[φ2]])</f>
        <v>0</v>
      </c>
      <c r="AE705" s="74" t="b">
        <f>IF(Tab.11[[#This Row],[a1]]=1,IF($AE$3=0,Tab.11[[#This Row],[w.0]],Tab.11[[#This Row],[w.0]]/SUM(Tab.11[w.0])))</f>
        <v>0</v>
      </c>
      <c r="AF705" s="76" t="str">
        <f>IF(Tab.11[[#This Row],[a1]]=0,"false",[3]!Tab.x5[[#This Row],[%_seN_C]])</f>
        <v>false</v>
      </c>
      <c r="AG705" s="77" t="b">
        <f>IF(Tab.11[[#This Row],[a1]]=1,AP705)</f>
        <v>0</v>
      </c>
      <c r="AH705" s="78" t="b">
        <f>IF(Tab.11[[#This Row],[a1]]=1,AQ705)</f>
        <v>0</v>
      </c>
      <c r="AI705" s="41">
        <v>3.0000000000000001E-3</v>
      </c>
      <c r="AJ705" s="79">
        <v>0.1</v>
      </c>
      <c r="AK705" s="80" t="b">
        <f>IF(Tab.11[[#This Row],[a1]]=1,1)</f>
        <v>0</v>
      </c>
      <c r="AL705"/>
      <c r="AM705"/>
      <c r="AN705"/>
      <c r="AO705"/>
      <c r="AP705"/>
      <c r="AQ705"/>
      <c r="AR705"/>
      <c r="AS705"/>
    </row>
    <row r="706" spans="1:45" s="81" customFormat="1" hidden="1" x14ac:dyDescent="0.25">
      <c r="A706" s="61">
        <f t="shared" si="23"/>
        <v>0</v>
      </c>
      <c r="B706" s="62">
        <f t="shared" si="23"/>
        <v>0</v>
      </c>
      <c r="C706" s="62" t="b">
        <f>IF(Tab.11[[#This Row],[a1]]=1,[3]!Tab_x1[[#This Row],[Name]])</f>
        <v>0</v>
      </c>
      <c r="D706" s="63" t="b">
        <f>IF(Tab.11[[#This Row],[a1]]=1,AO706)</f>
        <v>0</v>
      </c>
      <c r="E706" s="63">
        <f t="shared" si="22"/>
        <v>0</v>
      </c>
      <c r="F706" s="64" t="b">
        <f>IF(Tab.11[[#This Row],[a1]]=1,Tab.11[[#This Row],[b1]])</f>
        <v>0</v>
      </c>
      <c r="G706" s="65" t="b">
        <f>IF(Tab.11[[#This Row],[a1]]=1,IF(Tab.11[[#This Row],[b3]]&gt;$L$989*$G$3,$L$989*$G$3,IF(Tab.11[[#This Row],[b3]]&lt;$M$989*$G$3,$M$989*$G$3,Tab.11[[#This Row],[b3]])))</f>
        <v>0</v>
      </c>
      <c r="H706" s="66" t="b">
        <f>IF(Tab.11[[#This Row],[a1]]=1,Tab.11[[#This Row],[b1]])</f>
        <v>0</v>
      </c>
      <c r="I706" s="67" t="b">
        <f>IF(Tab.11[[#This Row],[a1]]=1,Tab.11[[#This Row],[b1]])</f>
        <v>0</v>
      </c>
      <c r="J706" s="68" t="b">
        <f>IF(Tab.11[[#This Row],[a1]]=1,IF($I$3&lt;0,Tab.11[[#This Row],[b5]]-$I$3,Tab.11[[#This Row],[b5]]))</f>
        <v>0</v>
      </c>
      <c r="K706" s="68" t="b">
        <f>IF(Tab.11[[#This Row],[a1]]=1,IF($K$3=0,Tab.11[b6],Tab.11[[#This Row],[b6]]-AVERAGE(Tab.11[b6])))</f>
        <v>0</v>
      </c>
      <c r="L706" s="69" t="b">
        <f>IF(Tab.11[[#This Row],[a1]]=1,Tab.11[[#This Row],[data]]/(_xlfn.STDEV.P(Tab.11[data])*$B$989)+$A$989)</f>
        <v>0</v>
      </c>
      <c r="M706" s="69" t="b">
        <f>IF(Tab.11[[#This Row],[a1]]=1,Tab.11[[#This Row],[data]]/(_xlfn.STDEV.P(Tab.11[data])*$B$987)-$A$987)</f>
        <v>0</v>
      </c>
      <c r="N706" s="69" t="b">
        <f>IF(Tab.11[[#This Row],[a1]]=1,Tab.11[[#This Row],[data]]/(_xlfn.STDEV.P(Tab.11[data])*$B$988)+$A$988)</f>
        <v>0</v>
      </c>
      <c r="O706" s="70" t="b">
        <f>IF(Tab.11[[#This Row],[a1]]=1,_xlfn.NORM.DIST(Tab.11[[#This Row],[b8]],$P$1,$Q$1,FALSE))</f>
        <v>0</v>
      </c>
      <c r="P706" s="70" t="b">
        <f>IF(Tab.11[[#This Row],[a1]]=1,_xlfn.NORM.DIST(Tab.11[[#This Row],[b9]],$P$1,$Q$1,FALSE))</f>
        <v>0</v>
      </c>
      <c r="Q706" s="70" t="b">
        <f>IF(Tab.11[[#This Row],[a1]]=1,_xlfn.NORM.DIST(Tab.11[[#This Row],[b10]],$P$1,$Q$1,FALSE))</f>
        <v>0</v>
      </c>
      <c r="R706" s="67" t="b">
        <f>IF(Tab.11[[#This Row],[a1]]=1,$I$3+$A$989+IF($K$3=0,Tab.11[[#This Row],[b8]]*_xlfn.STDEV.P(Tab.11[data]),AVERAGE(Tab.11[b6])+Tab.11[[#This Row],[b8]]*_xlfn.STDEV.P(Tab.11[data])))</f>
        <v>0</v>
      </c>
      <c r="S706" s="71" t="b">
        <f>IF(Tab.11[[#This Row],[a1]]=1,$I$3+$A$987+IF($K$3=0,Tab.11[[#This Row],[b9]]*_xlfn.STDEV.P(Tab.11[data]),AVERAGE(Tab.11[b6])+Tab.11[[#This Row],[b9]]*_xlfn.STDEV.P(Tab.11[data])))</f>
        <v>0</v>
      </c>
      <c r="T706" s="71" t="b">
        <f>IF(Tab.11[[#This Row],[a1]]=1,$I$3+$A$988+IF($K$3=0,Tab.11[[#This Row],[b10]]*_xlfn.STDEV.P(Tab.11[data]),AVERAGE(Tab.11[b6])+Tab.11[[#This Row],[b10]]*_xlfn.STDEV.P(Tab.11[data])))</f>
        <v>0</v>
      </c>
      <c r="U706" s="72" t="b">
        <f>IF(Tab.11[[#This Row],[a1]]=1,Tab.11[[#This Row],[target]]-Tab.11[[#This Row],[Red]])</f>
        <v>0</v>
      </c>
      <c r="V706" s="72" t="b">
        <f>IF(Tab.11[[#This Row],[a1]]=1,Tab.11[[#This Row],[target]]-Tab.11[[#This Row],[Blue]])</f>
        <v>0</v>
      </c>
      <c r="W706" s="73" t="b">
        <f>IF(Tab.11[[#This Row],[a1]]=1,IF(ABS(Tab.11[[#This Row],[b17]])+ABS(Tab.11[[#This Row],[b18]])&lt;$W$2,$W$2,ABS(Tab.11[[#This Row],[b17]])+ABS(Tab.11[[#This Row],[b18]])))</f>
        <v>0</v>
      </c>
      <c r="X706" s="136" t="b">
        <f>IF(Tab.11[[#This Row],[a1]]=1,IF($W$3&lt;0,Tab.11[[#This Row],[IN]]-$I$3,Tab.11[[#This Row],[IN]]))</f>
        <v>0</v>
      </c>
      <c r="Y706" s="136" t="b">
        <f>IF(Tab.11[[#This Row],[a1]]=1,IF($X$3=0,Tab.11[b66],Tab.11[[#This Row],[b66]]-AVERAGE(Tab.11[b66])))</f>
        <v>0</v>
      </c>
      <c r="Z706" s="135" t="b">
        <f>IF(Tab.11[[#This Row],[a1]]=1,Tab.11[[#This Row],[b77]]/(_xlfn.STDEV.P(Tab.11[b77])))</f>
        <v>0</v>
      </c>
      <c r="AA706" s="70" t="b">
        <f>IF(Tab.11[[#This Row],[a1]]=1,_xlfn.NORM.DIST(Tab.11[[#This Row],[b88]],$Z$1,$AA$1,FALSE))</f>
        <v>0</v>
      </c>
      <c r="AB706" s="74" t="b">
        <f>IF(Tab.11[[#This Row],[a1]]=1,IF($A$3=0,FALSE,1/Tab.11[[#This Row],[IN]]*$AC$2*IF(Tab.11[[#This Row],[a1]]=0,,$A$3*$AC$1*1/$V$3*(Tab.11[[#This Row],[b14]]))))</f>
        <v>0</v>
      </c>
      <c r="AC706" s="75" t="b">
        <f>IF(Tab.11[[#This Row],[a1]]=1,IF($AC$3=0,Tab.11[[#This Row],[φ1]],Tab.11[[#This Row],[φ1]]/MAX(Tab.11[φ1])))</f>
        <v>0</v>
      </c>
      <c r="AD706" s="74" t="b">
        <f>IF(Tab.11[[#This Row],[a1]]=1,1/Tab.11[[#This Row],[φ2]])</f>
        <v>0</v>
      </c>
      <c r="AE706" s="74" t="b">
        <f>IF(Tab.11[[#This Row],[a1]]=1,IF($AE$3=0,Tab.11[[#This Row],[w.0]],Tab.11[[#This Row],[w.0]]/SUM(Tab.11[w.0])))</f>
        <v>0</v>
      </c>
      <c r="AF706" s="76" t="str">
        <f>IF(Tab.11[[#This Row],[a1]]=0,"false",[3]!Tab.x5[[#This Row],[%_seN_C]])</f>
        <v>false</v>
      </c>
      <c r="AG706" s="77" t="b">
        <f>IF(Tab.11[[#This Row],[a1]]=1,AP706)</f>
        <v>0</v>
      </c>
      <c r="AH706" s="78" t="b">
        <f>IF(Tab.11[[#This Row],[a1]]=1,AQ706)</f>
        <v>0</v>
      </c>
      <c r="AI706" s="41">
        <v>3.0000000000000001E-3</v>
      </c>
      <c r="AJ706" s="79">
        <v>0.1</v>
      </c>
      <c r="AK706" s="80" t="b">
        <f>IF(Tab.11[[#This Row],[a1]]=1,1)</f>
        <v>0</v>
      </c>
      <c r="AL706"/>
      <c r="AM706"/>
      <c r="AN706"/>
      <c r="AO706"/>
      <c r="AP706"/>
      <c r="AQ706"/>
      <c r="AR706"/>
      <c r="AS706"/>
    </row>
    <row r="707" spans="1:45" s="81" customFormat="1" hidden="1" x14ac:dyDescent="0.25">
      <c r="A707" s="61">
        <f t="shared" si="23"/>
        <v>0</v>
      </c>
      <c r="B707" s="62">
        <f t="shared" si="23"/>
        <v>0</v>
      </c>
      <c r="C707" s="62" t="b">
        <f>IF(Tab.11[[#This Row],[a1]]=1,[3]!Tab_x1[[#This Row],[Name]])</f>
        <v>0</v>
      </c>
      <c r="D707" s="63" t="b">
        <f>IF(Tab.11[[#This Row],[a1]]=1,AO707)</f>
        <v>0</v>
      </c>
      <c r="E707" s="63">
        <f t="shared" si="22"/>
        <v>0</v>
      </c>
      <c r="F707" s="64" t="b">
        <f>IF(Tab.11[[#This Row],[a1]]=1,Tab.11[[#This Row],[b1]])</f>
        <v>0</v>
      </c>
      <c r="G707" s="65" t="b">
        <f>IF(Tab.11[[#This Row],[a1]]=1,IF(Tab.11[[#This Row],[b3]]&gt;$L$989*$G$3,$L$989*$G$3,IF(Tab.11[[#This Row],[b3]]&lt;$M$989*$G$3,$M$989*$G$3,Tab.11[[#This Row],[b3]])))</f>
        <v>0</v>
      </c>
      <c r="H707" s="66" t="b">
        <f>IF(Tab.11[[#This Row],[a1]]=1,Tab.11[[#This Row],[b1]])</f>
        <v>0</v>
      </c>
      <c r="I707" s="67" t="b">
        <f>IF(Tab.11[[#This Row],[a1]]=1,Tab.11[[#This Row],[b1]])</f>
        <v>0</v>
      </c>
      <c r="J707" s="68" t="b">
        <f>IF(Tab.11[[#This Row],[a1]]=1,IF($I$3&lt;0,Tab.11[[#This Row],[b5]]-$I$3,Tab.11[[#This Row],[b5]]))</f>
        <v>0</v>
      </c>
      <c r="K707" s="68" t="b">
        <f>IF(Tab.11[[#This Row],[a1]]=1,IF($K$3=0,Tab.11[b6],Tab.11[[#This Row],[b6]]-AVERAGE(Tab.11[b6])))</f>
        <v>0</v>
      </c>
      <c r="L707" s="69" t="b">
        <f>IF(Tab.11[[#This Row],[a1]]=1,Tab.11[[#This Row],[data]]/(_xlfn.STDEV.P(Tab.11[data])*$B$989)+$A$989)</f>
        <v>0</v>
      </c>
      <c r="M707" s="69" t="b">
        <f>IF(Tab.11[[#This Row],[a1]]=1,Tab.11[[#This Row],[data]]/(_xlfn.STDEV.P(Tab.11[data])*$B$987)-$A$987)</f>
        <v>0</v>
      </c>
      <c r="N707" s="69" t="b">
        <f>IF(Tab.11[[#This Row],[a1]]=1,Tab.11[[#This Row],[data]]/(_xlfn.STDEV.P(Tab.11[data])*$B$988)+$A$988)</f>
        <v>0</v>
      </c>
      <c r="O707" s="70" t="b">
        <f>IF(Tab.11[[#This Row],[a1]]=1,_xlfn.NORM.DIST(Tab.11[[#This Row],[b8]],$P$1,$Q$1,FALSE))</f>
        <v>0</v>
      </c>
      <c r="P707" s="70" t="b">
        <f>IF(Tab.11[[#This Row],[a1]]=1,_xlfn.NORM.DIST(Tab.11[[#This Row],[b9]],$P$1,$Q$1,FALSE))</f>
        <v>0</v>
      </c>
      <c r="Q707" s="70" t="b">
        <f>IF(Tab.11[[#This Row],[a1]]=1,_xlfn.NORM.DIST(Tab.11[[#This Row],[b10]],$P$1,$Q$1,FALSE))</f>
        <v>0</v>
      </c>
      <c r="R707" s="67" t="b">
        <f>IF(Tab.11[[#This Row],[a1]]=1,$I$3+$A$989+IF($K$3=0,Tab.11[[#This Row],[b8]]*_xlfn.STDEV.P(Tab.11[data]),AVERAGE(Tab.11[b6])+Tab.11[[#This Row],[b8]]*_xlfn.STDEV.P(Tab.11[data])))</f>
        <v>0</v>
      </c>
      <c r="S707" s="71" t="b">
        <f>IF(Tab.11[[#This Row],[a1]]=1,$I$3+$A$987+IF($K$3=0,Tab.11[[#This Row],[b9]]*_xlfn.STDEV.P(Tab.11[data]),AVERAGE(Tab.11[b6])+Tab.11[[#This Row],[b9]]*_xlfn.STDEV.P(Tab.11[data])))</f>
        <v>0</v>
      </c>
      <c r="T707" s="71" t="b">
        <f>IF(Tab.11[[#This Row],[a1]]=1,$I$3+$A$988+IF($K$3=0,Tab.11[[#This Row],[b10]]*_xlfn.STDEV.P(Tab.11[data]),AVERAGE(Tab.11[b6])+Tab.11[[#This Row],[b10]]*_xlfn.STDEV.P(Tab.11[data])))</f>
        <v>0</v>
      </c>
      <c r="U707" s="72" t="b">
        <f>IF(Tab.11[[#This Row],[a1]]=1,Tab.11[[#This Row],[target]]-Tab.11[[#This Row],[Red]])</f>
        <v>0</v>
      </c>
      <c r="V707" s="72" t="b">
        <f>IF(Tab.11[[#This Row],[a1]]=1,Tab.11[[#This Row],[target]]-Tab.11[[#This Row],[Blue]])</f>
        <v>0</v>
      </c>
      <c r="W707" s="73" t="b">
        <f>IF(Tab.11[[#This Row],[a1]]=1,IF(ABS(Tab.11[[#This Row],[b17]])+ABS(Tab.11[[#This Row],[b18]])&lt;$W$2,$W$2,ABS(Tab.11[[#This Row],[b17]])+ABS(Tab.11[[#This Row],[b18]])))</f>
        <v>0</v>
      </c>
      <c r="X707" s="136" t="b">
        <f>IF(Tab.11[[#This Row],[a1]]=1,IF($W$3&lt;0,Tab.11[[#This Row],[IN]]-$I$3,Tab.11[[#This Row],[IN]]))</f>
        <v>0</v>
      </c>
      <c r="Y707" s="136" t="b">
        <f>IF(Tab.11[[#This Row],[a1]]=1,IF($X$3=0,Tab.11[b66],Tab.11[[#This Row],[b66]]-AVERAGE(Tab.11[b66])))</f>
        <v>0</v>
      </c>
      <c r="Z707" s="135" t="b">
        <f>IF(Tab.11[[#This Row],[a1]]=1,Tab.11[[#This Row],[b77]]/(_xlfn.STDEV.P(Tab.11[b77])))</f>
        <v>0</v>
      </c>
      <c r="AA707" s="70" t="b">
        <f>IF(Tab.11[[#This Row],[a1]]=1,_xlfn.NORM.DIST(Tab.11[[#This Row],[b88]],$Z$1,$AA$1,FALSE))</f>
        <v>0</v>
      </c>
      <c r="AB707" s="74" t="b">
        <f>IF(Tab.11[[#This Row],[a1]]=1,IF($A$3=0,FALSE,1/Tab.11[[#This Row],[IN]]*$AC$2*IF(Tab.11[[#This Row],[a1]]=0,,$A$3*$AC$1*1/$V$3*(Tab.11[[#This Row],[b14]]))))</f>
        <v>0</v>
      </c>
      <c r="AC707" s="75" t="b">
        <f>IF(Tab.11[[#This Row],[a1]]=1,IF($AC$3=0,Tab.11[[#This Row],[φ1]],Tab.11[[#This Row],[φ1]]/MAX(Tab.11[φ1])))</f>
        <v>0</v>
      </c>
      <c r="AD707" s="74" t="b">
        <f>IF(Tab.11[[#This Row],[a1]]=1,1/Tab.11[[#This Row],[φ2]])</f>
        <v>0</v>
      </c>
      <c r="AE707" s="74" t="b">
        <f>IF(Tab.11[[#This Row],[a1]]=1,IF($AE$3=0,Tab.11[[#This Row],[w.0]],Tab.11[[#This Row],[w.0]]/SUM(Tab.11[w.0])))</f>
        <v>0</v>
      </c>
      <c r="AF707" s="76" t="str">
        <f>IF(Tab.11[[#This Row],[a1]]=0,"false",[3]!Tab.x5[[#This Row],[%_seN_C]])</f>
        <v>false</v>
      </c>
      <c r="AG707" s="77" t="b">
        <f>IF(Tab.11[[#This Row],[a1]]=1,AP707)</f>
        <v>0</v>
      </c>
      <c r="AH707" s="78" t="b">
        <f>IF(Tab.11[[#This Row],[a1]]=1,AQ707)</f>
        <v>0</v>
      </c>
      <c r="AI707" s="41">
        <v>3.0000000000000001E-3</v>
      </c>
      <c r="AJ707" s="79">
        <v>7.0000000000000007E-2</v>
      </c>
      <c r="AK707" s="80" t="b">
        <f>IF(Tab.11[[#This Row],[a1]]=1,1)</f>
        <v>0</v>
      </c>
      <c r="AL707"/>
      <c r="AM707"/>
      <c r="AN707"/>
      <c r="AO707"/>
      <c r="AP707"/>
      <c r="AQ707"/>
      <c r="AR707"/>
      <c r="AS707"/>
    </row>
    <row r="708" spans="1:45" s="81" customFormat="1" hidden="1" x14ac:dyDescent="0.25">
      <c r="A708" s="61">
        <f t="shared" si="23"/>
        <v>0</v>
      </c>
      <c r="B708" s="62">
        <f t="shared" si="23"/>
        <v>0</v>
      </c>
      <c r="C708" s="62" t="b">
        <f>IF(Tab.11[[#This Row],[a1]]=1,[3]!Tab_x1[[#This Row],[Name]])</f>
        <v>0</v>
      </c>
      <c r="D708" s="63" t="b">
        <f>IF(Tab.11[[#This Row],[a1]]=1,AO708)</f>
        <v>0</v>
      </c>
      <c r="E708" s="63">
        <f t="shared" si="22"/>
        <v>0</v>
      </c>
      <c r="F708" s="64" t="b">
        <f>IF(Tab.11[[#This Row],[a1]]=1,Tab.11[[#This Row],[b1]])</f>
        <v>0</v>
      </c>
      <c r="G708" s="65" t="b">
        <f>IF(Tab.11[[#This Row],[a1]]=1,IF(Tab.11[[#This Row],[b3]]&gt;$L$989*$G$3,$L$989*$G$3,IF(Tab.11[[#This Row],[b3]]&lt;$M$989*$G$3,$M$989*$G$3,Tab.11[[#This Row],[b3]])))</f>
        <v>0</v>
      </c>
      <c r="H708" s="66" t="b">
        <f>IF(Tab.11[[#This Row],[a1]]=1,Tab.11[[#This Row],[b1]])</f>
        <v>0</v>
      </c>
      <c r="I708" s="67" t="b">
        <f>IF(Tab.11[[#This Row],[a1]]=1,Tab.11[[#This Row],[b1]])</f>
        <v>0</v>
      </c>
      <c r="J708" s="68" t="b">
        <f>IF(Tab.11[[#This Row],[a1]]=1,IF($I$3&lt;0,Tab.11[[#This Row],[b5]]-$I$3,Tab.11[[#This Row],[b5]]))</f>
        <v>0</v>
      </c>
      <c r="K708" s="68" t="b">
        <f>IF(Tab.11[[#This Row],[a1]]=1,IF($K$3=0,Tab.11[b6],Tab.11[[#This Row],[b6]]-AVERAGE(Tab.11[b6])))</f>
        <v>0</v>
      </c>
      <c r="L708" s="69" t="b">
        <f>IF(Tab.11[[#This Row],[a1]]=1,Tab.11[[#This Row],[data]]/(_xlfn.STDEV.P(Tab.11[data])*$B$989)+$A$989)</f>
        <v>0</v>
      </c>
      <c r="M708" s="69" t="b">
        <f>IF(Tab.11[[#This Row],[a1]]=1,Tab.11[[#This Row],[data]]/(_xlfn.STDEV.P(Tab.11[data])*$B$987)-$A$987)</f>
        <v>0</v>
      </c>
      <c r="N708" s="69" t="b">
        <f>IF(Tab.11[[#This Row],[a1]]=1,Tab.11[[#This Row],[data]]/(_xlfn.STDEV.P(Tab.11[data])*$B$988)+$A$988)</f>
        <v>0</v>
      </c>
      <c r="O708" s="70" t="b">
        <f>IF(Tab.11[[#This Row],[a1]]=1,_xlfn.NORM.DIST(Tab.11[[#This Row],[b8]],$P$1,$Q$1,FALSE))</f>
        <v>0</v>
      </c>
      <c r="P708" s="70" t="b">
        <f>IF(Tab.11[[#This Row],[a1]]=1,_xlfn.NORM.DIST(Tab.11[[#This Row],[b9]],$P$1,$Q$1,FALSE))</f>
        <v>0</v>
      </c>
      <c r="Q708" s="70" t="b">
        <f>IF(Tab.11[[#This Row],[a1]]=1,_xlfn.NORM.DIST(Tab.11[[#This Row],[b10]],$P$1,$Q$1,FALSE))</f>
        <v>0</v>
      </c>
      <c r="R708" s="67" t="b">
        <f>IF(Tab.11[[#This Row],[a1]]=1,$I$3+$A$989+IF($K$3=0,Tab.11[[#This Row],[b8]]*_xlfn.STDEV.P(Tab.11[data]),AVERAGE(Tab.11[b6])+Tab.11[[#This Row],[b8]]*_xlfn.STDEV.P(Tab.11[data])))</f>
        <v>0</v>
      </c>
      <c r="S708" s="71" t="b">
        <f>IF(Tab.11[[#This Row],[a1]]=1,$I$3+$A$987+IF($K$3=0,Tab.11[[#This Row],[b9]]*_xlfn.STDEV.P(Tab.11[data]),AVERAGE(Tab.11[b6])+Tab.11[[#This Row],[b9]]*_xlfn.STDEV.P(Tab.11[data])))</f>
        <v>0</v>
      </c>
      <c r="T708" s="71" t="b">
        <f>IF(Tab.11[[#This Row],[a1]]=1,$I$3+$A$988+IF($K$3=0,Tab.11[[#This Row],[b10]]*_xlfn.STDEV.P(Tab.11[data]),AVERAGE(Tab.11[b6])+Tab.11[[#This Row],[b10]]*_xlfn.STDEV.P(Tab.11[data])))</f>
        <v>0</v>
      </c>
      <c r="U708" s="72" t="b">
        <f>IF(Tab.11[[#This Row],[a1]]=1,Tab.11[[#This Row],[target]]-Tab.11[[#This Row],[Red]])</f>
        <v>0</v>
      </c>
      <c r="V708" s="72" t="b">
        <f>IF(Tab.11[[#This Row],[a1]]=1,Tab.11[[#This Row],[target]]-Tab.11[[#This Row],[Blue]])</f>
        <v>0</v>
      </c>
      <c r="W708" s="73" t="b">
        <f>IF(Tab.11[[#This Row],[a1]]=1,IF(ABS(Tab.11[[#This Row],[b17]])+ABS(Tab.11[[#This Row],[b18]])&lt;$W$2,$W$2,ABS(Tab.11[[#This Row],[b17]])+ABS(Tab.11[[#This Row],[b18]])))</f>
        <v>0</v>
      </c>
      <c r="X708" s="136" t="b">
        <f>IF(Tab.11[[#This Row],[a1]]=1,IF($W$3&lt;0,Tab.11[[#This Row],[IN]]-$I$3,Tab.11[[#This Row],[IN]]))</f>
        <v>0</v>
      </c>
      <c r="Y708" s="136" t="b">
        <f>IF(Tab.11[[#This Row],[a1]]=1,IF($X$3=0,Tab.11[b66],Tab.11[[#This Row],[b66]]-AVERAGE(Tab.11[b66])))</f>
        <v>0</v>
      </c>
      <c r="Z708" s="135" t="b">
        <f>IF(Tab.11[[#This Row],[a1]]=1,Tab.11[[#This Row],[b77]]/(_xlfn.STDEV.P(Tab.11[b77])))</f>
        <v>0</v>
      </c>
      <c r="AA708" s="70" t="b">
        <f>IF(Tab.11[[#This Row],[a1]]=1,_xlfn.NORM.DIST(Tab.11[[#This Row],[b88]],$Z$1,$AA$1,FALSE))</f>
        <v>0</v>
      </c>
      <c r="AB708" s="74" t="b">
        <f>IF(Tab.11[[#This Row],[a1]]=1,IF($A$3=0,FALSE,1/Tab.11[[#This Row],[IN]]*$AC$2*IF(Tab.11[[#This Row],[a1]]=0,,$A$3*$AC$1*1/$V$3*(Tab.11[[#This Row],[b14]]))))</f>
        <v>0</v>
      </c>
      <c r="AC708" s="75" t="b">
        <f>IF(Tab.11[[#This Row],[a1]]=1,IF($AC$3=0,Tab.11[[#This Row],[φ1]],Tab.11[[#This Row],[φ1]]/MAX(Tab.11[φ1])))</f>
        <v>0</v>
      </c>
      <c r="AD708" s="74" t="b">
        <f>IF(Tab.11[[#This Row],[a1]]=1,1/Tab.11[[#This Row],[φ2]])</f>
        <v>0</v>
      </c>
      <c r="AE708" s="74" t="b">
        <f>IF(Tab.11[[#This Row],[a1]]=1,IF($AE$3=0,Tab.11[[#This Row],[w.0]],Tab.11[[#This Row],[w.0]]/SUM(Tab.11[w.0])))</f>
        <v>0</v>
      </c>
      <c r="AF708" s="76" t="str">
        <f>IF(Tab.11[[#This Row],[a1]]=0,"false",[3]!Tab.x5[[#This Row],[%_seN_C]])</f>
        <v>false</v>
      </c>
      <c r="AG708" s="77" t="b">
        <f>IF(Tab.11[[#This Row],[a1]]=1,AP708)</f>
        <v>0</v>
      </c>
      <c r="AH708" s="78" t="b">
        <f>IF(Tab.11[[#This Row],[a1]]=1,AQ708)</f>
        <v>0</v>
      </c>
      <c r="AI708" s="41">
        <v>3.0000000000000001E-3</v>
      </c>
      <c r="AJ708" s="79">
        <v>0.04</v>
      </c>
      <c r="AK708" s="80" t="b">
        <f>IF(Tab.11[[#This Row],[a1]]=1,1)</f>
        <v>0</v>
      </c>
      <c r="AL708"/>
      <c r="AM708"/>
      <c r="AN708"/>
      <c r="AO708"/>
      <c r="AP708"/>
      <c r="AQ708"/>
      <c r="AR708"/>
      <c r="AS708"/>
    </row>
    <row r="709" spans="1:45" s="81" customFormat="1" hidden="1" x14ac:dyDescent="0.25">
      <c r="A709" s="61">
        <f t="shared" si="23"/>
        <v>0</v>
      </c>
      <c r="B709" s="62">
        <f t="shared" si="23"/>
        <v>0</v>
      </c>
      <c r="C709" s="62" t="b">
        <f>IF(Tab.11[[#This Row],[a1]]=1,[3]!Tab_x1[[#This Row],[Name]])</f>
        <v>0</v>
      </c>
      <c r="D709" s="63" t="b">
        <f>IF(Tab.11[[#This Row],[a1]]=1,AO709)</f>
        <v>0</v>
      </c>
      <c r="E709" s="63">
        <f t="shared" ref="E709:E772" si="24">AM709</f>
        <v>0</v>
      </c>
      <c r="F709" s="64" t="b">
        <f>IF(Tab.11[[#This Row],[a1]]=1,Tab.11[[#This Row],[b1]])</f>
        <v>0</v>
      </c>
      <c r="G709" s="65" t="b">
        <f>IF(Tab.11[[#This Row],[a1]]=1,IF(Tab.11[[#This Row],[b3]]&gt;$L$989*$G$3,$L$989*$G$3,IF(Tab.11[[#This Row],[b3]]&lt;$M$989*$G$3,$M$989*$G$3,Tab.11[[#This Row],[b3]])))</f>
        <v>0</v>
      </c>
      <c r="H709" s="66" t="b">
        <f>IF(Tab.11[[#This Row],[a1]]=1,Tab.11[[#This Row],[b1]])</f>
        <v>0</v>
      </c>
      <c r="I709" s="67" t="b">
        <f>IF(Tab.11[[#This Row],[a1]]=1,Tab.11[[#This Row],[b1]])</f>
        <v>0</v>
      </c>
      <c r="J709" s="68" t="b">
        <f>IF(Tab.11[[#This Row],[a1]]=1,IF($I$3&lt;0,Tab.11[[#This Row],[b5]]-$I$3,Tab.11[[#This Row],[b5]]))</f>
        <v>0</v>
      </c>
      <c r="K709" s="68" t="b">
        <f>IF(Tab.11[[#This Row],[a1]]=1,IF($K$3=0,Tab.11[b6],Tab.11[[#This Row],[b6]]-AVERAGE(Tab.11[b6])))</f>
        <v>0</v>
      </c>
      <c r="L709" s="69" t="b">
        <f>IF(Tab.11[[#This Row],[a1]]=1,Tab.11[[#This Row],[data]]/(_xlfn.STDEV.P(Tab.11[data])*$B$989)+$A$989)</f>
        <v>0</v>
      </c>
      <c r="M709" s="69" t="b">
        <f>IF(Tab.11[[#This Row],[a1]]=1,Tab.11[[#This Row],[data]]/(_xlfn.STDEV.P(Tab.11[data])*$B$987)-$A$987)</f>
        <v>0</v>
      </c>
      <c r="N709" s="69" t="b">
        <f>IF(Tab.11[[#This Row],[a1]]=1,Tab.11[[#This Row],[data]]/(_xlfn.STDEV.P(Tab.11[data])*$B$988)+$A$988)</f>
        <v>0</v>
      </c>
      <c r="O709" s="70" t="b">
        <f>IF(Tab.11[[#This Row],[a1]]=1,_xlfn.NORM.DIST(Tab.11[[#This Row],[b8]],$P$1,$Q$1,FALSE))</f>
        <v>0</v>
      </c>
      <c r="P709" s="70" t="b">
        <f>IF(Tab.11[[#This Row],[a1]]=1,_xlfn.NORM.DIST(Tab.11[[#This Row],[b9]],$P$1,$Q$1,FALSE))</f>
        <v>0</v>
      </c>
      <c r="Q709" s="70" t="b">
        <f>IF(Tab.11[[#This Row],[a1]]=1,_xlfn.NORM.DIST(Tab.11[[#This Row],[b10]],$P$1,$Q$1,FALSE))</f>
        <v>0</v>
      </c>
      <c r="R709" s="67" t="b">
        <f>IF(Tab.11[[#This Row],[a1]]=1,$I$3+$A$989+IF($K$3=0,Tab.11[[#This Row],[b8]]*_xlfn.STDEV.P(Tab.11[data]),AVERAGE(Tab.11[b6])+Tab.11[[#This Row],[b8]]*_xlfn.STDEV.P(Tab.11[data])))</f>
        <v>0</v>
      </c>
      <c r="S709" s="71" t="b">
        <f>IF(Tab.11[[#This Row],[a1]]=1,$I$3+$A$987+IF($K$3=0,Tab.11[[#This Row],[b9]]*_xlfn.STDEV.P(Tab.11[data]),AVERAGE(Tab.11[b6])+Tab.11[[#This Row],[b9]]*_xlfn.STDEV.P(Tab.11[data])))</f>
        <v>0</v>
      </c>
      <c r="T709" s="71" t="b">
        <f>IF(Tab.11[[#This Row],[a1]]=1,$I$3+$A$988+IF($K$3=0,Tab.11[[#This Row],[b10]]*_xlfn.STDEV.P(Tab.11[data]),AVERAGE(Tab.11[b6])+Tab.11[[#This Row],[b10]]*_xlfn.STDEV.P(Tab.11[data])))</f>
        <v>0</v>
      </c>
      <c r="U709" s="72" t="b">
        <f>IF(Tab.11[[#This Row],[a1]]=1,Tab.11[[#This Row],[target]]-Tab.11[[#This Row],[Red]])</f>
        <v>0</v>
      </c>
      <c r="V709" s="72" t="b">
        <f>IF(Tab.11[[#This Row],[a1]]=1,Tab.11[[#This Row],[target]]-Tab.11[[#This Row],[Blue]])</f>
        <v>0</v>
      </c>
      <c r="W709" s="73" t="b">
        <f>IF(Tab.11[[#This Row],[a1]]=1,IF(ABS(Tab.11[[#This Row],[b17]])+ABS(Tab.11[[#This Row],[b18]])&lt;$W$2,$W$2,ABS(Tab.11[[#This Row],[b17]])+ABS(Tab.11[[#This Row],[b18]])))</f>
        <v>0</v>
      </c>
      <c r="X709" s="136" t="b">
        <f>IF(Tab.11[[#This Row],[a1]]=1,IF($W$3&lt;0,Tab.11[[#This Row],[IN]]-$I$3,Tab.11[[#This Row],[IN]]))</f>
        <v>0</v>
      </c>
      <c r="Y709" s="136" t="b">
        <f>IF(Tab.11[[#This Row],[a1]]=1,IF($X$3=0,Tab.11[b66],Tab.11[[#This Row],[b66]]-AVERAGE(Tab.11[b66])))</f>
        <v>0</v>
      </c>
      <c r="Z709" s="135" t="b">
        <f>IF(Tab.11[[#This Row],[a1]]=1,Tab.11[[#This Row],[b77]]/(_xlfn.STDEV.P(Tab.11[b77])))</f>
        <v>0</v>
      </c>
      <c r="AA709" s="70" t="b">
        <f>IF(Tab.11[[#This Row],[a1]]=1,_xlfn.NORM.DIST(Tab.11[[#This Row],[b88]],$Z$1,$AA$1,FALSE))</f>
        <v>0</v>
      </c>
      <c r="AB709" s="74" t="b">
        <f>IF(Tab.11[[#This Row],[a1]]=1,IF($A$3=0,FALSE,1/Tab.11[[#This Row],[IN]]*$AC$2*IF(Tab.11[[#This Row],[a1]]=0,,$A$3*$AC$1*1/$V$3*(Tab.11[[#This Row],[b14]]))))</f>
        <v>0</v>
      </c>
      <c r="AC709" s="75" t="b">
        <f>IF(Tab.11[[#This Row],[a1]]=1,IF($AC$3=0,Tab.11[[#This Row],[φ1]],Tab.11[[#This Row],[φ1]]/MAX(Tab.11[φ1])))</f>
        <v>0</v>
      </c>
      <c r="AD709" s="74" t="b">
        <f>IF(Tab.11[[#This Row],[a1]]=1,1/Tab.11[[#This Row],[φ2]])</f>
        <v>0</v>
      </c>
      <c r="AE709" s="74" t="b">
        <f>IF(Tab.11[[#This Row],[a1]]=1,IF($AE$3=0,Tab.11[[#This Row],[w.0]],Tab.11[[#This Row],[w.0]]/SUM(Tab.11[w.0])))</f>
        <v>0</v>
      </c>
      <c r="AF709" s="76" t="str">
        <f>IF(Tab.11[[#This Row],[a1]]=0,"false",[3]!Tab.x5[[#This Row],[%_seN_C]])</f>
        <v>false</v>
      </c>
      <c r="AG709" s="77" t="b">
        <f>IF(Tab.11[[#This Row],[a1]]=1,AP709)</f>
        <v>0</v>
      </c>
      <c r="AH709" s="78" t="b">
        <f>IF(Tab.11[[#This Row],[a1]]=1,AQ709)</f>
        <v>0</v>
      </c>
      <c r="AI709" s="41">
        <v>3.0000000000000001E-3</v>
      </c>
      <c r="AJ709" s="79">
        <v>0.08</v>
      </c>
      <c r="AK709" s="80" t="b">
        <f>IF(Tab.11[[#This Row],[a1]]=1,1)</f>
        <v>0</v>
      </c>
      <c r="AL709"/>
      <c r="AM709"/>
      <c r="AN709"/>
      <c r="AO709"/>
      <c r="AP709"/>
      <c r="AQ709"/>
      <c r="AR709"/>
      <c r="AS709"/>
    </row>
    <row r="710" spans="1:45" s="81" customFormat="1" hidden="1" x14ac:dyDescent="0.25">
      <c r="A710" s="61">
        <f t="shared" si="23"/>
        <v>0</v>
      </c>
      <c r="B710" s="62">
        <f t="shared" si="23"/>
        <v>0</v>
      </c>
      <c r="C710" s="62" t="b">
        <f>IF(Tab.11[[#This Row],[a1]]=1,[3]!Tab_x1[[#This Row],[Name]])</f>
        <v>0</v>
      </c>
      <c r="D710" s="63" t="b">
        <f>IF(Tab.11[[#This Row],[a1]]=1,AO710)</f>
        <v>0</v>
      </c>
      <c r="E710" s="63">
        <f t="shared" si="24"/>
        <v>0</v>
      </c>
      <c r="F710" s="64" t="b">
        <f>IF(Tab.11[[#This Row],[a1]]=1,Tab.11[[#This Row],[b1]])</f>
        <v>0</v>
      </c>
      <c r="G710" s="65" t="b">
        <f>IF(Tab.11[[#This Row],[a1]]=1,IF(Tab.11[[#This Row],[b3]]&gt;$L$989*$G$3,$L$989*$G$3,IF(Tab.11[[#This Row],[b3]]&lt;$M$989*$G$3,$M$989*$G$3,Tab.11[[#This Row],[b3]])))</f>
        <v>0</v>
      </c>
      <c r="H710" s="66" t="b">
        <f>IF(Tab.11[[#This Row],[a1]]=1,Tab.11[[#This Row],[b1]])</f>
        <v>0</v>
      </c>
      <c r="I710" s="67" t="b">
        <f>IF(Tab.11[[#This Row],[a1]]=1,Tab.11[[#This Row],[b1]])</f>
        <v>0</v>
      </c>
      <c r="J710" s="68" t="b">
        <f>IF(Tab.11[[#This Row],[a1]]=1,IF($I$3&lt;0,Tab.11[[#This Row],[b5]]-$I$3,Tab.11[[#This Row],[b5]]))</f>
        <v>0</v>
      </c>
      <c r="K710" s="68" t="b">
        <f>IF(Tab.11[[#This Row],[a1]]=1,IF($K$3=0,Tab.11[b6],Tab.11[[#This Row],[b6]]-AVERAGE(Tab.11[b6])))</f>
        <v>0</v>
      </c>
      <c r="L710" s="69" t="b">
        <f>IF(Tab.11[[#This Row],[a1]]=1,Tab.11[[#This Row],[data]]/(_xlfn.STDEV.P(Tab.11[data])*$B$989)+$A$989)</f>
        <v>0</v>
      </c>
      <c r="M710" s="69" t="b">
        <f>IF(Tab.11[[#This Row],[a1]]=1,Tab.11[[#This Row],[data]]/(_xlfn.STDEV.P(Tab.11[data])*$B$987)-$A$987)</f>
        <v>0</v>
      </c>
      <c r="N710" s="69" t="b">
        <f>IF(Tab.11[[#This Row],[a1]]=1,Tab.11[[#This Row],[data]]/(_xlfn.STDEV.P(Tab.11[data])*$B$988)+$A$988)</f>
        <v>0</v>
      </c>
      <c r="O710" s="70" t="b">
        <f>IF(Tab.11[[#This Row],[a1]]=1,_xlfn.NORM.DIST(Tab.11[[#This Row],[b8]],$P$1,$Q$1,FALSE))</f>
        <v>0</v>
      </c>
      <c r="P710" s="70" t="b">
        <f>IF(Tab.11[[#This Row],[a1]]=1,_xlfn.NORM.DIST(Tab.11[[#This Row],[b9]],$P$1,$Q$1,FALSE))</f>
        <v>0</v>
      </c>
      <c r="Q710" s="70" t="b">
        <f>IF(Tab.11[[#This Row],[a1]]=1,_xlfn.NORM.DIST(Tab.11[[#This Row],[b10]],$P$1,$Q$1,FALSE))</f>
        <v>0</v>
      </c>
      <c r="R710" s="67" t="b">
        <f>IF(Tab.11[[#This Row],[a1]]=1,$I$3+$A$989+IF($K$3=0,Tab.11[[#This Row],[b8]]*_xlfn.STDEV.P(Tab.11[data]),AVERAGE(Tab.11[b6])+Tab.11[[#This Row],[b8]]*_xlfn.STDEV.P(Tab.11[data])))</f>
        <v>0</v>
      </c>
      <c r="S710" s="71" t="b">
        <f>IF(Tab.11[[#This Row],[a1]]=1,$I$3+$A$987+IF($K$3=0,Tab.11[[#This Row],[b9]]*_xlfn.STDEV.P(Tab.11[data]),AVERAGE(Tab.11[b6])+Tab.11[[#This Row],[b9]]*_xlfn.STDEV.P(Tab.11[data])))</f>
        <v>0</v>
      </c>
      <c r="T710" s="71" t="b">
        <f>IF(Tab.11[[#This Row],[a1]]=1,$I$3+$A$988+IF($K$3=0,Tab.11[[#This Row],[b10]]*_xlfn.STDEV.P(Tab.11[data]),AVERAGE(Tab.11[b6])+Tab.11[[#This Row],[b10]]*_xlfn.STDEV.P(Tab.11[data])))</f>
        <v>0</v>
      </c>
      <c r="U710" s="72" t="b">
        <f>IF(Tab.11[[#This Row],[a1]]=1,Tab.11[[#This Row],[target]]-Tab.11[[#This Row],[Red]])</f>
        <v>0</v>
      </c>
      <c r="V710" s="72" t="b">
        <f>IF(Tab.11[[#This Row],[a1]]=1,Tab.11[[#This Row],[target]]-Tab.11[[#This Row],[Blue]])</f>
        <v>0</v>
      </c>
      <c r="W710" s="73" t="b">
        <f>IF(Tab.11[[#This Row],[a1]]=1,IF(ABS(Tab.11[[#This Row],[b17]])+ABS(Tab.11[[#This Row],[b18]])&lt;$W$2,$W$2,ABS(Tab.11[[#This Row],[b17]])+ABS(Tab.11[[#This Row],[b18]])))</f>
        <v>0</v>
      </c>
      <c r="X710" s="136" t="b">
        <f>IF(Tab.11[[#This Row],[a1]]=1,IF($W$3&lt;0,Tab.11[[#This Row],[IN]]-$I$3,Tab.11[[#This Row],[IN]]))</f>
        <v>0</v>
      </c>
      <c r="Y710" s="136" t="b">
        <f>IF(Tab.11[[#This Row],[a1]]=1,IF($X$3=0,Tab.11[b66],Tab.11[[#This Row],[b66]]-AVERAGE(Tab.11[b66])))</f>
        <v>0</v>
      </c>
      <c r="Z710" s="135" t="b">
        <f>IF(Tab.11[[#This Row],[a1]]=1,Tab.11[[#This Row],[b77]]/(_xlfn.STDEV.P(Tab.11[b77])))</f>
        <v>0</v>
      </c>
      <c r="AA710" s="70" t="b">
        <f>IF(Tab.11[[#This Row],[a1]]=1,_xlfn.NORM.DIST(Tab.11[[#This Row],[b88]],$Z$1,$AA$1,FALSE))</f>
        <v>0</v>
      </c>
      <c r="AB710" s="74" t="b">
        <f>IF(Tab.11[[#This Row],[a1]]=1,IF($A$3=0,FALSE,1/Tab.11[[#This Row],[IN]]*$AC$2*IF(Tab.11[[#This Row],[a1]]=0,,$A$3*$AC$1*1/$V$3*(Tab.11[[#This Row],[b14]]))))</f>
        <v>0</v>
      </c>
      <c r="AC710" s="75" t="b">
        <f>IF(Tab.11[[#This Row],[a1]]=1,IF($AC$3=0,Tab.11[[#This Row],[φ1]],Tab.11[[#This Row],[φ1]]/MAX(Tab.11[φ1])))</f>
        <v>0</v>
      </c>
      <c r="AD710" s="74" t="b">
        <f>IF(Tab.11[[#This Row],[a1]]=1,1/Tab.11[[#This Row],[φ2]])</f>
        <v>0</v>
      </c>
      <c r="AE710" s="74" t="b">
        <f>IF(Tab.11[[#This Row],[a1]]=1,IF($AE$3=0,Tab.11[[#This Row],[w.0]],Tab.11[[#This Row],[w.0]]/SUM(Tab.11[w.0])))</f>
        <v>0</v>
      </c>
      <c r="AF710" s="76" t="str">
        <f>IF(Tab.11[[#This Row],[a1]]=0,"false",[3]!Tab.x5[[#This Row],[%_seN_C]])</f>
        <v>false</v>
      </c>
      <c r="AG710" s="77" t="b">
        <f>IF(Tab.11[[#This Row],[a1]]=1,AP710)</f>
        <v>0</v>
      </c>
      <c r="AH710" s="78" t="b">
        <f>IF(Tab.11[[#This Row],[a1]]=1,AQ710)</f>
        <v>0</v>
      </c>
      <c r="AI710" s="41">
        <v>3.0000000000000001E-3</v>
      </c>
      <c r="AJ710" s="79">
        <v>0</v>
      </c>
      <c r="AK710" s="80" t="b">
        <f>IF(Tab.11[[#This Row],[a1]]=1,1)</f>
        <v>0</v>
      </c>
      <c r="AL710"/>
      <c r="AM710"/>
      <c r="AN710"/>
      <c r="AO710"/>
      <c r="AP710"/>
      <c r="AQ710"/>
      <c r="AR710"/>
      <c r="AS710"/>
    </row>
    <row r="711" spans="1:45" s="81" customFormat="1" hidden="1" x14ac:dyDescent="0.25">
      <c r="A711" s="61">
        <f t="shared" si="23"/>
        <v>0</v>
      </c>
      <c r="B711" s="62">
        <f t="shared" si="23"/>
        <v>0</v>
      </c>
      <c r="C711" s="62" t="b">
        <f>IF(Tab.11[[#This Row],[a1]]=1,[3]!Tab_x1[[#This Row],[Name]])</f>
        <v>0</v>
      </c>
      <c r="D711" s="63" t="b">
        <f>IF(Tab.11[[#This Row],[a1]]=1,AO711)</f>
        <v>0</v>
      </c>
      <c r="E711" s="63">
        <f t="shared" si="24"/>
        <v>0</v>
      </c>
      <c r="F711" s="64" t="b">
        <f>IF(Tab.11[[#This Row],[a1]]=1,Tab.11[[#This Row],[b1]])</f>
        <v>0</v>
      </c>
      <c r="G711" s="65" t="b">
        <f>IF(Tab.11[[#This Row],[a1]]=1,IF(Tab.11[[#This Row],[b3]]&gt;$L$989*$G$3,$L$989*$G$3,IF(Tab.11[[#This Row],[b3]]&lt;$M$989*$G$3,$M$989*$G$3,Tab.11[[#This Row],[b3]])))</f>
        <v>0</v>
      </c>
      <c r="H711" s="66" t="b">
        <f>IF(Tab.11[[#This Row],[a1]]=1,Tab.11[[#This Row],[b1]])</f>
        <v>0</v>
      </c>
      <c r="I711" s="67" t="b">
        <f>IF(Tab.11[[#This Row],[a1]]=1,Tab.11[[#This Row],[b1]])</f>
        <v>0</v>
      </c>
      <c r="J711" s="68" t="b">
        <f>IF(Tab.11[[#This Row],[a1]]=1,IF($I$3&lt;0,Tab.11[[#This Row],[b5]]-$I$3,Tab.11[[#This Row],[b5]]))</f>
        <v>0</v>
      </c>
      <c r="K711" s="68" t="b">
        <f>IF(Tab.11[[#This Row],[a1]]=1,IF($K$3=0,Tab.11[b6],Tab.11[[#This Row],[b6]]-AVERAGE(Tab.11[b6])))</f>
        <v>0</v>
      </c>
      <c r="L711" s="69" t="b">
        <f>IF(Tab.11[[#This Row],[a1]]=1,Tab.11[[#This Row],[data]]/(_xlfn.STDEV.P(Tab.11[data])*$B$989)+$A$989)</f>
        <v>0</v>
      </c>
      <c r="M711" s="69" t="b">
        <f>IF(Tab.11[[#This Row],[a1]]=1,Tab.11[[#This Row],[data]]/(_xlfn.STDEV.P(Tab.11[data])*$B$987)-$A$987)</f>
        <v>0</v>
      </c>
      <c r="N711" s="69" t="b">
        <f>IF(Tab.11[[#This Row],[a1]]=1,Tab.11[[#This Row],[data]]/(_xlfn.STDEV.P(Tab.11[data])*$B$988)+$A$988)</f>
        <v>0</v>
      </c>
      <c r="O711" s="70" t="b">
        <f>IF(Tab.11[[#This Row],[a1]]=1,_xlfn.NORM.DIST(Tab.11[[#This Row],[b8]],$P$1,$Q$1,FALSE))</f>
        <v>0</v>
      </c>
      <c r="P711" s="70" t="b">
        <f>IF(Tab.11[[#This Row],[a1]]=1,_xlfn.NORM.DIST(Tab.11[[#This Row],[b9]],$P$1,$Q$1,FALSE))</f>
        <v>0</v>
      </c>
      <c r="Q711" s="70" t="b">
        <f>IF(Tab.11[[#This Row],[a1]]=1,_xlfn.NORM.DIST(Tab.11[[#This Row],[b10]],$P$1,$Q$1,FALSE))</f>
        <v>0</v>
      </c>
      <c r="R711" s="67" t="b">
        <f>IF(Tab.11[[#This Row],[a1]]=1,$I$3+$A$989+IF($K$3=0,Tab.11[[#This Row],[b8]]*_xlfn.STDEV.P(Tab.11[data]),AVERAGE(Tab.11[b6])+Tab.11[[#This Row],[b8]]*_xlfn.STDEV.P(Tab.11[data])))</f>
        <v>0</v>
      </c>
      <c r="S711" s="71" t="b">
        <f>IF(Tab.11[[#This Row],[a1]]=1,$I$3+$A$987+IF($K$3=0,Tab.11[[#This Row],[b9]]*_xlfn.STDEV.P(Tab.11[data]),AVERAGE(Tab.11[b6])+Tab.11[[#This Row],[b9]]*_xlfn.STDEV.P(Tab.11[data])))</f>
        <v>0</v>
      </c>
      <c r="T711" s="71" t="b">
        <f>IF(Tab.11[[#This Row],[a1]]=1,$I$3+$A$988+IF($K$3=0,Tab.11[[#This Row],[b10]]*_xlfn.STDEV.P(Tab.11[data]),AVERAGE(Tab.11[b6])+Tab.11[[#This Row],[b10]]*_xlfn.STDEV.P(Tab.11[data])))</f>
        <v>0</v>
      </c>
      <c r="U711" s="72" t="b">
        <f>IF(Tab.11[[#This Row],[a1]]=1,Tab.11[[#This Row],[target]]-Tab.11[[#This Row],[Red]])</f>
        <v>0</v>
      </c>
      <c r="V711" s="72" t="b">
        <f>IF(Tab.11[[#This Row],[a1]]=1,Tab.11[[#This Row],[target]]-Tab.11[[#This Row],[Blue]])</f>
        <v>0</v>
      </c>
      <c r="W711" s="73" t="b">
        <f>IF(Tab.11[[#This Row],[a1]]=1,IF(ABS(Tab.11[[#This Row],[b17]])+ABS(Tab.11[[#This Row],[b18]])&lt;$W$2,$W$2,ABS(Tab.11[[#This Row],[b17]])+ABS(Tab.11[[#This Row],[b18]])))</f>
        <v>0</v>
      </c>
      <c r="X711" s="136" t="b">
        <f>IF(Tab.11[[#This Row],[a1]]=1,IF($W$3&lt;0,Tab.11[[#This Row],[IN]]-$I$3,Tab.11[[#This Row],[IN]]))</f>
        <v>0</v>
      </c>
      <c r="Y711" s="136" t="b">
        <f>IF(Tab.11[[#This Row],[a1]]=1,IF($X$3=0,Tab.11[b66],Tab.11[[#This Row],[b66]]-AVERAGE(Tab.11[b66])))</f>
        <v>0</v>
      </c>
      <c r="Z711" s="135" t="b">
        <f>IF(Tab.11[[#This Row],[a1]]=1,Tab.11[[#This Row],[b77]]/(_xlfn.STDEV.P(Tab.11[b77])))</f>
        <v>0</v>
      </c>
      <c r="AA711" s="70" t="b">
        <f>IF(Tab.11[[#This Row],[a1]]=1,_xlfn.NORM.DIST(Tab.11[[#This Row],[b88]],$Z$1,$AA$1,FALSE))</f>
        <v>0</v>
      </c>
      <c r="AB711" s="74" t="b">
        <f>IF(Tab.11[[#This Row],[a1]]=1,IF($A$3=0,FALSE,1/Tab.11[[#This Row],[IN]]*$AC$2*IF(Tab.11[[#This Row],[a1]]=0,,$A$3*$AC$1*1/$V$3*(Tab.11[[#This Row],[b14]]))))</f>
        <v>0</v>
      </c>
      <c r="AC711" s="75" t="b">
        <f>IF(Tab.11[[#This Row],[a1]]=1,IF($AC$3=0,Tab.11[[#This Row],[φ1]],Tab.11[[#This Row],[φ1]]/MAX(Tab.11[φ1])))</f>
        <v>0</v>
      </c>
      <c r="AD711" s="74" t="b">
        <f>IF(Tab.11[[#This Row],[a1]]=1,1/Tab.11[[#This Row],[φ2]])</f>
        <v>0</v>
      </c>
      <c r="AE711" s="74" t="b">
        <f>IF(Tab.11[[#This Row],[a1]]=1,IF($AE$3=0,Tab.11[[#This Row],[w.0]],Tab.11[[#This Row],[w.0]]/SUM(Tab.11[w.0])))</f>
        <v>0</v>
      </c>
      <c r="AF711" s="76" t="str">
        <f>IF(Tab.11[[#This Row],[a1]]=0,"false",[3]!Tab.x5[[#This Row],[%_seN_C]])</f>
        <v>false</v>
      </c>
      <c r="AG711" s="77" t="b">
        <f>IF(Tab.11[[#This Row],[a1]]=1,AP711)</f>
        <v>0</v>
      </c>
      <c r="AH711" s="78" t="b">
        <f>IF(Tab.11[[#This Row],[a1]]=1,AQ711)</f>
        <v>0</v>
      </c>
      <c r="AI711" s="41">
        <v>3.0000000000000001E-3</v>
      </c>
      <c r="AJ711" s="79">
        <v>-0.06</v>
      </c>
      <c r="AK711" s="80" t="b">
        <f>IF(Tab.11[[#This Row],[a1]]=1,1)</f>
        <v>0</v>
      </c>
      <c r="AL711"/>
      <c r="AM711"/>
      <c r="AN711"/>
      <c r="AO711"/>
      <c r="AP711"/>
      <c r="AQ711"/>
      <c r="AR711"/>
      <c r="AS711"/>
    </row>
    <row r="712" spans="1:45" s="81" customFormat="1" hidden="1" x14ac:dyDescent="0.25">
      <c r="A712" s="61">
        <f t="shared" si="23"/>
        <v>0</v>
      </c>
      <c r="B712" s="62">
        <f t="shared" si="23"/>
        <v>0</v>
      </c>
      <c r="C712" s="62" t="b">
        <f>IF(Tab.11[[#This Row],[a1]]=1,[3]!Tab_x1[[#This Row],[Name]])</f>
        <v>0</v>
      </c>
      <c r="D712" s="63" t="b">
        <f>IF(Tab.11[[#This Row],[a1]]=1,AO712)</f>
        <v>0</v>
      </c>
      <c r="E712" s="63">
        <f t="shared" si="24"/>
        <v>0</v>
      </c>
      <c r="F712" s="64" t="b">
        <f>IF(Tab.11[[#This Row],[a1]]=1,Tab.11[[#This Row],[b1]])</f>
        <v>0</v>
      </c>
      <c r="G712" s="65" t="b">
        <f>IF(Tab.11[[#This Row],[a1]]=1,IF(Tab.11[[#This Row],[b3]]&gt;$L$989*$G$3,$L$989*$G$3,IF(Tab.11[[#This Row],[b3]]&lt;$M$989*$G$3,$M$989*$G$3,Tab.11[[#This Row],[b3]])))</f>
        <v>0</v>
      </c>
      <c r="H712" s="66" t="b">
        <f>IF(Tab.11[[#This Row],[a1]]=1,Tab.11[[#This Row],[b1]])</f>
        <v>0</v>
      </c>
      <c r="I712" s="67" t="b">
        <f>IF(Tab.11[[#This Row],[a1]]=1,Tab.11[[#This Row],[b1]])</f>
        <v>0</v>
      </c>
      <c r="J712" s="68" t="b">
        <f>IF(Tab.11[[#This Row],[a1]]=1,IF($I$3&lt;0,Tab.11[[#This Row],[b5]]-$I$3,Tab.11[[#This Row],[b5]]))</f>
        <v>0</v>
      </c>
      <c r="K712" s="68" t="b">
        <f>IF(Tab.11[[#This Row],[a1]]=1,IF($K$3=0,Tab.11[b6],Tab.11[[#This Row],[b6]]-AVERAGE(Tab.11[b6])))</f>
        <v>0</v>
      </c>
      <c r="L712" s="69" t="b">
        <f>IF(Tab.11[[#This Row],[a1]]=1,Tab.11[[#This Row],[data]]/(_xlfn.STDEV.P(Tab.11[data])*$B$989)+$A$989)</f>
        <v>0</v>
      </c>
      <c r="M712" s="69" t="b">
        <f>IF(Tab.11[[#This Row],[a1]]=1,Tab.11[[#This Row],[data]]/(_xlfn.STDEV.P(Tab.11[data])*$B$987)-$A$987)</f>
        <v>0</v>
      </c>
      <c r="N712" s="69" t="b">
        <f>IF(Tab.11[[#This Row],[a1]]=1,Tab.11[[#This Row],[data]]/(_xlfn.STDEV.P(Tab.11[data])*$B$988)+$A$988)</f>
        <v>0</v>
      </c>
      <c r="O712" s="70" t="b">
        <f>IF(Tab.11[[#This Row],[a1]]=1,_xlfn.NORM.DIST(Tab.11[[#This Row],[b8]],$P$1,$Q$1,FALSE))</f>
        <v>0</v>
      </c>
      <c r="P712" s="70" t="b">
        <f>IF(Tab.11[[#This Row],[a1]]=1,_xlfn.NORM.DIST(Tab.11[[#This Row],[b9]],$P$1,$Q$1,FALSE))</f>
        <v>0</v>
      </c>
      <c r="Q712" s="70" t="b">
        <f>IF(Tab.11[[#This Row],[a1]]=1,_xlfn.NORM.DIST(Tab.11[[#This Row],[b10]],$P$1,$Q$1,FALSE))</f>
        <v>0</v>
      </c>
      <c r="R712" s="67" t="b">
        <f>IF(Tab.11[[#This Row],[a1]]=1,$I$3+$A$989+IF($K$3=0,Tab.11[[#This Row],[b8]]*_xlfn.STDEV.P(Tab.11[data]),AVERAGE(Tab.11[b6])+Tab.11[[#This Row],[b8]]*_xlfn.STDEV.P(Tab.11[data])))</f>
        <v>0</v>
      </c>
      <c r="S712" s="71" t="b">
        <f>IF(Tab.11[[#This Row],[a1]]=1,$I$3+$A$987+IF($K$3=0,Tab.11[[#This Row],[b9]]*_xlfn.STDEV.P(Tab.11[data]),AVERAGE(Tab.11[b6])+Tab.11[[#This Row],[b9]]*_xlfn.STDEV.P(Tab.11[data])))</f>
        <v>0</v>
      </c>
      <c r="T712" s="71" t="b">
        <f>IF(Tab.11[[#This Row],[a1]]=1,$I$3+$A$988+IF($K$3=0,Tab.11[[#This Row],[b10]]*_xlfn.STDEV.P(Tab.11[data]),AVERAGE(Tab.11[b6])+Tab.11[[#This Row],[b10]]*_xlfn.STDEV.P(Tab.11[data])))</f>
        <v>0</v>
      </c>
      <c r="U712" s="72" t="b">
        <f>IF(Tab.11[[#This Row],[a1]]=1,Tab.11[[#This Row],[target]]-Tab.11[[#This Row],[Red]])</f>
        <v>0</v>
      </c>
      <c r="V712" s="72" t="b">
        <f>IF(Tab.11[[#This Row],[a1]]=1,Tab.11[[#This Row],[target]]-Tab.11[[#This Row],[Blue]])</f>
        <v>0</v>
      </c>
      <c r="W712" s="73" t="b">
        <f>IF(Tab.11[[#This Row],[a1]]=1,IF(ABS(Tab.11[[#This Row],[b17]])+ABS(Tab.11[[#This Row],[b18]])&lt;$W$2,$W$2,ABS(Tab.11[[#This Row],[b17]])+ABS(Tab.11[[#This Row],[b18]])))</f>
        <v>0</v>
      </c>
      <c r="X712" s="136" t="b">
        <f>IF(Tab.11[[#This Row],[a1]]=1,IF($W$3&lt;0,Tab.11[[#This Row],[IN]]-$I$3,Tab.11[[#This Row],[IN]]))</f>
        <v>0</v>
      </c>
      <c r="Y712" s="136" t="b">
        <f>IF(Tab.11[[#This Row],[a1]]=1,IF($X$3=0,Tab.11[b66],Tab.11[[#This Row],[b66]]-AVERAGE(Tab.11[b66])))</f>
        <v>0</v>
      </c>
      <c r="Z712" s="135" t="b">
        <f>IF(Tab.11[[#This Row],[a1]]=1,Tab.11[[#This Row],[b77]]/(_xlfn.STDEV.P(Tab.11[b77])))</f>
        <v>0</v>
      </c>
      <c r="AA712" s="70" t="b">
        <f>IF(Tab.11[[#This Row],[a1]]=1,_xlfn.NORM.DIST(Tab.11[[#This Row],[b88]],$Z$1,$AA$1,FALSE))</f>
        <v>0</v>
      </c>
      <c r="AB712" s="74" t="b">
        <f>IF(Tab.11[[#This Row],[a1]]=1,IF($A$3=0,FALSE,1/Tab.11[[#This Row],[IN]]*$AC$2*IF(Tab.11[[#This Row],[a1]]=0,,$A$3*$AC$1*1/$V$3*(Tab.11[[#This Row],[b14]]))))</f>
        <v>0</v>
      </c>
      <c r="AC712" s="75" t="b">
        <f>IF(Tab.11[[#This Row],[a1]]=1,IF($AC$3=0,Tab.11[[#This Row],[φ1]],Tab.11[[#This Row],[φ1]]/MAX(Tab.11[φ1])))</f>
        <v>0</v>
      </c>
      <c r="AD712" s="74" t="b">
        <f>IF(Tab.11[[#This Row],[a1]]=1,1/Tab.11[[#This Row],[φ2]])</f>
        <v>0</v>
      </c>
      <c r="AE712" s="74" t="b">
        <f>IF(Tab.11[[#This Row],[a1]]=1,IF($AE$3=0,Tab.11[[#This Row],[w.0]],Tab.11[[#This Row],[w.0]]/SUM(Tab.11[w.0])))</f>
        <v>0</v>
      </c>
      <c r="AF712" s="76" t="str">
        <f>IF(Tab.11[[#This Row],[a1]]=0,"false",[3]!Tab.x5[[#This Row],[%_seN_C]])</f>
        <v>false</v>
      </c>
      <c r="AG712" s="77" t="b">
        <f>IF(Tab.11[[#This Row],[a1]]=1,AP712)</f>
        <v>0</v>
      </c>
      <c r="AH712" s="78" t="b">
        <f>IF(Tab.11[[#This Row],[a1]]=1,AQ712)</f>
        <v>0</v>
      </c>
      <c r="AI712" s="41">
        <v>3.0000000000000001E-3</v>
      </c>
      <c r="AJ712" s="79">
        <v>-0.1</v>
      </c>
      <c r="AK712" s="80" t="b">
        <f>IF(Tab.11[[#This Row],[a1]]=1,1)</f>
        <v>0</v>
      </c>
      <c r="AL712"/>
      <c r="AM712"/>
      <c r="AN712"/>
      <c r="AO712"/>
      <c r="AP712"/>
      <c r="AQ712"/>
      <c r="AR712"/>
      <c r="AS712"/>
    </row>
    <row r="713" spans="1:45" s="81" customFormat="1" hidden="1" x14ac:dyDescent="0.25">
      <c r="A713" s="61">
        <f t="shared" si="23"/>
        <v>0</v>
      </c>
      <c r="B713" s="62">
        <f t="shared" si="23"/>
        <v>0</v>
      </c>
      <c r="C713" s="62" t="b">
        <f>IF(Tab.11[[#This Row],[a1]]=1,[3]!Tab_x1[[#This Row],[Name]])</f>
        <v>0</v>
      </c>
      <c r="D713" s="63" t="b">
        <f>IF(Tab.11[[#This Row],[a1]]=1,AO713)</f>
        <v>0</v>
      </c>
      <c r="E713" s="63">
        <f t="shared" si="24"/>
        <v>0</v>
      </c>
      <c r="F713" s="64" t="b">
        <f>IF(Tab.11[[#This Row],[a1]]=1,Tab.11[[#This Row],[b1]])</f>
        <v>0</v>
      </c>
      <c r="G713" s="65" t="b">
        <f>IF(Tab.11[[#This Row],[a1]]=1,IF(Tab.11[[#This Row],[b3]]&gt;$L$989*$G$3,$L$989*$G$3,IF(Tab.11[[#This Row],[b3]]&lt;$M$989*$G$3,$M$989*$G$3,Tab.11[[#This Row],[b3]])))</f>
        <v>0</v>
      </c>
      <c r="H713" s="66" t="b">
        <f>IF(Tab.11[[#This Row],[a1]]=1,Tab.11[[#This Row],[b1]])</f>
        <v>0</v>
      </c>
      <c r="I713" s="67" t="b">
        <f>IF(Tab.11[[#This Row],[a1]]=1,Tab.11[[#This Row],[b1]])</f>
        <v>0</v>
      </c>
      <c r="J713" s="68" t="b">
        <f>IF(Tab.11[[#This Row],[a1]]=1,IF($I$3&lt;0,Tab.11[[#This Row],[b5]]-$I$3,Tab.11[[#This Row],[b5]]))</f>
        <v>0</v>
      </c>
      <c r="K713" s="68" t="b">
        <f>IF(Tab.11[[#This Row],[a1]]=1,IF($K$3=0,Tab.11[b6],Tab.11[[#This Row],[b6]]-AVERAGE(Tab.11[b6])))</f>
        <v>0</v>
      </c>
      <c r="L713" s="69" t="b">
        <f>IF(Tab.11[[#This Row],[a1]]=1,Tab.11[[#This Row],[data]]/(_xlfn.STDEV.P(Tab.11[data])*$B$989)+$A$989)</f>
        <v>0</v>
      </c>
      <c r="M713" s="69" t="b">
        <f>IF(Tab.11[[#This Row],[a1]]=1,Tab.11[[#This Row],[data]]/(_xlfn.STDEV.P(Tab.11[data])*$B$987)-$A$987)</f>
        <v>0</v>
      </c>
      <c r="N713" s="69" t="b">
        <f>IF(Tab.11[[#This Row],[a1]]=1,Tab.11[[#This Row],[data]]/(_xlfn.STDEV.P(Tab.11[data])*$B$988)+$A$988)</f>
        <v>0</v>
      </c>
      <c r="O713" s="70" t="b">
        <f>IF(Tab.11[[#This Row],[a1]]=1,_xlfn.NORM.DIST(Tab.11[[#This Row],[b8]],$P$1,$Q$1,FALSE))</f>
        <v>0</v>
      </c>
      <c r="P713" s="70" t="b">
        <f>IF(Tab.11[[#This Row],[a1]]=1,_xlfn.NORM.DIST(Tab.11[[#This Row],[b9]],$P$1,$Q$1,FALSE))</f>
        <v>0</v>
      </c>
      <c r="Q713" s="70" t="b">
        <f>IF(Tab.11[[#This Row],[a1]]=1,_xlfn.NORM.DIST(Tab.11[[#This Row],[b10]],$P$1,$Q$1,FALSE))</f>
        <v>0</v>
      </c>
      <c r="R713" s="67" t="b">
        <f>IF(Tab.11[[#This Row],[a1]]=1,$I$3+$A$989+IF($K$3=0,Tab.11[[#This Row],[b8]]*_xlfn.STDEV.P(Tab.11[data]),AVERAGE(Tab.11[b6])+Tab.11[[#This Row],[b8]]*_xlfn.STDEV.P(Tab.11[data])))</f>
        <v>0</v>
      </c>
      <c r="S713" s="71" t="b">
        <f>IF(Tab.11[[#This Row],[a1]]=1,$I$3+$A$987+IF($K$3=0,Tab.11[[#This Row],[b9]]*_xlfn.STDEV.P(Tab.11[data]),AVERAGE(Tab.11[b6])+Tab.11[[#This Row],[b9]]*_xlfn.STDEV.P(Tab.11[data])))</f>
        <v>0</v>
      </c>
      <c r="T713" s="71" t="b">
        <f>IF(Tab.11[[#This Row],[a1]]=1,$I$3+$A$988+IF($K$3=0,Tab.11[[#This Row],[b10]]*_xlfn.STDEV.P(Tab.11[data]),AVERAGE(Tab.11[b6])+Tab.11[[#This Row],[b10]]*_xlfn.STDEV.P(Tab.11[data])))</f>
        <v>0</v>
      </c>
      <c r="U713" s="72" t="b">
        <f>IF(Tab.11[[#This Row],[a1]]=1,Tab.11[[#This Row],[target]]-Tab.11[[#This Row],[Red]])</f>
        <v>0</v>
      </c>
      <c r="V713" s="72" t="b">
        <f>IF(Tab.11[[#This Row],[a1]]=1,Tab.11[[#This Row],[target]]-Tab.11[[#This Row],[Blue]])</f>
        <v>0</v>
      </c>
      <c r="W713" s="73" t="b">
        <f>IF(Tab.11[[#This Row],[a1]]=1,IF(ABS(Tab.11[[#This Row],[b17]])+ABS(Tab.11[[#This Row],[b18]])&lt;$W$2,$W$2,ABS(Tab.11[[#This Row],[b17]])+ABS(Tab.11[[#This Row],[b18]])))</f>
        <v>0</v>
      </c>
      <c r="X713" s="136" t="b">
        <f>IF(Tab.11[[#This Row],[a1]]=1,IF($W$3&lt;0,Tab.11[[#This Row],[IN]]-$I$3,Tab.11[[#This Row],[IN]]))</f>
        <v>0</v>
      </c>
      <c r="Y713" s="136" t="b">
        <f>IF(Tab.11[[#This Row],[a1]]=1,IF($X$3=0,Tab.11[b66],Tab.11[[#This Row],[b66]]-AVERAGE(Tab.11[b66])))</f>
        <v>0</v>
      </c>
      <c r="Z713" s="135" t="b">
        <f>IF(Tab.11[[#This Row],[a1]]=1,Tab.11[[#This Row],[b77]]/(_xlfn.STDEV.P(Tab.11[b77])))</f>
        <v>0</v>
      </c>
      <c r="AA713" s="70" t="b">
        <f>IF(Tab.11[[#This Row],[a1]]=1,_xlfn.NORM.DIST(Tab.11[[#This Row],[b88]],$Z$1,$AA$1,FALSE))</f>
        <v>0</v>
      </c>
      <c r="AB713" s="74" t="b">
        <f>IF(Tab.11[[#This Row],[a1]]=1,IF($A$3=0,FALSE,1/Tab.11[[#This Row],[IN]]*$AC$2*IF(Tab.11[[#This Row],[a1]]=0,,$A$3*$AC$1*1/$V$3*(Tab.11[[#This Row],[b14]]))))</f>
        <v>0</v>
      </c>
      <c r="AC713" s="75" t="b">
        <f>IF(Tab.11[[#This Row],[a1]]=1,IF($AC$3=0,Tab.11[[#This Row],[φ1]],Tab.11[[#This Row],[φ1]]/MAX(Tab.11[φ1])))</f>
        <v>0</v>
      </c>
      <c r="AD713" s="74" t="b">
        <f>IF(Tab.11[[#This Row],[a1]]=1,1/Tab.11[[#This Row],[φ2]])</f>
        <v>0</v>
      </c>
      <c r="AE713" s="74" t="b">
        <f>IF(Tab.11[[#This Row],[a1]]=1,IF($AE$3=0,Tab.11[[#This Row],[w.0]],Tab.11[[#This Row],[w.0]]/SUM(Tab.11[w.0])))</f>
        <v>0</v>
      </c>
      <c r="AF713" s="76" t="str">
        <f>IF(Tab.11[[#This Row],[a1]]=0,"false",[3]!Tab.x5[[#This Row],[%_seN_C]])</f>
        <v>false</v>
      </c>
      <c r="AG713" s="77" t="b">
        <f>IF(Tab.11[[#This Row],[a1]]=1,AP713)</f>
        <v>0</v>
      </c>
      <c r="AH713" s="78" t="b">
        <f>IF(Tab.11[[#This Row],[a1]]=1,AQ713)</f>
        <v>0</v>
      </c>
      <c r="AI713" s="41">
        <v>3.0000000000000001E-3</v>
      </c>
      <c r="AJ713" s="79">
        <v>-0.06</v>
      </c>
      <c r="AK713" s="80" t="b">
        <f>IF(Tab.11[[#This Row],[a1]]=1,1)</f>
        <v>0</v>
      </c>
      <c r="AL713"/>
      <c r="AM713"/>
      <c r="AN713"/>
      <c r="AO713"/>
      <c r="AP713"/>
      <c r="AQ713"/>
      <c r="AR713"/>
      <c r="AS713"/>
    </row>
    <row r="714" spans="1:45" s="81" customFormat="1" hidden="1" x14ac:dyDescent="0.25">
      <c r="A714" s="61">
        <f t="shared" si="23"/>
        <v>0</v>
      </c>
      <c r="B714" s="62">
        <f t="shared" si="23"/>
        <v>0</v>
      </c>
      <c r="C714" s="62" t="b">
        <f>IF(Tab.11[[#This Row],[a1]]=1,[3]!Tab_x1[[#This Row],[Name]])</f>
        <v>0</v>
      </c>
      <c r="D714" s="63" t="b">
        <f>IF(Tab.11[[#This Row],[a1]]=1,AO714)</f>
        <v>0</v>
      </c>
      <c r="E714" s="63">
        <f t="shared" si="24"/>
        <v>0</v>
      </c>
      <c r="F714" s="64" t="b">
        <f>IF(Tab.11[[#This Row],[a1]]=1,Tab.11[[#This Row],[b1]])</f>
        <v>0</v>
      </c>
      <c r="G714" s="65" t="b">
        <f>IF(Tab.11[[#This Row],[a1]]=1,IF(Tab.11[[#This Row],[b3]]&gt;$L$989*$G$3,$L$989*$G$3,IF(Tab.11[[#This Row],[b3]]&lt;$M$989*$G$3,$M$989*$G$3,Tab.11[[#This Row],[b3]])))</f>
        <v>0</v>
      </c>
      <c r="H714" s="66" t="b">
        <f>IF(Tab.11[[#This Row],[a1]]=1,Tab.11[[#This Row],[b1]])</f>
        <v>0</v>
      </c>
      <c r="I714" s="67" t="b">
        <f>IF(Tab.11[[#This Row],[a1]]=1,Tab.11[[#This Row],[b1]])</f>
        <v>0</v>
      </c>
      <c r="J714" s="68" t="b">
        <f>IF(Tab.11[[#This Row],[a1]]=1,IF($I$3&lt;0,Tab.11[[#This Row],[b5]]-$I$3,Tab.11[[#This Row],[b5]]))</f>
        <v>0</v>
      </c>
      <c r="K714" s="68" t="b">
        <f>IF(Tab.11[[#This Row],[a1]]=1,IF($K$3=0,Tab.11[b6],Tab.11[[#This Row],[b6]]-AVERAGE(Tab.11[b6])))</f>
        <v>0</v>
      </c>
      <c r="L714" s="69" t="b">
        <f>IF(Tab.11[[#This Row],[a1]]=1,Tab.11[[#This Row],[data]]/(_xlfn.STDEV.P(Tab.11[data])*$B$989)+$A$989)</f>
        <v>0</v>
      </c>
      <c r="M714" s="69" t="b">
        <f>IF(Tab.11[[#This Row],[a1]]=1,Tab.11[[#This Row],[data]]/(_xlfn.STDEV.P(Tab.11[data])*$B$987)-$A$987)</f>
        <v>0</v>
      </c>
      <c r="N714" s="69" t="b">
        <f>IF(Tab.11[[#This Row],[a1]]=1,Tab.11[[#This Row],[data]]/(_xlfn.STDEV.P(Tab.11[data])*$B$988)+$A$988)</f>
        <v>0</v>
      </c>
      <c r="O714" s="70" t="b">
        <f>IF(Tab.11[[#This Row],[a1]]=1,_xlfn.NORM.DIST(Tab.11[[#This Row],[b8]],$P$1,$Q$1,FALSE))</f>
        <v>0</v>
      </c>
      <c r="P714" s="70" t="b">
        <f>IF(Tab.11[[#This Row],[a1]]=1,_xlfn.NORM.DIST(Tab.11[[#This Row],[b9]],$P$1,$Q$1,FALSE))</f>
        <v>0</v>
      </c>
      <c r="Q714" s="70" t="b">
        <f>IF(Tab.11[[#This Row],[a1]]=1,_xlfn.NORM.DIST(Tab.11[[#This Row],[b10]],$P$1,$Q$1,FALSE))</f>
        <v>0</v>
      </c>
      <c r="R714" s="67" t="b">
        <f>IF(Tab.11[[#This Row],[a1]]=1,$I$3+$A$989+IF($K$3=0,Tab.11[[#This Row],[b8]]*_xlfn.STDEV.P(Tab.11[data]),AVERAGE(Tab.11[b6])+Tab.11[[#This Row],[b8]]*_xlfn.STDEV.P(Tab.11[data])))</f>
        <v>0</v>
      </c>
      <c r="S714" s="71" t="b">
        <f>IF(Tab.11[[#This Row],[a1]]=1,$I$3+$A$987+IF($K$3=0,Tab.11[[#This Row],[b9]]*_xlfn.STDEV.P(Tab.11[data]),AVERAGE(Tab.11[b6])+Tab.11[[#This Row],[b9]]*_xlfn.STDEV.P(Tab.11[data])))</f>
        <v>0</v>
      </c>
      <c r="T714" s="71" t="b">
        <f>IF(Tab.11[[#This Row],[a1]]=1,$I$3+$A$988+IF($K$3=0,Tab.11[[#This Row],[b10]]*_xlfn.STDEV.P(Tab.11[data]),AVERAGE(Tab.11[b6])+Tab.11[[#This Row],[b10]]*_xlfn.STDEV.P(Tab.11[data])))</f>
        <v>0</v>
      </c>
      <c r="U714" s="72" t="b">
        <f>IF(Tab.11[[#This Row],[a1]]=1,Tab.11[[#This Row],[target]]-Tab.11[[#This Row],[Red]])</f>
        <v>0</v>
      </c>
      <c r="V714" s="72" t="b">
        <f>IF(Tab.11[[#This Row],[a1]]=1,Tab.11[[#This Row],[target]]-Tab.11[[#This Row],[Blue]])</f>
        <v>0</v>
      </c>
      <c r="W714" s="73" t="b">
        <f>IF(Tab.11[[#This Row],[a1]]=1,IF(ABS(Tab.11[[#This Row],[b17]])+ABS(Tab.11[[#This Row],[b18]])&lt;$W$2,$W$2,ABS(Tab.11[[#This Row],[b17]])+ABS(Tab.11[[#This Row],[b18]])))</f>
        <v>0</v>
      </c>
      <c r="X714" s="136" t="b">
        <f>IF(Tab.11[[#This Row],[a1]]=1,IF($W$3&lt;0,Tab.11[[#This Row],[IN]]-$I$3,Tab.11[[#This Row],[IN]]))</f>
        <v>0</v>
      </c>
      <c r="Y714" s="136" t="b">
        <f>IF(Tab.11[[#This Row],[a1]]=1,IF($X$3=0,Tab.11[b66],Tab.11[[#This Row],[b66]]-AVERAGE(Tab.11[b66])))</f>
        <v>0</v>
      </c>
      <c r="Z714" s="135" t="b">
        <f>IF(Tab.11[[#This Row],[a1]]=1,Tab.11[[#This Row],[b77]]/(_xlfn.STDEV.P(Tab.11[b77])))</f>
        <v>0</v>
      </c>
      <c r="AA714" s="70" t="b">
        <f>IF(Tab.11[[#This Row],[a1]]=1,_xlfn.NORM.DIST(Tab.11[[#This Row],[b88]],$Z$1,$AA$1,FALSE))</f>
        <v>0</v>
      </c>
      <c r="AB714" s="74" t="b">
        <f>IF(Tab.11[[#This Row],[a1]]=1,IF($A$3=0,FALSE,1/Tab.11[[#This Row],[IN]]*$AC$2*IF(Tab.11[[#This Row],[a1]]=0,,$A$3*$AC$1*1/$V$3*(Tab.11[[#This Row],[b14]]))))</f>
        <v>0</v>
      </c>
      <c r="AC714" s="75" t="b">
        <f>IF(Tab.11[[#This Row],[a1]]=1,IF($AC$3=0,Tab.11[[#This Row],[φ1]],Tab.11[[#This Row],[φ1]]/MAX(Tab.11[φ1])))</f>
        <v>0</v>
      </c>
      <c r="AD714" s="74" t="b">
        <f>IF(Tab.11[[#This Row],[a1]]=1,1/Tab.11[[#This Row],[φ2]])</f>
        <v>0</v>
      </c>
      <c r="AE714" s="74" t="b">
        <f>IF(Tab.11[[#This Row],[a1]]=1,IF($AE$3=0,Tab.11[[#This Row],[w.0]],Tab.11[[#This Row],[w.0]]/SUM(Tab.11[w.0])))</f>
        <v>0</v>
      </c>
      <c r="AF714" s="76" t="str">
        <f>IF(Tab.11[[#This Row],[a1]]=0,"false",[3]!Tab.x5[[#This Row],[%_seN_C]])</f>
        <v>false</v>
      </c>
      <c r="AG714" s="77" t="b">
        <f>IF(Tab.11[[#This Row],[a1]]=1,AP714)</f>
        <v>0</v>
      </c>
      <c r="AH714" s="78" t="b">
        <f>IF(Tab.11[[#This Row],[a1]]=1,AQ714)</f>
        <v>0</v>
      </c>
      <c r="AI714" s="41">
        <v>3.0000000000000001E-3</v>
      </c>
      <c r="AJ714" s="79">
        <v>7.0000000000000007E-2</v>
      </c>
      <c r="AK714" s="80" t="b">
        <f>IF(Tab.11[[#This Row],[a1]]=1,1)</f>
        <v>0</v>
      </c>
      <c r="AL714"/>
      <c r="AM714"/>
      <c r="AN714"/>
      <c r="AO714"/>
      <c r="AP714"/>
      <c r="AQ714"/>
      <c r="AR714"/>
      <c r="AS714"/>
    </row>
    <row r="715" spans="1:45" s="81" customFormat="1" hidden="1" x14ac:dyDescent="0.25">
      <c r="A715" s="61">
        <f t="shared" si="23"/>
        <v>0</v>
      </c>
      <c r="B715" s="62">
        <f t="shared" si="23"/>
        <v>0</v>
      </c>
      <c r="C715" s="62" t="b">
        <f>IF(Tab.11[[#This Row],[a1]]=1,[3]!Tab_x1[[#This Row],[Name]])</f>
        <v>0</v>
      </c>
      <c r="D715" s="63" t="b">
        <f>IF(Tab.11[[#This Row],[a1]]=1,AO715)</f>
        <v>0</v>
      </c>
      <c r="E715" s="63">
        <f t="shared" si="24"/>
        <v>0</v>
      </c>
      <c r="F715" s="64" t="b">
        <f>IF(Tab.11[[#This Row],[a1]]=1,Tab.11[[#This Row],[b1]])</f>
        <v>0</v>
      </c>
      <c r="G715" s="65" t="b">
        <f>IF(Tab.11[[#This Row],[a1]]=1,IF(Tab.11[[#This Row],[b3]]&gt;$L$989*$G$3,$L$989*$G$3,IF(Tab.11[[#This Row],[b3]]&lt;$M$989*$G$3,$M$989*$G$3,Tab.11[[#This Row],[b3]])))</f>
        <v>0</v>
      </c>
      <c r="H715" s="66" t="b">
        <f>IF(Tab.11[[#This Row],[a1]]=1,Tab.11[[#This Row],[b1]])</f>
        <v>0</v>
      </c>
      <c r="I715" s="67" t="b">
        <f>IF(Tab.11[[#This Row],[a1]]=1,Tab.11[[#This Row],[b1]])</f>
        <v>0</v>
      </c>
      <c r="J715" s="68" t="b">
        <f>IF(Tab.11[[#This Row],[a1]]=1,IF($I$3&lt;0,Tab.11[[#This Row],[b5]]-$I$3,Tab.11[[#This Row],[b5]]))</f>
        <v>0</v>
      </c>
      <c r="K715" s="68" t="b">
        <f>IF(Tab.11[[#This Row],[a1]]=1,IF($K$3=0,Tab.11[b6],Tab.11[[#This Row],[b6]]-AVERAGE(Tab.11[b6])))</f>
        <v>0</v>
      </c>
      <c r="L715" s="69" t="b">
        <f>IF(Tab.11[[#This Row],[a1]]=1,Tab.11[[#This Row],[data]]/(_xlfn.STDEV.P(Tab.11[data])*$B$989)+$A$989)</f>
        <v>0</v>
      </c>
      <c r="M715" s="69" t="b">
        <f>IF(Tab.11[[#This Row],[a1]]=1,Tab.11[[#This Row],[data]]/(_xlfn.STDEV.P(Tab.11[data])*$B$987)-$A$987)</f>
        <v>0</v>
      </c>
      <c r="N715" s="69" t="b">
        <f>IF(Tab.11[[#This Row],[a1]]=1,Tab.11[[#This Row],[data]]/(_xlfn.STDEV.P(Tab.11[data])*$B$988)+$A$988)</f>
        <v>0</v>
      </c>
      <c r="O715" s="70" t="b">
        <f>IF(Tab.11[[#This Row],[a1]]=1,_xlfn.NORM.DIST(Tab.11[[#This Row],[b8]],$P$1,$Q$1,FALSE))</f>
        <v>0</v>
      </c>
      <c r="P715" s="70" t="b">
        <f>IF(Tab.11[[#This Row],[a1]]=1,_xlfn.NORM.DIST(Tab.11[[#This Row],[b9]],$P$1,$Q$1,FALSE))</f>
        <v>0</v>
      </c>
      <c r="Q715" s="70" t="b">
        <f>IF(Tab.11[[#This Row],[a1]]=1,_xlfn.NORM.DIST(Tab.11[[#This Row],[b10]],$P$1,$Q$1,FALSE))</f>
        <v>0</v>
      </c>
      <c r="R715" s="67" t="b">
        <f>IF(Tab.11[[#This Row],[a1]]=1,$I$3+$A$989+IF($K$3=0,Tab.11[[#This Row],[b8]]*_xlfn.STDEV.P(Tab.11[data]),AVERAGE(Tab.11[b6])+Tab.11[[#This Row],[b8]]*_xlfn.STDEV.P(Tab.11[data])))</f>
        <v>0</v>
      </c>
      <c r="S715" s="71" t="b">
        <f>IF(Tab.11[[#This Row],[a1]]=1,$I$3+$A$987+IF($K$3=0,Tab.11[[#This Row],[b9]]*_xlfn.STDEV.P(Tab.11[data]),AVERAGE(Tab.11[b6])+Tab.11[[#This Row],[b9]]*_xlfn.STDEV.P(Tab.11[data])))</f>
        <v>0</v>
      </c>
      <c r="T715" s="71" t="b">
        <f>IF(Tab.11[[#This Row],[a1]]=1,$I$3+$A$988+IF($K$3=0,Tab.11[[#This Row],[b10]]*_xlfn.STDEV.P(Tab.11[data]),AVERAGE(Tab.11[b6])+Tab.11[[#This Row],[b10]]*_xlfn.STDEV.P(Tab.11[data])))</f>
        <v>0</v>
      </c>
      <c r="U715" s="72" t="b">
        <f>IF(Tab.11[[#This Row],[a1]]=1,Tab.11[[#This Row],[target]]-Tab.11[[#This Row],[Red]])</f>
        <v>0</v>
      </c>
      <c r="V715" s="72" t="b">
        <f>IF(Tab.11[[#This Row],[a1]]=1,Tab.11[[#This Row],[target]]-Tab.11[[#This Row],[Blue]])</f>
        <v>0</v>
      </c>
      <c r="W715" s="73" t="b">
        <f>IF(Tab.11[[#This Row],[a1]]=1,IF(ABS(Tab.11[[#This Row],[b17]])+ABS(Tab.11[[#This Row],[b18]])&lt;$W$2,$W$2,ABS(Tab.11[[#This Row],[b17]])+ABS(Tab.11[[#This Row],[b18]])))</f>
        <v>0</v>
      </c>
      <c r="X715" s="136" t="b">
        <f>IF(Tab.11[[#This Row],[a1]]=1,IF($W$3&lt;0,Tab.11[[#This Row],[IN]]-$I$3,Tab.11[[#This Row],[IN]]))</f>
        <v>0</v>
      </c>
      <c r="Y715" s="136" t="b">
        <f>IF(Tab.11[[#This Row],[a1]]=1,IF($X$3=0,Tab.11[b66],Tab.11[[#This Row],[b66]]-AVERAGE(Tab.11[b66])))</f>
        <v>0</v>
      </c>
      <c r="Z715" s="135" t="b">
        <f>IF(Tab.11[[#This Row],[a1]]=1,Tab.11[[#This Row],[b77]]/(_xlfn.STDEV.P(Tab.11[b77])))</f>
        <v>0</v>
      </c>
      <c r="AA715" s="70" t="b">
        <f>IF(Tab.11[[#This Row],[a1]]=1,_xlfn.NORM.DIST(Tab.11[[#This Row],[b88]],$Z$1,$AA$1,FALSE))</f>
        <v>0</v>
      </c>
      <c r="AB715" s="74" t="b">
        <f>IF(Tab.11[[#This Row],[a1]]=1,IF($A$3=0,FALSE,1/Tab.11[[#This Row],[IN]]*$AC$2*IF(Tab.11[[#This Row],[a1]]=0,,$A$3*$AC$1*1/$V$3*(Tab.11[[#This Row],[b14]]))))</f>
        <v>0</v>
      </c>
      <c r="AC715" s="75" t="b">
        <f>IF(Tab.11[[#This Row],[a1]]=1,IF($AC$3=0,Tab.11[[#This Row],[φ1]],Tab.11[[#This Row],[φ1]]/MAX(Tab.11[φ1])))</f>
        <v>0</v>
      </c>
      <c r="AD715" s="74" t="b">
        <f>IF(Tab.11[[#This Row],[a1]]=1,1/Tab.11[[#This Row],[φ2]])</f>
        <v>0</v>
      </c>
      <c r="AE715" s="74" t="b">
        <f>IF(Tab.11[[#This Row],[a1]]=1,IF($AE$3=0,Tab.11[[#This Row],[w.0]],Tab.11[[#This Row],[w.0]]/SUM(Tab.11[w.0])))</f>
        <v>0</v>
      </c>
      <c r="AF715" s="76" t="str">
        <f>IF(Tab.11[[#This Row],[a1]]=0,"false",[3]!Tab.x5[[#This Row],[%_seN_C]])</f>
        <v>false</v>
      </c>
      <c r="AG715" s="77" t="b">
        <f>IF(Tab.11[[#This Row],[a1]]=1,AP715)</f>
        <v>0</v>
      </c>
      <c r="AH715" s="78" t="b">
        <f>IF(Tab.11[[#This Row],[a1]]=1,AQ715)</f>
        <v>0</v>
      </c>
      <c r="AI715" s="41">
        <v>3.0000000000000001E-3</v>
      </c>
      <c r="AJ715" s="79">
        <v>0.02</v>
      </c>
      <c r="AK715" s="80" t="b">
        <f>IF(Tab.11[[#This Row],[a1]]=1,1)</f>
        <v>0</v>
      </c>
      <c r="AL715"/>
      <c r="AM715"/>
      <c r="AN715"/>
      <c r="AO715"/>
      <c r="AP715"/>
      <c r="AQ715"/>
      <c r="AR715"/>
      <c r="AS715"/>
    </row>
    <row r="716" spans="1:45" s="81" customFormat="1" hidden="1" x14ac:dyDescent="0.25">
      <c r="A716" s="61">
        <f t="shared" si="23"/>
        <v>0</v>
      </c>
      <c r="B716" s="62">
        <f t="shared" si="23"/>
        <v>0</v>
      </c>
      <c r="C716" s="62" t="b">
        <f>IF(Tab.11[[#This Row],[a1]]=1,[3]!Tab_x1[[#This Row],[Name]])</f>
        <v>0</v>
      </c>
      <c r="D716" s="63" t="b">
        <f>IF(Tab.11[[#This Row],[a1]]=1,AO716)</f>
        <v>0</v>
      </c>
      <c r="E716" s="63">
        <f t="shared" si="24"/>
        <v>0</v>
      </c>
      <c r="F716" s="64" t="b">
        <f>IF(Tab.11[[#This Row],[a1]]=1,Tab.11[[#This Row],[b1]])</f>
        <v>0</v>
      </c>
      <c r="G716" s="65" t="b">
        <f>IF(Tab.11[[#This Row],[a1]]=1,IF(Tab.11[[#This Row],[b3]]&gt;$L$989*$G$3,$L$989*$G$3,IF(Tab.11[[#This Row],[b3]]&lt;$M$989*$G$3,$M$989*$G$3,Tab.11[[#This Row],[b3]])))</f>
        <v>0</v>
      </c>
      <c r="H716" s="66" t="b">
        <f>IF(Tab.11[[#This Row],[a1]]=1,Tab.11[[#This Row],[b1]])</f>
        <v>0</v>
      </c>
      <c r="I716" s="67" t="b">
        <f>IF(Tab.11[[#This Row],[a1]]=1,Tab.11[[#This Row],[b1]])</f>
        <v>0</v>
      </c>
      <c r="J716" s="68" t="b">
        <f>IF(Tab.11[[#This Row],[a1]]=1,IF($I$3&lt;0,Tab.11[[#This Row],[b5]]-$I$3,Tab.11[[#This Row],[b5]]))</f>
        <v>0</v>
      </c>
      <c r="K716" s="68" t="b">
        <f>IF(Tab.11[[#This Row],[a1]]=1,IF($K$3=0,Tab.11[b6],Tab.11[[#This Row],[b6]]-AVERAGE(Tab.11[b6])))</f>
        <v>0</v>
      </c>
      <c r="L716" s="69" t="b">
        <f>IF(Tab.11[[#This Row],[a1]]=1,Tab.11[[#This Row],[data]]/(_xlfn.STDEV.P(Tab.11[data])*$B$989)+$A$989)</f>
        <v>0</v>
      </c>
      <c r="M716" s="69" t="b">
        <f>IF(Tab.11[[#This Row],[a1]]=1,Tab.11[[#This Row],[data]]/(_xlfn.STDEV.P(Tab.11[data])*$B$987)-$A$987)</f>
        <v>0</v>
      </c>
      <c r="N716" s="69" t="b">
        <f>IF(Tab.11[[#This Row],[a1]]=1,Tab.11[[#This Row],[data]]/(_xlfn.STDEV.P(Tab.11[data])*$B$988)+$A$988)</f>
        <v>0</v>
      </c>
      <c r="O716" s="70" t="b">
        <f>IF(Tab.11[[#This Row],[a1]]=1,_xlfn.NORM.DIST(Tab.11[[#This Row],[b8]],$P$1,$Q$1,FALSE))</f>
        <v>0</v>
      </c>
      <c r="P716" s="70" t="b">
        <f>IF(Tab.11[[#This Row],[a1]]=1,_xlfn.NORM.DIST(Tab.11[[#This Row],[b9]],$P$1,$Q$1,FALSE))</f>
        <v>0</v>
      </c>
      <c r="Q716" s="70" t="b">
        <f>IF(Tab.11[[#This Row],[a1]]=1,_xlfn.NORM.DIST(Tab.11[[#This Row],[b10]],$P$1,$Q$1,FALSE))</f>
        <v>0</v>
      </c>
      <c r="R716" s="67" t="b">
        <f>IF(Tab.11[[#This Row],[a1]]=1,$I$3+$A$989+IF($K$3=0,Tab.11[[#This Row],[b8]]*_xlfn.STDEV.P(Tab.11[data]),AVERAGE(Tab.11[b6])+Tab.11[[#This Row],[b8]]*_xlfn.STDEV.P(Tab.11[data])))</f>
        <v>0</v>
      </c>
      <c r="S716" s="71" t="b">
        <f>IF(Tab.11[[#This Row],[a1]]=1,$I$3+$A$987+IF($K$3=0,Tab.11[[#This Row],[b9]]*_xlfn.STDEV.P(Tab.11[data]),AVERAGE(Tab.11[b6])+Tab.11[[#This Row],[b9]]*_xlfn.STDEV.P(Tab.11[data])))</f>
        <v>0</v>
      </c>
      <c r="T716" s="71" t="b">
        <f>IF(Tab.11[[#This Row],[a1]]=1,$I$3+$A$988+IF($K$3=0,Tab.11[[#This Row],[b10]]*_xlfn.STDEV.P(Tab.11[data]),AVERAGE(Tab.11[b6])+Tab.11[[#This Row],[b10]]*_xlfn.STDEV.P(Tab.11[data])))</f>
        <v>0</v>
      </c>
      <c r="U716" s="72" t="b">
        <f>IF(Tab.11[[#This Row],[a1]]=1,Tab.11[[#This Row],[target]]-Tab.11[[#This Row],[Red]])</f>
        <v>0</v>
      </c>
      <c r="V716" s="72" t="b">
        <f>IF(Tab.11[[#This Row],[a1]]=1,Tab.11[[#This Row],[target]]-Tab.11[[#This Row],[Blue]])</f>
        <v>0</v>
      </c>
      <c r="W716" s="73" t="b">
        <f>IF(Tab.11[[#This Row],[a1]]=1,IF(ABS(Tab.11[[#This Row],[b17]])+ABS(Tab.11[[#This Row],[b18]])&lt;$W$2,$W$2,ABS(Tab.11[[#This Row],[b17]])+ABS(Tab.11[[#This Row],[b18]])))</f>
        <v>0</v>
      </c>
      <c r="X716" s="136" t="b">
        <f>IF(Tab.11[[#This Row],[a1]]=1,IF($W$3&lt;0,Tab.11[[#This Row],[IN]]-$I$3,Tab.11[[#This Row],[IN]]))</f>
        <v>0</v>
      </c>
      <c r="Y716" s="136" t="b">
        <f>IF(Tab.11[[#This Row],[a1]]=1,IF($X$3=0,Tab.11[b66],Tab.11[[#This Row],[b66]]-AVERAGE(Tab.11[b66])))</f>
        <v>0</v>
      </c>
      <c r="Z716" s="135" t="b">
        <f>IF(Tab.11[[#This Row],[a1]]=1,Tab.11[[#This Row],[b77]]/(_xlfn.STDEV.P(Tab.11[b77])))</f>
        <v>0</v>
      </c>
      <c r="AA716" s="70" t="b">
        <f>IF(Tab.11[[#This Row],[a1]]=1,_xlfn.NORM.DIST(Tab.11[[#This Row],[b88]],$Z$1,$AA$1,FALSE))</f>
        <v>0</v>
      </c>
      <c r="AB716" s="74" t="b">
        <f>IF(Tab.11[[#This Row],[a1]]=1,IF($A$3=0,FALSE,1/Tab.11[[#This Row],[IN]]*$AC$2*IF(Tab.11[[#This Row],[a1]]=0,,$A$3*$AC$1*1/$V$3*(Tab.11[[#This Row],[b14]]))))</f>
        <v>0</v>
      </c>
      <c r="AC716" s="75" t="b">
        <f>IF(Tab.11[[#This Row],[a1]]=1,IF($AC$3=0,Tab.11[[#This Row],[φ1]],Tab.11[[#This Row],[φ1]]/MAX(Tab.11[φ1])))</f>
        <v>0</v>
      </c>
      <c r="AD716" s="74" t="b">
        <f>IF(Tab.11[[#This Row],[a1]]=1,1/Tab.11[[#This Row],[φ2]])</f>
        <v>0</v>
      </c>
      <c r="AE716" s="74" t="b">
        <f>IF(Tab.11[[#This Row],[a1]]=1,IF($AE$3=0,Tab.11[[#This Row],[w.0]],Tab.11[[#This Row],[w.0]]/SUM(Tab.11[w.0])))</f>
        <v>0</v>
      </c>
      <c r="AF716" s="76" t="str">
        <f>IF(Tab.11[[#This Row],[a1]]=0,"false",[3]!Tab.x5[[#This Row],[%_seN_C]])</f>
        <v>false</v>
      </c>
      <c r="AG716" s="77" t="b">
        <f>IF(Tab.11[[#This Row],[a1]]=1,AP716)</f>
        <v>0</v>
      </c>
      <c r="AH716" s="78" t="b">
        <f>IF(Tab.11[[#This Row],[a1]]=1,AQ716)</f>
        <v>0</v>
      </c>
      <c r="AI716" s="41">
        <v>3.0000000000000001E-3</v>
      </c>
      <c r="AJ716" s="79">
        <v>-7.0000000000000007E-2</v>
      </c>
      <c r="AK716" s="80" t="b">
        <f>IF(Tab.11[[#This Row],[a1]]=1,1)</f>
        <v>0</v>
      </c>
      <c r="AL716"/>
      <c r="AM716"/>
      <c r="AN716"/>
      <c r="AO716"/>
      <c r="AP716"/>
      <c r="AQ716"/>
      <c r="AR716"/>
      <c r="AS716"/>
    </row>
    <row r="717" spans="1:45" s="81" customFormat="1" hidden="1" x14ac:dyDescent="0.25">
      <c r="A717" s="61">
        <f t="shared" si="23"/>
        <v>0</v>
      </c>
      <c r="B717" s="62">
        <f t="shared" si="23"/>
        <v>0</v>
      </c>
      <c r="C717" s="62" t="b">
        <f>IF(Tab.11[[#This Row],[a1]]=1,[3]!Tab_x1[[#This Row],[Name]])</f>
        <v>0</v>
      </c>
      <c r="D717" s="63" t="b">
        <f>IF(Tab.11[[#This Row],[a1]]=1,AO717)</f>
        <v>0</v>
      </c>
      <c r="E717" s="63">
        <f t="shared" si="24"/>
        <v>0</v>
      </c>
      <c r="F717" s="64" t="b">
        <f>IF(Tab.11[[#This Row],[a1]]=1,Tab.11[[#This Row],[b1]])</f>
        <v>0</v>
      </c>
      <c r="G717" s="65" t="b">
        <f>IF(Tab.11[[#This Row],[a1]]=1,IF(Tab.11[[#This Row],[b3]]&gt;$L$989*$G$3,$L$989*$G$3,IF(Tab.11[[#This Row],[b3]]&lt;$M$989*$G$3,$M$989*$G$3,Tab.11[[#This Row],[b3]])))</f>
        <v>0</v>
      </c>
      <c r="H717" s="66" t="b">
        <f>IF(Tab.11[[#This Row],[a1]]=1,Tab.11[[#This Row],[b1]])</f>
        <v>0</v>
      </c>
      <c r="I717" s="67" t="b">
        <f>IF(Tab.11[[#This Row],[a1]]=1,Tab.11[[#This Row],[b1]])</f>
        <v>0</v>
      </c>
      <c r="J717" s="68" t="b">
        <f>IF(Tab.11[[#This Row],[a1]]=1,IF($I$3&lt;0,Tab.11[[#This Row],[b5]]-$I$3,Tab.11[[#This Row],[b5]]))</f>
        <v>0</v>
      </c>
      <c r="K717" s="68" t="b">
        <f>IF(Tab.11[[#This Row],[a1]]=1,IF($K$3=0,Tab.11[b6],Tab.11[[#This Row],[b6]]-AVERAGE(Tab.11[b6])))</f>
        <v>0</v>
      </c>
      <c r="L717" s="69" t="b">
        <f>IF(Tab.11[[#This Row],[a1]]=1,Tab.11[[#This Row],[data]]/(_xlfn.STDEV.P(Tab.11[data])*$B$989)+$A$989)</f>
        <v>0</v>
      </c>
      <c r="M717" s="69" t="b">
        <f>IF(Tab.11[[#This Row],[a1]]=1,Tab.11[[#This Row],[data]]/(_xlfn.STDEV.P(Tab.11[data])*$B$987)-$A$987)</f>
        <v>0</v>
      </c>
      <c r="N717" s="69" t="b">
        <f>IF(Tab.11[[#This Row],[a1]]=1,Tab.11[[#This Row],[data]]/(_xlfn.STDEV.P(Tab.11[data])*$B$988)+$A$988)</f>
        <v>0</v>
      </c>
      <c r="O717" s="70" t="b">
        <f>IF(Tab.11[[#This Row],[a1]]=1,_xlfn.NORM.DIST(Tab.11[[#This Row],[b8]],$P$1,$Q$1,FALSE))</f>
        <v>0</v>
      </c>
      <c r="P717" s="70" t="b">
        <f>IF(Tab.11[[#This Row],[a1]]=1,_xlfn.NORM.DIST(Tab.11[[#This Row],[b9]],$P$1,$Q$1,FALSE))</f>
        <v>0</v>
      </c>
      <c r="Q717" s="70" t="b">
        <f>IF(Tab.11[[#This Row],[a1]]=1,_xlfn.NORM.DIST(Tab.11[[#This Row],[b10]],$P$1,$Q$1,FALSE))</f>
        <v>0</v>
      </c>
      <c r="R717" s="67" t="b">
        <f>IF(Tab.11[[#This Row],[a1]]=1,$I$3+$A$989+IF($K$3=0,Tab.11[[#This Row],[b8]]*_xlfn.STDEV.P(Tab.11[data]),AVERAGE(Tab.11[b6])+Tab.11[[#This Row],[b8]]*_xlfn.STDEV.P(Tab.11[data])))</f>
        <v>0</v>
      </c>
      <c r="S717" s="71" t="b">
        <f>IF(Tab.11[[#This Row],[a1]]=1,$I$3+$A$987+IF($K$3=0,Tab.11[[#This Row],[b9]]*_xlfn.STDEV.P(Tab.11[data]),AVERAGE(Tab.11[b6])+Tab.11[[#This Row],[b9]]*_xlfn.STDEV.P(Tab.11[data])))</f>
        <v>0</v>
      </c>
      <c r="T717" s="71" t="b">
        <f>IF(Tab.11[[#This Row],[a1]]=1,$I$3+$A$988+IF($K$3=0,Tab.11[[#This Row],[b10]]*_xlfn.STDEV.P(Tab.11[data]),AVERAGE(Tab.11[b6])+Tab.11[[#This Row],[b10]]*_xlfn.STDEV.P(Tab.11[data])))</f>
        <v>0</v>
      </c>
      <c r="U717" s="72" t="b">
        <f>IF(Tab.11[[#This Row],[a1]]=1,Tab.11[[#This Row],[target]]-Tab.11[[#This Row],[Red]])</f>
        <v>0</v>
      </c>
      <c r="V717" s="72" t="b">
        <f>IF(Tab.11[[#This Row],[a1]]=1,Tab.11[[#This Row],[target]]-Tab.11[[#This Row],[Blue]])</f>
        <v>0</v>
      </c>
      <c r="W717" s="73" t="b">
        <f>IF(Tab.11[[#This Row],[a1]]=1,IF(ABS(Tab.11[[#This Row],[b17]])+ABS(Tab.11[[#This Row],[b18]])&lt;$W$2,$W$2,ABS(Tab.11[[#This Row],[b17]])+ABS(Tab.11[[#This Row],[b18]])))</f>
        <v>0</v>
      </c>
      <c r="X717" s="136" t="b">
        <f>IF(Tab.11[[#This Row],[a1]]=1,IF($W$3&lt;0,Tab.11[[#This Row],[IN]]-$I$3,Tab.11[[#This Row],[IN]]))</f>
        <v>0</v>
      </c>
      <c r="Y717" s="136" t="b">
        <f>IF(Tab.11[[#This Row],[a1]]=1,IF($X$3=0,Tab.11[b66],Tab.11[[#This Row],[b66]]-AVERAGE(Tab.11[b66])))</f>
        <v>0</v>
      </c>
      <c r="Z717" s="135" t="b">
        <f>IF(Tab.11[[#This Row],[a1]]=1,Tab.11[[#This Row],[b77]]/(_xlfn.STDEV.P(Tab.11[b77])))</f>
        <v>0</v>
      </c>
      <c r="AA717" s="70" t="b">
        <f>IF(Tab.11[[#This Row],[a1]]=1,_xlfn.NORM.DIST(Tab.11[[#This Row],[b88]],$Z$1,$AA$1,FALSE))</f>
        <v>0</v>
      </c>
      <c r="AB717" s="74" t="b">
        <f>IF(Tab.11[[#This Row],[a1]]=1,IF($A$3=0,FALSE,1/Tab.11[[#This Row],[IN]]*$AC$2*IF(Tab.11[[#This Row],[a1]]=0,,$A$3*$AC$1*1/$V$3*(Tab.11[[#This Row],[b14]]))))</f>
        <v>0</v>
      </c>
      <c r="AC717" s="75" t="b">
        <f>IF(Tab.11[[#This Row],[a1]]=1,IF($AC$3=0,Tab.11[[#This Row],[φ1]],Tab.11[[#This Row],[φ1]]/MAX(Tab.11[φ1])))</f>
        <v>0</v>
      </c>
      <c r="AD717" s="74" t="b">
        <f>IF(Tab.11[[#This Row],[a1]]=1,1/Tab.11[[#This Row],[φ2]])</f>
        <v>0</v>
      </c>
      <c r="AE717" s="74" t="b">
        <f>IF(Tab.11[[#This Row],[a1]]=1,IF($AE$3=0,Tab.11[[#This Row],[w.0]],Tab.11[[#This Row],[w.0]]/SUM(Tab.11[w.0])))</f>
        <v>0</v>
      </c>
      <c r="AF717" s="76" t="str">
        <f>IF(Tab.11[[#This Row],[a1]]=0,"false",[3]!Tab.x5[[#This Row],[%_seN_C]])</f>
        <v>false</v>
      </c>
      <c r="AG717" s="77" t="b">
        <f>IF(Tab.11[[#This Row],[a1]]=1,AP717)</f>
        <v>0</v>
      </c>
      <c r="AH717" s="78" t="b">
        <f>IF(Tab.11[[#This Row],[a1]]=1,AQ717)</f>
        <v>0</v>
      </c>
      <c r="AI717" s="41">
        <v>3.0000000000000001E-3</v>
      </c>
      <c r="AJ717" s="79">
        <v>-0.02</v>
      </c>
      <c r="AK717" s="80" t="b">
        <f>IF(Tab.11[[#This Row],[a1]]=1,1)</f>
        <v>0</v>
      </c>
      <c r="AL717"/>
      <c r="AM717"/>
      <c r="AN717"/>
      <c r="AO717"/>
      <c r="AP717"/>
      <c r="AQ717"/>
      <c r="AR717"/>
      <c r="AS717"/>
    </row>
    <row r="718" spans="1:45" s="81" customFormat="1" hidden="1" x14ac:dyDescent="0.25">
      <c r="A718" s="61">
        <f t="shared" si="23"/>
        <v>0</v>
      </c>
      <c r="B718" s="62">
        <f t="shared" si="23"/>
        <v>0</v>
      </c>
      <c r="C718" s="62" t="b">
        <f>IF(Tab.11[[#This Row],[a1]]=1,[3]!Tab_x1[[#This Row],[Name]])</f>
        <v>0</v>
      </c>
      <c r="D718" s="63" t="b">
        <f>IF(Tab.11[[#This Row],[a1]]=1,AO718)</f>
        <v>0</v>
      </c>
      <c r="E718" s="63">
        <f t="shared" si="24"/>
        <v>0</v>
      </c>
      <c r="F718" s="64" t="b">
        <f>IF(Tab.11[[#This Row],[a1]]=1,Tab.11[[#This Row],[b1]])</f>
        <v>0</v>
      </c>
      <c r="G718" s="65" t="b">
        <f>IF(Tab.11[[#This Row],[a1]]=1,IF(Tab.11[[#This Row],[b3]]&gt;$L$989*$G$3,$L$989*$G$3,IF(Tab.11[[#This Row],[b3]]&lt;$M$989*$G$3,$M$989*$G$3,Tab.11[[#This Row],[b3]])))</f>
        <v>0</v>
      </c>
      <c r="H718" s="66" t="b">
        <f>IF(Tab.11[[#This Row],[a1]]=1,Tab.11[[#This Row],[b1]])</f>
        <v>0</v>
      </c>
      <c r="I718" s="67" t="b">
        <f>IF(Tab.11[[#This Row],[a1]]=1,Tab.11[[#This Row],[b1]])</f>
        <v>0</v>
      </c>
      <c r="J718" s="68" t="b">
        <f>IF(Tab.11[[#This Row],[a1]]=1,IF($I$3&lt;0,Tab.11[[#This Row],[b5]]-$I$3,Tab.11[[#This Row],[b5]]))</f>
        <v>0</v>
      </c>
      <c r="K718" s="68" t="b">
        <f>IF(Tab.11[[#This Row],[a1]]=1,IF($K$3=0,Tab.11[b6],Tab.11[[#This Row],[b6]]-AVERAGE(Tab.11[b6])))</f>
        <v>0</v>
      </c>
      <c r="L718" s="69" t="b">
        <f>IF(Tab.11[[#This Row],[a1]]=1,Tab.11[[#This Row],[data]]/(_xlfn.STDEV.P(Tab.11[data])*$B$989)+$A$989)</f>
        <v>0</v>
      </c>
      <c r="M718" s="69" t="b">
        <f>IF(Tab.11[[#This Row],[a1]]=1,Tab.11[[#This Row],[data]]/(_xlfn.STDEV.P(Tab.11[data])*$B$987)-$A$987)</f>
        <v>0</v>
      </c>
      <c r="N718" s="69" t="b">
        <f>IF(Tab.11[[#This Row],[a1]]=1,Tab.11[[#This Row],[data]]/(_xlfn.STDEV.P(Tab.11[data])*$B$988)+$A$988)</f>
        <v>0</v>
      </c>
      <c r="O718" s="70" t="b">
        <f>IF(Tab.11[[#This Row],[a1]]=1,_xlfn.NORM.DIST(Tab.11[[#This Row],[b8]],$P$1,$Q$1,FALSE))</f>
        <v>0</v>
      </c>
      <c r="P718" s="70" t="b">
        <f>IF(Tab.11[[#This Row],[a1]]=1,_xlfn.NORM.DIST(Tab.11[[#This Row],[b9]],$P$1,$Q$1,FALSE))</f>
        <v>0</v>
      </c>
      <c r="Q718" s="70" t="b">
        <f>IF(Tab.11[[#This Row],[a1]]=1,_xlfn.NORM.DIST(Tab.11[[#This Row],[b10]],$P$1,$Q$1,FALSE))</f>
        <v>0</v>
      </c>
      <c r="R718" s="67" t="b">
        <f>IF(Tab.11[[#This Row],[a1]]=1,$I$3+$A$989+IF($K$3=0,Tab.11[[#This Row],[b8]]*_xlfn.STDEV.P(Tab.11[data]),AVERAGE(Tab.11[b6])+Tab.11[[#This Row],[b8]]*_xlfn.STDEV.P(Tab.11[data])))</f>
        <v>0</v>
      </c>
      <c r="S718" s="71" t="b">
        <f>IF(Tab.11[[#This Row],[a1]]=1,$I$3+$A$987+IF($K$3=0,Tab.11[[#This Row],[b9]]*_xlfn.STDEV.P(Tab.11[data]),AVERAGE(Tab.11[b6])+Tab.11[[#This Row],[b9]]*_xlfn.STDEV.P(Tab.11[data])))</f>
        <v>0</v>
      </c>
      <c r="T718" s="71" t="b">
        <f>IF(Tab.11[[#This Row],[a1]]=1,$I$3+$A$988+IF($K$3=0,Tab.11[[#This Row],[b10]]*_xlfn.STDEV.P(Tab.11[data]),AVERAGE(Tab.11[b6])+Tab.11[[#This Row],[b10]]*_xlfn.STDEV.P(Tab.11[data])))</f>
        <v>0</v>
      </c>
      <c r="U718" s="72" t="b">
        <f>IF(Tab.11[[#This Row],[a1]]=1,Tab.11[[#This Row],[target]]-Tab.11[[#This Row],[Red]])</f>
        <v>0</v>
      </c>
      <c r="V718" s="72" t="b">
        <f>IF(Tab.11[[#This Row],[a1]]=1,Tab.11[[#This Row],[target]]-Tab.11[[#This Row],[Blue]])</f>
        <v>0</v>
      </c>
      <c r="W718" s="73" t="b">
        <f>IF(Tab.11[[#This Row],[a1]]=1,IF(ABS(Tab.11[[#This Row],[b17]])+ABS(Tab.11[[#This Row],[b18]])&lt;$W$2,$W$2,ABS(Tab.11[[#This Row],[b17]])+ABS(Tab.11[[#This Row],[b18]])))</f>
        <v>0</v>
      </c>
      <c r="X718" s="136" t="b">
        <f>IF(Tab.11[[#This Row],[a1]]=1,IF($W$3&lt;0,Tab.11[[#This Row],[IN]]-$I$3,Tab.11[[#This Row],[IN]]))</f>
        <v>0</v>
      </c>
      <c r="Y718" s="136" t="b">
        <f>IF(Tab.11[[#This Row],[a1]]=1,IF($X$3=0,Tab.11[b66],Tab.11[[#This Row],[b66]]-AVERAGE(Tab.11[b66])))</f>
        <v>0</v>
      </c>
      <c r="Z718" s="135" t="b">
        <f>IF(Tab.11[[#This Row],[a1]]=1,Tab.11[[#This Row],[b77]]/(_xlfn.STDEV.P(Tab.11[b77])))</f>
        <v>0</v>
      </c>
      <c r="AA718" s="70" t="b">
        <f>IF(Tab.11[[#This Row],[a1]]=1,_xlfn.NORM.DIST(Tab.11[[#This Row],[b88]],$Z$1,$AA$1,FALSE))</f>
        <v>0</v>
      </c>
      <c r="AB718" s="74" t="b">
        <f>IF(Tab.11[[#This Row],[a1]]=1,IF($A$3=0,FALSE,1/Tab.11[[#This Row],[IN]]*$AC$2*IF(Tab.11[[#This Row],[a1]]=0,,$A$3*$AC$1*1/$V$3*(Tab.11[[#This Row],[b14]]))))</f>
        <v>0</v>
      </c>
      <c r="AC718" s="75" t="b">
        <f>IF(Tab.11[[#This Row],[a1]]=1,IF($AC$3=0,Tab.11[[#This Row],[φ1]],Tab.11[[#This Row],[φ1]]/MAX(Tab.11[φ1])))</f>
        <v>0</v>
      </c>
      <c r="AD718" s="74" t="b">
        <f>IF(Tab.11[[#This Row],[a1]]=1,1/Tab.11[[#This Row],[φ2]])</f>
        <v>0</v>
      </c>
      <c r="AE718" s="74" t="b">
        <f>IF(Tab.11[[#This Row],[a1]]=1,IF($AE$3=0,Tab.11[[#This Row],[w.0]],Tab.11[[#This Row],[w.0]]/SUM(Tab.11[w.0])))</f>
        <v>0</v>
      </c>
      <c r="AF718" s="76" t="str">
        <f>IF(Tab.11[[#This Row],[a1]]=0,"false",[3]!Tab.x5[[#This Row],[%_seN_C]])</f>
        <v>false</v>
      </c>
      <c r="AG718" s="77" t="b">
        <f>IF(Tab.11[[#This Row],[a1]]=1,AP718)</f>
        <v>0</v>
      </c>
      <c r="AH718" s="78" t="b">
        <f>IF(Tab.11[[#This Row],[a1]]=1,AQ718)</f>
        <v>0</v>
      </c>
      <c r="AI718" s="41">
        <v>3.0000000000000001E-3</v>
      </c>
      <c r="AJ718" s="79">
        <v>-0.06</v>
      </c>
      <c r="AK718" s="80" t="b">
        <f>IF(Tab.11[[#This Row],[a1]]=1,1)</f>
        <v>0</v>
      </c>
      <c r="AL718"/>
      <c r="AM718"/>
      <c r="AN718"/>
      <c r="AO718"/>
      <c r="AP718"/>
      <c r="AQ718"/>
      <c r="AR718"/>
      <c r="AS718"/>
    </row>
    <row r="719" spans="1:45" s="81" customFormat="1" hidden="1" x14ac:dyDescent="0.25">
      <c r="A719" s="61">
        <f t="shared" si="23"/>
        <v>0</v>
      </c>
      <c r="B719" s="62">
        <f t="shared" si="23"/>
        <v>0</v>
      </c>
      <c r="C719" s="62" t="b">
        <f>IF(Tab.11[[#This Row],[a1]]=1,[3]!Tab_x1[[#This Row],[Name]])</f>
        <v>0</v>
      </c>
      <c r="D719" s="63" t="b">
        <f>IF(Tab.11[[#This Row],[a1]]=1,AO719)</f>
        <v>0</v>
      </c>
      <c r="E719" s="63">
        <f t="shared" si="24"/>
        <v>0</v>
      </c>
      <c r="F719" s="64" t="b">
        <f>IF(Tab.11[[#This Row],[a1]]=1,Tab.11[[#This Row],[b1]])</f>
        <v>0</v>
      </c>
      <c r="G719" s="65" t="b">
        <f>IF(Tab.11[[#This Row],[a1]]=1,IF(Tab.11[[#This Row],[b3]]&gt;$L$989*$G$3,$L$989*$G$3,IF(Tab.11[[#This Row],[b3]]&lt;$M$989*$G$3,$M$989*$G$3,Tab.11[[#This Row],[b3]])))</f>
        <v>0</v>
      </c>
      <c r="H719" s="66" t="b">
        <f>IF(Tab.11[[#This Row],[a1]]=1,Tab.11[[#This Row],[b1]])</f>
        <v>0</v>
      </c>
      <c r="I719" s="67" t="b">
        <f>IF(Tab.11[[#This Row],[a1]]=1,Tab.11[[#This Row],[b1]])</f>
        <v>0</v>
      </c>
      <c r="J719" s="68" t="b">
        <f>IF(Tab.11[[#This Row],[a1]]=1,IF($I$3&lt;0,Tab.11[[#This Row],[b5]]-$I$3,Tab.11[[#This Row],[b5]]))</f>
        <v>0</v>
      </c>
      <c r="K719" s="68" t="b">
        <f>IF(Tab.11[[#This Row],[a1]]=1,IF($K$3=0,Tab.11[b6],Tab.11[[#This Row],[b6]]-AVERAGE(Tab.11[b6])))</f>
        <v>0</v>
      </c>
      <c r="L719" s="69" t="b">
        <f>IF(Tab.11[[#This Row],[a1]]=1,Tab.11[[#This Row],[data]]/(_xlfn.STDEV.P(Tab.11[data])*$B$989)+$A$989)</f>
        <v>0</v>
      </c>
      <c r="M719" s="69" t="b">
        <f>IF(Tab.11[[#This Row],[a1]]=1,Tab.11[[#This Row],[data]]/(_xlfn.STDEV.P(Tab.11[data])*$B$987)-$A$987)</f>
        <v>0</v>
      </c>
      <c r="N719" s="69" t="b">
        <f>IF(Tab.11[[#This Row],[a1]]=1,Tab.11[[#This Row],[data]]/(_xlfn.STDEV.P(Tab.11[data])*$B$988)+$A$988)</f>
        <v>0</v>
      </c>
      <c r="O719" s="70" t="b">
        <f>IF(Tab.11[[#This Row],[a1]]=1,_xlfn.NORM.DIST(Tab.11[[#This Row],[b8]],$P$1,$Q$1,FALSE))</f>
        <v>0</v>
      </c>
      <c r="P719" s="70" t="b">
        <f>IF(Tab.11[[#This Row],[a1]]=1,_xlfn.NORM.DIST(Tab.11[[#This Row],[b9]],$P$1,$Q$1,FALSE))</f>
        <v>0</v>
      </c>
      <c r="Q719" s="70" t="b">
        <f>IF(Tab.11[[#This Row],[a1]]=1,_xlfn.NORM.DIST(Tab.11[[#This Row],[b10]],$P$1,$Q$1,FALSE))</f>
        <v>0</v>
      </c>
      <c r="R719" s="67" t="b">
        <f>IF(Tab.11[[#This Row],[a1]]=1,$I$3+$A$989+IF($K$3=0,Tab.11[[#This Row],[b8]]*_xlfn.STDEV.P(Tab.11[data]),AVERAGE(Tab.11[b6])+Tab.11[[#This Row],[b8]]*_xlfn.STDEV.P(Tab.11[data])))</f>
        <v>0</v>
      </c>
      <c r="S719" s="71" t="b">
        <f>IF(Tab.11[[#This Row],[a1]]=1,$I$3+$A$987+IF($K$3=0,Tab.11[[#This Row],[b9]]*_xlfn.STDEV.P(Tab.11[data]),AVERAGE(Tab.11[b6])+Tab.11[[#This Row],[b9]]*_xlfn.STDEV.P(Tab.11[data])))</f>
        <v>0</v>
      </c>
      <c r="T719" s="71" t="b">
        <f>IF(Tab.11[[#This Row],[a1]]=1,$I$3+$A$988+IF($K$3=0,Tab.11[[#This Row],[b10]]*_xlfn.STDEV.P(Tab.11[data]),AVERAGE(Tab.11[b6])+Tab.11[[#This Row],[b10]]*_xlfn.STDEV.P(Tab.11[data])))</f>
        <v>0</v>
      </c>
      <c r="U719" s="72" t="b">
        <f>IF(Tab.11[[#This Row],[a1]]=1,Tab.11[[#This Row],[target]]-Tab.11[[#This Row],[Red]])</f>
        <v>0</v>
      </c>
      <c r="V719" s="72" t="b">
        <f>IF(Tab.11[[#This Row],[a1]]=1,Tab.11[[#This Row],[target]]-Tab.11[[#This Row],[Blue]])</f>
        <v>0</v>
      </c>
      <c r="W719" s="73" t="b">
        <f>IF(Tab.11[[#This Row],[a1]]=1,IF(ABS(Tab.11[[#This Row],[b17]])+ABS(Tab.11[[#This Row],[b18]])&lt;$W$2,$W$2,ABS(Tab.11[[#This Row],[b17]])+ABS(Tab.11[[#This Row],[b18]])))</f>
        <v>0</v>
      </c>
      <c r="X719" s="136" t="b">
        <f>IF(Tab.11[[#This Row],[a1]]=1,IF($W$3&lt;0,Tab.11[[#This Row],[IN]]-$I$3,Tab.11[[#This Row],[IN]]))</f>
        <v>0</v>
      </c>
      <c r="Y719" s="136" t="b">
        <f>IF(Tab.11[[#This Row],[a1]]=1,IF($X$3=0,Tab.11[b66],Tab.11[[#This Row],[b66]]-AVERAGE(Tab.11[b66])))</f>
        <v>0</v>
      </c>
      <c r="Z719" s="135" t="b">
        <f>IF(Tab.11[[#This Row],[a1]]=1,Tab.11[[#This Row],[b77]]/(_xlfn.STDEV.P(Tab.11[b77])))</f>
        <v>0</v>
      </c>
      <c r="AA719" s="70" t="b">
        <f>IF(Tab.11[[#This Row],[a1]]=1,_xlfn.NORM.DIST(Tab.11[[#This Row],[b88]],$Z$1,$AA$1,FALSE))</f>
        <v>0</v>
      </c>
      <c r="AB719" s="74" t="b">
        <f>IF(Tab.11[[#This Row],[a1]]=1,IF($A$3=0,FALSE,1/Tab.11[[#This Row],[IN]]*$AC$2*IF(Tab.11[[#This Row],[a1]]=0,,$A$3*$AC$1*1/$V$3*(Tab.11[[#This Row],[b14]]))))</f>
        <v>0</v>
      </c>
      <c r="AC719" s="75" t="b">
        <f>IF(Tab.11[[#This Row],[a1]]=1,IF($AC$3=0,Tab.11[[#This Row],[φ1]],Tab.11[[#This Row],[φ1]]/MAX(Tab.11[φ1])))</f>
        <v>0</v>
      </c>
      <c r="AD719" s="74" t="b">
        <f>IF(Tab.11[[#This Row],[a1]]=1,1/Tab.11[[#This Row],[φ2]])</f>
        <v>0</v>
      </c>
      <c r="AE719" s="74" t="b">
        <f>IF(Tab.11[[#This Row],[a1]]=1,IF($AE$3=0,Tab.11[[#This Row],[w.0]],Tab.11[[#This Row],[w.0]]/SUM(Tab.11[w.0])))</f>
        <v>0</v>
      </c>
      <c r="AF719" s="76" t="str">
        <f>IF(Tab.11[[#This Row],[a1]]=0,"false",[3]!Tab.x5[[#This Row],[%_seN_C]])</f>
        <v>false</v>
      </c>
      <c r="AG719" s="77" t="b">
        <f>IF(Tab.11[[#This Row],[a1]]=1,AP719)</f>
        <v>0</v>
      </c>
      <c r="AH719" s="78" t="b">
        <f>IF(Tab.11[[#This Row],[a1]]=1,AQ719)</f>
        <v>0</v>
      </c>
      <c r="AI719" s="41">
        <v>3.0000000000000001E-3</v>
      </c>
      <c r="AJ719" s="79">
        <v>0.06</v>
      </c>
      <c r="AK719" s="80" t="b">
        <f>IF(Tab.11[[#This Row],[a1]]=1,1)</f>
        <v>0</v>
      </c>
      <c r="AL719"/>
      <c r="AM719"/>
      <c r="AN719"/>
      <c r="AO719"/>
      <c r="AP719"/>
      <c r="AQ719"/>
      <c r="AR719"/>
      <c r="AS719"/>
    </row>
    <row r="720" spans="1:45" s="81" customFormat="1" hidden="1" x14ac:dyDescent="0.25">
      <c r="A720" s="61">
        <f t="shared" si="23"/>
        <v>0</v>
      </c>
      <c r="B720" s="62">
        <f t="shared" si="23"/>
        <v>0</v>
      </c>
      <c r="C720" s="62" t="b">
        <f>IF(Tab.11[[#This Row],[a1]]=1,[3]!Tab_x1[[#This Row],[Name]])</f>
        <v>0</v>
      </c>
      <c r="D720" s="63" t="b">
        <f>IF(Tab.11[[#This Row],[a1]]=1,AO720)</f>
        <v>0</v>
      </c>
      <c r="E720" s="63">
        <f t="shared" si="24"/>
        <v>0</v>
      </c>
      <c r="F720" s="64" t="b">
        <f>IF(Tab.11[[#This Row],[a1]]=1,Tab.11[[#This Row],[b1]])</f>
        <v>0</v>
      </c>
      <c r="G720" s="65" t="b">
        <f>IF(Tab.11[[#This Row],[a1]]=1,IF(Tab.11[[#This Row],[b3]]&gt;$L$989*$G$3,$L$989*$G$3,IF(Tab.11[[#This Row],[b3]]&lt;$M$989*$G$3,$M$989*$G$3,Tab.11[[#This Row],[b3]])))</f>
        <v>0</v>
      </c>
      <c r="H720" s="66" t="b">
        <f>IF(Tab.11[[#This Row],[a1]]=1,Tab.11[[#This Row],[b1]])</f>
        <v>0</v>
      </c>
      <c r="I720" s="67" t="b">
        <f>IF(Tab.11[[#This Row],[a1]]=1,Tab.11[[#This Row],[b1]])</f>
        <v>0</v>
      </c>
      <c r="J720" s="68" t="b">
        <f>IF(Tab.11[[#This Row],[a1]]=1,IF($I$3&lt;0,Tab.11[[#This Row],[b5]]-$I$3,Tab.11[[#This Row],[b5]]))</f>
        <v>0</v>
      </c>
      <c r="K720" s="68" t="b">
        <f>IF(Tab.11[[#This Row],[a1]]=1,IF($K$3=0,Tab.11[b6],Tab.11[[#This Row],[b6]]-AVERAGE(Tab.11[b6])))</f>
        <v>0</v>
      </c>
      <c r="L720" s="69" t="b">
        <f>IF(Tab.11[[#This Row],[a1]]=1,Tab.11[[#This Row],[data]]/(_xlfn.STDEV.P(Tab.11[data])*$B$989)+$A$989)</f>
        <v>0</v>
      </c>
      <c r="M720" s="69" t="b">
        <f>IF(Tab.11[[#This Row],[a1]]=1,Tab.11[[#This Row],[data]]/(_xlfn.STDEV.P(Tab.11[data])*$B$987)-$A$987)</f>
        <v>0</v>
      </c>
      <c r="N720" s="69" t="b">
        <f>IF(Tab.11[[#This Row],[a1]]=1,Tab.11[[#This Row],[data]]/(_xlfn.STDEV.P(Tab.11[data])*$B$988)+$A$988)</f>
        <v>0</v>
      </c>
      <c r="O720" s="70" t="b">
        <f>IF(Tab.11[[#This Row],[a1]]=1,_xlfn.NORM.DIST(Tab.11[[#This Row],[b8]],$P$1,$Q$1,FALSE))</f>
        <v>0</v>
      </c>
      <c r="P720" s="70" t="b">
        <f>IF(Tab.11[[#This Row],[a1]]=1,_xlfn.NORM.DIST(Tab.11[[#This Row],[b9]],$P$1,$Q$1,FALSE))</f>
        <v>0</v>
      </c>
      <c r="Q720" s="70" t="b">
        <f>IF(Tab.11[[#This Row],[a1]]=1,_xlfn.NORM.DIST(Tab.11[[#This Row],[b10]],$P$1,$Q$1,FALSE))</f>
        <v>0</v>
      </c>
      <c r="R720" s="67" t="b">
        <f>IF(Tab.11[[#This Row],[a1]]=1,$I$3+$A$989+IF($K$3=0,Tab.11[[#This Row],[b8]]*_xlfn.STDEV.P(Tab.11[data]),AVERAGE(Tab.11[b6])+Tab.11[[#This Row],[b8]]*_xlfn.STDEV.P(Tab.11[data])))</f>
        <v>0</v>
      </c>
      <c r="S720" s="71" t="b">
        <f>IF(Tab.11[[#This Row],[a1]]=1,$I$3+$A$987+IF($K$3=0,Tab.11[[#This Row],[b9]]*_xlfn.STDEV.P(Tab.11[data]),AVERAGE(Tab.11[b6])+Tab.11[[#This Row],[b9]]*_xlfn.STDEV.P(Tab.11[data])))</f>
        <v>0</v>
      </c>
      <c r="T720" s="71" t="b">
        <f>IF(Tab.11[[#This Row],[a1]]=1,$I$3+$A$988+IF($K$3=0,Tab.11[[#This Row],[b10]]*_xlfn.STDEV.P(Tab.11[data]),AVERAGE(Tab.11[b6])+Tab.11[[#This Row],[b10]]*_xlfn.STDEV.P(Tab.11[data])))</f>
        <v>0</v>
      </c>
      <c r="U720" s="72" t="b">
        <f>IF(Tab.11[[#This Row],[a1]]=1,Tab.11[[#This Row],[target]]-Tab.11[[#This Row],[Red]])</f>
        <v>0</v>
      </c>
      <c r="V720" s="72" t="b">
        <f>IF(Tab.11[[#This Row],[a1]]=1,Tab.11[[#This Row],[target]]-Tab.11[[#This Row],[Blue]])</f>
        <v>0</v>
      </c>
      <c r="W720" s="73" t="b">
        <f>IF(Tab.11[[#This Row],[a1]]=1,IF(ABS(Tab.11[[#This Row],[b17]])+ABS(Tab.11[[#This Row],[b18]])&lt;$W$2,$W$2,ABS(Tab.11[[#This Row],[b17]])+ABS(Tab.11[[#This Row],[b18]])))</f>
        <v>0</v>
      </c>
      <c r="X720" s="136" t="b">
        <f>IF(Tab.11[[#This Row],[a1]]=1,IF($W$3&lt;0,Tab.11[[#This Row],[IN]]-$I$3,Tab.11[[#This Row],[IN]]))</f>
        <v>0</v>
      </c>
      <c r="Y720" s="136" t="b">
        <f>IF(Tab.11[[#This Row],[a1]]=1,IF($X$3=0,Tab.11[b66],Tab.11[[#This Row],[b66]]-AVERAGE(Tab.11[b66])))</f>
        <v>0</v>
      </c>
      <c r="Z720" s="135" t="b">
        <f>IF(Tab.11[[#This Row],[a1]]=1,Tab.11[[#This Row],[b77]]/(_xlfn.STDEV.P(Tab.11[b77])))</f>
        <v>0</v>
      </c>
      <c r="AA720" s="70" t="b">
        <f>IF(Tab.11[[#This Row],[a1]]=1,_xlfn.NORM.DIST(Tab.11[[#This Row],[b88]],$Z$1,$AA$1,FALSE))</f>
        <v>0</v>
      </c>
      <c r="AB720" s="74" t="b">
        <f>IF(Tab.11[[#This Row],[a1]]=1,IF($A$3=0,FALSE,1/Tab.11[[#This Row],[IN]]*$AC$2*IF(Tab.11[[#This Row],[a1]]=0,,$A$3*$AC$1*1/$V$3*(Tab.11[[#This Row],[b14]]))))</f>
        <v>0</v>
      </c>
      <c r="AC720" s="75" t="b">
        <f>IF(Tab.11[[#This Row],[a1]]=1,IF($AC$3=0,Tab.11[[#This Row],[φ1]],Tab.11[[#This Row],[φ1]]/MAX(Tab.11[φ1])))</f>
        <v>0</v>
      </c>
      <c r="AD720" s="74" t="b">
        <f>IF(Tab.11[[#This Row],[a1]]=1,1/Tab.11[[#This Row],[φ2]])</f>
        <v>0</v>
      </c>
      <c r="AE720" s="74" t="b">
        <f>IF(Tab.11[[#This Row],[a1]]=1,IF($AE$3=0,Tab.11[[#This Row],[w.0]],Tab.11[[#This Row],[w.0]]/SUM(Tab.11[w.0])))</f>
        <v>0</v>
      </c>
      <c r="AF720" s="76" t="str">
        <f>IF(Tab.11[[#This Row],[a1]]=0,"false",[3]!Tab.x5[[#This Row],[%_seN_C]])</f>
        <v>false</v>
      </c>
      <c r="AG720" s="77" t="b">
        <f>IF(Tab.11[[#This Row],[a1]]=1,AP720)</f>
        <v>0</v>
      </c>
      <c r="AH720" s="78" t="b">
        <f>IF(Tab.11[[#This Row],[a1]]=1,AQ720)</f>
        <v>0</v>
      </c>
      <c r="AI720" s="41">
        <v>3.0000000000000001E-3</v>
      </c>
      <c r="AJ720" s="79">
        <v>-0.05</v>
      </c>
      <c r="AK720" s="80" t="b">
        <f>IF(Tab.11[[#This Row],[a1]]=1,1)</f>
        <v>0</v>
      </c>
      <c r="AL720"/>
      <c r="AM720"/>
      <c r="AN720"/>
      <c r="AO720"/>
      <c r="AP720"/>
      <c r="AQ720"/>
      <c r="AR720"/>
      <c r="AS720"/>
    </row>
    <row r="721" spans="1:45" s="81" customFormat="1" hidden="1" x14ac:dyDescent="0.25">
      <c r="A721" s="61">
        <f t="shared" si="23"/>
        <v>0</v>
      </c>
      <c r="B721" s="62">
        <f t="shared" si="23"/>
        <v>0</v>
      </c>
      <c r="C721" s="62" t="b">
        <f>IF(Tab.11[[#This Row],[a1]]=1,[3]!Tab_x1[[#This Row],[Name]])</f>
        <v>0</v>
      </c>
      <c r="D721" s="63" t="b">
        <f>IF(Tab.11[[#This Row],[a1]]=1,AO721)</f>
        <v>0</v>
      </c>
      <c r="E721" s="63">
        <f t="shared" si="24"/>
        <v>0</v>
      </c>
      <c r="F721" s="64" t="b">
        <f>IF(Tab.11[[#This Row],[a1]]=1,Tab.11[[#This Row],[b1]])</f>
        <v>0</v>
      </c>
      <c r="G721" s="65" t="b">
        <f>IF(Tab.11[[#This Row],[a1]]=1,IF(Tab.11[[#This Row],[b3]]&gt;$L$989*$G$3,$L$989*$G$3,IF(Tab.11[[#This Row],[b3]]&lt;$M$989*$G$3,$M$989*$G$3,Tab.11[[#This Row],[b3]])))</f>
        <v>0</v>
      </c>
      <c r="H721" s="66" t="b">
        <f>IF(Tab.11[[#This Row],[a1]]=1,Tab.11[[#This Row],[b1]])</f>
        <v>0</v>
      </c>
      <c r="I721" s="67" t="b">
        <f>IF(Tab.11[[#This Row],[a1]]=1,Tab.11[[#This Row],[b1]])</f>
        <v>0</v>
      </c>
      <c r="J721" s="68" t="b">
        <f>IF(Tab.11[[#This Row],[a1]]=1,IF($I$3&lt;0,Tab.11[[#This Row],[b5]]-$I$3,Tab.11[[#This Row],[b5]]))</f>
        <v>0</v>
      </c>
      <c r="K721" s="68" t="b">
        <f>IF(Tab.11[[#This Row],[a1]]=1,IF($K$3=0,Tab.11[b6],Tab.11[[#This Row],[b6]]-AVERAGE(Tab.11[b6])))</f>
        <v>0</v>
      </c>
      <c r="L721" s="69" t="b">
        <f>IF(Tab.11[[#This Row],[a1]]=1,Tab.11[[#This Row],[data]]/(_xlfn.STDEV.P(Tab.11[data])*$B$989)+$A$989)</f>
        <v>0</v>
      </c>
      <c r="M721" s="69" t="b">
        <f>IF(Tab.11[[#This Row],[a1]]=1,Tab.11[[#This Row],[data]]/(_xlfn.STDEV.P(Tab.11[data])*$B$987)-$A$987)</f>
        <v>0</v>
      </c>
      <c r="N721" s="69" t="b">
        <f>IF(Tab.11[[#This Row],[a1]]=1,Tab.11[[#This Row],[data]]/(_xlfn.STDEV.P(Tab.11[data])*$B$988)+$A$988)</f>
        <v>0</v>
      </c>
      <c r="O721" s="70" t="b">
        <f>IF(Tab.11[[#This Row],[a1]]=1,_xlfn.NORM.DIST(Tab.11[[#This Row],[b8]],$P$1,$Q$1,FALSE))</f>
        <v>0</v>
      </c>
      <c r="P721" s="70" t="b">
        <f>IF(Tab.11[[#This Row],[a1]]=1,_xlfn.NORM.DIST(Tab.11[[#This Row],[b9]],$P$1,$Q$1,FALSE))</f>
        <v>0</v>
      </c>
      <c r="Q721" s="70" t="b">
        <f>IF(Tab.11[[#This Row],[a1]]=1,_xlfn.NORM.DIST(Tab.11[[#This Row],[b10]],$P$1,$Q$1,FALSE))</f>
        <v>0</v>
      </c>
      <c r="R721" s="67" t="b">
        <f>IF(Tab.11[[#This Row],[a1]]=1,$I$3+$A$989+IF($K$3=0,Tab.11[[#This Row],[b8]]*_xlfn.STDEV.P(Tab.11[data]),AVERAGE(Tab.11[b6])+Tab.11[[#This Row],[b8]]*_xlfn.STDEV.P(Tab.11[data])))</f>
        <v>0</v>
      </c>
      <c r="S721" s="71" t="b">
        <f>IF(Tab.11[[#This Row],[a1]]=1,$I$3+$A$987+IF($K$3=0,Tab.11[[#This Row],[b9]]*_xlfn.STDEV.P(Tab.11[data]),AVERAGE(Tab.11[b6])+Tab.11[[#This Row],[b9]]*_xlfn.STDEV.P(Tab.11[data])))</f>
        <v>0</v>
      </c>
      <c r="T721" s="71" t="b">
        <f>IF(Tab.11[[#This Row],[a1]]=1,$I$3+$A$988+IF($K$3=0,Tab.11[[#This Row],[b10]]*_xlfn.STDEV.P(Tab.11[data]),AVERAGE(Tab.11[b6])+Tab.11[[#This Row],[b10]]*_xlfn.STDEV.P(Tab.11[data])))</f>
        <v>0</v>
      </c>
      <c r="U721" s="72" t="b">
        <f>IF(Tab.11[[#This Row],[a1]]=1,Tab.11[[#This Row],[target]]-Tab.11[[#This Row],[Red]])</f>
        <v>0</v>
      </c>
      <c r="V721" s="72" t="b">
        <f>IF(Tab.11[[#This Row],[a1]]=1,Tab.11[[#This Row],[target]]-Tab.11[[#This Row],[Blue]])</f>
        <v>0</v>
      </c>
      <c r="W721" s="73" t="b">
        <f>IF(Tab.11[[#This Row],[a1]]=1,IF(ABS(Tab.11[[#This Row],[b17]])+ABS(Tab.11[[#This Row],[b18]])&lt;$W$2,$W$2,ABS(Tab.11[[#This Row],[b17]])+ABS(Tab.11[[#This Row],[b18]])))</f>
        <v>0</v>
      </c>
      <c r="X721" s="136" t="b">
        <f>IF(Tab.11[[#This Row],[a1]]=1,IF($W$3&lt;0,Tab.11[[#This Row],[IN]]-$I$3,Tab.11[[#This Row],[IN]]))</f>
        <v>0</v>
      </c>
      <c r="Y721" s="136" t="b">
        <f>IF(Tab.11[[#This Row],[a1]]=1,IF($X$3=0,Tab.11[b66],Tab.11[[#This Row],[b66]]-AVERAGE(Tab.11[b66])))</f>
        <v>0</v>
      </c>
      <c r="Z721" s="135" t="b">
        <f>IF(Tab.11[[#This Row],[a1]]=1,Tab.11[[#This Row],[b77]]/(_xlfn.STDEV.P(Tab.11[b77])))</f>
        <v>0</v>
      </c>
      <c r="AA721" s="70" t="b">
        <f>IF(Tab.11[[#This Row],[a1]]=1,_xlfn.NORM.DIST(Tab.11[[#This Row],[b88]],$Z$1,$AA$1,FALSE))</f>
        <v>0</v>
      </c>
      <c r="AB721" s="74" t="b">
        <f>IF(Tab.11[[#This Row],[a1]]=1,IF($A$3=0,FALSE,1/Tab.11[[#This Row],[IN]]*$AC$2*IF(Tab.11[[#This Row],[a1]]=0,,$A$3*$AC$1*1/$V$3*(Tab.11[[#This Row],[b14]]))))</f>
        <v>0</v>
      </c>
      <c r="AC721" s="75" t="b">
        <f>IF(Tab.11[[#This Row],[a1]]=1,IF($AC$3=0,Tab.11[[#This Row],[φ1]],Tab.11[[#This Row],[φ1]]/MAX(Tab.11[φ1])))</f>
        <v>0</v>
      </c>
      <c r="AD721" s="74" t="b">
        <f>IF(Tab.11[[#This Row],[a1]]=1,1/Tab.11[[#This Row],[φ2]])</f>
        <v>0</v>
      </c>
      <c r="AE721" s="74" t="b">
        <f>IF(Tab.11[[#This Row],[a1]]=1,IF($AE$3=0,Tab.11[[#This Row],[w.0]],Tab.11[[#This Row],[w.0]]/SUM(Tab.11[w.0])))</f>
        <v>0</v>
      </c>
      <c r="AF721" s="76" t="str">
        <f>IF(Tab.11[[#This Row],[a1]]=0,"false",[3]!Tab.x5[[#This Row],[%_seN_C]])</f>
        <v>false</v>
      </c>
      <c r="AG721" s="77" t="b">
        <f>IF(Tab.11[[#This Row],[a1]]=1,AP721)</f>
        <v>0</v>
      </c>
      <c r="AH721" s="78" t="b">
        <f>IF(Tab.11[[#This Row],[a1]]=1,AQ721)</f>
        <v>0</v>
      </c>
      <c r="AI721" s="41">
        <v>3.0000000000000001E-3</v>
      </c>
      <c r="AJ721" s="79">
        <v>0.06</v>
      </c>
      <c r="AK721" s="80" t="b">
        <f>IF(Tab.11[[#This Row],[a1]]=1,1)</f>
        <v>0</v>
      </c>
      <c r="AL721"/>
      <c r="AM721"/>
      <c r="AN721"/>
      <c r="AO721"/>
      <c r="AP721"/>
      <c r="AQ721"/>
      <c r="AR721"/>
      <c r="AS721"/>
    </row>
    <row r="722" spans="1:45" s="81" customFormat="1" hidden="1" x14ac:dyDescent="0.25">
      <c r="A722" s="61">
        <f t="shared" si="23"/>
        <v>0</v>
      </c>
      <c r="B722" s="62">
        <f t="shared" si="23"/>
        <v>0</v>
      </c>
      <c r="C722" s="62" t="b">
        <f>IF(Tab.11[[#This Row],[a1]]=1,[3]!Tab_x1[[#This Row],[Name]])</f>
        <v>0</v>
      </c>
      <c r="D722" s="63" t="b">
        <f>IF(Tab.11[[#This Row],[a1]]=1,AO722)</f>
        <v>0</v>
      </c>
      <c r="E722" s="63">
        <f t="shared" si="24"/>
        <v>0</v>
      </c>
      <c r="F722" s="64" t="b">
        <f>IF(Tab.11[[#This Row],[a1]]=1,Tab.11[[#This Row],[b1]])</f>
        <v>0</v>
      </c>
      <c r="G722" s="65" t="b">
        <f>IF(Tab.11[[#This Row],[a1]]=1,IF(Tab.11[[#This Row],[b3]]&gt;$L$989*$G$3,$L$989*$G$3,IF(Tab.11[[#This Row],[b3]]&lt;$M$989*$G$3,$M$989*$G$3,Tab.11[[#This Row],[b3]])))</f>
        <v>0</v>
      </c>
      <c r="H722" s="66" t="b">
        <f>IF(Tab.11[[#This Row],[a1]]=1,Tab.11[[#This Row],[b1]])</f>
        <v>0</v>
      </c>
      <c r="I722" s="67" t="b">
        <f>IF(Tab.11[[#This Row],[a1]]=1,Tab.11[[#This Row],[b1]])</f>
        <v>0</v>
      </c>
      <c r="J722" s="68" t="b">
        <f>IF(Tab.11[[#This Row],[a1]]=1,IF($I$3&lt;0,Tab.11[[#This Row],[b5]]-$I$3,Tab.11[[#This Row],[b5]]))</f>
        <v>0</v>
      </c>
      <c r="K722" s="68" t="b">
        <f>IF(Tab.11[[#This Row],[a1]]=1,IF($K$3=0,Tab.11[b6],Tab.11[[#This Row],[b6]]-AVERAGE(Tab.11[b6])))</f>
        <v>0</v>
      </c>
      <c r="L722" s="69" t="b">
        <f>IF(Tab.11[[#This Row],[a1]]=1,Tab.11[[#This Row],[data]]/(_xlfn.STDEV.P(Tab.11[data])*$B$989)+$A$989)</f>
        <v>0</v>
      </c>
      <c r="M722" s="69" t="b">
        <f>IF(Tab.11[[#This Row],[a1]]=1,Tab.11[[#This Row],[data]]/(_xlfn.STDEV.P(Tab.11[data])*$B$987)-$A$987)</f>
        <v>0</v>
      </c>
      <c r="N722" s="69" t="b">
        <f>IF(Tab.11[[#This Row],[a1]]=1,Tab.11[[#This Row],[data]]/(_xlfn.STDEV.P(Tab.11[data])*$B$988)+$A$988)</f>
        <v>0</v>
      </c>
      <c r="O722" s="70" t="b">
        <f>IF(Tab.11[[#This Row],[a1]]=1,_xlfn.NORM.DIST(Tab.11[[#This Row],[b8]],$P$1,$Q$1,FALSE))</f>
        <v>0</v>
      </c>
      <c r="P722" s="70" t="b">
        <f>IF(Tab.11[[#This Row],[a1]]=1,_xlfn.NORM.DIST(Tab.11[[#This Row],[b9]],$P$1,$Q$1,FALSE))</f>
        <v>0</v>
      </c>
      <c r="Q722" s="70" t="b">
        <f>IF(Tab.11[[#This Row],[a1]]=1,_xlfn.NORM.DIST(Tab.11[[#This Row],[b10]],$P$1,$Q$1,FALSE))</f>
        <v>0</v>
      </c>
      <c r="R722" s="67" t="b">
        <f>IF(Tab.11[[#This Row],[a1]]=1,$I$3+$A$989+IF($K$3=0,Tab.11[[#This Row],[b8]]*_xlfn.STDEV.P(Tab.11[data]),AVERAGE(Tab.11[b6])+Tab.11[[#This Row],[b8]]*_xlfn.STDEV.P(Tab.11[data])))</f>
        <v>0</v>
      </c>
      <c r="S722" s="71" t="b">
        <f>IF(Tab.11[[#This Row],[a1]]=1,$I$3+$A$987+IF($K$3=0,Tab.11[[#This Row],[b9]]*_xlfn.STDEV.P(Tab.11[data]),AVERAGE(Tab.11[b6])+Tab.11[[#This Row],[b9]]*_xlfn.STDEV.P(Tab.11[data])))</f>
        <v>0</v>
      </c>
      <c r="T722" s="71" t="b">
        <f>IF(Tab.11[[#This Row],[a1]]=1,$I$3+$A$988+IF($K$3=0,Tab.11[[#This Row],[b10]]*_xlfn.STDEV.P(Tab.11[data]),AVERAGE(Tab.11[b6])+Tab.11[[#This Row],[b10]]*_xlfn.STDEV.P(Tab.11[data])))</f>
        <v>0</v>
      </c>
      <c r="U722" s="72" t="b">
        <f>IF(Tab.11[[#This Row],[a1]]=1,Tab.11[[#This Row],[target]]-Tab.11[[#This Row],[Red]])</f>
        <v>0</v>
      </c>
      <c r="V722" s="72" t="b">
        <f>IF(Tab.11[[#This Row],[a1]]=1,Tab.11[[#This Row],[target]]-Tab.11[[#This Row],[Blue]])</f>
        <v>0</v>
      </c>
      <c r="W722" s="73" t="b">
        <f>IF(Tab.11[[#This Row],[a1]]=1,IF(ABS(Tab.11[[#This Row],[b17]])+ABS(Tab.11[[#This Row],[b18]])&lt;$W$2,$W$2,ABS(Tab.11[[#This Row],[b17]])+ABS(Tab.11[[#This Row],[b18]])))</f>
        <v>0</v>
      </c>
      <c r="X722" s="136" t="b">
        <f>IF(Tab.11[[#This Row],[a1]]=1,IF($W$3&lt;0,Tab.11[[#This Row],[IN]]-$I$3,Tab.11[[#This Row],[IN]]))</f>
        <v>0</v>
      </c>
      <c r="Y722" s="136" t="b">
        <f>IF(Tab.11[[#This Row],[a1]]=1,IF($X$3=0,Tab.11[b66],Tab.11[[#This Row],[b66]]-AVERAGE(Tab.11[b66])))</f>
        <v>0</v>
      </c>
      <c r="Z722" s="135" t="b">
        <f>IF(Tab.11[[#This Row],[a1]]=1,Tab.11[[#This Row],[b77]]/(_xlfn.STDEV.P(Tab.11[b77])))</f>
        <v>0</v>
      </c>
      <c r="AA722" s="70" t="b">
        <f>IF(Tab.11[[#This Row],[a1]]=1,_xlfn.NORM.DIST(Tab.11[[#This Row],[b88]],$Z$1,$AA$1,FALSE))</f>
        <v>0</v>
      </c>
      <c r="AB722" s="74" t="b">
        <f>IF(Tab.11[[#This Row],[a1]]=1,IF($A$3=0,FALSE,1/Tab.11[[#This Row],[IN]]*$AC$2*IF(Tab.11[[#This Row],[a1]]=0,,$A$3*$AC$1*1/$V$3*(Tab.11[[#This Row],[b14]]))))</f>
        <v>0</v>
      </c>
      <c r="AC722" s="75" t="b">
        <f>IF(Tab.11[[#This Row],[a1]]=1,IF($AC$3=0,Tab.11[[#This Row],[φ1]],Tab.11[[#This Row],[φ1]]/MAX(Tab.11[φ1])))</f>
        <v>0</v>
      </c>
      <c r="AD722" s="74" t="b">
        <f>IF(Tab.11[[#This Row],[a1]]=1,1/Tab.11[[#This Row],[φ2]])</f>
        <v>0</v>
      </c>
      <c r="AE722" s="74" t="b">
        <f>IF(Tab.11[[#This Row],[a1]]=1,IF($AE$3=0,Tab.11[[#This Row],[w.0]],Tab.11[[#This Row],[w.0]]/SUM(Tab.11[w.0])))</f>
        <v>0</v>
      </c>
      <c r="AF722" s="76" t="str">
        <f>IF(Tab.11[[#This Row],[a1]]=0,"false",[3]!Tab.x5[[#This Row],[%_seN_C]])</f>
        <v>false</v>
      </c>
      <c r="AG722" s="77" t="b">
        <f>IF(Tab.11[[#This Row],[a1]]=1,AP722)</f>
        <v>0</v>
      </c>
      <c r="AH722" s="78" t="b">
        <f>IF(Tab.11[[#This Row],[a1]]=1,AQ722)</f>
        <v>0</v>
      </c>
      <c r="AI722" s="41">
        <v>3.0000000000000001E-3</v>
      </c>
      <c r="AJ722" s="79">
        <v>0.1</v>
      </c>
      <c r="AK722" s="80" t="b">
        <f>IF(Tab.11[[#This Row],[a1]]=1,1)</f>
        <v>0</v>
      </c>
      <c r="AL722"/>
      <c r="AM722"/>
      <c r="AN722"/>
      <c r="AO722"/>
      <c r="AP722"/>
      <c r="AQ722"/>
      <c r="AR722"/>
      <c r="AS722"/>
    </row>
    <row r="723" spans="1:45" s="81" customFormat="1" hidden="1" x14ac:dyDescent="0.25">
      <c r="A723" s="61">
        <f t="shared" si="23"/>
        <v>0</v>
      </c>
      <c r="B723" s="62">
        <f t="shared" si="23"/>
        <v>0</v>
      </c>
      <c r="C723" s="62" t="b">
        <f>IF(Tab.11[[#This Row],[a1]]=1,[3]!Tab_x1[[#This Row],[Name]])</f>
        <v>0</v>
      </c>
      <c r="D723" s="63" t="b">
        <f>IF(Tab.11[[#This Row],[a1]]=1,AO723)</f>
        <v>0</v>
      </c>
      <c r="E723" s="63">
        <f t="shared" si="24"/>
        <v>0</v>
      </c>
      <c r="F723" s="64" t="b">
        <f>IF(Tab.11[[#This Row],[a1]]=1,Tab.11[[#This Row],[b1]])</f>
        <v>0</v>
      </c>
      <c r="G723" s="65" t="b">
        <f>IF(Tab.11[[#This Row],[a1]]=1,IF(Tab.11[[#This Row],[b3]]&gt;$L$989*$G$3,$L$989*$G$3,IF(Tab.11[[#This Row],[b3]]&lt;$M$989*$G$3,$M$989*$G$3,Tab.11[[#This Row],[b3]])))</f>
        <v>0</v>
      </c>
      <c r="H723" s="66" t="b">
        <f>IF(Tab.11[[#This Row],[a1]]=1,Tab.11[[#This Row],[b1]])</f>
        <v>0</v>
      </c>
      <c r="I723" s="67" t="b">
        <f>IF(Tab.11[[#This Row],[a1]]=1,Tab.11[[#This Row],[b1]])</f>
        <v>0</v>
      </c>
      <c r="J723" s="68" t="b">
        <f>IF(Tab.11[[#This Row],[a1]]=1,IF($I$3&lt;0,Tab.11[[#This Row],[b5]]-$I$3,Tab.11[[#This Row],[b5]]))</f>
        <v>0</v>
      </c>
      <c r="K723" s="68" t="b">
        <f>IF(Tab.11[[#This Row],[a1]]=1,IF($K$3=0,Tab.11[b6],Tab.11[[#This Row],[b6]]-AVERAGE(Tab.11[b6])))</f>
        <v>0</v>
      </c>
      <c r="L723" s="69" t="b">
        <f>IF(Tab.11[[#This Row],[a1]]=1,Tab.11[[#This Row],[data]]/(_xlfn.STDEV.P(Tab.11[data])*$B$989)+$A$989)</f>
        <v>0</v>
      </c>
      <c r="M723" s="69" t="b">
        <f>IF(Tab.11[[#This Row],[a1]]=1,Tab.11[[#This Row],[data]]/(_xlfn.STDEV.P(Tab.11[data])*$B$987)-$A$987)</f>
        <v>0</v>
      </c>
      <c r="N723" s="69" t="b">
        <f>IF(Tab.11[[#This Row],[a1]]=1,Tab.11[[#This Row],[data]]/(_xlfn.STDEV.P(Tab.11[data])*$B$988)+$A$988)</f>
        <v>0</v>
      </c>
      <c r="O723" s="70" t="b">
        <f>IF(Tab.11[[#This Row],[a1]]=1,_xlfn.NORM.DIST(Tab.11[[#This Row],[b8]],$P$1,$Q$1,FALSE))</f>
        <v>0</v>
      </c>
      <c r="P723" s="70" t="b">
        <f>IF(Tab.11[[#This Row],[a1]]=1,_xlfn.NORM.DIST(Tab.11[[#This Row],[b9]],$P$1,$Q$1,FALSE))</f>
        <v>0</v>
      </c>
      <c r="Q723" s="70" t="b">
        <f>IF(Tab.11[[#This Row],[a1]]=1,_xlfn.NORM.DIST(Tab.11[[#This Row],[b10]],$P$1,$Q$1,FALSE))</f>
        <v>0</v>
      </c>
      <c r="R723" s="67" t="b">
        <f>IF(Tab.11[[#This Row],[a1]]=1,$I$3+$A$989+IF($K$3=0,Tab.11[[#This Row],[b8]]*_xlfn.STDEV.P(Tab.11[data]),AVERAGE(Tab.11[b6])+Tab.11[[#This Row],[b8]]*_xlfn.STDEV.P(Tab.11[data])))</f>
        <v>0</v>
      </c>
      <c r="S723" s="71" t="b">
        <f>IF(Tab.11[[#This Row],[a1]]=1,$I$3+$A$987+IF($K$3=0,Tab.11[[#This Row],[b9]]*_xlfn.STDEV.P(Tab.11[data]),AVERAGE(Tab.11[b6])+Tab.11[[#This Row],[b9]]*_xlfn.STDEV.P(Tab.11[data])))</f>
        <v>0</v>
      </c>
      <c r="T723" s="71" t="b">
        <f>IF(Tab.11[[#This Row],[a1]]=1,$I$3+$A$988+IF($K$3=0,Tab.11[[#This Row],[b10]]*_xlfn.STDEV.P(Tab.11[data]),AVERAGE(Tab.11[b6])+Tab.11[[#This Row],[b10]]*_xlfn.STDEV.P(Tab.11[data])))</f>
        <v>0</v>
      </c>
      <c r="U723" s="72" t="b">
        <f>IF(Tab.11[[#This Row],[a1]]=1,Tab.11[[#This Row],[target]]-Tab.11[[#This Row],[Red]])</f>
        <v>0</v>
      </c>
      <c r="V723" s="72" t="b">
        <f>IF(Tab.11[[#This Row],[a1]]=1,Tab.11[[#This Row],[target]]-Tab.11[[#This Row],[Blue]])</f>
        <v>0</v>
      </c>
      <c r="W723" s="73" t="b">
        <f>IF(Tab.11[[#This Row],[a1]]=1,IF(ABS(Tab.11[[#This Row],[b17]])+ABS(Tab.11[[#This Row],[b18]])&lt;$W$2,$W$2,ABS(Tab.11[[#This Row],[b17]])+ABS(Tab.11[[#This Row],[b18]])))</f>
        <v>0</v>
      </c>
      <c r="X723" s="136" t="b">
        <f>IF(Tab.11[[#This Row],[a1]]=1,IF($W$3&lt;0,Tab.11[[#This Row],[IN]]-$I$3,Tab.11[[#This Row],[IN]]))</f>
        <v>0</v>
      </c>
      <c r="Y723" s="136" t="b">
        <f>IF(Tab.11[[#This Row],[a1]]=1,IF($X$3=0,Tab.11[b66],Tab.11[[#This Row],[b66]]-AVERAGE(Tab.11[b66])))</f>
        <v>0</v>
      </c>
      <c r="Z723" s="135" t="b">
        <f>IF(Tab.11[[#This Row],[a1]]=1,Tab.11[[#This Row],[b77]]/(_xlfn.STDEV.P(Tab.11[b77])))</f>
        <v>0</v>
      </c>
      <c r="AA723" s="70" t="b">
        <f>IF(Tab.11[[#This Row],[a1]]=1,_xlfn.NORM.DIST(Tab.11[[#This Row],[b88]],$Z$1,$AA$1,FALSE))</f>
        <v>0</v>
      </c>
      <c r="AB723" s="74" t="b">
        <f>IF(Tab.11[[#This Row],[a1]]=1,IF($A$3=0,FALSE,1/Tab.11[[#This Row],[IN]]*$AC$2*IF(Tab.11[[#This Row],[a1]]=0,,$A$3*$AC$1*1/$V$3*(Tab.11[[#This Row],[b14]]))))</f>
        <v>0</v>
      </c>
      <c r="AC723" s="75" t="b">
        <f>IF(Tab.11[[#This Row],[a1]]=1,IF($AC$3=0,Tab.11[[#This Row],[φ1]],Tab.11[[#This Row],[φ1]]/MAX(Tab.11[φ1])))</f>
        <v>0</v>
      </c>
      <c r="AD723" s="74" t="b">
        <f>IF(Tab.11[[#This Row],[a1]]=1,1/Tab.11[[#This Row],[φ2]])</f>
        <v>0</v>
      </c>
      <c r="AE723" s="74" t="b">
        <f>IF(Tab.11[[#This Row],[a1]]=1,IF($AE$3=0,Tab.11[[#This Row],[w.0]],Tab.11[[#This Row],[w.0]]/SUM(Tab.11[w.0])))</f>
        <v>0</v>
      </c>
      <c r="AF723" s="76" t="str">
        <f>IF(Tab.11[[#This Row],[a1]]=0,"false",[3]!Tab.x5[[#This Row],[%_seN_C]])</f>
        <v>false</v>
      </c>
      <c r="AG723" s="77" t="b">
        <f>IF(Tab.11[[#This Row],[a1]]=1,AP723)</f>
        <v>0</v>
      </c>
      <c r="AH723" s="78" t="b">
        <f>IF(Tab.11[[#This Row],[a1]]=1,AQ723)</f>
        <v>0</v>
      </c>
      <c r="AI723" s="41">
        <v>3.0000000000000001E-3</v>
      </c>
      <c r="AJ723" s="79">
        <v>-0.03</v>
      </c>
      <c r="AK723" s="80" t="b">
        <f>IF(Tab.11[[#This Row],[a1]]=1,1)</f>
        <v>0</v>
      </c>
      <c r="AL723"/>
      <c r="AM723"/>
      <c r="AN723"/>
      <c r="AO723"/>
      <c r="AP723"/>
      <c r="AQ723"/>
      <c r="AR723"/>
      <c r="AS723"/>
    </row>
    <row r="724" spans="1:45" s="81" customFormat="1" hidden="1" x14ac:dyDescent="0.25">
      <c r="A724" s="61">
        <f t="shared" si="23"/>
        <v>0</v>
      </c>
      <c r="B724" s="62">
        <f t="shared" si="23"/>
        <v>0</v>
      </c>
      <c r="C724" s="62" t="b">
        <f>IF(Tab.11[[#This Row],[a1]]=1,[3]!Tab_x1[[#This Row],[Name]])</f>
        <v>0</v>
      </c>
      <c r="D724" s="63" t="b">
        <f>IF(Tab.11[[#This Row],[a1]]=1,AO724)</f>
        <v>0</v>
      </c>
      <c r="E724" s="63">
        <f t="shared" si="24"/>
        <v>0</v>
      </c>
      <c r="F724" s="64" t="b">
        <f>IF(Tab.11[[#This Row],[a1]]=1,Tab.11[[#This Row],[b1]])</f>
        <v>0</v>
      </c>
      <c r="G724" s="65" t="b">
        <f>IF(Tab.11[[#This Row],[a1]]=1,IF(Tab.11[[#This Row],[b3]]&gt;$L$989*$G$3,$L$989*$G$3,IF(Tab.11[[#This Row],[b3]]&lt;$M$989*$G$3,$M$989*$G$3,Tab.11[[#This Row],[b3]])))</f>
        <v>0</v>
      </c>
      <c r="H724" s="66" t="b">
        <f>IF(Tab.11[[#This Row],[a1]]=1,Tab.11[[#This Row],[b1]])</f>
        <v>0</v>
      </c>
      <c r="I724" s="67" t="b">
        <f>IF(Tab.11[[#This Row],[a1]]=1,Tab.11[[#This Row],[b1]])</f>
        <v>0</v>
      </c>
      <c r="J724" s="68" t="b">
        <f>IF(Tab.11[[#This Row],[a1]]=1,IF($I$3&lt;0,Tab.11[[#This Row],[b5]]-$I$3,Tab.11[[#This Row],[b5]]))</f>
        <v>0</v>
      </c>
      <c r="K724" s="68" t="b">
        <f>IF(Tab.11[[#This Row],[a1]]=1,IF($K$3=0,Tab.11[b6],Tab.11[[#This Row],[b6]]-AVERAGE(Tab.11[b6])))</f>
        <v>0</v>
      </c>
      <c r="L724" s="69" t="b">
        <f>IF(Tab.11[[#This Row],[a1]]=1,Tab.11[[#This Row],[data]]/(_xlfn.STDEV.P(Tab.11[data])*$B$989)+$A$989)</f>
        <v>0</v>
      </c>
      <c r="M724" s="69" t="b">
        <f>IF(Tab.11[[#This Row],[a1]]=1,Tab.11[[#This Row],[data]]/(_xlfn.STDEV.P(Tab.11[data])*$B$987)-$A$987)</f>
        <v>0</v>
      </c>
      <c r="N724" s="69" t="b">
        <f>IF(Tab.11[[#This Row],[a1]]=1,Tab.11[[#This Row],[data]]/(_xlfn.STDEV.P(Tab.11[data])*$B$988)+$A$988)</f>
        <v>0</v>
      </c>
      <c r="O724" s="70" t="b">
        <f>IF(Tab.11[[#This Row],[a1]]=1,_xlfn.NORM.DIST(Tab.11[[#This Row],[b8]],$P$1,$Q$1,FALSE))</f>
        <v>0</v>
      </c>
      <c r="P724" s="70" t="b">
        <f>IF(Tab.11[[#This Row],[a1]]=1,_xlfn.NORM.DIST(Tab.11[[#This Row],[b9]],$P$1,$Q$1,FALSE))</f>
        <v>0</v>
      </c>
      <c r="Q724" s="70" t="b">
        <f>IF(Tab.11[[#This Row],[a1]]=1,_xlfn.NORM.DIST(Tab.11[[#This Row],[b10]],$P$1,$Q$1,FALSE))</f>
        <v>0</v>
      </c>
      <c r="R724" s="67" t="b">
        <f>IF(Tab.11[[#This Row],[a1]]=1,$I$3+$A$989+IF($K$3=0,Tab.11[[#This Row],[b8]]*_xlfn.STDEV.P(Tab.11[data]),AVERAGE(Tab.11[b6])+Tab.11[[#This Row],[b8]]*_xlfn.STDEV.P(Tab.11[data])))</f>
        <v>0</v>
      </c>
      <c r="S724" s="71" t="b">
        <f>IF(Tab.11[[#This Row],[a1]]=1,$I$3+$A$987+IF($K$3=0,Tab.11[[#This Row],[b9]]*_xlfn.STDEV.P(Tab.11[data]),AVERAGE(Tab.11[b6])+Tab.11[[#This Row],[b9]]*_xlfn.STDEV.P(Tab.11[data])))</f>
        <v>0</v>
      </c>
      <c r="T724" s="71" t="b">
        <f>IF(Tab.11[[#This Row],[a1]]=1,$I$3+$A$988+IF($K$3=0,Tab.11[[#This Row],[b10]]*_xlfn.STDEV.P(Tab.11[data]),AVERAGE(Tab.11[b6])+Tab.11[[#This Row],[b10]]*_xlfn.STDEV.P(Tab.11[data])))</f>
        <v>0</v>
      </c>
      <c r="U724" s="72" t="b">
        <f>IF(Tab.11[[#This Row],[a1]]=1,Tab.11[[#This Row],[target]]-Tab.11[[#This Row],[Red]])</f>
        <v>0</v>
      </c>
      <c r="V724" s="72" t="b">
        <f>IF(Tab.11[[#This Row],[a1]]=1,Tab.11[[#This Row],[target]]-Tab.11[[#This Row],[Blue]])</f>
        <v>0</v>
      </c>
      <c r="W724" s="73" t="b">
        <f>IF(Tab.11[[#This Row],[a1]]=1,IF(ABS(Tab.11[[#This Row],[b17]])+ABS(Tab.11[[#This Row],[b18]])&lt;$W$2,$W$2,ABS(Tab.11[[#This Row],[b17]])+ABS(Tab.11[[#This Row],[b18]])))</f>
        <v>0</v>
      </c>
      <c r="X724" s="136" t="b">
        <f>IF(Tab.11[[#This Row],[a1]]=1,IF($W$3&lt;0,Tab.11[[#This Row],[IN]]-$I$3,Tab.11[[#This Row],[IN]]))</f>
        <v>0</v>
      </c>
      <c r="Y724" s="136" t="b">
        <f>IF(Tab.11[[#This Row],[a1]]=1,IF($X$3=0,Tab.11[b66],Tab.11[[#This Row],[b66]]-AVERAGE(Tab.11[b66])))</f>
        <v>0</v>
      </c>
      <c r="Z724" s="135" t="b">
        <f>IF(Tab.11[[#This Row],[a1]]=1,Tab.11[[#This Row],[b77]]/(_xlfn.STDEV.P(Tab.11[b77])))</f>
        <v>0</v>
      </c>
      <c r="AA724" s="70" t="b">
        <f>IF(Tab.11[[#This Row],[a1]]=1,_xlfn.NORM.DIST(Tab.11[[#This Row],[b88]],$Z$1,$AA$1,FALSE))</f>
        <v>0</v>
      </c>
      <c r="AB724" s="74" t="b">
        <f>IF(Tab.11[[#This Row],[a1]]=1,IF($A$3=0,FALSE,1/Tab.11[[#This Row],[IN]]*$AC$2*IF(Tab.11[[#This Row],[a1]]=0,,$A$3*$AC$1*1/$V$3*(Tab.11[[#This Row],[b14]]))))</f>
        <v>0</v>
      </c>
      <c r="AC724" s="75" t="b">
        <f>IF(Tab.11[[#This Row],[a1]]=1,IF($AC$3=0,Tab.11[[#This Row],[φ1]],Tab.11[[#This Row],[φ1]]/MAX(Tab.11[φ1])))</f>
        <v>0</v>
      </c>
      <c r="AD724" s="74" t="b">
        <f>IF(Tab.11[[#This Row],[a1]]=1,1/Tab.11[[#This Row],[φ2]])</f>
        <v>0</v>
      </c>
      <c r="AE724" s="74" t="b">
        <f>IF(Tab.11[[#This Row],[a1]]=1,IF($AE$3=0,Tab.11[[#This Row],[w.0]],Tab.11[[#This Row],[w.0]]/SUM(Tab.11[w.0])))</f>
        <v>0</v>
      </c>
      <c r="AF724" s="76" t="str">
        <f>IF(Tab.11[[#This Row],[a1]]=0,"false",[3]!Tab.x5[[#This Row],[%_seN_C]])</f>
        <v>false</v>
      </c>
      <c r="AG724" s="77" t="b">
        <f>IF(Tab.11[[#This Row],[a1]]=1,AP724)</f>
        <v>0</v>
      </c>
      <c r="AH724" s="78" t="b">
        <f>IF(Tab.11[[#This Row],[a1]]=1,AQ724)</f>
        <v>0</v>
      </c>
      <c r="AI724" s="41">
        <v>3.0000000000000001E-3</v>
      </c>
      <c r="AJ724" s="79">
        <v>-0.02</v>
      </c>
      <c r="AK724" s="80" t="b">
        <f>IF(Tab.11[[#This Row],[a1]]=1,1)</f>
        <v>0</v>
      </c>
      <c r="AL724"/>
      <c r="AM724"/>
      <c r="AN724"/>
      <c r="AO724"/>
      <c r="AP724"/>
      <c r="AQ724"/>
      <c r="AR724"/>
      <c r="AS724"/>
    </row>
    <row r="725" spans="1:45" s="81" customFormat="1" hidden="1" x14ac:dyDescent="0.25">
      <c r="A725" s="61">
        <f t="shared" ref="A725:B788" si="25">AM725</f>
        <v>0</v>
      </c>
      <c r="B725" s="62">
        <f t="shared" si="25"/>
        <v>0</v>
      </c>
      <c r="C725" s="62" t="b">
        <f>IF(Tab.11[[#This Row],[a1]]=1,[3]!Tab_x1[[#This Row],[Name]])</f>
        <v>0</v>
      </c>
      <c r="D725" s="63" t="b">
        <f>IF(Tab.11[[#This Row],[a1]]=1,AO725)</f>
        <v>0</v>
      </c>
      <c r="E725" s="63">
        <f t="shared" si="24"/>
        <v>0</v>
      </c>
      <c r="F725" s="64" t="b">
        <f>IF(Tab.11[[#This Row],[a1]]=1,Tab.11[[#This Row],[b1]])</f>
        <v>0</v>
      </c>
      <c r="G725" s="65" t="b">
        <f>IF(Tab.11[[#This Row],[a1]]=1,IF(Tab.11[[#This Row],[b3]]&gt;$L$989*$G$3,$L$989*$G$3,IF(Tab.11[[#This Row],[b3]]&lt;$M$989*$G$3,$M$989*$G$3,Tab.11[[#This Row],[b3]])))</f>
        <v>0</v>
      </c>
      <c r="H725" s="66" t="b">
        <f>IF(Tab.11[[#This Row],[a1]]=1,Tab.11[[#This Row],[b1]])</f>
        <v>0</v>
      </c>
      <c r="I725" s="67" t="b">
        <f>IF(Tab.11[[#This Row],[a1]]=1,Tab.11[[#This Row],[b1]])</f>
        <v>0</v>
      </c>
      <c r="J725" s="68" t="b">
        <f>IF(Tab.11[[#This Row],[a1]]=1,IF($I$3&lt;0,Tab.11[[#This Row],[b5]]-$I$3,Tab.11[[#This Row],[b5]]))</f>
        <v>0</v>
      </c>
      <c r="K725" s="68" t="b">
        <f>IF(Tab.11[[#This Row],[a1]]=1,IF($K$3=0,Tab.11[b6],Tab.11[[#This Row],[b6]]-AVERAGE(Tab.11[b6])))</f>
        <v>0</v>
      </c>
      <c r="L725" s="69" t="b">
        <f>IF(Tab.11[[#This Row],[a1]]=1,Tab.11[[#This Row],[data]]/(_xlfn.STDEV.P(Tab.11[data])*$B$989)+$A$989)</f>
        <v>0</v>
      </c>
      <c r="M725" s="69" t="b">
        <f>IF(Tab.11[[#This Row],[a1]]=1,Tab.11[[#This Row],[data]]/(_xlfn.STDEV.P(Tab.11[data])*$B$987)-$A$987)</f>
        <v>0</v>
      </c>
      <c r="N725" s="69" t="b">
        <f>IF(Tab.11[[#This Row],[a1]]=1,Tab.11[[#This Row],[data]]/(_xlfn.STDEV.P(Tab.11[data])*$B$988)+$A$988)</f>
        <v>0</v>
      </c>
      <c r="O725" s="70" t="b">
        <f>IF(Tab.11[[#This Row],[a1]]=1,_xlfn.NORM.DIST(Tab.11[[#This Row],[b8]],$P$1,$Q$1,FALSE))</f>
        <v>0</v>
      </c>
      <c r="P725" s="70" t="b">
        <f>IF(Tab.11[[#This Row],[a1]]=1,_xlfn.NORM.DIST(Tab.11[[#This Row],[b9]],$P$1,$Q$1,FALSE))</f>
        <v>0</v>
      </c>
      <c r="Q725" s="70" t="b">
        <f>IF(Tab.11[[#This Row],[a1]]=1,_xlfn.NORM.DIST(Tab.11[[#This Row],[b10]],$P$1,$Q$1,FALSE))</f>
        <v>0</v>
      </c>
      <c r="R725" s="67" t="b">
        <f>IF(Tab.11[[#This Row],[a1]]=1,$I$3+$A$989+IF($K$3=0,Tab.11[[#This Row],[b8]]*_xlfn.STDEV.P(Tab.11[data]),AVERAGE(Tab.11[b6])+Tab.11[[#This Row],[b8]]*_xlfn.STDEV.P(Tab.11[data])))</f>
        <v>0</v>
      </c>
      <c r="S725" s="71" t="b">
        <f>IF(Tab.11[[#This Row],[a1]]=1,$I$3+$A$987+IF($K$3=0,Tab.11[[#This Row],[b9]]*_xlfn.STDEV.P(Tab.11[data]),AVERAGE(Tab.11[b6])+Tab.11[[#This Row],[b9]]*_xlfn.STDEV.P(Tab.11[data])))</f>
        <v>0</v>
      </c>
      <c r="T725" s="71" t="b">
        <f>IF(Tab.11[[#This Row],[a1]]=1,$I$3+$A$988+IF($K$3=0,Tab.11[[#This Row],[b10]]*_xlfn.STDEV.P(Tab.11[data]),AVERAGE(Tab.11[b6])+Tab.11[[#This Row],[b10]]*_xlfn.STDEV.P(Tab.11[data])))</f>
        <v>0</v>
      </c>
      <c r="U725" s="72" t="b">
        <f>IF(Tab.11[[#This Row],[a1]]=1,Tab.11[[#This Row],[target]]-Tab.11[[#This Row],[Red]])</f>
        <v>0</v>
      </c>
      <c r="V725" s="72" t="b">
        <f>IF(Tab.11[[#This Row],[a1]]=1,Tab.11[[#This Row],[target]]-Tab.11[[#This Row],[Blue]])</f>
        <v>0</v>
      </c>
      <c r="W725" s="73" t="b">
        <f>IF(Tab.11[[#This Row],[a1]]=1,IF(ABS(Tab.11[[#This Row],[b17]])+ABS(Tab.11[[#This Row],[b18]])&lt;$W$2,$W$2,ABS(Tab.11[[#This Row],[b17]])+ABS(Tab.11[[#This Row],[b18]])))</f>
        <v>0</v>
      </c>
      <c r="X725" s="136" t="b">
        <f>IF(Tab.11[[#This Row],[a1]]=1,IF($W$3&lt;0,Tab.11[[#This Row],[IN]]-$I$3,Tab.11[[#This Row],[IN]]))</f>
        <v>0</v>
      </c>
      <c r="Y725" s="136" t="b">
        <f>IF(Tab.11[[#This Row],[a1]]=1,IF($X$3=0,Tab.11[b66],Tab.11[[#This Row],[b66]]-AVERAGE(Tab.11[b66])))</f>
        <v>0</v>
      </c>
      <c r="Z725" s="135" t="b">
        <f>IF(Tab.11[[#This Row],[a1]]=1,Tab.11[[#This Row],[b77]]/(_xlfn.STDEV.P(Tab.11[b77])))</f>
        <v>0</v>
      </c>
      <c r="AA725" s="70" t="b">
        <f>IF(Tab.11[[#This Row],[a1]]=1,_xlfn.NORM.DIST(Tab.11[[#This Row],[b88]],$Z$1,$AA$1,FALSE))</f>
        <v>0</v>
      </c>
      <c r="AB725" s="74" t="b">
        <f>IF(Tab.11[[#This Row],[a1]]=1,IF($A$3=0,FALSE,1/Tab.11[[#This Row],[IN]]*$AC$2*IF(Tab.11[[#This Row],[a1]]=0,,$A$3*$AC$1*1/$V$3*(Tab.11[[#This Row],[b14]]))))</f>
        <v>0</v>
      </c>
      <c r="AC725" s="75" t="b">
        <f>IF(Tab.11[[#This Row],[a1]]=1,IF($AC$3=0,Tab.11[[#This Row],[φ1]],Tab.11[[#This Row],[φ1]]/MAX(Tab.11[φ1])))</f>
        <v>0</v>
      </c>
      <c r="AD725" s="74" t="b">
        <f>IF(Tab.11[[#This Row],[a1]]=1,1/Tab.11[[#This Row],[φ2]])</f>
        <v>0</v>
      </c>
      <c r="AE725" s="74" t="b">
        <f>IF(Tab.11[[#This Row],[a1]]=1,IF($AE$3=0,Tab.11[[#This Row],[w.0]],Tab.11[[#This Row],[w.0]]/SUM(Tab.11[w.0])))</f>
        <v>0</v>
      </c>
      <c r="AF725" s="76" t="str">
        <f>IF(Tab.11[[#This Row],[a1]]=0,"false",[3]!Tab.x5[[#This Row],[%_seN_C]])</f>
        <v>false</v>
      </c>
      <c r="AG725" s="77" t="b">
        <f>IF(Tab.11[[#This Row],[a1]]=1,AP725)</f>
        <v>0</v>
      </c>
      <c r="AH725" s="78" t="b">
        <f>IF(Tab.11[[#This Row],[a1]]=1,AQ725)</f>
        <v>0</v>
      </c>
      <c r="AI725" s="41">
        <v>3.0000000000000001E-3</v>
      </c>
      <c r="AJ725" s="79">
        <v>0.05</v>
      </c>
      <c r="AK725" s="80" t="b">
        <f>IF(Tab.11[[#This Row],[a1]]=1,1)</f>
        <v>0</v>
      </c>
      <c r="AL725"/>
      <c r="AM725"/>
      <c r="AN725"/>
      <c r="AO725"/>
      <c r="AP725"/>
      <c r="AQ725"/>
      <c r="AR725"/>
      <c r="AS725"/>
    </row>
    <row r="726" spans="1:45" s="81" customFormat="1" hidden="1" x14ac:dyDescent="0.25">
      <c r="A726" s="61">
        <f t="shared" si="25"/>
        <v>0</v>
      </c>
      <c r="B726" s="62">
        <f t="shared" si="25"/>
        <v>0</v>
      </c>
      <c r="C726" s="62" t="b">
        <f>IF(Tab.11[[#This Row],[a1]]=1,[3]!Tab_x1[[#This Row],[Name]])</f>
        <v>0</v>
      </c>
      <c r="D726" s="63" t="b">
        <f>IF(Tab.11[[#This Row],[a1]]=1,AO726)</f>
        <v>0</v>
      </c>
      <c r="E726" s="63">
        <f t="shared" si="24"/>
        <v>0</v>
      </c>
      <c r="F726" s="64" t="b">
        <f>IF(Tab.11[[#This Row],[a1]]=1,Tab.11[[#This Row],[b1]])</f>
        <v>0</v>
      </c>
      <c r="G726" s="65" t="b">
        <f>IF(Tab.11[[#This Row],[a1]]=1,IF(Tab.11[[#This Row],[b3]]&gt;$L$989*$G$3,$L$989*$G$3,IF(Tab.11[[#This Row],[b3]]&lt;$M$989*$G$3,$M$989*$G$3,Tab.11[[#This Row],[b3]])))</f>
        <v>0</v>
      </c>
      <c r="H726" s="66" t="b">
        <f>IF(Tab.11[[#This Row],[a1]]=1,Tab.11[[#This Row],[b1]])</f>
        <v>0</v>
      </c>
      <c r="I726" s="67" t="b">
        <f>IF(Tab.11[[#This Row],[a1]]=1,Tab.11[[#This Row],[b1]])</f>
        <v>0</v>
      </c>
      <c r="J726" s="68" t="b">
        <f>IF(Tab.11[[#This Row],[a1]]=1,IF($I$3&lt;0,Tab.11[[#This Row],[b5]]-$I$3,Tab.11[[#This Row],[b5]]))</f>
        <v>0</v>
      </c>
      <c r="K726" s="68" t="b">
        <f>IF(Tab.11[[#This Row],[a1]]=1,IF($K$3=0,Tab.11[b6],Tab.11[[#This Row],[b6]]-AVERAGE(Tab.11[b6])))</f>
        <v>0</v>
      </c>
      <c r="L726" s="69" t="b">
        <f>IF(Tab.11[[#This Row],[a1]]=1,Tab.11[[#This Row],[data]]/(_xlfn.STDEV.P(Tab.11[data])*$B$989)+$A$989)</f>
        <v>0</v>
      </c>
      <c r="M726" s="69" t="b">
        <f>IF(Tab.11[[#This Row],[a1]]=1,Tab.11[[#This Row],[data]]/(_xlfn.STDEV.P(Tab.11[data])*$B$987)-$A$987)</f>
        <v>0</v>
      </c>
      <c r="N726" s="69" t="b">
        <f>IF(Tab.11[[#This Row],[a1]]=1,Tab.11[[#This Row],[data]]/(_xlfn.STDEV.P(Tab.11[data])*$B$988)+$A$988)</f>
        <v>0</v>
      </c>
      <c r="O726" s="70" t="b">
        <f>IF(Tab.11[[#This Row],[a1]]=1,_xlfn.NORM.DIST(Tab.11[[#This Row],[b8]],$P$1,$Q$1,FALSE))</f>
        <v>0</v>
      </c>
      <c r="P726" s="70" t="b">
        <f>IF(Tab.11[[#This Row],[a1]]=1,_xlfn.NORM.DIST(Tab.11[[#This Row],[b9]],$P$1,$Q$1,FALSE))</f>
        <v>0</v>
      </c>
      <c r="Q726" s="70" t="b">
        <f>IF(Tab.11[[#This Row],[a1]]=1,_xlfn.NORM.DIST(Tab.11[[#This Row],[b10]],$P$1,$Q$1,FALSE))</f>
        <v>0</v>
      </c>
      <c r="R726" s="67" t="b">
        <f>IF(Tab.11[[#This Row],[a1]]=1,$I$3+$A$989+IF($K$3=0,Tab.11[[#This Row],[b8]]*_xlfn.STDEV.P(Tab.11[data]),AVERAGE(Tab.11[b6])+Tab.11[[#This Row],[b8]]*_xlfn.STDEV.P(Tab.11[data])))</f>
        <v>0</v>
      </c>
      <c r="S726" s="71" t="b">
        <f>IF(Tab.11[[#This Row],[a1]]=1,$I$3+$A$987+IF($K$3=0,Tab.11[[#This Row],[b9]]*_xlfn.STDEV.P(Tab.11[data]),AVERAGE(Tab.11[b6])+Tab.11[[#This Row],[b9]]*_xlfn.STDEV.P(Tab.11[data])))</f>
        <v>0</v>
      </c>
      <c r="T726" s="71" t="b">
        <f>IF(Tab.11[[#This Row],[a1]]=1,$I$3+$A$988+IF($K$3=0,Tab.11[[#This Row],[b10]]*_xlfn.STDEV.P(Tab.11[data]),AVERAGE(Tab.11[b6])+Tab.11[[#This Row],[b10]]*_xlfn.STDEV.P(Tab.11[data])))</f>
        <v>0</v>
      </c>
      <c r="U726" s="72" t="b">
        <f>IF(Tab.11[[#This Row],[a1]]=1,Tab.11[[#This Row],[target]]-Tab.11[[#This Row],[Red]])</f>
        <v>0</v>
      </c>
      <c r="V726" s="72" t="b">
        <f>IF(Tab.11[[#This Row],[a1]]=1,Tab.11[[#This Row],[target]]-Tab.11[[#This Row],[Blue]])</f>
        <v>0</v>
      </c>
      <c r="W726" s="73" t="b">
        <f>IF(Tab.11[[#This Row],[a1]]=1,IF(ABS(Tab.11[[#This Row],[b17]])+ABS(Tab.11[[#This Row],[b18]])&lt;$W$2,$W$2,ABS(Tab.11[[#This Row],[b17]])+ABS(Tab.11[[#This Row],[b18]])))</f>
        <v>0</v>
      </c>
      <c r="X726" s="136" t="b">
        <f>IF(Tab.11[[#This Row],[a1]]=1,IF($W$3&lt;0,Tab.11[[#This Row],[IN]]-$I$3,Tab.11[[#This Row],[IN]]))</f>
        <v>0</v>
      </c>
      <c r="Y726" s="136" t="b">
        <f>IF(Tab.11[[#This Row],[a1]]=1,IF($X$3=0,Tab.11[b66],Tab.11[[#This Row],[b66]]-AVERAGE(Tab.11[b66])))</f>
        <v>0</v>
      </c>
      <c r="Z726" s="135" t="b">
        <f>IF(Tab.11[[#This Row],[a1]]=1,Tab.11[[#This Row],[b77]]/(_xlfn.STDEV.P(Tab.11[b77])))</f>
        <v>0</v>
      </c>
      <c r="AA726" s="70" t="b">
        <f>IF(Tab.11[[#This Row],[a1]]=1,_xlfn.NORM.DIST(Tab.11[[#This Row],[b88]],$Z$1,$AA$1,FALSE))</f>
        <v>0</v>
      </c>
      <c r="AB726" s="74" t="b">
        <f>IF(Tab.11[[#This Row],[a1]]=1,IF($A$3=0,FALSE,1/Tab.11[[#This Row],[IN]]*$AC$2*IF(Tab.11[[#This Row],[a1]]=0,,$A$3*$AC$1*1/$V$3*(Tab.11[[#This Row],[b14]]))))</f>
        <v>0</v>
      </c>
      <c r="AC726" s="75" t="b">
        <f>IF(Tab.11[[#This Row],[a1]]=1,IF($AC$3=0,Tab.11[[#This Row],[φ1]],Tab.11[[#This Row],[φ1]]/MAX(Tab.11[φ1])))</f>
        <v>0</v>
      </c>
      <c r="AD726" s="74" t="b">
        <f>IF(Tab.11[[#This Row],[a1]]=1,1/Tab.11[[#This Row],[φ2]])</f>
        <v>0</v>
      </c>
      <c r="AE726" s="74" t="b">
        <f>IF(Tab.11[[#This Row],[a1]]=1,IF($AE$3=0,Tab.11[[#This Row],[w.0]],Tab.11[[#This Row],[w.0]]/SUM(Tab.11[w.0])))</f>
        <v>0</v>
      </c>
      <c r="AF726" s="76" t="str">
        <f>IF(Tab.11[[#This Row],[a1]]=0,"false",[3]!Tab.x5[[#This Row],[%_seN_C]])</f>
        <v>false</v>
      </c>
      <c r="AG726" s="77" t="b">
        <f>IF(Tab.11[[#This Row],[a1]]=1,AP726)</f>
        <v>0</v>
      </c>
      <c r="AH726" s="78" t="b">
        <f>IF(Tab.11[[#This Row],[a1]]=1,AQ726)</f>
        <v>0</v>
      </c>
      <c r="AI726" s="41">
        <v>3.0000000000000001E-3</v>
      </c>
      <c r="AJ726" s="79">
        <v>-0.03</v>
      </c>
      <c r="AK726" s="80" t="b">
        <f>IF(Tab.11[[#This Row],[a1]]=1,1)</f>
        <v>0</v>
      </c>
      <c r="AL726"/>
      <c r="AM726"/>
      <c r="AN726"/>
      <c r="AO726"/>
      <c r="AP726"/>
      <c r="AQ726"/>
      <c r="AR726"/>
      <c r="AS726"/>
    </row>
    <row r="727" spans="1:45" s="81" customFormat="1" hidden="1" x14ac:dyDescent="0.25">
      <c r="A727" s="61">
        <f t="shared" si="25"/>
        <v>0</v>
      </c>
      <c r="B727" s="62">
        <f t="shared" si="25"/>
        <v>0</v>
      </c>
      <c r="C727" s="62" t="b">
        <f>IF(Tab.11[[#This Row],[a1]]=1,[3]!Tab_x1[[#This Row],[Name]])</f>
        <v>0</v>
      </c>
      <c r="D727" s="63" t="b">
        <f>IF(Tab.11[[#This Row],[a1]]=1,AO727)</f>
        <v>0</v>
      </c>
      <c r="E727" s="63">
        <f t="shared" si="24"/>
        <v>0</v>
      </c>
      <c r="F727" s="64" t="b">
        <f>IF(Tab.11[[#This Row],[a1]]=1,Tab.11[[#This Row],[b1]])</f>
        <v>0</v>
      </c>
      <c r="G727" s="65" t="b">
        <f>IF(Tab.11[[#This Row],[a1]]=1,IF(Tab.11[[#This Row],[b3]]&gt;$L$989*$G$3,$L$989*$G$3,IF(Tab.11[[#This Row],[b3]]&lt;$M$989*$G$3,$M$989*$G$3,Tab.11[[#This Row],[b3]])))</f>
        <v>0</v>
      </c>
      <c r="H727" s="66" t="b">
        <f>IF(Tab.11[[#This Row],[a1]]=1,Tab.11[[#This Row],[b1]])</f>
        <v>0</v>
      </c>
      <c r="I727" s="67" t="b">
        <f>IF(Tab.11[[#This Row],[a1]]=1,Tab.11[[#This Row],[b1]])</f>
        <v>0</v>
      </c>
      <c r="J727" s="68" t="b">
        <f>IF(Tab.11[[#This Row],[a1]]=1,IF($I$3&lt;0,Tab.11[[#This Row],[b5]]-$I$3,Tab.11[[#This Row],[b5]]))</f>
        <v>0</v>
      </c>
      <c r="K727" s="68" t="b">
        <f>IF(Tab.11[[#This Row],[a1]]=1,IF($K$3=0,Tab.11[b6],Tab.11[[#This Row],[b6]]-AVERAGE(Tab.11[b6])))</f>
        <v>0</v>
      </c>
      <c r="L727" s="69" t="b">
        <f>IF(Tab.11[[#This Row],[a1]]=1,Tab.11[[#This Row],[data]]/(_xlfn.STDEV.P(Tab.11[data])*$B$989)+$A$989)</f>
        <v>0</v>
      </c>
      <c r="M727" s="69" t="b">
        <f>IF(Tab.11[[#This Row],[a1]]=1,Tab.11[[#This Row],[data]]/(_xlfn.STDEV.P(Tab.11[data])*$B$987)-$A$987)</f>
        <v>0</v>
      </c>
      <c r="N727" s="69" t="b">
        <f>IF(Tab.11[[#This Row],[a1]]=1,Tab.11[[#This Row],[data]]/(_xlfn.STDEV.P(Tab.11[data])*$B$988)+$A$988)</f>
        <v>0</v>
      </c>
      <c r="O727" s="70" t="b">
        <f>IF(Tab.11[[#This Row],[a1]]=1,_xlfn.NORM.DIST(Tab.11[[#This Row],[b8]],$P$1,$Q$1,FALSE))</f>
        <v>0</v>
      </c>
      <c r="P727" s="70" t="b">
        <f>IF(Tab.11[[#This Row],[a1]]=1,_xlfn.NORM.DIST(Tab.11[[#This Row],[b9]],$P$1,$Q$1,FALSE))</f>
        <v>0</v>
      </c>
      <c r="Q727" s="70" t="b">
        <f>IF(Tab.11[[#This Row],[a1]]=1,_xlfn.NORM.DIST(Tab.11[[#This Row],[b10]],$P$1,$Q$1,FALSE))</f>
        <v>0</v>
      </c>
      <c r="R727" s="67" t="b">
        <f>IF(Tab.11[[#This Row],[a1]]=1,$I$3+$A$989+IF($K$3=0,Tab.11[[#This Row],[b8]]*_xlfn.STDEV.P(Tab.11[data]),AVERAGE(Tab.11[b6])+Tab.11[[#This Row],[b8]]*_xlfn.STDEV.P(Tab.11[data])))</f>
        <v>0</v>
      </c>
      <c r="S727" s="71" t="b">
        <f>IF(Tab.11[[#This Row],[a1]]=1,$I$3+$A$987+IF($K$3=0,Tab.11[[#This Row],[b9]]*_xlfn.STDEV.P(Tab.11[data]),AVERAGE(Tab.11[b6])+Tab.11[[#This Row],[b9]]*_xlfn.STDEV.P(Tab.11[data])))</f>
        <v>0</v>
      </c>
      <c r="T727" s="71" t="b">
        <f>IF(Tab.11[[#This Row],[a1]]=1,$I$3+$A$988+IF($K$3=0,Tab.11[[#This Row],[b10]]*_xlfn.STDEV.P(Tab.11[data]),AVERAGE(Tab.11[b6])+Tab.11[[#This Row],[b10]]*_xlfn.STDEV.P(Tab.11[data])))</f>
        <v>0</v>
      </c>
      <c r="U727" s="72" t="b">
        <f>IF(Tab.11[[#This Row],[a1]]=1,Tab.11[[#This Row],[target]]-Tab.11[[#This Row],[Red]])</f>
        <v>0</v>
      </c>
      <c r="V727" s="72" t="b">
        <f>IF(Tab.11[[#This Row],[a1]]=1,Tab.11[[#This Row],[target]]-Tab.11[[#This Row],[Blue]])</f>
        <v>0</v>
      </c>
      <c r="W727" s="73" t="b">
        <f>IF(Tab.11[[#This Row],[a1]]=1,IF(ABS(Tab.11[[#This Row],[b17]])+ABS(Tab.11[[#This Row],[b18]])&lt;$W$2,$W$2,ABS(Tab.11[[#This Row],[b17]])+ABS(Tab.11[[#This Row],[b18]])))</f>
        <v>0</v>
      </c>
      <c r="X727" s="136" t="b">
        <f>IF(Tab.11[[#This Row],[a1]]=1,IF($W$3&lt;0,Tab.11[[#This Row],[IN]]-$I$3,Tab.11[[#This Row],[IN]]))</f>
        <v>0</v>
      </c>
      <c r="Y727" s="136" t="b">
        <f>IF(Tab.11[[#This Row],[a1]]=1,IF($X$3=0,Tab.11[b66],Tab.11[[#This Row],[b66]]-AVERAGE(Tab.11[b66])))</f>
        <v>0</v>
      </c>
      <c r="Z727" s="135" t="b">
        <f>IF(Tab.11[[#This Row],[a1]]=1,Tab.11[[#This Row],[b77]]/(_xlfn.STDEV.P(Tab.11[b77])))</f>
        <v>0</v>
      </c>
      <c r="AA727" s="70" t="b">
        <f>IF(Tab.11[[#This Row],[a1]]=1,_xlfn.NORM.DIST(Tab.11[[#This Row],[b88]],$Z$1,$AA$1,FALSE))</f>
        <v>0</v>
      </c>
      <c r="AB727" s="74" t="b">
        <f>IF(Tab.11[[#This Row],[a1]]=1,IF($A$3=0,FALSE,1/Tab.11[[#This Row],[IN]]*$AC$2*IF(Tab.11[[#This Row],[a1]]=0,,$A$3*$AC$1*1/$V$3*(Tab.11[[#This Row],[b14]]))))</f>
        <v>0</v>
      </c>
      <c r="AC727" s="75" t="b">
        <f>IF(Tab.11[[#This Row],[a1]]=1,IF($AC$3=0,Tab.11[[#This Row],[φ1]],Tab.11[[#This Row],[φ1]]/MAX(Tab.11[φ1])))</f>
        <v>0</v>
      </c>
      <c r="AD727" s="74" t="b">
        <f>IF(Tab.11[[#This Row],[a1]]=1,1/Tab.11[[#This Row],[φ2]])</f>
        <v>0</v>
      </c>
      <c r="AE727" s="74" t="b">
        <f>IF(Tab.11[[#This Row],[a1]]=1,IF($AE$3=0,Tab.11[[#This Row],[w.0]],Tab.11[[#This Row],[w.0]]/SUM(Tab.11[w.0])))</f>
        <v>0</v>
      </c>
      <c r="AF727" s="76" t="str">
        <f>IF(Tab.11[[#This Row],[a1]]=0,"false",[3]!Tab.x5[[#This Row],[%_seN_C]])</f>
        <v>false</v>
      </c>
      <c r="AG727" s="77" t="b">
        <f>IF(Tab.11[[#This Row],[a1]]=1,AP727)</f>
        <v>0</v>
      </c>
      <c r="AH727" s="78" t="b">
        <f>IF(Tab.11[[#This Row],[a1]]=1,AQ727)</f>
        <v>0</v>
      </c>
      <c r="AI727" s="41">
        <v>3.0000000000000001E-3</v>
      </c>
      <c r="AJ727" s="79">
        <v>-0.02</v>
      </c>
      <c r="AK727" s="80" t="b">
        <f>IF(Tab.11[[#This Row],[a1]]=1,1)</f>
        <v>0</v>
      </c>
      <c r="AL727"/>
      <c r="AM727"/>
      <c r="AN727"/>
      <c r="AO727"/>
      <c r="AP727"/>
      <c r="AQ727"/>
      <c r="AR727"/>
      <c r="AS727"/>
    </row>
    <row r="728" spans="1:45" s="81" customFormat="1" hidden="1" x14ac:dyDescent="0.25">
      <c r="A728" s="61">
        <f t="shared" si="25"/>
        <v>0</v>
      </c>
      <c r="B728" s="62">
        <f t="shared" si="25"/>
        <v>0</v>
      </c>
      <c r="C728" s="62" t="b">
        <f>IF(Tab.11[[#This Row],[a1]]=1,[3]!Tab_x1[[#This Row],[Name]])</f>
        <v>0</v>
      </c>
      <c r="D728" s="63" t="b">
        <f>IF(Tab.11[[#This Row],[a1]]=1,AO728)</f>
        <v>0</v>
      </c>
      <c r="E728" s="63">
        <f t="shared" si="24"/>
        <v>0</v>
      </c>
      <c r="F728" s="64" t="b">
        <f>IF(Tab.11[[#This Row],[a1]]=1,Tab.11[[#This Row],[b1]])</f>
        <v>0</v>
      </c>
      <c r="G728" s="65" t="b">
        <f>IF(Tab.11[[#This Row],[a1]]=1,IF(Tab.11[[#This Row],[b3]]&gt;$L$989*$G$3,$L$989*$G$3,IF(Tab.11[[#This Row],[b3]]&lt;$M$989*$G$3,$M$989*$G$3,Tab.11[[#This Row],[b3]])))</f>
        <v>0</v>
      </c>
      <c r="H728" s="66" t="b">
        <f>IF(Tab.11[[#This Row],[a1]]=1,Tab.11[[#This Row],[b1]])</f>
        <v>0</v>
      </c>
      <c r="I728" s="67" t="b">
        <f>IF(Tab.11[[#This Row],[a1]]=1,Tab.11[[#This Row],[b1]])</f>
        <v>0</v>
      </c>
      <c r="J728" s="68" t="b">
        <f>IF(Tab.11[[#This Row],[a1]]=1,IF($I$3&lt;0,Tab.11[[#This Row],[b5]]-$I$3,Tab.11[[#This Row],[b5]]))</f>
        <v>0</v>
      </c>
      <c r="K728" s="68" t="b">
        <f>IF(Tab.11[[#This Row],[a1]]=1,IF($K$3=0,Tab.11[b6],Tab.11[[#This Row],[b6]]-AVERAGE(Tab.11[b6])))</f>
        <v>0</v>
      </c>
      <c r="L728" s="69" t="b">
        <f>IF(Tab.11[[#This Row],[a1]]=1,Tab.11[[#This Row],[data]]/(_xlfn.STDEV.P(Tab.11[data])*$B$989)+$A$989)</f>
        <v>0</v>
      </c>
      <c r="M728" s="69" t="b">
        <f>IF(Tab.11[[#This Row],[a1]]=1,Tab.11[[#This Row],[data]]/(_xlfn.STDEV.P(Tab.11[data])*$B$987)-$A$987)</f>
        <v>0</v>
      </c>
      <c r="N728" s="69" t="b">
        <f>IF(Tab.11[[#This Row],[a1]]=1,Tab.11[[#This Row],[data]]/(_xlfn.STDEV.P(Tab.11[data])*$B$988)+$A$988)</f>
        <v>0</v>
      </c>
      <c r="O728" s="70" t="b">
        <f>IF(Tab.11[[#This Row],[a1]]=1,_xlfn.NORM.DIST(Tab.11[[#This Row],[b8]],$P$1,$Q$1,FALSE))</f>
        <v>0</v>
      </c>
      <c r="P728" s="70" t="b">
        <f>IF(Tab.11[[#This Row],[a1]]=1,_xlfn.NORM.DIST(Tab.11[[#This Row],[b9]],$P$1,$Q$1,FALSE))</f>
        <v>0</v>
      </c>
      <c r="Q728" s="70" t="b">
        <f>IF(Tab.11[[#This Row],[a1]]=1,_xlfn.NORM.DIST(Tab.11[[#This Row],[b10]],$P$1,$Q$1,FALSE))</f>
        <v>0</v>
      </c>
      <c r="R728" s="67" t="b">
        <f>IF(Tab.11[[#This Row],[a1]]=1,$I$3+$A$989+IF($K$3=0,Tab.11[[#This Row],[b8]]*_xlfn.STDEV.P(Tab.11[data]),AVERAGE(Tab.11[b6])+Tab.11[[#This Row],[b8]]*_xlfn.STDEV.P(Tab.11[data])))</f>
        <v>0</v>
      </c>
      <c r="S728" s="71" t="b">
        <f>IF(Tab.11[[#This Row],[a1]]=1,$I$3+$A$987+IF($K$3=0,Tab.11[[#This Row],[b9]]*_xlfn.STDEV.P(Tab.11[data]),AVERAGE(Tab.11[b6])+Tab.11[[#This Row],[b9]]*_xlfn.STDEV.P(Tab.11[data])))</f>
        <v>0</v>
      </c>
      <c r="T728" s="71" t="b">
        <f>IF(Tab.11[[#This Row],[a1]]=1,$I$3+$A$988+IF($K$3=0,Tab.11[[#This Row],[b10]]*_xlfn.STDEV.P(Tab.11[data]),AVERAGE(Tab.11[b6])+Tab.11[[#This Row],[b10]]*_xlfn.STDEV.P(Tab.11[data])))</f>
        <v>0</v>
      </c>
      <c r="U728" s="72" t="b">
        <f>IF(Tab.11[[#This Row],[a1]]=1,Tab.11[[#This Row],[target]]-Tab.11[[#This Row],[Red]])</f>
        <v>0</v>
      </c>
      <c r="V728" s="72" t="b">
        <f>IF(Tab.11[[#This Row],[a1]]=1,Tab.11[[#This Row],[target]]-Tab.11[[#This Row],[Blue]])</f>
        <v>0</v>
      </c>
      <c r="W728" s="73" t="b">
        <f>IF(Tab.11[[#This Row],[a1]]=1,IF(ABS(Tab.11[[#This Row],[b17]])+ABS(Tab.11[[#This Row],[b18]])&lt;$W$2,$W$2,ABS(Tab.11[[#This Row],[b17]])+ABS(Tab.11[[#This Row],[b18]])))</f>
        <v>0</v>
      </c>
      <c r="X728" s="136" t="b">
        <f>IF(Tab.11[[#This Row],[a1]]=1,IF($W$3&lt;0,Tab.11[[#This Row],[IN]]-$I$3,Tab.11[[#This Row],[IN]]))</f>
        <v>0</v>
      </c>
      <c r="Y728" s="136" t="b">
        <f>IF(Tab.11[[#This Row],[a1]]=1,IF($X$3=0,Tab.11[b66],Tab.11[[#This Row],[b66]]-AVERAGE(Tab.11[b66])))</f>
        <v>0</v>
      </c>
      <c r="Z728" s="135" t="b">
        <f>IF(Tab.11[[#This Row],[a1]]=1,Tab.11[[#This Row],[b77]]/(_xlfn.STDEV.P(Tab.11[b77])))</f>
        <v>0</v>
      </c>
      <c r="AA728" s="70" t="b">
        <f>IF(Tab.11[[#This Row],[a1]]=1,_xlfn.NORM.DIST(Tab.11[[#This Row],[b88]],$Z$1,$AA$1,FALSE))</f>
        <v>0</v>
      </c>
      <c r="AB728" s="74" t="b">
        <f>IF(Tab.11[[#This Row],[a1]]=1,IF($A$3=0,FALSE,1/Tab.11[[#This Row],[IN]]*$AC$2*IF(Tab.11[[#This Row],[a1]]=0,,$A$3*$AC$1*1/$V$3*(Tab.11[[#This Row],[b14]]))))</f>
        <v>0</v>
      </c>
      <c r="AC728" s="75" t="b">
        <f>IF(Tab.11[[#This Row],[a1]]=1,IF($AC$3=0,Tab.11[[#This Row],[φ1]],Tab.11[[#This Row],[φ1]]/MAX(Tab.11[φ1])))</f>
        <v>0</v>
      </c>
      <c r="AD728" s="74" t="b">
        <f>IF(Tab.11[[#This Row],[a1]]=1,1/Tab.11[[#This Row],[φ2]])</f>
        <v>0</v>
      </c>
      <c r="AE728" s="74" t="b">
        <f>IF(Tab.11[[#This Row],[a1]]=1,IF($AE$3=0,Tab.11[[#This Row],[w.0]],Tab.11[[#This Row],[w.0]]/SUM(Tab.11[w.0])))</f>
        <v>0</v>
      </c>
      <c r="AF728" s="76" t="str">
        <f>IF(Tab.11[[#This Row],[a1]]=0,"false",[3]!Tab.x5[[#This Row],[%_seN_C]])</f>
        <v>false</v>
      </c>
      <c r="AG728" s="77" t="b">
        <f>IF(Tab.11[[#This Row],[a1]]=1,AP728)</f>
        <v>0</v>
      </c>
      <c r="AH728" s="78" t="b">
        <f>IF(Tab.11[[#This Row],[a1]]=1,AQ728)</f>
        <v>0</v>
      </c>
      <c r="AI728" s="41">
        <v>3.0000000000000001E-3</v>
      </c>
      <c r="AJ728" s="79">
        <v>-0.03</v>
      </c>
      <c r="AK728" s="80" t="b">
        <f>IF(Tab.11[[#This Row],[a1]]=1,1)</f>
        <v>0</v>
      </c>
      <c r="AL728"/>
      <c r="AM728"/>
      <c r="AN728"/>
      <c r="AO728"/>
      <c r="AP728"/>
      <c r="AQ728"/>
      <c r="AR728"/>
      <c r="AS728"/>
    </row>
    <row r="729" spans="1:45" s="81" customFormat="1" hidden="1" x14ac:dyDescent="0.25">
      <c r="A729" s="61">
        <f t="shared" si="25"/>
        <v>0</v>
      </c>
      <c r="B729" s="62">
        <f t="shared" si="25"/>
        <v>0</v>
      </c>
      <c r="C729" s="62" t="b">
        <f>IF(Tab.11[[#This Row],[a1]]=1,[3]!Tab_x1[[#This Row],[Name]])</f>
        <v>0</v>
      </c>
      <c r="D729" s="63" t="b">
        <f>IF(Tab.11[[#This Row],[a1]]=1,AO729)</f>
        <v>0</v>
      </c>
      <c r="E729" s="63">
        <f t="shared" si="24"/>
        <v>0</v>
      </c>
      <c r="F729" s="64" t="b">
        <f>IF(Tab.11[[#This Row],[a1]]=1,Tab.11[[#This Row],[b1]])</f>
        <v>0</v>
      </c>
      <c r="G729" s="65" t="b">
        <f>IF(Tab.11[[#This Row],[a1]]=1,IF(Tab.11[[#This Row],[b3]]&gt;$L$989*$G$3,$L$989*$G$3,IF(Tab.11[[#This Row],[b3]]&lt;$M$989*$G$3,$M$989*$G$3,Tab.11[[#This Row],[b3]])))</f>
        <v>0</v>
      </c>
      <c r="H729" s="66" t="b">
        <f>IF(Tab.11[[#This Row],[a1]]=1,Tab.11[[#This Row],[b1]])</f>
        <v>0</v>
      </c>
      <c r="I729" s="67" t="b">
        <f>IF(Tab.11[[#This Row],[a1]]=1,Tab.11[[#This Row],[b1]])</f>
        <v>0</v>
      </c>
      <c r="J729" s="68" t="b">
        <f>IF(Tab.11[[#This Row],[a1]]=1,IF($I$3&lt;0,Tab.11[[#This Row],[b5]]-$I$3,Tab.11[[#This Row],[b5]]))</f>
        <v>0</v>
      </c>
      <c r="K729" s="68" t="b">
        <f>IF(Tab.11[[#This Row],[a1]]=1,IF($K$3=0,Tab.11[b6],Tab.11[[#This Row],[b6]]-AVERAGE(Tab.11[b6])))</f>
        <v>0</v>
      </c>
      <c r="L729" s="69" t="b">
        <f>IF(Tab.11[[#This Row],[a1]]=1,Tab.11[[#This Row],[data]]/(_xlfn.STDEV.P(Tab.11[data])*$B$989)+$A$989)</f>
        <v>0</v>
      </c>
      <c r="M729" s="69" t="b">
        <f>IF(Tab.11[[#This Row],[a1]]=1,Tab.11[[#This Row],[data]]/(_xlfn.STDEV.P(Tab.11[data])*$B$987)-$A$987)</f>
        <v>0</v>
      </c>
      <c r="N729" s="69" t="b">
        <f>IF(Tab.11[[#This Row],[a1]]=1,Tab.11[[#This Row],[data]]/(_xlfn.STDEV.P(Tab.11[data])*$B$988)+$A$988)</f>
        <v>0</v>
      </c>
      <c r="O729" s="70" t="b">
        <f>IF(Tab.11[[#This Row],[a1]]=1,_xlfn.NORM.DIST(Tab.11[[#This Row],[b8]],$P$1,$Q$1,FALSE))</f>
        <v>0</v>
      </c>
      <c r="P729" s="70" t="b">
        <f>IF(Tab.11[[#This Row],[a1]]=1,_xlfn.NORM.DIST(Tab.11[[#This Row],[b9]],$P$1,$Q$1,FALSE))</f>
        <v>0</v>
      </c>
      <c r="Q729" s="70" t="b">
        <f>IF(Tab.11[[#This Row],[a1]]=1,_xlfn.NORM.DIST(Tab.11[[#This Row],[b10]],$P$1,$Q$1,FALSE))</f>
        <v>0</v>
      </c>
      <c r="R729" s="67" t="b">
        <f>IF(Tab.11[[#This Row],[a1]]=1,$I$3+$A$989+IF($K$3=0,Tab.11[[#This Row],[b8]]*_xlfn.STDEV.P(Tab.11[data]),AVERAGE(Tab.11[b6])+Tab.11[[#This Row],[b8]]*_xlfn.STDEV.P(Tab.11[data])))</f>
        <v>0</v>
      </c>
      <c r="S729" s="71" t="b">
        <f>IF(Tab.11[[#This Row],[a1]]=1,$I$3+$A$987+IF($K$3=0,Tab.11[[#This Row],[b9]]*_xlfn.STDEV.P(Tab.11[data]),AVERAGE(Tab.11[b6])+Tab.11[[#This Row],[b9]]*_xlfn.STDEV.P(Tab.11[data])))</f>
        <v>0</v>
      </c>
      <c r="T729" s="71" t="b">
        <f>IF(Tab.11[[#This Row],[a1]]=1,$I$3+$A$988+IF($K$3=0,Tab.11[[#This Row],[b10]]*_xlfn.STDEV.P(Tab.11[data]),AVERAGE(Tab.11[b6])+Tab.11[[#This Row],[b10]]*_xlfn.STDEV.P(Tab.11[data])))</f>
        <v>0</v>
      </c>
      <c r="U729" s="72" t="b">
        <f>IF(Tab.11[[#This Row],[a1]]=1,Tab.11[[#This Row],[target]]-Tab.11[[#This Row],[Red]])</f>
        <v>0</v>
      </c>
      <c r="V729" s="72" t="b">
        <f>IF(Tab.11[[#This Row],[a1]]=1,Tab.11[[#This Row],[target]]-Tab.11[[#This Row],[Blue]])</f>
        <v>0</v>
      </c>
      <c r="W729" s="73" t="b">
        <f>IF(Tab.11[[#This Row],[a1]]=1,IF(ABS(Tab.11[[#This Row],[b17]])+ABS(Tab.11[[#This Row],[b18]])&lt;$W$2,$W$2,ABS(Tab.11[[#This Row],[b17]])+ABS(Tab.11[[#This Row],[b18]])))</f>
        <v>0</v>
      </c>
      <c r="X729" s="136" t="b">
        <f>IF(Tab.11[[#This Row],[a1]]=1,IF($W$3&lt;0,Tab.11[[#This Row],[IN]]-$I$3,Tab.11[[#This Row],[IN]]))</f>
        <v>0</v>
      </c>
      <c r="Y729" s="136" t="b">
        <f>IF(Tab.11[[#This Row],[a1]]=1,IF($X$3=0,Tab.11[b66],Tab.11[[#This Row],[b66]]-AVERAGE(Tab.11[b66])))</f>
        <v>0</v>
      </c>
      <c r="Z729" s="135" t="b">
        <f>IF(Tab.11[[#This Row],[a1]]=1,Tab.11[[#This Row],[b77]]/(_xlfn.STDEV.P(Tab.11[b77])))</f>
        <v>0</v>
      </c>
      <c r="AA729" s="70" t="b">
        <f>IF(Tab.11[[#This Row],[a1]]=1,_xlfn.NORM.DIST(Tab.11[[#This Row],[b88]],$Z$1,$AA$1,FALSE))</f>
        <v>0</v>
      </c>
      <c r="AB729" s="74" t="b">
        <f>IF(Tab.11[[#This Row],[a1]]=1,IF($A$3=0,FALSE,1/Tab.11[[#This Row],[IN]]*$AC$2*IF(Tab.11[[#This Row],[a1]]=0,,$A$3*$AC$1*1/$V$3*(Tab.11[[#This Row],[b14]]))))</f>
        <v>0</v>
      </c>
      <c r="AC729" s="75" t="b">
        <f>IF(Tab.11[[#This Row],[a1]]=1,IF($AC$3=0,Tab.11[[#This Row],[φ1]],Tab.11[[#This Row],[φ1]]/MAX(Tab.11[φ1])))</f>
        <v>0</v>
      </c>
      <c r="AD729" s="74" t="b">
        <f>IF(Tab.11[[#This Row],[a1]]=1,1/Tab.11[[#This Row],[φ2]])</f>
        <v>0</v>
      </c>
      <c r="AE729" s="74" t="b">
        <f>IF(Tab.11[[#This Row],[a1]]=1,IF($AE$3=0,Tab.11[[#This Row],[w.0]],Tab.11[[#This Row],[w.0]]/SUM(Tab.11[w.0])))</f>
        <v>0</v>
      </c>
      <c r="AF729" s="76" t="str">
        <f>IF(Tab.11[[#This Row],[a1]]=0,"false",[3]!Tab.x5[[#This Row],[%_seN_C]])</f>
        <v>false</v>
      </c>
      <c r="AG729" s="77" t="b">
        <f>IF(Tab.11[[#This Row],[a1]]=1,AP729)</f>
        <v>0</v>
      </c>
      <c r="AH729" s="78" t="b">
        <f>IF(Tab.11[[#This Row],[a1]]=1,AQ729)</f>
        <v>0</v>
      </c>
      <c r="AI729" s="41">
        <v>3.0000000000000001E-3</v>
      </c>
      <c r="AJ729" s="79">
        <v>-0.02</v>
      </c>
      <c r="AK729" s="80" t="b">
        <f>IF(Tab.11[[#This Row],[a1]]=1,1)</f>
        <v>0</v>
      </c>
      <c r="AL729"/>
      <c r="AM729"/>
      <c r="AN729"/>
      <c r="AO729"/>
      <c r="AP729"/>
      <c r="AQ729"/>
      <c r="AR729"/>
      <c r="AS729"/>
    </row>
    <row r="730" spans="1:45" s="81" customFormat="1" hidden="1" x14ac:dyDescent="0.25">
      <c r="A730" s="61">
        <f t="shared" si="25"/>
        <v>0</v>
      </c>
      <c r="B730" s="62">
        <f t="shared" si="25"/>
        <v>0</v>
      </c>
      <c r="C730" s="62" t="b">
        <f>IF(Tab.11[[#This Row],[a1]]=1,[3]!Tab_x1[[#This Row],[Name]])</f>
        <v>0</v>
      </c>
      <c r="D730" s="63" t="b">
        <f>IF(Tab.11[[#This Row],[a1]]=1,AO730)</f>
        <v>0</v>
      </c>
      <c r="E730" s="63">
        <f t="shared" si="24"/>
        <v>0</v>
      </c>
      <c r="F730" s="64" t="b">
        <f>IF(Tab.11[[#This Row],[a1]]=1,Tab.11[[#This Row],[b1]])</f>
        <v>0</v>
      </c>
      <c r="G730" s="65" t="b">
        <f>IF(Tab.11[[#This Row],[a1]]=1,IF(Tab.11[[#This Row],[b3]]&gt;$L$989*$G$3,$L$989*$G$3,IF(Tab.11[[#This Row],[b3]]&lt;$M$989*$G$3,$M$989*$G$3,Tab.11[[#This Row],[b3]])))</f>
        <v>0</v>
      </c>
      <c r="H730" s="66" t="b">
        <f>IF(Tab.11[[#This Row],[a1]]=1,Tab.11[[#This Row],[b1]])</f>
        <v>0</v>
      </c>
      <c r="I730" s="67" t="b">
        <f>IF(Tab.11[[#This Row],[a1]]=1,Tab.11[[#This Row],[b1]])</f>
        <v>0</v>
      </c>
      <c r="J730" s="68" t="b">
        <f>IF(Tab.11[[#This Row],[a1]]=1,IF($I$3&lt;0,Tab.11[[#This Row],[b5]]-$I$3,Tab.11[[#This Row],[b5]]))</f>
        <v>0</v>
      </c>
      <c r="K730" s="68" t="b">
        <f>IF(Tab.11[[#This Row],[a1]]=1,IF($K$3=0,Tab.11[b6],Tab.11[[#This Row],[b6]]-AVERAGE(Tab.11[b6])))</f>
        <v>0</v>
      </c>
      <c r="L730" s="69" t="b">
        <f>IF(Tab.11[[#This Row],[a1]]=1,Tab.11[[#This Row],[data]]/(_xlfn.STDEV.P(Tab.11[data])*$B$989)+$A$989)</f>
        <v>0</v>
      </c>
      <c r="M730" s="69" t="b">
        <f>IF(Tab.11[[#This Row],[a1]]=1,Tab.11[[#This Row],[data]]/(_xlfn.STDEV.P(Tab.11[data])*$B$987)-$A$987)</f>
        <v>0</v>
      </c>
      <c r="N730" s="69" t="b">
        <f>IF(Tab.11[[#This Row],[a1]]=1,Tab.11[[#This Row],[data]]/(_xlfn.STDEV.P(Tab.11[data])*$B$988)+$A$988)</f>
        <v>0</v>
      </c>
      <c r="O730" s="70" t="b">
        <f>IF(Tab.11[[#This Row],[a1]]=1,_xlfn.NORM.DIST(Tab.11[[#This Row],[b8]],$P$1,$Q$1,FALSE))</f>
        <v>0</v>
      </c>
      <c r="P730" s="70" t="b">
        <f>IF(Tab.11[[#This Row],[a1]]=1,_xlfn.NORM.DIST(Tab.11[[#This Row],[b9]],$P$1,$Q$1,FALSE))</f>
        <v>0</v>
      </c>
      <c r="Q730" s="70" t="b">
        <f>IF(Tab.11[[#This Row],[a1]]=1,_xlfn.NORM.DIST(Tab.11[[#This Row],[b10]],$P$1,$Q$1,FALSE))</f>
        <v>0</v>
      </c>
      <c r="R730" s="67" t="b">
        <f>IF(Tab.11[[#This Row],[a1]]=1,$I$3+$A$989+IF($K$3=0,Tab.11[[#This Row],[b8]]*_xlfn.STDEV.P(Tab.11[data]),AVERAGE(Tab.11[b6])+Tab.11[[#This Row],[b8]]*_xlfn.STDEV.P(Tab.11[data])))</f>
        <v>0</v>
      </c>
      <c r="S730" s="71" t="b">
        <f>IF(Tab.11[[#This Row],[a1]]=1,$I$3+$A$987+IF($K$3=0,Tab.11[[#This Row],[b9]]*_xlfn.STDEV.P(Tab.11[data]),AVERAGE(Tab.11[b6])+Tab.11[[#This Row],[b9]]*_xlfn.STDEV.P(Tab.11[data])))</f>
        <v>0</v>
      </c>
      <c r="T730" s="71" t="b">
        <f>IF(Tab.11[[#This Row],[a1]]=1,$I$3+$A$988+IF($K$3=0,Tab.11[[#This Row],[b10]]*_xlfn.STDEV.P(Tab.11[data]),AVERAGE(Tab.11[b6])+Tab.11[[#This Row],[b10]]*_xlfn.STDEV.P(Tab.11[data])))</f>
        <v>0</v>
      </c>
      <c r="U730" s="72" t="b">
        <f>IF(Tab.11[[#This Row],[a1]]=1,Tab.11[[#This Row],[target]]-Tab.11[[#This Row],[Red]])</f>
        <v>0</v>
      </c>
      <c r="V730" s="72" t="b">
        <f>IF(Tab.11[[#This Row],[a1]]=1,Tab.11[[#This Row],[target]]-Tab.11[[#This Row],[Blue]])</f>
        <v>0</v>
      </c>
      <c r="W730" s="73" t="b">
        <f>IF(Tab.11[[#This Row],[a1]]=1,IF(ABS(Tab.11[[#This Row],[b17]])+ABS(Tab.11[[#This Row],[b18]])&lt;$W$2,$W$2,ABS(Tab.11[[#This Row],[b17]])+ABS(Tab.11[[#This Row],[b18]])))</f>
        <v>0</v>
      </c>
      <c r="X730" s="136" t="b">
        <f>IF(Tab.11[[#This Row],[a1]]=1,IF($W$3&lt;0,Tab.11[[#This Row],[IN]]-$I$3,Tab.11[[#This Row],[IN]]))</f>
        <v>0</v>
      </c>
      <c r="Y730" s="136" t="b">
        <f>IF(Tab.11[[#This Row],[a1]]=1,IF($X$3=0,Tab.11[b66],Tab.11[[#This Row],[b66]]-AVERAGE(Tab.11[b66])))</f>
        <v>0</v>
      </c>
      <c r="Z730" s="135" t="b">
        <f>IF(Tab.11[[#This Row],[a1]]=1,Tab.11[[#This Row],[b77]]/(_xlfn.STDEV.P(Tab.11[b77])))</f>
        <v>0</v>
      </c>
      <c r="AA730" s="70" t="b">
        <f>IF(Tab.11[[#This Row],[a1]]=1,_xlfn.NORM.DIST(Tab.11[[#This Row],[b88]],$Z$1,$AA$1,FALSE))</f>
        <v>0</v>
      </c>
      <c r="AB730" s="74" t="b">
        <f>IF(Tab.11[[#This Row],[a1]]=1,IF($A$3=0,FALSE,1/Tab.11[[#This Row],[IN]]*$AC$2*IF(Tab.11[[#This Row],[a1]]=0,,$A$3*$AC$1*1/$V$3*(Tab.11[[#This Row],[b14]]))))</f>
        <v>0</v>
      </c>
      <c r="AC730" s="75" t="b">
        <f>IF(Tab.11[[#This Row],[a1]]=1,IF($AC$3=0,Tab.11[[#This Row],[φ1]],Tab.11[[#This Row],[φ1]]/MAX(Tab.11[φ1])))</f>
        <v>0</v>
      </c>
      <c r="AD730" s="74" t="b">
        <f>IF(Tab.11[[#This Row],[a1]]=1,1/Tab.11[[#This Row],[φ2]])</f>
        <v>0</v>
      </c>
      <c r="AE730" s="74" t="b">
        <f>IF(Tab.11[[#This Row],[a1]]=1,IF($AE$3=0,Tab.11[[#This Row],[w.0]],Tab.11[[#This Row],[w.0]]/SUM(Tab.11[w.0])))</f>
        <v>0</v>
      </c>
      <c r="AF730" s="76" t="str">
        <f>IF(Tab.11[[#This Row],[a1]]=0,"false",[3]!Tab.x5[[#This Row],[%_seN_C]])</f>
        <v>false</v>
      </c>
      <c r="AG730" s="77" t="b">
        <f>IF(Tab.11[[#This Row],[a1]]=1,AP730)</f>
        <v>0</v>
      </c>
      <c r="AH730" s="78" t="b">
        <f>IF(Tab.11[[#This Row],[a1]]=1,AQ730)</f>
        <v>0</v>
      </c>
      <c r="AI730" s="41">
        <v>3.0000000000000001E-3</v>
      </c>
      <c r="AJ730" s="79">
        <v>0.05</v>
      </c>
      <c r="AK730" s="80" t="b">
        <f>IF(Tab.11[[#This Row],[a1]]=1,1)</f>
        <v>0</v>
      </c>
      <c r="AL730"/>
      <c r="AM730"/>
      <c r="AN730"/>
      <c r="AO730"/>
      <c r="AP730"/>
      <c r="AQ730"/>
      <c r="AR730"/>
      <c r="AS730"/>
    </row>
    <row r="731" spans="1:45" s="81" customFormat="1" hidden="1" x14ac:dyDescent="0.25">
      <c r="A731" s="61">
        <f t="shared" si="25"/>
        <v>0</v>
      </c>
      <c r="B731" s="62">
        <f t="shared" si="25"/>
        <v>0</v>
      </c>
      <c r="C731" s="62" t="b">
        <f>IF(Tab.11[[#This Row],[a1]]=1,[3]!Tab_x1[[#This Row],[Name]])</f>
        <v>0</v>
      </c>
      <c r="D731" s="63" t="b">
        <f>IF(Tab.11[[#This Row],[a1]]=1,AO731)</f>
        <v>0</v>
      </c>
      <c r="E731" s="63">
        <f t="shared" si="24"/>
        <v>0</v>
      </c>
      <c r="F731" s="64" t="b">
        <f>IF(Tab.11[[#This Row],[a1]]=1,Tab.11[[#This Row],[b1]])</f>
        <v>0</v>
      </c>
      <c r="G731" s="65" t="b">
        <f>IF(Tab.11[[#This Row],[a1]]=1,IF(Tab.11[[#This Row],[b3]]&gt;$L$989*$G$3,$L$989*$G$3,IF(Tab.11[[#This Row],[b3]]&lt;$M$989*$G$3,$M$989*$G$3,Tab.11[[#This Row],[b3]])))</f>
        <v>0</v>
      </c>
      <c r="H731" s="66" t="b">
        <f>IF(Tab.11[[#This Row],[a1]]=1,Tab.11[[#This Row],[b1]])</f>
        <v>0</v>
      </c>
      <c r="I731" s="67" t="b">
        <f>IF(Tab.11[[#This Row],[a1]]=1,Tab.11[[#This Row],[b1]])</f>
        <v>0</v>
      </c>
      <c r="J731" s="68" t="b">
        <f>IF(Tab.11[[#This Row],[a1]]=1,IF($I$3&lt;0,Tab.11[[#This Row],[b5]]-$I$3,Tab.11[[#This Row],[b5]]))</f>
        <v>0</v>
      </c>
      <c r="K731" s="68" t="b">
        <f>IF(Tab.11[[#This Row],[a1]]=1,IF($K$3=0,Tab.11[b6],Tab.11[[#This Row],[b6]]-AVERAGE(Tab.11[b6])))</f>
        <v>0</v>
      </c>
      <c r="L731" s="69" t="b">
        <f>IF(Tab.11[[#This Row],[a1]]=1,Tab.11[[#This Row],[data]]/(_xlfn.STDEV.P(Tab.11[data])*$B$989)+$A$989)</f>
        <v>0</v>
      </c>
      <c r="M731" s="69" t="b">
        <f>IF(Tab.11[[#This Row],[a1]]=1,Tab.11[[#This Row],[data]]/(_xlfn.STDEV.P(Tab.11[data])*$B$987)-$A$987)</f>
        <v>0</v>
      </c>
      <c r="N731" s="69" t="b">
        <f>IF(Tab.11[[#This Row],[a1]]=1,Tab.11[[#This Row],[data]]/(_xlfn.STDEV.P(Tab.11[data])*$B$988)+$A$988)</f>
        <v>0</v>
      </c>
      <c r="O731" s="70" t="b">
        <f>IF(Tab.11[[#This Row],[a1]]=1,_xlfn.NORM.DIST(Tab.11[[#This Row],[b8]],$P$1,$Q$1,FALSE))</f>
        <v>0</v>
      </c>
      <c r="P731" s="70" t="b">
        <f>IF(Tab.11[[#This Row],[a1]]=1,_xlfn.NORM.DIST(Tab.11[[#This Row],[b9]],$P$1,$Q$1,FALSE))</f>
        <v>0</v>
      </c>
      <c r="Q731" s="70" t="b">
        <f>IF(Tab.11[[#This Row],[a1]]=1,_xlfn.NORM.DIST(Tab.11[[#This Row],[b10]],$P$1,$Q$1,FALSE))</f>
        <v>0</v>
      </c>
      <c r="R731" s="67" t="b">
        <f>IF(Tab.11[[#This Row],[a1]]=1,$I$3+$A$989+IF($K$3=0,Tab.11[[#This Row],[b8]]*_xlfn.STDEV.P(Tab.11[data]),AVERAGE(Tab.11[b6])+Tab.11[[#This Row],[b8]]*_xlfn.STDEV.P(Tab.11[data])))</f>
        <v>0</v>
      </c>
      <c r="S731" s="71" t="b">
        <f>IF(Tab.11[[#This Row],[a1]]=1,$I$3+$A$987+IF($K$3=0,Tab.11[[#This Row],[b9]]*_xlfn.STDEV.P(Tab.11[data]),AVERAGE(Tab.11[b6])+Tab.11[[#This Row],[b9]]*_xlfn.STDEV.P(Tab.11[data])))</f>
        <v>0</v>
      </c>
      <c r="T731" s="71" t="b">
        <f>IF(Tab.11[[#This Row],[a1]]=1,$I$3+$A$988+IF($K$3=0,Tab.11[[#This Row],[b10]]*_xlfn.STDEV.P(Tab.11[data]),AVERAGE(Tab.11[b6])+Tab.11[[#This Row],[b10]]*_xlfn.STDEV.P(Tab.11[data])))</f>
        <v>0</v>
      </c>
      <c r="U731" s="72" t="b">
        <f>IF(Tab.11[[#This Row],[a1]]=1,Tab.11[[#This Row],[target]]-Tab.11[[#This Row],[Red]])</f>
        <v>0</v>
      </c>
      <c r="V731" s="72" t="b">
        <f>IF(Tab.11[[#This Row],[a1]]=1,Tab.11[[#This Row],[target]]-Tab.11[[#This Row],[Blue]])</f>
        <v>0</v>
      </c>
      <c r="W731" s="73" t="b">
        <f>IF(Tab.11[[#This Row],[a1]]=1,IF(ABS(Tab.11[[#This Row],[b17]])+ABS(Tab.11[[#This Row],[b18]])&lt;$W$2,$W$2,ABS(Tab.11[[#This Row],[b17]])+ABS(Tab.11[[#This Row],[b18]])))</f>
        <v>0</v>
      </c>
      <c r="X731" s="136" t="b">
        <f>IF(Tab.11[[#This Row],[a1]]=1,IF($W$3&lt;0,Tab.11[[#This Row],[IN]]-$I$3,Tab.11[[#This Row],[IN]]))</f>
        <v>0</v>
      </c>
      <c r="Y731" s="136" t="b">
        <f>IF(Tab.11[[#This Row],[a1]]=1,IF($X$3=0,Tab.11[b66],Tab.11[[#This Row],[b66]]-AVERAGE(Tab.11[b66])))</f>
        <v>0</v>
      </c>
      <c r="Z731" s="135" t="b">
        <f>IF(Tab.11[[#This Row],[a1]]=1,Tab.11[[#This Row],[b77]]/(_xlfn.STDEV.P(Tab.11[b77])))</f>
        <v>0</v>
      </c>
      <c r="AA731" s="70" t="b">
        <f>IF(Tab.11[[#This Row],[a1]]=1,_xlfn.NORM.DIST(Tab.11[[#This Row],[b88]],$Z$1,$AA$1,FALSE))</f>
        <v>0</v>
      </c>
      <c r="AB731" s="74" t="b">
        <f>IF(Tab.11[[#This Row],[a1]]=1,IF($A$3=0,FALSE,1/Tab.11[[#This Row],[IN]]*$AC$2*IF(Tab.11[[#This Row],[a1]]=0,,$A$3*$AC$1*1/$V$3*(Tab.11[[#This Row],[b14]]))))</f>
        <v>0</v>
      </c>
      <c r="AC731" s="75" t="b">
        <f>IF(Tab.11[[#This Row],[a1]]=1,IF($AC$3=0,Tab.11[[#This Row],[φ1]],Tab.11[[#This Row],[φ1]]/MAX(Tab.11[φ1])))</f>
        <v>0</v>
      </c>
      <c r="AD731" s="74" t="b">
        <f>IF(Tab.11[[#This Row],[a1]]=1,1/Tab.11[[#This Row],[φ2]])</f>
        <v>0</v>
      </c>
      <c r="AE731" s="74" t="b">
        <f>IF(Tab.11[[#This Row],[a1]]=1,IF($AE$3=0,Tab.11[[#This Row],[w.0]],Tab.11[[#This Row],[w.0]]/SUM(Tab.11[w.0])))</f>
        <v>0</v>
      </c>
      <c r="AF731" s="76" t="str">
        <f>IF(Tab.11[[#This Row],[a1]]=0,"false",[3]!Tab.x5[[#This Row],[%_seN_C]])</f>
        <v>false</v>
      </c>
      <c r="AG731" s="77" t="b">
        <f>IF(Tab.11[[#This Row],[a1]]=1,AP731)</f>
        <v>0</v>
      </c>
      <c r="AH731" s="78" t="b">
        <f>IF(Tab.11[[#This Row],[a1]]=1,AQ731)</f>
        <v>0</v>
      </c>
      <c r="AI731" s="41">
        <v>3.0000000000000001E-3</v>
      </c>
      <c r="AJ731" s="79">
        <v>0.08</v>
      </c>
      <c r="AK731" s="80" t="b">
        <f>IF(Tab.11[[#This Row],[a1]]=1,1)</f>
        <v>0</v>
      </c>
      <c r="AL731"/>
      <c r="AM731"/>
      <c r="AN731"/>
      <c r="AO731"/>
      <c r="AP731"/>
      <c r="AQ731"/>
      <c r="AR731"/>
      <c r="AS731"/>
    </row>
    <row r="732" spans="1:45" s="81" customFormat="1" hidden="1" x14ac:dyDescent="0.25">
      <c r="A732" s="61">
        <f t="shared" si="25"/>
        <v>0</v>
      </c>
      <c r="B732" s="62">
        <f t="shared" si="25"/>
        <v>0</v>
      </c>
      <c r="C732" s="62" t="b">
        <f>IF(Tab.11[[#This Row],[a1]]=1,[3]!Tab_x1[[#This Row],[Name]])</f>
        <v>0</v>
      </c>
      <c r="D732" s="63" t="b">
        <f>IF(Tab.11[[#This Row],[a1]]=1,AO732)</f>
        <v>0</v>
      </c>
      <c r="E732" s="63">
        <f t="shared" si="24"/>
        <v>0</v>
      </c>
      <c r="F732" s="64" t="b">
        <f>IF(Tab.11[[#This Row],[a1]]=1,Tab.11[[#This Row],[b1]])</f>
        <v>0</v>
      </c>
      <c r="G732" s="65" t="b">
        <f>IF(Tab.11[[#This Row],[a1]]=1,IF(Tab.11[[#This Row],[b3]]&gt;$L$989*$G$3,$L$989*$G$3,IF(Tab.11[[#This Row],[b3]]&lt;$M$989*$G$3,$M$989*$G$3,Tab.11[[#This Row],[b3]])))</f>
        <v>0</v>
      </c>
      <c r="H732" s="66" t="b">
        <f>IF(Tab.11[[#This Row],[a1]]=1,Tab.11[[#This Row],[b1]])</f>
        <v>0</v>
      </c>
      <c r="I732" s="67" t="b">
        <f>IF(Tab.11[[#This Row],[a1]]=1,Tab.11[[#This Row],[b1]])</f>
        <v>0</v>
      </c>
      <c r="J732" s="68" t="b">
        <f>IF(Tab.11[[#This Row],[a1]]=1,IF($I$3&lt;0,Tab.11[[#This Row],[b5]]-$I$3,Tab.11[[#This Row],[b5]]))</f>
        <v>0</v>
      </c>
      <c r="K732" s="68" t="b">
        <f>IF(Tab.11[[#This Row],[a1]]=1,IF($K$3=0,Tab.11[b6],Tab.11[[#This Row],[b6]]-AVERAGE(Tab.11[b6])))</f>
        <v>0</v>
      </c>
      <c r="L732" s="69" t="b">
        <f>IF(Tab.11[[#This Row],[a1]]=1,Tab.11[[#This Row],[data]]/(_xlfn.STDEV.P(Tab.11[data])*$B$989)+$A$989)</f>
        <v>0</v>
      </c>
      <c r="M732" s="69" t="b">
        <f>IF(Tab.11[[#This Row],[a1]]=1,Tab.11[[#This Row],[data]]/(_xlfn.STDEV.P(Tab.11[data])*$B$987)-$A$987)</f>
        <v>0</v>
      </c>
      <c r="N732" s="69" t="b">
        <f>IF(Tab.11[[#This Row],[a1]]=1,Tab.11[[#This Row],[data]]/(_xlfn.STDEV.P(Tab.11[data])*$B$988)+$A$988)</f>
        <v>0</v>
      </c>
      <c r="O732" s="70" t="b">
        <f>IF(Tab.11[[#This Row],[a1]]=1,_xlfn.NORM.DIST(Tab.11[[#This Row],[b8]],$P$1,$Q$1,FALSE))</f>
        <v>0</v>
      </c>
      <c r="P732" s="70" t="b">
        <f>IF(Tab.11[[#This Row],[a1]]=1,_xlfn.NORM.DIST(Tab.11[[#This Row],[b9]],$P$1,$Q$1,FALSE))</f>
        <v>0</v>
      </c>
      <c r="Q732" s="70" t="b">
        <f>IF(Tab.11[[#This Row],[a1]]=1,_xlfn.NORM.DIST(Tab.11[[#This Row],[b10]],$P$1,$Q$1,FALSE))</f>
        <v>0</v>
      </c>
      <c r="R732" s="67" t="b">
        <f>IF(Tab.11[[#This Row],[a1]]=1,$I$3+$A$989+IF($K$3=0,Tab.11[[#This Row],[b8]]*_xlfn.STDEV.P(Tab.11[data]),AVERAGE(Tab.11[b6])+Tab.11[[#This Row],[b8]]*_xlfn.STDEV.P(Tab.11[data])))</f>
        <v>0</v>
      </c>
      <c r="S732" s="71" t="b">
        <f>IF(Tab.11[[#This Row],[a1]]=1,$I$3+$A$987+IF($K$3=0,Tab.11[[#This Row],[b9]]*_xlfn.STDEV.P(Tab.11[data]),AVERAGE(Tab.11[b6])+Tab.11[[#This Row],[b9]]*_xlfn.STDEV.P(Tab.11[data])))</f>
        <v>0</v>
      </c>
      <c r="T732" s="71" t="b">
        <f>IF(Tab.11[[#This Row],[a1]]=1,$I$3+$A$988+IF($K$3=0,Tab.11[[#This Row],[b10]]*_xlfn.STDEV.P(Tab.11[data]),AVERAGE(Tab.11[b6])+Tab.11[[#This Row],[b10]]*_xlfn.STDEV.P(Tab.11[data])))</f>
        <v>0</v>
      </c>
      <c r="U732" s="72" t="b">
        <f>IF(Tab.11[[#This Row],[a1]]=1,Tab.11[[#This Row],[target]]-Tab.11[[#This Row],[Red]])</f>
        <v>0</v>
      </c>
      <c r="V732" s="72" t="b">
        <f>IF(Tab.11[[#This Row],[a1]]=1,Tab.11[[#This Row],[target]]-Tab.11[[#This Row],[Blue]])</f>
        <v>0</v>
      </c>
      <c r="W732" s="73" t="b">
        <f>IF(Tab.11[[#This Row],[a1]]=1,IF(ABS(Tab.11[[#This Row],[b17]])+ABS(Tab.11[[#This Row],[b18]])&lt;$W$2,$W$2,ABS(Tab.11[[#This Row],[b17]])+ABS(Tab.11[[#This Row],[b18]])))</f>
        <v>0</v>
      </c>
      <c r="X732" s="136" t="b">
        <f>IF(Tab.11[[#This Row],[a1]]=1,IF($W$3&lt;0,Tab.11[[#This Row],[IN]]-$I$3,Tab.11[[#This Row],[IN]]))</f>
        <v>0</v>
      </c>
      <c r="Y732" s="136" t="b">
        <f>IF(Tab.11[[#This Row],[a1]]=1,IF($X$3=0,Tab.11[b66],Tab.11[[#This Row],[b66]]-AVERAGE(Tab.11[b66])))</f>
        <v>0</v>
      </c>
      <c r="Z732" s="135" t="b">
        <f>IF(Tab.11[[#This Row],[a1]]=1,Tab.11[[#This Row],[b77]]/(_xlfn.STDEV.P(Tab.11[b77])))</f>
        <v>0</v>
      </c>
      <c r="AA732" s="70" t="b">
        <f>IF(Tab.11[[#This Row],[a1]]=1,_xlfn.NORM.DIST(Tab.11[[#This Row],[b88]],$Z$1,$AA$1,FALSE))</f>
        <v>0</v>
      </c>
      <c r="AB732" s="74" t="b">
        <f>IF(Tab.11[[#This Row],[a1]]=1,IF($A$3=0,FALSE,1/Tab.11[[#This Row],[IN]]*$AC$2*IF(Tab.11[[#This Row],[a1]]=0,,$A$3*$AC$1*1/$V$3*(Tab.11[[#This Row],[b14]]))))</f>
        <v>0</v>
      </c>
      <c r="AC732" s="75" t="b">
        <f>IF(Tab.11[[#This Row],[a1]]=1,IF($AC$3=0,Tab.11[[#This Row],[φ1]],Tab.11[[#This Row],[φ1]]/MAX(Tab.11[φ1])))</f>
        <v>0</v>
      </c>
      <c r="AD732" s="74" t="b">
        <f>IF(Tab.11[[#This Row],[a1]]=1,1/Tab.11[[#This Row],[φ2]])</f>
        <v>0</v>
      </c>
      <c r="AE732" s="74" t="b">
        <f>IF(Tab.11[[#This Row],[a1]]=1,IF($AE$3=0,Tab.11[[#This Row],[w.0]],Tab.11[[#This Row],[w.0]]/SUM(Tab.11[w.0])))</f>
        <v>0</v>
      </c>
      <c r="AF732" s="76" t="str">
        <f>IF(Tab.11[[#This Row],[a1]]=0,"false",[3]!Tab.x5[[#This Row],[%_seN_C]])</f>
        <v>false</v>
      </c>
      <c r="AG732" s="77" t="b">
        <f>IF(Tab.11[[#This Row],[a1]]=1,AP732)</f>
        <v>0</v>
      </c>
      <c r="AH732" s="78" t="b">
        <f>IF(Tab.11[[#This Row],[a1]]=1,AQ732)</f>
        <v>0</v>
      </c>
      <c r="AI732" s="41">
        <v>3.0000000000000001E-3</v>
      </c>
      <c r="AJ732" s="79">
        <v>0.08</v>
      </c>
      <c r="AK732" s="80" t="b">
        <f>IF(Tab.11[[#This Row],[a1]]=1,1)</f>
        <v>0</v>
      </c>
      <c r="AL732"/>
      <c r="AM732"/>
      <c r="AN732"/>
      <c r="AO732"/>
      <c r="AP732"/>
      <c r="AQ732"/>
      <c r="AR732"/>
      <c r="AS732"/>
    </row>
    <row r="733" spans="1:45" s="81" customFormat="1" hidden="1" x14ac:dyDescent="0.25">
      <c r="A733" s="61">
        <f t="shared" si="25"/>
        <v>0</v>
      </c>
      <c r="B733" s="62">
        <f t="shared" si="25"/>
        <v>0</v>
      </c>
      <c r="C733" s="62" t="b">
        <f>IF(Tab.11[[#This Row],[a1]]=1,[3]!Tab_x1[[#This Row],[Name]])</f>
        <v>0</v>
      </c>
      <c r="D733" s="63" t="b">
        <f>IF(Tab.11[[#This Row],[a1]]=1,AO733)</f>
        <v>0</v>
      </c>
      <c r="E733" s="63">
        <f t="shared" si="24"/>
        <v>0</v>
      </c>
      <c r="F733" s="64" t="b">
        <f>IF(Tab.11[[#This Row],[a1]]=1,Tab.11[[#This Row],[b1]])</f>
        <v>0</v>
      </c>
      <c r="G733" s="65" t="b">
        <f>IF(Tab.11[[#This Row],[a1]]=1,IF(Tab.11[[#This Row],[b3]]&gt;$L$989*$G$3,$L$989*$G$3,IF(Tab.11[[#This Row],[b3]]&lt;$M$989*$G$3,$M$989*$G$3,Tab.11[[#This Row],[b3]])))</f>
        <v>0</v>
      </c>
      <c r="H733" s="66" t="b">
        <f>IF(Tab.11[[#This Row],[a1]]=1,Tab.11[[#This Row],[b1]])</f>
        <v>0</v>
      </c>
      <c r="I733" s="67" t="b">
        <f>IF(Tab.11[[#This Row],[a1]]=1,Tab.11[[#This Row],[b1]])</f>
        <v>0</v>
      </c>
      <c r="J733" s="68" t="b">
        <f>IF(Tab.11[[#This Row],[a1]]=1,IF($I$3&lt;0,Tab.11[[#This Row],[b5]]-$I$3,Tab.11[[#This Row],[b5]]))</f>
        <v>0</v>
      </c>
      <c r="K733" s="68" t="b">
        <f>IF(Tab.11[[#This Row],[a1]]=1,IF($K$3=0,Tab.11[b6],Tab.11[[#This Row],[b6]]-AVERAGE(Tab.11[b6])))</f>
        <v>0</v>
      </c>
      <c r="L733" s="69" t="b">
        <f>IF(Tab.11[[#This Row],[a1]]=1,Tab.11[[#This Row],[data]]/(_xlfn.STDEV.P(Tab.11[data])*$B$989)+$A$989)</f>
        <v>0</v>
      </c>
      <c r="M733" s="69" t="b">
        <f>IF(Tab.11[[#This Row],[a1]]=1,Tab.11[[#This Row],[data]]/(_xlfn.STDEV.P(Tab.11[data])*$B$987)-$A$987)</f>
        <v>0</v>
      </c>
      <c r="N733" s="69" t="b">
        <f>IF(Tab.11[[#This Row],[a1]]=1,Tab.11[[#This Row],[data]]/(_xlfn.STDEV.P(Tab.11[data])*$B$988)+$A$988)</f>
        <v>0</v>
      </c>
      <c r="O733" s="70" t="b">
        <f>IF(Tab.11[[#This Row],[a1]]=1,_xlfn.NORM.DIST(Tab.11[[#This Row],[b8]],$P$1,$Q$1,FALSE))</f>
        <v>0</v>
      </c>
      <c r="P733" s="70" t="b">
        <f>IF(Tab.11[[#This Row],[a1]]=1,_xlfn.NORM.DIST(Tab.11[[#This Row],[b9]],$P$1,$Q$1,FALSE))</f>
        <v>0</v>
      </c>
      <c r="Q733" s="70" t="b">
        <f>IF(Tab.11[[#This Row],[a1]]=1,_xlfn.NORM.DIST(Tab.11[[#This Row],[b10]],$P$1,$Q$1,FALSE))</f>
        <v>0</v>
      </c>
      <c r="R733" s="67" t="b">
        <f>IF(Tab.11[[#This Row],[a1]]=1,$I$3+$A$989+IF($K$3=0,Tab.11[[#This Row],[b8]]*_xlfn.STDEV.P(Tab.11[data]),AVERAGE(Tab.11[b6])+Tab.11[[#This Row],[b8]]*_xlfn.STDEV.P(Tab.11[data])))</f>
        <v>0</v>
      </c>
      <c r="S733" s="71" t="b">
        <f>IF(Tab.11[[#This Row],[a1]]=1,$I$3+$A$987+IF($K$3=0,Tab.11[[#This Row],[b9]]*_xlfn.STDEV.P(Tab.11[data]),AVERAGE(Tab.11[b6])+Tab.11[[#This Row],[b9]]*_xlfn.STDEV.P(Tab.11[data])))</f>
        <v>0</v>
      </c>
      <c r="T733" s="71" t="b">
        <f>IF(Tab.11[[#This Row],[a1]]=1,$I$3+$A$988+IF($K$3=0,Tab.11[[#This Row],[b10]]*_xlfn.STDEV.P(Tab.11[data]),AVERAGE(Tab.11[b6])+Tab.11[[#This Row],[b10]]*_xlfn.STDEV.P(Tab.11[data])))</f>
        <v>0</v>
      </c>
      <c r="U733" s="72" t="b">
        <f>IF(Tab.11[[#This Row],[a1]]=1,Tab.11[[#This Row],[target]]-Tab.11[[#This Row],[Red]])</f>
        <v>0</v>
      </c>
      <c r="V733" s="72" t="b">
        <f>IF(Tab.11[[#This Row],[a1]]=1,Tab.11[[#This Row],[target]]-Tab.11[[#This Row],[Blue]])</f>
        <v>0</v>
      </c>
      <c r="W733" s="73" t="b">
        <f>IF(Tab.11[[#This Row],[a1]]=1,IF(ABS(Tab.11[[#This Row],[b17]])+ABS(Tab.11[[#This Row],[b18]])&lt;$W$2,$W$2,ABS(Tab.11[[#This Row],[b17]])+ABS(Tab.11[[#This Row],[b18]])))</f>
        <v>0</v>
      </c>
      <c r="X733" s="136" t="b">
        <f>IF(Tab.11[[#This Row],[a1]]=1,IF($W$3&lt;0,Tab.11[[#This Row],[IN]]-$I$3,Tab.11[[#This Row],[IN]]))</f>
        <v>0</v>
      </c>
      <c r="Y733" s="136" t="b">
        <f>IF(Tab.11[[#This Row],[a1]]=1,IF($X$3=0,Tab.11[b66],Tab.11[[#This Row],[b66]]-AVERAGE(Tab.11[b66])))</f>
        <v>0</v>
      </c>
      <c r="Z733" s="135" t="b">
        <f>IF(Tab.11[[#This Row],[a1]]=1,Tab.11[[#This Row],[b77]]/(_xlfn.STDEV.P(Tab.11[b77])))</f>
        <v>0</v>
      </c>
      <c r="AA733" s="70" t="b">
        <f>IF(Tab.11[[#This Row],[a1]]=1,_xlfn.NORM.DIST(Tab.11[[#This Row],[b88]],$Z$1,$AA$1,FALSE))</f>
        <v>0</v>
      </c>
      <c r="AB733" s="74" t="b">
        <f>IF(Tab.11[[#This Row],[a1]]=1,IF($A$3=0,FALSE,1/Tab.11[[#This Row],[IN]]*$AC$2*IF(Tab.11[[#This Row],[a1]]=0,,$A$3*$AC$1*1/$V$3*(Tab.11[[#This Row],[b14]]))))</f>
        <v>0</v>
      </c>
      <c r="AC733" s="75" t="b">
        <f>IF(Tab.11[[#This Row],[a1]]=1,IF($AC$3=0,Tab.11[[#This Row],[φ1]],Tab.11[[#This Row],[φ1]]/MAX(Tab.11[φ1])))</f>
        <v>0</v>
      </c>
      <c r="AD733" s="74" t="b">
        <f>IF(Tab.11[[#This Row],[a1]]=1,1/Tab.11[[#This Row],[φ2]])</f>
        <v>0</v>
      </c>
      <c r="AE733" s="74" t="b">
        <f>IF(Tab.11[[#This Row],[a1]]=1,IF($AE$3=0,Tab.11[[#This Row],[w.0]],Tab.11[[#This Row],[w.0]]/SUM(Tab.11[w.0])))</f>
        <v>0</v>
      </c>
      <c r="AF733" s="76" t="str">
        <f>IF(Tab.11[[#This Row],[a1]]=0,"false",[3]!Tab.x5[[#This Row],[%_seN_C]])</f>
        <v>false</v>
      </c>
      <c r="AG733" s="77" t="b">
        <f>IF(Tab.11[[#This Row],[a1]]=1,AP733)</f>
        <v>0</v>
      </c>
      <c r="AH733" s="78" t="b">
        <f>IF(Tab.11[[#This Row],[a1]]=1,AQ733)</f>
        <v>0</v>
      </c>
      <c r="AI733" s="41">
        <v>3.0000000000000001E-3</v>
      </c>
      <c r="AJ733" s="79">
        <v>0.02</v>
      </c>
      <c r="AK733" s="80" t="b">
        <f>IF(Tab.11[[#This Row],[a1]]=1,1)</f>
        <v>0</v>
      </c>
      <c r="AL733"/>
      <c r="AM733"/>
      <c r="AN733"/>
      <c r="AO733"/>
      <c r="AP733"/>
      <c r="AQ733"/>
      <c r="AR733"/>
      <c r="AS733"/>
    </row>
    <row r="734" spans="1:45" s="81" customFormat="1" hidden="1" x14ac:dyDescent="0.25">
      <c r="A734" s="61">
        <f t="shared" si="25"/>
        <v>0</v>
      </c>
      <c r="B734" s="62">
        <f t="shared" si="25"/>
        <v>0</v>
      </c>
      <c r="C734" s="62" t="b">
        <f>IF(Tab.11[[#This Row],[a1]]=1,[3]!Tab_x1[[#This Row],[Name]])</f>
        <v>0</v>
      </c>
      <c r="D734" s="63" t="b">
        <f>IF(Tab.11[[#This Row],[a1]]=1,AO734)</f>
        <v>0</v>
      </c>
      <c r="E734" s="63">
        <f t="shared" si="24"/>
        <v>0</v>
      </c>
      <c r="F734" s="64" t="b">
        <f>IF(Tab.11[[#This Row],[a1]]=1,Tab.11[[#This Row],[b1]])</f>
        <v>0</v>
      </c>
      <c r="G734" s="65" t="b">
        <f>IF(Tab.11[[#This Row],[a1]]=1,IF(Tab.11[[#This Row],[b3]]&gt;$L$989*$G$3,$L$989*$G$3,IF(Tab.11[[#This Row],[b3]]&lt;$M$989*$G$3,$M$989*$G$3,Tab.11[[#This Row],[b3]])))</f>
        <v>0</v>
      </c>
      <c r="H734" s="66" t="b">
        <f>IF(Tab.11[[#This Row],[a1]]=1,Tab.11[[#This Row],[b1]])</f>
        <v>0</v>
      </c>
      <c r="I734" s="67" t="b">
        <f>IF(Tab.11[[#This Row],[a1]]=1,Tab.11[[#This Row],[b1]])</f>
        <v>0</v>
      </c>
      <c r="J734" s="68" t="b">
        <f>IF(Tab.11[[#This Row],[a1]]=1,IF($I$3&lt;0,Tab.11[[#This Row],[b5]]-$I$3,Tab.11[[#This Row],[b5]]))</f>
        <v>0</v>
      </c>
      <c r="K734" s="68" t="b">
        <f>IF(Tab.11[[#This Row],[a1]]=1,IF($K$3=0,Tab.11[b6],Tab.11[[#This Row],[b6]]-AVERAGE(Tab.11[b6])))</f>
        <v>0</v>
      </c>
      <c r="L734" s="69" t="b">
        <f>IF(Tab.11[[#This Row],[a1]]=1,Tab.11[[#This Row],[data]]/(_xlfn.STDEV.P(Tab.11[data])*$B$989)+$A$989)</f>
        <v>0</v>
      </c>
      <c r="M734" s="69" t="b">
        <f>IF(Tab.11[[#This Row],[a1]]=1,Tab.11[[#This Row],[data]]/(_xlfn.STDEV.P(Tab.11[data])*$B$987)-$A$987)</f>
        <v>0</v>
      </c>
      <c r="N734" s="69" t="b">
        <f>IF(Tab.11[[#This Row],[a1]]=1,Tab.11[[#This Row],[data]]/(_xlfn.STDEV.P(Tab.11[data])*$B$988)+$A$988)</f>
        <v>0</v>
      </c>
      <c r="O734" s="70" t="b">
        <f>IF(Tab.11[[#This Row],[a1]]=1,_xlfn.NORM.DIST(Tab.11[[#This Row],[b8]],$P$1,$Q$1,FALSE))</f>
        <v>0</v>
      </c>
      <c r="P734" s="70" t="b">
        <f>IF(Tab.11[[#This Row],[a1]]=1,_xlfn.NORM.DIST(Tab.11[[#This Row],[b9]],$P$1,$Q$1,FALSE))</f>
        <v>0</v>
      </c>
      <c r="Q734" s="70" t="b">
        <f>IF(Tab.11[[#This Row],[a1]]=1,_xlfn.NORM.DIST(Tab.11[[#This Row],[b10]],$P$1,$Q$1,FALSE))</f>
        <v>0</v>
      </c>
      <c r="R734" s="67" t="b">
        <f>IF(Tab.11[[#This Row],[a1]]=1,$I$3+$A$989+IF($K$3=0,Tab.11[[#This Row],[b8]]*_xlfn.STDEV.P(Tab.11[data]),AVERAGE(Tab.11[b6])+Tab.11[[#This Row],[b8]]*_xlfn.STDEV.P(Tab.11[data])))</f>
        <v>0</v>
      </c>
      <c r="S734" s="71" t="b">
        <f>IF(Tab.11[[#This Row],[a1]]=1,$I$3+$A$987+IF($K$3=0,Tab.11[[#This Row],[b9]]*_xlfn.STDEV.P(Tab.11[data]),AVERAGE(Tab.11[b6])+Tab.11[[#This Row],[b9]]*_xlfn.STDEV.P(Tab.11[data])))</f>
        <v>0</v>
      </c>
      <c r="T734" s="71" t="b">
        <f>IF(Tab.11[[#This Row],[a1]]=1,$I$3+$A$988+IF($K$3=0,Tab.11[[#This Row],[b10]]*_xlfn.STDEV.P(Tab.11[data]),AVERAGE(Tab.11[b6])+Tab.11[[#This Row],[b10]]*_xlfn.STDEV.P(Tab.11[data])))</f>
        <v>0</v>
      </c>
      <c r="U734" s="72" t="b">
        <f>IF(Tab.11[[#This Row],[a1]]=1,Tab.11[[#This Row],[target]]-Tab.11[[#This Row],[Red]])</f>
        <v>0</v>
      </c>
      <c r="V734" s="72" t="b">
        <f>IF(Tab.11[[#This Row],[a1]]=1,Tab.11[[#This Row],[target]]-Tab.11[[#This Row],[Blue]])</f>
        <v>0</v>
      </c>
      <c r="W734" s="73" t="b">
        <f>IF(Tab.11[[#This Row],[a1]]=1,IF(ABS(Tab.11[[#This Row],[b17]])+ABS(Tab.11[[#This Row],[b18]])&lt;$W$2,$W$2,ABS(Tab.11[[#This Row],[b17]])+ABS(Tab.11[[#This Row],[b18]])))</f>
        <v>0</v>
      </c>
      <c r="X734" s="136" t="b">
        <f>IF(Tab.11[[#This Row],[a1]]=1,IF($W$3&lt;0,Tab.11[[#This Row],[IN]]-$I$3,Tab.11[[#This Row],[IN]]))</f>
        <v>0</v>
      </c>
      <c r="Y734" s="136" t="b">
        <f>IF(Tab.11[[#This Row],[a1]]=1,IF($X$3=0,Tab.11[b66],Tab.11[[#This Row],[b66]]-AVERAGE(Tab.11[b66])))</f>
        <v>0</v>
      </c>
      <c r="Z734" s="135" t="b">
        <f>IF(Tab.11[[#This Row],[a1]]=1,Tab.11[[#This Row],[b77]]/(_xlfn.STDEV.P(Tab.11[b77])))</f>
        <v>0</v>
      </c>
      <c r="AA734" s="70" t="b">
        <f>IF(Tab.11[[#This Row],[a1]]=1,_xlfn.NORM.DIST(Tab.11[[#This Row],[b88]],$Z$1,$AA$1,FALSE))</f>
        <v>0</v>
      </c>
      <c r="AB734" s="74" t="b">
        <f>IF(Tab.11[[#This Row],[a1]]=1,IF($A$3=0,FALSE,1/Tab.11[[#This Row],[IN]]*$AC$2*IF(Tab.11[[#This Row],[a1]]=0,,$A$3*$AC$1*1/$V$3*(Tab.11[[#This Row],[b14]]))))</f>
        <v>0</v>
      </c>
      <c r="AC734" s="75" t="b">
        <f>IF(Tab.11[[#This Row],[a1]]=1,IF($AC$3=0,Tab.11[[#This Row],[φ1]],Tab.11[[#This Row],[φ1]]/MAX(Tab.11[φ1])))</f>
        <v>0</v>
      </c>
      <c r="AD734" s="74" t="b">
        <f>IF(Tab.11[[#This Row],[a1]]=1,1/Tab.11[[#This Row],[φ2]])</f>
        <v>0</v>
      </c>
      <c r="AE734" s="74" t="b">
        <f>IF(Tab.11[[#This Row],[a1]]=1,IF($AE$3=0,Tab.11[[#This Row],[w.0]],Tab.11[[#This Row],[w.0]]/SUM(Tab.11[w.0])))</f>
        <v>0</v>
      </c>
      <c r="AF734" s="76" t="str">
        <f>IF(Tab.11[[#This Row],[a1]]=0,"false",[3]!Tab.x5[[#This Row],[%_seN_C]])</f>
        <v>false</v>
      </c>
      <c r="AG734" s="77" t="b">
        <f>IF(Tab.11[[#This Row],[a1]]=1,AP734)</f>
        <v>0</v>
      </c>
      <c r="AH734" s="78" t="b">
        <f>IF(Tab.11[[#This Row],[a1]]=1,AQ734)</f>
        <v>0</v>
      </c>
      <c r="AI734" s="41">
        <v>3.0000000000000001E-3</v>
      </c>
      <c r="AJ734" s="79">
        <v>0.05</v>
      </c>
      <c r="AK734" s="80" t="b">
        <f>IF(Tab.11[[#This Row],[a1]]=1,1)</f>
        <v>0</v>
      </c>
      <c r="AL734"/>
      <c r="AM734"/>
      <c r="AN734"/>
      <c r="AO734"/>
      <c r="AP734"/>
      <c r="AQ734"/>
      <c r="AR734"/>
      <c r="AS734"/>
    </row>
    <row r="735" spans="1:45" s="81" customFormat="1" hidden="1" x14ac:dyDescent="0.25">
      <c r="A735" s="61">
        <f t="shared" si="25"/>
        <v>0</v>
      </c>
      <c r="B735" s="62">
        <f t="shared" si="25"/>
        <v>0</v>
      </c>
      <c r="C735" s="62" t="b">
        <f>IF(Tab.11[[#This Row],[a1]]=1,[3]!Tab_x1[[#This Row],[Name]])</f>
        <v>0</v>
      </c>
      <c r="D735" s="63" t="b">
        <f>IF(Tab.11[[#This Row],[a1]]=1,AO735)</f>
        <v>0</v>
      </c>
      <c r="E735" s="63">
        <f t="shared" si="24"/>
        <v>0</v>
      </c>
      <c r="F735" s="64" t="b">
        <f>IF(Tab.11[[#This Row],[a1]]=1,Tab.11[[#This Row],[b1]])</f>
        <v>0</v>
      </c>
      <c r="G735" s="65" t="b">
        <f>IF(Tab.11[[#This Row],[a1]]=1,IF(Tab.11[[#This Row],[b3]]&gt;$L$989*$G$3,$L$989*$G$3,IF(Tab.11[[#This Row],[b3]]&lt;$M$989*$G$3,$M$989*$G$3,Tab.11[[#This Row],[b3]])))</f>
        <v>0</v>
      </c>
      <c r="H735" s="66" t="b">
        <f>IF(Tab.11[[#This Row],[a1]]=1,Tab.11[[#This Row],[b1]])</f>
        <v>0</v>
      </c>
      <c r="I735" s="67" t="b">
        <f>IF(Tab.11[[#This Row],[a1]]=1,Tab.11[[#This Row],[b1]])</f>
        <v>0</v>
      </c>
      <c r="J735" s="68" t="b">
        <f>IF(Tab.11[[#This Row],[a1]]=1,IF($I$3&lt;0,Tab.11[[#This Row],[b5]]-$I$3,Tab.11[[#This Row],[b5]]))</f>
        <v>0</v>
      </c>
      <c r="K735" s="68" t="b">
        <f>IF(Tab.11[[#This Row],[a1]]=1,IF($K$3=0,Tab.11[b6],Tab.11[[#This Row],[b6]]-AVERAGE(Tab.11[b6])))</f>
        <v>0</v>
      </c>
      <c r="L735" s="69" t="b">
        <f>IF(Tab.11[[#This Row],[a1]]=1,Tab.11[[#This Row],[data]]/(_xlfn.STDEV.P(Tab.11[data])*$B$989)+$A$989)</f>
        <v>0</v>
      </c>
      <c r="M735" s="69" t="b">
        <f>IF(Tab.11[[#This Row],[a1]]=1,Tab.11[[#This Row],[data]]/(_xlfn.STDEV.P(Tab.11[data])*$B$987)-$A$987)</f>
        <v>0</v>
      </c>
      <c r="N735" s="69" t="b">
        <f>IF(Tab.11[[#This Row],[a1]]=1,Tab.11[[#This Row],[data]]/(_xlfn.STDEV.P(Tab.11[data])*$B$988)+$A$988)</f>
        <v>0</v>
      </c>
      <c r="O735" s="70" t="b">
        <f>IF(Tab.11[[#This Row],[a1]]=1,_xlfn.NORM.DIST(Tab.11[[#This Row],[b8]],$P$1,$Q$1,FALSE))</f>
        <v>0</v>
      </c>
      <c r="P735" s="70" t="b">
        <f>IF(Tab.11[[#This Row],[a1]]=1,_xlfn.NORM.DIST(Tab.11[[#This Row],[b9]],$P$1,$Q$1,FALSE))</f>
        <v>0</v>
      </c>
      <c r="Q735" s="70" t="b">
        <f>IF(Tab.11[[#This Row],[a1]]=1,_xlfn.NORM.DIST(Tab.11[[#This Row],[b10]],$P$1,$Q$1,FALSE))</f>
        <v>0</v>
      </c>
      <c r="R735" s="67" t="b">
        <f>IF(Tab.11[[#This Row],[a1]]=1,$I$3+$A$989+IF($K$3=0,Tab.11[[#This Row],[b8]]*_xlfn.STDEV.P(Tab.11[data]),AVERAGE(Tab.11[b6])+Tab.11[[#This Row],[b8]]*_xlfn.STDEV.P(Tab.11[data])))</f>
        <v>0</v>
      </c>
      <c r="S735" s="71" t="b">
        <f>IF(Tab.11[[#This Row],[a1]]=1,$I$3+$A$987+IF($K$3=0,Tab.11[[#This Row],[b9]]*_xlfn.STDEV.P(Tab.11[data]),AVERAGE(Tab.11[b6])+Tab.11[[#This Row],[b9]]*_xlfn.STDEV.P(Tab.11[data])))</f>
        <v>0</v>
      </c>
      <c r="T735" s="71" t="b">
        <f>IF(Tab.11[[#This Row],[a1]]=1,$I$3+$A$988+IF($K$3=0,Tab.11[[#This Row],[b10]]*_xlfn.STDEV.P(Tab.11[data]),AVERAGE(Tab.11[b6])+Tab.11[[#This Row],[b10]]*_xlfn.STDEV.P(Tab.11[data])))</f>
        <v>0</v>
      </c>
      <c r="U735" s="72" t="b">
        <f>IF(Tab.11[[#This Row],[a1]]=1,Tab.11[[#This Row],[target]]-Tab.11[[#This Row],[Red]])</f>
        <v>0</v>
      </c>
      <c r="V735" s="72" t="b">
        <f>IF(Tab.11[[#This Row],[a1]]=1,Tab.11[[#This Row],[target]]-Tab.11[[#This Row],[Blue]])</f>
        <v>0</v>
      </c>
      <c r="W735" s="73" t="b">
        <f>IF(Tab.11[[#This Row],[a1]]=1,IF(ABS(Tab.11[[#This Row],[b17]])+ABS(Tab.11[[#This Row],[b18]])&lt;$W$2,$W$2,ABS(Tab.11[[#This Row],[b17]])+ABS(Tab.11[[#This Row],[b18]])))</f>
        <v>0</v>
      </c>
      <c r="X735" s="136" t="b">
        <f>IF(Tab.11[[#This Row],[a1]]=1,IF($W$3&lt;0,Tab.11[[#This Row],[IN]]-$I$3,Tab.11[[#This Row],[IN]]))</f>
        <v>0</v>
      </c>
      <c r="Y735" s="136" t="b">
        <f>IF(Tab.11[[#This Row],[a1]]=1,IF($X$3=0,Tab.11[b66],Tab.11[[#This Row],[b66]]-AVERAGE(Tab.11[b66])))</f>
        <v>0</v>
      </c>
      <c r="Z735" s="135" t="b">
        <f>IF(Tab.11[[#This Row],[a1]]=1,Tab.11[[#This Row],[b77]]/(_xlfn.STDEV.P(Tab.11[b77])))</f>
        <v>0</v>
      </c>
      <c r="AA735" s="70" t="b">
        <f>IF(Tab.11[[#This Row],[a1]]=1,_xlfn.NORM.DIST(Tab.11[[#This Row],[b88]],$Z$1,$AA$1,FALSE))</f>
        <v>0</v>
      </c>
      <c r="AB735" s="74" t="b">
        <f>IF(Tab.11[[#This Row],[a1]]=1,IF($A$3=0,FALSE,1/Tab.11[[#This Row],[IN]]*$AC$2*IF(Tab.11[[#This Row],[a1]]=0,,$A$3*$AC$1*1/$V$3*(Tab.11[[#This Row],[b14]]))))</f>
        <v>0</v>
      </c>
      <c r="AC735" s="75" t="b">
        <f>IF(Tab.11[[#This Row],[a1]]=1,IF($AC$3=0,Tab.11[[#This Row],[φ1]],Tab.11[[#This Row],[φ1]]/MAX(Tab.11[φ1])))</f>
        <v>0</v>
      </c>
      <c r="AD735" s="74" t="b">
        <f>IF(Tab.11[[#This Row],[a1]]=1,1/Tab.11[[#This Row],[φ2]])</f>
        <v>0</v>
      </c>
      <c r="AE735" s="74" t="b">
        <f>IF(Tab.11[[#This Row],[a1]]=1,IF($AE$3=0,Tab.11[[#This Row],[w.0]],Tab.11[[#This Row],[w.0]]/SUM(Tab.11[w.0])))</f>
        <v>0</v>
      </c>
      <c r="AF735" s="76" t="str">
        <f>IF(Tab.11[[#This Row],[a1]]=0,"false",[3]!Tab.x5[[#This Row],[%_seN_C]])</f>
        <v>false</v>
      </c>
      <c r="AG735" s="77" t="b">
        <f>IF(Tab.11[[#This Row],[a1]]=1,AP735)</f>
        <v>0</v>
      </c>
      <c r="AH735" s="78" t="b">
        <f>IF(Tab.11[[#This Row],[a1]]=1,AQ735)</f>
        <v>0</v>
      </c>
      <c r="AI735" s="41">
        <v>3.0000000000000001E-3</v>
      </c>
      <c r="AJ735" s="79">
        <v>-0.05</v>
      </c>
      <c r="AK735" s="80" t="b">
        <f>IF(Tab.11[[#This Row],[a1]]=1,1)</f>
        <v>0</v>
      </c>
      <c r="AL735"/>
      <c r="AM735"/>
      <c r="AN735"/>
      <c r="AO735"/>
      <c r="AP735"/>
      <c r="AQ735"/>
      <c r="AR735"/>
      <c r="AS735"/>
    </row>
    <row r="736" spans="1:45" s="81" customFormat="1" hidden="1" x14ac:dyDescent="0.25">
      <c r="A736" s="61">
        <f t="shared" si="25"/>
        <v>0</v>
      </c>
      <c r="B736" s="62">
        <f t="shared" si="25"/>
        <v>0</v>
      </c>
      <c r="C736" s="62" t="b">
        <f>IF(Tab.11[[#This Row],[a1]]=1,[3]!Tab_x1[[#This Row],[Name]])</f>
        <v>0</v>
      </c>
      <c r="D736" s="63" t="b">
        <f>IF(Tab.11[[#This Row],[a1]]=1,AO736)</f>
        <v>0</v>
      </c>
      <c r="E736" s="63">
        <f t="shared" si="24"/>
        <v>0</v>
      </c>
      <c r="F736" s="64" t="b">
        <f>IF(Tab.11[[#This Row],[a1]]=1,Tab.11[[#This Row],[b1]])</f>
        <v>0</v>
      </c>
      <c r="G736" s="65" t="b">
        <f>IF(Tab.11[[#This Row],[a1]]=1,IF(Tab.11[[#This Row],[b3]]&gt;$L$989*$G$3,$L$989*$G$3,IF(Tab.11[[#This Row],[b3]]&lt;$M$989*$G$3,$M$989*$G$3,Tab.11[[#This Row],[b3]])))</f>
        <v>0</v>
      </c>
      <c r="H736" s="66" t="b">
        <f>IF(Tab.11[[#This Row],[a1]]=1,Tab.11[[#This Row],[b1]])</f>
        <v>0</v>
      </c>
      <c r="I736" s="67" t="b">
        <f>IF(Tab.11[[#This Row],[a1]]=1,Tab.11[[#This Row],[b1]])</f>
        <v>0</v>
      </c>
      <c r="J736" s="68" t="b">
        <f>IF(Tab.11[[#This Row],[a1]]=1,IF($I$3&lt;0,Tab.11[[#This Row],[b5]]-$I$3,Tab.11[[#This Row],[b5]]))</f>
        <v>0</v>
      </c>
      <c r="K736" s="68" t="b">
        <f>IF(Tab.11[[#This Row],[a1]]=1,IF($K$3=0,Tab.11[b6],Tab.11[[#This Row],[b6]]-AVERAGE(Tab.11[b6])))</f>
        <v>0</v>
      </c>
      <c r="L736" s="69" t="b">
        <f>IF(Tab.11[[#This Row],[a1]]=1,Tab.11[[#This Row],[data]]/(_xlfn.STDEV.P(Tab.11[data])*$B$989)+$A$989)</f>
        <v>0</v>
      </c>
      <c r="M736" s="69" t="b">
        <f>IF(Tab.11[[#This Row],[a1]]=1,Tab.11[[#This Row],[data]]/(_xlfn.STDEV.P(Tab.11[data])*$B$987)-$A$987)</f>
        <v>0</v>
      </c>
      <c r="N736" s="69" t="b">
        <f>IF(Tab.11[[#This Row],[a1]]=1,Tab.11[[#This Row],[data]]/(_xlfn.STDEV.P(Tab.11[data])*$B$988)+$A$988)</f>
        <v>0</v>
      </c>
      <c r="O736" s="70" t="b">
        <f>IF(Tab.11[[#This Row],[a1]]=1,_xlfn.NORM.DIST(Tab.11[[#This Row],[b8]],$P$1,$Q$1,FALSE))</f>
        <v>0</v>
      </c>
      <c r="P736" s="70" t="b">
        <f>IF(Tab.11[[#This Row],[a1]]=1,_xlfn.NORM.DIST(Tab.11[[#This Row],[b9]],$P$1,$Q$1,FALSE))</f>
        <v>0</v>
      </c>
      <c r="Q736" s="70" t="b">
        <f>IF(Tab.11[[#This Row],[a1]]=1,_xlfn.NORM.DIST(Tab.11[[#This Row],[b10]],$P$1,$Q$1,FALSE))</f>
        <v>0</v>
      </c>
      <c r="R736" s="67" t="b">
        <f>IF(Tab.11[[#This Row],[a1]]=1,$I$3+$A$989+IF($K$3=0,Tab.11[[#This Row],[b8]]*_xlfn.STDEV.P(Tab.11[data]),AVERAGE(Tab.11[b6])+Tab.11[[#This Row],[b8]]*_xlfn.STDEV.P(Tab.11[data])))</f>
        <v>0</v>
      </c>
      <c r="S736" s="71" t="b">
        <f>IF(Tab.11[[#This Row],[a1]]=1,$I$3+$A$987+IF($K$3=0,Tab.11[[#This Row],[b9]]*_xlfn.STDEV.P(Tab.11[data]),AVERAGE(Tab.11[b6])+Tab.11[[#This Row],[b9]]*_xlfn.STDEV.P(Tab.11[data])))</f>
        <v>0</v>
      </c>
      <c r="T736" s="71" t="b">
        <f>IF(Tab.11[[#This Row],[a1]]=1,$I$3+$A$988+IF($K$3=0,Tab.11[[#This Row],[b10]]*_xlfn.STDEV.P(Tab.11[data]),AVERAGE(Tab.11[b6])+Tab.11[[#This Row],[b10]]*_xlfn.STDEV.P(Tab.11[data])))</f>
        <v>0</v>
      </c>
      <c r="U736" s="72" t="b">
        <f>IF(Tab.11[[#This Row],[a1]]=1,Tab.11[[#This Row],[target]]-Tab.11[[#This Row],[Red]])</f>
        <v>0</v>
      </c>
      <c r="V736" s="72" t="b">
        <f>IF(Tab.11[[#This Row],[a1]]=1,Tab.11[[#This Row],[target]]-Tab.11[[#This Row],[Blue]])</f>
        <v>0</v>
      </c>
      <c r="W736" s="73" t="b">
        <f>IF(Tab.11[[#This Row],[a1]]=1,IF(ABS(Tab.11[[#This Row],[b17]])+ABS(Tab.11[[#This Row],[b18]])&lt;$W$2,$W$2,ABS(Tab.11[[#This Row],[b17]])+ABS(Tab.11[[#This Row],[b18]])))</f>
        <v>0</v>
      </c>
      <c r="X736" s="136" t="b">
        <f>IF(Tab.11[[#This Row],[a1]]=1,IF($W$3&lt;0,Tab.11[[#This Row],[IN]]-$I$3,Tab.11[[#This Row],[IN]]))</f>
        <v>0</v>
      </c>
      <c r="Y736" s="136" t="b">
        <f>IF(Tab.11[[#This Row],[a1]]=1,IF($X$3=0,Tab.11[b66],Tab.11[[#This Row],[b66]]-AVERAGE(Tab.11[b66])))</f>
        <v>0</v>
      </c>
      <c r="Z736" s="135" t="b">
        <f>IF(Tab.11[[#This Row],[a1]]=1,Tab.11[[#This Row],[b77]]/(_xlfn.STDEV.P(Tab.11[b77])))</f>
        <v>0</v>
      </c>
      <c r="AA736" s="70" t="b">
        <f>IF(Tab.11[[#This Row],[a1]]=1,_xlfn.NORM.DIST(Tab.11[[#This Row],[b88]],$Z$1,$AA$1,FALSE))</f>
        <v>0</v>
      </c>
      <c r="AB736" s="74" t="b">
        <f>IF(Tab.11[[#This Row],[a1]]=1,IF($A$3=0,FALSE,1/Tab.11[[#This Row],[IN]]*$AC$2*IF(Tab.11[[#This Row],[a1]]=0,,$A$3*$AC$1*1/$V$3*(Tab.11[[#This Row],[b14]]))))</f>
        <v>0</v>
      </c>
      <c r="AC736" s="75" t="b">
        <f>IF(Tab.11[[#This Row],[a1]]=1,IF($AC$3=0,Tab.11[[#This Row],[φ1]],Tab.11[[#This Row],[φ1]]/MAX(Tab.11[φ1])))</f>
        <v>0</v>
      </c>
      <c r="AD736" s="74" t="b">
        <f>IF(Tab.11[[#This Row],[a1]]=1,1/Tab.11[[#This Row],[φ2]])</f>
        <v>0</v>
      </c>
      <c r="AE736" s="74" t="b">
        <f>IF(Tab.11[[#This Row],[a1]]=1,IF($AE$3=0,Tab.11[[#This Row],[w.0]],Tab.11[[#This Row],[w.0]]/SUM(Tab.11[w.0])))</f>
        <v>0</v>
      </c>
      <c r="AF736" s="76" t="str">
        <f>IF(Tab.11[[#This Row],[a1]]=0,"false",[3]!Tab.x5[[#This Row],[%_seN_C]])</f>
        <v>false</v>
      </c>
      <c r="AG736" s="77" t="b">
        <f>IF(Tab.11[[#This Row],[a1]]=1,AP736)</f>
        <v>0</v>
      </c>
      <c r="AH736" s="78" t="b">
        <f>IF(Tab.11[[#This Row],[a1]]=1,AQ736)</f>
        <v>0</v>
      </c>
      <c r="AI736" s="41">
        <v>3.0000000000000001E-3</v>
      </c>
      <c r="AJ736" s="79">
        <v>0.09</v>
      </c>
      <c r="AK736" s="80" t="b">
        <f>IF(Tab.11[[#This Row],[a1]]=1,1)</f>
        <v>0</v>
      </c>
      <c r="AL736"/>
      <c r="AM736"/>
      <c r="AN736"/>
      <c r="AO736"/>
      <c r="AP736"/>
      <c r="AQ736"/>
      <c r="AR736"/>
      <c r="AS736"/>
    </row>
    <row r="737" spans="1:45" s="81" customFormat="1" hidden="1" x14ac:dyDescent="0.25">
      <c r="A737" s="61">
        <f t="shared" si="25"/>
        <v>0</v>
      </c>
      <c r="B737" s="62">
        <f t="shared" si="25"/>
        <v>0</v>
      </c>
      <c r="C737" s="62" t="b">
        <f>IF(Tab.11[[#This Row],[a1]]=1,[3]!Tab_x1[[#This Row],[Name]])</f>
        <v>0</v>
      </c>
      <c r="D737" s="63" t="b">
        <f>IF(Tab.11[[#This Row],[a1]]=1,AO737)</f>
        <v>0</v>
      </c>
      <c r="E737" s="63">
        <f t="shared" si="24"/>
        <v>0</v>
      </c>
      <c r="F737" s="64" t="b">
        <f>IF(Tab.11[[#This Row],[a1]]=1,Tab.11[[#This Row],[b1]])</f>
        <v>0</v>
      </c>
      <c r="G737" s="65" t="b">
        <f>IF(Tab.11[[#This Row],[a1]]=1,IF(Tab.11[[#This Row],[b3]]&gt;$L$989*$G$3,$L$989*$G$3,IF(Tab.11[[#This Row],[b3]]&lt;$M$989*$G$3,$M$989*$G$3,Tab.11[[#This Row],[b3]])))</f>
        <v>0</v>
      </c>
      <c r="H737" s="66" t="b">
        <f>IF(Tab.11[[#This Row],[a1]]=1,Tab.11[[#This Row],[b1]])</f>
        <v>0</v>
      </c>
      <c r="I737" s="67" t="b">
        <f>IF(Tab.11[[#This Row],[a1]]=1,Tab.11[[#This Row],[b1]])</f>
        <v>0</v>
      </c>
      <c r="J737" s="68" t="b">
        <f>IF(Tab.11[[#This Row],[a1]]=1,IF($I$3&lt;0,Tab.11[[#This Row],[b5]]-$I$3,Tab.11[[#This Row],[b5]]))</f>
        <v>0</v>
      </c>
      <c r="K737" s="68" t="b">
        <f>IF(Tab.11[[#This Row],[a1]]=1,IF($K$3=0,Tab.11[b6],Tab.11[[#This Row],[b6]]-AVERAGE(Tab.11[b6])))</f>
        <v>0</v>
      </c>
      <c r="L737" s="69" t="b">
        <f>IF(Tab.11[[#This Row],[a1]]=1,Tab.11[[#This Row],[data]]/(_xlfn.STDEV.P(Tab.11[data])*$B$989)+$A$989)</f>
        <v>0</v>
      </c>
      <c r="M737" s="69" t="b">
        <f>IF(Tab.11[[#This Row],[a1]]=1,Tab.11[[#This Row],[data]]/(_xlfn.STDEV.P(Tab.11[data])*$B$987)-$A$987)</f>
        <v>0</v>
      </c>
      <c r="N737" s="69" t="b">
        <f>IF(Tab.11[[#This Row],[a1]]=1,Tab.11[[#This Row],[data]]/(_xlfn.STDEV.P(Tab.11[data])*$B$988)+$A$988)</f>
        <v>0</v>
      </c>
      <c r="O737" s="70" t="b">
        <f>IF(Tab.11[[#This Row],[a1]]=1,_xlfn.NORM.DIST(Tab.11[[#This Row],[b8]],$P$1,$Q$1,FALSE))</f>
        <v>0</v>
      </c>
      <c r="P737" s="70" t="b">
        <f>IF(Tab.11[[#This Row],[a1]]=1,_xlfn.NORM.DIST(Tab.11[[#This Row],[b9]],$P$1,$Q$1,FALSE))</f>
        <v>0</v>
      </c>
      <c r="Q737" s="70" t="b">
        <f>IF(Tab.11[[#This Row],[a1]]=1,_xlfn.NORM.DIST(Tab.11[[#This Row],[b10]],$P$1,$Q$1,FALSE))</f>
        <v>0</v>
      </c>
      <c r="R737" s="67" t="b">
        <f>IF(Tab.11[[#This Row],[a1]]=1,$I$3+$A$989+IF($K$3=0,Tab.11[[#This Row],[b8]]*_xlfn.STDEV.P(Tab.11[data]),AVERAGE(Tab.11[b6])+Tab.11[[#This Row],[b8]]*_xlfn.STDEV.P(Tab.11[data])))</f>
        <v>0</v>
      </c>
      <c r="S737" s="71" t="b">
        <f>IF(Tab.11[[#This Row],[a1]]=1,$I$3+$A$987+IF($K$3=0,Tab.11[[#This Row],[b9]]*_xlfn.STDEV.P(Tab.11[data]),AVERAGE(Tab.11[b6])+Tab.11[[#This Row],[b9]]*_xlfn.STDEV.P(Tab.11[data])))</f>
        <v>0</v>
      </c>
      <c r="T737" s="71" t="b">
        <f>IF(Tab.11[[#This Row],[a1]]=1,$I$3+$A$988+IF($K$3=0,Tab.11[[#This Row],[b10]]*_xlfn.STDEV.P(Tab.11[data]),AVERAGE(Tab.11[b6])+Tab.11[[#This Row],[b10]]*_xlfn.STDEV.P(Tab.11[data])))</f>
        <v>0</v>
      </c>
      <c r="U737" s="72" t="b">
        <f>IF(Tab.11[[#This Row],[a1]]=1,Tab.11[[#This Row],[target]]-Tab.11[[#This Row],[Red]])</f>
        <v>0</v>
      </c>
      <c r="V737" s="72" t="b">
        <f>IF(Tab.11[[#This Row],[a1]]=1,Tab.11[[#This Row],[target]]-Tab.11[[#This Row],[Blue]])</f>
        <v>0</v>
      </c>
      <c r="W737" s="73" t="b">
        <f>IF(Tab.11[[#This Row],[a1]]=1,IF(ABS(Tab.11[[#This Row],[b17]])+ABS(Tab.11[[#This Row],[b18]])&lt;$W$2,$W$2,ABS(Tab.11[[#This Row],[b17]])+ABS(Tab.11[[#This Row],[b18]])))</f>
        <v>0</v>
      </c>
      <c r="X737" s="136" t="b">
        <f>IF(Tab.11[[#This Row],[a1]]=1,IF($W$3&lt;0,Tab.11[[#This Row],[IN]]-$I$3,Tab.11[[#This Row],[IN]]))</f>
        <v>0</v>
      </c>
      <c r="Y737" s="136" t="b">
        <f>IF(Tab.11[[#This Row],[a1]]=1,IF($X$3=0,Tab.11[b66],Tab.11[[#This Row],[b66]]-AVERAGE(Tab.11[b66])))</f>
        <v>0</v>
      </c>
      <c r="Z737" s="135" t="b">
        <f>IF(Tab.11[[#This Row],[a1]]=1,Tab.11[[#This Row],[b77]]/(_xlfn.STDEV.P(Tab.11[b77])))</f>
        <v>0</v>
      </c>
      <c r="AA737" s="70" t="b">
        <f>IF(Tab.11[[#This Row],[a1]]=1,_xlfn.NORM.DIST(Tab.11[[#This Row],[b88]],$Z$1,$AA$1,FALSE))</f>
        <v>0</v>
      </c>
      <c r="AB737" s="74" t="b">
        <f>IF(Tab.11[[#This Row],[a1]]=1,IF($A$3=0,FALSE,1/Tab.11[[#This Row],[IN]]*$AC$2*IF(Tab.11[[#This Row],[a1]]=0,,$A$3*$AC$1*1/$V$3*(Tab.11[[#This Row],[b14]]))))</f>
        <v>0</v>
      </c>
      <c r="AC737" s="75" t="b">
        <f>IF(Tab.11[[#This Row],[a1]]=1,IF($AC$3=0,Tab.11[[#This Row],[φ1]],Tab.11[[#This Row],[φ1]]/MAX(Tab.11[φ1])))</f>
        <v>0</v>
      </c>
      <c r="AD737" s="74" t="b">
        <f>IF(Tab.11[[#This Row],[a1]]=1,1/Tab.11[[#This Row],[φ2]])</f>
        <v>0</v>
      </c>
      <c r="AE737" s="74" t="b">
        <f>IF(Tab.11[[#This Row],[a1]]=1,IF($AE$3=0,Tab.11[[#This Row],[w.0]],Tab.11[[#This Row],[w.0]]/SUM(Tab.11[w.0])))</f>
        <v>0</v>
      </c>
      <c r="AF737" s="76" t="str">
        <f>IF(Tab.11[[#This Row],[a1]]=0,"false",[3]!Tab.x5[[#This Row],[%_seN_C]])</f>
        <v>false</v>
      </c>
      <c r="AG737" s="77" t="b">
        <f>IF(Tab.11[[#This Row],[a1]]=1,AP737)</f>
        <v>0</v>
      </c>
      <c r="AH737" s="78" t="b">
        <f>IF(Tab.11[[#This Row],[a1]]=1,AQ737)</f>
        <v>0</v>
      </c>
      <c r="AI737" s="41">
        <v>3.0000000000000001E-3</v>
      </c>
      <c r="AJ737" s="79">
        <v>-0.02</v>
      </c>
      <c r="AK737" s="80" t="b">
        <f>IF(Tab.11[[#This Row],[a1]]=1,1)</f>
        <v>0</v>
      </c>
      <c r="AL737"/>
      <c r="AM737"/>
      <c r="AN737"/>
      <c r="AO737"/>
      <c r="AP737"/>
      <c r="AQ737"/>
      <c r="AR737"/>
      <c r="AS737"/>
    </row>
    <row r="738" spans="1:45" s="81" customFormat="1" hidden="1" x14ac:dyDescent="0.25">
      <c r="A738" s="61">
        <f t="shared" si="25"/>
        <v>0</v>
      </c>
      <c r="B738" s="62">
        <f t="shared" si="25"/>
        <v>0</v>
      </c>
      <c r="C738" s="62" t="b">
        <f>IF(Tab.11[[#This Row],[a1]]=1,[3]!Tab_x1[[#This Row],[Name]])</f>
        <v>0</v>
      </c>
      <c r="D738" s="63" t="b">
        <f>IF(Tab.11[[#This Row],[a1]]=1,AO738)</f>
        <v>0</v>
      </c>
      <c r="E738" s="63">
        <f t="shared" si="24"/>
        <v>0</v>
      </c>
      <c r="F738" s="64" t="b">
        <f>IF(Tab.11[[#This Row],[a1]]=1,Tab.11[[#This Row],[b1]])</f>
        <v>0</v>
      </c>
      <c r="G738" s="65" t="b">
        <f>IF(Tab.11[[#This Row],[a1]]=1,IF(Tab.11[[#This Row],[b3]]&gt;$L$989*$G$3,$L$989*$G$3,IF(Tab.11[[#This Row],[b3]]&lt;$M$989*$G$3,$M$989*$G$3,Tab.11[[#This Row],[b3]])))</f>
        <v>0</v>
      </c>
      <c r="H738" s="66" t="b">
        <f>IF(Tab.11[[#This Row],[a1]]=1,Tab.11[[#This Row],[b1]])</f>
        <v>0</v>
      </c>
      <c r="I738" s="67" t="b">
        <f>IF(Tab.11[[#This Row],[a1]]=1,Tab.11[[#This Row],[b1]])</f>
        <v>0</v>
      </c>
      <c r="J738" s="68" t="b">
        <f>IF(Tab.11[[#This Row],[a1]]=1,IF($I$3&lt;0,Tab.11[[#This Row],[b5]]-$I$3,Tab.11[[#This Row],[b5]]))</f>
        <v>0</v>
      </c>
      <c r="K738" s="68" t="b">
        <f>IF(Tab.11[[#This Row],[a1]]=1,IF($K$3=0,Tab.11[b6],Tab.11[[#This Row],[b6]]-AVERAGE(Tab.11[b6])))</f>
        <v>0</v>
      </c>
      <c r="L738" s="69" t="b">
        <f>IF(Tab.11[[#This Row],[a1]]=1,Tab.11[[#This Row],[data]]/(_xlfn.STDEV.P(Tab.11[data])*$B$989)+$A$989)</f>
        <v>0</v>
      </c>
      <c r="M738" s="69" t="b">
        <f>IF(Tab.11[[#This Row],[a1]]=1,Tab.11[[#This Row],[data]]/(_xlfn.STDEV.P(Tab.11[data])*$B$987)-$A$987)</f>
        <v>0</v>
      </c>
      <c r="N738" s="69" t="b">
        <f>IF(Tab.11[[#This Row],[a1]]=1,Tab.11[[#This Row],[data]]/(_xlfn.STDEV.P(Tab.11[data])*$B$988)+$A$988)</f>
        <v>0</v>
      </c>
      <c r="O738" s="70" t="b">
        <f>IF(Tab.11[[#This Row],[a1]]=1,_xlfn.NORM.DIST(Tab.11[[#This Row],[b8]],$P$1,$Q$1,FALSE))</f>
        <v>0</v>
      </c>
      <c r="P738" s="70" t="b">
        <f>IF(Tab.11[[#This Row],[a1]]=1,_xlfn.NORM.DIST(Tab.11[[#This Row],[b9]],$P$1,$Q$1,FALSE))</f>
        <v>0</v>
      </c>
      <c r="Q738" s="70" t="b">
        <f>IF(Tab.11[[#This Row],[a1]]=1,_xlfn.NORM.DIST(Tab.11[[#This Row],[b10]],$P$1,$Q$1,FALSE))</f>
        <v>0</v>
      </c>
      <c r="R738" s="67" t="b">
        <f>IF(Tab.11[[#This Row],[a1]]=1,$I$3+$A$989+IF($K$3=0,Tab.11[[#This Row],[b8]]*_xlfn.STDEV.P(Tab.11[data]),AVERAGE(Tab.11[b6])+Tab.11[[#This Row],[b8]]*_xlfn.STDEV.P(Tab.11[data])))</f>
        <v>0</v>
      </c>
      <c r="S738" s="71" t="b">
        <f>IF(Tab.11[[#This Row],[a1]]=1,$I$3+$A$987+IF($K$3=0,Tab.11[[#This Row],[b9]]*_xlfn.STDEV.P(Tab.11[data]),AVERAGE(Tab.11[b6])+Tab.11[[#This Row],[b9]]*_xlfn.STDEV.P(Tab.11[data])))</f>
        <v>0</v>
      </c>
      <c r="T738" s="71" t="b">
        <f>IF(Tab.11[[#This Row],[a1]]=1,$I$3+$A$988+IF($K$3=0,Tab.11[[#This Row],[b10]]*_xlfn.STDEV.P(Tab.11[data]),AVERAGE(Tab.11[b6])+Tab.11[[#This Row],[b10]]*_xlfn.STDEV.P(Tab.11[data])))</f>
        <v>0</v>
      </c>
      <c r="U738" s="72" t="b">
        <f>IF(Tab.11[[#This Row],[a1]]=1,Tab.11[[#This Row],[target]]-Tab.11[[#This Row],[Red]])</f>
        <v>0</v>
      </c>
      <c r="V738" s="72" t="b">
        <f>IF(Tab.11[[#This Row],[a1]]=1,Tab.11[[#This Row],[target]]-Tab.11[[#This Row],[Blue]])</f>
        <v>0</v>
      </c>
      <c r="W738" s="73" t="b">
        <f>IF(Tab.11[[#This Row],[a1]]=1,IF(ABS(Tab.11[[#This Row],[b17]])+ABS(Tab.11[[#This Row],[b18]])&lt;$W$2,$W$2,ABS(Tab.11[[#This Row],[b17]])+ABS(Tab.11[[#This Row],[b18]])))</f>
        <v>0</v>
      </c>
      <c r="X738" s="136" t="b">
        <f>IF(Tab.11[[#This Row],[a1]]=1,IF($W$3&lt;0,Tab.11[[#This Row],[IN]]-$I$3,Tab.11[[#This Row],[IN]]))</f>
        <v>0</v>
      </c>
      <c r="Y738" s="136" t="b">
        <f>IF(Tab.11[[#This Row],[a1]]=1,IF($X$3=0,Tab.11[b66],Tab.11[[#This Row],[b66]]-AVERAGE(Tab.11[b66])))</f>
        <v>0</v>
      </c>
      <c r="Z738" s="135" t="b">
        <f>IF(Tab.11[[#This Row],[a1]]=1,Tab.11[[#This Row],[b77]]/(_xlfn.STDEV.P(Tab.11[b77])))</f>
        <v>0</v>
      </c>
      <c r="AA738" s="70" t="b">
        <f>IF(Tab.11[[#This Row],[a1]]=1,_xlfn.NORM.DIST(Tab.11[[#This Row],[b88]],$Z$1,$AA$1,FALSE))</f>
        <v>0</v>
      </c>
      <c r="AB738" s="74" t="b">
        <f>IF(Tab.11[[#This Row],[a1]]=1,IF($A$3=0,FALSE,1/Tab.11[[#This Row],[IN]]*$AC$2*IF(Tab.11[[#This Row],[a1]]=0,,$A$3*$AC$1*1/$V$3*(Tab.11[[#This Row],[b14]]))))</f>
        <v>0</v>
      </c>
      <c r="AC738" s="75" t="b">
        <f>IF(Tab.11[[#This Row],[a1]]=1,IF($AC$3=0,Tab.11[[#This Row],[φ1]],Tab.11[[#This Row],[φ1]]/MAX(Tab.11[φ1])))</f>
        <v>0</v>
      </c>
      <c r="AD738" s="74" t="b">
        <f>IF(Tab.11[[#This Row],[a1]]=1,1/Tab.11[[#This Row],[φ2]])</f>
        <v>0</v>
      </c>
      <c r="AE738" s="74" t="b">
        <f>IF(Tab.11[[#This Row],[a1]]=1,IF($AE$3=0,Tab.11[[#This Row],[w.0]],Tab.11[[#This Row],[w.0]]/SUM(Tab.11[w.0])))</f>
        <v>0</v>
      </c>
      <c r="AF738" s="76" t="str">
        <f>IF(Tab.11[[#This Row],[a1]]=0,"false",[3]!Tab.x5[[#This Row],[%_seN_C]])</f>
        <v>false</v>
      </c>
      <c r="AG738" s="77" t="b">
        <f>IF(Tab.11[[#This Row],[a1]]=1,AP738)</f>
        <v>0</v>
      </c>
      <c r="AH738" s="78" t="b">
        <f>IF(Tab.11[[#This Row],[a1]]=1,AQ738)</f>
        <v>0</v>
      </c>
      <c r="AI738" s="41">
        <v>3.0000000000000001E-3</v>
      </c>
      <c r="AJ738" s="79">
        <v>-0.02</v>
      </c>
      <c r="AK738" s="80" t="b">
        <f>IF(Tab.11[[#This Row],[a1]]=1,1)</f>
        <v>0</v>
      </c>
      <c r="AL738"/>
      <c r="AM738"/>
      <c r="AN738"/>
      <c r="AO738"/>
      <c r="AP738"/>
      <c r="AQ738"/>
      <c r="AR738"/>
      <c r="AS738"/>
    </row>
    <row r="739" spans="1:45" s="81" customFormat="1" hidden="1" x14ac:dyDescent="0.25">
      <c r="A739" s="61">
        <f t="shared" si="25"/>
        <v>0</v>
      </c>
      <c r="B739" s="62">
        <f t="shared" si="25"/>
        <v>0</v>
      </c>
      <c r="C739" s="62" t="b">
        <f>IF(Tab.11[[#This Row],[a1]]=1,[3]!Tab_x1[[#This Row],[Name]])</f>
        <v>0</v>
      </c>
      <c r="D739" s="63" t="b">
        <f>IF(Tab.11[[#This Row],[a1]]=1,AO739)</f>
        <v>0</v>
      </c>
      <c r="E739" s="63">
        <f t="shared" si="24"/>
        <v>0</v>
      </c>
      <c r="F739" s="64" t="b">
        <f>IF(Tab.11[[#This Row],[a1]]=1,Tab.11[[#This Row],[b1]])</f>
        <v>0</v>
      </c>
      <c r="G739" s="65" t="b">
        <f>IF(Tab.11[[#This Row],[a1]]=1,IF(Tab.11[[#This Row],[b3]]&gt;$L$989*$G$3,$L$989*$G$3,IF(Tab.11[[#This Row],[b3]]&lt;$M$989*$G$3,$M$989*$G$3,Tab.11[[#This Row],[b3]])))</f>
        <v>0</v>
      </c>
      <c r="H739" s="66" t="b">
        <f>IF(Tab.11[[#This Row],[a1]]=1,Tab.11[[#This Row],[b1]])</f>
        <v>0</v>
      </c>
      <c r="I739" s="67" t="b">
        <f>IF(Tab.11[[#This Row],[a1]]=1,Tab.11[[#This Row],[b1]])</f>
        <v>0</v>
      </c>
      <c r="J739" s="68" t="b">
        <f>IF(Tab.11[[#This Row],[a1]]=1,IF($I$3&lt;0,Tab.11[[#This Row],[b5]]-$I$3,Tab.11[[#This Row],[b5]]))</f>
        <v>0</v>
      </c>
      <c r="K739" s="68" t="b">
        <f>IF(Tab.11[[#This Row],[a1]]=1,IF($K$3=0,Tab.11[b6],Tab.11[[#This Row],[b6]]-AVERAGE(Tab.11[b6])))</f>
        <v>0</v>
      </c>
      <c r="L739" s="69" t="b">
        <f>IF(Tab.11[[#This Row],[a1]]=1,Tab.11[[#This Row],[data]]/(_xlfn.STDEV.P(Tab.11[data])*$B$989)+$A$989)</f>
        <v>0</v>
      </c>
      <c r="M739" s="69" t="b">
        <f>IF(Tab.11[[#This Row],[a1]]=1,Tab.11[[#This Row],[data]]/(_xlfn.STDEV.P(Tab.11[data])*$B$987)-$A$987)</f>
        <v>0</v>
      </c>
      <c r="N739" s="69" t="b">
        <f>IF(Tab.11[[#This Row],[a1]]=1,Tab.11[[#This Row],[data]]/(_xlfn.STDEV.P(Tab.11[data])*$B$988)+$A$988)</f>
        <v>0</v>
      </c>
      <c r="O739" s="70" t="b">
        <f>IF(Tab.11[[#This Row],[a1]]=1,_xlfn.NORM.DIST(Tab.11[[#This Row],[b8]],$P$1,$Q$1,FALSE))</f>
        <v>0</v>
      </c>
      <c r="P739" s="70" t="b">
        <f>IF(Tab.11[[#This Row],[a1]]=1,_xlfn.NORM.DIST(Tab.11[[#This Row],[b9]],$P$1,$Q$1,FALSE))</f>
        <v>0</v>
      </c>
      <c r="Q739" s="70" t="b">
        <f>IF(Tab.11[[#This Row],[a1]]=1,_xlfn.NORM.DIST(Tab.11[[#This Row],[b10]],$P$1,$Q$1,FALSE))</f>
        <v>0</v>
      </c>
      <c r="R739" s="67" t="b">
        <f>IF(Tab.11[[#This Row],[a1]]=1,$I$3+$A$989+IF($K$3=0,Tab.11[[#This Row],[b8]]*_xlfn.STDEV.P(Tab.11[data]),AVERAGE(Tab.11[b6])+Tab.11[[#This Row],[b8]]*_xlfn.STDEV.P(Tab.11[data])))</f>
        <v>0</v>
      </c>
      <c r="S739" s="71" t="b">
        <f>IF(Tab.11[[#This Row],[a1]]=1,$I$3+$A$987+IF($K$3=0,Tab.11[[#This Row],[b9]]*_xlfn.STDEV.P(Tab.11[data]),AVERAGE(Tab.11[b6])+Tab.11[[#This Row],[b9]]*_xlfn.STDEV.P(Tab.11[data])))</f>
        <v>0</v>
      </c>
      <c r="T739" s="71" t="b">
        <f>IF(Tab.11[[#This Row],[a1]]=1,$I$3+$A$988+IF($K$3=0,Tab.11[[#This Row],[b10]]*_xlfn.STDEV.P(Tab.11[data]),AVERAGE(Tab.11[b6])+Tab.11[[#This Row],[b10]]*_xlfn.STDEV.P(Tab.11[data])))</f>
        <v>0</v>
      </c>
      <c r="U739" s="72" t="b">
        <f>IF(Tab.11[[#This Row],[a1]]=1,Tab.11[[#This Row],[target]]-Tab.11[[#This Row],[Red]])</f>
        <v>0</v>
      </c>
      <c r="V739" s="72" t="b">
        <f>IF(Tab.11[[#This Row],[a1]]=1,Tab.11[[#This Row],[target]]-Tab.11[[#This Row],[Blue]])</f>
        <v>0</v>
      </c>
      <c r="W739" s="73" t="b">
        <f>IF(Tab.11[[#This Row],[a1]]=1,IF(ABS(Tab.11[[#This Row],[b17]])+ABS(Tab.11[[#This Row],[b18]])&lt;$W$2,$W$2,ABS(Tab.11[[#This Row],[b17]])+ABS(Tab.11[[#This Row],[b18]])))</f>
        <v>0</v>
      </c>
      <c r="X739" s="136" t="b">
        <f>IF(Tab.11[[#This Row],[a1]]=1,IF($W$3&lt;0,Tab.11[[#This Row],[IN]]-$I$3,Tab.11[[#This Row],[IN]]))</f>
        <v>0</v>
      </c>
      <c r="Y739" s="136" t="b">
        <f>IF(Tab.11[[#This Row],[a1]]=1,IF($X$3=0,Tab.11[b66],Tab.11[[#This Row],[b66]]-AVERAGE(Tab.11[b66])))</f>
        <v>0</v>
      </c>
      <c r="Z739" s="135" t="b">
        <f>IF(Tab.11[[#This Row],[a1]]=1,Tab.11[[#This Row],[b77]]/(_xlfn.STDEV.P(Tab.11[b77])))</f>
        <v>0</v>
      </c>
      <c r="AA739" s="70" t="b">
        <f>IF(Tab.11[[#This Row],[a1]]=1,_xlfn.NORM.DIST(Tab.11[[#This Row],[b88]],$Z$1,$AA$1,FALSE))</f>
        <v>0</v>
      </c>
      <c r="AB739" s="74" t="b">
        <f>IF(Tab.11[[#This Row],[a1]]=1,IF($A$3=0,FALSE,1/Tab.11[[#This Row],[IN]]*$AC$2*IF(Tab.11[[#This Row],[a1]]=0,,$A$3*$AC$1*1/$V$3*(Tab.11[[#This Row],[b14]]))))</f>
        <v>0</v>
      </c>
      <c r="AC739" s="75" t="b">
        <f>IF(Tab.11[[#This Row],[a1]]=1,IF($AC$3=0,Tab.11[[#This Row],[φ1]],Tab.11[[#This Row],[φ1]]/MAX(Tab.11[φ1])))</f>
        <v>0</v>
      </c>
      <c r="AD739" s="74" t="b">
        <f>IF(Tab.11[[#This Row],[a1]]=1,1/Tab.11[[#This Row],[φ2]])</f>
        <v>0</v>
      </c>
      <c r="AE739" s="74" t="b">
        <f>IF(Tab.11[[#This Row],[a1]]=1,IF($AE$3=0,Tab.11[[#This Row],[w.0]],Tab.11[[#This Row],[w.0]]/SUM(Tab.11[w.0])))</f>
        <v>0</v>
      </c>
      <c r="AF739" s="76" t="str">
        <f>IF(Tab.11[[#This Row],[a1]]=0,"false",[3]!Tab.x5[[#This Row],[%_seN_C]])</f>
        <v>false</v>
      </c>
      <c r="AG739" s="77" t="b">
        <f>IF(Tab.11[[#This Row],[a1]]=1,AP739)</f>
        <v>0</v>
      </c>
      <c r="AH739" s="78" t="b">
        <f>IF(Tab.11[[#This Row],[a1]]=1,AQ739)</f>
        <v>0</v>
      </c>
      <c r="AI739" s="41">
        <v>3.0000000000000001E-3</v>
      </c>
      <c r="AJ739" s="79">
        <v>0.03</v>
      </c>
      <c r="AK739" s="80" t="b">
        <f>IF(Tab.11[[#This Row],[a1]]=1,1)</f>
        <v>0</v>
      </c>
      <c r="AL739"/>
      <c r="AM739"/>
      <c r="AN739"/>
      <c r="AO739"/>
      <c r="AP739"/>
      <c r="AQ739"/>
      <c r="AR739"/>
      <c r="AS739"/>
    </row>
    <row r="740" spans="1:45" s="81" customFormat="1" hidden="1" x14ac:dyDescent="0.25">
      <c r="A740" s="61">
        <f t="shared" si="25"/>
        <v>0</v>
      </c>
      <c r="B740" s="62">
        <f t="shared" si="25"/>
        <v>0</v>
      </c>
      <c r="C740" s="62" t="b">
        <f>IF(Tab.11[[#This Row],[a1]]=1,[3]!Tab_x1[[#This Row],[Name]])</f>
        <v>0</v>
      </c>
      <c r="D740" s="63" t="b">
        <f>IF(Tab.11[[#This Row],[a1]]=1,AO740)</f>
        <v>0</v>
      </c>
      <c r="E740" s="63">
        <f t="shared" si="24"/>
        <v>0</v>
      </c>
      <c r="F740" s="64" t="b">
        <f>IF(Tab.11[[#This Row],[a1]]=1,Tab.11[[#This Row],[b1]])</f>
        <v>0</v>
      </c>
      <c r="G740" s="65" t="b">
        <f>IF(Tab.11[[#This Row],[a1]]=1,IF(Tab.11[[#This Row],[b3]]&gt;$L$989*$G$3,$L$989*$G$3,IF(Tab.11[[#This Row],[b3]]&lt;$M$989*$G$3,$M$989*$G$3,Tab.11[[#This Row],[b3]])))</f>
        <v>0</v>
      </c>
      <c r="H740" s="66" t="b">
        <f>IF(Tab.11[[#This Row],[a1]]=1,Tab.11[[#This Row],[b1]])</f>
        <v>0</v>
      </c>
      <c r="I740" s="67" t="b">
        <f>IF(Tab.11[[#This Row],[a1]]=1,Tab.11[[#This Row],[b1]])</f>
        <v>0</v>
      </c>
      <c r="J740" s="68" t="b">
        <f>IF(Tab.11[[#This Row],[a1]]=1,IF($I$3&lt;0,Tab.11[[#This Row],[b5]]-$I$3,Tab.11[[#This Row],[b5]]))</f>
        <v>0</v>
      </c>
      <c r="K740" s="68" t="b">
        <f>IF(Tab.11[[#This Row],[a1]]=1,IF($K$3=0,Tab.11[b6],Tab.11[[#This Row],[b6]]-AVERAGE(Tab.11[b6])))</f>
        <v>0</v>
      </c>
      <c r="L740" s="69" t="b">
        <f>IF(Tab.11[[#This Row],[a1]]=1,Tab.11[[#This Row],[data]]/(_xlfn.STDEV.P(Tab.11[data])*$B$989)+$A$989)</f>
        <v>0</v>
      </c>
      <c r="M740" s="69" t="b">
        <f>IF(Tab.11[[#This Row],[a1]]=1,Tab.11[[#This Row],[data]]/(_xlfn.STDEV.P(Tab.11[data])*$B$987)-$A$987)</f>
        <v>0</v>
      </c>
      <c r="N740" s="69" t="b">
        <f>IF(Tab.11[[#This Row],[a1]]=1,Tab.11[[#This Row],[data]]/(_xlfn.STDEV.P(Tab.11[data])*$B$988)+$A$988)</f>
        <v>0</v>
      </c>
      <c r="O740" s="70" t="b">
        <f>IF(Tab.11[[#This Row],[a1]]=1,_xlfn.NORM.DIST(Tab.11[[#This Row],[b8]],$P$1,$Q$1,FALSE))</f>
        <v>0</v>
      </c>
      <c r="P740" s="70" t="b">
        <f>IF(Tab.11[[#This Row],[a1]]=1,_xlfn.NORM.DIST(Tab.11[[#This Row],[b9]],$P$1,$Q$1,FALSE))</f>
        <v>0</v>
      </c>
      <c r="Q740" s="70" t="b">
        <f>IF(Tab.11[[#This Row],[a1]]=1,_xlfn.NORM.DIST(Tab.11[[#This Row],[b10]],$P$1,$Q$1,FALSE))</f>
        <v>0</v>
      </c>
      <c r="R740" s="67" t="b">
        <f>IF(Tab.11[[#This Row],[a1]]=1,$I$3+$A$989+IF($K$3=0,Tab.11[[#This Row],[b8]]*_xlfn.STDEV.P(Tab.11[data]),AVERAGE(Tab.11[b6])+Tab.11[[#This Row],[b8]]*_xlfn.STDEV.P(Tab.11[data])))</f>
        <v>0</v>
      </c>
      <c r="S740" s="71" t="b">
        <f>IF(Tab.11[[#This Row],[a1]]=1,$I$3+$A$987+IF($K$3=0,Tab.11[[#This Row],[b9]]*_xlfn.STDEV.P(Tab.11[data]),AVERAGE(Tab.11[b6])+Tab.11[[#This Row],[b9]]*_xlfn.STDEV.P(Tab.11[data])))</f>
        <v>0</v>
      </c>
      <c r="T740" s="71" t="b">
        <f>IF(Tab.11[[#This Row],[a1]]=1,$I$3+$A$988+IF($K$3=0,Tab.11[[#This Row],[b10]]*_xlfn.STDEV.P(Tab.11[data]),AVERAGE(Tab.11[b6])+Tab.11[[#This Row],[b10]]*_xlfn.STDEV.P(Tab.11[data])))</f>
        <v>0</v>
      </c>
      <c r="U740" s="72" t="b">
        <f>IF(Tab.11[[#This Row],[a1]]=1,Tab.11[[#This Row],[target]]-Tab.11[[#This Row],[Red]])</f>
        <v>0</v>
      </c>
      <c r="V740" s="72" t="b">
        <f>IF(Tab.11[[#This Row],[a1]]=1,Tab.11[[#This Row],[target]]-Tab.11[[#This Row],[Blue]])</f>
        <v>0</v>
      </c>
      <c r="W740" s="73" t="b">
        <f>IF(Tab.11[[#This Row],[a1]]=1,IF(ABS(Tab.11[[#This Row],[b17]])+ABS(Tab.11[[#This Row],[b18]])&lt;$W$2,$W$2,ABS(Tab.11[[#This Row],[b17]])+ABS(Tab.11[[#This Row],[b18]])))</f>
        <v>0</v>
      </c>
      <c r="X740" s="136" t="b">
        <f>IF(Tab.11[[#This Row],[a1]]=1,IF($W$3&lt;0,Tab.11[[#This Row],[IN]]-$I$3,Tab.11[[#This Row],[IN]]))</f>
        <v>0</v>
      </c>
      <c r="Y740" s="136" t="b">
        <f>IF(Tab.11[[#This Row],[a1]]=1,IF($X$3=0,Tab.11[b66],Tab.11[[#This Row],[b66]]-AVERAGE(Tab.11[b66])))</f>
        <v>0</v>
      </c>
      <c r="Z740" s="135" t="b">
        <f>IF(Tab.11[[#This Row],[a1]]=1,Tab.11[[#This Row],[b77]]/(_xlfn.STDEV.P(Tab.11[b77])))</f>
        <v>0</v>
      </c>
      <c r="AA740" s="70" t="b">
        <f>IF(Tab.11[[#This Row],[a1]]=1,_xlfn.NORM.DIST(Tab.11[[#This Row],[b88]],$Z$1,$AA$1,FALSE))</f>
        <v>0</v>
      </c>
      <c r="AB740" s="74" t="b">
        <f>IF(Tab.11[[#This Row],[a1]]=1,IF($A$3=0,FALSE,1/Tab.11[[#This Row],[IN]]*$AC$2*IF(Tab.11[[#This Row],[a1]]=0,,$A$3*$AC$1*1/$V$3*(Tab.11[[#This Row],[b14]]))))</f>
        <v>0</v>
      </c>
      <c r="AC740" s="75" t="b">
        <f>IF(Tab.11[[#This Row],[a1]]=1,IF($AC$3=0,Tab.11[[#This Row],[φ1]],Tab.11[[#This Row],[φ1]]/MAX(Tab.11[φ1])))</f>
        <v>0</v>
      </c>
      <c r="AD740" s="74" t="b">
        <f>IF(Tab.11[[#This Row],[a1]]=1,1/Tab.11[[#This Row],[φ2]])</f>
        <v>0</v>
      </c>
      <c r="AE740" s="74" t="b">
        <f>IF(Tab.11[[#This Row],[a1]]=1,IF($AE$3=0,Tab.11[[#This Row],[w.0]],Tab.11[[#This Row],[w.0]]/SUM(Tab.11[w.0])))</f>
        <v>0</v>
      </c>
      <c r="AF740" s="76" t="str">
        <f>IF(Tab.11[[#This Row],[a1]]=0,"false",[3]!Tab.x5[[#This Row],[%_seN_C]])</f>
        <v>false</v>
      </c>
      <c r="AG740" s="77" t="b">
        <f>IF(Tab.11[[#This Row],[a1]]=1,AP740)</f>
        <v>0</v>
      </c>
      <c r="AH740" s="78" t="b">
        <f>IF(Tab.11[[#This Row],[a1]]=1,AQ740)</f>
        <v>0</v>
      </c>
      <c r="AI740" s="41">
        <v>3.0000000000000001E-3</v>
      </c>
      <c r="AJ740" s="79">
        <v>-0.01</v>
      </c>
      <c r="AK740" s="80" t="b">
        <f>IF(Tab.11[[#This Row],[a1]]=1,1)</f>
        <v>0</v>
      </c>
      <c r="AL740"/>
      <c r="AM740"/>
      <c r="AN740"/>
      <c r="AO740"/>
      <c r="AP740"/>
      <c r="AQ740"/>
      <c r="AR740"/>
      <c r="AS740"/>
    </row>
    <row r="741" spans="1:45" s="81" customFormat="1" hidden="1" x14ac:dyDescent="0.25">
      <c r="A741" s="61">
        <f t="shared" si="25"/>
        <v>0</v>
      </c>
      <c r="B741" s="62">
        <f t="shared" si="25"/>
        <v>0</v>
      </c>
      <c r="C741" s="62" t="b">
        <f>IF(Tab.11[[#This Row],[a1]]=1,[3]!Tab_x1[[#This Row],[Name]])</f>
        <v>0</v>
      </c>
      <c r="D741" s="63" t="b">
        <f>IF(Tab.11[[#This Row],[a1]]=1,AO741)</f>
        <v>0</v>
      </c>
      <c r="E741" s="63">
        <f t="shared" si="24"/>
        <v>0</v>
      </c>
      <c r="F741" s="64" t="b">
        <f>IF(Tab.11[[#This Row],[a1]]=1,Tab.11[[#This Row],[b1]])</f>
        <v>0</v>
      </c>
      <c r="G741" s="65" t="b">
        <f>IF(Tab.11[[#This Row],[a1]]=1,IF(Tab.11[[#This Row],[b3]]&gt;$L$989*$G$3,$L$989*$G$3,IF(Tab.11[[#This Row],[b3]]&lt;$M$989*$G$3,$M$989*$G$3,Tab.11[[#This Row],[b3]])))</f>
        <v>0</v>
      </c>
      <c r="H741" s="66" t="b">
        <f>IF(Tab.11[[#This Row],[a1]]=1,Tab.11[[#This Row],[b1]])</f>
        <v>0</v>
      </c>
      <c r="I741" s="67" t="b">
        <f>IF(Tab.11[[#This Row],[a1]]=1,Tab.11[[#This Row],[b1]])</f>
        <v>0</v>
      </c>
      <c r="J741" s="68" t="b">
        <f>IF(Tab.11[[#This Row],[a1]]=1,IF($I$3&lt;0,Tab.11[[#This Row],[b5]]-$I$3,Tab.11[[#This Row],[b5]]))</f>
        <v>0</v>
      </c>
      <c r="K741" s="68" t="b">
        <f>IF(Tab.11[[#This Row],[a1]]=1,IF($K$3=0,Tab.11[b6],Tab.11[[#This Row],[b6]]-AVERAGE(Tab.11[b6])))</f>
        <v>0</v>
      </c>
      <c r="L741" s="69" t="b">
        <f>IF(Tab.11[[#This Row],[a1]]=1,Tab.11[[#This Row],[data]]/(_xlfn.STDEV.P(Tab.11[data])*$B$989)+$A$989)</f>
        <v>0</v>
      </c>
      <c r="M741" s="69" t="b">
        <f>IF(Tab.11[[#This Row],[a1]]=1,Tab.11[[#This Row],[data]]/(_xlfn.STDEV.P(Tab.11[data])*$B$987)-$A$987)</f>
        <v>0</v>
      </c>
      <c r="N741" s="69" t="b">
        <f>IF(Tab.11[[#This Row],[a1]]=1,Tab.11[[#This Row],[data]]/(_xlfn.STDEV.P(Tab.11[data])*$B$988)+$A$988)</f>
        <v>0</v>
      </c>
      <c r="O741" s="70" t="b">
        <f>IF(Tab.11[[#This Row],[a1]]=1,_xlfn.NORM.DIST(Tab.11[[#This Row],[b8]],$P$1,$Q$1,FALSE))</f>
        <v>0</v>
      </c>
      <c r="P741" s="70" t="b">
        <f>IF(Tab.11[[#This Row],[a1]]=1,_xlfn.NORM.DIST(Tab.11[[#This Row],[b9]],$P$1,$Q$1,FALSE))</f>
        <v>0</v>
      </c>
      <c r="Q741" s="70" t="b">
        <f>IF(Tab.11[[#This Row],[a1]]=1,_xlfn.NORM.DIST(Tab.11[[#This Row],[b10]],$P$1,$Q$1,FALSE))</f>
        <v>0</v>
      </c>
      <c r="R741" s="67" t="b">
        <f>IF(Tab.11[[#This Row],[a1]]=1,$I$3+$A$989+IF($K$3=0,Tab.11[[#This Row],[b8]]*_xlfn.STDEV.P(Tab.11[data]),AVERAGE(Tab.11[b6])+Tab.11[[#This Row],[b8]]*_xlfn.STDEV.P(Tab.11[data])))</f>
        <v>0</v>
      </c>
      <c r="S741" s="71" t="b">
        <f>IF(Tab.11[[#This Row],[a1]]=1,$I$3+$A$987+IF($K$3=0,Tab.11[[#This Row],[b9]]*_xlfn.STDEV.P(Tab.11[data]),AVERAGE(Tab.11[b6])+Tab.11[[#This Row],[b9]]*_xlfn.STDEV.P(Tab.11[data])))</f>
        <v>0</v>
      </c>
      <c r="T741" s="71" t="b">
        <f>IF(Tab.11[[#This Row],[a1]]=1,$I$3+$A$988+IF($K$3=0,Tab.11[[#This Row],[b10]]*_xlfn.STDEV.P(Tab.11[data]),AVERAGE(Tab.11[b6])+Tab.11[[#This Row],[b10]]*_xlfn.STDEV.P(Tab.11[data])))</f>
        <v>0</v>
      </c>
      <c r="U741" s="72" t="b">
        <f>IF(Tab.11[[#This Row],[a1]]=1,Tab.11[[#This Row],[target]]-Tab.11[[#This Row],[Red]])</f>
        <v>0</v>
      </c>
      <c r="V741" s="72" t="b">
        <f>IF(Tab.11[[#This Row],[a1]]=1,Tab.11[[#This Row],[target]]-Tab.11[[#This Row],[Blue]])</f>
        <v>0</v>
      </c>
      <c r="W741" s="73" t="b">
        <f>IF(Tab.11[[#This Row],[a1]]=1,IF(ABS(Tab.11[[#This Row],[b17]])+ABS(Tab.11[[#This Row],[b18]])&lt;$W$2,$W$2,ABS(Tab.11[[#This Row],[b17]])+ABS(Tab.11[[#This Row],[b18]])))</f>
        <v>0</v>
      </c>
      <c r="X741" s="136" t="b">
        <f>IF(Tab.11[[#This Row],[a1]]=1,IF($W$3&lt;0,Tab.11[[#This Row],[IN]]-$I$3,Tab.11[[#This Row],[IN]]))</f>
        <v>0</v>
      </c>
      <c r="Y741" s="136" t="b">
        <f>IF(Tab.11[[#This Row],[a1]]=1,IF($X$3=0,Tab.11[b66],Tab.11[[#This Row],[b66]]-AVERAGE(Tab.11[b66])))</f>
        <v>0</v>
      </c>
      <c r="Z741" s="135" t="b">
        <f>IF(Tab.11[[#This Row],[a1]]=1,Tab.11[[#This Row],[b77]]/(_xlfn.STDEV.P(Tab.11[b77])))</f>
        <v>0</v>
      </c>
      <c r="AA741" s="70" t="b">
        <f>IF(Tab.11[[#This Row],[a1]]=1,_xlfn.NORM.DIST(Tab.11[[#This Row],[b88]],$Z$1,$AA$1,FALSE))</f>
        <v>0</v>
      </c>
      <c r="AB741" s="74" t="b">
        <f>IF(Tab.11[[#This Row],[a1]]=1,IF($A$3=0,FALSE,1/Tab.11[[#This Row],[IN]]*$AC$2*IF(Tab.11[[#This Row],[a1]]=0,,$A$3*$AC$1*1/$V$3*(Tab.11[[#This Row],[b14]]))))</f>
        <v>0</v>
      </c>
      <c r="AC741" s="75" t="b">
        <f>IF(Tab.11[[#This Row],[a1]]=1,IF($AC$3=0,Tab.11[[#This Row],[φ1]],Tab.11[[#This Row],[φ1]]/MAX(Tab.11[φ1])))</f>
        <v>0</v>
      </c>
      <c r="AD741" s="74" t="b">
        <f>IF(Tab.11[[#This Row],[a1]]=1,1/Tab.11[[#This Row],[φ2]])</f>
        <v>0</v>
      </c>
      <c r="AE741" s="74" t="b">
        <f>IF(Tab.11[[#This Row],[a1]]=1,IF($AE$3=0,Tab.11[[#This Row],[w.0]],Tab.11[[#This Row],[w.0]]/SUM(Tab.11[w.0])))</f>
        <v>0</v>
      </c>
      <c r="AF741" s="76" t="str">
        <f>IF(Tab.11[[#This Row],[a1]]=0,"false",[3]!Tab.x5[[#This Row],[%_seN_C]])</f>
        <v>false</v>
      </c>
      <c r="AG741" s="77" t="b">
        <f>IF(Tab.11[[#This Row],[a1]]=1,AP741)</f>
        <v>0</v>
      </c>
      <c r="AH741" s="78" t="b">
        <f>IF(Tab.11[[#This Row],[a1]]=1,AQ741)</f>
        <v>0</v>
      </c>
      <c r="AI741" s="41">
        <v>3.0000000000000001E-3</v>
      </c>
      <c r="AJ741" s="79">
        <v>0.01</v>
      </c>
      <c r="AK741" s="80" t="b">
        <f>IF(Tab.11[[#This Row],[a1]]=1,1)</f>
        <v>0</v>
      </c>
      <c r="AL741"/>
      <c r="AM741"/>
      <c r="AN741"/>
      <c r="AO741"/>
      <c r="AP741"/>
      <c r="AQ741"/>
      <c r="AR741"/>
      <c r="AS741"/>
    </row>
    <row r="742" spans="1:45" s="81" customFormat="1" hidden="1" x14ac:dyDescent="0.25">
      <c r="A742" s="61">
        <f t="shared" si="25"/>
        <v>0</v>
      </c>
      <c r="B742" s="62">
        <f t="shared" si="25"/>
        <v>0</v>
      </c>
      <c r="C742" s="62" t="b">
        <f>IF(Tab.11[[#This Row],[a1]]=1,[3]!Tab_x1[[#This Row],[Name]])</f>
        <v>0</v>
      </c>
      <c r="D742" s="63" t="b">
        <f>IF(Tab.11[[#This Row],[a1]]=1,AO742)</f>
        <v>0</v>
      </c>
      <c r="E742" s="63">
        <f t="shared" si="24"/>
        <v>0</v>
      </c>
      <c r="F742" s="64" t="b">
        <f>IF(Tab.11[[#This Row],[a1]]=1,Tab.11[[#This Row],[b1]])</f>
        <v>0</v>
      </c>
      <c r="G742" s="65" t="b">
        <f>IF(Tab.11[[#This Row],[a1]]=1,IF(Tab.11[[#This Row],[b3]]&gt;$L$989*$G$3,$L$989*$G$3,IF(Tab.11[[#This Row],[b3]]&lt;$M$989*$G$3,$M$989*$G$3,Tab.11[[#This Row],[b3]])))</f>
        <v>0</v>
      </c>
      <c r="H742" s="66" t="b">
        <f>IF(Tab.11[[#This Row],[a1]]=1,Tab.11[[#This Row],[b1]])</f>
        <v>0</v>
      </c>
      <c r="I742" s="67" t="b">
        <f>IF(Tab.11[[#This Row],[a1]]=1,Tab.11[[#This Row],[b1]])</f>
        <v>0</v>
      </c>
      <c r="J742" s="68" t="b">
        <f>IF(Tab.11[[#This Row],[a1]]=1,IF($I$3&lt;0,Tab.11[[#This Row],[b5]]-$I$3,Tab.11[[#This Row],[b5]]))</f>
        <v>0</v>
      </c>
      <c r="K742" s="68" t="b">
        <f>IF(Tab.11[[#This Row],[a1]]=1,IF($K$3=0,Tab.11[b6],Tab.11[[#This Row],[b6]]-AVERAGE(Tab.11[b6])))</f>
        <v>0</v>
      </c>
      <c r="L742" s="69" t="b">
        <f>IF(Tab.11[[#This Row],[a1]]=1,Tab.11[[#This Row],[data]]/(_xlfn.STDEV.P(Tab.11[data])*$B$989)+$A$989)</f>
        <v>0</v>
      </c>
      <c r="M742" s="69" t="b">
        <f>IF(Tab.11[[#This Row],[a1]]=1,Tab.11[[#This Row],[data]]/(_xlfn.STDEV.P(Tab.11[data])*$B$987)-$A$987)</f>
        <v>0</v>
      </c>
      <c r="N742" s="69" t="b">
        <f>IF(Tab.11[[#This Row],[a1]]=1,Tab.11[[#This Row],[data]]/(_xlfn.STDEV.P(Tab.11[data])*$B$988)+$A$988)</f>
        <v>0</v>
      </c>
      <c r="O742" s="70" t="b">
        <f>IF(Tab.11[[#This Row],[a1]]=1,_xlfn.NORM.DIST(Tab.11[[#This Row],[b8]],$P$1,$Q$1,FALSE))</f>
        <v>0</v>
      </c>
      <c r="P742" s="70" t="b">
        <f>IF(Tab.11[[#This Row],[a1]]=1,_xlfn.NORM.DIST(Tab.11[[#This Row],[b9]],$P$1,$Q$1,FALSE))</f>
        <v>0</v>
      </c>
      <c r="Q742" s="70" t="b">
        <f>IF(Tab.11[[#This Row],[a1]]=1,_xlfn.NORM.DIST(Tab.11[[#This Row],[b10]],$P$1,$Q$1,FALSE))</f>
        <v>0</v>
      </c>
      <c r="R742" s="67" t="b">
        <f>IF(Tab.11[[#This Row],[a1]]=1,$I$3+$A$989+IF($K$3=0,Tab.11[[#This Row],[b8]]*_xlfn.STDEV.P(Tab.11[data]),AVERAGE(Tab.11[b6])+Tab.11[[#This Row],[b8]]*_xlfn.STDEV.P(Tab.11[data])))</f>
        <v>0</v>
      </c>
      <c r="S742" s="71" t="b">
        <f>IF(Tab.11[[#This Row],[a1]]=1,$I$3+$A$987+IF($K$3=0,Tab.11[[#This Row],[b9]]*_xlfn.STDEV.P(Tab.11[data]),AVERAGE(Tab.11[b6])+Tab.11[[#This Row],[b9]]*_xlfn.STDEV.P(Tab.11[data])))</f>
        <v>0</v>
      </c>
      <c r="T742" s="71" t="b">
        <f>IF(Tab.11[[#This Row],[a1]]=1,$I$3+$A$988+IF($K$3=0,Tab.11[[#This Row],[b10]]*_xlfn.STDEV.P(Tab.11[data]),AVERAGE(Tab.11[b6])+Tab.11[[#This Row],[b10]]*_xlfn.STDEV.P(Tab.11[data])))</f>
        <v>0</v>
      </c>
      <c r="U742" s="72" t="b">
        <f>IF(Tab.11[[#This Row],[a1]]=1,Tab.11[[#This Row],[target]]-Tab.11[[#This Row],[Red]])</f>
        <v>0</v>
      </c>
      <c r="V742" s="72" t="b">
        <f>IF(Tab.11[[#This Row],[a1]]=1,Tab.11[[#This Row],[target]]-Tab.11[[#This Row],[Blue]])</f>
        <v>0</v>
      </c>
      <c r="W742" s="73" t="b">
        <f>IF(Tab.11[[#This Row],[a1]]=1,IF(ABS(Tab.11[[#This Row],[b17]])+ABS(Tab.11[[#This Row],[b18]])&lt;$W$2,$W$2,ABS(Tab.11[[#This Row],[b17]])+ABS(Tab.11[[#This Row],[b18]])))</f>
        <v>0</v>
      </c>
      <c r="X742" s="136" t="b">
        <f>IF(Tab.11[[#This Row],[a1]]=1,IF($W$3&lt;0,Tab.11[[#This Row],[IN]]-$I$3,Tab.11[[#This Row],[IN]]))</f>
        <v>0</v>
      </c>
      <c r="Y742" s="136" t="b">
        <f>IF(Tab.11[[#This Row],[a1]]=1,IF($X$3=0,Tab.11[b66],Tab.11[[#This Row],[b66]]-AVERAGE(Tab.11[b66])))</f>
        <v>0</v>
      </c>
      <c r="Z742" s="135" t="b">
        <f>IF(Tab.11[[#This Row],[a1]]=1,Tab.11[[#This Row],[b77]]/(_xlfn.STDEV.P(Tab.11[b77])))</f>
        <v>0</v>
      </c>
      <c r="AA742" s="70" t="b">
        <f>IF(Tab.11[[#This Row],[a1]]=1,_xlfn.NORM.DIST(Tab.11[[#This Row],[b88]],$Z$1,$AA$1,FALSE))</f>
        <v>0</v>
      </c>
      <c r="AB742" s="74" t="b">
        <f>IF(Tab.11[[#This Row],[a1]]=1,IF($A$3=0,FALSE,1/Tab.11[[#This Row],[IN]]*$AC$2*IF(Tab.11[[#This Row],[a1]]=0,,$A$3*$AC$1*1/$V$3*(Tab.11[[#This Row],[b14]]))))</f>
        <v>0</v>
      </c>
      <c r="AC742" s="75" t="b">
        <f>IF(Tab.11[[#This Row],[a1]]=1,IF($AC$3=0,Tab.11[[#This Row],[φ1]],Tab.11[[#This Row],[φ1]]/MAX(Tab.11[φ1])))</f>
        <v>0</v>
      </c>
      <c r="AD742" s="74" t="b">
        <f>IF(Tab.11[[#This Row],[a1]]=1,1/Tab.11[[#This Row],[φ2]])</f>
        <v>0</v>
      </c>
      <c r="AE742" s="74" t="b">
        <f>IF(Tab.11[[#This Row],[a1]]=1,IF($AE$3=0,Tab.11[[#This Row],[w.0]],Tab.11[[#This Row],[w.0]]/SUM(Tab.11[w.0])))</f>
        <v>0</v>
      </c>
      <c r="AF742" s="76" t="str">
        <f>IF(Tab.11[[#This Row],[a1]]=0,"false",[3]!Tab.x5[[#This Row],[%_seN_C]])</f>
        <v>false</v>
      </c>
      <c r="AG742" s="77" t="b">
        <f>IF(Tab.11[[#This Row],[a1]]=1,AP742)</f>
        <v>0</v>
      </c>
      <c r="AH742" s="78" t="b">
        <f>IF(Tab.11[[#This Row],[a1]]=1,AQ742)</f>
        <v>0</v>
      </c>
      <c r="AI742" s="41">
        <v>3.0000000000000001E-3</v>
      </c>
      <c r="AJ742" s="79">
        <v>0.02</v>
      </c>
      <c r="AK742" s="80" t="b">
        <f>IF(Tab.11[[#This Row],[a1]]=1,1)</f>
        <v>0</v>
      </c>
      <c r="AL742"/>
      <c r="AM742"/>
      <c r="AN742"/>
      <c r="AO742"/>
      <c r="AP742"/>
      <c r="AQ742"/>
      <c r="AR742"/>
      <c r="AS742"/>
    </row>
    <row r="743" spans="1:45" s="81" customFormat="1" hidden="1" x14ac:dyDescent="0.25">
      <c r="A743" s="61">
        <f t="shared" si="25"/>
        <v>0</v>
      </c>
      <c r="B743" s="62">
        <f t="shared" si="25"/>
        <v>0</v>
      </c>
      <c r="C743" s="62" t="b">
        <f>IF(Tab.11[[#This Row],[a1]]=1,[3]!Tab_x1[[#This Row],[Name]])</f>
        <v>0</v>
      </c>
      <c r="D743" s="63" t="b">
        <f>IF(Tab.11[[#This Row],[a1]]=1,AO743)</f>
        <v>0</v>
      </c>
      <c r="E743" s="63">
        <f t="shared" si="24"/>
        <v>0</v>
      </c>
      <c r="F743" s="64" t="b">
        <f>IF(Tab.11[[#This Row],[a1]]=1,Tab.11[[#This Row],[b1]])</f>
        <v>0</v>
      </c>
      <c r="G743" s="65" t="b">
        <f>IF(Tab.11[[#This Row],[a1]]=1,IF(Tab.11[[#This Row],[b3]]&gt;$L$989*$G$3,$L$989*$G$3,IF(Tab.11[[#This Row],[b3]]&lt;$M$989*$G$3,$M$989*$G$3,Tab.11[[#This Row],[b3]])))</f>
        <v>0</v>
      </c>
      <c r="H743" s="66" t="b">
        <f>IF(Tab.11[[#This Row],[a1]]=1,Tab.11[[#This Row],[b1]])</f>
        <v>0</v>
      </c>
      <c r="I743" s="67" t="b">
        <f>IF(Tab.11[[#This Row],[a1]]=1,Tab.11[[#This Row],[b1]])</f>
        <v>0</v>
      </c>
      <c r="J743" s="68" t="b">
        <f>IF(Tab.11[[#This Row],[a1]]=1,IF($I$3&lt;0,Tab.11[[#This Row],[b5]]-$I$3,Tab.11[[#This Row],[b5]]))</f>
        <v>0</v>
      </c>
      <c r="K743" s="68" t="b">
        <f>IF(Tab.11[[#This Row],[a1]]=1,IF($K$3=0,Tab.11[b6],Tab.11[[#This Row],[b6]]-AVERAGE(Tab.11[b6])))</f>
        <v>0</v>
      </c>
      <c r="L743" s="69" t="b">
        <f>IF(Tab.11[[#This Row],[a1]]=1,Tab.11[[#This Row],[data]]/(_xlfn.STDEV.P(Tab.11[data])*$B$989)+$A$989)</f>
        <v>0</v>
      </c>
      <c r="M743" s="69" t="b">
        <f>IF(Tab.11[[#This Row],[a1]]=1,Tab.11[[#This Row],[data]]/(_xlfn.STDEV.P(Tab.11[data])*$B$987)-$A$987)</f>
        <v>0</v>
      </c>
      <c r="N743" s="69" t="b">
        <f>IF(Tab.11[[#This Row],[a1]]=1,Tab.11[[#This Row],[data]]/(_xlfn.STDEV.P(Tab.11[data])*$B$988)+$A$988)</f>
        <v>0</v>
      </c>
      <c r="O743" s="70" t="b">
        <f>IF(Tab.11[[#This Row],[a1]]=1,_xlfn.NORM.DIST(Tab.11[[#This Row],[b8]],$P$1,$Q$1,FALSE))</f>
        <v>0</v>
      </c>
      <c r="P743" s="70" t="b">
        <f>IF(Tab.11[[#This Row],[a1]]=1,_xlfn.NORM.DIST(Tab.11[[#This Row],[b9]],$P$1,$Q$1,FALSE))</f>
        <v>0</v>
      </c>
      <c r="Q743" s="70" t="b">
        <f>IF(Tab.11[[#This Row],[a1]]=1,_xlfn.NORM.DIST(Tab.11[[#This Row],[b10]],$P$1,$Q$1,FALSE))</f>
        <v>0</v>
      </c>
      <c r="R743" s="67" t="b">
        <f>IF(Tab.11[[#This Row],[a1]]=1,$I$3+$A$989+IF($K$3=0,Tab.11[[#This Row],[b8]]*_xlfn.STDEV.P(Tab.11[data]),AVERAGE(Tab.11[b6])+Tab.11[[#This Row],[b8]]*_xlfn.STDEV.P(Tab.11[data])))</f>
        <v>0</v>
      </c>
      <c r="S743" s="71" t="b">
        <f>IF(Tab.11[[#This Row],[a1]]=1,$I$3+$A$987+IF($K$3=0,Tab.11[[#This Row],[b9]]*_xlfn.STDEV.P(Tab.11[data]),AVERAGE(Tab.11[b6])+Tab.11[[#This Row],[b9]]*_xlfn.STDEV.P(Tab.11[data])))</f>
        <v>0</v>
      </c>
      <c r="T743" s="71" t="b">
        <f>IF(Tab.11[[#This Row],[a1]]=1,$I$3+$A$988+IF($K$3=0,Tab.11[[#This Row],[b10]]*_xlfn.STDEV.P(Tab.11[data]),AVERAGE(Tab.11[b6])+Tab.11[[#This Row],[b10]]*_xlfn.STDEV.P(Tab.11[data])))</f>
        <v>0</v>
      </c>
      <c r="U743" s="72" t="b">
        <f>IF(Tab.11[[#This Row],[a1]]=1,Tab.11[[#This Row],[target]]-Tab.11[[#This Row],[Red]])</f>
        <v>0</v>
      </c>
      <c r="V743" s="72" t="b">
        <f>IF(Tab.11[[#This Row],[a1]]=1,Tab.11[[#This Row],[target]]-Tab.11[[#This Row],[Blue]])</f>
        <v>0</v>
      </c>
      <c r="W743" s="73" t="b">
        <f>IF(Tab.11[[#This Row],[a1]]=1,IF(ABS(Tab.11[[#This Row],[b17]])+ABS(Tab.11[[#This Row],[b18]])&lt;$W$2,$W$2,ABS(Tab.11[[#This Row],[b17]])+ABS(Tab.11[[#This Row],[b18]])))</f>
        <v>0</v>
      </c>
      <c r="X743" s="136" t="b">
        <f>IF(Tab.11[[#This Row],[a1]]=1,IF($W$3&lt;0,Tab.11[[#This Row],[IN]]-$I$3,Tab.11[[#This Row],[IN]]))</f>
        <v>0</v>
      </c>
      <c r="Y743" s="136" t="b">
        <f>IF(Tab.11[[#This Row],[a1]]=1,IF($X$3=0,Tab.11[b66],Tab.11[[#This Row],[b66]]-AVERAGE(Tab.11[b66])))</f>
        <v>0</v>
      </c>
      <c r="Z743" s="135" t="b">
        <f>IF(Tab.11[[#This Row],[a1]]=1,Tab.11[[#This Row],[b77]]/(_xlfn.STDEV.P(Tab.11[b77])))</f>
        <v>0</v>
      </c>
      <c r="AA743" s="70" t="b">
        <f>IF(Tab.11[[#This Row],[a1]]=1,_xlfn.NORM.DIST(Tab.11[[#This Row],[b88]],$Z$1,$AA$1,FALSE))</f>
        <v>0</v>
      </c>
      <c r="AB743" s="74" t="b">
        <f>IF(Tab.11[[#This Row],[a1]]=1,IF($A$3=0,FALSE,1/Tab.11[[#This Row],[IN]]*$AC$2*IF(Tab.11[[#This Row],[a1]]=0,,$A$3*$AC$1*1/$V$3*(Tab.11[[#This Row],[b14]]))))</f>
        <v>0</v>
      </c>
      <c r="AC743" s="75" t="b">
        <f>IF(Tab.11[[#This Row],[a1]]=1,IF($AC$3=0,Tab.11[[#This Row],[φ1]],Tab.11[[#This Row],[φ1]]/MAX(Tab.11[φ1])))</f>
        <v>0</v>
      </c>
      <c r="AD743" s="74" t="b">
        <f>IF(Tab.11[[#This Row],[a1]]=1,1/Tab.11[[#This Row],[φ2]])</f>
        <v>0</v>
      </c>
      <c r="AE743" s="74" t="b">
        <f>IF(Tab.11[[#This Row],[a1]]=1,IF($AE$3=0,Tab.11[[#This Row],[w.0]],Tab.11[[#This Row],[w.0]]/SUM(Tab.11[w.0])))</f>
        <v>0</v>
      </c>
      <c r="AF743" s="76" t="str">
        <f>IF(Tab.11[[#This Row],[a1]]=0,"false",[3]!Tab.x5[[#This Row],[%_seN_C]])</f>
        <v>false</v>
      </c>
      <c r="AG743" s="77" t="b">
        <f>IF(Tab.11[[#This Row],[a1]]=1,AP743)</f>
        <v>0</v>
      </c>
      <c r="AH743" s="78" t="b">
        <f>IF(Tab.11[[#This Row],[a1]]=1,AQ743)</f>
        <v>0</v>
      </c>
      <c r="AI743" s="41">
        <v>3.0000000000000001E-3</v>
      </c>
      <c r="AJ743" s="79">
        <v>0.03</v>
      </c>
      <c r="AK743" s="80" t="b">
        <f>IF(Tab.11[[#This Row],[a1]]=1,1)</f>
        <v>0</v>
      </c>
      <c r="AL743"/>
      <c r="AM743"/>
      <c r="AN743"/>
      <c r="AO743"/>
      <c r="AP743"/>
      <c r="AQ743"/>
      <c r="AR743"/>
      <c r="AS743"/>
    </row>
    <row r="744" spans="1:45" s="81" customFormat="1" hidden="1" x14ac:dyDescent="0.25">
      <c r="A744" s="61">
        <f t="shared" si="25"/>
        <v>0</v>
      </c>
      <c r="B744" s="62">
        <f t="shared" si="25"/>
        <v>0</v>
      </c>
      <c r="C744" s="62" t="b">
        <f>IF(Tab.11[[#This Row],[a1]]=1,[3]!Tab_x1[[#This Row],[Name]])</f>
        <v>0</v>
      </c>
      <c r="D744" s="63" t="b">
        <f>IF(Tab.11[[#This Row],[a1]]=1,AO744)</f>
        <v>0</v>
      </c>
      <c r="E744" s="63">
        <f t="shared" si="24"/>
        <v>0</v>
      </c>
      <c r="F744" s="64" t="b">
        <f>IF(Tab.11[[#This Row],[a1]]=1,Tab.11[[#This Row],[b1]])</f>
        <v>0</v>
      </c>
      <c r="G744" s="65" t="b">
        <f>IF(Tab.11[[#This Row],[a1]]=1,IF(Tab.11[[#This Row],[b3]]&gt;$L$989*$G$3,$L$989*$G$3,IF(Tab.11[[#This Row],[b3]]&lt;$M$989*$G$3,$M$989*$G$3,Tab.11[[#This Row],[b3]])))</f>
        <v>0</v>
      </c>
      <c r="H744" s="66" t="b">
        <f>IF(Tab.11[[#This Row],[a1]]=1,Tab.11[[#This Row],[b1]])</f>
        <v>0</v>
      </c>
      <c r="I744" s="67" t="b">
        <f>IF(Tab.11[[#This Row],[a1]]=1,Tab.11[[#This Row],[b1]])</f>
        <v>0</v>
      </c>
      <c r="J744" s="68" t="b">
        <f>IF(Tab.11[[#This Row],[a1]]=1,IF($I$3&lt;0,Tab.11[[#This Row],[b5]]-$I$3,Tab.11[[#This Row],[b5]]))</f>
        <v>0</v>
      </c>
      <c r="K744" s="68" t="b">
        <f>IF(Tab.11[[#This Row],[a1]]=1,IF($K$3=0,Tab.11[b6],Tab.11[[#This Row],[b6]]-AVERAGE(Tab.11[b6])))</f>
        <v>0</v>
      </c>
      <c r="L744" s="69" t="b">
        <f>IF(Tab.11[[#This Row],[a1]]=1,Tab.11[[#This Row],[data]]/(_xlfn.STDEV.P(Tab.11[data])*$B$989)+$A$989)</f>
        <v>0</v>
      </c>
      <c r="M744" s="69" t="b">
        <f>IF(Tab.11[[#This Row],[a1]]=1,Tab.11[[#This Row],[data]]/(_xlfn.STDEV.P(Tab.11[data])*$B$987)-$A$987)</f>
        <v>0</v>
      </c>
      <c r="N744" s="69" t="b">
        <f>IF(Tab.11[[#This Row],[a1]]=1,Tab.11[[#This Row],[data]]/(_xlfn.STDEV.P(Tab.11[data])*$B$988)+$A$988)</f>
        <v>0</v>
      </c>
      <c r="O744" s="70" t="b">
        <f>IF(Tab.11[[#This Row],[a1]]=1,_xlfn.NORM.DIST(Tab.11[[#This Row],[b8]],$P$1,$Q$1,FALSE))</f>
        <v>0</v>
      </c>
      <c r="P744" s="70" t="b">
        <f>IF(Tab.11[[#This Row],[a1]]=1,_xlfn.NORM.DIST(Tab.11[[#This Row],[b9]],$P$1,$Q$1,FALSE))</f>
        <v>0</v>
      </c>
      <c r="Q744" s="70" t="b">
        <f>IF(Tab.11[[#This Row],[a1]]=1,_xlfn.NORM.DIST(Tab.11[[#This Row],[b10]],$P$1,$Q$1,FALSE))</f>
        <v>0</v>
      </c>
      <c r="R744" s="67" t="b">
        <f>IF(Tab.11[[#This Row],[a1]]=1,$I$3+$A$989+IF($K$3=0,Tab.11[[#This Row],[b8]]*_xlfn.STDEV.P(Tab.11[data]),AVERAGE(Tab.11[b6])+Tab.11[[#This Row],[b8]]*_xlfn.STDEV.P(Tab.11[data])))</f>
        <v>0</v>
      </c>
      <c r="S744" s="71" t="b">
        <f>IF(Tab.11[[#This Row],[a1]]=1,$I$3+$A$987+IF($K$3=0,Tab.11[[#This Row],[b9]]*_xlfn.STDEV.P(Tab.11[data]),AVERAGE(Tab.11[b6])+Tab.11[[#This Row],[b9]]*_xlfn.STDEV.P(Tab.11[data])))</f>
        <v>0</v>
      </c>
      <c r="T744" s="71" t="b">
        <f>IF(Tab.11[[#This Row],[a1]]=1,$I$3+$A$988+IF($K$3=0,Tab.11[[#This Row],[b10]]*_xlfn.STDEV.P(Tab.11[data]),AVERAGE(Tab.11[b6])+Tab.11[[#This Row],[b10]]*_xlfn.STDEV.P(Tab.11[data])))</f>
        <v>0</v>
      </c>
      <c r="U744" s="72" t="b">
        <f>IF(Tab.11[[#This Row],[a1]]=1,Tab.11[[#This Row],[target]]-Tab.11[[#This Row],[Red]])</f>
        <v>0</v>
      </c>
      <c r="V744" s="72" t="b">
        <f>IF(Tab.11[[#This Row],[a1]]=1,Tab.11[[#This Row],[target]]-Tab.11[[#This Row],[Blue]])</f>
        <v>0</v>
      </c>
      <c r="W744" s="73" t="b">
        <f>IF(Tab.11[[#This Row],[a1]]=1,IF(ABS(Tab.11[[#This Row],[b17]])+ABS(Tab.11[[#This Row],[b18]])&lt;$W$2,$W$2,ABS(Tab.11[[#This Row],[b17]])+ABS(Tab.11[[#This Row],[b18]])))</f>
        <v>0</v>
      </c>
      <c r="X744" s="136" t="b">
        <f>IF(Tab.11[[#This Row],[a1]]=1,IF($W$3&lt;0,Tab.11[[#This Row],[IN]]-$I$3,Tab.11[[#This Row],[IN]]))</f>
        <v>0</v>
      </c>
      <c r="Y744" s="136" t="b">
        <f>IF(Tab.11[[#This Row],[a1]]=1,IF($X$3=0,Tab.11[b66],Tab.11[[#This Row],[b66]]-AVERAGE(Tab.11[b66])))</f>
        <v>0</v>
      </c>
      <c r="Z744" s="135" t="b">
        <f>IF(Tab.11[[#This Row],[a1]]=1,Tab.11[[#This Row],[b77]]/(_xlfn.STDEV.P(Tab.11[b77])))</f>
        <v>0</v>
      </c>
      <c r="AA744" s="70" t="b">
        <f>IF(Tab.11[[#This Row],[a1]]=1,_xlfn.NORM.DIST(Tab.11[[#This Row],[b88]],$Z$1,$AA$1,FALSE))</f>
        <v>0</v>
      </c>
      <c r="AB744" s="74" t="b">
        <f>IF(Tab.11[[#This Row],[a1]]=1,IF($A$3=0,FALSE,1/Tab.11[[#This Row],[IN]]*$AC$2*IF(Tab.11[[#This Row],[a1]]=0,,$A$3*$AC$1*1/$V$3*(Tab.11[[#This Row],[b14]]))))</f>
        <v>0</v>
      </c>
      <c r="AC744" s="75" t="b">
        <f>IF(Tab.11[[#This Row],[a1]]=1,IF($AC$3=0,Tab.11[[#This Row],[φ1]],Tab.11[[#This Row],[φ1]]/MAX(Tab.11[φ1])))</f>
        <v>0</v>
      </c>
      <c r="AD744" s="74" t="b">
        <f>IF(Tab.11[[#This Row],[a1]]=1,1/Tab.11[[#This Row],[φ2]])</f>
        <v>0</v>
      </c>
      <c r="AE744" s="74" t="b">
        <f>IF(Tab.11[[#This Row],[a1]]=1,IF($AE$3=0,Tab.11[[#This Row],[w.0]],Tab.11[[#This Row],[w.0]]/SUM(Tab.11[w.0])))</f>
        <v>0</v>
      </c>
      <c r="AF744" s="76" t="str">
        <f>IF(Tab.11[[#This Row],[a1]]=0,"false",[3]!Tab.x5[[#This Row],[%_seN_C]])</f>
        <v>false</v>
      </c>
      <c r="AG744" s="77" t="b">
        <f>IF(Tab.11[[#This Row],[a1]]=1,AP744)</f>
        <v>0</v>
      </c>
      <c r="AH744" s="78" t="b">
        <f>IF(Tab.11[[#This Row],[a1]]=1,AQ744)</f>
        <v>0</v>
      </c>
      <c r="AI744" s="41">
        <v>3.0000000000000001E-3</v>
      </c>
      <c r="AJ744" s="79">
        <v>7.0000000000000007E-2</v>
      </c>
      <c r="AK744" s="80" t="b">
        <f>IF(Tab.11[[#This Row],[a1]]=1,1)</f>
        <v>0</v>
      </c>
      <c r="AL744"/>
      <c r="AM744"/>
      <c r="AN744"/>
      <c r="AO744"/>
      <c r="AP744"/>
      <c r="AQ744"/>
      <c r="AR744"/>
      <c r="AS744"/>
    </row>
    <row r="745" spans="1:45" s="81" customFormat="1" hidden="1" x14ac:dyDescent="0.25">
      <c r="A745" s="61">
        <f t="shared" si="25"/>
        <v>0</v>
      </c>
      <c r="B745" s="62">
        <f t="shared" si="25"/>
        <v>0</v>
      </c>
      <c r="C745" s="62" t="b">
        <f>IF(Tab.11[[#This Row],[a1]]=1,[3]!Tab_x1[[#This Row],[Name]])</f>
        <v>0</v>
      </c>
      <c r="D745" s="63" t="b">
        <f>IF(Tab.11[[#This Row],[a1]]=1,AO745)</f>
        <v>0</v>
      </c>
      <c r="E745" s="63">
        <f t="shared" si="24"/>
        <v>0</v>
      </c>
      <c r="F745" s="64" t="b">
        <f>IF(Tab.11[[#This Row],[a1]]=1,Tab.11[[#This Row],[b1]])</f>
        <v>0</v>
      </c>
      <c r="G745" s="65" t="b">
        <f>IF(Tab.11[[#This Row],[a1]]=1,IF(Tab.11[[#This Row],[b3]]&gt;$L$989*$G$3,$L$989*$G$3,IF(Tab.11[[#This Row],[b3]]&lt;$M$989*$G$3,$M$989*$G$3,Tab.11[[#This Row],[b3]])))</f>
        <v>0</v>
      </c>
      <c r="H745" s="66" t="b">
        <f>IF(Tab.11[[#This Row],[a1]]=1,Tab.11[[#This Row],[b1]])</f>
        <v>0</v>
      </c>
      <c r="I745" s="67" t="b">
        <f>IF(Tab.11[[#This Row],[a1]]=1,Tab.11[[#This Row],[b1]])</f>
        <v>0</v>
      </c>
      <c r="J745" s="68" t="b">
        <f>IF(Tab.11[[#This Row],[a1]]=1,IF($I$3&lt;0,Tab.11[[#This Row],[b5]]-$I$3,Tab.11[[#This Row],[b5]]))</f>
        <v>0</v>
      </c>
      <c r="K745" s="68" t="b">
        <f>IF(Tab.11[[#This Row],[a1]]=1,IF($K$3=0,Tab.11[b6],Tab.11[[#This Row],[b6]]-AVERAGE(Tab.11[b6])))</f>
        <v>0</v>
      </c>
      <c r="L745" s="69" t="b">
        <f>IF(Tab.11[[#This Row],[a1]]=1,Tab.11[[#This Row],[data]]/(_xlfn.STDEV.P(Tab.11[data])*$B$989)+$A$989)</f>
        <v>0</v>
      </c>
      <c r="M745" s="69" t="b">
        <f>IF(Tab.11[[#This Row],[a1]]=1,Tab.11[[#This Row],[data]]/(_xlfn.STDEV.P(Tab.11[data])*$B$987)-$A$987)</f>
        <v>0</v>
      </c>
      <c r="N745" s="69" t="b">
        <f>IF(Tab.11[[#This Row],[a1]]=1,Tab.11[[#This Row],[data]]/(_xlfn.STDEV.P(Tab.11[data])*$B$988)+$A$988)</f>
        <v>0</v>
      </c>
      <c r="O745" s="70" t="b">
        <f>IF(Tab.11[[#This Row],[a1]]=1,_xlfn.NORM.DIST(Tab.11[[#This Row],[b8]],$P$1,$Q$1,FALSE))</f>
        <v>0</v>
      </c>
      <c r="P745" s="70" t="b">
        <f>IF(Tab.11[[#This Row],[a1]]=1,_xlfn.NORM.DIST(Tab.11[[#This Row],[b9]],$P$1,$Q$1,FALSE))</f>
        <v>0</v>
      </c>
      <c r="Q745" s="70" t="b">
        <f>IF(Tab.11[[#This Row],[a1]]=1,_xlfn.NORM.DIST(Tab.11[[#This Row],[b10]],$P$1,$Q$1,FALSE))</f>
        <v>0</v>
      </c>
      <c r="R745" s="67" t="b">
        <f>IF(Tab.11[[#This Row],[a1]]=1,$I$3+$A$989+IF($K$3=0,Tab.11[[#This Row],[b8]]*_xlfn.STDEV.P(Tab.11[data]),AVERAGE(Tab.11[b6])+Tab.11[[#This Row],[b8]]*_xlfn.STDEV.P(Tab.11[data])))</f>
        <v>0</v>
      </c>
      <c r="S745" s="71" t="b">
        <f>IF(Tab.11[[#This Row],[a1]]=1,$I$3+$A$987+IF($K$3=0,Tab.11[[#This Row],[b9]]*_xlfn.STDEV.P(Tab.11[data]),AVERAGE(Tab.11[b6])+Tab.11[[#This Row],[b9]]*_xlfn.STDEV.P(Tab.11[data])))</f>
        <v>0</v>
      </c>
      <c r="T745" s="71" t="b">
        <f>IF(Tab.11[[#This Row],[a1]]=1,$I$3+$A$988+IF($K$3=0,Tab.11[[#This Row],[b10]]*_xlfn.STDEV.P(Tab.11[data]),AVERAGE(Tab.11[b6])+Tab.11[[#This Row],[b10]]*_xlfn.STDEV.P(Tab.11[data])))</f>
        <v>0</v>
      </c>
      <c r="U745" s="72" t="b">
        <f>IF(Tab.11[[#This Row],[a1]]=1,Tab.11[[#This Row],[target]]-Tab.11[[#This Row],[Red]])</f>
        <v>0</v>
      </c>
      <c r="V745" s="72" t="b">
        <f>IF(Tab.11[[#This Row],[a1]]=1,Tab.11[[#This Row],[target]]-Tab.11[[#This Row],[Blue]])</f>
        <v>0</v>
      </c>
      <c r="W745" s="73" t="b">
        <f>IF(Tab.11[[#This Row],[a1]]=1,IF(ABS(Tab.11[[#This Row],[b17]])+ABS(Tab.11[[#This Row],[b18]])&lt;$W$2,$W$2,ABS(Tab.11[[#This Row],[b17]])+ABS(Tab.11[[#This Row],[b18]])))</f>
        <v>0</v>
      </c>
      <c r="X745" s="136" t="b">
        <f>IF(Tab.11[[#This Row],[a1]]=1,IF($W$3&lt;0,Tab.11[[#This Row],[IN]]-$I$3,Tab.11[[#This Row],[IN]]))</f>
        <v>0</v>
      </c>
      <c r="Y745" s="136" t="b">
        <f>IF(Tab.11[[#This Row],[a1]]=1,IF($X$3=0,Tab.11[b66],Tab.11[[#This Row],[b66]]-AVERAGE(Tab.11[b66])))</f>
        <v>0</v>
      </c>
      <c r="Z745" s="135" t="b">
        <f>IF(Tab.11[[#This Row],[a1]]=1,Tab.11[[#This Row],[b77]]/(_xlfn.STDEV.P(Tab.11[b77])))</f>
        <v>0</v>
      </c>
      <c r="AA745" s="70" t="b">
        <f>IF(Tab.11[[#This Row],[a1]]=1,_xlfn.NORM.DIST(Tab.11[[#This Row],[b88]],$Z$1,$AA$1,FALSE))</f>
        <v>0</v>
      </c>
      <c r="AB745" s="74" t="b">
        <f>IF(Tab.11[[#This Row],[a1]]=1,IF($A$3=0,FALSE,1/Tab.11[[#This Row],[IN]]*$AC$2*IF(Tab.11[[#This Row],[a1]]=0,,$A$3*$AC$1*1/$V$3*(Tab.11[[#This Row],[b14]]))))</f>
        <v>0</v>
      </c>
      <c r="AC745" s="75" t="b">
        <f>IF(Tab.11[[#This Row],[a1]]=1,IF($AC$3=0,Tab.11[[#This Row],[φ1]],Tab.11[[#This Row],[φ1]]/MAX(Tab.11[φ1])))</f>
        <v>0</v>
      </c>
      <c r="AD745" s="74" t="b">
        <f>IF(Tab.11[[#This Row],[a1]]=1,1/Tab.11[[#This Row],[φ2]])</f>
        <v>0</v>
      </c>
      <c r="AE745" s="74" t="b">
        <f>IF(Tab.11[[#This Row],[a1]]=1,IF($AE$3=0,Tab.11[[#This Row],[w.0]],Tab.11[[#This Row],[w.0]]/SUM(Tab.11[w.0])))</f>
        <v>0</v>
      </c>
      <c r="AF745" s="76" t="str">
        <f>IF(Tab.11[[#This Row],[a1]]=0,"false",[3]!Tab.x5[[#This Row],[%_seN_C]])</f>
        <v>false</v>
      </c>
      <c r="AG745" s="77" t="b">
        <f>IF(Tab.11[[#This Row],[a1]]=1,AP745)</f>
        <v>0</v>
      </c>
      <c r="AH745" s="78" t="b">
        <f>IF(Tab.11[[#This Row],[a1]]=1,AQ745)</f>
        <v>0</v>
      </c>
      <c r="AI745" s="41">
        <v>3.0000000000000001E-3</v>
      </c>
      <c r="AJ745" s="79">
        <v>0.04</v>
      </c>
      <c r="AK745" s="80" t="b">
        <f>IF(Tab.11[[#This Row],[a1]]=1,1)</f>
        <v>0</v>
      </c>
      <c r="AL745"/>
      <c r="AM745"/>
      <c r="AN745"/>
      <c r="AO745"/>
      <c r="AP745"/>
      <c r="AQ745"/>
      <c r="AR745"/>
      <c r="AS745"/>
    </row>
    <row r="746" spans="1:45" s="81" customFormat="1" hidden="1" x14ac:dyDescent="0.25">
      <c r="A746" s="61">
        <f t="shared" si="25"/>
        <v>0</v>
      </c>
      <c r="B746" s="62">
        <f t="shared" si="25"/>
        <v>0</v>
      </c>
      <c r="C746" s="62" t="b">
        <f>IF(Tab.11[[#This Row],[a1]]=1,[3]!Tab_x1[[#This Row],[Name]])</f>
        <v>0</v>
      </c>
      <c r="D746" s="63" t="b">
        <f>IF(Tab.11[[#This Row],[a1]]=1,AO746)</f>
        <v>0</v>
      </c>
      <c r="E746" s="63">
        <f t="shared" si="24"/>
        <v>0</v>
      </c>
      <c r="F746" s="64" t="b">
        <f>IF(Tab.11[[#This Row],[a1]]=1,Tab.11[[#This Row],[b1]])</f>
        <v>0</v>
      </c>
      <c r="G746" s="65" t="b">
        <f>IF(Tab.11[[#This Row],[a1]]=1,IF(Tab.11[[#This Row],[b3]]&gt;$L$989*$G$3,$L$989*$G$3,IF(Tab.11[[#This Row],[b3]]&lt;$M$989*$G$3,$M$989*$G$3,Tab.11[[#This Row],[b3]])))</f>
        <v>0</v>
      </c>
      <c r="H746" s="66" t="b">
        <f>IF(Tab.11[[#This Row],[a1]]=1,Tab.11[[#This Row],[b1]])</f>
        <v>0</v>
      </c>
      <c r="I746" s="67" t="b">
        <f>IF(Tab.11[[#This Row],[a1]]=1,Tab.11[[#This Row],[b1]])</f>
        <v>0</v>
      </c>
      <c r="J746" s="68" t="b">
        <f>IF(Tab.11[[#This Row],[a1]]=1,IF($I$3&lt;0,Tab.11[[#This Row],[b5]]-$I$3,Tab.11[[#This Row],[b5]]))</f>
        <v>0</v>
      </c>
      <c r="K746" s="68" t="b">
        <f>IF(Tab.11[[#This Row],[a1]]=1,IF($K$3=0,Tab.11[b6],Tab.11[[#This Row],[b6]]-AVERAGE(Tab.11[b6])))</f>
        <v>0</v>
      </c>
      <c r="L746" s="69" t="b">
        <f>IF(Tab.11[[#This Row],[a1]]=1,Tab.11[[#This Row],[data]]/(_xlfn.STDEV.P(Tab.11[data])*$B$989)+$A$989)</f>
        <v>0</v>
      </c>
      <c r="M746" s="69" t="b">
        <f>IF(Tab.11[[#This Row],[a1]]=1,Tab.11[[#This Row],[data]]/(_xlfn.STDEV.P(Tab.11[data])*$B$987)-$A$987)</f>
        <v>0</v>
      </c>
      <c r="N746" s="69" t="b">
        <f>IF(Tab.11[[#This Row],[a1]]=1,Tab.11[[#This Row],[data]]/(_xlfn.STDEV.P(Tab.11[data])*$B$988)+$A$988)</f>
        <v>0</v>
      </c>
      <c r="O746" s="70" t="b">
        <f>IF(Tab.11[[#This Row],[a1]]=1,_xlfn.NORM.DIST(Tab.11[[#This Row],[b8]],$P$1,$Q$1,FALSE))</f>
        <v>0</v>
      </c>
      <c r="P746" s="70" t="b">
        <f>IF(Tab.11[[#This Row],[a1]]=1,_xlfn.NORM.DIST(Tab.11[[#This Row],[b9]],$P$1,$Q$1,FALSE))</f>
        <v>0</v>
      </c>
      <c r="Q746" s="70" t="b">
        <f>IF(Tab.11[[#This Row],[a1]]=1,_xlfn.NORM.DIST(Tab.11[[#This Row],[b10]],$P$1,$Q$1,FALSE))</f>
        <v>0</v>
      </c>
      <c r="R746" s="67" t="b">
        <f>IF(Tab.11[[#This Row],[a1]]=1,$I$3+$A$989+IF($K$3=0,Tab.11[[#This Row],[b8]]*_xlfn.STDEV.P(Tab.11[data]),AVERAGE(Tab.11[b6])+Tab.11[[#This Row],[b8]]*_xlfn.STDEV.P(Tab.11[data])))</f>
        <v>0</v>
      </c>
      <c r="S746" s="71" t="b">
        <f>IF(Tab.11[[#This Row],[a1]]=1,$I$3+$A$987+IF($K$3=0,Tab.11[[#This Row],[b9]]*_xlfn.STDEV.P(Tab.11[data]),AVERAGE(Tab.11[b6])+Tab.11[[#This Row],[b9]]*_xlfn.STDEV.P(Tab.11[data])))</f>
        <v>0</v>
      </c>
      <c r="T746" s="71" t="b">
        <f>IF(Tab.11[[#This Row],[a1]]=1,$I$3+$A$988+IF($K$3=0,Tab.11[[#This Row],[b10]]*_xlfn.STDEV.P(Tab.11[data]),AVERAGE(Tab.11[b6])+Tab.11[[#This Row],[b10]]*_xlfn.STDEV.P(Tab.11[data])))</f>
        <v>0</v>
      </c>
      <c r="U746" s="72" t="b">
        <f>IF(Tab.11[[#This Row],[a1]]=1,Tab.11[[#This Row],[target]]-Tab.11[[#This Row],[Red]])</f>
        <v>0</v>
      </c>
      <c r="V746" s="72" t="b">
        <f>IF(Tab.11[[#This Row],[a1]]=1,Tab.11[[#This Row],[target]]-Tab.11[[#This Row],[Blue]])</f>
        <v>0</v>
      </c>
      <c r="W746" s="73" t="b">
        <f>IF(Tab.11[[#This Row],[a1]]=1,IF(ABS(Tab.11[[#This Row],[b17]])+ABS(Tab.11[[#This Row],[b18]])&lt;$W$2,$W$2,ABS(Tab.11[[#This Row],[b17]])+ABS(Tab.11[[#This Row],[b18]])))</f>
        <v>0</v>
      </c>
      <c r="X746" s="136" t="b">
        <f>IF(Tab.11[[#This Row],[a1]]=1,IF($W$3&lt;0,Tab.11[[#This Row],[IN]]-$I$3,Tab.11[[#This Row],[IN]]))</f>
        <v>0</v>
      </c>
      <c r="Y746" s="136" t="b">
        <f>IF(Tab.11[[#This Row],[a1]]=1,IF($X$3=0,Tab.11[b66],Tab.11[[#This Row],[b66]]-AVERAGE(Tab.11[b66])))</f>
        <v>0</v>
      </c>
      <c r="Z746" s="135" t="b">
        <f>IF(Tab.11[[#This Row],[a1]]=1,Tab.11[[#This Row],[b77]]/(_xlfn.STDEV.P(Tab.11[b77])))</f>
        <v>0</v>
      </c>
      <c r="AA746" s="70" t="b">
        <f>IF(Tab.11[[#This Row],[a1]]=1,_xlfn.NORM.DIST(Tab.11[[#This Row],[b88]],$Z$1,$AA$1,FALSE))</f>
        <v>0</v>
      </c>
      <c r="AB746" s="74" t="b">
        <f>IF(Tab.11[[#This Row],[a1]]=1,IF($A$3=0,FALSE,1/Tab.11[[#This Row],[IN]]*$AC$2*IF(Tab.11[[#This Row],[a1]]=0,,$A$3*$AC$1*1/$V$3*(Tab.11[[#This Row],[b14]]))))</f>
        <v>0</v>
      </c>
      <c r="AC746" s="75" t="b">
        <f>IF(Tab.11[[#This Row],[a1]]=1,IF($AC$3=0,Tab.11[[#This Row],[φ1]],Tab.11[[#This Row],[φ1]]/MAX(Tab.11[φ1])))</f>
        <v>0</v>
      </c>
      <c r="AD746" s="74" t="b">
        <f>IF(Tab.11[[#This Row],[a1]]=1,1/Tab.11[[#This Row],[φ2]])</f>
        <v>0</v>
      </c>
      <c r="AE746" s="74" t="b">
        <f>IF(Tab.11[[#This Row],[a1]]=1,IF($AE$3=0,Tab.11[[#This Row],[w.0]],Tab.11[[#This Row],[w.0]]/SUM(Tab.11[w.0])))</f>
        <v>0</v>
      </c>
      <c r="AF746" s="76" t="str">
        <f>IF(Tab.11[[#This Row],[a1]]=0,"false",[3]!Tab.x5[[#This Row],[%_seN_C]])</f>
        <v>false</v>
      </c>
      <c r="AG746" s="77" t="b">
        <f>IF(Tab.11[[#This Row],[a1]]=1,AP746)</f>
        <v>0</v>
      </c>
      <c r="AH746" s="78" t="b">
        <f>IF(Tab.11[[#This Row],[a1]]=1,AQ746)</f>
        <v>0</v>
      </c>
      <c r="AI746" s="41">
        <v>3.0000000000000001E-3</v>
      </c>
      <c r="AJ746" s="79">
        <v>-0.04</v>
      </c>
      <c r="AK746" s="80" t="b">
        <f>IF(Tab.11[[#This Row],[a1]]=1,1)</f>
        <v>0</v>
      </c>
      <c r="AL746"/>
      <c r="AM746"/>
      <c r="AN746"/>
      <c r="AO746"/>
      <c r="AP746"/>
      <c r="AQ746"/>
      <c r="AR746"/>
      <c r="AS746"/>
    </row>
    <row r="747" spans="1:45" s="81" customFormat="1" hidden="1" x14ac:dyDescent="0.25">
      <c r="A747" s="61">
        <f t="shared" si="25"/>
        <v>0</v>
      </c>
      <c r="B747" s="62">
        <f t="shared" si="25"/>
        <v>0</v>
      </c>
      <c r="C747" s="62" t="b">
        <f>IF(Tab.11[[#This Row],[a1]]=1,[3]!Tab_x1[[#This Row],[Name]])</f>
        <v>0</v>
      </c>
      <c r="D747" s="63" t="b">
        <f>IF(Tab.11[[#This Row],[a1]]=1,AO747)</f>
        <v>0</v>
      </c>
      <c r="E747" s="63">
        <f t="shared" si="24"/>
        <v>0</v>
      </c>
      <c r="F747" s="64" t="b">
        <f>IF(Tab.11[[#This Row],[a1]]=1,Tab.11[[#This Row],[b1]])</f>
        <v>0</v>
      </c>
      <c r="G747" s="65" t="b">
        <f>IF(Tab.11[[#This Row],[a1]]=1,IF(Tab.11[[#This Row],[b3]]&gt;$L$989*$G$3,$L$989*$G$3,IF(Tab.11[[#This Row],[b3]]&lt;$M$989*$G$3,$M$989*$G$3,Tab.11[[#This Row],[b3]])))</f>
        <v>0</v>
      </c>
      <c r="H747" s="66" t="b">
        <f>IF(Tab.11[[#This Row],[a1]]=1,Tab.11[[#This Row],[b1]])</f>
        <v>0</v>
      </c>
      <c r="I747" s="67" t="b">
        <f>IF(Tab.11[[#This Row],[a1]]=1,Tab.11[[#This Row],[b1]])</f>
        <v>0</v>
      </c>
      <c r="J747" s="68" t="b">
        <f>IF(Tab.11[[#This Row],[a1]]=1,IF($I$3&lt;0,Tab.11[[#This Row],[b5]]-$I$3,Tab.11[[#This Row],[b5]]))</f>
        <v>0</v>
      </c>
      <c r="K747" s="68" t="b">
        <f>IF(Tab.11[[#This Row],[a1]]=1,IF($K$3=0,Tab.11[b6],Tab.11[[#This Row],[b6]]-AVERAGE(Tab.11[b6])))</f>
        <v>0</v>
      </c>
      <c r="L747" s="69" t="b">
        <f>IF(Tab.11[[#This Row],[a1]]=1,Tab.11[[#This Row],[data]]/(_xlfn.STDEV.P(Tab.11[data])*$B$989)+$A$989)</f>
        <v>0</v>
      </c>
      <c r="M747" s="69" t="b">
        <f>IF(Tab.11[[#This Row],[a1]]=1,Tab.11[[#This Row],[data]]/(_xlfn.STDEV.P(Tab.11[data])*$B$987)-$A$987)</f>
        <v>0</v>
      </c>
      <c r="N747" s="69" t="b">
        <f>IF(Tab.11[[#This Row],[a1]]=1,Tab.11[[#This Row],[data]]/(_xlfn.STDEV.P(Tab.11[data])*$B$988)+$A$988)</f>
        <v>0</v>
      </c>
      <c r="O747" s="70" t="b">
        <f>IF(Tab.11[[#This Row],[a1]]=1,_xlfn.NORM.DIST(Tab.11[[#This Row],[b8]],$P$1,$Q$1,FALSE))</f>
        <v>0</v>
      </c>
      <c r="P747" s="70" t="b">
        <f>IF(Tab.11[[#This Row],[a1]]=1,_xlfn.NORM.DIST(Tab.11[[#This Row],[b9]],$P$1,$Q$1,FALSE))</f>
        <v>0</v>
      </c>
      <c r="Q747" s="70" t="b">
        <f>IF(Tab.11[[#This Row],[a1]]=1,_xlfn.NORM.DIST(Tab.11[[#This Row],[b10]],$P$1,$Q$1,FALSE))</f>
        <v>0</v>
      </c>
      <c r="R747" s="67" t="b">
        <f>IF(Tab.11[[#This Row],[a1]]=1,$I$3+$A$989+IF($K$3=0,Tab.11[[#This Row],[b8]]*_xlfn.STDEV.P(Tab.11[data]),AVERAGE(Tab.11[b6])+Tab.11[[#This Row],[b8]]*_xlfn.STDEV.P(Tab.11[data])))</f>
        <v>0</v>
      </c>
      <c r="S747" s="71" t="b">
        <f>IF(Tab.11[[#This Row],[a1]]=1,$I$3+$A$987+IF($K$3=0,Tab.11[[#This Row],[b9]]*_xlfn.STDEV.P(Tab.11[data]),AVERAGE(Tab.11[b6])+Tab.11[[#This Row],[b9]]*_xlfn.STDEV.P(Tab.11[data])))</f>
        <v>0</v>
      </c>
      <c r="T747" s="71" t="b">
        <f>IF(Tab.11[[#This Row],[a1]]=1,$I$3+$A$988+IF($K$3=0,Tab.11[[#This Row],[b10]]*_xlfn.STDEV.P(Tab.11[data]),AVERAGE(Tab.11[b6])+Tab.11[[#This Row],[b10]]*_xlfn.STDEV.P(Tab.11[data])))</f>
        <v>0</v>
      </c>
      <c r="U747" s="72" t="b">
        <f>IF(Tab.11[[#This Row],[a1]]=1,Tab.11[[#This Row],[target]]-Tab.11[[#This Row],[Red]])</f>
        <v>0</v>
      </c>
      <c r="V747" s="72" t="b">
        <f>IF(Tab.11[[#This Row],[a1]]=1,Tab.11[[#This Row],[target]]-Tab.11[[#This Row],[Blue]])</f>
        <v>0</v>
      </c>
      <c r="W747" s="73" t="b">
        <f>IF(Tab.11[[#This Row],[a1]]=1,IF(ABS(Tab.11[[#This Row],[b17]])+ABS(Tab.11[[#This Row],[b18]])&lt;$W$2,$W$2,ABS(Tab.11[[#This Row],[b17]])+ABS(Tab.11[[#This Row],[b18]])))</f>
        <v>0</v>
      </c>
      <c r="X747" s="136" t="b">
        <f>IF(Tab.11[[#This Row],[a1]]=1,IF($W$3&lt;0,Tab.11[[#This Row],[IN]]-$I$3,Tab.11[[#This Row],[IN]]))</f>
        <v>0</v>
      </c>
      <c r="Y747" s="136" t="b">
        <f>IF(Tab.11[[#This Row],[a1]]=1,IF($X$3=0,Tab.11[b66],Tab.11[[#This Row],[b66]]-AVERAGE(Tab.11[b66])))</f>
        <v>0</v>
      </c>
      <c r="Z747" s="135" t="b">
        <f>IF(Tab.11[[#This Row],[a1]]=1,Tab.11[[#This Row],[b77]]/(_xlfn.STDEV.P(Tab.11[b77])))</f>
        <v>0</v>
      </c>
      <c r="AA747" s="70" t="b">
        <f>IF(Tab.11[[#This Row],[a1]]=1,_xlfn.NORM.DIST(Tab.11[[#This Row],[b88]],$Z$1,$AA$1,FALSE))</f>
        <v>0</v>
      </c>
      <c r="AB747" s="74" t="b">
        <f>IF(Tab.11[[#This Row],[a1]]=1,IF($A$3=0,FALSE,1/Tab.11[[#This Row],[IN]]*$AC$2*IF(Tab.11[[#This Row],[a1]]=0,,$A$3*$AC$1*1/$V$3*(Tab.11[[#This Row],[b14]]))))</f>
        <v>0</v>
      </c>
      <c r="AC747" s="75" t="b">
        <f>IF(Tab.11[[#This Row],[a1]]=1,IF($AC$3=0,Tab.11[[#This Row],[φ1]],Tab.11[[#This Row],[φ1]]/MAX(Tab.11[φ1])))</f>
        <v>0</v>
      </c>
      <c r="AD747" s="74" t="b">
        <f>IF(Tab.11[[#This Row],[a1]]=1,1/Tab.11[[#This Row],[φ2]])</f>
        <v>0</v>
      </c>
      <c r="AE747" s="74" t="b">
        <f>IF(Tab.11[[#This Row],[a1]]=1,IF($AE$3=0,Tab.11[[#This Row],[w.0]],Tab.11[[#This Row],[w.0]]/SUM(Tab.11[w.0])))</f>
        <v>0</v>
      </c>
      <c r="AF747" s="76" t="str">
        <f>IF(Tab.11[[#This Row],[a1]]=0,"false",[3]!Tab.x5[[#This Row],[%_seN_C]])</f>
        <v>false</v>
      </c>
      <c r="AG747" s="77" t="b">
        <f>IF(Tab.11[[#This Row],[a1]]=1,AP747)</f>
        <v>0</v>
      </c>
      <c r="AH747" s="78" t="b">
        <f>IF(Tab.11[[#This Row],[a1]]=1,AQ747)</f>
        <v>0</v>
      </c>
      <c r="AI747" s="41">
        <v>3.0000000000000001E-3</v>
      </c>
      <c r="AJ747" s="79">
        <v>-0.05</v>
      </c>
      <c r="AK747" s="80" t="b">
        <f>IF(Tab.11[[#This Row],[a1]]=1,1)</f>
        <v>0</v>
      </c>
      <c r="AL747"/>
      <c r="AM747"/>
      <c r="AN747"/>
      <c r="AO747"/>
      <c r="AP747"/>
      <c r="AQ747"/>
      <c r="AR747"/>
      <c r="AS747"/>
    </row>
    <row r="748" spans="1:45" s="81" customFormat="1" hidden="1" x14ac:dyDescent="0.25">
      <c r="A748" s="61">
        <f t="shared" si="25"/>
        <v>0</v>
      </c>
      <c r="B748" s="62">
        <f t="shared" si="25"/>
        <v>0</v>
      </c>
      <c r="C748" s="62" t="b">
        <f>IF(Tab.11[[#This Row],[a1]]=1,[3]!Tab_x1[[#This Row],[Name]])</f>
        <v>0</v>
      </c>
      <c r="D748" s="63" t="b">
        <f>IF(Tab.11[[#This Row],[a1]]=1,AO748)</f>
        <v>0</v>
      </c>
      <c r="E748" s="63">
        <f t="shared" si="24"/>
        <v>0</v>
      </c>
      <c r="F748" s="64" t="b">
        <f>IF(Tab.11[[#This Row],[a1]]=1,Tab.11[[#This Row],[b1]])</f>
        <v>0</v>
      </c>
      <c r="G748" s="65" t="b">
        <f>IF(Tab.11[[#This Row],[a1]]=1,IF(Tab.11[[#This Row],[b3]]&gt;$L$989*$G$3,$L$989*$G$3,IF(Tab.11[[#This Row],[b3]]&lt;$M$989*$G$3,$M$989*$G$3,Tab.11[[#This Row],[b3]])))</f>
        <v>0</v>
      </c>
      <c r="H748" s="66" t="b">
        <f>IF(Tab.11[[#This Row],[a1]]=1,Tab.11[[#This Row],[b1]])</f>
        <v>0</v>
      </c>
      <c r="I748" s="67" t="b">
        <f>IF(Tab.11[[#This Row],[a1]]=1,Tab.11[[#This Row],[b1]])</f>
        <v>0</v>
      </c>
      <c r="J748" s="68" t="b">
        <f>IF(Tab.11[[#This Row],[a1]]=1,IF($I$3&lt;0,Tab.11[[#This Row],[b5]]-$I$3,Tab.11[[#This Row],[b5]]))</f>
        <v>0</v>
      </c>
      <c r="K748" s="68" t="b">
        <f>IF(Tab.11[[#This Row],[a1]]=1,IF($K$3=0,Tab.11[b6],Tab.11[[#This Row],[b6]]-AVERAGE(Tab.11[b6])))</f>
        <v>0</v>
      </c>
      <c r="L748" s="69" t="b">
        <f>IF(Tab.11[[#This Row],[a1]]=1,Tab.11[[#This Row],[data]]/(_xlfn.STDEV.P(Tab.11[data])*$B$989)+$A$989)</f>
        <v>0</v>
      </c>
      <c r="M748" s="69" t="b">
        <f>IF(Tab.11[[#This Row],[a1]]=1,Tab.11[[#This Row],[data]]/(_xlfn.STDEV.P(Tab.11[data])*$B$987)-$A$987)</f>
        <v>0</v>
      </c>
      <c r="N748" s="69" t="b">
        <f>IF(Tab.11[[#This Row],[a1]]=1,Tab.11[[#This Row],[data]]/(_xlfn.STDEV.P(Tab.11[data])*$B$988)+$A$988)</f>
        <v>0</v>
      </c>
      <c r="O748" s="70" t="b">
        <f>IF(Tab.11[[#This Row],[a1]]=1,_xlfn.NORM.DIST(Tab.11[[#This Row],[b8]],$P$1,$Q$1,FALSE))</f>
        <v>0</v>
      </c>
      <c r="P748" s="70" t="b">
        <f>IF(Tab.11[[#This Row],[a1]]=1,_xlfn.NORM.DIST(Tab.11[[#This Row],[b9]],$P$1,$Q$1,FALSE))</f>
        <v>0</v>
      </c>
      <c r="Q748" s="70" t="b">
        <f>IF(Tab.11[[#This Row],[a1]]=1,_xlfn.NORM.DIST(Tab.11[[#This Row],[b10]],$P$1,$Q$1,FALSE))</f>
        <v>0</v>
      </c>
      <c r="R748" s="67" t="b">
        <f>IF(Tab.11[[#This Row],[a1]]=1,$I$3+$A$989+IF($K$3=0,Tab.11[[#This Row],[b8]]*_xlfn.STDEV.P(Tab.11[data]),AVERAGE(Tab.11[b6])+Tab.11[[#This Row],[b8]]*_xlfn.STDEV.P(Tab.11[data])))</f>
        <v>0</v>
      </c>
      <c r="S748" s="71" t="b">
        <f>IF(Tab.11[[#This Row],[a1]]=1,$I$3+$A$987+IF($K$3=0,Tab.11[[#This Row],[b9]]*_xlfn.STDEV.P(Tab.11[data]),AVERAGE(Tab.11[b6])+Tab.11[[#This Row],[b9]]*_xlfn.STDEV.P(Tab.11[data])))</f>
        <v>0</v>
      </c>
      <c r="T748" s="71" t="b">
        <f>IF(Tab.11[[#This Row],[a1]]=1,$I$3+$A$988+IF($K$3=0,Tab.11[[#This Row],[b10]]*_xlfn.STDEV.P(Tab.11[data]),AVERAGE(Tab.11[b6])+Tab.11[[#This Row],[b10]]*_xlfn.STDEV.P(Tab.11[data])))</f>
        <v>0</v>
      </c>
      <c r="U748" s="72" t="b">
        <f>IF(Tab.11[[#This Row],[a1]]=1,Tab.11[[#This Row],[target]]-Tab.11[[#This Row],[Red]])</f>
        <v>0</v>
      </c>
      <c r="V748" s="72" t="b">
        <f>IF(Tab.11[[#This Row],[a1]]=1,Tab.11[[#This Row],[target]]-Tab.11[[#This Row],[Blue]])</f>
        <v>0</v>
      </c>
      <c r="W748" s="73" t="b">
        <f>IF(Tab.11[[#This Row],[a1]]=1,IF(ABS(Tab.11[[#This Row],[b17]])+ABS(Tab.11[[#This Row],[b18]])&lt;$W$2,$W$2,ABS(Tab.11[[#This Row],[b17]])+ABS(Tab.11[[#This Row],[b18]])))</f>
        <v>0</v>
      </c>
      <c r="X748" s="136" t="b">
        <f>IF(Tab.11[[#This Row],[a1]]=1,IF($W$3&lt;0,Tab.11[[#This Row],[IN]]-$I$3,Tab.11[[#This Row],[IN]]))</f>
        <v>0</v>
      </c>
      <c r="Y748" s="136" t="b">
        <f>IF(Tab.11[[#This Row],[a1]]=1,IF($X$3=0,Tab.11[b66],Tab.11[[#This Row],[b66]]-AVERAGE(Tab.11[b66])))</f>
        <v>0</v>
      </c>
      <c r="Z748" s="135" t="b">
        <f>IF(Tab.11[[#This Row],[a1]]=1,Tab.11[[#This Row],[b77]]/(_xlfn.STDEV.P(Tab.11[b77])))</f>
        <v>0</v>
      </c>
      <c r="AA748" s="70" t="b">
        <f>IF(Tab.11[[#This Row],[a1]]=1,_xlfn.NORM.DIST(Tab.11[[#This Row],[b88]],$Z$1,$AA$1,FALSE))</f>
        <v>0</v>
      </c>
      <c r="AB748" s="74" t="b">
        <f>IF(Tab.11[[#This Row],[a1]]=1,IF($A$3=0,FALSE,1/Tab.11[[#This Row],[IN]]*$AC$2*IF(Tab.11[[#This Row],[a1]]=0,,$A$3*$AC$1*1/$V$3*(Tab.11[[#This Row],[b14]]))))</f>
        <v>0</v>
      </c>
      <c r="AC748" s="75" t="b">
        <f>IF(Tab.11[[#This Row],[a1]]=1,IF($AC$3=0,Tab.11[[#This Row],[φ1]],Tab.11[[#This Row],[φ1]]/MAX(Tab.11[φ1])))</f>
        <v>0</v>
      </c>
      <c r="AD748" s="74" t="b">
        <f>IF(Tab.11[[#This Row],[a1]]=1,1/Tab.11[[#This Row],[φ2]])</f>
        <v>0</v>
      </c>
      <c r="AE748" s="74" t="b">
        <f>IF(Tab.11[[#This Row],[a1]]=1,IF($AE$3=0,Tab.11[[#This Row],[w.0]],Tab.11[[#This Row],[w.0]]/SUM(Tab.11[w.0])))</f>
        <v>0</v>
      </c>
      <c r="AF748" s="76" t="str">
        <f>IF(Tab.11[[#This Row],[a1]]=0,"false",[3]!Tab.x5[[#This Row],[%_seN_C]])</f>
        <v>false</v>
      </c>
      <c r="AG748" s="77" t="b">
        <f>IF(Tab.11[[#This Row],[a1]]=1,AP748)</f>
        <v>0</v>
      </c>
      <c r="AH748" s="78" t="b">
        <f>IF(Tab.11[[#This Row],[a1]]=1,AQ748)</f>
        <v>0</v>
      </c>
      <c r="AI748" s="41">
        <v>3.0000000000000001E-3</v>
      </c>
      <c r="AJ748" s="79">
        <v>-7.0000000000000007E-2</v>
      </c>
      <c r="AK748" s="80" t="b">
        <f>IF(Tab.11[[#This Row],[a1]]=1,1)</f>
        <v>0</v>
      </c>
      <c r="AL748"/>
      <c r="AM748"/>
      <c r="AN748"/>
      <c r="AO748"/>
      <c r="AP748"/>
      <c r="AQ748"/>
      <c r="AR748"/>
      <c r="AS748"/>
    </row>
    <row r="749" spans="1:45" s="81" customFormat="1" hidden="1" x14ac:dyDescent="0.25">
      <c r="A749" s="61">
        <f t="shared" si="25"/>
        <v>0</v>
      </c>
      <c r="B749" s="62">
        <f t="shared" si="25"/>
        <v>0</v>
      </c>
      <c r="C749" s="62" t="b">
        <f>IF(Tab.11[[#This Row],[a1]]=1,[3]!Tab_x1[[#This Row],[Name]])</f>
        <v>0</v>
      </c>
      <c r="D749" s="63" t="b">
        <f>IF(Tab.11[[#This Row],[a1]]=1,AO749)</f>
        <v>0</v>
      </c>
      <c r="E749" s="63">
        <f t="shared" si="24"/>
        <v>0</v>
      </c>
      <c r="F749" s="64" t="b">
        <f>IF(Tab.11[[#This Row],[a1]]=1,Tab.11[[#This Row],[b1]])</f>
        <v>0</v>
      </c>
      <c r="G749" s="65" t="b">
        <f>IF(Tab.11[[#This Row],[a1]]=1,IF(Tab.11[[#This Row],[b3]]&gt;$L$989*$G$3,$L$989*$G$3,IF(Tab.11[[#This Row],[b3]]&lt;$M$989*$G$3,$M$989*$G$3,Tab.11[[#This Row],[b3]])))</f>
        <v>0</v>
      </c>
      <c r="H749" s="66" t="b">
        <f>IF(Tab.11[[#This Row],[a1]]=1,Tab.11[[#This Row],[b1]])</f>
        <v>0</v>
      </c>
      <c r="I749" s="67" t="b">
        <f>IF(Tab.11[[#This Row],[a1]]=1,Tab.11[[#This Row],[b1]])</f>
        <v>0</v>
      </c>
      <c r="J749" s="68" t="b">
        <f>IF(Tab.11[[#This Row],[a1]]=1,IF($I$3&lt;0,Tab.11[[#This Row],[b5]]-$I$3,Tab.11[[#This Row],[b5]]))</f>
        <v>0</v>
      </c>
      <c r="K749" s="68" t="b">
        <f>IF(Tab.11[[#This Row],[a1]]=1,IF($K$3=0,Tab.11[b6],Tab.11[[#This Row],[b6]]-AVERAGE(Tab.11[b6])))</f>
        <v>0</v>
      </c>
      <c r="L749" s="69" t="b">
        <f>IF(Tab.11[[#This Row],[a1]]=1,Tab.11[[#This Row],[data]]/(_xlfn.STDEV.P(Tab.11[data])*$B$989)+$A$989)</f>
        <v>0</v>
      </c>
      <c r="M749" s="69" t="b">
        <f>IF(Tab.11[[#This Row],[a1]]=1,Tab.11[[#This Row],[data]]/(_xlfn.STDEV.P(Tab.11[data])*$B$987)-$A$987)</f>
        <v>0</v>
      </c>
      <c r="N749" s="69" t="b">
        <f>IF(Tab.11[[#This Row],[a1]]=1,Tab.11[[#This Row],[data]]/(_xlfn.STDEV.P(Tab.11[data])*$B$988)+$A$988)</f>
        <v>0</v>
      </c>
      <c r="O749" s="70" t="b">
        <f>IF(Tab.11[[#This Row],[a1]]=1,_xlfn.NORM.DIST(Tab.11[[#This Row],[b8]],$P$1,$Q$1,FALSE))</f>
        <v>0</v>
      </c>
      <c r="P749" s="70" t="b">
        <f>IF(Tab.11[[#This Row],[a1]]=1,_xlfn.NORM.DIST(Tab.11[[#This Row],[b9]],$P$1,$Q$1,FALSE))</f>
        <v>0</v>
      </c>
      <c r="Q749" s="70" t="b">
        <f>IF(Tab.11[[#This Row],[a1]]=1,_xlfn.NORM.DIST(Tab.11[[#This Row],[b10]],$P$1,$Q$1,FALSE))</f>
        <v>0</v>
      </c>
      <c r="R749" s="67" t="b">
        <f>IF(Tab.11[[#This Row],[a1]]=1,$I$3+$A$989+IF($K$3=0,Tab.11[[#This Row],[b8]]*_xlfn.STDEV.P(Tab.11[data]),AVERAGE(Tab.11[b6])+Tab.11[[#This Row],[b8]]*_xlfn.STDEV.P(Tab.11[data])))</f>
        <v>0</v>
      </c>
      <c r="S749" s="71" t="b">
        <f>IF(Tab.11[[#This Row],[a1]]=1,$I$3+$A$987+IF($K$3=0,Tab.11[[#This Row],[b9]]*_xlfn.STDEV.P(Tab.11[data]),AVERAGE(Tab.11[b6])+Tab.11[[#This Row],[b9]]*_xlfn.STDEV.P(Tab.11[data])))</f>
        <v>0</v>
      </c>
      <c r="T749" s="71" t="b">
        <f>IF(Tab.11[[#This Row],[a1]]=1,$I$3+$A$988+IF($K$3=0,Tab.11[[#This Row],[b10]]*_xlfn.STDEV.P(Tab.11[data]),AVERAGE(Tab.11[b6])+Tab.11[[#This Row],[b10]]*_xlfn.STDEV.P(Tab.11[data])))</f>
        <v>0</v>
      </c>
      <c r="U749" s="72" t="b">
        <f>IF(Tab.11[[#This Row],[a1]]=1,Tab.11[[#This Row],[target]]-Tab.11[[#This Row],[Red]])</f>
        <v>0</v>
      </c>
      <c r="V749" s="72" t="b">
        <f>IF(Tab.11[[#This Row],[a1]]=1,Tab.11[[#This Row],[target]]-Tab.11[[#This Row],[Blue]])</f>
        <v>0</v>
      </c>
      <c r="W749" s="73" t="b">
        <f>IF(Tab.11[[#This Row],[a1]]=1,IF(ABS(Tab.11[[#This Row],[b17]])+ABS(Tab.11[[#This Row],[b18]])&lt;$W$2,$W$2,ABS(Tab.11[[#This Row],[b17]])+ABS(Tab.11[[#This Row],[b18]])))</f>
        <v>0</v>
      </c>
      <c r="X749" s="136" t="b">
        <f>IF(Tab.11[[#This Row],[a1]]=1,IF($W$3&lt;0,Tab.11[[#This Row],[IN]]-$I$3,Tab.11[[#This Row],[IN]]))</f>
        <v>0</v>
      </c>
      <c r="Y749" s="136" t="b">
        <f>IF(Tab.11[[#This Row],[a1]]=1,IF($X$3=0,Tab.11[b66],Tab.11[[#This Row],[b66]]-AVERAGE(Tab.11[b66])))</f>
        <v>0</v>
      </c>
      <c r="Z749" s="135" t="b">
        <f>IF(Tab.11[[#This Row],[a1]]=1,Tab.11[[#This Row],[b77]]/(_xlfn.STDEV.P(Tab.11[b77])))</f>
        <v>0</v>
      </c>
      <c r="AA749" s="70" t="b">
        <f>IF(Tab.11[[#This Row],[a1]]=1,_xlfn.NORM.DIST(Tab.11[[#This Row],[b88]],$Z$1,$AA$1,FALSE))</f>
        <v>0</v>
      </c>
      <c r="AB749" s="74" t="b">
        <f>IF(Tab.11[[#This Row],[a1]]=1,IF($A$3=0,FALSE,1/Tab.11[[#This Row],[IN]]*$AC$2*IF(Tab.11[[#This Row],[a1]]=0,,$A$3*$AC$1*1/$V$3*(Tab.11[[#This Row],[b14]]))))</f>
        <v>0</v>
      </c>
      <c r="AC749" s="75" t="b">
        <f>IF(Tab.11[[#This Row],[a1]]=1,IF($AC$3=0,Tab.11[[#This Row],[φ1]],Tab.11[[#This Row],[φ1]]/MAX(Tab.11[φ1])))</f>
        <v>0</v>
      </c>
      <c r="AD749" s="74" t="b">
        <f>IF(Tab.11[[#This Row],[a1]]=1,1/Tab.11[[#This Row],[φ2]])</f>
        <v>0</v>
      </c>
      <c r="AE749" s="74" t="b">
        <f>IF(Tab.11[[#This Row],[a1]]=1,IF($AE$3=0,Tab.11[[#This Row],[w.0]],Tab.11[[#This Row],[w.0]]/SUM(Tab.11[w.0])))</f>
        <v>0</v>
      </c>
      <c r="AF749" s="76" t="str">
        <f>IF(Tab.11[[#This Row],[a1]]=0,"false",[3]!Tab.x5[[#This Row],[%_seN_C]])</f>
        <v>false</v>
      </c>
      <c r="AG749" s="77" t="b">
        <f>IF(Tab.11[[#This Row],[a1]]=1,AP749)</f>
        <v>0</v>
      </c>
      <c r="AH749" s="78" t="b">
        <f>IF(Tab.11[[#This Row],[a1]]=1,AQ749)</f>
        <v>0</v>
      </c>
      <c r="AI749" s="41">
        <v>3.0000000000000001E-3</v>
      </c>
      <c r="AJ749" s="79">
        <v>0.08</v>
      </c>
      <c r="AK749" s="80" t="b">
        <f>IF(Tab.11[[#This Row],[a1]]=1,1)</f>
        <v>0</v>
      </c>
      <c r="AL749"/>
      <c r="AM749"/>
      <c r="AN749"/>
      <c r="AO749"/>
      <c r="AP749"/>
      <c r="AQ749"/>
      <c r="AR749"/>
      <c r="AS749"/>
    </row>
    <row r="750" spans="1:45" s="81" customFormat="1" hidden="1" x14ac:dyDescent="0.25">
      <c r="A750" s="61">
        <f t="shared" si="25"/>
        <v>0</v>
      </c>
      <c r="B750" s="62">
        <f t="shared" si="25"/>
        <v>0</v>
      </c>
      <c r="C750" s="62" t="b">
        <f>IF(Tab.11[[#This Row],[a1]]=1,[3]!Tab_x1[[#This Row],[Name]])</f>
        <v>0</v>
      </c>
      <c r="D750" s="63" t="b">
        <f>IF(Tab.11[[#This Row],[a1]]=1,AO750)</f>
        <v>0</v>
      </c>
      <c r="E750" s="63">
        <f t="shared" si="24"/>
        <v>0</v>
      </c>
      <c r="F750" s="64" t="b">
        <f>IF(Tab.11[[#This Row],[a1]]=1,Tab.11[[#This Row],[b1]])</f>
        <v>0</v>
      </c>
      <c r="G750" s="65" t="b">
        <f>IF(Tab.11[[#This Row],[a1]]=1,IF(Tab.11[[#This Row],[b3]]&gt;$L$989*$G$3,$L$989*$G$3,IF(Tab.11[[#This Row],[b3]]&lt;$M$989*$G$3,$M$989*$G$3,Tab.11[[#This Row],[b3]])))</f>
        <v>0</v>
      </c>
      <c r="H750" s="66" t="b">
        <f>IF(Tab.11[[#This Row],[a1]]=1,Tab.11[[#This Row],[b1]])</f>
        <v>0</v>
      </c>
      <c r="I750" s="67" t="b">
        <f>IF(Tab.11[[#This Row],[a1]]=1,Tab.11[[#This Row],[b1]])</f>
        <v>0</v>
      </c>
      <c r="J750" s="68" t="b">
        <f>IF(Tab.11[[#This Row],[a1]]=1,IF($I$3&lt;0,Tab.11[[#This Row],[b5]]-$I$3,Tab.11[[#This Row],[b5]]))</f>
        <v>0</v>
      </c>
      <c r="K750" s="68" t="b">
        <f>IF(Tab.11[[#This Row],[a1]]=1,IF($K$3=0,Tab.11[b6],Tab.11[[#This Row],[b6]]-AVERAGE(Tab.11[b6])))</f>
        <v>0</v>
      </c>
      <c r="L750" s="69" t="b">
        <f>IF(Tab.11[[#This Row],[a1]]=1,Tab.11[[#This Row],[data]]/(_xlfn.STDEV.P(Tab.11[data])*$B$989)+$A$989)</f>
        <v>0</v>
      </c>
      <c r="M750" s="69" t="b">
        <f>IF(Tab.11[[#This Row],[a1]]=1,Tab.11[[#This Row],[data]]/(_xlfn.STDEV.P(Tab.11[data])*$B$987)-$A$987)</f>
        <v>0</v>
      </c>
      <c r="N750" s="69" t="b">
        <f>IF(Tab.11[[#This Row],[a1]]=1,Tab.11[[#This Row],[data]]/(_xlfn.STDEV.P(Tab.11[data])*$B$988)+$A$988)</f>
        <v>0</v>
      </c>
      <c r="O750" s="70" t="b">
        <f>IF(Tab.11[[#This Row],[a1]]=1,_xlfn.NORM.DIST(Tab.11[[#This Row],[b8]],$P$1,$Q$1,FALSE))</f>
        <v>0</v>
      </c>
      <c r="P750" s="70" t="b">
        <f>IF(Tab.11[[#This Row],[a1]]=1,_xlfn.NORM.DIST(Tab.11[[#This Row],[b9]],$P$1,$Q$1,FALSE))</f>
        <v>0</v>
      </c>
      <c r="Q750" s="70" t="b">
        <f>IF(Tab.11[[#This Row],[a1]]=1,_xlfn.NORM.DIST(Tab.11[[#This Row],[b10]],$P$1,$Q$1,FALSE))</f>
        <v>0</v>
      </c>
      <c r="R750" s="67" t="b">
        <f>IF(Tab.11[[#This Row],[a1]]=1,$I$3+$A$989+IF($K$3=0,Tab.11[[#This Row],[b8]]*_xlfn.STDEV.P(Tab.11[data]),AVERAGE(Tab.11[b6])+Tab.11[[#This Row],[b8]]*_xlfn.STDEV.P(Tab.11[data])))</f>
        <v>0</v>
      </c>
      <c r="S750" s="71" t="b">
        <f>IF(Tab.11[[#This Row],[a1]]=1,$I$3+$A$987+IF($K$3=0,Tab.11[[#This Row],[b9]]*_xlfn.STDEV.P(Tab.11[data]),AVERAGE(Tab.11[b6])+Tab.11[[#This Row],[b9]]*_xlfn.STDEV.P(Tab.11[data])))</f>
        <v>0</v>
      </c>
      <c r="T750" s="71" t="b">
        <f>IF(Tab.11[[#This Row],[a1]]=1,$I$3+$A$988+IF($K$3=0,Tab.11[[#This Row],[b10]]*_xlfn.STDEV.P(Tab.11[data]),AVERAGE(Tab.11[b6])+Tab.11[[#This Row],[b10]]*_xlfn.STDEV.P(Tab.11[data])))</f>
        <v>0</v>
      </c>
      <c r="U750" s="72" t="b">
        <f>IF(Tab.11[[#This Row],[a1]]=1,Tab.11[[#This Row],[target]]-Tab.11[[#This Row],[Red]])</f>
        <v>0</v>
      </c>
      <c r="V750" s="72" t="b">
        <f>IF(Tab.11[[#This Row],[a1]]=1,Tab.11[[#This Row],[target]]-Tab.11[[#This Row],[Blue]])</f>
        <v>0</v>
      </c>
      <c r="W750" s="73" t="b">
        <f>IF(Tab.11[[#This Row],[a1]]=1,IF(ABS(Tab.11[[#This Row],[b17]])+ABS(Tab.11[[#This Row],[b18]])&lt;$W$2,$W$2,ABS(Tab.11[[#This Row],[b17]])+ABS(Tab.11[[#This Row],[b18]])))</f>
        <v>0</v>
      </c>
      <c r="X750" s="136" t="b">
        <f>IF(Tab.11[[#This Row],[a1]]=1,IF($W$3&lt;0,Tab.11[[#This Row],[IN]]-$I$3,Tab.11[[#This Row],[IN]]))</f>
        <v>0</v>
      </c>
      <c r="Y750" s="136" t="b">
        <f>IF(Tab.11[[#This Row],[a1]]=1,IF($X$3=0,Tab.11[b66],Tab.11[[#This Row],[b66]]-AVERAGE(Tab.11[b66])))</f>
        <v>0</v>
      </c>
      <c r="Z750" s="135" t="b">
        <f>IF(Tab.11[[#This Row],[a1]]=1,Tab.11[[#This Row],[b77]]/(_xlfn.STDEV.P(Tab.11[b77])))</f>
        <v>0</v>
      </c>
      <c r="AA750" s="70" t="b">
        <f>IF(Tab.11[[#This Row],[a1]]=1,_xlfn.NORM.DIST(Tab.11[[#This Row],[b88]],$Z$1,$AA$1,FALSE))</f>
        <v>0</v>
      </c>
      <c r="AB750" s="74" t="b">
        <f>IF(Tab.11[[#This Row],[a1]]=1,IF($A$3=0,FALSE,1/Tab.11[[#This Row],[IN]]*$AC$2*IF(Tab.11[[#This Row],[a1]]=0,,$A$3*$AC$1*1/$V$3*(Tab.11[[#This Row],[b14]]))))</f>
        <v>0</v>
      </c>
      <c r="AC750" s="75" t="b">
        <f>IF(Tab.11[[#This Row],[a1]]=1,IF($AC$3=0,Tab.11[[#This Row],[φ1]],Tab.11[[#This Row],[φ1]]/MAX(Tab.11[φ1])))</f>
        <v>0</v>
      </c>
      <c r="AD750" s="74" t="b">
        <f>IF(Tab.11[[#This Row],[a1]]=1,1/Tab.11[[#This Row],[φ2]])</f>
        <v>0</v>
      </c>
      <c r="AE750" s="74" t="b">
        <f>IF(Tab.11[[#This Row],[a1]]=1,IF($AE$3=0,Tab.11[[#This Row],[w.0]],Tab.11[[#This Row],[w.0]]/SUM(Tab.11[w.0])))</f>
        <v>0</v>
      </c>
      <c r="AF750" s="76" t="str">
        <f>IF(Tab.11[[#This Row],[a1]]=0,"false",[3]!Tab.x5[[#This Row],[%_seN_C]])</f>
        <v>false</v>
      </c>
      <c r="AG750" s="77" t="b">
        <f>IF(Tab.11[[#This Row],[a1]]=1,AP750)</f>
        <v>0</v>
      </c>
      <c r="AH750" s="78" t="b">
        <f>IF(Tab.11[[#This Row],[a1]]=1,AQ750)</f>
        <v>0</v>
      </c>
      <c r="AI750" s="41">
        <v>3.0000000000000001E-3</v>
      </c>
      <c r="AJ750" s="79">
        <v>-7.0000000000000007E-2</v>
      </c>
      <c r="AK750" s="80" t="b">
        <f>IF(Tab.11[[#This Row],[a1]]=1,1)</f>
        <v>0</v>
      </c>
      <c r="AL750"/>
      <c r="AM750"/>
      <c r="AN750"/>
      <c r="AO750"/>
      <c r="AP750"/>
      <c r="AQ750"/>
      <c r="AR750"/>
      <c r="AS750"/>
    </row>
    <row r="751" spans="1:45" s="81" customFormat="1" hidden="1" x14ac:dyDescent="0.25">
      <c r="A751" s="61">
        <f t="shared" si="25"/>
        <v>0</v>
      </c>
      <c r="B751" s="62">
        <f t="shared" si="25"/>
        <v>0</v>
      </c>
      <c r="C751" s="62" t="b">
        <f>IF(Tab.11[[#This Row],[a1]]=1,[3]!Tab_x1[[#This Row],[Name]])</f>
        <v>0</v>
      </c>
      <c r="D751" s="63" t="b">
        <f>IF(Tab.11[[#This Row],[a1]]=1,AO751)</f>
        <v>0</v>
      </c>
      <c r="E751" s="63">
        <f t="shared" si="24"/>
        <v>0</v>
      </c>
      <c r="F751" s="64" t="b">
        <f>IF(Tab.11[[#This Row],[a1]]=1,Tab.11[[#This Row],[b1]])</f>
        <v>0</v>
      </c>
      <c r="G751" s="65" t="b">
        <f>IF(Tab.11[[#This Row],[a1]]=1,IF(Tab.11[[#This Row],[b3]]&gt;$L$989*$G$3,$L$989*$G$3,IF(Tab.11[[#This Row],[b3]]&lt;$M$989*$G$3,$M$989*$G$3,Tab.11[[#This Row],[b3]])))</f>
        <v>0</v>
      </c>
      <c r="H751" s="66" t="b">
        <f>IF(Tab.11[[#This Row],[a1]]=1,Tab.11[[#This Row],[b1]])</f>
        <v>0</v>
      </c>
      <c r="I751" s="67" t="b">
        <f>IF(Tab.11[[#This Row],[a1]]=1,Tab.11[[#This Row],[b1]])</f>
        <v>0</v>
      </c>
      <c r="J751" s="68" t="b">
        <f>IF(Tab.11[[#This Row],[a1]]=1,IF($I$3&lt;0,Tab.11[[#This Row],[b5]]-$I$3,Tab.11[[#This Row],[b5]]))</f>
        <v>0</v>
      </c>
      <c r="K751" s="68" t="b">
        <f>IF(Tab.11[[#This Row],[a1]]=1,IF($K$3=0,Tab.11[b6],Tab.11[[#This Row],[b6]]-AVERAGE(Tab.11[b6])))</f>
        <v>0</v>
      </c>
      <c r="L751" s="69" t="b">
        <f>IF(Tab.11[[#This Row],[a1]]=1,Tab.11[[#This Row],[data]]/(_xlfn.STDEV.P(Tab.11[data])*$B$989)+$A$989)</f>
        <v>0</v>
      </c>
      <c r="M751" s="69" t="b">
        <f>IF(Tab.11[[#This Row],[a1]]=1,Tab.11[[#This Row],[data]]/(_xlfn.STDEV.P(Tab.11[data])*$B$987)-$A$987)</f>
        <v>0</v>
      </c>
      <c r="N751" s="69" t="b">
        <f>IF(Tab.11[[#This Row],[a1]]=1,Tab.11[[#This Row],[data]]/(_xlfn.STDEV.P(Tab.11[data])*$B$988)+$A$988)</f>
        <v>0</v>
      </c>
      <c r="O751" s="70" t="b">
        <f>IF(Tab.11[[#This Row],[a1]]=1,_xlfn.NORM.DIST(Tab.11[[#This Row],[b8]],$P$1,$Q$1,FALSE))</f>
        <v>0</v>
      </c>
      <c r="P751" s="70" t="b">
        <f>IF(Tab.11[[#This Row],[a1]]=1,_xlfn.NORM.DIST(Tab.11[[#This Row],[b9]],$P$1,$Q$1,FALSE))</f>
        <v>0</v>
      </c>
      <c r="Q751" s="70" t="b">
        <f>IF(Tab.11[[#This Row],[a1]]=1,_xlfn.NORM.DIST(Tab.11[[#This Row],[b10]],$P$1,$Q$1,FALSE))</f>
        <v>0</v>
      </c>
      <c r="R751" s="67" t="b">
        <f>IF(Tab.11[[#This Row],[a1]]=1,$I$3+$A$989+IF($K$3=0,Tab.11[[#This Row],[b8]]*_xlfn.STDEV.P(Tab.11[data]),AVERAGE(Tab.11[b6])+Tab.11[[#This Row],[b8]]*_xlfn.STDEV.P(Tab.11[data])))</f>
        <v>0</v>
      </c>
      <c r="S751" s="71" t="b">
        <f>IF(Tab.11[[#This Row],[a1]]=1,$I$3+$A$987+IF($K$3=0,Tab.11[[#This Row],[b9]]*_xlfn.STDEV.P(Tab.11[data]),AVERAGE(Tab.11[b6])+Tab.11[[#This Row],[b9]]*_xlfn.STDEV.P(Tab.11[data])))</f>
        <v>0</v>
      </c>
      <c r="T751" s="71" t="b">
        <f>IF(Tab.11[[#This Row],[a1]]=1,$I$3+$A$988+IF($K$3=0,Tab.11[[#This Row],[b10]]*_xlfn.STDEV.P(Tab.11[data]),AVERAGE(Tab.11[b6])+Tab.11[[#This Row],[b10]]*_xlfn.STDEV.P(Tab.11[data])))</f>
        <v>0</v>
      </c>
      <c r="U751" s="72" t="b">
        <f>IF(Tab.11[[#This Row],[a1]]=1,Tab.11[[#This Row],[target]]-Tab.11[[#This Row],[Red]])</f>
        <v>0</v>
      </c>
      <c r="V751" s="72" t="b">
        <f>IF(Tab.11[[#This Row],[a1]]=1,Tab.11[[#This Row],[target]]-Tab.11[[#This Row],[Blue]])</f>
        <v>0</v>
      </c>
      <c r="W751" s="73" t="b">
        <f>IF(Tab.11[[#This Row],[a1]]=1,IF(ABS(Tab.11[[#This Row],[b17]])+ABS(Tab.11[[#This Row],[b18]])&lt;$W$2,$W$2,ABS(Tab.11[[#This Row],[b17]])+ABS(Tab.11[[#This Row],[b18]])))</f>
        <v>0</v>
      </c>
      <c r="X751" s="136" t="b">
        <f>IF(Tab.11[[#This Row],[a1]]=1,IF($W$3&lt;0,Tab.11[[#This Row],[IN]]-$I$3,Tab.11[[#This Row],[IN]]))</f>
        <v>0</v>
      </c>
      <c r="Y751" s="136" t="b">
        <f>IF(Tab.11[[#This Row],[a1]]=1,IF($X$3=0,Tab.11[b66],Tab.11[[#This Row],[b66]]-AVERAGE(Tab.11[b66])))</f>
        <v>0</v>
      </c>
      <c r="Z751" s="135" t="b">
        <f>IF(Tab.11[[#This Row],[a1]]=1,Tab.11[[#This Row],[b77]]/(_xlfn.STDEV.P(Tab.11[b77])))</f>
        <v>0</v>
      </c>
      <c r="AA751" s="70" t="b">
        <f>IF(Tab.11[[#This Row],[a1]]=1,_xlfn.NORM.DIST(Tab.11[[#This Row],[b88]],$Z$1,$AA$1,FALSE))</f>
        <v>0</v>
      </c>
      <c r="AB751" s="74" t="b">
        <f>IF(Tab.11[[#This Row],[a1]]=1,IF($A$3=0,FALSE,1/Tab.11[[#This Row],[IN]]*$AC$2*IF(Tab.11[[#This Row],[a1]]=0,,$A$3*$AC$1*1/$V$3*(Tab.11[[#This Row],[b14]]))))</f>
        <v>0</v>
      </c>
      <c r="AC751" s="75" t="b">
        <f>IF(Tab.11[[#This Row],[a1]]=1,IF($AC$3=0,Tab.11[[#This Row],[φ1]],Tab.11[[#This Row],[φ1]]/MAX(Tab.11[φ1])))</f>
        <v>0</v>
      </c>
      <c r="AD751" s="74" t="b">
        <f>IF(Tab.11[[#This Row],[a1]]=1,1/Tab.11[[#This Row],[φ2]])</f>
        <v>0</v>
      </c>
      <c r="AE751" s="74" t="b">
        <f>IF(Tab.11[[#This Row],[a1]]=1,IF($AE$3=0,Tab.11[[#This Row],[w.0]],Tab.11[[#This Row],[w.0]]/SUM(Tab.11[w.0])))</f>
        <v>0</v>
      </c>
      <c r="AF751" s="76" t="str">
        <f>IF(Tab.11[[#This Row],[a1]]=0,"false",[3]!Tab.x5[[#This Row],[%_seN_C]])</f>
        <v>false</v>
      </c>
      <c r="AG751" s="77" t="b">
        <f>IF(Tab.11[[#This Row],[a1]]=1,AP751)</f>
        <v>0</v>
      </c>
      <c r="AH751" s="78" t="b">
        <f>IF(Tab.11[[#This Row],[a1]]=1,AQ751)</f>
        <v>0</v>
      </c>
      <c r="AI751" s="41">
        <v>3.0000000000000001E-3</v>
      </c>
      <c r="AJ751" s="79">
        <v>0.04</v>
      </c>
      <c r="AK751" s="80" t="b">
        <f>IF(Tab.11[[#This Row],[a1]]=1,1)</f>
        <v>0</v>
      </c>
      <c r="AL751"/>
      <c r="AM751"/>
      <c r="AN751"/>
      <c r="AO751"/>
      <c r="AP751"/>
      <c r="AQ751"/>
      <c r="AR751"/>
      <c r="AS751"/>
    </row>
    <row r="752" spans="1:45" s="81" customFormat="1" hidden="1" x14ac:dyDescent="0.25">
      <c r="A752" s="61">
        <f t="shared" si="25"/>
        <v>0</v>
      </c>
      <c r="B752" s="62">
        <f t="shared" si="25"/>
        <v>0</v>
      </c>
      <c r="C752" s="62" t="b">
        <f>IF(Tab.11[[#This Row],[a1]]=1,[3]!Tab_x1[[#This Row],[Name]])</f>
        <v>0</v>
      </c>
      <c r="D752" s="63" t="b">
        <f>IF(Tab.11[[#This Row],[a1]]=1,AO752)</f>
        <v>0</v>
      </c>
      <c r="E752" s="63">
        <f t="shared" si="24"/>
        <v>0</v>
      </c>
      <c r="F752" s="64" t="b">
        <f>IF(Tab.11[[#This Row],[a1]]=1,Tab.11[[#This Row],[b1]])</f>
        <v>0</v>
      </c>
      <c r="G752" s="65" t="b">
        <f>IF(Tab.11[[#This Row],[a1]]=1,IF(Tab.11[[#This Row],[b3]]&gt;$L$989*$G$3,$L$989*$G$3,IF(Tab.11[[#This Row],[b3]]&lt;$M$989*$G$3,$M$989*$G$3,Tab.11[[#This Row],[b3]])))</f>
        <v>0</v>
      </c>
      <c r="H752" s="66" t="b">
        <f>IF(Tab.11[[#This Row],[a1]]=1,Tab.11[[#This Row],[b1]])</f>
        <v>0</v>
      </c>
      <c r="I752" s="67" t="b">
        <f>IF(Tab.11[[#This Row],[a1]]=1,Tab.11[[#This Row],[b1]])</f>
        <v>0</v>
      </c>
      <c r="J752" s="68" t="b">
        <f>IF(Tab.11[[#This Row],[a1]]=1,IF($I$3&lt;0,Tab.11[[#This Row],[b5]]-$I$3,Tab.11[[#This Row],[b5]]))</f>
        <v>0</v>
      </c>
      <c r="K752" s="68" t="b">
        <f>IF(Tab.11[[#This Row],[a1]]=1,IF($K$3=0,Tab.11[b6],Tab.11[[#This Row],[b6]]-AVERAGE(Tab.11[b6])))</f>
        <v>0</v>
      </c>
      <c r="L752" s="69" t="b">
        <f>IF(Tab.11[[#This Row],[a1]]=1,Tab.11[[#This Row],[data]]/(_xlfn.STDEV.P(Tab.11[data])*$B$989)+$A$989)</f>
        <v>0</v>
      </c>
      <c r="M752" s="69" t="b">
        <f>IF(Tab.11[[#This Row],[a1]]=1,Tab.11[[#This Row],[data]]/(_xlfn.STDEV.P(Tab.11[data])*$B$987)-$A$987)</f>
        <v>0</v>
      </c>
      <c r="N752" s="69" t="b">
        <f>IF(Tab.11[[#This Row],[a1]]=1,Tab.11[[#This Row],[data]]/(_xlfn.STDEV.P(Tab.11[data])*$B$988)+$A$988)</f>
        <v>0</v>
      </c>
      <c r="O752" s="70" t="b">
        <f>IF(Tab.11[[#This Row],[a1]]=1,_xlfn.NORM.DIST(Tab.11[[#This Row],[b8]],$P$1,$Q$1,FALSE))</f>
        <v>0</v>
      </c>
      <c r="P752" s="70" t="b">
        <f>IF(Tab.11[[#This Row],[a1]]=1,_xlfn.NORM.DIST(Tab.11[[#This Row],[b9]],$P$1,$Q$1,FALSE))</f>
        <v>0</v>
      </c>
      <c r="Q752" s="70" t="b">
        <f>IF(Tab.11[[#This Row],[a1]]=1,_xlfn.NORM.DIST(Tab.11[[#This Row],[b10]],$P$1,$Q$1,FALSE))</f>
        <v>0</v>
      </c>
      <c r="R752" s="67" t="b">
        <f>IF(Tab.11[[#This Row],[a1]]=1,$I$3+$A$989+IF($K$3=0,Tab.11[[#This Row],[b8]]*_xlfn.STDEV.P(Tab.11[data]),AVERAGE(Tab.11[b6])+Tab.11[[#This Row],[b8]]*_xlfn.STDEV.P(Tab.11[data])))</f>
        <v>0</v>
      </c>
      <c r="S752" s="71" t="b">
        <f>IF(Tab.11[[#This Row],[a1]]=1,$I$3+$A$987+IF($K$3=0,Tab.11[[#This Row],[b9]]*_xlfn.STDEV.P(Tab.11[data]),AVERAGE(Tab.11[b6])+Tab.11[[#This Row],[b9]]*_xlfn.STDEV.P(Tab.11[data])))</f>
        <v>0</v>
      </c>
      <c r="T752" s="71" t="b">
        <f>IF(Tab.11[[#This Row],[a1]]=1,$I$3+$A$988+IF($K$3=0,Tab.11[[#This Row],[b10]]*_xlfn.STDEV.P(Tab.11[data]),AVERAGE(Tab.11[b6])+Tab.11[[#This Row],[b10]]*_xlfn.STDEV.P(Tab.11[data])))</f>
        <v>0</v>
      </c>
      <c r="U752" s="72" t="b">
        <f>IF(Tab.11[[#This Row],[a1]]=1,Tab.11[[#This Row],[target]]-Tab.11[[#This Row],[Red]])</f>
        <v>0</v>
      </c>
      <c r="V752" s="72" t="b">
        <f>IF(Tab.11[[#This Row],[a1]]=1,Tab.11[[#This Row],[target]]-Tab.11[[#This Row],[Blue]])</f>
        <v>0</v>
      </c>
      <c r="W752" s="73" t="b">
        <f>IF(Tab.11[[#This Row],[a1]]=1,IF(ABS(Tab.11[[#This Row],[b17]])+ABS(Tab.11[[#This Row],[b18]])&lt;$W$2,$W$2,ABS(Tab.11[[#This Row],[b17]])+ABS(Tab.11[[#This Row],[b18]])))</f>
        <v>0</v>
      </c>
      <c r="X752" s="136" t="b">
        <f>IF(Tab.11[[#This Row],[a1]]=1,IF($W$3&lt;0,Tab.11[[#This Row],[IN]]-$I$3,Tab.11[[#This Row],[IN]]))</f>
        <v>0</v>
      </c>
      <c r="Y752" s="136" t="b">
        <f>IF(Tab.11[[#This Row],[a1]]=1,IF($X$3=0,Tab.11[b66],Tab.11[[#This Row],[b66]]-AVERAGE(Tab.11[b66])))</f>
        <v>0</v>
      </c>
      <c r="Z752" s="135" t="b">
        <f>IF(Tab.11[[#This Row],[a1]]=1,Tab.11[[#This Row],[b77]]/(_xlfn.STDEV.P(Tab.11[b77])))</f>
        <v>0</v>
      </c>
      <c r="AA752" s="70" t="b">
        <f>IF(Tab.11[[#This Row],[a1]]=1,_xlfn.NORM.DIST(Tab.11[[#This Row],[b88]],$Z$1,$AA$1,FALSE))</f>
        <v>0</v>
      </c>
      <c r="AB752" s="74" t="b">
        <f>IF(Tab.11[[#This Row],[a1]]=1,IF($A$3=0,FALSE,1/Tab.11[[#This Row],[IN]]*$AC$2*IF(Tab.11[[#This Row],[a1]]=0,,$A$3*$AC$1*1/$V$3*(Tab.11[[#This Row],[b14]]))))</f>
        <v>0</v>
      </c>
      <c r="AC752" s="75" t="b">
        <f>IF(Tab.11[[#This Row],[a1]]=1,IF($AC$3=0,Tab.11[[#This Row],[φ1]],Tab.11[[#This Row],[φ1]]/MAX(Tab.11[φ1])))</f>
        <v>0</v>
      </c>
      <c r="AD752" s="74" t="b">
        <f>IF(Tab.11[[#This Row],[a1]]=1,1/Tab.11[[#This Row],[φ2]])</f>
        <v>0</v>
      </c>
      <c r="AE752" s="74" t="b">
        <f>IF(Tab.11[[#This Row],[a1]]=1,IF($AE$3=0,Tab.11[[#This Row],[w.0]],Tab.11[[#This Row],[w.0]]/SUM(Tab.11[w.0])))</f>
        <v>0</v>
      </c>
      <c r="AF752" s="76" t="str">
        <f>IF(Tab.11[[#This Row],[a1]]=0,"false",[3]!Tab.x5[[#This Row],[%_seN_C]])</f>
        <v>false</v>
      </c>
      <c r="AG752" s="77" t="b">
        <f>IF(Tab.11[[#This Row],[a1]]=1,AP752)</f>
        <v>0</v>
      </c>
      <c r="AH752" s="78" t="b">
        <f>IF(Tab.11[[#This Row],[a1]]=1,AQ752)</f>
        <v>0</v>
      </c>
      <c r="AI752" s="41">
        <v>3.0000000000000001E-3</v>
      </c>
      <c r="AJ752" s="79">
        <v>0.08</v>
      </c>
      <c r="AK752" s="80" t="b">
        <f>IF(Tab.11[[#This Row],[a1]]=1,1)</f>
        <v>0</v>
      </c>
      <c r="AL752"/>
      <c r="AM752"/>
      <c r="AN752"/>
      <c r="AO752"/>
      <c r="AP752"/>
      <c r="AQ752"/>
      <c r="AR752"/>
      <c r="AS752"/>
    </row>
    <row r="753" spans="1:45" s="81" customFormat="1" hidden="1" x14ac:dyDescent="0.25">
      <c r="A753" s="61">
        <f t="shared" si="25"/>
        <v>0</v>
      </c>
      <c r="B753" s="62">
        <f t="shared" si="25"/>
        <v>0</v>
      </c>
      <c r="C753" s="62" t="b">
        <f>IF(Tab.11[[#This Row],[a1]]=1,[3]!Tab_x1[[#This Row],[Name]])</f>
        <v>0</v>
      </c>
      <c r="D753" s="63" t="b">
        <f>IF(Tab.11[[#This Row],[a1]]=1,AO753)</f>
        <v>0</v>
      </c>
      <c r="E753" s="63">
        <f t="shared" si="24"/>
        <v>0</v>
      </c>
      <c r="F753" s="64" t="b">
        <f>IF(Tab.11[[#This Row],[a1]]=1,Tab.11[[#This Row],[b1]])</f>
        <v>0</v>
      </c>
      <c r="G753" s="65" t="b">
        <f>IF(Tab.11[[#This Row],[a1]]=1,IF(Tab.11[[#This Row],[b3]]&gt;$L$989*$G$3,$L$989*$G$3,IF(Tab.11[[#This Row],[b3]]&lt;$M$989*$G$3,$M$989*$G$3,Tab.11[[#This Row],[b3]])))</f>
        <v>0</v>
      </c>
      <c r="H753" s="66" t="b">
        <f>IF(Tab.11[[#This Row],[a1]]=1,Tab.11[[#This Row],[b1]])</f>
        <v>0</v>
      </c>
      <c r="I753" s="67" t="b">
        <f>IF(Tab.11[[#This Row],[a1]]=1,Tab.11[[#This Row],[b1]])</f>
        <v>0</v>
      </c>
      <c r="J753" s="68" t="b">
        <f>IF(Tab.11[[#This Row],[a1]]=1,IF($I$3&lt;0,Tab.11[[#This Row],[b5]]-$I$3,Tab.11[[#This Row],[b5]]))</f>
        <v>0</v>
      </c>
      <c r="K753" s="68" t="b">
        <f>IF(Tab.11[[#This Row],[a1]]=1,IF($K$3=0,Tab.11[b6],Tab.11[[#This Row],[b6]]-AVERAGE(Tab.11[b6])))</f>
        <v>0</v>
      </c>
      <c r="L753" s="69" t="b">
        <f>IF(Tab.11[[#This Row],[a1]]=1,Tab.11[[#This Row],[data]]/(_xlfn.STDEV.P(Tab.11[data])*$B$989)+$A$989)</f>
        <v>0</v>
      </c>
      <c r="M753" s="69" t="b">
        <f>IF(Tab.11[[#This Row],[a1]]=1,Tab.11[[#This Row],[data]]/(_xlfn.STDEV.P(Tab.11[data])*$B$987)-$A$987)</f>
        <v>0</v>
      </c>
      <c r="N753" s="69" t="b">
        <f>IF(Tab.11[[#This Row],[a1]]=1,Tab.11[[#This Row],[data]]/(_xlfn.STDEV.P(Tab.11[data])*$B$988)+$A$988)</f>
        <v>0</v>
      </c>
      <c r="O753" s="70" t="b">
        <f>IF(Tab.11[[#This Row],[a1]]=1,_xlfn.NORM.DIST(Tab.11[[#This Row],[b8]],$P$1,$Q$1,FALSE))</f>
        <v>0</v>
      </c>
      <c r="P753" s="70" t="b">
        <f>IF(Tab.11[[#This Row],[a1]]=1,_xlfn.NORM.DIST(Tab.11[[#This Row],[b9]],$P$1,$Q$1,FALSE))</f>
        <v>0</v>
      </c>
      <c r="Q753" s="70" t="b">
        <f>IF(Tab.11[[#This Row],[a1]]=1,_xlfn.NORM.DIST(Tab.11[[#This Row],[b10]],$P$1,$Q$1,FALSE))</f>
        <v>0</v>
      </c>
      <c r="R753" s="67" t="b">
        <f>IF(Tab.11[[#This Row],[a1]]=1,$I$3+$A$989+IF($K$3=0,Tab.11[[#This Row],[b8]]*_xlfn.STDEV.P(Tab.11[data]),AVERAGE(Tab.11[b6])+Tab.11[[#This Row],[b8]]*_xlfn.STDEV.P(Tab.11[data])))</f>
        <v>0</v>
      </c>
      <c r="S753" s="71" t="b">
        <f>IF(Tab.11[[#This Row],[a1]]=1,$I$3+$A$987+IF($K$3=0,Tab.11[[#This Row],[b9]]*_xlfn.STDEV.P(Tab.11[data]),AVERAGE(Tab.11[b6])+Tab.11[[#This Row],[b9]]*_xlfn.STDEV.P(Tab.11[data])))</f>
        <v>0</v>
      </c>
      <c r="T753" s="71" t="b">
        <f>IF(Tab.11[[#This Row],[a1]]=1,$I$3+$A$988+IF($K$3=0,Tab.11[[#This Row],[b10]]*_xlfn.STDEV.P(Tab.11[data]),AVERAGE(Tab.11[b6])+Tab.11[[#This Row],[b10]]*_xlfn.STDEV.P(Tab.11[data])))</f>
        <v>0</v>
      </c>
      <c r="U753" s="72" t="b">
        <f>IF(Tab.11[[#This Row],[a1]]=1,Tab.11[[#This Row],[target]]-Tab.11[[#This Row],[Red]])</f>
        <v>0</v>
      </c>
      <c r="V753" s="72" t="b">
        <f>IF(Tab.11[[#This Row],[a1]]=1,Tab.11[[#This Row],[target]]-Tab.11[[#This Row],[Blue]])</f>
        <v>0</v>
      </c>
      <c r="W753" s="73" t="b">
        <f>IF(Tab.11[[#This Row],[a1]]=1,IF(ABS(Tab.11[[#This Row],[b17]])+ABS(Tab.11[[#This Row],[b18]])&lt;$W$2,$W$2,ABS(Tab.11[[#This Row],[b17]])+ABS(Tab.11[[#This Row],[b18]])))</f>
        <v>0</v>
      </c>
      <c r="X753" s="136" t="b">
        <f>IF(Tab.11[[#This Row],[a1]]=1,IF($W$3&lt;0,Tab.11[[#This Row],[IN]]-$I$3,Tab.11[[#This Row],[IN]]))</f>
        <v>0</v>
      </c>
      <c r="Y753" s="136" t="b">
        <f>IF(Tab.11[[#This Row],[a1]]=1,IF($X$3=0,Tab.11[b66],Tab.11[[#This Row],[b66]]-AVERAGE(Tab.11[b66])))</f>
        <v>0</v>
      </c>
      <c r="Z753" s="135" t="b">
        <f>IF(Tab.11[[#This Row],[a1]]=1,Tab.11[[#This Row],[b77]]/(_xlfn.STDEV.P(Tab.11[b77])))</f>
        <v>0</v>
      </c>
      <c r="AA753" s="70" t="b">
        <f>IF(Tab.11[[#This Row],[a1]]=1,_xlfn.NORM.DIST(Tab.11[[#This Row],[b88]],$Z$1,$AA$1,FALSE))</f>
        <v>0</v>
      </c>
      <c r="AB753" s="74" t="b">
        <f>IF(Tab.11[[#This Row],[a1]]=1,IF($A$3=0,FALSE,1/Tab.11[[#This Row],[IN]]*$AC$2*IF(Tab.11[[#This Row],[a1]]=0,,$A$3*$AC$1*1/$V$3*(Tab.11[[#This Row],[b14]]))))</f>
        <v>0</v>
      </c>
      <c r="AC753" s="75" t="b">
        <f>IF(Tab.11[[#This Row],[a1]]=1,IF($AC$3=0,Tab.11[[#This Row],[φ1]],Tab.11[[#This Row],[φ1]]/MAX(Tab.11[φ1])))</f>
        <v>0</v>
      </c>
      <c r="AD753" s="74" t="b">
        <f>IF(Tab.11[[#This Row],[a1]]=1,1/Tab.11[[#This Row],[φ2]])</f>
        <v>0</v>
      </c>
      <c r="AE753" s="74" t="b">
        <f>IF(Tab.11[[#This Row],[a1]]=1,IF($AE$3=0,Tab.11[[#This Row],[w.0]],Tab.11[[#This Row],[w.0]]/SUM(Tab.11[w.0])))</f>
        <v>0</v>
      </c>
      <c r="AF753" s="76" t="str">
        <f>IF(Tab.11[[#This Row],[a1]]=0,"false",[3]!Tab.x5[[#This Row],[%_seN_C]])</f>
        <v>false</v>
      </c>
      <c r="AG753" s="77" t="b">
        <f>IF(Tab.11[[#This Row],[a1]]=1,AP753)</f>
        <v>0</v>
      </c>
      <c r="AH753" s="78" t="b">
        <f>IF(Tab.11[[#This Row],[a1]]=1,AQ753)</f>
        <v>0</v>
      </c>
      <c r="AI753" s="41">
        <v>3.0000000000000001E-3</v>
      </c>
      <c r="AJ753" s="79">
        <v>0.09</v>
      </c>
      <c r="AK753" s="80" t="b">
        <f>IF(Tab.11[[#This Row],[a1]]=1,1)</f>
        <v>0</v>
      </c>
      <c r="AL753"/>
      <c r="AM753"/>
      <c r="AN753"/>
      <c r="AO753"/>
      <c r="AP753"/>
      <c r="AQ753"/>
      <c r="AR753"/>
      <c r="AS753"/>
    </row>
    <row r="754" spans="1:45" s="81" customFormat="1" hidden="1" x14ac:dyDescent="0.25">
      <c r="A754" s="61">
        <f t="shared" si="25"/>
        <v>0</v>
      </c>
      <c r="B754" s="62">
        <f t="shared" si="25"/>
        <v>0</v>
      </c>
      <c r="C754" s="62" t="b">
        <f>IF(Tab.11[[#This Row],[a1]]=1,[3]!Tab_x1[[#This Row],[Name]])</f>
        <v>0</v>
      </c>
      <c r="D754" s="63" t="b">
        <f>IF(Tab.11[[#This Row],[a1]]=1,AO754)</f>
        <v>0</v>
      </c>
      <c r="E754" s="63">
        <f t="shared" si="24"/>
        <v>0</v>
      </c>
      <c r="F754" s="64" t="b">
        <f>IF(Tab.11[[#This Row],[a1]]=1,Tab.11[[#This Row],[b1]])</f>
        <v>0</v>
      </c>
      <c r="G754" s="65" t="b">
        <f>IF(Tab.11[[#This Row],[a1]]=1,IF(Tab.11[[#This Row],[b3]]&gt;$L$989*$G$3,$L$989*$G$3,IF(Tab.11[[#This Row],[b3]]&lt;$M$989*$G$3,$M$989*$G$3,Tab.11[[#This Row],[b3]])))</f>
        <v>0</v>
      </c>
      <c r="H754" s="66" t="b">
        <f>IF(Tab.11[[#This Row],[a1]]=1,Tab.11[[#This Row],[b1]])</f>
        <v>0</v>
      </c>
      <c r="I754" s="67" t="b">
        <f>IF(Tab.11[[#This Row],[a1]]=1,Tab.11[[#This Row],[b1]])</f>
        <v>0</v>
      </c>
      <c r="J754" s="68" t="b">
        <f>IF(Tab.11[[#This Row],[a1]]=1,IF($I$3&lt;0,Tab.11[[#This Row],[b5]]-$I$3,Tab.11[[#This Row],[b5]]))</f>
        <v>0</v>
      </c>
      <c r="K754" s="68" t="b">
        <f>IF(Tab.11[[#This Row],[a1]]=1,IF($K$3=0,Tab.11[b6],Tab.11[[#This Row],[b6]]-AVERAGE(Tab.11[b6])))</f>
        <v>0</v>
      </c>
      <c r="L754" s="69" t="b">
        <f>IF(Tab.11[[#This Row],[a1]]=1,Tab.11[[#This Row],[data]]/(_xlfn.STDEV.P(Tab.11[data])*$B$989)+$A$989)</f>
        <v>0</v>
      </c>
      <c r="M754" s="69" t="b">
        <f>IF(Tab.11[[#This Row],[a1]]=1,Tab.11[[#This Row],[data]]/(_xlfn.STDEV.P(Tab.11[data])*$B$987)-$A$987)</f>
        <v>0</v>
      </c>
      <c r="N754" s="69" t="b">
        <f>IF(Tab.11[[#This Row],[a1]]=1,Tab.11[[#This Row],[data]]/(_xlfn.STDEV.P(Tab.11[data])*$B$988)+$A$988)</f>
        <v>0</v>
      </c>
      <c r="O754" s="70" t="b">
        <f>IF(Tab.11[[#This Row],[a1]]=1,_xlfn.NORM.DIST(Tab.11[[#This Row],[b8]],$P$1,$Q$1,FALSE))</f>
        <v>0</v>
      </c>
      <c r="P754" s="70" t="b">
        <f>IF(Tab.11[[#This Row],[a1]]=1,_xlfn.NORM.DIST(Tab.11[[#This Row],[b9]],$P$1,$Q$1,FALSE))</f>
        <v>0</v>
      </c>
      <c r="Q754" s="70" t="b">
        <f>IF(Tab.11[[#This Row],[a1]]=1,_xlfn.NORM.DIST(Tab.11[[#This Row],[b10]],$P$1,$Q$1,FALSE))</f>
        <v>0</v>
      </c>
      <c r="R754" s="67" t="b">
        <f>IF(Tab.11[[#This Row],[a1]]=1,$I$3+$A$989+IF($K$3=0,Tab.11[[#This Row],[b8]]*_xlfn.STDEV.P(Tab.11[data]),AVERAGE(Tab.11[b6])+Tab.11[[#This Row],[b8]]*_xlfn.STDEV.P(Tab.11[data])))</f>
        <v>0</v>
      </c>
      <c r="S754" s="71" t="b">
        <f>IF(Tab.11[[#This Row],[a1]]=1,$I$3+$A$987+IF($K$3=0,Tab.11[[#This Row],[b9]]*_xlfn.STDEV.P(Tab.11[data]),AVERAGE(Tab.11[b6])+Tab.11[[#This Row],[b9]]*_xlfn.STDEV.P(Tab.11[data])))</f>
        <v>0</v>
      </c>
      <c r="T754" s="71" t="b">
        <f>IF(Tab.11[[#This Row],[a1]]=1,$I$3+$A$988+IF($K$3=0,Tab.11[[#This Row],[b10]]*_xlfn.STDEV.P(Tab.11[data]),AVERAGE(Tab.11[b6])+Tab.11[[#This Row],[b10]]*_xlfn.STDEV.P(Tab.11[data])))</f>
        <v>0</v>
      </c>
      <c r="U754" s="72" t="b">
        <f>IF(Tab.11[[#This Row],[a1]]=1,Tab.11[[#This Row],[target]]-Tab.11[[#This Row],[Red]])</f>
        <v>0</v>
      </c>
      <c r="V754" s="72" t="b">
        <f>IF(Tab.11[[#This Row],[a1]]=1,Tab.11[[#This Row],[target]]-Tab.11[[#This Row],[Blue]])</f>
        <v>0</v>
      </c>
      <c r="W754" s="73" t="b">
        <f>IF(Tab.11[[#This Row],[a1]]=1,IF(ABS(Tab.11[[#This Row],[b17]])+ABS(Tab.11[[#This Row],[b18]])&lt;$W$2,$W$2,ABS(Tab.11[[#This Row],[b17]])+ABS(Tab.11[[#This Row],[b18]])))</f>
        <v>0</v>
      </c>
      <c r="X754" s="136" t="b">
        <f>IF(Tab.11[[#This Row],[a1]]=1,IF($W$3&lt;0,Tab.11[[#This Row],[IN]]-$I$3,Tab.11[[#This Row],[IN]]))</f>
        <v>0</v>
      </c>
      <c r="Y754" s="136" t="b">
        <f>IF(Tab.11[[#This Row],[a1]]=1,IF($X$3=0,Tab.11[b66],Tab.11[[#This Row],[b66]]-AVERAGE(Tab.11[b66])))</f>
        <v>0</v>
      </c>
      <c r="Z754" s="135" t="b">
        <f>IF(Tab.11[[#This Row],[a1]]=1,Tab.11[[#This Row],[b77]]/(_xlfn.STDEV.P(Tab.11[b77])))</f>
        <v>0</v>
      </c>
      <c r="AA754" s="70" t="b">
        <f>IF(Tab.11[[#This Row],[a1]]=1,_xlfn.NORM.DIST(Tab.11[[#This Row],[b88]],$Z$1,$AA$1,FALSE))</f>
        <v>0</v>
      </c>
      <c r="AB754" s="74" t="b">
        <f>IF(Tab.11[[#This Row],[a1]]=1,IF($A$3=0,FALSE,1/Tab.11[[#This Row],[IN]]*$AC$2*IF(Tab.11[[#This Row],[a1]]=0,,$A$3*$AC$1*1/$V$3*(Tab.11[[#This Row],[b14]]))))</f>
        <v>0</v>
      </c>
      <c r="AC754" s="75" t="b">
        <f>IF(Tab.11[[#This Row],[a1]]=1,IF($AC$3=0,Tab.11[[#This Row],[φ1]],Tab.11[[#This Row],[φ1]]/MAX(Tab.11[φ1])))</f>
        <v>0</v>
      </c>
      <c r="AD754" s="74" t="b">
        <f>IF(Tab.11[[#This Row],[a1]]=1,1/Tab.11[[#This Row],[φ2]])</f>
        <v>0</v>
      </c>
      <c r="AE754" s="74" t="b">
        <f>IF(Tab.11[[#This Row],[a1]]=1,IF($AE$3=0,Tab.11[[#This Row],[w.0]],Tab.11[[#This Row],[w.0]]/SUM(Tab.11[w.0])))</f>
        <v>0</v>
      </c>
      <c r="AF754" s="76" t="str">
        <f>IF(Tab.11[[#This Row],[a1]]=0,"false",[3]!Tab.x5[[#This Row],[%_seN_C]])</f>
        <v>false</v>
      </c>
      <c r="AG754" s="77" t="b">
        <f>IF(Tab.11[[#This Row],[a1]]=1,AP754)</f>
        <v>0</v>
      </c>
      <c r="AH754" s="78" t="b">
        <f>IF(Tab.11[[#This Row],[a1]]=1,AQ754)</f>
        <v>0</v>
      </c>
      <c r="AI754" s="41">
        <v>3.0000000000000001E-3</v>
      </c>
      <c r="AJ754" s="79">
        <v>-0.04</v>
      </c>
      <c r="AK754" s="80" t="b">
        <f>IF(Tab.11[[#This Row],[a1]]=1,1)</f>
        <v>0</v>
      </c>
      <c r="AL754"/>
      <c r="AM754"/>
      <c r="AN754"/>
      <c r="AO754"/>
      <c r="AP754"/>
      <c r="AQ754"/>
      <c r="AR754"/>
      <c r="AS754"/>
    </row>
    <row r="755" spans="1:45" s="81" customFormat="1" hidden="1" x14ac:dyDescent="0.25">
      <c r="A755" s="61">
        <f t="shared" si="25"/>
        <v>0</v>
      </c>
      <c r="B755" s="62">
        <f t="shared" si="25"/>
        <v>0</v>
      </c>
      <c r="C755" s="62" t="b">
        <f>IF(Tab.11[[#This Row],[a1]]=1,[3]!Tab_x1[[#This Row],[Name]])</f>
        <v>0</v>
      </c>
      <c r="D755" s="63" t="b">
        <f>IF(Tab.11[[#This Row],[a1]]=1,AO755)</f>
        <v>0</v>
      </c>
      <c r="E755" s="63">
        <f t="shared" si="24"/>
        <v>0</v>
      </c>
      <c r="F755" s="64" t="b">
        <f>IF(Tab.11[[#This Row],[a1]]=1,Tab.11[[#This Row],[b1]])</f>
        <v>0</v>
      </c>
      <c r="G755" s="65" t="b">
        <f>IF(Tab.11[[#This Row],[a1]]=1,IF(Tab.11[[#This Row],[b3]]&gt;$L$989*$G$3,$L$989*$G$3,IF(Tab.11[[#This Row],[b3]]&lt;$M$989*$G$3,$M$989*$G$3,Tab.11[[#This Row],[b3]])))</f>
        <v>0</v>
      </c>
      <c r="H755" s="66" t="b">
        <f>IF(Tab.11[[#This Row],[a1]]=1,Tab.11[[#This Row],[b1]])</f>
        <v>0</v>
      </c>
      <c r="I755" s="67" t="b">
        <f>IF(Tab.11[[#This Row],[a1]]=1,Tab.11[[#This Row],[b1]])</f>
        <v>0</v>
      </c>
      <c r="J755" s="68" t="b">
        <f>IF(Tab.11[[#This Row],[a1]]=1,IF($I$3&lt;0,Tab.11[[#This Row],[b5]]-$I$3,Tab.11[[#This Row],[b5]]))</f>
        <v>0</v>
      </c>
      <c r="K755" s="68" t="b">
        <f>IF(Tab.11[[#This Row],[a1]]=1,IF($K$3=0,Tab.11[b6],Tab.11[[#This Row],[b6]]-AVERAGE(Tab.11[b6])))</f>
        <v>0</v>
      </c>
      <c r="L755" s="69" t="b">
        <f>IF(Tab.11[[#This Row],[a1]]=1,Tab.11[[#This Row],[data]]/(_xlfn.STDEV.P(Tab.11[data])*$B$989)+$A$989)</f>
        <v>0</v>
      </c>
      <c r="M755" s="69" t="b">
        <f>IF(Tab.11[[#This Row],[a1]]=1,Tab.11[[#This Row],[data]]/(_xlfn.STDEV.P(Tab.11[data])*$B$987)-$A$987)</f>
        <v>0</v>
      </c>
      <c r="N755" s="69" t="b">
        <f>IF(Tab.11[[#This Row],[a1]]=1,Tab.11[[#This Row],[data]]/(_xlfn.STDEV.P(Tab.11[data])*$B$988)+$A$988)</f>
        <v>0</v>
      </c>
      <c r="O755" s="70" t="b">
        <f>IF(Tab.11[[#This Row],[a1]]=1,_xlfn.NORM.DIST(Tab.11[[#This Row],[b8]],$P$1,$Q$1,FALSE))</f>
        <v>0</v>
      </c>
      <c r="P755" s="70" t="b">
        <f>IF(Tab.11[[#This Row],[a1]]=1,_xlfn.NORM.DIST(Tab.11[[#This Row],[b9]],$P$1,$Q$1,FALSE))</f>
        <v>0</v>
      </c>
      <c r="Q755" s="70" t="b">
        <f>IF(Tab.11[[#This Row],[a1]]=1,_xlfn.NORM.DIST(Tab.11[[#This Row],[b10]],$P$1,$Q$1,FALSE))</f>
        <v>0</v>
      </c>
      <c r="R755" s="67" t="b">
        <f>IF(Tab.11[[#This Row],[a1]]=1,$I$3+$A$989+IF($K$3=0,Tab.11[[#This Row],[b8]]*_xlfn.STDEV.P(Tab.11[data]),AVERAGE(Tab.11[b6])+Tab.11[[#This Row],[b8]]*_xlfn.STDEV.P(Tab.11[data])))</f>
        <v>0</v>
      </c>
      <c r="S755" s="71" t="b">
        <f>IF(Tab.11[[#This Row],[a1]]=1,$I$3+$A$987+IF($K$3=0,Tab.11[[#This Row],[b9]]*_xlfn.STDEV.P(Tab.11[data]),AVERAGE(Tab.11[b6])+Tab.11[[#This Row],[b9]]*_xlfn.STDEV.P(Tab.11[data])))</f>
        <v>0</v>
      </c>
      <c r="T755" s="71" t="b">
        <f>IF(Tab.11[[#This Row],[a1]]=1,$I$3+$A$988+IF($K$3=0,Tab.11[[#This Row],[b10]]*_xlfn.STDEV.P(Tab.11[data]),AVERAGE(Tab.11[b6])+Tab.11[[#This Row],[b10]]*_xlfn.STDEV.P(Tab.11[data])))</f>
        <v>0</v>
      </c>
      <c r="U755" s="72" t="b">
        <f>IF(Tab.11[[#This Row],[a1]]=1,Tab.11[[#This Row],[target]]-Tab.11[[#This Row],[Red]])</f>
        <v>0</v>
      </c>
      <c r="V755" s="72" t="b">
        <f>IF(Tab.11[[#This Row],[a1]]=1,Tab.11[[#This Row],[target]]-Tab.11[[#This Row],[Blue]])</f>
        <v>0</v>
      </c>
      <c r="W755" s="73" t="b">
        <f>IF(Tab.11[[#This Row],[a1]]=1,IF(ABS(Tab.11[[#This Row],[b17]])+ABS(Tab.11[[#This Row],[b18]])&lt;$W$2,$W$2,ABS(Tab.11[[#This Row],[b17]])+ABS(Tab.11[[#This Row],[b18]])))</f>
        <v>0</v>
      </c>
      <c r="X755" s="136" t="b">
        <f>IF(Tab.11[[#This Row],[a1]]=1,IF($W$3&lt;0,Tab.11[[#This Row],[IN]]-$I$3,Tab.11[[#This Row],[IN]]))</f>
        <v>0</v>
      </c>
      <c r="Y755" s="136" t="b">
        <f>IF(Tab.11[[#This Row],[a1]]=1,IF($X$3=0,Tab.11[b66],Tab.11[[#This Row],[b66]]-AVERAGE(Tab.11[b66])))</f>
        <v>0</v>
      </c>
      <c r="Z755" s="135" t="b">
        <f>IF(Tab.11[[#This Row],[a1]]=1,Tab.11[[#This Row],[b77]]/(_xlfn.STDEV.P(Tab.11[b77])))</f>
        <v>0</v>
      </c>
      <c r="AA755" s="70" t="b">
        <f>IF(Tab.11[[#This Row],[a1]]=1,_xlfn.NORM.DIST(Tab.11[[#This Row],[b88]],$Z$1,$AA$1,FALSE))</f>
        <v>0</v>
      </c>
      <c r="AB755" s="74" t="b">
        <f>IF(Tab.11[[#This Row],[a1]]=1,IF($A$3=0,FALSE,1/Tab.11[[#This Row],[IN]]*$AC$2*IF(Tab.11[[#This Row],[a1]]=0,,$A$3*$AC$1*1/$V$3*(Tab.11[[#This Row],[b14]]))))</f>
        <v>0</v>
      </c>
      <c r="AC755" s="75" t="b">
        <f>IF(Tab.11[[#This Row],[a1]]=1,IF($AC$3=0,Tab.11[[#This Row],[φ1]],Tab.11[[#This Row],[φ1]]/MAX(Tab.11[φ1])))</f>
        <v>0</v>
      </c>
      <c r="AD755" s="74" t="b">
        <f>IF(Tab.11[[#This Row],[a1]]=1,1/Tab.11[[#This Row],[φ2]])</f>
        <v>0</v>
      </c>
      <c r="AE755" s="74" t="b">
        <f>IF(Tab.11[[#This Row],[a1]]=1,IF($AE$3=0,Tab.11[[#This Row],[w.0]],Tab.11[[#This Row],[w.0]]/SUM(Tab.11[w.0])))</f>
        <v>0</v>
      </c>
      <c r="AF755" s="76" t="str">
        <f>IF(Tab.11[[#This Row],[a1]]=0,"false",[3]!Tab.x5[[#This Row],[%_seN_C]])</f>
        <v>false</v>
      </c>
      <c r="AG755" s="77" t="b">
        <f>IF(Tab.11[[#This Row],[a1]]=1,AP755)</f>
        <v>0</v>
      </c>
      <c r="AH755" s="78" t="b">
        <f>IF(Tab.11[[#This Row],[a1]]=1,AQ755)</f>
        <v>0</v>
      </c>
      <c r="AI755" s="41">
        <v>3.0000000000000001E-3</v>
      </c>
      <c r="AJ755" s="79">
        <v>0.02</v>
      </c>
      <c r="AK755" s="80" t="b">
        <f>IF(Tab.11[[#This Row],[a1]]=1,1)</f>
        <v>0</v>
      </c>
      <c r="AL755"/>
      <c r="AM755"/>
      <c r="AN755"/>
      <c r="AO755"/>
      <c r="AP755"/>
      <c r="AQ755"/>
      <c r="AR755"/>
      <c r="AS755"/>
    </row>
    <row r="756" spans="1:45" s="81" customFormat="1" hidden="1" x14ac:dyDescent="0.25">
      <c r="A756" s="61">
        <f t="shared" si="25"/>
        <v>0</v>
      </c>
      <c r="B756" s="62">
        <f t="shared" si="25"/>
        <v>0</v>
      </c>
      <c r="C756" s="62" t="b">
        <f>IF(Tab.11[[#This Row],[a1]]=1,[3]!Tab_x1[[#This Row],[Name]])</f>
        <v>0</v>
      </c>
      <c r="D756" s="63" t="b">
        <f>IF(Tab.11[[#This Row],[a1]]=1,AO756)</f>
        <v>0</v>
      </c>
      <c r="E756" s="63">
        <f t="shared" si="24"/>
        <v>0</v>
      </c>
      <c r="F756" s="64" t="b">
        <f>IF(Tab.11[[#This Row],[a1]]=1,Tab.11[[#This Row],[b1]])</f>
        <v>0</v>
      </c>
      <c r="G756" s="65" t="b">
        <f>IF(Tab.11[[#This Row],[a1]]=1,IF(Tab.11[[#This Row],[b3]]&gt;$L$989*$G$3,$L$989*$G$3,IF(Tab.11[[#This Row],[b3]]&lt;$M$989*$G$3,$M$989*$G$3,Tab.11[[#This Row],[b3]])))</f>
        <v>0</v>
      </c>
      <c r="H756" s="66" t="b">
        <f>IF(Tab.11[[#This Row],[a1]]=1,Tab.11[[#This Row],[b1]])</f>
        <v>0</v>
      </c>
      <c r="I756" s="67" t="b">
        <f>IF(Tab.11[[#This Row],[a1]]=1,Tab.11[[#This Row],[b1]])</f>
        <v>0</v>
      </c>
      <c r="J756" s="68" t="b">
        <f>IF(Tab.11[[#This Row],[a1]]=1,IF($I$3&lt;0,Tab.11[[#This Row],[b5]]-$I$3,Tab.11[[#This Row],[b5]]))</f>
        <v>0</v>
      </c>
      <c r="K756" s="68" t="b">
        <f>IF(Tab.11[[#This Row],[a1]]=1,IF($K$3=0,Tab.11[b6],Tab.11[[#This Row],[b6]]-AVERAGE(Tab.11[b6])))</f>
        <v>0</v>
      </c>
      <c r="L756" s="69" t="b">
        <f>IF(Tab.11[[#This Row],[a1]]=1,Tab.11[[#This Row],[data]]/(_xlfn.STDEV.P(Tab.11[data])*$B$989)+$A$989)</f>
        <v>0</v>
      </c>
      <c r="M756" s="69" t="b">
        <f>IF(Tab.11[[#This Row],[a1]]=1,Tab.11[[#This Row],[data]]/(_xlfn.STDEV.P(Tab.11[data])*$B$987)-$A$987)</f>
        <v>0</v>
      </c>
      <c r="N756" s="69" t="b">
        <f>IF(Tab.11[[#This Row],[a1]]=1,Tab.11[[#This Row],[data]]/(_xlfn.STDEV.P(Tab.11[data])*$B$988)+$A$988)</f>
        <v>0</v>
      </c>
      <c r="O756" s="70" t="b">
        <f>IF(Tab.11[[#This Row],[a1]]=1,_xlfn.NORM.DIST(Tab.11[[#This Row],[b8]],$P$1,$Q$1,FALSE))</f>
        <v>0</v>
      </c>
      <c r="P756" s="70" t="b">
        <f>IF(Tab.11[[#This Row],[a1]]=1,_xlfn.NORM.DIST(Tab.11[[#This Row],[b9]],$P$1,$Q$1,FALSE))</f>
        <v>0</v>
      </c>
      <c r="Q756" s="70" t="b">
        <f>IF(Tab.11[[#This Row],[a1]]=1,_xlfn.NORM.DIST(Tab.11[[#This Row],[b10]],$P$1,$Q$1,FALSE))</f>
        <v>0</v>
      </c>
      <c r="R756" s="67" t="b">
        <f>IF(Tab.11[[#This Row],[a1]]=1,$I$3+$A$989+IF($K$3=0,Tab.11[[#This Row],[b8]]*_xlfn.STDEV.P(Tab.11[data]),AVERAGE(Tab.11[b6])+Tab.11[[#This Row],[b8]]*_xlfn.STDEV.P(Tab.11[data])))</f>
        <v>0</v>
      </c>
      <c r="S756" s="71" t="b">
        <f>IF(Tab.11[[#This Row],[a1]]=1,$I$3+$A$987+IF($K$3=0,Tab.11[[#This Row],[b9]]*_xlfn.STDEV.P(Tab.11[data]),AVERAGE(Tab.11[b6])+Tab.11[[#This Row],[b9]]*_xlfn.STDEV.P(Tab.11[data])))</f>
        <v>0</v>
      </c>
      <c r="T756" s="71" t="b">
        <f>IF(Tab.11[[#This Row],[a1]]=1,$I$3+$A$988+IF($K$3=0,Tab.11[[#This Row],[b10]]*_xlfn.STDEV.P(Tab.11[data]),AVERAGE(Tab.11[b6])+Tab.11[[#This Row],[b10]]*_xlfn.STDEV.P(Tab.11[data])))</f>
        <v>0</v>
      </c>
      <c r="U756" s="72" t="b">
        <f>IF(Tab.11[[#This Row],[a1]]=1,Tab.11[[#This Row],[target]]-Tab.11[[#This Row],[Red]])</f>
        <v>0</v>
      </c>
      <c r="V756" s="72" t="b">
        <f>IF(Tab.11[[#This Row],[a1]]=1,Tab.11[[#This Row],[target]]-Tab.11[[#This Row],[Blue]])</f>
        <v>0</v>
      </c>
      <c r="W756" s="73" t="b">
        <f>IF(Tab.11[[#This Row],[a1]]=1,IF(ABS(Tab.11[[#This Row],[b17]])+ABS(Tab.11[[#This Row],[b18]])&lt;$W$2,$W$2,ABS(Tab.11[[#This Row],[b17]])+ABS(Tab.11[[#This Row],[b18]])))</f>
        <v>0</v>
      </c>
      <c r="X756" s="136" t="b">
        <f>IF(Tab.11[[#This Row],[a1]]=1,IF($W$3&lt;0,Tab.11[[#This Row],[IN]]-$I$3,Tab.11[[#This Row],[IN]]))</f>
        <v>0</v>
      </c>
      <c r="Y756" s="136" t="b">
        <f>IF(Tab.11[[#This Row],[a1]]=1,IF($X$3=0,Tab.11[b66],Tab.11[[#This Row],[b66]]-AVERAGE(Tab.11[b66])))</f>
        <v>0</v>
      </c>
      <c r="Z756" s="135" t="b">
        <f>IF(Tab.11[[#This Row],[a1]]=1,Tab.11[[#This Row],[b77]]/(_xlfn.STDEV.P(Tab.11[b77])))</f>
        <v>0</v>
      </c>
      <c r="AA756" s="70" t="b">
        <f>IF(Tab.11[[#This Row],[a1]]=1,_xlfn.NORM.DIST(Tab.11[[#This Row],[b88]],$Z$1,$AA$1,FALSE))</f>
        <v>0</v>
      </c>
      <c r="AB756" s="74" t="b">
        <f>IF(Tab.11[[#This Row],[a1]]=1,IF($A$3=0,FALSE,1/Tab.11[[#This Row],[IN]]*$AC$2*IF(Tab.11[[#This Row],[a1]]=0,,$A$3*$AC$1*1/$V$3*(Tab.11[[#This Row],[b14]]))))</f>
        <v>0</v>
      </c>
      <c r="AC756" s="75" t="b">
        <f>IF(Tab.11[[#This Row],[a1]]=1,IF($AC$3=0,Tab.11[[#This Row],[φ1]],Tab.11[[#This Row],[φ1]]/MAX(Tab.11[φ1])))</f>
        <v>0</v>
      </c>
      <c r="AD756" s="74" t="b">
        <f>IF(Tab.11[[#This Row],[a1]]=1,1/Tab.11[[#This Row],[φ2]])</f>
        <v>0</v>
      </c>
      <c r="AE756" s="74" t="b">
        <f>IF(Tab.11[[#This Row],[a1]]=1,IF($AE$3=0,Tab.11[[#This Row],[w.0]],Tab.11[[#This Row],[w.0]]/SUM(Tab.11[w.0])))</f>
        <v>0</v>
      </c>
      <c r="AF756" s="76" t="str">
        <f>IF(Tab.11[[#This Row],[a1]]=0,"false",[3]!Tab.x5[[#This Row],[%_seN_C]])</f>
        <v>false</v>
      </c>
      <c r="AG756" s="77" t="b">
        <f>IF(Tab.11[[#This Row],[a1]]=1,AP756)</f>
        <v>0</v>
      </c>
      <c r="AH756" s="78" t="b">
        <f>IF(Tab.11[[#This Row],[a1]]=1,AQ756)</f>
        <v>0</v>
      </c>
      <c r="AI756" s="41">
        <v>3.0000000000000001E-3</v>
      </c>
      <c r="AJ756" s="79">
        <v>0</v>
      </c>
      <c r="AK756" s="80" t="b">
        <f>IF(Tab.11[[#This Row],[a1]]=1,1)</f>
        <v>0</v>
      </c>
      <c r="AL756"/>
      <c r="AM756"/>
      <c r="AN756"/>
      <c r="AO756"/>
      <c r="AP756"/>
      <c r="AQ756"/>
      <c r="AR756"/>
      <c r="AS756"/>
    </row>
    <row r="757" spans="1:45" s="81" customFormat="1" hidden="1" x14ac:dyDescent="0.25">
      <c r="A757" s="61">
        <f t="shared" si="25"/>
        <v>0</v>
      </c>
      <c r="B757" s="62">
        <f t="shared" si="25"/>
        <v>0</v>
      </c>
      <c r="C757" s="62" t="b">
        <f>IF(Tab.11[[#This Row],[a1]]=1,[3]!Tab_x1[[#This Row],[Name]])</f>
        <v>0</v>
      </c>
      <c r="D757" s="63" t="b">
        <f>IF(Tab.11[[#This Row],[a1]]=1,AO757)</f>
        <v>0</v>
      </c>
      <c r="E757" s="63">
        <f t="shared" si="24"/>
        <v>0</v>
      </c>
      <c r="F757" s="64" t="b">
        <f>IF(Tab.11[[#This Row],[a1]]=1,Tab.11[[#This Row],[b1]])</f>
        <v>0</v>
      </c>
      <c r="G757" s="65" t="b">
        <f>IF(Tab.11[[#This Row],[a1]]=1,IF(Tab.11[[#This Row],[b3]]&gt;$L$989*$G$3,$L$989*$G$3,IF(Tab.11[[#This Row],[b3]]&lt;$M$989*$G$3,$M$989*$G$3,Tab.11[[#This Row],[b3]])))</f>
        <v>0</v>
      </c>
      <c r="H757" s="66" t="b">
        <f>IF(Tab.11[[#This Row],[a1]]=1,Tab.11[[#This Row],[b1]])</f>
        <v>0</v>
      </c>
      <c r="I757" s="67" t="b">
        <f>IF(Tab.11[[#This Row],[a1]]=1,Tab.11[[#This Row],[b1]])</f>
        <v>0</v>
      </c>
      <c r="J757" s="68" t="b">
        <f>IF(Tab.11[[#This Row],[a1]]=1,IF($I$3&lt;0,Tab.11[[#This Row],[b5]]-$I$3,Tab.11[[#This Row],[b5]]))</f>
        <v>0</v>
      </c>
      <c r="K757" s="68" t="b">
        <f>IF(Tab.11[[#This Row],[a1]]=1,IF($K$3=0,Tab.11[b6],Tab.11[[#This Row],[b6]]-AVERAGE(Tab.11[b6])))</f>
        <v>0</v>
      </c>
      <c r="L757" s="69" t="b">
        <f>IF(Tab.11[[#This Row],[a1]]=1,Tab.11[[#This Row],[data]]/(_xlfn.STDEV.P(Tab.11[data])*$B$989)+$A$989)</f>
        <v>0</v>
      </c>
      <c r="M757" s="69" t="b">
        <f>IF(Tab.11[[#This Row],[a1]]=1,Tab.11[[#This Row],[data]]/(_xlfn.STDEV.P(Tab.11[data])*$B$987)-$A$987)</f>
        <v>0</v>
      </c>
      <c r="N757" s="69" t="b">
        <f>IF(Tab.11[[#This Row],[a1]]=1,Tab.11[[#This Row],[data]]/(_xlfn.STDEV.P(Tab.11[data])*$B$988)+$A$988)</f>
        <v>0</v>
      </c>
      <c r="O757" s="70" t="b">
        <f>IF(Tab.11[[#This Row],[a1]]=1,_xlfn.NORM.DIST(Tab.11[[#This Row],[b8]],$P$1,$Q$1,FALSE))</f>
        <v>0</v>
      </c>
      <c r="P757" s="70" t="b">
        <f>IF(Tab.11[[#This Row],[a1]]=1,_xlfn.NORM.DIST(Tab.11[[#This Row],[b9]],$P$1,$Q$1,FALSE))</f>
        <v>0</v>
      </c>
      <c r="Q757" s="70" t="b">
        <f>IF(Tab.11[[#This Row],[a1]]=1,_xlfn.NORM.DIST(Tab.11[[#This Row],[b10]],$P$1,$Q$1,FALSE))</f>
        <v>0</v>
      </c>
      <c r="R757" s="67" t="b">
        <f>IF(Tab.11[[#This Row],[a1]]=1,$I$3+$A$989+IF($K$3=0,Tab.11[[#This Row],[b8]]*_xlfn.STDEV.P(Tab.11[data]),AVERAGE(Tab.11[b6])+Tab.11[[#This Row],[b8]]*_xlfn.STDEV.P(Tab.11[data])))</f>
        <v>0</v>
      </c>
      <c r="S757" s="71" t="b">
        <f>IF(Tab.11[[#This Row],[a1]]=1,$I$3+$A$987+IF($K$3=0,Tab.11[[#This Row],[b9]]*_xlfn.STDEV.P(Tab.11[data]),AVERAGE(Tab.11[b6])+Tab.11[[#This Row],[b9]]*_xlfn.STDEV.P(Tab.11[data])))</f>
        <v>0</v>
      </c>
      <c r="T757" s="71" t="b">
        <f>IF(Tab.11[[#This Row],[a1]]=1,$I$3+$A$988+IF($K$3=0,Tab.11[[#This Row],[b10]]*_xlfn.STDEV.P(Tab.11[data]),AVERAGE(Tab.11[b6])+Tab.11[[#This Row],[b10]]*_xlfn.STDEV.P(Tab.11[data])))</f>
        <v>0</v>
      </c>
      <c r="U757" s="72" t="b">
        <f>IF(Tab.11[[#This Row],[a1]]=1,Tab.11[[#This Row],[target]]-Tab.11[[#This Row],[Red]])</f>
        <v>0</v>
      </c>
      <c r="V757" s="72" t="b">
        <f>IF(Tab.11[[#This Row],[a1]]=1,Tab.11[[#This Row],[target]]-Tab.11[[#This Row],[Blue]])</f>
        <v>0</v>
      </c>
      <c r="W757" s="73" t="b">
        <f>IF(Tab.11[[#This Row],[a1]]=1,IF(ABS(Tab.11[[#This Row],[b17]])+ABS(Tab.11[[#This Row],[b18]])&lt;$W$2,$W$2,ABS(Tab.11[[#This Row],[b17]])+ABS(Tab.11[[#This Row],[b18]])))</f>
        <v>0</v>
      </c>
      <c r="X757" s="136" t="b">
        <f>IF(Tab.11[[#This Row],[a1]]=1,IF($W$3&lt;0,Tab.11[[#This Row],[IN]]-$I$3,Tab.11[[#This Row],[IN]]))</f>
        <v>0</v>
      </c>
      <c r="Y757" s="136" t="b">
        <f>IF(Tab.11[[#This Row],[a1]]=1,IF($X$3=0,Tab.11[b66],Tab.11[[#This Row],[b66]]-AVERAGE(Tab.11[b66])))</f>
        <v>0</v>
      </c>
      <c r="Z757" s="135" t="b">
        <f>IF(Tab.11[[#This Row],[a1]]=1,Tab.11[[#This Row],[b77]]/(_xlfn.STDEV.P(Tab.11[b77])))</f>
        <v>0</v>
      </c>
      <c r="AA757" s="70" t="b">
        <f>IF(Tab.11[[#This Row],[a1]]=1,_xlfn.NORM.DIST(Tab.11[[#This Row],[b88]],$Z$1,$AA$1,FALSE))</f>
        <v>0</v>
      </c>
      <c r="AB757" s="74" t="b">
        <f>IF(Tab.11[[#This Row],[a1]]=1,IF($A$3=0,FALSE,1/Tab.11[[#This Row],[IN]]*$AC$2*IF(Tab.11[[#This Row],[a1]]=0,,$A$3*$AC$1*1/$V$3*(Tab.11[[#This Row],[b14]]))))</f>
        <v>0</v>
      </c>
      <c r="AC757" s="75" t="b">
        <f>IF(Tab.11[[#This Row],[a1]]=1,IF($AC$3=0,Tab.11[[#This Row],[φ1]],Tab.11[[#This Row],[φ1]]/MAX(Tab.11[φ1])))</f>
        <v>0</v>
      </c>
      <c r="AD757" s="74" t="b">
        <f>IF(Tab.11[[#This Row],[a1]]=1,1/Tab.11[[#This Row],[φ2]])</f>
        <v>0</v>
      </c>
      <c r="AE757" s="74" t="b">
        <f>IF(Tab.11[[#This Row],[a1]]=1,IF($AE$3=0,Tab.11[[#This Row],[w.0]],Tab.11[[#This Row],[w.0]]/SUM(Tab.11[w.0])))</f>
        <v>0</v>
      </c>
      <c r="AF757" s="76" t="str">
        <f>IF(Tab.11[[#This Row],[a1]]=0,"false",[3]!Tab.x5[[#This Row],[%_seN_C]])</f>
        <v>false</v>
      </c>
      <c r="AG757" s="77" t="b">
        <f>IF(Tab.11[[#This Row],[a1]]=1,AP757)</f>
        <v>0</v>
      </c>
      <c r="AH757" s="78" t="b">
        <f>IF(Tab.11[[#This Row],[a1]]=1,AQ757)</f>
        <v>0</v>
      </c>
      <c r="AI757" s="41">
        <v>3.0000000000000001E-3</v>
      </c>
      <c r="AJ757" s="79">
        <v>0.02</v>
      </c>
      <c r="AK757" s="80" t="b">
        <f>IF(Tab.11[[#This Row],[a1]]=1,1)</f>
        <v>0</v>
      </c>
      <c r="AL757"/>
      <c r="AM757"/>
      <c r="AN757"/>
      <c r="AO757"/>
      <c r="AP757"/>
      <c r="AQ757"/>
      <c r="AR757"/>
      <c r="AS757"/>
    </row>
    <row r="758" spans="1:45" s="81" customFormat="1" hidden="1" x14ac:dyDescent="0.25">
      <c r="A758" s="61">
        <f t="shared" si="25"/>
        <v>0</v>
      </c>
      <c r="B758" s="62">
        <f t="shared" si="25"/>
        <v>0</v>
      </c>
      <c r="C758" s="62" t="b">
        <f>IF(Tab.11[[#This Row],[a1]]=1,[3]!Tab_x1[[#This Row],[Name]])</f>
        <v>0</v>
      </c>
      <c r="D758" s="63" t="b">
        <f>IF(Tab.11[[#This Row],[a1]]=1,AO758)</f>
        <v>0</v>
      </c>
      <c r="E758" s="63">
        <f t="shared" si="24"/>
        <v>0</v>
      </c>
      <c r="F758" s="64" t="b">
        <f>IF(Tab.11[[#This Row],[a1]]=1,Tab.11[[#This Row],[b1]])</f>
        <v>0</v>
      </c>
      <c r="G758" s="65" t="b">
        <f>IF(Tab.11[[#This Row],[a1]]=1,IF(Tab.11[[#This Row],[b3]]&gt;$L$989*$G$3,$L$989*$G$3,IF(Tab.11[[#This Row],[b3]]&lt;$M$989*$G$3,$M$989*$G$3,Tab.11[[#This Row],[b3]])))</f>
        <v>0</v>
      </c>
      <c r="H758" s="66" t="b">
        <f>IF(Tab.11[[#This Row],[a1]]=1,Tab.11[[#This Row],[b1]])</f>
        <v>0</v>
      </c>
      <c r="I758" s="67" t="b">
        <f>IF(Tab.11[[#This Row],[a1]]=1,Tab.11[[#This Row],[b1]])</f>
        <v>0</v>
      </c>
      <c r="J758" s="68" t="b">
        <f>IF(Tab.11[[#This Row],[a1]]=1,IF($I$3&lt;0,Tab.11[[#This Row],[b5]]-$I$3,Tab.11[[#This Row],[b5]]))</f>
        <v>0</v>
      </c>
      <c r="K758" s="68" t="b">
        <f>IF(Tab.11[[#This Row],[a1]]=1,IF($K$3=0,Tab.11[b6],Tab.11[[#This Row],[b6]]-AVERAGE(Tab.11[b6])))</f>
        <v>0</v>
      </c>
      <c r="L758" s="69" t="b">
        <f>IF(Tab.11[[#This Row],[a1]]=1,Tab.11[[#This Row],[data]]/(_xlfn.STDEV.P(Tab.11[data])*$B$989)+$A$989)</f>
        <v>0</v>
      </c>
      <c r="M758" s="69" t="b">
        <f>IF(Tab.11[[#This Row],[a1]]=1,Tab.11[[#This Row],[data]]/(_xlfn.STDEV.P(Tab.11[data])*$B$987)-$A$987)</f>
        <v>0</v>
      </c>
      <c r="N758" s="69" t="b">
        <f>IF(Tab.11[[#This Row],[a1]]=1,Tab.11[[#This Row],[data]]/(_xlfn.STDEV.P(Tab.11[data])*$B$988)+$A$988)</f>
        <v>0</v>
      </c>
      <c r="O758" s="70" t="b">
        <f>IF(Tab.11[[#This Row],[a1]]=1,_xlfn.NORM.DIST(Tab.11[[#This Row],[b8]],$P$1,$Q$1,FALSE))</f>
        <v>0</v>
      </c>
      <c r="P758" s="70" t="b">
        <f>IF(Tab.11[[#This Row],[a1]]=1,_xlfn.NORM.DIST(Tab.11[[#This Row],[b9]],$P$1,$Q$1,FALSE))</f>
        <v>0</v>
      </c>
      <c r="Q758" s="70" t="b">
        <f>IF(Tab.11[[#This Row],[a1]]=1,_xlfn.NORM.DIST(Tab.11[[#This Row],[b10]],$P$1,$Q$1,FALSE))</f>
        <v>0</v>
      </c>
      <c r="R758" s="67" t="b">
        <f>IF(Tab.11[[#This Row],[a1]]=1,$I$3+$A$989+IF($K$3=0,Tab.11[[#This Row],[b8]]*_xlfn.STDEV.P(Tab.11[data]),AVERAGE(Tab.11[b6])+Tab.11[[#This Row],[b8]]*_xlfn.STDEV.P(Tab.11[data])))</f>
        <v>0</v>
      </c>
      <c r="S758" s="71" t="b">
        <f>IF(Tab.11[[#This Row],[a1]]=1,$I$3+$A$987+IF($K$3=0,Tab.11[[#This Row],[b9]]*_xlfn.STDEV.P(Tab.11[data]),AVERAGE(Tab.11[b6])+Tab.11[[#This Row],[b9]]*_xlfn.STDEV.P(Tab.11[data])))</f>
        <v>0</v>
      </c>
      <c r="T758" s="71" t="b">
        <f>IF(Tab.11[[#This Row],[a1]]=1,$I$3+$A$988+IF($K$3=0,Tab.11[[#This Row],[b10]]*_xlfn.STDEV.P(Tab.11[data]),AVERAGE(Tab.11[b6])+Tab.11[[#This Row],[b10]]*_xlfn.STDEV.P(Tab.11[data])))</f>
        <v>0</v>
      </c>
      <c r="U758" s="72" t="b">
        <f>IF(Tab.11[[#This Row],[a1]]=1,Tab.11[[#This Row],[target]]-Tab.11[[#This Row],[Red]])</f>
        <v>0</v>
      </c>
      <c r="V758" s="72" t="b">
        <f>IF(Tab.11[[#This Row],[a1]]=1,Tab.11[[#This Row],[target]]-Tab.11[[#This Row],[Blue]])</f>
        <v>0</v>
      </c>
      <c r="W758" s="73" t="b">
        <f>IF(Tab.11[[#This Row],[a1]]=1,IF(ABS(Tab.11[[#This Row],[b17]])+ABS(Tab.11[[#This Row],[b18]])&lt;$W$2,$W$2,ABS(Tab.11[[#This Row],[b17]])+ABS(Tab.11[[#This Row],[b18]])))</f>
        <v>0</v>
      </c>
      <c r="X758" s="136" t="b">
        <f>IF(Tab.11[[#This Row],[a1]]=1,IF($W$3&lt;0,Tab.11[[#This Row],[IN]]-$I$3,Tab.11[[#This Row],[IN]]))</f>
        <v>0</v>
      </c>
      <c r="Y758" s="136" t="b">
        <f>IF(Tab.11[[#This Row],[a1]]=1,IF($X$3=0,Tab.11[b66],Tab.11[[#This Row],[b66]]-AVERAGE(Tab.11[b66])))</f>
        <v>0</v>
      </c>
      <c r="Z758" s="135" t="b">
        <f>IF(Tab.11[[#This Row],[a1]]=1,Tab.11[[#This Row],[b77]]/(_xlfn.STDEV.P(Tab.11[b77])))</f>
        <v>0</v>
      </c>
      <c r="AA758" s="70" t="b">
        <f>IF(Tab.11[[#This Row],[a1]]=1,_xlfn.NORM.DIST(Tab.11[[#This Row],[b88]],$Z$1,$AA$1,FALSE))</f>
        <v>0</v>
      </c>
      <c r="AB758" s="74" t="b">
        <f>IF(Tab.11[[#This Row],[a1]]=1,IF($A$3=0,FALSE,1/Tab.11[[#This Row],[IN]]*$AC$2*IF(Tab.11[[#This Row],[a1]]=0,,$A$3*$AC$1*1/$V$3*(Tab.11[[#This Row],[b14]]))))</f>
        <v>0</v>
      </c>
      <c r="AC758" s="75" t="b">
        <f>IF(Tab.11[[#This Row],[a1]]=1,IF($AC$3=0,Tab.11[[#This Row],[φ1]],Tab.11[[#This Row],[φ1]]/MAX(Tab.11[φ1])))</f>
        <v>0</v>
      </c>
      <c r="AD758" s="74" t="b">
        <f>IF(Tab.11[[#This Row],[a1]]=1,1/Tab.11[[#This Row],[φ2]])</f>
        <v>0</v>
      </c>
      <c r="AE758" s="74" t="b">
        <f>IF(Tab.11[[#This Row],[a1]]=1,IF($AE$3=0,Tab.11[[#This Row],[w.0]],Tab.11[[#This Row],[w.0]]/SUM(Tab.11[w.0])))</f>
        <v>0</v>
      </c>
      <c r="AF758" s="76" t="str">
        <f>IF(Tab.11[[#This Row],[a1]]=0,"false",[3]!Tab.x5[[#This Row],[%_seN_C]])</f>
        <v>false</v>
      </c>
      <c r="AG758" s="77" t="b">
        <f>IF(Tab.11[[#This Row],[a1]]=1,AP758)</f>
        <v>0</v>
      </c>
      <c r="AH758" s="78" t="b">
        <f>IF(Tab.11[[#This Row],[a1]]=1,AQ758)</f>
        <v>0</v>
      </c>
      <c r="AI758" s="41">
        <v>3.0000000000000001E-3</v>
      </c>
      <c r="AJ758" s="79">
        <v>0.08</v>
      </c>
      <c r="AK758" s="80" t="b">
        <f>IF(Tab.11[[#This Row],[a1]]=1,1)</f>
        <v>0</v>
      </c>
      <c r="AL758"/>
      <c r="AM758"/>
      <c r="AN758"/>
      <c r="AO758"/>
      <c r="AP758"/>
      <c r="AQ758"/>
      <c r="AR758"/>
      <c r="AS758"/>
    </row>
    <row r="759" spans="1:45" s="81" customFormat="1" hidden="1" x14ac:dyDescent="0.25">
      <c r="A759" s="61">
        <f t="shared" si="25"/>
        <v>0</v>
      </c>
      <c r="B759" s="62">
        <f t="shared" si="25"/>
        <v>0</v>
      </c>
      <c r="C759" s="62" t="b">
        <f>IF(Tab.11[[#This Row],[a1]]=1,[3]!Tab_x1[[#This Row],[Name]])</f>
        <v>0</v>
      </c>
      <c r="D759" s="63" t="b">
        <f>IF(Tab.11[[#This Row],[a1]]=1,AO759)</f>
        <v>0</v>
      </c>
      <c r="E759" s="63">
        <f t="shared" si="24"/>
        <v>0</v>
      </c>
      <c r="F759" s="64" t="b">
        <f>IF(Tab.11[[#This Row],[a1]]=1,Tab.11[[#This Row],[b1]])</f>
        <v>0</v>
      </c>
      <c r="G759" s="65" t="b">
        <f>IF(Tab.11[[#This Row],[a1]]=1,IF(Tab.11[[#This Row],[b3]]&gt;$L$989*$G$3,$L$989*$G$3,IF(Tab.11[[#This Row],[b3]]&lt;$M$989*$G$3,$M$989*$G$3,Tab.11[[#This Row],[b3]])))</f>
        <v>0</v>
      </c>
      <c r="H759" s="66" t="b">
        <f>IF(Tab.11[[#This Row],[a1]]=1,Tab.11[[#This Row],[b1]])</f>
        <v>0</v>
      </c>
      <c r="I759" s="67" t="b">
        <f>IF(Tab.11[[#This Row],[a1]]=1,Tab.11[[#This Row],[b1]])</f>
        <v>0</v>
      </c>
      <c r="J759" s="68" t="b">
        <f>IF(Tab.11[[#This Row],[a1]]=1,IF($I$3&lt;0,Tab.11[[#This Row],[b5]]-$I$3,Tab.11[[#This Row],[b5]]))</f>
        <v>0</v>
      </c>
      <c r="K759" s="68" t="b">
        <f>IF(Tab.11[[#This Row],[a1]]=1,IF($K$3=0,Tab.11[b6],Tab.11[[#This Row],[b6]]-AVERAGE(Tab.11[b6])))</f>
        <v>0</v>
      </c>
      <c r="L759" s="69" t="b">
        <f>IF(Tab.11[[#This Row],[a1]]=1,Tab.11[[#This Row],[data]]/(_xlfn.STDEV.P(Tab.11[data])*$B$989)+$A$989)</f>
        <v>0</v>
      </c>
      <c r="M759" s="69" t="b">
        <f>IF(Tab.11[[#This Row],[a1]]=1,Tab.11[[#This Row],[data]]/(_xlfn.STDEV.P(Tab.11[data])*$B$987)-$A$987)</f>
        <v>0</v>
      </c>
      <c r="N759" s="69" t="b">
        <f>IF(Tab.11[[#This Row],[a1]]=1,Tab.11[[#This Row],[data]]/(_xlfn.STDEV.P(Tab.11[data])*$B$988)+$A$988)</f>
        <v>0</v>
      </c>
      <c r="O759" s="70" t="b">
        <f>IF(Tab.11[[#This Row],[a1]]=1,_xlfn.NORM.DIST(Tab.11[[#This Row],[b8]],$P$1,$Q$1,FALSE))</f>
        <v>0</v>
      </c>
      <c r="P759" s="70" t="b">
        <f>IF(Tab.11[[#This Row],[a1]]=1,_xlfn.NORM.DIST(Tab.11[[#This Row],[b9]],$P$1,$Q$1,FALSE))</f>
        <v>0</v>
      </c>
      <c r="Q759" s="70" t="b">
        <f>IF(Tab.11[[#This Row],[a1]]=1,_xlfn.NORM.DIST(Tab.11[[#This Row],[b10]],$P$1,$Q$1,FALSE))</f>
        <v>0</v>
      </c>
      <c r="R759" s="67" t="b">
        <f>IF(Tab.11[[#This Row],[a1]]=1,$I$3+$A$989+IF($K$3=0,Tab.11[[#This Row],[b8]]*_xlfn.STDEV.P(Tab.11[data]),AVERAGE(Tab.11[b6])+Tab.11[[#This Row],[b8]]*_xlfn.STDEV.P(Tab.11[data])))</f>
        <v>0</v>
      </c>
      <c r="S759" s="71" t="b">
        <f>IF(Tab.11[[#This Row],[a1]]=1,$I$3+$A$987+IF($K$3=0,Tab.11[[#This Row],[b9]]*_xlfn.STDEV.P(Tab.11[data]),AVERAGE(Tab.11[b6])+Tab.11[[#This Row],[b9]]*_xlfn.STDEV.P(Tab.11[data])))</f>
        <v>0</v>
      </c>
      <c r="T759" s="71" t="b">
        <f>IF(Tab.11[[#This Row],[a1]]=1,$I$3+$A$988+IF($K$3=0,Tab.11[[#This Row],[b10]]*_xlfn.STDEV.P(Tab.11[data]),AVERAGE(Tab.11[b6])+Tab.11[[#This Row],[b10]]*_xlfn.STDEV.P(Tab.11[data])))</f>
        <v>0</v>
      </c>
      <c r="U759" s="72" t="b">
        <f>IF(Tab.11[[#This Row],[a1]]=1,Tab.11[[#This Row],[target]]-Tab.11[[#This Row],[Red]])</f>
        <v>0</v>
      </c>
      <c r="V759" s="72" t="b">
        <f>IF(Tab.11[[#This Row],[a1]]=1,Tab.11[[#This Row],[target]]-Tab.11[[#This Row],[Blue]])</f>
        <v>0</v>
      </c>
      <c r="W759" s="73" t="b">
        <f>IF(Tab.11[[#This Row],[a1]]=1,IF(ABS(Tab.11[[#This Row],[b17]])+ABS(Tab.11[[#This Row],[b18]])&lt;$W$2,$W$2,ABS(Tab.11[[#This Row],[b17]])+ABS(Tab.11[[#This Row],[b18]])))</f>
        <v>0</v>
      </c>
      <c r="X759" s="136" t="b">
        <f>IF(Tab.11[[#This Row],[a1]]=1,IF($W$3&lt;0,Tab.11[[#This Row],[IN]]-$I$3,Tab.11[[#This Row],[IN]]))</f>
        <v>0</v>
      </c>
      <c r="Y759" s="136" t="b">
        <f>IF(Tab.11[[#This Row],[a1]]=1,IF($X$3=0,Tab.11[b66],Tab.11[[#This Row],[b66]]-AVERAGE(Tab.11[b66])))</f>
        <v>0</v>
      </c>
      <c r="Z759" s="135" t="b">
        <f>IF(Tab.11[[#This Row],[a1]]=1,Tab.11[[#This Row],[b77]]/(_xlfn.STDEV.P(Tab.11[b77])))</f>
        <v>0</v>
      </c>
      <c r="AA759" s="70" t="b">
        <f>IF(Tab.11[[#This Row],[a1]]=1,_xlfn.NORM.DIST(Tab.11[[#This Row],[b88]],$Z$1,$AA$1,FALSE))</f>
        <v>0</v>
      </c>
      <c r="AB759" s="74" t="b">
        <f>IF(Tab.11[[#This Row],[a1]]=1,IF($A$3=0,FALSE,1/Tab.11[[#This Row],[IN]]*$AC$2*IF(Tab.11[[#This Row],[a1]]=0,,$A$3*$AC$1*1/$V$3*(Tab.11[[#This Row],[b14]]))))</f>
        <v>0</v>
      </c>
      <c r="AC759" s="75" t="b">
        <f>IF(Tab.11[[#This Row],[a1]]=1,IF($AC$3=0,Tab.11[[#This Row],[φ1]],Tab.11[[#This Row],[φ1]]/MAX(Tab.11[φ1])))</f>
        <v>0</v>
      </c>
      <c r="AD759" s="74" t="b">
        <f>IF(Tab.11[[#This Row],[a1]]=1,1/Tab.11[[#This Row],[φ2]])</f>
        <v>0</v>
      </c>
      <c r="AE759" s="74" t="b">
        <f>IF(Tab.11[[#This Row],[a1]]=1,IF($AE$3=0,Tab.11[[#This Row],[w.0]],Tab.11[[#This Row],[w.0]]/SUM(Tab.11[w.0])))</f>
        <v>0</v>
      </c>
      <c r="AF759" s="76" t="str">
        <f>IF(Tab.11[[#This Row],[a1]]=0,"false",[3]!Tab.x5[[#This Row],[%_seN_C]])</f>
        <v>false</v>
      </c>
      <c r="AG759" s="77" t="b">
        <f>IF(Tab.11[[#This Row],[a1]]=1,AP759)</f>
        <v>0</v>
      </c>
      <c r="AH759" s="78" t="b">
        <f>IF(Tab.11[[#This Row],[a1]]=1,AQ759)</f>
        <v>0</v>
      </c>
      <c r="AI759" s="41">
        <v>3.0000000000000001E-3</v>
      </c>
      <c r="AJ759" s="79">
        <v>-0.09</v>
      </c>
      <c r="AK759" s="80" t="b">
        <f>IF(Tab.11[[#This Row],[a1]]=1,1)</f>
        <v>0</v>
      </c>
      <c r="AL759"/>
      <c r="AM759"/>
      <c r="AN759"/>
      <c r="AO759"/>
      <c r="AP759"/>
      <c r="AQ759"/>
      <c r="AR759"/>
      <c r="AS759"/>
    </row>
    <row r="760" spans="1:45" s="81" customFormat="1" hidden="1" x14ac:dyDescent="0.25">
      <c r="A760" s="61">
        <f t="shared" si="25"/>
        <v>0</v>
      </c>
      <c r="B760" s="62">
        <f t="shared" si="25"/>
        <v>0</v>
      </c>
      <c r="C760" s="62" t="b">
        <f>IF(Tab.11[[#This Row],[a1]]=1,[3]!Tab_x1[[#This Row],[Name]])</f>
        <v>0</v>
      </c>
      <c r="D760" s="63" t="b">
        <f>IF(Tab.11[[#This Row],[a1]]=1,AO760)</f>
        <v>0</v>
      </c>
      <c r="E760" s="63">
        <f t="shared" si="24"/>
        <v>0</v>
      </c>
      <c r="F760" s="64" t="b">
        <f>IF(Tab.11[[#This Row],[a1]]=1,Tab.11[[#This Row],[b1]])</f>
        <v>0</v>
      </c>
      <c r="G760" s="65" t="b">
        <f>IF(Tab.11[[#This Row],[a1]]=1,IF(Tab.11[[#This Row],[b3]]&gt;$L$989*$G$3,$L$989*$G$3,IF(Tab.11[[#This Row],[b3]]&lt;$M$989*$G$3,$M$989*$G$3,Tab.11[[#This Row],[b3]])))</f>
        <v>0</v>
      </c>
      <c r="H760" s="66" t="b">
        <f>IF(Tab.11[[#This Row],[a1]]=1,Tab.11[[#This Row],[b1]])</f>
        <v>0</v>
      </c>
      <c r="I760" s="67" t="b">
        <f>IF(Tab.11[[#This Row],[a1]]=1,Tab.11[[#This Row],[b1]])</f>
        <v>0</v>
      </c>
      <c r="J760" s="68" t="b">
        <f>IF(Tab.11[[#This Row],[a1]]=1,IF($I$3&lt;0,Tab.11[[#This Row],[b5]]-$I$3,Tab.11[[#This Row],[b5]]))</f>
        <v>0</v>
      </c>
      <c r="K760" s="68" t="b">
        <f>IF(Tab.11[[#This Row],[a1]]=1,IF($K$3=0,Tab.11[b6],Tab.11[[#This Row],[b6]]-AVERAGE(Tab.11[b6])))</f>
        <v>0</v>
      </c>
      <c r="L760" s="69" t="b">
        <f>IF(Tab.11[[#This Row],[a1]]=1,Tab.11[[#This Row],[data]]/(_xlfn.STDEV.P(Tab.11[data])*$B$989)+$A$989)</f>
        <v>0</v>
      </c>
      <c r="M760" s="69" t="b">
        <f>IF(Tab.11[[#This Row],[a1]]=1,Tab.11[[#This Row],[data]]/(_xlfn.STDEV.P(Tab.11[data])*$B$987)-$A$987)</f>
        <v>0</v>
      </c>
      <c r="N760" s="69" t="b">
        <f>IF(Tab.11[[#This Row],[a1]]=1,Tab.11[[#This Row],[data]]/(_xlfn.STDEV.P(Tab.11[data])*$B$988)+$A$988)</f>
        <v>0</v>
      </c>
      <c r="O760" s="70" t="b">
        <f>IF(Tab.11[[#This Row],[a1]]=1,_xlfn.NORM.DIST(Tab.11[[#This Row],[b8]],$P$1,$Q$1,FALSE))</f>
        <v>0</v>
      </c>
      <c r="P760" s="70" t="b">
        <f>IF(Tab.11[[#This Row],[a1]]=1,_xlfn.NORM.DIST(Tab.11[[#This Row],[b9]],$P$1,$Q$1,FALSE))</f>
        <v>0</v>
      </c>
      <c r="Q760" s="70" t="b">
        <f>IF(Tab.11[[#This Row],[a1]]=1,_xlfn.NORM.DIST(Tab.11[[#This Row],[b10]],$P$1,$Q$1,FALSE))</f>
        <v>0</v>
      </c>
      <c r="R760" s="67" t="b">
        <f>IF(Tab.11[[#This Row],[a1]]=1,$I$3+$A$989+IF($K$3=0,Tab.11[[#This Row],[b8]]*_xlfn.STDEV.P(Tab.11[data]),AVERAGE(Tab.11[b6])+Tab.11[[#This Row],[b8]]*_xlfn.STDEV.P(Tab.11[data])))</f>
        <v>0</v>
      </c>
      <c r="S760" s="71" t="b">
        <f>IF(Tab.11[[#This Row],[a1]]=1,$I$3+$A$987+IF($K$3=0,Tab.11[[#This Row],[b9]]*_xlfn.STDEV.P(Tab.11[data]),AVERAGE(Tab.11[b6])+Tab.11[[#This Row],[b9]]*_xlfn.STDEV.P(Tab.11[data])))</f>
        <v>0</v>
      </c>
      <c r="T760" s="71" t="b">
        <f>IF(Tab.11[[#This Row],[a1]]=1,$I$3+$A$988+IF($K$3=0,Tab.11[[#This Row],[b10]]*_xlfn.STDEV.P(Tab.11[data]),AVERAGE(Tab.11[b6])+Tab.11[[#This Row],[b10]]*_xlfn.STDEV.P(Tab.11[data])))</f>
        <v>0</v>
      </c>
      <c r="U760" s="72" t="b">
        <f>IF(Tab.11[[#This Row],[a1]]=1,Tab.11[[#This Row],[target]]-Tab.11[[#This Row],[Red]])</f>
        <v>0</v>
      </c>
      <c r="V760" s="72" t="b">
        <f>IF(Tab.11[[#This Row],[a1]]=1,Tab.11[[#This Row],[target]]-Tab.11[[#This Row],[Blue]])</f>
        <v>0</v>
      </c>
      <c r="W760" s="73" t="b">
        <f>IF(Tab.11[[#This Row],[a1]]=1,IF(ABS(Tab.11[[#This Row],[b17]])+ABS(Tab.11[[#This Row],[b18]])&lt;$W$2,$W$2,ABS(Tab.11[[#This Row],[b17]])+ABS(Tab.11[[#This Row],[b18]])))</f>
        <v>0</v>
      </c>
      <c r="X760" s="136" t="b">
        <f>IF(Tab.11[[#This Row],[a1]]=1,IF($W$3&lt;0,Tab.11[[#This Row],[IN]]-$I$3,Tab.11[[#This Row],[IN]]))</f>
        <v>0</v>
      </c>
      <c r="Y760" s="136" t="b">
        <f>IF(Tab.11[[#This Row],[a1]]=1,IF($X$3=0,Tab.11[b66],Tab.11[[#This Row],[b66]]-AVERAGE(Tab.11[b66])))</f>
        <v>0</v>
      </c>
      <c r="Z760" s="135" t="b">
        <f>IF(Tab.11[[#This Row],[a1]]=1,Tab.11[[#This Row],[b77]]/(_xlfn.STDEV.P(Tab.11[b77])))</f>
        <v>0</v>
      </c>
      <c r="AA760" s="70" t="b">
        <f>IF(Tab.11[[#This Row],[a1]]=1,_xlfn.NORM.DIST(Tab.11[[#This Row],[b88]],$Z$1,$AA$1,FALSE))</f>
        <v>0</v>
      </c>
      <c r="AB760" s="74" t="b">
        <f>IF(Tab.11[[#This Row],[a1]]=1,IF($A$3=0,FALSE,1/Tab.11[[#This Row],[IN]]*$AC$2*IF(Tab.11[[#This Row],[a1]]=0,,$A$3*$AC$1*1/$V$3*(Tab.11[[#This Row],[b14]]))))</f>
        <v>0</v>
      </c>
      <c r="AC760" s="75" t="b">
        <f>IF(Tab.11[[#This Row],[a1]]=1,IF($AC$3=0,Tab.11[[#This Row],[φ1]],Tab.11[[#This Row],[φ1]]/MAX(Tab.11[φ1])))</f>
        <v>0</v>
      </c>
      <c r="AD760" s="74" t="b">
        <f>IF(Tab.11[[#This Row],[a1]]=1,1/Tab.11[[#This Row],[φ2]])</f>
        <v>0</v>
      </c>
      <c r="AE760" s="74" t="b">
        <f>IF(Tab.11[[#This Row],[a1]]=1,IF($AE$3=0,Tab.11[[#This Row],[w.0]],Tab.11[[#This Row],[w.0]]/SUM(Tab.11[w.0])))</f>
        <v>0</v>
      </c>
      <c r="AF760" s="76" t="str">
        <f>IF(Tab.11[[#This Row],[a1]]=0,"false",[3]!Tab.x5[[#This Row],[%_seN_C]])</f>
        <v>false</v>
      </c>
      <c r="AG760" s="77" t="b">
        <f>IF(Tab.11[[#This Row],[a1]]=1,AP760)</f>
        <v>0</v>
      </c>
      <c r="AH760" s="78" t="b">
        <f>IF(Tab.11[[#This Row],[a1]]=1,AQ760)</f>
        <v>0</v>
      </c>
      <c r="AI760" s="41">
        <v>3.0000000000000001E-3</v>
      </c>
      <c r="AJ760" s="79">
        <v>0.06</v>
      </c>
      <c r="AK760" s="80" t="b">
        <f>IF(Tab.11[[#This Row],[a1]]=1,1)</f>
        <v>0</v>
      </c>
      <c r="AL760"/>
      <c r="AM760"/>
      <c r="AN760"/>
      <c r="AO760"/>
      <c r="AP760"/>
      <c r="AQ760"/>
      <c r="AR760"/>
      <c r="AS760"/>
    </row>
    <row r="761" spans="1:45" s="81" customFormat="1" hidden="1" x14ac:dyDescent="0.25">
      <c r="A761" s="61">
        <f t="shared" si="25"/>
        <v>0</v>
      </c>
      <c r="B761" s="62">
        <f t="shared" si="25"/>
        <v>0</v>
      </c>
      <c r="C761" s="62" t="b">
        <f>IF(Tab.11[[#This Row],[a1]]=1,[3]!Tab_x1[[#This Row],[Name]])</f>
        <v>0</v>
      </c>
      <c r="D761" s="63" t="b">
        <f>IF(Tab.11[[#This Row],[a1]]=1,AO761)</f>
        <v>0</v>
      </c>
      <c r="E761" s="63">
        <f t="shared" si="24"/>
        <v>0</v>
      </c>
      <c r="F761" s="64" t="b">
        <f>IF(Tab.11[[#This Row],[a1]]=1,Tab.11[[#This Row],[b1]])</f>
        <v>0</v>
      </c>
      <c r="G761" s="65" t="b">
        <f>IF(Tab.11[[#This Row],[a1]]=1,IF(Tab.11[[#This Row],[b3]]&gt;$L$989*$G$3,$L$989*$G$3,IF(Tab.11[[#This Row],[b3]]&lt;$M$989*$G$3,$M$989*$G$3,Tab.11[[#This Row],[b3]])))</f>
        <v>0</v>
      </c>
      <c r="H761" s="66" t="b">
        <f>IF(Tab.11[[#This Row],[a1]]=1,Tab.11[[#This Row],[b1]])</f>
        <v>0</v>
      </c>
      <c r="I761" s="67" t="b">
        <f>IF(Tab.11[[#This Row],[a1]]=1,Tab.11[[#This Row],[b1]])</f>
        <v>0</v>
      </c>
      <c r="J761" s="68" t="b">
        <f>IF(Tab.11[[#This Row],[a1]]=1,IF($I$3&lt;0,Tab.11[[#This Row],[b5]]-$I$3,Tab.11[[#This Row],[b5]]))</f>
        <v>0</v>
      </c>
      <c r="K761" s="68" t="b">
        <f>IF(Tab.11[[#This Row],[a1]]=1,IF($K$3=0,Tab.11[b6],Tab.11[[#This Row],[b6]]-AVERAGE(Tab.11[b6])))</f>
        <v>0</v>
      </c>
      <c r="L761" s="69" t="b">
        <f>IF(Tab.11[[#This Row],[a1]]=1,Tab.11[[#This Row],[data]]/(_xlfn.STDEV.P(Tab.11[data])*$B$989)+$A$989)</f>
        <v>0</v>
      </c>
      <c r="M761" s="69" t="b">
        <f>IF(Tab.11[[#This Row],[a1]]=1,Tab.11[[#This Row],[data]]/(_xlfn.STDEV.P(Tab.11[data])*$B$987)-$A$987)</f>
        <v>0</v>
      </c>
      <c r="N761" s="69" t="b">
        <f>IF(Tab.11[[#This Row],[a1]]=1,Tab.11[[#This Row],[data]]/(_xlfn.STDEV.P(Tab.11[data])*$B$988)+$A$988)</f>
        <v>0</v>
      </c>
      <c r="O761" s="70" t="b">
        <f>IF(Tab.11[[#This Row],[a1]]=1,_xlfn.NORM.DIST(Tab.11[[#This Row],[b8]],$P$1,$Q$1,FALSE))</f>
        <v>0</v>
      </c>
      <c r="P761" s="70" t="b">
        <f>IF(Tab.11[[#This Row],[a1]]=1,_xlfn.NORM.DIST(Tab.11[[#This Row],[b9]],$P$1,$Q$1,FALSE))</f>
        <v>0</v>
      </c>
      <c r="Q761" s="70" t="b">
        <f>IF(Tab.11[[#This Row],[a1]]=1,_xlfn.NORM.DIST(Tab.11[[#This Row],[b10]],$P$1,$Q$1,FALSE))</f>
        <v>0</v>
      </c>
      <c r="R761" s="67" t="b">
        <f>IF(Tab.11[[#This Row],[a1]]=1,$I$3+$A$989+IF($K$3=0,Tab.11[[#This Row],[b8]]*_xlfn.STDEV.P(Tab.11[data]),AVERAGE(Tab.11[b6])+Tab.11[[#This Row],[b8]]*_xlfn.STDEV.P(Tab.11[data])))</f>
        <v>0</v>
      </c>
      <c r="S761" s="71" t="b">
        <f>IF(Tab.11[[#This Row],[a1]]=1,$I$3+$A$987+IF($K$3=0,Tab.11[[#This Row],[b9]]*_xlfn.STDEV.P(Tab.11[data]),AVERAGE(Tab.11[b6])+Tab.11[[#This Row],[b9]]*_xlfn.STDEV.P(Tab.11[data])))</f>
        <v>0</v>
      </c>
      <c r="T761" s="71" t="b">
        <f>IF(Tab.11[[#This Row],[a1]]=1,$I$3+$A$988+IF($K$3=0,Tab.11[[#This Row],[b10]]*_xlfn.STDEV.P(Tab.11[data]),AVERAGE(Tab.11[b6])+Tab.11[[#This Row],[b10]]*_xlfn.STDEV.P(Tab.11[data])))</f>
        <v>0</v>
      </c>
      <c r="U761" s="72" t="b">
        <f>IF(Tab.11[[#This Row],[a1]]=1,Tab.11[[#This Row],[target]]-Tab.11[[#This Row],[Red]])</f>
        <v>0</v>
      </c>
      <c r="V761" s="72" t="b">
        <f>IF(Tab.11[[#This Row],[a1]]=1,Tab.11[[#This Row],[target]]-Tab.11[[#This Row],[Blue]])</f>
        <v>0</v>
      </c>
      <c r="W761" s="73" t="b">
        <f>IF(Tab.11[[#This Row],[a1]]=1,IF(ABS(Tab.11[[#This Row],[b17]])+ABS(Tab.11[[#This Row],[b18]])&lt;$W$2,$W$2,ABS(Tab.11[[#This Row],[b17]])+ABS(Tab.11[[#This Row],[b18]])))</f>
        <v>0</v>
      </c>
      <c r="X761" s="136" t="b">
        <f>IF(Tab.11[[#This Row],[a1]]=1,IF($W$3&lt;0,Tab.11[[#This Row],[IN]]-$I$3,Tab.11[[#This Row],[IN]]))</f>
        <v>0</v>
      </c>
      <c r="Y761" s="136" t="b">
        <f>IF(Tab.11[[#This Row],[a1]]=1,IF($X$3=0,Tab.11[b66],Tab.11[[#This Row],[b66]]-AVERAGE(Tab.11[b66])))</f>
        <v>0</v>
      </c>
      <c r="Z761" s="135" t="b">
        <f>IF(Tab.11[[#This Row],[a1]]=1,Tab.11[[#This Row],[b77]]/(_xlfn.STDEV.P(Tab.11[b77])))</f>
        <v>0</v>
      </c>
      <c r="AA761" s="70" t="b">
        <f>IF(Tab.11[[#This Row],[a1]]=1,_xlfn.NORM.DIST(Tab.11[[#This Row],[b88]],$Z$1,$AA$1,FALSE))</f>
        <v>0</v>
      </c>
      <c r="AB761" s="74" t="b">
        <f>IF(Tab.11[[#This Row],[a1]]=1,IF($A$3=0,FALSE,1/Tab.11[[#This Row],[IN]]*$AC$2*IF(Tab.11[[#This Row],[a1]]=0,,$A$3*$AC$1*1/$V$3*(Tab.11[[#This Row],[b14]]))))</f>
        <v>0</v>
      </c>
      <c r="AC761" s="75" t="b">
        <f>IF(Tab.11[[#This Row],[a1]]=1,IF($AC$3=0,Tab.11[[#This Row],[φ1]],Tab.11[[#This Row],[φ1]]/MAX(Tab.11[φ1])))</f>
        <v>0</v>
      </c>
      <c r="AD761" s="74" t="b">
        <f>IF(Tab.11[[#This Row],[a1]]=1,1/Tab.11[[#This Row],[φ2]])</f>
        <v>0</v>
      </c>
      <c r="AE761" s="74" t="b">
        <f>IF(Tab.11[[#This Row],[a1]]=1,IF($AE$3=0,Tab.11[[#This Row],[w.0]],Tab.11[[#This Row],[w.0]]/SUM(Tab.11[w.0])))</f>
        <v>0</v>
      </c>
      <c r="AF761" s="76" t="str">
        <f>IF(Tab.11[[#This Row],[a1]]=0,"false",[3]!Tab.x5[[#This Row],[%_seN_C]])</f>
        <v>false</v>
      </c>
      <c r="AG761" s="77" t="b">
        <f>IF(Tab.11[[#This Row],[a1]]=1,AP761)</f>
        <v>0</v>
      </c>
      <c r="AH761" s="78" t="b">
        <f>IF(Tab.11[[#This Row],[a1]]=1,AQ761)</f>
        <v>0</v>
      </c>
      <c r="AI761" s="41">
        <v>3.0000000000000001E-3</v>
      </c>
      <c r="AJ761" s="79">
        <v>-0.09</v>
      </c>
      <c r="AK761" s="80" t="b">
        <f>IF(Tab.11[[#This Row],[a1]]=1,1)</f>
        <v>0</v>
      </c>
      <c r="AL761"/>
      <c r="AM761"/>
      <c r="AN761"/>
      <c r="AO761"/>
      <c r="AP761"/>
      <c r="AQ761"/>
      <c r="AR761"/>
      <c r="AS761"/>
    </row>
    <row r="762" spans="1:45" s="81" customFormat="1" hidden="1" x14ac:dyDescent="0.25">
      <c r="A762" s="61">
        <f t="shared" si="25"/>
        <v>0</v>
      </c>
      <c r="B762" s="62">
        <f t="shared" si="25"/>
        <v>0</v>
      </c>
      <c r="C762" s="62" t="b">
        <f>IF(Tab.11[[#This Row],[a1]]=1,[3]!Tab_x1[[#This Row],[Name]])</f>
        <v>0</v>
      </c>
      <c r="D762" s="63" t="b">
        <f>IF(Tab.11[[#This Row],[a1]]=1,AO762)</f>
        <v>0</v>
      </c>
      <c r="E762" s="63">
        <f t="shared" si="24"/>
        <v>0</v>
      </c>
      <c r="F762" s="64" t="b">
        <f>IF(Tab.11[[#This Row],[a1]]=1,Tab.11[[#This Row],[b1]])</f>
        <v>0</v>
      </c>
      <c r="G762" s="65" t="b">
        <f>IF(Tab.11[[#This Row],[a1]]=1,IF(Tab.11[[#This Row],[b3]]&gt;$L$989*$G$3,$L$989*$G$3,IF(Tab.11[[#This Row],[b3]]&lt;$M$989*$G$3,$M$989*$G$3,Tab.11[[#This Row],[b3]])))</f>
        <v>0</v>
      </c>
      <c r="H762" s="66" t="b">
        <f>IF(Tab.11[[#This Row],[a1]]=1,Tab.11[[#This Row],[b1]])</f>
        <v>0</v>
      </c>
      <c r="I762" s="67" t="b">
        <f>IF(Tab.11[[#This Row],[a1]]=1,Tab.11[[#This Row],[b1]])</f>
        <v>0</v>
      </c>
      <c r="J762" s="68" t="b">
        <f>IF(Tab.11[[#This Row],[a1]]=1,IF($I$3&lt;0,Tab.11[[#This Row],[b5]]-$I$3,Tab.11[[#This Row],[b5]]))</f>
        <v>0</v>
      </c>
      <c r="K762" s="68" t="b">
        <f>IF(Tab.11[[#This Row],[a1]]=1,IF($K$3=0,Tab.11[b6],Tab.11[[#This Row],[b6]]-AVERAGE(Tab.11[b6])))</f>
        <v>0</v>
      </c>
      <c r="L762" s="69" t="b">
        <f>IF(Tab.11[[#This Row],[a1]]=1,Tab.11[[#This Row],[data]]/(_xlfn.STDEV.P(Tab.11[data])*$B$989)+$A$989)</f>
        <v>0</v>
      </c>
      <c r="M762" s="69" t="b">
        <f>IF(Tab.11[[#This Row],[a1]]=1,Tab.11[[#This Row],[data]]/(_xlfn.STDEV.P(Tab.11[data])*$B$987)-$A$987)</f>
        <v>0</v>
      </c>
      <c r="N762" s="69" t="b">
        <f>IF(Tab.11[[#This Row],[a1]]=1,Tab.11[[#This Row],[data]]/(_xlfn.STDEV.P(Tab.11[data])*$B$988)+$A$988)</f>
        <v>0</v>
      </c>
      <c r="O762" s="70" t="b">
        <f>IF(Tab.11[[#This Row],[a1]]=1,_xlfn.NORM.DIST(Tab.11[[#This Row],[b8]],$P$1,$Q$1,FALSE))</f>
        <v>0</v>
      </c>
      <c r="P762" s="70" t="b">
        <f>IF(Tab.11[[#This Row],[a1]]=1,_xlfn.NORM.DIST(Tab.11[[#This Row],[b9]],$P$1,$Q$1,FALSE))</f>
        <v>0</v>
      </c>
      <c r="Q762" s="70" t="b">
        <f>IF(Tab.11[[#This Row],[a1]]=1,_xlfn.NORM.DIST(Tab.11[[#This Row],[b10]],$P$1,$Q$1,FALSE))</f>
        <v>0</v>
      </c>
      <c r="R762" s="67" t="b">
        <f>IF(Tab.11[[#This Row],[a1]]=1,$I$3+$A$989+IF($K$3=0,Tab.11[[#This Row],[b8]]*_xlfn.STDEV.P(Tab.11[data]),AVERAGE(Tab.11[b6])+Tab.11[[#This Row],[b8]]*_xlfn.STDEV.P(Tab.11[data])))</f>
        <v>0</v>
      </c>
      <c r="S762" s="71" t="b">
        <f>IF(Tab.11[[#This Row],[a1]]=1,$I$3+$A$987+IF($K$3=0,Tab.11[[#This Row],[b9]]*_xlfn.STDEV.P(Tab.11[data]),AVERAGE(Tab.11[b6])+Tab.11[[#This Row],[b9]]*_xlfn.STDEV.P(Tab.11[data])))</f>
        <v>0</v>
      </c>
      <c r="T762" s="71" t="b">
        <f>IF(Tab.11[[#This Row],[a1]]=1,$I$3+$A$988+IF($K$3=0,Tab.11[[#This Row],[b10]]*_xlfn.STDEV.P(Tab.11[data]),AVERAGE(Tab.11[b6])+Tab.11[[#This Row],[b10]]*_xlfn.STDEV.P(Tab.11[data])))</f>
        <v>0</v>
      </c>
      <c r="U762" s="72" t="b">
        <f>IF(Tab.11[[#This Row],[a1]]=1,Tab.11[[#This Row],[target]]-Tab.11[[#This Row],[Red]])</f>
        <v>0</v>
      </c>
      <c r="V762" s="72" t="b">
        <f>IF(Tab.11[[#This Row],[a1]]=1,Tab.11[[#This Row],[target]]-Tab.11[[#This Row],[Blue]])</f>
        <v>0</v>
      </c>
      <c r="W762" s="73" t="b">
        <f>IF(Tab.11[[#This Row],[a1]]=1,IF(ABS(Tab.11[[#This Row],[b17]])+ABS(Tab.11[[#This Row],[b18]])&lt;$W$2,$W$2,ABS(Tab.11[[#This Row],[b17]])+ABS(Tab.11[[#This Row],[b18]])))</f>
        <v>0</v>
      </c>
      <c r="X762" s="136" t="b">
        <f>IF(Tab.11[[#This Row],[a1]]=1,IF($W$3&lt;0,Tab.11[[#This Row],[IN]]-$I$3,Tab.11[[#This Row],[IN]]))</f>
        <v>0</v>
      </c>
      <c r="Y762" s="136" t="b">
        <f>IF(Tab.11[[#This Row],[a1]]=1,IF($X$3=0,Tab.11[b66],Tab.11[[#This Row],[b66]]-AVERAGE(Tab.11[b66])))</f>
        <v>0</v>
      </c>
      <c r="Z762" s="135" t="b">
        <f>IF(Tab.11[[#This Row],[a1]]=1,Tab.11[[#This Row],[b77]]/(_xlfn.STDEV.P(Tab.11[b77])))</f>
        <v>0</v>
      </c>
      <c r="AA762" s="70" t="b">
        <f>IF(Tab.11[[#This Row],[a1]]=1,_xlfn.NORM.DIST(Tab.11[[#This Row],[b88]],$Z$1,$AA$1,FALSE))</f>
        <v>0</v>
      </c>
      <c r="AB762" s="74" t="b">
        <f>IF(Tab.11[[#This Row],[a1]]=1,IF($A$3=0,FALSE,1/Tab.11[[#This Row],[IN]]*$AC$2*IF(Tab.11[[#This Row],[a1]]=0,,$A$3*$AC$1*1/$V$3*(Tab.11[[#This Row],[b14]]))))</f>
        <v>0</v>
      </c>
      <c r="AC762" s="75" t="b">
        <f>IF(Tab.11[[#This Row],[a1]]=1,IF($AC$3=0,Tab.11[[#This Row],[φ1]],Tab.11[[#This Row],[φ1]]/MAX(Tab.11[φ1])))</f>
        <v>0</v>
      </c>
      <c r="AD762" s="74" t="b">
        <f>IF(Tab.11[[#This Row],[a1]]=1,1/Tab.11[[#This Row],[φ2]])</f>
        <v>0</v>
      </c>
      <c r="AE762" s="74" t="b">
        <f>IF(Tab.11[[#This Row],[a1]]=1,IF($AE$3=0,Tab.11[[#This Row],[w.0]],Tab.11[[#This Row],[w.0]]/SUM(Tab.11[w.0])))</f>
        <v>0</v>
      </c>
      <c r="AF762" s="76" t="str">
        <f>IF(Tab.11[[#This Row],[a1]]=0,"false",[3]!Tab.x5[[#This Row],[%_seN_C]])</f>
        <v>false</v>
      </c>
      <c r="AG762" s="77" t="b">
        <f>IF(Tab.11[[#This Row],[a1]]=1,AP762)</f>
        <v>0</v>
      </c>
      <c r="AH762" s="78" t="b">
        <f>IF(Tab.11[[#This Row],[a1]]=1,AQ762)</f>
        <v>0</v>
      </c>
      <c r="AI762" s="41">
        <v>3.0000000000000001E-3</v>
      </c>
      <c r="AJ762" s="79">
        <v>-0.09</v>
      </c>
      <c r="AK762" s="80" t="b">
        <f>IF(Tab.11[[#This Row],[a1]]=1,1)</f>
        <v>0</v>
      </c>
      <c r="AL762"/>
      <c r="AM762"/>
      <c r="AN762"/>
      <c r="AO762"/>
      <c r="AP762"/>
      <c r="AQ762"/>
      <c r="AR762"/>
      <c r="AS762"/>
    </row>
    <row r="763" spans="1:45" s="81" customFormat="1" hidden="1" x14ac:dyDescent="0.25">
      <c r="A763" s="61">
        <f t="shared" si="25"/>
        <v>0</v>
      </c>
      <c r="B763" s="62">
        <f t="shared" si="25"/>
        <v>0</v>
      </c>
      <c r="C763" s="62" t="b">
        <f>IF(Tab.11[[#This Row],[a1]]=1,[3]!Tab_x1[[#This Row],[Name]])</f>
        <v>0</v>
      </c>
      <c r="D763" s="63" t="b">
        <f>IF(Tab.11[[#This Row],[a1]]=1,AO763)</f>
        <v>0</v>
      </c>
      <c r="E763" s="63">
        <f t="shared" si="24"/>
        <v>0</v>
      </c>
      <c r="F763" s="64" t="b">
        <f>IF(Tab.11[[#This Row],[a1]]=1,Tab.11[[#This Row],[b1]])</f>
        <v>0</v>
      </c>
      <c r="G763" s="65" t="b">
        <f>IF(Tab.11[[#This Row],[a1]]=1,IF(Tab.11[[#This Row],[b3]]&gt;$L$989*$G$3,$L$989*$G$3,IF(Tab.11[[#This Row],[b3]]&lt;$M$989*$G$3,$M$989*$G$3,Tab.11[[#This Row],[b3]])))</f>
        <v>0</v>
      </c>
      <c r="H763" s="66" t="b">
        <f>IF(Tab.11[[#This Row],[a1]]=1,Tab.11[[#This Row],[b1]])</f>
        <v>0</v>
      </c>
      <c r="I763" s="67" t="b">
        <f>IF(Tab.11[[#This Row],[a1]]=1,Tab.11[[#This Row],[b1]])</f>
        <v>0</v>
      </c>
      <c r="J763" s="68" t="b">
        <f>IF(Tab.11[[#This Row],[a1]]=1,IF($I$3&lt;0,Tab.11[[#This Row],[b5]]-$I$3,Tab.11[[#This Row],[b5]]))</f>
        <v>0</v>
      </c>
      <c r="K763" s="68" t="b">
        <f>IF(Tab.11[[#This Row],[a1]]=1,IF($K$3=0,Tab.11[b6],Tab.11[[#This Row],[b6]]-AVERAGE(Tab.11[b6])))</f>
        <v>0</v>
      </c>
      <c r="L763" s="69" t="b">
        <f>IF(Tab.11[[#This Row],[a1]]=1,Tab.11[[#This Row],[data]]/(_xlfn.STDEV.P(Tab.11[data])*$B$989)+$A$989)</f>
        <v>0</v>
      </c>
      <c r="M763" s="69" t="b">
        <f>IF(Tab.11[[#This Row],[a1]]=1,Tab.11[[#This Row],[data]]/(_xlfn.STDEV.P(Tab.11[data])*$B$987)-$A$987)</f>
        <v>0</v>
      </c>
      <c r="N763" s="69" t="b">
        <f>IF(Tab.11[[#This Row],[a1]]=1,Tab.11[[#This Row],[data]]/(_xlfn.STDEV.P(Tab.11[data])*$B$988)+$A$988)</f>
        <v>0</v>
      </c>
      <c r="O763" s="70" t="b">
        <f>IF(Tab.11[[#This Row],[a1]]=1,_xlfn.NORM.DIST(Tab.11[[#This Row],[b8]],$P$1,$Q$1,FALSE))</f>
        <v>0</v>
      </c>
      <c r="P763" s="70" t="b">
        <f>IF(Tab.11[[#This Row],[a1]]=1,_xlfn.NORM.DIST(Tab.11[[#This Row],[b9]],$P$1,$Q$1,FALSE))</f>
        <v>0</v>
      </c>
      <c r="Q763" s="70" t="b">
        <f>IF(Tab.11[[#This Row],[a1]]=1,_xlfn.NORM.DIST(Tab.11[[#This Row],[b10]],$P$1,$Q$1,FALSE))</f>
        <v>0</v>
      </c>
      <c r="R763" s="67" t="b">
        <f>IF(Tab.11[[#This Row],[a1]]=1,$I$3+$A$989+IF($K$3=0,Tab.11[[#This Row],[b8]]*_xlfn.STDEV.P(Tab.11[data]),AVERAGE(Tab.11[b6])+Tab.11[[#This Row],[b8]]*_xlfn.STDEV.P(Tab.11[data])))</f>
        <v>0</v>
      </c>
      <c r="S763" s="71" t="b">
        <f>IF(Tab.11[[#This Row],[a1]]=1,$I$3+$A$987+IF($K$3=0,Tab.11[[#This Row],[b9]]*_xlfn.STDEV.P(Tab.11[data]),AVERAGE(Tab.11[b6])+Tab.11[[#This Row],[b9]]*_xlfn.STDEV.P(Tab.11[data])))</f>
        <v>0</v>
      </c>
      <c r="T763" s="71" t="b">
        <f>IF(Tab.11[[#This Row],[a1]]=1,$I$3+$A$988+IF($K$3=0,Tab.11[[#This Row],[b10]]*_xlfn.STDEV.P(Tab.11[data]),AVERAGE(Tab.11[b6])+Tab.11[[#This Row],[b10]]*_xlfn.STDEV.P(Tab.11[data])))</f>
        <v>0</v>
      </c>
      <c r="U763" s="72" t="b">
        <f>IF(Tab.11[[#This Row],[a1]]=1,Tab.11[[#This Row],[target]]-Tab.11[[#This Row],[Red]])</f>
        <v>0</v>
      </c>
      <c r="V763" s="72" t="b">
        <f>IF(Tab.11[[#This Row],[a1]]=1,Tab.11[[#This Row],[target]]-Tab.11[[#This Row],[Blue]])</f>
        <v>0</v>
      </c>
      <c r="W763" s="73" t="b">
        <f>IF(Tab.11[[#This Row],[a1]]=1,IF(ABS(Tab.11[[#This Row],[b17]])+ABS(Tab.11[[#This Row],[b18]])&lt;$W$2,$W$2,ABS(Tab.11[[#This Row],[b17]])+ABS(Tab.11[[#This Row],[b18]])))</f>
        <v>0</v>
      </c>
      <c r="X763" s="136" t="b">
        <f>IF(Tab.11[[#This Row],[a1]]=1,IF($W$3&lt;0,Tab.11[[#This Row],[IN]]-$I$3,Tab.11[[#This Row],[IN]]))</f>
        <v>0</v>
      </c>
      <c r="Y763" s="136" t="b">
        <f>IF(Tab.11[[#This Row],[a1]]=1,IF($X$3=0,Tab.11[b66],Tab.11[[#This Row],[b66]]-AVERAGE(Tab.11[b66])))</f>
        <v>0</v>
      </c>
      <c r="Z763" s="135" t="b">
        <f>IF(Tab.11[[#This Row],[a1]]=1,Tab.11[[#This Row],[b77]]/(_xlfn.STDEV.P(Tab.11[b77])))</f>
        <v>0</v>
      </c>
      <c r="AA763" s="70" t="b">
        <f>IF(Tab.11[[#This Row],[a1]]=1,_xlfn.NORM.DIST(Tab.11[[#This Row],[b88]],$Z$1,$AA$1,FALSE))</f>
        <v>0</v>
      </c>
      <c r="AB763" s="74" t="b">
        <f>IF(Tab.11[[#This Row],[a1]]=1,IF($A$3=0,FALSE,1/Tab.11[[#This Row],[IN]]*$AC$2*IF(Tab.11[[#This Row],[a1]]=0,,$A$3*$AC$1*1/$V$3*(Tab.11[[#This Row],[b14]]))))</f>
        <v>0</v>
      </c>
      <c r="AC763" s="75" t="b">
        <f>IF(Tab.11[[#This Row],[a1]]=1,IF($AC$3=0,Tab.11[[#This Row],[φ1]],Tab.11[[#This Row],[φ1]]/MAX(Tab.11[φ1])))</f>
        <v>0</v>
      </c>
      <c r="AD763" s="74" t="b">
        <f>IF(Tab.11[[#This Row],[a1]]=1,1/Tab.11[[#This Row],[φ2]])</f>
        <v>0</v>
      </c>
      <c r="AE763" s="74" t="b">
        <f>IF(Tab.11[[#This Row],[a1]]=1,IF($AE$3=0,Tab.11[[#This Row],[w.0]],Tab.11[[#This Row],[w.0]]/SUM(Tab.11[w.0])))</f>
        <v>0</v>
      </c>
      <c r="AF763" s="76" t="str">
        <f>IF(Tab.11[[#This Row],[a1]]=0,"false",[3]!Tab.x5[[#This Row],[%_seN_C]])</f>
        <v>false</v>
      </c>
      <c r="AG763" s="77" t="b">
        <f>IF(Tab.11[[#This Row],[a1]]=1,AP763)</f>
        <v>0</v>
      </c>
      <c r="AH763" s="78" t="b">
        <f>IF(Tab.11[[#This Row],[a1]]=1,AQ763)</f>
        <v>0</v>
      </c>
      <c r="AI763" s="41">
        <v>3.0000000000000001E-3</v>
      </c>
      <c r="AJ763" s="79">
        <v>-0.01</v>
      </c>
      <c r="AK763" s="80" t="b">
        <f>IF(Tab.11[[#This Row],[a1]]=1,1)</f>
        <v>0</v>
      </c>
      <c r="AL763"/>
      <c r="AM763"/>
      <c r="AN763"/>
      <c r="AO763"/>
      <c r="AP763"/>
      <c r="AQ763"/>
      <c r="AR763"/>
      <c r="AS763"/>
    </row>
    <row r="764" spans="1:45" s="81" customFormat="1" hidden="1" x14ac:dyDescent="0.25">
      <c r="A764" s="61">
        <f t="shared" si="25"/>
        <v>0</v>
      </c>
      <c r="B764" s="62">
        <f t="shared" si="25"/>
        <v>0</v>
      </c>
      <c r="C764" s="62" t="b">
        <f>IF(Tab.11[[#This Row],[a1]]=1,[3]!Tab_x1[[#This Row],[Name]])</f>
        <v>0</v>
      </c>
      <c r="D764" s="63" t="b">
        <f>IF(Tab.11[[#This Row],[a1]]=1,AO764)</f>
        <v>0</v>
      </c>
      <c r="E764" s="63">
        <f t="shared" si="24"/>
        <v>0</v>
      </c>
      <c r="F764" s="64" t="b">
        <f>IF(Tab.11[[#This Row],[a1]]=1,Tab.11[[#This Row],[b1]])</f>
        <v>0</v>
      </c>
      <c r="G764" s="65" t="b">
        <f>IF(Tab.11[[#This Row],[a1]]=1,IF(Tab.11[[#This Row],[b3]]&gt;$L$989*$G$3,$L$989*$G$3,IF(Tab.11[[#This Row],[b3]]&lt;$M$989*$G$3,$M$989*$G$3,Tab.11[[#This Row],[b3]])))</f>
        <v>0</v>
      </c>
      <c r="H764" s="66" t="b">
        <f>IF(Tab.11[[#This Row],[a1]]=1,Tab.11[[#This Row],[b1]])</f>
        <v>0</v>
      </c>
      <c r="I764" s="67" t="b">
        <f>IF(Tab.11[[#This Row],[a1]]=1,Tab.11[[#This Row],[b1]])</f>
        <v>0</v>
      </c>
      <c r="J764" s="68" t="b">
        <f>IF(Tab.11[[#This Row],[a1]]=1,IF($I$3&lt;0,Tab.11[[#This Row],[b5]]-$I$3,Tab.11[[#This Row],[b5]]))</f>
        <v>0</v>
      </c>
      <c r="K764" s="68" t="b">
        <f>IF(Tab.11[[#This Row],[a1]]=1,IF($K$3=0,Tab.11[b6],Tab.11[[#This Row],[b6]]-AVERAGE(Tab.11[b6])))</f>
        <v>0</v>
      </c>
      <c r="L764" s="69" t="b">
        <f>IF(Tab.11[[#This Row],[a1]]=1,Tab.11[[#This Row],[data]]/(_xlfn.STDEV.P(Tab.11[data])*$B$989)+$A$989)</f>
        <v>0</v>
      </c>
      <c r="M764" s="69" t="b">
        <f>IF(Tab.11[[#This Row],[a1]]=1,Tab.11[[#This Row],[data]]/(_xlfn.STDEV.P(Tab.11[data])*$B$987)-$A$987)</f>
        <v>0</v>
      </c>
      <c r="N764" s="69" t="b">
        <f>IF(Tab.11[[#This Row],[a1]]=1,Tab.11[[#This Row],[data]]/(_xlfn.STDEV.P(Tab.11[data])*$B$988)+$A$988)</f>
        <v>0</v>
      </c>
      <c r="O764" s="70" t="b">
        <f>IF(Tab.11[[#This Row],[a1]]=1,_xlfn.NORM.DIST(Tab.11[[#This Row],[b8]],$P$1,$Q$1,FALSE))</f>
        <v>0</v>
      </c>
      <c r="P764" s="70" t="b">
        <f>IF(Tab.11[[#This Row],[a1]]=1,_xlfn.NORM.DIST(Tab.11[[#This Row],[b9]],$P$1,$Q$1,FALSE))</f>
        <v>0</v>
      </c>
      <c r="Q764" s="70" t="b">
        <f>IF(Tab.11[[#This Row],[a1]]=1,_xlfn.NORM.DIST(Tab.11[[#This Row],[b10]],$P$1,$Q$1,FALSE))</f>
        <v>0</v>
      </c>
      <c r="R764" s="67" t="b">
        <f>IF(Tab.11[[#This Row],[a1]]=1,$I$3+$A$989+IF($K$3=0,Tab.11[[#This Row],[b8]]*_xlfn.STDEV.P(Tab.11[data]),AVERAGE(Tab.11[b6])+Tab.11[[#This Row],[b8]]*_xlfn.STDEV.P(Tab.11[data])))</f>
        <v>0</v>
      </c>
      <c r="S764" s="71" t="b">
        <f>IF(Tab.11[[#This Row],[a1]]=1,$I$3+$A$987+IF($K$3=0,Tab.11[[#This Row],[b9]]*_xlfn.STDEV.P(Tab.11[data]),AVERAGE(Tab.11[b6])+Tab.11[[#This Row],[b9]]*_xlfn.STDEV.P(Tab.11[data])))</f>
        <v>0</v>
      </c>
      <c r="T764" s="71" t="b">
        <f>IF(Tab.11[[#This Row],[a1]]=1,$I$3+$A$988+IF($K$3=0,Tab.11[[#This Row],[b10]]*_xlfn.STDEV.P(Tab.11[data]),AVERAGE(Tab.11[b6])+Tab.11[[#This Row],[b10]]*_xlfn.STDEV.P(Tab.11[data])))</f>
        <v>0</v>
      </c>
      <c r="U764" s="72" t="b">
        <f>IF(Tab.11[[#This Row],[a1]]=1,Tab.11[[#This Row],[target]]-Tab.11[[#This Row],[Red]])</f>
        <v>0</v>
      </c>
      <c r="V764" s="72" t="b">
        <f>IF(Tab.11[[#This Row],[a1]]=1,Tab.11[[#This Row],[target]]-Tab.11[[#This Row],[Blue]])</f>
        <v>0</v>
      </c>
      <c r="W764" s="73" t="b">
        <f>IF(Tab.11[[#This Row],[a1]]=1,IF(ABS(Tab.11[[#This Row],[b17]])+ABS(Tab.11[[#This Row],[b18]])&lt;$W$2,$W$2,ABS(Tab.11[[#This Row],[b17]])+ABS(Tab.11[[#This Row],[b18]])))</f>
        <v>0</v>
      </c>
      <c r="X764" s="136" t="b">
        <f>IF(Tab.11[[#This Row],[a1]]=1,IF($W$3&lt;0,Tab.11[[#This Row],[IN]]-$I$3,Tab.11[[#This Row],[IN]]))</f>
        <v>0</v>
      </c>
      <c r="Y764" s="136" t="b">
        <f>IF(Tab.11[[#This Row],[a1]]=1,IF($X$3=0,Tab.11[b66],Tab.11[[#This Row],[b66]]-AVERAGE(Tab.11[b66])))</f>
        <v>0</v>
      </c>
      <c r="Z764" s="135" t="b">
        <f>IF(Tab.11[[#This Row],[a1]]=1,Tab.11[[#This Row],[b77]]/(_xlfn.STDEV.P(Tab.11[b77])))</f>
        <v>0</v>
      </c>
      <c r="AA764" s="70" t="b">
        <f>IF(Tab.11[[#This Row],[a1]]=1,_xlfn.NORM.DIST(Tab.11[[#This Row],[b88]],$Z$1,$AA$1,FALSE))</f>
        <v>0</v>
      </c>
      <c r="AB764" s="74" t="b">
        <f>IF(Tab.11[[#This Row],[a1]]=1,IF($A$3=0,FALSE,1/Tab.11[[#This Row],[IN]]*$AC$2*IF(Tab.11[[#This Row],[a1]]=0,,$A$3*$AC$1*1/$V$3*(Tab.11[[#This Row],[b14]]))))</f>
        <v>0</v>
      </c>
      <c r="AC764" s="75" t="b">
        <f>IF(Tab.11[[#This Row],[a1]]=1,IF($AC$3=0,Tab.11[[#This Row],[φ1]],Tab.11[[#This Row],[φ1]]/MAX(Tab.11[φ1])))</f>
        <v>0</v>
      </c>
      <c r="AD764" s="74" t="b">
        <f>IF(Tab.11[[#This Row],[a1]]=1,1/Tab.11[[#This Row],[φ2]])</f>
        <v>0</v>
      </c>
      <c r="AE764" s="74" t="b">
        <f>IF(Tab.11[[#This Row],[a1]]=1,IF($AE$3=0,Tab.11[[#This Row],[w.0]],Tab.11[[#This Row],[w.0]]/SUM(Tab.11[w.0])))</f>
        <v>0</v>
      </c>
      <c r="AF764" s="76" t="str">
        <f>IF(Tab.11[[#This Row],[a1]]=0,"false",[3]!Tab.x5[[#This Row],[%_seN_C]])</f>
        <v>false</v>
      </c>
      <c r="AG764" s="77" t="b">
        <f>IF(Tab.11[[#This Row],[a1]]=1,AP764)</f>
        <v>0</v>
      </c>
      <c r="AH764" s="78" t="b">
        <f>IF(Tab.11[[#This Row],[a1]]=1,AQ764)</f>
        <v>0</v>
      </c>
      <c r="AI764" s="41">
        <v>3.0000000000000001E-3</v>
      </c>
      <c r="AJ764" s="79">
        <v>0.1</v>
      </c>
      <c r="AK764" s="80" t="b">
        <f>IF(Tab.11[[#This Row],[a1]]=1,1)</f>
        <v>0</v>
      </c>
      <c r="AL764"/>
      <c r="AM764"/>
      <c r="AN764"/>
      <c r="AO764"/>
      <c r="AP764"/>
      <c r="AQ764"/>
      <c r="AR764"/>
      <c r="AS764"/>
    </row>
    <row r="765" spans="1:45" s="81" customFormat="1" hidden="1" x14ac:dyDescent="0.25">
      <c r="A765" s="61">
        <f t="shared" si="25"/>
        <v>0</v>
      </c>
      <c r="B765" s="62">
        <f t="shared" si="25"/>
        <v>0</v>
      </c>
      <c r="C765" s="62" t="b">
        <f>IF(Tab.11[[#This Row],[a1]]=1,[3]!Tab_x1[[#This Row],[Name]])</f>
        <v>0</v>
      </c>
      <c r="D765" s="63" t="b">
        <f>IF(Tab.11[[#This Row],[a1]]=1,AO765)</f>
        <v>0</v>
      </c>
      <c r="E765" s="63">
        <f t="shared" si="24"/>
        <v>0</v>
      </c>
      <c r="F765" s="64" t="b">
        <f>IF(Tab.11[[#This Row],[a1]]=1,Tab.11[[#This Row],[b1]])</f>
        <v>0</v>
      </c>
      <c r="G765" s="65" t="b">
        <f>IF(Tab.11[[#This Row],[a1]]=1,IF(Tab.11[[#This Row],[b3]]&gt;$L$989*$G$3,$L$989*$G$3,IF(Tab.11[[#This Row],[b3]]&lt;$M$989*$G$3,$M$989*$G$3,Tab.11[[#This Row],[b3]])))</f>
        <v>0</v>
      </c>
      <c r="H765" s="66" t="b">
        <f>IF(Tab.11[[#This Row],[a1]]=1,Tab.11[[#This Row],[b1]])</f>
        <v>0</v>
      </c>
      <c r="I765" s="67" t="b">
        <f>IF(Tab.11[[#This Row],[a1]]=1,Tab.11[[#This Row],[b1]])</f>
        <v>0</v>
      </c>
      <c r="J765" s="68" t="b">
        <f>IF(Tab.11[[#This Row],[a1]]=1,IF($I$3&lt;0,Tab.11[[#This Row],[b5]]-$I$3,Tab.11[[#This Row],[b5]]))</f>
        <v>0</v>
      </c>
      <c r="K765" s="68" t="b">
        <f>IF(Tab.11[[#This Row],[a1]]=1,IF($K$3=0,Tab.11[b6],Tab.11[[#This Row],[b6]]-AVERAGE(Tab.11[b6])))</f>
        <v>0</v>
      </c>
      <c r="L765" s="69" t="b">
        <f>IF(Tab.11[[#This Row],[a1]]=1,Tab.11[[#This Row],[data]]/(_xlfn.STDEV.P(Tab.11[data])*$B$989)+$A$989)</f>
        <v>0</v>
      </c>
      <c r="M765" s="69" t="b">
        <f>IF(Tab.11[[#This Row],[a1]]=1,Tab.11[[#This Row],[data]]/(_xlfn.STDEV.P(Tab.11[data])*$B$987)-$A$987)</f>
        <v>0</v>
      </c>
      <c r="N765" s="69" t="b">
        <f>IF(Tab.11[[#This Row],[a1]]=1,Tab.11[[#This Row],[data]]/(_xlfn.STDEV.P(Tab.11[data])*$B$988)+$A$988)</f>
        <v>0</v>
      </c>
      <c r="O765" s="70" t="b">
        <f>IF(Tab.11[[#This Row],[a1]]=1,_xlfn.NORM.DIST(Tab.11[[#This Row],[b8]],$P$1,$Q$1,FALSE))</f>
        <v>0</v>
      </c>
      <c r="P765" s="70" t="b">
        <f>IF(Tab.11[[#This Row],[a1]]=1,_xlfn.NORM.DIST(Tab.11[[#This Row],[b9]],$P$1,$Q$1,FALSE))</f>
        <v>0</v>
      </c>
      <c r="Q765" s="70" t="b">
        <f>IF(Tab.11[[#This Row],[a1]]=1,_xlfn.NORM.DIST(Tab.11[[#This Row],[b10]],$P$1,$Q$1,FALSE))</f>
        <v>0</v>
      </c>
      <c r="R765" s="67" t="b">
        <f>IF(Tab.11[[#This Row],[a1]]=1,$I$3+$A$989+IF($K$3=0,Tab.11[[#This Row],[b8]]*_xlfn.STDEV.P(Tab.11[data]),AVERAGE(Tab.11[b6])+Tab.11[[#This Row],[b8]]*_xlfn.STDEV.P(Tab.11[data])))</f>
        <v>0</v>
      </c>
      <c r="S765" s="71" t="b">
        <f>IF(Tab.11[[#This Row],[a1]]=1,$I$3+$A$987+IF($K$3=0,Tab.11[[#This Row],[b9]]*_xlfn.STDEV.P(Tab.11[data]),AVERAGE(Tab.11[b6])+Tab.11[[#This Row],[b9]]*_xlfn.STDEV.P(Tab.11[data])))</f>
        <v>0</v>
      </c>
      <c r="T765" s="71" t="b">
        <f>IF(Tab.11[[#This Row],[a1]]=1,$I$3+$A$988+IF($K$3=0,Tab.11[[#This Row],[b10]]*_xlfn.STDEV.P(Tab.11[data]),AVERAGE(Tab.11[b6])+Tab.11[[#This Row],[b10]]*_xlfn.STDEV.P(Tab.11[data])))</f>
        <v>0</v>
      </c>
      <c r="U765" s="72" t="b">
        <f>IF(Tab.11[[#This Row],[a1]]=1,Tab.11[[#This Row],[target]]-Tab.11[[#This Row],[Red]])</f>
        <v>0</v>
      </c>
      <c r="V765" s="72" t="b">
        <f>IF(Tab.11[[#This Row],[a1]]=1,Tab.11[[#This Row],[target]]-Tab.11[[#This Row],[Blue]])</f>
        <v>0</v>
      </c>
      <c r="W765" s="73" t="b">
        <f>IF(Tab.11[[#This Row],[a1]]=1,IF(ABS(Tab.11[[#This Row],[b17]])+ABS(Tab.11[[#This Row],[b18]])&lt;$W$2,$W$2,ABS(Tab.11[[#This Row],[b17]])+ABS(Tab.11[[#This Row],[b18]])))</f>
        <v>0</v>
      </c>
      <c r="X765" s="136" t="b">
        <f>IF(Tab.11[[#This Row],[a1]]=1,IF($W$3&lt;0,Tab.11[[#This Row],[IN]]-$I$3,Tab.11[[#This Row],[IN]]))</f>
        <v>0</v>
      </c>
      <c r="Y765" s="136" t="b">
        <f>IF(Tab.11[[#This Row],[a1]]=1,IF($X$3=0,Tab.11[b66],Tab.11[[#This Row],[b66]]-AVERAGE(Tab.11[b66])))</f>
        <v>0</v>
      </c>
      <c r="Z765" s="135" t="b">
        <f>IF(Tab.11[[#This Row],[a1]]=1,Tab.11[[#This Row],[b77]]/(_xlfn.STDEV.P(Tab.11[b77])))</f>
        <v>0</v>
      </c>
      <c r="AA765" s="70" t="b">
        <f>IF(Tab.11[[#This Row],[a1]]=1,_xlfn.NORM.DIST(Tab.11[[#This Row],[b88]],$Z$1,$AA$1,FALSE))</f>
        <v>0</v>
      </c>
      <c r="AB765" s="74" t="b">
        <f>IF(Tab.11[[#This Row],[a1]]=1,IF($A$3=0,FALSE,1/Tab.11[[#This Row],[IN]]*$AC$2*IF(Tab.11[[#This Row],[a1]]=0,,$A$3*$AC$1*1/$V$3*(Tab.11[[#This Row],[b14]]))))</f>
        <v>0</v>
      </c>
      <c r="AC765" s="75" t="b">
        <f>IF(Tab.11[[#This Row],[a1]]=1,IF($AC$3=0,Tab.11[[#This Row],[φ1]],Tab.11[[#This Row],[φ1]]/MAX(Tab.11[φ1])))</f>
        <v>0</v>
      </c>
      <c r="AD765" s="74" t="b">
        <f>IF(Tab.11[[#This Row],[a1]]=1,1/Tab.11[[#This Row],[φ2]])</f>
        <v>0</v>
      </c>
      <c r="AE765" s="74" t="b">
        <f>IF(Tab.11[[#This Row],[a1]]=1,IF($AE$3=0,Tab.11[[#This Row],[w.0]],Tab.11[[#This Row],[w.0]]/SUM(Tab.11[w.0])))</f>
        <v>0</v>
      </c>
      <c r="AF765" s="76" t="str">
        <f>IF(Tab.11[[#This Row],[a1]]=0,"false",[3]!Tab.x5[[#This Row],[%_seN_C]])</f>
        <v>false</v>
      </c>
      <c r="AG765" s="77" t="b">
        <f>IF(Tab.11[[#This Row],[a1]]=1,AP765)</f>
        <v>0</v>
      </c>
      <c r="AH765" s="78" t="b">
        <f>IF(Tab.11[[#This Row],[a1]]=1,AQ765)</f>
        <v>0</v>
      </c>
      <c r="AI765" s="41">
        <v>3.0000000000000001E-3</v>
      </c>
      <c r="AJ765" s="79">
        <v>0.1</v>
      </c>
      <c r="AK765" s="80" t="b">
        <f>IF(Tab.11[[#This Row],[a1]]=1,1)</f>
        <v>0</v>
      </c>
      <c r="AL765"/>
      <c r="AM765"/>
      <c r="AN765"/>
      <c r="AO765"/>
      <c r="AP765"/>
      <c r="AQ765"/>
      <c r="AR765"/>
      <c r="AS765"/>
    </row>
    <row r="766" spans="1:45" s="81" customFormat="1" hidden="1" x14ac:dyDescent="0.25">
      <c r="A766" s="61">
        <f t="shared" si="25"/>
        <v>0</v>
      </c>
      <c r="B766" s="62">
        <f t="shared" si="25"/>
        <v>0</v>
      </c>
      <c r="C766" s="62" t="b">
        <f>IF(Tab.11[[#This Row],[a1]]=1,[3]!Tab_x1[[#This Row],[Name]])</f>
        <v>0</v>
      </c>
      <c r="D766" s="63" t="b">
        <f>IF(Tab.11[[#This Row],[a1]]=1,AO766)</f>
        <v>0</v>
      </c>
      <c r="E766" s="63">
        <f t="shared" si="24"/>
        <v>0</v>
      </c>
      <c r="F766" s="64" t="b">
        <f>IF(Tab.11[[#This Row],[a1]]=1,Tab.11[[#This Row],[b1]])</f>
        <v>0</v>
      </c>
      <c r="G766" s="65" t="b">
        <f>IF(Tab.11[[#This Row],[a1]]=1,IF(Tab.11[[#This Row],[b3]]&gt;$L$989*$G$3,$L$989*$G$3,IF(Tab.11[[#This Row],[b3]]&lt;$M$989*$G$3,$M$989*$G$3,Tab.11[[#This Row],[b3]])))</f>
        <v>0</v>
      </c>
      <c r="H766" s="66" t="b">
        <f>IF(Tab.11[[#This Row],[a1]]=1,Tab.11[[#This Row],[b1]])</f>
        <v>0</v>
      </c>
      <c r="I766" s="67" t="b">
        <f>IF(Tab.11[[#This Row],[a1]]=1,Tab.11[[#This Row],[b1]])</f>
        <v>0</v>
      </c>
      <c r="J766" s="68" t="b">
        <f>IF(Tab.11[[#This Row],[a1]]=1,IF($I$3&lt;0,Tab.11[[#This Row],[b5]]-$I$3,Tab.11[[#This Row],[b5]]))</f>
        <v>0</v>
      </c>
      <c r="K766" s="68" t="b">
        <f>IF(Tab.11[[#This Row],[a1]]=1,IF($K$3=0,Tab.11[b6],Tab.11[[#This Row],[b6]]-AVERAGE(Tab.11[b6])))</f>
        <v>0</v>
      </c>
      <c r="L766" s="69" t="b">
        <f>IF(Tab.11[[#This Row],[a1]]=1,Tab.11[[#This Row],[data]]/(_xlfn.STDEV.P(Tab.11[data])*$B$989)+$A$989)</f>
        <v>0</v>
      </c>
      <c r="M766" s="69" t="b">
        <f>IF(Tab.11[[#This Row],[a1]]=1,Tab.11[[#This Row],[data]]/(_xlfn.STDEV.P(Tab.11[data])*$B$987)-$A$987)</f>
        <v>0</v>
      </c>
      <c r="N766" s="69" t="b">
        <f>IF(Tab.11[[#This Row],[a1]]=1,Tab.11[[#This Row],[data]]/(_xlfn.STDEV.P(Tab.11[data])*$B$988)+$A$988)</f>
        <v>0</v>
      </c>
      <c r="O766" s="70" t="b">
        <f>IF(Tab.11[[#This Row],[a1]]=1,_xlfn.NORM.DIST(Tab.11[[#This Row],[b8]],$P$1,$Q$1,FALSE))</f>
        <v>0</v>
      </c>
      <c r="P766" s="70" t="b">
        <f>IF(Tab.11[[#This Row],[a1]]=1,_xlfn.NORM.DIST(Tab.11[[#This Row],[b9]],$P$1,$Q$1,FALSE))</f>
        <v>0</v>
      </c>
      <c r="Q766" s="70" t="b">
        <f>IF(Tab.11[[#This Row],[a1]]=1,_xlfn.NORM.DIST(Tab.11[[#This Row],[b10]],$P$1,$Q$1,FALSE))</f>
        <v>0</v>
      </c>
      <c r="R766" s="67" t="b">
        <f>IF(Tab.11[[#This Row],[a1]]=1,$I$3+$A$989+IF($K$3=0,Tab.11[[#This Row],[b8]]*_xlfn.STDEV.P(Tab.11[data]),AVERAGE(Tab.11[b6])+Tab.11[[#This Row],[b8]]*_xlfn.STDEV.P(Tab.11[data])))</f>
        <v>0</v>
      </c>
      <c r="S766" s="71" t="b">
        <f>IF(Tab.11[[#This Row],[a1]]=1,$I$3+$A$987+IF($K$3=0,Tab.11[[#This Row],[b9]]*_xlfn.STDEV.P(Tab.11[data]),AVERAGE(Tab.11[b6])+Tab.11[[#This Row],[b9]]*_xlfn.STDEV.P(Tab.11[data])))</f>
        <v>0</v>
      </c>
      <c r="T766" s="71" t="b">
        <f>IF(Tab.11[[#This Row],[a1]]=1,$I$3+$A$988+IF($K$3=0,Tab.11[[#This Row],[b10]]*_xlfn.STDEV.P(Tab.11[data]),AVERAGE(Tab.11[b6])+Tab.11[[#This Row],[b10]]*_xlfn.STDEV.P(Tab.11[data])))</f>
        <v>0</v>
      </c>
      <c r="U766" s="72" t="b">
        <f>IF(Tab.11[[#This Row],[a1]]=1,Tab.11[[#This Row],[target]]-Tab.11[[#This Row],[Red]])</f>
        <v>0</v>
      </c>
      <c r="V766" s="72" t="b">
        <f>IF(Tab.11[[#This Row],[a1]]=1,Tab.11[[#This Row],[target]]-Tab.11[[#This Row],[Blue]])</f>
        <v>0</v>
      </c>
      <c r="W766" s="73" t="b">
        <f>IF(Tab.11[[#This Row],[a1]]=1,IF(ABS(Tab.11[[#This Row],[b17]])+ABS(Tab.11[[#This Row],[b18]])&lt;$W$2,$W$2,ABS(Tab.11[[#This Row],[b17]])+ABS(Tab.11[[#This Row],[b18]])))</f>
        <v>0</v>
      </c>
      <c r="X766" s="136" t="b">
        <f>IF(Tab.11[[#This Row],[a1]]=1,IF($W$3&lt;0,Tab.11[[#This Row],[IN]]-$I$3,Tab.11[[#This Row],[IN]]))</f>
        <v>0</v>
      </c>
      <c r="Y766" s="136" t="b">
        <f>IF(Tab.11[[#This Row],[a1]]=1,IF($X$3=0,Tab.11[b66],Tab.11[[#This Row],[b66]]-AVERAGE(Tab.11[b66])))</f>
        <v>0</v>
      </c>
      <c r="Z766" s="135" t="b">
        <f>IF(Tab.11[[#This Row],[a1]]=1,Tab.11[[#This Row],[b77]]/(_xlfn.STDEV.P(Tab.11[b77])))</f>
        <v>0</v>
      </c>
      <c r="AA766" s="70" t="b">
        <f>IF(Tab.11[[#This Row],[a1]]=1,_xlfn.NORM.DIST(Tab.11[[#This Row],[b88]],$Z$1,$AA$1,FALSE))</f>
        <v>0</v>
      </c>
      <c r="AB766" s="74" t="b">
        <f>IF(Tab.11[[#This Row],[a1]]=1,IF($A$3=0,FALSE,1/Tab.11[[#This Row],[IN]]*$AC$2*IF(Tab.11[[#This Row],[a1]]=0,,$A$3*$AC$1*1/$V$3*(Tab.11[[#This Row],[b14]]))))</f>
        <v>0</v>
      </c>
      <c r="AC766" s="75" t="b">
        <f>IF(Tab.11[[#This Row],[a1]]=1,IF($AC$3=0,Tab.11[[#This Row],[φ1]],Tab.11[[#This Row],[φ1]]/MAX(Tab.11[φ1])))</f>
        <v>0</v>
      </c>
      <c r="AD766" s="74" t="b">
        <f>IF(Tab.11[[#This Row],[a1]]=1,1/Tab.11[[#This Row],[φ2]])</f>
        <v>0</v>
      </c>
      <c r="AE766" s="74" t="b">
        <f>IF(Tab.11[[#This Row],[a1]]=1,IF($AE$3=0,Tab.11[[#This Row],[w.0]],Tab.11[[#This Row],[w.0]]/SUM(Tab.11[w.0])))</f>
        <v>0</v>
      </c>
      <c r="AF766" s="76" t="str">
        <f>IF(Tab.11[[#This Row],[a1]]=0,"false",[3]!Tab.x5[[#This Row],[%_seN_C]])</f>
        <v>false</v>
      </c>
      <c r="AG766" s="77" t="b">
        <f>IF(Tab.11[[#This Row],[a1]]=1,AP766)</f>
        <v>0</v>
      </c>
      <c r="AH766" s="78" t="b">
        <f>IF(Tab.11[[#This Row],[a1]]=1,AQ766)</f>
        <v>0</v>
      </c>
      <c r="AI766" s="41">
        <v>3.0000000000000001E-3</v>
      </c>
      <c r="AJ766" s="79">
        <v>-0.03</v>
      </c>
      <c r="AK766" s="80" t="b">
        <f>IF(Tab.11[[#This Row],[a1]]=1,1)</f>
        <v>0</v>
      </c>
      <c r="AL766"/>
      <c r="AM766"/>
      <c r="AN766"/>
      <c r="AO766"/>
      <c r="AP766"/>
      <c r="AQ766"/>
      <c r="AR766"/>
      <c r="AS766"/>
    </row>
    <row r="767" spans="1:45" s="81" customFormat="1" hidden="1" x14ac:dyDescent="0.25">
      <c r="A767" s="61">
        <f t="shared" si="25"/>
        <v>0</v>
      </c>
      <c r="B767" s="62">
        <f t="shared" si="25"/>
        <v>0</v>
      </c>
      <c r="C767" s="62" t="b">
        <f>IF(Tab.11[[#This Row],[a1]]=1,[3]!Tab_x1[[#This Row],[Name]])</f>
        <v>0</v>
      </c>
      <c r="D767" s="63" t="b">
        <f>IF(Tab.11[[#This Row],[a1]]=1,AO767)</f>
        <v>0</v>
      </c>
      <c r="E767" s="63">
        <f t="shared" si="24"/>
        <v>0</v>
      </c>
      <c r="F767" s="64" t="b">
        <f>IF(Tab.11[[#This Row],[a1]]=1,Tab.11[[#This Row],[b1]])</f>
        <v>0</v>
      </c>
      <c r="G767" s="65" t="b">
        <f>IF(Tab.11[[#This Row],[a1]]=1,IF(Tab.11[[#This Row],[b3]]&gt;$L$989*$G$3,$L$989*$G$3,IF(Tab.11[[#This Row],[b3]]&lt;$M$989*$G$3,$M$989*$G$3,Tab.11[[#This Row],[b3]])))</f>
        <v>0</v>
      </c>
      <c r="H767" s="66" t="b">
        <f>IF(Tab.11[[#This Row],[a1]]=1,Tab.11[[#This Row],[b1]])</f>
        <v>0</v>
      </c>
      <c r="I767" s="67" t="b">
        <f>IF(Tab.11[[#This Row],[a1]]=1,Tab.11[[#This Row],[b1]])</f>
        <v>0</v>
      </c>
      <c r="J767" s="68" t="b">
        <f>IF(Tab.11[[#This Row],[a1]]=1,IF($I$3&lt;0,Tab.11[[#This Row],[b5]]-$I$3,Tab.11[[#This Row],[b5]]))</f>
        <v>0</v>
      </c>
      <c r="K767" s="68" t="b">
        <f>IF(Tab.11[[#This Row],[a1]]=1,IF($K$3=0,Tab.11[b6],Tab.11[[#This Row],[b6]]-AVERAGE(Tab.11[b6])))</f>
        <v>0</v>
      </c>
      <c r="L767" s="69" t="b">
        <f>IF(Tab.11[[#This Row],[a1]]=1,Tab.11[[#This Row],[data]]/(_xlfn.STDEV.P(Tab.11[data])*$B$989)+$A$989)</f>
        <v>0</v>
      </c>
      <c r="M767" s="69" t="b">
        <f>IF(Tab.11[[#This Row],[a1]]=1,Tab.11[[#This Row],[data]]/(_xlfn.STDEV.P(Tab.11[data])*$B$987)-$A$987)</f>
        <v>0</v>
      </c>
      <c r="N767" s="69" t="b">
        <f>IF(Tab.11[[#This Row],[a1]]=1,Tab.11[[#This Row],[data]]/(_xlfn.STDEV.P(Tab.11[data])*$B$988)+$A$988)</f>
        <v>0</v>
      </c>
      <c r="O767" s="70" t="b">
        <f>IF(Tab.11[[#This Row],[a1]]=1,_xlfn.NORM.DIST(Tab.11[[#This Row],[b8]],$P$1,$Q$1,FALSE))</f>
        <v>0</v>
      </c>
      <c r="P767" s="70" t="b">
        <f>IF(Tab.11[[#This Row],[a1]]=1,_xlfn.NORM.DIST(Tab.11[[#This Row],[b9]],$P$1,$Q$1,FALSE))</f>
        <v>0</v>
      </c>
      <c r="Q767" s="70" t="b">
        <f>IF(Tab.11[[#This Row],[a1]]=1,_xlfn.NORM.DIST(Tab.11[[#This Row],[b10]],$P$1,$Q$1,FALSE))</f>
        <v>0</v>
      </c>
      <c r="R767" s="67" t="b">
        <f>IF(Tab.11[[#This Row],[a1]]=1,$I$3+$A$989+IF($K$3=0,Tab.11[[#This Row],[b8]]*_xlfn.STDEV.P(Tab.11[data]),AVERAGE(Tab.11[b6])+Tab.11[[#This Row],[b8]]*_xlfn.STDEV.P(Tab.11[data])))</f>
        <v>0</v>
      </c>
      <c r="S767" s="71" t="b">
        <f>IF(Tab.11[[#This Row],[a1]]=1,$I$3+$A$987+IF($K$3=0,Tab.11[[#This Row],[b9]]*_xlfn.STDEV.P(Tab.11[data]),AVERAGE(Tab.11[b6])+Tab.11[[#This Row],[b9]]*_xlfn.STDEV.P(Tab.11[data])))</f>
        <v>0</v>
      </c>
      <c r="T767" s="71" t="b">
        <f>IF(Tab.11[[#This Row],[a1]]=1,$I$3+$A$988+IF($K$3=0,Tab.11[[#This Row],[b10]]*_xlfn.STDEV.P(Tab.11[data]),AVERAGE(Tab.11[b6])+Tab.11[[#This Row],[b10]]*_xlfn.STDEV.P(Tab.11[data])))</f>
        <v>0</v>
      </c>
      <c r="U767" s="72" t="b">
        <f>IF(Tab.11[[#This Row],[a1]]=1,Tab.11[[#This Row],[target]]-Tab.11[[#This Row],[Red]])</f>
        <v>0</v>
      </c>
      <c r="V767" s="72" t="b">
        <f>IF(Tab.11[[#This Row],[a1]]=1,Tab.11[[#This Row],[target]]-Tab.11[[#This Row],[Blue]])</f>
        <v>0</v>
      </c>
      <c r="W767" s="73" t="b">
        <f>IF(Tab.11[[#This Row],[a1]]=1,IF(ABS(Tab.11[[#This Row],[b17]])+ABS(Tab.11[[#This Row],[b18]])&lt;$W$2,$W$2,ABS(Tab.11[[#This Row],[b17]])+ABS(Tab.11[[#This Row],[b18]])))</f>
        <v>0</v>
      </c>
      <c r="X767" s="136" t="b">
        <f>IF(Tab.11[[#This Row],[a1]]=1,IF($W$3&lt;0,Tab.11[[#This Row],[IN]]-$I$3,Tab.11[[#This Row],[IN]]))</f>
        <v>0</v>
      </c>
      <c r="Y767" s="136" t="b">
        <f>IF(Tab.11[[#This Row],[a1]]=1,IF($X$3=0,Tab.11[b66],Tab.11[[#This Row],[b66]]-AVERAGE(Tab.11[b66])))</f>
        <v>0</v>
      </c>
      <c r="Z767" s="135" t="b">
        <f>IF(Tab.11[[#This Row],[a1]]=1,Tab.11[[#This Row],[b77]]/(_xlfn.STDEV.P(Tab.11[b77])))</f>
        <v>0</v>
      </c>
      <c r="AA767" s="70" t="b">
        <f>IF(Tab.11[[#This Row],[a1]]=1,_xlfn.NORM.DIST(Tab.11[[#This Row],[b88]],$Z$1,$AA$1,FALSE))</f>
        <v>0</v>
      </c>
      <c r="AB767" s="74" t="b">
        <f>IF(Tab.11[[#This Row],[a1]]=1,IF($A$3=0,FALSE,1/Tab.11[[#This Row],[IN]]*$AC$2*IF(Tab.11[[#This Row],[a1]]=0,,$A$3*$AC$1*1/$V$3*(Tab.11[[#This Row],[b14]]))))</f>
        <v>0</v>
      </c>
      <c r="AC767" s="75" t="b">
        <f>IF(Tab.11[[#This Row],[a1]]=1,IF($AC$3=0,Tab.11[[#This Row],[φ1]],Tab.11[[#This Row],[φ1]]/MAX(Tab.11[φ1])))</f>
        <v>0</v>
      </c>
      <c r="AD767" s="74" t="b">
        <f>IF(Tab.11[[#This Row],[a1]]=1,1/Tab.11[[#This Row],[φ2]])</f>
        <v>0</v>
      </c>
      <c r="AE767" s="74" t="b">
        <f>IF(Tab.11[[#This Row],[a1]]=1,IF($AE$3=0,Tab.11[[#This Row],[w.0]],Tab.11[[#This Row],[w.0]]/SUM(Tab.11[w.0])))</f>
        <v>0</v>
      </c>
      <c r="AF767" s="76" t="str">
        <f>IF(Tab.11[[#This Row],[a1]]=0,"false",[3]!Tab.x5[[#This Row],[%_seN_C]])</f>
        <v>false</v>
      </c>
      <c r="AG767" s="77" t="b">
        <f>IF(Tab.11[[#This Row],[a1]]=1,AP767)</f>
        <v>0</v>
      </c>
      <c r="AH767" s="78" t="b">
        <f>IF(Tab.11[[#This Row],[a1]]=1,AQ767)</f>
        <v>0</v>
      </c>
      <c r="AI767" s="41">
        <v>3.0000000000000001E-3</v>
      </c>
      <c r="AJ767" s="79">
        <v>0.1</v>
      </c>
      <c r="AK767" s="80" t="b">
        <f>IF(Tab.11[[#This Row],[a1]]=1,1)</f>
        <v>0</v>
      </c>
      <c r="AL767"/>
      <c r="AM767"/>
      <c r="AN767"/>
      <c r="AO767"/>
      <c r="AP767"/>
      <c r="AQ767"/>
      <c r="AR767"/>
      <c r="AS767"/>
    </row>
    <row r="768" spans="1:45" s="81" customFormat="1" hidden="1" x14ac:dyDescent="0.25">
      <c r="A768" s="61">
        <f t="shared" si="25"/>
        <v>0</v>
      </c>
      <c r="B768" s="62">
        <f t="shared" si="25"/>
        <v>0</v>
      </c>
      <c r="C768" s="62" t="b">
        <f>IF(Tab.11[[#This Row],[a1]]=1,[3]!Tab_x1[[#This Row],[Name]])</f>
        <v>0</v>
      </c>
      <c r="D768" s="63" t="b">
        <f>IF(Tab.11[[#This Row],[a1]]=1,AO768)</f>
        <v>0</v>
      </c>
      <c r="E768" s="63">
        <f t="shared" si="24"/>
        <v>0</v>
      </c>
      <c r="F768" s="64" t="b">
        <f>IF(Tab.11[[#This Row],[a1]]=1,Tab.11[[#This Row],[b1]])</f>
        <v>0</v>
      </c>
      <c r="G768" s="65" t="b">
        <f>IF(Tab.11[[#This Row],[a1]]=1,IF(Tab.11[[#This Row],[b3]]&gt;$L$989*$G$3,$L$989*$G$3,IF(Tab.11[[#This Row],[b3]]&lt;$M$989*$G$3,$M$989*$G$3,Tab.11[[#This Row],[b3]])))</f>
        <v>0</v>
      </c>
      <c r="H768" s="66" t="b">
        <f>IF(Tab.11[[#This Row],[a1]]=1,Tab.11[[#This Row],[b1]])</f>
        <v>0</v>
      </c>
      <c r="I768" s="67" t="b">
        <f>IF(Tab.11[[#This Row],[a1]]=1,Tab.11[[#This Row],[b1]])</f>
        <v>0</v>
      </c>
      <c r="J768" s="68" t="b">
        <f>IF(Tab.11[[#This Row],[a1]]=1,IF($I$3&lt;0,Tab.11[[#This Row],[b5]]-$I$3,Tab.11[[#This Row],[b5]]))</f>
        <v>0</v>
      </c>
      <c r="K768" s="68" t="b">
        <f>IF(Tab.11[[#This Row],[a1]]=1,IF($K$3=0,Tab.11[b6],Tab.11[[#This Row],[b6]]-AVERAGE(Tab.11[b6])))</f>
        <v>0</v>
      </c>
      <c r="L768" s="69" t="b">
        <f>IF(Tab.11[[#This Row],[a1]]=1,Tab.11[[#This Row],[data]]/(_xlfn.STDEV.P(Tab.11[data])*$B$989)+$A$989)</f>
        <v>0</v>
      </c>
      <c r="M768" s="69" t="b">
        <f>IF(Tab.11[[#This Row],[a1]]=1,Tab.11[[#This Row],[data]]/(_xlfn.STDEV.P(Tab.11[data])*$B$987)-$A$987)</f>
        <v>0</v>
      </c>
      <c r="N768" s="69" t="b">
        <f>IF(Tab.11[[#This Row],[a1]]=1,Tab.11[[#This Row],[data]]/(_xlfn.STDEV.P(Tab.11[data])*$B$988)+$A$988)</f>
        <v>0</v>
      </c>
      <c r="O768" s="70" t="b">
        <f>IF(Tab.11[[#This Row],[a1]]=1,_xlfn.NORM.DIST(Tab.11[[#This Row],[b8]],$P$1,$Q$1,FALSE))</f>
        <v>0</v>
      </c>
      <c r="P768" s="70" t="b">
        <f>IF(Tab.11[[#This Row],[a1]]=1,_xlfn.NORM.DIST(Tab.11[[#This Row],[b9]],$P$1,$Q$1,FALSE))</f>
        <v>0</v>
      </c>
      <c r="Q768" s="70" t="b">
        <f>IF(Tab.11[[#This Row],[a1]]=1,_xlfn.NORM.DIST(Tab.11[[#This Row],[b10]],$P$1,$Q$1,FALSE))</f>
        <v>0</v>
      </c>
      <c r="R768" s="67" t="b">
        <f>IF(Tab.11[[#This Row],[a1]]=1,$I$3+$A$989+IF($K$3=0,Tab.11[[#This Row],[b8]]*_xlfn.STDEV.P(Tab.11[data]),AVERAGE(Tab.11[b6])+Tab.11[[#This Row],[b8]]*_xlfn.STDEV.P(Tab.11[data])))</f>
        <v>0</v>
      </c>
      <c r="S768" s="71" t="b">
        <f>IF(Tab.11[[#This Row],[a1]]=1,$I$3+$A$987+IF($K$3=0,Tab.11[[#This Row],[b9]]*_xlfn.STDEV.P(Tab.11[data]),AVERAGE(Tab.11[b6])+Tab.11[[#This Row],[b9]]*_xlfn.STDEV.P(Tab.11[data])))</f>
        <v>0</v>
      </c>
      <c r="T768" s="71" t="b">
        <f>IF(Tab.11[[#This Row],[a1]]=1,$I$3+$A$988+IF($K$3=0,Tab.11[[#This Row],[b10]]*_xlfn.STDEV.P(Tab.11[data]),AVERAGE(Tab.11[b6])+Tab.11[[#This Row],[b10]]*_xlfn.STDEV.P(Tab.11[data])))</f>
        <v>0</v>
      </c>
      <c r="U768" s="72" t="b">
        <f>IF(Tab.11[[#This Row],[a1]]=1,Tab.11[[#This Row],[target]]-Tab.11[[#This Row],[Red]])</f>
        <v>0</v>
      </c>
      <c r="V768" s="72" t="b">
        <f>IF(Tab.11[[#This Row],[a1]]=1,Tab.11[[#This Row],[target]]-Tab.11[[#This Row],[Blue]])</f>
        <v>0</v>
      </c>
      <c r="W768" s="73" t="b">
        <f>IF(Tab.11[[#This Row],[a1]]=1,IF(ABS(Tab.11[[#This Row],[b17]])+ABS(Tab.11[[#This Row],[b18]])&lt;$W$2,$W$2,ABS(Tab.11[[#This Row],[b17]])+ABS(Tab.11[[#This Row],[b18]])))</f>
        <v>0</v>
      </c>
      <c r="X768" s="136" t="b">
        <f>IF(Tab.11[[#This Row],[a1]]=1,IF($W$3&lt;0,Tab.11[[#This Row],[IN]]-$I$3,Tab.11[[#This Row],[IN]]))</f>
        <v>0</v>
      </c>
      <c r="Y768" s="136" t="b">
        <f>IF(Tab.11[[#This Row],[a1]]=1,IF($X$3=0,Tab.11[b66],Tab.11[[#This Row],[b66]]-AVERAGE(Tab.11[b66])))</f>
        <v>0</v>
      </c>
      <c r="Z768" s="135" t="b">
        <f>IF(Tab.11[[#This Row],[a1]]=1,Tab.11[[#This Row],[b77]]/(_xlfn.STDEV.P(Tab.11[b77])))</f>
        <v>0</v>
      </c>
      <c r="AA768" s="70" t="b">
        <f>IF(Tab.11[[#This Row],[a1]]=1,_xlfn.NORM.DIST(Tab.11[[#This Row],[b88]],$Z$1,$AA$1,FALSE))</f>
        <v>0</v>
      </c>
      <c r="AB768" s="74" t="b">
        <f>IF(Tab.11[[#This Row],[a1]]=1,IF($A$3=0,FALSE,1/Tab.11[[#This Row],[IN]]*$AC$2*IF(Tab.11[[#This Row],[a1]]=0,,$A$3*$AC$1*1/$V$3*(Tab.11[[#This Row],[b14]]))))</f>
        <v>0</v>
      </c>
      <c r="AC768" s="75" t="b">
        <f>IF(Tab.11[[#This Row],[a1]]=1,IF($AC$3=0,Tab.11[[#This Row],[φ1]],Tab.11[[#This Row],[φ1]]/MAX(Tab.11[φ1])))</f>
        <v>0</v>
      </c>
      <c r="AD768" s="74" t="b">
        <f>IF(Tab.11[[#This Row],[a1]]=1,1/Tab.11[[#This Row],[φ2]])</f>
        <v>0</v>
      </c>
      <c r="AE768" s="74" t="b">
        <f>IF(Tab.11[[#This Row],[a1]]=1,IF($AE$3=0,Tab.11[[#This Row],[w.0]],Tab.11[[#This Row],[w.0]]/SUM(Tab.11[w.0])))</f>
        <v>0</v>
      </c>
      <c r="AF768" s="76" t="str">
        <f>IF(Tab.11[[#This Row],[a1]]=0,"false",[3]!Tab.x5[[#This Row],[%_seN_C]])</f>
        <v>false</v>
      </c>
      <c r="AG768" s="77" t="b">
        <f>IF(Tab.11[[#This Row],[a1]]=1,AP768)</f>
        <v>0</v>
      </c>
      <c r="AH768" s="78" t="b">
        <f>IF(Tab.11[[#This Row],[a1]]=1,AQ768)</f>
        <v>0</v>
      </c>
      <c r="AI768" s="41">
        <v>3.0000000000000001E-3</v>
      </c>
      <c r="AJ768" s="79">
        <v>-0.05</v>
      </c>
      <c r="AK768" s="80" t="b">
        <f>IF(Tab.11[[#This Row],[a1]]=1,1)</f>
        <v>0</v>
      </c>
      <c r="AL768"/>
      <c r="AM768"/>
      <c r="AN768"/>
      <c r="AO768"/>
      <c r="AP768"/>
      <c r="AQ768"/>
      <c r="AR768"/>
      <c r="AS768"/>
    </row>
    <row r="769" spans="1:45" s="81" customFormat="1" hidden="1" x14ac:dyDescent="0.25">
      <c r="A769" s="61">
        <f t="shared" si="25"/>
        <v>0</v>
      </c>
      <c r="B769" s="62">
        <f t="shared" si="25"/>
        <v>0</v>
      </c>
      <c r="C769" s="62" t="b">
        <f>IF(Tab.11[[#This Row],[a1]]=1,[3]!Tab_x1[[#This Row],[Name]])</f>
        <v>0</v>
      </c>
      <c r="D769" s="63" t="b">
        <f>IF(Tab.11[[#This Row],[a1]]=1,AO769)</f>
        <v>0</v>
      </c>
      <c r="E769" s="63">
        <f t="shared" si="24"/>
        <v>0</v>
      </c>
      <c r="F769" s="64" t="b">
        <f>IF(Tab.11[[#This Row],[a1]]=1,Tab.11[[#This Row],[b1]])</f>
        <v>0</v>
      </c>
      <c r="G769" s="65" t="b">
        <f>IF(Tab.11[[#This Row],[a1]]=1,IF(Tab.11[[#This Row],[b3]]&gt;$L$989*$G$3,$L$989*$G$3,IF(Tab.11[[#This Row],[b3]]&lt;$M$989*$G$3,$M$989*$G$3,Tab.11[[#This Row],[b3]])))</f>
        <v>0</v>
      </c>
      <c r="H769" s="66" t="b">
        <f>IF(Tab.11[[#This Row],[a1]]=1,Tab.11[[#This Row],[b1]])</f>
        <v>0</v>
      </c>
      <c r="I769" s="67" t="b">
        <f>IF(Tab.11[[#This Row],[a1]]=1,Tab.11[[#This Row],[b1]])</f>
        <v>0</v>
      </c>
      <c r="J769" s="68" t="b">
        <f>IF(Tab.11[[#This Row],[a1]]=1,IF($I$3&lt;0,Tab.11[[#This Row],[b5]]-$I$3,Tab.11[[#This Row],[b5]]))</f>
        <v>0</v>
      </c>
      <c r="K769" s="68" t="b">
        <f>IF(Tab.11[[#This Row],[a1]]=1,IF($K$3=0,Tab.11[b6],Tab.11[[#This Row],[b6]]-AVERAGE(Tab.11[b6])))</f>
        <v>0</v>
      </c>
      <c r="L769" s="69" t="b">
        <f>IF(Tab.11[[#This Row],[a1]]=1,Tab.11[[#This Row],[data]]/(_xlfn.STDEV.P(Tab.11[data])*$B$989)+$A$989)</f>
        <v>0</v>
      </c>
      <c r="M769" s="69" t="b">
        <f>IF(Tab.11[[#This Row],[a1]]=1,Tab.11[[#This Row],[data]]/(_xlfn.STDEV.P(Tab.11[data])*$B$987)-$A$987)</f>
        <v>0</v>
      </c>
      <c r="N769" s="69" t="b">
        <f>IF(Tab.11[[#This Row],[a1]]=1,Tab.11[[#This Row],[data]]/(_xlfn.STDEV.P(Tab.11[data])*$B$988)+$A$988)</f>
        <v>0</v>
      </c>
      <c r="O769" s="70" t="b">
        <f>IF(Tab.11[[#This Row],[a1]]=1,_xlfn.NORM.DIST(Tab.11[[#This Row],[b8]],$P$1,$Q$1,FALSE))</f>
        <v>0</v>
      </c>
      <c r="P769" s="70" t="b">
        <f>IF(Tab.11[[#This Row],[a1]]=1,_xlfn.NORM.DIST(Tab.11[[#This Row],[b9]],$P$1,$Q$1,FALSE))</f>
        <v>0</v>
      </c>
      <c r="Q769" s="70" t="b">
        <f>IF(Tab.11[[#This Row],[a1]]=1,_xlfn.NORM.DIST(Tab.11[[#This Row],[b10]],$P$1,$Q$1,FALSE))</f>
        <v>0</v>
      </c>
      <c r="R769" s="67" t="b">
        <f>IF(Tab.11[[#This Row],[a1]]=1,$I$3+$A$989+IF($K$3=0,Tab.11[[#This Row],[b8]]*_xlfn.STDEV.P(Tab.11[data]),AVERAGE(Tab.11[b6])+Tab.11[[#This Row],[b8]]*_xlfn.STDEV.P(Tab.11[data])))</f>
        <v>0</v>
      </c>
      <c r="S769" s="71" t="b">
        <f>IF(Tab.11[[#This Row],[a1]]=1,$I$3+$A$987+IF($K$3=0,Tab.11[[#This Row],[b9]]*_xlfn.STDEV.P(Tab.11[data]),AVERAGE(Tab.11[b6])+Tab.11[[#This Row],[b9]]*_xlfn.STDEV.P(Tab.11[data])))</f>
        <v>0</v>
      </c>
      <c r="T769" s="71" t="b">
        <f>IF(Tab.11[[#This Row],[a1]]=1,$I$3+$A$988+IF($K$3=0,Tab.11[[#This Row],[b10]]*_xlfn.STDEV.P(Tab.11[data]),AVERAGE(Tab.11[b6])+Tab.11[[#This Row],[b10]]*_xlfn.STDEV.P(Tab.11[data])))</f>
        <v>0</v>
      </c>
      <c r="U769" s="72" t="b">
        <f>IF(Tab.11[[#This Row],[a1]]=1,Tab.11[[#This Row],[target]]-Tab.11[[#This Row],[Red]])</f>
        <v>0</v>
      </c>
      <c r="V769" s="72" t="b">
        <f>IF(Tab.11[[#This Row],[a1]]=1,Tab.11[[#This Row],[target]]-Tab.11[[#This Row],[Blue]])</f>
        <v>0</v>
      </c>
      <c r="W769" s="73" t="b">
        <f>IF(Tab.11[[#This Row],[a1]]=1,IF(ABS(Tab.11[[#This Row],[b17]])+ABS(Tab.11[[#This Row],[b18]])&lt;$W$2,$W$2,ABS(Tab.11[[#This Row],[b17]])+ABS(Tab.11[[#This Row],[b18]])))</f>
        <v>0</v>
      </c>
      <c r="X769" s="136" t="b">
        <f>IF(Tab.11[[#This Row],[a1]]=1,IF($W$3&lt;0,Tab.11[[#This Row],[IN]]-$I$3,Tab.11[[#This Row],[IN]]))</f>
        <v>0</v>
      </c>
      <c r="Y769" s="136" t="b">
        <f>IF(Tab.11[[#This Row],[a1]]=1,IF($X$3=0,Tab.11[b66],Tab.11[[#This Row],[b66]]-AVERAGE(Tab.11[b66])))</f>
        <v>0</v>
      </c>
      <c r="Z769" s="135" t="b">
        <f>IF(Tab.11[[#This Row],[a1]]=1,Tab.11[[#This Row],[b77]]/(_xlfn.STDEV.P(Tab.11[b77])))</f>
        <v>0</v>
      </c>
      <c r="AA769" s="70" t="b">
        <f>IF(Tab.11[[#This Row],[a1]]=1,_xlfn.NORM.DIST(Tab.11[[#This Row],[b88]],$Z$1,$AA$1,FALSE))</f>
        <v>0</v>
      </c>
      <c r="AB769" s="74" t="b">
        <f>IF(Tab.11[[#This Row],[a1]]=1,IF($A$3=0,FALSE,1/Tab.11[[#This Row],[IN]]*$AC$2*IF(Tab.11[[#This Row],[a1]]=0,,$A$3*$AC$1*1/$V$3*(Tab.11[[#This Row],[b14]]))))</f>
        <v>0</v>
      </c>
      <c r="AC769" s="75" t="b">
        <f>IF(Tab.11[[#This Row],[a1]]=1,IF($AC$3=0,Tab.11[[#This Row],[φ1]],Tab.11[[#This Row],[φ1]]/MAX(Tab.11[φ1])))</f>
        <v>0</v>
      </c>
      <c r="AD769" s="74" t="b">
        <f>IF(Tab.11[[#This Row],[a1]]=1,1/Tab.11[[#This Row],[φ2]])</f>
        <v>0</v>
      </c>
      <c r="AE769" s="74" t="b">
        <f>IF(Tab.11[[#This Row],[a1]]=1,IF($AE$3=0,Tab.11[[#This Row],[w.0]],Tab.11[[#This Row],[w.0]]/SUM(Tab.11[w.0])))</f>
        <v>0</v>
      </c>
      <c r="AF769" s="76" t="str">
        <f>IF(Tab.11[[#This Row],[a1]]=0,"false",[3]!Tab.x5[[#This Row],[%_seN_C]])</f>
        <v>false</v>
      </c>
      <c r="AG769" s="77" t="b">
        <f>IF(Tab.11[[#This Row],[a1]]=1,AP769)</f>
        <v>0</v>
      </c>
      <c r="AH769" s="78" t="b">
        <f>IF(Tab.11[[#This Row],[a1]]=1,AQ769)</f>
        <v>0</v>
      </c>
      <c r="AI769" s="41">
        <v>3.0000000000000001E-3</v>
      </c>
      <c r="AJ769" s="79">
        <v>-0.02</v>
      </c>
      <c r="AK769" s="80" t="b">
        <f>IF(Tab.11[[#This Row],[a1]]=1,1)</f>
        <v>0</v>
      </c>
      <c r="AL769"/>
      <c r="AM769"/>
      <c r="AN769"/>
      <c r="AO769"/>
      <c r="AP769"/>
      <c r="AQ769"/>
      <c r="AR769"/>
      <c r="AS769"/>
    </row>
    <row r="770" spans="1:45" s="81" customFormat="1" hidden="1" x14ac:dyDescent="0.25">
      <c r="A770" s="61">
        <f t="shared" si="25"/>
        <v>0</v>
      </c>
      <c r="B770" s="62">
        <f t="shared" si="25"/>
        <v>0</v>
      </c>
      <c r="C770" s="62" t="b">
        <f>IF(Tab.11[[#This Row],[a1]]=1,[3]!Tab_x1[[#This Row],[Name]])</f>
        <v>0</v>
      </c>
      <c r="D770" s="63" t="b">
        <f>IF(Tab.11[[#This Row],[a1]]=1,AO770)</f>
        <v>0</v>
      </c>
      <c r="E770" s="63">
        <f t="shared" si="24"/>
        <v>0</v>
      </c>
      <c r="F770" s="64" t="b">
        <f>IF(Tab.11[[#This Row],[a1]]=1,Tab.11[[#This Row],[b1]])</f>
        <v>0</v>
      </c>
      <c r="G770" s="65" t="b">
        <f>IF(Tab.11[[#This Row],[a1]]=1,IF(Tab.11[[#This Row],[b3]]&gt;$L$989*$G$3,$L$989*$G$3,IF(Tab.11[[#This Row],[b3]]&lt;$M$989*$G$3,$M$989*$G$3,Tab.11[[#This Row],[b3]])))</f>
        <v>0</v>
      </c>
      <c r="H770" s="66" t="b">
        <f>IF(Tab.11[[#This Row],[a1]]=1,Tab.11[[#This Row],[b1]])</f>
        <v>0</v>
      </c>
      <c r="I770" s="67" t="b">
        <f>IF(Tab.11[[#This Row],[a1]]=1,Tab.11[[#This Row],[b1]])</f>
        <v>0</v>
      </c>
      <c r="J770" s="68" t="b">
        <f>IF(Tab.11[[#This Row],[a1]]=1,IF($I$3&lt;0,Tab.11[[#This Row],[b5]]-$I$3,Tab.11[[#This Row],[b5]]))</f>
        <v>0</v>
      </c>
      <c r="K770" s="68" t="b">
        <f>IF(Tab.11[[#This Row],[a1]]=1,IF($K$3=0,Tab.11[b6],Tab.11[[#This Row],[b6]]-AVERAGE(Tab.11[b6])))</f>
        <v>0</v>
      </c>
      <c r="L770" s="69" t="b">
        <f>IF(Tab.11[[#This Row],[a1]]=1,Tab.11[[#This Row],[data]]/(_xlfn.STDEV.P(Tab.11[data])*$B$989)+$A$989)</f>
        <v>0</v>
      </c>
      <c r="M770" s="69" t="b">
        <f>IF(Tab.11[[#This Row],[a1]]=1,Tab.11[[#This Row],[data]]/(_xlfn.STDEV.P(Tab.11[data])*$B$987)-$A$987)</f>
        <v>0</v>
      </c>
      <c r="N770" s="69" t="b">
        <f>IF(Tab.11[[#This Row],[a1]]=1,Tab.11[[#This Row],[data]]/(_xlfn.STDEV.P(Tab.11[data])*$B$988)+$A$988)</f>
        <v>0</v>
      </c>
      <c r="O770" s="70" t="b">
        <f>IF(Tab.11[[#This Row],[a1]]=1,_xlfn.NORM.DIST(Tab.11[[#This Row],[b8]],$P$1,$Q$1,FALSE))</f>
        <v>0</v>
      </c>
      <c r="P770" s="70" t="b">
        <f>IF(Tab.11[[#This Row],[a1]]=1,_xlfn.NORM.DIST(Tab.11[[#This Row],[b9]],$P$1,$Q$1,FALSE))</f>
        <v>0</v>
      </c>
      <c r="Q770" s="70" t="b">
        <f>IF(Tab.11[[#This Row],[a1]]=1,_xlfn.NORM.DIST(Tab.11[[#This Row],[b10]],$P$1,$Q$1,FALSE))</f>
        <v>0</v>
      </c>
      <c r="R770" s="67" t="b">
        <f>IF(Tab.11[[#This Row],[a1]]=1,$I$3+$A$989+IF($K$3=0,Tab.11[[#This Row],[b8]]*_xlfn.STDEV.P(Tab.11[data]),AVERAGE(Tab.11[b6])+Tab.11[[#This Row],[b8]]*_xlfn.STDEV.P(Tab.11[data])))</f>
        <v>0</v>
      </c>
      <c r="S770" s="71" t="b">
        <f>IF(Tab.11[[#This Row],[a1]]=1,$I$3+$A$987+IF($K$3=0,Tab.11[[#This Row],[b9]]*_xlfn.STDEV.P(Tab.11[data]),AVERAGE(Tab.11[b6])+Tab.11[[#This Row],[b9]]*_xlfn.STDEV.P(Tab.11[data])))</f>
        <v>0</v>
      </c>
      <c r="T770" s="71" t="b">
        <f>IF(Tab.11[[#This Row],[a1]]=1,$I$3+$A$988+IF($K$3=0,Tab.11[[#This Row],[b10]]*_xlfn.STDEV.P(Tab.11[data]),AVERAGE(Tab.11[b6])+Tab.11[[#This Row],[b10]]*_xlfn.STDEV.P(Tab.11[data])))</f>
        <v>0</v>
      </c>
      <c r="U770" s="72" t="b">
        <f>IF(Tab.11[[#This Row],[a1]]=1,Tab.11[[#This Row],[target]]-Tab.11[[#This Row],[Red]])</f>
        <v>0</v>
      </c>
      <c r="V770" s="72" t="b">
        <f>IF(Tab.11[[#This Row],[a1]]=1,Tab.11[[#This Row],[target]]-Tab.11[[#This Row],[Blue]])</f>
        <v>0</v>
      </c>
      <c r="W770" s="73" t="b">
        <f>IF(Tab.11[[#This Row],[a1]]=1,IF(ABS(Tab.11[[#This Row],[b17]])+ABS(Tab.11[[#This Row],[b18]])&lt;$W$2,$W$2,ABS(Tab.11[[#This Row],[b17]])+ABS(Tab.11[[#This Row],[b18]])))</f>
        <v>0</v>
      </c>
      <c r="X770" s="136" t="b">
        <f>IF(Tab.11[[#This Row],[a1]]=1,IF($W$3&lt;0,Tab.11[[#This Row],[IN]]-$I$3,Tab.11[[#This Row],[IN]]))</f>
        <v>0</v>
      </c>
      <c r="Y770" s="136" t="b">
        <f>IF(Tab.11[[#This Row],[a1]]=1,IF($X$3=0,Tab.11[b66],Tab.11[[#This Row],[b66]]-AVERAGE(Tab.11[b66])))</f>
        <v>0</v>
      </c>
      <c r="Z770" s="135" t="b">
        <f>IF(Tab.11[[#This Row],[a1]]=1,Tab.11[[#This Row],[b77]]/(_xlfn.STDEV.P(Tab.11[b77])))</f>
        <v>0</v>
      </c>
      <c r="AA770" s="70" t="b">
        <f>IF(Tab.11[[#This Row],[a1]]=1,_xlfn.NORM.DIST(Tab.11[[#This Row],[b88]],$Z$1,$AA$1,FALSE))</f>
        <v>0</v>
      </c>
      <c r="AB770" s="74" t="b">
        <f>IF(Tab.11[[#This Row],[a1]]=1,IF($A$3=0,FALSE,1/Tab.11[[#This Row],[IN]]*$AC$2*IF(Tab.11[[#This Row],[a1]]=0,,$A$3*$AC$1*1/$V$3*(Tab.11[[#This Row],[b14]]))))</f>
        <v>0</v>
      </c>
      <c r="AC770" s="75" t="b">
        <f>IF(Tab.11[[#This Row],[a1]]=1,IF($AC$3=0,Tab.11[[#This Row],[φ1]],Tab.11[[#This Row],[φ1]]/MAX(Tab.11[φ1])))</f>
        <v>0</v>
      </c>
      <c r="AD770" s="74" t="b">
        <f>IF(Tab.11[[#This Row],[a1]]=1,1/Tab.11[[#This Row],[φ2]])</f>
        <v>0</v>
      </c>
      <c r="AE770" s="74" t="b">
        <f>IF(Tab.11[[#This Row],[a1]]=1,IF($AE$3=0,Tab.11[[#This Row],[w.0]],Tab.11[[#This Row],[w.0]]/SUM(Tab.11[w.0])))</f>
        <v>0</v>
      </c>
      <c r="AF770" s="76" t="str">
        <f>IF(Tab.11[[#This Row],[a1]]=0,"false",[3]!Tab.x5[[#This Row],[%_seN_C]])</f>
        <v>false</v>
      </c>
      <c r="AG770" s="77" t="b">
        <f>IF(Tab.11[[#This Row],[a1]]=1,AP770)</f>
        <v>0</v>
      </c>
      <c r="AH770" s="78" t="b">
        <f>IF(Tab.11[[#This Row],[a1]]=1,AQ770)</f>
        <v>0</v>
      </c>
      <c r="AI770" s="41">
        <v>3.0000000000000001E-3</v>
      </c>
      <c r="AJ770" s="79">
        <v>-0.09</v>
      </c>
      <c r="AK770" s="80" t="b">
        <f>IF(Tab.11[[#This Row],[a1]]=1,1)</f>
        <v>0</v>
      </c>
      <c r="AL770"/>
      <c r="AM770"/>
      <c r="AN770"/>
      <c r="AO770"/>
      <c r="AP770"/>
      <c r="AQ770"/>
      <c r="AR770"/>
      <c r="AS770"/>
    </row>
    <row r="771" spans="1:45" s="81" customFormat="1" hidden="1" x14ac:dyDescent="0.25">
      <c r="A771" s="61">
        <f t="shared" si="25"/>
        <v>0</v>
      </c>
      <c r="B771" s="62">
        <f t="shared" si="25"/>
        <v>0</v>
      </c>
      <c r="C771" s="62" t="b">
        <f>IF(Tab.11[[#This Row],[a1]]=1,[3]!Tab_x1[[#This Row],[Name]])</f>
        <v>0</v>
      </c>
      <c r="D771" s="63" t="b">
        <f>IF(Tab.11[[#This Row],[a1]]=1,AO771)</f>
        <v>0</v>
      </c>
      <c r="E771" s="63">
        <f t="shared" si="24"/>
        <v>0</v>
      </c>
      <c r="F771" s="64" t="b">
        <f>IF(Tab.11[[#This Row],[a1]]=1,Tab.11[[#This Row],[b1]])</f>
        <v>0</v>
      </c>
      <c r="G771" s="65" t="b">
        <f>IF(Tab.11[[#This Row],[a1]]=1,IF(Tab.11[[#This Row],[b3]]&gt;$L$989*$G$3,$L$989*$G$3,IF(Tab.11[[#This Row],[b3]]&lt;$M$989*$G$3,$M$989*$G$3,Tab.11[[#This Row],[b3]])))</f>
        <v>0</v>
      </c>
      <c r="H771" s="66" t="b">
        <f>IF(Tab.11[[#This Row],[a1]]=1,Tab.11[[#This Row],[b1]])</f>
        <v>0</v>
      </c>
      <c r="I771" s="67" t="b">
        <f>IF(Tab.11[[#This Row],[a1]]=1,Tab.11[[#This Row],[b1]])</f>
        <v>0</v>
      </c>
      <c r="J771" s="68" t="b">
        <f>IF(Tab.11[[#This Row],[a1]]=1,IF($I$3&lt;0,Tab.11[[#This Row],[b5]]-$I$3,Tab.11[[#This Row],[b5]]))</f>
        <v>0</v>
      </c>
      <c r="K771" s="68" t="b">
        <f>IF(Tab.11[[#This Row],[a1]]=1,IF($K$3=0,Tab.11[b6],Tab.11[[#This Row],[b6]]-AVERAGE(Tab.11[b6])))</f>
        <v>0</v>
      </c>
      <c r="L771" s="69" t="b">
        <f>IF(Tab.11[[#This Row],[a1]]=1,Tab.11[[#This Row],[data]]/(_xlfn.STDEV.P(Tab.11[data])*$B$989)+$A$989)</f>
        <v>0</v>
      </c>
      <c r="M771" s="69" t="b">
        <f>IF(Tab.11[[#This Row],[a1]]=1,Tab.11[[#This Row],[data]]/(_xlfn.STDEV.P(Tab.11[data])*$B$987)-$A$987)</f>
        <v>0</v>
      </c>
      <c r="N771" s="69" t="b">
        <f>IF(Tab.11[[#This Row],[a1]]=1,Tab.11[[#This Row],[data]]/(_xlfn.STDEV.P(Tab.11[data])*$B$988)+$A$988)</f>
        <v>0</v>
      </c>
      <c r="O771" s="70" t="b">
        <f>IF(Tab.11[[#This Row],[a1]]=1,_xlfn.NORM.DIST(Tab.11[[#This Row],[b8]],$P$1,$Q$1,FALSE))</f>
        <v>0</v>
      </c>
      <c r="P771" s="70" t="b">
        <f>IF(Tab.11[[#This Row],[a1]]=1,_xlfn.NORM.DIST(Tab.11[[#This Row],[b9]],$P$1,$Q$1,FALSE))</f>
        <v>0</v>
      </c>
      <c r="Q771" s="70" t="b">
        <f>IF(Tab.11[[#This Row],[a1]]=1,_xlfn.NORM.DIST(Tab.11[[#This Row],[b10]],$P$1,$Q$1,FALSE))</f>
        <v>0</v>
      </c>
      <c r="R771" s="67" t="b">
        <f>IF(Tab.11[[#This Row],[a1]]=1,$I$3+$A$989+IF($K$3=0,Tab.11[[#This Row],[b8]]*_xlfn.STDEV.P(Tab.11[data]),AVERAGE(Tab.11[b6])+Tab.11[[#This Row],[b8]]*_xlfn.STDEV.P(Tab.11[data])))</f>
        <v>0</v>
      </c>
      <c r="S771" s="71" t="b">
        <f>IF(Tab.11[[#This Row],[a1]]=1,$I$3+$A$987+IF($K$3=0,Tab.11[[#This Row],[b9]]*_xlfn.STDEV.P(Tab.11[data]),AVERAGE(Tab.11[b6])+Tab.11[[#This Row],[b9]]*_xlfn.STDEV.P(Tab.11[data])))</f>
        <v>0</v>
      </c>
      <c r="T771" s="71" t="b">
        <f>IF(Tab.11[[#This Row],[a1]]=1,$I$3+$A$988+IF($K$3=0,Tab.11[[#This Row],[b10]]*_xlfn.STDEV.P(Tab.11[data]),AVERAGE(Tab.11[b6])+Tab.11[[#This Row],[b10]]*_xlfn.STDEV.P(Tab.11[data])))</f>
        <v>0</v>
      </c>
      <c r="U771" s="72" t="b">
        <f>IF(Tab.11[[#This Row],[a1]]=1,Tab.11[[#This Row],[target]]-Tab.11[[#This Row],[Red]])</f>
        <v>0</v>
      </c>
      <c r="V771" s="72" t="b">
        <f>IF(Tab.11[[#This Row],[a1]]=1,Tab.11[[#This Row],[target]]-Tab.11[[#This Row],[Blue]])</f>
        <v>0</v>
      </c>
      <c r="W771" s="73" t="b">
        <f>IF(Tab.11[[#This Row],[a1]]=1,IF(ABS(Tab.11[[#This Row],[b17]])+ABS(Tab.11[[#This Row],[b18]])&lt;$W$2,$W$2,ABS(Tab.11[[#This Row],[b17]])+ABS(Tab.11[[#This Row],[b18]])))</f>
        <v>0</v>
      </c>
      <c r="X771" s="136" t="b">
        <f>IF(Tab.11[[#This Row],[a1]]=1,IF($W$3&lt;0,Tab.11[[#This Row],[IN]]-$I$3,Tab.11[[#This Row],[IN]]))</f>
        <v>0</v>
      </c>
      <c r="Y771" s="136" t="b">
        <f>IF(Tab.11[[#This Row],[a1]]=1,IF($X$3=0,Tab.11[b66],Tab.11[[#This Row],[b66]]-AVERAGE(Tab.11[b66])))</f>
        <v>0</v>
      </c>
      <c r="Z771" s="135" t="b">
        <f>IF(Tab.11[[#This Row],[a1]]=1,Tab.11[[#This Row],[b77]]/(_xlfn.STDEV.P(Tab.11[b77])))</f>
        <v>0</v>
      </c>
      <c r="AA771" s="70" t="b">
        <f>IF(Tab.11[[#This Row],[a1]]=1,_xlfn.NORM.DIST(Tab.11[[#This Row],[b88]],$Z$1,$AA$1,FALSE))</f>
        <v>0</v>
      </c>
      <c r="AB771" s="74" t="b">
        <f>IF(Tab.11[[#This Row],[a1]]=1,IF($A$3=0,FALSE,1/Tab.11[[#This Row],[IN]]*$AC$2*IF(Tab.11[[#This Row],[a1]]=0,,$A$3*$AC$1*1/$V$3*(Tab.11[[#This Row],[b14]]))))</f>
        <v>0</v>
      </c>
      <c r="AC771" s="75" t="b">
        <f>IF(Tab.11[[#This Row],[a1]]=1,IF($AC$3=0,Tab.11[[#This Row],[φ1]],Tab.11[[#This Row],[φ1]]/MAX(Tab.11[φ1])))</f>
        <v>0</v>
      </c>
      <c r="AD771" s="74" t="b">
        <f>IF(Tab.11[[#This Row],[a1]]=1,1/Tab.11[[#This Row],[φ2]])</f>
        <v>0</v>
      </c>
      <c r="AE771" s="74" t="b">
        <f>IF(Tab.11[[#This Row],[a1]]=1,IF($AE$3=0,Tab.11[[#This Row],[w.0]],Tab.11[[#This Row],[w.0]]/SUM(Tab.11[w.0])))</f>
        <v>0</v>
      </c>
      <c r="AF771" s="76" t="str">
        <f>IF(Tab.11[[#This Row],[a1]]=0,"false",[3]!Tab.x5[[#This Row],[%_seN_C]])</f>
        <v>false</v>
      </c>
      <c r="AG771" s="77" t="b">
        <f>IF(Tab.11[[#This Row],[a1]]=1,AP771)</f>
        <v>0</v>
      </c>
      <c r="AH771" s="78" t="b">
        <f>IF(Tab.11[[#This Row],[a1]]=1,AQ771)</f>
        <v>0</v>
      </c>
      <c r="AI771" s="41">
        <v>3.0000000000000001E-3</v>
      </c>
      <c r="AJ771" s="79">
        <v>0</v>
      </c>
      <c r="AK771" s="80" t="b">
        <f>IF(Tab.11[[#This Row],[a1]]=1,1)</f>
        <v>0</v>
      </c>
      <c r="AL771"/>
      <c r="AM771"/>
      <c r="AN771"/>
      <c r="AO771"/>
      <c r="AP771"/>
      <c r="AQ771"/>
      <c r="AR771"/>
      <c r="AS771"/>
    </row>
    <row r="772" spans="1:45" s="81" customFormat="1" hidden="1" x14ac:dyDescent="0.25">
      <c r="A772" s="61">
        <f t="shared" si="25"/>
        <v>0</v>
      </c>
      <c r="B772" s="62">
        <f t="shared" si="25"/>
        <v>0</v>
      </c>
      <c r="C772" s="62" t="b">
        <f>IF(Tab.11[[#This Row],[a1]]=1,[3]!Tab_x1[[#This Row],[Name]])</f>
        <v>0</v>
      </c>
      <c r="D772" s="63" t="b">
        <f>IF(Tab.11[[#This Row],[a1]]=1,AO772)</f>
        <v>0</v>
      </c>
      <c r="E772" s="63">
        <f t="shared" si="24"/>
        <v>0</v>
      </c>
      <c r="F772" s="64" t="b">
        <f>IF(Tab.11[[#This Row],[a1]]=1,Tab.11[[#This Row],[b1]])</f>
        <v>0</v>
      </c>
      <c r="G772" s="65" t="b">
        <f>IF(Tab.11[[#This Row],[a1]]=1,IF(Tab.11[[#This Row],[b3]]&gt;$L$989*$G$3,$L$989*$G$3,IF(Tab.11[[#This Row],[b3]]&lt;$M$989*$G$3,$M$989*$G$3,Tab.11[[#This Row],[b3]])))</f>
        <v>0</v>
      </c>
      <c r="H772" s="66" t="b">
        <f>IF(Tab.11[[#This Row],[a1]]=1,Tab.11[[#This Row],[b1]])</f>
        <v>0</v>
      </c>
      <c r="I772" s="67" t="b">
        <f>IF(Tab.11[[#This Row],[a1]]=1,Tab.11[[#This Row],[b1]])</f>
        <v>0</v>
      </c>
      <c r="J772" s="68" t="b">
        <f>IF(Tab.11[[#This Row],[a1]]=1,IF($I$3&lt;0,Tab.11[[#This Row],[b5]]-$I$3,Tab.11[[#This Row],[b5]]))</f>
        <v>0</v>
      </c>
      <c r="K772" s="68" t="b">
        <f>IF(Tab.11[[#This Row],[a1]]=1,IF($K$3=0,Tab.11[b6],Tab.11[[#This Row],[b6]]-AVERAGE(Tab.11[b6])))</f>
        <v>0</v>
      </c>
      <c r="L772" s="69" t="b">
        <f>IF(Tab.11[[#This Row],[a1]]=1,Tab.11[[#This Row],[data]]/(_xlfn.STDEV.P(Tab.11[data])*$B$989)+$A$989)</f>
        <v>0</v>
      </c>
      <c r="M772" s="69" t="b">
        <f>IF(Tab.11[[#This Row],[a1]]=1,Tab.11[[#This Row],[data]]/(_xlfn.STDEV.P(Tab.11[data])*$B$987)-$A$987)</f>
        <v>0</v>
      </c>
      <c r="N772" s="69" t="b">
        <f>IF(Tab.11[[#This Row],[a1]]=1,Tab.11[[#This Row],[data]]/(_xlfn.STDEV.P(Tab.11[data])*$B$988)+$A$988)</f>
        <v>0</v>
      </c>
      <c r="O772" s="70" t="b">
        <f>IF(Tab.11[[#This Row],[a1]]=1,_xlfn.NORM.DIST(Tab.11[[#This Row],[b8]],$P$1,$Q$1,FALSE))</f>
        <v>0</v>
      </c>
      <c r="P772" s="70" t="b">
        <f>IF(Tab.11[[#This Row],[a1]]=1,_xlfn.NORM.DIST(Tab.11[[#This Row],[b9]],$P$1,$Q$1,FALSE))</f>
        <v>0</v>
      </c>
      <c r="Q772" s="70" t="b">
        <f>IF(Tab.11[[#This Row],[a1]]=1,_xlfn.NORM.DIST(Tab.11[[#This Row],[b10]],$P$1,$Q$1,FALSE))</f>
        <v>0</v>
      </c>
      <c r="R772" s="67" t="b">
        <f>IF(Tab.11[[#This Row],[a1]]=1,$I$3+$A$989+IF($K$3=0,Tab.11[[#This Row],[b8]]*_xlfn.STDEV.P(Tab.11[data]),AVERAGE(Tab.11[b6])+Tab.11[[#This Row],[b8]]*_xlfn.STDEV.P(Tab.11[data])))</f>
        <v>0</v>
      </c>
      <c r="S772" s="71" t="b">
        <f>IF(Tab.11[[#This Row],[a1]]=1,$I$3+$A$987+IF($K$3=0,Tab.11[[#This Row],[b9]]*_xlfn.STDEV.P(Tab.11[data]),AVERAGE(Tab.11[b6])+Tab.11[[#This Row],[b9]]*_xlfn.STDEV.P(Tab.11[data])))</f>
        <v>0</v>
      </c>
      <c r="T772" s="71" t="b">
        <f>IF(Tab.11[[#This Row],[a1]]=1,$I$3+$A$988+IF($K$3=0,Tab.11[[#This Row],[b10]]*_xlfn.STDEV.P(Tab.11[data]),AVERAGE(Tab.11[b6])+Tab.11[[#This Row],[b10]]*_xlfn.STDEV.P(Tab.11[data])))</f>
        <v>0</v>
      </c>
      <c r="U772" s="72" t="b">
        <f>IF(Tab.11[[#This Row],[a1]]=1,Tab.11[[#This Row],[target]]-Tab.11[[#This Row],[Red]])</f>
        <v>0</v>
      </c>
      <c r="V772" s="72" t="b">
        <f>IF(Tab.11[[#This Row],[a1]]=1,Tab.11[[#This Row],[target]]-Tab.11[[#This Row],[Blue]])</f>
        <v>0</v>
      </c>
      <c r="W772" s="73" t="b">
        <f>IF(Tab.11[[#This Row],[a1]]=1,IF(ABS(Tab.11[[#This Row],[b17]])+ABS(Tab.11[[#This Row],[b18]])&lt;$W$2,$W$2,ABS(Tab.11[[#This Row],[b17]])+ABS(Tab.11[[#This Row],[b18]])))</f>
        <v>0</v>
      </c>
      <c r="X772" s="136" t="b">
        <f>IF(Tab.11[[#This Row],[a1]]=1,IF($W$3&lt;0,Tab.11[[#This Row],[IN]]-$I$3,Tab.11[[#This Row],[IN]]))</f>
        <v>0</v>
      </c>
      <c r="Y772" s="136" t="b">
        <f>IF(Tab.11[[#This Row],[a1]]=1,IF($X$3=0,Tab.11[b66],Tab.11[[#This Row],[b66]]-AVERAGE(Tab.11[b66])))</f>
        <v>0</v>
      </c>
      <c r="Z772" s="135" t="b">
        <f>IF(Tab.11[[#This Row],[a1]]=1,Tab.11[[#This Row],[b77]]/(_xlfn.STDEV.P(Tab.11[b77])))</f>
        <v>0</v>
      </c>
      <c r="AA772" s="70" t="b">
        <f>IF(Tab.11[[#This Row],[a1]]=1,_xlfn.NORM.DIST(Tab.11[[#This Row],[b88]],$Z$1,$AA$1,FALSE))</f>
        <v>0</v>
      </c>
      <c r="AB772" s="74" t="b">
        <f>IF(Tab.11[[#This Row],[a1]]=1,IF($A$3=0,FALSE,1/Tab.11[[#This Row],[IN]]*$AC$2*IF(Tab.11[[#This Row],[a1]]=0,,$A$3*$AC$1*1/$V$3*(Tab.11[[#This Row],[b14]]))))</f>
        <v>0</v>
      </c>
      <c r="AC772" s="75" t="b">
        <f>IF(Tab.11[[#This Row],[a1]]=1,IF($AC$3=0,Tab.11[[#This Row],[φ1]],Tab.11[[#This Row],[φ1]]/MAX(Tab.11[φ1])))</f>
        <v>0</v>
      </c>
      <c r="AD772" s="74" t="b">
        <f>IF(Tab.11[[#This Row],[a1]]=1,1/Tab.11[[#This Row],[φ2]])</f>
        <v>0</v>
      </c>
      <c r="AE772" s="74" t="b">
        <f>IF(Tab.11[[#This Row],[a1]]=1,IF($AE$3=0,Tab.11[[#This Row],[w.0]],Tab.11[[#This Row],[w.0]]/SUM(Tab.11[w.0])))</f>
        <v>0</v>
      </c>
      <c r="AF772" s="76" t="str">
        <f>IF(Tab.11[[#This Row],[a1]]=0,"false",[3]!Tab.x5[[#This Row],[%_seN_C]])</f>
        <v>false</v>
      </c>
      <c r="AG772" s="77" t="b">
        <f>IF(Tab.11[[#This Row],[a1]]=1,AP772)</f>
        <v>0</v>
      </c>
      <c r="AH772" s="78" t="b">
        <f>IF(Tab.11[[#This Row],[a1]]=1,AQ772)</f>
        <v>0</v>
      </c>
      <c r="AI772" s="41">
        <v>3.0000000000000001E-3</v>
      </c>
      <c r="AJ772" s="79">
        <v>0.04</v>
      </c>
      <c r="AK772" s="80" t="b">
        <f>IF(Tab.11[[#This Row],[a1]]=1,1)</f>
        <v>0</v>
      </c>
      <c r="AL772"/>
      <c r="AM772"/>
      <c r="AN772"/>
      <c r="AO772"/>
      <c r="AP772"/>
      <c r="AQ772"/>
      <c r="AR772"/>
      <c r="AS772"/>
    </row>
    <row r="773" spans="1:45" s="81" customFormat="1" hidden="1" x14ac:dyDescent="0.25">
      <c r="A773" s="61">
        <f t="shared" si="25"/>
        <v>0</v>
      </c>
      <c r="B773" s="62">
        <f t="shared" si="25"/>
        <v>0</v>
      </c>
      <c r="C773" s="62" t="b">
        <f>IF(Tab.11[[#This Row],[a1]]=1,[3]!Tab_x1[[#This Row],[Name]])</f>
        <v>0</v>
      </c>
      <c r="D773" s="63" t="b">
        <f>IF(Tab.11[[#This Row],[a1]]=1,AO773)</f>
        <v>0</v>
      </c>
      <c r="E773" s="63">
        <f t="shared" ref="E773:E836" si="26">AM773</f>
        <v>0</v>
      </c>
      <c r="F773" s="64" t="b">
        <f>IF(Tab.11[[#This Row],[a1]]=1,Tab.11[[#This Row],[b1]])</f>
        <v>0</v>
      </c>
      <c r="G773" s="65" t="b">
        <f>IF(Tab.11[[#This Row],[a1]]=1,IF(Tab.11[[#This Row],[b3]]&gt;$L$989*$G$3,$L$989*$G$3,IF(Tab.11[[#This Row],[b3]]&lt;$M$989*$G$3,$M$989*$G$3,Tab.11[[#This Row],[b3]])))</f>
        <v>0</v>
      </c>
      <c r="H773" s="66" t="b">
        <f>IF(Tab.11[[#This Row],[a1]]=1,Tab.11[[#This Row],[b1]])</f>
        <v>0</v>
      </c>
      <c r="I773" s="67" t="b">
        <f>IF(Tab.11[[#This Row],[a1]]=1,Tab.11[[#This Row],[b1]])</f>
        <v>0</v>
      </c>
      <c r="J773" s="68" t="b">
        <f>IF(Tab.11[[#This Row],[a1]]=1,IF($I$3&lt;0,Tab.11[[#This Row],[b5]]-$I$3,Tab.11[[#This Row],[b5]]))</f>
        <v>0</v>
      </c>
      <c r="K773" s="68" t="b">
        <f>IF(Tab.11[[#This Row],[a1]]=1,IF($K$3=0,Tab.11[b6],Tab.11[[#This Row],[b6]]-AVERAGE(Tab.11[b6])))</f>
        <v>0</v>
      </c>
      <c r="L773" s="69" t="b">
        <f>IF(Tab.11[[#This Row],[a1]]=1,Tab.11[[#This Row],[data]]/(_xlfn.STDEV.P(Tab.11[data])*$B$989)+$A$989)</f>
        <v>0</v>
      </c>
      <c r="M773" s="69" t="b">
        <f>IF(Tab.11[[#This Row],[a1]]=1,Tab.11[[#This Row],[data]]/(_xlfn.STDEV.P(Tab.11[data])*$B$987)-$A$987)</f>
        <v>0</v>
      </c>
      <c r="N773" s="69" t="b">
        <f>IF(Tab.11[[#This Row],[a1]]=1,Tab.11[[#This Row],[data]]/(_xlfn.STDEV.P(Tab.11[data])*$B$988)+$A$988)</f>
        <v>0</v>
      </c>
      <c r="O773" s="70" t="b">
        <f>IF(Tab.11[[#This Row],[a1]]=1,_xlfn.NORM.DIST(Tab.11[[#This Row],[b8]],$P$1,$Q$1,FALSE))</f>
        <v>0</v>
      </c>
      <c r="P773" s="70" t="b">
        <f>IF(Tab.11[[#This Row],[a1]]=1,_xlfn.NORM.DIST(Tab.11[[#This Row],[b9]],$P$1,$Q$1,FALSE))</f>
        <v>0</v>
      </c>
      <c r="Q773" s="70" t="b">
        <f>IF(Tab.11[[#This Row],[a1]]=1,_xlfn.NORM.DIST(Tab.11[[#This Row],[b10]],$P$1,$Q$1,FALSE))</f>
        <v>0</v>
      </c>
      <c r="R773" s="67" t="b">
        <f>IF(Tab.11[[#This Row],[a1]]=1,$I$3+$A$989+IF($K$3=0,Tab.11[[#This Row],[b8]]*_xlfn.STDEV.P(Tab.11[data]),AVERAGE(Tab.11[b6])+Tab.11[[#This Row],[b8]]*_xlfn.STDEV.P(Tab.11[data])))</f>
        <v>0</v>
      </c>
      <c r="S773" s="71" t="b">
        <f>IF(Tab.11[[#This Row],[a1]]=1,$I$3+$A$987+IF($K$3=0,Tab.11[[#This Row],[b9]]*_xlfn.STDEV.P(Tab.11[data]),AVERAGE(Tab.11[b6])+Tab.11[[#This Row],[b9]]*_xlfn.STDEV.P(Tab.11[data])))</f>
        <v>0</v>
      </c>
      <c r="T773" s="71" t="b">
        <f>IF(Tab.11[[#This Row],[a1]]=1,$I$3+$A$988+IF($K$3=0,Tab.11[[#This Row],[b10]]*_xlfn.STDEV.P(Tab.11[data]),AVERAGE(Tab.11[b6])+Tab.11[[#This Row],[b10]]*_xlfn.STDEV.P(Tab.11[data])))</f>
        <v>0</v>
      </c>
      <c r="U773" s="72" t="b">
        <f>IF(Tab.11[[#This Row],[a1]]=1,Tab.11[[#This Row],[target]]-Tab.11[[#This Row],[Red]])</f>
        <v>0</v>
      </c>
      <c r="V773" s="72" t="b">
        <f>IF(Tab.11[[#This Row],[a1]]=1,Tab.11[[#This Row],[target]]-Tab.11[[#This Row],[Blue]])</f>
        <v>0</v>
      </c>
      <c r="W773" s="73" t="b">
        <f>IF(Tab.11[[#This Row],[a1]]=1,IF(ABS(Tab.11[[#This Row],[b17]])+ABS(Tab.11[[#This Row],[b18]])&lt;$W$2,$W$2,ABS(Tab.11[[#This Row],[b17]])+ABS(Tab.11[[#This Row],[b18]])))</f>
        <v>0</v>
      </c>
      <c r="X773" s="136" t="b">
        <f>IF(Tab.11[[#This Row],[a1]]=1,IF($W$3&lt;0,Tab.11[[#This Row],[IN]]-$I$3,Tab.11[[#This Row],[IN]]))</f>
        <v>0</v>
      </c>
      <c r="Y773" s="136" t="b">
        <f>IF(Tab.11[[#This Row],[a1]]=1,IF($X$3=0,Tab.11[b66],Tab.11[[#This Row],[b66]]-AVERAGE(Tab.11[b66])))</f>
        <v>0</v>
      </c>
      <c r="Z773" s="135" t="b">
        <f>IF(Tab.11[[#This Row],[a1]]=1,Tab.11[[#This Row],[b77]]/(_xlfn.STDEV.P(Tab.11[b77])))</f>
        <v>0</v>
      </c>
      <c r="AA773" s="70" t="b">
        <f>IF(Tab.11[[#This Row],[a1]]=1,_xlfn.NORM.DIST(Tab.11[[#This Row],[b88]],$Z$1,$AA$1,FALSE))</f>
        <v>0</v>
      </c>
      <c r="AB773" s="74" t="b">
        <f>IF(Tab.11[[#This Row],[a1]]=1,IF($A$3=0,FALSE,1/Tab.11[[#This Row],[IN]]*$AC$2*IF(Tab.11[[#This Row],[a1]]=0,,$A$3*$AC$1*1/$V$3*(Tab.11[[#This Row],[b14]]))))</f>
        <v>0</v>
      </c>
      <c r="AC773" s="75" t="b">
        <f>IF(Tab.11[[#This Row],[a1]]=1,IF($AC$3=0,Tab.11[[#This Row],[φ1]],Tab.11[[#This Row],[φ1]]/MAX(Tab.11[φ1])))</f>
        <v>0</v>
      </c>
      <c r="AD773" s="74" t="b">
        <f>IF(Tab.11[[#This Row],[a1]]=1,1/Tab.11[[#This Row],[φ2]])</f>
        <v>0</v>
      </c>
      <c r="AE773" s="74" t="b">
        <f>IF(Tab.11[[#This Row],[a1]]=1,IF($AE$3=0,Tab.11[[#This Row],[w.0]],Tab.11[[#This Row],[w.0]]/SUM(Tab.11[w.0])))</f>
        <v>0</v>
      </c>
      <c r="AF773" s="76" t="str">
        <f>IF(Tab.11[[#This Row],[a1]]=0,"false",[3]!Tab.x5[[#This Row],[%_seN_C]])</f>
        <v>false</v>
      </c>
      <c r="AG773" s="77" t="b">
        <f>IF(Tab.11[[#This Row],[a1]]=1,AP773)</f>
        <v>0</v>
      </c>
      <c r="AH773" s="78" t="b">
        <f>IF(Tab.11[[#This Row],[a1]]=1,AQ773)</f>
        <v>0</v>
      </c>
      <c r="AI773" s="41">
        <v>3.0000000000000001E-3</v>
      </c>
      <c r="AJ773" s="79">
        <v>0.01</v>
      </c>
      <c r="AK773" s="80" t="b">
        <f>IF(Tab.11[[#This Row],[a1]]=1,1)</f>
        <v>0</v>
      </c>
      <c r="AL773"/>
      <c r="AM773"/>
      <c r="AN773"/>
      <c r="AO773"/>
      <c r="AP773"/>
      <c r="AQ773"/>
      <c r="AR773"/>
      <c r="AS773"/>
    </row>
    <row r="774" spans="1:45" s="81" customFormat="1" hidden="1" x14ac:dyDescent="0.25">
      <c r="A774" s="61">
        <f t="shared" si="25"/>
        <v>0</v>
      </c>
      <c r="B774" s="62">
        <f t="shared" si="25"/>
        <v>0</v>
      </c>
      <c r="C774" s="62" t="b">
        <f>IF(Tab.11[[#This Row],[a1]]=1,[3]!Tab_x1[[#This Row],[Name]])</f>
        <v>0</v>
      </c>
      <c r="D774" s="63" t="b">
        <f>IF(Tab.11[[#This Row],[a1]]=1,AO774)</f>
        <v>0</v>
      </c>
      <c r="E774" s="63">
        <f t="shared" si="26"/>
        <v>0</v>
      </c>
      <c r="F774" s="64" t="b">
        <f>IF(Tab.11[[#This Row],[a1]]=1,Tab.11[[#This Row],[b1]])</f>
        <v>0</v>
      </c>
      <c r="G774" s="65" t="b">
        <f>IF(Tab.11[[#This Row],[a1]]=1,IF(Tab.11[[#This Row],[b3]]&gt;$L$989*$G$3,$L$989*$G$3,IF(Tab.11[[#This Row],[b3]]&lt;$M$989*$G$3,$M$989*$G$3,Tab.11[[#This Row],[b3]])))</f>
        <v>0</v>
      </c>
      <c r="H774" s="66" t="b">
        <f>IF(Tab.11[[#This Row],[a1]]=1,Tab.11[[#This Row],[b1]])</f>
        <v>0</v>
      </c>
      <c r="I774" s="67" t="b">
        <f>IF(Tab.11[[#This Row],[a1]]=1,Tab.11[[#This Row],[b1]])</f>
        <v>0</v>
      </c>
      <c r="J774" s="68" t="b">
        <f>IF(Tab.11[[#This Row],[a1]]=1,IF($I$3&lt;0,Tab.11[[#This Row],[b5]]-$I$3,Tab.11[[#This Row],[b5]]))</f>
        <v>0</v>
      </c>
      <c r="K774" s="68" t="b">
        <f>IF(Tab.11[[#This Row],[a1]]=1,IF($K$3=0,Tab.11[b6],Tab.11[[#This Row],[b6]]-AVERAGE(Tab.11[b6])))</f>
        <v>0</v>
      </c>
      <c r="L774" s="69" t="b">
        <f>IF(Tab.11[[#This Row],[a1]]=1,Tab.11[[#This Row],[data]]/(_xlfn.STDEV.P(Tab.11[data])*$B$989)+$A$989)</f>
        <v>0</v>
      </c>
      <c r="M774" s="69" t="b">
        <f>IF(Tab.11[[#This Row],[a1]]=1,Tab.11[[#This Row],[data]]/(_xlfn.STDEV.P(Tab.11[data])*$B$987)-$A$987)</f>
        <v>0</v>
      </c>
      <c r="N774" s="69" t="b">
        <f>IF(Tab.11[[#This Row],[a1]]=1,Tab.11[[#This Row],[data]]/(_xlfn.STDEV.P(Tab.11[data])*$B$988)+$A$988)</f>
        <v>0</v>
      </c>
      <c r="O774" s="70" t="b">
        <f>IF(Tab.11[[#This Row],[a1]]=1,_xlfn.NORM.DIST(Tab.11[[#This Row],[b8]],$P$1,$Q$1,FALSE))</f>
        <v>0</v>
      </c>
      <c r="P774" s="70" t="b">
        <f>IF(Tab.11[[#This Row],[a1]]=1,_xlfn.NORM.DIST(Tab.11[[#This Row],[b9]],$P$1,$Q$1,FALSE))</f>
        <v>0</v>
      </c>
      <c r="Q774" s="70" t="b">
        <f>IF(Tab.11[[#This Row],[a1]]=1,_xlfn.NORM.DIST(Tab.11[[#This Row],[b10]],$P$1,$Q$1,FALSE))</f>
        <v>0</v>
      </c>
      <c r="R774" s="67" t="b">
        <f>IF(Tab.11[[#This Row],[a1]]=1,$I$3+$A$989+IF($K$3=0,Tab.11[[#This Row],[b8]]*_xlfn.STDEV.P(Tab.11[data]),AVERAGE(Tab.11[b6])+Tab.11[[#This Row],[b8]]*_xlfn.STDEV.P(Tab.11[data])))</f>
        <v>0</v>
      </c>
      <c r="S774" s="71" t="b">
        <f>IF(Tab.11[[#This Row],[a1]]=1,$I$3+$A$987+IF($K$3=0,Tab.11[[#This Row],[b9]]*_xlfn.STDEV.P(Tab.11[data]),AVERAGE(Tab.11[b6])+Tab.11[[#This Row],[b9]]*_xlfn.STDEV.P(Tab.11[data])))</f>
        <v>0</v>
      </c>
      <c r="T774" s="71" t="b">
        <f>IF(Tab.11[[#This Row],[a1]]=1,$I$3+$A$988+IF($K$3=0,Tab.11[[#This Row],[b10]]*_xlfn.STDEV.P(Tab.11[data]),AVERAGE(Tab.11[b6])+Tab.11[[#This Row],[b10]]*_xlfn.STDEV.P(Tab.11[data])))</f>
        <v>0</v>
      </c>
      <c r="U774" s="72" t="b">
        <f>IF(Tab.11[[#This Row],[a1]]=1,Tab.11[[#This Row],[target]]-Tab.11[[#This Row],[Red]])</f>
        <v>0</v>
      </c>
      <c r="V774" s="72" t="b">
        <f>IF(Tab.11[[#This Row],[a1]]=1,Tab.11[[#This Row],[target]]-Tab.11[[#This Row],[Blue]])</f>
        <v>0</v>
      </c>
      <c r="W774" s="73" t="b">
        <f>IF(Tab.11[[#This Row],[a1]]=1,IF(ABS(Tab.11[[#This Row],[b17]])+ABS(Tab.11[[#This Row],[b18]])&lt;$W$2,$W$2,ABS(Tab.11[[#This Row],[b17]])+ABS(Tab.11[[#This Row],[b18]])))</f>
        <v>0</v>
      </c>
      <c r="X774" s="136" t="b">
        <f>IF(Tab.11[[#This Row],[a1]]=1,IF($W$3&lt;0,Tab.11[[#This Row],[IN]]-$I$3,Tab.11[[#This Row],[IN]]))</f>
        <v>0</v>
      </c>
      <c r="Y774" s="136" t="b">
        <f>IF(Tab.11[[#This Row],[a1]]=1,IF($X$3=0,Tab.11[b66],Tab.11[[#This Row],[b66]]-AVERAGE(Tab.11[b66])))</f>
        <v>0</v>
      </c>
      <c r="Z774" s="135" t="b">
        <f>IF(Tab.11[[#This Row],[a1]]=1,Tab.11[[#This Row],[b77]]/(_xlfn.STDEV.P(Tab.11[b77])))</f>
        <v>0</v>
      </c>
      <c r="AA774" s="70" t="b">
        <f>IF(Tab.11[[#This Row],[a1]]=1,_xlfn.NORM.DIST(Tab.11[[#This Row],[b88]],$Z$1,$AA$1,FALSE))</f>
        <v>0</v>
      </c>
      <c r="AB774" s="74" t="b">
        <f>IF(Tab.11[[#This Row],[a1]]=1,IF($A$3=0,FALSE,1/Tab.11[[#This Row],[IN]]*$AC$2*IF(Tab.11[[#This Row],[a1]]=0,,$A$3*$AC$1*1/$V$3*(Tab.11[[#This Row],[b14]]))))</f>
        <v>0</v>
      </c>
      <c r="AC774" s="75" t="b">
        <f>IF(Tab.11[[#This Row],[a1]]=1,IF($AC$3=0,Tab.11[[#This Row],[φ1]],Tab.11[[#This Row],[φ1]]/MAX(Tab.11[φ1])))</f>
        <v>0</v>
      </c>
      <c r="AD774" s="74" t="b">
        <f>IF(Tab.11[[#This Row],[a1]]=1,1/Tab.11[[#This Row],[φ2]])</f>
        <v>0</v>
      </c>
      <c r="AE774" s="74" t="b">
        <f>IF(Tab.11[[#This Row],[a1]]=1,IF($AE$3=0,Tab.11[[#This Row],[w.0]],Tab.11[[#This Row],[w.0]]/SUM(Tab.11[w.0])))</f>
        <v>0</v>
      </c>
      <c r="AF774" s="76" t="str">
        <f>IF(Tab.11[[#This Row],[a1]]=0,"false",[3]!Tab.x5[[#This Row],[%_seN_C]])</f>
        <v>false</v>
      </c>
      <c r="AG774" s="77" t="b">
        <f>IF(Tab.11[[#This Row],[a1]]=1,AP774)</f>
        <v>0</v>
      </c>
      <c r="AH774" s="78" t="b">
        <f>IF(Tab.11[[#This Row],[a1]]=1,AQ774)</f>
        <v>0</v>
      </c>
      <c r="AI774" s="41">
        <v>3.0000000000000001E-3</v>
      </c>
      <c r="AJ774" s="79">
        <v>-0.04</v>
      </c>
      <c r="AK774" s="80" t="b">
        <f>IF(Tab.11[[#This Row],[a1]]=1,1)</f>
        <v>0</v>
      </c>
      <c r="AL774"/>
      <c r="AM774"/>
      <c r="AN774"/>
      <c r="AO774"/>
      <c r="AP774"/>
      <c r="AQ774"/>
      <c r="AR774"/>
      <c r="AS774"/>
    </row>
    <row r="775" spans="1:45" s="81" customFormat="1" hidden="1" x14ac:dyDescent="0.25">
      <c r="A775" s="61">
        <f t="shared" si="25"/>
        <v>0</v>
      </c>
      <c r="B775" s="62">
        <f t="shared" si="25"/>
        <v>0</v>
      </c>
      <c r="C775" s="62" t="b">
        <f>IF(Tab.11[[#This Row],[a1]]=1,[3]!Tab_x1[[#This Row],[Name]])</f>
        <v>0</v>
      </c>
      <c r="D775" s="63" t="b">
        <f>IF(Tab.11[[#This Row],[a1]]=1,AO775)</f>
        <v>0</v>
      </c>
      <c r="E775" s="63">
        <f t="shared" si="26"/>
        <v>0</v>
      </c>
      <c r="F775" s="64" t="b">
        <f>IF(Tab.11[[#This Row],[a1]]=1,Tab.11[[#This Row],[b1]])</f>
        <v>0</v>
      </c>
      <c r="G775" s="65" t="b">
        <f>IF(Tab.11[[#This Row],[a1]]=1,IF(Tab.11[[#This Row],[b3]]&gt;$L$989*$G$3,$L$989*$G$3,IF(Tab.11[[#This Row],[b3]]&lt;$M$989*$G$3,$M$989*$G$3,Tab.11[[#This Row],[b3]])))</f>
        <v>0</v>
      </c>
      <c r="H775" s="66" t="b">
        <f>IF(Tab.11[[#This Row],[a1]]=1,Tab.11[[#This Row],[b1]])</f>
        <v>0</v>
      </c>
      <c r="I775" s="67" t="b">
        <f>IF(Tab.11[[#This Row],[a1]]=1,Tab.11[[#This Row],[b1]])</f>
        <v>0</v>
      </c>
      <c r="J775" s="68" t="b">
        <f>IF(Tab.11[[#This Row],[a1]]=1,IF($I$3&lt;0,Tab.11[[#This Row],[b5]]-$I$3,Tab.11[[#This Row],[b5]]))</f>
        <v>0</v>
      </c>
      <c r="K775" s="68" t="b">
        <f>IF(Tab.11[[#This Row],[a1]]=1,IF($K$3=0,Tab.11[b6],Tab.11[[#This Row],[b6]]-AVERAGE(Tab.11[b6])))</f>
        <v>0</v>
      </c>
      <c r="L775" s="69" t="b">
        <f>IF(Tab.11[[#This Row],[a1]]=1,Tab.11[[#This Row],[data]]/(_xlfn.STDEV.P(Tab.11[data])*$B$989)+$A$989)</f>
        <v>0</v>
      </c>
      <c r="M775" s="69" t="b">
        <f>IF(Tab.11[[#This Row],[a1]]=1,Tab.11[[#This Row],[data]]/(_xlfn.STDEV.P(Tab.11[data])*$B$987)-$A$987)</f>
        <v>0</v>
      </c>
      <c r="N775" s="69" t="b">
        <f>IF(Tab.11[[#This Row],[a1]]=1,Tab.11[[#This Row],[data]]/(_xlfn.STDEV.P(Tab.11[data])*$B$988)+$A$988)</f>
        <v>0</v>
      </c>
      <c r="O775" s="70" t="b">
        <f>IF(Tab.11[[#This Row],[a1]]=1,_xlfn.NORM.DIST(Tab.11[[#This Row],[b8]],$P$1,$Q$1,FALSE))</f>
        <v>0</v>
      </c>
      <c r="P775" s="70" t="b">
        <f>IF(Tab.11[[#This Row],[a1]]=1,_xlfn.NORM.DIST(Tab.11[[#This Row],[b9]],$P$1,$Q$1,FALSE))</f>
        <v>0</v>
      </c>
      <c r="Q775" s="70" t="b">
        <f>IF(Tab.11[[#This Row],[a1]]=1,_xlfn.NORM.DIST(Tab.11[[#This Row],[b10]],$P$1,$Q$1,FALSE))</f>
        <v>0</v>
      </c>
      <c r="R775" s="67" t="b">
        <f>IF(Tab.11[[#This Row],[a1]]=1,$I$3+$A$989+IF($K$3=0,Tab.11[[#This Row],[b8]]*_xlfn.STDEV.P(Tab.11[data]),AVERAGE(Tab.11[b6])+Tab.11[[#This Row],[b8]]*_xlfn.STDEV.P(Tab.11[data])))</f>
        <v>0</v>
      </c>
      <c r="S775" s="71" t="b">
        <f>IF(Tab.11[[#This Row],[a1]]=1,$I$3+$A$987+IF($K$3=0,Tab.11[[#This Row],[b9]]*_xlfn.STDEV.P(Tab.11[data]),AVERAGE(Tab.11[b6])+Tab.11[[#This Row],[b9]]*_xlfn.STDEV.P(Tab.11[data])))</f>
        <v>0</v>
      </c>
      <c r="T775" s="71" t="b">
        <f>IF(Tab.11[[#This Row],[a1]]=1,$I$3+$A$988+IF($K$3=0,Tab.11[[#This Row],[b10]]*_xlfn.STDEV.P(Tab.11[data]),AVERAGE(Tab.11[b6])+Tab.11[[#This Row],[b10]]*_xlfn.STDEV.P(Tab.11[data])))</f>
        <v>0</v>
      </c>
      <c r="U775" s="72" t="b">
        <f>IF(Tab.11[[#This Row],[a1]]=1,Tab.11[[#This Row],[target]]-Tab.11[[#This Row],[Red]])</f>
        <v>0</v>
      </c>
      <c r="V775" s="72" t="b">
        <f>IF(Tab.11[[#This Row],[a1]]=1,Tab.11[[#This Row],[target]]-Tab.11[[#This Row],[Blue]])</f>
        <v>0</v>
      </c>
      <c r="W775" s="73" t="b">
        <f>IF(Tab.11[[#This Row],[a1]]=1,IF(ABS(Tab.11[[#This Row],[b17]])+ABS(Tab.11[[#This Row],[b18]])&lt;$W$2,$W$2,ABS(Tab.11[[#This Row],[b17]])+ABS(Tab.11[[#This Row],[b18]])))</f>
        <v>0</v>
      </c>
      <c r="X775" s="136" t="b">
        <f>IF(Tab.11[[#This Row],[a1]]=1,IF($W$3&lt;0,Tab.11[[#This Row],[IN]]-$I$3,Tab.11[[#This Row],[IN]]))</f>
        <v>0</v>
      </c>
      <c r="Y775" s="136" t="b">
        <f>IF(Tab.11[[#This Row],[a1]]=1,IF($X$3=0,Tab.11[b66],Tab.11[[#This Row],[b66]]-AVERAGE(Tab.11[b66])))</f>
        <v>0</v>
      </c>
      <c r="Z775" s="135" t="b">
        <f>IF(Tab.11[[#This Row],[a1]]=1,Tab.11[[#This Row],[b77]]/(_xlfn.STDEV.P(Tab.11[b77])))</f>
        <v>0</v>
      </c>
      <c r="AA775" s="70" t="b">
        <f>IF(Tab.11[[#This Row],[a1]]=1,_xlfn.NORM.DIST(Tab.11[[#This Row],[b88]],$Z$1,$AA$1,FALSE))</f>
        <v>0</v>
      </c>
      <c r="AB775" s="74" t="b">
        <f>IF(Tab.11[[#This Row],[a1]]=1,IF($A$3=0,FALSE,1/Tab.11[[#This Row],[IN]]*$AC$2*IF(Tab.11[[#This Row],[a1]]=0,,$A$3*$AC$1*1/$V$3*(Tab.11[[#This Row],[b14]]))))</f>
        <v>0</v>
      </c>
      <c r="AC775" s="75" t="b">
        <f>IF(Tab.11[[#This Row],[a1]]=1,IF($AC$3=0,Tab.11[[#This Row],[φ1]],Tab.11[[#This Row],[φ1]]/MAX(Tab.11[φ1])))</f>
        <v>0</v>
      </c>
      <c r="AD775" s="74" t="b">
        <f>IF(Tab.11[[#This Row],[a1]]=1,1/Tab.11[[#This Row],[φ2]])</f>
        <v>0</v>
      </c>
      <c r="AE775" s="74" t="b">
        <f>IF(Tab.11[[#This Row],[a1]]=1,IF($AE$3=0,Tab.11[[#This Row],[w.0]],Tab.11[[#This Row],[w.0]]/SUM(Tab.11[w.0])))</f>
        <v>0</v>
      </c>
      <c r="AF775" s="76" t="str">
        <f>IF(Tab.11[[#This Row],[a1]]=0,"false",[3]!Tab.x5[[#This Row],[%_seN_C]])</f>
        <v>false</v>
      </c>
      <c r="AG775" s="77" t="b">
        <f>IF(Tab.11[[#This Row],[a1]]=1,AP775)</f>
        <v>0</v>
      </c>
      <c r="AH775" s="78" t="b">
        <f>IF(Tab.11[[#This Row],[a1]]=1,AQ775)</f>
        <v>0</v>
      </c>
      <c r="AI775" s="41">
        <v>3.0000000000000001E-3</v>
      </c>
      <c r="AJ775" s="79">
        <v>0.06</v>
      </c>
      <c r="AK775" s="80" t="b">
        <f>IF(Tab.11[[#This Row],[a1]]=1,1)</f>
        <v>0</v>
      </c>
      <c r="AL775"/>
      <c r="AM775"/>
      <c r="AN775"/>
      <c r="AO775"/>
      <c r="AP775"/>
      <c r="AQ775"/>
      <c r="AR775"/>
      <c r="AS775"/>
    </row>
    <row r="776" spans="1:45" s="81" customFormat="1" hidden="1" x14ac:dyDescent="0.25">
      <c r="A776" s="61">
        <f t="shared" si="25"/>
        <v>0</v>
      </c>
      <c r="B776" s="62">
        <f t="shared" si="25"/>
        <v>0</v>
      </c>
      <c r="C776" s="62" t="b">
        <f>IF(Tab.11[[#This Row],[a1]]=1,[3]!Tab_x1[[#This Row],[Name]])</f>
        <v>0</v>
      </c>
      <c r="D776" s="63" t="b">
        <f>IF(Tab.11[[#This Row],[a1]]=1,AO776)</f>
        <v>0</v>
      </c>
      <c r="E776" s="63">
        <f t="shared" si="26"/>
        <v>0</v>
      </c>
      <c r="F776" s="64" t="b">
        <f>IF(Tab.11[[#This Row],[a1]]=1,Tab.11[[#This Row],[b1]])</f>
        <v>0</v>
      </c>
      <c r="G776" s="65" t="b">
        <f>IF(Tab.11[[#This Row],[a1]]=1,IF(Tab.11[[#This Row],[b3]]&gt;$L$989*$G$3,$L$989*$G$3,IF(Tab.11[[#This Row],[b3]]&lt;$M$989*$G$3,$M$989*$G$3,Tab.11[[#This Row],[b3]])))</f>
        <v>0</v>
      </c>
      <c r="H776" s="66" t="b">
        <f>IF(Tab.11[[#This Row],[a1]]=1,Tab.11[[#This Row],[b1]])</f>
        <v>0</v>
      </c>
      <c r="I776" s="67" t="b">
        <f>IF(Tab.11[[#This Row],[a1]]=1,Tab.11[[#This Row],[b1]])</f>
        <v>0</v>
      </c>
      <c r="J776" s="68" t="b">
        <f>IF(Tab.11[[#This Row],[a1]]=1,IF($I$3&lt;0,Tab.11[[#This Row],[b5]]-$I$3,Tab.11[[#This Row],[b5]]))</f>
        <v>0</v>
      </c>
      <c r="K776" s="68" t="b">
        <f>IF(Tab.11[[#This Row],[a1]]=1,IF($K$3=0,Tab.11[b6],Tab.11[[#This Row],[b6]]-AVERAGE(Tab.11[b6])))</f>
        <v>0</v>
      </c>
      <c r="L776" s="69" t="b">
        <f>IF(Tab.11[[#This Row],[a1]]=1,Tab.11[[#This Row],[data]]/(_xlfn.STDEV.P(Tab.11[data])*$B$989)+$A$989)</f>
        <v>0</v>
      </c>
      <c r="M776" s="69" t="b">
        <f>IF(Tab.11[[#This Row],[a1]]=1,Tab.11[[#This Row],[data]]/(_xlfn.STDEV.P(Tab.11[data])*$B$987)-$A$987)</f>
        <v>0</v>
      </c>
      <c r="N776" s="69" t="b">
        <f>IF(Tab.11[[#This Row],[a1]]=1,Tab.11[[#This Row],[data]]/(_xlfn.STDEV.P(Tab.11[data])*$B$988)+$A$988)</f>
        <v>0</v>
      </c>
      <c r="O776" s="70" t="b">
        <f>IF(Tab.11[[#This Row],[a1]]=1,_xlfn.NORM.DIST(Tab.11[[#This Row],[b8]],$P$1,$Q$1,FALSE))</f>
        <v>0</v>
      </c>
      <c r="P776" s="70" t="b">
        <f>IF(Tab.11[[#This Row],[a1]]=1,_xlfn.NORM.DIST(Tab.11[[#This Row],[b9]],$P$1,$Q$1,FALSE))</f>
        <v>0</v>
      </c>
      <c r="Q776" s="70" t="b">
        <f>IF(Tab.11[[#This Row],[a1]]=1,_xlfn.NORM.DIST(Tab.11[[#This Row],[b10]],$P$1,$Q$1,FALSE))</f>
        <v>0</v>
      </c>
      <c r="R776" s="67" t="b">
        <f>IF(Tab.11[[#This Row],[a1]]=1,$I$3+$A$989+IF($K$3=0,Tab.11[[#This Row],[b8]]*_xlfn.STDEV.P(Tab.11[data]),AVERAGE(Tab.11[b6])+Tab.11[[#This Row],[b8]]*_xlfn.STDEV.P(Tab.11[data])))</f>
        <v>0</v>
      </c>
      <c r="S776" s="71" t="b">
        <f>IF(Tab.11[[#This Row],[a1]]=1,$I$3+$A$987+IF($K$3=0,Tab.11[[#This Row],[b9]]*_xlfn.STDEV.P(Tab.11[data]),AVERAGE(Tab.11[b6])+Tab.11[[#This Row],[b9]]*_xlfn.STDEV.P(Tab.11[data])))</f>
        <v>0</v>
      </c>
      <c r="T776" s="71" t="b">
        <f>IF(Tab.11[[#This Row],[a1]]=1,$I$3+$A$988+IF($K$3=0,Tab.11[[#This Row],[b10]]*_xlfn.STDEV.P(Tab.11[data]),AVERAGE(Tab.11[b6])+Tab.11[[#This Row],[b10]]*_xlfn.STDEV.P(Tab.11[data])))</f>
        <v>0</v>
      </c>
      <c r="U776" s="72" t="b">
        <f>IF(Tab.11[[#This Row],[a1]]=1,Tab.11[[#This Row],[target]]-Tab.11[[#This Row],[Red]])</f>
        <v>0</v>
      </c>
      <c r="V776" s="72" t="b">
        <f>IF(Tab.11[[#This Row],[a1]]=1,Tab.11[[#This Row],[target]]-Tab.11[[#This Row],[Blue]])</f>
        <v>0</v>
      </c>
      <c r="W776" s="73" t="b">
        <f>IF(Tab.11[[#This Row],[a1]]=1,IF(ABS(Tab.11[[#This Row],[b17]])+ABS(Tab.11[[#This Row],[b18]])&lt;$W$2,$W$2,ABS(Tab.11[[#This Row],[b17]])+ABS(Tab.11[[#This Row],[b18]])))</f>
        <v>0</v>
      </c>
      <c r="X776" s="136" t="b">
        <f>IF(Tab.11[[#This Row],[a1]]=1,IF($W$3&lt;0,Tab.11[[#This Row],[IN]]-$I$3,Tab.11[[#This Row],[IN]]))</f>
        <v>0</v>
      </c>
      <c r="Y776" s="136" t="b">
        <f>IF(Tab.11[[#This Row],[a1]]=1,IF($X$3=0,Tab.11[b66],Tab.11[[#This Row],[b66]]-AVERAGE(Tab.11[b66])))</f>
        <v>0</v>
      </c>
      <c r="Z776" s="135" t="b">
        <f>IF(Tab.11[[#This Row],[a1]]=1,Tab.11[[#This Row],[b77]]/(_xlfn.STDEV.P(Tab.11[b77])))</f>
        <v>0</v>
      </c>
      <c r="AA776" s="70" t="b">
        <f>IF(Tab.11[[#This Row],[a1]]=1,_xlfn.NORM.DIST(Tab.11[[#This Row],[b88]],$Z$1,$AA$1,FALSE))</f>
        <v>0</v>
      </c>
      <c r="AB776" s="74" t="b">
        <f>IF(Tab.11[[#This Row],[a1]]=1,IF($A$3=0,FALSE,1/Tab.11[[#This Row],[IN]]*$AC$2*IF(Tab.11[[#This Row],[a1]]=0,,$A$3*$AC$1*1/$V$3*(Tab.11[[#This Row],[b14]]))))</f>
        <v>0</v>
      </c>
      <c r="AC776" s="75" t="b">
        <f>IF(Tab.11[[#This Row],[a1]]=1,IF($AC$3=0,Tab.11[[#This Row],[φ1]],Tab.11[[#This Row],[φ1]]/MAX(Tab.11[φ1])))</f>
        <v>0</v>
      </c>
      <c r="AD776" s="74" t="b">
        <f>IF(Tab.11[[#This Row],[a1]]=1,1/Tab.11[[#This Row],[φ2]])</f>
        <v>0</v>
      </c>
      <c r="AE776" s="74" t="b">
        <f>IF(Tab.11[[#This Row],[a1]]=1,IF($AE$3=0,Tab.11[[#This Row],[w.0]],Tab.11[[#This Row],[w.0]]/SUM(Tab.11[w.0])))</f>
        <v>0</v>
      </c>
      <c r="AF776" s="76" t="str">
        <f>IF(Tab.11[[#This Row],[a1]]=0,"false",[3]!Tab.x5[[#This Row],[%_seN_C]])</f>
        <v>false</v>
      </c>
      <c r="AG776" s="77" t="b">
        <f>IF(Tab.11[[#This Row],[a1]]=1,AP776)</f>
        <v>0</v>
      </c>
      <c r="AH776" s="78" t="b">
        <f>IF(Tab.11[[#This Row],[a1]]=1,AQ776)</f>
        <v>0</v>
      </c>
      <c r="AI776" s="41">
        <v>3.0000000000000001E-3</v>
      </c>
      <c r="AJ776" s="79">
        <v>-0.1</v>
      </c>
      <c r="AK776" s="80" t="b">
        <f>IF(Tab.11[[#This Row],[a1]]=1,1)</f>
        <v>0</v>
      </c>
      <c r="AL776"/>
      <c r="AM776"/>
      <c r="AN776"/>
      <c r="AO776"/>
      <c r="AP776"/>
      <c r="AQ776"/>
      <c r="AR776"/>
      <c r="AS776"/>
    </row>
    <row r="777" spans="1:45" s="81" customFormat="1" hidden="1" x14ac:dyDescent="0.25">
      <c r="A777" s="61">
        <f t="shared" si="25"/>
        <v>0</v>
      </c>
      <c r="B777" s="62">
        <f t="shared" si="25"/>
        <v>0</v>
      </c>
      <c r="C777" s="62" t="b">
        <f>IF(Tab.11[[#This Row],[a1]]=1,[3]!Tab_x1[[#This Row],[Name]])</f>
        <v>0</v>
      </c>
      <c r="D777" s="63" t="b">
        <f>IF(Tab.11[[#This Row],[a1]]=1,AO777)</f>
        <v>0</v>
      </c>
      <c r="E777" s="63">
        <f t="shared" si="26"/>
        <v>0</v>
      </c>
      <c r="F777" s="64" t="b">
        <f>IF(Tab.11[[#This Row],[a1]]=1,Tab.11[[#This Row],[b1]])</f>
        <v>0</v>
      </c>
      <c r="G777" s="65" t="b">
        <f>IF(Tab.11[[#This Row],[a1]]=1,IF(Tab.11[[#This Row],[b3]]&gt;$L$989*$G$3,$L$989*$G$3,IF(Tab.11[[#This Row],[b3]]&lt;$M$989*$G$3,$M$989*$G$3,Tab.11[[#This Row],[b3]])))</f>
        <v>0</v>
      </c>
      <c r="H777" s="66" t="b">
        <f>IF(Tab.11[[#This Row],[a1]]=1,Tab.11[[#This Row],[b1]])</f>
        <v>0</v>
      </c>
      <c r="I777" s="67" t="b">
        <f>IF(Tab.11[[#This Row],[a1]]=1,Tab.11[[#This Row],[b1]])</f>
        <v>0</v>
      </c>
      <c r="J777" s="68" t="b">
        <f>IF(Tab.11[[#This Row],[a1]]=1,IF($I$3&lt;0,Tab.11[[#This Row],[b5]]-$I$3,Tab.11[[#This Row],[b5]]))</f>
        <v>0</v>
      </c>
      <c r="K777" s="68" t="b">
        <f>IF(Tab.11[[#This Row],[a1]]=1,IF($K$3=0,Tab.11[b6],Tab.11[[#This Row],[b6]]-AVERAGE(Tab.11[b6])))</f>
        <v>0</v>
      </c>
      <c r="L777" s="69" t="b">
        <f>IF(Tab.11[[#This Row],[a1]]=1,Tab.11[[#This Row],[data]]/(_xlfn.STDEV.P(Tab.11[data])*$B$989)+$A$989)</f>
        <v>0</v>
      </c>
      <c r="M777" s="69" t="b">
        <f>IF(Tab.11[[#This Row],[a1]]=1,Tab.11[[#This Row],[data]]/(_xlfn.STDEV.P(Tab.11[data])*$B$987)-$A$987)</f>
        <v>0</v>
      </c>
      <c r="N777" s="69" t="b">
        <f>IF(Tab.11[[#This Row],[a1]]=1,Tab.11[[#This Row],[data]]/(_xlfn.STDEV.P(Tab.11[data])*$B$988)+$A$988)</f>
        <v>0</v>
      </c>
      <c r="O777" s="70" t="b">
        <f>IF(Tab.11[[#This Row],[a1]]=1,_xlfn.NORM.DIST(Tab.11[[#This Row],[b8]],$P$1,$Q$1,FALSE))</f>
        <v>0</v>
      </c>
      <c r="P777" s="70" t="b">
        <f>IF(Tab.11[[#This Row],[a1]]=1,_xlfn.NORM.DIST(Tab.11[[#This Row],[b9]],$P$1,$Q$1,FALSE))</f>
        <v>0</v>
      </c>
      <c r="Q777" s="70" t="b">
        <f>IF(Tab.11[[#This Row],[a1]]=1,_xlfn.NORM.DIST(Tab.11[[#This Row],[b10]],$P$1,$Q$1,FALSE))</f>
        <v>0</v>
      </c>
      <c r="R777" s="67" t="b">
        <f>IF(Tab.11[[#This Row],[a1]]=1,$I$3+$A$989+IF($K$3=0,Tab.11[[#This Row],[b8]]*_xlfn.STDEV.P(Tab.11[data]),AVERAGE(Tab.11[b6])+Tab.11[[#This Row],[b8]]*_xlfn.STDEV.P(Tab.11[data])))</f>
        <v>0</v>
      </c>
      <c r="S777" s="71" t="b">
        <f>IF(Tab.11[[#This Row],[a1]]=1,$I$3+$A$987+IF($K$3=0,Tab.11[[#This Row],[b9]]*_xlfn.STDEV.P(Tab.11[data]),AVERAGE(Tab.11[b6])+Tab.11[[#This Row],[b9]]*_xlfn.STDEV.P(Tab.11[data])))</f>
        <v>0</v>
      </c>
      <c r="T777" s="71" t="b">
        <f>IF(Tab.11[[#This Row],[a1]]=1,$I$3+$A$988+IF($K$3=0,Tab.11[[#This Row],[b10]]*_xlfn.STDEV.P(Tab.11[data]),AVERAGE(Tab.11[b6])+Tab.11[[#This Row],[b10]]*_xlfn.STDEV.P(Tab.11[data])))</f>
        <v>0</v>
      </c>
      <c r="U777" s="72" t="b">
        <f>IF(Tab.11[[#This Row],[a1]]=1,Tab.11[[#This Row],[target]]-Tab.11[[#This Row],[Red]])</f>
        <v>0</v>
      </c>
      <c r="V777" s="72" t="b">
        <f>IF(Tab.11[[#This Row],[a1]]=1,Tab.11[[#This Row],[target]]-Tab.11[[#This Row],[Blue]])</f>
        <v>0</v>
      </c>
      <c r="W777" s="73" t="b">
        <f>IF(Tab.11[[#This Row],[a1]]=1,IF(ABS(Tab.11[[#This Row],[b17]])+ABS(Tab.11[[#This Row],[b18]])&lt;$W$2,$W$2,ABS(Tab.11[[#This Row],[b17]])+ABS(Tab.11[[#This Row],[b18]])))</f>
        <v>0</v>
      </c>
      <c r="X777" s="136" t="b">
        <f>IF(Tab.11[[#This Row],[a1]]=1,IF($W$3&lt;0,Tab.11[[#This Row],[IN]]-$I$3,Tab.11[[#This Row],[IN]]))</f>
        <v>0</v>
      </c>
      <c r="Y777" s="136" t="b">
        <f>IF(Tab.11[[#This Row],[a1]]=1,IF($X$3=0,Tab.11[b66],Tab.11[[#This Row],[b66]]-AVERAGE(Tab.11[b66])))</f>
        <v>0</v>
      </c>
      <c r="Z777" s="135" t="b">
        <f>IF(Tab.11[[#This Row],[a1]]=1,Tab.11[[#This Row],[b77]]/(_xlfn.STDEV.P(Tab.11[b77])))</f>
        <v>0</v>
      </c>
      <c r="AA777" s="70" t="b">
        <f>IF(Tab.11[[#This Row],[a1]]=1,_xlfn.NORM.DIST(Tab.11[[#This Row],[b88]],$Z$1,$AA$1,FALSE))</f>
        <v>0</v>
      </c>
      <c r="AB777" s="74" t="b">
        <f>IF(Tab.11[[#This Row],[a1]]=1,IF($A$3=0,FALSE,1/Tab.11[[#This Row],[IN]]*$AC$2*IF(Tab.11[[#This Row],[a1]]=0,,$A$3*$AC$1*1/$V$3*(Tab.11[[#This Row],[b14]]))))</f>
        <v>0</v>
      </c>
      <c r="AC777" s="75" t="b">
        <f>IF(Tab.11[[#This Row],[a1]]=1,IF($AC$3=0,Tab.11[[#This Row],[φ1]],Tab.11[[#This Row],[φ1]]/MAX(Tab.11[φ1])))</f>
        <v>0</v>
      </c>
      <c r="AD777" s="74" t="b">
        <f>IF(Tab.11[[#This Row],[a1]]=1,1/Tab.11[[#This Row],[φ2]])</f>
        <v>0</v>
      </c>
      <c r="AE777" s="74" t="b">
        <f>IF(Tab.11[[#This Row],[a1]]=1,IF($AE$3=0,Tab.11[[#This Row],[w.0]],Tab.11[[#This Row],[w.0]]/SUM(Tab.11[w.0])))</f>
        <v>0</v>
      </c>
      <c r="AF777" s="76" t="str">
        <f>IF(Tab.11[[#This Row],[a1]]=0,"false",[3]!Tab.x5[[#This Row],[%_seN_C]])</f>
        <v>false</v>
      </c>
      <c r="AG777" s="77" t="b">
        <f>IF(Tab.11[[#This Row],[a1]]=1,AP777)</f>
        <v>0</v>
      </c>
      <c r="AH777" s="78" t="b">
        <f>IF(Tab.11[[#This Row],[a1]]=1,AQ777)</f>
        <v>0</v>
      </c>
      <c r="AI777" s="41">
        <v>3.0000000000000001E-3</v>
      </c>
      <c r="AJ777" s="79">
        <v>-7.0000000000000007E-2</v>
      </c>
      <c r="AK777" s="80" t="b">
        <f>IF(Tab.11[[#This Row],[a1]]=1,1)</f>
        <v>0</v>
      </c>
      <c r="AL777"/>
      <c r="AM777"/>
      <c r="AN777"/>
      <c r="AO777"/>
      <c r="AP777"/>
      <c r="AQ777"/>
      <c r="AR777"/>
      <c r="AS777"/>
    </row>
    <row r="778" spans="1:45" s="81" customFormat="1" hidden="1" x14ac:dyDescent="0.25">
      <c r="A778" s="61">
        <f t="shared" si="25"/>
        <v>0</v>
      </c>
      <c r="B778" s="62">
        <f t="shared" si="25"/>
        <v>0</v>
      </c>
      <c r="C778" s="62" t="b">
        <f>IF(Tab.11[[#This Row],[a1]]=1,[3]!Tab_x1[[#This Row],[Name]])</f>
        <v>0</v>
      </c>
      <c r="D778" s="63" t="b">
        <f>IF(Tab.11[[#This Row],[a1]]=1,AO778)</f>
        <v>0</v>
      </c>
      <c r="E778" s="63">
        <f t="shared" si="26"/>
        <v>0</v>
      </c>
      <c r="F778" s="64" t="b">
        <f>IF(Tab.11[[#This Row],[a1]]=1,Tab.11[[#This Row],[b1]])</f>
        <v>0</v>
      </c>
      <c r="G778" s="65" t="b">
        <f>IF(Tab.11[[#This Row],[a1]]=1,IF(Tab.11[[#This Row],[b3]]&gt;$L$989*$G$3,$L$989*$G$3,IF(Tab.11[[#This Row],[b3]]&lt;$M$989*$G$3,$M$989*$G$3,Tab.11[[#This Row],[b3]])))</f>
        <v>0</v>
      </c>
      <c r="H778" s="66" t="b">
        <f>IF(Tab.11[[#This Row],[a1]]=1,Tab.11[[#This Row],[b1]])</f>
        <v>0</v>
      </c>
      <c r="I778" s="67" t="b">
        <f>IF(Tab.11[[#This Row],[a1]]=1,Tab.11[[#This Row],[b1]])</f>
        <v>0</v>
      </c>
      <c r="J778" s="68" t="b">
        <f>IF(Tab.11[[#This Row],[a1]]=1,IF($I$3&lt;0,Tab.11[[#This Row],[b5]]-$I$3,Tab.11[[#This Row],[b5]]))</f>
        <v>0</v>
      </c>
      <c r="K778" s="68" t="b">
        <f>IF(Tab.11[[#This Row],[a1]]=1,IF($K$3=0,Tab.11[b6],Tab.11[[#This Row],[b6]]-AVERAGE(Tab.11[b6])))</f>
        <v>0</v>
      </c>
      <c r="L778" s="69" t="b">
        <f>IF(Tab.11[[#This Row],[a1]]=1,Tab.11[[#This Row],[data]]/(_xlfn.STDEV.P(Tab.11[data])*$B$989)+$A$989)</f>
        <v>0</v>
      </c>
      <c r="M778" s="69" t="b">
        <f>IF(Tab.11[[#This Row],[a1]]=1,Tab.11[[#This Row],[data]]/(_xlfn.STDEV.P(Tab.11[data])*$B$987)-$A$987)</f>
        <v>0</v>
      </c>
      <c r="N778" s="69" t="b">
        <f>IF(Tab.11[[#This Row],[a1]]=1,Tab.11[[#This Row],[data]]/(_xlfn.STDEV.P(Tab.11[data])*$B$988)+$A$988)</f>
        <v>0</v>
      </c>
      <c r="O778" s="70" t="b">
        <f>IF(Tab.11[[#This Row],[a1]]=1,_xlfn.NORM.DIST(Tab.11[[#This Row],[b8]],$P$1,$Q$1,FALSE))</f>
        <v>0</v>
      </c>
      <c r="P778" s="70" t="b">
        <f>IF(Tab.11[[#This Row],[a1]]=1,_xlfn.NORM.DIST(Tab.11[[#This Row],[b9]],$P$1,$Q$1,FALSE))</f>
        <v>0</v>
      </c>
      <c r="Q778" s="70" t="b">
        <f>IF(Tab.11[[#This Row],[a1]]=1,_xlfn.NORM.DIST(Tab.11[[#This Row],[b10]],$P$1,$Q$1,FALSE))</f>
        <v>0</v>
      </c>
      <c r="R778" s="67" t="b">
        <f>IF(Tab.11[[#This Row],[a1]]=1,$I$3+$A$989+IF($K$3=0,Tab.11[[#This Row],[b8]]*_xlfn.STDEV.P(Tab.11[data]),AVERAGE(Tab.11[b6])+Tab.11[[#This Row],[b8]]*_xlfn.STDEV.P(Tab.11[data])))</f>
        <v>0</v>
      </c>
      <c r="S778" s="71" t="b">
        <f>IF(Tab.11[[#This Row],[a1]]=1,$I$3+$A$987+IF($K$3=0,Tab.11[[#This Row],[b9]]*_xlfn.STDEV.P(Tab.11[data]),AVERAGE(Tab.11[b6])+Tab.11[[#This Row],[b9]]*_xlfn.STDEV.P(Tab.11[data])))</f>
        <v>0</v>
      </c>
      <c r="T778" s="71" t="b">
        <f>IF(Tab.11[[#This Row],[a1]]=1,$I$3+$A$988+IF($K$3=0,Tab.11[[#This Row],[b10]]*_xlfn.STDEV.P(Tab.11[data]),AVERAGE(Tab.11[b6])+Tab.11[[#This Row],[b10]]*_xlfn.STDEV.P(Tab.11[data])))</f>
        <v>0</v>
      </c>
      <c r="U778" s="72" t="b">
        <f>IF(Tab.11[[#This Row],[a1]]=1,Tab.11[[#This Row],[target]]-Tab.11[[#This Row],[Red]])</f>
        <v>0</v>
      </c>
      <c r="V778" s="72" t="b">
        <f>IF(Tab.11[[#This Row],[a1]]=1,Tab.11[[#This Row],[target]]-Tab.11[[#This Row],[Blue]])</f>
        <v>0</v>
      </c>
      <c r="W778" s="73" t="b">
        <f>IF(Tab.11[[#This Row],[a1]]=1,IF(ABS(Tab.11[[#This Row],[b17]])+ABS(Tab.11[[#This Row],[b18]])&lt;$W$2,$W$2,ABS(Tab.11[[#This Row],[b17]])+ABS(Tab.11[[#This Row],[b18]])))</f>
        <v>0</v>
      </c>
      <c r="X778" s="136" t="b">
        <f>IF(Tab.11[[#This Row],[a1]]=1,IF($W$3&lt;0,Tab.11[[#This Row],[IN]]-$I$3,Tab.11[[#This Row],[IN]]))</f>
        <v>0</v>
      </c>
      <c r="Y778" s="136" t="b">
        <f>IF(Tab.11[[#This Row],[a1]]=1,IF($X$3=0,Tab.11[b66],Tab.11[[#This Row],[b66]]-AVERAGE(Tab.11[b66])))</f>
        <v>0</v>
      </c>
      <c r="Z778" s="135" t="b">
        <f>IF(Tab.11[[#This Row],[a1]]=1,Tab.11[[#This Row],[b77]]/(_xlfn.STDEV.P(Tab.11[b77])))</f>
        <v>0</v>
      </c>
      <c r="AA778" s="70" t="b">
        <f>IF(Tab.11[[#This Row],[a1]]=1,_xlfn.NORM.DIST(Tab.11[[#This Row],[b88]],$Z$1,$AA$1,FALSE))</f>
        <v>0</v>
      </c>
      <c r="AB778" s="74" t="b">
        <f>IF(Tab.11[[#This Row],[a1]]=1,IF($A$3=0,FALSE,1/Tab.11[[#This Row],[IN]]*$AC$2*IF(Tab.11[[#This Row],[a1]]=0,,$A$3*$AC$1*1/$V$3*(Tab.11[[#This Row],[b14]]))))</f>
        <v>0</v>
      </c>
      <c r="AC778" s="75" t="b">
        <f>IF(Tab.11[[#This Row],[a1]]=1,IF($AC$3=0,Tab.11[[#This Row],[φ1]],Tab.11[[#This Row],[φ1]]/MAX(Tab.11[φ1])))</f>
        <v>0</v>
      </c>
      <c r="AD778" s="74" t="b">
        <f>IF(Tab.11[[#This Row],[a1]]=1,1/Tab.11[[#This Row],[φ2]])</f>
        <v>0</v>
      </c>
      <c r="AE778" s="74" t="b">
        <f>IF(Tab.11[[#This Row],[a1]]=1,IF($AE$3=0,Tab.11[[#This Row],[w.0]],Tab.11[[#This Row],[w.0]]/SUM(Tab.11[w.0])))</f>
        <v>0</v>
      </c>
      <c r="AF778" s="76" t="str">
        <f>IF(Tab.11[[#This Row],[a1]]=0,"false",[3]!Tab.x5[[#This Row],[%_seN_C]])</f>
        <v>false</v>
      </c>
      <c r="AG778" s="77" t="b">
        <f>IF(Tab.11[[#This Row],[a1]]=1,AP778)</f>
        <v>0</v>
      </c>
      <c r="AH778" s="78" t="b">
        <f>IF(Tab.11[[#This Row],[a1]]=1,AQ778)</f>
        <v>0</v>
      </c>
      <c r="AI778" s="41">
        <v>3.0000000000000001E-3</v>
      </c>
      <c r="AJ778" s="79">
        <v>0.01</v>
      </c>
      <c r="AK778" s="80" t="b">
        <f>IF(Tab.11[[#This Row],[a1]]=1,1)</f>
        <v>0</v>
      </c>
      <c r="AL778"/>
      <c r="AM778"/>
      <c r="AN778"/>
      <c r="AO778"/>
      <c r="AP778"/>
      <c r="AQ778"/>
      <c r="AR778"/>
      <c r="AS778"/>
    </row>
    <row r="779" spans="1:45" s="81" customFormat="1" hidden="1" x14ac:dyDescent="0.25">
      <c r="A779" s="61">
        <f t="shared" si="25"/>
        <v>0</v>
      </c>
      <c r="B779" s="62">
        <f t="shared" si="25"/>
        <v>0</v>
      </c>
      <c r="C779" s="62" t="b">
        <f>IF(Tab.11[[#This Row],[a1]]=1,[3]!Tab_x1[[#This Row],[Name]])</f>
        <v>0</v>
      </c>
      <c r="D779" s="63" t="b">
        <f>IF(Tab.11[[#This Row],[a1]]=1,AO779)</f>
        <v>0</v>
      </c>
      <c r="E779" s="63">
        <f t="shared" si="26"/>
        <v>0</v>
      </c>
      <c r="F779" s="64" t="b">
        <f>IF(Tab.11[[#This Row],[a1]]=1,Tab.11[[#This Row],[b1]])</f>
        <v>0</v>
      </c>
      <c r="G779" s="65" t="b">
        <f>IF(Tab.11[[#This Row],[a1]]=1,IF(Tab.11[[#This Row],[b3]]&gt;$L$989*$G$3,$L$989*$G$3,IF(Tab.11[[#This Row],[b3]]&lt;$M$989*$G$3,$M$989*$G$3,Tab.11[[#This Row],[b3]])))</f>
        <v>0</v>
      </c>
      <c r="H779" s="66" t="b">
        <f>IF(Tab.11[[#This Row],[a1]]=1,Tab.11[[#This Row],[b1]])</f>
        <v>0</v>
      </c>
      <c r="I779" s="67" t="b">
        <f>IF(Tab.11[[#This Row],[a1]]=1,Tab.11[[#This Row],[b1]])</f>
        <v>0</v>
      </c>
      <c r="J779" s="68" t="b">
        <f>IF(Tab.11[[#This Row],[a1]]=1,IF($I$3&lt;0,Tab.11[[#This Row],[b5]]-$I$3,Tab.11[[#This Row],[b5]]))</f>
        <v>0</v>
      </c>
      <c r="K779" s="68" t="b">
        <f>IF(Tab.11[[#This Row],[a1]]=1,IF($K$3=0,Tab.11[b6],Tab.11[[#This Row],[b6]]-AVERAGE(Tab.11[b6])))</f>
        <v>0</v>
      </c>
      <c r="L779" s="69" t="b">
        <f>IF(Tab.11[[#This Row],[a1]]=1,Tab.11[[#This Row],[data]]/(_xlfn.STDEV.P(Tab.11[data])*$B$989)+$A$989)</f>
        <v>0</v>
      </c>
      <c r="M779" s="69" t="b">
        <f>IF(Tab.11[[#This Row],[a1]]=1,Tab.11[[#This Row],[data]]/(_xlfn.STDEV.P(Tab.11[data])*$B$987)-$A$987)</f>
        <v>0</v>
      </c>
      <c r="N779" s="69" t="b">
        <f>IF(Tab.11[[#This Row],[a1]]=1,Tab.11[[#This Row],[data]]/(_xlfn.STDEV.P(Tab.11[data])*$B$988)+$A$988)</f>
        <v>0</v>
      </c>
      <c r="O779" s="70" t="b">
        <f>IF(Tab.11[[#This Row],[a1]]=1,_xlfn.NORM.DIST(Tab.11[[#This Row],[b8]],$P$1,$Q$1,FALSE))</f>
        <v>0</v>
      </c>
      <c r="P779" s="70" t="b">
        <f>IF(Tab.11[[#This Row],[a1]]=1,_xlfn.NORM.DIST(Tab.11[[#This Row],[b9]],$P$1,$Q$1,FALSE))</f>
        <v>0</v>
      </c>
      <c r="Q779" s="70" t="b">
        <f>IF(Tab.11[[#This Row],[a1]]=1,_xlfn.NORM.DIST(Tab.11[[#This Row],[b10]],$P$1,$Q$1,FALSE))</f>
        <v>0</v>
      </c>
      <c r="R779" s="67" t="b">
        <f>IF(Tab.11[[#This Row],[a1]]=1,$I$3+$A$989+IF($K$3=0,Tab.11[[#This Row],[b8]]*_xlfn.STDEV.P(Tab.11[data]),AVERAGE(Tab.11[b6])+Tab.11[[#This Row],[b8]]*_xlfn.STDEV.P(Tab.11[data])))</f>
        <v>0</v>
      </c>
      <c r="S779" s="71" t="b">
        <f>IF(Tab.11[[#This Row],[a1]]=1,$I$3+$A$987+IF($K$3=0,Tab.11[[#This Row],[b9]]*_xlfn.STDEV.P(Tab.11[data]),AVERAGE(Tab.11[b6])+Tab.11[[#This Row],[b9]]*_xlfn.STDEV.P(Tab.11[data])))</f>
        <v>0</v>
      </c>
      <c r="T779" s="71" t="b">
        <f>IF(Tab.11[[#This Row],[a1]]=1,$I$3+$A$988+IF($K$3=0,Tab.11[[#This Row],[b10]]*_xlfn.STDEV.P(Tab.11[data]),AVERAGE(Tab.11[b6])+Tab.11[[#This Row],[b10]]*_xlfn.STDEV.P(Tab.11[data])))</f>
        <v>0</v>
      </c>
      <c r="U779" s="72" t="b">
        <f>IF(Tab.11[[#This Row],[a1]]=1,Tab.11[[#This Row],[target]]-Tab.11[[#This Row],[Red]])</f>
        <v>0</v>
      </c>
      <c r="V779" s="72" t="b">
        <f>IF(Tab.11[[#This Row],[a1]]=1,Tab.11[[#This Row],[target]]-Tab.11[[#This Row],[Blue]])</f>
        <v>0</v>
      </c>
      <c r="W779" s="73" t="b">
        <f>IF(Tab.11[[#This Row],[a1]]=1,IF(ABS(Tab.11[[#This Row],[b17]])+ABS(Tab.11[[#This Row],[b18]])&lt;$W$2,$W$2,ABS(Tab.11[[#This Row],[b17]])+ABS(Tab.11[[#This Row],[b18]])))</f>
        <v>0</v>
      </c>
      <c r="X779" s="136" t="b">
        <f>IF(Tab.11[[#This Row],[a1]]=1,IF($W$3&lt;0,Tab.11[[#This Row],[IN]]-$I$3,Tab.11[[#This Row],[IN]]))</f>
        <v>0</v>
      </c>
      <c r="Y779" s="136" t="b">
        <f>IF(Tab.11[[#This Row],[a1]]=1,IF($X$3=0,Tab.11[b66],Tab.11[[#This Row],[b66]]-AVERAGE(Tab.11[b66])))</f>
        <v>0</v>
      </c>
      <c r="Z779" s="135" t="b">
        <f>IF(Tab.11[[#This Row],[a1]]=1,Tab.11[[#This Row],[b77]]/(_xlfn.STDEV.P(Tab.11[b77])))</f>
        <v>0</v>
      </c>
      <c r="AA779" s="70" t="b">
        <f>IF(Tab.11[[#This Row],[a1]]=1,_xlfn.NORM.DIST(Tab.11[[#This Row],[b88]],$Z$1,$AA$1,FALSE))</f>
        <v>0</v>
      </c>
      <c r="AB779" s="74" t="b">
        <f>IF(Tab.11[[#This Row],[a1]]=1,IF($A$3=0,FALSE,1/Tab.11[[#This Row],[IN]]*$AC$2*IF(Tab.11[[#This Row],[a1]]=0,,$A$3*$AC$1*1/$V$3*(Tab.11[[#This Row],[b14]]))))</f>
        <v>0</v>
      </c>
      <c r="AC779" s="75" t="b">
        <f>IF(Tab.11[[#This Row],[a1]]=1,IF($AC$3=0,Tab.11[[#This Row],[φ1]],Tab.11[[#This Row],[φ1]]/MAX(Tab.11[φ1])))</f>
        <v>0</v>
      </c>
      <c r="AD779" s="74" t="b">
        <f>IF(Tab.11[[#This Row],[a1]]=1,1/Tab.11[[#This Row],[φ2]])</f>
        <v>0</v>
      </c>
      <c r="AE779" s="74" t="b">
        <f>IF(Tab.11[[#This Row],[a1]]=1,IF($AE$3=0,Tab.11[[#This Row],[w.0]],Tab.11[[#This Row],[w.0]]/SUM(Tab.11[w.0])))</f>
        <v>0</v>
      </c>
      <c r="AF779" s="76" t="str">
        <f>IF(Tab.11[[#This Row],[a1]]=0,"false",[3]!Tab.x5[[#This Row],[%_seN_C]])</f>
        <v>false</v>
      </c>
      <c r="AG779" s="77" t="b">
        <f>IF(Tab.11[[#This Row],[a1]]=1,AP779)</f>
        <v>0</v>
      </c>
      <c r="AH779" s="78" t="b">
        <f>IF(Tab.11[[#This Row],[a1]]=1,AQ779)</f>
        <v>0</v>
      </c>
      <c r="AI779" s="41">
        <v>3.0000000000000001E-3</v>
      </c>
      <c r="AJ779" s="79">
        <v>0.08</v>
      </c>
      <c r="AK779" s="80" t="b">
        <f>IF(Tab.11[[#This Row],[a1]]=1,1)</f>
        <v>0</v>
      </c>
      <c r="AL779"/>
      <c r="AM779"/>
      <c r="AN779"/>
      <c r="AO779"/>
      <c r="AP779"/>
      <c r="AQ779"/>
      <c r="AR779"/>
      <c r="AS779"/>
    </row>
    <row r="780" spans="1:45" s="81" customFormat="1" hidden="1" x14ac:dyDescent="0.25">
      <c r="A780" s="61">
        <f t="shared" si="25"/>
        <v>0</v>
      </c>
      <c r="B780" s="62">
        <f t="shared" si="25"/>
        <v>0</v>
      </c>
      <c r="C780" s="62" t="b">
        <f>IF(Tab.11[[#This Row],[a1]]=1,[3]!Tab_x1[[#This Row],[Name]])</f>
        <v>0</v>
      </c>
      <c r="D780" s="63" t="b">
        <f>IF(Tab.11[[#This Row],[a1]]=1,AO780)</f>
        <v>0</v>
      </c>
      <c r="E780" s="63">
        <f t="shared" si="26"/>
        <v>0</v>
      </c>
      <c r="F780" s="64" t="b">
        <f>IF(Tab.11[[#This Row],[a1]]=1,Tab.11[[#This Row],[b1]])</f>
        <v>0</v>
      </c>
      <c r="G780" s="65" t="b">
        <f>IF(Tab.11[[#This Row],[a1]]=1,IF(Tab.11[[#This Row],[b3]]&gt;$L$989*$G$3,$L$989*$G$3,IF(Tab.11[[#This Row],[b3]]&lt;$M$989*$G$3,$M$989*$G$3,Tab.11[[#This Row],[b3]])))</f>
        <v>0</v>
      </c>
      <c r="H780" s="66" t="b">
        <f>IF(Tab.11[[#This Row],[a1]]=1,Tab.11[[#This Row],[b1]])</f>
        <v>0</v>
      </c>
      <c r="I780" s="67" t="b">
        <f>IF(Tab.11[[#This Row],[a1]]=1,Tab.11[[#This Row],[b1]])</f>
        <v>0</v>
      </c>
      <c r="J780" s="68" t="b">
        <f>IF(Tab.11[[#This Row],[a1]]=1,IF($I$3&lt;0,Tab.11[[#This Row],[b5]]-$I$3,Tab.11[[#This Row],[b5]]))</f>
        <v>0</v>
      </c>
      <c r="K780" s="68" t="b">
        <f>IF(Tab.11[[#This Row],[a1]]=1,IF($K$3=0,Tab.11[b6],Tab.11[[#This Row],[b6]]-AVERAGE(Tab.11[b6])))</f>
        <v>0</v>
      </c>
      <c r="L780" s="69" t="b">
        <f>IF(Tab.11[[#This Row],[a1]]=1,Tab.11[[#This Row],[data]]/(_xlfn.STDEV.P(Tab.11[data])*$B$989)+$A$989)</f>
        <v>0</v>
      </c>
      <c r="M780" s="69" t="b">
        <f>IF(Tab.11[[#This Row],[a1]]=1,Tab.11[[#This Row],[data]]/(_xlfn.STDEV.P(Tab.11[data])*$B$987)-$A$987)</f>
        <v>0</v>
      </c>
      <c r="N780" s="69" t="b">
        <f>IF(Tab.11[[#This Row],[a1]]=1,Tab.11[[#This Row],[data]]/(_xlfn.STDEV.P(Tab.11[data])*$B$988)+$A$988)</f>
        <v>0</v>
      </c>
      <c r="O780" s="70" t="b">
        <f>IF(Tab.11[[#This Row],[a1]]=1,_xlfn.NORM.DIST(Tab.11[[#This Row],[b8]],$P$1,$Q$1,FALSE))</f>
        <v>0</v>
      </c>
      <c r="P780" s="70" t="b">
        <f>IF(Tab.11[[#This Row],[a1]]=1,_xlfn.NORM.DIST(Tab.11[[#This Row],[b9]],$P$1,$Q$1,FALSE))</f>
        <v>0</v>
      </c>
      <c r="Q780" s="70" t="b">
        <f>IF(Tab.11[[#This Row],[a1]]=1,_xlfn.NORM.DIST(Tab.11[[#This Row],[b10]],$P$1,$Q$1,FALSE))</f>
        <v>0</v>
      </c>
      <c r="R780" s="67" t="b">
        <f>IF(Tab.11[[#This Row],[a1]]=1,$I$3+$A$989+IF($K$3=0,Tab.11[[#This Row],[b8]]*_xlfn.STDEV.P(Tab.11[data]),AVERAGE(Tab.11[b6])+Tab.11[[#This Row],[b8]]*_xlfn.STDEV.P(Tab.11[data])))</f>
        <v>0</v>
      </c>
      <c r="S780" s="71" t="b">
        <f>IF(Tab.11[[#This Row],[a1]]=1,$I$3+$A$987+IF($K$3=0,Tab.11[[#This Row],[b9]]*_xlfn.STDEV.P(Tab.11[data]),AVERAGE(Tab.11[b6])+Tab.11[[#This Row],[b9]]*_xlfn.STDEV.P(Tab.11[data])))</f>
        <v>0</v>
      </c>
      <c r="T780" s="71" t="b">
        <f>IF(Tab.11[[#This Row],[a1]]=1,$I$3+$A$988+IF($K$3=0,Tab.11[[#This Row],[b10]]*_xlfn.STDEV.P(Tab.11[data]),AVERAGE(Tab.11[b6])+Tab.11[[#This Row],[b10]]*_xlfn.STDEV.P(Tab.11[data])))</f>
        <v>0</v>
      </c>
      <c r="U780" s="72" t="b">
        <f>IF(Tab.11[[#This Row],[a1]]=1,Tab.11[[#This Row],[target]]-Tab.11[[#This Row],[Red]])</f>
        <v>0</v>
      </c>
      <c r="V780" s="72" t="b">
        <f>IF(Tab.11[[#This Row],[a1]]=1,Tab.11[[#This Row],[target]]-Tab.11[[#This Row],[Blue]])</f>
        <v>0</v>
      </c>
      <c r="W780" s="73" t="b">
        <f>IF(Tab.11[[#This Row],[a1]]=1,IF(ABS(Tab.11[[#This Row],[b17]])+ABS(Tab.11[[#This Row],[b18]])&lt;$W$2,$W$2,ABS(Tab.11[[#This Row],[b17]])+ABS(Tab.11[[#This Row],[b18]])))</f>
        <v>0</v>
      </c>
      <c r="X780" s="136" t="b">
        <f>IF(Tab.11[[#This Row],[a1]]=1,IF($W$3&lt;0,Tab.11[[#This Row],[IN]]-$I$3,Tab.11[[#This Row],[IN]]))</f>
        <v>0</v>
      </c>
      <c r="Y780" s="136" t="b">
        <f>IF(Tab.11[[#This Row],[a1]]=1,IF($X$3=0,Tab.11[b66],Tab.11[[#This Row],[b66]]-AVERAGE(Tab.11[b66])))</f>
        <v>0</v>
      </c>
      <c r="Z780" s="135" t="b">
        <f>IF(Tab.11[[#This Row],[a1]]=1,Tab.11[[#This Row],[b77]]/(_xlfn.STDEV.P(Tab.11[b77])))</f>
        <v>0</v>
      </c>
      <c r="AA780" s="70" t="b">
        <f>IF(Tab.11[[#This Row],[a1]]=1,_xlfn.NORM.DIST(Tab.11[[#This Row],[b88]],$Z$1,$AA$1,FALSE))</f>
        <v>0</v>
      </c>
      <c r="AB780" s="74" t="b">
        <f>IF(Tab.11[[#This Row],[a1]]=1,IF($A$3=0,FALSE,1/Tab.11[[#This Row],[IN]]*$AC$2*IF(Tab.11[[#This Row],[a1]]=0,,$A$3*$AC$1*1/$V$3*(Tab.11[[#This Row],[b14]]))))</f>
        <v>0</v>
      </c>
      <c r="AC780" s="75" t="b">
        <f>IF(Tab.11[[#This Row],[a1]]=1,IF($AC$3=0,Tab.11[[#This Row],[φ1]],Tab.11[[#This Row],[φ1]]/MAX(Tab.11[φ1])))</f>
        <v>0</v>
      </c>
      <c r="AD780" s="74" t="b">
        <f>IF(Tab.11[[#This Row],[a1]]=1,1/Tab.11[[#This Row],[φ2]])</f>
        <v>0</v>
      </c>
      <c r="AE780" s="74" t="b">
        <f>IF(Tab.11[[#This Row],[a1]]=1,IF($AE$3=0,Tab.11[[#This Row],[w.0]],Tab.11[[#This Row],[w.0]]/SUM(Tab.11[w.0])))</f>
        <v>0</v>
      </c>
      <c r="AF780" s="76" t="str">
        <f>IF(Tab.11[[#This Row],[a1]]=0,"false",[3]!Tab.x5[[#This Row],[%_seN_C]])</f>
        <v>false</v>
      </c>
      <c r="AG780" s="77" t="b">
        <f>IF(Tab.11[[#This Row],[a1]]=1,AP780)</f>
        <v>0</v>
      </c>
      <c r="AH780" s="78" t="b">
        <f>IF(Tab.11[[#This Row],[a1]]=1,AQ780)</f>
        <v>0</v>
      </c>
      <c r="AI780" s="41">
        <v>3.0000000000000001E-3</v>
      </c>
      <c r="AJ780" s="79">
        <v>-0.05</v>
      </c>
      <c r="AK780" s="80" t="b">
        <f>IF(Tab.11[[#This Row],[a1]]=1,1)</f>
        <v>0</v>
      </c>
      <c r="AL780"/>
      <c r="AM780"/>
      <c r="AN780"/>
      <c r="AO780"/>
      <c r="AP780"/>
      <c r="AQ780"/>
      <c r="AR780"/>
      <c r="AS780"/>
    </row>
    <row r="781" spans="1:45" s="81" customFormat="1" hidden="1" x14ac:dyDescent="0.25">
      <c r="A781" s="61">
        <f t="shared" si="25"/>
        <v>0</v>
      </c>
      <c r="B781" s="62">
        <f t="shared" si="25"/>
        <v>0</v>
      </c>
      <c r="C781" s="62" t="b">
        <f>IF(Tab.11[[#This Row],[a1]]=1,[3]!Tab_x1[[#This Row],[Name]])</f>
        <v>0</v>
      </c>
      <c r="D781" s="63" t="b">
        <f>IF(Tab.11[[#This Row],[a1]]=1,AO781)</f>
        <v>0</v>
      </c>
      <c r="E781" s="63">
        <f t="shared" si="26"/>
        <v>0</v>
      </c>
      <c r="F781" s="64" t="b">
        <f>IF(Tab.11[[#This Row],[a1]]=1,Tab.11[[#This Row],[b1]])</f>
        <v>0</v>
      </c>
      <c r="G781" s="65" t="b">
        <f>IF(Tab.11[[#This Row],[a1]]=1,IF(Tab.11[[#This Row],[b3]]&gt;$L$989*$G$3,$L$989*$G$3,IF(Tab.11[[#This Row],[b3]]&lt;$M$989*$G$3,$M$989*$G$3,Tab.11[[#This Row],[b3]])))</f>
        <v>0</v>
      </c>
      <c r="H781" s="66" t="b">
        <f>IF(Tab.11[[#This Row],[a1]]=1,Tab.11[[#This Row],[b1]])</f>
        <v>0</v>
      </c>
      <c r="I781" s="67" t="b">
        <f>IF(Tab.11[[#This Row],[a1]]=1,Tab.11[[#This Row],[b1]])</f>
        <v>0</v>
      </c>
      <c r="J781" s="68" t="b">
        <f>IF(Tab.11[[#This Row],[a1]]=1,IF($I$3&lt;0,Tab.11[[#This Row],[b5]]-$I$3,Tab.11[[#This Row],[b5]]))</f>
        <v>0</v>
      </c>
      <c r="K781" s="68" t="b">
        <f>IF(Tab.11[[#This Row],[a1]]=1,IF($K$3=0,Tab.11[b6],Tab.11[[#This Row],[b6]]-AVERAGE(Tab.11[b6])))</f>
        <v>0</v>
      </c>
      <c r="L781" s="69" t="b">
        <f>IF(Tab.11[[#This Row],[a1]]=1,Tab.11[[#This Row],[data]]/(_xlfn.STDEV.P(Tab.11[data])*$B$989)+$A$989)</f>
        <v>0</v>
      </c>
      <c r="M781" s="69" t="b">
        <f>IF(Tab.11[[#This Row],[a1]]=1,Tab.11[[#This Row],[data]]/(_xlfn.STDEV.P(Tab.11[data])*$B$987)-$A$987)</f>
        <v>0</v>
      </c>
      <c r="N781" s="69" t="b">
        <f>IF(Tab.11[[#This Row],[a1]]=1,Tab.11[[#This Row],[data]]/(_xlfn.STDEV.P(Tab.11[data])*$B$988)+$A$988)</f>
        <v>0</v>
      </c>
      <c r="O781" s="70" t="b">
        <f>IF(Tab.11[[#This Row],[a1]]=1,_xlfn.NORM.DIST(Tab.11[[#This Row],[b8]],$P$1,$Q$1,FALSE))</f>
        <v>0</v>
      </c>
      <c r="P781" s="70" t="b">
        <f>IF(Tab.11[[#This Row],[a1]]=1,_xlfn.NORM.DIST(Tab.11[[#This Row],[b9]],$P$1,$Q$1,FALSE))</f>
        <v>0</v>
      </c>
      <c r="Q781" s="70" t="b">
        <f>IF(Tab.11[[#This Row],[a1]]=1,_xlfn.NORM.DIST(Tab.11[[#This Row],[b10]],$P$1,$Q$1,FALSE))</f>
        <v>0</v>
      </c>
      <c r="R781" s="67" t="b">
        <f>IF(Tab.11[[#This Row],[a1]]=1,$I$3+$A$989+IF($K$3=0,Tab.11[[#This Row],[b8]]*_xlfn.STDEV.P(Tab.11[data]),AVERAGE(Tab.11[b6])+Tab.11[[#This Row],[b8]]*_xlfn.STDEV.P(Tab.11[data])))</f>
        <v>0</v>
      </c>
      <c r="S781" s="71" t="b">
        <f>IF(Tab.11[[#This Row],[a1]]=1,$I$3+$A$987+IF($K$3=0,Tab.11[[#This Row],[b9]]*_xlfn.STDEV.P(Tab.11[data]),AVERAGE(Tab.11[b6])+Tab.11[[#This Row],[b9]]*_xlfn.STDEV.P(Tab.11[data])))</f>
        <v>0</v>
      </c>
      <c r="T781" s="71" t="b">
        <f>IF(Tab.11[[#This Row],[a1]]=1,$I$3+$A$988+IF($K$3=0,Tab.11[[#This Row],[b10]]*_xlfn.STDEV.P(Tab.11[data]),AVERAGE(Tab.11[b6])+Tab.11[[#This Row],[b10]]*_xlfn.STDEV.P(Tab.11[data])))</f>
        <v>0</v>
      </c>
      <c r="U781" s="72" t="b">
        <f>IF(Tab.11[[#This Row],[a1]]=1,Tab.11[[#This Row],[target]]-Tab.11[[#This Row],[Red]])</f>
        <v>0</v>
      </c>
      <c r="V781" s="72" t="b">
        <f>IF(Tab.11[[#This Row],[a1]]=1,Tab.11[[#This Row],[target]]-Tab.11[[#This Row],[Blue]])</f>
        <v>0</v>
      </c>
      <c r="W781" s="73" t="b">
        <f>IF(Tab.11[[#This Row],[a1]]=1,IF(ABS(Tab.11[[#This Row],[b17]])+ABS(Tab.11[[#This Row],[b18]])&lt;$W$2,$W$2,ABS(Tab.11[[#This Row],[b17]])+ABS(Tab.11[[#This Row],[b18]])))</f>
        <v>0</v>
      </c>
      <c r="X781" s="136" t="b">
        <f>IF(Tab.11[[#This Row],[a1]]=1,IF($W$3&lt;0,Tab.11[[#This Row],[IN]]-$I$3,Tab.11[[#This Row],[IN]]))</f>
        <v>0</v>
      </c>
      <c r="Y781" s="136" t="b">
        <f>IF(Tab.11[[#This Row],[a1]]=1,IF($X$3=0,Tab.11[b66],Tab.11[[#This Row],[b66]]-AVERAGE(Tab.11[b66])))</f>
        <v>0</v>
      </c>
      <c r="Z781" s="135" t="b">
        <f>IF(Tab.11[[#This Row],[a1]]=1,Tab.11[[#This Row],[b77]]/(_xlfn.STDEV.P(Tab.11[b77])))</f>
        <v>0</v>
      </c>
      <c r="AA781" s="70" t="b">
        <f>IF(Tab.11[[#This Row],[a1]]=1,_xlfn.NORM.DIST(Tab.11[[#This Row],[b88]],$Z$1,$AA$1,FALSE))</f>
        <v>0</v>
      </c>
      <c r="AB781" s="74" t="b">
        <f>IF(Tab.11[[#This Row],[a1]]=1,IF($A$3=0,FALSE,1/Tab.11[[#This Row],[IN]]*$AC$2*IF(Tab.11[[#This Row],[a1]]=0,,$A$3*$AC$1*1/$V$3*(Tab.11[[#This Row],[b14]]))))</f>
        <v>0</v>
      </c>
      <c r="AC781" s="75" t="b">
        <f>IF(Tab.11[[#This Row],[a1]]=1,IF($AC$3=0,Tab.11[[#This Row],[φ1]],Tab.11[[#This Row],[φ1]]/MAX(Tab.11[φ1])))</f>
        <v>0</v>
      </c>
      <c r="AD781" s="74" t="b">
        <f>IF(Tab.11[[#This Row],[a1]]=1,1/Tab.11[[#This Row],[φ2]])</f>
        <v>0</v>
      </c>
      <c r="AE781" s="74" t="b">
        <f>IF(Tab.11[[#This Row],[a1]]=1,IF($AE$3=0,Tab.11[[#This Row],[w.0]],Tab.11[[#This Row],[w.0]]/SUM(Tab.11[w.0])))</f>
        <v>0</v>
      </c>
      <c r="AF781" s="76" t="str">
        <f>IF(Tab.11[[#This Row],[a1]]=0,"false",[3]!Tab.x5[[#This Row],[%_seN_C]])</f>
        <v>false</v>
      </c>
      <c r="AG781" s="77" t="b">
        <f>IF(Tab.11[[#This Row],[a1]]=1,AP781)</f>
        <v>0</v>
      </c>
      <c r="AH781" s="78" t="b">
        <f>IF(Tab.11[[#This Row],[a1]]=1,AQ781)</f>
        <v>0</v>
      </c>
      <c r="AI781" s="41">
        <v>3.0000000000000001E-3</v>
      </c>
      <c r="AJ781" s="79">
        <v>-0.02</v>
      </c>
      <c r="AK781" s="80" t="b">
        <f>IF(Tab.11[[#This Row],[a1]]=1,1)</f>
        <v>0</v>
      </c>
      <c r="AL781"/>
      <c r="AM781"/>
      <c r="AN781"/>
      <c r="AO781"/>
      <c r="AP781"/>
      <c r="AQ781"/>
      <c r="AR781"/>
      <c r="AS781"/>
    </row>
    <row r="782" spans="1:45" s="81" customFormat="1" hidden="1" x14ac:dyDescent="0.25">
      <c r="A782" s="61">
        <f t="shared" si="25"/>
        <v>0</v>
      </c>
      <c r="B782" s="62">
        <f t="shared" si="25"/>
        <v>0</v>
      </c>
      <c r="C782" s="62" t="b">
        <f>IF(Tab.11[[#This Row],[a1]]=1,[3]!Tab_x1[[#This Row],[Name]])</f>
        <v>0</v>
      </c>
      <c r="D782" s="63" t="b">
        <f>IF(Tab.11[[#This Row],[a1]]=1,AO782)</f>
        <v>0</v>
      </c>
      <c r="E782" s="63">
        <f t="shared" si="26"/>
        <v>0</v>
      </c>
      <c r="F782" s="64" t="b">
        <f>IF(Tab.11[[#This Row],[a1]]=1,Tab.11[[#This Row],[b1]])</f>
        <v>0</v>
      </c>
      <c r="G782" s="65" t="b">
        <f>IF(Tab.11[[#This Row],[a1]]=1,IF(Tab.11[[#This Row],[b3]]&gt;$L$989*$G$3,$L$989*$G$3,IF(Tab.11[[#This Row],[b3]]&lt;$M$989*$G$3,$M$989*$G$3,Tab.11[[#This Row],[b3]])))</f>
        <v>0</v>
      </c>
      <c r="H782" s="66" t="b">
        <f>IF(Tab.11[[#This Row],[a1]]=1,Tab.11[[#This Row],[b1]])</f>
        <v>0</v>
      </c>
      <c r="I782" s="67" t="b">
        <f>IF(Tab.11[[#This Row],[a1]]=1,Tab.11[[#This Row],[b1]])</f>
        <v>0</v>
      </c>
      <c r="J782" s="68" t="b">
        <f>IF(Tab.11[[#This Row],[a1]]=1,IF($I$3&lt;0,Tab.11[[#This Row],[b5]]-$I$3,Tab.11[[#This Row],[b5]]))</f>
        <v>0</v>
      </c>
      <c r="K782" s="68" t="b">
        <f>IF(Tab.11[[#This Row],[a1]]=1,IF($K$3=0,Tab.11[b6],Tab.11[[#This Row],[b6]]-AVERAGE(Tab.11[b6])))</f>
        <v>0</v>
      </c>
      <c r="L782" s="69" t="b">
        <f>IF(Tab.11[[#This Row],[a1]]=1,Tab.11[[#This Row],[data]]/(_xlfn.STDEV.P(Tab.11[data])*$B$989)+$A$989)</f>
        <v>0</v>
      </c>
      <c r="M782" s="69" t="b">
        <f>IF(Tab.11[[#This Row],[a1]]=1,Tab.11[[#This Row],[data]]/(_xlfn.STDEV.P(Tab.11[data])*$B$987)-$A$987)</f>
        <v>0</v>
      </c>
      <c r="N782" s="69" t="b">
        <f>IF(Tab.11[[#This Row],[a1]]=1,Tab.11[[#This Row],[data]]/(_xlfn.STDEV.P(Tab.11[data])*$B$988)+$A$988)</f>
        <v>0</v>
      </c>
      <c r="O782" s="70" t="b">
        <f>IF(Tab.11[[#This Row],[a1]]=1,_xlfn.NORM.DIST(Tab.11[[#This Row],[b8]],$P$1,$Q$1,FALSE))</f>
        <v>0</v>
      </c>
      <c r="P782" s="70" t="b">
        <f>IF(Tab.11[[#This Row],[a1]]=1,_xlfn.NORM.DIST(Tab.11[[#This Row],[b9]],$P$1,$Q$1,FALSE))</f>
        <v>0</v>
      </c>
      <c r="Q782" s="70" t="b">
        <f>IF(Tab.11[[#This Row],[a1]]=1,_xlfn.NORM.DIST(Tab.11[[#This Row],[b10]],$P$1,$Q$1,FALSE))</f>
        <v>0</v>
      </c>
      <c r="R782" s="67" t="b">
        <f>IF(Tab.11[[#This Row],[a1]]=1,$I$3+$A$989+IF($K$3=0,Tab.11[[#This Row],[b8]]*_xlfn.STDEV.P(Tab.11[data]),AVERAGE(Tab.11[b6])+Tab.11[[#This Row],[b8]]*_xlfn.STDEV.P(Tab.11[data])))</f>
        <v>0</v>
      </c>
      <c r="S782" s="71" t="b">
        <f>IF(Tab.11[[#This Row],[a1]]=1,$I$3+$A$987+IF($K$3=0,Tab.11[[#This Row],[b9]]*_xlfn.STDEV.P(Tab.11[data]),AVERAGE(Tab.11[b6])+Tab.11[[#This Row],[b9]]*_xlfn.STDEV.P(Tab.11[data])))</f>
        <v>0</v>
      </c>
      <c r="T782" s="71" t="b">
        <f>IF(Tab.11[[#This Row],[a1]]=1,$I$3+$A$988+IF($K$3=0,Tab.11[[#This Row],[b10]]*_xlfn.STDEV.P(Tab.11[data]),AVERAGE(Tab.11[b6])+Tab.11[[#This Row],[b10]]*_xlfn.STDEV.P(Tab.11[data])))</f>
        <v>0</v>
      </c>
      <c r="U782" s="72" t="b">
        <f>IF(Tab.11[[#This Row],[a1]]=1,Tab.11[[#This Row],[target]]-Tab.11[[#This Row],[Red]])</f>
        <v>0</v>
      </c>
      <c r="V782" s="72" t="b">
        <f>IF(Tab.11[[#This Row],[a1]]=1,Tab.11[[#This Row],[target]]-Tab.11[[#This Row],[Blue]])</f>
        <v>0</v>
      </c>
      <c r="W782" s="73" t="b">
        <f>IF(Tab.11[[#This Row],[a1]]=1,IF(ABS(Tab.11[[#This Row],[b17]])+ABS(Tab.11[[#This Row],[b18]])&lt;$W$2,$W$2,ABS(Tab.11[[#This Row],[b17]])+ABS(Tab.11[[#This Row],[b18]])))</f>
        <v>0</v>
      </c>
      <c r="X782" s="136" t="b">
        <f>IF(Tab.11[[#This Row],[a1]]=1,IF($W$3&lt;0,Tab.11[[#This Row],[IN]]-$I$3,Tab.11[[#This Row],[IN]]))</f>
        <v>0</v>
      </c>
      <c r="Y782" s="136" t="b">
        <f>IF(Tab.11[[#This Row],[a1]]=1,IF($X$3=0,Tab.11[b66],Tab.11[[#This Row],[b66]]-AVERAGE(Tab.11[b66])))</f>
        <v>0</v>
      </c>
      <c r="Z782" s="135" t="b">
        <f>IF(Tab.11[[#This Row],[a1]]=1,Tab.11[[#This Row],[b77]]/(_xlfn.STDEV.P(Tab.11[b77])))</f>
        <v>0</v>
      </c>
      <c r="AA782" s="70" t="b">
        <f>IF(Tab.11[[#This Row],[a1]]=1,_xlfn.NORM.DIST(Tab.11[[#This Row],[b88]],$Z$1,$AA$1,FALSE))</f>
        <v>0</v>
      </c>
      <c r="AB782" s="74" t="b">
        <f>IF(Tab.11[[#This Row],[a1]]=1,IF($A$3=0,FALSE,1/Tab.11[[#This Row],[IN]]*$AC$2*IF(Tab.11[[#This Row],[a1]]=0,,$A$3*$AC$1*1/$V$3*(Tab.11[[#This Row],[b14]]))))</f>
        <v>0</v>
      </c>
      <c r="AC782" s="75" t="b">
        <f>IF(Tab.11[[#This Row],[a1]]=1,IF($AC$3=0,Tab.11[[#This Row],[φ1]],Tab.11[[#This Row],[φ1]]/MAX(Tab.11[φ1])))</f>
        <v>0</v>
      </c>
      <c r="AD782" s="74" t="b">
        <f>IF(Tab.11[[#This Row],[a1]]=1,1/Tab.11[[#This Row],[φ2]])</f>
        <v>0</v>
      </c>
      <c r="AE782" s="74" t="b">
        <f>IF(Tab.11[[#This Row],[a1]]=1,IF($AE$3=0,Tab.11[[#This Row],[w.0]],Tab.11[[#This Row],[w.0]]/SUM(Tab.11[w.0])))</f>
        <v>0</v>
      </c>
      <c r="AF782" s="76" t="str">
        <f>IF(Tab.11[[#This Row],[a1]]=0,"false",[3]!Tab.x5[[#This Row],[%_seN_C]])</f>
        <v>false</v>
      </c>
      <c r="AG782" s="77" t="b">
        <f>IF(Tab.11[[#This Row],[a1]]=1,AP782)</f>
        <v>0</v>
      </c>
      <c r="AH782" s="78" t="b">
        <f>IF(Tab.11[[#This Row],[a1]]=1,AQ782)</f>
        <v>0</v>
      </c>
      <c r="AI782" s="41">
        <v>3.0000000000000001E-3</v>
      </c>
      <c r="AJ782" s="79">
        <v>0.01</v>
      </c>
      <c r="AK782" s="80" t="b">
        <f>IF(Tab.11[[#This Row],[a1]]=1,1)</f>
        <v>0</v>
      </c>
      <c r="AL782"/>
      <c r="AM782"/>
      <c r="AN782"/>
      <c r="AO782"/>
      <c r="AP782"/>
      <c r="AQ782"/>
      <c r="AR782"/>
      <c r="AS782"/>
    </row>
    <row r="783" spans="1:45" s="81" customFormat="1" hidden="1" x14ac:dyDescent="0.25">
      <c r="A783" s="61">
        <f t="shared" si="25"/>
        <v>0</v>
      </c>
      <c r="B783" s="62">
        <f t="shared" si="25"/>
        <v>0</v>
      </c>
      <c r="C783" s="62" t="b">
        <f>IF(Tab.11[[#This Row],[a1]]=1,[3]!Tab_x1[[#This Row],[Name]])</f>
        <v>0</v>
      </c>
      <c r="D783" s="63" t="b">
        <f>IF(Tab.11[[#This Row],[a1]]=1,AO783)</f>
        <v>0</v>
      </c>
      <c r="E783" s="63">
        <f t="shared" si="26"/>
        <v>0</v>
      </c>
      <c r="F783" s="64" t="b">
        <f>IF(Tab.11[[#This Row],[a1]]=1,Tab.11[[#This Row],[b1]])</f>
        <v>0</v>
      </c>
      <c r="G783" s="65" t="b">
        <f>IF(Tab.11[[#This Row],[a1]]=1,IF(Tab.11[[#This Row],[b3]]&gt;$L$989*$G$3,$L$989*$G$3,IF(Tab.11[[#This Row],[b3]]&lt;$M$989*$G$3,$M$989*$G$3,Tab.11[[#This Row],[b3]])))</f>
        <v>0</v>
      </c>
      <c r="H783" s="66" t="b">
        <f>IF(Tab.11[[#This Row],[a1]]=1,Tab.11[[#This Row],[b1]])</f>
        <v>0</v>
      </c>
      <c r="I783" s="67" t="b">
        <f>IF(Tab.11[[#This Row],[a1]]=1,Tab.11[[#This Row],[b1]])</f>
        <v>0</v>
      </c>
      <c r="J783" s="68" t="b">
        <f>IF(Tab.11[[#This Row],[a1]]=1,IF($I$3&lt;0,Tab.11[[#This Row],[b5]]-$I$3,Tab.11[[#This Row],[b5]]))</f>
        <v>0</v>
      </c>
      <c r="K783" s="68" t="b">
        <f>IF(Tab.11[[#This Row],[a1]]=1,IF($K$3=0,Tab.11[b6],Tab.11[[#This Row],[b6]]-AVERAGE(Tab.11[b6])))</f>
        <v>0</v>
      </c>
      <c r="L783" s="69" t="b">
        <f>IF(Tab.11[[#This Row],[a1]]=1,Tab.11[[#This Row],[data]]/(_xlfn.STDEV.P(Tab.11[data])*$B$989)+$A$989)</f>
        <v>0</v>
      </c>
      <c r="M783" s="69" t="b">
        <f>IF(Tab.11[[#This Row],[a1]]=1,Tab.11[[#This Row],[data]]/(_xlfn.STDEV.P(Tab.11[data])*$B$987)-$A$987)</f>
        <v>0</v>
      </c>
      <c r="N783" s="69" t="b">
        <f>IF(Tab.11[[#This Row],[a1]]=1,Tab.11[[#This Row],[data]]/(_xlfn.STDEV.P(Tab.11[data])*$B$988)+$A$988)</f>
        <v>0</v>
      </c>
      <c r="O783" s="70" t="b">
        <f>IF(Tab.11[[#This Row],[a1]]=1,_xlfn.NORM.DIST(Tab.11[[#This Row],[b8]],$P$1,$Q$1,FALSE))</f>
        <v>0</v>
      </c>
      <c r="P783" s="70" t="b">
        <f>IF(Tab.11[[#This Row],[a1]]=1,_xlfn.NORM.DIST(Tab.11[[#This Row],[b9]],$P$1,$Q$1,FALSE))</f>
        <v>0</v>
      </c>
      <c r="Q783" s="70" t="b">
        <f>IF(Tab.11[[#This Row],[a1]]=1,_xlfn.NORM.DIST(Tab.11[[#This Row],[b10]],$P$1,$Q$1,FALSE))</f>
        <v>0</v>
      </c>
      <c r="R783" s="67" t="b">
        <f>IF(Tab.11[[#This Row],[a1]]=1,$I$3+$A$989+IF($K$3=0,Tab.11[[#This Row],[b8]]*_xlfn.STDEV.P(Tab.11[data]),AVERAGE(Tab.11[b6])+Tab.11[[#This Row],[b8]]*_xlfn.STDEV.P(Tab.11[data])))</f>
        <v>0</v>
      </c>
      <c r="S783" s="71" t="b">
        <f>IF(Tab.11[[#This Row],[a1]]=1,$I$3+$A$987+IF($K$3=0,Tab.11[[#This Row],[b9]]*_xlfn.STDEV.P(Tab.11[data]),AVERAGE(Tab.11[b6])+Tab.11[[#This Row],[b9]]*_xlfn.STDEV.P(Tab.11[data])))</f>
        <v>0</v>
      </c>
      <c r="T783" s="71" t="b">
        <f>IF(Tab.11[[#This Row],[a1]]=1,$I$3+$A$988+IF($K$3=0,Tab.11[[#This Row],[b10]]*_xlfn.STDEV.P(Tab.11[data]),AVERAGE(Tab.11[b6])+Tab.11[[#This Row],[b10]]*_xlfn.STDEV.P(Tab.11[data])))</f>
        <v>0</v>
      </c>
      <c r="U783" s="72" t="b">
        <f>IF(Tab.11[[#This Row],[a1]]=1,Tab.11[[#This Row],[target]]-Tab.11[[#This Row],[Red]])</f>
        <v>0</v>
      </c>
      <c r="V783" s="72" t="b">
        <f>IF(Tab.11[[#This Row],[a1]]=1,Tab.11[[#This Row],[target]]-Tab.11[[#This Row],[Blue]])</f>
        <v>0</v>
      </c>
      <c r="W783" s="73" t="b">
        <f>IF(Tab.11[[#This Row],[a1]]=1,IF(ABS(Tab.11[[#This Row],[b17]])+ABS(Tab.11[[#This Row],[b18]])&lt;$W$2,$W$2,ABS(Tab.11[[#This Row],[b17]])+ABS(Tab.11[[#This Row],[b18]])))</f>
        <v>0</v>
      </c>
      <c r="X783" s="136" t="b">
        <f>IF(Tab.11[[#This Row],[a1]]=1,IF($W$3&lt;0,Tab.11[[#This Row],[IN]]-$I$3,Tab.11[[#This Row],[IN]]))</f>
        <v>0</v>
      </c>
      <c r="Y783" s="136" t="b">
        <f>IF(Tab.11[[#This Row],[a1]]=1,IF($X$3=0,Tab.11[b66],Tab.11[[#This Row],[b66]]-AVERAGE(Tab.11[b66])))</f>
        <v>0</v>
      </c>
      <c r="Z783" s="135" t="b">
        <f>IF(Tab.11[[#This Row],[a1]]=1,Tab.11[[#This Row],[b77]]/(_xlfn.STDEV.P(Tab.11[b77])))</f>
        <v>0</v>
      </c>
      <c r="AA783" s="70" t="b">
        <f>IF(Tab.11[[#This Row],[a1]]=1,_xlfn.NORM.DIST(Tab.11[[#This Row],[b88]],$Z$1,$AA$1,FALSE))</f>
        <v>0</v>
      </c>
      <c r="AB783" s="74" t="b">
        <f>IF(Tab.11[[#This Row],[a1]]=1,IF($A$3=0,FALSE,1/Tab.11[[#This Row],[IN]]*$AC$2*IF(Tab.11[[#This Row],[a1]]=0,,$A$3*$AC$1*1/$V$3*(Tab.11[[#This Row],[b14]]))))</f>
        <v>0</v>
      </c>
      <c r="AC783" s="75" t="b">
        <f>IF(Tab.11[[#This Row],[a1]]=1,IF($AC$3=0,Tab.11[[#This Row],[φ1]],Tab.11[[#This Row],[φ1]]/MAX(Tab.11[φ1])))</f>
        <v>0</v>
      </c>
      <c r="AD783" s="74" t="b">
        <f>IF(Tab.11[[#This Row],[a1]]=1,1/Tab.11[[#This Row],[φ2]])</f>
        <v>0</v>
      </c>
      <c r="AE783" s="74" t="b">
        <f>IF(Tab.11[[#This Row],[a1]]=1,IF($AE$3=0,Tab.11[[#This Row],[w.0]],Tab.11[[#This Row],[w.0]]/SUM(Tab.11[w.0])))</f>
        <v>0</v>
      </c>
      <c r="AF783" s="76" t="str">
        <f>IF(Tab.11[[#This Row],[a1]]=0,"false",[3]!Tab.x5[[#This Row],[%_seN_C]])</f>
        <v>false</v>
      </c>
      <c r="AG783" s="77" t="b">
        <f>IF(Tab.11[[#This Row],[a1]]=1,AP783)</f>
        <v>0</v>
      </c>
      <c r="AH783" s="78" t="b">
        <f>IF(Tab.11[[#This Row],[a1]]=1,AQ783)</f>
        <v>0</v>
      </c>
      <c r="AI783" s="41">
        <v>3.0000000000000001E-3</v>
      </c>
      <c r="AJ783" s="79">
        <v>-0.05</v>
      </c>
      <c r="AK783" s="80" t="b">
        <f>IF(Tab.11[[#This Row],[a1]]=1,1)</f>
        <v>0</v>
      </c>
      <c r="AL783"/>
      <c r="AM783"/>
      <c r="AN783"/>
      <c r="AO783"/>
      <c r="AP783"/>
      <c r="AQ783"/>
      <c r="AR783"/>
      <c r="AS783"/>
    </row>
    <row r="784" spans="1:45" s="81" customFormat="1" hidden="1" x14ac:dyDescent="0.25">
      <c r="A784" s="61">
        <f t="shared" si="25"/>
        <v>0</v>
      </c>
      <c r="B784" s="62">
        <f t="shared" si="25"/>
        <v>0</v>
      </c>
      <c r="C784" s="62" t="b">
        <f>IF(Tab.11[[#This Row],[a1]]=1,[3]!Tab_x1[[#This Row],[Name]])</f>
        <v>0</v>
      </c>
      <c r="D784" s="63" t="b">
        <f>IF(Tab.11[[#This Row],[a1]]=1,AO784)</f>
        <v>0</v>
      </c>
      <c r="E784" s="63">
        <f t="shared" si="26"/>
        <v>0</v>
      </c>
      <c r="F784" s="64" t="b">
        <f>IF(Tab.11[[#This Row],[a1]]=1,Tab.11[[#This Row],[b1]])</f>
        <v>0</v>
      </c>
      <c r="G784" s="65" t="b">
        <f>IF(Tab.11[[#This Row],[a1]]=1,IF(Tab.11[[#This Row],[b3]]&gt;$L$989*$G$3,$L$989*$G$3,IF(Tab.11[[#This Row],[b3]]&lt;$M$989*$G$3,$M$989*$G$3,Tab.11[[#This Row],[b3]])))</f>
        <v>0</v>
      </c>
      <c r="H784" s="66" t="b">
        <f>IF(Tab.11[[#This Row],[a1]]=1,Tab.11[[#This Row],[b1]])</f>
        <v>0</v>
      </c>
      <c r="I784" s="67" t="b">
        <f>IF(Tab.11[[#This Row],[a1]]=1,Tab.11[[#This Row],[b1]])</f>
        <v>0</v>
      </c>
      <c r="J784" s="68" t="b">
        <f>IF(Tab.11[[#This Row],[a1]]=1,IF($I$3&lt;0,Tab.11[[#This Row],[b5]]-$I$3,Tab.11[[#This Row],[b5]]))</f>
        <v>0</v>
      </c>
      <c r="K784" s="68" t="b">
        <f>IF(Tab.11[[#This Row],[a1]]=1,IF($K$3=0,Tab.11[b6],Tab.11[[#This Row],[b6]]-AVERAGE(Tab.11[b6])))</f>
        <v>0</v>
      </c>
      <c r="L784" s="69" t="b">
        <f>IF(Tab.11[[#This Row],[a1]]=1,Tab.11[[#This Row],[data]]/(_xlfn.STDEV.P(Tab.11[data])*$B$989)+$A$989)</f>
        <v>0</v>
      </c>
      <c r="M784" s="69" t="b">
        <f>IF(Tab.11[[#This Row],[a1]]=1,Tab.11[[#This Row],[data]]/(_xlfn.STDEV.P(Tab.11[data])*$B$987)-$A$987)</f>
        <v>0</v>
      </c>
      <c r="N784" s="69" t="b">
        <f>IF(Tab.11[[#This Row],[a1]]=1,Tab.11[[#This Row],[data]]/(_xlfn.STDEV.P(Tab.11[data])*$B$988)+$A$988)</f>
        <v>0</v>
      </c>
      <c r="O784" s="70" t="b">
        <f>IF(Tab.11[[#This Row],[a1]]=1,_xlfn.NORM.DIST(Tab.11[[#This Row],[b8]],$P$1,$Q$1,FALSE))</f>
        <v>0</v>
      </c>
      <c r="P784" s="70" t="b">
        <f>IF(Tab.11[[#This Row],[a1]]=1,_xlfn.NORM.DIST(Tab.11[[#This Row],[b9]],$P$1,$Q$1,FALSE))</f>
        <v>0</v>
      </c>
      <c r="Q784" s="70" t="b">
        <f>IF(Tab.11[[#This Row],[a1]]=1,_xlfn.NORM.DIST(Tab.11[[#This Row],[b10]],$P$1,$Q$1,FALSE))</f>
        <v>0</v>
      </c>
      <c r="R784" s="67" t="b">
        <f>IF(Tab.11[[#This Row],[a1]]=1,$I$3+$A$989+IF($K$3=0,Tab.11[[#This Row],[b8]]*_xlfn.STDEV.P(Tab.11[data]),AVERAGE(Tab.11[b6])+Tab.11[[#This Row],[b8]]*_xlfn.STDEV.P(Tab.11[data])))</f>
        <v>0</v>
      </c>
      <c r="S784" s="71" t="b">
        <f>IF(Tab.11[[#This Row],[a1]]=1,$I$3+$A$987+IF($K$3=0,Tab.11[[#This Row],[b9]]*_xlfn.STDEV.P(Tab.11[data]),AVERAGE(Tab.11[b6])+Tab.11[[#This Row],[b9]]*_xlfn.STDEV.P(Tab.11[data])))</f>
        <v>0</v>
      </c>
      <c r="T784" s="71" t="b">
        <f>IF(Tab.11[[#This Row],[a1]]=1,$I$3+$A$988+IF($K$3=0,Tab.11[[#This Row],[b10]]*_xlfn.STDEV.P(Tab.11[data]),AVERAGE(Tab.11[b6])+Tab.11[[#This Row],[b10]]*_xlfn.STDEV.P(Tab.11[data])))</f>
        <v>0</v>
      </c>
      <c r="U784" s="72" t="b">
        <f>IF(Tab.11[[#This Row],[a1]]=1,Tab.11[[#This Row],[target]]-Tab.11[[#This Row],[Red]])</f>
        <v>0</v>
      </c>
      <c r="V784" s="72" t="b">
        <f>IF(Tab.11[[#This Row],[a1]]=1,Tab.11[[#This Row],[target]]-Tab.11[[#This Row],[Blue]])</f>
        <v>0</v>
      </c>
      <c r="W784" s="73" t="b">
        <f>IF(Tab.11[[#This Row],[a1]]=1,IF(ABS(Tab.11[[#This Row],[b17]])+ABS(Tab.11[[#This Row],[b18]])&lt;$W$2,$W$2,ABS(Tab.11[[#This Row],[b17]])+ABS(Tab.11[[#This Row],[b18]])))</f>
        <v>0</v>
      </c>
      <c r="X784" s="136" t="b">
        <f>IF(Tab.11[[#This Row],[a1]]=1,IF($W$3&lt;0,Tab.11[[#This Row],[IN]]-$I$3,Tab.11[[#This Row],[IN]]))</f>
        <v>0</v>
      </c>
      <c r="Y784" s="136" t="b">
        <f>IF(Tab.11[[#This Row],[a1]]=1,IF($X$3=0,Tab.11[b66],Tab.11[[#This Row],[b66]]-AVERAGE(Tab.11[b66])))</f>
        <v>0</v>
      </c>
      <c r="Z784" s="135" t="b">
        <f>IF(Tab.11[[#This Row],[a1]]=1,Tab.11[[#This Row],[b77]]/(_xlfn.STDEV.P(Tab.11[b77])))</f>
        <v>0</v>
      </c>
      <c r="AA784" s="70" t="b">
        <f>IF(Tab.11[[#This Row],[a1]]=1,_xlfn.NORM.DIST(Tab.11[[#This Row],[b88]],$Z$1,$AA$1,FALSE))</f>
        <v>0</v>
      </c>
      <c r="AB784" s="74" t="b">
        <f>IF(Tab.11[[#This Row],[a1]]=1,IF($A$3=0,FALSE,1/Tab.11[[#This Row],[IN]]*$AC$2*IF(Tab.11[[#This Row],[a1]]=0,,$A$3*$AC$1*1/$V$3*(Tab.11[[#This Row],[b14]]))))</f>
        <v>0</v>
      </c>
      <c r="AC784" s="75" t="b">
        <f>IF(Tab.11[[#This Row],[a1]]=1,IF($AC$3=0,Tab.11[[#This Row],[φ1]],Tab.11[[#This Row],[φ1]]/MAX(Tab.11[φ1])))</f>
        <v>0</v>
      </c>
      <c r="AD784" s="74" t="b">
        <f>IF(Tab.11[[#This Row],[a1]]=1,1/Tab.11[[#This Row],[φ2]])</f>
        <v>0</v>
      </c>
      <c r="AE784" s="74" t="b">
        <f>IF(Tab.11[[#This Row],[a1]]=1,IF($AE$3=0,Tab.11[[#This Row],[w.0]],Tab.11[[#This Row],[w.0]]/SUM(Tab.11[w.0])))</f>
        <v>0</v>
      </c>
      <c r="AF784" s="76" t="str">
        <f>IF(Tab.11[[#This Row],[a1]]=0,"false",[3]!Tab.x5[[#This Row],[%_seN_C]])</f>
        <v>false</v>
      </c>
      <c r="AG784" s="77" t="b">
        <f>IF(Tab.11[[#This Row],[a1]]=1,AP784)</f>
        <v>0</v>
      </c>
      <c r="AH784" s="78" t="b">
        <f>IF(Tab.11[[#This Row],[a1]]=1,AQ784)</f>
        <v>0</v>
      </c>
      <c r="AI784" s="41">
        <v>3.0000000000000001E-3</v>
      </c>
      <c r="AJ784" s="79">
        <v>0.09</v>
      </c>
      <c r="AK784" s="80" t="b">
        <f>IF(Tab.11[[#This Row],[a1]]=1,1)</f>
        <v>0</v>
      </c>
      <c r="AL784"/>
      <c r="AM784"/>
      <c r="AN784"/>
      <c r="AO784"/>
      <c r="AP784"/>
      <c r="AQ784"/>
      <c r="AR784"/>
      <c r="AS784"/>
    </row>
    <row r="785" spans="1:45" s="81" customFormat="1" hidden="1" x14ac:dyDescent="0.25">
      <c r="A785" s="61">
        <f t="shared" si="25"/>
        <v>0</v>
      </c>
      <c r="B785" s="62">
        <f t="shared" si="25"/>
        <v>0</v>
      </c>
      <c r="C785" s="62" t="b">
        <f>IF(Tab.11[[#This Row],[a1]]=1,[3]!Tab_x1[[#This Row],[Name]])</f>
        <v>0</v>
      </c>
      <c r="D785" s="63" t="b">
        <f>IF(Tab.11[[#This Row],[a1]]=1,AO785)</f>
        <v>0</v>
      </c>
      <c r="E785" s="63">
        <f t="shared" si="26"/>
        <v>0</v>
      </c>
      <c r="F785" s="64" t="b">
        <f>IF(Tab.11[[#This Row],[a1]]=1,Tab.11[[#This Row],[b1]])</f>
        <v>0</v>
      </c>
      <c r="G785" s="65" t="b">
        <f>IF(Tab.11[[#This Row],[a1]]=1,IF(Tab.11[[#This Row],[b3]]&gt;$L$989*$G$3,$L$989*$G$3,IF(Tab.11[[#This Row],[b3]]&lt;$M$989*$G$3,$M$989*$G$3,Tab.11[[#This Row],[b3]])))</f>
        <v>0</v>
      </c>
      <c r="H785" s="66" t="b">
        <f>IF(Tab.11[[#This Row],[a1]]=1,Tab.11[[#This Row],[b1]])</f>
        <v>0</v>
      </c>
      <c r="I785" s="67" t="b">
        <f>IF(Tab.11[[#This Row],[a1]]=1,Tab.11[[#This Row],[b1]])</f>
        <v>0</v>
      </c>
      <c r="J785" s="68" t="b">
        <f>IF(Tab.11[[#This Row],[a1]]=1,IF($I$3&lt;0,Tab.11[[#This Row],[b5]]-$I$3,Tab.11[[#This Row],[b5]]))</f>
        <v>0</v>
      </c>
      <c r="K785" s="68" t="b">
        <f>IF(Tab.11[[#This Row],[a1]]=1,IF($K$3=0,Tab.11[b6],Tab.11[[#This Row],[b6]]-AVERAGE(Tab.11[b6])))</f>
        <v>0</v>
      </c>
      <c r="L785" s="69" t="b">
        <f>IF(Tab.11[[#This Row],[a1]]=1,Tab.11[[#This Row],[data]]/(_xlfn.STDEV.P(Tab.11[data])*$B$989)+$A$989)</f>
        <v>0</v>
      </c>
      <c r="M785" s="69" t="b">
        <f>IF(Tab.11[[#This Row],[a1]]=1,Tab.11[[#This Row],[data]]/(_xlfn.STDEV.P(Tab.11[data])*$B$987)-$A$987)</f>
        <v>0</v>
      </c>
      <c r="N785" s="69" t="b">
        <f>IF(Tab.11[[#This Row],[a1]]=1,Tab.11[[#This Row],[data]]/(_xlfn.STDEV.P(Tab.11[data])*$B$988)+$A$988)</f>
        <v>0</v>
      </c>
      <c r="O785" s="70" t="b">
        <f>IF(Tab.11[[#This Row],[a1]]=1,_xlfn.NORM.DIST(Tab.11[[#This Row],[b8]],$P$1,$Q$1,FALSE))</f>
        <v>0</v>
      </c>
      <c r="P785" s="70" t="b">
        <f>IF(Tab.11[[#This Row],[a1]]=1,_xlfn.NORM.DIST(Tab.11[[#This Row],[b9]],$P$1,$Q$1,FALSE))</f>
        <v>0</v>
      </c>
      <c r="Q785" s="70" t="b">
        <f>IF(Tab.11[[#This Row],[a1]]=1,_xlfn.NORM.DIST(Tab.11[[#This Row],[b10]],$P$1,$Q$1,FALSE))</f>
        <v>0</v>
      </c>
      <c r="R785" s="67" t="b">
        <f>IF(Tab.11[[#This Row],[a1]]=1,$I$3+$A$989+IF($K$3=0,Tab.11[[#This Row],[b8]]*_xlfn.STDEV.P(Tab.11[data]),AVERAGE(Tab.11[b6])+Tab.11[[#This Row],[b8]]*_xlfn.STDEV.P(Tab.11[data])))</f>
        <v>0</v>
      </c>
      <c r="S785" s="71" t="b">
        <f>IF(Tab.11[[#This Row],[a1]]=1,$I$3+$A$987+IF($K$3=0,Tab.11[[#This Row],[b9]]*_xlfn.STDEV.P(Tab.11[data]),AVERAGE(Tab.11[b6])+Tab.11[[#This Row],[b9]]*_xlfn.STDEV.P(Tab.11[data])))</f>
        <v>0</v>
      </c>
      <c r="T785" s="71" t="b">
        <f>IF(Tab.11[[#This Row],[a1]]=1,$I$3+$A$988+IF($K$3=0,Tab.11[[#This Row],[b10]]*_xlfn.STDEV.P(Tab.11[data]),AVERAGE(Tab.11[b6])+Tab.11[[#This Row],[b10]]*_xlfn.STDEV.P(Tab.11[data])))</f>
        <v>0</v>
      </c>
      <c r="U785" s="72" t="b">
        <f>IF(Tab.11[[#This Row],[a1]]=1,Tab.11[[#This Row],[target]]-Tab.11[[#This Row],[Red]])</f>
        <v>0</v>
      </c>
      <c r="V785" s="72" t="b">
        <f>IF(Tab.11[[#This Row],[a1]]=1,Tab.11[[#This Row],[target]]-Tab.11[[#This Row],[Blue]])</f>
        <v>0</v>
      </c>
      <c r="W785" s="73" t="b">
        <f>IF(Tab.11[[#This Row],[a1]]=1,IF(ABS(Tab.11[[#This Row],[b17]])+ABS(Tab.11[[#This Row],[b18]])&lt;$W$2,$W$2,ABS(Tab.11[[#This Row],[b17]])+ABS(Tab.11[[#This Row],[b18]])))</f>
        <v>0</v>
      </c>
      <c r="X785" s="136" t="b">
        <f>IF(Tab.11[[#This Row],[a1]]=1,IF($W$3&lt;0,Tab.11[[#This Row],[IN]]-$I$3,Tab.11[[#This Row],[IN]]))</f>
        <v>0</v>
      </c>
      <c r="Y785" s="136" t="b">
        <f>IF(Tab.11[[#This Row],[a1]]=1,IF($X$3=0,Tab.11[b66],Tab.11[[#This Row],[b66]]-AVERAGE(Tab.11[b66])))</f>
        <v>0</v>
      </c>
      <c r="Z785" s="135" t="b">
        <f>IF(Tab.11[[#This Row],[a1]]=1,Tab.11[[#This Row],[b77]]/(_xlfn.STDEV.P(Tab.11[b77])))</f>
        <v>0</v>
      </c>
      <c r="AA785" s="70" t="b">
        <f>IF(Tab.11[[#This Row],[a1]]=1,_xlfn.NORM.DIST(Tab.11[[#This Row],[b88]],$Z$1,$AA$1,FALSE))</f>
        <v>0</v>
      </c>
      <c r="AB785" s="74" t="b">
        <f>IF(Tab.11[[#This Row],[a1]]=1,IF($A$3=0,FALSE,1/Tab.11[[#This Row],[IN]]*$AC$2*IF(Tab.11[[#This Row],[a1]]=0,,$A$3*$AC$1*1/$V$3*(Tab.11[[#This Row],[b14]]))))</f>
        <v>0</v>
      </c>
      <c r="AC785" s="75" t="b">
        <f>IF(Tab.11[[#This Row],[a1]]=1,IF($AC$3=0,Tab.11[[#This Row],[φ1]],Tab.11[[#This Row],[φ1]]/MAX(Tab.11[φ1])))</f>
        <v>0</v>
      </c>
      <c r="AD785" s="74" t="b">
        <f>IF(Tab.11[[#This Row],[a1]]=1,1/Tab.11[[#This Row],[φ2]])</f>
        <v>0</v>
      </c>
      <c r="AE785" s="74" t="b">
        <f>IF(Tab.11[[#This Row],[a1]]=1,IF($AE$3=0,Tab.11[[#This Row],[w.0]],Tab.11[[#This Row],[w.0]]/SUM(Tab.11[w.0])))</f>
        <v>0</v>
      </c>
      <c r="AF785" s="76" t="str">
        <f>IF(Tab.11[[#This Row],[a1]]=0,"false",[3]!Tab.x5[[#This Row],[%_seN_C]])</f>
        <v>false</v>
      </c>
      <c r="AG785" s="77" t="b">
        <f>IF(Tab.11[[#This Row],[a1]]=1,AP785)</f>
        <v>0</v>
      </c>
      <c r="AH785" s="78" t="b">
        <f>IF(Tab.11[[#This Row],[a1]]=1,AQ785)</f>
        <v>0</v>
      </c>
      <c r="AI785" s="41">
        <v>3.0000000000000001E-3</v>
      </c>
      <c r="AJ785" s="79">
        <v>0.08</v>
      </c>
      <c r="AK785" s="80" t="b">
        <f>IF(Tab.11[[#This Row],[a1]]=1,1)</f>
        <v>0</v>
      </c>
      <c r="AL785"/>
      <c r="AM785"/>
      <c r="AN785"/>
      <c r="AO785"/>
      <c r="AP785"/>
      <c r="AQ785"/>
      <c r="AR785"/>
      <c r="AS785"/>
    </row>
    <row r="786" spans="1:45" s="81" customFormat="1" hidden="1" x14ac:dyDescent="0.25">
      <c r="A786" s="61">
        <f t="shared" si="25"/>
        <v>0</v>
      </c>
      <c r="B786" s="62">
        <f t="shared" si="25"/>
        <v>0</v>
      </c>
      <c r="C786" s="62" t="b">
        <f>IF(Tab.11[[#This Row],[a1]]=1,[3]!Tab_x1[[#This Row],[Name]])</f>
        <v>0</v>
      </c>
      <c r="D786" s="63" t="b">
        <f>IF(Tab.11[[#This Row],[a1]]=1,AO786)</f>
        <v>0</v>
      </c>
      <c r="E786" s="63">
        <f t="shared" si="26"/>
        <v>0</v>
      </c>
      <c r="F786" s="64" t="b">
        <f>IF(Tab.11[[#This Row],[a1]]=1,Tab.11[[#This Row],[b1]])</f>
        <v>0</v>
      </c>
      <c r="G786" s="65" t="b">
        <f>IF(Tab.11[[#This Row],[a1]]=1,IF(Tab.11[[#This Row],[b3]]&gt;$L$989*$G$3,$L$989*$G$3,IF(Tab.11[[#This Row],[b3]]&lt;$M$989*$G$3,$M$989*$G$3,Tab.11[[#This Row],[b3]])))</f>
        <v>0</v>
      </c>
      <c r="H786" s="66" t="b">
        <f>IF(Tab.11[[#This Row],[a1]]=1,Tab.11[[#This Row],[b1]])</f>
        <v>0</v>
      </c>
      <c r="I786" s="67" t="b">
        <f>IF(Tab.11[[#This Row],[a1]]=1,Tab.11[[#This Row],[b1]])</f>
        <v>0</v>
      </c>
      <c r="J786" s="68" t="b">
        <f>IF(Tab.11[[#This Row],[a1]]=1,IF($I$3&lt;0,Tab.11[[#This Row],[b5]]-$I$3,Tab.11[[#This Row],[b5]]))</f>
        <v>0</v>
      </c>
      <c r="K786" s="68" t="b">
        <f>IF(Tab.11[[#This Row],[a1]]=1,IF($K$3=0,Tab.11[b6],Tab.11[[#This Row],[b6]]-AVERAGE(Tab.11[b6])))</f>
        <v>0</v>
      </c>
      <c r="L786" s="69" t="b">
        <f>IF(Tab.11[[#This Row],[a1]]=1,Tab.11[[#This Row],[data]]/(_xlfn.STDEV.P(Tab.11[data])*$B$989)+$A$989)</f>
        <v>0</v>
      </c>
      <c r="M786" s="69" t="b">
        <f>IF(Tab.11[[#This Row],[a1]]=1,Tab.11[[#This Row],[data]]/(_xlfn.STDEV.P(Tab.11[data])*$B$987)-$A$987)</f>
        <v>0</v>
      </c>
      <c r="N786" s="69" t="b">
        <f>IF(Tab.11[[#This Row],[a1]]=1,Tab.11[[#This Row],[data]]/(_xlfn.STDEV.P(Tab.11[data])*$B$988)+$A$988)</f>
        <v>0</v>
      </c>
      <c r="O786" s="70" t="b">
        <f>IF(Tab.11[[#This Row],[a1]]=1,_xlfn.NORM.DIST(Tab.11[[#This Row],[b8]],$P$1,$Q$1,FALSE))</f>
        <v>0</v>
      </c>
      <c r="P786" s="70" t="b">
        <f>IF(Tab.11[[#This Row],[a1]]=1,_xlfn.NORM.DIST(Tab.11[[#This Row],[b9]],$P$1,$Q$1,FALSE))</f>
        <v>0</v>
      </c>
      <c r="Q786" s="70" t="b">
        <f>IF(Tab.11[[#This Row],[a1]]=1,_xlfn.NORM.DIST(Tab.11[[#This Row],[b10]],$P$1,$Q$1,FALSE))</f>
        <v>0</v>
      </c>
      <c r="R786" s="67" t="b">
        <f>IF(Tab.11[[#This Row],[a1]]=1,$I$3+$A$989+IF($K$3=0,Tab.11[[#This Row],[b8]]*_xlfn.STDEV.P(Tab.11[data]),AVERAGE(Tab.11[b6])+Tab.11[[#This Row],[b8]]*_xlfn.STDEV.P(Tab.11[data])))</f>
        <v>0</v>
      </c>
      <c r="S786" s="71" t="b">
        <f>IF(Tab.11[[#This Row],[a1]]=1,$I$3+$A$987+IF($K$3=0,Tab.11[[#This Row],[b9]]*_xlfn.STDEV.P(Tab.11[data]),AVERAGE(Tab.11[b6])+Tab.11[[#This Row],[b9]]*_xlfn.STDEV.P(Tab.11[data])))</f>
        <v>0</v>
      </c>
      <c r="T786" s="71" t="b">
        <f>IF(Tab.11[[#This Row],[a1]]=1,$I$3+$A$988+IF($K$3=0,Tab.11[[#This Row],[b10]]*_xlfn.STDEV.P(Tab.11[data]),AVERAGE(Tab.11[b6])+Tab.11[[#This Row],[b10]]*_xlfn.STDEV.P(Tab.11[data])))</f>
        <v>0</v>
      </c>
      <c r="U786" s="72" t="b">
        <f>IF(Tab.11[[#This Row],[a1]]=1,Tab.11[[#This Row],[target]]-Tab.11[[#This Row],[Red]])</f>
        <v>0</v>
      </c>
      <c r="V786" s="72" t="b">
        <f>IF(Tab.11[[#This Row],[a1]]=1,Tab.11[[#This Row],[target]]-Tab.11[[#This Row],[Blue]])</f>
        <v>0</v>
      </c>
      <c r="W786" s="73" t="b">
        <f>IF(Tab.11[[#This Row],[a1]]=1,IF(ABS(Tab.11[[#This Row],[b17]])+ABS(Tab.11[[#This Row],[b18]])&lt;$W$2,$W$2,ABS(Tab.11[[#This Row],[b17]])+ABS(Tab.11[[#This Row],[b18]])))</f>
        <v>0</v>
      </c>
      <c r="X786" s="136" t="b">
        <f>IF(Tab.11[[#This Row],[a1]]=1,IF($W$3&lt;0,Tab.11[[#This Row],[IN]]-$I$3,Tab.11[[#This Row],[IN]]))</f>
        <v>0</v>
      </c>
      <c r="Y786" s="136" t="b">
        <f>IF(Tab.11[[#This Row],[a1]]=1,IF($X$3=0,Tab.11[b66],Tab.11[[#This Row],[b66]]-AVERAGE(Tab.11[b66])))</f>
        <v>0</v>
      </c>
      <c r="Z786" s="135" t="b">
        <f>IF(Tab.11[[#This Row],[a1]]=1,Tab.11[[#This Row],[b77]]/(_xlfn.STDEV.P(Tab.11[b77])))</f>
        <v>0</v>
      </c>
      <c r="AA786" s="70" t="b">
        <f>IF(Tab.11[[#This Row],[a1]]=1,_xlfn.NORM.DIST(Tab.11[[#This Row],[b88]],$Z$1,$AA$1,FALSE))</f>
        <v>0</v>
      </c>
      <c r="AB786" s="74" t="b">
        <f>IF(Tab.11[[#This Row],[a1]]=1,IF($A$3=0,FALSE,1/Tab.11[[#This Row],[IN]]*$AC$2*IF(Tab.11[[#This Row],[a1]]=0,,$A$3*$AC$1*1/$V$3*(Tab.11[[#This Row],[b14]]))))</f>
        <v>0</v>
      </c>
      <c r="AC786" s="75" t="b">
        <f>IF(Tab.11[[#This Row],[a1]]=1,IF($AC$3=0,Tab.11[[#This Row],[φ1]],Tab.11[[#This Row],[φ1]]/MAX(Tab.11[φ1])))</f>
        <v>0</v>
      </c>
      <c r="AD786" s="74" t="b">
        <f>IF(Tab.11[[#This Row],[a1]]=1,1/Tab.11[[#This Row],[φ2]])</f>
        <v>0</v>
      </c>
      <c r="AE786" s="74" t="b">
        <f>IF(Tab.11[[#This Row],[a1]]=1,IF($AE$3=0,Tab.11[[#This Row],[w.0]],Tab.11[[#This Row],[w.0]]/SUM(Tab.11[w.0])))</f>
        <v>0</v>
      </c>
      <c r="AF786" s="76" t="str">
        <f>IF(Tab.11[[#This Row],[a1]]=0,"false",[3]!Tab.x5[[#This Row],[%_seN_C]])</f>
        <v>false</v>
      </c>
      <c r="AG786" s="77" t="b">
        <f>IF(Tab.11[[#This Row],[a1]]=1,AP786)</f>
        <v>0</v>
      </c>
      <c r="AH786" s="78" t="b">
        <f>IF(Tab.11[[#This Row],[a1]]=1,AQ786)</f>
        <v>0</v>
      </c>
      <c r="AI786" s="41">
        <v>3.0000000000000001E-3</v>
      </c>
      <c r="AJ786" s="79">
        <v>-0.04</v>
      </c>
      <c r="AK786" s="80" t="b">
        <f>IF(Tab.11[[#This Row],[a1]]=1,1)</f>
        <v>0</v>
      </c>
      <c r="AL786"/>
      <c r="AM786"/>
      <c r="AN786"/>
      <c r="AO786"/>
      <c r="AP786"/>
      <c r="AQ786"/>
      <c r="AR786"/>
      <c r="AS786"/>
    </row>
    <row r="787" spans="1:45" s="81" customFormat="1" hidden="1" x14ac:dyDescent="0.25">
      <c r="A787" s="61">
        <f t="shared" si="25"/>
        <v>0</v>
      </c>
      <c r="B787" s="62">
        <f t="shared" si="25"/>
        <v>0</v>
      </c>
      <c r="C787" s="62" t="b">
        <f>IF(Tab.11[[#This Row],[a1]]=1,[3]!Tab_x1[[#This Row],[Name]])</f>
        <v>0</v>
      </c>
      <c r="D787" s="63" t="b">
        <f>IF(Tab.11[[#This Row],[a1]]=1,AO787)</f>
        <v>0</v>
      </c>
      <c r="E787" s="63">
        <f t="shared" si="26"/>
        <v>0</v>
      </c>
      <c r="F787" s="64" t="b">
        <f>IF(Tab.11[[#This Row],[a1]]=1,Tab.11[[#This Row],[b1]])</f>
        <v>0</v>
      </c>
      <c r="G787" s="65" t="b">
        <f>IF(Tab.11[[#This Row],[a1]]=1,IF(Tab.11[[#This Row],[b3]]&gt;$L$989*$G$3,$L$989*$G$3,IF(Tab.11[[#This Row],[b3]]&lt;$M$989*$G$3,$M$989*$G$3,Tab.11[[#This Row],[b3]])))</f>
        <v>0</v>
      </c>
      <c r="H787" s="66" t="b">
        <f>IF(Tab.11[[#This Row],[a1]]=1,Tab.11[[#This Row],[b1]])</f>
        <v>0</v>
      </c>
      <c r="I787" s="67" t="b">
        <f>IF(Tab.11[[#This Row],[a1]]=1,Tab.11[[#This Row],[b1]])</f>
        <v>0</v>
      </c>
      <c r="J787" s="68" t="b">
        <f>IF(Tab.11[[#This Row],[a1]]=1,IF($I$3&lt;0,Tab.11[[#This Row],[b5]]-$I$3,Tab.11[[#This Row],[b5]]))</f>
        <v>0</v>
      </c>
      <c r="K787" s="68" t="b">
        <f>IF(Tab.11[[#This Row],[a1]]=1,IF($K$3=0,Tab.11[b6],Tab.11[[#This Row],[b6]]-AVERAGE(Tab.11[b6])))</f>
        <v>0</v>
      </c>
      <c r="L787" s="69" t="b">
        <f>IF(Tab.11[[#This Row],[a1]]=1,Tab.11[[#This Row],[data]]/(_xlfn.STDEV.P(Tab.11[data])*$B$989)+$A$989)</f>
        <v>0</v>
      </c>
      <c r="M787" s="69" t="b">
        <f>IF(Tab.11[[#This Row],[a1]]=1,Tab.11[[#This Row],[data]]/(_xlfn.STDEV.P(Tab.11[data])*$B$987)-$A$987)</f>
        <v>0</v>
      </c>
      <c r="N787" s="69" t="b">
        <f>IF(Tab.11[[#This Row],[a1]]=1,Tab.11[[#This Row],[data]]/(_xlfn.STDEV.P(Tab.11[data])*$B$988)+$A$988)</f>
        <v>0</v>
      </c>
      <c r="O787" s="70" t="b">
        <f>IF(Tab.11[[#This Row],[a1]]=1,_xlfn.NORM.DIST(Tab.11[[#This Row],[b8]],$P$1,$Q$1,FALSE))</f>
        <v>0</v>
      </c>
      <c r="P787" s="70" t="b">
        <f>IF(Tab.11[[#This Row],[a1]]=1,_xlfn.NORM.DIST(Tab.11[[#This Row],[b9]],$P$1,$Q$1,FALSE))</f>
        <v>0</v>
      </c>
      <c r="Q787" s="70" t="b">
        <f>IF(Tab.11[[#This Row],[a1]]=1,_xlfn.NORM.DIST(Tab.11[[#This Row],[b10]],$P$1,$Q$1,FALSE))</f>
        <v>0</v>
      </c>
      <c r="R787" s="67" t="b">
        <f>IF(Tab.11[[#This Row],[a1]]=1,$I$3+$A$989+IF($K$3=0,Tab.11[[#This Row],[b8]]*_xlfn.STDEV.P(Tab.11[data]),AVERAGE(Tab.11[b6])+Tab.11[[#This Row],[b8]]*_xlfn.STDEV.P(Tab.11[data])))</f>
        <v>0</v>
      </c>
      <c r="S787" s="71" t="b">
        <f>IF(Tab.11[[#This Row],[a1]]=1,$I$3+$A$987+IF($K$3=0,Tab.11[[#This Row],[b9]]*_xlfn.STDEV.P(Tab.11[data]),AVERAGE(Tab.11[b6])+Tab.11[[#This Row],[b9]]*_xlfn.STDEV.P(Tab.11[data])))</f>
        <v>0</v>
      </c>
      <c r="T787" s="71" t="b">
        <f>IF(Tab.11[[#This Row],[a1]]=1,$I$3+$A$988+IF($K$3=0,Tab.11[[#This Row],[b10]]*_xlfn.STDEV.P(Tab.11[data]),AVERAGE(Tab.11[b6])+Tab.11[[#This Row],[b10]]*_xlfn.STDEV.P(Tab.11[data])))</f>
        <v>0</v>
      </c>
      <c r="U787" s="72" t="b">
        <f>IF(Tab.11[[#This Row],[a1]]=1,Tab.11[[#This Row],[target]]-Tab.11[[#This Row],[Red]])</f>
        <v>0</v>
      </c>
      <c r="V787" s="72" t="b">
        <f>IF(Tab.11[[#This Row],[a1]]=1,Tab.11[[#This Row],[target]]-Tab.11[[#This Row],[Blue]])</f>
        <v>0</v>
      </c>
      <c r="W787" s="73" t="b">
        <f>IF(Tab.11[[#This Row],[a1]]=1,IF(ABS(Tab.11[[#This Row],[b17]])+ABS(Tab.11[[#This Row],[b18]])&lt;$W$2,$W$2,ABS(Tab.11[[#This Row],[b17]])+ABS(Tab.11[[#This Row],[b18]])))</f>
        <v>0</v>
      </c>
      <c r="X787" s="136" t="b">
        <f>IF(Tab.11[[#This Row],[a1]]=1,IF($W$3&lt;0,Tab.11[[#This Row],[IN]]-$I$3,Tab.11[[#This Row],[IN]]))</f>
        <v>0</v>
      </c>
      <c r="Y787" s="136" t="b">
        <f>IF(Tab.11[[#This Row],[a1]]=1,IF($X$3=0,Tab.11[b66],Tab.11[[#This Row],[b66]]-AVERAGE(Tab.11[b66])))</f>
        <v>0</v>
      </c>
      <c r="Z787" s="135" t="b">
        <f>IF(Tab.11[[#This Row],[a1]]=1,Tab.11[[#This Row],[b77]]/(_xlfn.STDEV.P(Tab.11[b77])))</f>
        <v>0</v>
      </c>
      <c r="AA787" s="70" t="b">
        <f>IF(Tab.11[[#This Row],[a1]]=1,_xlfn.NORM.DIST(Tab.11[[#This Row],[b88]],$Z$1,$AA$1,FALSE))</f>
        <v>0</v>
      </c>
      <c r="AB787" s="74" t="b">
        <f>IF(Tab.11[[#This Row],[a1]]=1,IF($A$3=0,FALSE,1/Tab.11[[#This Row],[IN]]*$AC$2*IF(Tab.11[[#This Row],[a1]]=0,,$A$3*$AC$1*1/$V$3*(Tab.11[[#This Row],[b14]]))))</f>
        <v>0</v>
      </c>
      <c r="AC787" s="75" t="b">
        <f>IF(Tab.11[[#This Row],[a1]]=1,IF($AC$3=0,Tab.11[[#This Row],[φ1]],Tab.11[[#This Row],[φ1]]/MAX(Tab.11[φ1])))</f>
        <v>0</v>
      </c>
      <c r="AD787" s="74" t="b">
        <f>IF(Tab.11[[#This Row],[a1]]=1,1/Tab.11[[#This Row],[φ2]])</f>
        <v>0</v>
      </c>
      <c r="AE787" s="74" t="b">
        <f>IF(Tab.11[[#This Row],[a1]]=1,IF($AE$3=0,Tab.11[[#This Row],[w.0]],Tab.11[[#This Row],[w.0]]/SUM(Tab.11[w.0])))</f>
        <v>0</v>
      </c>
      <c r="AF787" s="76" t="str">
        <f>IF(Tab.11[[#This Row],[a1]]=0,"false",[3]!Tab.x5[[#This Row],[%_seN_C]])</f>
        <v>false</v>
      </c>
      <c r="AG787" s="77" t="b">
        <f>IF(Tab.11[[#This Row],[a1]]=1,AP787)</f>
        <v>0</v>
      </c>
      <c r="AH787" s="78" t="b">
        <f>IF(Tab.11[[#This Row],[a1]]=1,AQ787)</f>
        <v>0</v>
      </c>
      <c r="AI787" s="41">
        <v>3.0000000000000001E-3</v>
      </c>
      <c r="AJ787" s="79">
        <v>-0.1</v>
      </c>
      <c r="AK787" s="80" t="b">
        <f>IF(Tab.11[[#This Row],[a1]]=1,1)</f>
        <v>0</v>
      </c>
      <c r="AL787"/>
      <c r="AM787"/>
      <c r="AN787"/>
      <c r="AO787"/>
      <c r="AP787"/>
      <c r="AQ787"/>
      <c r="AR787"/>
      <c r="AS787"/>
    </row>
    <row r="788" spans="1:45" s="81" customFormat="1" hidden="1" x14ac:dyDescent="0.25">
      <c r="A788" s="61">
        <f t="shared" si="25"/>
        <v>0</v>
      </c>
      <c r="B788" s="62">
        <f t="shared" si="25"/>
        <v>0</v>
      </c>
      <c r="C788" s="62" t="b">
        <f>IF(Tab.11[[#This Row],[a1]]=1,[3]!Tab_x1[[#This Row],[Name]])</f>
        <v>0</v>
      </c>
      <c r="D788" s="63" t="b">
        <f>IF(Tab.11[[#This Row],[a1]]=1,AO788)</f>
        <v>0</v>
      </c>
      <c r="E788" s="63">
        <f t="shared" si="26"/>
        <v>0</v>
      </c>
      <c r="F788" s="64" t="b">
        <f>IF(Tab.11[[#This Row],[a1]]=1,Tab.11[[#This Row],[b1]])</f>
        <v>0</v>
      </c>
      <c r="G788" s="65" t="b">
        <f>IF(Tab.11[[#This Row],[a1]]=1,IF(Tab.11[[#This Row],[b3]]&gt;$L$989*$G$3,$L$989*$G$3,IF(Tab.11[[#This Row],[b3]]&lt;$M$989*$G$3,$M$989*$G$3,Tab.11[[#This Row],[b3]])))</f>
        <v>0</v>
      </c>
      <c r="H788" s="66" t="b">
        <f>IF(Tab.11[[#This Row],[a1]]=1,Tab.11[[#This Row],[b1]])</f>
        <v>0</v>
      </c>
      <c r="I788" s="67" t="b">
        <f>IF(Tab.11[[#This Row],[a1]]=1,Tab.11[[#This Row],[b1]])</f>
        <v>0</v>
      </c>
      <c r="J788" s="68" t="b">
        <f>IF(Tab.11[[#This Row],[a1]]=1,IF($I$3&lt;0,Tab.11[[#This Row],[b5]]-$I$3,Tab.11[[#This Row],[b5]]))</f>
        <v>0</v>
      </c>
      <c r="K788" s="68" t="b">
        <f>IF(Tab.11[[#This Row],[a1]]=1,IF($K$3=0,Tab.11[b6],Tab.11[[#This Row],[b6]]-AVERAGE(Tab.11[b6])))</f>
        <v>0</v>
      </c>
      <c r="L788" s="69" t="b">
        <f>IF(Tab.11[[#This Row],[a1]]=1,Tab.11[[#This Row],[data]]/(_xlfn.STDEV.P(Tab.11[data])*$B$989)+$A$989)</f>
        <v>0</v>
      </c>
      <c r="M788" s="69" t="b">
        <f>IF(Tab.11[[#This Row],[a1]]=1,Tab.11[[#This Row],[data]]/(_xlfn.STDEV.P(Tab.11[data])*$B$987)-$A$987)</f>
        <v>0</v>
      </c>
      <c r="N788" s="69" t="b">
        <f>IF(Tab.11[[#This Row],[a1]]=1,Tab.11[[#This Row],[data]]/(_xlfn.STDEV.P(Tab.11[data])*$B$988)+$A$988)</f>
        <v>0</v>
      </c>
      <c r="O788" s="70" t="b">
        <f>IF(Tab.11[[#This Row],[a1]]=1,_xlfn.NORM.DIST(Tab.11[[#This Row],[b8]],$P$1,$Q$1,FALSE))</f>
        <v>0</v>
      </c>
      <c r="P788" s="70" t="b">
        <f>IF(Tab.11[[#This Row],[a1]]=1,_xlfn.NORM.DIST(Tab.11[[#This Row],[b9]],$P$1,$Q$1,FALSE))</f>
        <v>0</v>
      </c>
      <c r="Q788" s="70" t="b">
        <f>IF(Tab.11[[#This Row],[a1]]=1,_xlfn.NORM.DIST(Tab.11[[#This Row],[b10]],$P$1,$Q$1,FALSE))</f>
        <v>0</v>
      </c>
      <c r="R788" s="67" t="b">
        <f>IF(Tab.11[[#This Row],[a1]]=1,$I$3+$A$989+IF($K$3=0,Tab.11[[#This Row],[b8]]*_xlfn.STDEV.P(Tab.11[data]),AVERAGE(Tab.11[b6])+Tab.11[[#This Row],[b8]]*_xlfn.STDEV.P(Tab.11[data])))</f>
        <v>0</v>
      </c>
      <c r="S788" s="71" t="b">
        <f>IF(Tab.11[[#This Row],[a1]]=1,$I$3+$A$987+IF($K$3=0,Tab.11[[#This Row],[b9]]*_xlfn.STDEV.P(Tab.11[data]),AVERAGE(Tab.11[b6])+Tab.11[[#This Row],[b9]]*_xlfn.STDEV.P(Tab.11[data])))</f>
        <v>0</v>
      </c>
      <c r="T788" s="71" t="b">
        <f>IF(Tab.11[[#This Row],[a1]]=1,$I$3+$A$988+IF($K$3=0,Tab.11[[#This Row],[b10]]*_xlfn.STDEV.P(Tab.11[data]),AVERAGE(Tab.11[b6])+Tab.11[[#This Row],[b10]]*_xlfn.STDEV.P(Tab.11[data])))</f>
        <v>0</v>
      </c>
      <c r="U788" s="72" t="b">
        <f>IF(Tab.11[[#This Row],[a1]]=1,Tab.11[[#This Row],[target]]-Tab.11[[#This Row],[Red]])</f>
        <v>0</v>
      </c>
      <c r="V788" s="72" t="b">
        <f>IF(Tab.11[[#This Row],[a1]]=1,Tab.11[[#This Row],[target]]-Tab.11[[#This Row],[Blue]])</f>
        <v>0</v>
      </c>
      <c r="W788" s="73" t="b">
        <f>IF(Tab.11[[#This Row],[a1]]=1,IF(ABS(Tab.11[[#This Row],[b17]])+ABS(Tab.11[[#This Row],[b18]])&lt;$W$2,$W$2,ABS(Tab.11[[#This Row],[b17]])+ABS(Tab.11[[#This Row],[b18]])))</f>
        <v>0</v>
      </c>
      <c r="X788" s="136" t="b">
        <f>IF(Tab.11[[#This Row],[a1]]=1,IF($W$3&lt;0,Tab.11[[#This Row],[IN]]-$I$3,Tab.11[[#This Row],[IN]]))</f>
        <v>0</v>
      </c>
      <c r="Y788" s="136" t="b">
        <f>IF(Tab.11[[#This Row],[a1]]=1,IF($X$3=0,Tab.11[b66],Tab.11[[#This Row],[b66]]-AVERAGE(Tab.11[b66])))</f>
        <v>0</v>
      </c>
      <c r="Z788" s="135" t="b">
        <f>IF(Tab.11[[#This Row],[a1]]=1,Tab.11[[#This Row],[b77]]/(_xlfn.STDEV.P(Tab.11[b77])))</f>
        <v>0</v>
      </c>
      <c r="AA788" s="70" t="b">
        <f>IF(Tab.11[[#This Row],[a1]]=1,_xlfn.NORM.DIST(Tab.11[[#This Row],[b88]],$Z$1,$AA$1,FALSE))</f>
        <v>0</v>
      </c>
      <c r="AB788" s="74" t="b">
        <f>IF(Tab.11[[#This Row],[a1]]=1,IF($A$3=0,FALSE,1/Tab.11[[#This Row],[IN]]*$AC$2*IF(Tab.11[[#This Row],[a1]]=0,,$A$3*$AC$1*1/$V$3*(Tab.11[[#This Row],[b14]]))))</f>
        <v>0</v>
      </c>
      <c r="AC788" s="75" t="b">
        <f>IF(Tab.11[[#This Row],[a1]]=1,IF($AC$3=0,Tab.11[[#This Row],[φ1]],Tab.11[[#This Row],[φ1]]/MAX(Tab.11[φ1])))</f>
        <v>0</v>
      </c>
      <c r="AD788" s="74" t="b">
        <f>IF(Tab.11[[#This Row],[a1]]=1,1/Tab.11[[#This Row],[φ2]])</f>
        <v>0</v>
      </c>
      <c r="AE788" s="74" t="b">
        <f>IF(Tab.11[[#This Row],[a1]]=1,IF($AE$3=0,Tab.11[[#This Row],[w.0]],Tab.11[[#This Row],[w.0]]/SUM(Tab.11[w.0])))</f>
        <v>0</v>
      </c>
      <c r="AF788" s="76" t="str">
        <f>IF(Tab.11[[#This Row],[a1]]=0,"false",[3]!Tab.x5[[#This Row],[%_seN_C]])</f>
        <v>false</v>
      </c>
      <c r="AG788" s="77" t="b">
        <f>IF(Tab.11[[#This Row],[a1]]=1,AP788)</f>
        <v>0</v>
      </c>
      <c r="AH788" s="78" t="b">
        <f>IF(Tab.11[[#This Row],[a1]]=1,AQ788)</f>
        <v>0</v>
      </c>
      <c r="AI788" s="41">
        <v>3.0000000000000001E-3</v>
      </c>
      <c r="AJ788" s="79">
        <v>0.05</v>
      </c>
      <c r="AK788" s="80" t="b">
        <f>IF(Tab.11[[#This Row],[a1]]=1,1)</f>
        <v>0</v>
      </c>
      <c r="AL788"/>
      <c r="AM788"/>
      <c r="AN788"/>
      <c r="AO788"/>
      <c r="AP788"/>
      <c r="AQ788"/>
      <c r="AR788"/>
      <c r="AS788"/>
    </row>
    <row r="789" spans="1:45" s="81" customFormat="1" hidden="1" x14ac:dyDescent="0.25">
      <c r="A789" s="61">
        <f t="shared" ref="A789:B852" si="27">AM789</f>
        <v>0</v>
      </c>
      <c r="B789" s="62">
        <f t="shared" si="27"/>
        <v>0</v>
      </c>
      <c r="C789" s="62" t="b">
        <f>IF(Tab.11[[#This Row],[a1]]=1,[3]!Tab_x1[[#This Row],[Name]])</f>
        <v>0</v>
      </c>
      <c r="D789" s="63" t="b">
        <f>IF(Tab.11[[#This Row],[a1]]=1,AO789)</f>
        <v>0</v>
      </c>
      <c r="E789" s="63">
        <f t="shared" si="26"/>
        <v>0</v>
      </c>
      <c r="F789" s="64" t="b">
        <f>IF(Tab.11[[#This Row],[a1]]=1,Tab.11[[#This Row],[b1]])</f>
        <v>0</v>
      </c>
      <c r="G789" s="65" t="b">
        <f>IF(Tab.11[[#This Row],[a1]]=1,IF(Tab.11[[#This Row],[b3]]&gt;$L$989*$G$3,$L$989*$G$3,IF(Tab.11[[#This Row],[b3]]&lt;$M$989*$G$3,$M$989*$G$3,Tab.11[[#This Row],[b3]])))</f>
        <v>0</v>
      </c>
      <c r="H789" s="66" t="b">
        <f>IF(Tab.11[[#This Row],[a1]]=1,Tab.11[[#This Row],[b1]])</f>
        <v>0</v>
      </c>
      <c r="I789" s="67" t="b">
        <f>IF(Tab.11[[#This Row],[a1]]=1,Tab.11[[#This Row],[b1]])</f>
        <v>0</v>
      </c>
      <c r="J789" s="68" t="b">
        <f>IF(Tab.11[[#This Row],[a1]]=1,IF($I$3&lt;0,Tab.11[[#This Row],[b5]]-$I$3,Tab.11[[#This Row],[b5]]))</f>
        <v>0</v>
      </c>
      <c r="K789" s="68" t="b">
        <f>IF(Tab.11[[#This Row],[a1]]=1,IF($K$3=0,Tab.11[b6],Tab.11[[#This Row],[b6]]-AVERAGE(Tab.11[b6])))</f>
        <v>0</v>
      </c>
      <c r="L789" s="69" t="b">
        <f>IF(Tab.11[[#This Row],[a1]]=1,Tab.11[[#This Row],[data]]/(_xlfn.STDEV.P(Tab.11[data])*$B$989)+$A$989)</f>
        <v>0</v>
      </c>
      <c r="M789" s="69" t="b">
        <f>IF(Tab.11[[#This Row],[a1]]=1,Tab.11[[#This Row],[data]]/(_xlfn.STDEV.P(Tab.11[data])*$B$987)-$A$987)</f>
        <v>0</v>
      </c>
      <c r="N789" s="69" t="b">
        <f>IF(Tab.11[[#This Row],[a1]]=1,Tab.11[[#This Row],[data]]/(_xlfn.STDEV.P(Tab.11[data])*$B$988)+$A$988)</f>
        <v>0</v>
      </c>
      <c r="O789" s="70" t="b">
        <f>IF(Tab.11[[#This Row],[a1]]=1,_xlfn.NORM.DIST(Tab.11[[#This Row],[b8]],$P$1,$Q$1,FALSE))</f>
        <v>0</v>
      </c>
      <c r="P789" s="70" t="b">
        <f>IF(Tab.11[[#This Row],[a1]]=1,_xlfn.NORM.DIST(Tab.11[[#This Row],[b9]],$P$1,$Q$1,FALSE))</f>
        <v>0</v>
      </c>
      <c r="Q789" s="70" t="b">
        <f>IF(Tab.11[[#This Row],[a1]]=1,_xlfn.NORM.DIST(Tab.11[[#This Row],[b10]],$P$1,$Q$1,FALSE))</f>
        <v>0</v>
      </c>
      <c r="R789" s="67" t="b">
        <f>IF(Tab.11[[#This Row],[a1]]=1,$I$3+$A$989+IF($K$3=0,Tab.11[[#This Row],[b8]]*_xlfn.STDEV.P(Tab.11[data]),AVERAGE(Tab.11[b6])+Tab.11[[#This Row],[b8]]*_xlfn.STDEV.P(Tab.11[data])))</f>
        <v>0</v>
      </c>
      <c r="S789" s="71" t="b">
        <f>IF(Tab.11[[#This Row],[a1]]=1,$I$3+$A$987+IF($K$3=0,Tab.11[[#This Row],[b9]]*_xlfn.STDEV.P(Tab.11[data]),AVERAGE(Tab.11[b6])+Tab.11[[#This Row],[b9]]*_xlfn.STDEV.P(Tab.11[data])))</f>
        <v>0</v>
      </c>
      <c r="T789" s="71" t="b">
        <f>IF(Tab.11[[#This Row],[a1]]=1,$I$3+$A$988+IF($K$3=0,Tab.11[[#This Row],[b10]]*_xlfn.STDEV.P(Tab.11[data]),AVERAGE(Tab.11[b6])+Tab.11[[#This Row],[b10]]*_xlfn.STDEV.P(Tab.11[data])))</f>
        <v>0</v>
      </c>
      <c r="U789" s="72" t="b">
        <f>IF(Tab.11[[#This Row],[a1]]=1,Tab.11[[#This Row],[target]]-Tab.11[[#This Row],[Red]])</f>
        <v>0</v>
      </c>
      <c r="V789" s="72" t="b">
        <f>IF(Tab.11[[#This Row],[a1]]=1,Tab.11[[#This Row],[target]]-Tab.11[[#This Row],[Blue]])</f>
        <v>0</v>
      </c>
      <c r="W789" s="73" t="b">
        <f>IF(Tab.11[[#This Row],[a1]]=1,IF(ABS(Tab.11[[#This Row],[b17]])+ABS(Tab.11[[#This Row],[b18]])&lt;$W$2,$W$2,ABS(Tab.11[[#This Row],[b17]])+ABS(Tab.11[[#This Row],[b18]])))</f>
        <v>0</v>
      </c>
      <c r="X789" s="136" t="b">
        <f>IF(Tab.11[[#This Row],[a1]]=1,IF($W$3&lt;0,Tab.11[[#This Row],[IN]]-$I$3,Tab.11[[#This Row],[IN]]))</f>
        <v>0</v>
      </c>
      <c r="Y789" s="136" t="b">
        <f>IF(Tab.11[[#This Row],[a1]]=1,IF($X$3=0,Tab.11[b66],Tab.11[[#This Row],[b66]]-AVERAGE(Tab.11[b66])))</f>
        <v>0</v>
      </c>
      <c r="Z789" s="135" t="b">
        <f>IF(Tab.11[[#This Row],[a1]]=1,Tab.11[[#This Row],[b77]]/(_xlfn.STDEV.P(Tab.11[b77])))</f>
        <v>0</v>
      </c>
      <c r="AA789" s="70" t="b">
        <f>IF(Tab.11[[#This Row],[a1]]=1,_xlfn.NORM.DIST(Tab.11[[#This Row],[b88]],$Z$1,$AA$1,FALSE))</f>
        <v>0</v>
      </c>
      <c r="AB789" s="74" t="b">
        <f>IF(Tab.11[[#This Row],[a1]]=1,IF($A$3=0,FALSE,1/Tab.11[[#This Row],[IN]]*$AC$2*IF(Tab.11[[#This Row],[a1]]=0,,$A$3*$AC$1*1/$V$3*(Tab.11[[#This Row],[b14]]))))</f>
        <v>0</v>
      </c>
      <c r="AC789" s="75" t="b">
        <f>IF(Tab.11[[#This Row],[a1]]=1,IF($AC$3=0,Tab.11[[#This Row],[φ1]],Tab.11[[#This Row],[φ1]]/MAX(Tab.11[φ1])))</f>
        <v>0</v>
      </c>
      <c r="AD789" s="74" t="b">
        <f>IF(Tab.11[[#This Row],[a1]]=1,1/Tab.11[[#This Row],[φ2]])</f>
        <v>0</v>
      </c>
      <c r="AE789" s="74" t="b">
        <f>IF(Tab.11[[#This Row],[a1]]=1,IF($AE$3=0,Tab.11[[#This Row],[w.0]],Tab.11[[#This Row],[w.0]]/SUM(Tab.11[w.0])))</f>
        <v>0</v>
      </c>
      <c r="AF789" s="76" t="str">
        <f>IF(Tab.11[[#This Row],[a1]]=0,"false",[3]!Tab.x5[[#This Row],[%_seN_C]])</f>
        <v>false</v>
      </c>
      <c r="AG789" s="77" t="b">
        <f>IF(Tab.11[[#This Row],[a1]]=1,AP789)</f>
        <v>0</v>
      </c>
      <c r="AH789" s="78" t="b">
        <f>IF(Tab.11[[#This Row],[a1]]=1,AQ789)</f>
        <v>0</v>
      </c>
      <c r="AI789" s="41">
        <v>3.0000000000000001E-3</v>
      </c>
      <c r="AJ789" s="79">
        <v>0.04</v>
      </c>
      <c r="AK789" s="80" t="b">
        <f>IF(Tab.11[[#This Row],[a1]]=1,1)</f>
        <v>0</v>
      </c>
      <c r="AL789"/>
      <c r="AM789"/>
      <c r="AN789"/>
      <c r="AO789"/>
      <c r="AP789"/>
      <c r="AQ789"/>
      <c r="AR789"/>
      <c r="AS789"/>
    </row>
    <row r="790" spans="1:45" s="81" customFormat="1" hidden="1" x14ac:dyDescent="0.25">
      <c r="A790" s="61">
        <f t="shared" si="27"/>
        <v>0</v>
      </c>
      <c r="B790" s="62">
        <f t="shared" si="27"/>
        <v>0</v>
      </c>
      <c r="C790" s="62" t="b">
        <f>IF(Tab.11[[#This Row],[a1]]=1,[3]!Tab_x1[[#This Row],[Name]])</f>
        <v>0</v>
      </c>
      <c r="D790" s="63" t="b">
        <f>IF(Tab.11[[#This Row],[a1]]=1,AO790)</f>
        <v>0</v>
      </c>
      <c r="E790" s="63">
        <f t="shared" si="26"/>
        <v>0</v>
      </c>
      <c r="F790" s="64" t="b">
        <f>IF(Tab.11[[#This Row],[a1]]=1,Tab.11[[#This Row],[b1]])</f>
        <v>0</v>
      </c>
      <c r="G790" s="65" t="b">
        <f>IF(Tab.11[[#This Row],[a1]]=1,IF(Tab.11[[#This Row],[b3]]&gt;$L$989*$G$3,$L$989*$G$3,IF(Tab.11[[#This Row],[b3]]&lt;$M$989*$G$3,$M$989*$G$3,Tab.11[[#This Row],[b3]])))</f>
        <v>0</v>
      </c>
      <c r="H790" s="66" t="b">
        <f>IF(Tab.11[[#This Row],[a1]]=1,Tab.11[[#This Row],[b1]])</f>
        <v>0</v>
      </c>
      <c r="I790" s="67" t="b">
        <f>IF(Tab.11[[#This Row],[a1]]=1,Tab.11[[#This Row],[b1]])</f>
        <v>0</v>
      </c>
      <c r="J790" s="68" t="b">
        <f>IF(Tab.11[[#This Row],[a1]]=1,IF($I$3&lt;0,Tab.11[[#This Row],[b5]]-$I$3,Tab.11[[#This Row],[b5]]))</f>
        <v>0</v>
      </c>
      <c r="K790" s="68" t="b">
        <f>IF(Tab.11[[#This Row],[a1]]=1,IF($K$3=0,Tab.11[b6],Tab.11[[#This Row],[b6]]-AVERAGE(Tab.11[b6])))</f>
        <v>0</v>
      </c>
      <c r="L790" s="69" t="b">
        <f>IF(Tab.11[[#This Row],[a1]]=1,Tab.11[[#This Row],[data]]/(_xlfn.STDEV.P(Tab.11[data])*$B$989)+$A$989)</f>
        <v>0</v>
      </c>
      <c r="M790" s="69" t="b">
        <f>IF(Tab.11[[#This Row],[a1]]=1,Tab.11[[#This Row],[data]]/(_xlfn.STDEV.P(Tab.11[data])*$B$987)-$A$987)</f>
        <v>0</v>
      </c>
      <c r="N790" s="69" t="b">
        <f>IF(Tab.11[[#This Row],[a1]]=1,Tab.11[[#This Row],[data]]/(_xlfn.STDEV.P(Tab.11[data])*$B$988)+$A$988)</f>
        <v>0</v>
      </c>
      <c r="O790" s="70" t="b">
        <f>IF(Tab.11[[#This Row],[a1]]=1,_xlfn.NORM.DIST(Tab.11[[#This Row],[b8]],$P$1,$Q$1,FALSE))</f>
        <v>0</v>
      </c>
      <c r="P790" s="70" t="b">
        <f>IF(Tab.11[[#This Row],[a1]]=1,_xlfn.NORM.DIST(Tab.11[[#This Row],[b9]],$P$1,$Q$1,FALSE))</f>
        <v>0</v>
      </c>
      <c r="Q790" s="70" t="b">
        <f>IF(Tab.11[[#This Row],[a1]]=1,_xlfn.NORM.DIST(Tab.11[[#This Row],[b10]],$P$1,$Q$1,FALSE))</f>
        <v>0</v>
      </c>
      <c r="R790" s="67" t="b">
        <f>IF(Tab.11[[#This Row],[a1]]=1,$I$3+$A$989+IF($K$3=0,Tab.11[[#This Row],[b8]]*_xlfn.STDEV.P(Tab.11[data]),AVERAGE(Tab.11[b6])+Tab.11[[#This Row],[b8]]*_xlfn.STDEV.P(Tab.11[data])))</f>
        <v>0</v>
      </c>
      <c r="S790" s="71" t="b">
        <f>IF(Tab.11[[#This Row],[a1]]=1,$I$3+$A$987+IF($K$3=0,Tab.11[[#This Row],[b9]]*_xlfn.STDEV.P(Tab.11[data]),AVERAGE(Tab.11[b6])+Tab.11[[#This Row],[b9]]*_xlfn.STDEV.P(Tab.11[data])))</f>
        <v>0</v>
      </c>
      <c r="T790" s="71" t="b">
        <f>IF(Tab.11[[#This Row],[a1]]=1,$I$3+$A$988+IF($K$3=0,Tab.11[[#This Row],[b10]]*_xlfn.STDEV.P(Tab.11[data]),AVERAGE(Tab.11[b6])+Tab.11[[#This Row],[b10]]*_xlfn.STDEV.P(Tab.11[data])))</f>
        <v>0</v>
      </c>
      <c r="U790" s="72" t="b">
        <f>IF(Tab.11[[#This Row],[a1]]=1,Tab.11[[#This Row],[target]]-Tab.11[[#This Row],[Red]])</f>
        <v>0</v>
      </c>
      <c r="V790" s="72" t="b">
        <f>IF(Tab.11[[#This Row],[a1]]=1,Tab.11[[#This Row],[target]]-Tab.11[[#This Row],[Blue]])</f>
        <v>0</v>
      </c>
      <c r="W790" s="73" t="b">
        <f>IF(Tab.11[[#This Row],[a1]]=1,IF(ABS(Tab.11[[#This Row],[b17]])+ABS(Tab.11[[#This Row],[b18]])&lt;$W$2,$W$2,ABS(Tab.11[[#This Row],[b17]])+ABS(Tab.11[[#This Row],[b18]])))</f>
        <v>0</v>
      </c>
      <c r="X790" s="136" t="b">
        <f>IF(Tab.11[[#This Row],[a1]]=1,IF($W$3&lt;0,Tab.11[[#This Row],[IN]]-$I$3,Tab.11[[#This Row],[IN]]))</f>
        <v>0</v>
      </c>
      <c r="Y790" s="136" t="b">
        <f>IF(Tab.11[[#This Row],[a1]]=1,IF($X$3=0,Tab.11[b66],Tab.11[[#This Row],[b66]]-AVERAGE(Tab.11[b66])))</f>
        <v>0</v>
      </c>
      <c r="Z790" s="135" t="b">
        <f>IF(Tab.11[[#This Row],[a1]]=1,Tab.11[[#This Row],[b77]]/(_xlfn.STDEV.P(Tab.11[b77])))</f>
        <v>0</v>
      </c>
      <c r="AA790" s="70" t="b">
        <f>IF(Tab.11[[#This Row],[a1]]=1,_xlfn.NORM.DIST(Tab.11[[#This Row],[b88]],$Z$1,$AA$1,FALSE))</f>
        <v>0</v>
      </c>
      <c r="AB790" s="74" t="b">
        <f>IF(Tab.11[[#This Row],[a1]]=1,IF($A$3=0,FALSE,1/Tab.11[[#This Row],[IN]]*$AC$2*IF(Tab.11[[#This Row],[a1]]=0,,$A$3*$AC$1*1/$V$3*(Tab.11[[#This Row],[b14]]))))</f>
        <v>0</v>
      </c>
      <c r="AC790" s="75" t="b">
        <f>IF(Tab.11[[#This Row],[a1]]=1,IF($AC$3=0,Tab.11[[#This Row],[φ1]],Tab.11[[#This Row],[φ1]]/MAX(Tab.11[φ1])))</f>
        <v>0</v>
      </c>
      <c r="AD790" s="74" t="b">
        <f>IF(Tab.11[[#This Row],[a1]]=1,1/Tab.11[[#This Row],[φ2]])</f>
        <v>0</v>
      </c>
      <c r="AE790" s="74" t="b">
        <f>IF(Tab.11[[#This Row],[a1]]=1,IF($AE$3=0,Tab.11[[#This Row],[w.0]],Tab.11[[#This Row],[w.0]]/SUM(Tab.11[w.0])))</f>
        <v>0</v>
      </c>
      <c r="AF790" s="76" t="str">
        <f>IF(Tab.11[[#This Row],[a1]]=0,"false",[3]!Tab.x5[[#This Row],[%_seN_C]])</f>
        <v>false</v>
      </c>
      <c r="AG790" s="77" t="b">
        <f>IF(Tab.11[[#This Row],[a1]]=1,AP790)</f>
        <v>0</v>
      </c>
      <c r="AH790" s="78" t="b">
        <f>IF(Tab.11[[#This Row],[a1]]=1,AQ790)</f>
        <v>0</v>
      </c>
      <c r="AI790" s="41">
        <v>3.0000000000000001E-3</v>
      </c>
      <c r="AJ790" s="79">
        <v>0.06</v>
      </c>
      <c r="AK790" s="80" t="b">
        <f>IF(Tab.11[[#This Row],[a1]]=1,1)</f>
        <v>0</v>
      </c>
      <c r="AL790"/>
      <c r="AM790"/>
      <c r="AN790"/>
      <c r="AO790"/>
      <c r="AP790"/>
      <c r="AQ790"/>
      <c r="AR790"/>
      <c r="AS790"/>
    </row>
    <row r="791" spans="1:45" s="81" customFormat="1" hidden="1" x14ac:dyDescent="0.25">
      <c r="A791" s="61">
        <f t="shared" si="27"/>
        <v>0</v>
      </c>
      <c r="B791" s="62">
        <f t="shared" si="27"/>
        <v>0</v>
      </c>
      <c r="C791" s="62" t="b">
        <f>IF(Tab.11[[#This Row],[a1]]=1,[3]!Tab_x1[[#This Row],[Name]])</f>
        <v>0</v>
      </c>
      <c r="D791" s="63" t="b">
        <f>IF(Tab.11[[#This Row],[a1]]=1,AO791)</f>
        <v>0</v>
      </c>
      <c r="E791" s="63">
        <f t="shared" si="26"/>
        <v>0</v>
      </c>
      <c r="F791" s="64" t="b">
        <f>IF(Tab.11[[#This Row],[a1]]=1,Tab.11[[#This Row],[b1]])</f>
        <v>0</v>
      </c>
      <c r="G791" s="65" t="b">
        <f>IF(Tab.11[[#This Row],[a1]]=1,IF(Tab.11[[#This Row],[b3]]&gt;$L$989*$G$3,$L$989*$G$3,IF(Tab.11[[#This Row],[b3]]&lt;$M$989*$G$3,$M$989*$G$3,Tab.11[[#This Row],[b3]])))</f>
        <v>0</v>
      </c>
      <c r="H791" s="66" t="b">
        <f>IF(Tab.11[[#This Row],[a1]]=1,Tab.11[[#This Row],[b1]])</f>
        <v>0</v>
      </c>
      <c r="I791" s="67" t="b">
        <f>IF(Tab.11[[#This Row],[a1]]=1,Tab.11[[#This Row],[b1]])</f>
        <v>0</v>
      </c>
      <c r="J791" s="68" t="b">
        <f>IF(Tab.11[[#This Row],[a1]]=1,IF($I$3&lt;0,Tab.11[[#This Row],[b5]]-$I$3,Tab.11[[#This Row],[b5]]))</f>
        <v>0</v>
      </c>
      <c r="K791" s="68" t="b">
        <f>IF(Tab.11[[#This Row],[a1]]=1,IF($K$3=0,Tab.11[b6],Tab.11[[#This Row],[b6]]-AVERAGE(Tab.11[b6])))</f>
        <v>0</v>
      </c>
      <c r="L791" s="69" t="b">
        <f>IF(Tab.11[[#This Row],[a1]]=1,Tab.11[[#This Row],[data]]/(_xlfn.STDEV.P(Tab.11[data])*$B$989)+$A$989)</f>
        <v>0</v>
      </c>
      <c r="M791" s="69" t="b">
        <f>IF(Tab.11[[#This Row],[a1]]=1,Tab.11[[#This Row],[data]]/(_xlfn.STDEV.P(Tab.11[data])*$B$987)-$A$987)</f>
        <v>0</v>
      </c>
      <c r="N791" s="69" t="b">
        <f>IF(Tab.11[[#This Row],[a1]]=1,Tab.11[[#This Row],[data]]/(_xlfn.STDEV.P(Tab.11[data])*$B$988)+$A$988)</f>
        <v>0</v>
      </c>
      <c r="O791" s="70" t="b">
        <f>IF(Tab.11[[#This Row],[a1]]=1,_xlfn.NORM.DIST(Tab.11[[#This Row],[b8]],$P$1,$Q$1,FALSE))</f>
        <v>0</v>
      </c>
      <c r="P791" s="70" t="b">
        <f>IF(Tab.11[[#This Row],[a1]]=1,_xlfn.NORM.DIST(Tab.11[[#This Row],[b9]],$P$1,$Q$1,FALSE))</f>
        <v>0</v>
      </c>
      <c r="Q791" s="70" t="b">
        <f>IF(Tab.11[[#This Row],[a1]]=1,_xlfn.NORM.DIST(Tab.11[[#This Row],[b10]],$P$1,$Q$1,FALSE))</f>
        <v>0</v>
      </c>
      <c r="R791" s="67" t="b">
        <f>IF(Tab.11[[#This Row],[a1]]=1,$I$3+$A$989+IF($K$3=0,Tab.11[[#This Row],[b8]]*_xlfn.STDEV.P(Tab.11[data]),AVERAGE(Tab.11[b6])+Tab.11[[#This Row],[b8]]*_xlfn.STDEV.P(Tab.11[data])))</f>
        <v>0</v>
      </c>
      <c r="S791" s="71" t="b">
        <f>IF(Tab.11[[#This Row],[a1]]=1,$I$3+$A$987+IF($K$3=0,Tab.11[[#This Row],[b9]]*_xlfn.STDEV.P(Tab.11[data]),AVERAGE(Tab.11[b6])+Tab.11[[#This Row],[b9]]*_xlfn.STDEV.P(Tab.11[data])))</f>
        <v>0</v>
      </c>
      <c r="T791" s="71" t="b">
        <f>IF(Tab.11[[#This Row],[a1]]=1,$I$3+$A$988+IF($K$3=0,Tab.11[[#This Row],[b10]]*_xlfn.STDEV.P(Tab.11[data]),AVERAGE(Tab.11[b6])+Tab.11[[#This Row],[b10]]*_xlfn.STDEV.P(Tab.11[data])))</f>
        <v>0</v>
      </c>
      <c r="U791" s="72" t="b">
        <f>IF(Tab.11[[#This Row],[a1]]=1,Tab.11[[#This Row],[target]]-Tab.11[[#This Row],[Red]])</f>
        <v>0</v>
      </c>
      <c r="V791" s="72" t="b">
        <f>IF(Tab.11[[#This Row],[a1]]=1,Tab.11[[#This Row],[target]]-Tab.11[[#This Row],[Blue]])</f>
        <v>0</v>
      </c>
      <c r="W791" s="73" t="b">
        <f>IF(Tab.11[[#This Row],[a1]]=1,IF(ABS(Tab.11[[#This Row],[b17]])+ABS(Tab.11[[#This Row],[b18]])&lt;$W$2,$W$2,ABS(Tab.11[[#This Row],[b17]])+ABS(Tab.11[[#This Row],[b18]])))</f>
        <v>0</v>
      </c>
      <c r="X791" s="136" t="b">
        <f>IF(Tab.11[[#This Row],[a1]]=1,IF($W$3&lt;0,Tab.11[[#This Row],[IN]]-$I$3,Tab.11[[#This Row],[IN]]))</f>
        <v>0</v>
      </c>
      <c r="Y791" s="136" t="b">
        <f>IF(Tab.11[[#This Row],[a1]]=1,IF($X$3=0,Tab.11[b66],Tab.11[[#This Row],[b66]]-AVERAGE(Tab.11[b66])))</f>
        <v>0</v>
      </c>
      <c r="Z791" s="135" t="b">
        <f>IF(Tab.11[[#This Row],[a1]]=1,Tab.11[[#This Row],[b77]]/(_xlfn.STDEV.P(Tab.11[b77])))</f>
        <v>0</v>
      </c>
      <c r="AA791" s="70" t="b">
        <f>IF(Tab.11[[#This Row],[a1]]=1,_xlfn.NORM.DIST(Tab.11[[#This Row],[b88]],$Z$1,$AA$1,FALSE))</f>
        <v>0</v>
      </c>
      <c r="AB791" s="74" t="b">
        <f>IF(Tab.11[[#This Row],[a1]]=1,IF($A$3=0,FALSE,1/Tab.11[[#This Row],[IN]]*$AC$2*IF(Tab.11[[#This Row],[a1]]=0,,$A$3*$AC$1*1/$V$3*(Tab.11[[#This Row],[b14]]))))</f>
        <v>0</v>
      </c>
      <c r="AC791" s="75" t="b">
        <f>IF(Tab.11[[#This Row],[a1]]=1,IF($AC$3=0,Tab.11[[#This Row],[φ1]],Tab.11[[#This Row],[φ1]]/MAX(Tab.11[φ1])))</f>
        <v>0</v>
      </c>
      <c r="AD791" s="74" t="b">
        <f>IF(Tab.11[[#This Row],[a1]]=1,1/Tab.11[[#This Row],[φ2]])</f>
        <v>0</v>
      </c>
      <c r="AE791" s="74" t="b">
        <f>IF(Tab.11[[#This Row],[a1]]=1,IF($AE$3=0,Tab.11[[#This Row],[w.0]],Tab.11[[#This Row],[w.0]]/SUM(Tab.11[w.0])))</f>
        <v>0</v>
      </c>
      <c r="AF791" s="76" t="str">
        <f>IF(Tab.11[[#This Row],[a1]]=0,"false",[3]!Tab.x5[[#This Row],[%_seN_C]])</f>
        <v>false</v>
      </c>
      <c r="AG791" s="77" t="b">
        <f>IF(Tab.11[[#This Row],[a1]]=1,AP791)</f>
        <v>0</v>
      </c>
      <c r="AH791" s="78" t="b">
        <f>IF(Tab.11[[#This Row],[a1]]=1,AQ791)</f>
        <v>0</v>
      </c>
      <c r="AI791" s="41">
        <v>3.0000000000000001E-3</v>
      </c>
      <c r="AJ791" s="79">
        <v>-0.04</v>
      </c>
      <c r="AK791" s="80" t="b">
        <f>IF(Tab.11[[#This Row],[a1]]=1,1)</f>
        <v>0</v>
      </c>
      <c r="AL791"/>
      <c r="AM791"/>
      <c r="AN791"/>
      <c r="AO791"/>
      <c r="AP791"/>
      <c r="AQ791"/>
      <c r="AR791"/>
      <c r="AS791"/>
    </row>
    <row r="792" spans="1:45" s="81" customFormat="1" hidden="1" x14ac:dyDescent="0.25">
      <c r="A792" s="61">
        <f t="shared" si="27"/>
        <v>0</v>
      </c>
      <c r="B792" s="62">
        <f t="shared" si="27"/>
        <v>0</v>
      </c>
      <c r="C792" s="62" t="b">
        <f>IF(Tab.11[[#This Row],[a1]]=1,[3]!Tab_x1[[#This Row],[Name]])</f>
        <v>0</v>
      </c>
      <c r="D792" s="63" t="b">
        <f>IF(Tab.11[[#This Row],[a1]]=1,AO792)</f>
        <v>0</v>
      </c>
      <c r="E792" s="63">
        <f t="shared" si="26"/>
        <v>0</v>
      </c>
      <c r="F792" s="64" t="b">
        <f>IF(Tab.11[[#This Row],[a1]]=1,Tab.11[[#This Row],[b1]])</f>
        <v>0</v>
      </c>
      <c r="G792" s="65" t="b">
        <f>IF(Tab.11[[#This Row],[a1]]=1,IF(Tab.11[[#This Row],[b3]]&gt;$L$989*$G$3,$L$989*$G$3,IF(Tab.11[[#This Row],[b3]]&lt;$M$989*$G$3,$M$989*$G$3,Tab.11[[#This Row],[b3]])))</f>
        <v>0</v>
      </c>
      <c r="H792" s="66" t="b">
        <f>IF(Tab.11[[#This Row],[a1]]=1,Tab.11[[#This Row],[b1]])</f>
        <v>0</v>
      </c>
      <c r="I792" s="67" t="b">
        <f>IF(Tab.11[[#This Row],[a1]]=1,Tab.11[[#This Row],[b1]])</f>
        <v>0</v>
      </c>
      <c r="J792" s="68" t="b">
        <f>IF(Tab.11[[#This Row],[a1]]=1,IF($I$3&lt;0,Tab.11[[#This Row],[b5]]-$I$3,Tab.11[[#This Row],[b5]]))</f>
        <v>0</v>
      </c>
      <c r="K792" s="68" t="b">
        <f>IF(Tab.11[[#This Row],[a1]]=1,IF($K$3=0,Tab.11[b6],Tab.11[[#This Row],[b6]]-AVERAGE(Tab.11[b6])))</f>
        <v>0</v>
      </c>
      <c r="L792" s="69" t="b">
        <f>IF(Tab.11[[#This Row],[a1]]=1,Tab.11[[#This Row],[data]]/(_xlfn.STDEV.P(Tab.11[data])*$B$989)+$A$989)</f>
        <v>0</v>
      </c>
      <c r="M792" s="69" t="b">
        <f>IF(Tab.11[[#This Row],[a1]]=1,Tab.11[[#This Row],[data]]/(_xlfn.STDEV.P(Tab.11[data])*$B$987)-$A$987)</f>
        <v>0</v>
      </c>
      <c r="N792" s="69" t="b">
        <f>IF(Tab.11[[#This Row],[a1]]=1,Tab.11[[#This Row],[data]]/(_xlfn.STDEV.P(Tab.11[data])*$B$988)+$A$988)</f>
        <v>0</v>
      </c>
      <c r="O792" s="70" t="b">
        <f>IF(Tab.11[[#This Row],[a1]]=1,_xlfn.NORM.DIST(Tab.11[[#This Row],[b8]],$P$1,$Q$1,FALSE))</f>
        <v>0</v>
      </c>
      <c r="P792" s="70" t="b">
        <f>IF(Tab.11[[#This Row],[a1]]=1,_xlfn.NORM.DIST(Tab.11[[#This Row],[b9]],$P$1,$Q$1,FALSE))</f>
        <v>0</v>
      </c>
      <c r="Q792" s="70" t="b">
        <f>IF(Tab.11[[#This Row],[a1]]=1,_xlfn.NORM.DIST(Tab.11[[#This Row],[b10]],$P$1,$Q$1,FALSE))</f>
        <v>0</v>
      </c>
      <c r="R792" s="67" t="b">
        <f>IF(Tab.11[[#This Row],[a1]]=1,$I$3+$A$989+IF($K$3=0,Tab.11[[#This Row],[b8]]*_xlfn.STDEV.P(Tab.11[data]),AVERAGE(Tab.11[b6])+Tab.11[[#This Row],[b8]]*_xlfn.STDEV.P(Tab.11[data])))</f>
        <v>0</v>
      </c>
      <c r="S792" s="71" t="b">
        <f>IF(Tab.11[[#This Row],[a1]]=1,$I$3+$A$987+IF($K$3=0,Tab.11[[#This Row],[b9]]*_xlfn.STDEV.P(Tab.11[data]),AVERAGE(Tab.11[b6])+Tab.11[[#This Row],[b9]]*_xlfn.STDEV.P(Tab.11[data])))</f>
        <v>0</v>
      </c>
      <c r="T792" s="71" t="b">
        <f>IF(Tab.11[[#This Row],[a1]]=1,$I$3+$A$988+IF($K$3=0,Tab.11[[#This Row],[b10]]*_xlfn.STDEV.P(Tab.11[data]),AVERAGE(Tab.11[b6])+Tab.11[[#This Row],[b10]]*_xlfn.STDEV.P(Tab.11[data])))</f>
        <v>0</v>
      </c>
      <c r="U792" s="72" t="b">
        <f>IF(Tab.11[[#This Row],[a1]]=1,Tab.11[[#This Row],[target]]-Tab.11[[#This Row],[Red]])</f>
        <v>0</v>
      </c>
      <c r="V792" s="72" t="b">
        <f>IF(Tab.11[[#This Row],[a1]]=1,Tab.11[[#This Row],[target]]-Tab.11[[#This Row],[Blue]])</f>
        <v>0</v>
      </c>
      <c r="W792" s="73" t="b">
        <f>IF(Tab.11[[#This Row],[a1]]=1,IF(ABS(Tab.11[[#This Row],[b17]])+ABS(Tab.11[[#This Row],[b18]])&lt;$W$2,$W$2,ABS(Tab.11[[#This Row],[b17]])+ABS(Tab.11[[#This Row],[b18]])))</f>
        <v>0</v>
      </c>
      <c r="X792" s="136" t="b">
        <f>IF(Tab.11[[#This Row],[a1]]=1,IF($W$3&lt;0,Tab.11[[#This Row],[IN]]-$I$3,Tab.11[[#This Row],[IN]]))</f>
        <v>0</v>
      </c>
      <c r="Y792" s="136" t="b">
        <f>IF(Tab.11[[#This Row],[a1]]=1,IF($X$3=0,Tab.11[b66],Tab.11[[#This Row],[b66]]-AVERAGE(Tab.11[b66])))</f>
        <v>0</v>
      </c>
      <c r="Z792" s="135" t="b">
        <f>IF(Tab.11[[#This Row],[a1]]=1,Tab.11[[#This Row],[b77]]/(_xlfn.STDEV.P(Tab.11[b77])))</f>
        <v>0</v>
      </c>
      <c r="AA792" s="70" t="b">
        <f>IF(Tab.11[[#This Row],[a1]]=1,_xlfn.NORM.DIST(Tab.11[[#This Row],[b88]],$Z$1,$AA$1,FALSE))</f>
        <v>0</v>
      </c>
      <c r="AB792" s="74" t="b">
        <f>IF(Tab.11[[#This Row],[a1]]=1,IF($A$3=0,FALSE,1/Tab.11[[#This Row],[IN]]*$AC$2*IF(Tab.11[[#This Row],[a1]]=0,,$A$3*$AC$1*1/$V$3*(Tab.11[[#This Row],[b14]]))))</f>
        <v>0</v>
      </c>
      <c r="AC792" s="75" t="b">
        <f>IF(Tab.11[[#This Row],[a1]]=1,IF($AC$3=0,Tab.11[[#This Row],[φ1]],Tab.11[[#This Row],[φ1]]/MAX(Tab.11[φ1])))</f>
        <v>0</v>
      </c>
      <c r="AD792" s="74" t="b">
        <f>IF(Tab.11[[#This Row],[a1]]=1,1/Tab.11[[#This Row],[φ2]])</f>
        <v>0</v>
      </c>
      <c r="AE792" s="74" t="b">
        <f>IF(Tab.11[[#This Row],[a1]]=1,IF($AE$3=0,Tab.11[[#This Row],[w.0]],Tab.11[[#This Row],[w.0]]/SUM(Tab.11[w.0])))</f>
        <v>0</v>
      </c>
      <c r="AF792" s="76" t="str">
        <f>IF(Tab.11[[#This Row],[a1]]=0,"false",[3]!Tab.x5[[#This Row],[%_seN_C]])</f>
        <v>false</v>
      </c>
      <c r="AG792" s="77" t="b">
        <f>IF(Tab.11[[#This Row],[a1]]=1,AP792)</f>
        <v>0</v>
      </c>
      <c r="AH792" s="78" t="b">
        <f>IF(Tab.11[[#This Row],[a1]]=1,AQ792)</f>
        <v>0</v>
      </c>
      <c r="AI792" s="41">
        <v>3.0000000000000001E-3</v>
      </c>
      <c r="AJ792" s="79">
        <v>-0.09</v>
      </c>
      <c r="AK792" s="80" t="b">
        <f>IF(Tab.11[[#This Row],[a1]]=1,1)</f>
        <v>0</v>
      </c>
      <c r="AL792"/>
      <c r="AM792"/>
      <c r="AN792"/>
      <c r="AO792"/>
      <c r="AP792"/>
      <c r="AQ792"/>
      <c r="AR792"/>
      <c r="AS792"/>
    </row>
    <row r="793" spans="1:45" s="81" customFormat="1" hidden="1" x14ac:dyDescent="0.25">
      <c r="A793" s="61">
        <f t="shared" si="27"/>
        <v>0</v>
      </c>
      <c r="B793" s="62">
        <f t="shared" si="27"/>
        <v>0</v>
      </c>
      <c r="C793" s="62" t="b">
        <f>IF(Tab.11[[#This Row],[a1]]=1,[3]!Tab_x1[[#This Row],[Name]])</f>
        <v>0</v>
      </c>
      <c r="D793" s="63" t="b">
        <f>IF(Tab.11[[#This Row],[a1]]=1,AO793)</f>
        <v>0</v>
      </c>
      <c r="E793" s="63">
        <f t="shared" si="26"/>
        <v>0</v>
      </c>
      <c r="F793" s="64" t="b">
        <f>IF(Tab.11[[#This Row],[a1]]=1,Tab.11[[#This Row],[b1]])</f>
        <v>0</v>
      </c>
      <c r="G793" s="65" t="b">
        <f>IF(Tab.11[[#This Row],[a1]]=1,IF(Tab.11[[#This Row],[b3]]&gt;$L$989*$G$3,$L$989*$G$3,IF(Tab.11[[#This Row],[b3]]&lt;$M$989*$G$3,$M$989*$G$3,Tab.11[[#This Row],[b3]])))</f>
        <v>0</v>
      </c>
      <c r="H793" s="66" t="b">
        <f>IF(Tab.11[[#This Row],[a1]]=1,Tab.11[[#This Row],[b1]])</f>
        <v>0</v>
      </c>
      <c r="I793" s="67" t="b">
        <f>IF(Tab.11[[#This Row],[a1]]=1,Tab.11[[#This Row],[b1]])</f>
        <v>0</v>
      </c>
      <c r="J793" s="68" t="b">
        <f>IF(Tab.11[[#This Row],[a1]]=1,IF($I$3&lt;0,Tab.11[[#This Row],[b5]]-$I$3,Tab.11[[#This Row],[b5]]))</f>
        <v>0</v>
      </c>
      <c r="K793" s="68" t="b">
        <f>IF(Tab.11[[#This Row],[a1]]=1,IF($K$3=0,Tab.11[b6],Tab.11[[#This Row],[b6]]-AVERAGE(Tab.11[b6])))</f>
        <v>0</v>
      </c>
      <c r="L793" s="69" t="b">
        <f>IF(Tab.11[[#This Row],[a1]]=1,Tab.11[[#This Row],[data]]/(_xlfn.STDEV.P(Tab.11[data])*$B$989)+$A$989)</f>
        <v>0</v>
      </c>
      <c r="M793" s="69" t="b">
        <f>IF(Tab.11[[#This Row],[a1]]=1,Tab.11[[#This Row],[data]]/(_xlfn.STDEV.P(Tab.11[data])*$B$987)-$A$987)</f>
        <v>0</v>
      </c>
      <c r="N793" s="69" t="b">
        <f>IF(Tab.11[[#This Row],[a1]]=1,Tab.11[[#This Row],[data]]/(_xlfn.STDEV.P(Tab.11[data])*$B$988)+$A$988)</f>
        <v>0</v>
      </c>
      <c r="O793" s="70" t="b">
        <f>IF(Tab.11[[#This Row],[a1]]=1,_xlfn.NORM.DIST(Tab.11[[#This Row],[b8]],$P$1,$Q$1,FALSE))</f>
        <v>0</v>
      </c>
      <c r="P793" s="70" t="b">
        <f>IF(Tab.11[[#This Row],[a1]]=1,_xlfn.NORM.DIST(Tab.11[[#This Row],[b9]],$P$1,$Q$1,FALSE))</f>
        <v>0</v>
      </c>
      <c r="Q793" s="70" t="b">
        <f>IF(Tab.11[[#This Row],[a1]]=1,_xlfn.NORM.DIST(Tab.11[[#This Row],[b10]],$P$1,$Q$1,FALSE))</f>
        <v>0</v>
      </c>
      <c r="R793" s="67" t="b">
        <f>IF(Tab.11[[#This Row],[a1]]=1,$I$3+$A$989+IF($K$3=0,Tab.11[[#This Row],[b8]]*_xlfn.STDEV.P(Tab.11[data]),AVERAGE(Tab.11[b6])+Tab.11[[#This Row],[b8]]*_xlfn.STDEV.P(Tab.11[data])))</f>
        <v>0</v>
      </c>
      <c r="S793" s="71" t="b">
        <f>IF(Tab.11[[#This Row],[a1]]=1,$I$3+$A$987+IF($K$3=0,Tab.11[[#This Row],[b9]]*_xlfn.STDEV.P(Tab.11[data]),AVERAGE(Tab.11[b6])+Tab.11[[#This Row],[b9]]*_xlfn.STDEV.P(Tab.11[data])))</f>
        <v>0</v>
      </c>
      <c r="T793" s="71" t="b">
        <f>IF(Tab.11[[#This Row],[a1]]=1,$I$3+$A$988+IF($K$3=0,Tab.11[[#This Row],[b10]]*_xlfn.STDEV.P(Tab.11[data]),AVERAGE(Tab.11[b6])+Tab.11[[#This Row],[b10]]*_xlfn.STDEV.P(Tab.11[data])))</f>
        <v>0</v>
      </c>
      <c r="U793" s="72" t="b">
        <f>IF(Tab.11[[#This Row],[a1]]=1,Tab.11[[#This Row],[target]]-Tab.11[[#This Row],[Red]])</f>
        <v>0</v>
      </c>
      <c r="V793" s="72" t="b">
        <f>IF(Tab.11[[#This Row],[a1]]=1,Tab.11[[#This Row],[target]]-Tab.11[[#This Row],[Blue]])</f>
        <v>0</v>
      </c>
      <c r="W793" s="73" t="b">
        <f>IF(Tab.11[[#This Row],[a1]]=1,IF(ABS(Tab.11[[#This Row],[b17]])+ABS(Tab.11[[#This Row],[b18]])&lt;$W$2,$W$2,ABS(Tab.11[[#This Row],[b17]])+ABS(Tab.11[[#This Row],[b18]])))</f>
        <v>0</v>
      </c>
      <c r="X793" s="136" t="b">
        <f>IF(Tab.11[[#This Row],[a1]]=1,IF($W$3&lt;0,Tab.11[[#This Row],[IN]]-$I$3,Tab.11[[#This Row],[IN]]))</f>
        <v>0</v>
      </c>
      <c r="Y793" s="136" t="b">
        <f>IF(Tab.11[[#This Row],[a1]]=1,IF($X$3=0,Tab.11[b66],Tab.11[[#This Row],[b66]]-AVERAGE(Tab.11[b66])))</f>
        <v>0</v>
      </c>
      <c r="Z793" s="135" t="b">
        <f>IF(Tab.11[[#This Row],[a1]]=1,Tab.11[[#This Row],[b77]]/(_xlfn.STDEV.P(Tab.11[b77])))</f>
        <v>0</v>
      </c>
      <c r="AA793" s="70" t="b">
        <f>IF(Tab.11[[#This Row],[a1]]=1,_xlfn.NORM.DIST(Tab.11[[#This Row],[b88]],$Z$1,$AA$1,FALSE))</f>
        <v>0</v>
      </c>
      <c r="AB793" s="74" t="b">
        <f>IF(Tab.11[[#This Row],[a1]]=1,IF($A$3=0,FALSE,1/Tab.11[[#This Row],[IN]]*$AC$2*IF(Tab.11[[#This Row],[a1]]=0,,$A$3*$AC$1*1/$V$3*(Tab.11[[#This Row],[b14]]))))</f>
        <v>0</v>
      </c>
      <c r="AC793" s="75" t="b">
        <f>IF(Tab.11[[#This Row],[a1]]=1,IF($AC$3=0,Tab.11[[#This Row],[φ1]],Tab.11[[#This Row],[φ1]]/MAX(Tab.11[φ1])))</f>
        <v>0</v>
      </c>
      <c r="AD793" s="74" t="b">
        <f>IF(Tab.11[[#This Row],[a1]]=1,1/Tab.11[[#This Row],[φ2]])</f>
        <v>0</v>
      </c>
      <c r="AE793" s="74" t="b">
        <f>IF(Tab.11[[#This Row],[a1]]=1,IF($AE$3=0,Tab.11[[#This Row],[w.0]],Tab.11[[#This Row],[w.0]]/SUM(Tab.11[w.0])))</f>
        <v>0</v>
      </c>
      <c r="AF793" s="76" t="str">
        <f>IF(Tab.11[[#This Row],[a1]]=0,"false",[3]!Tab.x5[[#This Row],[%_seN_C]])</f>
        <v>false</v>
      </c>
      <c r="AG793" s="77" t="b">
        <f>IF(Tab.11[[#This Row],[a1]]=1,AP793)</f>
        <v>0</v>
      </c>
      <c r="AH793" s="78" t="b">
        <f>IF(Tab.11[[#This Row],[a1]]=1,AQ793)</f>
        <v>0</v>
      </c>
      <c r="AI793" s="41">
        <v>3.0000000000000001E-3</v>
      </c>
      <c r="AJ793" s="79">
        <v>0.05</v>
      </c>
      <c r="AK793" s="80" t="b">
        <f>IF(Tab.11[[#This Row],[a1]]=1,1)</f>
        <v>0</v>
      </c>
      <c r="AL793"/>
      <c r="AM793"/>
      <c r="AN793"/>
      <c r="AO793"/>
      <c r="AP793"/>
      <c r="AQ793"/>
      <c r="AR793"/>
      <c r="AS793"/>
    </row>
    <row r="794" spans="1:45" s="81" customFormat="1" hidden="1" x14ac:dyDescent="0.25">
      <c r="A794" s="61">
        <f t="shared" si="27"/>
        <v>0</v>
      </c>
      <c r="B794" s="62">
        <f t="shared" si="27"/>
        <v>0</v>
      </c>
      <c r="C794" s="62" t="b">
        <f>IF(Tab.11[[#This Row],[a1]]=1,[3]!Tab_x1[[#This Row],[Name]])</f>
        <v>0</v>
      </c>
      <c r="D794" s="63" t="b">
        <f>IF(Tab.11[[#This Row],[a1]]=1,AO794)</f>
        <v>0</v>
      </c>
      <c r="E794" s="63">
        <f t="shared" si="26"/>
        <v>0</v>
      </c>
      <c r="F794" s="64" t="b">
        <f>IF(Tab.11[[#This Row],[a1]]=1,Tab.11[[#This Row],[b1]])</f>
        <v>0</v>
      </c>
      <c r="G794" s="65" t="b">
        <f>IF(Tab.11[[#This Row],[a1]]=1,IF(Tab.11[[#This Row],[b3]]&gt;$L$989*$G$3,$L$989*$G$3,IF(Tab.11[[#This Row],[b3]]&lt;$M$989*$G$3,$M$989*$G$3,Tab.11[[#This Row],[b3]])))</f>
        <v>0</v>
      </c>
      <c r="H794" s="66" t="b">
        <f>IF(Tab.11[[#This Row],[a1]]=1,Tab.11[[#This Row],[b1]])</f>
        <v>0</v>
      </c>
      <c r="I794" s="67" t="b">
        <f>IF(Tab.11[[#This Row],[a1]]=1,Tab.11[[#This Row],[b1]])</f>
        <v>0</v>
      </c>
      <c r="J794" s="68" t="b">
        <f>IF(Tab.11[[#This Row],[a1]]=1,IF($I$3&lt;0,Tab.11[[#This Row],[b5]]-$I$3,Tab.11[[#This Row],[b5]]))</f>
        <v>0</v>
      </c>
      <c r="K794" s="68" t="b">
        <f>IF(Tab.11[[#This Row],[a1]]=1,IF($K$3=0,Tab.11[b6],Tab.11[[#This Row],[b6]]-AVERAGE(Tab.11[b6])))</f>
        <v>0</v>
      </c>
      <c r="L794" s="69" t="b">
        <f>IF(Tab.11[[#This Row],[a1]]=1,Tab.11[[#This Row],[data]]/(_xlfn.STDEV.P(Tab.11[data])*$B$989)+$A$989)</f>
        <v>0</v>
      </c>
      <c r="M794" s="69" t="b">
        <f>IF(Tab.11[[#This Row],[a1]]=1,Tab.11[[#This Row],[data]]/(_xlfn.STDEV.P(Tab.11[data])*$B$987)-$A$987)</f>
        <v>0</v>
      </c>
      <c r="N794" s="69" t="b">
        <f>IF(Tab.11[[#This Row],[a1]]=1,Tab.11[[#This Row],[data]]/(_xlfn.STDEV.P(Tab.11[data])*$B$988)+$A$988)</f>
        <v>0</v>
      </c>
      <c r="O794" s="70" t="b">
        <f>IF(Tab.11[[#This Row],[a1]]=1,_xlfn.NORM.DIST(Tab.11[[#This Row],[b8]],$P$1,$Q$1,FALSE))</f>
        <v>0</v>
      </c>
      <c r="P794" s="70" t="b">
        <f>IF(Tab.11[[#This Row],[a1]]=1,_xlfn.NORM.DIST(Tab.11[[#This Row],[b9]],$P$1,$Q$1,FALSE))</f>
        <v>0</v>
      </c>
      <c r="Q794" s="70" t="b">
        <f>IF(Tab.11[[#This Row],[a1]]=1,_xlfn.NORM.DIST(Tab.11[[#This Row],[b10]],$P$1,$Q$1,FALSE))</f>
        <v>0</v>
      </c>
      <c r="R794" s="67" t="b">
        <f>IF(Tab.11[[#This Row],[a1]]=1,$I$3+$A$989+IF($K$3=0,Tab.11[[#This Row],[b8]]*_xlfn.STDEV.P(Tab.11[data]),AVERAGE(Tab.11[b6])+Tab.11[[#This Row],[b8]]*_xlfn.STDEV.P(Tab.11[data])))</f>
        <v>0</v>
      </c>
      <c r="S794" s="71" t="b">
        <f>IF(Tab.11[[#This Row],[a1]]=1,$I$3+$A$987+IF($K$3=0,Tab.11[[#This Row],[b9]]*_xlfn.STDEV.P(Tab.11[data]),AVERAGE(Tab.11[b6])+Tab.11[[#This Row],[b9]]*_xlfn.STDEV.P(Tab.11[data])))</f>
        <v>0</v>
      </c>
      <c r="T794" s="71" t="b">
        <f>IF(Tab.11[[#This Row],[a1]]=1,$I$3+$A$988+IF($K$3=0,Tab.11[[#This Row],[b10]]*_xlfn.STDEV.P(Tab.11[data]),AVERAGE(Tab.11[b6])+Tab.11[[#This Row],[b10]]*_xlfn.STDEV.P(Tab.11[data])))</f>
        <v>0</v>
      </c>
      <c r="U794" s="72" t="b">
        <f>IF(Tab.11[[#This Row],[a1]]=1,Tab.11[[#This Row],[target]]-Tab.11[[#This Row],[Red]])</f>
        <v>0</v>
      </c>
      <c r="V794" s="72" t="b">
        <f>IF(Tab.11[[#This Row],[a1]]=1,Tab.11[[#This Row],[target]]-Tab.11[[#This Row],[Blue]])</f>
        <v>0</v>
      </c>
      <c r="W794" s="73" t="b">
        <f>IF(Tab.11[[#This Row],[a1]]=1,IF(ABS(Tab.11[[#This Row],[b17]])+ABS(Tab.11[[#This Row],[b18]])&lt;$W$2,$W$2,ABS(Tab.11[[#This Row],[b17]])+ABS(Tab.11[[#This Row],[b18]])))</f>
        <v>0</v>
      </c>
      <c r="X794" s="136" t="b">
        <f>IF(Tab.11[[#This Row],[a1]]=1,IF($W$3&lt;0,Tab.11[[#This Row],[IN]]-$I$3,Tab.11[[#This Row],[IN]]))</f>
        <v>0</v>
      </c>
      <c r="Y794" s="136" t="b">
        <f>IF(Tab.11[[#This Row],[a1]]=1,IF($X$3=0,Tab.11[b66],Tab.11[[#This Row],[b66]]-AVERAGE(Tab.11[b66])))</f>
        <v>0</v>
      </c>
      <c r="Z794" s="135" t="b">
        <f>IF(Tab.11[[#This Row],[a1]]=1,Tab.11[[#This Row],[b77]]/(_xlfn.STDEV.P(Tab.11[b77])))</f>
        <v>0</v>
      </c>
      <c r="AA794" s="70" t="b">
        <f>IF(Tab.11[[#This Row],[a1]]=1,_xlfn.NORM.DIST(Tab.11[[#This Row],[b88]],$Z$1,$AA$1,FALSE))</f>
        <v>0</v>
      </c>
      <c r="AB794" s="74" t="b">
        <f>IF(Tab.11[[#This Row],[a1]]=1,IF($A$3=0,FALSE,1/Tab.11[[#This Row],[IN]]*$AC$2*IF(Tab.11[[#This Row],[a1]]=0,,$A$3*$AC$1*1/$V$3*(Tab.11[[#This Row],[b14]]))))</f>
        <v>0</v>
      </c>
      <c r="AC794" s="75" t="b">
        <f>IF(Tab.11[[#This Row],[a1]]=1,IF($AC$3=0,Tab.11[[#This Row],[φ1]],Tab.11[[#This Row],[φ1]]/MAX(Tab.11[φ1])))</f>
        <v>0</v>
      </c>
      <c r="AD794" s="74" t="b">
        <f>IF(Tab.11[[#This Row],[a1]]=1,1/Tab.11[[#This Row],[φ2]])</f>
        <v>0</v>
      </c>
      <c r="AE794" s="74" t="b">
        <f>IF(Tab.11[[#This Row],[a1]]=1,IF($AE$3=0,Tab.11[[#This Row],[w.0]],Tab.11[[#This Row],[w.0]]/SUM(Tab.11[w.0])))</f>
        <v>0</v>
      </c>
      <c r="AF794" s="76" t="str">
        <f>IF(Tab.11[[#This Row],[a1]]=0,"false",[3]!Tab.x5[[#This Row],[%_seN_C]])</f>
        <v>false</v>
      </c>
      <c r="AG794" s="77" t="b">
        <f>IF(Tab.11[[#This Row],[a1]]=1,AP794)</f>
        <v>0</v>
      </c>
      <c r="AH794" s="78" t="b">
        <f>IF(Tab.11[[#This Row],[a1]]=1,AQ794)</f>
        <v>0</v>
      </c>
      <c r="AI794" s="41">
        <v>3.0000000000000001E-3</v>
      </c>
      <c r="AJ794" s="79">
        <v>-0.02</v>
      </c>
      <c r="AK794" s="80" t="b">
        <f>IF(Tab.11[[#This Row],[a1]]=1,1)</f>
        <v>0</v>
      </c>
      <c r="AL794"/>
      <c r="AM794"/>
      <c r="AN794"/>
      <c r="AO794"/>
      <c r="AP794"/>
      <c r="AQ794"/>
      <c r="AR794"/>
      <c r="AS794"/>
    </row>
    <row r="795" spans="1:45" s="81" customFormat="1" hidden="1" x14ac:dyDescent="0.25">
      <c r="A795" s="61">
        <f t="shared" si="27"/>
        <v>0</v>
      </c>
      <c r="B795" s="62">
        <f t="shared" si="27"/>
        <v>0</v>
      </c>
      <c r="C795" s="62" t="b">
        <f>IF(Tab.11[[#This Row],[a1]]=1,[3]!Tab_x1[[#This Row],[Name]])</f>
        <v>0</v>
      </c>
      <c r="D795" s="63" t="b">
        <f>IF(Tab.11[[#This Row],[a1]]=1,AO795)</f>
        <v>0</v>
      </c>
      <c r="E795" s="63">
        <f t="shared" si="26"/>
        <v>0</v>
      </c>
      <c r="F795" s="64" t="b">
        <f>IF(Tab.11[[#This Row],[a1]]=1,Tab.11[[#This Row],[b1]])</f>
        <v>0</v>
      </c>
      <c r="G795" s="65" t="b">
        <f>IF(Tab.11[[#This Row],[a1]]=1,IF(Tab.11[[#This Row],[b3]]&gt;$L$989*$G$3,$L$989*$G$3,IF(Tab.11[[#This Row],[b3]]&lt;$M$989*$G$3,$M$989*$G$3,Tab.11[[#This Row],[b3]])))</f>
        <v>0</v>
      </c>
      <c r="H795" s="66" t="b">
        <f>IF(Tab.11[[#This Row],[a1]]=1,Tab.11[[#This Row],[b1]])</f>
        <v>0</v>
      </c>
      <c r="I795" s="67" t="b">
        <f>IF(Tab.11[[#This Row],[a1]]=1,Tab.11[[#This Row],[b1]])</f>
        <v>0</v>
      </c>
      <c r="J795" s="68" t="b">
        <f>IF(Tab.11[[#This Row],[a1]]=1,IF($I$3&lt;0,Tab.11[[#This Row],[b5]]-$I$3,Tab.11[[#This Row],[b5]]))</f>
        <v>0</v>
      </c>
      <c r="K795" s="68" t="b">
        <f>IF(Tab.11[[#This Row],[a1]]=1,IF($K$3=0,Tab.11[b6],Tab.11[[#This Row],[b6]]-AVERAGE(Tab.11[b6])))</f>
        <v>0</v>
      </c>
      <c r="L795" s="69" t="b">
        <f>IF(Tab.11[[#This Row],[a1]]=1,Tab.11[[#This Row],[data]]/(_xlfn.STDEV.P(Tab.11[data])*$B$989)+$A$989)</f>
        <v>0</v>
      </c>
      <c r="M795" s="69" t="b">
        <f>IF(Tab.11[[#This Row],[a1]]=1,Tab.11[[#This Row],[data]]/(_xlfn.STDEV.P(Tab.11[data])*$B$987)-$A$987)</f>
        <v>0</v>
      </c>
      <c r="N795" s="69" t="b">
        <f>IF(Tab.11[[#This Row],[a1]]=1,Tab.11[[#This Row],[data]]/(_xlfn.STDEV.P(Tab.11[data])*$B$988)+$A$988)</f>
        <v>0</v>
      </c>
      <c r="O795" s="70" t="b">
        <f>IF(Tab.11[[#This Row],[a1]]=1,_xlfn.NORM.DIST(Tab.11[[#This Row],[b8]],$P$1,$Q$1,FALSE))</f>
        <v>0</v>
      </c>
      <c r="P795" s="70" t="b">
        <f>IF(Tab.11[[#This Row],[a1]]=1,_xlfn.NORM.DIST(Tab.11[[#This Row],[b9]],$P$1,$Q$1,FALSE))</f>
        <v>0</v>
      </c>
      <c r="Q795" s="70" t="b">
        <f>IF(Tab.11[[#This Row],[a1]]=1,_xlfn.NORM.DIST(Tab.11[[#This Row],[b10]],$P$1,$Q$1,FALSE))</f>
        <v>0</v>
      </c>
      <c r="R795" s="67" t="b">
        <f>IF(Tab.11[[#This Row],[a1]]=1,$I$3+$A$989+IF($K$3=0,Tab.11[[#This Row],[b8]]*_xlfn.STDEV.P(Tab.11[data]),AVERAGE(Tab.11[b6])+Tab.11[[#This Row],[b8]]*_xlfn.STDEV.P(Tab.11[data])))</f>
        <v>0</v>
      </c>
      <c r="S795" s="71" t="b">
        <f>IF(Tab.11[[#This Row],[a1]]=1,$I$3+$A$987+IF($K$3=0,Tab.11[[#This Row],[b9]]*_xlfn.STDEV.P(Tab.11[data]),AVERAGE(Tab.11[b6])+Tab.11[[#This Row],[b9]]*_xlfn.STDEV.P(Tab.11[data])))</f>
        <v>0</v>
      </c>
      <c r="T795" s="71" t="b">
        <f>IF(Tab.11[[#This Row],[a1]]=1,$I$3+$A$988+IF($K$3=0,Tab.11[[#This Row],[b10]]*_xlfn.STDEV.P(Tab.11[data]),AVERAGE(Tab.11[b6])+Tab.11[[#This Row],[b10]]*_xlfn.STDEV.P(Tab.11[data])))</f>
        <v>0</v>
      </c>
      <c r="U795" s="72" t="b">
        <f>IF(Tab.11[[#This Row],[a1]]=1,Tab.11[[#This Row],[target]]-Tab.11[[#This Row],[Red]])</f>
        <v>0</v>
      </c>
      <c r="V795" s="72" t="b">
        <f>IF(Tab.11[[#This Row],[a1]]=1,Tab.11[[#This Row],[target]]-Tab.11[[#This Row],[Blue]])</f>
        <v>0</v>
      </c>
      <c r="W795" s="73" t="b">
        <f>IF(Tab.11[[#This Row],[a1]]=1,IF(ABS(Tab.11[[#This Row],[b17]])+ABS(Tab.11[[#This Row],[b18]])&lt;$W$2,$W$2,ABS(Tab.11[[#This Row],[b17]])+ABS(Tab.11[[#This Row],[b18]])))</f>
        <v>0</v>
      </c>
      <c r="X795" s="136" t="b">
        <f>IF(Tab.11[[#This Row],[a1]]=1,IF($W$3&lt;0,Tab.11[[#This Row],[IN]]-$I$3,Tab.11[[#This Row],[IN]]))</f>
        <v>0</v>
      </c>
      <c r="Y795" s="136" t="b">
        <f>IF(Tab.11[[#This Row],[a1]]=1,IF($X$3=0,Tab.11[b66],Tab.11[[#This Row],[b66]]-AVERAGE(Tab.11[b66])))</f>
        <v>0</v>
      </c>
      <c r="Z795" s="135" t="b">
        <f>IF(Tab.11[[#This Row],[a1]]=1,Tab.11[[#This Row],[b77]]/(_xlfn.STDEV.P(Tab.11[b77])))</f>
        <v>0</v>
      </c>
      <c r="AA795" s="70" t="b">
        <f>IF(Tab.11[[#This Row],[a1]]=1,_xlfn.NORM.DIST(Tab.11[[#This Row],[b88]],$Z$1,$AA$1,FALSE))</f>
        <v>0</v>
      </c>
      <c r="AB795" s="74" t="b">
        <f>IF(Tab.11[[#This Row],[a1]]=1,IF($A$3=0,FALSE,1/Tab.11[[#This Row],[IN]]*$AC$2*IF(Tab.11[[#This Row],[a1]]=0,,$A$3*$AC$1*1/$V$3*(Tab.11[[#This Row],[b14]]))))</f>
        <v>0</v>
      </c>
      <c r="AC795" s="75" t="b">
        <f>IF(Tab.11[[#This Row],[a1]]=1,IF($AC$3=0,Tab.11[[#This Row],[φ1]],Tab.11[[#This Row],[φ1]]/MAX(Tab.11[φ1])))</f>
        <v>0</v>
      </c>
      <c r="AD795" s="74" t="b">
        <f>IF(Tab.11[[#This Row],[a1]]=1,1/Tab.11[[#This Row],[φ2]])</f>
        <v>0</v>
      </c>
      <c r="AE795" s="74" t="b">
        <f>IF(Tab.11[[#This Row],[a1]]=1,IF($AE$3=0,Tab.11[[#This Row],[w.0]],Tab.11[[#This Row],[w.0]]/SUM(Tab.11[w.0])))</f>
        <v>0</v>
      </c>
      <c r="AF795" s="76" t="str">
        <f>IF(Tab.11[[#This Row],[a1]]=0,"false",[3]!Tab.x5[[#This Row],[%_seN_C]])</f>
        <v>false</v>
      </c>
      <c r="AG795" s="77" t="b">
        <f>IF(Tab.11[[#This Row],[a1]]=1,AP795)</f>
        <v>0</v>
      </c>
      <c r="AH795" s="78" t="b">
        <f>IF(Tab.11[[#This Row],[a1]]=1,AQ795)</f>
        <v>0</v>
      </c>
      <c r="AI795" s="41">
        <v>3.0000000000000001E-3</v>
      </c>
      <c r="AJ795" s="79">
        <v>0</v>
      </c>
      <c r="AK795" s="80" t="b">
        <f>IF(Tab.11[[#This Row],[a1]]=1,1)</f>
        <v>0</v>
      </c>
      <c r="AL795"/>
      <c r="AM795"/>
      <c r="AN795"/>
      <c r="AO795"/>
      <c r="AP795"/>
      <c r="AQ795"/>
      <c r="AR795"/>
      <c r="AS795"/>
    </row>
    <row r="796" spans="1:45" s="81" customFormat="1" hidden="1" x14ac:dyDescent="0.25">
      <c r="A796" s="61">
        <f t="shared" si="27"/>
        <v>0</v>
      </c>
      <c r="B796" s="62">
        <f t="shared" si="27"/>
        <v>0</v>
      </c>
      <c r="C796" s="62" t="b">
        <f>IF(Tab.11[[#This Row],[a1]]=1,[3]!Tab_x1[[#This Row],[Name]])</f>
        <v>0</v>
      </c>
      <c r="D796" s="63" t="b">
        <f>IF(Tab.11[[#This Row],[a1]]=1,AO796)</f>
        <v>0</v>
      </c>
      <c r="E796" s="63">
        <f t="shared" si="26"/>
        <v>0</v>
      </c>
      <c r="F796" s="64" t="b">
        <f>IF(Tab.11[[#This Row],[a1]]=1,Tab.11[[#This Row],[b1]])</f>
        <v>0</v>
      </c>
      <c r="G796" s="65" t="b">
        <f>IF(Tab.11[[#This Row],[a1]]=1,IF(Tab.11[[#This Row],[b3]]&gt;$L$989*$G$3,$L$989*$G$3,IF(Tab.11[[#This Row],[b3]]&lt;$M$989*$G$3,$M$989*$G$3,Tab.11[[#This Row],[b3]])))</f>
        <v>0</v>
      </c>
      <c r="H796" s="66" t="b">
        <f>IF(Tab.11[[#This Row],[a1]]=1,Tab.11[[#This Row],[b1]])</f>
        <v>0</v>
      </c>
      <c r="I796" s="67" t="b">
        <f>IF(Tab.11[[#This Row],[a1]]=1,Tab.11[[#This Row],[b1]])</f>
        <v>0</v>
      </c>
      <c r="J796" s="68" t="b">
        <f>IF(Tab.11[[#This Row],[a1]]=1,IF($I$3&lt;0,Tab.11[[#This Row],[b5]]-$I$3,Tab.11[[#This Row],[b5]]))</f>
        <v>0</v>
      </c>
      <c r="K796" s="68" t="b">
        <f>IF(Tab.11[[#This Row],[a1]]=1,IF($K$3=0,Tab.11[b6],Tab.11[[#This Row],[b6]]-AVERAGE(Tab.11[b6])))</f>
        <v>0</v>
      </c>
      <c r="L796" s="69" t="b">
        <f>IF(Tab.11[[#This Row],[a1]]=1,Tab.11[[#This Row],[data]]/(_xlfn.STDEV.P(Tab.11[data])*$B$989)+$A$989)</f>
        <v>0</v>
      </c>
      <c r="M796" s="69" t="b">
        <f>IF(Tab.11[[#This Row],[a1]]=1,Tab.11[[#This Row],[data]]/(_xlfn.STDEV.P(Tab.11[data])*$B$987)-$A$987)</f>
        <v>0</v>
      </c>
      <c r="N796" s="69" t="b">
        <f>IF(Tab.11[[#This Row],[a1]]=1,Tab.11[[#This Row],[data]]/(_xlfn.STDEV.P(Tab.11[data])*$B$988)+$A$988)</f>
        <v>0</v>
      </c>
      <c r="O796" s="70" t="b">
        <f>IF(Tab.11[[#This Row],[a1]]=1,_xlfn.NORM.DIST(Tab.11[[#This Row],[b8]],$P$1,$Q$1,FALSE))</f>
        <v>0</v>
      </c>
      <c r="P796" s="70" t="b">
        <f>IF(Tab.11[[#This Row],[a1]]=1,_xlfn.NORM.DIST(Tab.11[[#This Row],[b9]],$P$1,$Q$1,FALSE))</f>
        <v>0</v>
      </c>
      <c r="Q796" s="70" t="b">
        <f>IF(Tab.11[[#This Row],[a1]]=1,_xlfn.NORM.DIST(Tab.11[[#This Row],[b10]],$P$1,$Q$1,FALSE))</f>
        <v>0</v>
      </c>
      <c r="R796" s="67" t="b">
        <f>IF(Tab.11[[#This Row],[a1]]=1,$I$3+$A$989+IF($K$3=0,Tab.11[[#This Row],[b8]]*_xlfn.STDEV.P(Tab.11[data]),AVERAGE(Tab.11[b6])+Tab.11[[#This Row],[b8]]*_xlfn.STDEV.P(Tab.11[data])))</f>
        <v>0</v>
      </c>
      <c r="S796" s="71" t="b">
        <f>IF(Tab.11[[#This Row],[a1]]=1,$I$3+$A$987+IF($K$3=0,Tab.11[[#This Row],[b9]]*_xlfn.STDEV.P(Tab.11[data]),AVERAGE(Tab.11[b6])+Tab.11[[#This Row],[b9]]*_xlfn.STDEV.P(Tab.11[data])))</f>
        <v>0</v>
      </c>
      <c r="T796" s="71" t="b">
        <f>IF(Tab.11[[#This Row],[a1]]=1,$I$3+$A$988+IF($K$3=0,Tab.11[[#This Row],[b10]]*_xlfn.STDEV.P(Tab.11[data]),AVERAGE(Tab.11[b6])+Tab.11[[#This Row],[b10]]*_xlfn.STDEV.P(Tab.11[data])))</f>
        <v>0</v>
      </c>
      <c r="U796" s="72" t="b">
        <f>IF(Tab.11[[#This Row],[a1]]=1,Tab.11[[#This Row],[target]]-Tab.11[[#This Row],[Red]])</f>
        <v>0</v>
      </c>
      <c r="V796" s="72" t="b">
        <f>IF(Tab.11[[#This Row],[a1]]=1,Tab.11[[#This Row],[target]]-Tab.11[[#This Row],[Blue]])</f>
        <v>0</v>
      </c>
      <c r="W796" s="73" t="b">
        <f>IF(Tab.11[[#This Row],[a1]]=1,IF(ABS(Tab.11[[#This Row],[b17]])+ABS(Tab.11[[#This Row],[b18]])&lt;$W$2,$W$2,ABS(Tab.11[[#This Row],[b17]])+ABS(Tab.11[[#This Row],[b18]])))</f>
        <v>0</v>
      </c>
      <c r="X796" s="136" t="b">
        <f>IF(Tab.11[[#This Row],[a1]]=1,IF($W$3&lt;0,Tab.11[[#This Row],[IN]]-$I$3,Tab.11[[#This Row],[IN]]))</f>
        <v>0</v>
      </c>
      <c r="Y796" s="136" t="b">
        <f>IF(Tab.11[[#This Row],[a1]]=1,IF($X$3=0,Tab.11[b66],Tab.11[[#This Row],[b66]]-AVERAGE(Tab.11[b66])))</f>
        <v>0</v>
      </c>
      <c r="Z796" s="135" t="b">
        <f>IF(Tab.11[[#This Row],[a1]]=1,Tab.11[[#This Row],[b77]]/(_xlfn.STDEV.P(Tab.11[b77])))</f>
        <v>0</v>
      </c>
      <c r="AA796" s="70" t="b">
        <f>IF(Tab.11[[#This Row],[a1]]=1,_xlfn.NORM.DIST(Tab.11[[#This Row],[b88]],$Z$1,$AA$1,FALSE))</f>
        <v>0</v>
      </c>
      <c r="AB796" s="74" t="b">
        <f>IF(Tab.11[[#This Row],[a1]]=1,IF($A$3=0,FALSE,1/Tab.11[[#This Row],[IN]]*$AC$2*IF(Tab.11[[#This Row],[a1]]=0,,$A$3*$AC$1*1/$V$3*(Tab.11[[#This Row],[b14]]))))</f>
        <v>0</v>
      </c>
      <c r="AC796" s="75" t="b">
        <f>IF(Tab.11[[#This Row],[a1]]=1,IF($AC$3=0,Tab.11[[#This Row],[φ1]],Tab.11[[#This Row],[φ1]]/MAX(Tab.11[φ1])))</f>
        <v>0</v>
      </c>
      <c r="AD796" s="74" t="b">
        <f>IF(Tab.11[[#This Row],[a1]]=1,1/Tab.11[[#This Row],[φ2]])</f>
        <v>0</v>
      </c>
      <c r="AE796" s="74" t="b">
        <f>IF(Tab.11[[#This Row],[a1]]=1,IF($AE$3=0,Tab.11[[#This Row],[w.0]],Tab.11[[#This Row],[w.0]]/SUM(Tab.11[w.0])))</f>
        <v>0</v>
      </c>
      <c r="AF796" s="76" t="str">
        <f>IF(Tab.11[[#This Row],[a1]]=0,"false",[3]!Tab.x5[[#This Row],[%_seN_C]])</f>
        <v>false</v>
      </c>
      <c r="AG796" s="77" t="b">
        <f>IF(Tab.11[[#This Row],[a1]]=1,AP796)</f>
        <v>0</v>
      </c>
      <c r="AH796" s="78" t="b">
        <f>IF(Tab.11[[#This Row],[a1]]=1,AQ796)</f>
        <v>0</v>
      </c>
      <c r="AI796" s="41">
        <v>3.0000000000000001E-3</v>
      </c>
      <c r="AJ796" s="79">
        <v>0.05</v>
      </c>
      <c r="AK796" s="80" t="b">
        <f>IF(Tab.11[[#This Row],[a1]]=1,1)</f>
        <v>0</v>
      </c>
      <c r="AL796"/>
      <c r="AM796"/>
      <c r="AN796"/>
      <c r="AO796"/>
      <c r="AP796"/>
      <c r="AQ796"/>
      <c r="AR796"/>
      <c r="AS796"/>
    </row>
    <row r="797" spans="1:45" s="81" customFormat="1" hidden="1" x14ac:dyDescent="0.25">
      <c r="A797" s="61">
        <f t="shared" si="27"/>
        <v>0</v>
      </c>
      <c r="B797" s="62">
        <f t="shared" si="27"/>
        <v>0</v>
      </c>
      <c r="C797" s="62" t="b">
        <f>IF(Tab.11[[#This Row],[a1]]=1,[3]!Tab_x1[[#This Row],[Name]])</f>
        <v>0</v>
      </c>
      <c r="D797" s="63" t="b">
        <f>IF(Tab.11[[#This Row],[a1]]=1,AO797)</f>
        <v>0</v>
      </c>
      <c r="E797" s="63">
        <f t="shared" si="26"/>
        <v>0</v>
      </c>
      <c r="F797" s="64" t="b">
        <f>IF(Tab.11[[#This Row],[a1]]=1,Tab.11[[#This Row],[b1]])</f>
        <v>0</v>
      </c>
      <c r="G797" s="65" t="b">
        <f>IF(Tab.11[[#This Row],[a1]]=1,IF(Tab.11[[#This Row],[b3]]&gt;$L$989*$G$3,$L$989*$G$3,IF(Tab.11[[#This Row],[b3]]&lt;$M$989*$G$3,$M$989*$G$3,Tab.11[[#This Row],[b3]])))</f>
        <v>0</v>
      </c>
      <c r="H797" s="66" t="b">
        <f>IF(Tab.11[[#This Row],[a1]]=1,Tab.11[[#This Row],[b1]])</f>
        <v>0</v>
      </c>
      <c r="I797" s="67" t="b">
        <f>IF(Tab.11[[#This Row],[a1]]=1,Tab.11[[#This Row],[b1]])</f>
        <v>0</v>
      </c>
      <c r="J797" s="68" t="b">
        <f>IF(Tab.11[[#This Row],[a1]]=1,IF($I$3&lt;0,Tab.11[[#This Row],[b5]]-$I$3,Tab.11[[#This Row],[b5]]))</f>
        <v>0</v>
      </c>
      <c r="K797" s="68" t="b">
        <f>IF(Tab.11[[#This Row],[a1]]=1,IF($K$3=0,Tab.11[b6],Tab.11[[#This Row],[b6]]-AVERAGE(Tab.11[b6])))</f>
        <v>0</v>
      </c>
      <c r="L797" s="69" t="b">
        <f>IF(Tab.11[[#This Row],[a1]]=1,Tab.11[[#This Row],[data]]/(_xlfn.STDEV.P(Tab.11[data])*$B$989)+$A$989)</f>
        <v>0</v>
      </c>
      <c r="M797" s="69" t="b">
        <f>IF(Tab.11[[#This Row],[a1]]=1,Tab.11[[#This Row],[data]]/(_xlfn.STDEV.P(Tab.11[data])*$B$987)-$A$987)</f>
        <v>0</v>
      </c>
      <c r="N797" s="69" t="b">
        <f>IF(Tab.11[[#This Row],[a1]]=1,Tab.11[[#This Row],[data]]/(_xlfn.STDEV.P(Tab.11[data])*$B$988)+$A$988)</f>
        <v>0</v>
      </c>
      <c r="O797" s="70" t="b">
        <f>IF(Tab.11[[#This Row],[a1]]=1,_xlfn.NORM.DIST(Tab.11[[#This Row],[b8]],$P$1,$Q$1,FALSE))</f>
        <v>0</v>
      </c>
      <c r="P797" s="70" t="b">
        <f>IF(Tab.11[[#This Row],[a1]]=1,_xlfn.NORM.DIST(Tab.11[[#This Row],[b9]],$P$1,$Q$1,FALSE))</f>
        <v>0</v>
      </c>
      <c r="Q797" s="70" t="b">
        <f>IF(Tab.11[[#This Row],[a1]]=1,_xlfn.NORM.DIST(Tab.11[[#This Row],[b10]],$P$1,$Q$1,FALSE))</f>
        <v>0</v>
      </c>
      <c r="R797" s="67" t="b">
        <f>IF(Tab.11[[#This Row],[a1]]=1,$I$3+$A$989+IF($K$3=0,Tab.11[[#This Row],[b8]]*_xlfn.STDEV.P(Tab.11[data]),AVERAGE(Tab.11[b6])+Tab.11[[#This Row],[b8]]*_xlfn.STDEV.P(Tab.11[data])))</f>
        <v>0</v>
      </c>
      <c r="S797" s="71" t="b">
        <f>IF(Tab.11[[#This Row],[a1]]=1,$I$3+$A$987+IF($K$3=0,Tab.11[[#This Row],[b9]]*_xlfn.STDEV.P(Tab.11[data]),AVERAGE(Tab.11[b6])+Tab.11[[#This Row],[b9]]*_xlfn.STDEV.P(Tab.11[data])))</f>
        <v>0</v>
      </c>
      <c r="T797" s="71" t="b">
        <f>IF(Tab.11[[#This Row],[a1]]=1,$I$3+$A$988+IF($K$3=0,Tab.11[[#This Row],[b10]]*_xlfn.STDEV.P(Tab.11[data]),AVERAGE(Tab.11[b6])+Tab.11[[#This Row],[b10]]*_xlfn.STDEV.P(Tab.11[data])))</f>
        <v>0</v>
      </c>
      <c r="U797" s="72" t="b">
        <f>IF(Tab.11[[#This Row],[a1]]=1,Tab.11[[#This Row],[target]]-Tab.11[[#This Row],[Red]])</f>
        <v>0</v>
      </c>
      <c r="V797" s="72" t="b">
        <f>IF(Tab.11[[#This Row],[a1]]=1,Tab.11[[#This Row],[target]]-Tab.11[[#This Row],[Blue]])</f>
        <v>0</v>
      </c>
      <c r="W797" s="73" t="b">
        <f>IF(Tab.11[[#This Row],[a1]]=1,IF(ABS(Tab.11[[#This Row],[b17]])+ABS(Tab.11[[#This Row],[b18]])&lt;$W$2,$W$2,ABS(Tab.11[[#This Row],[b17]])+ABS(Tab.11[[#This Row],[b18]])))</f>
        <v>0</v>
      </c>
      <c r="X797" s="136" t="b">
        <f>IF(Tab.11[[#This Row],[a1]]=1,IF($W$3&lt;0,Tab.11[[#This Row],[IN]]-$I$3,Tab.11[[#This Row],[IN]]))</f>
        <v>0</v>
      </c>
      <c r="Y797" s="136" t="b">
        <f>IF(Tab.11[[#This Row],[a1]]=1,IF($X$3=0,Tab.11[b66],Tab.11[[#This Row],[b66]]-AVERAGE(Tab.11[b66])))</f>
        <v>0</v>
      </c>
      <c r="Z797" s="135" t="b">
        <f>IF(Tab.11[[#This Row],[a1]]=1,Tab.11[[#This Row],[b77]]/(_xlfn.STDEV.P(Tab.11[b77])))</f>
        <v>0</v>
      </c>
      <c r="AA797" s="70" t="b">
        <f>IF(Tab.11[[#This Row],[a1]]=1,_xlfn.NORM.DIST(Tab.11[[#This Row],[b88]],$Z$1,$AA$1,FALSE))</f>
        <v>0</v>
      </c>
      <c r="AB797" s="74" t="b">
        <f>IF(Tab.11[[#This Row],[a1]]=1,IF($A$3=0,FALSE,1/Tab.11[[#This Row],[IN]]*$AC$2*IF(Tab.11[[#This Row],[a1]]=0,,$A$3*$AC$1*1/$V$3*(Tab.11[[#This Row],[b14]]))))</f>
        <v>0</v>
      </c>
      <c r="AC797" s="75" t="b">
        <f>IF(Tab.11[[#This Row],[a1]]=1,IF($AC$3=0,Tab.11[[#This Row],[φ1]],Tab.11[[#This Row],[φ1]]/MAX(Tab.11[φ1])))</f>
        <v>0</v>
      </c>
      <c r="AD797" s="74" t="b">
        <f>IF(Tab.11[[#This Row],[a1]]=1,1/Tab.11[[#This Row],[φ2]])</f>
        <v>0</v>
      </c>
      <c r="AE797" s="74" t="b">
        <f>IF(Tab.11[[#This Row],[a1]]=1,IF($AE$3=0,Tab.11[[#This Row],[w.0]],Tab.11[[#This Row],[w.0]]/SUM(Tab.11[w.0])))</f>
        <v>0</v>
      </c>
      <c r="AF797" s="76" t="str">
        <f>IF(Tab.11[[#This Row],[a1]]=0,"false",[3]!Tab.x5[[#This Row],[%_seN_C]])</f>
        <v>false</v>
      </c>
      <c r="AG797" s="77" t="b">
        <f>IF(Tab.11[[#This Row],[a1]]=1,AP797)</f>
        <v>0</v>
      </c>
      <c r="AH797" s="78" t="b">
        <f>IF(Tab.11[[#This Row],[a1]]=1,AQ797)</f>
        <v>0</v>
      </c>
      <c r="AI797" s="41">
        <v>3.0000000000000001E-3</v>
      </c>
      <c r="AJ797" s="79">
        <v>-0.02</v>
      </c>
      <c r="AK797" s="80" t="b">
        <f>IF(Tab.11[[#This Row],[a1]]=1,1)</f>
        <v>0</v>
      </c>
      <c r="AL797"/>
      <c r="AM797"/>
      <c r="AN797"/>
      <c r="AO797"/>
      <c r="AP797"/>
      <c r="AQ797"/>
      <c r="AR797"/>
      <c r="AS797"/>
    </row>
    <row r="798" spans="1:45" s="81" customFormat="1" hidden="1" x14ac:dyDescent="0.25">
      <c r="A798" s="61">
        <f t="shared" si="27"/>
        <v>0</v>
      </c>
      <c r="B798" s="62">
        <f t="shared" si="27"/>
        <v>0</v>
      </c>
      <c r="C798" s="62" t="b">
        <f>IF(Tab.11[[#This Row],[a1]]=1,[3]!Tab_x1[[#This Row],[Name]])</f>
        <v>0</v>
      </c>
      <c r="D798" s="63" t="b">
        <f>IF(Tab.11[[#This Row],[a1]]=1,AO798)</f>
        <v>0</v>
      </c>
      <c r="E798" s="63">
        <f t="shared" si="26"/>
        <v>0</v>
      </c>
      <c r="F798" s="64" t="b">
        <f>IF(Tab.11[[#This Row],[a1]]=1,Tab.11[[#This Row],[b1]])</f>
        <v>0</v>
      </c>
      <c r="G798" s="65" t="b">
        <f>IF(Tab.11[[#This Row],[a1]]=1,IF(Tab.11[[#This Row],[b3]]&gt;$L$989*$G$3,$L$989*$G$3,IF(Tab.11[[#This Row],[b3]]&lt;$M$989*$G$3,$M$989*$G$3,Tab.11[[#This Row],[b3]])))</f>
        <v>0</v>
      </c>
      <c r="H798" s="66" t="b">
        <f>IF(Tab.11[[#This Row],[a1]]=1,Tab.11[[#This Row],[b1]])</f>
        <v>0</v>
      </c>
      <c r="I798" s="67" t="b">
        <f>IF(Tab.11[[#This Row],[a1]]=1,Tab.11[[#This Row],[b1]])</f>
        <v>0</v>
      </c>
      <c r="J798" s="68" t="b">
        <f>IF(Tab.11[[#This Row],[a1]]=1,IF($I$3&lt;0,Tab.11[[#This Row],[b5]]-$I$3,Tab.11[[#This Row],[b5]]))</f>
        <v>0</v>
      </c>
      <c r="K798" s="68" t="b">
        <f>IF(Tab.11[[#This Row],[a1]]=1,IF($K$3=0,Tab.11[b6],Tab.11[[#This Row],[b6]]-AVERAGE(Tab.11[b6])))</f>
        <v>0</v>
      </c>
      <c r="L798" s="69" t="b">
        <f>IF(Tab.11[[#This Row],[a1]]=1,Tab.11[[#This Row],[data]]/(_xlfn.STDEV.P(Tab.11[data])*$B$989)+$A$989)</f>
        <v>0</v>
      </c>
      <c r="M798" s="69" t="b">
        <f>IF(Tab.11[[#This Row],[a1]]=1,Tab.11[[#This Row],[data]]/(_xlfn.STDEV.P(Tab.11[data])*$B$987)-$A$987)</f>
        <v>0</v>
      </c>
      <c r="N798" s="69" t="b">
        <f>IF(Tab.11[[#This Row],[a1]]=1,Tab.11[[#This Row],[data]]/(_xlfn.STDEV.P(Tab.11[data])*$B$988)+$A$988)</f>
        <v>0</v>
      </c>
      <c r="O798" s="70" t="b">
        <f>IF(Tab.11[[#This Row],[a1]]=1,_xlfn.NORM.DIST(Tab.11[[#This Row],[b8]],$P$1,$Q$1,FALSE))</f>
        <v>0</v>
      </c>
      <c r="P798" s="70" t="b">
        <f>IF(Tab.11[[#This Row],[a1]]=1,_xlfn.NORM.DIST(Tab.11[[#This Row],[b9]],$P$1,$Q$1,FALSE))</f>
        <v>0</v>
      </c>
      <c r="Q798" s="70" t="b">
        <f>IF(Tab.11[[#This Row],[a1]]=1,_xlfn.NORM.DIST(Tab.11[[#This Row],[b10]],$P$1,$Q$1,FALSE))</f>
        <v>0</v>
      </c>
      <c r="R798" s="67" t="b">
        <f>IF(Tab.11[[#This Row],[a1]]=1,$I$3+$A$989+IF($K$3=0,Tab.11[[#This Row],[b8]]*_xlfn.STDEV.P(Tab.11[data]),AVERAGE(Tab.11[b6])+Tab.11[[#This Row],[b8]]*_xlfn.STDEV.P(Tab.11[data])))</f>
        <v>0</v>
      </c>
      <c r="S798" s="71" t="b">
        <f>IF(Tab.11[[#This Row],[a1]]=1,$I$3+$A$987+IF($K$3=0,Tab.11[[#This Row],[b9]]*_xlfn.STDEV.P(Tab.11[data]),AVERAGE(Tab.11[b6])+Tab.11[[#This Row],[b9]]*_xlfn.STDEV.P(Tab.11[data])))</f>
        <v>0</v>
      </c>
      <c r="T798" s="71" t="b">
        <f>IF(Tab.11[[#This Row],[a1]]=1,$I$3+$A$988+IF($K$3=0,Tab.11[[#This Row],[b10]]*_xlfn.STDEV.P(Tab.11[data]),AVERAGE(Tab.11[b6])+Tab.11[[#This Row],[b10]]*_xlfn.STDEV.P(Tab.11[data])))</f>
        <v>0</v>
      </c>
      <c r="U798" s="72" t="b">
        <f>IF(Tab.11[[#This Row],[a1]]=1,Tab.11[[#This Row],[target]]-Tab.11[[#This Row],[Red]])</f>
        <v>0</v>
      </c>
      <c r="V798" s="72" t="b">
        <f>IF(Tab.11[[#This Row],[a1]]=1,Tab.11[[#This Row],[target]]-Tab.11[[#This Row],[Blue]])</f>
        <v>0</v>
      </c>
      <c r="W798" s="73" t="b">
        <f>IF(Tab.11[[#This Row],[a1]]=1,IF(ABS(Tab.11[[#This Row],[b17]])+ABS(Tab.11[[#This Row],[b18]])&lt;$W$2,$W$2,ABS(Tab.11[[#This Row],[b17]])+ABS(Tab.11[[#This Row],[b18]])))</f>
        <v>0</v>
      </c>
      <c r="X798" s="136" t="b">
        <f>IF(Tab.11[[#This Row],[a1]]=1,IF($W$3&lt;0,Tab.11[[#This Row],[IN]]-$I$3,Tab.11[[#This Row],[IN]]))</f>
        <v>0</v>
      </c>
      <c r="Y798" s="136" t="b">
        <f>IF(Tab.11[[#This Row],[a1]]=1,IF($X$3=0,Tab.11[b66],Tab.11[[#This Row],[b66]]-AVERAGE(Tab.11[b66])))</f>
        <v>0</v>
      </c>
      <c r="Z798" s="135" t="b">
        <f>IF(Tab.11[[#This Row],[a1]]=1,Tab.11[[#This Row],[b77]]/(_xlfn.STDEV.P(Tab.11[b77])))</f>
        <v>0</v>
      </c>
      <c r="AA798" s="70" t="b">
        <f>IF(Tab.11[[#This Row],[a1]]=1,_xlfn.NORM.DIST(Tab.11[[#This Row],[b88]],$Z$1,$AA$1,FALSE))</f>
        <v>0</v>
      </c>
      <c r="AB798" s="74" t="b">
        <f>IF(Tab.11[[#This Row],[a1]]=1,IF($A$3=0,FALSE,1/Tab.11[[#This Row],[IN]]*$AC$2*IF(Tab.11[[#This Row],[a1]]=0,,$A$3*$AC$1*1/$V$3*(Tab.11[[#This Row],[b14]]))))</f>
        <v>0</v>
      </c>
      <c r="AC798" s="75" t="b">
        <f>IF(Tab.11[[#This Row],[a1]]=1,IF($AC$3=0,Tab.11[[#This Row],[φ1]],Tab.11[[#This Row],[φ1]]/MAX(Tab.11[φ1])))</f>
        <v>0</v>
      </c>
      <c r="AD798" s="74" t="b">
        <f>IF(Tab.11[[#This Row],[a1]]=1,1/Tab.11[[#This Row],[φ2]])</f>
        <v>0</v>
      </c>
      <c r="AE798" s="74" t="b">
        <f>IF(Tab.11[[#This Row],[a1]]=1,IF($AE$3=0,Tab.11[[#This Row],[w.0]],Tab.11[[#This Row],[w.0]]/SUM(Tab.11[w.0])))</f>
        <v>0</v>
      </c>
      <c r="AF798" s="76" t="str">
        <f>IF(Tab.11[[#This Row],[a1]]=0,"false",[3]!Tab.x5[[#This Row],[%_seN_C]])</f>
        <v>false</v>
      </c>
      <c r="AG798" s="77" t="b">
        <f>IF(Tab.11[[#This Row],[a1]]=1,AP798)</f>
        <v>0</v>
      </c>
      <c r="AH798" s="78" t="b">
        <f>IF(Tab.11[[#This Row],[a1]]=1,AQ798)</f>
        <v>0</v>
      </c>
      <c r="AI798" s="41">
        <v>3.0000000000000001E-3</v>
      </c>
      <c r="AJ798" s="79">
        <v>-0.09</v>
      </c>
      <c r="AK798" s="80" t="b">
        <f>IF(Tab.11[[#This Row],[a1]]=1,1)</f>
        <v>0</v>
      </c>
      <c r="AL798"/>
      <c r="AM798"/>
      <c r="AN798"/>
      <c r="AO798"/>
      <c r="AP798"/>
      <c r="AQ798"/>
      <c r="AR798"/>
      <c r="AS798"/>
    </row>
    <row r="799" spans="1:45" s="81" customFormat="1" hidden="1" x14ac:dyDescent="0.25">
      <c r="A799" s="61">
        <f t="shared" si="27"/>
        <v>0</v>
      </c>
      <c r="B799" s="62">
        <f t="shared" si="27"/>
        <v>0</v>
      </c>
      <c r="C799" s="62" t="b">
        <f>IF(Tab.11[[#This Row],[a1]]=1,[3]!Tab_x1[[#This Row],[Name]])</f>
        <v>0</v>
      </c>
      <c r="D799" s="63" t="b">
        <f>IF(Tab.11[[#This Row],[a1]]=1,AO799)</f>
        <v>0</v>
      </c>
      <c r="E799" s="63">
        <f t="shared" si="26"/>
        <v>0</v>
      </c>
      <c r="F799" s="64" t="b">
        <f>IF(Tab.11[[#This Row],[a1]]=1,Tab.11[[#This Row],[b1]])</f>
        <v>0</v>
      </c>
      <c r="G799" s="65" t="b">
        <f>IF(Tab.11[[#This Row],[a1]]=1,IF(Tab.11[[#This Row],[b3]]&gt;$L$989*$G$3,$L$989*$G$3,IF(Tab.11[[#This Row],[b3]]&lt;$M$989*$G$3,$M$989*$G$3,Tab.11[[#This Row],[b3]])))</f>
        <v>0</v>
      </c>
      <c r="H799" s="66" t="b">
        <f>IF(Tab.11[[#This Row],[a1]]=1,Tab.11[[#This Row],[b1]])</f>
        <v>0</v>
      </c>
      <c r="I799" s="67" t="b">
        <f>IF(Tab.11[[#This Row],[a1]]=1,Tab.11[[#This Row],[b1]])</f>
        <v>0</v>
      </c>
      <c r="J799" s="68" t="b">
        <f>IF(Tab.11[[#This Row],[a1]]=1,IF($I$3&lt;0,Tab.11[[#This Row],[b5]]-$I$3,Tab.11[[#This Row],[b5]]))</f>
        <v>0</v>
      </c>
      <c r="K799" s="68" t="b">
        <f>IF(Tab.11[[#This Row],[a1]]=1,IF($K$3=0,Tab.11[b6],Tab.11[[#This Row],[b6]]-AVERAGE(Tab.11[b6])))</f>
        <v>0</v>
      </c>
      <c r="L799" s="69" t="b">
        <f>IF(Tab.11[[#This Row],[a1]]=1,Tab.11[[#This Row],[data]]/(_xlfn.STDEV.P(Tab.11[data])*$B$989)+$A$989)</f>
        <v>0</v>
      </c>
      <c r="M799" s="69" t="b">
        <f>IF(Tab.11[[#This Row],[a1]]=1,Tab.11[[#This Row],[data]]/(_xlfn.STDEV.P(Tab.11[data])*$B$987)-$A$987)</f>
        <v>0</v>
      </c>
      <c r="N799" s="69" t="b">
        <f>IF(Tab.11[[#This Row],[a1]]=1,Tab.11[[#This Row],[data]]/(_xlfn.STDEV.P(Tab.11[data])*$B$988)+$A$988)</f>
        <v>0</v>
      </c>
      <c r="O799" s="70" t="b">
        <f>IF(Tab.11[[#This Row],[a1]]=1,_xlfn.NORM.DIST(Tab.11[[#This Row],[b8]],$P$1,$Q$1,FALSE))</f>
        <v>0</v>
      </c>
      <c r="P799" s="70" t="b">
        <f>IF(Tab.11[[#This Row],[a1]]=1,_xlfn.NORM.DIST(Tab.11[[#This Row],[b9]],$P$1,$Q$1,FALSE))</f>
        <v>0</v>
      </c>
      <c r="Q799" s="70" t="b">
        <f>IF(Tab.11[[#This Row],[a1]]=1,_xlfn.NORM.DIST(Tab.11[[#This Row],[b10]],$P$1,$Q$1,FALSE))</f>
        <v>0</v>
      </c>
      <c r="R799" s="67" t="b">
        <f>IF(Tab.11[[#This Row],[a1]]=1,$I$3+$A$989+IF($K$3=0,Tab.11[[#This Row],[b8]]*_xlfn.STDEV.P(Tab.11[data]),AVERAGE(Tab.11[b6])+Tab.11[[#This Row],[b8]]*_xlfn.STDEV.P(Tab.11[data])))</f>
        <v>0</v>
      </c>
      <c r="S799" s="71" t="b">
        <f>IF(Tab.11[[#This Row],[a1]]=1,$I$3+$A$987+IF($K$3=0,Tab.11[[#This Row],[b9]]*_xlfn.STDEV.P(Tab.11[data]),AVERAGE(Tab.11[b6])+Tab.11[[#This Row],[b9]]*_xlfn.STDEV.P(Tab.11[data])))</f>
        <v>0</v>
      </c>
      <c r="T799" s="71" t="b">
        <f>IF(Tab.11[[#This Row],[a1]]=1,$I$3+$A$988+IF($K$3=0,Tab.11[[#This Row],[b10]]*_xlfn.STDEV.P(Tab.11[data]),AVERAGE(Tab.11[b6])+Tab.11[[#This Row],[b10]]*_xlfn.STDEV.P(Tab.11[data])))</f>
        <v>0</v>
      </c>
      <c r="U799" s="72" t="b">
        <f>IF(Tab.11[[#This Row],[a1]]=1,Tab.11[[#This Row],[target]]-Tab.11[[#This Row],[Red]])</f>
        <v>0</v>
      </c>
      <c r="V799" s="72" t="b">
        <f>IF(Tab.11[[#This Row],[a1]]=1,Tab.11[[#This Row],[target]]-Tab.11[[#This Row],[Blue]])</f>
        <v>0</v>
      </c>
      <c r="W799" s="73" t="b">
        <f>IF(Tab.11[[#This Row],[a1]]=1,IF(ABS(Tab.11[[#This Row],[b17]])+ABS(Tab.11[[#This Row],[b18]])&lt;$W$2,$W$2,ABS(Tab.11[[#This Row],[b17]])+ABS(Tab.11[[#This Row],[b18]])))</f>
        <v>0</v>
      </c>
      <c r="X799" s="136" t="b">
        <f>IF(Tab.11[[#This Row],[a1]]=1,IF($W$3&lt;0,Tab.11[[#This Row],[IN]]-$I$3,Tab.11[[#This Row],[IN]]))</f>
        <v>0</v>
      </c>
      <c r="Y799" s="136" t="b">
        <f>IF(Tab.11[[#This Row],[a1]]=1,IF($X$3=0,Tab.11[b66],Tab.11[[#This Row],[b66]]-AVERAGE(Tab.11[b66])))</f>
        <v>0</v>
      </c>
      <c r="Z799" s="135" t="b">
        <f>IF(Tab.11[[#This Row],[a1]]=1,Tab.11[[#This Row],[b77]]/(_xlfn.STDEV.P(Tab.11[b77])))</f>
        <v>0</v>
      </c>
      <c r="AA799" s="70" t="b">
        <f>IF(Tab.11[[#This Row],[a1]]=1,_xlfn.NORM.DIST(Tab.11[[#This Row],[b88]],$Z$1,$AA$1,FALSE))</f>
        <v>0</v>
      </c>
      <c r="AB799" s="74" t="b">
        <f>IF(Tab.11[[#This Row],[a1]]=1,IF($A$3=0,FALSE,1/Tab.11[[#This Row],[IN]]*$AC$2*IF(Tab.11[[#This Row],[a1]]=0,,$A$3*$AC$1*1/$V$3*(Tab.11[[#This Row],[b14]]))))</f>
        <v>0</v>
      </c>
      <c r="AC799" s="75" t="b">
        <f>IF(Tab.11[[#This Row],[a1]]=1,IF($AC$3=0,Tab.11[[#This Row],[φ1]],Tab.11[[#This Row],[φ1]]/MAX(Tab.11[φ1])))</f>
        <v>0</v>
      </c>
      <c r="AD799" s="74" t="b">
        <f>IF(Tab.11[[#This Row],[a1]]=1,1/Tab.11[[#This Row],[φ2]])</f>
        <v>0</v>
      </c>
      <c r="AE799" s="74" t="b">
        <f>IF(Tab.11[[#This Row],[a1]]=1,IF($AE$3=0,Tab.11[[#This Row],[w.0]],Tab.11[[#This Row],[w.0]]/SUM(Tab.11[w.0])))</f>
        <v>0</v>
      </c>
      <c r="AF799" s="76" t="str">
        <f>IF(Tab.11[[#This Row],[a1]]=0,"false",[3]!Tab.x5[[#This Row],[%_seN_C]])</f>
        <v>false</v>
      </c>
      <c r="AG799" s="77" t="b">
        <f>IF(Tab.11[[#This Row],[a1]]=1,AP799)</f>
        <v>0</v>
      </c>
      <c r="AH799" s="78" t="b">
        <f>IF(Tab.11[[#This Row],[a1]]=1,AQ799)</f>
        <v>0</v>
      </c>
      <c r="AI799" s="41">
        <v>3.0000000000000001E-3</v>
      </c>
      <c r="AJ799" s="79">
        <v>0.05</v>
      </c>
      <c r="AK799" s="80" t="b">
        <f>IF(Tab.11[[#This Row],[a1]]=1,1)</f>
        <v>0</v>
      </c>
      <c r="AL799"/>
      <c r="AM799"/>
      <c r="AN799"/>
      <c r="AO799"/>
      <c r="AP799"/>
      <c r="AQ799"/>
      <c r="AR799"/>
      <c r="AS799"/>
    </row>
    <row r="800" spans="1:45" s="81" customFormat="1" hidden="1" x14ac:dyDescent="0.25">
      <c r="A800" s="61">
        <f t="shared" si="27"/>
        <v>0</v>
      </c>
      <c r="B800" s="62">
        <f t="shared" si="27"/>
        <v>0</v>
      </c>
      <c r="C800" s="62" t="b">
        <f>IF(Tab.11[[#This Row],[a1]]=1,[3]!Tab_x1[[#This Row],[Name]])</f>
        <v>0</v>
      </c>
      <c r="D800" s="63" t="b">
        <f>IF(Tab.11[[#This Row],[a1]]=1,AO800)</f>
        <v>0</v>
      </c>
      <c r="E800" s="63">
        <f t="shared" si="26"/>
        <v>0</v>
      </c>
      <c r="F800" s="64" t="b">
        <f>IF(Tab.11[[#This Row],[a1]]=1,Tab.11[[#This Row],[b1]])</f>
        <v>0</v>
      </c>
      <c r="G800" s="65" t="b">
        <f>IF(Tab.11[[#This Row],[a1]]=1,IF(Tab.11[[#This Row],[b3]]&gt;$L$989*$G$3,$L$989*$G$3,IF(Tab.11[[#This Row],[b3]]&lt;$M$989*$G$3,$M$989*$G$3,Tab.11[[#This Row],[b3]])))</f>
        <v>0</v>
      </c>
      <c r="H800" s="66" t="b">
        <f>IF(Tab.11[[#This Row],[a1]]=1,Tab.11[[#This Row],[b1]])</f>
        <v>0</v>
      </c>
      <c r="I800" s="67" t="b">
        <f>IF(Tab.11[[#This Row],[a1]]=1,Tab.11[[#This Row],[b1]])</f>
        <v>0</v>
      </c>
      <c r="J800" s="68" t="b">
        <f>IF(Tab.11[[#This Row],[a1]]=1,IF($I$3&lt;0,Tab.11[[#This Row],[b5]]-$I$3,Tab.11[[#This Row],[b5]]))</f>
        <v>0</v>
      </c>
      <c r="K800" s="68" t="b">
        <f>IF(Tab.11[[#This Row],[a1]]=1,IF($K$3=0,Tab.11[b6],Tab.11[[#This Row],[b6]]-AVERAGE(Tab.11[b6])))</f>
        <v>0</v>
      </c>
      <c r="L800" s="69" t="b">
        <f>IF(Tab.11[[#This Row],[a1]]=1,Tab.11[[#This Row],[data]]/(_xlfn.STDEV.P(Tab.11[data])*$B$989)+$A$989)</f>
        <v>0</v>
      </c>
      <c r="M800" s="69" t="b">
        <f>IF(Tab.11[[#This Row],[a1]]=1,Tab.11[[#This Row],[data]]/(_xlfn.STDEV.P(Tab.11[data])*$B$987)-$A$987)</f>
        <v>0</v>
      </c>
      <c r="N800" s="69" t="b">
        <f>IF(Tab.11[[#This Row],[a1]]=1,Tab.11[[#This Row],[data]]/(_xlfn.STDEV.P(Tab.11[data])*$B$988)+$A$988)</f>
        <v>0</v>
      </c>
      <c r="O800" s="70" t="b">
        <f>IF(Tab.11[[#This Row],[a1]]=1,_xlfn.NORM.DIST(Tab.11[[#This Row],[b8]],$P$1,$Q$1,FALSE))</f>
        <v>0</v>
      </c>
      <c r="P800" s="70" t="b">
        <f>IF(Tab.11[[#This Row],[a1]]=1,_xlfn.NORM.DIST(Tab.11[[#This Row],[b9]],$P$1,$Q$1,FALSE))</f>
        <v>0</v>
      </c>
      <c r="Q800" s="70" t="b">
        <f>IF(Tab.11[[#This Row],[a1]]=1,_xlfn.NORM.DIST(Tab.11[[#This Row],[b10]],$P$1,$Q$1,FALSE))</f>
        <v>0</v>
      </c>
      <c r="R800" s="67" t="b">
        <f>IF(Tab.11[[#This Row],[a1]]=1,$I$3+$A$989+IF($K$3=0,Tab.11[[#This Row],[b8]]*_xlfn.STDEV.P(Tab.11[data]),AVERAGE(Tab.11[b6])+Tab.11[[#This Row],[b8]]*_xlfn.STDEV.P(Tab.11[data])))</f>
        <v>0</v>
      </c>
      <c r="S800" s="71" t="b">
        <f>IF(Tab.11[[#This Row],[a1]]=1,$I$3+$A$987+IF($K$3=0,Tab.11[[#This Row],[b9]]*_xlfn.STDEV.P(Tab.11[data]),AVERAGE(Tab.11[b6])+Tab.11[[#This Row],[b9]]*_xlfn.STDEV.P(Tab.11[data])))</f>
        <v>0</v>
      </c>
      <c r="T800" s="71" t="b">
        <f>IF(Tab.11[[#This Row],[a1]]=1,$I$3+$A$988+IF($K$3=0,Tab.11[[#This Row],[b10]]*_xlfn.STDEV.P(Tab.11[data]),AVERAGE(Tab.11[b6])+Tab.11[[#This Row],[b10]]*_xlfn.STDEV.P(Tab.11[data])))</f>
        <v>0</v>
      </c>
      <c r="U800" s="72" t="b">
        <f>IF(Tab.11[[#This Row],[a1]]=1,Tab.11[[#This Row],[target]]-Tab.11[[#This Row],[Red]])</f>
        <v>0</v>
      </c>
      <c r="V800" s="72" t="b">
        <f>IF(Tab.11[[#This Row],[a1]]=1,Tab.11[[#This Row],[target]]-Tab.11[[#This Row],[Blue]])</f>
        <v>0</v>
      </c>
      <c r="W800" s="73" t="b">
        <f>IF(Tab.11[[#This Row],[a1]]=1,IF(ABS(Tab.11[[#This Row],[b17]])+ABS(Tab.11[[#This Row],[b18]])&lt;$W$2,$W$2,ABS(Tab.11[[#This Row],[b17]])+ABS(Tab.11[[#This Row],[b18]])))</f>
        <v>0</v>
      </c>
      <c r="X800" s="136" t="b">
        <f>IF(Tab.11[[#This Row],[a1]]=1,IF($W$3&lt;0,Tab.11[[#This Row],[IN]]-$I$3,Tab.11[[#This Row],[IN]]))</f>
        <v>0</v>
      </c>
      <c r="Y800" s="136" t="b">
        <f>IF(Tab.11[[#This Row],[a1]]=1,IF($X$3=0,Tab.11[b66],Tab.11[[#This Row],[b66]]-AVERAGE(Tab.11[b66])))</f>
        <v>0</v>
      </c>
      <c r="Z800" s="135" t="b">
        <f>IF(Tab.11[[#This Row],[a1]]=1,Tab.11[[#This Row],[b77]]/(_xlfn.STDEV.P(Tab.11[b77])))</f>
        <v>0</v>
      </c>
      <c r="AA800" s="70" t="b">
        <f>IF(Tab.11[[#This Row],[a1]]=1,_xlfn.NORM.DIST(Tab.11[[#This Row],[b88]],$Z$1,$AA$1,FALSE))</f>
        <v>0</v>
      </c>
      <c r="AB800" s="74" t="b">
        <f>IF(Tab.11[[#This Row],[a1]]=1,IF($A$3=0,FALSE,1/Tab.11[[#This Row],[IN]]*$AC$2*IF(Tab.11[[#This Row],[a1]]=0,,$A$3*$AC$1*1/$V$3*(Tab.11[[#This Row],[b14]]))))</f>
        <v>0</v>
      </c>
      <c r="AC800" s="75" t="b">
        <f>IF(Tab.11[[#This Row],[a1]]=1,IF($AC$3=0,Tab.11[[#This Row],[φ1]],Tab.11[[#This Row],[φ1]]/MAX(Tab.11[φ1])))</f>
        <v>0</v>
      </c>
      <c r="AD800" s="74" t="b">
        <f>IF(Tab.11[[#This Row],[a1]]=1,1/Tab.11[[#This Row],[φ2]])</f>
        <v>0</v>
      </c>
      <c r="AE800" s="74" t="b">
        <f>IF(Tab.11[[#This Row],[a1]]=1,IF($AE$3=0,Tab.11[[#This Row],[w.0]],Tab.11[[#This Row],[w.0]]/SUM(Tab.11[w.0])))</f>
        <v>0</v>
      </c>
      <c r="AF800" s="76" t="str">
        <f>IF(Tab.11[[#This Row],[a1]]=0,"false",[3]!Tab.x5[[#This Row],[%_seN_C]])</f>
        <v>false</v>
      </c>
      <c r="AG800" s="77" t="b">
        <f>IF(Tab.11[[#This Row],[a1]]=1,AP800)</f>
        <v>0</v>
      </c>
      <c r="AH800" s="78" t="b">
        <f>IF(Tab.11[[#This Row],[a1]]=1,AQ800)</f>
        <v>0</v>
      </c>
      <c r="AI800" s="41">
        <v>3.0000000000000001E-3</v>
      </c>
      <c r="AJ800" s="79">
        <v>0.04</v>
      </c>
      <c r="AK800" s="80" t="b">
        <f>IF(Tab.11[[#This Row],[a1]]=1,1)</f>
        <v>0</v>
      </c>
      <c r="AL800"/>
      <c r="AM800"/>
      <c r="AN800"/>
      <c r="AO800"/>
      <c r="AP800"/>
      <c r="AQ800"/>
      <c r="AR800"/>
      <c r="AS800"/>
    </row>
    <row r="801" spans="1:45" s="81" customFormat="1" hidden="1" x14ac:dyDescent="0.25">
      <c r="A801" s="61">
        <f t="shared" si="27"/>
        <v>0</v>
      </c>
      <c r="B801" s="62">
        <f t="shared" si="27"/>
        <v>0</v>
      </c>
      <c r="C801" s="62" t="b">
        <f>IF(Tab.11[[#This Row],[a1]]=1,[3]!Tab_x1[[#This Row],[Name]])</f>
        <v>0</v>
      </c>
      <c r="D801" s="63" t="b">
        <f>IF(Tab.11[[#This Row],[a1]]=1,AO801)</f>
        <v>0</v>
      </c>
      <c r="E801" s="63">
        <f t="shared" si="26"/>
        <v>0</v>
      </c>
      <c r="F801" s="64" t="b">
        <f>IF(Tab.11[[#This Row],[a1]]=1,Tab.11[[#This Row],[b1]])</f>
        <v>0</v>
      </c>
      <c r="G801" s="65" t="b">
        <f>IF(Tab.11[[#This Row],[a1]]=1,IF(Tab.11[[#This Row],[b3]]&gt;$L$989*$G$3,$L$989*$G$3,IF(Tab.11[[#This Row],[b3]]&lt;$M$989*$G$3,$M$989*$G$3,Tab.11[[#This Row],[b3]])))</f>
        <v>0</v>
      </c>
      <c r="H801" s="66" t="b">
        <f>IF(Tab.11[[#This Row],[a1]]=1,Tab.11[[#This Row],[b1]])</f>
        <v>0</v>
      </c>
      <c r="I801" s="67" t="b">
        <f>IF(Tab.11[[#This Row],[a1]]=1,Tab.11[[#This Row],[b1]])</f>
        <v>0</v>
      </c>
      <c r="J801" s="68" t="b">
        <f>IF(Tab.11[[#This Row],[a1]]=1,IF($I$3&lt;0,Tab.11[[#This Row],[b5]]-$I$3,Tab.11[[#This Row],[b5]]))</f>
        <v>0</v>
      </c>
      <c r="K801" s="68" t="b">
        <f>IF(Tab.11[[#This Row],[a1]]=1,IF($K$3=0,Tab.11[b6],Tab.11[[#This Row],[b6]]-AVERAGE(Tab.11[b6])))</f>
        <v>0</v>
      </c>
      <c r="L801" s="69" t="b">
        <f>IF(Tab.11[[#This Row],[a1]]=1,Tab.11[[#This Row],[data]]/(_xlfn.STDEV.P(Tab.11[data])*$B$989)+$A$989)</f>
        <v>0</v>
      </c>
      <c r="M801" s="69" t="b">
        <f>IF(Tab.11[[#This Row],[a1]]=1,Tab.11[[#This Row],[data]]/(_xlfn.STDEV.P(Tab.11[data])*$B$987)-$A$987)</f>
        <v>0</v>
      </c>
      <c r="N801" s="69" t="b">
        <f>IF(Tab.11[[#This Row],[a1]]=1,Tab.11[[#This Row],[data]]/(_xlfn.STDEV.P(Tab.11[data])*$B$988)+$A$988)</f>
        <v>0</v>
      </c>
      <c r="O801" s="70" t="b">
        <f>IF(Tab.11[[#This Row],[a1]]=1,_xlfn.NORM.DIST(Tab.11[[#This Row],[b8]],$P$1,$Q$1,FALSE))</f>
        <v>0</v>
      </c>
      <c r="P801" s="70" t="b">
        <f>IF(Tab.11[[#This Row],[a1]]=1,_xlfn.NORM.DIST(Tab.11[[#This Row],[b9]],$P$1,$Q$1,FALSE))</f>
        <v>0</v>
      </c>
      <c r="Q801" s="70" t="b">
        <f>IF(Tab.11[[#This Row],[a1]]=1,_xlfn.NORM.DIST(Tab.11[[#This Row],[b10]],$P$1,$Q$1,FALSE))</f>
        <v>0</v>
      </c>
      <c r="R801" s="67" t="b">
        <f>IF(Tab.11[[#This Row],[a1]]=1,$I$3+$A$989+IF($K$3=0,Tab.11[[#This Row],[b8]]*_xlfn.STDEV.P(Tab.11[data]),AVERAGE(Tab.11[b6])+Tab.11[[#This Row],[b8]]*_xlfn.STDEV.P(Tab.11[data])))</f>
        <v>0</v>
      </c>
      <c r="S801" s="71" t="b">
        <f>IF(Tab.11[[#This Row],[a1]]=1,$I$3+$A$987+IF($K$3=0,Tab.11[[#This Row],[b9]]*_xlfn.STDEV.P(Tab.11[data]),AVERAGE(Tab.11[b6])+Tab.11[[#This Row],[b9]]*_xlfn.STDEV.P(Tab.11[data])))</f>
        <v>0</v>
      </c>
      <c r="T801" s="71" t="b">
        <f>IF(Tab.11[[#This Row],[a1]]=1,$I$3+$A$988+IF($K$3=0,Tab.11[[#This Row],[b10]]*_xlfn.STDEV.P(Tab.11[data]),AVERAGE(Tab.11[b6])+Tab.11[[#This Row],[b10]]*_xlfn.STDEV.P(Tab.11[data])))</f>
        <v>0</v>
      </c>
      <c r="U801" s="72" t="b">
        <f>IF(Tab.11[[#This Row],[a1]]=1,Tab.11[[#This Row],[target]]-Tab.11[[#This Row],[Red]])</f>
        <v>0</v>
      </c>
      <c r="V801" s="72" t="b">
        <f>IF(Tab.11[[#This Row],[a1]]=1,Tab.11[[#This Row],[target]]-Tab.11[[#This Row],[Blue]])</f>
        <v>0</v>
      </c>
      <c r="W801" s="73" t="b">
        <f>IF(Tab.11[[#This Row],[a1]]=1,IF(ABS(Tab.11[[#This Row],[b17]])+ABS(Tab.11[[#This Row],[b18]])&lt;$W$2,$W$2,ABS(Tab.11[[#This Row],[b17]])+ABS(Tab.11[[#This Row],[b18]])))</f>
        <v>0</v>
      </c>
      <c r="X801" s="136" t="b">
        <f>IF(Tab.11[[#This Row],[a1]]=1,IF($W$3&lt;0,Tab.11[[#This Row],[IN]]-$I$3,Tab.11[[#This Row],[IN]]))</f>
        <v>0</v>
      </c>
      <c r="Y801" s="136" t="b">
        <f>IF(Tab.11[[#This Row],[a1]]=1,IF($X$3=0,Tab.11[b66],Tab.11[[#This Row],[b66]]-AVERAGE(Tab.11[b66])))</f>
        <v>0</v>
      </c>
      <c r="Z801" s="135" t="b">
        <f>IF(Tab.11[[#This Row],[a1]]=1,Tab.11[[#This Row],[b77]]/(_xlfn.STDEV.P(Tab.11[b77])))</f>
        <v>0</v>
      </c>
      <c r="AA801" s="70" t="b">
        <f>IF(Tab.11[[#This Row],[a1]]=1,_xlfn.NORM.DIST(Tab.11[[#This Row],[b88]],$Z$1,$AA$1,FALSE))</f>
        <v>0</v>
      </c>
      <c r="AB801" s="74" t="b">
        <f>IF(Tab.11[[#This Row],[a1]]=1,IF($A$3=0,FALSE,1/Tab.11[[#This Row],[IN]]*$AC$2*IF(Tab.11[[#This Row],[a1]]=0,,$A$3*$AC$1*1/$V$3*(Tab.11[[#This Row],[b14]]))))</f>
        <v>0</v>
      </c>
      <c r="AC801" s="75" t="b">
        <f>IF(Tab.11[[#This Row],[a1]]=1,IF($AC$3=0,Tab.11[[#This Row],[φ1]],Tab.11[[#This Row],[φ1]]/MAX(Tab.11[φ1])))</f>
        <v>0</v>
      </c>
      <c r="AD801" s="74" t="b">
        <f>IF(Tab.11[[#This Row],[a1]]=1,1/Tab.11[[#This Row],[φ2]])</f>
        <v>0</v>
      </c>
      <c r="AE801" s="74" t="b">
        <f>IF(Tab.11[[#This Row],[a1]]=1,IF($AE$3=0,Tab.11[[#This Row],[w.0]],Tab.11[[#This Row],[w.0]]/SUM(Tab.11[w.0])))</f>
        <v>0</v>
      </c>
      <c r="AF801" s="76" t="str">
        <f>IF(Tab.11[[#This Row],[a1]]=0,"false",[3]!Tab.x5[[#This Row],[%_seN_C]])</f>
        <v>false</v>
      </c>
      <c r="AG801" s="77" t="b">
        <f>IF(Tab.11[[#This Row],[a1]]=1,AP801)</f>
        <v>0</v>
      </c>
      <c r="AH801" s="78" t="b">
        <f>IF(Tab.11[[#This Row],[a1]]=1,AQ801)</f>
        <v>0</v>
      </c>
      <c r="AI801" s="41">
        <v>3.0000000000000001E-3</v>
      </c>
      <c r="AJ801" s="79">
        <v>-0.09</v>
      </c>
      <c r="AK801" s="80" t="b">
        <f>IF(Tab.11[[#This Row],[a1]]=1,1)</f>
        <v>0</v>
      </c>
      <c r="AL801"/>
      <c r="AM801"/>
      <c r="AN801"/>
      <c r="AO801"/>
      <c r="AP801"/>
      <c r="AQ801"/>
      <c r="AR801"/>
      <c r="AS801"/>
    </row>
    <row r="802" spans="1:45" s="81" customFormat="1" hidden="1" x14ac:dyDescent="0.25">
      <c r="A802" s="61">
        <f t="shared" si="27"/>
        <v>0</v>
      </c>
      <c r="B802" s="62">
        <f t="shared" si="27"/>
        <v>0</v>
      </c>
      <c r="C802" s="62" t="b">
        <f>IF(Tab.11[[#This Row],[a1]]=1,[3]!Tab_x1[[#This Row],[Name]])</f>
        <v>0</v>
      </c>
      <c r="D802" s="63" t="b">
        <f>IF(Tab.11[[#This Row],[a1]]=1,AO802)</f>
        <v>0</v>
      </c>
      <c r="E802" s="63">
        <f t="shared" si="26"/>
        <v>0</v>
      </c>
      <c r="F802" s="64" t="b">
        <f>IF(Tab.11[[#This Row],[a1]]=1,Tab.11[[#This Row],[b1]])</f>
        <v>0</v>
      </c>
      <c r="G802" s="65" t="b">
        <f>IF(Tab.11[[#This Row],[a1]]=1,IF(Tab.11[[#This Row],[b3]]&gt;$L$989*$G$3,$L$989*$G$3,IF(Tab.11[[#This Row],[b3]]&lt;$M$989*$G$3,$M$989*$G$3,Tab.11[[#This Row],[b3]])))</f>
        <v>0</v>
      </c>
      <c r="H802" s="66" t="b">
        <f>IF(Tab.11[[#This Row],[a1]]=1,Tab.11[[#This Row],[b1]])</f>
        <v>0</v>
      </c>
      <c r="I802" s="67" t="b">
        <f>IF(Tab.11[[#This Row],[a1]]=1,Tab.11[[#This Row],[b1]])</f>
        <v>0</v>
      </c>
      <c r="J802" s="68" t="b">
        <f>IF(Tab.11[[#This Row],[a1]]=1,IF($I$3&lt;0,Tab.11[[#This Row],[b5]]-$I$3,Tab.11[[#This Row],[b5]]))</f>
        <v>0</v>
      </c>
      <c r="K802" s="68" t="b">
        <f>IF(Tab.11[[#This Row],[a1]]=1,IF($K$3=0,Tab.11[b6],Tab.11[[#This Row],[b6]]-AVERAGE(Tab.11[b6])))</f>
        <v>0</v>
      </c>
      <c r="L802" s="69" t="b">
        <f>IF(Tab.11[[#This Row],[a1]]=1,Tab.11[[#This Row],[data]]/(_xlfn.STDEV.P(Tab.11[data])*$B$989)+$A$989)</f>
        <v>0</v>
      </c>
      <c r="M802" s="69" t="b">
        <f>IF(Tab.11[[#This Row],[a1]]=1,Tab.11[[#This Row],[data]]/(_xlfn.STDEV.P(Tab.11[data])*$B$987)-$A$987)</f>
        <v>0</v>
      </c>
      <c r="N802" s="69" t="b">
        <f>IF(Tab.11[[#This Row],[a1]]=1,Tab.11[[#This Row],[data]]/(_xlfn.STDEV.P(Tab.11[data])*$B$988)+$A$988)</f>
        <v>0</v>
      </c>
      <c r="O802" s="70" t="b">
        <f>IF(Tab.11[[#This Row],[a1]]=1,_xlfn.NORM.DIST(Tab.11[[#This Row],[b8]],$P$1,$Q$1,FALSE))</f>
        <v>0</v>
      </c>
      <c r="P802" s="70" t="b">
        <f>IF(Tab.11[[#This Row],[a1]]=1,_xlfn.NORM.DIST(Tab.11[[#This Row],[b9]],$P$1,$Q$1,FALSE))</f>
        <v>0</v>
      </c>
      <c r="Q802" s="70" t="b">
        <f>IF(Tab.11[[#This Row],[a1]]=1,_xlfn.NORM.DIST(Tab.11[[#This Row],[b10]],$P$1,$Q$1,FALSE))</f>
        <v>0</v>
      </c>
      <c r="R802" s="67" t="b">
        <f>IF(Tab.11[[#This Row],[a1]]=1,$I$3+$A$989+IF($K$3=0,Tab.11[[#This Row],[b8]]*_xlfn.STDEV.P(Tab.11[data]),AVERAGE(Tab.11[b6])+Tab.11[[#This Row],[b8]]*_xlfn.STDEV.P(Tab.11[data])))</f>
        <v>0</v>
      </c>
      <c r="S802" s="71" t="b">
        <f>IF(Tab.11[[#This Row],[a1]]=1,$I$3+$A$987+IF($K$3=0,Tab.11[[#This Row],[b9]]*_xlfn.STDEV.P(Tab.11[data]),AVERAGE(Tab.11[b6])+Tab.11[[#This Row],[b9]]*_xlfn.STDEV.P(Tab.11[data])))</f>
        <v>0</v>
      </c>
      <c r="T802" s="71" t="b">
        <f>IF(Tab.11[[#This Row],[a1]]=1,$I$3+$A$988+IF($K$3=0,Tab.11[[#This Row],[b10]]*_xlfn.STDEV.P(Tab.11[data]),AVERAGE(Tab.11[b6])+Tab.11[[#This Row],[b10]]*_xlfn.STDEV.P(Tab.11[data])))</f>
        <v>0</v>
      </c>
      <c r="U802" s="72" t="b">
        <f>IF(Tab.11[[#This Row],[a1]]=1,Tab.11[[#This Row],[target]]-Tab.11[[#This Row],[Red]])</f>
        <v>0</v>
      </c>
      <c r="V802" s="72" t="b">
        <f>IF(Tab.11[[#This Row],[a1]]=1,Tab.11[[#This Row],[target]]-Tab.11[[#This Row],[Blue]])</f>
        <v>0</v>
      </c>
      <c r="W802" s="73" t="b">
        <f>IF(Tab.11[[#This Row],[a1]]=1,IF(ABS(Tab.11[[#This Row],[b17]])+ABS(Tab.11[[#This Row],[b18]])&lt;$W$2,$W$2,ABS(Tab.11[[#This Row],[b17]])+ABS(Tab.11[[#This Row],[b18]])))</f>
        <v>0</v>
      </c>
      <c r="X802" s="136" t="b">
        <f>IF(Tab.11[[#This Row],[a1]]=1,IF($W$3&lt;0,Tab.11[[#This Row],[IN]]-$I$3,Tab.11[[#This Row],[IN]]))</f>
        <v>0</v>
      </c>
      <c r="Y802" s="136" t="b">
        <f>IF(Tab.11[[#This Row],[a1]]=1,IF($X$3=0,Tab.11[b66],Tab.11[[#This Row],[b66]]-AVERAGE(Tab.11[b66])))</f>
        <v>0</v>
      </c>
      <c r="Z802" s="135" t="b">
        <f>IF(Tab.11[[#This Row],[a1]]=1,Tab.11[[#This Row],[b77]]/(_xlfn.STDEV.P(Tab.11[b77])))</f>
        <v>0</v>
      </c>
      <c r="AA802" s="70" t="b">
        <f>IF(Tab.11[[#This Row],[a1]]=1,_xlfn.NORM.DIST(Tab.11[[#This Row],[b88]],$Z$1,$AA$1,FALSE))</f>
        <v>0</v>
      </c>
      <c r="AB802" s="74" t="b">
        <f>IF(Tab.11[[#This Row],[a1]]=1,IF($A$3=0,FALSE,1/Tab.11[[#This Row],[IN]]*$AC$2*IF(Tab.11[[#This Row],[a1]]=0,,$A$3*$AC$1*1/$V$3*(Tab.11[[#This Row],[b14]]))))</f>
        <v>0</v>
      </c>
      <c r="AC802" s="75" t="b">
        <f>IF(Tab.11[[#This Row],[a1]]=1,IF($AC$3=0,Tab.11[[#This Row],[φ1]],Tab.11[[#This Row],[φ1]]/MAX(Tab.11[φ1])))</f>
        <v>0</v>
      </c>
      <c r="AD802" s="74" t="b">
        <f>IF(Tab.11[[#This Row],[a1]]=1,1/Tab.11[[#This Row],[φ2]])</f>
        <v>0</v>
      </c>
      <c r="AE802" s="74" t="b">
        <f>IF(Tab.11[[#This Row],[a1]]=1,IF($AE$3=0,Tab.11[[#This Row],[w.0]],Tab.11[[#This Row],[w.0]]/SUM(Tab.11[w.0])))</f>
        <v>0</v>
      </c>
      <c r="AF802" s="76" t="str">
        <f>IF(Tab.11[[#This Row],[a1]]=0,"false",[3]!Tab.x5[[#This Row],[%_seN_C]])</f>
        <v>false</v>
      </c>
      <c r="AG802" s="77" t="b">
        <f>IF(Tab.11[[#This Row],[a1]]=1,AP802)</f>
        <v>0</v>
      </c>
      <c r="AH802" s="78" t="b">
        <f>IF(Tab.11[[#This Row],[a1]]=1,AQ802)</f>
        <v>0</v>
      </c>
      <c r="AI802" s="41">
        <v>3.0000000000000001E-3</v>
      </c>
      <c r="AJ802" s="79">
        <v>-0.06</v>
      </c>
      <c r="AK802" s="80" t="b">
        <f>IF(Tab.11[[#This Row],[a1]]=1,1)</f>
        <v>0</v>
      </c>
      <c r="AL802"/>
      <c r="AM802"/>
      <c r="AN802"/>
      <c r="AO802"/>
      <c r="AP802"/>
      <c r="AQ802"/>
      <c r="AR802"/>
      <c r="AS802"/>
    </row>
    <row r="803" spans="1:45" s="81" customFormat="1" hidden="1" x14ac:dyDescent="0.25">
      <c r="A803" s="61">
        <f t="shared" si="27"/>
        <v>0</v>
      </c>
      <c r="B803" s="62">
        <f t="shared" si="27"/>
        <v>0</v>
      </c>
      <c r="C803" s="62" t="b">
        <f>IF(Tab.11[[#This Row],[a1]]=1,[3]!Tab_x1[[#This Row],[Name]])</f>
        <v>0</v>
      </c>
      <c r="D803" s="63" t="b">
        <f>IF(Tab.11[[#This Row],[a1]]=1,AO803)</f>
        <v>0</v>
      </c>
      <c r="E803" s="63">
        <f t="shared" si="26"/>
        <v>0</v>
      </c>
      <c r="F803" s="64" t="b">
        <f>IF(Tab.11[[#This Row],[a1]]=1,Tab.11[[#This Row],[b1]])</f>
        <v>0</v>
      </c>
      <c r="G803" s="65" t="b">
        <f>IF(Tab.11[[#This Row],[a1]]=1,IF(Tab.11[[#This Row],[b3]]&gt;$L$989*$G$3,$L$989*$G$3,IF(Tab.11[[#This Row],[b3]]&lt;$M$989*$G$3,$M$989*$G$3,Tab.11[[#This Row],[b3]])))</f>
        <v>0</v>
      </c>
      <c r="H803" s="66" t="b">
        <f>IF(Tab.11[[#This Row],[a1]]=1,Tab.11[[#This Row],[b1]])</f>
        <v>0</v>
      </c>
      <c r="I803" s="67" t="b">
        <f>IF(Tab.11[[#This Row],[a1]]=1,Tab.11[[#This Row],[b1]])</f>
        <v>0</v>
      </c>
      <c r="J803" s="68" t="b">
        <f>IF(Tab.11[[#This Row],[a1]]=1,IF($I$3&lt;0,Tab.11[[#This Row],[b5]]-$I$3,Tab.11[[#This Row],[b5]]))</f>
        <v>0</v>
      </c>
      <c r="K803" s="68" t="b">
        <f>IF(Tab.11[[#This Row],[a1]]=1,IF($K$3=0,Tab.11[b6],Tab.11[[#This Row],[b6]]-AVERAGE(Tab.11[b6])))</f>
        <v>0</v>
      </c>
      <c r="L803" s="69" t="b">
        <f>IF(Tab.11[[#This Row],[a1]]=1,Tab.11[[#This Row],[data]]/(_xlfn.STDEV.P(Tab.11[data])*$B$989)+$A$989)</f>
        <v>0</v>
      </c>
      <c r="M803" s="69" t="b">
        <f>IF(Tab.11[[#This Row],[a1]]=1,Tab.11[[#This Row],[data]]/(_xlfn.STDEV.P(Tab.11[data])*$B$987)-$A$987)</f>
        <v>0</v>
      </c>
      <c r="N803" s="69" t="b">
        <f>IF(Tab.11[[#This Row],[a1]]=1,Tab.11[[#This Row],[data]]/(_xlfn.STDEV.P(Tab.11[data])*$B$988)+$A$988)</f>
        <v>0</v>
      </c>
      <c r="O803" s="70" t="b">
        <f>IF(Tab.11[[#This Row],[a1]]=1,_xlfn.NORM.DIST(Tab.11[[#This Row],[b8]],$P$1,$Q$1,FALSE))</f>
        <v>0</v>
      </c>
      <c r="P803" s="70" t="b">
        <f>IF(Tab.11[[#This Row],[a1]]=1,_xlfn.NORM.DIST(Tab.11[[#This Row],[b9]],$P$1,$Q$1,FALSE))</f>
        <v>0</v>
      </c>
      <c r="Q803" s="70" t="b">
        <f>IF(Tab.11[[#This Row],[a1]]=1,_xlfn.NORM.DIST(Tab.11[[#This Row],[b10]],$P$1,$Q$1,FALSE))</f>
        <v>0</v>
      </c>
      <c r="R803" s="67" t="b">
        <f>IF(Tab.11[[#This Row],[a1]]=1,$I$3+$A$989+IF($K$3=0,Tab.11[[#This Row],[b8]]*_xlfn.STDEV.P(Tab.11[data]),AVERAGE(Tab.11[b6])+Tab.11[[#This Row],[b8]]*_xlfn.STDEV.P(Tab.11[data])))</f>
        <v>0</v>
      </c>
      <c r="S803" s="71" t="b">
        <f>IF(Tab.11[[#This Row],[a1]]=1,$I$3+$A$987+IF($K$3=0,Tab.11[[#This Row],[b9]]*_xlfn.STDEV.P(Tab.11[data]),AVERAGE(Tab.11[b6])+Tab.11[[#This Row],[b9]]*_xlfn.STDEV.P(Tab.11[data])))</f>
        <v>0</v>
      </c>
      <c r="T803" s="71" t="b">
        <f>IF(Tab.11[[#This Row],[a1]]=1,$I$3+$A$988+IF($K$3=0,Tab.11[[#This Row],[b10]]*_xlfn.STDEV.P(Tab.11[data]),AVERAGE(Tab.11[b6])+Tab.11[[#This Row],[b10]]*_xlfn.STDEV.P(Tab.11[data])))</f>
        <v>0</v>
      </c>
      <c r="U803" s="72" t="b">
        <f>IF(Tab.11[[#This Row],[a1]]=1,Tab.11[[#This Row],[target]]-Tab.11[[#This Row],[Red]])</f>
        <v>0</v>
      </c>
      <c r="V803" s="72" t="b">
        <f>IF(Tab.11[[#This Row],[a1]]=1,Tab.11[[#This Row],[target]]-Tab.11[[#This Row],[Blue]])</f>
        <v>0</v>
      </c>
      <c r="W803" s="73" t="b">
        <f>IF(Tab.11[[#This Row],[a1]]=1,IF(ABS(Tab.11[[#This Row],[b17]])+ABS(Tab.11[[#This Row],[b18]])&lt;$W$2,$W$2,ABS(Tab.11[[#This Row],[b17]])+ABS(Tab.11[[#This Row],[b18]])))</f>
        <v>0</v>
      </c>
      <c r="X803" s="136" t="b">
        <f>IF(Tab.11[[#This Row],[a1]]=1,IF($W$3&lt;0,Tab.11[[#This Row],[IN]]-$I$3,Tab.11[[#This Row],[IN]]))</f>
        <v>0</v>
      </c>
      <c r="Y803" s="136" t="b">
        <f>IF(Tab.11[[#This Row],[a1]]=1,IF($X$3=0,Tab.11[b66],Tab.11[[#This Row],[b66]]-AVERAGE(Tab.11[b66])))</f>
        <v>0</v>
      </c>
      <c r="Z803" s="135" t="b">
        <f>IF(Tab.11[[#This Row],[a1]]=1,Tab.11[[#This Row],[b77]]/(_xlfn.STDEV.P(Tab.11[b77])))</f>
        <v>0</v>
      </c>
      <c r="AA803" s="70" t="b">
        <f>IF(Tab.11[[#This Row],[a1]]=1,_xlfn.NORM.DIST(Tab.11[[#This Row],[b88]],$Z$1,$AA$1,FALSE))</f>
        <v>0</v>
      </c>
      <c r="AB803" s="74" t="b">
        <f>IF(Tab.11[[#This Row],[a1]]=1,IF($A$3=0,FALSE,1/Tab.11[[#This Row],[IN]]*$AC$2*IF(Tab.11[[#This Row],[a1]]=0,,$A$3*$AC$1*1/$V$3*(Tab.11[[#This Row],[b14]]))))</f>
        <v>0</v>
      </c>
      <c r="AC803" s="75" t="b">
        <f>IF(Tab.11[[#This Row],[a1]]=1,IF($AC$3=0,Tab.11[[#This Row],[φ1]],Tab.11[[#This Row],[φ1]]/MAX(Tab.11[φ1])))</f>
        <v>0</v>
      </c>
      <c r="AD803" s="74" t="b">
        <f>IF(Tab.11[[#This Row],[a1]]=1,1/Tab.11[[#This Row],[φ2]])</f>
        <v>0</v>
      </c>
      <c r="AE803" s="74" t="b">
        <f>IF(Tab.11[[#This Row],[a1]]=1,IF($AE$3=0,Tab.11[[#This Row],[w.0]],Tab.11[[#This Row],[w.0]]/SUM(Tab.11[w.0])))</f>
        <v>0</v>
      </c>
      <c r="AF803" s="76" t="str">
        <f>IF(Tab.11[[#This Row],[a1]]=0,"false",[3]!Tab.x5[[#This Row],[%_seN_C]])</f>
        <v>false</v>
      </c>
      <c r="AG803" s="77" t="b">
        <f>IF(Tab.11[[#This Row],[a1]]=1,AP803)</f>
        <v>0</v>
      </c>
      <c r="AH803" s="78" t="b">
        <f>IF(Tab.11[[#This Row],[a1]]=1,AQ803)</f>
        <v>0</v>
      </c>
      <c r="AI803" s="41">
        <v>3.0000000000000001E-3</v>
      </c>
      <c r="AJ803" s="79">
        <v>-0.05</v>
      </c>
      <c r="AK803" s="80" t="b">
        <f>IF(Tab.11[[#This Row],[a1]]=1,1)</f>
        <v>0</v>
      </c>
      <c r="AL803"/>
      <c r="AM803"/>
      <c r="AN803"/>
      <c r="AO803"/>
      <c r="AP803"/>
      <c r="AQ803"/>
      <c r="AR803"/>
      <c r="AS803"/>
    </row>
    <row r="804" spans="1:45" s="81" customFormat="1" hidden="1" x14ac:dyDescent="0.25">
      <c r="A804" s="61">
        <f t="shared" si="27"/>
        <v>0</v>
      </c>
      <c r="B804" s="62">
        <f t="shared" si="27"/>
        <v>0</v>
      </c>
      <c r="C804" s="62" t="b">
        <f>IF(Tab.11[[#This Row],[a1]]=1,[3]!Tab_x1[[#This Row],[Name]])</f>
        <v>0</v>
      </c>
      <c r="D804" s="63" t="b">
        <f>IF(Tab.11[[#This Row],[a1]]=1,AO804)</f>
        <v>0</v>
      </c>
      <c r="E804" s="63">
        <f t="shared" si="26"/>
        <v>0</v>
      </c>
      <c r="F804" s="64" t="b">
        <f>IF(Tab.11[[#This Row],[a1]]=1,Tab.11[[#This Row],[b1]])</f>
        <v>0</v>
      </c>
      <c r="G804" s="65" t="b">
        <f>IF(Tab.11[[#This Row],[a1]]=1,IF(Tab.11[[#This Row],[b3]]&gt;$L$989*$G$3,$L$989*$G$3,IF(Tab.11[[#This Row],[b3]]&lt;$M$989*$G$3,$M$989*$G$3,Tab.11[[#This Row],[b3]])))</f>
        <v>0</v>
      </c>
      <c r="H804" s="66" t="b">
        <f>IF(Tab.11[[#This Row],[a1]]=1,Tab.11[[#This Row],[b1]])</f>
        <v>0</v>
      </c>
      <c r="I804" s="67" t="b">
        <f>IF(Tab.11[[#This Row],[a1]]=1,Tab.11[[#This Row],[b1]])</f>
        <v>0</v>
      </c>
      <c r="J804" s="68" t="b">
        <f>IF(Tab.11[[#This Row],[a1]]=1,IF($I$3&lt;0,Tab.11[[#This Row],[b5]]-$I$3,Tab.11[[#This Row],[b5]]))</f>
        <v>0</v>
      </c>
      <c r="K804" s="68" t="b">
        <f>IF(Tab.11[[#This Row],[a1]]=1,IF($K$3=0,Tab.11[b6],Tab.11[[#This Row],[b6]]-AVERAGE(Tab.11[b6])))</f>
        <v>0</v>
      </c>
      <c r="L804" s="69" t="b">
        <f>IF(Tab.11[[#This Row],[a1]]=1,Tab.11[[#This Row],[data]]/(_xlfn.STDEV.P(Tab.11[data])*$B$989)+$A$989)</f>
        <v>0</v>
      </c>
      <c r="M804" s="69" t="b">
        <f>IF(Tab.11[[#This Row],[a1]]=1,Tab.11[[#This Row],[data]]/(_xlfn.STDEV.P(Tab.11[data])*$B$987)-$A$987)</f>
        <v>0</v>
      </c>
      <c r="N804" s="69" t="b">
        <f>IF(Tab.11[[#This Row],[a1]]=1,Tab.11[[#This Row],[data]]/(_xlfn.STDEV.P(Tab.11[data])*$B$988)+$A$988)</f>
        <v>0</v>
      </c>
      <c r="O804" s="70" t="b">
        <f>IF(Tab.11[[#This Row],[a1]]=1,_xlfn.NORM.DIST(Tab.11[[#This Row],[b8]],$P$1,$Q$1,FALSE))</f>
        <v>0</v>
      </c>
      <c r="P804" s="70" t="b">
        <f>IF(Tab.11[[#This Row],[a1]]=1,_xlfn.NORM.DIST(Tab.11[[#This Row],[b9]],$P$1,$Q$1,FALSE))</f>
        <v>0</v>
      </c>
      <c r="Q804" s="70" t="b">
        <f>IF(Tab.11[[#This Row],[a1]]=1,_xlfn.NORM.DIST(Tab.11[[#This Row],[b10]],$P$1,$Q$1,FALSE))</f>
        <v>0</v>
      </c>
      <c r="R804" s="67" t="b">
        <f>IF(Tab.11[[#This Row],[a1]]=1,$I$3+$A$989+IF($K$3=0,Tab.11[[#This Row],[b8]]*_xlfn.STDEV.P(Tab.11[data]),AVERAGE(Tab.11[b6])+Tab.11[[#This Row],[b8]]*_xlfn.STDEV.P(Tab.11[data])))</f>
        <v>0</v>
      </c>
      <c r="S804" s="71" t="b">
        <f>IF(Tab.11[[#This Row],[a1]]=1,$I$3+$A$987+IF($K$3=0,Tab.11[[#This Row],[b9]]*_xlfn.STDEV.P(Tab.11[data]),AVERAGE(Tab.11[b6])+Tab.11[[#This Row],[b9]]*_xlfn.STDEV.P(Tab.11[data])))</f>
        <v>0</v>
      </c>
      <c r="T804" s="71" t="b">
        <f>IF(Tab.11[[#This Row],[a1]]=1,$I$3+$A$988+IF($K$3=0,Tab.11[[#This Row],[b10]]*_xlfn.STDEV.P(Tab.11[data]),AVERAGE(Tab.11[b6])+Tab.11[[#This Row],[b10]]*_xlfn.STDEV.P(Tab.11[data])))</f>
        <v>0</v>
      </c>
      <c r="U804" s="72" t="b">
        <f>IF(Tab.11[[#This Row],[a1]]=1,Tab.11[[#This Row],[target]]-Tab.11[[#This Row],[Red]])</f>
        <v>0</v>
      </c>
      <c r="V804" s="72" t="b">
        <f>IF(Tab.11[[#This Row],[a1]]=1,Tab.11[[#This Row],[target]]-Tab.11[[#This Row],[Blue]])</f>
        <v>0</v>
      </c>
      <c r="W804" s="73" t="b">
        <f>IF(Tab.11[[#This Row],[a1]]=1,IF(ABS(Tab.11[[#This Row],[b17]])+ABS(Tab.11[[#This Row],[b18]])&lt;$W$2,$W$2,ABS(Tab.11[[#This Row],[b17]])+ABS(Tab.11[[#This Row],[b18]])))</f>
        <v>0</v>
      </c>
      <c r="X804" s="136" t="b">
        <f>IF(Tab.11[[#This Row],[a1]]=1,IF($W$3&lt;0,Tab.11[[#This Row],[IN]]-$I$3,Tab.11[[#This Row],[IN]]))</f>
        <v>0</v>
      </c>
      <c r="Y804" s="136" t="b">
        <f>IF(Tab.11[[#This Row],[a1]]=1,IF($X$3=0,Tab.11[b66],Tab.11[[#This Row],[b66]]-AVERAGE(Tab.11[b66])))</f>
        <v>0</v>
      </c>
      <c r="Z804" s="135" t="b">
        <f>IF(Tab.11[[#This Row],[a1]]=1,Tab.11[[#This Row],[b77]]/(_xlfn.STDEV.P(Tab.11[b77])))</f>
        <v>0</v>
      </c>
      <c r="AA804" s="70" t="b">
        <f>IF(Tab.11[[#This Row],[a1]]=1,_xlfn.NORM.DIST(Tab.11[[#This Row],[b88]],$Z$1,$AA$1,FALSE))</f>
        <v>0</v>
      </c>
      <c r="AB804" s="74" t="b">
        <f>IF(Tab.11[[#This Row],[a1]]=1,IF($A$3=0,FALSE,1/Tab.11[[#This Row],[IN]]*$AC$2*IF(Tab.11[[#This Row],[a1]]=0,,$A$3*$AC$1*1/$V$3*(Tab.11[[#This Row],[b14]]))))</f>
        <v>0</v>
      </c>
      <c r="AC804" s="75" t="b">
        <f>IF(Tab.11[[#This Row],[a1]]=1,IF($AC$3=0,Tab.11[[#This Row],[φ1]],Tab.11[[#This Row],[φ1]]/MAX(Tab.11[φ1])))</f>
        <v>0</v>
      </c>
      <c r="AD804" s="74" t="b">
        <f>IF(Tab.11[[#This Row],[a1]]=1,1/Tab.11[[#This Row],[φ2]])</f>
        <v>0</v>
      </c>
      <c r="AE804" s="74" t="b">
        <f>IF(Tab.11[[#This Row],[a1]]=1,IF($AE$3=0,Tab.11[[#This Row],[w.0]],Tab.11[[#This Row],[w.0]]/SUM(Tab.11[w.0])))</f>
        <v>0</v>
      </c>
      <c r="AF804" s="76" t="str">
        <f>IF(Tab.11[[#This Row],[a1]]=0,"false",[3]!Tab.x5[[#This Row],[%_seN_C]])</f>
        <v>false</v>
      </c>
      <c r="AG804" s="77" t="b">
        <f>IF(Tab.11[[#This Row],[a1]]=1,AP804)</f>
        <v>0</v>
      </c>
      <c r="AH804" s="78" t="b">
        <f>IF(Tab.11[[#This Row],[a1]]=1,AQ804)</f>
        <v>0</v>
      </c>
      <c r="AI804" s="41">
        <v>3.0000000000000001E-3</v>
      </c>
      <c r="AJ804" s="79">
        <v>0.09</v>
      </c>
      <c r="AK804" s="80" t="b">
        <f>IF(Tab.11[[#This Row],[a1]]=1,1)</f>
        <v>0</v>
      </c>
      <c r="AL804"/>
      <c r="AM804"/>
      <c r="AN804"/>
      <c r="AO804"/>
      <c r="AP804"/>
      <c r="AQ804"/>
      <c r="AR804"/>
      <c r="AS804"/>
    </row>
    <row r="805" spans="1:45" s="81" customFormat="1" hidden="1" x14ac:dyDescent="0.25">
      <c r="A805" s="61">
        <f t="shared" si="27"/>
        <v>0</v>
      </c>
      <c r="B805" s="62">
        <f t="shared" si="27"/>
        <v>0</v>
      </c>
      <c r="C805" s="62" t="b">
        <f>IF(Tab.11[[#This Row],[a1]]=1,[3]!Tab_x1[[#This Row],[Name]])</f>
        <v>0</v>
      </c>
      <c r="D805" s="63" t="b">
        <f>IF(Tab.11[[#This Row],[a1]]=1,AO805)</f>
        <v>0</v>
      </c>
      <c r="E805" s="63">
        <f t="shared" si="26"/>
        <v>0</v>
      </c>
      <c r="F805" s="64" t="b">
        <f>IF(Tab.11[[#This Row],[a1]]=1,Tab.11[[#This Row],[b1]])</f>
        <v>0</v>
      </c>
      <c r="G805" s="65" t="b">
        <f>IF(Tab.11[[#This Row],[a1]]=1,IF(Tab.11[[#This Row],[b3]]&gt;$L$989*$G$3,$L$989*$G$3,IF(Tab.11[[#This Row],[b3]]&lt;$M$989*$G$3,$M$989*$G$3,Tab.11[[#This Row],[b3]])))</f>
        <v>0</v>
      </c>
      <c r="H805" s="66" t="b">
        <f>IF(Tab.11[[#This Row],[a1]]=1,Tab.11[[#This Row],[b1]])</f>
        <v>0</v>
      </c>
      <c r="I805" s="67" t="b">
        <f>IF(Tab.11[[#This Row],[a1]]=1,Tab.11[[#This Row],[b1]])</f>
        <v>0</v>
      </c>
      <c r="J805" s="68" t="b">
        <f>IF(Tab.11[[#This Row],[a1]]=1,IF($I$3&lt;0,Tab.11[[#This Row],[b5]]-$I$3,Tab.11[[#This Row],[b5]]))</f>
        <v>0</v>
      </c>
      <c r="K805" s="68" t="b">
        <f>IF(Tab.11[[#This Row],[a1]]=1,IF($K$3=0,Tab.11[b6],Tab.11[[#This Row],[b6]]-AVERAGE(Tab.11[b6])))</f>
        <v>0</v>
      </c>
      <c r="L805" s="69" t="b">
        <f>IF(Tab.11[[#This Row],[a1]]=1,Tab.11[[#This Row],[data]]/(_xlfn.STDEV.P(Tab.11[data])*$B$989)+$A$989)</f>
        <v>0</v>
      </c>
      <c r="M805" s="69" t="b">
        <f>IF(Tab.11[[#This Row],[a1]]=1,Tab.11[[#This Row],[data]]/(_xlfn.STDEV.P(Tab.11[data])*$B$987)-$A$987)</f>
        <v>0</v>
      </c>
      <c r="N805" s="69" t="b">
        <f>IF(Tab.11[[#This Row],[a1]]=1,Tab.11[[#This Row],[data]]/(_xlfn.STDEV.P(Tab.11[data])*$B$988)+$A$988)</f>
        <v>0</v>
      </c>
      <c r="O805" s="70" t="b">
        <f>IF(Tab.11[[#This Row],[a1]]=1,_xlfn.NORM.DIST(Tab.11[[#This Row],[b8]],$P$1,$Q$1,FALSE))</f>
        <v>0</v>
      </c>
      <c r="P805" s="70" t="b">
        <f>IF(Tab.11[[#This Row],[a1]]=1,_xlfn.NORM.DIST(Tab.11[[#This Row],[b9]],$P$1,$Q$1,FALSE))</f>
        <v>0</v>
      </c>
      <c r="Q805" s="70" t="b">
        <f>IF(Tab.11[[#This Row],[a1]]=1,_xlfn.NORM.DIST(Tab.11[[#This Row],[b10]],$P$1,$Q$1,FALSE))</f>
        <v>0</v>
      </c>
      <c r="R805" s="67" t="b">
        <f>IF(Tab.11[[#This Row],[a1]]=1,$I$3+$A$989+IF($K$3=0,Tab.11[[#This Row],[b8]]*_xlfn.STDEV.P(Tab.11[data]),AVERAGE(Tab.11[b6])+Tab.11[[#This Row],[b8]]*_xlfn.STDEV.P(Tab.11[data])))</f>
        <v>0</v>
      </c>
      <c r="S805" s="71" t="b">
        <f>IF(Tab.11[[#This Row],[a1]]=1,$I$3+$A$987+IF($K$3=0,Tab.11[[#This Row],[b9]]*_xlfn.STDEV.P(Tab.11[data]),AVERAGE(Tab.11[b6])+Tab.11[[#This Row],[b9]]*_xlfn.STDEV.P(Tab.11[data])))</f>
        <v>0</v>
      </c>
      <c r="T805" s="71" t="b">
        <f>IF(Tab.11[[#This Row],[a1]]=1,$I$3+$A$988+IF($K$3=0,Tab.11[[#This Row],[b10]]*_xlfn.STDEV.P(Tab.11[data]),AVERAGE(Tab.11[b6])+Tab.11[[#This Row],[b10]]*_xlfn.STDEV.P(Tab.11[data])))</f>
        <v>0</v>
      </c>
      <c r="U805" s="72" t="b">
        <f>IF(Tab.11[[#This Row],[a1]]=1,Tab.11[[#This Row],[target]]-Tab.11[[#This Row],[Red]])</f>
        <v>0</v>
      </c>
      <c r="V805" s="72" t="b">
        <f>IF(Tab.11[[#This Row],[a1]]=1,Tab.11[[#This Row],[target]]-Tab.11[[#This Row],[Blue]])</f>
        <v>0</v>
      </c>
      <c r="W805" s="73" t="b">
        <f>IF(Tab.11[[#This Row],[a1]]=1,IF(ABS(Tab.11[[#This Row],[b17]])+ABS(Tab.11[[#This Row],[b18]])&lt;$W$2,$W$2,ABS(Tab.11[[#This Row],[b17]])+ABS(Tab.11[[#This Row],[b18]])))</f>
        <v>0</v>
      </c>
      <c r="X805" s="136" t="b">
        <f>IF(Tab.11[[#This Row],[a1]]=1,IF($W$3&lt;0,Tab.11[[#This Row],[IN]]-$I$3,Tab.11[[#This Row],[IN]]))</f>
        <v>0</v>
      </c>
      <c r="Y805" s="136" t="b">
        <f>IF(Tab.11[[#This Row],[a1]]=1,IF($X$3=0,Tab.11[b66],Tab.11[[#This Row],[b66]]-AVERAGE(Tab.11[b66])))</f>
        <v>0</v>
      </c>
      <c r="Z805" s="135" t="b">
        <f>IF(Tab.11[[#This Row],[a1]]=1,Tab.11[[#This Row],[b77]]/(_xlfn.STDEV.P(Tab.11[b77])))</f>
        <v>0</v>
      </c>
      <c r="AA805" s="70" t="b">
        <f>IF(Tab.11[[#This Row],[a1]]=1,_xlfn.NORM.DIST(Tab.11[[#This Row],[b88]],$Z$1,$AA$1,FALSE))</f>
        <v>0</v>
      </c>
      <c r="AB805" s="74" t="b">
        <f>IF(Tab.11[[#This Row],[a1]]=1,IF($A$3=0,FALSE,1/Tab.11[[#This Row],[IN]]*$AC$2*IF(Tab.11[[#This Row],[a1]]=0,,$A$3*$AC$1*1/$V$3*(Tab.11[[#This Row],[b14]]))))</f>
        <v>0</v>
      </c>
      <c r="AC805" s="75" t="b">
        <f>IF(Tab.11[[#This Row],[a1]]=1,IF($AC$3=0,Tab.11[[#This Row],[φ1]],Tab.11[[#This Row],[φ1]]/MAX(Tab.11[φ1])))</f>
        <v>0</v>
      </c>
      <c r="AD805" s="74" t="b">
        <f>IF(Tab.11[[#This Row],[a1]]=1,1/Tab.11[[#This Row],[φ2]])</f>
        <v>0</v>
      </c>
      <c r="AE805" s="74" t="b">
        <f>IF(Tab.11[[#This Row],[a1]]=1,IF($AE$3=0,Tab.11[[#This Row],[w.0]],Tab.11[[#This Row],[w.0]]/SUM(Tab.11[w.0])))</f>
        <v>0</v>
      </c>
      <c r="AF805" s="76" t="str">
        <f>IF(Tab.11[[#This Row],[a1]]=0,"false",[3]!Tab.x5[[#This Row],[%_seN_C]])</f>
        <v>false</v>
      </c>
      <c r="AG805" s="77" t="b">
        <f>IF(Tab.11[[#This Row],[a1]]=1,AP805)</f>
        <v>0</v>
      </c>
      <c r="AH805" s="78" t="b">
        <f>IF(Tab.11[[#This Row],[a1]]=1,AQ805)</f>
        <v>0</v>
      </c>
      <c r="AI805" s="41">
        <v>3.0000000000000001E-3</v>
      </c>
      <c r="AJ805" s="79">
        <v>-0.04</v>
      </c>
      <c r="AK805" s="80" t="b">
        <f>IF(Tab.11[[#This Row],[a1]]=1,1)</f>
        <v>0</v>
      </c>
      <c r="AL805"/>
      <c r="AM805"/>
      <c r="AN805"/>
      <c r="AO805"/>
      <c r="AP805"/>
      <c r="AQ805"/>
      <c r="AR805"/>
      <c r="AS805"/>
    </row>
    <row r="806" spans="1:45" s="81" customFormat="1" hidden="1" x14ac:dyDescent="0.25">
      <c r="A806" s="61">
        <f t="shared" si="27"/>
        <v>0</v>
      </c>
      <c r="B806" s="62">
        <f t="shared" si="27"/>
        <v>0</v>
      </c>
      <c r="C806" s="62" t="b">
        <f>IF(Tab.11[[#This Row],[a1]]=1,[3]!Tab_x1[[#This Row],[Name]])</f>
        <v>0</v>
      </c>
      <c r="D806" s="63" t="b">
        <f>IF(Tab.11[[#This Row],[a1]]=1,AO806)</f>
        <v>0</v>
      </c>
      <c r="E806" s="63">
        <f t="shared" si="26"/>
        <v>0</v>
      </c>
      <c r="F806" s="64" t="b">
        <f>IF(Tab.11[[#This Row],[a1]]=1,Tab.11[[#This Row],[b1]])</f>
        <v>0</v>
      </c>
      <c r="G806" s="65" t="b">
        <f>IF(Tab.11[[#This Row],[a1]]=1,IF(Tab.11[[#This Row],[b3]]&gt;$L$989*$G$3,$L$989*$G$3,IF(Tab.11[[#This Row],[b3]]&lt;$M$989*$G$3,$M$989*$G$3,Tab.11[[#This Row],[b3]])))</f>
        <v>0</v>
      </c>
      <c r="H806" s="66" t="b">
        <f>IF(Tab.11[[#This Row],[a1]]=1,Tab.11[[#This Row],[b1]])</f>
        <v>0</v>
      </c>
      <c r="I806" s="67" t="b">
        <f>IF(Tab.11[[#This Row],[a1]]=1,Tab.11[[#This Row],[b1]])</f>
        <v>0</v>
      </c>
      <c r="J806" s="68" t="b">
        <f>IF(Tab.11[[#This Row],[a1]]=1,IF($I$3&lt;0,Tab.11[[#This Row],[b5]]-$I$3,Tab.11[[#This Row],[b5]]))</f>
        <v>0</v>
      </c>
      <c r="K806" s="68" t="b">
        <f>IF(Tab.11[[#This Row],[a1]]=1,IF($K$3=0,Tab.11[b6],Tab.11[[#This Row],[b6]]-AVERAGE(Tab.11[b6])))</f>
        <v>0</v>
      </c>
      <c r="L806" s="69" t="b">
        <f>IF(Tab.11[[#This Row],[a1]]=1,Tab.11[[#This Row],[data]]/(_xlfn.STDEV.P(Tab.11[data])*$B$989)+$A$989)</f>
        <v>0</v>
      </c>
      <c r="M806" s="69" t="b">
        <f>IF(Tab.11[[#This Row],[a1]]=1,Tab.11[[#This Row],[data]]/(_xlfn.STDEV.P(Tab.11[data])*$B$987)-$A$987)</f>
        <v>0</v>
      </c>
      <c r="N806" s="69" t="b">
        <f>IF(Tab.11[[#This Row],[a1]]=1,Tab.11[[#This Row],[data]]/(_xlfn.STDEV.P(Tab.11[data])*$B$988)+$A$988)</f>
        <v>0</v>
      </c>
      <c r="O806" s="70" t="b">
        <f>IF(Tab.11[[#This Row],[a1]]=1,_xlfn.NORM.DIST(Tab.11[[#This Row],[b8]],$P$1,$Q$1,FALSE))</f>
        <v>0</v>
      </c>
      <c r="P806" s="70" t="b">
        <f>IF(Tab.11[[#This Row],[a1]]=1,_xlfn.NORM.DIST(Tab.11[[#This Row],[b9]],$P$1,$Q$1,FALSE))</f>
        <v>0</v>
      </c>
      <c r="Q806" s="70" t="b">
        <f>IF(Tab.11[[#This Row],[a1]]=1,_xlfn.NORM.DIST(Tab.11[[#This Row],[b10]],$P$1,$Q$1,FALSE))</f>
        <v>0</v>
      </c>
      <c r="R806" s="67" t="b">
        <f>IF(Tab.11[[#This Row],[a1]]=1,$I$3+$A$989+IF($K$3=0,Tab.11[[#This Row],[b8]]*_xlfn.STDEV.P(Tab.11[data]),AVERAGE(Tab.11[b6])+Tab.11[[#This Row],[b8]]*_xlfn.STDEV.P(Tab.11[data])))</f>
        <v>0</v>
      </c>
      <c r="S806" s="71" t="b">
        <f>IF(Tab.11[[#This Row],[a1]]=1,$I$3+$A$987+IF($K$3=0,Tab.11[[#This Row],[b9]]*_xlfn.STDEV.P(Tab.11[data]),AVERAGE(Tab.11[b6])+Tab.11[[#This Row],[b9]]*_xlfn.STDEV.P(Tab.11[data])))</f>
        <v>0</v>
      </c>
      <c r="T806" s="71" t="b">
        <f>IF(Tab.11[[#This Row],[a1]]=1,$I$3+$A$988+IF($K$3=0,Tab.11[[#This Row],[b10]]*_xlfn.STDEV.P(Tab.11[data]),AVERAGE(Tab.11[b6])+Tab.11[[#This Row],[b10]]*_xlfn.STDEV.P(Tab.11[data])))</f>
        <v>0</v>
      </c>
      <c r="U806" s="72" t="b">
        <f>IF(Tab.11[[#This Row],[a1]]=1,Tab.11[[#This Row],[target]]-Tab.11[[#This Row],[Red]])</f>
        <v>0</v>
      </c>
      <c r="V806" s="72" t="b">
        <f>IF(Tab.11[[#This Row],[a1]]=1,Tab.11[[#This Row],[target]]-Tab.11[[#This Row],[Blue]])</f>
        <v>0</v>
      </c>
      <c r="W806" s="73" t="b">
        <f>IF(Tab.11[[#This Row],[a1]]=1,IF(ABS(Tab.11[[#This Row],[b17]])+ABS(Tab.11[[#This Row],[b18]])&lt;$W$2,$W$2,ABS(Tab.11[[#This Row],[b17]])+ABS(Tab.11[[#This Row],[b18]])))</f>
        <v>0</v>
      </c>
      <c r="X806" s="136" t="b">
        <f>IF(Tab.11[[#This Row],[a1]]=1,IF($W$3&lt;0,Tab.11[[#This Row],[IN]]-$I$3,Tab.11[[#This Row],[IN]]))</f>
        <v>0</v>
      </c>
      <c r="Y806" s="136" t="b">
        <f>IF(Tab.11[[#This Row],[a1]]=1,IF($X$3=0,Tab.11[b66],Tab.11[[#This Row],[b66]]-AVERAGE(Tab.11[b66])))</f>
        <v>0</v>
      </c>
      <c r="Z806" s="135" t="b">
        <f>IF(Tab.11[[#This Row],[a1]]=1,Tab.11[[#This Row],[b77]]/(_xlfn.STDEV.P(Tab.11[b77])))</f>
        <v>0</v>
      </c>
      <c r="AA806" s="70" t="b">
        <f>IF(Tab.11[[#This Row],[a1]]=1,_xlfn.NORM.DIST(Tab.11[[#This Row],[b88]],$Z$1,$AA$1,FALSE))</f>
        <v>0</v>
      </c>
      <c r="AB806" s="74" t="b">
        <f>IF(Tab.11[[#This Row],[a1]]=1,IF($A$3=0,FALSE,1/Tab.11[[#This Row],[IN]]*$AC$2*IF(Tab.11[[#This Row],[a1]]=0,,$A$3*$AC$1*1/$V$3*(Tab.11[[#This Row],[b14]]))))</f>
        <v>0</v>
      </c>
      <c r="AC806" s="75" t="b">
        <f>IF(Tab.11[[#This Row],[a1]]=1,IF($AC$3=0,Tab.11[[#This Row],[φ1]],Tab.11[[#This Row],[φ1]]/MAX(Tab.11[φ1])))</f>
        <v>0</v>
      </c>
      <c r="AD806" s="74" t="b">
        <f>IF(Tab.11[[#This Row],[a1]]=1,1/Tab.11[[#This Row],[φ2]])</f>
        <v>0</v>
      </c>
      <c r="AE806" s="74" t="b">
        <f>IF(Tab.11[[#This Row],[a1]]=1,IF($AE$3=0,Tab.11[[#This Row],[w.0]],Tab.11[[#This Row],[w.0]]/SUM(Tab.11[w.0])))</f>
        <v>0</v>
      </c>
      <c r="AF806" s="76" t="str">
        <f>IF(Tab.11[[#This Row],[a1]]=0,"false",[3]!Tab.x5[[#This Row],[%_seN_C]])</f>
        <v>false</v>
      </c>
      <c r="AG806" s="77" t="b">
        <f>IF(Tab.11[[#This Row],[a1]]=1,AP806)</f>
        <v>0</v>
      </c>
      <c r="AH806" s="78" t="b">
        <f>IF(Tab.11[[#This Row],[a1]]=1,AQ806)</f>
        <v>0</v>
      </c>
      <c r="AI806" s="41">
        <v>3.0000000000000001E-3</v>
      </c>
      <c r="AJ806" s="79">
        <v>0.1</v>
      </c>
      <c r="AK806" s="80" t="b">
        <f>IF(Tab.11[[#This Row],[a1]]=1,1)</f>
        <v>0</v>
      </c>
      <c r="AL806"/>
      <c r="AM806"/>
      <c r="AN806"/>
      <c r="AO806"/>
      <c r="AP806"/>
      <c r="AQ806"/>
      <c r="AR806"/>
      <c r="AS806"/>
    </row>
    <row r="807" spans="1:45" s="81" customFormat="1" hidden="1" x14ac:dyDescent="0.25">
      <c r="A807" s="61">
        <f t="shared" si="27"/>
        <v>0</v>
      </c>
      <c r="B807" s="62">
        <f t="shared" si="27"/>
        <v>0</v>
      </c>
      <c r="C807" s="62" t="b">
        <f>IF(Tab.11[[#This Row],[a1]]=1,[3]!Tab_x1[[#This Row],[Name]])</f>
        <v>0</v>
      </c>
      <c r="D807" s="63" t="b">
        <f>IF(Tab.11[[#This Row],[a1]]=1,AO807)</f>
        <v>0</v>
      </c>
      <c r="E807" s="63">
        <f t="shared" si="26"/>
        <v>0</v>
      </c>
      <c r="F807" s="64" t="b">
        <f>IF(Tab.11[[#This Row],[a1]]=1,Tab.11[[#This Row],[b1]])</f>
        <v>0</v>
      </c>
      <c r="G807" s="65" t="b">
        <f>IF(Tab.11[[#This Row],[a1]]=1,IF(Tab.11[[#This Row],[b3]]&gt;$L$989*$G$3,$L$989*$G$3,IF(Tab.11[[#This Row],[b3]]&lt;$M$989*$G$3,$M$989*$G$3,Tab.11[[#This Row],[b3]])))</f>
        <v>0</v>
      </c>
      <c r="H807" s="66" t="b">
        <f>IF(Tab.11[[#This Row],[a1]]=1,Tab.11[[#This Row],[b1]])</f>
        <v>0</v>
      </c>
      <c r="I807" s="67" t="b">
        <f>IF(Tab.11[[#This Row],[a1]]=1,Tab.11[[#This Row],[b1]])</f>
        <v>0</v>
      </c>
      <c r="J807" s="68" t="b">
        <f>IF(Tab.11[[#This Row],[a1]]=1,IF($I$3&lt;0,Tab.11[[#This Row],[b5]]-$I$3,Tab.11[[#This Row],[b5]]))</f>
        <v>0</v>
      </c>
      <c r="K807" s="68" t="b">
        <f>IF(Tab.11[[#This Row],[a1]]=1,IF($K$3=0,Tab.11[b6],Tab.11[[#This Row],[b6]]-AVERAGE(Tab.11[b6])))</f>
        <v>0</v>
      </c>
      <c r="L807" s="69" t="b">
        <f>IF(Tab.11[[#This Row],[a1]]=1,Tab.11[[#This Row],[data]]/(_xlfn.STDEV.P(Tab.11[data])*$B$989)+$A$989)</f>
        <v>0</v>
      </c>
      <c r="M807" s="69" t="b">
        <f>IF(Tab.11[[#This Row],[a1]]=1,Tab.11[[#This Row],[data]]/(_xlfn.STDEV.P(Tab.11[data])*$B$987)-$A$987)</f>
        <v>0</v>
      </c>
      <c r="N807" s="69" t="b">
        <f>IF(Tab.11[[#This Row],[a1]]=1,Tab.11[[#This Row],[data]]/(_xlfn.STDEV.P(Tab.11[data])*$B$988)+$A$988)</f>
        <v>0</v>
      </c>
      <c r="O807" s="70" t="b">
        <f>IF(Tab.11[[#This Row],[a1]]=1,_xlfn.NORM.DIST(Tab.11[[#This Row],[b8]],$P$1,$Q$1,FALSE))</f>
        <v>0</v>
      </c>
      <c r="P807" s="70" t="b">
        <f>IF(Tab.11[[#This Row],[a1]]=1,_xlfn.NORM.DIST(Tab.11[[#This Row],[b9]],$P$1,$Q$1,FALSE))</f>
        <v>0</v>
      </c>
      <c r="Q807" s="70" t="b">
        <f>IF(Tab.11[[#This Row],[a1]]=1,_xlfn.NORM.DIST(Tab.11[[#This Row],[b10]],$P$1,$Q$1,FALSE))</f>
        <v>0</v>
      </c>
      <c r="R807" s="67" t="b">
        <f>IF(Tab.11[[#This Row],[a1]]=1,$I$3+$A$989+IF($K$3=0,Tab.11[[#This Row],[b8]]*_xlfn.STDEV.P(Tab.11[data]),AVERAGE(Tab.11[b6])+Tab.11[[#This Row],[b8]]*_xlfn.STDEV.P(Tab.11[data])))</f>
        <v>0</v>
      </c>
      <c r="S807" s="71" t="b">
        <f>IF(Tab.11[[#This Row],[a1]]=1,$I$3+$A$987+IF($K$3=0,Tab.11[[#This Row],[b9]]*_xlfn.STDEV.P(Tab.11[data]),AVERAGE(Tab.11[b6])+Tab.11[[#This Row],[b9]]*_xlfn.STDEV.P(Tab.11[data])))</f>
        <v>0</v>
      </c>
      <c r="T807" s="71" t="b">
        <f>IF(Tab.11[[#This Row],[a1]]=1,$I$3+$A$988+IF($K$3=0,Tab.11[[#This Row],[b10]]*_xlfn.STDEV.P(Tab.11[data]),AVERAGE(Tab.11[b6])+Tab.11[[#This Row],[b10]]*_xlfn.STDEV.P(Tab.11[data])))</f>
        <v>0</v>
      </c>
      <c r="U807" s="72" t="b">
        <f>IF(Tab.11[[#This Row],[a1]]=1,Tab.11[[#This Row],[target]]-Tab.11[[#This Row],[Red]])</f>
        <v>0</v>
      </c>
      <c r="V807" s="72" t="b">
        <f>IF(Tab.11[[#This Row],[a1]]=1,Tab.11[[#This Row],[target]]-Tab.11[[#This Row],[Blue]])</f>
        <v>0</v>
      </c>
      <c r="W807" s="73" t="b">
        <f>IF(Tab.11[[#This Row],[a1]]=1,IF(ABS(Tab.11[[#This Row],[b17]])+ABS(Tab.11[[#This Row],[b18]])&lt;$W$2,$W$2,ABS(Tab.11[[#This Row],[b17]])+ABS(Tab.11[[#This Row],[b18]])))</f>
        <v>0</v>
      </c>
      <c r="X807" s="136" t="b">
        <f>IF(Tab.11[[#This Row],[a1]]=1,IF($W$3&lt;0,Tab.11[[#This Row],[IN]]-$I$3,Tab.11[[#This Row],[IN]]))</f>
        <v>0</v>
      </c>
      <c r="Y807" s="136" t="b">
        <f>IF(Tab.11[[#This Row],[a1]]=1,IF($X$3=0,Tab.11[b66],Tab.11[[#This Row],[b66]]-AVERAGE(Tab.11[b66])))</f>
        <v>0</v>
      </c>
      <c r="Z807" s="135" t="b">
        <f>IF(Tab.11[[#This Row],[a1]]=1,Tab.11[[#This Row],[b77]]/(_xlfn.STDEV.P(Tab.11[b77])))</f>
        <v>0</v>
      </c>
      <c r="AA807" s="70" t="b">
        <f>IF(Tab.11[[#This Row],[a1]]=1,_xlfn.NORM.DIST(Tab.11[[#This Row],[b88]],$Z$1,$AA$1,FALSE))</f>
        <v>0</v>
      </c>
      <c r="AB807" s="74" t="b">
        <f>IF(Tab.11[[#This Row],[a1]]=1,IF($A$3=0,FALSE,1/Tab.11[[#This Row],[IN]]*$AC$2*IF(Tab.11[[#This Row],[a1]]=0,,$A$3*$AC$1*1/$V$3*(Tab.11[[#This Row],[b14]]))))</f>
        <v>0</v>
      </c>
      <c r="AC807" s="75" t="b">
        <f>IF(Tab.11[[#This Row],[a1]]=1,IF($AC$3=0,Tab.11[[#This Row],[φ1]],Tab.11[[#This Row],[φ1]]/MAX(Tab.11[φ1])))</f>
        <v>0</v>
      </c>
      <c r="AD807" s="74" t="b">
        <f>IF(Tab.11[[#This Row],[a1]]=1,1/Tab.11[[#This Row],[φ2]])</f>
        <v>0</v>
      </c>
      <c r="AE807" s="74" t="b">
        <f>IF(Tab.11[[#This Row],[a1]]=1,IF($AE$3=0,Tab.11[[#This Row],[w.0]],Tab.11[[#This Row],[w.0]]/SUM(Tab.11[w.0])))</f>
        <v>0</v>
      </c>
      <c r="AF807" s="76" t="str">
        <f>IF(Tab.11[[#This Row],[a1]]=0,"false",[3]!Tab.x5[[#This Row],[%_seN_C]])</f>
        <v>false</v>
      </c>
      <c r="AG807" s="77" t="b">
        <f>IF(Tab.11[[#This Row],[a1]]=1,AP807)</f>
        <v>0</v>
      </c>
      <c r="AH807" s="78" t="b">
        <f>IF(Tab.11[[#This Row],[a1]]=1,AQ807)</f>
        <v>0</v>
      </c>
      <c r="AI807" s="41">
        <v>3.0000000000000001E-3</v>
      </c>
      <c r="AJ807" s="79">
        <v>0.01</v>
      </c>
      <c r="AK807" s="80" t="b">
        <f>IF(Tab.11[[#This Row],[a1]]=1,1)</f>
        <v>0</v>
      </c>
      <c r="AL807"/>
      <c r="AM807"/>
      <c r="AN807"/>
      <c r="AO807"/>
      <c r="AP807"/>
      <c r="AQ807"/>
      <c r="AR807"/>
      <c r="AS807"/>
    </row>
    <row r="808" spans="1:45" s="81" customFormat="1" hidden="1" x14ac:dyDescent="0.25">
      <c r="A808" s="61">
        <f t="shared" si="27"/>
        <v>0</v>
      </c>
      <c r="B808" s="62">
        <f t="shared" si="27"/>
        <v>0</v>
      </c>
      <c r="C808" s="62" t="b">
        <f>IF(Tab.11[[#This Row],[a1]]=1,[3]!Tab_x1[[#This Row],[Name]])</f>
        <v>0</v>
      </c>
      <c r="D808" s="63" t="b">
        <f>IF(Tab.11[[#This Row],[a1]]=1,AO808)</f>
        <v>0</v>
      </c>
      <c r="E808" s="63">
        <f t="shared" si="26"/>
        <v>0</v>
      </c>
      <c r="F808" s="64" t="b">
        <f>IF(Tab.11[[#This Row],[a1]]=1,Tab.11[[#This Row],[b1]])</f>
        <v>0</v>
      </c>
      <c r="G808" s="65" t="b">
        <f>IF(Tab.11[[#This Row],[a1]]=1,IF(Tab.11[[#This Row],[b3]]&gt;$L$989*$G$3,$L$989*$G$3,IF(Tab.11[[#This Row],[b3]]&lt;$M$989*$G$3,$M$989*$G$3,Tab.11[[#This Row],[b3]])))</f>
        <v>0</v>
      </c>
      <c r="H808" s="66" t="b">
        <f>IF(Tab.11[[#This Row],[a1]]=1,Tab.11[[#This Row],[b1]])</f>
        <v>0</v>
      </c>
      <c r="I808" s="67" t="b">
        <f>IF(Tab.11[[#This Row],[a1]]=1,Tab.11[[#This Row],[b1]])</f>
        <v>0</v>
      </c>
      <c r="J808" s="68" t="b">
        <f>IF(Tab.11[[#This Row],[a1]]=1,IF($I$3&lt;0,Tab.11[[#This Row],[b5]]-$I$3,Tab.11[[#This Row],[b5]]))</f>
        <v>0</v>
      </c>
      <c r="K808" s="68" t="b">
        <f>IF(Tab.11[[#This Row],[a1]]=1,IF($K$3=0,Tab.11[b6],Tab.11[[#This Row],[b6]]-AVERAGE(Tab.11[b6])))</f>
        <v>0</v>
      </c>
      <c r="L808" s="69" t="b">
        <f>IF(Tab.11[[#This Row],[a1]]=1,Tab.11[[#This Row],[data]]/(_xlfn.STDEV.P(Tab.11[data])*$B$989)+$A$989)</f>
        <v>0</v>
      </c>
      <c r="M808" s="69" t="b">
        <f>IF(Tab.11[[#This Row],[a1]]=1,Tab.11[[#This Row],[data]]/(_xlfn.STDEV.P(Tab.11[data])*$B$987)-$A$987)</f>
        <v>0</v>
      </c>
      <c r="N808" s="69" t="b">
        <f>IF(Tab.11[[#This Row],[a1]]=1,Tab.11[[#This Row],[data]]/(_xlfn.STDEV.P(Tab.11[data])*$B$988)+$A$988)</f>
        <v>0</v>
      </c>
      <c r="O808" s="70" t="b">
        <f>IF(Tab.11[[#This Row],[a1]]=1,_xlfn.NORM.DIST(Tab.11[[#This Row],[b8]],$P$1,$Q$1,FALSE))</f>
        <v>0</v>
      </c>
      <c r="P808" s="70" t="b">
        <f>IF(Tab.11[[#This Row],[a1]]=1,_xlfn.NORM.DIST(Tab.11[[#This Row],[b9]],$P$1,$Q$1,FALSE))</f>
        <v>0</v>
      </c>
      <c r="Q808" s="70" t="b">
        <f>IF(Tab.11[[#This Row],[a1]]=1,_xlfn.NORM.DIST(Tab.11[[#This Row],[b10]],$P$1,$Q$1,FALSE))</f>
        <v>0</v>
      </c>
      <c r="R808" s="67" t="b">
        <f>IF(Tab.11[[#This Row],[a1]]=1,$I$3+$A$989+IF($K$3=0,Tab.11[[#This Row],[b8]]*_xlfn.STDEV.P(Tab.11[data]),AVERAGE(Tab.11[b6])+Tab.11[[#This Row],[b8]]*_xlfn.STDEV.P(Tab.11[data])))</f>
        <v>0</v>
      </c>
      <c r="S808" s="71" t="b">
        <f>IF(Tab.11[[#This Row],[a1]]=1,$I$3+$A$987+IF($K$3=0,Tab.11[[#This Row],[b9]]*_xlfn.STDEV.P(Tab.11[data]),AVERAGE(Tab.11[b6])+Tab.11[[#This Row],[b9]]*_xlfn.STDEV.P(Tab.11[data])))</f>
        <v>0</v>
      </c>
      <c r="T808" s="71" t="b">
        <f>IF(Tab.11[[#This Row],[a1]]=1,$I$3+$A$988+IF($K$3=0,Tab.11[[#This Row],[b10]]*_xlfn.STDEV.P(Tab.11[data]),AVERAGE(Tab.11[b6])+Tab.11[[#This Row],[b10]]*_xlfn.STDEV.P(Tab.11[data])))</f>
        <v>0</v>
      </c>
      <c r="U808" s="72" t="b">
        <f>IF(Tab.11[[#This Row],[a1]]=1,Tab.11[[#This Row],[target]]-Tab.11[[#This Row],[Red]])</f>
        <v>0</v>
      </c>
      <c r="V808" s="72" t="b">
        <f>IF(Tab.11[[#This Row],[a1]]=1,Tab.11[[#This Row],[target]]-Tab.11[[#This Row],[Blue]])</f>
        <v>0</v>
      </c>
      <c r="W808" s="73" t="b">
        <f>IF(Tab.11[[#This Row],[a1]]=1,IF(ABS(Tab.11[[#This Row],[b17]])+ABS(Tab.11[[#This Row],[b18]])&lt;$W$2,$W$2,ABS(Tab.11[[#This Row],[b17]])+ABS(Tab.11[[#This Row],[b18]])))</f>
        <v>0</v>
      </c>
      <c r="X808" s="136" t="b">
        <f>IF(Tab.11[[#This Row],[a1]]=1,IF($W$3&lt;0,Tab.11[[#This Row],[IN]]-$I$3,Tab.11[[#This Row],[IN]]))</f>
        <v>0</v>
      </c>
      <c r="Y808" s="136" t="b">
        <f>IF(Tab.11[[#This Row],[a1]]=1,IF($X$3=0,Tab.11[b66],Tab.11[[#This Row],[b66]]-AVERAGE(Tab.11[b66])))</f>
        <v>0</v>
      </c>
      <c r="Z808" s="135" t="b">
        <f>IF(Tab.11[[#This Row],[a1]]=1,Tab.11[[#This Row],[b77]]/(_xlfn.STDEV.P(Tab.11[b77])))</f>
        <v>0</v>
      </c>
      <c r="AA808" s="70" t="b">
        <f>IF(Tab.11[[#This Row],[a1]]=1,_xlfn.NORM.DIST(Tab.11[[#This Row],[b88]],$Z$1,$AA$1,FALSE))</f>
        <v>0</v>
      </c>
      <c r="AB808" s="74" t="b">
        <f>IF(Tab.11[[#This Row],[a1]]=1,IF($A$3=0,FALSE,1/Tab.11[[#This Row],[IN]]*$AC$2*IF(Tab.11[[#This Row],[a1]]=0,,$A$3*$AC$1*1/$V$3*(Tab.11[[#This Row],[b14]]))))</f>
        <v>0</v>
      </c>
      <c r="AC808" s="75" t="b">
        <f>IF(Tab.11[[#This Row],[a1]]=1,IF($AC$3=0,Tab.11[[#This Row],[φ1]],Tab.11[[#This Row],[φ1]]/MAX(Tab.11[φ1])))</f>
        <v>0</v>
      </c>
      <c r="AD808" s="74" t="b">
        <f>IF(Tab.11[[#This Row],[a1]]=1,1/Tab.11[[#This Row],[φ2]])</f>
        <v>0</v>
      </c>
      <c r="AE808" s="74" t="b">
        <f>IF(Tab.11[[#This Row],[a1]]=1,IF($AE$3=0,Tab.11[[#This Row],[w.0]],Tab.11[[#This Row],[w.0]]/SUM(Tab.11[w.0])))</f>
        <v>0</v>
      </c>
      <c r="AF808" s="76" t="str">
        <f>IF(Tab.11[[#This Row],[a1]]=0,"false",[3]!Tab.x5[[#This Row],[%_seN_C]])</f>
        <v>false</v>
      </c>
      <c r="AG808" s="77" t="b">
        <f>IF(Tab.11[[#This Row],[a1]]=1,AP808)</f>
        <v>0</v>
      </c>
      <c r="AH808" s="78" t="b">
        <f>IF(Tab.11[[#This Row],[a1]]=1,AQ808)</f>
        <v>0</v>
      </c>
      <c r="AI808" s="41">
        <v>3.0000000000000001E-3</v>
      </c>
      <c r="AJ808" s="79">
        <v>-7.0000000000000007E-2</v>
      </c>
      <c r="AK808" s="80" t="b">
        <f>IF(Tab.11[[#This Row],[a1]]=1,1)</f>
        <v>0</v>
      </c>
      <c r="AL808"/>
      <c r="AM808"/>
      <c r="AN808"/>
      <c r="AO808"/>
      <c r="AP808"/>
      <c r="AQ808"/>
      <c r="AR808"/>
      <c r="AS808"/>
    </row>
    <row r="809" spans="1:45" s="81" customFormat="1" hidden="1" x14ac:dyDescent="0.25">
      <c r="A809" s="61">
        <f t="shared" si="27"/>
        <v>0</v>
      </c>
      <c r="B809" s="62">
        <f t="shared" si="27"/>
        <v>0</v>
      </c>
      <c r="C809" s="62" t="b">
        <f>IF(Tab.11[[#This Row],[a1]]=1,[3]!Tab_x1[[#This Row],[Name]])</f>
        <v>0</v>
      </c>
      <c r="D809" s="63" t="b">
        <f>IF(Tab.11[[#This Row],[a1]]=1,AO809)</f>
        <v>0</v>
      </c>
      <c r="E809" s="63">
        <f t="shared" si="26"/>
        <v>0</v>
      </c>
      <c r="F809" s="64" t="b">
        <f>IF(Tab.11[[#This Row],[a1]]=1,Tab.11[[#This Row],[b1]])</f>
        <v>0</v>
      </c>
      <c r="G809" s="65" t="b">
        <f>IF(Tab.11[[#This Row],[a1]]=1,IF(Tab.11[[#This Row],[b3]]&gt;$L$989*$G$3,$L$989*$G$3,IF(Tab.11[[#This Row],[b3]]&lt;$M$989*$G$3,$M$989*$G$3,Tab.11[[#This Row],[b3]])))</f>
        <v>0</v>
      </c>
      <c r="H809" s="66" t="b">
        <f>IF(Tab.11[[#This Row],[a1]]=1,Tab.11[[#This Row],[b1]])</f>
        <v>0</v>
      </c>
      <c r="I809" s="67" t="b">
        <f>IF(Tab.11[[#This Row],[a1]]=1,Tab.11[[#This Row],[b1]])</f>
        <v>0</v>
      </c>
      <c r="J809" s="68" t="b">
        <f>IF(Tab.11[[#This Row],[a1]]=1,IF($I$3&lt;0,Tab.11[[#This Row],[b5]]-$I$3,Tab.11[[#This Row],[b5]]))</f>
        <v>0</v>
      </c>
      <c r="K809" s="68" t="b">
        <f>IF(Tab.11[[#This Row],[a1]]=1,IF($K$3=0,Tab.11[b6],Tab.11[[#This Row],[b6]]-AVERAGE(Tab.11[b6])))</f>
        <v>0</v>
      </c>
      <c r="L809" s="69" t="b">
        <f>IF(Tab.11[[#This Row],[a1]]=1,Tab.11[[#This Row],[data]]/(_xlfn.STDEV.P(Tab.11[data])*$B$989)+$A$989)</f>
        <v>0</v>
      </c>
      <c r="M809" s="69" t="b">
        <f>IF(Tab.11[[#This Row],[a1]]=1,Tab.11[[#This Row],[data]]/(_xlfn.STDEV.P(Tab.11[data])*$B$987)-$A$987)</f>
        <v>0</v>
      </c>
      <c r="N809" s="69" t="b">
        <f>IF(Tab.11[[#This Row],[a1]]=1,Tab.11[[#This Row],[data]]/(_xlfn.STDEV.P(Tab.11[data])*$B$988)+$A$988)</f>
        <v>0</v>
      </c>
      <c r="O809" s="70" t="b">
        <f>IF(Tab.11[[#This Row],[a1]]=1,_xlfn.NORM.DIST(Tab.11[[#This Row],[b8]],$P$1,$Q$1,FALSE))</f>
        <v>0</v>
      </c>
      <c r="P809" s="70" t="b">
        <f>IF(Tab.11[[#This Row],[a1]]=1,_xlfn.NORM.DIST(Tab.11[[#This Row],[b9]],$P$1,$Q$1,FALSE))</f>
        <v>0</v>
      </c>
      <c r="Q809" s="70" t="b">
        <f>IF(Tab.11[[#This Row],[a1]]=1,_xlfn.NORM.DIST(Tab.11[[#This Row],[b10]],$P$1,$Q$1,FALSE))</f>
        <v>0</v>
      </c>
      <c r="R809" s="67" t="b">
        <f>IF(Tab.11[[#This Row],[a1]]=1,$I$3+$A$989+IF($K$3=0,Tab.11[[#This Row],[b8]]*_xlfn.STDEV.P(Tab.11[data]),AVERAGE(Tab.11[b6])+Tab.11[[#This Row],[b8]]*_xlfn.STDEV.P(Tab.11[data])))</f>
        <v>0</v>
      </c>
      <c r="S809" s="71" t="b">
        <f>IF(Tab.11[[#This Row],[a1]]=1,$I$3+$A$987+IF($K$3=0,Tab.11[[#This Row],[b9]]*_xlfn.STDEV.P(Tab.11[data]),AVERAGE(Tab.11[b6])+Tab.11[[#This Row],[b9]]*_xlfn.STDEV.P(Tab.11[data])))</f>
        <v>0</v>
      </c>
      <c r="T809" s="71" t="b">
        <f>IF(Tab.11[[#This Row],[a1]]=1,$I$3+$A$988+IF($K$3=0,Tab.11[[#This Row],[b10]]*_xlfn.STDEV.P(Tab.11[data]),AVERAGE(Tab.11[b6])+Tab.11[[#This Row],[b10]]*_xlfn.STDEV.P(Tab.11[data])))</f>
        <v>0</v>
      </c>
      <c r="U809" s="72" t="b">
        <f>IF(Tab.11[[#This Row],[a1]]=1,Tab.11[[#This Row],[target]]-Tab.11[[#This Row],[Red]])</f>
        <v>0</v>
      </c>
      <c r="V809" s="72" t="b">
        <f>IF(Tab.11[[#This Row],[a1]]=1,Tab.11[[#This Row],[target]]-Tab.11[[#This Row],[Blue]])</f>
        <v>0</v>
      </c>
      <c r="W809" s="73" t="b">
        <f>IF(Tab.11[[#This Row],[a1]]=1,IF(ABS(Tab.11[[#This Row],[b17]])+ABS(Tab.11[[#This Row],[b18]])&lt;$W$2,$W$2,ABS(Tab.11[[#This Row],[b17]])+ABS(Tab.11[[#This Row],[b18]])))</f>
        <v>0</v>
      </c>
      <c r="X809" s="136" t="b">
        <f>IF(Tab.11[[#This Row],[a1]]=1,IF($W$3&lt;0,Tab.11[[#This Row],[IN]]-$I$3,Tab.11[[#This Row],[IN]]))</f>
        <v>0</v>
      </c>
      <c r="Y809" s="136" t="b">
        <f>IF(Tab.11[[#This Row],[a1]]=1,IF($X$3=0,Tab.11[b66],Tab.11[[#This Row],[b66]]-AVERAGE(Tab.11[b66])))</f>
        <v>0</v>
      </c>
      <c r="Z809" s="135" t="b">
        <f>IF(Tab.11[[#This Row],[a1]]=1,Tab.11[[#This Row],[b77]]/(_xlfn.STDEV.P(Tab.11[b77])))</f>
        <v>0</v>
      </c>
      <c r="AA809" s="70" t="b">
        <f>IF(Tab.11[[#This Row],[a1]]=1,_xlfn.NORM.DIST(Tab.11[[#This Row],[b88]],$Z$1,$AA$1,FALSE))</f>
        <v>0</v>
      </c>
      <c r="AB809" s="74" t="b">
        <f>IF(Tab.11[[#This Row],[a1]]=1,IF($A$3=0,FALSE,1/Tab.11[[#This Row],[IN]]*$AC$2*IF(Tab.11[[#This Row],[a1]]=0,,$A$3*$AC$1*1/$V$3*(Tab.11[[#This Row],[b14]]))))</f>
        <v>0</v>
      </c>
      <c r="AC809" s="75" t="b">
        <f>IF(Tab.11[[#This Row],[a1]]=1,IF($AC$3=0,Tab.11[[#This Row],[φ1]],Tab.11[[#This Row],[φ1]]/MAX(Tab.11[φ1])))</f>
        <v>0</v>
      </c>
      <c r="AD809" s="74" t="b">
        <f>IF(Tab.11[[#This Row],[a1]]=1,1/Tab.11[[#This Row],[φ2]])</f>
        <v>0</v>
      </c>
      <c r="AE809" s="74" t="b">
        <f>IF(Tab.11[[#This Row],[a1]]=1,IF($AE$3=0,Tab.11[[#This Row],[w.0]],Tab.11[[#This Row],[w.0]]/SUM(Tab.11[w.0])))</f>
        <v>0</v>
      </c>
      <c r="AF809" s="76" t="str">
        <f>IF(Tab.11[[#This Row],[a1]]=0,"false",[3]!Tab.x5[[#This Row],[%_seN_C]])</f>
        <v>false</v>
      </c>
      <c r="AG809" s="77" t="b">
        <f>IF(Tab.11[[#This Row],[a1]]=1,AP809)</f>
        <v>0</v>
      </c>
      <c r="AH809" s="78" t="b">
        <f>IF(Tab.11[[#This Row],[a1]]=1,AQ809)</f>
        <v>0</v>
      </c>
      <c r="AI809" s="41">
        <v>3.0000000000000001E-3</v>
      </c>
      <c r="AJ809" s="79">
        <v>0.1</v>
      </c>
      <c r="AK809" s="80" t="b">
        <f>IF(Tab.11[[#This Row],[a1]]=1,1)</f>
        <v>0</v>
      </c>
      <c r="AL809"/>
      <c r="AM809"/>
      <c r="AN809"/>
      <c r="AO809"/>
      <c r="AP809"/>
      <c r="AQ809"/>
      <c r="AR809"/>
      <c r="AS809"/>
    </row>
    <row r="810" spans="1:45" s="81" customFormat="1" hidden="1" x14ac:dyDescent="0.25">
      <c r="A810" s="61">
        <f t="shared" si="27"/>
        <v>0</v>
      </c>
      <c r="B810" s="62">
        <f t="shared" si="27"/>
        <v>0</v>
      </c>
      <c r="C810" s="62" t="b">
        <f>IF(Tab.11[[#This Row],[a1]]=1,[3]!Tab_x1[[#This Row],[Name]])</f>
        <v>0</v>
      </c>
      <c r="D810" s="63" t="b">
        <f>IF(Tab.11[[#This Row],[a1]]=1,AO810)</f>
        <v>0</v>
      </c>
      <c r="E810" s="63">
        <f t="shared" si="26"/>
        <v>0</v>
      </c>
      <c r="F810" s="64" t="b">
        <f>IF(Tab.11[[#This Row],[a1]]=1,Tab.11[[#This Row],[b1]])</f>
        <v>0</v>
      </c>
      <c r="G810" s="65" t="b">
        <f>IF(Tab.11[[#This Row],[a1]]=1,IF(Tab.11[[#This Row],[b3]]&gt;$L$989*$G$3,$L$989*$G$3,IF(Tab.11[[#This Row],[b3]]&lt;$M$989*$G$3,$M$989*$G$3,Tab.11[[#This Row],[b3]])))</f>
        <v>0</v>
      </c>
      <c r="H810" s="66" t="b">
        <f>IF(Tab.11[[#This Row],[a1]]=1,Tab.11[[#This Row],[b1]])</f>
        <v>0</v>
      </c>
      <c r="I810" s="67" t="b">
        <f>IF(Tab.11[[#This Row],[a1]]=1,Tab.11[[#This Row],[b1]])</f>
        <v>0</v>
      </c>
      <c r="J810" s="68" t="b">
        <f>IF(Tab.11[[#This Row],[a1]]=1,IF($I$3&lt;0,Tab.11[[#This Row],[b5]]-$I$3,Tab.11[[#This Row],[b5]]))</f>
        <v>0</v>
      </c>
      <c r="K810" s="68" t="b">
        <f>IF(Tab.11[[#This Row],[a1]]=1,IF($K$3=0,Tab.11[b6],Tab.11[[#This Row],[b6]]-AVERAGE(Tab.11[b6])))</f>
        <v>0</v>
      </c>
      <c r="L810" s="69" t="b">
        <f>IF(Tab.11[[#This Row],[a1]]=1,Tab.11[[#This Row],[data]]/(_xlfn.STDEV.P(Tab.11[data])*$B$989)+$A$989)</f>
        <v>0</v>
      </c>
      <c r="M810" s="69" t="b">
        <f>IF(Tab.11[[#This Row],[a1]]=1,Tab.11[[#This Row],[data]]/(_xlfn.STDEV.P(Tab.11[data])*$B$987)-$A$987)</f>
        <v>0</v>
      </c>
      <c r="N810" s="69" t="b">
        <f>IF(Tab.11[[#This Row],[a1]]=1,Tab.11[[#This Row],[data]]/(_xlfn.STDEV.P(Tab.11[data])*$B$988)+$A$988)</f>
        <v>0</v>
      </c>
      <c r="O810" s="70" t="b">
        <f>IF(Tab.11[[#This Row],[a1]]=1,_xlfn.NORM.DIST(Tab.11[[#This Row],[b8]],$P$1,$Q$1,FALSE))</f>
        <v>0</v>
      </c>
      <c r="P810" s="70" t="b">
        <f>IF(Tab.11[[#This Row],[a1]]=1,_xlfn.NORM.DIST(Tab.11[[#This Row],[b9]],$P$1,$Q$1,FALSE))</f>
        <v>0</v>
      </c>
      <c r="Q810" s="70" t="b">
        <f>IF(Tab.11[[#This Row],[a1]]=1,_xlfn.NORM.DIST(Tab.11[[#This Row],[b10]],$P$1,$Q$1,FALSE))</f>
        <v>0</v>
      </c>
      <c r="R810" s="67" t="b">
        <f>IF(Tab.11[[#This Row],[a1]]=1,$I$3+$A$989+IF($K$3=0,Tab.11[[#This Row],[b8]]*_xlfn.STDEV.P(Tab.11[data]),AVERAGE(Tab.11[b6])+Tab.11[[#This Row],[b8]]*_xlfn.STDEV.P(Tab.11[data])))</f>
        <v>0</v>
      </c>
      <c r="S810" s="71" t="b">
        <f>IF(Tab.11[[#This Row],[a1]]=1,$I$3+$A$987+IF($K$3=0,Tab.11[[#This Row],[b9]]*_xlfn.STDEV.P(Tab.11[data]),AVERAGE(Tab.11[b6])+Tab.11[[#This Row],[b9]]*_xlfn.STDEV.P(Tab.11[data])))</f>
        <v>0</v>
      </c>
      <c r="T810" s="71" t="b">
        <f>IF(Tab.11[[#This Row],[a1]]=1,$I$3+$A$988+IF($K$3=0,Tab.11[[#This Row],[b10]]*_xlfn.STDEV.P(Tab.11[data]),AVERAGE(Tab.11[b6])+Tab.11[[#This Row],[b10]]*_xlfn.STDEV.P(Tab.11[data])))</f>
        <v>0</v>
      </c>
      <c r="U810" s="72" t="b">
        <f>IF(Tab.11[[#This Row],[a1]]=1,Tab.11[[#This Row],[target]]-Tab.11[[#This Row],[Red]])</f>
        <v>0</v>
      </c>
      <c r="V810" s="72" t="b">
        <f>IF(Tab.11[[#This Row],[a1]]=1,Tab.11[[#This Row],[target]]-Tab.11[[#This Row],[Blue]])</f>
        <v>0</v>
      </c>
      <c r="W810" s="73" t="b">
        <f>IF(Tab.11[[#This Row],[a1]]=1,IF(ABS(Tab.11[[#This Row],[b17]])+ABS(Tab.11[[#This Row],[b18]])&lt;$W$2,$W$2,ABS(Tab.11[[#This Row],[b17]])+ABS(Tab.11[[#This Row],[b18]])))</f>
        <v>0</v>
      </c>
      <c r="X810" s="136" t="b">
        <f>IF(Tab.11[[#This Row],[a1]]=1,IF($W$3&lt;0,Tab.11[[#This Row],[IN]]-$I$3,Tab.11[[#This Row],[IN]]))</f>
        <v>0</v>
      </c>
      <c r="Y810" s="136" t="b">
        <f>IF(Tab.11[[#This Row],[a1]]=1,IF($X$3=0,Tab.11[b66],Tab.11[[#This Row],[b66]]-AVERAGE(Tab.11[b66])))</f>
        <v>0</v>
      </c>
      <c r="Z810" s="135" t="b">
        <f>IF(Tab.11[[#This Row],[a1]]=1,Tab.11[[#This Row],[b77]]/(_xlfn.STDEV.P(Tab.11[b77])))</f>
        <v>0</v>
      </c>
      <c r="AA810" s="70" t="b">
        <f>IF(Tab.11[[#This Row],[a1]]=1,_xlfn.NORM.DIST(Tab.11[[#This Row],[b88]],$Z$1,$AA$1,FALSE))</f>
        <v>0</v>
      </c>
      <c r="AB810" s="74" t="b">
        <f>IF(Tab.11[[#This Row],[a1]]=1,IF($A$3=0,FALSE,1/Tab.11[[#This Row],[IN]]*$AC$2*IF(Tab.11[[#This Row],[a1]]=0,,$A$3*$AC$1*1/$V$3*(Tab.11[[#This Row],[b14]]))))</f>
        <v>0</v>
      </c>
      <c r="AC810" s="75" t="b">
        <f>IF(Tab.11[[#This Row],[a1]]=1,IF($AC$3=0,Tab.11[[#This Row],[φ1]],Tab.11[[#This Row],[φ1]]/MAX(Tab.11[φ1])))</f>
        <v>0</v>
      </c>
      <c r="AD810" s="74" t="b">
        <f>IF(Tab.11[[#This Row],[a1]]=1,1/Tab.11[[#This Row],[φ2]])</f>
        <v>0</v>
      </c>
      <c r="AE810" s="74" t="b">
        <f>IF(Tab.11[[#This Row],[a1]]=1,IF($AE$3=0,Tab.11[[#This Row],[w.0]],Tab.11[[#This Row],[w.0]]/SUM(Tab.11[w.0])))</f>
        <v>0</v>
      </c>
      <c r="AF810" s="76" t="str">
        <f>IF(Tab.11[[#This Row],[a1]]=0,"false",[3]!Tab.x5[[#This Row],[%_seN_C]])</f>
        <v>false</v>
      </c>
      <c r="AG810" s="77" t="b">
        <f>IF(Tab.11[[#This Row],[a1]]=1,AP810)</f>
        <v>0</v>
      </c>
      <c r="AH810" s="78" t="b">
        <f>IF(Tab.11[[#This Row],[a1]]=1,AQ810)</f>
        <v>0</v>
      </c>
      <c r="AI810" s="41">
        <v>3.0000000000000001E-3</v>
      </c>
      <c r="AJ810" s="79">
        <v>0.1</v>
      </c>
      <c r="AK810" s="80" t="b">
        <f>IF(Tab.11[[#This Row],[a1]]=1,1)</f>
        <v>0</v>
      </c>
      <c r="AL810"/>
      <c r="AM810"/>
      <c r="AN810"/>
      <c r="AO810"/>
      <c r="AP810"/>
      <c r="AQ810"/>
      <c r="AR810"/>
      <c r="AS810"/>
    </row>
    <row r="811" spans="1:45" s="81" customFormat="1" hidden="1" x14ac:dyDescent="0.25">
      <c r="A811" s="61">
        <f t="shared" si="27"/>
        <v>0</v>
      </c>
      <c r="B811" s="62">
        <f t="shared" si="27"/>
        <v>0</v>
      </c>
      <c r="C811" s="62" t="b">
        <f>IF(Tab.11[[#This Row],[a1]]=1,[3]!Tab_x1[[#This Row],[Name]])</f>
        <v>0</v>
      </c>
      <c r="D811" s="63" t="b">
        <f>IF(Tab.11[[#This Row],[a1]]=1,AO811)</f>
        <v>0</v>
      </c>
      <c r="E811" s="63">
        <f t="shared" si="26"/>
        <v>0</v>
      </c>
      <c r="F811" s="64" t="b">
        <f>IF(Tab.11[[#This Row],[a1]]=1,Tab.11[[#This Row],[b1]])</f>
        <v>0</v>
      </c>
      <c r="G811" s="65" t="b">
        <f>IF(Tab.11[[#This Row],[a1]]=1,IF(Tab.11[[#This Row],[b3]]&gt;$L$989*$G$3,$L$989*$G$3,IF(Tab.11[[#This Row],[b3]]&lt;$M$989*$G$3,$M$989*$G$3,Tab.11[[#This Row],[b3]])))</f>
        <v>0</v>
      </c>
      <c r="H811" s="66" t="b">
        <f>IF(Tab.11[[#This Row],[a1]]=1,Tab.11[[#This Row],[b1]])</f>
        <v>0</v>
      </c>
      <c r="I811" s="67" t="b">
        <f>IF(Tab.11[[#This Row],[a1]]=1,Tab.11[[#This Row],[b1]])</f>
        <v>0</v>
      </c>
      <c r="J811" s="68" t="b">
        <f>IF(Tab.11[[#This Row],[a1]]=1,IF($I$3&lt;0,Tab.11[[#This Row],[b5]]-$I$3,Tab.11[[#This Row],[b5]]))</f>
        <v>0</v>
      </c>
      <c r="K811" s="68" t="b">
        <f>IF(Tab.11[[#This Row],[a1]]=1,IF($K$3=0,Tab.11[b6],Tab.11[[#This Row],[b6]]-AVERAGE(Tab.11[b6])))</f>
        <v>0</v>
      </c>
      <c r="L811" s="69" t="b">
        <f>IF(Tab.11[[#This Row],[a1]]=1,Tab.11[[#This Row],[data]]/(_xlfn.STDEV.P(Tab.11[data])*$B$989)+$A$989)</f>
        <v>0</v>
      </c>
      <c r="M811" s="69" t="b">
        <f>IF(Tab.11[[#This Row],[a1]]=1,Tab.11[[#This Row],[data]]/(_xlfn.STDEV.P(Tab.11[data])*$B$987)-$A$987)</f>
        <v>0</v>
      </c>
      <c r="N811" s="69" t="b">
        <f>IF(Tab.11[[#This Row],[a1]]=1,Tab.11[[#This Row],[data]]/(_xlfn.STDEV.P(Tab.11[data])*$B$988)+$A$988)</f>
        <v>0</v>
      </c>
      <c r="O811" s="70" t="b">
        <f>IF(Tab.11[[#This Row],[a1]]=1,_xlfn.NORM.DIST(Tab.11[[#This Row],[b8]],$P$1,$Q$1,FALSE))</f>
        <v>0</v>
      </c>
      <c r="P811" s="70" t="b">
        <f>IF(Tab.11[[#This Row],[a1]]=1,_xlfn.NORM.DIST(Tab.11[[#This Row],[b9]],$P$1,$Q$1,FALSE))</f>
        <v>0</v>
      </c>
      <c r="Q811" s="70" t="b">
        <f>IF(Tab.11[[#This Row],[a1]]=1,_xlfn.NORM.DIST(Tab.11[[#This Row],[b10]],$P$1,$Q$1,FALSE))</f>
        <v>0</v>
      </c>
      <c r="R811" s="67" t="b">
        <f>IF(Tab.11[[#This Row],[a1]]=1,$I$3+$A$989+IF($K$3=0,Tab.11[[#This Row],[b8]]*_xlfn.STDEV.P(Tab.11[data]),AVERAGE(Tab.11[b6])+Tab.11[[#This Row],[b8]]*_xlfn.STDEV.P(Tab.11[data])))</f>
        <v>0</v>
      </c>
      <c r="S811" s="71" t="b">
        <f>IF(Tab.11[[#This Row],[a1]]=1,$I$3+$A$987+IF($K$3=0,Tab.11[[#This Row],[b9]]*_xlfn.STDEV.P(Tab.11[data]),AVERAGE(Tab.11[b6])+Tab.11[[#This Row],[b9]]*_xlfn.STDEV.P(Tab.11[data])))</f>
        <v>0</v>
      </c>
      <c r="T811" s="71" t="b">
        <f>IF(Tab.11[[#This Row],[a1]]=1,$I$3+$A$988+IF($K$3=0,Tab.11[[#This Row],[b10]]*_xlfn.STDEV.P(Tab.11[data]),AVERAGE(Tab.11[b6])+Tab.11[[#This Row],[b10]]*_xlfn.STDEV.P(Tab.11[data])))</f>
        <v>0</v>
      </c>
      <c r="U811" s="72" t="b">
        <f>IF(Tab.11[[#This Row],[a1]]=1,Tab.11[[#This Row],[target]]-Tab.11[[#This Row],[Red]])</f>
        <v>0</v>
      </c>
      <c r="V811" s="72" t="b">
        <f>IF(Tab.11[[#This Row],[a1]]=1,Tab.11[[#This Row],[target]]-Tab.11[[#This Row],[Blue]])</f>
        <v>0</v>
      </c>
      <c r="W811" s="73" t="b">
        <f>IF(Tab.11[[#This Row],[a1]]=1,IF(ABS(Tab.11[[#This Row],[b17]])+ABS(Tab.11[[#This Row],[b18]])&lt;$W$2,$W$2,ABS(Tab.11[[#This Row],[b17]])+ABS(Tab.11[[#This Row],[b18]])))</f>
        <v>0</v>
      </c>
      <c r="X811" s="136" t="b">
        <f>IF(Tab.11[[#This Row],[a1]]=1,IF($W$3&lt;0,Tab.11[[#This Row],[IN]]-$I$3,Tab.11[[#This Row],[IN]]))</f>
        <v>0</v>
      </c>
      <c r="Y811" s="136" t="b">
        <f>IF(Tab.11[[#This Row],[a1]]=1,IF($X$3=0,Tab.11[b66],Tab.11[[#This Row],[b66]]-AVERAGE(Tab.11[b66])))</f>
        <v>0</v>
      </c>
      <c r="Z811" s="135" t="b">
        <f>IF(Tab.11[[#This Row],[a1]]=1,Tab.11[[#This Row],[b77]]/(_xlfn.STDEV.P(Tab.11[b77])))</f>
        <v>0</v>
      </c>
      <c r="AA811" s="70" t="b">
        <f>IF(Tab.11[[#This Row],[a1]]=1,_xlfn.NORM.DIST(Tab.11[[#This Row],[b88]],$Z$1,$AA$1,FALSE))</f>
        <v>0</v>
      </c>
      <c r="AB811" s="74" t="b">
        <f>IF(Tab.11[[#This Row],[a1]]=1,IF($A$3=0,FALSE,1/Tab.11[[#This Row],[IN]]*$AC$2*IF(Tab.11[[#This Row],[a1]]=0,,$A$3*$AC$1*1/$V$3*(Tab.11[[#This Row],[b14]]))))</f>
        <v>0</v>
      </c>
      <c r="AC811" s="75" t="b">
        <f>IF(Tab.11[[#This Row],[a1]]=1,IF($AC$3=0,Tab.11[[#This Row],[φ1]],Tab.11[[#This Row],[φ1]]/MAX(Tab.11[φ1])))</f>
        <v>0</v>
      </c>
      <c r="AD811" s="74" t="b">
        <f>IF(Tab.11[[#This Row],[a1]]=1,1/Tab.11[[#This Row],[φ2]])</f>
        <v>0</v>
      </c>
      <c r="AE811" s="74" t="b">
        <f>IF(Tab.11[[#This Row],[a1]]=1,IF($AE$3=0,Tab.11[[#This Row],[w.0]],Tab.11[[#This Row],[w.0]]/SUM(Tab.11[w.0])))</f>
        <v>0</v>
      </c>
      <c r="AF811" s="76" t="str">
        <f>IF(Tab.11[[#This Row],[a1]]=0,"false",[3]!Tab.x5[[#This Row],[%_seN_C]])</f>
        <v>false</v>
      </c>
      <c r="AG811" s="77" t="b">
        <f>IF(Tab.11[[#This Row],[a1]]=1,AP811)</f>
        <v>0</v>
      </c>
      <c r="AH811" s="78" t="b">
        <f>IF(Tab.11[[#This Row],[a1]]=1,AQ811)</f>
        <v>0</v>
      </c>
      <c r="AI811" s="41">
        <v>3.0000000000000001E-3</v>
      </c>
      <c r="AJ811" s="79">
        <v>-0.03</v>
      </c>
      <c r="AK811" s="80" t="b">
        <f>IF(Tab.11[[#This Row],[a1]]=1,1)</f>
        <v>0</v>
      </c>
      <c r="AL811"/>
      <c r="AM811"/>
      <c r="AN811"/>
      <c r="AO811"/>
      <c r="AP811"/>
      <c r="AQ811"/>
      <c r="AR811"/>
      <c r="AS811"/>
    </row>
    <row r="812" spans="1:45" s="81" customFormat="1" hidden="1" x14ac:dyDescent="0.25">
      <c r="A812" s="61">
        <f t="shared" si="27"/>
        <v>0</v>
      </c>
      <c r="B812" s="62">
        <f t="shared" si="27"/>
        <v>0</v>
      </c>
      <c r="C812" s="62" t="b">
        <f>IF(Tab.11[[#This Row],[a1]]=1,[3]!Tab_x1[[#This Row],[Name]])</f>
        <v>0</v>
      </c>
      <c r="D812" s="63" t="b">
        <f>IF(Tab.11[[#This Row],[a1]]=1,AO812)</f>
        <v>0</v>
      </c>
      <c r="E812" s="63">
        <f t="shared" si="26"/>
        <v>0</v>
      </c>
      <c r="F812" s="64" t="b">
        <f>IF(Tab.11[[#This Row],[a1]]=1,Tab.11[[#This Row],[b1]])</f>
        <v>0</v>
      </c>
      <c r="G812" s="65" t="b">
        <f>IF(Tab.11[[#This Row],[a1]]=1,IF(Tab.11[[#This Row],[b3]]&gt;$L$989*$G$3,$L$989*$G$3,IF(Tab.11[[#This Row],[b3]]&lt;$M$989*$G$3,$M$989*$G$3,Tab.11[[#This Row],[b3]])))</f>
        <v>0</v>
      </c>
      <c r="H812" s="66" t="b">
        <f>IF(Tab.11[[#This Row],[a1]]=1,Tab.11[[#This Row],[b1]])</f>
        <v>0</v>
      </c>
      <c r="I812" s="67" t="b">
        <f>IF(Tab.11[[#This Row],[a1]]=1,Tab.11[[#This Row],[b1]])</f>
        <v>0</v>
      </c>
      <c r="J812" s="68" t="b">
        <f>IF(Tab.11[[#This Row],[a1]]=1,IF($I$3&lt;0,Tab.11[[#This Row],[b5]]-$I$3,Tab.11[[#This Row],[b5]]))</f>
        <v>0</v>
      </c>
      <c r="K812" s="68" t="b">
        <f>IF(Tab.11[[#This Row],[a1]]=1,IF($K$3=0,Tab.11[b6],Tab.11[[#This Row],[b6]]-AVERAGE(Tab.11[b6])))</f>
        <v>0</v>
      </c>
      <c r="L812" s="69" t="b">
        <f>IF(Tab.11[[#This Row],[a1]]=1,Tab.11[[#This Row],[data]]/(_xlfn.STDEV.P(Tab.11[data])*$B$989)+$A$989)</f>
        <v>0</v>
      </c>
      <c r="M812" s="69" t="b">
        <f>IF(Tab.11[[#This Row],[a1]]=1,Tab.11[[#This Row],[data]]/(_xlfn.STDEV.P(Tab.11[data])*$B$987)-$A$987)</f>
        <v>0</v>
      </c>
      <c r="N812" s="69" t="b">
        <f>IF(Tab.11[[#This Row],[a1]]=1,Tab.11[[#This Row],[data]]/(_xlfn.STDEV.P(Tab.11[data])*$B$988)+$A$988)</f>
        <v>0</v>
      </c>
      <c r="O812" s="70" t="b">
        <f>IF(Tab.11[[#This Row],[a1]]=1,_xlfn.NORM.DIST(Tab.11[[#This Row],[b8]],$P$1,$Q$1,FALSE))</f>
        <v>0</v>
      </c>
      <c r="P812" s="70" t="b">
        <f>IF(Tab.11[[#This Row],[a1]]=1,_xlfn.NORM.DIST(Tab.11[[#This Row],[b9]],$P$1,$Q$1,FALSE))</f>
        <v>0</v>
      </c>
      <c r="Q812" s="70" t="b">
        <f>IF(Tab.11[[#This Row],[a1]]=1,_xlfn.NORM.DIST(Tab.11[[#This Row],[b10]],$P$1,$Q$1,FALSE))</f>
        <v>0</v>
      </c>
      <c r="R812" s="67" t="b">
        <f>IF(Tab.11[[#This Row],[a1]]=1,$I$3+$A$989+IF($K$3=0,Tab.11[[#This Row],[b8]]*_xlfn.STDEV.P(Tab.11[data]),AVERAGE(Tab.11[b6])+Tab.11[[#This Row],[b8]]*_xlfn.STDEV.P(Tab.11[data])))</f>
        <v>0</v>
      </c>
      <c r="S812" s="71" t="b">
        <f>IF(Tab.11[[#This Row],[a1]]=1,$I$3+$A$987+IF($K$3=0,Tab.11[[#This Row],[b9]]*_xlfn.STDEV.P(Tab.11[data]),AVERAGE(Tab.11[b6])+Tab.11[[#This Row],[b9]]*_xlfn.STDEV.P(Tab.11[data])))</f>
        <v>0</v>
      </c>
      <c r="T812" s="71" t="b">
        <f>IF(Tab.11[[#This Row],[a1]]=1,$I$3+$A$988+IF($K$3=0,Tab.11[[#This Row],[b10]]*_xlfn.STDEV.P(Tab.11[data]),AVERAGE(Tab.11[b6])+Tab.11[[#This Row],[b10]]*_xlfn.STDEV.P(Tab.11[data])))</f>
        <v>0</v>
      </c>
      <c r="U812" s="72" t="b">
        <f>IF(Tab.11[[#This Row],[a1]]=1,Tab.11[[#This Row],[target]]-Tab.11[[#This Row],[Red]])</f>
        <v>0</v>
      </c>
      <c r="V812" s="72" t="b">
        <f>IF(Tab.11[[#This Row],[a1]]=1,Tab.11[[#This Row],[target]]-Tab.11[[#This Row],[Blue]])</f>
        <v>0</v>
      </c>
      <c r="W812" s="73" t="b">
        <f>IF(Tab.11[[#This Row],[a1]]=1,IF(ABS(Tab.11[[#This Row],[b17]])+ABS(Tab.11[[#This Row],[b18]])&lt;$W$2,$W$2,ABS(Tab.11[[#This Row],[b17]])+ABS(Tab.11[[#This Row],[b18]])))</f>
        <v>0</v>
      </c>
      <c r="X812" s="136" t="b">
        <f>IF(Tab.11[[#This Row],[a1]]=1,IF($W$3&lt;0,Tab.11[[#This Row],[IN]]-$I$3,Tab.11[[#This Row],[IN]]))</f>
        <v>0</v>
      </c>
      <c r="Y812" s="136" t="b">
        <f>IF(Tab.11[[#This Row],[a1]]=1,IF($X$3=0,Tab.11[b66],Tab.11[[#This Row],[b66]]-AVERAGE(Tab.11[b66])))</f>
        <v>0</v>
      </c>
      <c r="Z812" s="135" t="b">
        <f>IF(Tab.11[[#This Row],[a1]]=1,Tab.11[[#This Row],[b77]]/(_xlfn.STDEV.P(Tab.11[b77])))</f>
        <v>0</v>
      </c>
      <c r="AA812" s="70" t="b">
        <f>IF(Tab.11[[#This Row],[a1]]=1,_xlfn.NORM.DIST(Tab.11[[#This Row],[b88]],$Z$1,$AA$1,FALSE))</f>
        <v>0</v>
      </c>
      <c r="AB812" s="74" t="b">
        <f>IF(Tab.11[[#This Row],[a1]]=1,IF($A$3=0,FALSE,1/Tab.11[[#This Row],[IN]]*$AC$2*IF(Tab.11[[#This Row],[a1]]=0,,$A$3*$AC$1*1/$V$3*(Tab.11[[#This Row],[b14]]))))</f>
        <v>0</v>
      </c>
      <c r="AC812" s="75" t="b">
        <f>IF(Tab.11[[#This Row],[a1]]=1,IF($AC$3=0,Tab.11[[#This Row],[φ1]],Tab.11[[#This Row],[φ1]]/MAX(Tab.11[φ1])))</f>
        <v>0</v>
      </c>
      <c r="AD812" s="74" t="b">
        <f>IF(Tab.11[[#This Row],[a1]]=1,1/Tab.11[[#This Row],[φ2]])</f>
        <v>0</v>
      </c>
      <c r="AE812" s="74" t="b">
        <f>IF(Tab.11[[#This Row],[a1]]=1,IF($AE$3=0,Tab.11[[#This Row],[w.0]],Tab.11[[#This Row],[w.0]]/SUM(Tab.11[w.0])))</f>
        <v>0</v>
      </c>
      <c r="AF812" s="76" t="str">
        <f>IF(Tab.11[[#This Row],[a1]]=0,"false",[3]!Tab.x5[[#This Row],[%_seN_C]])</f>
        <v>false</v>
      </c>
      <c r="AG812" s="77" t="b">
        <f>IF(Tab.11[[#This Row],[a1]]=1,AP812)</f>
        <v>0</v>
      </c>
      <c r="AH812" s="78" t="b">
        <f>IF(Tab.11[[#This Row],[a1]]=1,AQ812)</f>
        <v>0</v>
      </c>
      <c r="AI812" s="41">
        <v>3.0000000000000001E-3</v>
      </c>
      <c r="AJ812" s="79">
        <v>7.0000000000000007E-2</v>
      </c>
      <c r="AK812" s="80" t="b">
        <f>IF(Tab.11[[#This Row],[a1]]=1,1)</f>
        <v>0</v>
      </c>
      <c r="AL812"/>
      <c r="AM812"/>
      <c r="AN812"/>
      <c r="AO812"/>
      <c r="AP812"/>
      <c r="AQ812"/>
      <c r="AR812"/>
      <c r="AS812"/>
    </row>
    <row r="813" spans="1:45" s="81" customFormat="1" hidden="1" x14ac:dyDescent="0.25">
      <c r="A813" s="61">
        <f t="shared" si="27"/>
        <v>0</v>
      </c>
      <c r="B813" s="62">
        <f t="shared" si="27"/>
        <v>0</v>
      </c>
      <c r="C813" s="62" t="b">
        <f>IF(Tab.11[[#This Row],[a1]]=1,[3]!Tab_x1[[#This Row],[Name]])</f>
        <v>0</v>
      </c>
      <c r="D813" s="63" t="b">
        <f>IF(Tab.11[[#This Row],[a1]]=1,AO813)</f>
        <v>0</v>
      </c>
      <c r="E813" s="63">
        <f t="shared" si="26"/>
        <v>0</v>
      </c>
      <c r="F813" s="64" t="b">
        <f>IF(Tab.11[[#This Row],[a1]]=1,Tab.11[[#This Row],[b1]])</f>
        <v>0</v>
      </c>
      <c r="G813" s="65" t="b">
        <f>IF(Tab.11[[#This Row],[a1]]=1,IF(Tab.11[[#This Row],[b3]]&gt;$L$989*$G$3,$L$989*$G$3,IF(Tab.11[[#This Row],[b3]]&lt;$M$989*$G$3,$M$989*$G$3,Tab.11[[#This Row],[b3]])))</f>
        <v>0</v>
      </c>
      <c r="H813" s="66" t="b">
        <f>IF(Tab.11[[#This Row],[a1]]=1,Tab.11[[#This Row],[b1]])</f>
        <v>0</v>
      </c>
      <c r="I813" s="67" t="b">
        <f>IF(Tab.11[[#This Row],[a1]]=1,Tab.11[[#This Row],[b1]])</f>
        <v>0</v>
      </c>
      <c r="J813" s="68" t="b">
        <f>IF(Tab.11[[#This Row],[a1]]=1,IF($I$3&lt;0,Tab.11[[#This Row],[b5]]-$I$3,Tab.11[[#This Row],[b5]]))</f>
        <v>0</v>
      </c>
      <c r="K813" s="68" t="b">
        <f>IF(Tab.11[[#This Row],[a1]]=1,IF($K$3=0,Tab.11[b6],Tab.11[[#This Row],[b6]]-AVERAGE(Tab.11[b6])))</f>
        <v>0</v>
      </c>
      <c r="L813" s="69" t="b">
        <f>IF(Tab.11[[#This Row],[a1]]=1,Tab.11[[#This Row],[data]]/(_xlfn.STDEV.P(Tab.11[data])*$B$989)+$A$989)</f>
        <v>0</v>
      </c>
      <c r="M813" s="69" t="b">
        <f>IF(Tab.11[[#This Row],[a1]]=1,Tab.11[[#This Row],[data]]/(_xlfn.STDEV.P(Tab.11[data])*$B$987)-$A$987)</f>
        <v>0</v>
      </c>
      <c r="N813" s="69" t="b">
        <f>IF(Tab.11[[#This Row],[a1]]=1,Tab.11[[#This Row],[data]]/(_xlfn.STDEV.P(Tab.11[data])*$B$988)+$A$988)</f>
        <v>0</v>
      </c>
      <c r="O813" s="70" t="b">
        <f>IF(Tab.11[[#This Row],[a1]]=1,_xlfn.NORM.DIST(Tab.11[[#This Row],[b8]],$P$1,$Q$1,FALSE))</f>
        <v>0</v>
      </c>
      <c r="P813" s="70" t="b">
        <f>IF(Tab.11[[#This Row],[a1]]=1,_xlfn.NORM.DIST(Tab.11[[#This Row],[b9]],$P$1,$Q$1,FALSE))</f>
        <v>0</v>
      </c>
      <c r="Q813" s="70" t="b">
        <f>IF(Tab.11[[#This Row],[a1]]=1,_xlfn.NORM.DIST(Tab.11[[#This Row],[b10]],$P$1,$Q$1,FALSE))</f>
        <v>0</v>
      </c>
      <c r="R813" s="67" t="b">
        <f>IF(Tab.11[[#This Row],[a1]]=1,$I$3+$A$989+IF($K$3=0,Tab.11[[#This Row],[b8]]*_xlfn.STDEV.P(Tab.11[data]),AVERAGE(Tab.11[b6])+Tab.11[[#This Row],[b8]]*_xlfn.STDEV.P(Tab.11[data])))</f>
        <v>0</v>
      </c>
      <c r="S813" s="71" t="b">
        <f>IF(Tab.11[[#This Row],[a1]]=1,$I$3+$A$987+IF($K$3=0,Tab.11[[#This Row],[b9]]*_xlfn.STDEV.P(Tab.11[data]),AVERAGE(Tab.11[b6])+Tab.11[[#This Row],[b9]]*_xlfn.STDEV.P(Tab.11[data])))</f>
        <v>0</v>
      </c>
      <c r="T813" s="71" t="b">
        <f>IF(Tab.11[[#This Row],[a1]]=1,$I$3+$A$988+IF($K$3=0,Tab.11[[#This Row],[b10]]*_xlfn.STDEV.P(Tab.11[data]),AVERAGE(Tab.11[b6])+Tab.11[[#This Row],[b10]]*_xlfn.STDEV.P(Tab.11[data])))</f>
        <v>0</v>
      </c>
      <c r="U813" s="72" t="b">
        <f>IF(Tab.11[[#This Row],[a1]]=1,Tab.11[[#This Row],[target]]-Tab.11[[#This Row],[Red]])</f>
        <v>0</v>
      </c>
      <c r="V813" s="72" t="b">
        <f>IF(Tab.11[[#This Row],[a1]]=1,Tab.11[[#This Row],[target]]-Tab.11[[#This Row],[Blue]])</f>
        <v>0</v>
      </c>
      <c r="W813" s="73" t="b">
        <f>IF(Tab.11[[#This Row],[a1]]=1,IF(ABS(Tab.11[[#This Row],[b17]])+ABS(Tab.11[[#This Row],[b18]])&lt;$W$2,$W$2,ABS(Tab.11[[#This Row],[b17]])+ABS(Tab.11[[#This Row],[b18]])))</f>
        <v>0</v>
      </c>
      <c r="X813" s="136" t="b">
        <f>IF(Tab.11[[#This Row],[a1]]=1,IF($W$3&lt;0,Tab.11[[#This Row],[IN]]-$I$3,Tab.11[[#This Row],[IN]]))</f>
        <v>0</v>
      </c>
      <c r="Y813" s="136" t="b">
        <f>IF(Tab.11[[#This Row],[a1]]=1,IF($X$3=0,Tab.11[b66],Tab.11[[#This Row],[b66]]-AVERAGE(Tab.11[b66])))</f>
        <v>0</v>
      </c>
      <c r="Z813" s="135" t="b">
        <f>IF(Tab.11[[#This Row],[a1]]=1,Tab.11[[#This Row],[b77]]/(_xlfn.STDEV.P(Tab.11[b77])))</f>
        <v>0</v>
      </c>
      <c r="AA813" s="70" t="b">
        <f>IF(Tab.11[[#This Row],[a1]]=1,_xlfn.NORM.DIST(Tab.11[[#This Row],[b88]],$Z$1,$AA$1,FALSE))</f>
        <v>0</v>
      </c>
      <c r="AB813" s="74" t="b">
        <f>IF(Tab.11[[#This Row],[a1]]=1,IF($A$3=0,FALSE,1/Tab.11[[#This Row],[IN]]*$AC$2*IF(Tab.11[[#This Row],[a1]]=0,,$A$3*$AC$1*1/$V$3*(Tab.11[[#This Row],[b14]]))))</f>
        <v>0</v>
      </c>
      <c r="AC813" s="75" t="b">
        <f>IF(Tab.11[[#This Row],[a1]]=1,IF($AC$3=0,Tab.11[[#This Row],[φ1]],Tab.11[[#This Row],[φ1]]/MAX(Tab.11[φ1])))</f>
        <v>0</v>
      </c>
      <c r="AD813" s="74" t="b">
        <f>IF(Tab.11[[#This Row],[a1]]=1,1/Tab.11[[#This Row],[φ2]])</f>
        <v>0</v>
      </c>
      <c r="AE813" s="74" t="b">
        <f>IF(Tab.11[[#This Row],[a1]]=1,IF($AE$3=0,Tab.11[[#This Row],[w.0]],Tab.11[[#This Row],[w.0]]/SUM(Tab.11[w.0])))</f>
        <v>0</v>
      </c>
      <c r="AF813" s="76" t="str">
        <f>IF(Tab.11[[#This Row],[a1]]=0,"false",[3]!Tab.x5[[#This Row],[%_seN_C]])</f>
        <v>false</v>
      </c>
      <c r="AG813" s="77" t="b">
        <f>IF(Tab.11[[#This Row],[a1]]=1,AP813)</f>
        <v>0</v>
      </c>
      <c r="AH813" s="78" t="b">
        <f>IF(Tab.11[[#This Row],[a1]]=1,AQ813)</f>
        <v>0</v>
      </c>
      <c r="AI813" s="41">
        <v>3.0000000000000001E-3</v>
      </c>
      <c r="AJ813" s="79">
        <v>0.05</v>
      </c>
      <c r="AK813" s="80" t="b">
        <f>IF(Tab.11[[#This Row],[a1]]=1,1)</f>
        <v>0</v>
      </c>
      <c r="AL813"/>
      <c r="AM813"/>
      <c r="AN813"/>
      <c r="AO813"/>
      <c r="AP813"/>
      <c r="AQ813"/>
      <c r="AR813"/>
      <c r="AS813"/>
    </row>
    <row r="814" spans="1:45" s="81" customFormat="1" hidden="1" x14ac:dyDescent="0.25">
      <c r="A814" s="61">
        <f t="shared" si="27"/>
        <v>0</v>
      </c>
      <c r="B814" s="62">
        <f t="shared" si="27"/>
        <v>0</v>
      </c>
      <c r="C814" s="62" t="b">
        <f>IF(Tab.11[[#This Row],[a1]]=1,[3]!Tab_x1[[#This Row],[Name]])</f>
        <v>0</v>
      </c>
      <c r="D814" s="63" t="b">
        <f>IF(Tab.11[[#This Row],[a1]]=1,AO814)</f>
        <v>0</v>
      </c>
      <c r="E814" s="63">
        <f t="shared" si="26"/>
        <v>0</v>
      </c>
      <c r="F814" s="64" t="b">
        <f>IF(Tab.11[[#This Row],[a1]]=1,Tab.11[[#This Row],[b1]])</f>
        <v>0</v>
      </c>
      <c r="G814" s="65" t="b">
        <f>IF(Tab.11[[#This Row],[a1]]=1,IF(Tab.11[[#This Row],[b3]]&gt;$L$989*$G$3,$L$989*$G$3,IF(Tab.11[[#This Row],[b3]]&lt;$M$989*$G$3,$M$989*$G$3,Tab.11[[#This Row],[b3]])))</f>
        <v>0</v>
      </c>
      <c r="H814" s="66" t="b">
        <f>IF(Tab.11[[#This Row],[a1]]=1,Tab.11[[#This Row],[b1]])</f>
        <v>0</v>
      </c>
      <c r="I814" s="67" t="b">
        <f>IF(Tab.11[[#This Row],[a1]]=1,Tab.11[[#This Row],[b1]])</f>
        <v>0</v>
      </c>
      <c r="J814" s="68" t="b">
        <f>IF(Tab.11[[#This Row],[a1]]=1,IF($I$3&lt;0,Tab.11[[#This Row],[b5]]-$I$3,Tab.11[[#This Row],[b5]]))</f>
        <v>0</v>
      </c>
      <c r="K814" s="68" t="b">
        <f>IF(Tab.11[[#This Row],[a1]]=1,IF($K$3=0,Tab.11[b6],Tab.11[[#This Row],[b6]]-AVERAGE(Tab.11[b6])))</f>
        <v>0</v>
      </c>
      <c r="L814" s="69" t="b">
        <f>IF(Tab.11[[#This Row],[a1]]=1,Tab.11[[#This Row],[data]]/(_xlfn.STDEV.P(Tab.11[data])*$B$989)+$A$989)</f>
        <v>0</v>
      </c>
      <c r="M814" s="69" t="b">
        <f>IF(Tab.11[[#This Row],[a1]]=1,Tab.11[[#This Row],[data]]/(_xlfn.STDEV.P(Tab.11[data])*$B$987)-$A$987)</f>
        <v>0</v>
      </c>
      <c r="N814" s="69" t="b">
        <f>IF(Tab.11[[#This Row],[a1]]=1,Tab.11[[#This Row],[data]]/(_xlfn.STDEV.P(Tab.11[data])*$B$988)+$A$988)</f>
        <v>0</v>
      </c>
      <c r="O814" s="70" t="b">
        <f>IF(Tab.11[[#This Row],[a1]]=1,_xlfn.NORM.DIST(Tab.11[[#This Row],[b8]],$P$1,$Q$1,FALSE))</f>
        <v>0</v>
      </c>
      <c r="P814" s="70" t="b">
        <f>IF(Tab.11[[#This Row],[a1]]=1,_xlfn.NORM.DIST(Tab.11[[#This Row],[b9]],$P$1,$Q$1,FALSE))</f>
        <v>0</v>
      </c>
      <c r="Q814" s="70" t="b">
        <f>IF(Tab.11[[#This Row],[a1]]=1,_xlfn.NORM.DIST(Tab.11[[#This Row],[b10]],$P$1,$Q$1,FALSE))</f>
        <v>0</v>
      </c>
      <c r="R814" s="67" t="b">
        <f>IF(Tab.11[[#This Row],[a1]]=1,$I$3+$A$989+IF($K$3=0,Tab.11[[#This Row],[b8]]*_xlfn.STDEV.P(Tab.11[data]),AVERAGE(Tab.11[b6])+Tab.11[[#This Row],[b8]]*_xlfn.STDEV.P(Tab.11[data])))</f>
        <v>0</v>
      </c>
      <c r="S814" s="71" t="b">
        <f>IF(Tab.11[[#This Row],[a1]]=1,$I$3+$A$987+IF($K$3=0,Tab.11[[#This Row],[b9]]*_xlfn.STDEV.P(Tab.11[data]),AVERAGE(Tab.11[b6])+Tab.11[[#This Row],[b9]]*_xlfn.STDEV.P(Tab.11[data])))</f>
        <v>0</v>
      </c>
      <c r="T814" s="71" t="b">
        <f>IF(Tab.11[[#This Row],[a1]]=1,$I$3+$A$988+IF($K$3=0,Tab.11[[#This Row],[b10]]*_xlfn.STDEV.P(Tab.11[data]),AVERAGE(Tab.11[b6])+Tab.11[[#This Row],[b10]]*_xlfn.STDEV.P(Tab.11[data])))</f>
        <v>0</v>
      </c>
      <c r="U814" s="72" t="b">
        <f>IF(Tab.11[[#This Row],[a1]]=1,Tab.11[[#This Row],[target]]-Tab.11[[#This Row],[Red]])</f>
        <v>0</v>
      </c>
      <c r="V814" s="72" t="b">
        <f>IF(Tab.11[[#This Row],[a1]]=1,Tab.11[[#This Row],[target]]-Tab.11[[#This Row],[Blue]])</f>
        <v>0</v>
      </c>
      <c r="W814" s="73" t="b">
        <f>IF(Tab.11[[#This Row],[a1]]=1,IF(ABS(Tab.11[[#This Row],[b17]])+ABS(Tab.11[[#This Row],[b18]])&lt;$W$2,$W$2,ABS(Tab.11[[#This Row],[b17]])+ABS(Tab.11[[#This Row],[b18]])))</f>
        <v>0</v>
      </c>
      <c r="X814" s="136" t="b">
        <f>IF(Tab.11[[#This Row],[a1]]=1,IF($W$3&lt;0,Tab.11[[#This Row],[IN]]-$I$3,Tab.11[[#This Row],[IN]]))</f>
        <v>0</v>
      </c>
      <c r="Y814" s="136" t="b">
        <f>IF(Tab.11[[#This Row],[a1]]=1,IF($X$3=0,Tab.11[b66],Tab.11[[#This Row],[b66]]-AVERAGE(Tab.11[b66])))</f>
        <v>0</v>
      </c>
      <c r="Z814" s="135" t="b">
        <f>IF(Tab.11[[#This Row],[a1]]=1,Tab.11[[#This Row],[b77]]/(_xlfn.STDEV.P(Tab.11[b77])))</f>
        <v>0</v>
      </c>
      <c r="AA814" s="70" t="b">
        <f>IF(Tab.11[[#This Row],[a1]]=1,_xlfn.NORM.DIST(Tab.11[[#This Row],[b88]],$Z$1,$AA$1,FALSE))</f>
        <v>0</v>
      </c>
      <c r="AB814" s="74" t="b">
        <f>IF(Tab.11[[#This Row],[a1]]=1,IF($A$3=0,FALSE,1/Tab.11[[#This Row],[IN]]*$AC$2*IF(Tab.11[[#This Row],[a1]]=0,,$A$3*$AC$1*1/$V$3*(Tab.11[[#This Row],[b14]]))))</f>
        <v>0</v>
      </c>
      <c r="AC814" s="75" t="b">
        <f>IF(Tab.11[[#This Row],[a1]]=1,IF($AC$3=0,Tab.11[[#This Row],[φ1]],Tab.11[[#This Row],[φ1]]/MAX(Tab.11[φ1])))</f>
        <v>0</v>
      </c>
      <c r="AD814" s="74" t="b">
        <f>IF(Tab.11[[#This Row],[a1]]=1,1/Tab.11[[#This Row],[φ2]])</f>
        <v>0</v>
      </c>
      <c r="AE814" s="74" t="b">
        <f>IF(Tab.11[[#This Row],[a1]]=1,IF($AE$3=0,Tab.11[[#This Row],[w.0]],Tab.11[[#This Row],[w.0]]/SUM(Tab.11[w.0])))</f>
        <v>0</v>
      </c>
      <c r="AF814" s="76" t="str">
        <f>IF(Tab.11[[#This Row],[a1]]=0,"false",[3]!Tab.x5[[#This Row],[%_seN_C]])</f>
        <v>false</v>
      </c>
      <c r="AG814" s="77" t="b">
        <f>IF(Tab.11[[#This Row],[a1]]=1,AP814)</f>
        <v>0</v>
      </c>
      <c r="AH814" s="78" t="b">
        <f>IF(Tab.11[[#This Row],[a1]]=1,AQ814)</f>
        <v>0</v>
      </c>
      <c r="AI814" s="41">
        <v>3.0000000000000001E-3</v>
      </c>
      <c r="AJ814" s="79">
        <v>-0.01</v>
      </c>
      <c r="AK814" s="80" t="b">
        <f>IF(Tab.11[[#This Row],[a1]]=1,1)</f>
        <v>0</v>
      </c>
      <c r="AL814"/>
      <c r="AM814"/>
      <c r="AN814"/>
      <c r="AO814"/>
      <c r="AP814"/>
      <c r="AQ814"/>
      <c r="AR814"/>
      <c r="AS814"/>
    </row>
    <row r="815" spans="1:45" s="81" customFormat="1" hidden="1" x14ac:dyDescent="0.25">
      <c r="A815" s="61">
        <f t="shared" si="27"/>
        <v>0</v>
      </c>
      <c r="B815" s="62">
        <f t="shared" si="27"/>
        <v>0</v>
      </c>
      <c r="C815" s="62" t="b">
        <f>IF(Tab.11[[#This Row],[a1]]=1,[3]!Tab_x1[[#This Row],[Name]])</f>
        <v>0</v>
      </c>
      <c r="D815" s="63" t="b">
        <f>IF(Tab.11[[#This Row],[a1]]=1,AO815)</f>
        <v>0</v>
      </c>
      <c r="E815" s="63">
        <f t="shared" si="26"/>
        <v>0</v>
      </c>
      <c r="F815" s="64" t="b">
        <f>IF(Tab.11[[#This Row],[a1]]=1,Tab.11[[#This Row],[b1]])</f>
        <v>0</v>
      </c>
      <c r="G815" s="65" t="b">
        <f>IF(Tab.11[[#This Row],[a1]]=1,IF(Tab.11[[#This Row],[b3]]&gt;$L$989*$G$3,$L$989*$G$3,IF(Tab.11[[#This Row],[b3]]&lt;$M$989*$G$3,$M$989*$G$3,Tab.11[[#This Row],[b3]])))</f>
        <v>0</v>
      </c>
      <c r="H815" s="66" t="b">
        <f>IF(Tab.11[[#This Row],[a1]]=1,Tab.11[[#This Row],[b1]])</f>
        <v>0</v>
      </c>
      <c r="I815" s="67" t="b">
        <f>IF(Tab.11[[#This Row],[a1]]=1,Tab.11[[#This Row],[b1]])</f>
        <v>0</v>
      </c>
      <c r="J815" s="68" t="b">
        <f>IF(Tab.11[[#This Row],[a1]]=1,IF($I$3&lt;0,Tab.11[[#This Row],[b5]]-$I$3,Tab.11[[#This Row],[b5]]))</f>
        <v>0</v>
      </c>
      <c r="K815" s="68" t="b">
        <f>IF(Tab.11[[#This Row],[a1]]=1,IF($K$3=0,Tab.11[b6],Tab.11[[#This Row],[b6]]-AVERAGE(Tab.11[b6])))</f>
        <v>0</v>
      </c>
      <c r="L815" s="69" t="b">
        <f>IF(Tab.11[[#This Row],[a1]]=1,Tab.11[[#This Row],[data]]/(_xlfn.STDEV.P(Tab.11[data])*$B$989)+$A$989)</f>
        <v>0</v>
      </c>
      <c r="M815" s="69" t="b">
        <f>IF(Tab.11[[#This Row],[a1]]=1,Tab.11[[#This Row],[data]]/(_xlfn.STDEV.P(Tab.11[data])*$B$987)-$A$987)</f>
        <v>0</v>
      </c>
      <c r="N815" s="69" t="b">
        <f>IF(Tab.11[[#This Row],[a1]]=1,Tab.11[[#This Row],[data]]/(_xlfn.STDEV.P(Tab.11[data])*$B$988)+$A$988)</f>
        <v>0</v>
      </c>
      <c r="O815" s="70" t="b">
        <f>IF(Tab.11[[#This Row],[a1]]=1,_xlfn.NORM.DIST(Tab.11[[#This Row],[b8]],$P$1,$Q$1,FALSE))</f>
        <v>0</v>
      </c>
      <c r="P815" s="70" t="b">
        <f>IF(Tab.11[[#This Row],[a1]]=1,_xlfn.NORM.DIST(Tab.11[[#This Row],[b9]],$P$1,$Q$1,FALSE))</f>
        <v>0</v>
      </c>
      <c r="Q815" s="70" t="b">
        <f>IF(Tab.11[[#This Row],[a1]]=1,_xlfn.NORM.DIST(Tab.11[[#This Row],[b10]],$P$1,$Q$1,FALSE))</f>
        <v>0</v>
      </c>
      <c r="R815" s="67" t="b">
        <f>IF(Tab.11[[#This Row],[a1]]=1,$I$3+$A$989+IF($K$3=0,Tab.11[[#This Row],[b8]]*_xlfn.STDEV.P(Tab.11[data]),AVERAGE(Tab.11[b6])+Tab.11[[#This Row],[b8]]*_xlfn.STDEV.P(Tab.11[data])))</f>
        <v>0</v>
      </c>
      <c r="S815" s="71" t="b">
        <f>IF(Tab.11[[#This Row],[a1]]=1,$I$3+$A$987+IF($K$3=0,Tab.11[[#This Row],[b9]]*_xlfn.STDEV.P(Tab.11[data]),AVERAGE(Tab.11[b6])+Tab.11[[#This Row],[b9]]*_xlfn.STDEV.P(Tab.11[data])))</f>
        <v>0</v>
      </c>
      <c r="T815" s="71" t="b">
        <f>IF(Tab.11[[#This Row],[a1]]=1,$I$3+$A$988+IF($K$3=0,Tab.11[[#This Row],[b10]]*_xlfn.STDEV.P(Tab.11[data]),AVERAGE(Tab.11[b6])+Tab.11[[#This Row],[b10]]*_xlfn.STDEV.P(Tab.11[data])))</f>
        <v>0</v>
      </c>
      <c r="U815" s="72" t="b">
        <f>IF(Tab.11[[#This Row],[a1]]=1,Tab.11[[#This Row],[target]]-Tab.11[[#This Row],[Red]])</f>
        <v>0</v>
      </c>
      <c r="V815" s="72" t="b">
        <f>IF(Tab.11[[#This Row],[a1]]=1,Tab.11[[#This Row],[target]]-Tab.11[[#This Row],[Blue]])</f>
        <v>0</v>
      </c>
      <c r="W815" s="73" t="b">
        <f>IF(Tab.11[[#This Row],[a1]]=1,IF(ABS(Tab.11[[#This Row],[b17]])+ABS(Tab.11[[#This Row],[b18]])&lt;$W$2,$W$2,ABS(Tab.11[[#This Row],[b17]])+ABS(Tab.11[[#This Row],[b18]])))</f>
        <v>0</v>
      </c>
      <c r="X815" s="136" t="b">
        <f>IF(Tab.11[[#This Row],[a1]]=1,IF($W$3&lt;0,Tab.11[[#This Row],[IN]]-$I$3,Tab.11[[#This Row],[IN]]))</f>
        <v>0</v>
      </c>
      <c r="Y815" s="136" t="b">
        <f>IF(Tab.11[[#This Row],[a1]]=1,IF($X$3=0,Tab.11[b66],Tab.11[[#This Row],[b66]]-AVERAGE(Tab.11[b66])))</f>
        <v>0</v>
      </c>
      <c r="Z815" s="135" t="b">
        <f>IF(Tab.11[[#This Row],[a1]]=1,Tab.11[[#This Row],[b77]]/(_xlfn.STDEV.P(Tab.11[b77])))</f>
        <v>0</v>
      </c>
      <c r="AA815" s="70" t="b">
        <f>IF(Tab.11[[#This Row],[a1]]=1,_xlfn.NORM.DIST(Tab.11[[#This Row],[b88]],$Z$1,$AA$1,FALSE))</f>
        <v>0</v>
      </c>
      <c r="AB815" s="74" t="b">
        <f>IF(Tab.11[[#This Row],[a1]]=1,IF($A$3=0,FALSE,1/Tab.11[[#This Row],[IN]]*$AC$2*IF(Tab.11[[#This Row],[a1]]=0,,$A$3*$AC$1*1/$V$3*(Tab.11[[#This Row],[b14]]))))</f>
        <v>0</v>
      </c>
      <c r="AC815" s="75" t="b">
        <f>IF(Tab.11[[#This Row],[a1]]=1,IF($AC$3=0,Tab.11[[#This Row],[φ1]],Tab.11[[#This Row],[φ1]]/MAX(Tab.11[φ1])))</f>
        <v>0</v>
      </c>
      <c r="AD815" s="74" t="b">
        <f>IF(Tab.11[[#This Row],[a1]]=1,1/Tab.11[[#This Row],[φ2]])</f>
        <v>0</v>
      </c>
      <c r="AE815" s="74" t="b">
        <f>IF(Tab.11[[#This Row],[a1]]=1,IF($AE$3=0,Tab.11[[#This Row],[w.0]],Tab.11[[#This Row],[w.0]]/SUM(Tab.11[w.0])))</f>
        <v>0</v>
      </c>
      <c r="AF815" s="76" t="str">
        <f>IF(Tab.11[[#This Row],[a1]]=0,"false",[3]!Tab.x5[[#This Row],[%_seN_C]])</f>
        <v>false</v>
      </c>
      <c r="AG815" s="77" t="b">
        <f>IF(Tab.11[[#This Row],[a1]]=1,AP815)</f>
        <v>0</v>
      </c>
      <c r="AH815" s="78" t="b">
        <f>IF(Tab.11[[#This Row],[a1]]=1,AQ815)</f>
        <v>0</v>
      </c>
      <c r="AI815" s="41">
        <v>3.0000000000000001E-3</v>
      </c>
      <c r="AJ815" s="79">
        <v>-0.09</v>
      </c>
      <c r="AK815" s="80" t="b">
        <f>IF(Tab.11[[#This Row],[a1]]=1,1)</f>
        <v>0</v>
      </c>
      <c r="AL815"/>
      <c r="AM815"/>
      <c r="AN815"/>
      <c r="AO815"/>
      <c r="AP815"/>
      <c r="AQ815"/>
      <c r="AR815"/>
      <c r="AS815"/>
    </row>
    <row r="816" spans="1:45" s="81" customFormat="1" hidden="1" x14ac:dyDescent="0.25">
      <c r="A816" s="61">
        <f t="shared" si="27"/>
        <v>0</v>
      </c>
      <c r="B816" s="62">
        <f t="shared" si="27"/>
        <v>0</v>
      </c>
      <c r="C816" s="62" t="b">
        <f>IF(Tab.11[[#This Row],[a1]]=1,[3]!Tab_x1[[#This Row],[Name]])</f>
        <v>0</v>
      </c>
      <c r="D816" s="63" t="b">
        <f>IF(Tab.11[[#This Row],[a1]]=1,AO816)</f>
        <v>0</v>
      </c>
      <c r="E816" s="63">
        <f t="shared" si="26"/>
        <v>0</v>
      </c>
      <c r="F816" s="64" t="b">
        <f>IF(Tab.11[[#This Row],[a1]]=1,Tab.11[[#This Row],[b1]])</f>
        <v>0</v>
      </c>
      <c r="G816" s="65" t="b">
        <f>IF(Tab.11[[#This Row],[a1]]=1,IF(Tab.11[[#This Row],[b3]]&gt;$L$989*$G$3,$L$989*$G$3,IF(Tab.11[[#This Row],[b3]]&lt;$M$989*$G$3,$M$989*$G$3,Tab.11[[#This Row],[b3]])))</f>
        <v>0</v>
      </c>
      <c r="H816" s="66" t="b">
        <f>IF(Tab.11[[#This Row],[a1]]=1,Tab.11[[#This Row],[b1]])</f>
        <v>0</v>
      </c>
      <c r="I816" s="67" t="b">
        <f>IF(Tab.11[[#This Row],[a1]]=1,Tab.11[[#This Row],[b1]])</f>
        <v>0</v>
      </c>
      <c r="J816" s="68" t="b">
        <f>IF(Tab.11[[#This Row],[a1]]=1,IF($I$3&lt;0,Tab.11[[#This Row],[b5]]-$I$3,Tab.11[[#This Row],[b5]]))</f>
        <v>0</v>
      </c>
      <c r="K816" s="68" t="b">
        <f>IF(Tab.11[[#This Row],[a1]]=1,IF($K$3=0,Tab.11[b6],Tab.11[[#This Row],[b6]]-AVERAGE(Tab.11[b6])))</f>
        <v>0</v>
      </c>
      <c r="L816" s="69" t="b">
        <f>IF(Tab.11[[#This Row],[a1]]=1,Tab.11[[#This Row],[data]]/(_xlfn.STDEV.P(Tab.11[data])*$B$989)+$A$989)</f>
        <v>0</v>
      </c>
      <c r="M816" s="69" t="b">
        <f>IF(Tab.11[[#This Row],[a1]]=1,Tab.11[[#This Row],[data]]/(_xlfn.STDEV.P(Tab.11[data])*$B$987)-$A$987)</f>
        <v>0</v>
      </c>
      <c r="N816" s="69" t="b">
        <f>IF(Tab.11[[#This Row],[a1]]=1,Tab.11[[#This Row],[data]]/(_xlfn.STDEV.P(Tab.11[data])*$B$988)+$A$988)</f>
        <v>0</v>
      </c>
      <c r="O816" s="70" t="b">
        <f>IF(Tab.11[[#This Row],[a1]]=1,_xlfn.NORM.DIST(Tab.11[[#This Row],[b8]],$P$1,$Q$1,FALSE))</f>
        <v>0</v>
      </c>
      <c r="P816" s="70" t="b">
        <f>IF(Tab.11[[#This Row],[a1]]=1,_xlfn.NORM.DIST(Tab.11[[#This Row],[b9]],$P$1,$Q$1,FALSE))</f>
        <v>0</v>
      </c>
      <c r="Q816" s="70" t="b">
        <f>IF(Tab.11[[#This Row],[a1]]=1,_xlfn.NORM.DIST(Tab.11[[#This Row],[b10]],$P$1,$Q$1,FALSE))</f>
        <v>0</v>
      </c>
      <c r="R816" s="67" t="b">
        <f>IF(Tab.11[[#This Row],[a1]]=1,$I$3+$A$989+IF($K$3=0,Tab.11[[#This Row],[b8]]*_xlfn.STDEV.P(Tab.11[data]),AVERAGE(Tab.11[b6])+Tab.11[[#This Row],[b8]]*_xlfn.STDEV.P(Tab.11[data])))</f>
        <v>0</v>
      </c>
      <c r="S816" s="71" t="b">
        <f>IF(Tab.11[[#This Row],[a1]]=1,$I$3+$A$987+IF($K$3=0,Tab.11[[#This Row],[b9]]*_xlfn.STDEV.P(Tab.11[data]),AVERAGE(Tab.11[b6])+Tab.11[[#This Row],[b9]]*_xlfn.STDEV.P(Tab.11[data])))</f>
        <v>0</v>
      </c>
      <c r="T816" s="71" t="b">
        <f>IF(Tab.11[[#This Row],[a1]]=1,$I$3+$A$988+IF($K$3=0,Tab.11[[#This Row],[b10]]*_xlfn.STDEV.P(Tab.11[data]),AVERAGE(Tab.11[b6])+Tab.11[[#This Row],[b10]]*_xlfn.STDEV.P(Tab.11[data])))</f>
        <v>0</v>
      </c>
      <c r="U816" s="72" t="b">
        <f>IF(Tab.11[[#This Row],[a1]]=1,Tab.11[[#This Row],[target]]-Tab.11[[#This Row],[Red]])</f>
        <v>0</v>
      </c>
      <c r="V816" s="72" t="b">
        <f>IF(Tab.11[[#This Row],[a1]]=1,Tab.11[[#This Row],[target]]-Tab.11[[#This Row],[Blue]])</f>
        <v>0</v>
      </c>
      <c r="W816" s="73" t="b">
        <f>IF(Tab.11[[#This Row],[a1]]=1,IF(ABS(Tab.11[[#This Row],[b17]])+ABS(Tab.11[[#This Row],[b18]])&lt;$W$2,$W$2,ABS(Tab.11[[#This Row],[b17]])+ABS(Tab.11[[#This Row],[b18]])))</f>
        <v>0</v>
      </c>
      <c r="X816" s="136" t="b">
        <f>IF(Tab.11[[#This Row],[a1]]=1,IF($W$3&lt;0,Tab.11[[#This Row],[IN]]-$I$3,Tab.11[[#This Row],[IN]]))</f>
        <v>0</v>
      </c>
      <c r="Y816" s="136" t="b">
        <f>IF(Tab.11[[#This Row],[a1]]=1,IF($X$3=0,Tab.11[b66],Tab.11[[#This Row],[b66]]-AVERAGE(Tab.11[b66])))</f>
        <v>0</v>
      </c>
      <c r="Z816" s="135" t="b">
        <f>IF(Tab.11[[#This Row],[a1]]=1,Tab.11[[#This Row],[b77]]/(_xlfn.STDEV.P(Tab.11[b77])))</f>
        <v>0</v>
      </c>
      <c r="AA816" s="70" t="b">
        <f>IF(Tab.11[[#This Row],[a1]]=1,_xlfn.NORM.DIST(Tab.11[[#This Row],[b88]],$Z$1,$AA$1,FALSE))</f>
        <v>0</v>
      </c>
      <c r="AB816" s="74" t="b">
        <f>IF(Tab.11[[#This Row],[a1]]=1,IF($A$3=0,FALSE,1/Tab.11[[#This Row],[IN]]*$AC$2*IF(Tab.11[[#This Row],[a1]]=0,,$A$3*$AC$1*1/$V$3*(Tab.11[[#This Row],[b14]]))))</f>
        <v>0</v>
      </c>
      <c r="AC816" s="75" t="b">
        <f>IF(Tab.11[[#This Row],[a1]]=1,IF($AC$3=0,Tab.11[[#This Row],[φ1]],Tab.11[[#This Row],[φ1]]/MAX(Tab.11[φ1])))</f>
        <v>0</v>
      </c>
      <c r="AD816" s="74" t="b">
        <f>IF(Tab.11[[#This Row],[a1]]=1,1/Tab.11[[#This Row],[φ2]])</f>
        <v>0</v>
      </c>
      <c r="AE816" s="74" t="b">
        <f>IF(Tab.11[[#This Row],[a1]]=1,IF($AE$3=0,Tab.11[[#This Row],[w.0]],Tab.11[[#This Row],[w.0]]/SUM(Tab.11[w.0])))</f>
        <v>0</v>
      </c>
      <c r="AF816" s="76" t="str">
        <f>IF(Tab.11[[#This Row],[a1]]=0,"false",[3]!Tab.x5[[#This Row],[%_seN_C]])</f>
        <v>false</v>
      </c>
      <c r="AG816" s="77" t="b">
        <f>IF(Tab.11[[#This Row],[a1]]=1,AP816)</f>
        <v>0</v>
      </c>
      <c r="AH816" s="78" t="b">
        <f>IF(Tab.11[[#This Row],[a1]]=1,AQ816)</f>
        <v>0</v>
      </c>
      <c r="AI816" s="41">
        <v>3.0000000000000001E-3</v>
      </c>
      <c r="AJ816" s="79">
        <v>-0.1</v>
      </c>
      <c r="AK816" s="80" t="b">
        <f>IF(Tab.11[[#This Row],[a1]]=1,1)</f>
        <v>0</v>
      </c>
      <c r="AL816"/>
      <c r="AM816"/>
      <c r="AN816"/>
      <c r="AO816"/>
      <c r="AP816"/>
      <c r="AQ816"/>
      <c r="AR816"/>
      <c r="AS816"/>
    </row>
    <row r="817" spans="1:45" s="81" customFormat="1" hidden="1" x14ac:dyDescent="0.25">
      <c r="A817" s="61">
        <f t="shared" si="27"/>
        <v>0</v>
      </c>
      <c r="B817" s="62">
        <f t="shared" si="27"/>
        <v>0</v>
      </c>
      <c r="C817" s="62" t="b">
        <f>IF(Tab.11[[#This Row],[a1]]=1,[3]!Tab_x1[[#This Row],[Name]])</f>
        <v>0</v>
      </c>
      <c r="D817" s="63" t="b">
        <f>IF(Tab.11[[#This Row],[a1]]=1,AO817)</f>
        <v>0</v>
      </c>
      <c r="E817" s="63">
        <f t="shared" si="26"/>
        <v>0</v>
      </c>
      <c r="F817" s="64" t="b">
        <f>IF(Tab.11[[#This Row],[a1]]=1,Tab.11[[#This Row],[b1]])</f>
        <v>0</v>
      </c>
      <c r="G817" s="65" t="b">
        <f>IF(Tab.11[[#This Row],[a1]]=1,IF(Tab.11[[#This Row],[b3]]&gt;$L$989*$G$3,$L$989*$G$3,IF(Tab.11[[#This Row],[b3]]&lt;$M$989*$G$3,$M$989*$G$3,Tab.11[[#This Row],[b3]])))</f>
        <v>0</v>
      </c>
      <c r="H817" s="66" t="b">
        <f>IF(Tab.11[[#This Row],[a1]]=1,Tab.11[[#This Row],[b1]])</f>
        <v>0</v>
      </c>
      <c r="I817" s="67" t="b">
        <f>IF(Tab.11[[#This Row],[a1]]=1,Tab.11[[#This Row],[b1]])</f>
        <v>0</v>
      </c>
      <c r="J817" s="68" t="b">
        <f>IF(Tab.11[[#This Row],[a1]]=1,IF($I$3&lt;0,Tab.11[[#This Row],[b5]]-$I$3,Tab.11[[#This Row],[b5]]))</f>
        <v>0</v>
      </c>
      <c r="K817" s="68" t="b">
        <f>IF(Tab.11[[#This Row],[a1]]=1,IF($K$3=0,Tab.11[b6],Tab.11[[#This Row],[b6]]-AVERAGE(Tab.11[b6])))</f>
        <v>0</v>
      </c>
      <c r="L817" s="69" t="b">
        <f>IF(Tab.11[[#This Row],[a1]]=1,Tab.11[[#This Row],[data]]/(_xlfn.STDEV.P(Tab.11[data])*$B$989)+$A$989)</f>
        <v>0</v>
      </c>
      <c r="M817" s="69" t="b">
        <f>IF(Tab.11[[#This Row],[a1]]=1,Tab.11[[#This Row],[data]]/(_xlfn.STDEV.P(Tab.11[data])*$B$987)-$A$987)</f>
        <v>0</v>
      </c>
      <c r="N817" s="69" t="b">
        <f>IF(Tab.11[[#This Row],[a1]]=1,Tab.11[[#This Row],[data]]/(_xlfn.STDEV.P(Tab.11[data])*$B$988)+$A$988)</f>
        <v>0</v>
      </c>
      <c r="O817" s="70" t="b">
        <f>IF(Tab.11[[#This Row],[a1]]=1,_xlfn.NORM.DIST(Tab.11[[#This Row],[b8]],$P$1,$Q$1,FALSE))</f>
        <v>0</v>
      </c>
      <c r="P817" s="70" t="b">
        <f>IF(Tab.11[[#This Row],[a1]]=1,_xlfn.NORM.DIST(Tab.11[[#This Row],[b9]],$P$1,$Q$1,FALSE))</f>
        <v>0</v>
      </c>
      <c r="Q817" s="70" t="b">
        <f>IF(Tab.11[[#This Row],[a1]]=1,_xlfn.NORM.DIST(Tab.11[[#This Row],[b10]],$P$1,$Q$1,FALSE))</f>
        <v>0</v>
      </c>
      <c r="R817" s="67" t="b">
        <f>IF(Tab.11[[#This Row],[a1]]=1,$I$3+$A$989+IF($K$3=0,Tab.11[[#This Row],[b8]]*_xlfn.STDEV.P(Tab.11[data]),AVERAGE(Tab.11[b6])+Tab.11[[#This Row],[b8]]*_xlfn.STDEV.P(Tab.11[data])))</f>
        <v>0</v>
      </c>
      <c r="S817" s="71" t="b">
        <f>IF(Tab.11[[#This Row],[a1]]=1,$I$3+$A$987+IF($K$3=0,Tab.11[[#This Row],[b9]]*_xlfn.STDEV.P(Tab.11[data]),AVERAGE(Tab.11[b6])+Tab.11[[#This Row],[b9]]*_xlfn.STDEV.P(Tab.11[data])))</f>
        <v>0</v>
      </c>
      <c r="T817" s="71" t="b">
        <f>IF(Tab.11[[#This Row],[a1]]=1,$I$3+$A$988+IF($K$3=0,Tab.11[[#This Row],[b10]]*_xlfn.STDEV.P(Tab.11[data]),AVERAGE(Tab.11[b6])+Tab.11[[#This Row],[b10]]*_xlfn.STDEV.P(Tab.11[data])))</f>
        <v>0</v>
      </c>
      <c r="U817" s="72" t="b">
        <f>IF(Tab.11[[#This Row],[a1]]=1,Tab.11[[#This Row],[target]]-Tab.11[[#This Row],[Red]])</f>
        <v>0</v>
      </c>
      <c r="V817" s="72" t="b">
        <f>IF(Tab.11[[#This Row],[a1]]=1,Tab.11[[#This Row],[target]]-Tab.11[[#This Row],[Blue]])</f>
        <v>0</v>
      </c>
      <c r="W817" s="73" t="b">
        <f>IF(Tab.11[[#This Row],[a1]]=1,IF(ABS(Tab.11[[#This Row],[b17]])+ABS(Tab.11[[#This Row],[b18]])&lt;$W$2,$W$2,ABS(Tab.11[[#This Row],[b17]])+ABS(Tab.11[[#This Row],[b18]])))</f>
        <v>0</v>
      </c>
      <c r="X817" s="136" t="b">
        <f>IF(Tab.11[[#This Row],[a1]]=1,IF($W$3&lt;0,Tab.11[[#This Row],[IN]]-$I$3,Tab.11[[#This Row],[IN]]))</f>
        <v>0</v>
      </c>
      <c r="Y817" s="136" t="b">
        <f>IF(Tab.11[[#This Row],[a1]]=1,IF($X$3=0,Tab.11[b66],Tab.11[[#This Row],[b66]]-AVERAGE(Tab.11[b66])))</f>
        <v>0</v>
      </c>
      <c r="Z817" s="135" t="b">
        <f>IF(Tab.11[[#This Row],[a1]]=1,Tab.11[[#This Row],[b77]]/(_xlfn.STDEV.P(Tab.11[b77])))</f>
        <v>0</v>
      </c>
      <c r="AA817" s="70" t="b">
        <f>IF(Tab.11[[#This Row],[a1]]=1,_xlfn.NORM.DIST(Tab.11[[#This Row],[b88]],$Z$1,$AA$1,FALSE))</f>
        <v>0</v>
      </c>
      <c r="AB817" s="74" t="b">
        <f>IF(Tab.11[[#This Row],[a1]]=1,IF($A$3=0,FALSE,1/Tab.11[[#This Row],[IN]]*$AC$2*IF(Tab.11[[#This Row],[a1]]=0,,$A$3*$AC$1*1/$V$3*(Tab.11[[#This Row],[b14]]))))</f>
        <v>0</v>
      </c>
      <c r="AC817" s="75" t="b">
        <f>IF(Tab.11[[#This Row],[a1]]=1,IF($AC$3=0,Tab.11[[#This Row],[φ1]],Tab.11[[#This Row],[φ1]]/MAX(Tab.11[φ1])))</f>
        <v>0</v>
      </c>
      <c r="AD817" s="74" t="b">
        <f>IF(Tab.11[[#This Row],[a1]]=1,1/Tab.11[[#This Row],[φ2]])</f>
        <v>0</v>
      </c>
      <c r="AE817" s="74" t="b">
        <f>IF(Tab.11[[#This Row],[a1]]=1,IF($AE$3=0,Tab.11[[#This Row],[w.0]],Tab.11[[#This Row],[w.0]]/SUM(Tab.11[w.0])))</f>
        <v>0</v>
      </c>
      <c r="AF817" s="76" t="str">
        <f>IF(Tab.11[[#This Row],[a1]]=0,"false",[3]!Tab.x5[[#This Row],[%_seN_C]])</f>
        <v>false</v>
      </c>
      <c r="AG817" s="77" t="b">
        <f>IF(Tab.11[[#This Row],[a1]]=1,AP817)</f>
        <v>0</v>
      </c>
      <c r="AH817" s="78" t="b">
        <f>IF(Tab.11[[#This Row],[a1]]=1,AQ817)</f>
        <v>0</v>
      </c>
      <c r="AI817" s="41">
        <v>3.0000000000000001E-3</v>
      </c>
      <c r="AJ817" s="79">
        <v>-0.1</v>
      </c>
      <c r="AK817" s="80" t="b">
        <f>IF(Tab.11[[#This Row],[a1]]=1,1)</f>
        <v>0</v>
      </c>
      <c r="AL817"/>
      <c r="AM817"/>
      <c r="AN817"/>
      <c r="AO817"/>
      <c r="AP817"/>
      <c r="AQ817"/>
      <c r="AR817"/>
      <c r="AS817"/>
    </row>
    <row r="818" spans="1:45" s="81" customFormat="1" hidden="1" x14ac:dyDescent="0.25">
      <c r="A818" s="61">
        <f t="shared" si="27"/>
        <v>0</v>
      </c>
      <c r="B818" s="62">
        <f t="shared" si="27"/>
        <v>0</v>
      </c>
      <c r="C818" s="62" t="b">
        <f>IF(Tab.11[[#This Row],[a1]]=1,[3]!Tab_x1[[#This Row],[Name]])</f>
        <v>0</v>
      </c>
      <c r="D818" s="63" t="b">
        <f>IF(Tab.11[[#This Row],[a1]]=1,AO818)</f>
        <v>0</v>
      </c>
      <c r="E818" s="63">
        <f t="shared" si="26"/>
        <v>0</v>
      </c>
      <c r="F818" s="64" t="b">
        <f>IF(Tab.11[[#This Row],[a1]]=1,Tab.11[[#This Row],[b1]])</f>
        <v>0</v>
      </c>
      <c r="G818" s="65" t="b">
        <f>IF(Tab.11[[#This Row],[a1]]=1,IF(Tab.11[[#This Row],[b3]]&gt;$L$989*$G$3,$L$989*$G$3,IF(Tab.11[[#This Row],[b3]]&lt;$M$989*$G$3,$M$989*$G$3,Tab.11[[#This Row],[b3]])))</f>
        <v>0</v>
      </c>
      <c r="H818" s="66" t="b">
        <f>IF(Tab.11[[#This Row],[a1]]=1,Tab.11[[#This Row],[b1]])</f>
        <v>0</v>
      </c>
      <c r="I818" s="67" t="b">
        <f>IF(Tab.11[[#This Row],[a1]]=1,Tab.11[[#This Row],[b1]])</f>
        <v>0</v>
      </c>
      <c r="J818" s="68" t="b">
        <f>IF(Tab.11[[#This Row],[a1]]=1,IF($I$3&lt;0,Tab.11[[#This Row],[b5]]-$I$3,Tab.11[[#This Row],[b5]]))</f>
        <v>0</v>
      </c>
      <c r="K818" s="68" t="b">
        <f>IF(Tab.11[[#This Row],[a1]]=1,IF($K$3=0,Tab.11[b6],Tab.11[[#This Row],[b6]]-AVERAGE(Tab.11[b6])))</f>
        <v>0</v>
      </c>
      <c r="L818" s="69" t="b">
        <f>IF(Tab.11[[#This Row],[a1]]=1,Tab.11[[#This Row],[data]]/(_xlfn.STDEV.P(Tab.11[data])*$B$989)+$A$989)</f>
        <v>0</v>
      </c>
      <c r="M818" s="69" t="b">
        <f>IF(Tab.11[[#This Row],[a1]]=1,Tab.11[[#This Row],[data]]/(_xlfn.STDEV.P(Tab.11[data])*$B$987)-$A$987)</f>
        <v>0</v>
      </c>
      <c r="N818" s="69" t="b">
        <f>IF(Tab.11[[#This Row],[a1]]=1,Tab.11[[#This Row],[data]]/(_xlfn.STDEV.P(Tab.11[data])*$B$988)+$A$988)</f>
        <v>0</v>
      </c>
      <c r="O818" s="70" t="b">
        <f>IF(Tab.11[[#This Row],[a1]]=1,_xlfn.NORM.DIST(Tab.11[[#This Row],[b8]],$P$1,$Q$1,FALSE))</f>
        <v>0</v>
      </c>
      <c r="P818" s="70" t="b">
        <f>IF(Tab.11[[#This Row],[a1]]=1,_xlfn.NORM.DIST(Tab.11[[#This Row],[b9]],$P$1,$Q$1,FALSE))</f>
        <v>0</v>
      </c>
      <c r="Q818" s="70" t="b">
        <f>IF(Tab.11[[#This Row],[a1]]=1,_xlfn.NORM.DIST(Tab.11[[#This Row],[b10]],$P$1,$Q$1,FALSE))</f>
        <v>0</v>
      </c>
      <c r="R818" s="67" t="b">
        <f>IF(Tab.11[[#This Row],[a1]]=1,$I$3+$A$989+IF($K$3=0,Tab.11[[#This Row],[b8]]*_xlfn.STDEV.P(Tab.11[data]),AVERAGE(Tab.11[b6])+Tab.11[[#This Row],[b8]]*_xlfn.STDEV.P(Tab.11[data])))</f>
        <v>0</v>
      </c>
      <c r="S818" s="71" t="b">
        <f>IF(Tab.11[[#This Row],[a1]]=1,$I$3+$A$987+IF($K$3=0,Tab.11[[#This Row],[b9]]*_xlfn.STDEV.P(Tab.11[data]),AVERAGE(Tab.11[b6])+Tab.11[[#This Row],[b9]]*_xlfn.STDEV.P(Tab.11[data])))</f>
        <v>0</v>
      </c>
      <c r="T818" s="71" t="b">
        <f>IF(Tab.11[[#This Row],[a1]]=1,$I$3+$A$988+IF($K$3=0,Tab.11[[#This Row],[b10]]*_xlfn.STDEV.P(Tab.11[data]),AVERAGE(Tab.11[b6])+Tab.11[[#This Row],[b10]]*_xlfn.STDEV.P(Tab.11[data])))</f>
        <v>0</v>
      </c>
      <c r="U818" s="72" t="b">
        <f>IF(Tab.11[[#This Row],[a1]]=1,Tab.11[[#This Row],[target]]-Tab.11[[#This Row],[Red]])</f>
        <v>0</v>
      </c>
      <c r="V818" s="72" t="b">
        <f>IF(Tab.11[[#This Row],[a1]]=1,Tab.11[[#This Row],[target]]-Tab.11[[#This Row],[Blue]])</f>
        <v>0</v>
      </c>
      <c r="W818" s="73" t="b">
        <f>IF(Tab.11[[#This Row],[a1]]=1,IF(ABS(Tab.11[[#This Row],[b17]])+ABS(Tab.11[[#This Row],[b18]])&lt;$W$2,$W$2,ABS(Tab.11[[#This Row],[b17]])+ABS(Tab.11[[#This Row],[b18]])))</f>
        <v>0</v>
      </c>
      <c r="X818" s="136" t="b">
        <f>IF(Tab.11[[#This Row],[a1]]=1,IF($W$3&lt;0,Tab.11[[#This Row],[IN]]-$I$3,Tab.11[[#This Row],[IN]]))</f>
        <v>0</v>
      </c>
      <c r="Y818" s="136" t="b">
        <f>IF(Tab.11[[#This Row],[a1]]=1,IF($X$3=0,Tab.11[b66],Tab.11[[#This Row],[b66]]-AVERAGE(Tab.11[b66])))</f>
        <v>0</v>
      </c>
      <c r="Z818" s="135" t="b">
        <f>IF(Tab.11[[#This Row],[a1]]=1,Tab.11[[#This Row],[b77]]/(_xlfn.STDEV.P(Tab.11[b77])))</f>
        <v>0</v>
      </c>
      <c r="AA818" s="70" t="b">
        <f>IF(Tab.11[[#This Row],[a1]]=1,_xlfn.NORM.DIST(Tab.11[[#This Row],[b88]],$Z$1,$AA$1,FALSE))</f>
        <v>0</v>
      </c>
      <c r="AB818" s="74" t="b">
        <f>IF(Tab.11[[#This Row],[a1]]=1,IF($A$3=0,FALSE,1/Tab.11[[#This Row],[IN]]*$AC$2*IF(Tab.11[[#This Row],[a1]]=0,,$A$3*$AC$1*1/$V$3*(Tab.11[[#This Row],[b14]]))))</f>
        <v>0</v>
      </c>
      <c r="AC818" s="75" t="b">
        <f>IF(Tab.11[[#This Row],[a1]]=1,IF($AC$3=0,Tab.11[[#This Row],[φ1]],Tab.11[[#This Row],[φ1]]/MAX(Tab.11[φ1])))</f>
        <v>0</v>
      </c>
      <c r="AD818" s="74" t="b">
        <f>IF(Tab.11[[#This Row],[a1]]=1,1/Tab.11[[#This Row],[φ2]])</f>
        <v>0</v>
      </c>
      <c r="AE818" s="74" t="b">
        <f>IF(Tab.11[[#This Row],[a1]]=1,IF($AE$3=0,Tab.11[[#This Row],[w.0]],Tab.11[[#This Row],[w.0]]/SUM(Tab.11[w.0])))</f>
        <v>0</v>
      </c>
      <c r="AF818" s="76" t="str">
        <f>IF(Tab.11[[#This Row],[a1]]=0,"false",[3]!Tab.x5[[#This Row],[%_seN_C]])</f>
        <v>false</v>
      </c>
      <c r="AG818" s="77" t="b">
        <f>IF(Tab.11[[#This Row],[a1]]=1,AP818)</f>
        <v>0</v>
      </c>
      <c r="AH818" s="78" t="b">
        <f>IF(Tab.11[[#This Row],[a1]]=1,AQ818)</f>
        <v>0</v>
      </c>
      <c r="AI818" s="41">
        <v>3.0000000000000001E-3</v>
      </c>
      <c r="AJ818" s="79">
        <v>-0.08</v>
      </c>
      <c r="AK818" s="80" t="b">
        <f>IF(Tab.11[[#This Row],[a1]]=1,1)</f>
        <v>0</v>
      </c>
      <c r="AL818"/>
      <c r="AM818"/>
      <c r="AN818"/>
      <c r="AO818"/>
      <c r="AP818"/>
      <c r="AQ818"/>
      <c r="AR818"/>
      <c r="AS818"/>
    </row>
    <row r="819" spans="1:45" s="81" customFormat="1" hidden="1" x14ac:dyDescent="0.25">
      <c r="A819" s="61">
        <f t="shared" si="27"/>
        <v>0</v>
      </c>
      <c r="B819" s="62">
        <f t="shared" si="27"/>
        <v>0</v>
      </c>
      <c r="C819" s="62" t="b">
        <f>IF(Tab.11[[#This Row],[a1]]=1,[3]!Tab_x1[[#This Row],[Name]])</f>
        <v>0</v>
      </c>
      <c r="D819" s="63" t="b">
        <f>IF(Tab.11[[#This Row],[a1]]=1,AO819)</f>
        <v>0</v>
      </c>
      <c r="E819" s="63">
        <f t="shared" si="26"/>
        <v>0</v>
      </c>
      <c r="F819" s="64" t="b">
        <f>IF(Tab.11[[#This Row],[a1]]=1,Tab.11[[#This Row],[b1]])</f>
        <v>0</v>
      </c>
      <c r="G819" s="65" t="b">
        <f>IF(Tab.11[[#This Row],[a1]]=1,IF(Tab.11[[#This Row],[b3]]&gt;$L$989*$G$3,$L$989*$G$3,IF(Tab.11[[#This Row],[b3]]&lt;$M$989*$G$3,$M$989*$G$3,Tab.11[[#This Row],[b3]])))</f>
        <v>0</v>
      </c>
      <c r="H819" s="66" t="b">
        <f>IF(Tab.11[[#This Row],[a1]]=1,Tab.11[[#This Row],[b1]])</f>
        <v>0</v>
      </c>
      <c r="I819" s="67" t="b">
        <f>IF(Tab.11[[#This Row],[a1]]=1,Tab.11[[#This Row],[b1]])</f>
        <v>0</v>
      </c>
      <c r="J819" s="68" t="b">
        <f>IF(Tab.11[[#This Row],[a1]]=1,IF($I$3&lt;0,Tab.11[[#This Row],[b5]]-$I$3,Tab.11[[#This Row],[b5]]))</f>
        <v>0</v>
      </c>
      <c r="K819" s="68" t="b">
        <f>IF(Tab.11[[#This Row],[a1]]=1,IF($K$3=0,Tab.11[b6],Tab.11[[#This Row],[b6]]-AVERAGE(Tab.11[b6])))</f>
        <v>0</v>
      </c>
      <c r="L819" s="69" t="b">
        <f>IF(Tab.11[[#This Row],[a1]]=1,Tab.11[[#This Row],[data]]/(_xlfn.STDEV.P(Tab.11[data])*$B$989)+$A$989)</f>
        <v>0</v>
      </c>
      <c r="M819" s="69" t="b">
        <f>IF(Tab.11[[#This Row],[a1]]=1,Tab.11[[#This Row],[data]]/(_xlfn.STDEV.P(Tab.11[data])*$B$987)-$A$987)</f>
        <v>0</v>
      </c>
      <c r="N819" s="69" t="b">
        <f>IF(Tab.11[[#This Row],[a1]]=1,Tab.11[[#This Row],[data]]/(_xlfn.STDEV.P(Tab.11[data])*$B$988)+$A$988)</f>
        <v>0</v>
      </c>
      <c r="O819" s="70" t="b">
        <f>IF(Tab.11[[#This Row],[a1]]=1,_xlfn.NORM.DIST(Tab.11[[#This Row],[b8]],$P$1,$Q$1,FALSE))</f>
        <v>0</v>
      </c>
      <c r="P819" s="70" t="b">
        <f>IF(Tab.11[[#This Row],[a1]]=1,_xlfn.NORM.DIST(Tab.11[[#This Row],[b9]],$P$1,$Q$1,FALSE))</f>
        <v>0</v>
      </c>
      <c r="Q819" s="70" t="b">
        <f>IF(Tab.11[[#This Row],[a1]]=1,_xlfn.NORM.DIST(Tab.11[[#This Row],[b10]],$P$1,$Q$1,FALSE))</f>
        <v>0</v>
      </c>
      <c r="R819" s="67" t="b">
        <f>IF(Tab.11[[#This Row],[a1]]=1,$I$3+$A$989+IF($K$3=0,Tab.11[[#This Row],[b8]]*_xlfn.STDEV.P(Tab.11[data]),AVERAGE(Tab.11[b6])+Tab.11[[#This Row],[b8]]*_xlfn.STDEV.P(Tab.11[data])))</f>
        <v>0</v>
      </c>
      <c r="S819" s="71" t="b">
        <f>IF(Tab.11[[#This Row],[a1]]=1,$I$3+$A$987+IF($K$3=0,Tab.11[[#This Row],[b9]]*_xlfn.STDEV.P(Tab.11[data]),AVERAGE(Tab.11[b6])+Tab.11[[#This Row],[b9]]*_xlfn.STDEV.P(Tab.11[data])))</f>
        <v>0</v>
      </c>
      <c r="T819" s="71" t="b">
        <f>IF(Tab.11[[#This Row],[a1]]=1,$I$3+$A$988+IF($K$3=0,Tab.11[[#This Row],[b10]]*_xlfn.STDEV.P(Tab.11[data]),AVERAGE(Tab.11[b6])+Tab.11[[#This Row],[b10]]*_xlfn.STDEV.P(Tab.11[data])))</f>
        <v>0</v>
      </c>
      <c r="U819" s="72" t="b">
        <f>IF(Tab.11[[#This Row],[a1]]=1,Tab.11[[#This Row],[target]]-Tab.11[[#This Row],[Red]])</f>
        <v>0</v>
      </c>
      <c r="V819" s="72" t="b">
        <f>IF(Tab.11[[#This Row],[a1]]=1,Tab.11[[#This Row],[target]]-Tab.11[[#This Row],[Blue]])</f>
        <v>0</v>
      </c>
      <c r="W819" s="73" t="b">
        <f>IF(Tab.11[[#This Row],[a1]]=1,IF(ABS(Tab.11[[#This Row],[b17]])+ABS(Tab.11[[#This Row],[b18]])&lt;$W$2,$W$2,ABS(Tab.11[[#This Row],[b17]])+ABS(Tab.11[[#This Row],[b18]])))</f>
        <v>0</v>
      </c>
      <c r="X819" s="136" t="b">
        <f>IF(Tab.11[[#This Row],[a1]]=1,IF($W$3&lt;0,Tab.11[[#This Row],[IN]]-$I$3,Tab.11[[#This Row],[IN]]))</f>
        <v>0</v>
      </c>
      <c r="Y819" s="136" t="b">
        <f>IF(Tab.11[[#This Row],[a1]]=1,IF($X$3=0,Tab.11[b66],Tab.11[[#This Row],[b66]]-AVERAGE(Tab.11[b66])))</f>
        <v>0</v>
      </c>
      <c r="Z819" s="135" t="b">
        <f>IF(Tab.11[[#This Row],[a1]]=1,Tab.11[[#This Row],[b77]]/(_xlfn.STDEV.P(Tab.11[b77])))</f>
        <v>0</v>
      </c>
      <c r="AA819" s="70" t="b">
        <f>IF(Tab.11[[#This Row],[a1]]=1,_xlfn.NORM.DIST(Tab.11[[#This Row],[b88]],$Z$1,$AA$1,FALSE))</f>
        <v>0</v>
      </c>
      <c r="AB819" s="74" t="b">
        <f>IF(Tab.11[[#This Row],[a1]]=1,IF($A$3=0,FALSE,1/Tab.11[[#This Row],[IN]]*$AC$2*IF(Tab.11[[#This Row],[a1]]=0,,$A$3*$AC$1*1/$V$3*(Tab.11[[#This Row],[b14]]))))</f>
        <v>0</v>
      </c>
      <c r="AC819" s="75" t="b">
        <f>IF(Tab.11[[#This Row],[a1]]=1,IF($AC$3=0,Tab.11[[#This Row],[φ1]],Tab.11[[#This Row],[φ1]]/MAX(Tab.11[φ1])))</f>
        <v>0</v>
      </c>
      <c r="AD819" s="74" t="b">
        <f>IF(Tab.11[[#This Row],[a1]]=1,1/Tab.11[[#This Row],[φ2]])</f>
        <v>0</v>
      </c>
      <c r="AE819" s="74" t="b">
        <f>IF(Tab.11[[#This Row],[a1]]=1,IF($AE$3=0,Tab.11[[#This Row],[w.0]],Tab.11[[#This Row],[w.0]]/SUM(Tab.11[w.0])))</f>
        <v>0</v>
      </c>
      <c r="AF819" s="76" t="str">
        <f>IF(Tab.11[[#This Row],[a1]]=0,"false",[3]!Tab.x5[[#This Row],[%_seN_C]])</f>
        <v>false</v>
      </c>
      <c r="AG819" s="77" t="b">
        <f>IF(Tab.11[[#This Row],[a1]]=1,AP819)</f>
        <v>0</v>
      </c>
      <c r="AH819" s="78" t="b">
        <f>IF(Tab.11[[#This Row],[a1]]=1,AQ819)</f>
        <v>0</v>
      </c>
      <c r="AI819" s="41">
        <v>3.0000000000000001E-3</v>
      </c>
      <c r="AJ819" s="79">
        <v>-0.1</v>
      </c>
      <c r="AK819" s="80" t="b">
        <f>IF(Tab.11[[#This Row],[a1]]=1,1)</f>
        <v>0</v>
      </c>
      <c r="AL819"/>
      <c r="AM819"/>
      <c r="AN819"/>
      <c r="AO819"/>
      <c r="AP819"/>
      <c r="AQ819"/>
      <c r="AR819"/>
      <c r="AS819"/>
    </row>
    <row r="820" spans="1:45" s="81" customFormat="1" hidden="1" x14ac:dyDescent="0.25">
      <c r="A820" s="61">
        <f t="shared" si="27"/>
        <v>0</v>
      </c>
      <c r="B820" s="62">
        <f t="shared" si="27"/>
        <v>0</v>
      </c>
      <c r="C820" s="62" t="b">
        <f>IF(Tab.11[[#This Row],[a1]]=1,[3]!Tab_x1[[#This Row],[Name]])</f>
        <v>0</v>
      </c>
      <c r="D820" s="63" t="b">
        <f>IF(Tab.11[[#This Row],[a1]]=1,AO820)</f>
        <v>0</v>
      </c>
      <c r="E820" s="63">
        <f t="shared" si="26"/>
        <v>0</v>
      </c>
      <c r="F820" s="64" t="b">
        <f>IF(Tab.11[[#This Row],[a1]]=1,Tab.11[[#This Row],[b1]])</f>
        <v>0</v>
      </c>
      <c r="G820" s="65" t="b">
        <f>IF(Tab.11[[#This Row],[a1]]=1,IF(Tab.11[[#This Row],[b3]]&gt;$L$989*$G$3,$L$989*$G$3,IF(Tab.11[[#This Row],[b3]]&lt;$M$989*$G$3,$M$989*$G$3,Tab.11[[#This Row],[b3]])))</f>
        <v>0</v>
      </c>
      <c r="H820" s="66" t="b">
        <f>IF(Tab.11[[#This Row],[a1]]=1,Tab.11[[#This Row],[b1]])</f>
        <v>0</v>
      </c>
      <c r="I820" s="67" t="b">
        <f>IF(Tab.11[[#This Row],[a1]]=1,Tab.11[[#This Row],[b1]])</f>
        <v>0</v>
      </c>
      <c r="J820" s="68" t="b">
        <f>IF(Tab.11[[#This Row],[a1]]=1,IF($I$3&lt;0,Tab.11[[#This Row],[b5]]-$I$3,Tab.11[[#This Row],[b5]]))</f>
        <v>0</v>
      </c>
      <c r="K820" s="68" t="b">
        <f>IF(Tab.11[[#This Row],[a1]]=1,IF($K$3=0,Tab.11[b6],Tab.11[[#This Row],[b6]]-AVERAGE(Tab.11[b6])))</f>
        <v>0</v>
      </c>
      <c r="L820" s="69" t="b">
        <f>IF(Tab.11[[#This Row],[a1]]=1,Tab.11[[#This Row],[data]]/(_xlfn.STDEV.P(Tab.11[data])*$B$989)+$A$989)</f>
        <v>0</v>
      </c>
      <c r="M820" s="69" t="b">
        <f>IF(Tab.11[[#This Row],[a1]]=1,Tab.11[[#This Row],[data]]/(_xlfn.STDEV.P(Tab.11[data])*$B$987)-$A$987)</f>
        <v>0</v>
      </c>
      <c r="N820" s="69" t="b">
        <f>IF(Tab.11[[#This Row],[a1]]=1,Tab.11[[#This Row],[data]]/(_xlfn.STDEV.P(Tab.11[data])*$B$988)+$A$988)</f>
        <v>0</v>
      </c>
      <c r="O820" s="70" t="b">
        <f>IF(Tab.11[[#This Row],[a1]]=1,_xlfn.NORM.DIST(Tab.11[[#This Row],[b8]],$P$1,$Q$1,FALSE))</f>
        <v>0</v>
      </c>
      <c r="P820" s="70" t="b">
        <f>IF(Tab.11[[#This Row],[a1]]=1,_xlfn.NORM.DIST(Tab.11[[#This Row],[b9]],$P$1,$Q$1,FALSE))</f>
        <v>0</v>
      </c>
      <c r="Q820" s="70" t="b">
        <f>IF(Tab.11[[#This Row],[a1]]=1,_xlfn.NORM.DIST(Tab.11[[#This Row],[b10]],$P$1,$Q$1,FALSE))</f>
        <v>0</v>
      </c>
      <c r="R820" s="67" t="b">
        <f>IF(Tab.11[[#This Row],[a1]]=1,$I$3+$A$989+IF($K$3=0,Tab.11[[#This Row],[b8]]*_xlfn.STDEV.P(Tab.11[data]),AVERAGE(Tab.11[b6])+Tab.11[[#This Row],[b8]]*_xlfn.STDEV.P(Tab.11[data])))</f>
        <v>0</v>
      </c>
      <c r="S820" s="71" t="b">
        <f>IF(Tab.11[[#This Row],[a1]]=1,$I$3+$A$987+IF($K$3=0,Tab.11[[#This Row],[b9]]*_xlfn.STDEV.P(Tab.11[data]),AVERAGE(Tab.11[b6])+Tab.11[[#This Row],[b9]]*_xlfn.STDEV.P(Tab.11[data])))</f>
        <v>0</v>
      </c>
      <c r="T820" s="71" t="b">
        <f>IF(Tab.11[[#This Row],[a1]]=1,$I$3+$A$988+IF($K$3=0,Tab.11[[#This Row],[b10]]*_xlfn.STDEV.P(Tab.11[data]),AVERAGE(Tab.11[b6])+Tab.11[[#This Row],[b10]]*_xlfn.STDEV.P(Tab.11[data])))</f>
        <v>0</v>
      </c>
      <c r="U820" s="72" t="b">
        <f>IF(Tab.11[[#This Row],[a1]]=1,Tab.11[[#This Row],[target]]-Tab.11[[#This Row],[Red]])</f>
        <v>0</v>
      </c>
      <c r="V820" s="72" t="b">
        <f>IF(Tab.11[[#This Row],[a1]]=1,Tab.11[[#This Row],[target]]-Tab.11[[#This Row],[Blue]])</f>
        <v>0</v>
      </c>
      <c r="W820" s="73" t="b">
        <f>IF(Tab.11[[#This Row],[a1]]=1,IF(ABS(Tab.11[[#This Row],[b17]])+ABS(Tab.11[[#This Row],[b18]])&lt;$W$2,$W$2,ABS(Tab.11[[#This Row],[b17]])+ABS(Tab.11[[#This Row],[b18]])))</f>
        <v>0</v>
      </c>
      <c r="X820" s="136" t="b">
        <f>IF(Tab.11[[#This Row],[a1]]=1,IF($W$3&lt;0,Tab.11[[#This Row],[IN]]-$I$3,Tab.11[[#This Row],[IN]]))</f>
        <v>0</v>
      </c>
      <c r="Y820" s="136" t="b">
        <f>IF(Tab.11[[#This Row],[a1]]=1,IF($X$3=0,Tab.11[b66],Tab.11[[#This Row],[b66]]-AVERAGE(Tab.11[b66])))</f>
        <v>0</v>
      </c>
      <c r="Z820" s="135" t="b">
        <f>IF(Tab.11[[#This Row],[a1]]=1,Tab.11[[#This Row],[b77]]/(_xlfn.STDEV.P(Tab.11[b77])))</f>
        <v>0</v>
      </c>
      <c r="AA820" s="70" t="b">
        <f>IF(Tab.11[[#This Row],[a1]]=1,_xlfn.NORM.DIST(Tab.11[[#This Row],[b88]],$Z$1,$AA$1,FALSE))</f>
        <v>0</v>
      </c>
      <c r="AB820" s="74" t="b">
        <f>IF(Tab.11[[#This Row],[a1]]=1,IF($A$3=0,FALSE,1/Tab.11[[#This Row],[IN]]*$AC$2*IF(Tab.11[[#This Row],[a1]]=0,,$A$3*$AC$1*1/$V$3*(Tab.11[[#This Row],[b14]]))))</f>
        <v>0</v>
      </c>
      <c r="AC820" s="75" t="b">
        <f>IF(Tab.11[[#This Row],[a1]]=1,IF($AC$3=0,Tab.11[[#This Row],[φ1]],Tab.11[[#This Row],[φ1]]/MAX(Tab.11[φ1])))</f>
        <v>0</v>
      </c>
      <c r="AD820" s="74" t="b">
        <f>IF(Tab.11[[#This Row],[a1]]=1,1/Tab.11[[#This Row],[φ2]])</f>
        <v>0</v>
      </c>
      <c r="AE820" s="74" t="b">
        <f>IF(Tab.11[[#This Row],[a1]]=1,IF($AE$3=0,Tab.11[[#This Row],[w.0]],Tab.11[[#This Row],[w.0]]/SUM(Tab.11[w.0])))</f>
        <v>0</v>
      </c>
      <c r="AF820" s="76" t="str">
        <f>IF(Tab.11[[#This Row],[a1]]=0,"false",[3]!Tab.x5[[#This Row],[%_seN_C]])</f>
        <v>false</v>
      </c>
      <c r="AG820" s="77" t="b">
        <f>IF(Tab.11[[#This Row],[a1]]=1,AP820)</f>
        <v>0</v>
      </c>
      <c r="AH820" s="78" t="b">
        <f>IF(Tab.11[[#This Row],[a1]]=1,AQ820)</f>
        <v>0</v>
      </c>
      <c r="AI820" s="41">
        <v>3.0000000000000001E-3</v>
      </c>
      <c r="AJ820" s="79">
        <v>-0.1</v>
      </c>
      <c r="AK820" s="80" t="b">
        <f>IF(Tab.11[[#This Row],[a1]]=1,1)</f>
        <v>0</v>
      </c>
      <c r="AL820"/>
      <c r="AM820"/>
      <c r="AN820"/>
      <c r="AO820"/>
      <c r="AP820"/>
      <c r="AQ820"/>
      <c r="AR820"/>
      <c r="AS820"/>
    </row>
    <row r="821" spans="1:45" s="81" customFormat="1" hidden="1" x14ac:dyDescent="0.25">
      <c r="A821" s="61">
        <f t="shared" si="27"/>
        <v>0</v>
      </c>
      <c r="B821" s="62">
        <f t="shared" si="27"/>
        <v>0</v>
      </c>
      <c r="C821" s="62" t="b">
        <f>IF(Tab.11[[#This Row],[a1]]=1,[3]!Tab_x1[[#This Row],[Name]])</f>
        <v>0</v>
      </c>
      <c r="D821" s="63" t="b">
        <f>IF(Tab.11[[#This Row],[a1]]=1,AO821)</f>
        <v>0</v>
      </c>
      <c r="E821" s="63">
        <f t="shared" si="26"/>
        <v>0</v>
      </c>
      <c r="F821" s="64" t="b">
        <f>IF(Tab.11[[#This Row],[a1]]=1,Tab.11[[#This Row],[b1]])</f>
        <v>0</v>
      </c>
      <c r="G821" s="65" t="b">
        <f>IF(Tab.11[[#This Row],[a1]]=1,IF(Tab.11[[#This Row],[b3]]&gt;$L$989*$G$3,$L$989*$G$3,IF(Tab.11[[#This Row],[b3]]&lt;$M$989*$G$3,$M$989*$G$3,Tab.11[[#This Row],[b3]])))</f>
        <v>0</v>
      </c>
      <c r="H821" s="66" t="b">
        <f>IF(Tab.11[[#This Row],[a1]]=1,Tab.11[[#This Row],[b1]])</f>
        <v>0</v>
      </c>
      <c r="I821" s="67" t="b">
        <f>IF(Tab.11[[#This Row],[a1]]=1,Tab.11[[#This Row],[b1]])</f>
        <v>0</v>
      </c>
      <c r="J821" s="68" t="b">
        <f>IF(Tab.11[[#This Row],[a1]]=1,IF($I$3&lt;0,Tab.11[[#This Row],[b5]]-$I$3,Tab.11[[#This Row],[b5]]))</f>
        <v>0</v>
      </c>
      <c r="K821" s="68" t="b">
        <f>IF(Tab.11[[#This Row],[a1]]=1,IF($K$3=0,Tab.11[b6],Tab.11[[#This Row],[b6]]-AVERAGE(Tab.11[b6])))</f>
        <v>0</v>
      </c>
      <c r="L821" s="69" t="b">
        <f>IF(Tab.11[[#This Row],[a1]]=1,Tab.11[[#This Row],[data]]/(_xlfn.STDEV.P(Tab.11[data])*$B$989)+$A$989)</f>
        <v>0</v>
      </c>
      <c r="M821" s="69" t="b">
        <f>IF(Tab.11[[#This Row],[a1]]=1,Tab.11[[#This Row],[data]]/(_xlfn.STDEV.P(Tab.11[data])*$B$987)-$A$987)</f>
        <v>0</v>
      </c>
      <c r="N821" s="69" t="b">
        <f>IF(Tab.11[[#This Row],[a1]]=1,Tab.11[[#This Row],[data]]/(_xlfn.STDEV.P(Tab.11[data])*$B$988)+$A$988)</f>
        <v>0</v>
      </c>
      <c r="O821" s="70" t="b">
        <f>IF(Tab.11[[#This Row],[a1]]=1,_xlfn.NORM.DIST(Tab.11[[#This Row],[b8]],$P$1,$Q$1,FALSE))</f>
        <v>0</v>
      </c>
      <c r="P821" s="70" t="b">
        <f>IF(Tab.11[[#This Row],[a1]]=1,_xlfn.NORM.DIST(Tab.11[[#This Row],[b9]],$P$1,$Q$1,FALSE))</f>
        <v>0</v>
      </c>
      <c r="Q821" s="70" t="b">
        <f>IF(Tab.11[[#This Row],[a1]]=1,_xlfn.NORM.DIST(Tab.11[[#This Row],[b10]],$P$1,$Q$1,FALSE))</f>
        <v>0</v>
      </c>
      <c r="R821" s="67" t="b">
        <f>IF(Tab.11[[#This Row],[a1]]=1,$I$3+$A$989+IF($K$3=0,Tab.11[[#This Row],[b8]]*_xlfn.STDEV.P(Tab.11[data]),AVERAGE(Tab.11[b6])+Tab.11[[#This Row],[b8]]*_xlfn.STDEV.P(Tab.11[data])))</f>
        <v>0</v>
      </c>
      <c r="S821" s="71" t="b">
        <f>IF(Tab.11[[#This Row],[a1]]=1,$I$3+$A$987+IF($K$3=0,Tab.11[[#This Row],[b9]]*_xlfn.STDEV.P(Tab.11[data]),AVERAGE(Tab.11[b6])+Tab.11[[#This Row],[b9]]*_xlfn.STDEV.P(Tab.11[data])))</f>
        <v>0</v>
      </c>
      <c r="T821" s="71" t="b">
        <f>IF(Tab.11[[#This Row],[a1]]=1,$I$3+$A$988+IF($K$3=0,Tab.11[[#This Row],[b10]]*_xlfn.STDEV.P(Tab.11[data]),AVERAGE(Tab.11[b6])+Tab.11[[#This Row],[b10]]*_xlfn.STDEV.P(Tab.11[data])))</f>
        <v>0</v>
      </c>
      <c r="U821" s="72" t="b">
        <f>IF(Tab.11[[#This Row],[a1]]=1,Tab.11[[#This Row],[target]]-Tab.11[[#This Row],[Red]])</f>
        <v>0</v>
      </c>
      <c r="V821" s="72" t="b">
        <f>IF(Tab.11[[#This Row],[a1]]=1,Tab.11[[#This Row],[target]]-Tab.11[[#This Row],[Blue]])</f>
        <v>0</v>
      </c>
      <c r="W821" s="73" t="b">
        <f>IF(Tab.11[[#This Row],[a1]]=1,IF(ABS(Tab.11[[#This Row],[b17]])+ABS(Tab.11[[#This Row],[b18]])&lt;$W$2,$W$2,ABS(Tab.11[[#This Row],[b17]])+ABS(Tab.11[[#This Row],[b18]])))</f>
        <v>0</v>
      </c>
      <c r="X821" s="136" t="b">
        <f>IF(Tab.11[[#This Row],[a1]]=1,IF($W$3&lt;0,Tab.11[[#This Row],[IN]]-$I$3,Tab.11[[#This Row],[IN]]))</f>
        <v>0</v>
      </c>
      <c r="Y821" s="136" t="b">
        <f>IF(Tab.11[[#This Row],[a1]]=1,IF($X$3=0,Tab.11[b66],Tab.11[[#This Row],[b66]]-AVERAGE(Tab.11[b66])))</f>
        <v>0</v>
      </c>
      <c r="Z821" s="135" t="b">
        <f>IF(Tab.11[[#This Row],[a1]]=1,Tab.11[[#This Row],[b77]]/(_xlfn.STDEV.P(Tab.11[b77])))</f>
        <v>0</v>
      </c>
      <c r="AA821" s="70" t="b">
        <f>IF(Tab.11[[#This Row],[a1]]=1,_xlfn.NORM.DIST(Tab.11[[#This Row],[b88]],$Z$1,$AA$1,FALSE))</f>
        <v>0</v>
      </c>
      <c r="AB821" s="74" t="b">
        <f>IF(Tab.11[[#This Row],[a1]]=1,IF($A$3=0,FALSE,1/Tab.11[[#This Row],[IN]]*$AC$2*IF(Tab.11[[#This Row],[a1]]=0,,$A$3*$AC$1*1/$V$3*(Tab.11[[#This Row],[b14]]))))</f>
        <v>0</v>
      </c>
      <c r="AC821" s="75" t="b">
        <f>IF(Tab.11[[#This Row],[a1]]=1,IF($AC$3=0,Tab.11[[#This Row],[φ1]],Tab.11[[#This Row],[φ1]]/MAX(Tab.11[φ1])))</f>
        <v>0</v>
      </c>
      <c r="AD821" s="74" t="b">
        <f>IF(Tab.11[[#This Row],[a1]]=1,1/Tab.11[[#This Row],[φ2]])</f>
        <v>0</v>
      </c>
      <c r="AE821" s="74" t="b">
        <f>IF(Tab.11[[#This Row],[a1]]=1,IF($AE$3=0,Tab.11[[#This Row],[w.0]],Tab.11[[#This Row],[w.0]]/SUM(Tab.11[w.0])))</f>
        <v>0</v>
      </c>
      <c r="AF821" s="76" t="str">
        <f>IF(Tab.11[[#This Row],[a1]]=0,"false",[3]!Tab.x5[[#This Row],[%_seN_C]])</f>
        <v>false</v>
      </c>
      <c r="AG821" s="77" t="b">
        <f>IF(Tab.11[[#This Row],[a1]]=1,AP821)</f>
        <v>0</v>
      </c>
      <c r="AH821" s="78" t="b">
        <f>IF(Tab.11[[#This Row],[a1]]=1,AQ821)</f>
        <v>0</v>
      </c>
      <c r="AI821" s="41">
        <v>3.0000000000000001E-3</v>
      </c>
      <c r="AJ821" s="79">
        <v>0.08</v>
      </c>
      <c r="AK821" s="80" t="b">
        <f>IF(Tab.11[[#This Row],[a1]]=1,1)</f>
        <v>0</v>
      </c>
      <c r="AL821"/>
      <c r="AM821"/>
      <c r="AN821"/>
      <c r="AO821"/>
      <c r="AP821"/>
      <c r="AQ821"/>
      <c r="AR821"/>
      <c r="AS821"/>
    </row>
    <row r="822" spans="1:45" s="81" customFormat="1" hidden="1" x14ac:dyDescent="0.25">
      <c r="A822" s="61">
        <f t="shared" si="27"/>
        <v>0</v>
      </c>
      <c r="B822" s="62">
        <f t="shared" si="27"/>
        <v>0</v>
      </c>
      <c r="C822" s="62" t="b">
        <f>IF(Tab.11[[#This Row],[a1]]=1,[3]!Tab_x1[[#This Row],[Name]])</f>
        <v>0</v>
      </c>
      <c r="D822" s="63" t="b">
        <f>IF(Tab.11[[#This Row],[a1]]=1,AO822)</f>
        <v>0</v>
      </c>
      <c r="E822" s="63">
        <f t="shared" si="26"/>
        <v>0</v>
      </c>
      <c r="F822" s="64" t="b">
        <f>IF(Tab.11[[#This Row],[a1]]=1,Tab.11[[#This Row],[b1]])</f>
        <v>0</v>
      </c>
      <c r="G822" s="65" t="b">
        <f>IF(Tab.11[[#This Row],[a1]]=1,IF(Tab.11[[#This Row],[b3]]&gt;$L$989*$G$3,$L$989*$G$3,IF(Tab.11[[#This Row],[b3]]&lt;$M$989*$G$3,$M$989*$G$3,Tab.11[[#This Row],[b3]])))</f>
        <v>0</v>
      </c>
      <c r="H822" s="66" t="b">
        <f>IF(Tab.11[[#This Row],[a1]]=1,Tab.11[[#This Row],[b1]])</f>
        <v>0</v>
      </c>
      <c r="I822" s="67" t="b">
        <f>IF(Tab.11[[#This Row],[a1]]=1,Tab.11[[#This Row],[b1]])</f>
        <v>0</v>
      </c>
      <c r="J822" s="68" t="b">
        <f>IF(Tab.11[[#This Row],[a1]]=1,IF($I$3&lt;0,Tab.11[[#This Row],[b5]]-$I$3,Tab.11[[#This Row],[b5]]))</f>
        <v>0</v>
      </c>
      <c r="K822" s="68" t="b">
        <f>IF(Tab.11[[#This Row],[a1]]=1,IF($K$3=0,Tab.11[b6],Tab.11[[#This Row],[b6]]-AVERAGE(Tab.11[b6])))</f>
        <v>0</v>
      </c>
      <c r="L822" s="69" t="b">
        <f>IF(Tab.11[[#This Row],[a1]]=1,Tab.11[[#This Row],[data]]/(_xlfn.STDEV.P(Tab.11[data])*$B$989)+$A$989)</f>
        <v>0</v>
      </c>
      <c r="M822" s="69" t="b">
        <f>IF(Tab.11[[#This Row],[a1]]=1,Tab.11[[#This Row],[data]]/(_xlfn.STDEV.P(Tab.11[data])*$B$987)-$A$987)</f>
        <v>0</v>
      </c>
      <c r="N822" s="69" t="b">
        <f>IF(Tab.11[[#This Row],[a1]]=1,Tab.11[[#This Row],[data]]/(_xlfn.STDEV.P(Tab.11[data])*$B$988)+$A$988)</f>
        <v>0</v>
      </c>
      <c r="O822" s="70" t="b">
        <f>IF(Tab.11[[#This Row],[a1]]=1,_xlfn.NORM.DIST(Tab.11[[#This Row],[b8]],$P$1,$Q$1,FALSE))</f>
        <v>0</v>
      </c>
      <c r="P822" s="70" t="b">
        <f>IF(Tab.11[[#This Row],[a1]]=1,_xlfn.NORM.DIST(Tab.11[[#This Row],[b9]],$P$1,$Q$1,FALSE))</f>
        <v>0</v>
      </c>
      <c r="Q822" s="70" t="b">
        <f>IF(Tab.11[[#This Row],[a1]]=1,_xlfn.NORM.DIST(Tab.11[[#This Row],[b10]],$P$1,$Q$1,FALSE))</f>
        <v>0</v>
      </c>
      <c r="R822" s="67" t="b">
        <f>IF(Tab.11[[#This Row],[a1]]=1,$I$3+$A$989+IF($K$3=0,Tab.11[[#This Row],[b8]]*_xlfn.STDEV.P(Tab.11[data]),AVERAGE(Tab.11[b6])+Tab.11[[#This Row],[b8]]*_xlfn.STDEV.P(Tab.11[data])))</f>
        <v>0</v>
      </c>
      <c r="S822" s="71" t="b">
        <f>IF(Tab.11[[#This Row],[a1]]=1,$I$3+$A$987+IF($K$3=0,Tab.11[[#This Row],[b9]]*_xlfn.STDEV.P(Tab.11[data]),AVERAGE(Tab.11[b6])+Tab.11[[#This Row],[b9]]*_xlfn.STDEV.P(Tab.11[data])))</f>
        <v>0</v>
      </c>
      <c r="T822" s="71" t="b">
        <f>IF(Tab.11[[#This Row],[a1]]=1,$I$3+$A$988+IF($K$3=0,Tab.11[[#This Row],[b10]]*_xlfn.STDEV.P(Tab.11[data]),AVERAGE(Tab.11[b6])+Tab.11[[#This Row],[b10]]*_xlfn.STDEV.P(Tab.11[data])))</f>
        <v>0</v>
      </c>
      <c r="U822" s="72" t="b">
        <f>IF(Tab.11[[#This Row],[a1]]=1,Tab.11[[#This Row],[target]]-Tab.11[[#This Row],[Red]])</f>
        <v>0</v>
      </c>
      <c r="V822" s="72" t="b">
        <f>IF(Tab.11[[#This Row],[a1]]=1,Tab.11[[#This Row],[target]]-Tab.11[[#This Row],[Blue]])</f>
        <v>0</v>
      </c>
      <c r="W822" s="73" t="b">
        <f>IF(Tab.11[[#This Row],[a1]]=1,IF(ABS(Tab.11[[#This Row],[b17]])+ABS(Tab.11[[#This Row],[b18]])&lt;$W$2,$W$2,ABS(Tab.11[[#This Row],[b17]])+ABS(Tab.11[[#This Row],[b18]])))</f>
        <v>0</v>
      </c>
      <c r="X822" s="136" t="b">
        <f>IF(Tab.11[[#This Row],[a1]]=1,IF($W$3&lt;0,Tab.11[[#This Row],[IN]]-$I$3,Tab.11[[#This Row],[IN]]))</f>
        <v>0</v>
      </c>
      <c r="Y822" s="136" t="b">
        <f>IF(Tab.11[[#This Row],[a1]]=1,IF($X$3=0,Tab.11[b66],Tab.11[[#This Row],[b66]]-AVERAGE(Tab.11[b66])))</f>
        <v>0</v>
      </c>
      <c r="Z822" s="135" t="b">
        <f>IF(Tab.11[[#This Row],[a1]]=1,Tab.11[[#This Row],[b77]]/(_xlfn.STDEV.P(Tab.11[b77])))</f>
        <v>0</v>
      </c>
      <c r="AA822" s="70" t="b">
        <f>IF(Tab.11[[#This Row],[a1]]=1,_xlfn.NORM.DIST(Tab.11[[#This Row],[b88]],$Z$1,$AA$1,FALSE))</f>
        <v>0</v>
      </c>
      <c r="AB822" s="74" t="b">
        <f>IF(Tab.11[[#This Row],[a1]]=1,IF($A$3=0,FALSE,1/Tab.11[[#This Row],[IN]]*$AC$2*IF(Tab.11[[#This Row],[a1]]=0,,$A$3*$AC$1*1/$V$3*(Tab.11[[#This Row],[b14]]))))</f>
        <v>0</v>
      </c>
      <c r="AC822" s="75" t="b">
        <f>IF(Tab.11[[#This Row],[a1]]=1,IF($AC$3=0,Tab.11[[#This Row],[φ1]],Tab.11[[#This Row],[φ1]]/MAX(Tab.11[φ1])))</f>
        <v>0</v>
      </c>
      <c r="AD822" s="74" t="b">
        <f>IF(Tab.11[[#This Row],[a1]]=1,1/Tab.11[[#This Row],[φ2]])</f>
        <v>0</v>
      </c>
      <c r="AE822" s="74" t="b">
        <f>IF(Tab.11[[#This Row],[a1]]=1,IF($AE$3=0,Tab.11[[#This Row],[w.0]],Tab.11[[#This Row],[w.0]]/SUM(Tab.11[w.0])))</f>
        <v>0</v>
      </c>
      <c r="AF822" s="76" t="str">
        <f>IF(Tab.11[[#This Row],[a1]]=0,"false",[3]!Tab.x5[[#This Row],[%_seN_C]])</f>
        <v>false</v>
      </c>
      <c r="AG822" s="77" t="b">
        <f>IF(Tab.11[[#This Row],[a1]]=1,AP822)</f>
        <v>0</v>
      </c>
      <c r="AH822" s="78" t="b">
        <f>IF(Tab.11[[#This Row],[a1]]=1,AQ822)</f>
        <v>0</v>
      </c>
      <c r="AI822" s="41">
        <v>3.0000000000000001E-3</v>
      </c>
      <c r="AJ822" s="79">
        <v>-0.04</v>
      </c>
      <c r="AK822" s="80" t="b">
        <f>IF(Tab.11[[#This Row],[a1]]=1,1)</f>
        <v>0</v>
      </c>
      <c r="AL822"/>
      <c r="AM822"/>
      <c r="AN822"/>
      <c r="AO822"/>
      <c r="AP822"/>
      <c r="AQ822"/>
      <c r="AR822"/>
      <c r="AS822"/>
    </row>
    <row r="823" spans="1:45" s="81" customFormat="1" hidden="1" x14ac:dyDescent="0.25">
      <c r="A823" s="61">
        <f t="shared" si="27"/>
        <v>0</v>
      </c>
      <c r="B823" s="62">
        <f t="shared" si="27"/>
        <v>0</v>
      </c>
      <c r="C823" s="62" t="b">
        <f>IF(Tab.11[[#This Row],[a1]]=1,[3]!Tab_x1[[#This Row],[Name]])</f>
        <v>0</v>
      </c>
      <c r="D823" s="63" t="b">
        <f>IF(Tab.11[[#This Row],[a1]]=1,AO823)</f>
        <v>0</v>
      </c>
      <c r="E823" s="63">
        <f t="shared" si="26"/>
        <v>0</v>
      </c>
      <c r="F823" s="64" t="b">
        <f>IF(Tab.11[[#This Row],[a1]]=1,Tab.11[[#This Row],[b1]])</f>
        <v>0</v>
      </c>
      <c r="G823" s="65" t="b">
        <f>IF(Tab.11[[#This Row],[a1]]=1,IF(Tab.11[[#This Row],[b3]]&gt;$L$989*$G$3,$L$989*$G$3,IF(Tab.11[[#This Row],[b3]]&lt;$M$989*$G$3,$M$989*$G$3,Tab.11[[#This Row],[b3]])))</f>
        <v>0</v>
      </c>
      <c r="H823" s="66" t="b">
        <f>IF(Tab.11[[#This Row],[a1]]=1,Tab.11[[#This Row],[b1]])</f>
        <v>0</v>
      </c>
      <c r="I823" s="67" t="b">
        <f>IF(Tab.11[[#This Row],[a1]]=1,Tab.11[[#This Row],[b1]])</f>
        <v>0</v>
      </c>
      <c r="J823" s="68" t="b">
        <f>IF(Tab.11[[#This Row],[a1]]=1,IF($I$3&lt;0,Tab.11[[#This Row],[b5]]-$I$3,Tab.11[[#This Row],[b5]]))</f>
        <v>0</v>
      </c>
      <c r="K823" s="68" t="b">
        <f>IF(Tab.11[[#This Row],[a1]]=1,IF($K$3=0,Tab.11[b6],Tab.11[[#This Row],[b6]]-AVERAGE(Tab.11[b6])))</f>
        <v>0</v>
      </c>
      <c r="L823" s="69" t="b">
        <f>IF(Tab.11[[#This Row],[a1]]=1,Tab.11[[#This Row],[data]]/(_xlfn.STDEV.P(Tab.11[data])*$B$989)+$A$989)</f>
        <v>0</v>
      </c>
      <c r="M823" s="69" t="b">
        <f>IF(Tab.11[[#This Row],[a1]]=1,Tab.11[[#This Row],[data]]/(_xlfn.STDEV.P(Tab.11[data])*$B$987)-$A$987)</f>
        <v>0</v>
      </c>
      <c r="N823" s="69" t="b">
        <f>IF(Tab.11[[#This Row],[a1]]=1,Tab.11[[#This Row],[data]]/(_xlfn.STDEV.P(Tab.11[data])*$B$988)+$A$988)</f>
        <v>0</v>
      </c>
      <c r="O823" s="70" t="b">
        <f>IF(Tab.11[[#This Row],[a1]]=1,_xlfn.NORM.DIST(Tab.11[[#This Row],[b8]],$P$1,$Q$1,FALSE))</f>
        <v>0</v>
      </c>
      <c r="P823" s="70" t="b">
        <f>IF(Tab.11[[#This Row],[a1]]=1,_xlfn.NORM.DIST(Tab.11[[#This Row],[b9]],$P$1,$Q$1,FALSE))</f>
        <v>0</v>
      </c>
      <c r="Q823" s="70" t="b">
        <f>IF(Tab.11[[#This Row],[a1]]=1,_xlfn.NORM.DIST(Tab.11[[#This Row],[b10]],$P$1,$Q$1,FALSE))</f>
        <v>0</v>
      </c>
      <c r="R823" s="67" t="b">
        <f>IF(Tab.11[[#This Row],[a1]]=1,$I$3+$A$989+IF($K$3=0,Tab.11[[#This Row],[b8]]*_xlfn.STDEV.P(Tab.11[data]),AVERAGE(Tab.11[b6])+Tab.11[[#This Row],[b8]]*_xlfn.STDEV.P(Tab.11[data])))</f>
        <v>0</v>
      </c>
      <c r="S823" s="71" t="b">
        <f>IF(Tab.11[[#This Row],[a1]]=1,$I$3+$A$987+IF($K$3=0,Tab.11[[#This Row],[b9]]*_xlfn.STDEV.P(Tab.11[data]),AVERAGE(Tab.11[b6])+Tab.11[[#This Row],[b9]]*_xlfn.STDEV.P(Tab.11[data])))</f>
        <v>0</v>
      </c>
      <c r="T823" s="71" t="b">
        <f>IF(Tab.11[[#This Row],[a1]]=1,$I$3+$A$988+IF($K$3=0,Tab.11[[#This Row],[b10]]*_xlfn.STDEV.P(Tab.11[data]),AVERAGE(Tab.11[b6])+Tab.11[[#This Row],[b10]]*_xlfn.STDEV.P(Tab.11[data])))</f>
        <v>0</v>
      </c>
      <c r="U823" s="72" t="b">
        <f>IF(Tab.11[[#This Row],[a1]]=1,Tab.11[[#This Row],[target]]-Tab.11[[#This Row],[Red]])</f>
        <v>0</v>
      </c>
      <c r="V823" s="72" t="b">
        <f>IF(Tab.11[[#This Row],[a1]]=1,Tab.11[[#This Row],[target]]-Tab.11[[#This Row],[Blue]])</f>
        <v>0</v>
      </c>
      <c r="W823" s="73" t="b">
        <f>IF(Tab.11[[#This Row],[a1]]=1,IF(ABS(Tab.11[[#This Row],[b17]])+ABS(Tab.11[[#This Row],[b18]])&lt;$W$2,$W$2,ABS(Tab.11[[#This Row],[b17]])+ABS(Tab.11[[#This Row],[b18]])))</f>
        <v>0</v>
      </c>
      <c r="X823" s="136" t="b">
        <f>IF(Tab.11[[#This Row],[a1]]=1,IF($W$3&lt;0,Tab.11[[#This Row],[IN]]-$I$3,Tab.11[[#This Row],[IN]]))</f>
        <v>0</v>
      </c>
      <c r="Y823" s="136" t="b">
        <f>IF(Tab.11[[#This Row],[a1]]=1,IF($X$3=0,Tab.11[b66],Tab.11[[#This Row],[b66]]-AVERAGE(Tab.11[b66])))</f>
        <v>0</v>
      </c>
      <c r="Z823" s="135" t="b">
        <f>IF(Tab.11[[#This Row],[a1]]=1,Tab.11[[#This Row],[b77]]/(_xlfn.STDEV.P(Tab.11[b77])))</f>
        <v>0</v>
      </c>
      <c r="AA823" s="70" t="b">
        <f>IF(Tab.11[[#This Row],[a1]]=1,_xlfn.NORM.DIST(Tab.11[[#This Row],[b88]],$Z$1,$AA$1,FALSE))</f>
        <v>0</v>
      </c>
      <c r="AB823" s="74" t="b">
        <f>IF(Tab.11[[#This Row],[a1]]=1,IF($A$3=0,FALSE,1/Tab.11[[#This Row],[IN]]*$AC$2*IF(Tab.11[[#This Row],[a1]]=0,,$A$3*$AC$1*1/$V$3*(Tab.11[[#This Row],[b14]]))))</f>
        <v>0</v>
      </c>
      <c r="AC823" s="75" t="b">
        <f>IF(Tab.11[[#This Row],[a1]]=1,IF($AC$3=0,Tab.11[[#This Row],[φ1]],Tab.11[[#This Row],[φ1]]/MAX(Tab.11[φ1])))</f>
        <v>0</v>
      </c>
      <c r="AD823" s="74" t="b">
        <f>IF(Tab.11[[#This Row],[a1]]=1,1/Tab.11[[#This Row],[φ2]])</f>
        <v>0</v>
      </c>
      <c r="AE823" s="74" t="b">
        <f>IF(Tab.11[[#This Row],[a1]]=1,IF($AE$3=0,Tab.11[[#This Row],[w.0]],Tab.11[[#This Row],[w.0]]/SUM(Tab.11[w.0])))</f>
        <v>0</v>
      </c>
      <c r="AF823" s="76" t="str">
        <f>IF(Tab.11[[#This Row],[a1]]=0,"false",[3]!Tab.x5[[#This Row],[%_seN_C]])</f>
        <v>false</v>
      </c>
      <c r="AG823" s="77" t="b">
        <f>IF(Tab.11[[#This Row],[a1]]=1,AP823)</f>
        <v>0</v>
      </c>
      <c r="AH823" s="78" t="b">
        <f>IF(Tab.11[[#This Row],[a1]]=1,AQ823)</f>
        <v>0</v>
      </c>
      <c r="AI823" s="41">
        <v>3.0000000000000001E-3</v>
      </c>
      <c r="AJ823" s="79">
        <v>0.09</v>
      </c>
      <c r="AK823" s="80" t="b">
        <f>IF(Tab.11[[#This Row],[a1]]=1,1)</f>
        <v>0</v>
      </c>
      <c r="AL823"/>
      <c r="AM823"/>
      <c r="AN823"/>
      <c r="AO823"/>
      <c r="AP823"/>
      <c r="AQ823"/>
      <c r="AR823"/>
      <c r="AS823"/>
    </row>
    <row r="824" spans="1:45" s="81" customFormat="1" hidden="1" x14ac:dyDescent="0.25">
      <c r="A824" s="61">
        <f t="shared" si="27"/>
        <v>0</v>
      </c>
      <c r="B824" s="62">
        <f t="shared" si="27"/>
        <v>0</v>
      </c>
      <c r="C824" s="62" t="b">
        <f>IF(Tab.11[[#This Row],[a1]]=1,[3]!Tab_x1[[#This Row],[Name]])</f>
        <v>0</v>
      </c>
      <c r="D824" s="63" t="b">
        <f>IF(Tab.11[[#This Row],[a1]]=1,AO824)</f>
        <v>0</v>
      </c>
      <c r="E824" s="63">
        <f t="shared" si="26"/>
        <v>0</v>
      </c>
      <c r="F824" s="64" t="b">
        <f>IF(Tab.11[[#This Row],[a1]]=1,Tab.11[[#This Row],[b1]])</f>
        <v>0</v>
      </c>
      <c r="G824" s="65" t="b">
        <f>IF(Tab.11[[#This Row],[a1]]=1,IF(Tab.11[[#This Row],[b3]]&gt;$L$989*$G$3,$L$989*$G$3,IF(Tab.11[[#This Row],[b3]]&lt;$M$989*$G$3,$M$989*$G$3,Tab.11[[#This Row],[b3]])))</f>
        <v>0</v>
      </c>
      <c r="H824" s="66" t="b">
        <f>IF(Tab.11[[#This Row],[a1]]=1,Tab.11[[#This Row],[b1]])</f>
        <v>0</v>
      </c>
      <c r="I824" s="67" t="b">
        <f>IF(Tab.11[[#This Row],[a1]]=1,Tab.11[[#This Row],[b1]])</f>
        <v>0</v>
      </c>
      <c r="J824" s="68" t="b">
        <f>IF(Tab.11[[#This Row],[a1]]=1,IF($I$3&lt;0,Tab.11[[#This Row],[b5]]-$I$3,Tab.11[[#This Row],[b5]]))</f>
        <v>0</v>
      </c>
      <c r="K824" s="68" t="b">
        <f>IF(Tab.11[[#This Row],[a1]]=1,IF($K$3=0,Tab.11[b6],Tab.11[[#This Row],[b6]]-AVERAGE(Tab.11[b6])))</f>
        <v>0</v>
      </c>
      <c r="L824" s="69" t="b">
        <f>IF(Tab.11[[#This Row],[a1]]=1,Tab.11[[#This Row],[data]]/(_xlfn.STDEV.P(Tab.11[data])*$B$989)+$A$989)</f>
        <v>0</v>
      </c>
      <c r="M824" s="69" t="b">
        <f>IF(Tab.11[[#This Row],[a1]]=1,Tab.11[[#This Row],[data]]/(_xlfn.STDEV.P(Tab.11[data])*$B$987)-$A$987)</f>
        <v>0</v>
      </c>
      <c r="N824" s="69" t="b">
        <f>IF(Tab.11[[#This Row],[a1]]=1,Tab.11[[#This Row],[data]]/(_xlfn.STDEV.P(Tab.11[data])*$B$988)+$A$988)</f>
        <v>0</v>
      </c>
      <c r="O824" s="70" t="b">
        <f>IF(Tab.11[[#This Row],[a1]]=1,_xlfn.NORM.DIST(Tab.11[[#This Row],[b8]],$P$1,$Q$1,FALSE))</f>
        <v>0</v>
      </c>
      <c r="P824" s="70" t="b">
        <f>IF(Tab.11[[#This Row],[a1]]=1,_xlfn.NORM.DIST(Tab.11[[#This Row],[b9]],$P$1,$Q$1,FALSE))</f>
        <v>0</v>
      </c>
      <c r="Q824" s="70" t="b">
        <f>IF(Tab.11[[#This Row],[a1]]=1,_xlfn.NORM.DIST(Tab.11[[#This Row],[b10]],$P$1,$Q$1,FALSE))</f>
        <v>0</v>
      </c>
      <c r="R824" s="67" t="b">
        <f>IF(Tab.11[[#This Row],[a1]]=1,$I$3+$A$989+IF($K$3=0,Tab.11[[#This Row],[b8]]*_xlfn.STDEV.P(Tab.11[data]),AVERAGE(Tab.11[b6])+Tab.11[[#This Row],[b8]]*_xlfn.STDEV.P(Tab.11[data])))</f>
        <v>0</v>
      </c>
      <c r="S824" s="71" t="b">
        <f>IF(Tab.11[[#This Row],[a1]]=1,$I$3+$A$987+IF($K$3=0,Tab.11[[#This Row],[b9]]*_xlfn.STDEV.P(Tab.11[data]),AVERAGE(Tab.11[b6])+Tab.11[[#This Row],[b9]]*_xlfn.STDEV.P(Tab.11[data])))</f>
        <v>0</v>
      </c>
      <c r="T824" s="71" t="b">
        <f>IF(Tab.11[[#This Row],[a1]]=1,$I$3+$A$988+IF($K$3=0,Tab.11[[#This Row],[b10]]*_xlfn.STDEV.P(Tab.11[data]),AVERAGE(Tab.11[b6])+Tab.11[[#This Row],[b10]]*_xlfn.STDEV.P(Tab.11[data])))</f>
        <v>0</v>
      </c>
      <c r="U824" s="72" t="b">
        <f>IF(Tab.11[[#This Row],[a1]]=1,Tab.11[[#This Row],[target]]-Tab.11[[#This Row],[Red]])</f>
        <v>0</v>
      </c>
      <c r="V824" s="72" t="b">
        <f>IF(Tab.11[[#This Row],[a1]]=1,Tab.11[[#This Row],[target]]-Tab.11[[#This Row],[Blue]])</f>
        <v>0</v>
      </c>
      <c r="W824" s="73" t="b">
        <f>IF(Tab.11[[#This Row],[a1]]=1,IF(ABS(Tab.11[[#This Row],[b17]])+ABS(Tab.11[[#This Row],[b18]])&lt;$W$2,$W$2,ABS(Tab.11[[#This Row],[b17]])+ABS(Tab.11[[#This Row],[b18]])))</f>
        <v>0</v>
      </c>
      <c r="X824" s="136" t="b">
        <f>IF(Tab.11[[#This Row],[a1]]=1,IF($W$3&lt;0,Tab.11[[#This Row],[IN]]-$I$3,Tab.11[[#This Row],[IN]]))</f>
        <v>0</v>
      </c>
      <c r="Y824" s="136" t="b">
        <f>IF(Tab.11[[#This Row],[a1]]=1,IF($X$3=0,Tab.11[b66],Tab.11[[#This Row],[b66]]-AVERAGE(Tab.11[b66])))</f>
        <v>0</v>
      </c>
      <c r="Z824" s="135" t="b">
        <f>IF(Tab.11[[#This Row],[a1]]=1,Tab.11[[#This Row],[b77]]/(_xlfn.STDEV.P(Tab.11[b77])))</f>
        <v>0</v>
      </c>
      <c r="AA824" s="70" t="b">
        <f>IF(Tab.11[[#This Row],[a1]]=1,_xlfn.NORM.DIST(Tab.11[[#This Row],[b88]],$Z$1,$AA$1,FALSE))</f>
        <v>0</v>
      </c>
      <c r="AB824" s="74" t="b">
        <f>IF(Tab.11[[#This Row],[a1]]=1,IF($A$3=0,FALSE,1/Tab.11[[#This Row],[IN]]*$AC$2*IF(Tab.11[[#This Row],[a1]]=0,,$A$3*$AC$1*1/$V$3*(Tab.11[[#This Row],[b14]]))))</f>
        <v>0</v>
      </c>
      <c r="AC824" s="75" t="b">
        <f>IF(Tab.11[[#This Row],[a1]]=1,IF($AC$3=0,Tab.11[[#This Row],[φ1]],Tab.11[[#This Row],[φ1]]/MAX(Tab.11[φ1])))</f>
        <v>0</v>
      </c>
      <c r="AD824" s="74" t="b">
        <f>IF(Tab.11[[#This Row],[a1]]=1,1/Tab.11[[#This Row],[φ2]])</f>
        <v>0</v>
      </c>
      <c r="AE824" s="74" t="b">
        <f>IF(Tab.11[[#This Row],[a1]]=1,IF($AE$3=0,Tab.11[[#This Row],[w.0]],Tab.11[[#This Row],[w.0]]/SUM(Tab.11[w.0])))</f>
        <v>0</v>
      </c>
      <c r="AF824" s="76" t="str">
        <f>IF(Tab.11[[#This Row],[a1]]=0,"false",[3]!Tab.x5[[#This Row],[%_seN_C]])</f>
        <v>false</v>
      </c>
      <c r="AG824" s="77" t="b">
        <f>IF(Tab.11[[#This Row],[a1]]=1,AP824)</f>
        <v>0</v>
      </c>
      <c r="AH824" s="78" t="b">
        <f>IF(Tab.11[[#This Row],[a1]]=1,AQ824)</f>
        <v>0</v>
      </c>
      <c r="AI824" s="41">
        <v>3.0000000000000001E-3</v>
      </c>
      <c r="AJ824" s="79">
        <v>0.01</v>
      </c>
      <c r="AK824" s="80" t="b">
        <f>IF(Tab.11[[#This Row],[a1]]=1,1)</f>
        <v>0</v>
      </c>
      <c r="AL824"/>
      <c r="AM824"/>
      <c r="AN824"/>
      <c r="AO824"/>
      <c r="AP824"/>
      <c r="AQ824"/>
      <c r="AR824"/>
      <c r="AS824"/>
    </row>
    <row r="825" spans="1:45" s="81" customFormat="1" hidden="1" x14ac:dyDescent="0.25">
      <c r="A825" s="61">
        <f t="shared" si="27"/>
        <v>0</v>
      </c>
      <c r="B825" s="62">
        <f t="shared" si="27"/>
        <v>0</v>
      </c>
      <c r="C825" s="62" t="b">
        <f>IF(Tab.11[[#This Row],[a1]]=1,[3]!Tab_x1[[#This Row],[Name]])</f>
        <v>0</v>
      </c>
      <c r="D825" s="63" t="b">
        <f>IF(Tab.11[[#This Row],[a1]]=1,AO825)</f>
        <v>0</v>
      </c>
      <c r="E825" s="63">
        <f t="shared" si="26"/>
        <v>0</v>
      </c>
      <c r="F825" s="64" t="b">
        <f>IF(Tab.11[[#This Row],[a1]]=1,Tab.11[[#This Row],[b1]])</f>
        <v>0</v>
      </c>
      <c r="G825" s="65" t="b">
        <f>IF(Tab.11[[#This Row],[a1]]=1,IF(Tab.11[[#This Row],[b3]]&gt;$L$989*$G$3,$L$989*$G$3,IF(Tab.11[[#This Row],[b3]]&lt;$M$989*$G$3,$M$989*$G$3,Tab.11[[#This Row],[b3]])))</f>
        <v>0</v>
      </c>
      <c r="H825" s="66" t="b">
        <f>IF(Tab.11[[#This Row],[a1]]=1,Tab.11[[#This Row],[b1]])</f>
        <v>0</v>
      </c>
      <c r="I825" s="67" t="b">
        <f>IF(Tab.11[[#This Row],[a1]]=1,Tab.11[[#This Row],[b1]])</f>
        <v>0</v>
      </c>
      <c r="J825" s="68" t="b">
        <f>IF(Tab.11[[#This Row],[a1]]=1,IF($I$3&lt;0,Tab.11[[#This Row],[b5]]-$I$3,Tab.11[[#This Row],[b5]]))</f>
        <v>0</v>
      </c>
      <c r="K825" s="68" t="b">
        <f>IF(Tab.11[[#This Row],[a1]]=1,IF($K$3=0,Tab.11[b6],Tab.11[[#This Row],[b6]]-AVERAGE(Tab.11[b6])))</f>
        <v>0</v>
      </c>
      <c r="L825" s="69" t="b">
        <f>IF(Tab.11[[#This Row],[a1]]=1,Tab.11[[#This Row],[data]]/(_xlfn.STDEV.P(Tab.11[data])*$B$989)+$A$989)</f>
        <v>0</v>
      </c>
      <c r="M825" s="69" t="b">
        <f>IF(Tab.11[[#This Row],[a1]]=1,Tab.11[[#This Row],[data]]/(_xlfn.STDEV.P(Tab.11[data])*$B$987)-$A$987)</f>
        <v>0</v>
      </c>
      <c r="N825" s="69" t="b">
        <f>IF(Tab.11[[#This Row],[a1]]=1,Tab.11[[#This Row],[data]]/(_xlfn.STDEV.P(Tab.11[data])*$B$988)+$A$988)</f>
        <v>0</v>
      </c>
      <c r="O825" s="70" t="b">
        <f>IF(Tab.11[[#This Row],[a1]]=1,_xlfn.NORM.DIST(Tab.11[[#This Row],[b8]],$P$1,$Q$1,FALSE))</f>
        <v>0</v>
      </c>
      <c r="P825" s="70" t="b">
        <f>IF(Tab.11[[#This Row],[a1]]=1,_xlfn.NORM.DIST(Tab.11[[#This Row],[b9]],$P$1,$Q$1,FALSE))</f>
        <v>0</v>
      </c>
      <c r="Q825" s="70" t="b">
        <f>IF(Tab.11[[#This Row],[a1]]=1,_xlfn.NORM.DIST(Tab.11[[#This Row],[b10]],$P$1,$Q$1,FALSE))</f>
        <v>0</v>
      </c>
      <c r="R825" s="67" t="b">
        <f>IF(Tab.11[[#This Row],[a1]]=1,$I$3+$A$989+IF($K$3=0,Tab.11[[#This Row],[b8]]*_xlfn.STDEV.P(Tab.11[data]),AVERAGE(Tab.11[b6])+Tab.11[[#This Row],[b8]]*_xlfn.STDEV.P(Tab.11[data])))</f>
        <v>0</v>
      </c>
      <c r="S825" s="71" t="b">
        <f>IF(Tab.11[[#This Row],[a1]]=1,$I$3+$A$987+IF($K$3=0,Tab.11[[#This Row],[b9]]*_xlfn.STDEV.P(Tab.11[data]),AVERAGE(Tab.11[b6])+Tab.11[[#This Row],[b9]]*_xlfn.STDEV.P(Tab.11[data])))</f>
        <v>0</v>
      </c>
      <c r="T825" s="71" t="b">
        <f>IF(Tab.11[[#This Row],[a1]]=1,$I$3+$A$988+IF($K$3=0,Tab.11[[#This Row],[b10]]*_xlfn.STDEV.P(Tab.11[data]),AVERAGE(Tab.11[b6])+Tab.11[[#This Row],[b10]]*_xlfn.STDEV.P(Tab.11[data])))</f>
        <v>0</v>
      </c>
      <c r="U825" s="72" t="b">
        <f>IF(Tab.11[[#This Row],[a1]]=1,Tab.11[[#This Row],[target]]-Tab.11[[#This Row],[Red]])</f>
        <v>0</v>
      </c>
      <c r="V825" s="72" t="b">
        <f>IF(Tab.11[[#This Row],[a1]]=1,Tab.11[[#This Row],[target]]-Tab.11[[#This Row],[Blue]])</f>
        <v>0</v>
      </c>
      <c r="W825" s="73" t="b">
        <f>IF(Tab.11[[#This Row],[a1]]=1,IF(ABS(Tab.11[[#This Row],[b17]])+ABS(Tab.11[[#This Row],[b18]])&lt;$W$2,$W$2,ABS(Tab.11[[#This Row],[b17]])+ABS(Tab.11[[#This Row],[b18]])))</f>
        <v>0</v>
      </c>
      <c r="X825" s="136" t="b">
        <f>IF(Tab.11[[#This Row],[a1]]=1,IF($W$3&lt;0,Tab.11[[#This Row],[IN]]-$I$3,Tab.11[[#This Row],[IN]]))</f>
        <v>0</v>
      </c>
      <c r="Y825" s="136" t="b">
        <f>IF(Tab.11[[#This Row],[a1]]=1,IF($X$3=0,Tab.11[b66],Tab.11[[#This Row],[b66]]-AVERAGE(Tab.11[b66])))</f>
        <v>0</v>
      </c>
      <c r="Z825" s="135" t="b">
        <f>IF(Tab.11[[#This Row],[a1]]=1,Tab.11[[#This Row],[b77]]/(_xlfn.STDEV.P(Tab.11[b77])))</f>
        <v>0</v>
      </c>
      <c r="AA825" s="70" t="b">
        <f>IF(Tab.11[[#This Row],[a1]]=1,_xlfn.NORM.DIST(Tab.11[[#This Row],[b88]],$Z$1,$AA$1,FALSE))</f>
        <v>0</v>
      </c>
      <c r="AB825" s="74" t="b">
        <f>IF(Tab.11[[#This Row],[a1]]=1,IF($A$3=0,FALSE,1/Tab.11[[#This Row],[IN]]*$AC$2*IF(Tab.11[[#This Row],[a1]]=0,,$A$3*$AC$1*1/$V$3*(Tab.11[[#This Row],[b14]]))))</f>
        <v>0</v>
      </c>
      <c r="AC825" s="75" t="b">
        <f>IF(Tab.11[[#This Row],[a1]]=1,IF($AC$3=0,Tab.11[[#This Row],[φ1]],Tab.11[[#This Row],[φ1]]/MAX(Tab.11[φ1])))</f>
        <v>0</v>
      </c>
      <c r="AD825" s="74" t="b">
        <f>IF(Tab.11[[#This Row],[a1]]=1,1/Tab.11[[#This Row],[φ2]])</f>
        <v>0</v>
      </c>
      <c r="AE825" s="74" t="b">
        <f>IF(Tab.11[[#This Row],[a1]]=1,IF($AE$3=0,Tab.11[[#This Row],[w.0]],Tab.11[[#This Row],[w.0]]/SUM(Tab.11[w.0])))</f>
        <v>0</v>
      </c>
      <c r="AF825" s="76" t="str">
        <f>IF(Tab.11[[#This Row],[a1]]=0,"false",[3]!Tab.x5[[#This Row],[%_seN_C]])</f>
        <v>false</v>
      </c>
      <c r="AG825" s="77" t="b">
        <f>IF(Tab.11[[#This Row],[a1]]=1,AP825)</f>
        <v>0</v>
      </c>
      <c r="AH825" s="78" t="b">
        <f>IF(Tab.11[[#This Row],[a1]]=1,AQ825)</f>
        <v>0</v>
      </c>
      <c r="AI825" s="41">
        <v>3.0000000000000001E-3</v>
      </c>
      <c r="AJ825" s="79">
        <v>0</v>
      </c>
      <c r="AK825" s="80" t="b">
        <f>IF(Tab.11[[#This Row],[a1]]=1,1)</f>
        <v>0</v>
      </c>
      <c r="AL825"/>
      <c r="AM825"/>
      <c r="AN825"/>
      <c r="AO825"/>
      <c r="AP825"/>
      <c r="AQ825"/>
      <c r="AR825"/>
      <c r="AS825"/>
    </row>
    <row r="826" spans="1:45" s="81" customFormat="1" hidden="1" x14ac:dyDescent="0.25">
      <c r="A826" s="61">
        <f t="shared" si="27"/>
        <v>0</v>
      </c>
      <c r="B826" s="62">
        <f t="shared" si="27"/>
        <v>0</v>
      </c>
      <c r="C826" s="62" t="b">
        <f>IF(Tab.11[[#This Row],[a1]]=1,[3]!Tab_x1[[#This Row],[Name]])</f>
        <v>0</v>
      </c>
      <c r="D826" s="63" t="b">
        <f>IF(Tab.11[[#This Row],[a1]]=1,AO826)</f>
        <v>0</v>
      </c>
      <c r="E826" s="63">
        <f t="shared" si="26"/>
        <v>0</v>
      </c>
      <c r="F826" s="64" t="b">
        <f>IF(Tab.11[[#This Row],[a1]]=1,Tab.11[[#This Row],[b1]])</f>
        <v>0</v>
      </c>
      <c r="G826" s="65" t="b">
        <f>IF(Tab.11[[#This Row],[a1]]=1,IF(Tab.11[[#This Row],[b3]]&gt;$L$989*$G$3,$L$989*$G$3,IF(Tab.11[[#This Row],[b3]]&lt;$M$989*$G$3,$M$989*$G$3,Tab.11[[#This Row],[b3]])))</f>
        <v>0</v>
      </c>
      <c r="H826" s="66" t="b">
        <f>IF(Tab.11[[#This Row],[a1]]=1,Tab.11[[#This Row],[b1]])</f>
        <v>0</v>
      </c>
      <c r="I826" s="67" t="b">
        <f>IF(Tab.11[[#This Row],[a1]]=1,Tab.11[[#This Row],[b1]])</f>
        <v>0</v>
      </c>
      <c r="J826" s="68" t="b">
        <f>IF(Tab.11[[#This Row],[a1]]=1,IF($I$3&lt;0,Tab.11[[#This Row],[b5]]-$I$3,Tab.11[[#This Row],[b5]]))</f>
        <v>0</v>
      </c>
      <c r="K826" s="68" t="b">
        <f>IF(Tab.11[[#This Row],[a1]]=1,IF($K$3=0,Tab.11[b6],Tab.11[[#This Row],[b6]]-AVERAGE(Tab.11[b6])))</f>
        <v>0</v>
      </c>
      <c r="L826" s="69" t="b">
        <f>IF(Tab.11[[#This Row],[a1]]=1,Tab.11[[#This Row],[data]]/(_xlfn.STDEV.P(Tab.11[data])*$B$989)+$A$989)</f>
        <v>0</v>
      </c>
      <c r="M826" s="69" t="b">
        <f>IF(Tab.11[[#This Row],[a1]]=1,Tab.11[[#This Row],[data]]/(_xlfn.STDEV.P(Tab.11[data])*$B$987)-$A$987)</f>
        <v>0</v>
      </c>
      <c r="N826" s="69" t="b">
        <f>IF(Tab.11[[#This Row],[a1]]=1,Tab.11[[#This Row],[data]]/(_xlfn.STDEV.P(Tab.11[data])*$B$988)+$A$988)</f>
        <v>0</v>
      </c>
      <c r="O826" s="70" t="b">
        <f>IF(Tab.11[[#This Row],[a1]]=1,_xlfn.NORM.DIST(Tab.11[[#This Row],[b8]],$P$1,$Q$1,FALSE))</f>
        <v>0</v>
      </c>
      <c r="P826" s="70" t="b">
        <f>IF(Tab.11[[#This Row],[a1]]=1,_xlfn.NORM.DIST(Tab.11[[#This Row],[b9]],$P$1,$Q$1,FALSE))</f>
        <v>0</v>
      </c>
      <c r="Q826" s="70" t="b">
        <f>IF(Tab.11[[#This Row],[a1]]=1,_xlfn.NORM.DIST(Tab.11[[#This Row],[b10]],$P$1,$Q$1,FALSE))</f>
        <v>0</v>
      </c>
      <c r="R826" s="67" t="b">
        <f>IF(Tab.11[[#This Row],[a1]]=1,$I$3+$A$989+IF($K$3=0,Tab.11[[#This Row],[b8]]*_xlfn.STDEV.P(Tab.11[data]),AVERAGE(Tab.11[b6])+Tab.11[[#This Row],[b8]]*_xlfn.STDEV.P(Tab.11[data])))</f>
        <v>0</v>
      </c>
      <c r="S826" s="71" t="b">
        <f>IF(Tab.11[[#This Row],[a1]]=1,$I$3+$A$987+IF($K$3=0,Tab.11[[#This Row],[b9]]*_xlfn.STDEV.P(Tab.11[data]),AVERAGE(Tab.11[b6])+Tab.11[[#This Row],[b9]]*_xlfn.STDEV.P(Tab.11[data])))</f>
        <v>0</v>
      </c>
      <c r="T826" s="71" t="b">
        <f>IF(Tab.11[[#This Row],[a1]]=1,$I$3+$A$988+IF($K$3=0,Tab.11[[#This Row],[b10]]*_xlfn.STDEV.P(Tab.11[data]),AVERAGE(Tab.11[b6])+Tab.11[[#This Row],[b10]]*_xlfn.STDEV.P(Tab.11[data])))</f>
        <v>0</v>
      </c>
      <c r="U826" s="72" t="b">
        <f>IF(Tab.11[[#This Row],[a1]]=1,Tab.11[[#This Row],[target]]-Tab.11[[#This Row],[Red]])</f>
        <v>0</v>
      </c>
      <c r="V826" s="72" t="b">
        <f>IF(Tab.11[[#This Row],[a1]]=1,Tab.11[[#This Row],[target]]-Tab.11[[#This Row],[Blue]])</f>
        <v>0</v>
      </c>
      <c r="W826" s="73" t="b">
        <f>IF(Tab.11[[#This Row],[a1]]=1,IF(ABS(Tab.11[[#This Row],[b17]])+ABS(Tab.11[[#This Row],[b18]])&lt;$W$2,$W$2,ABS(Tab.11[[#This Row],[b17]])+ABS(Tab.11[[#This Row],[b18]])))</f>
        <v>0</v>
      </c>
      <c r="X826" s="136" t="b">
        <f>IF(Tab.11[[#This Row],[a1]]=1,IF($W$3&lt;0,Tab.11[[#This Row],[IN]]-$I$3,Tab.11[[#This Row],[IN]]))</f>
        <v>0</v>
      </c>
      <c r="Y826" s="136" t="b">
        <f>IF(Tab.11[[#This Row],[a1]]=1,IF($X$3=0,Tab.11[b66],Tab.11[[#This Row],[b66]]-AVERAGE(Tab.11[b66])))</f>
        <v>0</v>
      </c>
      <c r="Z826" s="135" t="b">
        <f>IF(Tab.11[[#This Row],[a1]]=1,Tab.11[[#This Row],[b77]]/(_xlfn.STDEV.P(Tab.11[b77])))</f>
        <v>0</v>
      </c>
      <c r="AA826" s="70" t="b">
        <f>IF(Tab.11[[#This Row],[a1]]=1,_xlfn.NORM.DIST(Tab.11[[#This Row],[b88]],$Z$1,$AA$1,FALSE))</f>
        <v>0</v>
      </c>
      <c r="AB826" s="74" t="b">
        <f>IF(Tab.11[[#This Row],[a1]]=1,IF($A$3=0,FALSE,1/Tab.11[[#This Row],[IN]]*$AC$2*IF(Tab.11[[#This Row],[a1]]=0,,$A$3*$AC$1*1/$V$3*(Tab.11[[#This Row],[b14]]))))</f>
        <v>0</v>
      </c>
      <c r="AC826" s="75" t="b">
        <f>IF(Tab.11[[#This Row],[a1]]=1,IF($AC$3=0,Tab.11[[#This Row],[φ1]],Tab.11[[#This Row],[φ1]]/MAX(Tab.11[φ1])))</f>
        <v>0</v>
      </c>
      <c r="AD826" s="74" t="b">
        <f>IF(Tab.11[[#This Row],[a1]]=1,1/Tab.11[[#This Row],[φ2]])</f>
        <v>0</v>
      </c>
      <c r="AE826" s="74" t="b">
        <f>IF(Tab.11[[#This Row],[a1]]=1,IF($AE$3=0,Tab.11[[#This Row],[w.0]],Tab.11[[#This Row],[w.0]]/SUM(Tab.11[w.0])))</f>
        <v>0</v>
      </c>
      <c r="AF826" s="76" t="str">
        <f>IF(Tab.11[[#This Row],[a1]]=0,"false",[3]!Tab.x5[[#This Row],[%_seN_C]])</f>
        <v>false</v>
      </c>
      <c r="AG826" s="77" t="b">
        <f>IF(Tab.11[[#This Row],[a1]]=1,AP826)</f>
        <v>0</v>
      </c>
      <c r="AH826" s="78" t="b">
        <f>IF(Tab.11[[#This Row],[a1]]=1,AQ826)</f>
        <v>0</v>
      </c>
      <c r="AI826" s="41">
        <v>3.0000000000000001E-3</v>
      </c>
      <c r="AJ826" s="79">
        <v>-7.0000000000000007E-2</v>
      </c>
      <c r="AK826" s="80" t="b">
        <f>IF(Tab.11[[#This Row],[a1]]=1,1)</f>
        <v>0</v>
      </c>
      <c r="AL826"/>
      <c r="AM826"/>
      <c r="AN826"/>
      <c r="AO826"/>
      <c r="AP826"/>
      <c r="AQ826"/>
      <c r="AR826"/>
      <c r="AS826"/>
    </row>
    <row r="827" spans="1:45" s="81" customFormat="1" hidden="1" x14ac:dyDescent="0.25">
      <c r="A827" s="61">
        <f t="shared" si="27"/>
        <v>0</v>
      </c>
      <c r="B827" s="62">
        <f t="shared" si="27"/>
        <v>0</v>
      </c>
      <c r="C827" s="62" t="b">
        <f>IF(Tab.11[[#This Row],[a1]]=1,[3]!Tab_x1[[#This Row],[Name]])</f>
        <v>0</v>
      </c>
      <c r="D827" s="63" t="b">
        <f>IF(Tab.11[[#This Row],[a1]]=1,AO827)</f>
        <v>0</v>
      </c>
      <c r="E827" s="63">
        <f t="shared" si="26"/>
        <v>0</v>
      </c>
      <c r="F827" s="64" t="b">
        <f>IF(Tab.11[[#This Row],[a1]]=1,Tab.11[[#This Row],[b1]])</f>
        <v>0</v>
      </c>
      <c r="G827" s="65" t="b">
        <f>IF(Tab.11[[#This Row],[a1]]=1,IF(Tab.11[[#This Row],[b3]]&gt;$L$989*$G$3,$L$989*$G$3,IF(Tab.11[[#This Row],[b3]]&lt;$M$989*$G$3,$M$989*$G$3,Tab.11[[#This Row],[b3]])))</f>
        <v>0</v>
      </c>
      <c r="H827" s="66" t="b">
        <f>IF(Tab.11[[#This Row],[a1]]=1,Tab.11[[#This Row],[b1]])</f>
        <v>0</v>
      </c>
      <c r="I827" s="67" t="b">
        <f>IF(Tab.11[[#This Row],[a1]]=1,Tab.11[[#This Row],[b1]])</f>
        <v>0</v>
      </c>
      <c r="J827" s="68" t="b">
        <f>IF(Tab.11[[#This Row],[a1]]=1,IF($I$3&lt;0,Tab.11[[#This Row],[b5]]-$I$3,Tab.11[[#This Row],[b5]]))</f>
        <v>0</v>
      </c>
      <c r="K827" s="68" t="b">
        <f>IF(Tab.11[[#This Row],[a1]]=1,IF($K$3=0,Tab.11[b6],Tab.11[[#This Row],[b6]]-AVERAGE(Tab.11[b6])))</f>
        <v>0</v>
      </c>
      <c r="L827" s="69" t="b">
        <f>IF(Tab.11[[#This Row],[a1]]=1,Tab.11[[#This Row],[data]]/(_xlfn.STDEV.P(Tab.11[data])*$B$989)+$A$989)</f>
        <v>0</v>
      </c>
      <c r="M827" s="69" t="b">
        <f>IF(Tab.11[[#This Row],[a1]]=1,Tab.11[[#This Row],[data]]/(_xlfn.STDEV.P(Tab.11[data])*$B$987)-$A$987)</f>
        <v>0</v>
      </c>
      <c r="N827" s="69" t="b">
        <f>IF(Tab.11[[#This Row],[a1]]=1,Tab.11[[#This Row],[data]]/(_xlfn.STDEV.P(Tab.11[data])*$B$988)+$A$988)</f>
        <v>0</v>
      </c>
      <c r="O827" s="70" t="b">
        <f>IF(Tab.11[[#This Row],[a1]]=1,_xlfn.NORM.DIST(Tab.11[[#This Row],[b8]],$P$1,$Q$1,FALSE))</f>
        <v>0</v>
      </c>
      <c r="P827" s="70" t="b">
        <f>IF(Tab.11[[#This Row],[a1]]=1,_xlfn.NORM.DIST(Tab.11[[#This Row],[b9]],$P$1,$Q$1,FALSE))</f>
        <v>0</v>
      </c>
      <c r="Q827" s="70" t="b">
        <f>IF(Tab.11[[#This Row],[a1]]=1,_xlfn.NORM.DIST(Tab.11[[#This Row],[b10]],$P$1,$Q$1,FALSE))</f>
        <v>0</v>
      </c>
      <c r="R827" s="67" t="b">
        <f>IF(Tab.11[[#This Row],[a1]]=1,$I$3+$A$989+IF($K$3=0,Tab.11[[#This Row],[b8]]*_xlfn.STDEV.P(Tab.11[data]),AVERAGE(Tab.11[b6])+Tab.11[[#This Row],[b8]]*_xlfn.STDEV.P(Tab.11[data])))</f>
        <v>0</v>
      </c>
      <c r="S827" s="71" t="b">
        <f>IF(Tab.11[[#This Row],[a1]]=1,$I$3+$A$987+IF($K$3=0,Tab.11[[#This Row],[b9]]*_xlfn.STDEV.P(Tab.11[data]),AVERAGE(Tab.11[b6])+Tab.11[[#This Row],[b9]]*_xlfn.STDEV.P(Tab.11[data])))</f>
        <v>0</v>
      </c>
      <c r="T827" s="71" t="b">
        <f>IF(Tab.11[[#This Row],[a1]]=1,$I$3+$A$988+IF($K$3=0,Tab.11[[#This Row],[b10]]*_xlfn.STDEV.P(Tab.11[data]),AVERAGE(Tab.11[b6])+Tab.11[[#This Row],[b10]]*_xlfn.STDEV.P(Tab.11[data])))</f>
        <v>0</v>
      </c>
      <c r="U827" s="72" t="b">
        <f>IF(Tab.11[[#This Row],[a1]]=1,Tab.11[[#This Row],[target]]-Tab.11[[#This Row],[Red]])</f>
        <v>0</v>
      </c>
      <c r="V827" s="72" t="b">
        <f>IF(Tab.11[[#This Row],[a1]]=1,Tab.11[[#This Row],[target]]-Tab.11[[#This Row],[Blue]])</f>
        <v>0</v>
      </c>
      <c r="W827" s="73" t="b">
        <f>IF(Tab.11[[#This Row],[a1]]=1,IF(ABS(Tab.11[[#This Row],[b17]])+ABS(Tab.11[[#This Row],[b18]])&lt;$W$2,$W$2,ABS(Tab.11[[#This Row],[b17]])+ABS(Tab.11[[#This Row],[b18]])))</f>
        <v>0</v>
      </c>
      <c r="X827" s="136" t="b">
        <f>IF(Tab.11[[#This Row],[a1]]=1,IF($W$3&lt;0,Tab.11[[#This Row],[IN]]-$I$3,Tab.11[[#This Row],[IN]]))</f>
        <v>0</v>
      </c>
      <c r="Y827" s="136" t="b">
        <f>IF(Tab.11[[#This Row],[a1]]=1,IF($X$3=0,Tab.11[b66],Tab.11[[#This Row],[b66]]-AVERAGE(Tab.11[b66])))</f>
        <v>0</v>
      </c>
      <c r="Z827" s="135" t="b">
        <f>IF(Tab.11[[#This Row],[a1]]=1,Tab.11[[#This Row],[b77]]/(_xlfn.STDEV.P(Tab.11[b77])))</f>
        <v>0</v>
      </c>
      <c r="AA827" s="70" t="b">
        <f>IF(Tab.11[[#This Row],[a1]]=1,_xlfn.NORM.DIST(Tab.11[[#This Row],[b88]],$Z$1,$AA$1,FALSE))</f>
        <v>0</v>
      </c>
      <c r="AB827" s="74" t="b">
        <f>IF(Tab.11[[#This Row],[a1]]=1,IF($A$3=0,FALSE,1/Tab.11[[#This Row],[IN]]*$AC$2*IF(Tab.11[[#This Row],[a1]]=0,,$A$3*$AC$1*1/$V$3*(Tab.11[[#This Row],[b14]]))))</f>
        <v>0</v>
      </c>
      <c r="AC827" s="75" t="b">
        <f>IF(Tab.11[[#This Row],[a1]]=1,IF($AC$3=0,Tab.11[[#This Row],[φ1]],Tab.11[[#This Row],[φ1]]/MAX(Tab.11[φ1])))</f>
        <v>0</v>
      </c>
      <c r="AD827" s="74" t="b">
        <f>IF(Tab.11[[#This Row],[a1]]=1,1/Tab.11[[#This Row],[φ2]])</f>
        <v>0</v>
      </c>
      <c r="AE827" s="74" t="b">
        <f>IF(Tab.11[[#This Row],[a1]]=1,IF($AE$3=0,Tab.11[[#This Row],[w.0]],Tab.11[[#This Row],[w.0]]/SUM(Tab.11[w.0])))</f>
        <v>0</v>
      </c>
      <c r="AF827" s="76" t="str">
        <f>IF(Tab.11[[#This Row],[a1]]=0,"false",[3]!Tab.x5[[#This Row],[%_seN_C]])</f>
        <v>false</v>
      </c>
      <c r="AG827" s="77" t="b">
        <f>IF(Tab.11[[#This Row],[a1]]=1,AP827)</f>
        <v>0</v>
      </c>
      <c r="AH827" s="78" t="b">
        <f>IF(Tab.11[[#This Row],[a1]]=1,AQ827)</f>
        <v>0</v>
      </c>
      <c r="AI827" s="41">
        <v>3.0000000000000001E-3</v>
      </c>
      <c r="AJ827" s="79">
        <v>-7.0000000000000007E-2</v>
      </c>
      <c r="AK827" s="80" t="b">
        <f>IF(Tab.11[[#This Row],[a1]]=1,1)</f>
        <v>0</v>
      </c>
      <c r="AL827"/>
      <c r="AM827"/>
      <c r="AN827"/>
      <c r="AO827"/>
      <c r="AP827"/>
      <c r="AQ827"/>
      <c r="AR827"/>
      <c r="AS827"/>
    </row>
    <row r="828" spans="1:45" s="81" customFormat="1" hidden="1" x14ac:dyDescent="0.25">
      <c r="A828" s="61">
        <f t="shared" si="27"/>
        <v>0</v>
      </c>
      <c r="B828" s="62">
        <f t="shared" si="27"/>
        <v>0</v>
      </c>
      <c r="C828" s="62" t="b">
        <f>IF(Tab.11[[#This Row],[a1]]=1,[3]!Tab_x1[[#This Row],[Name]])</f>
        <v>0</v>
      </c>
      <c r="D828" s="63" t="b">
        <f>IF(Tab.11[[#This Row],[a1]]=1,AO828)</f>
        <v>0</v>
      </c>
      <c r="E828" s="63">
        <f t="shared" si="26"/>
        <v>0</v>
      </c>
      <c r="F828" s="64" t="b">
        <f>IF(Tab.11[[#This Row],[a1]]=1,Tab.11[[#This Row],[b1]])</f>
        <v>0</v>
      </c>
      <c r="G828" s="65" t="b">
        <f>IF(Tab.11[[#This Row],[a1]]=1,IF(Tab.11[[#This Row],[b3]]&gt;$L$989*$G$3,$L$989*$G$3,IF(Tab.11[[#This Row],[b3]]&lt;$M$989*$G$3,$M$989*$G$3,Tab.11[[#This Row],[b3]])))</f>
        <v>0</v>
      </c>
      <c r="H828" s="66" t="b">
        <f>IF(Tab.11[[#This Row],[a1]]=1,Tab.11[[#This Row],[b1]])</f>
        <v>0</v>
      </c>
      <c r="I828" s="67" t="b">
        <f>IF(Tab.11[[#This Row],[a1]]=1,Tab.11[[#This Row],[b1]])</f>
        <v>0</v>
      </c>
      <c r="J828" s="68" t="b">
        <f>IF(Tab.11[[#This Row],[a1]]=1,IF($I$3&lt;0,Tab.11[[#This Row],[b5]]-$I$3,Tab.11[[#This Row],[b5]]))</f>
        <v>0</v>
      </c>
      <c r="K828" s="68" t="b">
        <f>IF(Tab.11[[#This Row],[a1]]=1,IF($K$3=0,Tab.11[b6],Tab.11[[#This Row],[b6]]-AVERAGE(Tab.11[b6])))</f>
        <v>0</v>
      </c>
      <c r="L828" s="69" t="b">
        <f>IF(Tab.11[[#This Row],[a1]]=1,Tab.11[[#This Row],[data]]/(_xlfn.STDEV.P(Tab.11[data])*$B$989)+$A$989)</f>
        <v>0</v>
      </c>
      <c r="M828" s="69" t="b">
        <f>IF(Tab.11[[#This Row],[a1]]=1,Tab.11[[#This Row],[data]]/(_xlfn.STDEV.P(Tab.11[data])*$B$987)-$A$987)</f>
        <v>0</v>
      </c>
      <c r="N828" s="69" t="b">
        <f>IF(Tab.11[[#This Row],[a1]]=1,Tab.11[[#This Row],[data]]/(_xlfn.STDEV.P(Tab.11[data])*$B$988)+$A$988)</f>
        <v>0</v>
      </c>
      <c r="O828" s="70" t="b">
        <f>IF(Tab.11[[#This Row],[a1]]=1,_xlfn.NORM.DIST(Tab.11[[#This Row],[b8]],$P$1,$Q$1,FALSE))</f>
        <v>0</v>
      </c>
      <c r="P828" s="70" t="b">
        <f>IF(Tab.11[[#This Row],[a1]]=1,_xlfn.NORM.DIST(Tab.11[[#This Row],[b9]],$P$1,$Q$1,FALSE))</f>
        <v>0</v>
      </c>
      <c r="Q828" s="70" t="b">
        <f>IF(Tab.11[[#This Row],[a1]]=1,_xlfn.NORM.DIST(Tab.11[[#This Row],[b10]],$P$1,$Q$1,FALSE))</f>
        <v>0</v>
      </c>
      <c r="R828" s="67" t="b">
        <f>IF(Tab.11[[#This Row],[a1]]=1,$I$3+$A$989+IF($K$3=0,Tab.11[[#This Row],[b8]]*_xlfn.STDEV.P(Tab.11[data]),AVERAGE(Tab.11[b6])+Tab.11[[#This Row],[b8]]*_xlfn.STDEV.P(Tab.11[data])))</f>
        <v>0</v>
      </c>
      <c r="S828" s="71" t="b">
        <f>IF(Tab.11[[#This Row],[a1]]=1,$I$3+$A$987+IF($K$3=0,Tab.11[[#This Row],[b9]]*_xlfn.STDEV.P(Tab.11[data]),AVERAGE(Tab.11[b6])+Tab.11[[#This Row],[b9]]*_xlfn.STDEV.P(Tab.11[data])))</f>
        <v>0</v>
      </c>
      <c r="T828" s="71" t="b">
        <f>IF(Tab.11[[#This Row],[a1]]=1,$I$3+$A$988+IF($K$3=0,Tab.11[[#This Row],[b10]]*_xlfn.STDEV.P(Tab.11[data]),AVERAGE(Tab.11[b6])+Tab.11[[#This Row],[b10]]*_xlfn.STDEV.P(Tab.11[data])))</f>
        <v>0</v>
      </c>
      <c r="U828" s="72" t="b">
        <f>IF(Tab.11[[#This Row],[a1]]=1,Tab.11[[#This Row],[target]]-Tab.11[[#This Row],[Red]])</f>
        <v>0</v>
      </c>
      <c r="V828" s="72" t="b">
        <f>IF(Tab.11[[#This Row],[a1]]=1,Tab.11[[#This Row],[target]]-Tab.11[[#This Row],[Blue]])</f>
        <v>0</v>
      </c>
      <c r="W828" s="73" t="b">
        <f>IF(Tab.11[[#This Row],[a1]]=1,IF(ABS(Tab.11[[#This Row],[b17]])+ABS(Tab.11[[#This Row],[b18]])&lt;$W$2,$W$2,ABS(Tab.11[[#This Row],[b17]])+ABS(Tab.11[[#This Row],[b18]])))</f>
        <v>0</v>
      </c>
      <c r="X828" s="136" t="b">
        <f>IF(Tab.11[[#This Row],[a1]]=1,IF($W$3&lt;0,Tab.11[[#This Row],[IN]]-$I$3,Tab.11[[#This Row],[IN]]))</f>
        <v>0</v>
      </c>
      <c r="Y828" s="136" t="b">
        <f>IF(Tab.11[[#This Row],[a1]]=1,IF($X$3=0,Tab.11[b66],Tab.11[[#This Row],[b66]]-AVERAGE(Tab.11[b66])))</f>
        <v>0</v>
      </c>
      <c r="Z828" s="135" t="b">
        <f>IF(Tab.11[[#This Row],[a1]]=1,Tab.11[[#This Row],[b77]]/(_xlfn.STDEV.P(Tab.11[b77])))</f>
        <v>0</v>
      </c>
      <c r="AA828" s="70" t="b">
        <f>IF(Tab.11[[#This Row],[a1]]=1,_xlfn.NORM.DIST(Tab.11[[#This Row],[b88]],$Z$1,$AA$1,FALSE))</f>
        <v>0</v>
      </c>
      <c r="AB828" s="74" t="b">
        <f>IF(Tab.11[[#This Row],[a1]]=1,IF($A$3=0,FALSE,1/Tab.11[[#This Row],[IN]]*$AC$2*IF(Tab.11[[#This Row],[a1]]=0,,$A$3*$AC$1*1/$V$3*(Tab.11[[#This Row],[b14]]))))</f>
        <v>0</v>
      </c>
      <c r="AC828" s="75" t="b">
        <f>IF(Tab.11[[#This Row],[a1]]=1,IF($AC$3=0,Tab.11[[#This Row],[φ1]],Tab.11[[#This Row],[φ1]]/MAX(Tab.11[φ1])))</f>
        <v>0</v>
      </c>
      <c r="AD828" s="74" t="b">
        <f>IF(Tab.11[[#This Row],[a1]]=1,1/Tab.11[[#This Row],[φ2]])</f>
        <v>0</v>
      </c>
      <c r="AE828" s="74" t="b">
        <f>IF(Tab.11[[#This Row],[a1]]=1,IF($AE$3=0,Tab.11[[#This Row],[w.0]],Tab.11[[#This Row],[w.0]]/SUM(Tab.11[w.0])))</f>
        <v>0</v>
      </c>
      <c r="AF828" s="76" t="str">
        <f>IF(Tab.11[[#This Row],[a1]]=0,"false",[3]!Tab.x5[[#This Row],[%_seN_C]])</f>
        <v>false</v>
      </c>
      <c r="AG828" s="77" t="b">
        <f>IF(Tab.11[[#This Row],[a1]]=1,AP828)</f>
        <v>0</v>
      </c>
      <c r="AH828" s="78" t="b">
        <f>IF(Tab.11[[#This Row],[a1]]=1,AQ828)</f>
        <v>0</v>
      </c>
      <c r="AI828" s="41">
        <v>3.0000000000000001E-3</v>
      </c>
      <c r="AJ828" s="79">
        <v>0.1</v>
      </c>
      <c r="AK828" s="80" t="b">
        <f>IF(Tab.11[[#This Row],[a1]]=1,1)</f>
        <v>0</v>
      </c>
      <c r="AL828"/>
      <c r="AM828"/>
      <c r="AN828"/>
      <c r="AO828"/>
      <c r="AP828"/>
      <c r="AQ828"/>
      <c r="AR828"/>
      <c r="AS828"/>
    </row>
    <row r="829" spans="1:45" s="81" customFormat="1" hidden="1" x14ac:dyDescent="0.25">
      <c r="A829" s="61">
        <f t="shared" si="27"/>
        <v>0</v>
      </c>
      <c r="B829" s="62">
        <f t="shared" si="27"/>
        <v>0</v>
      </c>
      <c r="C829" s="62" t="b">
        <f>IF(Tab.11[[#This Row],[a1]]=1,[3]!Tab_x1[[#This Row],[Name]])</f>
        <v>0</v>
      </c>
      <c r="D829" s="63" t="b">
        <f>IF(Tab.11[[#This Row],[a1]]=1,AO829)</f>
        <v>0</v>
      </c>
      <c r="E829" s="63">
        <f t="shared" si="26"/>
        <v>0</v>
      </c>
      <c r="F829" s="64" t="b">
        <f>IF(Tab.11[[#This Row],[a1]]=1,Tab.11[[#This Row],[b1]])</f>
        <v>0</v>
      </c>
      <c r="G829" s="65" t="b">
        <f>IF(Tab.11[[#This Row],[a1]]=1,IF(Tab.11[[#This Row],[b3]]&gt;$L$989*$G$3,$L$989*$G$3,IF(Tab.11[[#This Row],[b3]]&lt;$M$989*$G$3,$M$989*$G$3,Tab.11[[#This Row],[b3]])))</f>
        <v>0</v>
      </c>
      <c r="H829" s="66" t="b">
        <f>IF(Tab.11[[#This Row],[a1]]=1,Tab.11[[#This Row],[b1]])</f>
        <v>0</v>
      </c>
      <c r="I829" s="67" t="b">
        <f>IF(Tab.11[[#This Row],[a1]]=1,Tab.11[[#This Row],[b1]])</f>
        <v>0</v>
      </c>
      <c r="J829" s="68" t="b">
        <f>IF(Tab.11[[#This Row],[a1]]=1,IF($I$3&lt;0,Tab.11[[#This Row],[b5]]-$I$3,Tab.11[[#This Row],[b5]]))</f>
        <v>0</v>
      </c>
      <c r="K829" s="68" t="b">
        <f>IF(Tab.11[[#This Row],[a1]]=1,IF($K$3=0,Tab.11[b6],Tab.11[[#This Row],[b6]]-AVERAGE(Tab.11[b6])))</f>
        <v>0</v>
      </c>
      <c r="L829" s="69" t="b">
        <f>IF(Tab.11[[#This Row],[a1]]=1,Tab.11[[#This Row],[data]]/(_xlfn.STDEV.P(Tab.11[data])*$B$989)+$A$989)</f>
        <v>0</v>
      </c>
      <c r="M829" s="69" t="b">
        <f>IF(Tab.11[[#This Row],[a1]]=1,Tab.11[[#This Row],[data]]/(_xlfn.STDEV.P(Tab.11[data])*$B$987)-$A$987)</f>
        <v>0</v>
      </c>
      <c r="N829" s="69" t="b">
        <f>IF(Tab.11[[#This Row],[a1]]=1,Tab.11[[#This Row],[data]]/(_xlfn.STDEV.P(Tab.11[data])*$B$988)+$A$988)</f>
        <v>0</v>
      </c>
      <c r="O829" s="70" t="b">
        <f>IF(Tab.11[[#This Row],[a1]]=1,_xlfn.NORM.DIST(Tab.11[[#This Row],[b8]],$P$1,$Q$1,FALSE))</f>
        <v>0</v>
      </c>
      <c r="P829" s="70" t="b">
        <f>IF(Tab.11[[#This Row],[a1]]=1,_xlfn.NORM.DIST(Tab.11[[#This Row],[b9]],$P$1,$Q$1,FALSE))</f>
        <v>0</v>
      </c>
      <c r="Q829" s="70" t="b">
        <f>IF(Tab.11[[#This Row],[a1]]=1,_xlfn.NORM.DIST(Tab.11[[#This Row],[b10]],$P$1,$Q$1,FALSE))</f>
        <v>0</v>
      </c>
      <c r="R829" s="67" t="b">
        <f>IF(Tab.11[[#This Row],[a1]]=1,$I$3+$A$989+IF($K$3=0,Tab.11[[#This Row],[b8]]*_xlfn.STDEV.P(Tab.11[data]),AVERAGE(Tab.11[b6])+Tab.11[[#This Row],[b8]]*_xlfn.STDEV.P(Tab.11[data])))</f>
        <v>0</v>
      </c>
      <c r="S829" s="71" t="b">
        <f>IF(Tab.11[[#This Row],[a1]]=1,$I$3+$A$987+IF($K$3=0,Tab.11[[#This Row],[b9]]*_xlfn.STDEV.P(Tab.11[data]),AVERAGE(Tab.11[b6])+Tab.11[[#This Row],[b9]]*_xlfn.STDEV.P(Tab.11[data])))</f>
        <v>0</v>
      </c>
      <c r="T829" s="71" t="b">
        <f>IF(Tab.11[[#This Row],[a1]]=1,$I$3+$A$988+IF($K$3=0,Tab.11[[#This Row],[b10]]*_xlfn.STDEV.P(Tab.11[data]),AVERAGE(Tab.11[b6])+Tab.11[[#This Row],[b10]]*_xlfn.STDEV.P(Tab.11[data])))</f>
        <v>0</v>
      </c>
      <c r="U829" s="72" t="b">
        <f>IF(Tab.11[[#This Row],[a1]]=1,Tab.11[[#This Row],[target]]-Tab.11[[#This Row],[Red]])</f>
        <v>0</v>
      </c>
      <c r="V829" s="72" t="b">
        <f>IF(Tab.11[[#This Row],[a1]]=1,Tab.11[[#This Row],[target]]-Tab.11[[#This Row],[Blue]])</f>
        <v>0</v>
      </c>
      <c r="W829" s="73" t="b">
        <f>IF(Tab.11[[#This Row],[a1]]=1,IF(ABS(Tab.11[[#This Row],[b17]])+ABS(Tab.11[[#This Row],[b18]])&lt;$W$2,$W$2,ABS(Tab.11[[#This Row],[b17]])+ABS(Tab.11[[#This Row],[b18]])))</f>
        <v>0</v>
      </c>
      <c r="X829" s="136" t="b">
        <f>IF(Tab.11[[#This Row],[a1]]=1,IF($W$3&lt;0,Tab.11[[#This Row],[IN]]-$I$3,Tab.11[[#This Row],[IN]]))</f>
        <v>0</v>
      </c>
      <c r="Y829" s="136" t="b">
        <f>IF(Tab.11[[#This Row],[a1]]=1,IF($X$3=0,Tab.11[b66],Tab.11[[#This Row],[b66]]-AVERAGE(Tab.11[b66])))</f>
        <v>0</v>
      </c>
      <c r="Z829" s="135" t="b">
        <f>IF(Tab.11[[#This Row],[a1]]=1,Tab.11[[#This Row],[b77]]/(_xlfn.STDEV.P(Tab.11[b77])))</f>
        <v>0</v>
      </c>
      <c r="AA829" s="70" t="b">
        <f>IF(Tab.11[[#This Row],[a1]]=1,_xlfn.NORM.DIST(Tab.11[[#This Row],[b88]],$Z$1,$AA$1,FALSE))</f>
        <v>0</v>
      </c>
      <c r="AB829" s="74" t="b">
        <f>IF(Tab.11[[#This Row],[a1]]=1,IF($A$3=0,FALSE,1/Tab.11[[#This Row],[IN]]*$AC$2*IF(Tab.11[[#This Row],[a1]]=0,,$A$3*$AC$1*1/$V$3*(Tab.11[[#This Row],[b14]]))))</f>
        <v>0</v>
      </c>
      <c r="AC829" s="75" t="b">
        <f>IF(Tab.11[[#This Row],[a1]]=1,IF($AC$3=0,Tab.11[[#This Row],[φ1]],Tab.11[[#This Row],[φ1]]/MAX(Tab.11[φ1])))</f>
        <v>0</v>
      </c>
      <c r="AD829" s="74" t="b">
        <f>IF(Tab.11[[#This Row],[a1]]=1,1/Tab.11[[#This Row],[φ2]])</f>
        <v>0</v>
      </c>
      <c r="AE829" s="74" t="b">
        <f>IF(Tab.11[[#This Row],[a1]]=1,IF($AE$3=0,Tab.11[[#This Row],[w.0]],Tab.11[[#This Row],[w.0]]/SUM(Tab.11[w.0])))</f>
        <v>0</v>
      </c>
      <c r="AF829" s="76" t="str">
        <f>IF(Tab.11[[#This Row],[a1]]=0,"false",[3]!Tab.x5[[#This Row],[%_seN_C]])</f>
        <v>false</v>
      </c>
      <c r="AG829" s="77" t="b">
        <f>IF(Tab.11[[#This Row],[a1]]=1,AP829)</f>
        <v>0</v>
      </c>
      <c r="AH829" s="78" t="b">
        <f>IF(Tab.11[[#This Row],[a1]]=1,AQ829)</f>
        <v>0</v>
      </c>
      <c r="AI829" s="41">
        <v>3.0000000000000001E-3</v>
      </c>
      <c r="AJ829" s="79">
        <v>-0.08</v>
      </c>
      <c r="AK829" s="80" t="b">
        <f>IF(Tab.11[[#This Row],[a1]]=1,1)</f>
        <v>0</v>
      </c>
      <c r="AL829"/>
      <c r="AM829"/>
      <c r="AN829"/>
      <c r="AO829"/>
      <c r="AP829"/>
      <c r="AQ829"/>
      <c r="AR829"/>
      <c r="AS829"/>
    </row>
    <row r="830" spans="1:45" s="81" customFormat="1" hidden="1" x14ac:dyDescent="0.25">
      <c r="A830" s="61">
        <f t="shared" si="27"/>
        <v>0</v>
      </c>
      <c r="B830" s="62">
        <f t="shared" si="27"/>
        <v>0</v>
      </c>
      <c r="C830" s="62" t="b">
        <f>IF(Tab.11[[#This Row],[a1]]=1,[3]!Tab_x1[[#This Row],[Name]])</f>
        <v>0</v>
      </c>
      <c r="D830" s="63" t="b">
        <f>IF(Tab.11[[#This Row],[a1]]=1,AO830)</f>
        <v>0</v>
      </c>
      <c r="E830" s="63">
        <f t="shared" si="26"/>
        <v>0</v>
      </c>
      <c r="F830" s="64" t="b">
        <f>IF(Tab.11[[#This Row],[a1]]=1,Tab.11[[#This Row],[b1]])</f>
        <v>0</v>
      </c>
      <c r="G830" s="65" t="b">
        <f>IF(Tab.11[[#This Row],[a1]]=1,IF(Tab.11[[#This Row],[b3]]&gt;$L$989*$G$3,$L$989*$G$3,IF(Tab.11[[#This Row],[b3]]&lt;$M$989*$G$3,$M$989*$G$3,Tab.11[[#This Row],[b3]])))</f>
        <v>0</v>
      </c>
      <c r="H830" s="66" t="b">
        <f>IF(Tab.11[[#This Row],[a1]]=1,Tab.11[[#This Row],[b1]])</f>
        <v>0</v>
      </c>
      <c r="I830" s="67" t="b">
        <f>IF(Tab.11[[#This Row],[a1]]=1,Tab.11[[#This Row],[b1]])</f>
        <v>0</v>
      </c>
      <c r="J830" s="68" t="b">
        <f>IF(Tab.11[[#This Row],[a1]]=1,IF($I$3&lt;0,Tab.11[[#This Row],[b5]]-$I$3,Tab.11[[#This Row],[b5]]))</f>
        <v>0</v>
      </c>
      <c r="K830" s="68" t="b">
        <f>IF(Tab.11[[#This Row],[a1]]=1,IF($K$3=0,Tab.11[b6],Tab.11[[#This Row],[b6]]-AVERAGE(Tab.11[b6])))</f>
        <v>0</v>
      </c>
      <c r="L830" s="69" t="b">
        <f>IF(Tab.11[[#This Row],[a1]]=1,Tab.11[[#This Row],[data]]/(_xlfn.STDEV.P(Tab.11[data])*$B$989)+$A$989)</f>
        <v>0</v>
      </c>
      <c r="M830" s="69" t="b">
        <f>IF(Tab.11[[#This Row],[a1]]=1,Tab.11[[#This Row],[data]]/(_xlfn.STDEV.P(Tab.11[data])*$B$987)-$A$987)</f>
        <v>0</v>
      </c>
      <c r="N830" s="69" t="b">
        <f>IF(Tab.11[[#This Row],[a1]]=1,Tab.11[[#This Row],[data]]/(_xlfn.STDEV.P(Tab.11[data])*$B$988)+$A$988)</f>
        <v>0</v>
      </c>
      <c r="O830" s="70" t="b">
        <f>IF(Tab.11[[#This Row],[a1]]=1,_xlfn.NORM.DIST(Tab.11[[#This Row],[b8]],$P$1,$Q$1,FALSE))</f>
        <v>0</v>
      </c>
      <c r="P830" s="70" t="b">
        <f>IF(Tab.11[[#This Row],[a1]]=1,_xlfn.NORM.DIST(Tab.11[[#This Row],[b9]],$P$1,$Q$1,FALSE))</f>
        <v>0</v>
      </c>
      <c r="Q830" s="70" t="b">
        <f>IF(Tab.11[[#This Row],[a1]]=1,_xlfn.NORM.DIST(Tab.11[[#This Row],[b10]],$P$1,$Q$1,FALSE))</f>
        <v>0</v>
      </c>
      <c r="R830" s="67" t="b">
        <f>IF(Tab.11[[#This Row],[a1]]=1,$I$3+$A$989+IF($K$3=0,Tab.11[[#This Row],[b8]]*_xlfn.STDEV.P(Tab.11[data]),AVERAGE(Tab.11[b6])+Tab.11[[#This Row],[b8]]*_xlfn.STDEV.P(Tab.11[data])))</f>
        <v>0</v>
      </c>
      <c r="S830" s="71" t="b">
        <f>IF(Tab.11[[#This Row],[a1]]=1,$I$3+$A$987+IF($K$3=0,Tab.11[[#This Row],[b9]]*_xlfn.STDEV.P(Tab.11[data]),AVERAGE(Tab.11[b6])+Tab.11[[#This Row],[b9]]*_xlfn.STDEV.P(Tab.11[data])))</f>
        <v>0</v>
      </c>
      <c r="T830" s="71" t="b">
        <f>IF(Tab.11[[#This Row],[a1]]=1,$I$3+$A$988+IF($K$3=0,Tab.11[[#This Row],[b10]]*_xlfn.STDEV.P(Tab.11[data]),AVERAGE(Tab.11[b6])+Tab.11[[#This Row],[b10]]*_xlfn.STDEV.P(Tab.11[data])))</f>
        <v>0</v>
      </c>
      <c r="U830" s="72" t="b">
        <f>IF(Tab.11[[#This Row],[a1]]=1,Tab.11[[#This Row],[target]]-Tab.11[[#This Row],[Red]])</f>
        <v>0</v>
      </c>
      <c r="V830" s="72" t="b">
        <f>IF(Tab.11[[#This Row],[a1]]=1,Tab.11[[#This Row],[target]]-Tab.11[[#This Row],[Blue]])</f>
        <v>0</v>
      </c>
      <c r="W830" s="73" t="b">
        <f>IF(Tab.11[[#This Row],[a1]]=1,IF(ABS(Tab.11[[#This Row],[b17]])+ABS(Tab.11[[#This Row],[b18]])&lt;$W$2,$W$2,ABS(Tab.11[[#This Row],[b17]])+ABS(Tab.11[[#This Row],[b18]])))</f>
        <v>0</v>
      </c>
      <c r="X830" s="136" t="b">
        <f>IF(Tab.11[[#This Row],[a1]]=1,IF($W$3&lt;0,Tab.11[[#This Row],[IN]]-$I$3,Tab.11[[#This Row],[IN]]))</f>
        <v>0</v>
      </c>
      <c r="Y830" s="136" t="b">
        <f>IF(Tab.11[[#This Row],[a1]]=1,IF($X$3=0,Tab.11[b66],Tab.11[[#This Row],[b66]]-AVERAGE(Tab.11[b66])))</f>
        <v>0</v>
      </c>
      <c r="Z830" s="135" t="b">
        <f>IF(Tab.11[[#This Row],[a1]]=1,Tab.11[[#This Row],[b77]]/(_xlfn.STDEV.P(Tab.11[b77])))</f>
        <v>0</v>
      </c>
      <c r="AA830" s="70" t="b">
        <f>IF(Tab.11[[#This Row],[a1]]=1,_xlfn.NORM.DIST(Tab.11[[#This Row],[b88]],$Z$1,$AA$1,FALSE))</f>
        <v>0</v>
      </c>
      <c r="AB830" s="74" t="b">
        <f>IF(Tab.11[[#This Row],[a1]]=1,IF($A$3=0,FALSE,1/Tab.11[[#This Row],[IN]]*$AC$2*IF(Tab.11[[#This Row],[a1]]=0,,$A$3*$AC$1*1/$V$3*(Tab.11[[#This Row],[b14]]))))</f>
        <v>0</v>
      </c>
      <c r="AC830" s="75" t="b">
        <f>IF(Tab.11[[#This Row],[a1]]=1,IF($AC$3=0,Tab.11[[#This Row],[φ1]],Tab.11[[#This Row],[φ1]]/MAX(Tab.11[φ1])))</f>
        <v>0</v>
      </c>
      <c r="AD830" s="74" t="b">
        <f>IF(Tab.11[[#This Row],[a1]]=1,1/Tab.11[[#This Row],[φ2]])</f>
        <v>0</v>
      </c>
      <c r="AE830" s="74" t="b">
        <f>IF(Tab.11[[#This Row],[a1]]=1,IF($AE$3=0,Tab.11[[#This Row],[w.0]],Tab.11[[#This Row],[w.0]]/SUM(Tab.11[w.0])))</f>
        <v>0</v>
      </c>
      <c r="AF830" s="76" t="str">
        <f>IF(Tab.11[[#This Row],[a1]]=0,"false",[3]!Tab.x5[[#This Row],[%_seN_C]])</f>
        <v>false</v>
      </c>
      <c r="AG830" s="77" t="b">
        <f>IF(Tab.11[[#This Row],[a1]]=1,AP830)</f>
        <v>0</v>
      </c>
      <c r="AH830" s="78" t="b">
        <f>IF(Tab.11[[#This Row],[a1]]=1,AQ830)</f>
        <v>0</v>
      </c>
      <c r="AI830" s="41">
        <v>3.0000000000000001E-3</v>
      </c>
      <c r="AJ830" s="79">
        <v>-7.0000000000000007E-2</v>
      </c>
      <c r="AK830" s="80" t="b">
        <f>IF(Tab.11[[#This Row],[a1]]=1,1)</f>
        <v>0</v>
      </c>
      <c r="AL830"/>
      <c r="AM830"/>
      <c r="AN830"/>
      <c r="AO830"/>
      <c r="AP830"/>
      <c r="AQ830"/>
      <c r="AR830"/>
      <c r="AS830"/>
    </row>
    <row r="831" spans="1:45" s="81" customFormat="1" hidden="1" x14ac:dyDescent="0.25">
      <c r="A831" s="61">
        <f t="shared" si="27"/>
        <v>0</v>
      </c>
      <c r="B831" s="62">
        <f t="shared" si="27"/>
        <v>0</v>
      </c>
      <c r="C831" s="62" t="b">
        <f>IF(Tab.11[[#This Row],[a1]]=1,[3]!Tab_x1[[#This Row],[Name]])</f>
        <v>0</v>
      </c>
      <c r="D831" s="63" t="b">
        <f>IF(Tab.11[[#This Row],[a1]]=1,AO831)</f>
        <v>0</v>
      </c>
      <c r="E831" s="63">
        <f t="shared" si="26"/>
        <v>0</v>
      </c>
      <c r="F831" s="64" t="b">
        <f>IF(Tab.11[[#This Row],[a1]]=1,Tab.11[[#This Row],[b1]])</f>
        <v>0</v>
      </c>
      <c r="G831" s="65" t="b">
        <f>IF(Tab.11[[#This Row],[a1]]=1,IF(Tab.11[[#This Row],[b3]]&gt;$L$989*$G$3,$L$989*$G$3,IF(Tab.11[[#This Row],[b3]]&lt;$M$989*$G$3,$M$989*$G$3,Tab.11[[#This Row],[b3]])))</f>
        <v>0</v>
      </c>
      <c r="H831" s="66" t="b">
        <f>IF(Tab.11[[#This Row],[a1]]=1,Tab.11[[#This Row],[b1]])</f>
        <v>0</v>
      </c>
      <c r="I831" s="67" t="b">
        <f>IF(Tab.11[[#This Row],[a1]]=1,Tab.11[[#This Row],[b1]])</f>
        <v>0</v>
      </c>
      <c r="J831" s="68" t="b">
        <f>IF(Tab.11[[#This Row],[a1]]=1,IF($I$3&lt;0,Tab.11[[#This Row],[b5]]-$I$3,Tab.11[[#This Row],[b5]]))</f>
        <v>0</v>
      </c>
      <c r="K831" s="68" t="b">
        <f>IF(Tab.11[[#This Row],[a1]]=1,IF($K$3=0,Tab.11[b6],Tab.11[[#This Row],[b6]]-AVERAGE(Tab.11[b6])))</f>
        <v>0</v>
      </c>
      <c r="L831" s="69" t="b">
        <f>IF(Tab.11[[#This Row],[a1]]=1,Tab.11[[#This Row],[data]]/(_xlfn.STDEV.P(Tab.11[data])*$B$989)+$A$989)</f>
        <v>0</v>
      </c>
      <c r="M831" s="69" t="b">
        <f>IF(Tab.11[[#This Row],[a1]]=1,Tab.11[[#This Row],[data]]/(_xlfn.STDEV.P(Tab.11[data])*$B$987)-$A$987)</f>
        <v>0</v>
      </c>
      <c r="N831" s="69" t="b">
        <f>IF(Tab.11[[#This Row],[a1]]=1,Tab.11[[#This Row],[data]]/(_xlfn.STDEV.P(Tab.11[data])*$B$988)+$A$988)</f>
        <v>0</v>
      </c>
      <c r="O831" s="70" t="b">
        <f>IF(Tab.11[[#This Row],[a1]]=1,_xlfn.NORM.DIST(Tab.11[[#This Row],[b8]],$P$1,$Q$1,FALSE))</f>
        <v>0</v>
      </c>
      <c r="P831" s="70" t="b">
        <f>IF(Tab.11[[#This Row],[a1]]=1,_xlfn.NORM.DIST(Tab.11[[#This Row],[b9]],$P$1,$Q$1,FALSE))</f>
        <v>0</v>
      </c>
      <c r="Q831" s="70" t="b">
        <f>IF(Tab.11[[#This Row],[a1]]=1,_xlfn.NORM.DIST(Tab.11[[#This Row],[b10]],$P$1,$Q$1,FALSE))</f>
        <v>0</v>
      </c>
      <c r="R831" s="67" t="b">
        <f>IF(Tab.11[[#This Row],[a1]]=1,$I$3+$A$989+IF($K$3=0,Tab.11[[#This Row],[b8]]*_xlfn.STDEV.P(Tab.11[data]),AVERAGE(Tab.11[b6])+Tab.11[[#This Row],[b8]]*_xlfn.STDEV.P(Tab.11[data])))</f>
        <v>0</v>
      </c>
      <c r="S831" s="71" t="b">
        <f>IF(Tab.11[[#This Row],[a1]]=1,$I$3+$A$987+IF($K$3=0,Tab.11[[#This Row],[b9]]*_xlfn.STDEV.P(Tab.11[data]),AVERAGE(Tab.11[b6])+Tab.11[[#This Row],[b9]]*_xlfn.STDEV.P(Tab.11[data])))</f>
        <v>0</v>
      </c>
      <c r="T831" s="71" t="b">
        <f>IF(Tab.11[[#This Row],[a1]]=1,$I$3+$A$988+IF($K$3=0,Tab.11[[#This Row],[b10]]*_xlfn.STDEV.P(Tab.11[data]),AVERAGE(Tab.11[b6])+Tab.11[[#This Row],[b10]]*_xlfn.STDEV.P(Tab.11[data])))</f>
        <v>0</v>
      </c>
      <c r="U831" s="72" t="b">
        <f>IF(Tab.11[[#This Row],[a1]]=1,Tab.11[[#This Row],[target]]-Tab.11[[#This Row],[Red]])</f>
        <v>0</v>
      </c>
      <c r="V831" s="72" t="b">
        <f>IF(Tab.11[[#This Row],[a1]]=1,Tab.11[[#This Row],[target]]-Tab.11[[#This Row],[Blue]])</f>
        <v>0</v>
      </c>
      <c r="W831" s="73" t="b">
        <f>IF(Tab.11[[#This Row],[a1]]=1,IF(ABS(Tab.11[[#This Row],[b17]])+ABS(Tab.11[[#This Row],[b18]])&lt;$W$2,$W$2,ABS(Tab.11[[#This Row],[b17]])+ABS(Tab.11[[#This Row],[b18]])))</f>
        <v>0</v>
      </c>
      <c r="X831" s="136" t="b">
        <f>IF(Tab.11[[#This Row],[a1]]=1,IF($W$3&lt;0,Tab.11[[#This Row],[IN]]-$I$3,Tab.11[[#This Row],[IN]]))</f>
        <v>0</v>
      </c>
      <c r="Y831" s="136" t="b">
        <f>IF(Tab.11[[#This Row],[a1]]=1,IF($X$3=0,Tab.11[b66],Tab.11[[#This Row],[b66]]-AVERAGE(Tab.11[b66])))</f>
        <v>0</v>
      </c>
      <c r="Z831" s="135" t="b">
        <f>IF(Tab.11[[#This Row],[a1]]=1,Tab.11[[#This Row],[b77]]/(_xlfn.STDEV.P(Tab.11[b77])))</f>
        <v>0</v>
      </c>
      <c r="AA831" s="70" t="b">
        <f>IF(Tab.11[[#This Row],[a1]]=1,_xlfn.NORM.DIST(Tab.11[[#This Row],[b88]],$Z$1,$AA$1,FALSE))</f>
        <v>0</v>
      </c>
      <c r="AB831" s="74" t="b">
        <f>IF(Tab.11[[#This Row],[a1]]=1,IF($A$3=0,FALSE,1/Tab.11[[#This Row],[IN]]*$AC$2*IF(Tab.11[[#This Row],[a1]]=0,,$A$3*$AC$1*1/$V$3*(Tab.11[[#This Row],[b14]]))))</f>
        <v>0</v>
      </c>
      <c r="AC831" s="75" t="b">
        <f>IF(Tab.11[[#This Row],[a1]]=1,IF($AC$3=0,Tab.11[[#This Row],[φ1]],Tab.11[[#This Row],[φ1]]/MAX(Tab.11[φ1])))</f>
        <v>0</v>
      </c>
      <c r="AD831" s="74" t="b">
        <f>IF(Tab.11[[#This Row],[a1]]=1,1/Tab.11[[#This Row],[φ2]])</f>
        <v>0</v>
      </c>
      <c r="AE831" s="74" t="b">
        <f>IF(Tab.11[[#This Row],[a1]]=1,IF($AE$3=0,Tab.11[[#This Row],[w.0]],Tab.11[[#This Row],[w.0]]/SUM(Tab.11[w.0])))</f>
        <v>0</v>
      </c>
      <c r="AF831" s="76" t="str">
        <f>IF(Tab.11[[#This Row],[a1]]=0,"false",[3]!Tab.x5[[#This Row],[%_seN_C]])</f>
        <v>false</v>
      </c>
      <c r="AG831" s="77" t="b">
        <f>IF(Tab.11[[#This Row],[a1]]=1,AP831)</f>
        <v>0</v>
      </c>
      <c r="AH831" s="78" t="b">
        <f>IF(Tab.11[[#This Row],[a1]]=1,AQ831)</f>
        <v>0</v>
      </c>
      <c r="AI831" s="41">
        <v>3.0000000000000001E-3</v>
      </c>
      <c r="AJ831" s="79">
        <v>0.04</v>
      </c>
      <c r="AK831" s="80" t="b">
        <f>IF(Tab.11[[#This Row],[a1]]=1,1)</f>
        <v>0</v>
      </c>
      <c r="AL831"/>
      <c r="AM831"/>
      <c r="AN831"/>
      <c r="AO831"/>
      <c r="AP831"/>
      <c r="AQ831"/>
      <c r="AR831"/>
      <c r="AS831"/>
    </row>
    <row r="832" spans="1:45" s="81" customFormat="1" hidden="1" x14ac:dyDescent="0.25">
      <c r="A832" s="61">
        <f t="shared" si="27"/>
        <v>0</v>
      </c>
      <c r="B832" s="62">
        <f t="shared" si="27"/>
        <v>0</v>
      </c>
      <c r="C832" s="62" t="b">
        <f>IF(Tab.11[[#This Row],[a1]]=1,[3]!Tab_x1[[#This Row],[Name]])</f>
        <v>0</v>
      </c>
      <c r="D832" s="63" t="b">
        <f>IF(Tab.11[[#This Row],[a1]]=1,AO832)</f>
        <v>0</v>
      </c>
      <c r="E832" s="63">
        <f t="shared" si="26"/>
        <v>0</v>
      </c>
      <c r="F832" s="64" t="b">
        <f>IF(Tab.11[[#This Row],[a1]]=1,Tab.11[[#This Row],[b1]])</f>
        <v>0</v>
      </c>
      <c r="G832" s="65" t="b">
        <f>IF(Tab.11[[#This Row],[a1]]=1,IF(Tab.11[[#This Row],[b3]]&gt;$L$989*$G$3,$L$989*$G$3,IF(Tab.11[[#This Row],[b3]]&lt;$M$989*$G$3,$M$989*$G$3,Tab.11[[#This Row],[b3]])))</f>
        <v>0</v>
      </c>
      <c r="H832" s="66" t="b">
        <f>IF(Tab.11[[#This Row],[a1]]=1,Tab.11[[#This Row],[b1]])</f>
        <v>0</v>
      </c>
      <c r="I832" s="67" t="b">
        <f>IF(Tab.11[[#This Row],[a1]]=1,Tab.11[[#This Row],[b1]])</f>
        <v>0</v>
      </c>
      <c r="J832" s="68" t="b">
        <f>IF(Tab.11[[#This Row],[a1]]=1,IF($I$3&lt;0,Tab.11[[#This Row],[b5]]-$I$3,Tab.11[[#This Row],[b5]]))</f>
        <v>0</v>
      </c>
      <c r="K832" s="68" t="b">
        <f>IF(Tab.11[[#This Row],[a1]]=1,IF($K$3=0,Tab.11[b6],Tab.11[[#This Row],[b6]]-AVERAGE(Tab.11[b6])))</f>
        <v>0</v>
      </c>
      <c r="L832" s="69" t="b">
        <f>IF(Tab.11[[#This Row],[a1]]=1,Tab.11[[#This Row],[data]]/(_xlfn.STDEV.P(Tab.11[data])*$B$989)+$A$989)</f>
        <v>0</v>
      </c>
      <c r="M832" s="69" t="b">
        <f>IF(Tab.11[[#This Row],[a1]]=1,Tab.11[[#This Row],[data]]/(_xlfn.STDEV.P(Tab.11[data])*$B$987)-$A$987)</f>
        <v>0</v>
      </c>
      <c r="N832" s="69" t="b">
        <f>IF(Tab.11[[#This Row],[a1]]=1,Tab.11[[#This Row],[data]]/(_xlfn.STDEV.P(Tab.11[data])*$B$988)+$A$988)</f>
        <v>0</v>
      </c>
      <c r="O832" s="70" t="b">
        <f>IF(Tab.11[[#This Row],[a1]]=1,_xlfn.NORM.DIST(Tab.11[[#This Row],[b8]],$P$1,$Q$1,FALSE))</f>
        <v>0</v>
      </c>
      <c r="P832" s="70" t="b">
        <f>IF(Tab.11[[#This Row],[a1]]=1,_xlfn.NORM.DIST(Tab.11[[#This Row],[b9]],$P$1,$Q$1,FALSE))</f>
        <v>0</v>
      </c>
      <c r="Q832" s="70" t="b">
        <f>IF(Tab.11[[#This Row],[a1]]=1,_xlfn.NORM.DIST(Tab.11[[#This Row],[b10]],$P$1,$Q$1,FALSE))</f>
        <v>0</v>
      </c>
      <c r="R832" s="67" t="b">
        <f>IF(Tab.11[[#This Row],[a1]]=1,$I$3+$A$989+IF($K$3=0,Tab.11[[#This Row],[b8]]*_xlfn.STDEV.P(Tab.11[data]),AVERAGE(Tab.11[b6])+Tab.11[[#This Row],[b8]]*_xlfn.STDEV.P(Tab.11[data])))</f>
        <v>0</v>
      </c>
      <c r="S832" s="71" t="b">
        <f>IF(Tab.11[[#This Row],[a1]]=1,$I$3+$A$987+IF($K$3=0,Tab.11[[#This Row],[b9]]*_xlfn.STDEV.P(Tab.11[data]),AVERAGE(Tab.11[b6])+Tab.11[[#This Row],[b9]]*_xlfn.STDEV.P(Tab.11[data])))</f>
        <v>0</v>
      </c>
      <c r="T832" s="71" t="b">
        <f>IF(Tab.11[[#This Row],[a1]]=1,$I$3+$A$988+IF($K$3=0,Tab.11[[#This Row],[b10]]*_xlfn.STDEV.P(Tab.11[data]),AVERAGE(Tab.11[b6])+Tab.11[[#This Row],[b10]]*_xlfn.STDEV.P(Tab.11[data])))</f>
        <v>0</v>
      </c>
      <c r="U832" s="72" t="b">
        <f>IF(Tab.11[[#This Row],[a1]]=1,Tab.11[[#This Row],[target]]-Tab.11[[#This Row],[Red]])</f>
        <v>0</v>
      </c>
      <c r="V832" s="72" t="b">
        <f>IF(Tab.11[[#This Row],[a1]]=1,Tab.11[[#This Row],[target]]-Tab.11[[#This Row],[Blue]])</f>
        <v>0</v>
      </c>
      <c r="W832" s="73" t="b">
        <f>IF(Tab.11[[#This Row],[a1]]=1,IF(ABS(Tab.11[[#This Row],[b17]])+ABS(Tab.11[[#This Row],[b18]])&lt;$W$2,$W$2,ABS(Tab.11[[#This Row],[b17]])+ABS(Tab.11[[#This Row],[b18]])))</f>
        <v>0</v>
      </c>
      <c r="X832" s="136" t="b">
        <f>IF(Tab.11[[#This Row],[a1]]=1,IF($W$3&lt;0,Tab.11[[#This Row],[IN]]-$I$3,Tab.11[[#This Row],[IN]]))</f>
        <v>0</v>
      </c>
      <c r="Y832" s="136" t="b">
        <f>IF(Tab.11[[#This Row],[a1]]=1,IF($X$3=0,Tab.11[b66],Tab.11[[#This Row],[b66]]-AVERAGE(Tab.11[b66])))</f>
        <v>0</v>
      </c>
      <c r="Z832" s="135" t="b">
        <f>IF(Tab.11[[#This Row],[a1]]=1,Tab.11[[#This Row],[b77]]/(_xlfn.STDEV.P(Tab.11[b77])))</f>
        <v>0</v>
      </c>
      <c r="AA832" s="70" t="b">
        <f>IF(Tab.11[[#This Row],[a1]]=1,_xlfn.NORM.DIST(Tab.11[[#This Row],[b88]],$Z$1,$AA$1,FALSE))</f>
        <v>0</v>
      </c>
      <c r="AB832" s="74" t="b">
        <f>IF(Tab.11[[#This Row],[a1]]=1,IF($A$3=0,FALSE,1/Tab.11[[#This Row],[IN]]*$AC$2*IF(Tab.11[[#This Row],[a1]]=0,,$A$3*$AC$1*1/$V$3*(Tab.11[[#This Row],[b14]]))))</f>
        <v>0</v>
      </c>
      <c r="AC832" s="75" t="b">
        <f>IF(Tab.11[[#This Row],[a1]]=1,IF($AC$3=0,Tab.11[[#This Row],[φ1]],Tab.11[[#This Row],[φ1]]/MAX(Tab.11[φ1])))</f>
        <v>0</v>
      </c>
      <c r="AD832" s="74" t="b">
        <f>IF(Tab.11[[#This Row],[a1]]=1,1/Tab.11[[#This Row],[φ2]])</f>
        <v>0</v>
      </c>
      <c r="AE832" s="74" t="b">
        <f>IF(Tab.11[[#This Row],[a1]]=1,IF($AE$3=0,Tab.11[[#This Row],[w.0]],Tab.11[[#This Row],[w.0]]/SUM(Tab.11[w.0])))</f>
        <v>0</v>
      </c>
      <c r="AF832" s="76" t="str">
        <f>IF(Tab.11[[#This Row],[a1]]=0,"false",[3]!Tab.x5[[#This Row],[%_seN_C]])</f>
        <v>false</v>
      </c>
      <c r="AG832" s="77" t="b">
        <f>IF(Tab.11[[#This Row],[a1]]=1,AP832)</f>
        <v>0</v>
      </c>
      <c r="AH832" s="78" t="b">
        <f>IF(Tab.11[[#This Row],[a1]]=1,AQ832)</f>
        <v>0</v>
      </c>
      <c r="AI832" s="41">
        <v>3.0000000000000001E-3</v>
      </c>
      <c r="AJ832" s="79">
        <v>0.1</v>
      </c>
      <c r="AK832" s="80" t="b">
        <f>IF(Tab.11[[#This Row],[a1]]=1,1)</f>
        <v>0</v>
      </c>
      <c r="AL832"/>
      <c r="AM832"/>
      <c r="AN832"/>
      <c r="AO832"/>
      <c r="AP832"/>
      <c r="AQ832"/>
      <c r="AR832"/>
      <c r="AS832"/>
    </row>
    <row r="833" spans="1:45" s="81" customFormat="1" hidden="1" x14ac:dyDescent="0.25">
      <c r="A833" s="61">
        <f t="shared" si="27"/>
        <v>0</v>
      </c>
      <c r="B833" s="62">
        <f t="shared" si="27"/>
        <v>0</v>
      </c>
      <c r="C833" s="62" t="b">
        <f>IF(Tab.11[[#This Row],[a1]]=1,[3]!Tab_x1[[#This Row],[Name]])</f>
        <v>0</v>
      </c>
      <c r="D833" s="63" t="b">
        <f>IF(Tab.11[[#This Row],[a1]]=1,AO833)</f>
        <v>0</v>
      </c>
      <c r="E833" s="63">
        <f t="shared" si="26"/>
        <v>0</v>
      </c>
      <c r="F833" s="64" t="b">
        <f>IF(Tab.11[[#This Row],[a1]]=1,Tab.11[[#This Row],[b1]])</f>
        <v>0</v>
      </c>
      <c r="G833" s="65" t="b">
        <f>IF(Tab.11[[#This Row],[a1]]=1,IF(Tab.11[[#This Row],[b3]]&gt;$L$989*$G$3,$L$989*$G$3,IF(Tab.11[[#This Row],[b3]]&lt;$M$989*$G$3,$M$989*$G$3,Tab.11[[#This Row],[b3]])))</f>
        <v>0</v>
      </c>
      <c r="H833" s="66" t="b">
        <f>IF(Tab.11[[#This Row],[a1]]=1,Tab.11[[#This Row],[b1]])</f>
        <v>0</v>
      </c>
      <c r="I833" s="67" t="b">
        <f>IF(Tab.11[[#This Row],[a1]]=1,Tab.11[[#This Row],[b1]])</f>
        <v>0</v>
      </c>
      <c r="J833" s="68" t="b">
        <f>IF(Tab.11[[#This Row],[a1]]=1,IF($I$3&lt;0,Tab.11[[#This Row],[b5]]-$I$3,Tab.11[[#This Row],[b5]]))</f>
        <v>0</v>
      </c>
      <c r="K833" s="68" t="b">
        <f>IF(Tab.11[[#This Row],[a1]]=1,IF($K$3=0,Tab.11[b6],Tab.11[[#This Row],[b6]]-AVERAGE(Tab.11[b6])))</f>
        <v>0</v>
      </c>
      <c r="L833" s="69" t="b">
        <f>IF(Tab.11[[#This Row],[a1]]=1,Tab.11[[#This Row],[data]]/(_xlfn.STDEV.P(Tab.11[data])*$B$989)+$A$989)</f>
        <v>0</v>
      </c>
      <c r="M833" s="69" t="b">
        <f>IF(Tab.11[[#This Row],[a1]]=1,Tab.11[[#This Row],[data]]/(_xlfn.STDEV.P(Tab.11[data])*$B$987)-$A$987)</f>
        <v>0</v>
      </c>
      <c r="N833" s="69" t="b">
        <f>IF(Tab.11[[#This Row],[a1]]=1,Tab.11[[#This Row],[data]]/(_xlfn.STDEV.P(Tab.11[data])*$B$988)+$A$988)</f>
        <v>0</v>
      </c>
      <c r="O833" s="70" t="b">
        <f>IF(Tab.11[[#This Row],[a1]]=1,_xlfn.NORM.DIST(Tab.11[[#This Row],[b8]],$P$1,$Q$1,FALSE))</f>
        <v>0</v>
      </c>
      <c r="P833" s="70" t="b">
        <f>IF(Tab.11[[#This Row],[a1]]=1,_xlfn.NORM.DIST(Tab.11[[#This Row],[b9]],$P$1,$Q$1,FALSE))</f>
        <v>0</v>
      </c>
      <c r="Q833" s="70" t="b">
        <f>IF(Tab.11[[#This Row],[a1]]=1,_xlfn.NORM.DIST(Tab.11[[#This Row],[b10]],$P$1,$Q$1,FALSE))</f>
        <v>0</v>
      </c>
      <c r="R833" s="67" t="b">
        <f>IF(Tab.11[[#This Row],[a1]]=1,$I$3+$A$989+IF($K$3=0,Tab.11[[#This Row],[b8]]*_xlfn.STDEV.P(Tab.11[data]),AVERAGE(Tab.11[b6])+Tab.11[[#This Row],[b8]]*_xlfn.STDEV.P(Tab.11[data])))</f>
        <v>0</v>
      </c>
      <c r="S833" s="71" t="b">
        <f>IF(Tab.11[[#This Row],[a1]]=1,$I$3+$A$987+IF($K$3=0,Tab.11[[#This Row],[b9]]*_xlfn.STDEV.P(Tab.11[data]),AVERAGE(Tab.11[b6])+Tab.11[[#This Row],[b9]]*_xlfn.STDEV.P(Tab.11[data])))</f>
        <v>0</v>
      </c>
      <c r="T833" s="71" t="b">
        <f>IF(Tab.11[[#This Row],[a1]]=1,$I$3+$A$988+IF($K$3=0,Tab.11[[#This Row],[b10]]*_xlfn.STDEV.P(Tab.11[data]),AVERAGE(Tab.11[b6])+Tab.11[[#This Row],[b10]]*_xlfn.STDEV.P(Tab.11[data])))</f>
        <v>0</v>
      </c>
      <c r="U833" s="72" t="b">
        <f>IF(Tab.11[[#This Row],[a1]]=1,Tab.11[[#This Row],[target]]-Tab.11[[#This Row],[Red]])</f>
        <v>0</v>
      </c>
      <c r="V833" s="72" t="b">
        <f>IF(Tab.11[[#This Row],[a1]]=1,Tab.11[[#This Row],[target]]-Tab.11[[#This Row],[Blue]])</f>
        <v>0</v>
      </c>
      <c r="W833" s="73" t="b">
        <f>IF(Tab.11[[#This Row],[a1]]=1,IF(ABS(Tab.11[[#This Row],[b17]])+ABS(Tab.11[[#This Row],[b18]])&lt;$W$2,$W$2,ABS(Tab.11[[#This Row],[b17]])+ABS(Tab.11[[#This Row],[b18]])))</f>
        <v>0</v>
      </c>
      <c r="X833" s="136" t="b">
        <f>IF(Tab.11[[#This Row],[a1]]=1,IF($W$3&lt;0,Tab.11[[#This Row],[IN]]-$I$3,Tab.11[[#This Row],[IN]]))</f>
        <v>0</v>
      </c>
      <c r="Y833" s="136" t="b">
        <f>IF(Tab.11[[#This Row],[a1]]=1,IF($X$3=0,Tab.11[b66],Tab.11[[#This Row],[b66]]-AVERAGE(Tab.11[b66])))</f>
        <v>0</v>
      </c>
      <c r="Z833" s="135" t="b">
        <f>IF(Tab.11[[#This Row],[a1]]=1,Tab.11[[#This Row],[b77]]/(_xlfn.STDEV.P(Tab.11[b77])))</f>
        <v>0</v>
      </c>
      <c r="AA833" s="70" t="b">
        <f>IF(Tab.11[[#This Row],[a1]]=1,_xlfn.NORM.DIST(Tab.11[[#This Row],[b88]],$Z$1,$AA$1,FALSE))</f>
        <v>0</v>
      </c>
      <c r="AB833" s="74" t="b">
        <f>IF(Tab.11[[#This Row],[a1]]=1,IF($A$3=0,FALSE,1/Tab.11[[#This Row],[IN]]*$AC$2*IF(Tab.11[[#This Row],[a1]]=0,,$A$3*$AC$1*1/$V$3*(Tab.11[[#This Row],[b14]]))))</f>
        <v>0</v>
      </c>
      <c r="AC833" s="75" t="b">
        <f>IF(Tab.11[[#This Row],[a1]]=1,IF($AC$3=0,Tab.11[[#This Row],[φ1]],Tab.11[[#This Row],[φ1]]/MAX(Tab.11[φ1])))</f>
        <v>0</v>
      </c>
      <c r="AD833" s="74" t="b">
        <f>IF(Tab.11[[#This Row],[a1]]=1,1/Tab.11[[#This Row],[φ2]])</f>
        <v>0</v>
      </c>
      <c r="AE833" s="74" t="b">
        <f>IF(Tab.11[[#This Row],[a1]]=1,IF($AE$3=0,Tab.11[[#This Row],[w.0]],Tab.11[[#This Row],[w.0]]/SUM(Tab.11[w.0])))</f>
        <v>0</v>
      </c>
      <c r="AF833" s="76" t="str">
        <f>IF(Tab.11[[#This Row],[a1]]=0,"false",[3]!Tab.x5[[#This Row],[%_seN_C]])</f>
        <v>false</v>
      </c>
      <c r="AG833" s="77" t="b">
        <f>IF(Tab.11[[#This Row],[a1]]=1,AP833)</f>
        <v>0</v>
      </c>
      <c r="AH833" s="78" t="b">
        <f>IF(Tab.11[[#This Row],[a1]]=1,AQ833)</f>
        <v>0</v>
      </c>
      <c r="AI833" s="41">
        <v>3.0000000000000001E-3</v>
      </c>
      <c r="AJ833" s="79">
        <v>-7.0000000000000007E-2</v>
      </c>
      <c r="AK833" s="80" t="b">
        <f>IF(Tab.11[[#This Row],[a1]]=1,1)</f>
        <v>0</v>
      </c>
      <c r="AL833"/>
      <c r="AM833"/>
      <c r="AN833"/>
      <c r="AO833"/>
      <c r="AP833"/>
      <c r="AQ833"/>
      <c r="AR833"/>
      <c r="AS833"/>
    </row>
    <row r="834" spans="1:45" s="81" customFormat="1" hidden="1" x14ac:dyDescent="0.25">
      <c r="A834" s="61">
        <f t="shared" si="27"/>
        <v>0</v>
      </c>
      <c r="B834" s="62">
        <f t="shared" si="27"/>
        <v>0</v>
      </c>
      <c r="C834" s="62" t="b">
        <f>IF(Tab.11[[#This Row],[a1]]=1,[3]!Tab_x1[[#This Row],[Name]])</f>
        <v>0</v>
      </c>
      <c r="D834" s="63" t="b">
        <f>IF(Tab.11[[#This Row],[a1]]=1,AO834)</f>
        <v>0</v>
      </c>
      <c r="E834" s="63">
        <f t="shared" si="26"/>
        <v>0</v>
      </c>
      <c r="F834" s="64" t="b">
        <f>IF(Tab.11[[#This Row],[a1]]=1,Tab.11[[#This Row],[b1]])</f>
        <v>0</v>
      </c>
      <c r="G834" s="65" t="b">
        <f>IF(Tab.11[[#This Row],[a1]]=1,IF(Tab.11[[#This Row],[b3]]&gt;$L$989*$G$3,$L$989*$G$3,IF(Tab.11[[#This Row],[b3]]&lt;$M$989*$G$3,$M$989*$G$3,Tab.11[[#This Row],[b3]])))</f>
        <v>0</v>
      </c>
      <c r="H834" s="66" t="b">
        <f>IF(Tab.11[[#This Row],[a1]]=1,Tab.11[[#This Row],[b1]])</f>
        <v>0</v>
      </c>
      <c r="I834" s="67" t="b">
        <f>IF(Tab.11[[#This Row],[a1]]=1,Tab.11[[#This Row],[b1]])</f>
        <v>0</v>
      </c>
      <c r="J834" s="68" t="b">
        <f>IF(Tab.11[[#This Row],[a1]]=1,IF($I$3&lt;0,Tab.11[[#This Row],[b5]]-$I$3,Tab.11[[#This Row],[b5]]))</f>
        <v>0</v>
      </c>
      <c r="K834" s="68" t="b">
        <f>IF(Tab.11[[#This Row],[a1]]=1,IF($K$3=0,Tab.11[b6],Tab.11[[#This Row],[b6]]-AVERAGE(Tab.11[b6])))</f>
        <v>0</v>
      </c>
      <c r="L834" s="69" t="b">
        <f>IF(Tab.11[[#This Row],[a1]]=1,Tab.11[[#This Row],[data]]/(_xlfn.STDEV.P(Tab.11[data])*$B$989)+$A$989)</f>
        <v>0</v>
      </c>
      <c r="M834" s="69" t="b">
        <f>IF(Tab.11[[#This Row],[a1]]=1,Tab.11[[#This Row],[data]]/(_xlfn.STDEV.P(Tab.11[data])*$B$987)-$A$987)</f>
        <v>0</v>
      </c>
      <c r="N834" s="69" t="b">
        <f>IF(Tab.11[[#This Row],[a1]]=1,Tab.11[[#This Row],[data]]/(_xlfn.STDEV.P(Tab.11[data])*$B$988)+$A$988)</f>
        <v>0</v>
      </c>
      <c r="O834" s="70" t="b">
        <f>IF(Tab.11[[#This Row],[a1]]=1,_xlfn.NORM.DIST(Tab.11[[#This Row],[b8]],$P$1,$Q$1,FALSE))</f>
        <v>0</v>
      </c>
      <c r="P834" s="70" t="b">
        <f>IF(Tab.11[[#This Row],[a1]]=1,_xlfn.NORM.DIST(Tab.11[[#This Row],[b9]],$P$1,$Q$1,FALSE))</f>
        <v>0</v>
      </c>
      <c r="Q834" s="70" t="b">
        <f>IF(Tab.11[[#This Row],[a1]]=1,_xlfn.NORM.DIST(Tab.11[[#This Row],[b10]],$P$1,$Q$1,FALSE))</f>
        <v>0</v>
      </c>
      <c r="R834" s="67" t="b">
        <f>IF(Tab.11[[#This Row],[a1]]=1,$I$3+$A$989+IF($K$3=0,Tab.11[[#This Row],[b8]]*_xlfn.STDEV.P(Tab.11[data]),AVERAGE(Tab.11[b6])+Tab.11[[#This Row],[b8]]*_xlfn.STDEV.P(Tab.11[data])))</f>
        <v>0</v>
      </c>
      <c r="S834" s="71" t="b">
        <f>IF(Tab.11[[#This Row],[a1]]=1,$I$3+$A$987+IF($K$3=0,Tab.11[[#This Row],[b9]]*_xlfn.STDEV.P(Tab.11[data]),AVERAGE(Tab.11[b6])+Tab.11[[#This Row],[b9]]*_xlfn.STDEV.P(Tab.11[data])))</f>
        <v>0</v>
      </c>
      <c r="T834" s="71" t="b">
        <f>IF(Tab.11[[#This Row],[a1]]=1,$I$3+$A$988+IF($K$3=0,Tab.11[[#This Row],[b10]]*_xlfn.STDEV.P(Tab.11[data]),AVERAGE(Tab.11[b6])+Tab.11[[#This Row],[b10]]*_xlfn.STDEV.P(Tab.11[data])))</f>
        <v>0</v>
      </c>
      <c r="U834" s="72" t="b">
        <f>IF(Tab.11[[#This Row],[a1]]=1,Tab.11[[#This Row],[target]]-Tab.11[[#This Row],[Red]])</f>
        <v>0</v>
      </c>
      <c r="V834" s="72" t="b">
        <f>IF(Tab.11[[#This Row],[a1]]=1,Tab.11[[#This Row],[target]]-Tab.11[[#This Row],[Blue]])</f>
        <v>0</v>
      </c>
      <c r="W834" s="73" t="b">
        <f>IF(Tab.11[[#This Row],[a1]]=1,IF(ABS(Tab.11[[#This Row],[b17]])+ABS(Tab.11[[#This Row],[b18]])&lt;$W$2,$W$2,ABS(Tab.11[[#This Row],[b17]])+ABS(Tab.11[[#This Row],[b18]])))</f>
        <v>0</v>
      </c>
      <c r="X834" s="136" t="b">
        <f>IF(Tab.11[[#This Row],[a1]]=1,IF($W$3&lt;0,Tab.11[[#This Row],[IN]]-$I$3,Tab.11[[#This Row],[IN]]))</f>
        <v>0</v>
      </c>
      <c r="Y834" s="136" t="b">
        <f>IF(Tab.11[[#This Row],[a1]]=1,IF($X$3=0,Tab.11[b66],Tab.11[[#This Row],[b66]]-AVERAGE(Tab.11[b66])))</f>
        <v>0</v>
      </c>
      <c r="Z834" s="135" t="b">
        <f>IF(Tab.11[[#This Row],[a1]]=1,Tab.11[[#This Row],[b77]]/(_xlfn.STDEV.P(Tab.11[b77])))</f>
        <v>0</v>
      </c>
      <c r="AA834" s="70" t="b">
        <f>IF(Tab.11[[#This Row],[a1]]=1,_xlfn.NORM.DIST(Tab.11[[#This Row],[b88]],$Z$1,$AA$1,FALSE))</f>
        <v>0</v>
      </c>
      <c r="AB834" s="74" t="b">
        <f>IF(Tab.11[[#This Row],[a1]]=1,IF($A$3=0,FALSE,1/Tab.11[[#This Row],[IN]]*$AC$2*IF(Tab.11[[#This Row],[a1]]=0,,$A$3*$AC$1*1/$V$3*(Tab.11[[#This Row],[b14]]))))</f>
        <v>0</v>
      </c>
      <c r="AC834" s="75" t="b">
        <f>IF(Tab.11[[#This Row],[a1]]=1,IF($AC$3=0,Tab.11[[#This Row],[φ1]],Tab.11[[#This Row],[φ1]]/MAX(Tab.11[φ1])))</f>
        <v>0</v>
      </c>
      <c r="AD834" s="74" t="b">
        <f>IF(Tab.11[[#This Row],[a1]]=1,1/Tab.11[[#This Row],[φ2]])</f>
        <v>0</v>
      </c>
      <c r="AE834" s="74" t="b">
        <f>IF(Tab.11[[#This Row],[a1]]=1,IF($AE$3=0,Tab.11[[#This Row],[w.0]],Tab.11[[#This Row],[w.0]]/SUM(Tab.11[w.0])))</f>
        <v>0</v>
      </c>
      <c r="AF834" s="76" t="str">
        <f>IF(Tab.11[[#This Row],[a1]]=0,"false",[3]!Tab.x5[[#This Row],[%_seN_C]])</f>
        <v>false</v>
      </c>
      <c r="AG834" s="77" t="b">
        <f>IF(Tab.11[[#This Row],[a1]]=1,AP834)</f>
        <v>0</v>
      </c>
      <c r="AH834" s="78" t="b">
        <f>IF(Tab.11[[#This Row],[a1]]=1,AQ834)</f>
        <v>0</v>
      </c>
      <c r="AI834" s="41">
        <v>3.0000000000000001E-3</v>
      </c>
      <c r="AJ834" s="79">
        <v>0.01</v>
      </c>
      <c r="AK834" s="80" t="b">
        <f>IF(Tab.11[[#This Row],[a1]]=1,1)</f>
        <v>0</v>
      </c>
      <c r="AL834"/>
      <c r="AM834"/>
      <c r="AN834"/>
      <c r="AO834"/>
      <c r="AP834"/>
      <c r="AQ834"/>
      <c r="AR834"/>
      <c r="AS834"/>
    </row>
    <row r="835" spans="1:45" s="81" customFormat="1" hidden="1" x14ac:dyDescent="0.25">
      <c r="A835" s="61">
        <f t="shared" si="27"/>
        <v>0</v>
      </c>
      <c r="B835" s="62">
        <f t="shared" si="27"/>
        <v>0</v>
      </c>
      <c r="C835" s="62" t="b">
        <f>IF(Tab.11[[#This Row],[a1]]=1,[3]!Tab_x1[[#This Row],[Name]])</f>
        <v>0</v>
      </c>
      <c r="D835" s="63" t="b">
        <f>IF(Tab.11[[#This Row],[a1]]=1,AO835)</f>
        <v>0</v>
      </c>
      <c r="E835" s="63">
        <f t="shared" si="26"/>
        <v>0</v>
      </c>
      <c r="F835" s="64" t="b">
        <f>IF(Tab.11[[#This Row],[a1]]=1,Tab.11[[#This Row],[b1]])</f>
        <v>0</v>
      </c>
      <c r="G835" s="65" t="b">
        <f>IF(Tab.11[[#This Row],[a1]]=1,IF(Tab.11[[#This Row],[b3]]&gt;$L$989*$G$3,$L$989*$G$3,IF(Tab.11[[#This Row],[b3]]&lt;$M$989*$G$3,$M$989*$G$3,Tab.11[[#This Row],[b3]])))</f>
        <v>0</v>
      </c>
      <c r="H835" s="66" t="b">
        <f>IF(Tab.11[[#This Row],[a1]]=1,Tab.11[[#This Row],[b1]])</f>
        <v>0</v>
      </c>
      <c r="I835" s="67" t="b">
        <f>IF(Tab.11[[#This Row],[a1]]=1,Tab.11[[#This Row],[b1]])</f>
        <v>0</v>
      </c>
      <c r="J835" s="68" t="b">
        <f>IF(Tab.11[[#This Row],[a1]]=1,IF($I$3&lt;0,Tab.11[[#This Row],[b5]]-$I$3,Tab.11[[#This Row],[b5]]))</f>
        <v>0</v>
      </c>
      <c r="K835" s="68" t="b">
        <f>IF(Tab.11[[#This Row],[a1]]=1,IF($K$3=0,Tab.11[b6],Tab.11[[#This Row],[b6]]-AVERAGE(Tab.11[b6])))</f>
        <v>0</v>
      </c>
      <c r="L835" s="69" t="b">
        <f>IF(Tab.11[[#This Row],[a1]]=1,Tab.11[[#This Row],[data]]/(_xlfn.STDEV.P(Tab.11[data])*$B$989)+$A$989)</f>
        <v>0</v>
      </c>
      <c r="M835" s="69" t="b">
        <f>IF(Tab.11[[#This Row],[a1]]=1,Tab.11[[#This Row],[data]]/(_xlfn.STDEV.P(Tab.11[data])*$B$987)-$A$987)</f>
        <v>0</v>
      </c>
      <c r="N835" s="69" t="b">
        <f>IF(Tab.11[[#This Row],[a1]]=1,Tab.11[[#This Row],[data]]/(_xlfn.STDEV.P(Tab.11[data])*$B$988)+$A$988)</f>
        <v>0</v>
      </c>
      <c r="O835" s="70" t="b">
        <f>IF(Tab.11[[#This Row],[a1]]=1,_xlfn.NORM.DIST(Tab.11[[#This Row],[b8]],$P$1,$Q$1,FALSE))</f>
        <v>0</v>
      </c>
      <c r="P835" s="70" t="b">
        <f>IF(Tab.11[[#This Row],[a1]]=1,_xlfn.NORM.DIST(Tab.11[[#This Row],[b9]],$P$1,$Q$1,FALSE))</f>
        <v>0</v>
      </c>
      <c r="Q835" s="70" t="b">
        <f>IF(Tab.11[[#This Row],[a1]]=1,_xlfn.NORM.DIST(Tab.11[[#This Row],[b10]],$P$1,$Q$1,FALSE))</f>
        <v>0</v>
      </c>
      <c r="R835" s="67" t="b">
        <f>IF(Tab.11[[#This Row],[a1]]=1,$I$3+$A$989+IF($K$3=0,Tab.11[[#This Row],[b8]]*_xlfn.STDEV.P(Tab.11[data]),AVERAGE(Tab.11[b6])+Tab.11[[#This Row],[b8]]*_xlfn.STDEV.P(Tab.11[data])))</f>
        <v>0</v>
      </c>
      <c r="S835" s="71" t="b">
        <f>IF(Tab.11[[#This Row],[a1]]=1,$I$3+$A$987+IF($K$3=0,Tab.11[[#This Row],[b9]]*_xlfn.STDEV.P(Tab.11[data]),AVERAGE(Tab.11[b6])+Tab.11[[#This Row],[b9]]*_xlfn.STDEV.P(Tab.11[data])))</f>
        <v>0</v>
      </c>
      <c r="T835" s="71" t="b">
        <f>IF(Tab.11[[#This Row],[a1]]=1,$I$3+$A$988+IF($K$3=0,Tab.11[[#This Row],[b10]]*_xlfn.STDEV.P(Tab.11[data]),AVERAGE(Tab.11[b6])+Tab.11[[#This Row],[b10]]*_xlfn.STDEV.P(Tab.11[data])))</f>
        <v>0</v>
      </c>
      <c r="U835" s="72" t="b">
        <f>IF(Tab.11[[#This Row],[a1]]=1,Tab.11[[#This Row],[target]]-Tab.11[[#This Row],[Red]])</f>
        <v>0</v>
      </c>
      <c r="V835" s="72" t="b">
        <f>IF(Tab.11[[#This Row],[a1]]=1,Tab.11[[#This Row],[target]]-Tab.11[[#This Row],[Blue]])</f>
        <v>0</v>
      </c>
      <c r="W835" s="73" t="b">
        <f>IF(Tab.11[[#This Row],[a1]]=1,IF(ABS(Tab.11[[#This Row],[b17]])+ABS(Tab.11[[#This Row],[b18]])&lt;$W$2,$W$2,ABS(Tab.11[[#This Row],[b17]])+ABS(Tab.11[[#This Row],[b18]])))</f>
        <v>0</v>
      </c>
      <c r="X835" s="136" t="b">
        <f>IF(Tab.11[[#This Row],[a1]]=1,IF($W$3&lt;0,Tab.11[[#This Row],[IN]]-$I$3,Tab.11[[#This Row],[IN]]))</f>
        <v>0</v>
      </c>
      <c r="Y835" s="136" t="b">
        <f>IF(Tab.11[[#This Row],[a1]]=1,IF($X$3=0,Tab.11[b66],Tab.11[[#This Row],[b66]]-AVERAGE(Tab.11[b66])))</f>
        <v>0</v>
      </c>
      <c r="Z835" s="135" t="b">
        <f>IF(Tab.11[[#This Row],[a1]]=1,Tab.11[[#This Row],[b77]]/(_xlfn.STDEV.P(Tab.11[b77])))</f>
        <v>0</v>
      </c>
      <c r="AA835" s="70" t="b">
        <f>IF(Tab.11[[#This Row],[a1]]=1,_xlfn.NORM.DIST(Tab.11[[#This Row],[b88]],$Z$1,$AA$1,FALSE))</f>
        <v>0</v>
      </c>
      <c r="AB835" s="74" t="b">
        <f>IF(Tab.11[[#This Row],[a1]]=1,IF($A$3=0,FALSE,1/Tab.11[[#This Row],[IN]]*$AC$2*IF(Tab.11[[#This Row],[a1]]=0,,$A$3*$AC$1*1/$V$3*(Tab.11[[#This Row],[b14]]))))</f>
        <v>0</v>
      </c>
      <c r="AC835" s="75" t="b">
        <f>IF(Tab.11[[#This Row],[a1]]=1,IF($AC$3=0,Tab.11[[#This Row],[φ1]],Tab.11[[#This Row],[φ1]]/MAX(Tab.11[φ1])))</f>
        <v>0</v>
      </c>
      <c r="AD835" s="74" t="b">
        <f>IF(Tab.11[[#This Row],[a1]]=1,1/Tab.11[[#This Row],[φ2]])</f>
        <v>0</v>
      </c>
      <c r="AE835" s="74" t="b">
        <f>IF(Tab.11[[#This Row],[a1]]=1,IF($AE$3=0,Tab.11[[#This Row],[w.0]],Tab.11[[#This Row],[w.0]]/SUM(Tab.11[w.0])))</f>
        <v>0</v>
      </c>
      <c r="AF835" s="76" t="str">
        <f>IF(Tab.11[[#This Row],[a1]]=0,"false",[3]!Tab.x5[[#This Row],[%_seN_C]])</f>
        <v>false</v>
      </c>
      <c r="AG835" s="77" t="b">
        <f>IF(Tab.11[[#This Row],[a1]]=1,AP835)</f>
        <v>0</v>
      </c>
      <c r="AH835" s="78" t="b">
        <f>IF(Tab.11[[#This Row],[a1]]=1,AQ835)</f>
        <v>0</v>
      </c>
      <c r="AI835" s="41">
        <v>3.0000000000000001E-3</v>
      </c>
      <c r="AJ835" s="79">
        <v>0.03</v>
      </c>
      <c r="AK835" s="80" t="b">
        <f>IF(Tab.11[[#This Row],[a1]]=1,1)</f>
        <v>0</v>
      </c>
      <c r="AL835"/>
      <c r="AM835"/>
      <c r="AN835"/>
      <c r="AO835"/>
      <c r="AP835"/>
      <c r="AQ835"/>
      <c r="AR835"/>
      <c r="AS835"/>
    </row>
    <row r="836" spans="1:45" s="81" customFormat="1" hidden="1" x14ac:dyDescent="0.25">
      <c r="A836" s="61">
        <f t="shared" si="27"/>
        <v>0</v>
      </c>
      <c r="B836" s="62">
        <f t="shared" si="27"/>
        <v>0</v>
      </c>
      <c r="C836" s="62" t="b">
        <f>IF(Tab.11[[#This Row],[a1]]=1,[3]!Tab_x1[[#This Row],[Name]])</f>
        <v>0</v>
      </c>
      <c r="D836" s="63" t="b">
        <f>IF(Tab.11[[#This Row],[a1]]=1,AO836)</f>
        <v>0</v>
      </c>
      <c r="E836" s="63">
        <f t="shared" si="26"/>
        <v>0</v>
      </c>
      <c r="F836" s="64" t="b">
        <f>IF(Tab.11[[#This Row],[a1]]=1,Tab.11[[#This Row],[b1]])</f>
        <v>0</v>
      </c>
      <c r="G836" s="65" t="b">
        <f>IF(Tab.11[[#This Row],[a1]]=1,IF(Tab.11[[#This Row],[b3]]&gt;$L$989*$G$3,$L$989*$G$3,IF(Tab.11[[#This Row],[b3]]&lt;$M$989*$G$3,$M$989*$G$3,Tab.11[[#This Row],[b3]])))</f>
        <v>0</v>
      </c>
      <c r="H836" s="66" t="b">
        <f>IF(Tab.11[[#This Row],[a1]]=1,Tab.11[[#This Row],[b1]])</f>
        <v>0</v>
      </c>
      <c r="I836" s="67" t="b">
        <f>IF(Tab.11[[#This Row],[a1]]=1,Tab.11[[#This Row],[b1]])</f>
        <v>0</v>
      </c>
      <c r="J836" s="68" t="b">
        <f>IF(Tab.11[[#This Row],[a1]]=1,IF($I$3&lt;0,Tab.11[[#This Row],[b5]]-$I$3,Tab.11[[#This Row],[b5]]))</f>
        <v>0</v>
      </c>
      <c r="K836" s="68" t="b">
        <f>IF(Tab.11[[#This Row],[a1]]=1,IF($K$3=0,Tab.11[b6],Tab.11[[#This Row],[b6]]-AVERAGE(Tab.11[b6])))</f>
        <v>0</v>
      </c>
      <c r="L836" s="69" t="b">
        <f>IF(Tab.11[[#This Row],[a1]]=1,Tab.11[[#This Row],[data]]/(_xlfn.STDEV.P(Tab.11[data])*$B$989)+$A$989)</f>
        <v>0</v>
      </c>
      <c r="M836" s="69" t="b">
        <f>IF(Tab.11[[#This Row],[a1]]=1,Tab.11[[#This Row],[data]]/(_xlfn.STDEV.P(Tab.11[data])*$B$987)-$A$987)</f>
        <v>0</v>
      </c>
      <c r="N836" s="69" t="b">
        <f>IF(Tab.11[[#This Row],[a1]]=1,Tab.11[[#This Row],[data]]/(_xlfn.STDEV.P(Tab.11[data])*$B$988)+$A$988)</f>
        <v>0</v>
      </c>
      <c r="O836" s="70" t="b">
        <f>IF(Tab.11[[#This Row],[a1]]=1,_xlfn.NORM.DIST(Tab.11[[#This Row],[b8]],$P$1,$Q$1,FALSE))</f>
        <v>0</v>
      </c>
      <c r="P836" s="70" t="b">
        <f>IF(Tab.11[[#This Row],[a1]]=1,_xlfn.NORM.DIST(Tab.11[[#This Row],[b9]],$P$1,$Q$1,FALSE))</f>
        <v>0</v>
      </c>
      <c r="Q836" s="70" t="b">
        <f>IF(Tab.11[[#This Row],[a1]]=1,_xlfn.NORM.DIST(Tab.11[[#This Row],[b10]],$P$1,$Q$1,FALSE))</f>
        <v>0</v>
      </c>
      <c r="R836" s="67" t="b">
        <f>IF(Tab.11[[#This Row],[a1]]=1,$I$3+$A$989+IF($K$3=0,Tab.11[[#This Row],[b8]]*_xlfn.STDEV.P(Tab.11[data]),AVERAGE(Tab.11[b6])+Tab.11[[#This Row],[b8]]*_xlfn.STDEV.P(Tab.11[data])))</f>
        <v>0</v>
      </c>
      <c r="S836" s="71" t="b">
        <f>IF(Tab.11[[#This Row],[a1]]=1,$I$3+$A$987+IF($K$3=0,Tab.11[[#This Row],[b9]]*_xlfn.STDEV.P(Tab.11[data]),AVERAGE(Tab.11[b6])+Tab.11[[#This Row],[b9]]*_xlfn.STDEV.P(Tab.11[data])))</f>
        <v>0</v>
      </c>
      <c r="T836" s="71" t="b">
        <f>IF(Tab.11[[#This Row],[a1]]=1,$I$3+$A$988+IF($K$3=0,Tab.11[[#This Row],[b10]]*_xlfn.STDEV.P(Tab.11[data]),AVERAGE(Tab.11[b6])+Tab.11[[#This Row],[b10]]*_xlfn.STDEV.P(Tab.11[data])))</f>
        <v>0</v>
      </c>
      <c r="U836" s="72" t="b">
        <f>IF(Tab.11[[#This Row],[a1]]=1,Tab.11[[#This Row],[target]]-Tab.11[[#This Row],[Red]])</f>
        <v>0</v>
      </c>
      <c r="V836" s="72" t="b">
        <f>IF(Tab.11[[#This Row],[a1]]=1,Tab.11[[#This Row],[target]]-Tab.11[[#This Row],[Blue]])</f>
        <v>0</v>
      </c>
      <c r="W836" s="73" t="b">
        <f>IF(Tab.11[[#This Row],[a1]]=1,IF(ABS(Tab.11[[#This Row],[b17]])+ABS(Tab.11[[#This Row],[b18]])&lt;$W$2,$W$2,ABS(Tab.11[[#This Row],[b17]])+ABS(Tab.11[[#This Row],[b18]])))</f>
        <v>0</v>
      </c>
      <c r="X836" s="136" t="b">
        <f>IF(Tab.11[[#This Row],[a1]]=1,IF($W$3&lt;0,Tab.11[[#This Row],[IN]]-$I$3,Tab.11[[#This Row],[IN]]))</f>
        <v>0</v>
      </c>
      <c r="Y836" s="136" t="b">
        <f>IF(Tab.11[[#This Row],[a1]]=1,IF($X$3=0,Tab.11[b66],Tab.11[[#This Row],[b66]]-AVERAGE(Tab.11[b66])))</f>
        <v>0</v>
      </c>
      <c r="Z836" s="135" t="b">
        <f>IF(Tab.11[[#This Row],[a1]]=1,Tab.11[[#This Row],[b77]]/(_xlfn.STDEV.P(Tab.11[b77])))</f>
        <v>0</v>
      </c>
      <c r="AA836" s="70" t="b">
        <f>IF(Tab.11[[#This Row],[a1]]=1,_xlfn.NORM.DIST(Tab.11[[#This Row],[b88]],$Z$1,$AA$1,FALSE))</f>
        <v>0</v>
      </c>
      <c r="AB836" s="74" t="b">
        <f>IF(Tab.11[[#This Row],[a1]]=1,IF($A$3=0,FALSE,1/Tab.11[[#This Row],[IN]]*$AC$2*IF(Tab.11[[#This Row],[a1]]=0,,$A$3*$AC$1*1/$V$3*(Tab.11[[#This Row],[b14]]))))</f>
        <v>0</v>
      </c>
      <c r="AC836" s="75" t="b">
        <f>IF(Tab.11[[#This Row],[a1]]=1,IF($AC$3=0,Tab.11[[#This Row],[φ1]],Tab.11[[#This Row],[φ1]]/MAX(Tab.11[φ1])))</f>
        <v>0</v>
      </c>
      <c r="AD836" s="74" t="b">
        <f>IF(Tab.11[[#This Row],[a1]]=1,1/Tab.11[[#This Row],[φ2]])</f>
        <v>0</v>
      </c>
      <c r="AE836" s="74" t="b">
        <f>IF(Tab.11[[#This Row],[a1]]=1,IF($AE$3=0,Tab.11[[#This Row],[w.0]],Tab.11[[#This Row],[w.0]]/SUM(Tab.11[w.0])))</f>
        <v>0</v>
      </c>
      <c r="AF836" s="76" t="str">
        <f>IF(Tab.11[[#This Row],[a1]]=0,"false",[3]!Tab.x5[[#This Row],[%_seN_C]])</f>
        <v>false</v>
      </c>
      <c r="AG836" s="77" t="b">
        <f>IF(Tab.11[[#This Row],[a1]]=1,AP836)</f>
        <v>0</v>
      </c>
      <c r="AH836" s="78" t="b">
        <f>IF(Tab.11[[#This Row],[a1]]=1,AQ836)</f>
        <v>0</v>
      </c>
      <c r="AI836" s="41">
        <v>3.0000000000000001E-3</v>
      </c>
      <c r="AJ836" s="79">
        <v>0.01</v>
      </c>
      <c r="AK836" s="80" t="b">
        <f>IF(Tab.11[[#This Row],[a1]]=1,1)</f>
        <v>0</v>
      </c>
      <c r="AL836"/>
      <c r="AM836"/>
      <c r="AN836"/>
      <c r="AO836"/>
      <c r="AP836"/>
      <c r="AQ836"/>
      <c r="AR836"/>
      <c r="AS836"/>
    </row>
    <row r="837" spans="1:45" s="81" customFormat="1" hidden="1" x14ac:dyDescent="0.25">
      <c r="A837" s="61">
        <f t="shared" si="27"/>
        <v>0</v>
      </c>
      <c r="B837" s="62">
        <f t="shared" si="27"/>
        <v>0</v>
      </c>
      <c r="C837" s="62" t="b">
        <f>IF(Tab.11[[#This Row],[a1]]=1,[3]!Tab_x1[[#This Row],[Name]])</f>
        <v>0</v>
      </c>
      <c r="D837" s="63" t="b">
        <f>IF(Tab.11[[#This Row],[a1]]=1,AO837)</f>
        <v>0</v>
      </c>
      <c r="E837" s="63">
        <f t="shared" ref="E837:E900" si="28">AM837</f>
        <v>0</v>
      </c>
      <c r="F837" s="64" t="b">
        <f>IF(Tab.11[[#This Row],[a1]]=1,Tab.11[[#This Row],[b1]])</f>
        <v>0</v>
      </c>
      <c r="G837" s="65" t="b">
        <f>IF(Tab.11[[#This Row],[a1]]=1,IF(Tab.11[[#This Row],[b3]]&gt;$L$989*$G$3,$L$989*$G$3,IF(Tab.11[[#This Row],[b3]]&lt;$M$989*$G$3,$M$989*$G$3,Tab.11[[#This Row],[b3]])))</f>
        <v>0</v>
      </c>
      <c r="H837" s="66" t="b">
        <f>IF(Tab.11[[#This Row],[a1]]=1,Tab.11[[#This Row],[b1]])</f>
        <v>0</v>
      </c>
      <c r="I837" s="67" t="b">
        <f>IF(Tab.11[[#This Row],[a1]]=1,Tab.11[[#This Row],[b1]])</f>
        <v>0</v>
      </c>
      <c r="J837" s="68" t="b">
        <f>IF(Tab.11[[#This Row],[a1]]=1,IF($I$3&lt;0,Tab.11[[#This Row],[b5]]-$I$3,Tab.11[[#This Row],[b5]]))</f>
        <v>0</v>
      </c>
      <c r="K837" s="68" t="b">
        <f>IF(Tab.11[[#This Row],[a1]]=1,IF($K$3=0,Tab.11[b6],Tab.11[[#This Row],[b6]]-AVERAGE(Tab.11[b6])))</f>
        <v>0</v>
      </c>
      <c r="L837" s="69" t="b">
        <f>IF(Tab.11[[#This Row],[a1]]=1,Tab.11[[#This Row],[data]]/(_xlfn.STDEV.P(Tab.11[data])*$B$989)+$A$989)</f>
        <v>0</v>
      </c>
      <c r="M837" s="69" t="b">
        <f>IF(Tab.11[[#This Row],[a1]]=1,Tab.11[[#This Row],[data]]/(_xlfn.STDEV.P(Tab.11[data])*$B$987)-$A$987)</f>
        <v>0</v>
      </c>
      <c r="N837" s="69" t="b">
        <f>IF(Tab.11[[#This Row],[a1]]=1,Tab.11[[#This Row],[data]]/(_xlfn.STDEV.P(Tab.11[data])*$B$988)+$A$988)</f>
        <v>0</v>
      </c>
      <c r="O837" s="70" t="b">
        <f>IF(Tab.11[[#This Row],[a1]]=1,_xlfn.NORM.DIST(Tab.11[[#This Row],[b8]],$P$1,$Q$1,FALSE))</f>
        <v>0</v>
      </c>
      <c r="P837" s="70" t="b">
        <f>IF(Tab.11[[#This Row],[a1]]=1,_xlfn.NORM.DIST(Tab.11[[#This Row],[b9]],$P$1,$Q$1,FALSE))</f>
        <v>0</v>
      </c>
      <c r="Q837" s="70" t="b">
        <f>IF(Tab.11[[#This Row],[a1]]=1,_xlfn.NORM.DIST(Tab.11[[#This Row],[b10]],$P$1,$Q$1,FALSE))</f>
        <v>0</v>
      </c>
      <c r="R837" s="67" t="b">
        <f>IF(Tab.11[[#This Row],[a1]]=1,$I$3+$A$989+IF($K$3=0,Tab.11[[#This Row],[b8]]*_xlfn.STDEV.P(Tab.11[data]),AVERAGE(Tab.11[b6])+Tab.11[[#This Row],[b8]]*_xlfn.STDEV.P(Tab.11[data])))</f>
        <v>0</v>
      </c>
      <c r="S837" s="71" t="b">
        <f>IF(Tab.11[[#This Row],[a1]]=1,$I$3+$A$987+IF($K$3=0,Tab.11[[#This Row],[b9]]*_xlfn.STDEV.P(Tab.11[data]),AVERAGE(Tab.11[b6])+Tab.11[[#This Row],[b9]]*_xlfn.STDEV.P(Tab.11[data])))</f>
        <v>0</v>
      </c>
      <c r="T837" s="71" t="b">
        <f>IF(Tab.11[[#This Row],[a1]]=1,$I$3+$A$988+IF($K$3=0,Tab.11[[#This Row],[b10]]*_xlfn.STDEV.P(Tab.11[data]),AVERAGE(Tab.11[b6])+Tab.11[[#This Row],[b10]]*_xlfn.STDEV.P(Tab.11[data])))</f>
        <v>0</v>
      </c>
      <c r="U837" s="72" t="b">
        <f>IF(Tab.11[[#This Row],[a1]]=1,Tab.11[[#This Row],[target]]-Tab.11[[#This Row],[Red]])</f>
        <v>0</v>
      </c>
      <c r="V837" s="72" t="b">
        <f>IF(Tab.11[[#This Row],[a1]]=1,Tab.11[[#This Row],[target]]-Tab.11[[#This Row],[Blue]])</f>
        <v>0</v>
      </c>
      <c r="W837" s="73" t="b">
        <f>IF(Tab.11[[#This Row],[a1]]=1,IF(ABS(Tab.11[[#This Row],[b17]])+ABS(Tab.11[[#This Row],[b18]])&lt;$W$2,$W$2,ABS(Tab.11[[#This Row],[b17]])+ABS(Tab.11[[#This Row],[b18]])))</f>
        <v>0</v>
      </c>
      <c r="X837" s="136" t="b">
        <f>IF(Tab.11[[#This Row],[a1]]=1,IF($W$3&lt;0,Tab.11[[#This Row],[IN]]-$I$3,Tab.11[[#This Row],[IN]]))</f>
        <v>0</v>
      </c>
      <c r="Y837" s="136" t="b">
        <f>IF(Tab.11[[#This Row],[a1]]=1,IF($X$3=0,Tab.11[b66],Tab.11[[#This Row],[b66]]-AVERAGE(Tab.11[b66])))</f>
        <v>0</v>
      </c>
      <c r="Z837" s="135" t="b">
        <f>IF(Tab.11[[#This Row],[a1]]=1,Tab.11[[#This Row],[b77]]/(_xlfn.STDEV.P(Tab.11[b77])))</f>
        <v>0</v>
      </c>
      <c r="AA837" s="70" t="b">
        <f>IF(Tab.11[[#This Row],[a1]]=1,_xlfn.NORM.DIST(Tab.11[[#This Row],[b88]],$Z$1,$AA$1,FALSE))</f>
        <v>0</v>
      </c>
      <c r="AB837" s="74" t="b">
        <f>IF(Tab.11[[#This Row],[a1]]=1,IF($A$3=0,FALSE,1/Tab.11[[#This Row],[IN]]*$AC$2*IF(Tab.11[[#This Row],[a1]]=0,,$A$3*$AC$1*1/$V$3*(Tab.11[[#This Row],[b14]]))))</f>
        <v>0</v>
      </c>
      <c r="AC837" s="75" t="b">
        <f>IF(Tab.11[[#This Row],[a1]]=1,IF($AC$3=0,Tab.11[[#This Row],[φ1]],Tab.11[[#This Row],[φ1]]/MAX(Tab.11[φ1])))</f>
        <v>0</v>
      </c>
      <c r="AD837" s="74" t="b">
        <f>IF(Tab.11[[#This Row],[a1]]=1,1/Tab.11[[#This Row],[φ2]])</f>
        <v>0</v>
      </c>
      <c r="AE837" s="74" t="b">
        <f>IF(Tab.11[[#This Row],[a1]]=1,IF($AE$3=0,Tab.11[[#This Row],[w.0]],Tab.11[[#This Row],[w.0]]/SUM(Tab.11[w.0])))</f>
        <v>0</v>
      </c>
      <c r="AF837" s="76" t="str">
        <f>IF(Tab.11[[#This Row],[a1]]=0,"false",[3]!Tab.x5[[#This Row],[%_seN_C]])</f>
        <v>false</v>
      </c>
      <c r="AG837" s="77" t="b">
        <f>IF(Tab.11[[#This Row],[a1]]=1,AP837)</f>
        <v>0</v>
      </c>
      <c r="AH837" s="78" t="b">
        <f>IF(Tab.11[[#This Row],[a1]]=1,AQ837)</f>
        <v>0</v>
      </c>
      <c r="AI837" s="41">
        <v>3.0000000000000001E-3</v>
      </c>
      <c r="AJ837" s="79">
        <v>-0.03</v>
      </c>
      <c r="AK837" s="80" t="b">
        <f>IF(Tab.11[[#This Row],[a1]]=1,1)</f>
        <v>0</v>
      </c>
      <c r="AL837"/>
      <c r="AM837"/>
      <c r="AN837"/>
      <c r="AO837"/>
      <c r="AP837"/>
      <c r="AQ837"/>
      <c r="AR837"/>
      <c r="AS837"/>
    </row>
    <row r="838" spans="1:45" s="81" customFormat="1" hidden="1" x14ac:dyDescent="0.25">
      <c r="A838" s="61">
        <f t="shared" si="27"/>
        <v>0</v>
      </c>
      <c r="B838" s="62">
        <f t="shared" si="27"/>
        <v>0</v>
      </c>
      <c r="C838" s="62" t="b">
        <f>IF(Tab.11[[#This Row],[a1]]=1,[3]!Tab_x1[[#This Row],[Name]])</f>
        <v>0</v>
      </c>
      <c r="D838" s="63" t="b">
        <f>IF(Tab.11[[#This Row],[a1]]=1,AO838)</f>
        <v>0</v>
      </c>
      <c r="E838" s="63">
        <f t="shared" si="28"/>
        <v>0</v>
      </c>
      <c r="F838" s="64" t="b">
        <f>IF(Tab.11[[#This Row],[a1]]=1,Tab.11[[#This Row],[b1]])</f>
        <v>0</v>
      </c>
      <c r="G838" s="65" t="b">
        <f>IF(Tab.11[[#This Row],[a1]]=1,IF(Tab.11[[#This Row],[b3]]&gt;$L$989*$G$3,$L$989*$G$3,IF(Tab.11[[#This Row],[b3]]&lt;$M$989*$G$3,$M$989*$G$3,Tab.11[[#This Row],[b3]])))</f>
        <v>0</v>
      </c>
      <c r="H838" s="66" t="b">
        <f>IF(Tab.11[[#This Row],[a1]]=1,Tab.11[[#This Row],[b1]])</f>
        <v>0</v>
      </c>
      <c r="I838" s="67" t="b">
        <f>IF(Tab.11[[#This Row],[a1]]=1,Tab.11[[#This Row],[b1]])</f>
        <v>0</v>
      </c>
      <c r="J838" s="68" t="b">
        <f>IF(Tab.11[[#This Row],[a1]]=1,IF($I$3&lt;0,Tab.11[[#This Row],[b5]]-$I$3,Tab.11[[#This Row],[b5]]))</f>
        <v>0</v>
      </c>
      <c r="K838" s="68" t="b">
        <f>IF(Tab.11[[#This Row],[a1]]=1,IF($K$3=0,Tab.11[b6],Tab.11[[#This Row],[b6]]-AVERAGE(Tab.11[b6])))</f>
        <v>0</v>
      </c>
      <c r="L838" s="69" t="b">
        <f>IF(Tab.11[[#This Row],[a1]]=1,Tab.11[[#This Row],[data]]/(_xlfn.STDEV.P(Tab.11[data])*$B$989)+$A$989)</f>
        <v>0</v>
      </c>
      <c r="M838" s="69" t="b">
        <f>IF(Tab.11[[#This Row],[a1]]=1,Tab.11[[#This Row],[data]]/(_xlfn.STDEV.P(Tab.11[data])*$B$987)-$A$987)</f>
        <v>0</v>
      </c>
      <c r="N838" s="69" t="b">
        <f>IF(Tab.11[[#This Row],[a1]]=1,Tab.11[[#This Row],[data]]/(_xlfn.STDEV.P(Tab.11[data])*$B$988)+$A$988)</f>
        <v>0</v>
      </c>
      <c r="O838" s="70" t="b">
        <f>IF(Tab.11[[#This Row],[a1]]=1,_xlfn.NORM.DIST(Tab.11[[#This Row],[b8]],$P$1,$Q$1,FALSE))</f>
        <v>0</v>
      </c>
      <c r="P838" s="70" t="b">
        <f>IF(Tab.11[[#This Row],[a1]]=1,_xlfn.NORM.DIST(Tab.11[[#This Row],[b9]],$P$1,$Q$1,FALSE))</f>
        <v>0</v>
      </c>
      <c r="Q838" s="70" t="b">
        <f>IF(Tab.11[[#This Row],[a1]]=1,_xlfn.NORM.DIST(Tab.11[[#This Row],[b10]],$P$1,$Q$1,FALSE))</f>
        <v>0</v>
      </c>
      <c r="R838" s="67" t="b">
        <f>IF(Tab.11[[#This Row],[a1]]=1,$I$3+$A$989+IF($K$3=0,Tab.11[[#This Row],[b8]]*_xlfn.STDEV.P(Tab.11[data]),AVERAGE(Tab.11[b6])+Tab.11[[#This Row],[b8]]*_xlfn.STDEV.P(Tab.11[data])))</f>
        <v>0</v>
      </c>
      <c r="S838" s="71" t="b">
        <f>IF(Tab.11[[#This Row],[a1]]=1,$I$3+$A$987+IF($K$3=0,Tab.11[[#This Row],[b9]]*_xlfn.STDEV.P(Tab.11[data]),AVERAGE(Tab.11[b6])+Tab.11[[#This Row],[b9]]*_xlfn.STDEV.P(Tab.11[data])))</f>
        <v>0</v>
      </c>
      <c r="T838" s="71" t="b">
        <f>IF(Tab.11[[#This Row],[a1]]=1,$I$3+$A$988+IF($K$3=0,Tab.11[[#This Row],[b10]]*_xlfn.STDEV.P(Tab.11[data]),AVERAGE(Tab.11[b6])+Tab.11[[#This Row],[b10]]*_xlfn.STDEV.P(Tab.11[data])))</f>
        <v>0</v>
      </c>
      <c r="U838" s="72" t="b">
        <f>IF(Tab.11[[#This Row],[a1]]=1,Tab.11[[#This Row],[target]]-Tab.11[[#This Row],[Red]])</f>
        <v>0</v>
      </c>
      <c r="V838" s="72" t="b">
        <f>IF(Tab.11[[#This Row],[a1]]=1,Tab.11[[#This Row],[target]]-Tab.11[[#This Row],[Blue]])</f>
        <v>0</v>
      </c>
      <c r="W838" s="73" t="b">
        <f>IF(Tab.11[[#This Row],[a1]]=1,IF(ABS(Tab.11[[#This Row],[b17]])+ABS(Tab.11[[#This Row],[b18]])&lt;$W$2,$W$2,ABS(Tab.11[[#This Row],[b17]])+ABS(Tab.11[[#This Row],[b18]])))</f>
        <v>0</v>
      </c>
      <c r="X838" s="136" t="b">
        <f>IF(Tab.11[[#This Row],[a1]]=1,IF($W$3&lt;0,Tab.11[[#This Row],[IN]]-$I$3,Tab.11[[#This Row],[IN]]))</f>
        <v>0</v>
      </c>
      <c r="Y838" s="136" t="b">
        <f>IF(Tab.11[[#This Row],[a1]]=1,IF($X$3=0,Tab.11[b66],Tab.11[[#This Row],[b66]]-AVERAGE(Tab.11[b66])))</f>
        <v>0</v>
      </c>
      <c r="Z838" s="135" t="b">
        <f>IF(Tab.11[[#This Row],[a1]]=1,Tab.11[[#This Row],[b77]]/(_xlfn.STDEV.P(Tab.11[b77])))</f>
        <v>0</v>
      </c>
      <c r="AA838" s="70" t="b">
        <f>IF(Tab.11[[#This Row],[a1]]=1,_xlfn.NORM.DIST(Tab.11[[#This Row],[b88]],$Z$1,$AA$1,FALSE))</f>
        <v>0</v>
      </c>
      <c r="AB838" s="74" t="b">
        <f>IF(Tab.11[[#This Row],[a1]]=1,IF($A$3=0,FALSE,1/Tab.11[[#This Row],[IN]]*$AC$2*IF(Tab.11[[#This Row],[a1]]=0,,$A$3*$AC$1*1/$V$3*(Tab.11[[#This Row],[b14]]))))</f>
        <v>0</v>
      </c>
      <c r="AC838" s="75" t="b">
        <f>IF(Tab.11[[#This Row],[a1]]=1,IF($AC$3=0,Tab.11[[#This Row],[φ1]],Tab.11[[#This Row],[φ1]]/MAX(Tab.11[φ1])))</f>
        <v>0</v>
      </c>
      <c r="AD838" s="74" t="b">
        <f>IF(Tab.11[[#This Row],[a1]]=1,1/Tab.11[[#This Row],[φ2]])</f>
        <v>0</v>
      </c>
      <c r="AE838" s="74" t="b">
        <f>IF(Tab.11[[#This Row],[a1]]=1,IF($AE$3=0,Tab.11[[#This Row],[w.0]],Tab.11[[#This Row],[w.0]]/SUM(Tab.11[w.0])))</f>
        <v>0</v>
      </c>
      <c r="AF838" s="76" t="str">
        <f>IF(Tab.11[[#This Row],[a1]]=0,"false",[3]!Tab.x5[[#This Row],[%_seN_C]])</f>
        <v>false</v>
      </c>
      <c r="AG838" s="77" t="b">
        <f>IF(Tab.11[[#This Row],[a1]]=1,AP838)</f>
        <v>0</v>
      </c>
      <c r="AH838" s="78" t="b">
        <f>IF(Tab.11[[#This Row],[a1]]=1,AQ838)</f>
        <v>0</v>
      </c>
      <c r="AI838" s="41">
        <v>3.0000000000000001E-3</v>
      </c>
      <c r="AJ838" s="79">
        <v>-0.05</v>
      </c>
      <c r="AK838" s="80" t="b">
        <f>IF(Tab.11[[#This Row],[a1]]=1,1)</f>
        <v>0</v>
      </c>
      <c r="AL838"/>
      <c r="AM838"/>
      <c r="AN838"/>
      <c r="AO838"/>
      <c r="AP838"/>
      <c r="AQ838"/>
      <c r="AR838"/>
      <c r="AS838"/>
    </row>
    <row r="839" spans="1:45" s="81" customFormat="1" hidden="1" x14ac:dyDescent="0.25">
      <c r="A839" s="61">
        <f t="shared" si="27"/>
        <v>0</v>
      </c>
      <c r="B839" s="62">
        <f t="shared" si="27"/>
        <v>0</v>
      </c>
      <c r="C839" s="62" t="b">
        <f>IF(Tab.11[[#This Row],[a1]]=1,[3]!Tab_x1[[#This Row],[Name]])</f>
        <v>0</v>
      </c>
      <c r="D839" s="63" t="b">
        <f>IF(Tab.11[[#This Row],[a1]]=1,AO839)</f>
        <v>0</v>
      </c>
      <c r="E839" s="63">
        <f t="shared" si="28"/>
        <v>0</v>
      </c>
      <c r="F839" s="64" t="b">
        <f>IF(Tab.11[[#This Row],[a1]]=1,Tab.11[[#This Row],[b1]])</f>
        <v>0</v>
      </c>
      <c r="G839" s="65" t="b">
        <f>IF(Tab.11[[#This Row],[a1]]=1,IF(Tab.11[[#This Row],[b3]]&gt;$L$989*$G$3,$L$989*$G$3,IF(Tab.11[[#This Row],[b3]]&lt;$M$989*$G$3,$M$989*$G$3,Tab.11[[#This Row],[b3]])))</f>
        <v>0</v>
      </c>
      <c r="H839" s="66" t="b">
        <f>IF(Tab.11[[#This Row],[a1]]=1,Tab.11[[#This Row],[b1]])</f>
        <v>0</v>
      </c>
      <c r="I839" s="67" t="b">
        <f>IF(Tab.11[[#This Row],[a1]]=1,Tab.11[[#This Row],[b1]])</f>
        <v>0</v>
      </c>
      <c r="J839" s="68" t="b">
        <f>IF(Tab.11[[#This Row],[a1]]=1,IF($I$3&lt;0,Tab.11[[#This Row],[b5]]-$I$3,Tab.11[[#This Row],[b5]]))</f>
        <v>0</v>
      </c>
      <c r="K839" s="68" t="b">
        <f>IF(Tab.11[[#This Row],[a1]]=1,IF($K$3=0,Tab.11[b6],Tab.11[[#This Row],[b6]]-AVERAGE(Tab.11[b6])))</f>
        <v>0</v>
      </c>
      <c r="L839" s="69" t="b">
        <f>IF(Tab.11[[#This Row],[a1]]=1,Tab.11[[#This Row],[data]]/(_xlfn.STDEV.P(Tab.11[data])*$B$989)+$A$989)</f>
        <v>0</v>
      </c>
      <c r="M839" s="69" t="b">
        <f>IF(Tab.11[[#This Row],[a1]]=1,Tab.11[[#This Row],[data]]/(_xlfn.STDEV.P(Tab.11[data])*$B$987)-$A$987)</f>
        <v>0</v>
      </c>
      <c r="N839" s="69" t="b">
        <f>IF(Tab.11[[#This Row],[a1]]=1,Tab.11[[#This Row],[data]]/(_xlfn.STDEV.P(Tab.11[data])*$B$988)+$A$988)</f>
        <v>0</v>
      </c>
      <c r="O839" s="70" t="b">
        <f>IF(Tab.11[[#This Row],[a1]]=1,_xlfn.NORM.DIST(Tab.11[[#This Row],[b8]],$P$1,$Q$1,FALSE))</f>
        <v>0</v>
      </c>
      <c r="P839" s="70" t="b">
        <f>IF(Tab.11[[#This Row],[a1]]=1,_xlfn.NORM.DIST(Tab.11[[#This Row],[b9]],$P$1,$Q$1,FALSE))</f>
        <v>0</v>
      </c>
      <c r="Q839" s="70" t="b">
        <f>IF(Tab.11[[#This Row],[a1]]=1,_xlfn.NORM.DIST(Tab.11[[#This Row],[b10]],$P$1,$Q$1,FALSE))</f>
        <v>0</v>
      </c>
      <c r="R839" s="67" t="b">
        <f>IF(Tab.11[[#This Row],[a1]]=1,$I$3+$A$989+IF($K$3=0,Tab.11[[#This Row],[b8]]*_xlfn.STDEV.P(Tab.11[data]),AVERAGE(Tab.11[b6])+Tab.11[[#This Row],[b8]]*_xlfn.STDEV.P(Tab.11[data])))</f>
        <v>0</v>
      </c>
      <c r="S839" s="71" t="b">
        <f>IF(Tab.11[[#This Row],[a1]]=1,$I$3+$A$987+IF($K$3=0,Tab.11[[#This Row],[b9]]*_xlfn.STDEV.P(Tab.11[data]),AVERAGE(Tab.11[b6])+Tab.11[[#This Row],[b9]]*_xlfn.STDEV.P(Tab.11[data])))</f>
        <v>0</v>
      </c>
      <c r="T839" s="71" t="b">
        <f>IF(Tab.11[[#This Row],[a1]]=1,$I$3+$A$988+IF($K$3=0,Tab.11[[#This Row],[b10]]*_xlfn.STDEV.P(Tab.11[data]),AVERAGE(Tab.11[b6])+Tab.11[[#This Row],[b10]]*_xlfn.STDEV.P(Tab.11[data])))</f>
        <v>0</v>
      </c>
      <c r="U839" s="72" t="b">
        <f>IF(Tab.11[[#This Row],[a1]]=1,Tab.11[[#This Row],[target]]-Tab.11[[#This Row],[Red]])</f>
        <v>0</v>
      </c>
      <c r="V839" s="72" t="b">
        <f>IF(Tab.11[[#This Row],[a1]]=1,Tab.11[[#This Row],[target]]-Tab.11[[#This Row],[Blue]])</f>
        <v>0</v>
      </c>
      <c r="W839" s="73" t="b">
        <f>IF(Tab.11[[#This Row],[a1]]=1,IF(ABS(Tab.11[[#This Row],[b17]])+ABS(Tab.11[[#This Row],[b18]])&lt;$W$2,$W$2,ABS(Tab.11[[#This Row],[b17]])+ABS(Tab.11[[#This Row],[b18]])))</f>
        <v>0</v>
      </c>
      <c r="X839" s="136" t="b">
        <f>IF(Tab.11[[#This Row],[a1]]=1,IF($W$3&lt;0,Tab.11[[#This Row],[IN]]-$I$3,Tab.11[[#This Row],[IN]]))</f>
        <v>0</v>
      </c>
      <c r="Y839" s="136" t="b">
        <f>IF(Tab.11[[#This Row],[a1]]=1,IF($X$3=0,Tab.11[b66],Tab.11[[#This Row],[b66]]-AVERAGE(Tab.11[b66])))</f>
        <v>0</v>
      </c>
      <c r="Z839" s="135" t="b">
        <f>IF(Tab.11[[#This Row],[a1]]=1,Tab.11[[#This Row],[b77]]/(_xlfn.STDEV.P(Tab.11[b77])))</f>
        <v>0</v>
      </c>
      <c r="AA839" s="70" t="b">
        <f>IF(Tab.11[[#This Row],[a1]]=1,_xlfn.NORM.DIST(Tab.11[[#This Row],[b88]],$Z$1,$AA$1,FALSE))</f>
        <v>0</v>
      </c>
      <c r="AB839" s="74" t="b">
        <f>IF(Tab.11[[#This Row],[a1]]=1,IF($A$3=0,FALSE,1/Tab.11[[#This Row],[IN]]*$AC$2*IF(Tab.11[[#This Row],[a1]]=0,,$A$3*$AC$1*1/$V$3*(Tab.11[[#This Row],[b14]]))))</f>
        <v>0</v>
      </c>
      <c r="AC839" s="75" t="b">
        <f>IF(Tab.11[[#This Row],[a1]]=1,IF($AC$3=0,Tab.11[[#This Row],[φ1]],Tab.11[[#This Row],[φ1]]/MAX(Tab.11[φ1])))</f>
        <v>0</v>
      </c>
      <c r="AD839" s="74" t="b">
        <f>IF(Tab.11[[#This Row],[a1]]=1,1/Tab.11[[#This Row],[φ2]])</f>
        <v>0</v>
      </c>
      <c r="AE839" s="74" t="b">
        <f>IF(Tab.11[[#This Row],[a1]]=1,IF($AE$3=0,Tab.11[[#This Row],[w.0]],Tab.11[[#This Row],[w.0]]/SUM(Tab.11[w.0])))</f>
        <v>0</v>
      </c>
      <c r="AF839" s="76" t="str">
        <f>IF(Tab.11[[#This Row],[a1]]=0,"false",[3]!Tab.x5[[#This Row],[%_seN_C]])</f>
        <v>false</v>
      </c>
      <c r="AG839" s="77" t="b">
        <f>IF(Tab.11[[#This Row],[a1]]=1,AP839)</f>
        <v>0</v>
      </c>
      <c r="AH839" s="78" t="b">
        <f>IF(Tab.11[[#This Row],[a1]]=1,AQ839)</f>
        <v>0</v>
      </c>
      <c r="AI839" s="41">
        <v>3.0000000000000001E-3</v>
      </c>
      <c r="AJ839" s="79">
        <v>0</v>
      </c>
      <c r="AK839" s="80" t="b">
        <f>IF(Tab.11[[#This Row],[a1]]=1,1)</f>
        <v>0</v>
      </c>
      <c r="AL839"/>
      <c r="AM839"/>
      <c r="AN839"/>
      <c r="AO839"/>
      <c r="AP839"/>
      <c r="AQ839"/>
      <c r="AR839"/>
      <c r="AS839"/>
    </row>
    <row r="840" spans="1:45" s="81" customFormat="1" hidden="1" x14ac:dyDescent="0.25">
      <c r="A840" s="61">
        <f t="shared" si="27"/>
        <v>0</v>
      </c>
      <c r="B840" s="62">
        <f t="shared" si="27"/>
        <v>0</v>
      </c>
      <c r="C840" s="62" t="b">
        <f>IF(Tab.11[[#This Row],[a1]]=1,[3]!Tab_x1[[#This Row],[Name]])</f>
        <v>0</v>
      </c>
      <c r="D840" s="63" t="b">
        <f>IF(Tab.11[[#This Row],[a1]]=1,AO840)</f>
        <v>0</v>
      </c>
      <c r="E840" s="63">
        <f t="shared" si="28"/>
        <v>0</v>
      </c>
      <c r="F840" s="64" t="b">
        <f>IF(Tab.11[[#This Row],[a1]]=1,Tab.11[[#This Row],[b1]])</f>
        <v>0</v>
      </c>
      <c r="G840" s="65" t="b">
        <f>IF(Tab.11[[#This Row],[a1]]=1,IF(Tab.11[[#This Row],[b3]]&gt;$L$989*$G$3,$L$989*$G$3,IF(Tab.11[[#This Row],[b3]]&lt;$M$989*$G$3,$M$989*$G$3,Tab.11[[#This Row],[b3]])))</f>
        <v>0</v>
      </c>
      <c r="H840" s="66" t="b">
        <f>IF(Tab.11[[#This Row],[a1]]=1,Tab.11[[#This Row],[b1]])</f>
        <v>0</v>
      </c>
      <c r="I840" s="67" t="b">
        <f>IF(Tab.11[[#This Row],[a1]]=1,Tab.11[[#This Row],[b1]])</f>
        <v>0</v>
      </c>
      <c r="J840" s="68" t="b">
        <f>IF(Tab.11[[#This Row],[a1]]=1,IF($I$3&lt;0,Tab.11[[#This Row],[b5]]-$I$3,Tab.11[[#This Row],[b5]]))</f>
        <v>0</v>
      </c>
      <c r="K840" s="68" t="b">
        <f>IF(Tab.11[[#This Row],[a1]]=1,IF($K$3=0,Tab.11[b6],Tab.11[[#This Row],[b6]]-AVERAGE(Tab.11[b6])))</f>
        <v>0</v>
      </c>
      <c r="L840" s="69" t="b">
        <f>IF(Tab.11[[#This Row],[a1]]=1,Tab.11[[#This Row],[data]]/(_xlfn.STDEV.P(Tab.11[data])*$B$989)+$A$989)</f>
        <v>0</v>
      </c>
      <c r="M840" s="69" t="b">
        <f>IF(Tab.11[[#This Row],[a1]]=1,Tab.11[[#This Row],[data]]/(_xlfn.STDEV.P(Tab.11[data])*$B$987)-$A$987)</f>
        <v>0</v>
      </c>
      <c r="N840" s="69" t="b">
        <f>IF(Tab.11[[#This Row],[a1]]=1,Tab.11[[#This Row],[data]]/(_xlfn.STDEV.P(Tab.11[data])*$B$988)+$A$988)</f>
        <v>0</v>
      </c>
      <c r="O840" s="70" t="b">
        <f>IF(Tab.11[[#This Row],[a1]]=1,_xlfn.NORM.DIST(Tab.11[[#This Row],[b8]],$P$1,$Q$1,FALSE))</f>
        <v>0</v>
      </c>
      <c r="P840" s="70" t="b">
        <f>IF(Tab.11[[#This Row],[a1]]=1,_xlfn.NORM.DIST(Tab.11[[#This Row],[b9]],$P$1,$Q$1,FALSE))</f>
        <v>0</v>
      </c>
      <c r="Q840" s="70" t="b">
        <f>IF(Tab.11[[#This Row],[a1]]=1,_xlfn.NORM.DIST(Tab.11[[#This Row],[b10]],$P$1,$Q$1,FALSE))</f>
        <v>0</v>
      </c>
      <c r="R840" s="67" t="b">
        <f>IF(Tab.11[[#This Row],[a1]]=1,$I$3+$A$989+IF($K$3=0,Tab.11[[#This Row],[b8]]*_xlfn.STDEV.P(Tab.11[data]),AVERAGE(Tab.11[b6])+Tab.11[[#This Row],[b8]]*_xlfn.STDEV.P(Tab.11[data])))</f>
        <v>0</v>
      </c>
      <c r="S840" s="71" t="b">
        <f>IF(Tab.11[[#This Row],[a1]]=1,$I$3+$A$987+IF($K$3=0,Tab.11[[#This Row],[b9]]*_xlfn.STDEV.P(Tab.11[data]),AVERAGE(Tab.11[b6])+Tab.11[[#This Row],[b9]]*_xlfn.STDEV.P(Tab.11[data])))</f>
        <v>0</v>
      </c>
      <c r="T840" s="71" t="b">
        <f>IF(Tab.11[[#This Row],[a1]]=1,$I$3+$A$988+IF($K$3=0,Tab.11[[#This Row],[b10]]*_xlfn.STDEV.P(Tab.11[data]),AVERAGE(Tab.11[b6])+Tab.11[[#This Row],[b10]]*_xlfn.STDEV.P(Tab.11[data])))</f>
        <v>0</v>
      </c>
      <c r="U840" s="72" t="b">
        <f>IF(Tab.11[[#This Row],[a1]]=1,Tab.11[[#This Row],[target]]-Tab.11[[#This Row],[Red]])</f>
        <v>0</v>
      </c>
      <c r="V840" s="72" t="b">
        <f>IF(Tab.11[[#This Row],[a1]]=1,Tab.11[[#This Row],[target]]-Tab.11[[#This Row],[Blue]])</f>
        <v>0</v>
      </c>
      <c r="W840" s="73" t="b">
        <f>IF(Tab.11[[#This Row],[a1]]=1,IF(ABS(Tab.11[[#This Row],[b17]])+ABS(Tab.11[[#This Row],[b18]])&lt;$W$2,$W$2,ABS(Tab.11[[#This Row],[b17]])+ABS(Tab.11[[#This Row],[b18]])))</f>
        <v>0</v>
      </c>
      <c r="X840" s="136" t="b">
        <f>IF(Tab.11[[#This Row],[a1]]=1,IF($W$3&lt;0,Tab.11[[#This Row],[IN]]-$I$3,Tab.11[[#This Row],[IN]]))</f>
        <v>0</v>
      </c>
      <c r="Y840" s="136" t="b">
        <f>IF(Tab.11[[#This Row],[a1]]=1,IF($X$3=0,Tab.11[b66],Tab.11[[#This Row],[b66]]-AVERAGE(Tab.11[b66])))</f>
        <v>0</v>
      </c>
      <c r="Z840" s="135" t="b">
        <f>IF(Tab.11[[#This Row],[a1]]=1,Tab.11[[#This Row],[b77]]/(_xlfn.STDEV.P(Tab.11[b77])))</f>
        <v>0</v>
      </c>
      <c r="AA840" s="70" t="b">
        <f>IF(Tab.11[[#This Row],[a1]]=1,_xlfn.NORM.DIST(Tab.11[[#This Row],[b88]],$Z$1,$AA$1,FALSE))</f>
        <v>0</v>
      </c>
      <c r="AB840" s="74" t="b">
        <f>IF(Tab.11[[#This Row],[a1]]=1,IF($A$3=0,FALSE,1/Tab.11[[#This Row],[IN]]*$AC$2*IF(Tab.11[[#This Row],[a1]]=0,,$A$3*$AC$1*1/$V$3*(Tab.11[[#This Row],[b14]]))))</f>
        <v>0</v>
      </c>
      <c r="AC840" s="75" t="b">
        <f>IF(Tab.11[[#This Row],[a1]]=1,IF($AC$3=0,Tab.11[[#This Row],[φ1]],Tab.11[[#This Row],[φ1]]/MAX(Tab.11[φ1])))</f>
        <v>0</v>
      </c>
      <c r="AD840" s="74" t="b">
        <f>IF(Tab.11[[#This Row],[a1]]=1,1/Tab.11[[#This Row],[φ2]])</f>
        <v>0</v>
      </c>
      <c r="AE840" s="74" t="b">
        <f>IF(Tab.11[[#This Row],[a1]]=1,IF($AE$3=0,Tab.11[[#This Row],[w.0]],Tab.11[[#This Row],[w.0]]/SUM(Tab.11[w.0])))</f>
        <v>0</v>
      </c>
      <c r="AF840" s="76" t="str">
        <f>IF(Tab.11[[#This Row],[a1]]=0,"false",[3]!Tab.x5[[#This Row],[%_seN_C]])</f>
        <v>false</v>
      </c>
      <c r="AG840" s="77" t="b">
        <f>IF(Tab.11[[#This Row],[a1]]=1,AP840)</f>
        <v>0</v>
      </c>
      <c r="AH840" s="78" t="b">
        <f>IF(Tab.11[[#This Row],[a1]]=1,AQ840)</f>
        <v>0</v>
      </c>
      <c r="AI840" s="41">
        <v>3.0000000000000001E-3</v>
      </c>
      <c r="AJ840" s="79">
        <v>0.04</v>
      </c>
      <c r="AK840" s="80" t="b">
        <f>IF(Tab.11[[#This Row],[a1]]=1,1)</f>
        <v>0</v>
      </c>
      <c r="AL840"/>
      <c r="AM840"/>
      <c r="AN840"/>
      <c r="AO840"/>
      <c r="AP840"/>
      <c r="AQ840"/>
      <c r="AR840"/>
      <c r="AS840"/>
    </row>
    <row r="841" spans="1:45" s="81" customFormat="1" hidden="1" x14ac:dyDescent="0.25">
      <c r="A841" s="61">
        <f t="shared" si="27"/>
        <v>0</v>
      </c>
      <c r="B841" s="62">
        <f t="shared" si="27"/>
        <v>0</v>
      </c>
      <c r="C841" s="62" t="b">
        <f>IF(Tab.11[[#This Row],[a1]]=1,[3]!Tab_x1[[#This Row],[Name]])</f>
        <v>0</v>
      </c>
      <c r="D841" s="63" t="b">
        <f>IF(Tab.11[[#This Row],[a1]]=1,AO841)</f>
        <v>0</v>
      </c>
      <c r="E841" s="63">
        <f t="shared" si="28"/>
        <v>0</v>
      </c>
      <c r="F841" s="64" t="b">
        <f>IF(Tab.11[[#This Row],[a1]]=1,Tab.11[[#This Row],[b1]])</f>
        <v>0</v>
      </c>
      <c r="G841" s="65" t="b">
        <f>IF(Tab.11[[#This Row],[a1]]=1,IF(Tab.11[[#This Row],[b3]]&gt;$L$989*$G$3,$L$989*$G$3,IF(Tab.11[[#This Row],[b3]]&lt;$M$989*$G$3,$M$989*$G$3,Tab.11[[#This Row],[b3]])))</f>
        <v>0</v>
      </c>
      <c r="H841" s="66" t="b">
        <f>IF(Tab.11[[#This Row],[a1]]=1,Tab.11[[#This Row],[b1]])</f>
        <v>0</v>
      </c>
      <c r="I841" s="67" t="b">
        <f>IF(Tab.11[[#This Row],[a1]]=1,Tab.11[[#This Row],[b1]])</f>
        <v>0</v>
      </c>
      <c r="J841" s="68" t="b">
        <f>IF(Tab.11[[#This Row],[a1]]=1,IF($I$3&lt;0,Tab.11[[#This Row],[b5]]-$I$3,Tab.11[[#This Row],[b5]]))</f>
        <v>0</v>
      </c>
      <c r="K841" s="68" t="b">
        <f>IF(Tab.11[[#This Row],[a1]]=1,IF($K$3=0,Tab.11[b6],Tab.11[[#This Row],[b6]]-AVERAGE(Tab.11[b6])))</f>
        <v>0</v>
      </c>
      <c r="L841" s="69" t="b">
        <f>IF(Tab.11[[#This Row],[a1]]=1,Tab.11[[#This Row],[data]]/(_xlfn.STDEV.P(Tab.11[data])*$B$989)+$A$989)</f>
        <v>0</v>
      </c>
      <c r="M841" s="69" t="b">
        <f>IF(Tab.11[[#This Row],[a1]]=1,Tab.11[[#This Row],[data]]/(_xlfn.STDEV.P(Tab.11[data])*$B$987)-$A$987)</f>
        <v>0</v>
      </c>
      <c r="N841" s="69" t="b">
        <f>IF(Tab.11[[#This Row],[a1]]=1,Tab.11[[#This Row],[data]]/(_xlfn.STDEV.P(Tab.11[data])*$B$988)+$A$988)</f>
        <v>0</v>
      </c>
      <c r="O841" s="70" t="b">
        <f>IF(Tab.11[[#This Row],[a1]]=1,_xlfn.NORM.DIST(Tab.11[[#This Row],[b8]],$P$1,$Q$1,FALSE))</f>
        <v>0</v>
      </c>
      <c r="P841" s="70" t="b">
        <f>IF(Tab.11[[#This Row],[a1]]=1,_xlfn.NORM.DIST(Tab.11[[#This Row],[b9]],$P$1,$Q$1,FALSE))</f>
        <v>0</v>
      </c>
      <c r="Q841" s="70" t="b">
        <f>IF(Tab.11[[#This Row],[a1]]=1,_xlfn.NORM.DIST(Tab.11[[#This Row],[b10]],$P$1,$Q$1,FALSE))</f>
        <v>0</v>
      </c>
      <c r="R841" s="67" t="b">
        <f>IF(Tab.11[[#This Row],[a1]]=1,$I$3+$A$989+IF($K$3=0,Tab.11[[#This Row],[b8]]*_xlfn.STDEV.P(Tab.11[data]),AVERAGE(Tab.11[b6])+Tab.11[[#This Row],[b8]]*_xlfn.STDEV.P(Tab.11[data])))</f>
        <v>0</v>
      </c>
      <c r="S841" s="71" t="b">
        <f>IF(Tab.11[[#This Row],[a1]]=1,$I$3+$A$987+IF($K$3=0,Tab.11[[#This Row],[b9]]*_xlfn.STDEV.P(Tab.11[data]),AVERAGE(Tab.11[b6])+Tab.11[[#This Row],[b9]]*_xlfn.STDEV.P(Tab.11[data])))</f>
        <v>0</v>
      </c>
      <c r="T841" s="71" t="b">
        <f>IF(Tab.11[[#This Row],[a1]]=1,$I$3+$A$988+IF($K$3=0,Tab.11[[#This Row],[b10]]*_xlfn.STDEV.P(Tab.11[data]),AVERAGE(Tab.11[b6])+Tab.11[[#This Row],[b10]]*_xlfn.STDEV.P(Tab.11[data])))</f>
        <v>0</v>
      </c>
      <c r="U841" s="72" t="b">
        <f>IF(Tab.11[[#This Row],[a1]]=1,Tab.11[[#This Row],[target]]-Tab.11[[#This Row],[Red]])</f>
        <v>0</v>
      </c>
      <c r="V841" s="72" t="b">
        <f>IF(Tab.11[[#This Row],[a1]]=1,Tab.11[[#This Row],[target]]-Tab.11[[#This Row],[Blue]])</f>
        <v>0</v>
      </c>
      <c r="W841" s="73" t="b">
        <f>IF(Tab.11[[#This Row],[a1]]=1,IF(ABS(Tab.11[[#This Row],[b17]])+ABS(Tab.11[[#This Row],[b18]])&lt;$W$2,$W$2,ABS(Tab.11[[#This Row],[b17]])+ABS(Tab.11[[#This Row],[b18]])))</f>
        <v>0</v>
      </c>
      <c r="X841" s="136" t="b">
        <f>IF(Tab.11[[#This Row],[a1]]=1,IF($W$3&lt;0,Tab.11[[#This Row],[IN]]-$I$3,Tab.11[[#This Row],[IN]]))</f>
        <v>0</v>
      </c>
      <c r="Y841" s="136" t="b">
        <f>IF(Tab.11[[#This Row],[a1]]=1,IF($X$3=0,Tab.11[b66],Tab.11[[#This Row],[b66]]-AVERAGE(Tab.11[b66])))</f>
        <v>0</v>
      </c>
      <c r="Z841" s="135" t="b">
        <f>IF(Tab.11[[#This Row],[a1]]=1,Tab.11[[#This Row],[b77]]/(_xlfn.STDEV.P(Tab.11[b77])))</f>
        <v>0</v>
      </c>
      <c r="AA841" s="70" t="b">
        <f>IF(Tab.11[[#This Row],[a1]]=1,_xlfn.NORM.DIST(Tab.11[[#This Row],[b88]],$Z$1,$AA$1,FALSE))</f>
        <v>0</v>
      </c>
      <c r="AB841" s="74" t="b">
        <f>IF(Tab.11[[#This Row],[a1]]=1,IF($A$3=0,FALSE,1/Tab.11[[#This Row],[IN]]*$AC$2*IF(Tab.11[[#This Row],[a1]]=0,,$A$3*$AC$1*1/$V$3*(Tab.11[[#This Row],[b14]]))))</f>
        <v>0</v>
      </c>
      <c r="AC841" s="75" t="b">
        <f>IF(Tab.11[[#This Row],[a1]]=1,IF($AC$3=0,Tab.11[[#This Row],[φ1]],Tab.11[[#This Row],[φ1]]/MAX(Tab.11[φ1])))</f>
        <v>0</v>
      </c>
      <c r="AD841" s="74" t="b">
        <f>IF(Tab.11[[#This Row],[a1]]=1,1/Tab.11[[#This Row],[φ2]])</f>
        <v>0</v>
      </c>
      <c r="AE841" s="74" t="b">
        <f>IF(Tab.11[[#This Row],[a1]]=1,IF($AE$3=0,Tab.11[[#This Row],[w.0]],Tab.11[[#This Row],[w.0]]/SUM(Tab.11[w.0])))</f>
        <v>0</v>
      </c>
      <c r="AF841" s="76" t="str">
        <f>IF(Tab.11[[#This Row],[a1]]=0,"false",[3]!Tab.x5[[#This Row],[%_seN_C]])</f>
        <v>false</v>
      </c>
      <c r="AG841" s="77" t="b">
        <f>IF(Tab.11[[#This Row],[a1]]=1,AP841)</f>
        <v>0</v>
      </c>
      <c r="AH841" s="78" t="b">
        <f>IF(Tab.11[[#This Row],[a1]]=1,AQ841)</f>
        <v>0</v>
      </c>
      <c r="AI841" s="41">
        <v>3.0000000000000001E-3</v>
      </c>
      <c r="AJ841" s="79">
        <v>0.04</v>
      </c>
      <c r="AK841" s="80" t="b">
        <f>IF(Tab.11[[#This Row],[a1]]=1,1)</f>
        <v>0</v>
      </c>
      <c r="AL841"/>
      <c r="AM841"/>
      <c r="AN841"/>
      <c r="AO841"/>
      <c r="AP841"/>
      <c r="AQ841"/>
      <c r="AR841"/>
      <c r="AS841"/>
    </row>
    <row r="842" spans="1:45" s="81" customFormat="1" hidden="1" x14ac:dyDescent="0.25">
      <c r="A842" s="61">
        <f t="shared" si="27"/>
        <v>0</v>
      </c>
      <c r="B842" s="62">
        <f t="shared" si="27"/>
        <v>0</v>
      </c>
      <c r="C842" s="62" t="b">
        <f>IF(Tab.11[[#This Row],[a1]]=1,[3]!Tab_x1[[#This Row],[Name]])</f>
        <v>0</v>
      </c>
      <c r="D842" s="63" t="b">
        <f>IF(Tab.11[[#This Row],[a1]]=1,AO842)</f>
        <v>0</v>
      </c>
      <c r="E842" s="63">
        <f t="shared" si="28"/>
        <v>0</v>
      </c>
      <c r="F842" s="64" t="b">
        <f>IF(Tab.11[[#This Row],[a1]]=1,Tab.11[[#This Row],[b1]])</f>
        <v>0</v>
      </c>
      <c r="G842" s="65" t="b">
        <f>IF(Tab.11[[#This Row],[a1]]=1,IF(Tab.11[[#This Row],[b3]]&gt;$L$989*$G$3,$L$989*$G$3,IF(Tab.11[[#This Row],[b3]]&lt;$M$989*$G$3,$M$989*$G$3,Tab.11[[#This Row],[b3]])))</f>
        <v>0</v>
      </c>
      <c r="H842" s="66" t="b">
        <f>IF(Tab.11[[#This Row],[a1]]=1,Tab.11[[#This Row],[b1]])</f>
        <v>0</v>
      </c>
      <c r="I842" s="67" t="b">
        <f>IF(Tab.11[[#This Row],[a1]]=1,Tab.11[[#This Row],[b1]])</f>
        <v>0</v>
      </c>
      <c r="J842" s="68" t="b">
        <f>IF(Tab.11[[#This Row],[a1]]=1,IF($I$3&lt;0,Tab.11[[#This Row],[b5]]-$I$3,Tab.11[[#This Row],[b5]]))</f>
        <v>0</v>
      </c>
      <c r="K842" s="68" t="b">
        <f>IF(Tab.11[[#This Row],[a1]]=1,IF($K$3=0,Tab.11[b6],Tab.11[[#This Row],[b6]]-AVERAGE(Tab.11[b6])))</f>
        <v>0</v>
      </c>
      <c r="L842" s="69" t="b">
        <f>IF(Tab.11[[#This Row],[a1]]=1,Tab.11[[#This Row],[data]]/(_xlfn.STDEV.P(Tab.11[data])*$B$989)+$A$989)</f>
        <v>0</v>
      </c>
      <c r="M842" s="69" t="b">
        <f>IF(Tab.11[[#This Row],[a1]]=1,Tab.11[[#This Row],[data]]/(_xlfn.STDEV.P(Tab.11[data])*$B$987)-$A$987)</f>
        <v>0</v>
      </c>
      <c r="N842" s="69" t="b">
        <f>IF(Tab.11[[#This Row],[a1]]=1,Tab.11[[#This Row],[data]]/(_xlfn.STDEV.P(Tab.11[data])*$B$988)+$A$988)</f>
        <v>0</v>
      </c>
      <c r="O842" s="70" t="b">
        <f>IF(Tab.11[[#This Row],[a1]]=1,_xlfn.NORM.DIST(Tab.11[[#This Row],[b8]],$P$1,$Q$1,FALSE))</f>
        <v>0</v>
      </c>
      <c r="P842" s="70" t="b">
        <f>IF(Tab.11[[#This Row],[a1]]=1,_xlfn.NORM.DIST(Tab.11[[#This Row],[b9]],$P$1,$Q$1,FALSE))</f>
        <v>0</v>
      </c>
      <c r="Q842" s="70" t="b">
        <f>IF(Tab.11[[#This Row],[a1]]=1,_xlfn.NORM.DIST(Tab.11[[#This Row],[b10]],$P$1,$Q$1,FALSE))</f>
        <v>0</v>
      </c>
      <c r="R842" s="67" t="b">
        <f>IF(Tab.11[[#This Row],[a1]]=1,$I$3+$A$989+IF($K$3=0,Tab.11[[#This Row],[b8]]*_xlfn.STDEV.P(Tab.11[data]),AVERAGE(Tab.11[b6])+Tab.11[[#This Row],[b8]]*_xlfn.STDEV.P(Tab.11[data])))</f>
        <v>0</v>
      </c>
      <c r="S842" s="71" t="b">
        <f>IF(Tab.11[[#This Row],[a1]]=1,$I$3+$A$987+IF($K$3=0,Tab.11[[#This Row],[b9]]*_xlfn.STDEV.P(Tab.11[data]),AVERAGE(Tab.11[b6])+Tab.11[[#This Row],[b9]]*_xlfn.STDEV.P(Tab.11[data])))</f>
        <v>0</v>
      </c>
      <c r="T842" s="71" t="b">
        <f>IF(Tab.11[[#This Row],[a1]]=1,$I$3+$A$988+IF($K$3=0,Tab.11[[#This Row],[b10]]*_xlfn.STDEV.P(Tab.11[data]),AVERAGE(Tab.11[b6])+Tab.11[[#This Row],[b10]]*_xlfn.STDEV.P(Tab.11[data])))</f>
        <v>0</v>
      </c>
      <c r="U842" s="72" t="b">
        <f>IF(Tab.11[[#This Row],[a1]]=1,Tab.11[[#This Row],[target]]-Tab.11[[#This Row],[Red]])</f>
        <v>0</v>
      </c>
      <c r="V842" s="72" t="b">
        <f>IF(Tab.11[[#This Row],[a1]]=1,Tab.11[[#This Row],[target]]-Tab.11[[#This Row],[Blue]])</f>
        <v>0</v>
      </c>
      <c r="W842" s="73" t="b">
        <f>IF(Tab.11[[#This Row],[a1]]=1,IF(ABS(Tab.11[[#This Row],[b17]])+ABS(Tab.11[[#This Row],[b18]])&lt;$W$2,$W$2,ABS(Tab.11[[#This Row],[b17]])+ABS(Tab.11[[#This Row],[b18]])))</f>
        <v>0</v>
      </c>
      <c r="X842" s="136" t="b">
        <f>IF(Tab.11[[#This Row],[a1]]=1,IF($W$3&lt;0,Tab.11[[#This Row],[IN]]-$I$3,Tab.11[[#This Row],[IN]]))</f>
        <v>0</v>
      </c>
      <c r="Y842" s="136" t="b">
        <f>IF(Tab.11[[#This Row],[a1]]=1,IF($X$3=0,Tab.11[b66],Tab.11[[#This Row],[b66]]-AVERAGE(Tab.11[b66])))</f>
        <v>0</v>
      </c>
      <c r="Z842" s="135" t="b">
        <f>IF(Tab.11[[#This Row],[a1]]=1,Tab.11[[#This Row],[b77]]/(_xlfn.STDEV.P(Tab.11[b77])))</f>
        <v>0</v>
      </c>
      <c r="AA842" s="70" t="b">
        <f>IF(Tab.11[[#This Row],[a1]]=1,_xlfn.NORM.DIST(Tab.11[[#This Row],[b88]],$Z$1,$AA$1,FALSE))</f>
        <v>0</v>
      </c>
      <c r="AB842" s="74" t="b">
        <f>IF(Tab.11[[#This Row],[a1]]=1,IF($A$3=0,FALSE,1/Tab.11[[#This Row],[IN]]*$AC$2*IF(Tab.11[[#This Row],[a1]]=0,,$A$3*$AC$1*1/$V$3*(Tab.11[[#This Row],[b14]]))))</f>
        <v>0</v>
      </c>
      <c r="AC842" s="75" t="b">
        <f>IF(Tab.11[[#This Row],[a1]]=1,IF($AC$3=0,Tab.11[[#This Row],[φ1]],Tab.11[[#This Row],[φ1]]/MAX(Tab.11[φ1])))</f>
        <v>0</v>
      </c>
      <c r="AD842" s="74" t="b">
        <f>IF(Tab.11[[#This Row],[a1]]=1,1/Tab.11[[#This Row],[φ2]])</f>
        <v>0</v>
      </c>
      <c r="AE842" s="74" t="b">
        <f>IF(Tab.11[[#This Row],[a1]]=1,IF($AE$3=0,Tab.11[[#This Row],[w.0]],Tab.11[[#This Row],[w.0]]/SUM(Tab.11[w.0])))</f>
        <v>0</v>
      </c>
      <c r="AF842" s="76" t="str">
        <f>IF(Tab.11[[#This Row],[a1]]=0,"false",[3]!Tab.x5[[#This Row],[%_seN_C]])</f>
        <v>false</v>
      </c>
      <c r="AG842" s="77" t="b">
        <f>IF(Tab.11[[#This Row],[a1]]=1,AP842)</f>
        <v>0</v>
      </c>
      <c r="AH842" s="78" t="b">
        <f>IF(Tab.11[[#This Row],[a1]]=1,AQ842)</f>
        <v>0</v>
      </c>
      <c r="AI842" s="41">
        <v>3.0000000000000001E-3</v>
      </c>
      <c r="AJ842" s="79">
        <v>-0.04</v>
      </c>
      <c r="AK842" s="80" t="b">
        <f>IF(Tab.11[[#This Row],[a1]]=1,1)</f>
        <v>0</v>
      </c>
      <c r="AL842"/>
      <c r="AM842"/>
      <c r="AN842"/>
      <c r="AO842"/>
      <c r="AP842"/>
      <c r="AQ842"/>
      <c r="AR842"/>
      <c r="AS842"/>
    </row>
    <row r="843" spans="1:45" s="81" customFormat="1" hidden="1" x14ac:dyDescent="0.25">
      <c r="A843" s="61">
        <f t="shared" si="27"/>
        <v>0</v>
      </c>
      <c r="B843" s="62">
        <f t="shared" si="27"/>
        <v>0</v>
      </c>
      <c r="C843" s="62" t="b">
        <f>IF(Tab.11[[#This Row],[a1]]=1,[3]!Tab_x1[[#This Row],[Name]])</f>
        <v>0</v>
      </c>
      <c r="D843" s="63" t="b">
        <f>IF(Tab.11[[#This Row],[a1]]=1,AO843)</f>
        <v>0</v>
      </c>
      <c r="E843" s="63">
        <f t="shared" si="28"/>
        <v>0</v>
      </c>
      <c r="F843" s="64" t="b">
        <f>IF(Tab.11[[#This Row],[a1]]=1,Tab.11[[#This Row],[b1]])</f>
        <v>0</v>
      </c>
      <c r="G843" s="65" t="b">
        <f>IF(Tab.11[[#This Row],[a1]]=1,IF(Tab.11[[#This Row],[b3]]&gt;$L$989*$G$3,$L$989*$G$3,IF(Tab.11[[#This Row],[b3]]&lt;$M$989*$G$3,$M$989*$G$3,Tab.11[[#This Row],[b3]])))</f>
        <v>0</v>
      </c>
      <c r="H843" s="66" t="b">
        <f>IF(Tab.11[[#This Row],[a1]]=1,Tab.11[[#This Row],[b1]])</f>
        <v>0</v>
      </c>
      <c r="I843" s="67" t="b">
        <f>IF(Tab.11[[#This Row],[a1]]=1,Tab.11[[#This Row],[b1]])</f>
        <v>0</v>
      </c>
      <c r="J843" s="68" t="b">
        <f>IF(Tab.11[[#This Row],[a1]]=1,IF($I$3&lt;0,Tab.11[[#This Row],[b5]]-$I$3,Tab.11[[#This Row],[b5]]))</f>
        <v>0</v>
      </c>
      <c r="K843" s="68" t="b">
        <f>IF(Tab.11[[#This Row],[a1]]=1,IF($K$3=0,Tab.11[b6],Tab.11[[#This Row],[b6]]-AVERAGE(Tab.11[b6])))</f>
        <v>0</v>
      </c>
      <c r="L843" s="69" t="b">
        <f>IF(Tab.11[[#This Row],[a1]]=1,Tab.11[[#This Row],[data]]/(_xlfn.STDEV.P(Tab.11[data])*$B$989)+$A$989)</f>
        <v>0</v>
      </c>
      <c r="M843" s="69" t="b">
        <f>IF(Tab.11[[#This Row],[a1]]=1,Tab.11[[#This Row],[data]]/(_xlfn.STDEV.P(Tab.11[data])*$B$987)-$A$987)</f>
        <v>0</v>
      </c>
      <c r="N843" s="69" t="b">
        <f>IF(Tab.11[[#This Row],[a1]]=1,Tab.11[[#This Row],[data]]/(_xlfn.STDEV.P(Tab.11[data])*$B$988)+$A$988)</f>
        <v>0</v>
      </c>
      <c r="O843" s="70" t="b">
        <f>IF(Tab.11[[#This Row],[a1]]=1,_xlfn.NORM.DIST(Tab.11[[#This Row],[b8]],$P$1,$Q$1,FALSE))</f>
        <v>0</v>
      </c>
      <c r="P843" s="70" t="b">
        <f>IF(Tab.11[[#This Row],[a1]]=1,_xlfn.NORM.DIST(Tab.11[[#This Row],[b9]],$P$1,$Q$1,FALSE))</f>
        <v>0</v>
      </c>
      <c r="Q843" s="70" t="b">
        <f>IF(Tab.11[[#This Row],[a1]]=1,_xlfn.NORM.DIST(Tab.11[[#This Row],[b10]],$P$1,$Q$1,FALSE))</f>
        <v>0</v>
      </c>
      <c r="R843" s="67" t="b">
        <f>IF(Tab.11[[#This Row],[a1]]=1,$I$3+$A$989+IF($K$3=0,Tab.11[[#This Row],[b8]]*_xlfn.STDEV.P(Tab.11[data]),AVERAGE(Tab.11[b6])+Tab.11[[#This Row],[b8]]*_xlfn.STDEV.P(Tab.11[data])))</f>
        <v>0</v>
      </c>
      <c r="S843" s="71" t="b">
        <f>IF(Tab.11[[#This Row],[a1]]=1,$I$3+$A$987+IF($K$3=0,Tab.11[[#This Row],[b9]]*_xlfn.STDEV.P(Tab.11[data]),AVERAGE(Tab.11[b6])+Tab.11[[#This Row],[b9]]*_xlfn.STDEV.P(Tab.11[data])))</f>
        <v>0</v>
      </c>
      <c r="T843" s="71" t="b">
        <f>IF(Tab.11[[#This Row],[a1]]=1,$I$3+$A$988+IF($K$3=0,Tab.11[[#This Row],[b10]]*_xlfn.STDEV.P(Tab.11[data]),AVERAGE(Tab.11[b6])+Tab.11[[#This Row],[b10]]*_xlfn.STDEV.P(Tab.11[data])))</f>
        <v>0</v>
      </c>
      <c r="U843" s="72" t="b">
        <f>IF(Tab.11[[#This Row],[a1]]=1,Tab.11[[#This Row],[target]]-Tab.11[[#This Row],[Red]])</f>
        <v>0</v>
      </c>
      <c r="V843" s="72" t="b">
        <f>IF(Tab.11[[#This Row],[a1]]=1,Tab.11[[#This Row],[target]]-Tab.11[[#This Row],[Blue]])</f>
        <v>0</v>
      </c>
      <c r="W843" s="73" t="b">
        <f>IF(Tab.11[[#This Row],[a1]]=1,IF(ABS(Tab.11[[#This Row],[b17]])+ABS(Tab.11[[#This Row],[b18]])&lt;$W$2,$W$2,ABS(Tab.11[[#This Row],[b17]])+ABS(Tab.11[[#This Row],[b18]])))</f>
        <v>0</v>
      </c>
      <c r="X843" s="136" t="b">
        <f>IF(Tab.11[[#This Row],[a1]]=1,IF($W$3&lt;0,Tab.11[[#This Row],[IN]]-$I$3,Tab.11[[#This Row],[IN]]))</f>
        <v>0</v>
      </c>
      <c r="Y843" s="136" t="b">
        <f>IF(Tab.11[[#This Row],[a1]]=1,IF($X$3=0,Tab.11[b66],Tab.11[[#This Row],[b66]]-AVERAGE(Tab.11[b66])))</f>
        <v>0</v>
      </c>
      <c r="Z843" s="135" t="b">
        <f>IF(Tab.11[[#This Row],[a1]]=1,Tab.11[[#This Row],[b77]]/(_xlfn.STDEV.P(Tab.11[b77])))</f>
        <v>0</v>
      </c>
      <c r="AA843" s="70" t="b">
        <f>IF(Tab.11[[#This Row],[a1]]=1,_xlfn.NORM.DIST(Tab.11[[#This Row],[b88]],$Z$1,$AA$1,FALSE))</f>
        <v>0</v>
      </c>
      <c r="AB843" s="74" t="b">
        <f>IF(Tab.11[[#This Row],[a1]]=1,IF($A$3=0,FALSE,1/Tab.11[[#This Row],[IN]]*$AC$2*IF(Tab.11[[#This Row],[a1]]=0,,$A$3*$AC$1*1/$V$3*(Tab.11[[#This Row],[b14]]))))</f>
        <v>0</v>
      </c>
      <c r="AC843" s="75" t="b">
        <f>IF(Tab.11[[#This Row],[a1]]=1,IF($AC$3=0,Tab.11[[#This Row],[φ1]],Tab.11[[#This Row],[φ1]]/MAX(Tab.11[φ1])))</f>
        <v>0</v>
      </c>
      <c r="AD843" s="74" t="b">
        <f>IF(Tab.11[[#This Row],[a1]]=1,1/Tab.11[[#This Row],[φ2]])</f>
        <v>0</v>
      </c>
      <c r="AE843" s="74" t="b">
        <f>IF(Tab.11[[#This Row],[a1]]=1,IF($AE$3=0,Tab.11[[#This Row],[w.0]],Tab.11[[#This Row],[w.0]]/SUM(Tab.11[w.0])))</f>
        <v>0</v>
      </c>
      <c r="AF843" s="76" t="str">
        <f>IF(Tab.11[[#This Row],[a1]]=0,"false",[3]!Tab.x5[[#This Row],[%_seN_C]])</f>
        <v>false</v>
      </c>
      <c r="AG843" s="77" t="b">
        <f>IF(Tab.11[[#This Row],[a1]]=1,AP843)</f>
        <v>0</v>
      </c>
      <c r="AH843" s="78" t="b">
        <f>IF(Tab.11[[#This Row],[a1]]=1,AQ843)</f>
        <v>0</v>
      </c>
      <c r="AI843" s="41">
        <v>3.0000000000000001E-3</v>
      </c>
      <c r="AJ843" s="79">
        <v>-0.04</v>
      </c>
      <c r="AK843" s="80" t="b">
        <f>IF(Tab.11[[#This Row],[a1]]=1,1)</f>
        <v>0</v>
      </c>
      <c r="AL843"/>
      <c r="AM843"/>
      <c r="AN843"/>
      <c r="AO843"/>
      <c r="AP843"/>
      <c r="AQ843"/>
      <c r="AR843"/>
      <c r="AS843"/>
    </row>
    <row r="844" spans="1:45" s="81" customFormat="1" hidden="1" x14ac:dyDescent="0.25">
      <c r="A844" s="61">
        <f t="shared" si="27"/>
        <v>0</v>
      </c>
      <c r="B844" s="62">
        <f t="shared" si="27"/>
        <v>0</v>
      </c>
      <c r="C844" s="62" t="b">
        <f>IF(Tab.11[[#This Row],[a1]]=1,[3]!Tab_x1[[#This Row],[Name]])</f>
        <v>0</v>
      </c>
      <c r="D844" s="63" t="b">
        <f>IF(Tab.11[[#This Row],[a1]]=1,AO844)</f>
        <v>0</v>
      </c>
      <c r="E844" s="63">
        <f t="shared" si="28"/>
        <v>0</v>
      </c>
      <c r="F844" s="64" t="b">
        <f>IF(Tab.11[[#This Row],[a1]]=1,Tab.11[[#This Row],[b1]])</f>
        <v>0</v>
      </c>
      <c r="G844" s="65" t="b">
        <f>IF(Tab.11[[#This Row],[a1]]=1,IF(Tab.11[[#This Row],[b3]]&gt;$L$989*$G$3,$L$989*$G$3,IF(Tab.11[[#This Row],[b3]]&lt;$M$989*$G$3,$M$989*$G$3,Tab.11[[#This Row],[b3]])))</f>
        <v>0</v>
      </c>
      <c r="H844" s="66" t="b">
        <f>IF(Tab.11[[#This Row],[a1]]=1,Tab.11[[#This Row],[b1]])</f>
        <v>0</v>
      </c>
      <c r="I844" s="67" t="b">
        <f>IF(Tab.11[[#This Row],[a1]]=1,Tab.11[[#This Row],[b1]])</f>
        <v>0</v>
      </c>
      <c r="J844" s="68" t="b">
        <f>IF(Tab.11[[#This Row],[a1]]=1,IF($I$3&lt;0,Tab.11[[#This Row],[b5]]-$I$3,Tab.11[[#This Row],[b5]]))</f>
        <v>0</v>
      </c>
      <c r="K844" s="68" t="b">
        <f>IF(Tab.11[[#This Row],[a1]]=1,IF($K$3=0,Tab.11[b6],Tab.11[[#This Row],[b6]]-AVERAGE(Tab.11[b6])))</f>
        <v>0</v>
      </c>
      <c r="L844" s="69" t="b">
        <f>IF(Tab.11[[#This Row],[a1]]=1,Tab.11[[#This Row],[data]]/(_xlfn.STDEV.P(Tab.11[data])*$B$989)+$A$989)</f>
        <v>0</v>
      </c>
      <c r="M844" s="69" t="b">
        <f>IF(Tab.11[[#This Row],[a1]]=1,Tab.11[[#This Row],[data]]/(_xlfn.STDEV.P(Tab.11[data])*$B$987)-$A$987)</f>
        <v>0</v>
      </c>
      <c r="N844" s="69" t="b">
        <f>IF(Tab.11[[#This Row],[a1]]=1,Tab.11[[#This Row],[data]]/(_xlfn.STDEV.P(Tab.11[data])*$B$988)+$A$988)</f>
        <v>0</v>
      </c>
      <c r="O844" s="70" t="b">
        <f>IF(Tab.11[[#This Row],[a1]]=1,_xlfn.NORM.DIST(Tab.11[[#This Row],[b8]],$P$1,$Q$1,FALSE))</f>
        <v>0</v>
      </c>
      <c r="P844" s="70" t="b">
        <f>IF(Tab.11[[#This Row],[a1]]=1,_xlfn.NORM.DIST(Tab.11[[#This Row],[b9]],$P$1,$Q$1,FALSE))</f>
        <v>0</v>
      </c>
      <c r="Q844" s="70" t="b">
        <f>IF(Tab.11[[#This Row],[a1]]=1,_xlfn.NORM.DIST(Tab.11[[#This Row],[b10]],$P$1,$Q$1,FALSE))</f>
        <v>0</v>
      </c>
      <c r="R844" s="67" t="b">
        <f>IF(Tab.11[[#This Row],[a1]]=1,$I$3+$A$989+IF($K$3=0,Tab.11[[#This Row],[b8]]*_xlfn.STDEV.P(Tab.11[data]),AVERAGE(Tab.11[b6])+Tab.11[[#This Row],[b8]]*_xlfn.STDEV.P(Tab.11[data])))</f>
        <v>0</v>
      </c>
      <c r="S844" s="71" t="b">
        <f>IF(Tab.11[[#This Row],[a1]]=1,$I$3+$A$987+IF($K$3=0,Tab.11[[#This Row],[b9]]*_xlfn.STDEV.P(Tab.11[data]),AVERAGE(Tab.11[b6])+Tab.11[[#This Row],[b9]]*_xlfn.STDEV.P(Tab.11[data])))</f>
        <v>0</v>
      </c>
      <c r="T844" s="71" t="b">
        <f>IF(Tab.11[[#This Row],[a1]]=1,$I$3+$A$988+IF($K$3=0,Tab.11[[#This Row],[b10]]*_xlfn.STDEV.P(Tab.11[data]),AVERAGE(Tab.11[b6])+Tab.11[[#This Row],[b10]]*_xlfn.STDEV.P(Tab.11[data])))</f>
        <v>0</v>
      </c>
      <c r="U844" s="72" t="b">
        <f>IF(Tab.11[[#This Row],[a1]]=1,Tab.11[[#This Row],[target]]-Tab.11[[#This Row],[Red]])</f>
        <v>0</v>
      </c>
      <c r="V844" s="72" t="b">
        <f>IF(Tab.11[[#This Row],[a1]]=1,Tab.11[[#This Row],[target]]-Tab.11[[#This Row],[Blue]])</f>
        <v>0</v>
      </c>
      <c r="W844" s="73" t="b">
        <f>IF(Tab.11[[#This Row],[a1]]=1,IF(ABS(Tab.11[[#This Row],[b17]])+ABS(Tab.11[[#This Row],[b18]])&lt;$W$2,$W$2,ABS(Tab.11[[#This Row],[b17]])+ABS(Tab.11[[#This Row],[b18]])))</f>
        <v>0</v>
      </c>
      <c r="X844" s="136" t="b">
        <f>IF(Tab.11[[#This Row],[a1]]=1,IF($W$3&lt;0,Tab.11[[#This Row],[IN]]-$I$3,Tab.11[[#This Row],[IN]]))</f>
        <v>0</v>
      </c>
      <c r="Y844" s="136" t="b">
        <f>IF(Tab.11[[#This Row],[a1]]=1,IF($X$3=0,Tab.11[b66],Tab.11[[#This Row],[b66]]-AVERAGE(Tab.11[b66])))</f>
        <v>0</v>
      </c>
      <c r="Z844" s="135" t="b">
        <f>IF(Tab.11[[#This Row],[a1]]=1,Tab.11[[#This Row],[b77]]/(_xlfn.STDEV.P(Tab.11[b77])))</f>
        <v>0</v>
      </c>
      <c r="AA844" s="70" t="b">
        <f>IF(Tab.11[[#This Row],[a1]]=1,_xlfn.NORM.DIST(Tab.11[[#This Row],[b88]],$Z$1,$AA$1,FALSE))</f>
        <v>0</v>
      </c>
      <c r="AB844" s="74" t="b">
        <f>IF(Tab.11[[#This Row],[a1]]=1,IF($A$3=0,FALSE,1/Tab.11[[#This Row],[IN]]*$AC$2*IF(Tab.11[[#This Row],[a1]]=0,,$A$3*$AC$1*1/$V$3*(Tab.11[[#This Row],[b14]]))))</f>
        <v>0</v>
      </c>
      <c r="AC844" s="75" t="b">
        <f>IF(Tab.11[[#This Row],[a1]]=1,IF($AC$3=0,Tab.11[[#This Row],[φ1]],Tab.11[[#This Row],[φ1]]/MAX(Tab.11[φ1])))</f>
        <v>0</v>
      </c>
      <c r="AD844" s="74" t="b">
        <f>IF(Tab.11[[#This Row],[a1]]=1,1/Tab.11[[#This Row],[φ2]])</f>
        <v>0</v>
      </c>
      <c r="AE844" s="74" t="b">
        <f>IF(Tab.11[[#This Row],[a1]]=1,IF($AE$3=0,Tab.11[[#This Row],[w.0]],Tab.11[[#This Row],[w.0]]/SUM(Tab.11[w.0])))</f>
        <v>0</v>
      </c>
      <c r="AF844" s="76" t="str">
        <f>IF(Tab.11[[#This Row],[a1]]=0,"false",[3]!Tab.x5[[#This Row],[%_seN_C]])</f>
        <v>false</v>
      </c>
      <c r="AG844" s="77" t="b">
        <f>IF(Tab.11[[#This Row],[a1]]=1,AP844)</f>
        <v>0</v>
      </c>
      <c r="AH844" s="78" t="b">
        <f>IF(Tab.11[[#This Row],[a1]]=1,AQ844)</f>
        <v>0</v>
      </c>
      <c r="AI844" s="41">
        <v>3.0000000000000001E-3</v>
      </c>
      <c r="AJ844" s="79">
        <v>0.03</v>
      </c>
      <c r="AK844" s="80" t="b">
        <f>IF(Tab.11[[#This Row],[a1]]=1,1)</f>
        <v>0</v>
      </c>
      <c r="AL844"/>
      <c r="AM844"/>
      <c r="AN844"/>
      <c r="AO844"/>
      <c r="AP844"/>
      <c r="AQ844"/>
      <c r="AR844"/>
      <c r="AS844"/>
    </row>
    <row r="845" spans="1:45" s="81" customFormat="1" hidden="1" x14ac:dyDescent="0.25">
      <c r="A845" s="61">
        <f t="shared" si="27"/>
        <v>0</v>
      </c>
      <c r="B845" s="62">
        <f t="shared" si="27"/>
        <v>0</v>
      </c>
      <c r="C845" s="62" t="b">
        <f>IF(Tab.11[[#This Row],[a1]]=1,[3]!Tab_x1[[#This Row],[Name]])</f>
        <v>0</v>
      </c>
      <c r="D845" s="63" t="b">
        <f>IF(Tab.11[[#This Row],[a1]]=1,AO845)</f>
        <v>0</v>
      </c>
      <c r="E845" s="63">
        <f t="shared" si="28"/>
        <v>0</v>
      </c>
      <c r="F845" s="64" t="b">
        <f>IF(Tab.11[[#This Row],[a1]]=1,Tab.11[[#This Row],[b1]])</f>
        <v>0</v>
      </c>
      <c r="G845" s="65" t="b">
        <f>IF(Tab.11[[#This Row],[a1]]=1,IF(Tab.11[[#This Row],[b3]]&gt;$L$989*$G$3,$L$989*$G$3,IF(Tab.11[[#This Row],[b3]]&lt;$M$989*$G$3,$M$989*$G$3,Tab.11[[#This Row],[b3]])))</f>
        <v>0</v>
      </c>
      <c r="H845" s="66" t="b">
        <f>IF(Tab.11[[#This Row],[a1]]=1,Tab.11[[#This Row],[b1]])</f>
        <v>0</v>
      </c>
      <c r="I845" s="67" t="b">
        <f>IF(Tab.11[[#This Row],[a1]]=1,Tab.11[[#This Row],[b1]])</f>
        <v>0</v>
      </c>
      <c r="J845" s="68" t="b">
        <f>IF(Tab.11[[#This Row],[a1]]=1,IF($I$3&lt;0,Tab.11[[#This Row],[b5]]-$I$3,Tab.11[[#This Row],[b5]]))</f>
        <v>0</v>
      </c>
      <c r="K845" s="68" t="b">
        <f>IF(Tab.11[[#This Row],[a1]]=1,IF($K$3=0,Tab.11[b6],Tab.11[[#This Row],[b6]]-AVERAGE(Tab.11[b6])))</f>
        <v>0</v>
      </c>
      <c r="L845" s="69" t="b">
        <f>IF(Tab.11[[#This Row],[a1]]=1,Tab.11[[#This Row],[data]]/(_xlfn.STDEV.P(Tab.11[data])*$B$989)+$A$989)</f>
        <v>0</v>
      </c>
      <c r="M845" s="69" t="b">
        <f>IF(Tab.11[[#This Row],[a1]]=1,Tab.11[[#This Row],[data]]/(_xlfn.STDEV.P(Tab.11[data])*$B$987)-$A$987)</f>
        <v>0</v>
      </c>
      <c r="N845" s="69" t="b">
        <f>IF(Tab.11[[#This Row],[a1]]=1,Tab.11[[#This Row],[data]]/(_xlfn.STDEV.P(Tab.11[data])*$B$988)+$A$988)</f>
        <v>0</v>
      </c>
      <c r="O845" s="70" t="b">
        <f>IF(Tab.11[[#This Row],[a1]]=1,_xlfn.NORM.DIST(Tab.11[[#This Row],[b8]],$P$1,$Q$1,FALSE))</f>
        <v>0</v>
      </c>
      <c r="P845" s="70" t="b">
        <f>IF(Tab.11[[#This Row],[a1]]=1,_xlfn.NORM.DIST(Tab.11[[#This Row],[b9]],$P$1,$Q$1,FALSE))</f>
        <v>0</v>
      </c>
      <c r="Q845" s="70" t="b">
        <f>IF(Tab.11[[#This Row],[a1]]=1,_xlfn.NORM.DIST(Tab.11[[#This Row],[b10]],$P$1,$Q$1,FALSE))</f>
        <v>0</v>
      </c>
      <c r="R845" s="67" t="b">
        <f>IF(Tab.11[[#This Row],[a1]]=1,$I$3+$A$989+IF($K$3=0,Tab.11[[#This Row],[b8]]*_xlfn.STDEV.P(Tab.11[data]),AVERAGE(Tab.11[b6])+Tab.11[[#This Row],[b8]]*_xlfn.STDEV.P(Tab.11[data])))</f>
        <v>0</v>
      </c>
      <c r="S845" s="71" t="b">
        <f>IF(Tab.11[[#This Row],[a1]]=1,$I$3+$A$987+IF($K$3=0,Tab.11[[#This Row],[b9]]*_xlfn.STDEV.P(Tab.11[data]),AVERAGE(Tab.11[b6])+Tab.11[[#This Row],[b9]]*_xlfn.STDEV.P(Tab.11[data])))</f>
        <v>0</v>
      </c>
      <c r="T845" s="71" t="b">
        <f>IF(Tab.11[[#This Row],[a1]]=1,$I$3+$A$988+IF($K$3=0,Tab.11[[#This Row],[b10]]*_xlfn.STDEV.P(Tab.11[data]),AVERAGE(Tab.11[b6])+Tab.11[[#This Row],[b10]]*_xlfn.STDEV.P(Tab.11[data])))</f>
        <v>0</v>
      </c>
      <c r="U845" s="72" t="b">
        <f>IF(Tab.11[[#This Row],[a1]]=1,Tab.11[[#This Row],[target]]-Tab.11[[#This Row],[Red]])</f>
        <v>0</v>
      </c>
      <c r="V845" s="72" t="b">
        <f>IF(Tab.11[[#This Row],[a1]]=1,Tab.11[[#This Row],[target]]-Tab.11[[#This Row],[Blue]])</f>
        <v>0</v>
      </c>
      <c r="W845" s="73" t="b">
        <f>IF(Tab.11[[#This Row],[a1]]=1,IF(ABS(Tab.11[[#This Row],[b17]])+ABS(Tab.11[[#This Row],[b18]])&lt;$W$2,$W$2,ABS(Tab.11[[#This Row],[b17]])+ABS(Tab.11[[#This Row],[b18]])))</f>
        <v>0</v>
      </c>
      <c r="X845" s="136" t="b">
        <f>IF(Tab.11[[#This Row],[a1]]=1,IF($W$3&lt;0,Tab.11[[#This Row],[IN]]-$I$3,Tab.11[[#This Row],[IN]]))</f>
        <v>0</v>
      </c>
      <c r="Y845" s="136" t="b">
        <f>IF(Tab.11[[#This Row],[a1]]=1,IF($X$3=0,Tab.11[b66],Tab.11[[#This Row],[b66]]-AVERAGE(Tab.11[b66])))</f>
        <v>0</v>
      </c>
      <c r="Z845" s="135" t="b">
        <f>IF(Tab.11[[#This Row],[a1]]=1,Tab.11[[#This Row],[b77]]/(_xlfn.STDEV.P(Tab.11[b77])))</f>
        <v>0</v>
      </c>
      <c r="AA845" s="70" t="b">
        <f>IF(Tab.11[[#This Row],[a1]]=1,_xlfn.NORM.DIST(Tab.11[[#This Row],[b88]],$Z$1,$AA$1,FALSE))</f>
        <v>0</v>
      </c>
      <c r="AB845" s="74" t="b">
        <f>IF(Tab.11[[#This Row],[a1]]=1,IF($A$3=0,FALSE,1/Tab.11[[#This Row],[IN]]*$AC$2*IF(Tab.11[[#This Row],[a1]]=0,,$A$3*$AC$1*1/$V$3*(Tab.11[[#This Row],[b14]]))))</f>
        <v>0</v>
      </c>
      <c r="AC845" s="75" t="b">
        <f>IF(Tab.11[[#This Row],[a1]]=1,IF($AC$3=0,Tab.11[[#This Row],[φ1]],Tab.11[[#This Row],[φ1]]/MAX(Tab.11[φ1])))</f>
        <v>0</v>
      </c>
      <c r="AD845" s="74" t="b">
        <f>IF(Tab.11[[#This Row],[a1]]=1,1/Tab.11[[#This Row],[φ2]])</f>
        <v>0</v>
      </c>
      <c r="AE845" s="74" t="b">
        <f>IF(Tab.11[[#This Row],[a1]]=1,IF($AE$3=0,Tab.11[[#This Row],[w.0]],Tab.11[[#This Row],[w.0]]/SUM(Tab.11[w.0])))</f>
        <v>0</v>
      </c>
      <c r="AF845" s="76" t="str">
        <f>IF(Tab.11[[#This Row],[a1]]=0,"false",[3]!Tab.x5[[#This Row],[%_seN_C]])</f>
        <v>false</v>
      </c>
      <c r="AG845" s="77" t="b">
        <f>IF(Tab.11[[#This Row],[a1]]=1,AP845)</f>
        <v>0</v>
      </c>
      <c r="AH845" s="78" t="b">
        <f>IF(Tab.11[[#This Row],[a1]]=1,AQ845)</f>
        <v>0</v>
      </c>
      <c r="AI845" s="41">
        <v>3.0000000000000001E-3</v>
      </c>
      <c r="AJ845" s="79">
        <v>0.01</v>
      </c>
      <c r="AK845" s="80" t="b">
        <f>IF(Tab.11[[#This Row],[a1]]=1,1)</f>
        <v>0</v>
      </c>
      <c r="AL845"/>
      <c r="AM845"/>
      <c r="AN845"/>
      <c r="AO845"/>
      <c r="AP845"/>
      <c r="AQ845"/>
      <c r="AR845"/>
      <c r="AS845"/>
    </row>
    <row r="846" spans="1:45" s="81" customFormat="1" hidden="1" x14ac:dyDescent="0.25">
      <c r="A846" s="61">
        <f t="shared" si="27"/>
        <v>0</v>
      </c>
      <c r="B846" s="62">
        <f t="shared" si="27"/>
        <v>0</v>
      </c>
      <c r="C846" s="62" t="b">
        <f>IF(Tab.11[[#This Row],[a1]]=1,[3]!Tab_x1[[#This Row],[Name]])</f>
        <v>0</v>
      </c>
      <c r="D846" s="63" t="b">
        <f>IF(Tab.11[[#This Row],[a1]]=1,AO846)</f>
        <v>0</v>
      </c>
      <c r="E846" s="63">
        <f t="shared" si="28"/>
        <v>0</v>
      </c>
      <c r="F846" s="64" t="b">
        <f>IF(Tab.11[[#This Row],[a1]]=1,Tab.11[[#This Row],[b1]])</f>
        <v>0</v>
      </c>
      <c r="G846" s="65" t="b">
        <f>IF(Tab.11[[#This Row],[a1]]=1,IF(Tab.11[[#This Row],[b3]]&gt;$L$989*$G$3,$L$989*$G$3,IF(Tab.11[[#This Row],[b3]]&lt;$M$989*$G$3,$M$989*$G$3,Tab.11[[#This Row],[b3]])))</f>
        <v>0</v>
      </c>
      <c r="H846" s="66" t="b">
        <f>IF(Tab.11[[#This Row],[a1]]=1,Tab.11[[#This Row],[b1]])</f>
        <v>0</v>
      </c>
      <c r="I846" s="67" t="b">
        <f>IF(Tab.11[[#This Row],[a1]]=1,Tab.11[[#This Row],[b1]])</f>
        <v>0</v>
      </c>
      <c r="J846" s="68" t="b">
        <f>IF(Tab.11[[#This Row],[a1]]=1,IF($I$3&lt;0,Tab.11[[#This Row],[b5]]-$I$3,Tab.11[[#This Row],[b5]]))</f>
        <v>0</v>
      </c>
      <c r="K846" s="68" t="b">
        <f>IF(Tab.11[[#This Row],[a1]]=1,IF($K$3=0,Tab.11[b6],Tab.11[[#This Row],[b6]]-AVERAGE(Tab.11[b6])))</f>
        <v>0</v>
      </c>
      <c r="L846" s="69" t="b">
        <f>IF(Tab.11[[#This Row],[a1]]=1,Tab.11[[#This Row],[data]]/(_xlfn.STDEV.P(Tab.11[data])*$B$989)+$A$989)</f>
        <v>0</v>
      </c>
      <c r="M846" s="69" t="b">
        <f>IF(Tab.11[[#This Row],[a1]]=1,Tab.11[[#This Row],[data]]/(_xlfn.STDEV.P(Tab.11[data])*$B$987)-$A$987)</f>
        <v>0</v>
      </c>
      <c r="N846" s="69" t="b">
        <f>IF(Tab.11[[#This Row],[a1]]=1,Tab.11[[#This Row],[data]]/(_xlfn.STDEV.P(Tab.11[data])*$B$988)+$A$988)</f>
        <v>0</v>
      </c>
      <c r="O846" s="70" t="b">
        <f>IF(Tab.11[[#This Row],[a1]]=1,_xlfn.NORM.DIST(Tab.11[[#This Row],[b8]],$P$1,$Q$1,FALSE))</f>
        <v>0</v>
      </c>
      <c r="P846" s="70" t="b">
        <f>IF(Tab.11[[#This Row],[a1]]=1,_xlfn.NORM.DIST(Tab.11[[#This Row],[b9]],$P$1,$Q$1,FALSE))</f>
        <v>0</v>
      </c>
      <c r="Q846" s="70" t="b">
        <f>IF(Tab.11[[#This Row],[a1]]=1,_xlfn.NORM.DIST(Tab.11[[#This Row],[b10]],$P$1,$Q$1,FALSE))</f>
        <v>0</v>
      </c>
      <c r="R846" s="67" t="b">
        <f>IF(Tab.11[[#This Row],[a1]]=1,$I$3+$A$989+IF($K$3=0,Tab.11[[#This Row],[b8]]*_xlfn.STDEV.P(Tab.11[data]),AVERAGE(Tab.11[b6])+Tab.11[[#This Row],[b8]]*_xlfn.STDEV.P(Tab.11[data])))</f>
        <v>0</v>
      </c>
      <c r="S846" s="71" t="b">
        <f>IF(Tab.11[[#This Row],[a1]]=1,$I$3+$A$987+IF($K$3=0,Tab.11[[#This Row],[b9]]*_xlfn.STDEV.P(Tab.11[data]),AVERAGE(Tab.11[b6])+Tab.11[[#This Row],[b9]]*_xlfn.STDEV.P(Tab.11[data])))</f>
        <v>0</v>
      </c>
      <c r="T846" s="71" t="b">
        <f>IF(Tab.11[[#This Row],[a1]]=1,$I$3+$A$988+IF($K$3=0,Tab.11[[#This Row],[b10]]*_xlfn.STDEV.P(Tab.11[data]),AVERAGE(Tab.11[b6])+Tab.11[[#This Row],[b10]]*_xlfn.STDEV.P(Tab.11[data])))</f>
        <v>0</v>
      </c>
      <c r="U846" s="72" t="b">
        <f>IF(Tab.11[[#This Row],[a1]]=1,Tab.11[[#This Row],[target]]-Tab.11[[#This Row],[Red]])</f>
        <v>0</v>
      </c>
      <c r="V846" s="72" t="b">
        <f>IF(Tab.11[[#This Row],[a1]]=1,Tab.11[[#This Row],[target]]-Tab.11[[#This Row],[Blue]])</f>
        <v>0</v>
      </c>
      <c r="W846" s="73" t="b">
        <f>IF(Tab.11[[#This Row],[a1]]=1,IF(ABS(Tab.11[[#This Row],[b17]])+ABS(Tab.11[[#This Row],[b18]])&lt;$W$2,$W$2,ABS(Tab.11[[#This Row],[b17]])+ABS(Tab.11[[#This Row],[b18]])))</f>
        <v>0</v>
      </c>
      <c r="X846" s="136" t="b">
        <f>IF(Tab.11[[#This Row],[a1]]=1,IF($W$3&lt;0,Tab.11[[#This Row],[IN]]-$I$3,Tab.11[[#This Row],[IN]]))</f>
        <v>0</v>
      </c>
      <c r="Y846" s="136" t="b">
        <f>IF(Tab.11[[#This Row],[a1]]=1,IF($X$3=0,Tab.11[b66],Tab.11[[#This Row],[b66]]-AVERAGE(Tab.11[b66])))</f>
        <v>0</v>
      </c>
      <c r="Z846" s="135" t="b">
        <f>IF(Tab.11[[#This Row],[a1]]=1,Tab.11[[#This Row],[b77]]/(_xlfn.STDEV.P(Tab.11[b77])))</f>
        <v>0</v>
      </c>
      <c r="AA846" s="70" t="b">
        <f>IF(Tab.11[[#This Row],[a1]]=1,_xlfn.NORM.DIST(Tab.11[[#This Row],[b88]],$Z$1,$AA$1,FALSE))</f>
        <v>0</v>
      </c>
      <c r="AB846" s="74" t="b">
        <f>IF(Tab.11[[#This Row],[a1]]=1,IF($A$3=0,FALSE,1/Tab.11[[#This Row],[IN]]*$AC$2*IF(Tab.11[[#This Row],[a1]]=0,,$A$3*$AC$1*1/$V$3*(Tab.11[[#This Row],[b14]]))))</f>
        <v>0</v>
      </c>
      <c r="AC846" s="75" t="b">
        <f>IF(Tab.11[[#This Row],[a1]]=1,IF($AC$3=0,Tab.11[[#This Row],[φ1]],Tab.11[[#This Row],[φ1]]/MAX(Tab.11[φ1])))</f>
        <v>0</v>
      </c>
      <c r="AD846" s="74" t="b">
        <f>IF(Tab.11[[#This Row],[a1]]=1,1/Tab.11[[#This Row],[φ2]])</f>
        <v>0</v>
      </c>
      <c r="AE846" s="74" t="b">
        <f>IF(Tab.11[[#This Row],[a1]]=1,IF($AE$3=0,Tab.11[[#This Row],[w.0]],Tab.11[[#This Row],[w.0]]/SUM(Tab.11[w.0])))</f>
        <v>0</v>
      </c>
      <c r="AF846" s="76" t="str">
        <f>IF(Tab.11[[#This Row],[a1]]=0,"false",[3]!Tab.x5[[#This Row],[%_seN_C]])</f>
        <v>false</v>
      </c>
      <c r="AG846" s="77" t="b">
        <f>IF(Tab.11[[#This Row],[a1]]=1,AP846)</f>
        <v>0</v>
      </c>
      <c r="AH846" s="78" t="b">
        <f>IF(Tab.11[[#This Row],[a1]]=1,AQ846)</f>
        <v>0</v>
      </c>
      <c r="AI846" s="41">
        <v>3.0000000000000001E-3</v>
      </c>
      <c r="AJ846" s="79">
        <v>0.03</v>
      </c>
      <c r="AK846" s="80" t="b">
        <f>IF(Tab.11[[#This Row],[a1]]=1,1)</f>
        <v>0</v>
      </c>
      <c r="AL846"/>
      <c r="AM846"/>
      <c r="AN846"/>
      <c r="AO846"/>
      <c r="AP846"/>
      <c r="AQ846"/>
      <c r="AR846"/>
      <c r="AS846"/>
    </row>
    <row r="847" spans="1:45" s="81" customFormat="1" hidden="1" x14ac:dyDescent="0.25">
      <c r="A847" s="61">
        <f t="shared" si="27"/>
        <v>0</v>
      </c>
      <c r="B847" s="62">
        <f t="shared" si="27"/>
        <v>0</v>
      </c>
      <c r="C847" s="62" t="b">
        <f>IF(Tab.11[[#This Row],[a1]]=1,[3]!Tab_x1[[#This Row],[Name]])</f>
        <v>0</v>
      </c>
      <c r="D847" s="63" t="b">
        <f>IF(Tab.11[[#This Row],[a1]]=1,AO847)</f>
        <v>0</v>
      </c>
      <c r="E847" s="63">
        <f t="shared" si="28"/>
        <v>0</v>
      </c>
      <c r="F847" s="64" t="b">
        <f>IF(Tab.11[[#This Row],[a1]]=1,Tab.11[[#This Row],[b1]])</f>
        <v>0</v>
      </c>
      <c r="G847" s="65" t="b">
        <f>IF(Tab.11[[#This Row],[a1]]=1,IF(Tab.11[[#This Row],[b3]]&gt;$L$989*$G$3,$L$989*$G$3,IF(Tab.11[[#This Row],[b3]]&lt;$M$989*$G$3,$M$989*$G$3,Tab.11[[#This Row],[b3]])))</f>
        <v>0</v>
      </c>
      <c r="H847" s="66" t="b">
        <f>IF(Tab.11[[#This Row],[a1]]=1,Tab.11[[#This Row],[b1]])</f>
        <v>0</v>
      </c>
      <c r="I847" s="67" t="b">
        <f>IF(Tab.11[[#This Row],[a1]]=1,Tab.11[[#This Row],[b1]])</f>
        <v>0</v>
      </c>
      <c r="J847" s="68" t="b">
        <f>IF(Tab.11[[#This Row],[a1]]=1,IF($I$3&lt;0,Tab.11[[#This Row],[b5]]-$I$3,Tab.11[[#This Row],[b5]]))</f>
        <v>0</v>
      </c>
      <c r="K847" s="68" t="b">
        <f>IF(Tab.11[[#This Row],[a1]]=1,IF($K$3=0,Tab.11[b6],Tab.11[[#This Row],[b6]]-AVERAGE(Tab.11[b6])))</f>
        <v>0</v>
      </c>
      <c r="L847" s="69" t="b">
        <f>IF(Tab.11[[#This Row],[a1]]=1,Tab.11[[#This Row],[data]]/(_xlfn.STDEV.P(Tab.11[data])*$B$989)+$A$989)</f>
        <v>0</v>
      </c>
      <c r="M847" s="69" t="b">
        <f>IF(Tab.11[[#This Row],[a1]]=1,Tab.11[[#This Row],[data]]/(_xlfn.STDEV.P(Tab.11[data])*$B$987)-$A$987)</f>
        <v>0</v>
      </c>
      <c r="N847" s="69" t="b">
        <f>IF(Tab.11[[#This Row],[a1]]=1,Tab.11[[#This Row],[data]]/(_xlfn.STDEV.P(Tab.11[data])*$B$988)+$A$988)</f>
        <v>0</v>
      </c>
      <c r="O847" s="70" t="b">
        <f>IF(Tab.11[[#This Row],[a1]]=1,_xlfn.NORM.DIST(Tab.11[[#This Row],[b8]],$P$1,$Q$1,FALSE))</f>
        <v>0</v>
      </c>
      <c r="P847" s="70" t="b">
        <f>IF(Tab.11[[#This Row],[a1]]=1,_xlfn.NORM.DIST(Tab.11[[#This Row],[b9]],$P$1,$Q$1,FALSE))</f>
        <v>0</v>
      </c>
      <c r="Q847" s="70" t="b">
        <f>IF(Tab.11[[#This Row],[a1]]=1,_xlfn.NORM.DIST(Tab.11[[#This Row],[b10]],$P$1,$Q$1,FALSE))</f>
        <v>0</v>
      </c>
      <c r="R847" s="67" t="b">
        <f>IF(Tab.11[[#This Row],[a1]]=1,$I$3+$A$989+IF($K$3=0,Tab.11[[#This Row],[b8]]*_xlfn.STDEV.P(Tab.11[data]),AVERAGE(Tab.11[b6])+Tab.11[[#This Row],[b8]]*_xlfn.STDEV.P(Tab.11[data])))</f>
        <v>0</v>
      </c>
      <c r="S847" s="71" t="b">
        <f>IF(Tab.11[[#This Row],[a1]]=1,$I$3+$A$987+IF($K$3=0,Tab.11[[#This Row],[b9]]*_xlfn.STDEV.P(Tab.11[data]),AVERAGE(Tab.11[b6])+Tab.11[[#This Row],[b9]]*_xlfn.STDEV.P(Tab.11[data])))</f>
        <v>0</v>
      </c>
      <c r="T847" s="71" t="b">
        <f>IF(Tab.11[[#This Row],[a1]]=1,$I$3+$A$988+IF($K$3=0,Tab.11[[#This Row],[b10]]*_xlfn.STDEV.P(Tab.11[data]),AVERAGE(Tab.11[b6])+Tab.11[[#This Row],[b10]]*_xlfn.STDEV.P(Tab.11[data])))</f>
        <v>0</v>
      </c>
      <c r="U847" s="72" t="b">
        <f>IF(Tab.11[[#This Row],[a1]]=1,Tab.11[[#This Row],[target]]-Tab.11[[#This Row],[Red]])</f>
        <v>0</v>
      </c>
      <c r="V847" s="72" t="b">
        <f>IF(Tab.11[[#This Row],[a1]]=1,Tab.11[[#This Row],[target]]-Tab.11[[#This Row],[Blue]])</f>
        <v>0</v>
      </c>
      <c r="W847" s="73" t="b">
        <f>IF(Tab.11[[#This Row],[a1]]=1,IF(ABS(Tab.11[[#This Row],[b17]])+ABS(Tab.11[[#This Row],[b18]])&lt;$W$2,$W$2,ABS(Tab.11[[#This Row],[b17]])+ABS(Tab.11[[#This Row],[b18]])))</f>
        <v>0</v>
      </c>
      <c r="X847" s="136" t="b">
        <f>IF(Tab.11[[#This Row],[a1]]=1,IF($W$3&lt;0,Tab.11[[#This Row],[IN]]-$I$3,Tab.11[[#This Row],[IN]]))</f>
        <v>0</v>
      </c>
      <c r="Y847" s="136" t="b">
        <f>IF(Tab.11[[#This Row],[a1]]=1,IF($X$3=0,Tab.11[b66],Tab.11[[#This Row],[b66]]-AVERAGE(Tab.11[b66])))</f>
        <v>0</v>
      </c>
      <c r="Z847" s="135" t="b">
        <f>IF(Tab.11[[#This Row],[a1]]=1,Tab.11[[#This Row],[b77]]/(_xlfn.STDEV.P(Tab.11[b77])))</f>
        <v>0</v>
      </c>
      <c r="AA847" s="70" t="b">
        <f>IF(Tab.11[[#This Row],[a1]]=1,_xlfn.NORM.DIST(Tab.11[[#This Row],[b88]],$Z$1,$AA$1,FALSE))</f>
        <v>0</v>
      </c>
      <c r="AB847" s="74" t="b">
        <f>IF(Tab.11[[#This Row],[a1]]=1,IF($A$3=0,FALSE,1/Tab.11[[#This Row],[IN]]*$AC$2*IF(Tab.11[[#This Row],[a1]]=0,,$A$3*$AC$1*1/$V$3*(Tab.11[[#This Row],[b14]]))))</f>
        <v>0</v>
      </c>
      <c r="AC847" s="75" t="b">
        <f>IF(Tab.11[[#This Row],[a1]]=1,IF($AC$3=0,Tab.11[[#This Row],[φ1]],Tab.11[[#This Row],[φ1]]/MAX(Tab.11[φ1])))</f>
        <v>0</v>
      </c>
      <c r="AD847" s="74" t="b">
        <f>IF(Tab.11[[#This Row],[a1]]=1,1/Tab.11[[#This Row],[φ2]])</f>
        <v>0</v>
      </c>
      <c r="AE847" s="74" t="b">
        <f>IF(Tab.11[[#This Row],[a1]]=1,IF($AE$3=0,Tab.11[[#This Row],[w.0]],Tab.11[[#This Row],[w.0]]/SUM(Tab.11[w.0])))</f>
        <v>0</v>
      </c>
      <c r="AF847" s="76" t="str">
        <f>IF(Tab.11[[#This Row],[a1]]=0,"false",[3]!Tab.x5[[#This Row],[%_seN_C]])</f>
        <v>false</v>
      </c>
      <c r="AG847" s="77" t="b">
        <f>IF(Tab.11[[#This Row],[a1]]=1,AP847)</f>
        <v>0</v>
      </c>
      <c r="AH847" s="78" t="b">
        <f>IF(Tab.11[[#This Row],[a1]]=1,AQ847)</f>
        <v>0</v>
      </c>
      <c r="AI847" s="41">
        <v>3.0000000000000001E-3</v>
      </c>
      <c r="AJ847" s="79">
        <v>7.0000000000000007E-2</v>
      </c>
      <c r="AK847" s="80" t="b">
        <f>IF(Tab.11[[#This Row],[a1]]=1,1)</f>
        <v>0</v>
      </c>
      <c r="AL847"/>
      <c r="AM847"/>
      <c r="AN847"/>
      <c r="AO847"/>
      <c r="AP847"/>
      <c r="AQ847"/>
      <c r="AR847"/>
      <c r="AS847"/>
    </row>
    <row r="848" spans="1:45" s="81" customFormat="1" hidden="1" x14ac:dyDescent="0.25">
      <c r="A848" s="61">
        <f t="shared" si="27"/>
        <v>0</v>
      </c>
      <c r="B848" s="62">
        <f t="shared" si="27"/>
        <v>0</v>
      </c>
      <c r="C848" s="62" t="b">
        <f>IF(Tab.11[[#This Row],[a1]]=1,[3]!Tab_x1[[#This Row],[Name]])</f>
        <v>0</v>
      </c>
      <c r="D848" s="63" t="b">
        <f>IF(Tab.11[[#This Row],[a1]]=1,AO848)</f>
        <v>0</v>
      </c>
      <c r="E848" s="63">
        <f t="shared" si="28"/>
        <v>0</v>
      </c>
      <c r="F848" s="64" t="b">
        <f>IF(Tab.11[[#This Row],[a1]]=1,Tab.11[[#This Row],[b1]])</f>
        <v>0</v>
      </c>
      <c r="G848" s="65" t="b">
        <f>IF(Tab.11[[#This Row],[a1]]=1,IF(Tab.11[[#This Row],[b3]]&gt;$L$989*$G$3,$L$989*$G$3,IF(Tab.11[[#This Row],[b3]]&lt;$M$989*$G$3,$M$989*$G$3,Tab.11[[#This Row],[b3]])))</f>
        <v>0</v>
      </c>
      <c r="H848" s="66" t="b">
        <f>IF(Tab.11[[#This Row],[a1]]=1,Tab.11[[#This Row],[b1]])</f>
        <v>0</v>
      </c>
      <c r="I848" s="67" t="b">
        <f>IF(Tab.11[[#This Row],[a1]]=1,Tab.11[[#This Row],[b1]])</f>
        <v>0</v>
      </c>
      <c r="J848" s="68" t="b">
        <f>IF(Tab.11[[#This Row],[a1]]=1,IF($I$3&lt;0,Tab.11[[#This Row],[b5]]-$I$3,Tab.11[[#This Row],[b5]]))</f>
        <v>0</v>
      </c>
      <c r="K848" s="68" t="b">
        <f>IF(Tab.11[[#This Row],[a1]]=1,IF($K$3=0,Tab.11[b6],Tab.11[[#This Row],[b6]]-AVERAGE(Tab.11[b6])))</f>
        <v>0</v>
      </c>
      <c r="L848" s="69" t="b">
        <f>IF(Tab.11[[#This Row],[a1]]=1,Tab.11[[#This Row],[data]]/(_xlfn.STDEV.P(Tab.11[data])*$B$989)+$A$989)</f>
        <v>0</v>
      </c>
      <c r="M848" s="69" t="b">
        <f>IF(Tab.11[[#This Row],[a1]]=1,Tab.11[[#This Row],[data]]/(_xlfn.STDEV.P(Tab.11[data])*$B$987)-$A$987)</f>
        <v>0</v>
      </c>
      <c r="N848" s="69" t="b">
        <f>IF(Tab.11[[#This Row],[a1]]=1,Tab.11[[#This Row],[data]]/(_xlfn.STDEV.P(Tab.11[data])*$B$988)+$A$988)</f>
        <v>0</v>
      </c>
      <c r="O848" s="70" t="b">
        <f>IF(Tab.11[[#This Row],[a1]]=1,_xlfn.NORM.DIST(Tab.11[[#This Row],[b8]],$P$1,$Q$1,FALSE))</f>
        <v>0</v>
      </c>
      <c r="P848" s="70" t="b">
        <f>IF(Tab.11[[#This Row],[a1]]=1,_xlfn.NORM.DIST(Tab.11[[#This Row],[b9]],$P$1,$Q$1,FALSE))</f>
        <v>0</v>
      </c>
      <c r="Q848" s="70" t="b">
        <f>IF(Tab.11[[#This Row],[a1]]=1,_xlfn.NORM.DIST(Tab.11[[#This Row],[b10]],$P$1,$Q$1,FALSE))</f>
        <v>0</v>
      </c>
      <c r="R848" s="67" t="b">
        <f>IF(Tab.11[[#This Row],[a1]]=1,$I$3+$A$989+IF($K$3=0,Tab.11[[#This Row],[b8]]*_xlfn.STDEV.P(Tab.11[data]),AVERAGE(Tab.11[b6])+Tab.11[[#This Row],[b8]]*_xlfn.STDEV.P(Tab.11[data])))</f>
        <v>0</v>
      </c>
      <c r="S848" s="71" t="b">
        <f>IF(Tab.11[[#This Row],[a1]]=1,$I$3+$A$987+IF($K$3=0,Tab.11[[#This Row],[b9]]*_xlfn.STDEV.P(Tab.11[data]),AVERAGE(Tab.11[b6])+Tab.11[[#This Row],[b9]]*_xlfn.STDEV.P(Tab.11[data])))</f>
        <v>0</v>
      </c>
      <c r="T848" s="71" t="b">
        <f>IF(Tab.11[[#This Row],[a1]]=1,$I$3+$A$988+IF($K$3=0,Tab.11[[#This Row],[b10]]*_xlfn.STDEV.P(Tab.11[data]),AVERAGE(Tab.11[b6])+Tab.11[[#This Row],[b10]]*_xlfn.STDEV.P(Tab.11[data])))</f>
        <v>0</v>
      </c>
      <c r="U848" s="72" t="b">
        <f>IF(Tab.11[[#This Row],[a1]]=1,Tab.11[[#This Row],[target]]-Tab.11[[#This Row],[Red]])</f>
        <v>0</v>
      </c>
      <c r="V848" s="72" t="b">
        <f>IF(Tab.11[[#This Row],[a1]]=1,Tab.11[[#This Row],[target]]-Tab.11[[#This Row],[Blue]])</f>
        <v>0</v>
      </c>
      <c r="W848" s="73" t="b">
        <f>IF(Tab.11[[#This Row],[a1]]=1,IF(ABS(Tab.11[[#This Row],[b17]])+ABS(Tab.11[[#This Row],[b18]])&lt;$W$2,$W$2,ABS(Tab.11[[#This Row],[b17]])+ABS(Tab.11[[#This Row],[b18]])))</f>
        <v>0</v>
      </c>
      <c r="X848" s="136" t="b">
        <f>IF(Tab.11[[#This Row],[a1]]=1,IF($W$3&lt;0,Tab.11[[#This Row],[IN]]-$I$3,Tab.11[[#This Row],[IN]]))</f>
        <v>0</v>
      </c>
      <c r="Y848" s="136" t="b">
        <f>IF(Tab.11[[#This Row],[a1]]=1,IF($X$3=0,Tab.11[b66],Tab.11[[#This Row],[b66]]-AVERAGE(Tab.11[b66])))</f>
        <v>0</v>
      </c>
      <c r="Z848" s="135" t="b">
        <f>IF(Tab.11[[#This Row],[a1]]=1,Tab.11[[#This Row],[b77]]/(_xlfn.STDEV.P(Tab.11[b77])))</f>
        <v>0</v>
      </c>
      <c r="AA848" s="70" t="b">
        <f>IF(Tab.11[[#This Row],[a1]]=1,_xlfn.NORM.DIST(Tab.11[[#This Row],[b88]],$Z$1,$AA$1,FALSE))</f>
        <v>0</v>
      </c>
      <c r="AB848" s="74" t="b">
        <f>IF(Tab.11[[#This Row],[a1]]=1,IF($A$3=0,FALSE,1/Tab.11[[#This Row],[IN]]*$AC$2*IF(Tab.11[[#This Row],[a1]]=0,,$A$3*$AC$1*1/$V$3*(Tab.11[[#This Row],[b14]]))))</f>
        <v>0</v>
      </c>
      <c r="AC848" s="75" t="b">
        <f>IF(Tab.11[[#This Row],[a1]]=1,IF($AC$3=0,Tab.11[[#This Row],[φ1]],Tab.11[[#This Row],[φ1]]/MAX(Tab.11[φ1])))</f>
        <v>0</v>
      </c>
      <c r="AD848" s="74" t="b">
        <f>IF(Tab.11[[#This Row],[a1]]=1,1/Tab.11[[#This Row],[φ2]])</f>
        <v>0</v>
      </c>
      <c r="AE848" s="74" t="b">
        <f>IF(Tab.11[[#This Row],[a1]]=1,IF($AE$3=0,Tab.11[[#This Row],[w.0]],Tab.11[[#This Row],[w.0]]/SUM(Tab.11[w.0])))</f>
        <v>0</v>
      </c>
      <c r="AF848" s="76" t="str">
        <f>IF(Tab.11[[#This Row],[a1]]=0,"false",[3]!Tab.x5[[#This Row],[%_seN_C]])</f>
        <v>false</v>
      </c>
      <c r="AG848" s="77" t="b">
        <f>IF(Tab.11[[#This Row],[a1]]=1,AP848)</f>
        <v>0</v>
      </c>
      <c r="AH848" s="78" t="b">
        <f>IF(Tab.11[[#This Row],[a1]]=1,AQ848)</f>
        <v>0</v>
      </c>
      <c r="AI848" s="41">
        <v>3.0000000000000001E-3</v>
      </c>
      <c r="AJ848" s="79">
        <v>0.05</v>
      </c>
      <c r="AK848" s="80" t="b">
        <f>IF(Tab.11[[#This Row],[a1]]=1,1)</f>
        <v>0</v>
      </c>
      <c r="AL848"/>
      <c r="AM848"/>
      <c r="AN848"/>
      <c r="AO848"/>
      <c r="AP848"/>
      <c r="AQ848"/>
      <c r="AR848"/>
      <c r="AS848"/>
    </row>
    <row r="849" spans="1:45" s="81" customFormat="1" hidden="1" x14ac:dyDescent="0.25">
      <c r="A849" s="61">
        <f t="shared" si="27"/>
        <v>0</v>
      </c>
      <c r="B849" s="62">
        <f t="shared" si="27"/>
        <v>0</v>
      </c>
      <c r="C849" s="62" t="b">
        <f>IF(Tab.11[[#This Row],[a1]]=1,[3]!Tab_x1[[#This Row],[Name]])</f>
        <v>0</v>
      </c>
      <c r="D849" s="63" t="b">
        <f>IF(Tab.11[[#This Row],[a1]]=1,AO849)</f>
        <v>0</v>
      </c>
      <c r="E849" s="63">
        <f t="shared" si="28"/>
        <v>0</v>
      </c>
      <c r="F849" s="64" t="b">
        <f>IF(Tab.11[[#This Row],[a1]]=1,Tab.11[[#This Row],[b1]])</f>
        <v>0</v>
      </c>
      <c r="G849" s="65" t="b">
        <f>IF(Tab.11[[#This Row],[a1]]=1,IF(Tab.11[[#This Row],[b3]]&gt;$L$989*$G$3,$L$989*$G$3,IF(Tab.11[[#This Row],[b3]]&lt;$M$989*$G$3,$M$989*$G$3,Tab.11[[#This Row],[b3]])))</f>
        <v>0</v>
      </c>
      <c r="H849" s="66" t="b">
        <f>IF(Tab.11[[#This Row],[a1]]=1,Tab.11[[#This Row],[b1]])</f>
        <v>0</v>
      </c>
      <c r="I849" s="67" t="b">
        <f>IF(Tab.11[[#This Row],[a1]]=1,Tab.11[[#This Row],[b1]])</f>
        <v>0</v>
      </c>
      <c r="J849" s="68" t="b">
        <f>IF(Tab.11[[#This Row],[a1]]=1,IF($I$3&lt;0,Tab.11[[#This Row],[b5]]-$I$3,Tab.11[[#This Row],[b5]]))</f>
        <v>0</v>
      </c>
      <c r="K849" s="68" t="b">
        <f>IF(Tab.11[[#This Row],[a1]]=1,IF($K$3=0,Tab.11[b6],Tab.11[[#This Row],[b6]]-AVERAGE(Tab.11[b6])))</f>
        <v>0</v>
      </c>
      <c r="L849" s="69" t="b">
        <f>IF(Tab.11[[#This Row],[a1]]=1,Tab.11[[#This Row],[data]]/(_xlfn.STDEV.P(Tab.11[data])*$B$989)+$A$989)</f>
        <v>0</v>
      </c>
      <c r="M849" s="69" t="b">
        <f>IF(Tab.11[[#This Row],[a1]]=1,Tab.11[[#This Row],[data]]/(_xlfn.STDEV.P(Tab.11[data])*$B$987)-$A$987)</f>
        <v>0</v>
      </c>
      <c r="N849" s="69" t="b">
        <f>IF(Tab.11[[#This Row],[a1]]=1,Tab.11[[#This Row],[data]]/(_xlfn.STDEV.P(Tab.11[data])*$B$988)+$A$988)</f>
        <v>0</v>
      </c>
      <c r="O849" s="70" t="b">
        <f>IF(Tab.11[[#This Row],[a1]]=1,_xlfn.NORM.DIST(Tab.11[[#This Row],[b8]],$P$1,$Q$1,FALSE))</f>
        <v>0</v>
      </c>
      <c r="P849" s="70" t="b">
        <f>IF(Tab.11[[#This Row],[a1]]=1,_xlfn.NORM.DIST(Tab.11[[#This Row],[b9]],$P$1,$Q$1,FALSE))</f>
        <v>0</v>
      </c>
      <c r="Q849" s="70" t="b">
        <f>IF(Tab.11[[#This Row],[a1]]=1,_xlfn.NORM.DIST(Tab.11[[#This Row],[b10]],$P$1,$Q$1,FALSE))</f>
        <v>0</v>
      </c>
      <c r="R849" s="67" t="b">
        <f>IF(Tab.11[[#This Row],[a1]]=1,$I$3+$A$989+IF($K$3=0,Tab.11[[#This Row],[b8]]*_xlfn.STDEV.P(Tab.11[data]),AVERAGE(Tab.11[b6])+Tab.11[[#This Row],[b8]]*_xlfn.STDEV.P(Tab.11[data])))</f>
        <v>0</v>
      </c>
      <c r="S849" s="71" t="b">
        <f>IF(Tab.11[[#This Row],[a1]]=1,$I$3+$A$987+IF($K$3=0,Tab.11[[#This Row],[b9]]*_xlfn.STDEV.P(Tab.11[data]),AVERAGE(Tab.11[b6])+Tab.11[[#This Row],[b9]]*_xlfn.STDEV.P(Tab.11[data])))</f>
        <v>0</v>
      </c>
      <c r="T849" s="71" t="b">
        <f>IF(Tab.11[[#This Row],[a1]]=1,$I$3+$A$988+IF($K$3=0,Tab.11[[#This Row],[b10]]*_xlfn.STDEV.P(Tab.11[data]),AVERAGE(Tab.11[b6])+Tab.11[[#This Row],[b10]]*_xlfn.STDEV.P(Tab.11[data])))</f>
        <v>0</v>
      </c>
      <c r="U849" s="72" t="b">
        <f>IF(Tab.11[[#This Row],[a1]]=1,Tab.11[[#This Row],[target]]-Tab.11[[#This Row],[Red]])</f>
        <v>0</v>
      </c>
      <c r="V849" s="72" t="b">
        <f>IF(Tab.11[[#This Row],[a1]]=1,Tab.11[[#This Row],[target]]-Tab.11[[#This Row],[Blue]])</f>
        <v>0</v>
      </c>
      <c r="W849" s="73" t="b">
        <f>IF(Tab.11[[#This Row],[a1]]=1,IF(ABS(Tab.11[[#This Row],[b17]])+ABS(Tab.11[[#This Row],[b18]])&lt;$W$2,$W$2,ABS(Tab.11[[#This Row],[b17]])+ABS(Tab.11[[#This Row],[b18]])))</f>
        <v>0</v>
      </c>
      <c r="X849" s="136" t="b">
        <f>IF(Tab.11[[#This Row],[a1]]=1,IF($W$3&lt;0,Tab.11[[#This Row],[IN]]-$I$3,Tab.11[[#This Row],[IN]]))</f>
        <v>0</v>
      </c>
      <c r="Y849" s="136" t="b">
        <f>IF(Tab.11[[#This Row],[a1]]=1,IF($X$3=0,Tab.11[b66],Tab.11[[#This Row],[b66]]-AVERAGE(Tab.11[b66])))</f>
        <v>0</v>
      </c>
      <c r="Z849" s="135" t="b">
        <f>IF(Tab.11[[#This Row],[a1]]=1,Tab.11[[#This Row],[b77]]/(_xlfn.STDEV.P(Tab.11[b77])))</f>
        <v>0</v>
      </c>
      <c r="AA849" s="70" t="b">
        <f>IF(Tab.11[[#This Row],[a1]]=1,_xlfn.NORM.DIST(Tab.11[[#This Row],[b88]],$Z$1,$AA$1,FALSE))</f>
        <v>0</v>
      </c>
      <c r="AB849" s="74" t="b">
        <f>IF(Tab.11[[#This Row],[a1]]=1,IF($A$3=0,FALSE,1/Tab.11[[#This Row],[IN]]*$AC$2*IF(Tab.11[[#This Row],[a1]]=0,,$A$3*$AC$1*1/$V$3*(Tab.11[[#This Row],[b14]]))))</f>
        <v>0</v>
      </c>
      <c r="AC849" s="75" t="b">
        <f>IF(Tab.11[[#This Row],[a1]]=1,IF($AC$3=0,Tab.11[[#This Row],[φ1]],Tab.11[[#This Row],[φ1]]/MAX(Tab.11[φ1])))</f>
        <v>0</v>
      </c>
      <c r="AD849" s="74" t="b">
        <f>IF(Tab.11[[#This Row],[a1]]=1,1/Tab.11[[#This Row],[φ2]])</f>
        <v>0</v>
      </c>
      <c r="AE849" s="74" t="b">
        <f>IF(Tab.11[[#This Row],[a1]]=1,IF($AE$3=0,Tab.11[[#This Row],[w.0]],Tab.11[[#This Row],[w.0]]/SUM(Tab.11[w.0])))</f>
        <v>0</v>
      </c>
      <c r="AF849" s="76" t="str">
        <f>IF(Tab.11[[#This Row],[a1]]=0,"false",[3]!Tab.x5[[#This Row],[%_seN_C]])</f>
        <v>false</v>
      </c>
      <c r="AG849" s="77" t="b">
        <f>IF(Tab.11[[#This Row],[a1]]=1,AP849)</f>
        <v>0</v>
      </c>
      <c r="AH849" s="78" t="b">
        <f>IF(Tab.11[[#This Row],[a1]]=1,AQ849)</f>
        <v>0</v>
      </c>
      <c r="AI849" s="41">
        <v>3.0000000000000001E-3</v>
      </c>
      <c r="AJ849" s="79">
        <v>-0.08</v>
      </c>
      <c r="AK849" s="80" t="b">
        <f>IF(Tab.11[[#This Row],[a1]]=1,1)</f>
        <v>0</v>
      </c>
      <c r="AL849"/>
      <c r="AM849"/>
      <c r="AN849"/>
      <c r="AO849"/>
      <c r="AP849"/>
      <c r="AQ849"/>
      <c r="AR849"/>
      <c r="AS849"/>
    </row>
    <row r="850" spans="1:45" s="81" customFormat="1" hidden="1" x14ac:dyDescent="0.25">
      <c r="A850" s="61">
        <f t="shared" si="27"/>
        <v>0</v>
      </c>
      <c r="B850" s="62">
        <f t="shared" si="27"/>
        <v>0</v>
      </c>
      <c r="C850" s="62" t="b">
        <f>IF(Tab.11[[#This Row],[a1]]=1,[3]!Tab_x1[[#This Row],[Name]])</f>
        <v>0</v>
      </c>
      <c r="D850" s="63" t="b">
        <f>IF(Tab.11[[#This Row],[a1]]=1,AO850)</f>
        <v>0</v>
      </c>
      <c r="E850" s="63">
        <f t="shared" si="28"/>
        <v>0</v>
      </c>
      <c r="F850" s="64" t="b">
        <f>IF(Tab.11[[#This Row],[a1]]=1,Tab.11[[#This Row],[b1]])</f>
        <v>0</v>
      </c>
      <c r="G850" s="65" t="b">
        <f>IF(Tab.11[[#This Row],[a1]]=1,IF(Tab.11[[#This Row],[b3]]&gt;$L$989*$G$3,$L$989*$G$3,IF(Tab.11[[#This Row],[b3]]&lt;$M$989*$G$3,$M$989*$G$3,Tab.11[[#This Row],[b3]])))</f>
        <v>0</v>
      </c>
      <c r="H850" s="66" t="b">
        <f>IF(Tab.11[[#This Row],[a1]]=1,Tab.11[[#This Row],[b1]])</f>
        <v>0</v>
      </c>
      <c r="I850" s="67" t="b">
        <f>IF(Tab.11[[#This Row],[a1]]=1,Tab.11[[#This Row],[b1]])</f>
        <v>0</v>
      </c>
      <c r="J850" s="68" t="b">
        <f>IF(Tab.11[[#This Row],[a1]]=1,IF($I$3&lt;0,Tab.11[[#This Row],[b5]]-$I$3,Tab.11[[#This Row],[b5]]))</f>
        <v>0</v>
      </c>
      <c r="K850" s="68" t="b">
        <f>IF(Tab.11[[#This Row],[a1]]=1,IF($K$3=0,Tab.11[b6],Tab.11[[#This Row],[b6]]-AVERAGE(Tab.11[b6])))</f>
        <v>0</v>
      </c>
      <c r="L850" s="69" t="b">
        <f>IF(Tab.11[[#This Row],[a1]]=1,Tab.11[[#This Row],[data]]/(_xlfn.STDEV.P(Tab.11[data])*$B$989)+$A$989)</f>
        <v>0</v>
      </c>
      <c r="M850" s="69" t="b">
        <f>IF(Tab.11[[#This Row],[a1]]=1,Tab.11[[#This Row],[data]]/(_xlfn.STDEV.P(Tab.11[data])*$B$987)-$A$987)</f>
        <v>0</v>
      </c>
      <c r="N850" s="69" t="b">
        <f>IF(Tab.11[[#This Row],[a1]]=1,Tab.11[[#This Row],[data]]/(_xlfn.STDEV.P(Tab.11[data])*$B$988)+$A$988)</f>
        <v>0</v>
      </c>
      <c r="O850" s="70" t="b">
        <f>IF(Tab.11[[#This Row],[a1]]=1,_xlfn.NORM.DIST(Tab.11[[#This Row],[b8]],$P$1,$Q$1,FALSE))</f>
        <v>0</v>
      </c>
      <c r="P850" s="70" t="b">
        <f>IF(Tab.11[[#This Row],[a1]]=1,_xlfn.NORM.DIST(Tab.11[[#This Row],[b9]],$P$1,$Q$1,FALSE))</f>
        <v>0</v>
      </c>
      <c r="Q850" s="70" t="b">
        <f>IF(Tab.11[[#This Row],[a1]]=1,_xlfn.NORM.DIST(Tab.11[[#This Row],[b10]],$P$1,$Q$1,FALSE))</f>
        <v>0</v>
      </c>
      <c r="R850" s="67" t="b">
        <f>IF(Tab.11[[#This Row],[a1]]=1,$I$3+$A$989+IF($K$3=0,Tab.11[[#This Row],[b8]]*_xlfn.STDEV.P(Tab.11[data]),AVERAGE(Tab.11[b6])+Tab.11[[#This Row],[b8]]*_xlfn.STDEV.P(Tab.11[data])))</f>
        <v>0</v>
      </c>
      <c r="S850" s="71" t="b">
        <f>IF(Tab.11[[#This Row],[a1]]=1,$I$3+$A$987+IF($K$3=0,Tab.11[[#This Row],[b9]]*_xlfn.STDEV.P(Tab.11[data]),AVERAGE(Tab.11[b6])+Tab.11[[#This Row],[b9]]*_xlfn.STDEV.P(Tab.11[data])))</f>
        <v>0</v>
      </c>
      <c r="T850" s="71" t="b">
        <f>IF(Tab.11[[#This Row],[a1]]=1,$I$3+$A$988+IF($K$3=0,Tab.11[[#This Row],[b10]]*_xlfn.STDEV.P(Tab.11[data]),AVERAGE(Tab.11[b6])+Tab.11[[#This Row],[b10]]*_xlfn.STDEV.P(Tab.11[data])))</f>
        <v>0</v>
      </c>
      <c r="U850" s="72" t="b">
        <f>IF(Tab.11[[#This Row],[a1]]=1,Tab.11[[#This Row],[target]]-Tab.11[[#This Row],[Red]])</f>
        <v>0</v>
      </c>
      <c r="V850" s="72" t="b">
        <f>IF(Tab.11[[#This Row],[a1]]=1,Tab.11[[#This Row],[target]]-Tab.11[[#This Row],[Blue]])</f>
        <v>0</v>
      </c>
      <c r="W850" s="73" t="b">
        <f>IF(Tab.11[[#This Row],[a1]]=1,IF(ABS(Tab.11[[#This Row],[b17]])+ABS(Tab.11[[#This Row],[b18]])&lt;$W$2,$W$2,ABS(Tab.11[[#This Row],[b17]])+ABS(Tab.11[[#This Row],[b18]])))</f>
        <v>0</v>
      </c>
      <c r="X850" s="136" t="b">
        <f>IF(Tab.11[[#This Row],[a1]]=1,IF($W$3&lt;0,Tab.11[[#This Row],[IN]]-$I$3,Tab.11[[#This Row],[IN]]))</f>
        <v>0</v>
      </c>
      <c r="Y850" s="136" t="b">
        <f>IF(Tab.11[[#This Row],[a1]]=1,IF($X$3=0,Tab.11[b66],Tab.11[[#This Row],[b66]]-AVERAGE(Tab.11[b66])))</f>
        <v>0</v>
      </c>
      <c r="Z850" s="135" t="b">
        <f>IF(Tab.11[[#This Row],[a1]]=1,Tab.11[[#This Row],[b77]]/(_xlfn.STDEV.P(Tab.11[b77])))</f>
        <v>0</v>
      </c>
      <c r="AA850" s="70" t="b">
        <f>IF(Tab.11[[#This Row],[a1]]=1,_xlfn.NORM.DIST(Tab.11[[#This Row],[b88]],$Z$1,$AA$1,FALSE))</f>
        <v>0</v>
      </c>
      <c r="AB850" s="74" t="b">
        <f>IF(Tab.11[[#This Row],[a1]]=1,IF($A$3=0,FALSE,1/Tab.11[[#This Row],[IN]]*$AC$2*IF(Tab.11[[#This Row],[a1]]=0,,$A$3*$AC$1*1/$V$3*(Tab.11[[#This Row],[b14]]))))</f>
        <v>0</v>
      </c>
      <c r="AC850" s="75" t="b">
        <f>IF(Tab.11[[#This Row],[a1]]=1,IF($AC$3=0,Tab.11[[#This Row],[φ1]],Tab.11[[#This Row],[φ1]]/MAX(Tab.11[φ1])))</f>
        <v>0</v>
      </c>
      <c r="AD850" s="74" t="b">
        <f>IF(Tab.11[[#This Row],[a1]]=1,1/Tab.11[[#This Row],[φ2]])</f>
        <v>0</v>
      </c>
      <c r="AE850" s="74" t="b">
        <f>IF(Tab.11[[#This Row],[a1]]=1,IF($AE$3=0,Tab.11[[#This Row],[w.0]],Tab.11[[#This Row],[w.0]]/SUM(Tab.11[w.0])))</f>
        <v>0</v>
      </c>
      <c r="AF850" s="76" t="str">
        <f>IF(Tab.11[[#This Row],[a1]]=0,"false",[3]!Tab.x5[[#This Row],[%_seN_C]])</f>
        <v>false</v>
      </c>
      <c r="AG850" s="77" t="b">
        <f>IF(Tab.11[[#This Row],[a1]]=1,AP850)</f>
        <v>0</v>
      </c>
      <c r="AH850" s="78" t="b">
        <f>IF(Tab.11[[#This Row],[a1]]=1,AQ850)</f>
        <v>0</v>
      </c>
      <c r="AI850" s="41">
        <v>3.0000000000000001E-3</v>
      </c>
      <c r="AJ850" s="79">
        <v>-0.02</v>
      </c>
      <c r="AK850" s="80" t="b">
        <f>IF(Tab.11[[#This Row],[a1]]=1,1)</f>
        <v>0</v>
      </c>
      <c r="AL850"/>
      <c r="AM850"/>
      <c r="AN850"/>
      <c r="AO850"/>
      <c r="AP850"/>
      <c r="AQ850"/>
      <c r="AR850"/>
      <c r="AS850"/>
    </row>
    <row r="851" spans="1:45" s="81" customFormat="1" hidden="1" x14ac:dyDescent="0.25">
      <c r="A851" s="61">
        <f t="shared" si="27"/>
        <v>0</v>
      </c>
      <c r="B851" s="62">
        <f t="shared" si="27"/>
        <v>0</v>
      </c>
      <c r="C851" s="62" t="b">
        <f>IF(Tab.11[[#This Row],[a1]]=1,[3]!Tab_x1[[#This Row],[Name]])</f>
        <v>0</v>
      </c>
      <c r="D851" s="63" t="b">
        <f>IF(Tab.11[[#This Row],[a1]]=1,AO851)</f>
        <v>0</v>
      </c>
      <c r="E851" s="63">
        <f t="shared" si="28"/>
        <v>0</v>
      </c>
      <c r="F851" s="64" t="b">
        <f>IF(Tab.11[[#This Row],[a1]]=1,Tab.11[[#This Row],[b1]])</f>
        <v>0</v>
      </c>
      <c r="G851" s="65" t="b">
        <f>IF(Tab.11[[#This Row],[a1]]=1,IF(Tab.11[[#This Row],[b3]]&gt;$L$989*$G$3,$L$989*$G$3,IF(Tab.11[[#This Row],[b3]]&lt;$M$989*$G$3,$M$989*$G$3,Tab.11[[#This Row],[b3]])))</f>
        <v>0</v>
      </c>
      <c r="H851" s="66" t="b">
        <f>IF(Tab.11[[#This Row],[a1]]=1,Tab.11[[#This Row],[b1]])</f>
        <v>0</v>
      </c>
      <c r="I851" s="67" t="b">
        <f>IF(Tab.11[[#This Row],[a1]]=1,Tab.11[[#This Row],[b1]])</f>
        <v>0</v>
      </c>
      <c r="J851" s="68" t="b">
        <f>IF(Tab.11[[#This Row],[a1]]=1,IF($I$3&lt;0,Tab.11[[#This Row],[b5]]-$I$3,Tab.11[[#This Row],[b5]]))</f>
        <v>0</v>
      </c>
      <c r="K851" s="68" t="b">
        <f>IF(Tab.11[[#This Row],[a1]]=1,IF($K$3=0,Tab.11[b6],Tab.11[[#This Row],[b6]]-AVERAGE(Tab.11[b6])))</f>
        <v>0</v>
      </c>
      <c r="L851" s="69" t="b">
        <f>IF(Tab.11[[#This Row],[a1]]=1,Tab.11[[#This Row],[data]]/(_xlfn.STDEV.P(Tab.11[data])*$B$989)+$A$989)</f>
        <v>0</v>
      </c>
      <c r="M851" s="69" t="b">
        <f>IF(Tab.11[[#This Row],[a1]]=1,Tab.11[[#This Row],[data]]/(_xlfn.STDEV.P(Tab.11[data])*$B$987)-$A$987)</f>
        <v>0</v>
      </c>
      <c r="N851" s="69" t="b">
        <f>IF(Tab.11[[#This Row],[a1]]=1,Tab.11[[#This Row],[data]]/(_xlfn.STDEV.P(Tab.11[data])*$B$988)+$A$988)</f>
        <v>0</v>
      </c>
      <c r="O851" s="70" t="b">
        <f>IF(Tab.11[[#This Row],[a1]]=1,_xlfn.NORM.DIST(Tab.11[[#This Row],[b8]],$P$1,$Q$1,FALSE))</f>
        <v>0</v>
      </c>
      <c r="P851" s="70" t="b">
        <f>IF(Tab.11[[#This Row],[a1]]=1,_xlfn.NORM.DIST(Tab.11[[#This Row],[b9]],$P$1,$Q$1,FALSE))</f>
        <v>0</v>
      </c>
      <c r="Q851" s="70" t="b">
        <f>IF(Tab.11[[#This Row],[a1]]=1,_xlfn.NORM.DIST(Tab.11[[#This Row],[b10]],$P$1,$Q$1,FALSE))</f>
        <v>0</v>
      </c>
      <c r="R851" s="67" t="b">
        <f>IF(Tab.11[[#This Row],[a1]]=1,$I$3+$A$989+IF($K$3=0,Tab.11[[#This Row],[b8]]*_xlfn.STDEV.P(Tab.11[data]),AVERAGE(Tab.11[b6])+Tab.11[[#This Row],[b8]]*_xlfn.STDEV.P(Tab.11[data])))</f>
        <v>0</v>
      </c>
      <c r="S851" s="71" t="b">
        <f>IF(Tab.11[[#This Row],[a1]]=1,$I$3+$A$987+IF($K$3=0,Tab.11[[#This Row],[b9]]*_xlfn.STDEV.P(Tab.11[data]),AVERAGE(Tab.11[b6])+Tab.11[[#This Row],[b9]]*_xlfn.STDEV.P(Tab.11[data])))</f>
        <v>0</v>
      </c>
      <c r="T851" s="71" t="b">
        <f>IF(Tab.11[[#This Row],[a1]]=1,$I$3+$A$988+IF($K$3=0,Tab.11[[#This Row],[b10]]*_xlfn.STDEV.P(Tab.11[data]),AVERAGE(Tab.11[b6])+Tab.11[[#This Row],[b10]]*_xlfn.STDEV.P(Tab.11[data])))</f>
        <v>0</v>
      </c>
      <c r="U851" s="72" t="b">
        <f>IF(Tab.11[[#This Row],[a1]]=1,Tab.11[[#This Row],[target]]-Tab.11[[#This Row],[Red]])</f>
        <v>0</v>
      </c>
      <c r="V851" s="72" t="b">
        <f>IF(Tab.11[[#This Row],[a1]]=1,Tab.11[[#This Row],[target]]-Tab.11[[#This Row],[Blue]])</f>
        <v>0</v>
      </c>
      <c r="W851" s="73" t="b">
        <f>IF(Tab.11[[#This Row],[a1]]=1,IF(ABS(Tab.11[[#This Row],[b17]])+ABS(Tab.11[[#This Row],[b18]])&lt;$W$2,$W$2,ABS(Tab.11[[#This Row],[b17]])+ABS(Tab.11[[#This Row],[b18]])))</f>
        <v>0</v>
      </c>
      <c r="X851" s="136" t="b">
        <f>IF(Tab.11[[#This Row],[a1]]=1,IF($W$3&lt;0,Tab.11[[#This Row],[IN]]-$I$3,Tab.11[[#This Row],[IN]]))</f>
        <v>0</v>
      </c>
      <c r="Y851" s="136" t="b">
        <f>IF(Tab.11[[#This Row],[a1]]=1,IF($X$3=0,Tab.11[b66],Tab.11[[#This Row],[b66]]-AVERAGE(Tab.11[b66])))</f>
        <v>0</v>
      </c>
      <c r="Z851" s="135" t="b">
        <f>IF(Tab.11[[#This Row],[a1]]=1,Tab.11[[#This Row],[b77]]/(_xlfn.STDEV.P(Tab.11[b77])))</f>
        <v>0</v>
      </c>
      <c r="AA851" s="70" t="b">
        <f>IF(Tab.11[[#This Row],[a1]]=1,_xlfn.NORM.DIST(Tab.11[[#This Row],[b88]],$Z$1,$AA$1,FALSE))</f>
        <v>0</v>
      </c>
      <c r="AB851" s="74" t="b">
        <f>IF(Tab.11[[#This Row],[a1]]=1,IF($A$3=0,FALSE,1/Tab.11[[#This Row],[IN]]*$AC$2*IF(Tab.11[[#This Row],[a1]]=0,,$A$3*$AC$1*1/$V$3*(Tab.11[[#This Row],[b14]]))))</f>
        <v>0</v>
      </c>
      <c r="AC851" s="75" t="b">
        <f>IF(Tab.11[[#This Row],[a1]]=1,IF($AC$3=0,Tab.11[[#This Row],[φ1]],Tab.11[[#This Row],[φ1]]/MAX(Tab.11[φ1])))</f>
        <v>0</v>
      </c>
      <c r="AD851" s="74" t="b">
        <f>IF(Tab.11[[#This Row],[a1]]=1,1/Tab.11[[#This Row],[φ2]])</f>
        <v>0</v>
      </c>
      <c r="AE851" s="74" t="b">
        <f>IF(Tab.11[[#This Row],[a1]]=1,IF($AE$3=0,Tab.11[[#This Row],[w.0]],Tab.11[[#This Row],[w.0]]/SUM(Tab.11[w.0])))</f>
        <v>0</v>
      </c>
      <c r="AF851" s="76" t="str">
        <f>IF(Tab.11[[#This Row],[a1]]=0,"false",[3]!Tab.x5[[#This Row],[%_seN_C]])</f>
        <v>false</v>
      </c>
      <c r="AG851" s="77" t="b">
        <f>IF(Tab.11[[#This Row],[a1]]=1,AP851)</f>
        <v>0</v>
      </c>
      <c r="AH851" s="78" t="b">
        <f>IF(Tab.11[[#This Row],[a1]]=1,AQ851)</f>
        <v>0</v>
      </c>
      <c r="AI851" s="41">
        <v>3.0000000000000001E-3</v>
      </c>
      <c r="AJ851" s="79">
        <v>-0.04</v>
      </c>
      <c r="AK851" s="80" t="b">
        <f>IF(Tab.11[[#This Row],[a1]]=1,1)</f>
        <v>0</v>
      </c>
      <c r="AL851"/>
      <c r="AM851"/>
      <c r="AN851"/>
      <c r="AO851"/>
      <c r="AP851"/>
      <c r="AQ851"/>
      <c r="AR851"/>
      <c r="AS851"/>
    </row>
    <row r="852" spans="1:45" s="81" customFormat="1" hidden="1" x14ac:dyDescent="0.25">
      <c r="A852" s="61">
        <f t="shared" si="27"/>
        <v>0</v>
      </c>
      <c r="B852" s="62">
        <f t="shared" si="27"/>
        <v>0</v>
      </c>
      <c r="C852" s="62" t="b">
        <f>IF(Tab.11[[#This Row],[a1]]=1,[3]!Tab_x1[[#This Row],[Name]])</f>
        <v>0</v>
      </c>
      <c r="D852" s="63" t="b">
        <f>IF(Tab.11[[#This Row],[a1]]=1,AO852)</f>
        <v>0</v>
      </c>
      <c r="E852" s="63">
        <f t="shared" si="28"/>
        <v>0</v>
      </c>
      <c r="F852" s="64" t="b">
        <f>IF(Tab.11[[#This Row],[a1]]=1,Tab.11[[#This Row],[b1]])</f>
        <v>0</v>
      </c>
      <c r="G852" s="65" t="b">
        <f>IF(Tab.11[[#This Row],[a1]]=1,IF(Tab.11[[#This Row],[b3]]&gt;$L$989*$G$3,$L$989*$G$3,IF(Tab.11[[#This Row],[b3]]&lt;$M$989*$G$3,$M$989*$G$3,Tab.11[[#This Row],[b3]])))</f>
        <v>0</v>
      </c>
      <c r="H852" s="66" t="b">
        <f>IF(Tab.11[[#This Row],[a1]]=1,Tab.11[[#This Row],[b1]])</f>
        <v>0</v>
      </c>
      <c r="I852" s="67" t="b">
        <f>IF(Tab.11[[#This Row],[a1]]=1,Tab.11[[#This Row],[b1]])</f>
        <v>0</v>
      </c>
      <c r="J852" s="68" t="b">
        <f>IF(Tab.11[[#This Row],[a1]]=1,IF($I$3&lt;0,Tab.11[[#This Row],[b5]]-$I$3,Tab.11[[#This Row],[b5]]))</f>
        <v>0</v>
      </c>
      <c r="K852" s="68" t="b">
        <f>IF(Tab.11[[#This Row],[a1]]=1,IF($K$3=0,Tab.11[b6],Tab.11[[#This Row],[b6]]-AVERAGE(Tab.11[b6])))</f>
        <v>0</v>
      </c>
      <c r="L852" s="69" t="b">
        <f>IF(Tab.11[[#This Row],[a1]]=1,Tab.11[[#This Row],[data]]/(_xlfn.STDEV.P(Tab.11[data])*$B$989)+$A$989)</f>
        <v>0</v>
      </c>
      <c r="M852" s="69" t="b">
        <f>IF(Tab.11[[#This Row],[a1]]=1,Tab.11[[#This Row],[data]]/(_xlfn.STDEV.P(Tab.11[data])*$B$987)-$A$987)</f>
        <v>0</v>
      </c>
      <c r="N852" s="69" t="b">
        <f>IF(Tab.11[[#This Row],[a1]]=1,Tab.11[[#This Row],[data]]/(_xlfn.STDEV.P(Tab.11[data])*$B$988)+$A$988)</f>
        <v>0</v>
      </c>
      <c r="O852" s="70" t="b">
        <f>IF(Tab.11[[#This Row],[a1]]=1,_xlfn.NORM.DIST(Tab.11[[#This Row],[b8]],$P$1,$Q$1,FALSE))</f>
        <v>0</v>
      </c>
      <c r="P852" s="70" t="b">
        <f>IF(Tab.11[[#This Row],[a1]]=1,_xlfn.NORM.DIST(Tab.11[[#This Row],[b9]],$P$1,$Q$1,FALSE))</f>
        <v>0</v>
      </c>
      <c r="Q852" s="70" t="b">
        <f>IF(Tab.11[[#This Row],[a1]]=1,_xlfn.NORM.DIST(Tab.11[[#This Row],[b10]],$P$1,$Q$1,FALSE))</f>
        <v>0</v>
      </c>
      <c r="R852" s="67" t="b">
        <f>IF(Tab.11[[#This Row],[a1]]=1,$I$3+$A$989+IF($K$3=0,Tab.11[[#This Row],[b8]]*_xlfn.STDEV.P(Tab.11[data]),AVERAGE(Tab.11[b6])+Tab.11[[#This Row],[b8]]*_xlfn.STDEV.P(Tab.11[data])))</f>
        <v>0</v>
      </c>
      <c r="S852" s="71" t="b">
        <f>IF(Tab.11[[#This Row],[a1]]=1,$I$3+$A$987+IF($K$3=0,Tab.11[[#This Row],[b9]]*_xlfn.STDEV.P(Tab.11[data]),AVERAGE(Tab.11[b6])+Tab.11[[#This Row],[b9]]*_xlfn.STDEV.P(Tab.11[data])))</f>
        <v>0</v>
      </c>
      <c r="T852" s="71" t="b">
        <f>IF(Tab.11[[#This Row],[a1]]=1,$I$3+$A$988+IF($K$3=0,Tab.11[[#This Row],[b10]]*_xlfn.STDEV.P(Tab.11[data]),AVERAGE(Tab.11[b6])+Tab.11[[#This Row],[b10]]*_xlfn.STDEV.P(Tab.11[data])))</f>
        <v>0</v>
      </c>
      <c r="U852" s="72" t="b">
        <f>IF(Tab.11[[#This Row],[a1]]=1,Tab.11[[#This Row],[target]]-Tab.11[[#This Row],[Red]])</f>
        <v>0</v>
      </c>
      <c r="V852" s="72" t="b">
        <f>IF(Tab.11[[#This Row],[a1]]=1,Tab.11[[#This Row],[target]]-Tab.11[[#This Row],[Blue]])</f>
        <v>0</v>
      </c>
      <c r="W852" s="73" t="b">
        <f>IF(Tab.11[[#This Row],[a1]]=1,IF(ABS(Tab.11[[#This Row],[b17]])+ABS(Tab.11[[#This Row],[b18]])&lt;$W$2,$W$2,ABS(Tab.11[[#This Row],[b17]])+ABS(Tab.11[[#This Row],[b18]])))</f>
        <v>0</v>
      </c>
      <c r="X852" s="136" t="b">
        <f>IF(Tab.11[[#This Row],[a1]]=1,IF($W$3&lt;0,Tab.11[[#This Row],[IN]]-$I$3,Tab.11[[#This Row],[IN]]))</f>
        <v>0</v>
      </c>
      <c r="Y852" s="136" t="b">
        <f>IF(Tab.11[[#This Row],[a1]]=1,IF($X$3=0,Tab.11[b66],Tab.11[[#This Row],[b66]]-AVERAGE(Tab.11[b66])))</f>
        <v>0</v>
      </c>
      <c r="Z852" s="135" t="b">
        <f>IF(Tab.11[[#This Row],[a1]]=1,Tab.11[[#This Row],[b77]]/(_xlfn.STDEV.P(Tab.11[b77])))</f>
        <v>0</v>
      </c>
      <c r="AA852" s="70" t="b">
        <f>IF(Tab.11[[#This Row],[a1]]=1,_xlfn.NORM.DIST(Tab.11[[#This Row],[b88]],$Z$1,$AA$1,FALSE))</f>
        <v>0</v>
      </c>
      <c r="AB852" s="74" t="b">
        <f>IF(Tab.11[[#This Row],[a1]]=1,IF($A$3=0,FALSE,1/Tab.11[[#This Row],[IN]]*$AC$2*IF(Tab.11[[#This Row],[a1]]=0,,$A$3*$AC$1*1/$V$3*(Tab.11[[#This Row],[b14]]))))</f>
        <v>0</v>
      </c>
      <c r="AC852" s="75" t="b">
        <f>IF(Tab.11[[#This Row],[a1]]=1,IF($AC$3=0,Tab.11[[#This Row],[φ1]],Tab.11[[#This Row],[φ1]]/MAX(Tab.11[φ1])))</f>
        <v>0</v>
      </c>
      <c r="AD852" s="74" t="b">
        <f>IF(Tab.11[[#This Row],[a1]]=1,1/Tab.11[[#This Row],[φ2]])</f>
        <v>0</v>
      </c>
      <c r="AE852" s="74" t="b">
        <f>IF(Tab.11[[#This Row],[a1]]=1,IF($AE$3=0,Tab.11[[#This Row],[w.0]],Tab.11[[#This Row],[w.0]]/SUM(Tab.11[w.0])))</f>
        <v>0</v>
      </c>
      <c r="AF852" s="76" t="str">
        <f>IF(Tab.11[[#This Row],[a1]]=0,"false",[3]!Tab.x5[[#This Row],[%_seN_C]])</f>
        <v>false</v>
      </c>
      <c r="AG852" s="77" t="b">
        <f>IF(Tab.11[[#This Row],[a1]]=1,AP852)</f>
        <v>0</v>
      </c>
      <c r="AH852" s="78" t="b">
        <f>IF(Tab.11[[#This Row],[a1]]=1,AQ852)</f>
        <v>0</v>
      </c>
      <c r="AI852" s="41">
        <v>3.0000000000000001E-3</v>
      </c>
      <c r="AJ852" s="79">
        <v>0.05</v>
      </c>
      <c r="AK852" s="80" t="b">
        <f>IF(Tab.11[[#This Row],[a1]]=1,1)</f>
        <v>0</v>
      </c>
      <c r="AL852"/>
      <c r="AM852"/>
      <c r="AN852"/>
      <c r="AO852"/>
      <c r="AP852"/>
      <c r="AQ852"/>
      <c r="AR852"/>
      <c r="AS852"/>
    </row>
    <row r="853" spans="1:45" s="81" customFormat="1" hidden="1" x14ac:dyDescent="0.25">
      <c r="A853" s="61">
        <f t="shared" ref="A853:B916" si="29">AM853</f>
        <v>0</v>
      </c>
      <c r="B853" s="62">
        <f t="shared" si="29"/>
        <v>0</v>
      </c>
      <c r="C853" s="62" t="b">
        <f>IF(Tab.11[[#This Row],[a1]]=1,[3]!Tab_x1[[#This Row],[Name]])</f>
        <v>0</v>
      </c>
      <c r="D853" s="63" t="b">
        <f>IF(Tab.11[[#This Row],[a1]]=1,AO853)</f>
        <v>0</v>
      </c>
      <c r="E853" s="63">
        <f t="shared" si="28"/>
        <v>0</v>
      </c>
      <c r="F853" s="64" t="b">
        <f>IF(Tab.11[[#This Row],[a1]]=1,Tab.11[[#This Row],[b1]])</f>
        <v>0</v>
      </c>
      <c r="G853" s="65" t="b">
        <f>IF(Tab.11[[#This Row],[a1]]=1,IF(Tab.11[[#This Row],[b3]]&gt;$L$989*$G$3,$L$989*$G$3,IF(Tab.11[[#This Row],[b3]]&lt;$M$989*$G$3,$M$989*$G$3,Tab.11[[#This Row],[b3]])))</f>
        <v>0</v>
      </c>
      <c r="H853" s="66" t="b">
        <f>IF(Tab.11[[#This Row],[a1]]=1,Tab.11[[#This Row],[b1]])</f>
        <v>0</v>
      </c>
      <c r="I853" s="67" t="b">
        <f>IF(Tab.11[[#This Row],[a1]]=1,Tab.11[[#This Row],[b1]])</f>
        <v>0</v>
      </c>
      <c r="J853" s="68" t="b">
        <f>IF(Tab.11[[#This Row],[a1]]=1,IF($I$3&lt;0,Tab.11[[#This Row],[b5]]-$I$3,Tab.11[[#This Row],[b5]]))</f>
        <v>0</v>
      </c>
      <c r="K853" s="68" t="b">
        <f>IF(Tab.11[[#This Row],[a1]]=1,IF($K$3=0,Tab.11[b6],Tab.11[[#This Row],[b6]]-AVERAGE(Tab.11[b6])))</f>
        <v>0</v>
      </c>
      <c r="L853" s="69" t="b">
        <f>IF(Tab.11[[#This Row],[a1]]=1,Tab.11[[#This Row],[data]]/(_xlfn.STDEV.P(Tab.11[data])*$B$989)+$A$989)</f>
        <v>0</v>
      </c>
      <c r="M853" s="69" t="b">
        <f>IF(Tab.11[[#This Row],[a1]]=1,Tab.11[[#This Row],[data]]/(_xlfn.STDEV.P(Tab.11[data])*$B$987)-$A$987)</f>
        <v>0</v>
      </c>
      <c r="N853" s="69" t="b">
        <f>IF(Tab.11[[#This Row],[a1]]=1,Tab.11[[#This Row],[data]]/(_xlfn.STDEV.P(Tab.11[data])*$B$988)+$A$988)</f>
        <v>0</v>
      </c>
      <c r="O853" s="70" t="b">
        <f>IF(Tab.11[[#This Row],[a1]]=1,_xlfn.NORM.DIST(Tab.11[[#This Row],[b8]],$P$1,$Q$1,FALSE))</f>
        <v>0</v>
      </c>
      <c r="P853" s="70" t="b">
        <f>IF(Tab.11[[#This Row],[a1]]=1,_xlfn.NORM.DIST(Tab.11[[#This Row],[b9]],$P$1,$Q$1,FALSE))</f>
        <v>0</v>
      </c>
      <c r="Q853" s="70" t="b">
        <f>IF(Tab.11[[#This Row],[a1]]=1,_xlfn.NORM.DIST(Tab.11[[#This Row],[b10]],$P$1,$Q$1,FALSE))</f>
        <v>0</v>
      </c>
      <c r="R853" s="67" t="b">
        <f>IF(Tab.11[[#This Row],[a1]]=1,$I$3+$A$989+IF($K$3=0,Tab.11[[#This Row],[b8]]*_xlfn.STDEV.P(Tab.11[data]),AVERAGE(Tab.11[b6])+Tab.11[[#This Row],[b8]]*_xlfn.STDEV.P(Tab.11[data])))</f>
        <v>0</v>
      </c>
      <c r="S853" s="71" t="b">
        <f>IF(Tab.11[[#This Row],[a1]]=1,$I$3+$A$987+IF($K$3=0,Tab.11[[#This Row],[b9]]*_xlfn.STDEV.P(Tab.11[data]),AVERAGE(Tab.11[b6])+Tab.11[[#This Row],[b9]]*_xlfn.STDEV.P(Tab.11[data])))</f>
        <v>0</v>
      </c>
      <c r="T853" s="71" t="b">
        <f>IF(Tab.11[[#This Row],[a1]]=1,$I$3+$A$988+IF($K$3=0,Tab.11[[#This Row],[b10]]*_xlfn.STDEV.P(Tab.11[data]),AVERAGE(Tab.11[b6])+Tab.11[[#This Row],[b10]]*_xlfn.STDEV.P(Tab.11[data])))</f>
        <v>0</v>
      </c>
      <c r="U853" s="72" t="b">
        <f>IF(Tab.11[[#This Row],[a1]]=1,Tab.11[[#This Row],[target]]-Tab.11[[#This Row],[Red]])</f>
        <v>0</v>
      </c>
      <c r="V853" s="72" t="b">
        <f>IF(Tab.11[[#This Row],[a1]]=1,Tab.11[[#This Row],[target]]-Tab.11[[#This Row],[Blue]])</f>
        <v>0</v>
      </c>
      <c r="W853" s="73" t="b">
        <f>IF(Tab.11[[#This Row],[a1]]=1,IF(ABS(Tab.11[[#This Row],[b17]])+ABS(Tab.11[[#This Row],[b18]])&lt;$W$2,$W$2,ABS(Tab.11[[#This Row],[b17]])+ABS(Tab.11[[#This Row],[b18]])))</f>
        <v>0</v>
      </c>
      <c r="X853" s="136" t="b">
        <f>IF(Tab.11[[#This Row],[a1]]=1,IF($W$3&lt;0,Tab.11[[#This Row],[IN]]-$I$3,Tab.11[[#This Row],[IN]]))</f>
        <v>0</v>
      </c>
      <c r="Y853" s="136" t="b">
        <f>IF(Tab.11[[#This Row],[a1]]=1,IF($X$3=0,Tab.11[b66],Tab.11[[#This Row],[b66]]-AVERAGE(Tab.11[b66])))</f>
        <v>0</v>
      </c>
      <c r="Z853" s="135" t="b">
        <f>IF(Tab.11[[#This Row],[a1]]=1,Tab.11[[#This Row],[b77]]/(_xlfn.STDEV.P(Tab.11[b77])))</f>
        <v>0</v>
      </c>
      <c r="AA853" s="70" t="b">
        <f>IF(Tab.11[[#This Row],[a1]]=1,_xlfn.NORM.DIST(Tab.11[[#This Row],[b88]],$Z$1,$AA$1,FALSE))</f>
        <v>0</v>
      </c>
      <c r="AB853" s="74" t="b">
        <f>IF(Tab.11[[#This Row],[a1]]=1,IF($A$3=0,FALSE,1/Tab.11[[#This Row],[IN]]*$AC$2*IF(Tab.11[[#This Row],[a1]]=0,,$A$3*$AC$1*1/$V$3*(Tab.11[[#This Row],[b14]]))))</f>
        <v>0</v>
      </c>
      <c r="AC853" s="75" t="b">
        <f>IF(Tab.11[[#This Row],[a1]]=1,IF($AC$3=0,Tab.11[[#This Row],[φ1]],Tab.11[[#This Row],[φ1]]/MAX(Tab.11[φ1])))</f>
        <v>0</v>
      </c>
      <c r="AD853" s="74" t="b">
        <f>IF(Tab.11[[#This Row],[a1]]=1,1/Tab.11[[#This Row],[φ2]])</f>
        <v>0</v>
      </c>
      <c r="AE853" s="74" t="b">
        <f>IF(Tab.11[[#This Row],[a1]]=1,IF($AE$3=0,Tab.11[[#This Row],[w.0]],Tab.11[[#This Row],[w.0]]/SUM(Tab.11[w.0])))</f>
        <v>0</v>
      </c>
      <c r="AF853" s="76" t="str">
        <f>IF(Tab.11[[#This Row],[a1]]=0,"false",[3]!Tab.x5[[#This Row],[%_seN_C]])</f>
        <v>false</v>
      </c>
      <c r="AG853" s="77" t="b">
        <f>IF(Tab.11[[#This Row],[a1]]=1,AP853)</f>
        <v>0</v>
      </c>
      <c r="AH853" s="78" t="b">
        <f>IF(Tab.11[[#This Row],[a1]]=1,AQ853)</f>
        <v>0</v>
      </c>
      <c r="AI853" s="41">
        <v>3.0000000000000001E-3</v>
      </c>
      <c r="AJ853" s="79">
        <v>0.1</v>
      </c>
      <c r="AK853" s="80" t="b">
        <f>IF(Tab.11[[#This Row],[a1]]=1,1)</f>
        <v>0</v>
      </c>
      <c r="AL853"/>
      <c r="AM853"/>
      <c r="AN853"/>
      <c r="AO853"/>
      <c r="AP853"/>
      <c r="AQ853"/>
      <c r="AR853"/>
      <c r="AS853"/>
    </row>
    <row r="854" spans="1:45" s="81" customFormat="1" hidden="1" x14ac:dyDescent="0.25">
      <c r="A854" s="61">
        <f t="shared" si="29"/>
        <v>0</v>
      </c>
      <c r="B854" s="62">
        <f t="shared" si="29"/>
        <v>0</v>
      </c>
      <c r="C854" s="62" t="b">
        <f>IF(Tab.11[[#This Row],[a1]]=1,[3]!Tab_x1[[#This Row],[Name]])</f>
        <v>0</v>
      </c>
      <c r="D854" s="63" t="b">
        <f>IF(Tab.11[[#This Row],[a1]]=1,AO854)</f>
        <v>0</v>
      </c>
      <c r="E854" s="63">
        <f t="shared" si="28"/>
        <v>0</v>
      </c>
      <c r="F854" s="64" t="b">
        <f>IF(Tab.11[[#This Row],[a1]]=1,Tab.11[[#This Row],[b1]])</f>
        <v>0</v>
      </c>
      <c r="G854" s="65" t="b">
        <f>IF(Tab.11[[#This Row],[a1]]=1,IF(Tab.11[[#This Row],[b3]]&gt;$L$989*$G$3,$L$989*$G$3,IF(Tab.11[[#This Row],[b3]]&lt;$M$989*$G$3,$M$989*$G$3,Tab.11[[#This Row],[b3]])))</f>
        <v>0</v>
      </c>
      <c r="H854" s="66" t="b">
        <f>IF(Tab.11[[#This Row],[a1]]=1,Tab.11[[#This Row],[b1]])</f>
        <v>0</v>
      </c>
      <c r="I854" s="67" t="b">
        <f>IF(Tab.11[[#This Row],[a1]]=1,Tab.11[[#This Row],[b1]])</f>
        <v>0</v>
      </c>
      <c r="J854" s="68" t="b">
        <f>IF(Tab.11[[#This Row],[a1]]=1,IF($I$3&lt;0,Tab.11[[#This Row],[b5]]-$I$3,Tab.11[[#This Row],[b5]]))</f>
        <v>0</v>
      </c>
      <c r="K854" s="68" t="b">
        <f>IF(Tab.11[[#This Row],[a1]]=1,IF($K$3=0,Tab.11[b6],Tab.11[[#This Row],[b6]]-AVERAGE(Tab.11[b6])))</f>
        <v>0</v>
      </c>
      <c r="L854" s="69" t="b">
        <f>IF(Tab.11[[#This Row],[a1]]=1,Tab.11[[#This Row],[data]]/(_xlfn.STDEV.P(Tab.11[data])*$B$989)+$A$989)</f>
        <v>0</v>
      </c>
      <c r="M854" s="69" t="b">
        <f>IF(Tab.11[[#This Row],[a1]]=1,Tab.11[[#This Row],[data]]/(_xlfn.STDEV.P(Tab.11[data])*$B$987)-$A$987)</f>
        <v>0</v>
      </c>
      <c r="N854" s="69" t="b">
        <f>IF(Tab.11[[#This Row],[a1]]=1,Tab.11[[#This Row],[data]]/(_xlfn.STDEV.P(Tab.11[data])*$B$988)+$A$988)</f>
        <v>0</v>
      </c>
      <c r="O854" s="70" t="b">
        <f>IF(Tab.11[[#This Row],[a1]]=1,_xlfn.NORM.DIST(Tab.11[[#This Row],[b8]],$P$1,$Q$1,FALSE))</f>
        <v>0</v>
      </c>
      <c r="P854" s="70" t="b">
        <f>IF(Tab.11[[#This Row],[a1]]=1,_xlfn.NORM.DIST(Tab.11[[#This Row],[b9]],$P$1,$Q$1,FALSE))</f>
        <v>0</v>
      </c>
      <c r="Q854" s="70" t="b">
        <f>IF(Tab.11[[#This Row],[a1]]=1,_xlfn.NORM.DIST(Tab.11[[#This Row],[b10]],$P$1,$Q$1,FALSE))</f>
        <v>0</v>
      </c>
      <c r="R854" s="67" t="b">
        <f>IF(Tab.11[[#This Row],[a1]]=1,$I$3+$A$989+IF($K$3=0,Tab.11[[#This Row],[b8]]*_xlfn.STDEV.P(Tab.11[data]),AVERAGE(Tab.11[b6])+Tab.11[[#This Row],[b8]]*_xlfn.STDEV.P(Tab.11[data])))</f>
        <v>0</v>
      </c>
      <c r="S854" s="71" t="b">
        <f>IF(Tab.11[[#This Row],[a1]]=1,$I$3+$A$987+IF($K$3=0,Tab.11[[#This Row],[b9]]*_xlfn.STDEV.P(Tab.11[data]),AVERAGE(Tab.11[b6])+Tab.11[[#This Row],[b9]]*_xlfn.STDEV.P(Tab.11[data])))</f>
        <v>0</v>
      </c>
      <c r="T854" s="71" t="b">
        <f>IF(Tab.11[[#This Row],[a1]]=1,$I$3+$A$988+IF($K$3=0,Tab.11[[#This Row],[b10]]*_xlfn.STDEV.P(Tab.11[data]),AVERAGE(Tab.11[b6])+Tab.11[[#This Row],[b10]]*_xlfn.STDEV.P(Tab.11[data])))</f>
        <v>0</v>
      </c>
      <c r="U854" s="72" t="b">
        <f>IF(Tab.11[[#This Row],[a1]]=1,Tab.11[[#This Row],[target]]-Tab.11[[#This Row],[Red]])</f>
        <v>0</v>
      </c>
      <c r="V854" s="72" t="b">
        <f>IF(Tab.11[[#This Row],[a1]]=1,Tab.11[[#This Row],[target]]-Tab.11[[#This Row],[Blue]])</f>
        <v>0</v>
      </c>
      <c r="W854" s="73" t="b">
        <f>IF(Tab.11[[#This Row],[a1]]=1,IF(ABS(Tab.11[[#This Row],[b17]])+ABS(Tab.11[[#This Row],[b18]])&lt;$W$2,$W$2,ABS(Tab.11[[#This Row],[b17]])+ABS(Tab.11[[#This Row],[b18]])))</f>
        <v>0</v>
      </c>
      <c r="X854" s="136" t="b">
        <f>IF(Tab.11[[#This Row],[a1]]=1,IF($W$3&lt;0,Tab.11[[#This Row],[IN]]-$I$3,Tab.11[[#This Row],[IN]]))</f>
        <v>0</v>
      </c>
      <c r="Y854" s="136" t="b">
        <f>IF(Tab.11[[#This Row],[a1]]=1,IF($X$3=0,Tab.11[b66],Tab.11[[#This Row],[b66]]-AVERAGE(Tab.11[b66])))</f>
        <v>0</v>
      </c>
      <c r="Z854" s="135" t="b">
        <f>IF(Tab.11[[#This Row],[a1]]=1,Tab.11[[#This Row],[b77]]/(_xlfn.STDEV.P(Tab.11[b77])))</f>
        <v>0</v>
      </c>
      <c r="AA854" s="70" t="b">
        <f>IF(Tab.11[[#This Row],[a1]]=1,_xlfn.NORM.DIST(Tab.11[[#This Row],[b88]],$Z$1,$AA$1,FALSE))</f>
        <v>0</v>
      </c>
      <c r="AB854" s="74" t="b">
        <f>IF(Tab.11[[#This Row],[a1]]=1,IF($A$3=0,FALSE,1/Tab.11[[#This Row],[IN]]*$AC$2*IF(Tab.11[[#This Row],[a1]]=0,,$A$3*$AC$1*1/$V$3*(Tab.11[[#This Row],[b14]]))))</f>
        <v>0</v>
      </c>
      <c r="AC854" s="75" t="b">
        <f>IF(Tab.11[[#This Row],[a1]]=1,IF($AC$3=0,Tab.11[[#This Row],[φ1]],Tab.11[[#This Row],[φ1]]/MAX(Tab.11[φ1])))</f>
        <v>0</v>
      </c>
      <c r="AD854" s="74" t="b">
        <f>IF(Tab.11[[#This Row],[a1]]=1,1/Tab.11[[#This Row],[φ2]])</f>
        <v>0</v>
      </c>
      <c r="AE854" s="74" t="b">
        <f>IF(Tab.11[[#This Row],[a1]]=1,IF($AE$3=0,Tab.11[[#This Row],[w.0]],Tab.11[[#This Row],[w.0]]/SUM(Tab.11[w.0])))</f>
        <v>0</v>
      </c>
      <c r="AF854" s="76" t="str">
        <f>IF(Tab.11[[#This Row],[a1]]=0,"false",[3]!Tab.x5[[#This Row],[%_seN_C]])</f>
        <v>false</v>
      </c>
      <c r="AG854" s="77" t="b">
        <f>IF(Tab.11[[#This Row],[a1]]=1,AP854)</f>
        <v>0</v>
      </c>
      <c r="AH854" s="78" t="b">
        <f>IF(Tab.11[[#This Row],[a1]]=1,AQ854)</f>
        <v>0</v>
      </c>
      <c r="AI854" s="41">
        <v>3.0000000000000001E-3</v>
      </c>
      <c r="AJ854" s="79">
        <v>-0.08</v>
      </c>
      <c r="AK854" s="80" t="b">
        <f>IF(Tab.11[[#This Row],[a1]]=1,1)</f>
        <v>0</v>
      </c>
      <c r="AL854"/>
      <c r="AM854"/>
      <c r="AN854"/>
      <c r="AO854"/>
      <c r="AP854"/>
      <c r="AQ854"/>
      <c r="AR854"/>
      <c r="AS854"/>
    </row>
    <row r="855" spans="1:45" s="81" customFormat="1" hidden="1" x14ac:dyDescent="0.25">
      <c r="A855" s="61">
        <f t="shared" si="29"/>
        <v>0</v>
      </c>
      <c r="B855" s="62">
        <f t="shared" si="29"/>
        <v>0</v>
      </c>
      <c r="C855" s="62" t="b">
        <f>IF(Tab.11[[#This Row],[a1]]=1,[3]!Tab_x1[[#This Row],[Name]])</f>
        <v>0</v>
      </c>
      <c r="D855" s="63" t="b">
        <f>IF(Tab.11[[#This Row],[a1]]=1,AO855)</f>
        <v>0</v>
      </c>
      <c r="E855" s="63">
        <f t="shared" si="28"/>
        <v>0</v>
      </c>
      <c r="F855" s="64" t="b">
        <f>IF(Tab.11[[#This Row],[a1]]=1,Tab.11[[#This Row],[b1]])</f>
        <v>0</v>
      </c>
      <c r="G855" s="65" t="b">
        <f>IF(Tab.11[[#This Row],[a1]]=1,IF(Tab.11[[#This Row],[b3]]&gt;$L$989*$G$3,$L$989*$G$3,IF(Tab.11[[#This Row],[b3]]&lt;$M$989*$G$3,$M$989*$G$3,Tab.11[[#This Row],[b3]])))</f>
        <v>0</v>
      </c>
      <c r="H855" s="66" t="b">
        <f>IF(Tab.11[[#This Row],[a1]]=1,Tab.11[[#This Row],[b1]])</f>
        <v>0</v>
      </c>
      <c r="I855" s="67" t="b">
        <f>IF(Tab.11[[#This Row],[a1]]=1,Tab.11[[#This Row],[b1]])</f>
        <v>0</v>
      </c>
      <c r="J855" s="68" t="b">
        <f>IF(Tab.11[[#This Row],[a1]]=1,IF($I$3&lt;0,Tab.11[[#This Row],[b5]]-$I$3,Tab.11[[#This Row],[b5]]))</f>
        <v>0</v>
      </c>
      <c r="K855" s="68" t="b">
        <f>IF(Tab.11[[#This Row],[a1]]=1,IF($K$3=0,Tab.11[b6],Tab.11[[#This Row],[b6]]-AVERAGE(Tab.11[b6])))</f>
        <v>0</v>
      </c>
      <c r="L855" s="69" t="b">
        <f>IF(Tab.11[[#This Row],[a1]]=1,Tab.11[[#This Row],[data]]/(_xlfn.STDEV.P(Tab.11[data])*$B$989)+$A$989)</f>
        <v>0</v>
      </c>
      <c r="M855" s="69" t="b">
        <f>IF(Tab.11[[#This Row],[a1]]=1,Tab.11[[#This Row],[data]]/(_xlfn.STDEV.P(Tab.11[data])*$B$987)-$A$987)</f>
        <v>0</v>
      </c>
      <c r="N855" s="69" t="b">
        <f>IF(Tab.11[[#This Row],[a1]]=1,Tab.11[[#This Row],[data]]/(_xlfn.STDEV.P(Tab.11[data])*$B$988)+$A$988)</f>
        <v>0</v>
      </c>
      <c r="O855" s="70" t="b">
        <f>IF(Tab.11[[#This Row],[a1]]=1,_xlfn.NORM.DIST(Tab.11[[#This Row],[b8]],$P$1,$Q$1,FALSE))</f>
        <v>0</v>
      </c>
      <c r="P855" s="70" t="b">
        <f>IF(Tab.11[[#This Row],[a1]]=1,_xlfn.NORM.DIST(Tab.11[[#This Row],[b9]],$P$1,$Q$1,FALSE))</f>
        <v>0</v>
      </c>
      <c r="Q855" s="70" t="b">
        <f>IF(Tab.11[[#This Row],[a1]]=1,_xlfn.NORM.DIST(Tab.11[[#This Row],[b10]],$P$1,$Q$1,FALSE))</f>
        <v>0</v>
      </c>
      <c r="R855" s="67" t="b">
        <f>IF(Tab.11[[#This Row],[a1]]=1,$I$3+$A$989+IF($K$3=0,Tab.11[[#This Row],[b8]]*_xlfn.STDEV.P(Tab.11[data]),AVERAGE(Tab.11[b6])+Tab.11[[#This Row],[b8]]*_xlfn.STDEV.P(Tab.11[data])))</f>
        <v>0</v>
      </c>
      <c r="S855" s="71" t="b">
        <f>IF(Tab.11[[#This Row],[a1]]=1,$I$3+$A$987+IF($K$3=0,Tab.11[[#This Row],[b9]]*_xlfn.STDEV.P(Tab.11[data]),AVERAGE(Tab.11[b6])+Tab.11[[#This Row],[b9]]*_xlfn.STDEV.P(Tab.11[data])))</f>
        <v>0</v>
      </c>
      <c r="T855" s="71" t="b">
        <f>IF(Tab.11[[#This Row],[a1]]=1,$I$3+$A$988+IF($K$3=0,Tab.11[[#This Row],[b10]]*_xlfn.STDEV.P(Tab.11[data]),AVERAGE(Tab.11[b6])+Tab.11[[#This Row],[b10]]*_xlfn.STDEV.P(Tab.11[data])))</f>
        <v>0</v>
      </c>
      <c r="U855" s="72" t="b">
        <f>IF(Tab.11[[#This Row],[a1]]=1,Tab.11[[#This Row],[target]]-Tab.11[[#This Row],[Red]])</f>
        <v>0</v>
      </c>
      <c r="V855" s="72" t="b">
        <f>IF(Tab.11[[#This Row],[a1]]=1,Tab.11[[#This Row],[target]]-Tab.11[[#This Row],[Blue]])</f>
        <v>0</v>
      </c>
      <c r="W855" s="73" t="b">
        <f>IF(Tab.11[[#This Row],[a1]]=1,IF(ABS(Tab.11[[#This Row],[b17]])+ABS(Tab.11[[#This Row],[b18]])&lt;$W$2,$W$2,ABS(Tab.11[[#This Row],[b17]])+ABS(Tab.11[[#This Row],[b18]])))</f>
        <v>0</v>
      </c>
      <c r="X855" s="136" t="b">
        <f>IF(Tab.11[[#This Row],[a1]]=1,IF($W$3&lt;0,Tab.11[[#This Row],[IN]]-$I$3,Tab.11[[#This Row],[IN]]))</f>
        <v>0</v>
      </c>
      <c r="Y855" s="136" t="b">
        <f>IF(Tab.11[[#This Row],[a1]]=1,IF($X$3=0,Tab.11[b66],Tab.11[[#This Row],[b66]]-AVERAGE(Tab.11[b66])))</f>
        <v>0</v>
      </c>
      <c r="Z855" s="135" t="b">
        <f>IF(Tab.11[[#This Row],[a1]]=1,Tab.11[[#This Row],[b77]]/(_xlfn.STDEV.P(Tab.11[b77])))</f>
        <v>0</v>
      </c>
      <c r="AA855" s="70" t="b">
        <f>IF(Tab.11[[#This Row],[a1]]=1,_xlfn.NORM.DIST(Tab.11[[#This Row],[b88]],$Z$1,$AA$1,FALSE))</f>
        <v>0</v>
      </c>
      <c r="AB855" s="74" t="b">
        <f>IF(Tab.11[[#This Row],[a1]]=1,IF($A$3=0,FALSE,1/Tab.11[[#This Row],[IN]]*$AC$2*IF(Tab.11[[#This Row],[a1]]=0,,$A$3*$AC$1*1/$V$3*(Tab.11[[#This Row],[b14]]))))</f>
        <v>0</v>
      </c>
      <c r="AC855" s="75" t="b">
        <f>IF(Tab.11[[#This Row],[a1]]=1,IF($AC$3=0,Tab.11[[#This Row],[φ1]],Tab.11[[#This Row],[φ1]]/MAX(Tab.11[φ1])))</f>
        <v>0</v>
      </c>
      <c r="AD855" s="74" t="b">
        <f>IF(Tab.11[[#This Row],[a1]]=1,1/Tab.11[[#This Row],[φ2]])</f>
        <v>0</v>
      </c>
      <c r="AE855" s="74" t="b">
        <f>IF(Tab.11[[#This Row],[a1]]=1,IF($AE$3=0,Tab.11[[#This Row],[w.0]],Tab.11[[#This Row],[w.0]]/SUM(Tab.11[w.0])))</f>
        <v>0</v>
      </c>
      <c r="AF855" s="76" t="str">
        <f>IF(Tab.11[[#This Row],[a1]]=0,"false",[3]!Tab.x5[[#This Row],[%_seN_C]])</f>
        <v>false</v>
      </c>
      <c r="AG855" s="77" t="b">
        <f>IF(Tab.11[[#This Row],[a1]]=1,AP855)</f>
        <v>0</v>
      </c>
      <c r="AH855" s="78" t="b">
        <f>IF(Tab.11[[#This Row],[a1]]=1,AQ855)</f>
        <v>0</v>
      </c>
      <c r="AI855" s="41">
        <v>3.0000000000000001E-3</v>
      </c>
      <c r="AJ855" s="79">
        <v>-0.03</v>
      </c>
      <c r="AK855" s="80" t="b">
        <f>IF(Tab.11[[#This Row],[a1]]=1,1)</f>
        <v>0</v>
      </c>
      <c r="AL855"/>
      <c r="AM855"/>
      <c r="AN855"/>
      <c r="AO855"/>
      <c r="AP855"/>
      <c r="AQ855"/>
      <c r="AR855"/>
      <c r="AS855"/>
    </row>
    <row r="856" spans="1:45" s="81" customFormat="1" hidden="1" x14ac:dyDescent="0.25">
      <c r="A856" s="61">
        <f t="shared" si="29"/>
        <v>0</v>
      </c>
      <c r="B856" s="62">
        <f t="shared" si="29"/>
        <v>0</v>
      </c>
      <c r="C856" s="62" t="b">
        <f>IF(Tab.11[[#This Row],[a1]]=1,[3]!Tab_x1[[#This Row],[Name]])</f>
        <v>0</v>
      </c>
      <c r="D856" s="63" t="b">
        <f>IF(Tab.11[[#This Row],[a1]]=1,AO856)</f>
        <v>0</v>
      </c>
      <c r="E856" s="63">
        <f t="shared" si="28"/>
        <v>0</v>
      </c>
      <c r="F856" s="64" t="b">
        <f>IF(Tab.11[[#This Row],[a1]]=1,Tab.11[[#This Row],[b1]])</f>
        <v>0</v>
      </c>
      <c r="G856" s="65" t="b">
        <f>IF(Tab.11[[#This Row],[a1]]=1,IF(Tab.11[[#This Row],[b3]]&gt;$L$989*$G$3,$L$989*$G$3,IF(Tab.11[[#This Row],[b3]]&lt;$M$989*$G$3,$M$989*$G$3,Tab.11[[#This Row],[b3]])))</f>
        <v>0</v>
      </c>
      <c r="H856" s="66" t="b">
        <f>IF(Tab.11[[#This Row],[a1]]=1,Tab.11[[#This Row],[b1]])</f>
        <v>0</v>
      </c>
      <c r="I856" s="67" t="b">
        <f>IF(Tab.11[[#This Row],[a1]]=1,Tab.11[[#This Row],[b1]])</f>
        <v>0</v>
      </c>
      <c r="J856" s="68" t="b">
        <f>IF(Tab.11[[#This Row],[a1]]=1,IF($I$3&lt;0,Tab.11[[#This Row],[b5]]-$I$3,Tab.11[[#This Row],[b5]]))</f>
        <v>0</v>
      </c>
      <c r="K856" s="68" t="b">
        <f>IF(Tab.11[[#This Row],[a1]]=1,IF($K$3=0,Tab.11[b6],Tab.11[[#This Row],[b6]]-AVERAGE(Tab.11[b6])))</f>
        <v>0</v>
      </c>
      <c r="L856" s="69" t="b">
        <f>IF(Tab.11[[#This Row],[a1]]=1,Tab.11[[#This Row],[data]]/(_xlfn.STDEV.P(Tab.11[data])*$B$989)+$A$989)</f>
        <v>0</v>
      </c>
      <c r="M856" s="69" t="b">
        <f>IF(Tab.11[[#This Row],[a1]]=1,Tab.11[[#This Row],[data]]/(_xlfn.STDEV.P(Tab.11[data])*$B$987)-$A$987)</f>
        <v>0</v>
      </c>
      <c r="N856" s="69" t="b">
        <f>IF(Tab.11[[#This Row],[a1]]=1,Tab.11[[#This Row],[data]]/(_xlfn.STDEV.P(Tab.11[data])*$B$988)+$A$988)</f>
        <v>0</v>
      </c>
      <c r="O856" s="70" t="b">
        <f>IF(Tab.11[[#This Row],[a1]]=1,_xlfn.NORM.DIST(Tab.11[[#This Row],[b8]],$P$1,$Q$1,FALSE))</f>
        <v>0</v>
      </c>
      <c r="P856" s="70" t="b">
        <f>IF(Tab.11[[#This Row],[a1]]=1,_xlfn.NORM.DIST(Tab.11[[#This Row],[b9]],$P$1,$Q$1,FALSE))</f>
        <v>0</v>
      </c>
      <c r="Q856" s="70" t="b">
        <f>IF(Tab.11[[#This Row],[a1]]=1,_xlfn.NORM.DIST(Tab.11[[#This Row],[b10]],$P$1,$Q$1,FALSE))</f>
        <v>0</v>
      </c>
      <c r="R856" s="67" t="b">
        <f>IF(Tab.11[[#This Row],[a1]]=1,$I$3+$A$989+IF($K$3=0,Tab.11[[#This Row],[b8]]*_xlfn.STDEV.P(Tab.11[data]),AVERAGE(Tab.11[b6])+Tab.11[[#This Row],[b8]]*_xlfn.STDEV.P(Tab.11[data])))</f>
        <v>0</v>
      </c>
      <c r="S856" s="71" t="b">
        <f>IF(Tab.11[[#This Row],[a1]]=1,$I$3+$A$987+IF($K$3=0,Tab.11[[#This Row],[b9]]*_xlfn.STDEV.P(Tab.11[data]),AVERAGE(Tab.11[b6])+Tab.11[[#This Row],[b9]]*_xlfn.STDEV.P(Tab.11[data])))</f>
        <v>0</v>
      </c>
      <c r="T856" s="71" t="b">
        <f>IF(Tab.11[[#This Row],[a1]]=1,$I$3+$A$988+IF($K$3=0,Tab.11[[#This Row],[b10]]*_xlfn.STDEV.P(Tab.11[data]),AVERAGE(Tab.11[b6])+Tab.11[[#This Row],[b10]]*_xlfn.STDEV.P(Tab.11[data])))</f>
        <v>0</v>
      </c>
      <c r="U856" s="72" t="b">
        <f>IF(Tab.11[[#This Row],[a1]]=1,Tab.11[[#This Row],[target]]-Tab.11[[#This Row],[Red]])</f>
        <v>0</v>
      </c>
      <c r="V856" s="72" t="b">
        <f>IF(Tab.11[[#This Row],[a1]]=1,Tab.11[[#This Row],[target]]-Tab.11[[#This Row],[Blue]])</f>
        <v>0</v>
      </c>
      <c r="W856" s="73" t="b">
        <f>IF(Tab.11[[#This Row],[a1]]=1,IF(ABS(Tab.11[[#This Row],[b17]])+ABS(Tab.11[[#This Row],[b18]])&lt;$W$2,$W$2,ABS(Tab.11[[#This Row],[b17]])+ABS(Tab.11[[#This Row],[b18]])))</f>
        <v>0</v>
      </c>
      <c r="X856" s="136" t="b">
        <f>IF(Tab.11[[#This Row],[a1]]=1,IF($W$3&lt;0,Tab.11[[#This Row],[IN]]-$I$3,Tab.11[[#This Row],[IN]]))</f>
        <v>0</v>
      </c>
      <c r="Y856" s="136" t="b">
        <f>IF(Tab.11[[#This Row],[a1]]=1,IF($X$3=0,Tab.11[b66],Tab.11[[#This Row],[b66]]-AVERAGE(Tab.11[b66])))</f>
        <v>0</v>
      </c>
      <c r="Z856" s="135" t="b">
        <f>IF(Tab.11[[#This Row],[a1]]=1,Tab.11[[#This Row],[b77]]/(_xlfn.STDEV.P(Tab.11[b77])))</f>
        <v>0</v>
      </c>
      <c r="AA856" s="70" t="b">
        <f>IF(Tab.11[[#This Row],[a1]]=1,_xlfn.NORM.DIST(Tab.11[[#This Row],[b88]],$Z$1,$AA$1,FALSE))</f>
        <v>0</v>
      </c>
      <c r="AB856" s="74" t="b">
        <f>IF(Tab.11[[#This Row],[a1]]=1,IF($A$3=0,FALSE,1/Tab.11[[#This Row],[IN]]*$AC$2*IF(Tab.11[[#This Row],[a1]]=0,,$A$3*$AC$1*1/$V$3*(Tab.11[[#This Row],[b14]]))))</f>
        <v>0</v>
      </c>
      <c r="AC856" s="75" t="b">
        <f>IF(Tab.11[[#This Row],[a1]]=1,IF($AC$3=0,Tab.11[[#This Row],[φ1]],Tab.11[[#This Row],[φ1]]/MAX(Tab.11[φ1])))</f>
        <v>0</v>
      </c>
      <c r="AD856" s="74" t="b">
        <f>IF(Tab.11[[#This Row],[a1]]=1,1/Tab.11[[#This Row],[φ2]])</f>
        <v>0</v>
      </c>
      <c r="AE856" s="74" t="b">
        <f>IF(Tab.11[[#This Row],[a1]]=1,IF($AE$3=0,Tab.11[[#This Row],[w.0]],Tab.11[[#This Row],[w.0]]/SUM(Tab.11[w.0])))</f>
        <v>0</v>
      </c>
      <c r="AF856" s="76" t="str">
        <f>IF(Tab.11[[#This Row],[a1]]=0,"false",[3]!Tab.x5[[#This Row],[%_seN_C]])</f>
        <v>false</v>
      </c>
      <c r="AG856" s="77" t="b">
        <f>IF(Tab.11[[#This Row],[a1]]=1,AP856)</f>
        <v>0</v>
      </c>
      <c r="AH856" s="78" t="b">
        <f>IF(Tab.11[[#This Row],[a1]]=1,AQ856)</f>
        <v>0</v>
      </c>
      <c r="AI856" s="41">
        <v>3.0000000000000001E-3</v>
      </c>
      <c r="AJ856" s="79">
        <v>0.05</v>
      </c>
      <c r="AK856" s="80" t="b">
        <f>IF(Tab.11[[#This Row],[a1]]=1,1)</f>
        <v>0</v>
      </c>
      <c r="AL856"/>
      <c r="AM856"/>
      <c r="AN856"/>
      <c r="AO856"/>
      <c r="AP856"/>
      <c r="AQ856"/>
      <c r="AR856"/>
      <c r="AS856"/>
    </row>
    <row r="857" spans="1:45" s="81" customFormat="1" hidden="1" x14ac:dyDescent="0.25">
      <c r="A857" s="61">
        <f t="shared" si="29"/>
        <v>0</v>
      </c>
      <c r="B857" s="62">
        <f t="shared" si="29"/>
        <v>0</v>
      </c>
      <c r="C857" s="62" t="b">
        <f>IF(Tab.11[[#This Row],[a1]]=1,[3]!Tab_x1[[#This Row],[Name]])</f>
        <v>0</v>
      </c>
      <c r="D857" s="63" t="b">
        <f>IF(Tab.11[[#This Row],[a1]]=1,AO857)</f>
        <v>0</v>
      </c>
      <c r="E857" s="63">
        <f t="shared" si="28"/>
        <v>0</v>
      </c>
      <c r="F857" s="64" t="b">
        <f>IF(Tab.11[[#This Row],[a1]]=1,Tab.11[[#This Row],[b1]])</f>
        <v>0</v>
      </c>
      <c r="G857" s="65" t="b">
        <f>IF(Tab.11[[#This Row],[a1]]=1,IF(Tab.11[[#This Row],[b3]]&gt;$L$989*$G$3,$L$989*$G$3,IF(Tab.11[[#This Row],[b3]]&lt;$M$989*$G$3,$M$989*$G$3,Tab.11[[#This Row],[b3]])))</f>
        <v>0</v>
      </c>
      <c r="H857" s="66" t="b">
        <f>IF(Tab.11[[#This Row],[a1]]=1,Tab.11[[#This Row],[b1]])</f>
        <v>0</v>
      </c>
      <c r="I857" s="67" t="b">
        <f>IF(Tab.11[[#This Row],[a1]]=1,Tab.11[[#This Row],[b1]])</f>
        <v>0</v>
      </c>
      <c r="J857" s="68" t="b">
        <f>IF(Tab.11[[#This Row],[a1]]=1,IF($I$3&lt;0,Tab.11[[#This Row],[b5]]-$I$3,Tab.11[[#This Row],[b5]]))</f>
        <v>0</v>
      </c>
      <c r="K857" s="68" t="b">
        <f>IF(Tab.11[[#This Row],[a1]]=1,IF($K$3=0,Tab.11[b6],Tab.11[[#This Row],[b6]]-AVERAGE(Tab.11[b6])))</f>
        <v>0</v>
      </c>
      <c r="L857" s="69" t="b">
        <f>IF(Tab.11[[#This Row],[a1]]=1,Tab.11[[#This Row],[data]]/(_xlfn.STDEV.P(Tab.11[data])*$B$989)+$A$989)</f>
        <v>0</v>
      </c>
      <c r="M857" s="69" t="b">
        <f>IF(Tab.11[[#This Row],[a1]]=1,Tab.11[[#This Row],[data]]/(_xlfn.STDEV.P(Tab.11[data])*$B$987)-$A$987)</f>
        <v>0</v>
      </c>
      <c r="N857" s="69" t="b">
        <f>IF(Tab.11[[#This Row],[a1]]=1,Tab.11[[#This Row],[data]]/(_xlfn.STDEV.P(Tab.11[data])*$B$988)+$A$988)</f>
        <v>0</v>
      </c>
      <c r="O857" s="70" t="b">
        <f>IF(Tab.11[[#This Row],[a1]]=1,_xlfn.NORM.DIST(Tab.11[[#This Row],[b8]],$P$1,$Q$1,FALSE))</f>
        <v>0</v>
      </c>
      <c r="P857" s="70" t="b">
        <f>IF(Tab.11[[#This Row],[a1]]=1,_xlfn.NORM.DIST(Tab.11[[#This Row],[b9]],$P$1,$Q$1,FALSE))</f>
        <v>0</v>
      </c>
      <c r="Q857" s="70" t="b">
        <f>IF(Tab.11[[#This Row],[a1]]=1,_xlfn.NORM.DIST(Tab.11[[#This Row],[b10]],$P$1,$Q$1,FALSE))</f>
        <v>0</v>
      </c>
      <c r="R857" s="67" t="b">
        <f>IF(Tab.11[[#This Row],[a1]]=1,$I$3+$A$989+IF($K$3=0,Tab.11[[#This Row],[b8]]*_xlfn.STDEV.P(Tab.11[data]),AVERAGE(Tab.11[b6])+Tab.11[[#This Row],[b8]]*_xlfn.STDEV.P(Tab.11[data])))</f>
        <v>0</v>
      </c>
      <c r="S857" s="71" t="b">
        <f>IF(Tab.11[[#This Row],[a1]]=1,$I$3+$A$987+IF($K$3=0,Tab.11[[#This Row],[b9]]*_xlfn.STDEV.P(Tab.11[data]),AVERAGE(Tab.11[b6])+Tab.11[[#This Row],[b9]]*_xlfn.STDEV.P(Tab.11[data])))</f>
        <v>0</v>
      </c>
      <c r="T857" s="71" t="b">
        <f>IF(Tab.11[[#This Row],[a1]]=1,$I$3+$A$988+IF($K$3=0,Tab.11[[#This Row],[b10]]*_xlfn.STDEV.P(Tab.11[data]),AVERAGE(Tab.11[b6])+Tab.11[[#This Row],[b10]]*_xlfn.STDEV.P(Tab.11[data])))</f>
        <v>0</v>
      </c>
      <c r="U857" s="72" t="b">
        <f>IF(Tab.11[[#This Row],[a1]]=1,Tab.11[[#This Row],[target]]-Tab.11[[#This Row],[Red]])</f>
        <v>0</v>
      </c>
      <c r="V857" s="72" t="b">
        <f>IF(Tab.11[[#This Row],[a1]]=1,Tab.11[[#This Row],[target]]-Tab.11[[#This Row],[Blue]])</f>
        <v>0</v>
      </c>
      <c r="W857" s="73" t="b">
        <f>IF(Tab.11[[#This Row],[a1]]=1,IF(ABS(Tab.11[[#This Row],[b17]])+ABS(Tab.11[[#This Row],[b18]])&lt;$W$2,$W$2,ABS(Tab.11[[#This Row],[b17]])+ABS(Tab.11[[#This Row],[b18]])))</f>
        <v>0</v>
      </c>
      <c r="X857" s="136" t="b">
        <f>IF(Tab.11[[#This Row],[a1]]=1,IF($W$3&lt;0,Tab.11[[#This Row],[IN]]-$I$3,Tab.11[[#This Row],[IN]]))</f>
        <v>0</v>
      </c>
      <c r="Y857" s="136" t="b">
        <f>IF(Tab.11[[#This Row],[a1]]=1,IF($X$3=0,Tab.11[b66],Tab.11[[#This Row],[b66]]-AVERAGE(Tab.11[b66])))</f>
        <v>0</v>
      </c>
      <c r="Z857" s="135" t="b">
        <f>IF(Tab.11[[#This Row],[a1]]=1,Tab.11[[#This Row],[b77]]/(_xlfn.STDEV.P(Tab.11[b77])))</f>
        <v>0</v>
      </c>
      <c r="AA857" s="70" t="b">
        <f>IF(Tab.11[[#This Row],[a1]]=1,_xlfn.NORM.DIST(Tab.11[[#This Row],[b88]],$Z$1,$AA$1,FALSE))</f>
        <v>0</v>
      </c>
      <c r="AB857" s="74" t="b">
        <f>IF(Tab.11[[#This Row],[a1]]=1,IF($A$3=0,FALSE,1/Tab.11[[#This Row],[IN]]*$AC$2*IF(Tab.11[[#This Row],[a1]]=0,,$A$3*$AC$1*1/$V$3*(Tab.11[[#This Row],[b14]]))))</f>
        <v>0</v>
      </c>
      <c r="AC857" s="75" t="b">
        <f>IF(Tab.11[[#This Row],[a1]]=1,IF($AC$3=0,Tab.11[[#This Row],[φ1]],Tab.11[[#This Row],[φ1]]/MAX(Tab.11[φ1])))</f>
        <v>0</v>
      </c>
      <c r="AD857" s="74" t="b">
        <f>IF(Tab.11[[#This Row],[a1]]=1,1/Tab.11[[#This Row],[φ2]])</f>
        <v>0</v>
      </c>
      <c r="AE857" s="74" t="b">
        <f>IF(Tab.11[[#This Row],[a1]]=1,IF($AE$3=0,Tab.11[[#This Row],[w.0]],Tab.11[[#This Row],[w.0]]/SUM(Tab.11[w.0])))</f>
        <v>0</v>
      </c>
      <c r="AF857" s="76" t="str">
        <f>IF(Tab.11[[#This Row],[a1]]=0,"false",[3]!Tab.x5[[#This Row],[%_seN_C]])</f>
        <v>false</v>
      </c>
      <c r="AG857" s="77" t="b">
        <f>IF(Tab.11[[#This Row],[a1]]=1,AP857)</f>
        <v>0</v>
      </c>
      <c r="AH857" s="78" t="b">
        <f>IF(Tab.11[[#This Row],[a1]]=1,AQ857)</f>
        <v>0</v>
      </c>
      <c r="AI857" s="41">
        <v>3.0000000000000001E-3</v>
      </c>
      <c r="AJ857" s="79">
        <v>-0.1</v>
      </c>
      <c r="AK857" s="80" t="b">
        <f>IF(Tab.11[[#This Row],[a1]]=1,1)</f>
        <v>0</v>
      </c>
      <c r="AL857"/>
      <c r="AM857"/>
      <c r="AN857"/>
      <c r="AO857"/>
      <c r="AP857"/>
      <c r="AQ857"/>
      <c r="AR857"/>
      <c r="AS857"/>
    </row>
    <row r="858" spans="1:45" s="81" customFormat="1" hidden="1" x14ac:dyDescent="0.25">
      <c r="A858" s="61">
        <f t="shared" si="29"/>
        <v>0</v>
      </c>
      <c r="B858" s="62">
        <f t="shared" si="29"/>
        <v>0</v>
      </c>
      <c r="C858" s="62" t="b">
        <f>IF(Tab.11[[#This Row],[a1]]=1,[3]!Tab_x1[[#This Row],[Name]])</f>
        <v>0</v>
      </c>
      <c r="D858" s="63" t="b">
        <f>IF(Tab.11[[#This Row],[a1]]=1,AO858)</f>
        <v>0</v>
      </c>
      <c r="E858" s="63">
        <f t="shared" si="28"/>
        <v>0</v>
      </c>
      <c r="F858" s="64" t="b">
        <f>IF(Tab.11[[#This Row],[a1]]=1,Tab.11[[#This Row],[b1]])</f>
        <v>0</v>
      </c>
      <c r="G858" s="65" t="b">
        <f>IF(Tab.11[[#This Row],[a1]]=1,IF(Tab.11[[#This Row],[b3]]&gt;$L$989*$G$3,$L$989*$G$3,IF(Tab.11[[#This Row],[b3]]&lt;$M$989*$G$3,$M$989*$G$3,Tab.11[[#This Row],[b3]])))</f>
        <v>0</v>
      </c>
      <c r="H858" s="66" t="b">
        <f>IF(Tab.11[[#This Row],[a1]]=1,Tab.11[[#This Row],[b1]])</f>
        <v>0</v>
      </c>
      <c r="I858" s="67" t="b">
        <f>IF(Tab.11[[#This Row],[a1]]=1,Tab.11[[#This Row],[b1]])</f>
        <v>0</v>
      </c>
      <c r="J858" s="68" t="b">
        <f>IF(Tab.11[[#This Row],[a1]]=1,IF($I$3&lt;0,Tab.11[[#This Row],[b5]]-$I$3,Tab.11[[#This Row],[b5]]))</f>
        <v>0</v>
      </c>
      <c r="K858" s="68" t="b">
        <f>IF(Tab.11[[#This Row],[a1]]=1,IF($K$3=0,Tab.11[b6],Tab.11[[#This Row],[b6]]-AVERAGE(Tab.11[b6])))</f>
        <v>0</v>
      </c>
      <c r="L858" s="69" t="b">
        <f>IF(Tab.11[[#This Row],[a1]]=1,Tab.11[[#This Row],[data]]/(_xlfn.STDEV.P(Tab.11[data])*$B$989)+$A$989)</f>
        <v>0</v>
      </c>
      <c r="M858" s="69" t="b">
        <f>IF(Tab.11[[#This Row],[a1]]=1,Tab.11[[#This Row],[data]]/(_xlfn.STDEV.P(Tab.11[data])*$B$987)-$A$987)</f>
        <v>0</v>
      </c>
      <c r="N858" s="69" t="b">
        <f>IF(Tab.11[[#This Row],[a1]]=1,Tab.11[[#This Row],[data]]/(_xlfn.STDEV.P(Tab.11[data])*$B$988)+$A$988)</f>
        <v>0</v>
      </c>
      <c r="O858" s="70" t="b">
        <f>IF(Tab.11[[#This Row],[a1]]=1,_xlfn.NORM.DIST(Tab.11[[#This Row],[b8]],$P$1,$Q$1,FALSE))</f>
        <v>0</v>
      </c>
      <c r="P858" s="70" t="b">
        <f>IF(Tab.11[[#This Row],[a1]]=1,_xlfn.NORM.DIST(Tab.11[[#This Row],[b9]],$P$1,$Q$1,FALSE))</f>
        <v>0</v>
      </c>
      <c r="Q858" s="70" t="b">
        <f>IF(Tab.11[[#This Row],[a1]]=1,_xlfn.NORM.DIST(Tab.11[[#This Row],[b10]],$P$1,$Q$1,FALSE))</f>
        <v>0</v>
      </c>
      <c r="R858" s="67" t="b">
        <f>IF(Tab.11[[#This Row],[a1]]=1,$I$3+$A$989+IF($K$3=0,Tab.11[[#This Row],[b8]]*_xlfn.STDEV.P(Tab.11[data]),AVERAGE(Tab.11[b6])+Tab.11[[#This Row],[b8]]*_xlfn.STDEV.P(Tab.11[data])))</f>
        <v>0</v>
      </c>
      <c r="S858" s="71" t="b">
        <f>IF(Tab.11[[#This Row],[a1]]=1,$I$3+$A$987+IF($K$3=0,Tab.11[[#This Row],[b9]]*_xlfn.STDEV.P(Tab.11[data]),AVERAGE(Tab.11[b6])+Tab.11[[#This Row],[b9]]*_xlfn.STDEV.P(Tab.11[data])))</f>
        <v>0</v>
      </c>
      <c r="T858" s="71" t="b">
        <f>IF(Tab.11[[#This Row],[a1]]=1,$I$3+$A$988+IF($K$3=0,Tab.11[[#This Row],[b10]]*_xlfn.STDEV.P(Tab.11[data]),AVERAGE(Tab.11[b6])+Tab.11[[#This Row],[b10]]*_xlfn.STDEV.P(Tab.11[data])))</f>
        <v>0</v>
      </c>
      <c r="U858" s="72" t="b">
        <f>IF(Tab.11[[#This Row],[a1]]=1,Tab.11[[#This Row],[target]]-Tab.11[[#This Row],[Red]])</f>
        <v>0</v>
      </c>
      <c r="V858" s="72" t="b">
        <f>IF(Tab.11[[#This Row],[a1]]=1,Tab.11[[#This Row],[target]]-Tab.11[[#This Row],[Blue]])</f>
        <v>0</v>
      </c>
      <c r="W858" s="73" t="b">
        <f>IF(Tab.11[[#This Row],[a1]]=1,IF(ABS(Tab.11[[#This Row],[b17]])+ABS(Tab.11[[#This Row],[b18]])&lt;$W$2,$W$2,ABS(Tab.11[[#This Row],[b17]])+ABS(Tab.11[[#This Row],[b18]])))</f>
        <v>0</v>
      </c>
      <c r="X858" s="136" t="b">
        <f>IF(Tab.11[[#This Row],[a1]]=1,IF($W$3&lt;0,Tab.11[[#This Row],[IN]]-$I$3,Tab.11[[#This Row],[IN]]))</f>
        <v>0</v>
      </c>
      <c r="Y858" s="136" t="b">
        <f>IF(Tab.11[[#This Row],[a1]]=1,IF($X$3=0,Tab.11[b66],Tab.11[[#This Row],[b66]]-AVERAGE(Tab.11[b66])))</f>
        <v>0</v>
      </c>
      <c r="Z858" s="135" t="b">
        <f>IF(Tab.11[[#This Row],[a1]]=1,Tab.11[[#This Row],[b77]]/(_xlfn.STDEV.P(Tab.11[b77])))</f>
        <v>0</v>
      </c>
      <c r="AA858" s="70" t="b">
        <f>IF(Tab.11[[#This Row],[a1]]=1,_xlfn.NORM.DIST(Tab.11[[#This Row],[b88]],$Z$1,$AA$1,FALSE))</f>
        <v>0</v>
      </c>
      <c r="AB858" s="74" t="b">
        <f>IF(Tab.11[[#This Row],[a1]]=1,IF($A$3=0,FALSE,1/Tab.11[[#This Row],[IN]]*$AC$2*IF(Tab.11[[#This Row],[a1]]=0,,$A$3*$AC$1*1/$V$3*(Tab.11[[#This Row],[b14]]))))</f>
        <v>0</v>
      </c>
      <c r="AC858" s="75" t="b">
        <f>IF(Tab.11[[#This Row],[a1]]=1,IF($AC$3=0,Tab.11[[#This Row],[φ1]],Tab.11[[#This Row],[φ1]]/MAX(Tab.11[φ1])))</f>
        <v>0</v>
      </c>
      <c r="AD858" s="74" t="b">
        <f>IF(Tab.11[[#This Row],[a1]]=1,1/Tab.11[[#This Row],[φ2]])</f>
        <v>0</v>
      </c>
      <c r="AE858" s="74" t="b">
        <f>IF(Tab.11[[#This Row],[a1]]=1,IF($AE$3=0,Tab.11[[#This Row],[w.0]],Tab.11[[#This Row],[w.0]]/SUM(Tab.11[w.0])))</f>
        <v>0</v>
      </c>
      <c r="AF858" s="76" t="str">
        <f>IF(Tab.11[[#This Row],[a1]]=0,"false",[3]!Tab.x5[[#This Row],[%_seN_C]])</f>
        <v>false</v>
      </c>
      <c r="AG858" s="77" t="b">
        <f>IF(Tab.11[[#This Row],[a1]]=1,AP858)</f>
        <v>0</v>
      </c>
      <c r="AH858" s="78" t="b">
        <f>IF(Tab.11[[#This Row],[a1]]=1,AQ858)</f>
        <v>0</v>
      </c>
      <c r="AI858" s="41">
        <v>3.0000000000000001E-3</v>
      </c>
      <c r="AJ858" s="79">
        <v>0.05</v>
      </c>
      <c r="AK858" s="80" t="b">
        <f>IF(Tab.11[[#This Row],[a1]]=1,1)</f>
        <v>0</v>
      </c>
      <c r="AL858"/>
      <c r="AM858"/>
      <c r="AN858"/>
      <c r="AO858"/>
      <c r="AP858"/>
      <c r="AQ858"/>
      <c r="AR858"/>
      <c r="AS858"/>
    </row>
    <row r="859" spans="1:45" s="81" customFormat="1" hidden="1" x14ac:dyDescent="0.25">
      <c r="A859" s="61">
        <f t="shared" si="29"/>
        <v>0</v>
      </c>
      <c r="B859" s="62">
        <f t="shared" si="29"/>
        <v>0</v>
      </c>
      <c r="C859" s="62" t="b">
        <f>IF(Tab.11[[#This Row],[a1]]=1,[3]!Tab_x1[[#This Row],[Name]])</f>
        <v>0</v>
      </c>
      <c r="D859" s="63" t="b">
        <f>IF(Tab.11[[#This Row],[a1]]=1,AO859)</f>
        <v>0</v>
      </c>
      <c r="E859" s="63">
        <f t="shared" si="28"/>
        <v>0</v>
      </c>
      <c r="F859" s="64" t="b">
        <f>IF(Tab.11[[#This Row],[a1]]=1,Tab.11[[#This Row],[b1]])</f>
        <v>0</v>
      </c>
      <c r="G859" s="65" t="b">
        <f>IF(Tab.11[[#This Row],[a1]]=1,IF(Tab.11[[#This Row],[b3]]&gt;$L$989*$G$3,$L$989*$G$3,IF(Tab.11[[#This Row],[b3]]&lt;$M$989*$G$3,$M$989*$G$3,Tab.11[[#This Row],[b3]])))</f>
        <v>0</v>
      </c>
      <c r="H859" s="66" t="b">
        <f>IF(Tab.11[[#This Row],[a1]]=1,Tab.11[[#This Row],[b1]])</f>
        <v>0</v>
      </c>
      <c r="I859" s="67" t="b">
        <f>IF(Tab.11[[#This Row],[a1]]=1,Tab.11[[#This Row],[b1]])</f>
        <v>0</v>
      </c>
      <c r="J859" s="68" t="b">
        <f>IF(Tab.11[[#This Row],[a1]]=1,IF($I$3&lt;0,Tab.11[[#This Row],[b5]]-$I$3,Tab.11[[#This Row],[b5]]))</f>
        <v>0</v>
      </c>
      <c r="K859" s="68" t="b">
        <f>IF(Tab.11[[#This Row],[a1]]=1,IF($K$3=0,Tab.11[b6],Tab.11[[#This Row],[b6]]-AVERAGE(Tab.11[b6])))</f>
        <v>0</v>
      </c>
      <c r="L859" s="69" t="b">
        <f>IF(Tab.11[[#This Row],[a1]]=1,Tab.11[[#This Row],[data]]/(_xlfn.STDEV.P(Tab.11[data])*$B$989)+$A$989)</f>
        <v>0</v>
      </c>
      <c r="M859" s="69" t="b">
        <f>IF(Tab.11[[#This Row],[a1]]=1,Tab.11[[#This Row],[data]]/(_xlfn.STDEV.P(Tab.11[data])*$B$987)-$A$987)</f>
        <v>0</v>
      </c>
      <c r="N859" s="69" t="b">
        <f>IF(Tab.11[[#This Row],[a1]]=1,Tab.11[[#This Row],[data]]/(_xlfn.STDEV.P(Tab.11[data])*$B$988)+$A$988)</f>
        <v>0</v>
      </c>
      <c r="O859" s="70" t="b">
        <f>IF(Tab.11[[#This Row],[a1]]=1,_xlfn.NORM.DIST(Tab.11[[#This Row],[b8]],$P$1,$Q$1,FALSE))</f>
        <v>0</v>
      </c>
      <c r="P859" s="70" t="b">
        <f>IF(Tab.11[[#This Row],[a1]]=1,_xlfn.NORM.DIST(Tab.11[[#This Row],[b9]],$P$1,$Q$1,FALSE))</f>
        <v>0</v>
      </c>
      <c r="Q859" s="70" t="b">
        <f>IF(Tab.11[[#This Row],[a1]]=1,_xlfn.NORM.DIST(Tab.11[[#This Row],[b10]],$P$1,$Q$1,FALSE))</f>
        <v>0</v>
      </c>
      <c r="R859" s="67" t="b">
        <f>IF(Tab.11[[#This Row],[a1]]=1,$I$3+$A$989+IF($K$3=0,Tab.11[[#This Row],[b8]]*_xlfn.STDEV.P(Tab.11[data]),AVERAGE(Tab.11[b6])+Tab.11[[#This Row],[b8]]*_xlfn.STDEV.P(Tab.11[data])))</f>
        <v>0</v>
      </c>
      <c r="S859" s="71" t="b">
        <f>IF(Tab.11[[#This Row],[a1]]=1,$I$3+$A$987+IF($K$3=0,Tab.11[[#This Row],[b9]]*_xlfn.STDEV.P(Tab.11[data]),AVERAGE(Tab.11[b6])+Tab.11[[#This Row],[b9]]*_xlfn.STDEV.P(Tab.11[data])))</f>
        <v>0</v>
      </c>
      <c r="T859" s="71" t="b">
        <f>IF(Tab.11[[#This Row],[a1]]=1,$I$3+$A$988+IF($K$3=0,Tab.11[[#This Row],[b10]]*_xlfn.STDEV.P(Tab.11[data]),AVERAGE(Tab.11[b6])+Tab.11[[#This Row],[b10]]*_xlfn.STDEV.P(Tab.11[data])))</f>
        <v>0</v>
      </c>
      <c r="U859" s="72" t="b">
        <f>IF(Tab.11[[#This Row],[a1]]=1,Tab.11[[#This Row],[target]]-Tab.11[[#This Row],[Red]])</f>
        <v>0</v>
      </c>
      <c r="V859" s="72" t="b">
        <f>IF(Tab.11[[#This Row],[a1]]=1,Tab.11[[#This Row],[target]]-Tab.11[[#This Row],[Blue]])</f>
        <v>0</v>
      </c>
      <c r="W859" s="73" t="b">
        <f>IF(Tab.11[[#This Row],[a1]]=1,IF(ABS(Tab.11[[#This Row],[b17]])+ABS(Tab.11[[#This Row],[b18]])&lt;$W$2,$W$2,ABS(Tab.11[[#This Row],[b17]])+ABS(Tab.11[[#This Row],[b18]])))</f>
        <v>0</v>
      </c>
      <c r="X859" s="136" t="b">
        <f>IF(Tab.11[[#This Row],[a1]]=1,IF($W$3&lt;0,Tab.11[[#This Row],[IN]]-$I$3,Tab.11[[#This Row],[IN]]))</f>
        <v>0</v>
      </c>
      <c r="Y859" s="136" t="b">
        <f>IF(Tab.11[[#This Row],[a1]]=1,IF($X$3=0,Tab.11[b66],Tab.11[[#This Row],[b66]]-AVERAGE(Tab.11[b66])))</f>
        <v>0</v>
      </c>
      <c r="Z859" s="135" t="b">
        <f>IF(Tab.11[[#This Row],[a1]]=1,Tab.11[[#This Row],[b77]]/(_xlfn.STDEV.P(Tab.11[b77])))</f>
        <v>0</v>
      </c>
      <c r="AA859" s="70" t="b">
        <f>IF(Tab.11[[#This Row],[a1]]=1,_xlfn.NORM.DIST(Tab.11[[#This Row],[b88]],$Z$1,$AA$1,FALSE))</f>
        <v>0</v>
      </c>
      <c r="AB859" s="74" t="b">
        <f>IF(Tab.11[[#This Row],[a1]]=1,IF($A$3=0,FALSE,1/Tab.11[[#This Row],[IN]]*$AC$2*IF(Tab.11[[#This Row],[a1]]=0,,$A$3*$AC$1*1/$V$3*(Tab.11[[#This Row],[b14]]))))</f>
        <v>0</v>
      </c>
      <c r="AC859" s="75" t="b">
        <f>IF(Tab.11[[#This Row],[a1]]=1,IF($AC$3=0,Tab.11[[#This Row],[φ1]],Tab.11[[#This Row],[φ1]]/MAX(Tab.11[φ1])))</f>
        <v>0</v>
      </c>
      <c r="AD859" s="74" t="b">
        <f>IF(Tab.11[[#This Row],[a1]]=1,1/Tab.11[[#This Row],[φ2]])</f>
        <v>0</v>
      </c>
      <c r="AE859" s="74" t="b">
        <f>IF(Tab.11[[#This Row],[a1]]=1,IF($AE$3=0,Tab.11[[#This Row],[w.0]],Tab.11[[#This Row],[w.0]]/SUM(Tab.11[w.0])))</f>
        <v>0</v>
      </c>
      <c r="AF859" s="76" t="str">
        <f>IF(Tab.11[[#This Row],[a1]]=0,"false",[3]!Tab.x5[[#This Row],[%_seN_C]])</f>
        <v>false</v>
      </c>
      <c r="AG859" s="77" t="b">
        <f>IF(Tab.11[[#This Row],[a1]]=1,AP859)</f>
        <v>0</v>
      </c>
      <c r="AH859" s="78" t="b">
        <f>IF(Tab.11[[#This Row],[a1]]=1,AQ859)</f>
        <v>0</v>
      </c>
      <c r="AI859" s="41">
        <v>3.0000000000000001E-3</v>
      </c>
      <c r="AJ859" s="79">
        <v>0.04</v>
      </c>
      <c r="AK859" s="80" t="b">
        <f>IF(Tab.11[[#This Row],[a1]]=1,1)</f>
        <v>0</v>
      </c>
      <c r="AL859"/>
      <c r="AM859"/>
      <c r="AN859"/>
      <c r="AO859"/>
      <c r="AP859"/>
      <c r="AQ859"/>
      <c r="AR859"/>
      <c r="AS859"/>
    </row>
    <row r="860" spans="1:45" s="81" customFormat="1" hidden="1" x14ac:dyDescent="0.25">
      <c r="A860" s="61">
        <f t="shared" si="29"/>
        <v>0</v>
      </c>
      <c r="B860" s="62">
        <f t="shared" si="29"/>
        <v>0</v>
      </c>
      <c r="C860" s="62" t="b">
        <f>IF(Tab.11[[#This Row],[a1]]=1,[3]!Tab_x1[[#This Row],[Name]])</f>
        <v>0</v>
      </c>
      <c r="D860" s="63" t="b">
        <f>IF(Tab.11[[#This Row],[a1]]=1,AO860)</f>
        <v>0</v>
      </c>
      <c r="E860" s="63">
        <f t="shared" si="28"/>
        <v>0</v>
      </c>
      <c r="F860" s="64" t="b">
        <f>IF(Tab.11[[#This Row],[a1]]=1,Tab.11[[#This Row],[b1]])</f>
        <v>0</v>
      </c>
      <c r="G860" s="65" t="b">
        <f>IF(Tab.11[[#This Row],[a1]]=1,IF(Tab.11[[#This Row],[b3]]&gt;$L$989*$G$3,$L$989*$G$3,IF(Tab.11[[#This Row],[b3]]&lt;$M$989*$G$3,$M$989*$G$3,Tab.11[[#This Row],[b3]])))</f>
        <v>0</v>
      </c>
      <c r="H860" s="66" t="b">
        <f>IF(Tab.11[[#This Row],[a1]]=1,Tab.11[[#This Row],[b1]])</f>
        <v>0</v>
      </c>
      <c r="I860" s="67" t="b">
        <f>IF(Tab.11[[#This Row],[a1]]=1,Tab.11[[#This Row],[b1]])</f>
        <v>0</v>
      </c>
      <c r="J860" s="68" t="b">
        <f>IF(Tab.11[[#This Row],[a1]]=1,IF($I$3&lt;0,Tab.11[[#This Row],[b5]]-$I$3,Tab.11[[#This Row],[b5]]))</f>
        <v>0</v>
      </c>
      <c r="K860" s="68" t="b">
        <f>IF(Tab.11[[#This Row],[a1]]=1,IF($K$3=0,Tab.11[b6],Tab.11[[#This Row],[b6]]-AVERAGE(Tab.11[b6])))</f>
        <v>0</v>
      </c>
      <c r="L860" s="69" t="b">
        <f>IF(Tab.11[[#This Row],[a1]]=1,Tab.11[[#This Row],[data]]/(_xlfn.STDEV.P(Tab.11[data])*$B$989)+$A$989)</f>
        <v>0</v>
      </c>
      <c r="M860" s="69" t="b">
        <f>IF(Tab.11[[#This Row],[a1]]=1,Tab.11[[#This Row],[data]]/(_xlfn.STDEV.P(Tab.11[data])*$B$987)-$A$987)</f>
        <v>0</v>
      </c>
      <c r="N860" s="69" t="b">
        <f>IF(Tab.11[[#This Row],[a1]]=1,Tab.11[[#This Row],[data]]/(_xlfn.STDEV.P(Tab.11[data])*$B$988)+$A$988)</f>
        <v>0</v>
      </c>
      <c r="O860" s="70" t="b">
        <f>IF(Tab.11[[#This Row],[a1]]=1,_xlfn.NORM.DIST(Tab.11[[#This Row],[b8]],$P$1,$Q$1,FALSE))</f>
        <v>0</v>
      </c>
      <c r="P860" s="70" t="b">
        <f>IF(Tab.11[[#This Row],[a1]]=1,_xlfn.NORM.DIST(Tab.11[[#This Row],[b9]],$P$1,$Q$1,FALSE))</f>
        <v>0</v>
      </c>
      <c r="Q860" s="70" t="b">
        <f>IF(Tab.11[[#This Row],[a1]]=1,_xlfn.NORM.DIST(Tab.11[[#This Row],[b10]],$P$1,$Q$1,FALSE))</f>
        <v>0</v>
      </c>
      <c r="R860" s="67" t="b">
        <f>IF(Tab.11[[#This Row],[a1]]=1,$I$3+$A$989+IF($K$3=0,Tab.11[[#This Row],[b8]]*_xlfn.STDEV.P(Tab.11[data]),AVERAGE(Tab.11[b6])+Tab.11[[#This Row],[b8]]*_xlfn.STDEV.P(Tab.11[data])))</f>
        <v>0</v>
      </c>
      <c r="S860" s="71" t="b">
        <f>IF(Tab.11[[#This Row],[a1]]=1,$I$3+$A$987+IF($K$3=0,Tab.11[[#This Row],[b9]]*_xlfn.STDEV.P(Tab.11[data]),AVERAGE(Tab.11[b6])+Tab.11[[#This Row],[b9]]*_xlfn.STDEV.P(Tab.11[data])))</f>
        <v>0</v>
      </c>
      <c r="T860" s="71" t="b">
        <f>IF(Tab.11[[#This Row],[a1]]=1,$I$3+$A$988+IF($K$3=0,Tab.11[[#This Row],[b10]]*_xlfn.STDEV.P(Tab.11[data]),AVERAGE(Tab.11[b6])+Tab.11[[#This Row],[b10]]*_xlfn.STDEV.P(Tab.11[data])))</f>
        <v>0</v>
      </c>
      <c r="U860" s="72" t="b">
        <f>IF(Tab.11[[#This Row],[a1]]=1,Tab.11[[#This Row],[target]]-Tab.11[[#This Row],[Red]])</f>
        <v>0</v>
      </c>
      <c r="V860" s="72" t="b">
        <f>IF(Tab.11[[#This Row],[a1]]=1,Tab.11[[#This Row],[target]]-Tab.11[[#This Row],[Blue]])</f>
        <v>0</v>
      </c>
      <c r="W860" s="73" t="b">
        <f>IF(Tab.11[[#This Row],[a1]]=1,IF(ABS(Tab.11[[#This Row],[b17]])+ABS(Tab.11[[#This Row],[b18]])&lt;$W$2,$W$2,ABS(Tab.11[[#This Row],[b17]])+ABS(Tab.11[[#This Row],[b18]])))</f>
        <v>0</v>
      </c>
      <c r="X860" s="136" t="b">
        <f>IF(Tab.11[[#This Row],[a1]]=1,IF($W$3&lt;0,Tab.11[[#This Row],[IN]]-$I$3,Tab.11[[#This Row],[IN]]))</f>
        <v>0</v>
      </c>
      <c r="Y860" s="136" t="b">
        <f>IF(Tab.11[[#This Row],[a1]]=1,IF($X$3=0,Tab.11[b66],Tab.11[[#This Row],[b66]]-AVERAGE(Tab.11[b66])))</f>
        <v>0</v>
      </c>
      <c r="Z860" s="135" t="b">
        <f>IF(Tab.11[[#This Row],[a1]]=1,Tab.11[[#This Row],[b77]]/(_xlfn.STDEV.P(Tab.11[b77])))</f>
        <v>0</v>
      </c>
      <c r="AA860" s="70" t="b">
        <f>IF(Tab.11[[#This Row],[a1]]=1,_xlfn.NORM.DIST(Tab.11[[#This Row],[b88]],$Z$1,$AA$1,FALSE))</f>
        <v>0</v>
      </c>
      <c r="AB860" s="74" t="b">
        <f>IF(Tab.11[[#This Row],[a1]]=1,IF($A$3=0,FALSE,1/Tab.11[[#This Row],[IN]]*$AC$2*IF(Tab.11[[#This Row],[a1]]=0,,$A$3*$AC$1*1/$V$3*(Tab.11[[#This Row],[b14]]))))</f>
        <v>0</v>
      </c>
      <c r="AC860" s="75" t="b">
        <f>IF(Tab.11[[#This Row],[a1]]=1,IF($AC$3=0,Tab.11[[#This Row],[φ1]],Tab.11[[#This Row],[φ1]]/MAX(Tab.11[φ1])))</f>
        <v>0</v>
      </c>
      <c r="AD860" s="74" t="b">
        <f>IF(Tab.11[[#This Row],[a1]]=1,1/Tab.11[[#This Row],[φ2]])</f>
        <v>0</v>
      </c>
      <c r="AE860" s="74" t="b">
        <f>IF(Tab.11[[#This Row],[a1]]=1,IF($AE$3=0,Tab.11[[#This Row],[w.0]],Tab.11[[#This Row],[w.0]]/SUM(Tab.11[w.0])))</f>
        <v>0</v>
      </c>
      <c r="AF860" s="76" t="str">
        <f>IF(Tab.11[[#This Row],[a1]]=0,"false",[3]!Tab.x5[[#This Row],[%_seN_C]])</f>
        <v>false</v>
      </c>
      <c r="AG860" s="77" t="b">
        <f>IF(Tab.11[[#This Row],[a1]]=1,AP860)</f>
        <v>0</v>
      </c>
      <c r="AH860" s="78" t="b">
        <f>IF(Tab.11[[#This Row],[a1]]=1,AQ860)</f>
        <v>0</v>
      </c>
      <c r="AI860" s="41">
        <v>3.0000000000000001E-3</v>
      </c>
      <c r="AJ860" s="79">
        <v>0.08</v>
      </c>
      <c r="AK860" s="80" t="b">
        <f>IF(Tab.11[[#This Row],[a1]]=1,1)</f>
        <v>0</v>
      </c>
      <c r="AL860"/>
      <c r="AM860"/>
      <c r="AN860"/>
      <c r="AO860"/>
      <c r="AP860"/>
      <c r="AQ860"/>
      <c r="AR860"/>
      <c r="AS860"/>
    </row>
    <row r="861" spans="1:45" s="81" customFormat="1" hidden="1" x14ac:dyDescent="0.25">
      <c r="A861" s="61">
        <f t="shared" si="29"/>
        <v>0</v>
      </c>
      <c r="B861" s="62">
        <f t="shared" si="29"/>
        <v>0</v>
      </c>
      <c r="C861" s="62" t="b">
        <f>IF(Tab.11[[#This Row],[a1]]=1,[3]!Tab_x1[[#This Row],[Name]])</f>
        <v>0</v>
      </c>
      <c r="D861" s="63" t="b">
        <f>IF(Tab.11[[#This Row],[a1]]=1,AO861)</f>
        <v>0</v>
      </c>
      <c r="E861" s="63">
        <f t="shared" si="28"/>
        <v>0</v>
      </c>
      <c r="F861" s="64" t="b">
        <f>IF(Tab.11[[#This Row],[a1]]=1,Tab.11[[#This Row],[b1]])</f>
        <v>0</v>
      </c>
      <c r="G861" s="65" t="b">
        <f>IF(Tab.11[[#This Row],[a1]]=1,IF(Tab.11[[#This Row],[b3]]&gt;$L$989*$G$3,$L$989*$G$3,IF(Tab.11[[#This Row],[b3]]&lt;$M$989*$G$3,$M$989*$G$3,Tab.11[[#This Row],[b3]])))</f>
        <v>0</v>
      </c>
      <c r="H861" s="66" t="b">
        <f>IF(Tab.11[[#This Row],[a1]]=1,Tab.11[[#This Row],[b1]])</f>
        <v>0</v>
      </c>
      <c r="I861" s="67" t="b">
        <f>IF(Tab.11[[#This Row],[a1]]=1,Tab.11[[#This Row],[b1]])</f>
        <v>0</v>
      </c>
      <c r="J861" s="68" t="b">
        <f>IF(Tab.11[[#This Row],[a1]]=1,IF($I$3&lt;0,Tab.11[[#This Row],[b5]]-$I$3,Tab.11[[#This Row],[b5]]))</f>
        <v>0</v>
      </c>
      <c r="K861" s="68" t="b">
        <f>IF(Tab.11[[#This Row],[a1]]=1,IF($K$3=0,Tab.11[b6],Tab.11[[#This Row],[b6]]-AVERAGE(Tab.11[b6])))</f>
        <v>0</v>
      </c>
      <c r="L861" s="69" t="b">
        <f>IF(Tab.11[[#This Row],[a1]]=1,Tab.11[[#This Row],[data]]/(_xlfn.STDEV.P(Tab.11[data])*$B$989)+$A$989)</f>
        <v>0</v>
      </c>
      <c r="M861" s="69" t="b">
        <f>IF(Tab.11[[#This Row],[a1]]=1,Tab.11[[#This Row],[data]]/(_xlfn.STDEV.P(Tab.11[data])*$B$987)-$A$987)</f>
        <v>0</v>
      </c>
      <c r="N861" s="69" t="b">
        <f>IF(Tab.11[[#This Row],[a1]]=1,Tab.11[[#This Row],[data]]/(_xlfn.STDEV.P(Tab.11[data])*$B$988)+$A$988)</f>
        <v>0</v>
      </c>
      <c r="O861" s="70" t="b">
        <f>IF(Tab.11[[#This Row],[a1]]=1,_xlfn.NORM.DIST(Tab.11[[#This Row],[b8]],$P$1,$Q$1,FALSE))</f>
        <v>0</v>
      </c>
      <c r="P861" s="70" t="b">
        <f>IF(Tab.11[[#This Row],[a1]]=1,_xlfn.NORM.DIST(Tab.11[[#This Row],[b9]],$P$1,$Q$1,FALSE))</f>
        <v>0</v>
      </c>
      <c r="Q861" s="70" t="b">
        <f>IF(Tab.11[[#This Row],[a1]]=1,_xlfn.NORM.DIST(Tab.11[[#This Row],[b10]],$P$1,$Q$1,FALSE))</f>
        <v>0</v>
      </c>
      <c r="R861" s="67" t="b">
        <f>IF(Tab.11[[#This Row],[a1]]=1,$I$3+$A$989+IF($K$3=0,Tab.11[[#This Row],[b8]]*_xlfn.STDEV.P(Tab.11[data]),AVERAGE(Tab.11[b6])+Tab.11[[#This Row],[b8]]*_xlfn.STDEV.P(Tab.11[data])))</f>
        <v>0</v>
      </c>
      <c r="S861" s="71" t="b">
        <f>IF(Tab.11[[#This Row],[a1]]=1,$I$3+$A$987+IF($K$3=0,Tab.11[[#This Row],[b9]]*_xlfn.STDEV.P(Tab.11[data]),AVERAGE(Tab.11[b6])+Tab.11[[#This Row],[b9]]*_xlfn.STDEV.P(Tab.11[data])))</f>
        <v>0</v>
      </c>
      <c r="T861" s="71" t="b">
        <f>IF(Tab.11[[#This Row],[a1]]=1,$I$3+$A$988+IF($K$3=0,Tab.11[[#This Row],[b10]]*_xlfn.STDEV.P(Tab.11[data]),AVERAGE(Tab.11[b6])+Tab.11[[#This Row],[b10]]*_xlfn.STDEV.P(Tab.11[data])))</f>
        <v>0</v>
      </c>
      <c r="U861" s="72" t="b">
        <f>IF(Tab.11[[#This Row],[a1]]=1,Tab.11[[#This Row],[target]]-Tab.11[[#This Row],[Red]])</f>
        <v>0</v>
      </c>
      <c r="V861" s="72" t="b">
        <f>IF(Tab.11[[#This Row],[a1]]=1,Tab.11[[#This Row],[target]]-Tab.11[[#This Row],[Blue]])</f>
        <v>0</v>
      </c>
      <c r="W861" s="73" t="b">
        <f>IF(Tab.11[[#This Row],[a1]]=1,IF(ABS(Tab.11[[#This Row],[b17]])+ABS(Tab.11[[#This Row],[b18]])&lt;$W$2,$W$2,ABS(Tab.11[[#This Row],[b17]])+ABS(Tab.11[[#This Row],[b18]])))</f>
        <v>0</v>
      </c>
      <c r="X861" s="136" t="b">
        <f>IF(Tab.11[[#This Row],[a1]]=1,IF($W$3&lt;0,Tab.11[[#This Row],[IN]]-$I$3,Tab.11[[#This Row],[IN]]))</f>
        <v>0</v>
      </c>
      <c r="Y861" s="136" t="b">
        <f>IF(Tab.11[[#This Row],[a1]]=1,IF($X$3=0,Tab.11[b66],Tab.11[[#This Row],[b66]]-AVERAGE(Tab.11[b66])))</f>
        <v>0</v>
      </c>
      <c r="Z861" s="135" t="b">
        <f>IF(Tab.11[[#This Row],[a1]]=1,Tab.11[[#This Row],[b77]]/(_xlfn.STDEV.P(Tab.11[b77])))</f>
        <v>0</v>
      </c>
      <c r="AA861" s="70" t="b">
        <f>IF(Tab.11[[#This Row],[a1]]=1,_xlfn.NORM.DIST(Tab.11[[#This Row],[b88]],$Z$1,$AA$1,FALSE))</f>
        <v>0</v>
      </c>
      <c r="AB861" s="74" t="b">
        <f>IF(Tab.11[[#This Row],[a1]]=1,IF($A$3=0,FALSE,1/Tab.11[[#This Row],[IN]]*$AC$2*IF(Tab.11[[#This Row],[a1]]=0,,$A$3*$AC$1*1/$V$3*(Tab.11[[#This Row],[b14]]))))</f>
        <v>0</v>
      </c>
      <c r="AC861" s="75" t="b">
        <f>IF(Tab.11[[#This Row],[a1]]=1,IF($AC$3=0,Tab.11[[#This Row],[φ1]],Tab.11[[#This Row],[φ1]]/MAX(Tab.11[φ1])))</f>
        <v>0</v>
      </c>
      <c r="AD861" s="74" t="b">
        <f>IF(Tab.11[[#This Row],[a1]]=1,1/Tab.11[[#This Row],[φ2]])</f>
        <v>0</v>
      </c>
      <c r="AE861" s="74" t="b">
        <f>IF(Tab.11[[#This Row],[a1]]=1,IF($AE$3=0,Tab.11[[#This Row],[w.0]],Tab.11[[#This Row],[w.0]]/SUM(Tab.11[w.0])))</f>
        <v>0</v>
      </c>
      <c r="AF861" s="76" t="str">
        <f>IF(Tab.11[[#This Row],[a1]]=0,"false",[3]!Tab.x5[[#This Row],[%_seN_C]])</f>
        <v>false</v>
      </c>
      <c r="AG861" s="77" t="b">
        <f>IF(Tab.11[[#This Row],[a1]]=1,AP861)</f>
        <v>0</v>
      </c>
      <c r="AH861" s="78" t="b">
        <f>IF(Tab.11[[#This Row],[a1]]=1,AQ861)</f>
        <v>0</v>
      </c>
      <c r="AI861" s="41">
        <v>3.0000000000000001E-3</v>
      </c>
      <c r="AJ861" s="79">
        <v>0.09</v>
      </c>
      <c r="AK861" s="80" t="b">
        <f>IF(Tab.11[[#This Row],[a1]]=1,1)</f>
        <v>0</v>
      </c>
      <c r="AL861"/>
      <c r="AM861"/>
      <c r="AN861"/>
      <c r="AO861"/>
      <c r="AP861"/>
      <c r="AQ861"/>
      <c r="AR861"/>
      <c r="AS861"/>
    </row>
    <row r="862" spans="1:45" s="81" customFormat="1" hidden="1" x14ac:dyDescent="0.25">
      <c r="A862" s="61">
        <f t="shared" si="29"/>
        <v>0</v>
      </c>
      <c r="B862" s="62">
        <f t="shared" si="29"/>
        <v>0</v>
      </c>
      <c r="C862" s="62" t="b">
        <f>IF(Tab.11[[#This Row],[a1]]=1,[3]!Tab_x1[[#This Row],[Name]])</f>
        <v>0</v>
      </c>
      <c r="D862" s="63" t="b">
        <f>IF(Tab.11[[#This Row],[a1]]=1,AO862)</f>
        <v>0</v>
      </c>
      <c r="E862" s="63">
        <f t="shared" si="28"/>
        <v>0</v>
      </c>
      <c r="F862" s="64" t="b">
        <f>IF(Tab.11[[#This Row],[a1]]=1,Tab.11[[#This Row],[b1]])</f>
        <v>0</v>
      </c>
      <c r="G862" s="65" t="b">
        <f>IF(Tab.11[[#This Row],[a1]]=1,IF(Tab.11[[#This Row],[b3]]&gt;$L$989*$G$3,$L$989*$G$3,IF(Tab.11[[#This Row],[b3]]&lt;$M$989*$G$3,$M$989*$G$3,Tab.11[[#This Row],[b3]])))</f>
        <v>0</v>
      </c>
      <c r="H862" s="66" t="b">
        <f>IF(Tab.11[[#This Row],[a1]]=1,Tab.11[[#This Row],[b1]])</f>
        <v>0</v>
      </c>
      <c r="I862" s="67" t="b">
        <f>IF(Tab.11[[#This Row],[a1]]=1,Tab.11[[#This Row],[b1]])</f>
        <v>0</v>
      </c>
      <c r="J862" s="68" t="b">
        <f>IF(Tab.11[[#This Row],[a1]]=1,IF($I$3&lt;0,Tab.11[[#This Row],[b5]]-$I$3,Tab.11[[#This Row],[b5]]))</f>
        <v>0</v>
      </c>
      <c r="K862" s="68" t="b">
        <f>IF(Tab.11[[#This Row],[a1]]=1,IF($K$3=0,Tab.11[b6],Tab.11[[#This Row],[b6]]-AVERAGE(Tab.11[b6])))</f>
        <v>0</v>
      </c>
      <c r="L862" s="69" t="b">
        <f>IF(Tab.11[[#This Row],[a1]]=1,Tab.11[[#This Row],[data]]/(_xlfn.STDEV.P(Tab.11[data])*$B$989)+$A$989)</f>
        <v>0</v>
      </c>
      <c r="M862" s="69" t="b">
        <f>IF(Tab.11[[#This Row],[a1]]=1,Tab.11[[#This Row],[data]]/(_xlfn.STDEV.P(Tab.11[data])*$B$987)-$A$987)</f>
        <v>0</v>
      </c>
      <c r="N862" s="69" t="b">
        <f>IF(Tab.11[[#This Row],[a1]]=1,Tab.11[[#This Row],[data]]/(_xlfn.STDEV.P(Tab.11[data])*$B$988)+$A$988)</f>
        <v>0</v>
      </c>
      <c r="O862" s="70" t="b">
        <f>IF(Tab.11[[#This Row],[a1]]=1,_xlfn.NORM.DIST(Tab.11[[#This Row],[b8]],$P$1,$Q$1,FALSE))</f>
        <v>0</v>
      </c>
      <c r="P862" s="70" t="b">
        <f>IF(Tab.11[[#This Row],[a1]]=1,_xlfn.NORM.DIST(Tab.11[[#This Row],[b9]],$P$1,$Q$1,FALSE))</f>
        <v>0</v>
      </c>
      <c r="Q862" s="70" t="b">
        <f>IF(Tab.11[[#This Row],[a1]]=1,_xlfn.NORM.DIST(Tab.11[[#This Row],[b10]],$P$1,$Q$1,FALSE))</f>
        <v>0</v>
      </c>
      <c r="R862" s="67" t="b">
        <f>IF(Tab.11[[#This Row],[a1]]=1,$I$3+$A$989+IF($K$3=0,Tab.11[[#This Row],[b8]]*_xlfn.STDEV.P(Tab.11[data]),AVERAGE(Tab.11[b6])+Tab.11[[#This Row],[b8]]*_xlfn.STDEV.P(Tab.11[data])))</f>
        <v>0</v>
      </c>
      <c r="S862" s="71" t="b">
        <f>IF(Tab.11[[#This Row],[a1]]=1,$I$3+$A$987+IF($K$3=0,Tab.11[[#This Row],[b9]]*_xlfn.STDEV.P(Tab.11[data]),AVERAGE(Tab.11[b6])+Tab.11[[#This Row],[b9]]*_xlfn.STDEV.P(Tab.11[data])))</f>
        <v>0</v>
      </c>
      <c r="T862" s="71" t="b">
        <f>IF(Tab.11[[#This Row],[a1]]=1,$I$3+$A$988+IF($K$3=0,Tab.11[[#This Row],[b10]]*_xlfn.STDEV.P(Tab.11[data]),AVERAGE(Tab.11[b6])+Tab.11[[#This Row],[b10]]*_xlfn.STDEV.P(Tab.11[data])))</f>
        <v>0</v>
      </c>
      <c r="U862" s="72" t="b">
        <f>IF(Tab.11[[#This Row],[a1]]=1,Tab.11[[#This Row],[target]]-Tab.11[[#This Row],[Red]])</f>
        <v>0</v>
      </c>
      <c r="V862" s="72" t="b">
        <f>IF(Tab.11[[#This Row],[a1]]=1,Tab.11[[#This Row],[target]]-Tab.11[[#This Row],[Blue]])</f>
        <v>0</v>
      </c>
      <c r="W862" s="73" t="b">
        <f>IF(Tab.11[[#This Row],[a1]]=1,IF(ABS(Tab.11[[#This Row],[b17]])+ABS(Tab.11[[#This Row],[b18]])&lt;$W$2,$W$2,ABS(Tab.11[[#This Row],[b17]])+ABS(Tab.11[[#This Row],[b18]])))</f>
        <v>0</v>
      </c>
      <c r="X862" s="136" t="b">
        <f>IF(Tab.11[[#This Row],[a1]]=1,IF($W$3&lt;0,Tab.11[[#This Row],[IN]]-$I$3,Tab.11[[#This Row],[IN]]))</f>
        <v>0</v>
      </c>
      <c r="Y862" s="136" t="b">
        <f>IF(Tab.11[[#This Row],[a1]]=1,IF($X$3=0,Tab.11[b66],Tab.11[[#This Row],[b66]]-AVERAGE(Tab.11[b66])))</f>
        <v>0</v>
      </c>
      <c r="Z862" s="135" t="b">
        <f>IF(Tab.11[[#This Row],[a1]]=1,Tab.11[[#This Row],[b77]]/(_xlfn.STDEV.P(Tab.11[b77])))</f>
        <v>0</v>
      </c>
      <c r="AA862" s="70" t="b">
        <f>IF(Tab.11[[#This Row],[a1]]=1,_xlfn.NORM.DIST(Tab.11[[#This Row],[b88]],$Z$1,$AA$1,FALSE))</f>
        <v>0</v>
      </c>
      <c r="AB862" s="74" t="b">
        <f>IF(Tab.11[[#This Row],[a1]]=1,IF($A$3=0,FALSE,1/Tab.11[[#This Row],[IN]]*$AC$2*IF(Tab.11[[#This Row],[a1]]=0,,$A$3*$AC$1*1/$V$3*(Tab.11[[#This Row],[b14]]))))</f>
        <v>0</v>
      </c>
      <c r="AC862" s="75" t="b">
        <f>IF(Tab.11[[#This Row],[a1]]=1,IF($AC$3=0,Tab.11[[#This Row],[φ1]],Tab.11[[#This Row],[φ1]]/MAX(Tab.11[φ1])))</f>
        <v>0</v>
      </c>
      <c r="AD862" s="74" t="b">
        <f>IF(Tab.11[[#This Row],[a1]]=1,1/Tab.11[[#This Row],[φ2]])</f>
        <v>0</v>
      </c>
      <c r="AE862" s="74" t="b">
        <f>IF(Tab.11[[#This Row],[a1]]=1,IF($AE$3=0,Tab.11[[#This Row],[w.0]],Tab.11[[#This Row],[w.0]]/SUM(Tab.11[w.0])))</f>
        <v>0</v>
      </c>
      <c r="AF862" s="76" t="str">
        <f>IF(Tab.11[[#This Row],[a1]]=0,"false",[3]!Tab.x5[[#This Row],[%_seN_C]])</f>
        <v>false</v>
      </c>
      <c r="AG862" s="77" t="b">
        <f>IF(Tab.11[[#This Row],[a1]]=1,AP862)</f>
        <v>0</v>
      </c>
      <c r="AH862" s="78" t="b">
        <f>IF(Tab.11[[#This Row],[a1]]=1,AQ862)</f>
        <v>0</v>
      </c>
      <c r="AI862" s="41">
        <v>3.0000000000000001E-3</v>
      </c>
      <c r="AJ862" s="79">
        <v>-0.02</v>
      </c>
      <c r="AK862" s="80" t="b">
        <f>IF(Tab.11[[#This Row],[a1]]=1,1)</f>
        <v>0</v>
      </c>
      <c r="AL862"/>
      <c r="AM862"/>
      <c r="AN862"/>
      <c r="AO862"/>
      <c r="AP862"/>
      <c r="AQ862"/>
      <c r="AR862"/>
      <c r="AS862"/>
    </row>
    <row r="863" spans="1:45" s="81" customFormat="1" hidden="1" x14ac:dyDescent="0.25">
      <c r="A863" s="61">
        <f t="shared" si="29"/>
        <v>0</v>
      </c>
      <c r="B863" s="62">
        <f t="shared" si="29"/>
        <v>0</v>
      </c>
      <c r="C863" s="62" t="b">
        <f>IF(Tab.11[[#This Row],[a1]]=1,[3]!Tab_x1[[#This Row],[Name]])</f>
        <v>0</v>
      </c>
      <c r="D863" s="63" t="b">
        <f>IF(Tab.11[[#This Row],[a1]]=1,AO863)</f>
        <v>0</v>
      </c>
      <c r="E863" s="63">
        <f t="shared" si="28"/>
        <v>0</v>
      </c>
      <c r="F863" s="64" t="b">
        <f>IF(Tab.11[[#This Row],[a1]]=1,Tab.11[[#This Row],[b1]])</f>
        <v>0</v>
      </c>
      <c r="G863" s="65" t="b">
        <f>IF(Tab.11[[#This Row],[a1]]=1,IF(Tab.11[[#This Row],[b3]]&gt;$L$989*$G$3,$L$989*$G$3,IF(Tab.11[[#This Row],[b3]]&lt;$M$989*$G$3,$M$989*$G$3,Tab.11[[#This Row],[b3]])))</f>
        <v>0</v>
      </c>
      <c r="H863" s="66" t="b">
        <f>IF(Tab.11[[#This Row],[a1]]=1,Tab.11[[#This Row],[b1]])</f>
        <v>0</v>
      </c>
      <c r="I863" s="67" t="b">
        <f>IF(Tab.11[[#This Row],[a1]]=1,Tab.11[[#This Row],[b1]])</f>
        <v>0</v>
      </c>
      <c r="J863" s="68" t="b">
        <f>IF(Tab.11[[#This Row],[a1]]=1,IF($I$3&lt;0,Tab.11[[#This Row],[b5]]-$I$3,Tab.11[[#This Row],[b5]]))</f>
        <v>0</v>
      </c>
      <c r="K863" s="68" t="b">
        <f>IF(Tab.11[[#This Row],[a1]]=1,IF($K$3=0,Tab.11[b6],Tab.11[[#This Row],[b6]]-AVERAGE(Tab.11[b6])))</f>
        <v>0</v>
      </c>
      <c r="L863" s="69" t="b">
        <f>IF(Tab.11[[#This Row],[a1]]=1,Tab.11[[#This Row],[data]]/(_xlfn.STDEV.P(Tab.11[data])*$B$989)+$A$989)</f>
        <v>0</v>
      </c>
      <c r="M863" s="69" t="b">
        <f>IF(Tab.11[[#This Row],[a1]]=1,Tab.11[[#This Row],[data]]/(_xlfn.STDEV.P(Tab.11[data])*$B$987)-$A$987)</f>
        <v>0</v>
      </c>
      <c r="N863" s="69" t="b">
        <f>IF(Tab.11[[#This Row],[a1]]=1,Tab.11[[#This Row],[data]]/(_xlfn.STDEV.P(Tab.11[data])*$B$988)+$A$988)</f>
        <v>0</v>
      </c>
      <c r="O863" s="70" t="b">
        <f>IF(Tab.11[[#This Row],[a1]]=1,_xlfn.NORM.DIST(Tab.11[[#This Row],[b8]],$P$1,$Q$1,FALSE))</f>
        <v>0</v>
      </c>
      <c r="P863" s="70" t="b">
        <f>IF(Tab.11[[#This Row],[a1]]=1,_xlfn.NORM.DIST(Tab.11[[#This Row],[b9]],$P$1,$Q$1,FALSE))</f>
        <v>0</v>
      </c>
      <c r="Q863" s="70" t="b">
        <f>IF(Tab.11[[#This Row],[a1]]=1,_xlfn.NORM.DIST(Tab.11[[#This Row],[b10]],$P$1,$Q$1,FALSE))</f>
        <v>0</v>
      </c>
      <c r="R863" s="67" t="b">
        <f>IF(Tab.11[[#This Row],[a1]]=1,$I$3+$A$989+IF($K$3=0,Tab.11[[#This Row],[b8]]*_xlfn.STDEV.P(Tab.11[data]),AVERAGE(Tab.11[b6])+Tab.11[[#This Row],[b8]]*_xlfn.STDEV.P(Tab.11[data])))</f>
        <v>0</v>
      </c>
      <c r="S863" s="71" t="b">
        <f>IF(Tab.11[[#This Row],[a1]]=1,$I$3+$A$987+IF($K$3=0,Tab.11[[#This Row],[b9]]*_xlfn.STDEV.P(Tab.11[data]),AVERAGE(Tab.11[b6])+Tab.11[[#This Row],[b9]]*_xlfn.STDEV.P(Tab.11[data])))</f>
        <v>0</v>
      </c>
      <c r="T863" s="71" t="b">
        <f>IF(Tab.11[[#This Row],[a1]]=1,$I$3+$A$988+IF($K$3=0,Tab.11[[#This Row],[b10]]*_xlfn.STDEV.P(Tab.11[data]),AVERAGE(Tab.11[b6])+Tab.11[[#This Row],[b10]]*_xlfn.STDEV.P(Tab.11[data])))</f>
        <v>0</v>
      </c>
      <c r="U863" s="72" t="b">
        <f>IF(Tab.11[[#This Row],[a1]]=1,Tab.11[[#This Row],[target]]-Tab.11[[#This Row],[Red]])</f>
        <v>0</v>
      </c>
      <c r="V863" s="72" t="b">
        <f>IF(Tab.11[[#This Row],[a1]]=1,Tab.11[[#This Row],[target]]-Tab.11[[#This Row],[Blue]])</f>
        <v>0</v>
      </c>
      <c r="W863" s="73" t="b">
        <f>IF(Tab.11[[#This Row],[a1]]=1,IF(ABS(Tab.11[[#This Row],[b17]])+ABS(Tab.11[[#This Row],[b18]])&lt;$W$2,$W$2,ABS(Tab.11[[#This Row],[b17]])+ABS(Tab.11[[#This Row],[b18]])))</f>
        <v>0</v>
      </c>
      <c r="X863" s="136" t="b">
        <f>IF(Tab.11[[#This Row],[a1]]=1,IF($W$3&lt;0,Tab.11[[#This Row],[IN]]-$I$3,Tab.11[[#This Row],[IN]]))</f>
        <v>0</v>
      </c>
      <c r="Y863" s="136" t="b">
        <f>IF(Tab.11[[#This Row],[a1]]=1,IF($X$3=0,Tab.11[b66],Tab.11[[#This Row],[b66]]-AVERAGE(Tab.11[b66])))</f>
        <v>0</v>
      </c>
      <c r="Z863" s="135" t="b">
        <f>IF(Tab.11[[#This Row],[a1]]=1,Tab.11[[#This Row],[b77]]/(_xlfn.STDEV.P(Tab.11[b77])))</f>
        <v>0</v>
      </c>
      <c r="AA863" s="70" t="b">
        <f>IF(Tab.11[[#This Row],[a1]]=1,_xlfn.NORM.DIST(Tab.11[[#This Row],[b88]],$Z$1,$AA$1,FALSE))</f>
        <v>0</v>
      </c>
      <c r="AB863" s="74" t="b">
        <f>IF(Tab.11[[#This Row],[a1]]=1,IF($A$3=0,FALSE,1/Tab.11[[#This Row],[IN]]*$AC$2*IF(Tab.11[[#This Row],[a1]]=0,,$A$3*$AC$1*1/$V$3*(Tab.11[[#This Row],[b14]]))))</f>
        <v>0</v>
      </c>
      <c r="AC863" s="75" t="b">
        <f>IF(Tab.11[[#This Row],[a1]]=1,IF($AC$3=0,Tab.11[[#This Row],[φ1]],Tab.11[[#This Row],[φ1]]/MAX(Tab.11[φ1])))</f>
        <v>0</v>
      </c>
      <c r="AD863" s="74" t="b">
        <f>IF(Tab.11[[#This Row],[a1]]=1,1/Tab.11[[#This Row],[φ2]])</f>
        <v>0</v>
      </c>
      <c r="AE863" s="74" t="b">
        <f>IF(Tab.11[[#This Row],[a1]]=1,IF($AE$3=0,Tab.11[[#This Row],[w.0]],Tab.11[[#This Row],[w.0]]/SUM(Tab.11[w.0])))</f>
        <v>0</v>
      </c>
      <c r="AF863" s="76" t="str">
        <f>IF(Tab.11[[#This Row],[a1]]=0,"false",[3]!Tab.x5[[#This Row],[%_seN_C]])</f>
        <v>false</v>
      </c>
      <c r="AG863" s="77" t="b">
        <f>IF(Tab.11[[#This Row],[a1]]=1,AP863)</f>
        <v>0</v>
      </c>
      <c r="AH863" s="78" t="b">
        <f>IF(Tab.11[[#This Row],[a1]]=1,AQ863)</f>
        <v>0</v>
      </c>
      <c r="AI863" s="41">
        <v>3.0000000000000001E-3</v>
      </c>
      <c r="AJ863" s="79">
        <v>-0.08</v>
      </c>
      <c r="AK863" s="80" t="b">
        <f>IF(Tab.11[[#This Row],[a1]]=1,1)</f>
        <v>0</v>
      </c>
      <c r="AL863"/>
      <c r="AM863"/>
      <c r="AN863"/>
      <c r="AO863"/>
      <c r="AP863"/>
      <c r="AQ863"/>
      <c r="AR863"/>
      <c r="AS863"/>
    </row>
    <row r="864" spans="1:45" s="81" customFormat="1" hidden="1" x14ac:dyDescent="0.25">
      <c r="A864" s="61">
        <f t="shared" si="29"/>
        <v>0</v>
      </c>
      <c r="B864" s="62">
        <f t="shared" si="29"/>
        <v>0</v>
      </c>
      <c r="C864" s="62" t="b">
        <f>IF(Tab.11[[#This Row],[a1]]=1,[3]!Tab_x1[[#This Row],[Name]])</f>
        <v>0</v>
      </c>
      <c r="D864" s="63" t="b">
        <f>IF(Tab.11[[#This Row],[a1]]=1,AO864)</f>
        <v>0</v>
      </c>
      <c r="E864" s="63">
        <f t="shared" si="28"/>
        <v>0</v>
      </c>
      <c r="F864" s="64" t="b">
        <f>IF(Tab.11[[#This Row],[a1]]=1,Tab.11[[#This Row],[b1]])</f>
        <v>0</v>
      </c>
      <c r="G864" s="65" t="b">
        <f>IF(Tab.11[[#This Row],[a1]]=1,IF(Tab.11[[#This Row],[b3]]&gt;$L$989*$G$3,$L$989*$G$3,IF(Tab.11[[#This Row],[b3]]&lt;$M$989*$G$3,$M$989*$G$3,Tab.11[[#This Row],[b3]])))</f>
        <v>0</v>
      </c>
      <c r="H864" s="66" t="b">
        <f>IF(Tab.11[[#This Row],[a1]]=1,Tab.11[[#This Row],[b1]])</f>
        <v>0</v>
      </c>
      <c r="I864" s="67" t="b">
        <f>IF(Tab.11[[#This Row],[a1]]=1,Tab.11[[#This Row],[b1]])</f>
        <v>0</v>
      </c>
      <c r="J864" s="68" t="b">
        <f>IF(Tab.11[[#This Row],[a1]]=1,IF($I$3&lt;0,Tab.11[[#This Row],[b5]]-$I$3,Tab.11[[#This Row],[b5]]))</f>
        <v>0</v>
      </c>
      <c r="K864" s="68" t="b">
        <f>IF(Tab.11[[#This Row],[a1]]=1,IF($K$3=0,Tab.11[b6],Tab.11[[#This Row],[b6]]-AVERAGE(Tab.11[b6])))</f>
        <v>0</v>
      </c>
      <c r="L864" s="69" t="b">
        <f>IF(Tab.11[[#This Row],[a1]]=1,Tab.11[[#This Row],[data]]/(_xlfn.STDEV.P(Tab.11[data])*$B$989)+$A$989)</f>
        <v>0</v>
      </c>
      <c r="M864" s="69" t="b">
        <f>IF(Tab.11[[#This Row],[a1]]=1,Tab.11[[#This Row],[data]]/(_xlfn.STDEV.P(Tab.11[data])*$B$987)-$A$987)</f>
        <v>0</v>
      </c>
      <c r="N864" s="69" t="b">
        <f>IF(Tab.11[[#This Row],[a1]]=1,Tab.11[[#This Row],[data]]/(_xlfn.STDEV.P(Tab.11[data])*$B$988)+$A$988)</f>
        <v>0</v>
      </c>
      <c r="O864" s="70" t="b">
        <f>IF(Tab.11[[#This Row],[a1]]=1,_xlfn.NORM.DIST(Tab.11[[#This Row],[b8]],$P$1,$Q$1,FALSE))</f>
        <v>0</v>
      </c>
      <c r="P864" s="70" t="b">
        <f>IF(Tab.11[[#This Row],[a1]]=1,_xlfn.NORM.DIST(Tab.11[[#This Row],[b9]],$P$1,$Q$1,FALSE))</f>
        <v>0</v>
      </c>
      <c r="Q864" s="70" t="b">
        <f>IF(Tab.11[[#This Row],[a1]]=1,_xlfn.NORM.DIST(Tab.11[[#This Row],[b10]],$P$1,$Q$1,FALSE))</f>
        <v>0</v>
      </c>
      <c r="R864" s="67" t="b">
        <f>IF(Tab.11[[#This Row],[a1]]=1,$I$3+$A$989+IF($K$3=0,Tab.11[[#This Row],[b8]]*_xlfn.STDEV.P(Tab.11[data]),AVERAGE(Tab.11[b6])+Tab.11[[#This Row],[b8]]*_xlfn.STDEV.P(Tab.11[data])))</f>
        <v>0</v>
      </c>
      <c r="S864" s="71" t="b">
        <f>IF(Tab.11[[#This Row],[a1]]=1,$I$3+$A$987+IF($K$3=0,Tab.11[[#This Row],[b9]]*_xlfn.STDEV.P(Tab.11[data]),AVERAGE(Tab.11[b6])+Tab.11[[#This Row],[b9]]*_xlfn.STDEV.P(Tab.11[data])))</f>
        <v>0</v>
      </c>
      <c r="T864" s="71" t="b">
        <f>IF(Tab.11[[#This Row],[a1]]=1,$I$3+$A$988+IF($K$3=0,Tab.11[[#This Row],[b10]]*_xlfn.STDEV.P(Tab.11[data]),AVERAGE(Tab.11[b6])+Tab.11[[#This Row],[b10]]*_xlfn.STDEV.P(Tab.11[data])))</f>
        <v>0</v>
      </c>
      <c r="U864" s="72" t="b">
        <f>IF(Tab.11[[#This Row],[a1]]=1,Tab.11[[#This Row],[target]]-Tab.11[[#This Row],[Red]])</f>
        <v>0</v>
      </c>
      <c r="V864" s="72" t="b">
        <f>IF(Tab.11[[#This Row],[a1]]=1,Tab.11[[#This Row],[target]]-Tab.11[[#This Row],[Blue]])</f>
        <v>0</v>
      </c>
      <c r="W864" s="73" t="b">
        <f>IF(Tab.11[[#This Row],[a1]]=1,IF(ABS(Tab.11[[#This Row],[b17]])+ABS(Tab.11[[#This Row],[b18]])&lt;$W$2,$W$2,ABS(Tab.11[[#This Row],[b17]])+ABS(Tab.11[[#This Row],[b18]])))</f>
        <v>0</v>
      </c>
      <c r="X864" s="136" t="b">
        <f>IF(Tab.11[[#This Row],[a1]]=1,IF($W$3&lt;0,Tab.11[[#This Row],[IN]]-$I$3,Tab.11[[#This Row],[IN]]))</f>
        <v>0</v>
      </c>
      <c r="Y864" s="136" t="b">
        <f>IF(Tab.11[[#This Row],[a1]]=1,IF($X$3=0,Tab.11[b66],Tab.11[[#This Row],[b66]]-AVERAGE(Tab.11[b66])))</f>
        <v>0</v>
      </c>
      <c r="Z864" s="135" t="b">
        <f>IF(Tab.11[[#This Row],[a1]]=1,Tab.11[[#This Row],[b77]]/(_xlfn.STDEV.P(Tab.11[b77])))</f>
        <v>0</v>
      </c>
      <c r="AA864" s="70" t="b">
        <f>IF(Tab.11[[#This Row],[a1]]=1,_xlfn.NORM.DIST(Tab.11[[#This Row],[b88]],$Z$1,$AA$1,FALSE))</f>
        <v>0</v>
      </c>
      <c r="AB864" s="74" t="b">
        <f>IF(Tab.11[[#This Row],[a1]]=1,IF($A$3=0,FALSE,1/Tab.11[[#This Row],[IN]]*$AC$2*IF(Tab.11[[#This Row],[a1]]=0,,$A$3*$AC$1*1/$V$3*(Tab.11[[#This Row],[b14]]))))</f>
        <v>0</v>
      </c>
      <c r="AC864" s="75" t="b">
        <f>IF(Tab.11[[#This Row],[a1]]=1,IF($AC$3=0,Tab.11[[#This Row],[φ1]],Tab.11[[#This Row],[φ1]]/MAX(Tab.11[φ1])))</f>
        <v>0</v>
      </c>
      <c r="AD864" s="74" t="b">
        <f>IF(Tab.11[[#This Row],[a1]]=1,1/Tab.11[[#This Row],[φ2]])</f>
        <v>0</v>
      </c>
      <c r="AE864" s="74" t="b">
        <f>IF(Tab.11[[#This Row],[a1]]=1,IF($AE$3=0,Tab.11[[#This Row],[w.0]],Tab.11[[#This Row],[w.0]]/SUM(Tab.11[w.0])))</f>
        <v>0</v>
      </c>
      <c r="AF864" s="76" t="str">
        <f>IF(Tab.11[[#This Row],[a1]]=0,"false",[3]!Tab.x5[[#This Row],[%_seN_C]])</f>
        <v>false</v>
      </c>
      <c r="AG864" s="77" t="b">
        <f>IF(Tab.11[[#This Row],[a1]]=1,AP864)</f>
        <v>0</v>
      </c>
      <c r="AH864" s="78" t="b">
        <f>IF(Tab.11[[#This Row],[a1]]=1,AQ864)</f>
        <v>0</v>
      </c>
      <c r="AI864" s="41">
        <v>3.0000000000000001E-3</v>
      </c>
      <c r="AJ864" s="79">
        <v>-7.0000000000000007E-2</v>
      </c>
      <c r="AK864" s="80" t="b">
        <f>IF(Tab.11[[#This Row],[a1]]=1,1)</f>
        <v>0</v>
      </c>
      <c r="AL864"/>
      <c r="AM864"/>
      <c r="AN864"/>
      <c r="AO864"/>
      <c r="AP864"/>
      <c r="AQ864"/>
      <c r="AR864"/>
      <c r="AS864"/>
    </row>
    <row r="865" spans="1:52" s="81" customFormat="1" hidden="1" x14ac:dyDescent="0.25">
      <c r="A865" s="61">
        <f t="shared" si="29"/>
        <v>0</v>
      </c>
      <c r="B865" s="62">
        <f t="shared" si="29"/>
        <v>0</v>
      </c>
      <c r="C865" s="62" t="b">
        <f>IF(Tab.11[[#This Row],[a1]]=1,[3]!Tab_x1[[#This Row],[Name]])</f>
        <v>0</v>
      </c>
      <c r="D865" s="63" t="b">
        <f>IF(Tab.11[[#This Row],[a1]]=1,AO865)</f>
        <v>0</v>
      </c>
      <c r="E865" s="63">
        <f t="shared" si="28"/>
        <v>0</v>
      </c>
      <c r="F865" s="64" t="b">
        <f>IF(Tab.11[[#This Row],[a1]]=1,Tab.11[[#This Row],[b1]])</f>
        <v>0</v>
      </c>
      <c r="G865" s="65" t="b">
        <f>IF(Tab.11[[#This Row],[a1]]=1,IF(Tab.11[[#This Row],[b3]]&gt;$L$989*$G$3,$L$989*$G$3,IF(Tab.11[[#This Row],[b3]]&lt;$M$989*$G$3,$M$989*$G$3,Tab.11[[#This Row],[b3]])))</f>
        <v>0</v>
      </c>
      <c r="H865" s="66" t="b">
        <f>IF(Tab.11[[#This Row],[a1]]=1,Tab.11[[#This Row],[b1]])</f>
        <v>0</v>
      </c>
      <c r="I865" s="67" t="b">
        <f>IF(Tab.11[[#This Row],[a1]]=1,Tab.11[[#This Row],[b1]])</f>
        <v>0</v>
      </c>
      <c r="J865" s="68" t="b">
        <f>IF(Tab.11[[#This Row],[a1]]=1,IF($I$3&lt;0,Tab.11[[#This Row],[b5]]-$I$3,Tab.11[[#This Row],[b5]]))</f>
        <v>0</v>
      </c>
      <c r="K865" s="68" t="b">
        <f>IF(Tab.11[[#This Row],[a1]]=1,IF($K$3=0,Tab.11[b6],Tab.11[[#This Row],[b6]]-AVERAGE(Tab.11[b6])))</f>
        <v>0</v>
      </c>
      <c r="L865" s="69" t="b">
        <f>IF(Tab.11[[#This Row],[a1]]=1,Tab.11[[#This Row],[data]]/(_xlfn.STDEV.P(Tab.11[data])*$B$989)+$A$989)</f>
        <v>0</v>
      </c>
      <c r="M865" s="69" t="b">
        <f>IF(Tab.11[[#This Row],[a1]]=1,Tab.11[[#This Row],[data]]/(_xlfn.STDEV.P(Tab.11[data])*$B$987)-$A$987)</f>
        <v>0</v>
      </c>
      <c r="N865" s="69" t="b">
        <f>IF(Tab.11[[#This Row],[a1]]=1,Tab.11[[#This Row],[data]]/(_xlfn.STDEV.P(Tab.11[data])*$B$988)+$A$988)</f>
        <v>0</v>
      </c>
      <c r="O865" s="70" t="b">
        <f>IF(Tab.11[[#This Row],[a1]]=1,_xlfn.NORM.DIST(Tab.11[[#This Row],[b8]],$P$1,$Q$1,FALSE))</f>
        <v>0</v>
      </c>
      <c r="P865" s="70" t="b">
        <f>IF(Tab.11[[#This Row],[a1]]=1,_xlfn.NORM.DIST(Tab.11[[#This Row],[b9]],$P$1,$Q$1,FALSE))</f>
        <v>0</v>
      </c>
      <c r="Q865" s="70" t="b">
        <f>IF(Tab.11[[#This Row],[a1]]=1,_xlfn.NORM.DIST(Tab.11[[#This Row],[b10]],$P$1,$Q$1,FALSE))</f>
        <v>0</v>
      </c>
      <c r="R865" s="67" t="b">
        <f>IF(Tab.11[[#This Row],[a1]]=1,$I$3+$A$989+IF($K$3=0,Tab.11[[#This Row],[b8]]*_xlfn.STDEV.P(Tab.11[data]),AVERAGE(Tab.11[b6])+Tab.11[[#This Row],[b8]]*_xlfn.STDEV.P(Tab.11[data])))</f>
        <v>0</v>
      </c>
      <c r="S865" s="71" t="b">
        <f>IF(Tab.11[[#This Row],[a1]]=1,$I$3+$A$987+IF($K$3=0,Tab.11[[#This Row],[b9]]*_xlfn.STDEV.P(Tab.11[data]),AVERAGE(Tab.11[b6])+Tab.11[[#This Row],[b9]]*_xlfn.STDEV.P(Tab.11[data])))</f>
        <v>0</v>
      </c>
      <c r="T865" s="71" t="b">
        <f>IF(Tab.11[[#This Row],[a1]]=1,$I$3+$A$988+IF($K$3=0,Tab.11[[#This Row],[b10]]*_xlfn.STDEV.P(Tab.11[data]),AVERAGE(Tab.11[b6])+Tab.11[[#This Row],[b10]]*_xlfn.STDEV.P(Tab.11[data])))</f>
        <v>0</v>
      </c>
      <c r="U865" s="72" t="b">
        <f>IF(Tab.11[[#This Row],[a1]]=1,Tab.11[[#This Row],[target]]-Tab.11[[#This Row],[Red]])</f>
        <v>0</v>
      </c>
      <c r="V865" s="72" t="b">
        <f>IF(Tab.11[[#This Row],[a1]]=1,Tab.11[[#This Row],[target]]-Tab.11[[#This Row],[Blue]])</f>
        <v>0</v>
      </c>
      <c r="W865" s="73" t="b">
        <f>IF(Tab.11[[#This Row],[a1]]=1,IF(ABS(Tab.11[[#This Row],[b17]])+ABS(Tab.11[[#This Row],[b18]])&lt;$W$2,$W$2,ABS(Tab.11[[#This Row],[b17]])+ABS(Tab.11[[#This Row],[b18]])))</f>
        <v>0</v>
      </c>
      <c r="X865" s="136" t="b">
        <f>IF(Tab.11[[#This Row],[a1]]=1,IF($W$3&lt;0,Tab.11[[#This Row],[IN]]-$I$3,Tab.11[[#This Row],[IN]]))</f>
        <v>0</v>
      </c>
      <c r="Y865" s="136" t="b">
        <f>IF(Tab.11[[#This Row],[a1]]=1,IF($X$3=0,Tab.11[b66],Tab.11[[#This Row],[b66]]-AVERAGE(Tab.11[b66])))</f>
        <v>0</v>
      </c>
      <c r="Z865" s="135" t="b">
        <f>IF(Tab.11[[#This Row],[a1]]=1,Tab.11[[#This Row],[b77]]/(_xlfn.STDEV.P(Tab.11[b77])))</f>
        <v>0</v>
      </c>
      <c r="AA865" s="70" t="b">
        <f>IF(Tab.11[[#This Row],[a1]]=1,_xlfn.NORM.DIST(Tab.11[[#This Row],[b88]],$Z$1,$AA$1,FALSE))</f>
        <v>0</v>
      </c>
      <c r="AB865" s="74" t="b">
        <f>IF(Tab.11[[#This Row],[a1]]=1,IF($A$3=0,FALSE,1/Tab.11[[#This Row],[IN]]*$AC$2*IF(Tab.11[[#This Row],[a1]]=0,,$A$3*$AC$1*1/$V$3*(Tab.11[[#This Row],[b14]]))))</f>
        <v>0</v>
      </c>
      <c r="AC865" s="75" t="b">
        <f>IF(Tab.11[[#This Row],[a1]]=1,IF($AC$3=0,Tab.11[[#This Row],[φ1]],Tab.11[[#This Row],[φ1]]/MAX(Tab.11[φ1])))</f>
        <v>0</v>
      </c>
      <c r="AD865" s="74" t="b">
        <f>IF(Tab.11[[#This Row],[a1]]=1,1/Tab.11[[#This Row],[φ2]])</f>
        <v>0</v>
      </c>
      <c r="AE865" s="74" t="b">
        <f>IF(Tab.11[[#This Row],[a1]]=1,IF($AE$3=0,Tab.11[[#This Row],[w.0]],Tab.11[[#This Row],[w.0]]/SUM(Tab.11[w.0])))</f>
        <v>0</v>
      </c>
      <c r="AF865" s="76" t="str">
        <f>IF(Tab.11[[#This Row],[a1]]=0,"false",[3]!Tab.x5[[#This Row],[%_seN_C]])</f>
        <v>false</v>
      </c>
      <c r="AG865" s="77" t="b">
        <f>IF(Tab.11[[#This Row],[a1]]=1,AP865)</f>
        <v>0</v>
      </c>
      <c r="AH865" s="78" t="b">
        <f>IF(Tab.11[[#This Row],[a1]]=1,AQ865)</f>
        <v>0</v>
      </c>
      <c r="AI865" s="41">
        <v>3.0000000000000001E-3</v>
      </c>
      <c r="AJ865" s="79">
        <v>-0.01</v>
      </c>
      <c r="AK865" s="80" t="b">
        <f>IF(Tab.11[[#This Row],[a1]]=1,1)</f>
        <v>0</v>
      </c>
      <c r="AL865"/>
      <c r="AM865"/>
      <c r="AN865"/>
      <c r="AO865"/>
      <c r="AP865"/>
      <c r="AQ865"/>
      <c r="AR865"/>
      <c r="AS865"/>
    </row>
    <row r="866" spans="1:52" s="81" customFormat="1" hidden="1" x14ac:dyDescent="0.25">
      <c r="A866" s="61">
        <f t="shared" si="29"/>
        <v>0</v>
      </c>
      <c r="B866" s="62">
        <f t="shared" si="29"/>
        <v>0</v>
      </c>
      <c r="C866" s="62" t="b">
        <f>IF(Tab.11[[#This Row],[a1]]=1,[3]!Tab_x1[[#This Row],[Name]])</f>
        <v>0</v>
      </c>
      <c r="D866" s="63" t="b">
        <f>IF(Tab.11[[#This Row],[a1]]=1,AO866)</f>
        <v>0</v>
      </c>
      <c r="E866" s="63">
        <f t="shared" si="28"/>
        <v>0</v>
      </c>
      <c r="F866" s="64" t="b">
        <f>IF(Tab.11[[#This Row],[a1]]=1,Tab.11[[#This Row],[b1]])</f>
        <v>0</v>
      </c>
      <c r="G866" s="65" t="b">
        <f>IF(Tab.11[[#This Row],[a1]]=1,IF(Tab.11[[#This Row],[b3]]&gt;$L$989*$G$3,$L$989*$G$3,IF(Tab.11[[#This Row],[b3]]&lt;$M$989*$G$3,$M$989*$G$3,Tab.11[[#This Row],[b3]])))</f>
        <v>0</v>
      </c>
      <c r="H866" s="66" t="b">
        <f>IF(Tab.11[[#This Row],[a1]]=1,Tab.11[[#This Row],[b1]])</f>
        <v>0</v>
      </c>
      <c r="I866" s="67" t="b">
        <f>IF(Tab.11[[#This Row],[a1]]=1,Tab.11[[#This Row],[b1]])</f>
        <v>0</v>
      </c>
      <c r="J866" s="68" t="b">
        <f>IF(Tab.11[[#This Row],[a1]]=1,IF($I$3&lt;0,Tab.11[[#This Row],[b5]]-$I$3,Tab.11[[#This Row],[b5]]))</f>
        <v>0</v>
      </c>
      <c r="K866" s="68" t="b">
        <f>IF(Tab.11[[#This Row],[a1]]=1,IF($K$3=0,Tab.11[b6],Tab.11[[#This Row],[b6]]-AVERAGE(Tab.11[b6])))</f>
        <v>0</v>
      </c>
      <c r="L866" s="69" t="b">
        <f>IF(Tab.11[[#This Row],[a1]]=1,Tab.11[[#This Row],[data]]/(_xlfn.STDEV.P(Tab.11[data])*$B$989)+$A$989)</f>
        <v>0</v>
      </c>
      <c r="M866" s="69" t="b">
        <f>IF(Tab.11[[#This Row],[a1]]=1,Tab.11[[#This Row],[data]]/(_xlfn.STDEV.P(Tab.11[data])*$B$987)-$A$987)</f>
        <v>0</v>
      </c>
      <c r="N866" s="69" t="b">
        <f>IF(Tab.11[[#This Row],[a1]]=1,Tab.11[[#This Row],[data]]/(_xlfn.STDEV.P(Tab.11[data])*$B$988)+$A$988)</f>
        <v>0</v>
      </c>
      <c r="O866" s="70" t="b">
        <f>IF(Tab.11[[#This Row],[a1]]=1,_xlfn.NORM.DIST(Tab.11[[#This Row],[b8]],$P$1,$Q$1,FALSE))</f>
        <v>0</v>
      </c>
      <c r="P866" s="70" t="b">
        <f>IF(Tab.11[[#This Row],[a1]]=1,_xlfn.NORM.DIST(Tab.11[[#This Row],[b9]],$P$1,$Q$1,FALSE))</f>
        <v>0</v>
      </c>
      <c r="Q866" s="70" t="b">
        <f>IF(Tab.11[[#This Row],[a1]]=1,_xlfn.NORM.DIST(Tab.11[[#This Row],[b10]],$P$1,$Q$1,FALSE))</f>
        <v>0</v>
      </c>
      <c r="R866" s="67" t="b">
        <f>IF(Tab.11[[#This Row],[a1]]=1,$I$3+$A$989+IF($K$3=0,Tab.11[[#This Row],[b8]]*_xlfn.STDEV.P(Tab.11[data]),AVERAGE(Tab.11[b6])+Tab.11[[#This Row],[b8]]*_xlfn.STDEV.P(Tab.11[data])))</f>
        <v>0</v>
      </c>
      <c r="S866" s="71" t="b">
        <f>IF(Tab.11[[#This Row],[a1]]=1,$I$3+$A$987+IF($K$3=0,Tab.11[[#This Row],[b9]]*_xlfn.STDEV.P(Tab.11[data]),AVERAGE(Tab.11[b6])+Tab.11[[#This Row],[b9]]*_xlfn.STDEV.P(Tab.11[data])))</f>
        <v>0</v>
      </c>
      <c r="T866" s="71" t="b">
        <f>IF(Tab.11[[#This Row],[a1]]=1,$I$3+$A$988+IF($K$3=0,Tab.11[[#This Row],[b10]]*_xlfn.STDEV.P(Tab.11[data]),AVERAGE(Tab.11[b6])+Tab.11[[#This Row],[b10]]*_xlfn.STDEV.P(Tab.11[data])))</f>
        <v>0</v>
      </c>
      <c r="U866" s="72" t="b">
        <f>IF(Tab.11[[#This Row],[a1]]=1,Tab.11[[#This Row],[target]]-Tab.11[[#This Row],[Red]])</f>
        <v>0</v>
      </c>
      <c r="V866" s="72" t="b">
        <f>IF(Tab.11[[#This Row],[a1]]=1,Tab.11[[#This Row],[target]]-Tab.11[[#This Row],[Blue]])</f>
        <v>0</v>
      </c>
      <c r="W866" s="73" t="b">
        <f>IF(Tab.11[[#This Row],[a1]]=1,IF(ABS(Tab.11[[#This Row],[b17]])+ABS(Tab.11[[#This Row],[b18]])&lt;$W$2,$W$2,ABS(Tab.11[[#This Row],[b17]])+ABS(Tab.11[[#This Row],[b18]])))</f>
        <v>0</v>
      </c>
      <c r="X866" s="136" t="b">
        <f>IF(Tab.11[[#This Row],[a1]]=1,IF($W$3&lt;0,Tab.11[[#This Row],[IN]]-$I$3,Tab.11[[#This Row],[IN]]))</f>
        <v>0</v>
      </c>
      <c r="Y866" s="136" t="b">
        <f>IF(Tab.11[[#This Row],[a1]]=1,IF($X$3=0,Tab.11[b66],Tab.11[[#This Row],[b66]]-AVERAGE(Tab.11[b66])))</f>
        <v>0</v>
      </c>
      <c r="Z866" s="135" t="b">
        <f>IF(Tab.11[[#This Row],[a1]]=1,Tab.11[[#This Row],[b77]]/(_xlfn.STDEV.P(Tab.11[b77])))</f>
        <v>0</v>
      </c>
      <c r="AA866" s="70" t="b">
        <f>IF(Tab.11[[#This Row],[a1]]=1,_xlfn.NORM.DIST(Tab.11[[#This Row],[b88]],$Z$1,$AA$1,FALSE))</f>
        <v>0</v>
      </c>
      <c r="AB866" s="74" t="b">
        <f>IF(Tab.11[[#This Row],[a1]]=1,IF($A$3=0,FALSE,1/Tab.11[[#This Row],[IN]]*$AC$2*IF(Tab.11[[#This Row],[a1]]=0,,$A$3*$AC$1*1/$V$3*(Tab.11[[#This Row],[b14]]))))</f>
        <v>0</v>
      </c>
      <c r="AC866" s="75" t="b">
        <f>IF(Tab.11[[#This Row],[a1]]=1,IF($AC$3=0,Tab.11[[#This Row],[φ1]],Tab.11[[#This Row],[φ1]]/MAX(Tab.11[φ1])))</f>
        <v>0</v>
      </c>
      <c r="AD866" s="74" t="b">
        <f>IF(Tab.11[[#This Row],[a1]]=1,1/Tab.11[[#This Row],[φ2]])</f>
        <v>0</v>
      </c>
      <c r="AE866" s="74" t="b">
        <f>IF(Tab.11[[#This Row],[a1]]=1,IF($AE$3=0,Tab.11[[#This Row],[w.0]],Tab.11[[#This Row],[w.0]]/SUM(Tab.11[w.0])))</f>
        <v>0</v>
      </c>
      <c r="AF866" s="76" t="str">
        <f>IF(Tab.11[[#This Row],[a1]]=0,"false",[3]!Tab.x5[[#This Row],[%_seN_C]])</f>
        <v>false</v>
      </c>
      <c r="AG866" s="77" t="b">
        <f>IF(Tab.11[[#This Row],[a1]]=1,AP866)</f>
        <v>0</v>
      </c>
      <c r="AH866" s="78" t="b">
        <f>IF(Tab.11[[#This Row],[a1]]=1,AQ866)</f>
        <v>0</v>
      </c>
      <c r="AI866" s="41">
        <v>3.0000000000000001E-3</v>
      </c>
      <c r="AJ866" s="79">
        <v>-0.08</v>
      </c>
      <c r="AK866" s="80" t="b">
        <f>IF(Tab.11[[#This Row],[a1]]=1,1)</f>
        <v>0</v>
      </c>
      <c r="AL866"/>
      <c r="AM866"/>
      <c r="AN866"/>
      <c r="AO866"/>
      <c r="AP866"/>
      <c r="AQ866"/>
      <c r="AR866"/>
      <c r="AS866"/>
    </row>
    <row r="867" spans="1:52" s="81" customFormat="1" hidden="1" x14ac:dyDescent="0.25">
      <c r="A867" s="61">
        <f t="shared" si="29"/>
        <v>0</v>
      </c>
      <c r="B867" s="62">
        <f t="shared" si="29"/>
        <v>0</v>
      </c>
      <c r="C867" s="62" t="b">
        <f>IF(Tab.11[[#This Row],[a1]]=1,[3]!Tab_x1[[#This Row],[Name]])</f>
        <v>0</v>
      </c>
      <c r="D867" s="63" t="b">
        <f>IF(Tab.11[[#This Row],[a1]]=1,AO867)</f>
        <v>0</v>
      </c>
      <c r="E867" s="63">
        <f t="shared" si="28"/>
        <v>0</v>
      </c>
      <c r="F867" s="64" t="b">
        <f>IF(Tab.11[[#This Row],[a1]]=1,Tab.11[[#This Row],[b1]])</f>
        <v>0</v>
      </c>
      <c r="G867" s="65" t="b">
        <f>IF(Tab.11[[#This Row],[a1]]=1,IF(Tab.11[[#This Row],[b3]]&gt;$L$989*$G$3,$L$989*$G$3,IF(Tab.11[[#This Row],[b3]]&lt;$M$989*$G$3,$M$989*$G$3,Tab.11[[#This Row],[b3]])))</f>
        <v>0</v>
      </c>
      <c r="H867" s="66" t="b">
        <f>IF(Tab.11[[#This Row],[a1]]=1,Tab.11[[#This Row],[b1]])</f>
        <v>0</v>
      </c>
      <c r="I867" s="67" t="b">
        <f>IF(Tab.11[[#This Row],[a1]]=1,Tab.11[[#This Row],[b1]])</f>
        <v>0</v>
      </c>
      <c r="J867" s="68" t="b">
        <f>IF(Tab.11[[#This Row],[a1]]=1,IF($I$3&lt;0,Tab.11[[#This Row],[b5]]-$I$3,Tab.11[[#This Row],[b5]]))</f>
        <v>0</v>
      </c>
      <c r="K867" s="68" t="b">
        <f>IF(Tab.11[[#This Row],[a1]]=1,IF($K$3=0,Tab.11[b6],Tab.11[[#This Row],[b6]]-AVERAGE(Tab.11[b6])))</f>
        <v>0</v>
      </c>
      <c r="L867" s="69" t="b">
        <f>IF(Tab.11[[#This Row],[a1]]=1,Tab.11[[#This Row],[data]]/(_xlfn.STDEV.P(Tab.11[data])*$B$989)+$A$989)</f>
        <v>0</v>
      </c>
      <c r="M867" s="69" t="b">
        <f>IF(Tab.11[[#This Row],[a1]]=1,Tab.11[[#This Row],[data]]/(_xlfn.STDEV.P(Tab.11[data])*$B$987)-$A$987)</f>
        <v>0</v>
      </c>
      <c r="N867" s="69" t="b">
        <f>IF(Tab.11[[#This Row],[a1]]=1,Tab.11[[#This Row],[data]]/(_xlfn.STDEV.P(Tab.11[data])*$B$988)+$A$988)</f>
        <v>0</v>
      </c>
      <c r="O867" s="70" t="b">
        <f>IF(Tab.11[[#This Row],[a1]]=1,_xlfn.NORM.DIST(Tab.11[[#This Row],[b8]],$P$1,$Q$1,FALSE))</f>
        <v>0</v>
      </c>
      <c r="P867" s="70" t="b">
        <f>IF(Tab.11[[#This Row],[a1]]=1,_xlfn.NORM.DIST(Tab.11[[#This Row],[b9]],$P$1,$Q$1,FALSE))</f>
        <v>0</v>
      </c>
      <c r="Q867" s="70" t="b">
        <f>IF(Tab.11[[#This Row],[a1]]=1,_xlfn.NORM.DIST(Tab.11[[#This Row],[b10]],$P$1,$Q$1,FALSE))</f>
        <v>0</v>
      </c>
      <c r="R867" s="67" t="b">
        <f>IF(Tab.11[[#This Row],[a1]]=1,$I$3+$A$989+IF($K$3=0,Tab.11[[#This Row],[b8]]*_xlfn.STDEV.P(Tab.11[data]),AVERAGE(Tab.11[b6])+Tab.11[[#This Row],[b8]]*_xlfn.STDEV.P(Tab.11[data])))</f>
        <v>0</v>
      </c>
      <c r="S867" s="71" t="b">
        <f>IF(Tab.11[[#This Row],[a1]]=1,$I$3+$A$987+IF($K$3=0,Tab.11[[#This Row],[b9]]*_xlfn.STDEV.P(Tab.11[data]),AVERAGE(Tab.11[b6])+Tab.11[[#This Row],[b9]]*_xlfn.STDEV.P(Tab.11[data])))</f>
        <v>0</v>
      </c>
      <c r="T867" s="71" t="b">
        <f>IF(Tab.11[[#This Row],[a1]]=1,$I$3+$A$988+IF($K$3=0,Tab.11[[#This Row],[b10]]*_xlfn.STDEV.P(Tab.11[data]),AVERAGE(Tab.11[b6])+Tab.11[[#This Row],[b10]]*_xlfn.STDEV.P(Tab.11[data])))</f>
        <v>0</v>
      </c>
      <c r="U867" s="72" t="b">
        <f>IF(Tab.11[[#This Row],[a1]]=1,Tab.11[[#This Row],[target]]-Tab.11[[#This Row],[Red]])</f>
        <v>0</v>
      </c>
      <c r="V867" s="72" t="b">
        <f>IF(Tab.11[[#This Row],[a1]]=1,Tab.11[[#This Row],[target]]-Tab.11[[#This Row],[Blue]])</f>
        <v>0</v>
      </c>
      <c r="W867" s="73" t="b">
        <f>IF(Tab.11[[#This Row],[a1]]=1,IF(ABS(Tab.11[[#This Row],[b17]])+ABS(Tab.11[[#This Row],[b18]])&lt;$W$2,$W$2,ABS(Tab.11[[#This Row],[b17]])+ABS(Tab.11[[#This Row],[b18]])))</f>
        <v>0</v>
      </c>
      <c r="X867" s="136" t="b">
        <f>IF(Tab.11[[#This Row],[a1]]=1,IF($W$3&lt;0,Tab.11[[#This Row],[IN]]-$I$3,Tab.11[[#This Row],[IN]]))</f>
        <v>0</v>
      </c>
      <c r="Y867" s="136" t="b">
        <f>IF(Tab.11[[#This Row],[a1]]=1,IF($X$3=0,Tab.11[b66],Tab.11[[#This Row],[b66]]-AVERAGE(Tab.11[b66])))</f>
        <v>0</v>
      </c>
      <c r="Z867" s="135" t="b">
        <f>IF(Tab.11[[#This Row],[a1]]=1,Tab.11[[#This Row],[b77]]/(_xlfn.STDEV.P(Tab.11[b77])))</f>
        <v>0</v>
      </c>
      <c r="AA867" s="70" t="b">
        <f>IF(Tab.11[[#This Row],[a1]]=1,_xlfn.NORM.DIST(Tab.11[[#This Row],[b88]],$Z$1,$AA$1,FALSE))</f>
        <v>0</v>
      </c>
      <c r="AB867" s="74" t="b">
        <f>IF(Tab.11[[#This Row],[a1]]=1,IF($A$3=0,FALSE,1/Tab.11[[#This Row],[IN]]*$AC$2*IF(Tab.11[[#This Row],[a1]]=0,,$A$3*$AC$1*1/$V$3*(Tab.11[[#This Row],[b14]]))))</f>
        <v>0</v>
      </c>
      <c r="AC867" s="75" t="b">
        <f>IF(Tab.11[[#This Row],[a1]]=1,IF($AC$3=0,Tab.11[[#This Row],[φ1]],Tab.11[[#This Row],[φ1]]/MAX(Tab.11[φ1])))</f>
        <v>0</v>
      </c>
      <c r="AD867" s="74" t="b">
        <f>IF(Tab.11[[#This Row],[a1]]=1,1/Tab.11[[#This Row],[φ2]])</f>
        <v>0</v>
      </c>
      <c r="AE867" s="74" t="b">
        <f>IF(Tab.11[[#This Row],[a1]]=1,IF($AE$3=0,Tab.11[[#This Row],[w.0]],Tab.11[[#This Row],[w.0]]/SUM(Tab.11[w.0])))</f>
        <v>0</v>
      </c>
      <c r="AF867" s="76" t="str">
        <f>IF(Tab.11[[#This Row],[a1]]=0,"false",[3]!Tab.x5[[#This Row],[%_seN_C]])</f>
        <v>false</v>
      </c>
      <c r="AG867" s="77" t="b">
        <f>IF(Tab.11[[#This Row],[a1]]=1,AP867)</f>
        <v>0</v>
      </c>
      <c r="AH867" s="78" t="b">
        <f>IF(Tab.11[[#This Row],[a1]]=1,AQ867)</f>
        <v>0</v>
      </c>
      <c r="AI867" s="41">
        <v>3.0000000000000001E-3</v>
      </c>
      <c r="AJ867" s="79">
        <v>-0.01</v>
      </c>
      <c r="AK867" s="80" t="b">
        <f>IF(Tab.11[[#This Row],[a1]]=1,1)</f>
        <v>0</v>
      </c>
      <c r="AL867"/>
      <c r="AM867"/>
      <c r="AN867"/>
      <c r="AO867"/>
      <c r="AP867"/>
      <c r="AQ867"/>
      <c r="AR867"/>
      <c r="AS867"/>
    </row>
    <row r="868" spans="1:52" s="81" customFormat="1" hidden="1" x14ac:dyDescent="0.25">
      <c r="A868" s="61">
        <f t="shared" si="29"/>
        <v>0</v>
      </c>
      <c r="B868" s="62">
        <f t="shared" si="29"/>
        <v>0</v>
      </c>
      <c r="C868" s="62" t="b">
        <f>IF(Tab.11[[#This Row],[a1]]=1,[3]!Tab_x1[[#This Row],[Name]])</f>
        <v>0</v>
      </c>
      <c r="D868" s="63" t="b">
        <f>IF(Tab.11[[#This Row],[a1]]=1,AO868)</f>
        <v>0</v>
      </c>
      <c r="E868" s="63">
        <f t="shared" si="28"/>
        <v>0</v>
      </c>
      <c r="F868" s="64" t="b">
        <f>IF(Tab.11[[#This Row],[a1]]=1,Tab.11[[#This Row],[b1]])</f>
        <v>0</v>
      </c>
      <c r="G868" s="65" t="b">
        <f>IF(Tab.11[[#This Row],[a1]]=1,IF(Tab.11[[#This Row],[b3]]&gt;$L$989*$G$3,$L$989*$G$3,IF(Tab.11[[#This Row],[b3]]&lt;$M$989*$G$3,$M$989*$G$3,Tab.11[[#This Row],[b3]])))</f>
        <v>0</v>
      </c>
      <c r="H868" s="66" t="b">
        <f>IF(Tab.11[[#This Row],[a1]]=1,Tab.11[[#This Row],[b1]])</f>
        <v>0</v>
      </c>
      <c r="I868" s="67" t="b">
        <f>IF(Tab.11[[#This Row],[a1]]=1,Tab.11[[#This Row],[b1]])</f>
        <v>0</v>
      </c>
      <c r="J868" s="68" t="b">
        <f>IF(Tab.11[[#This Row],[a1]]=1,IF($I$3&lt;0,Tab.11[[#This Row],[b5]]-$I$3,Tab.11[[#This Row],[b5]]))</f>
        <v>0</v>
      </c>
      <c r="K868" s="68" t="b">
        <f>IF(Tab.11[[#This Row],[a1]]=1,IF($K$3=0,Tab.11[b6],Tab.11[[#This Row],[b6]]-AVERAGE(Tab.11[b6])))</f>
        <v>0</v>
      </c>
      <c r="L868" s="69" t="b">
        <f>IF(Tab.11[[#This Row],[a1]]=1,Tab.11[[#This Row],[data]]/(_xlfn.STDEV.P(Tab.11[data])*$B$989)+$A$989)</f>
        <v>0</v>
      </c>
      <c r="M868" s="69" t="b">
        <f>IF(Tab.11[[#This Row],[a1]]=1,Tab.11[[#This Row],[data]]/(_xlfn.STDEV.P(Tab.11[data])*$B$987)-$A$987)</f>
        <v>0</v>
      </c>
      <c r="N868" s="69" t="b">
        <f>IF(Tab.11[[#This Row],[a1]]=1,Tab.11[[#This Row],[data]]/(_xlfn.STDEV.P(Tab.11[data])*$B$988)+$A$988)</f>
        <v>0</v>
      </c>
      <c r="O868" s="70" t="b">
        <f>IF(Tab.11[[#This Row],[a1]]=1,_xlfn.NORM.DIST(Tab.11[[#This Row],[b8]],$P$1,$Q$1,FALSE))</f>
        <v>0</v>
      </c>
      <c r="P868" s="70" t="b">
        <f>IF(Tab.11[[#This Row],[a1]]=1,_xlfn.NORM.DIST(Tab.11[[#This Row],[b9]],$P$1,$Q$1,FALSE))</f>
        <v>0</v>
      </c>
      <c r="Q868" s="70" t="b">
        <f>IF(Tab.11[[#This Row],[a1]]=1,_xlfn.NORM.DIST(Tab.11[[#This Row],[b10]],$P$1,$Q$1,FALSE))</f>
        <v>0</v>
      </c>
      <c r="R868" s="67" t="b">
        <f>IF(Tab.11[[#This Row],[a1]]=1,$I$3+$A$989+IF($K$3=0,Tab.11[[#This Row],[b8]]*_xlfn.STDEV.P(Tab.11[data]),AVERAGE(Tab.11[b6])+Tab.11[[#This Row],[b8]]*_xlfn.STDEV.P(Tab.11[data])))</f>
        <v>0</v>
      </c>
      <c r="S868" s="71" t="b">
        <f>IF(Tab.11[[#This Row],[a1]]=1,$I$3+$A$987+IF($K$3=0,Tab.11[[#This Row],[b9]]*_xlfn.STDEV.P(Tab.11[data]),AVERAGE(Tab.11[b6])+Tab.11[[#This Row],[b9]]*_xlfn.STDEV.P(Tab.11[data])))</f>
        <v>0</v>
      </c>
      <c r="T868" s="71" t="b">
        <f>IF(Tab.11[[#This Row],[a1]]=1,$I$3+$A$988+IF($K$3=0,Tab.11[[#This Row],[b10]]*_xlfn.STDEV.P(Tab.11[data]),AVERAGE(Tab.11[b6])+Tab.11[[#This Row],[b10]]*_xlfn.STDEV.P(Tab.11[data])))</f>
        <v>0</v>
      </c>
      <c r="U868" s="72" t="b">
        <f>IF(Tab.11[[#This Row],[a1]]=1,Tab.11[[#This Row],[target]]-Tab.11[[#This Row],[Red]])</f>
        <v>0</v>
      </c>
      <c r="V868" s="72" t="b">
        <f>IF(Tab.11[[#This Row],[a1]]=1,Tab.11[[#This Row],[target]]-Tab.11[[#This Row],[Blue]])</f>
        <v>0</v>
      </c>
      <c r="W868" s="73" t="b">
        <f>IF(Tab.11[[#This Row],[a1]]=1,IF(ABS(Tab.11[[#This Row],[b17]])+ABS(Tab.11[[#This Row],[b18]])&lt;$W$2,$W$2,ABS(Tab.11[[#This Row],[b17]])+ABS(Tab.11[[#This Row],[b18]])))</f>
        <v>0</v>
      </c>
      <c r="X868" s="136" t="b">
        <f>IF(Tab.11[[#This Row],[a1]]=1,IF($W$3&lt;0,Tab.11[[#This Row],[IN]]-$I$3,Tab.11[[#This Row],[IN]]))</f>
        <v>0</v>
      </c>
      <c r="Y868" s="136" t="b">
        <f>IF(Tab.11[[#This Row],[a1]]=1,IF($X$3=0,Tab.11[b66],Tab.11[[#This Row],[b66]]-AVERAGE(Tab.11[b66])))</f>
        <v>0</v>
      </c>
      <c r="Z868" s="135" t="b">
        <f>IF(Tab.11[[#This Row],[a1]]=1,Tab.11[[#This Row],[b77]]/(_xlfn.STDEV.P(Tab.11[b77])))</f>
        <v>0</v>
      </c>
      <c r="AA868" s="70" t="b">
        <f>IF(Tab.11[[#This Row],[a1]]=1,_xlfn.NORM.DIST(Tab.11[[#This Row],[b88]],$Z$1,$AA$1,FALSE))</f>
        <v>0</v>
      </c>
      <c r="AB868" s="74" t="b">
        <f>IF(Tab.11[[#This Row],[a1]]=1,IF($A$3=0,FALSE,1/Tab.11[[#This Row],[IN]]*$AC$2*IF(Tab.11[[#This Row],[a1]]=0,,$A$3*$AC$1*1/$V$3*(Tab.11[[#This Row],[b14]]))))</f>
        <v>0</v>
      </c>
      <c r="AC868" s="75" t="b">
        <f>IF(Tab.11[[#This Row],[a1]]=1,IF($AC$3=0,Tab.11[[#This Row],[φ1]],Tab.11[[#This Row],[φ1]]/MAX(Tab.11[φ1])))</f>
        <v>0</v>
      </c>
      <c r="AD868" s="74" t="b">
        <f>IF(Tab.11[[#This Row],[a1]]=1,1/Tab.11[[#This Row],[φ2]])</f>
        <v>0</v>
      </c>
      <c r="AE868" s="74" t="b">
        <f>IF(Tab.11[[#This Row],[a1]]=1,IF($AE$3=0,Tab.11[[#This Row],[w.0]],Tab.11[[#This Row],[w.0]]/SUM(Tab.11[w.0])))</f>
        <v>0</v>
      </c>
      <c r="AF868" s="76" t="str">
        <f>IF(Tab.11[[#This Row],[a1]]=0,"false",[3]!Tab.x5[[#This Row],[%_seN_C]])</f>
        <v>false</v>
      </c>
      <c r="AG868" s="77" t="b">
        <f>IF(Tab.11[[#This Row],[a1]]=1,AP868)</f>
        <v>0</v>
      </c>
      <c r="AH868" s="78" t="b">
        <f>IF(Tab.11[[#This Row],[a1]]=1,AQ868)</f>
        <v>0</v>
      </c>
      <c r="AI868" s="41">
        <v>3.0000000000000001E-3</v>
      </c>
      <c r="AJ868" s="79">
        <v>-0.03</v>
      </c>
      <c r="AK868" s="80" t="b">
        <f>IF(Tab.11[[#This Row],[a1]]=1,1)</f>
        <v>0</v>
      </c>
      <c r="AL868"/>
      <c r="AM868"/>
      <c r="AN868"/>
      <c r="AO868"/>
      <c r="AP868"/>
      <c r="AQ868"/>
      <c r="AR868"/>
      <c r="AS868"/>
    </row>
    <row r="869" spans="1:52" s="81" customFormat="1" hidden="1" x14ac:dyDescent="0.25">
      <c r="A869" s="61">
        <f t="shared" si="29"/>
        <v>0</v>
      </c>
      <c r="B869" s="62">
        <f t="shared" si="29"/>
        <v>0</v>
      </c>
      <c r="C869" s="62" t="b">
        <f>IF(Tab.11[[#This Row],[a1]]=1,[3]!Tab_x1[[#This Row],[Name]])</f>
        <v>0</v>
      </c>
      <c r="D869" s="63" t="b">
        <f>IF(Tab.11[[#This Row],[a1]]=1,AO869)</f>
        <v>0</v>
      </c>
      <c r="E869" s="63">
        <f t="shared" si="28"/>
        <v>0</v>
      </c>
      <c r="F869" s="64" t="b">
        <f>IF(Tab.11[[#This Row],[a1]]=1,Tab.11[[#This Row],[b1]])</f>
        <v>0</v>
      </c>
      <c r="G869" s="65" t="b">
        <f>IF(Tab.11[[#This Row],[a1]]=1,IF(Tab.11[[#This Row],[b3]]&gt;$L$989*$G$3,$L$989*$G$3,IF(Tab.11[[#This Row],[b3]]&lt;$M$989*$G$3,$M$989*$G$3,Tab.11[[#This Row],[b3]])))</f>
        <v>0</v>
      </c>
      <c r="H869" s="66" t="b">
        <f>IF(Tab.11[[#This Row],[a1]]=1,Tab.11[[#This Row],[b1]])</f>
        <v>0</v>
      </c>
      <c r="I869" s="67" t="b">
        <f>IF(Tab.11[[#This Row],[a1]]=1,Tab.11[[#This Row],[b1]])</f>
        <v>0</v>
      </c>
      <c r="J869" s="68" t="b">
        <f>IF(Tab.11[[#This Row],[a1]]=1,IF($I$3&lt;0,Tab.11[[#This Row],[b5]]-$I$3,Tab.11[[#This Row],[b5]]))</f>
        <v>0</v>
      </c>
      <c r="K869" s="68" t="b">
        <f>IF(Tab.11[[#This Row],[a1]]=1,IF($K$3=0,Tab.11[b6],Tab.11[[#This Row],[b6]]-AVERAGE(Tab.11[b6])))</f>
        <v>0</v>
      </c>
      <c r="L869" s="69" t="b">
        <f>IF(Tab.11[[#This Row],[a1]]=1,Tab.11[[#This Row],[data]]/(_xlfn.STDEV.P(Tab.11[data])*$B$989)+$A$989)</f>
        <v>0</v>
      </c>
      <c r="M869" s="69" t="b">
        <f>IF(Tab.11[[#This Row],[a1]]=1,Tab.11[[#This Row],[data]]/(_xlfn.STDEV.P(Tab.11[data])*$B$987)-$A$987)</f>
        <v>0</v>
      </c>
      <c r="N869" s="69" t="b">
        <f>IF(Tab.11[[#This Row],[a1]]=1,Tab.11[[#This Row],[data]]/(_xlfn.STDEV.P(Tab.11[data])*$B$988)+$A$988)</f>
        <v>0</v>
      </c>
      <c r="O869" s="70" t="b">
        <f>IF(Tab.11[[#This Row],[a1]]=1,_xlfn.NORM.DIST(Tab.11[[#This Row],[b8]],$P$1,$Q$1,FALSE))</f>
        <v>0</v>
      </c>
      <c r="P869" s="70" t="b">
        <f>IF(Tab.11[[#This Row],[a1]]=1,_xlfn.NORM.DIST(Tab.11[[#This Row],[b9]],$P$1,$Q$1,FALSE))</f>
        <v>0</v>
      </c>
      <c r="Q869" s="70" t="b">
        <f>IF(Tab.11[[#This Row],[a1]]=1,_xlfn.NORM.DIST(Tab.11[[#This Row],[b10]],$P$1,$Q$1,FALSE))</f>
        <v>0</v>
      </c>
      <c r="R869" s="67" t="b">
        <f>IF(Tab.11[[#This Row],[a1]]=1,$I$3+$A$989+IF($K$3=0,Tab.11[[#This Row],[b8]]*_xlfn.STDEV.P(Tab.11[data]),AVERAGE(Tab.11[b6])+Tab.11[[#This Row],[b8]]*_xlfn.STDEV.P(Tab.11[data])))</f>
        <v>0</v>
      </c>
      <c r="S869" s="71" t="b">
        <f>IF(Tab.11[[#This Row],[a1]]=1,$I$3+$A$987+IF($K$3=0,Tab.11[[#This Row],[b9]]*_xlfn.STDEV.P(Tab.11[data]),AVERAGE(Tab.11[b6])+Tab.11[[#This Row],[b9]]*_xlfn.STDEV.P(Tab.11[data])))</f>
        <v>0</v>
      </c>
      <c r="T869" s="71" t="b">
        <f>IF(Tab.11[[#This Row],[a1]]=1,$I$3+$A$988+IF($K$3=0,Tab.11[[#This Row],[b10]]*_xlfn.STDEV.P(Tab.11[data]),AVERAGE(Tab.11[b6])+Tab.11[[#This Row],[b10]]*_xlfn.STDEV.P(Tab.11[data])))</f>
        <v>0</v>
      </c>
      <c r="U869" s="72" t="b">
        <f>IF(Tab.11[[#This Row],[a1]]=1,Tab.11[[#This Row],[target]]-Tab.11[[#This Row],[Red]])</f>
        <v>0</v>
      </c>
      <c r="V869" s="72" t="b">
        <f>IF(Tab.11[[#This Row],[a1]]=1,Tab.11[[#This Row],[target]]-Tab.11[[#This Row],[Blue]])</f>
        <v>0</v>
      </c>
      <c r="W869" s="73" t="b">
        <f>IF(Tab.11[[#This Row],[a1]]=1,IF(ABS(Tab.11[[#This Row],[b17]])+ABS(Tab.11[[#This Row],[b18]])&lt;$W$2,$W$2,ABS(Tab.11[[#This Row],[b17]])+ABS(Tab.11[[#This Row],[b18]])))</f>
        <v>0</v>
      </c>
      <c r="X869" s="136" t="b">
        <f>IF(Tab.11[[#This Row],[a1]]=1,IF($W$3&lt;0,Tab.11[[#This Row],[IN]]-$I$3,Tab.11[[#This Row],[IN]]))</f>
        <v>0</v>
      </c>
      <c r="Y869" s="136" t="b">
        <f>IF(Tab.11[[#This Row],[a1]]=1,IF($X$3=0,Tab.11[b66],Tab.11[[#This Row],[b66]]-AVERAGE(Tab.11[b66])))</f>
        <v>0</v>
      </c>
      <c r="Z869" s="135" t="b">
        <f>IF(Tab.11[[#This Row],[a1]]=1,Tab.11[[#This Row],[b77]]/(_xlfn.STDEV.P(Tab.11[b77])))</f>
        <v>0</v>
      </c>
      <c r="AA869" s="70" t="b">
        <f>IF(Tab.11[[#This Row],[a1]]=1,_xlfn.NORM.DIST(Tab.11[[#This Row],[b88]],$Z$1,$AA$1,FALSE))</f>
        <v>0</v>
      </c>
      <c r="AB869" s="74" t="b">
        <f>IF(Tab.11[[#This Row],[a1]]=1,IF($A$3=0,FALSE,1/Tab.11[[#This Row],[IN]]*$AC$2*IF(Tab.11[[#This Row],[a1]]=0,,$A$3*$AC$1*1/$V$3*(Tab.11[[#This Row],[b14]]))))</f>
        <v>0</v>
      </c>
      <c r="AC869" s="75" t="b">
        <f>IF(Tab.11[[#This Row],[a1]]=1,IF($AC$3=0,Tab.11[[#This Row],[φ1]],Tab.11[[#This Row],[φ1]]/MAX(Tab.11[φ1])))</f>
        <v>0</v>
      </c>
      <c r="AD869" s="74" t="b">
        <f>IF(Tab.11[[#This Row],[a1]]=1,1/Tab.11[[#This Row],[φ2]])</f>
        <v>0</v>
      </c>
      <c r="AE869" s="74" t="b">
        <f>IF(Tab.11[[#This Row],[a1]]=1,IF($AE$3=0,Tab.11[[#This Row],[w.0]],Tab.11[[#This Row],[w.0]]/SUM(Tab.11[w.0])))</f>
        <v>0</v>
      </c>
      <c r="AF869" s="76" t="str">
        <f>IF(Tab.11[[#This Row],[a1]]=0,"false",[3]!Tab.x5[[#This Row],[%_seN_C]])</f>
        <v>false</v>
      </c>
      <c r="AG869" s="77" t="b">
        <f>IF(Tab.11[[#This Row],[a1]]=1,AP869)</f>
        <v>0</v>
      </c>
      <c r="AH869" s="78" t="b">
        <f>IF(Tab.11[[#This Row],[a1]]=1,AQ869)</f>
        <v>0</v>
      </c>
      <c r="AI869" s="41">
        <v>3.0000000000000001E-3</v>
      </c>
      <c r="AJ869" s="79">
        <v>-0.01</v>
      </c>
      <c r="AK869" s="80" t="b">
        <f>IF(Tab.11[[#This Row],[a1]]=1,1)</f>
        <v>0</v>
      </c>
      <c r="AL869"/>
      <c r="AM869"/>
      <c r="AN869"/>
      <c r="AO869"/>
      <c r="AP869"/>
      <c r="AQ869"/>
      <c r="AR869"/>
      <c r="AS869"/>
    </row>
    <row r="870" spans="1:52" s="81" customFormat="1" hidden="1" x14ac:dyDescent="0.25">
      <c r="A870" s="61">
        <f t="shared" si="29"/>
        <v>0</v>
      </c>
      <c r="B870" s="62">
        <f t="shared" si="29"/>
        <v>0</v>
      </c>
      <c r="C870" s="62" t="b">
        <f>IF(Tab.11[[#This Row],[a1]]=1,[3]!Tab_x1[[#This Row],[Name]])</f>
        <v>0</v>
      </c>
      <c r="D870" s="63" t="b">
        <f>IF(Tab.11[[#This Row],[a1]]=1,AO870)</f>
        <v>0</v>
      </c>
      <c r="E870" s="63">
        <f t="shared" si="28"/>
        <v>0</v>
      </c>
      <c r="F870" s="64" t="b">
        <f>IF(Tab.11[[#This Row],[a1]]=1,Tab.11[[#This Row],[b1]])</f>
        <v>0</v>
      </c>
      <c r="G870" s="65" t="b">
        <f>IF(Tab.11[[#This Row],[a1]]=1,IF(Tab.11[[#This Row],[b3]]&gt;$L$989*$G$3,$L$989*$G$3,IF(Tab.11[[#This Row],[b3]]&lt;$M$989*$G$3,$M$989*$G$3,Tab.11[[#This Row],[b3]])))</f>
        <v>0</v>
      </c>
      <c r="H870" s="66" t="b">
        <f>IF(Tab.11[[#This Row],[a1]]=1,Tab.11[[#This Row],[b1]])</f>
        <v>0</v>
      </c>
      <c r="I870" s="67" t="b">
        <f>IF(Tab.11[[#This Row],[a1]]=1,Tab.11[[#This Row],[b1]])</f>
        <v>0</v>
      </c>
      <c r="J870" s="68" t="b">
        <f>IF(Tab.11[[#This Row],[a1]]=1,IF($I$3&lt;0,Tab.11[[#This Row],[b5]]-$I$3,Tab.11[[#This Row],[b5]]))</f>
        <v>0</v>
      </c>
      <c r="K870" s="68" t="b">
        <f>IF(Tab.11[[#This Row],[a1]]=1,IF($K$3=0,Tab.11[b6],Tab.11[[#This Row],[b6]]-AVERAGE(Tab.11[b6])))</f>
        <v>0</v>
      </c>
      <c r="L870" s="69" t="b">
        <f>IF(Tab.11[[#This Row],[a1]]=1,Tab.11[[#This Row],[data]]/(_xlfn.STDEV.P(Tab.11[data])*$B$989)+$A$989)</f>
        <v>0</v>
      </c>
      <c r="M870" s="69" t="b">
        <f>IF(Tab.11[[#This Row],[a1]]=1,Tab.11[[#This Row],[data]]/(_xlfn.STDEV.P(Tab.11[data])*$B$987)-$A$987)</f>
        <v>0</v>
      </c>
      <c r="N870" s="69" t="b">
        <f>IF(Tab.11[[#This Row],[a1]]=1,Tab.11[[#This Row],[data]]/(_xlfn.STDEV.P(Tab.11[data])*$B$988)+$A$988)</f>
        <v>0</v>
      </c>
      <c r="O870" s="70" t="b">
        <f>IF(Tab.11[[#This Row],[a1]]=1,_xlfn.NORM.DIST(Tab.11[[#This Row],[b8]],$P$1,$Q$1,FALSE))</f>
        <v>0</v>
      </c>
      <c r="P870" s="70" t="b">
        <f>IF(Tab.11[[#This Row],[a1]]=1,_xlfn.NORM.DIST(Tab.11[[#This Row],[b9]],$P$1,$Q$1,FALSE))</f>
        <v>0</v>
      </c>
      <c r="Q870" s="70" t="b">
        <f>IF(Tab.11[[#This Row],[a1]]=1,_xlfn.NORM.DIST(Tab.11[[#This Row],[b10]],$P$1,$Q$1,FALSE))</f>
        <v>0</v>
      </c>
      <c r="R870" s="67" t="b">
        <f>IF(Tab.11[[#This Row],[a1]]=1,$I$3+$A$989+IF($K$3=0,Tab.11[[#This Row],[b8]]*_xlfn.STDEV.P(Tab.11[data]),AVERAGE(Tab.11[b6])+Tab.11[[#This Row],[b8]]*_xlfn.STDEV.P(Tab.11[data])))</f>
        <v>0</v>
      </c>
      <c r="S870" s="71" t="b">
        <f>IF(Tab.11[[#This Row],[a1]]=1,$I$3+$A$987+IF($K$3=0,Tab.11[[#This Row],[b9]]*_xlfn.STDEV.P(Tab.11[data]),AVERAGE(Tab.11[b6])+Tab.11[[#This Row],[b9]]*_xlfn.STDEV.P(Tab.11[data])))</f>
        <v>0</v>
      </c>
      <c r="T870" s="71" t="b">
        <f>IF(Tab.11[[#This Row],[a1]]=1,$I$3+$A$988+IF($K$3=0,Tab.11[[#This Row],[b10]]*_xlfn.STDEV.P(Tab.11[data]),AVERAGE(Tab.11[b6])+Tab.11[[#This Row],[b10]]*_xlfn.STDEV.P(Tab.11[data])))</f>
        <v>0</v>
      </c>
      <c r="U870" s="72" t="b">
        <f>IF(Tab.11[[#This Row],[a1]]=1,Tab.11[[#This Row],[target]]-Tab.11[[#This Row],[Red]])</f>
        <v>0</v>
      </c>
      <c r="V870" s="72" t="b">
        <f>IF(Tab.11[[#This Row],[a1]]=1,Tab.11[[#This Row],[target]]-Tab.11[[#This Row],[Blue]])</f>
        <v>0</v>
      </c>
      <c r="W870" s="73" t="b">
        <f>IF(Tab.11[[#This Row],[a1]]=1,IF(ABS(Tab.11[[#This Row],[b17]])+ABS(Tab.11[[#This Row],[b18]])&lt;$W$2,$W$2,ABS(Tab.11[[#This Row],[b17]])+ABS(Tab.11[[#This Row],[b18]])))</f>
        <v>0</v>
      </c>
      <c r="X870" s="136" t="b">
        <f>IF(Tab.11[[#This Row],[a1]]=1,IF($W$3&lt;0,Tab.11[[#This Row],[IN]]-$I$3,Tab.11[[#This Row],[IN]]))</f>
        <v>0</v>
      </c>
      <c r="Y870" s="136" t="b">
        <f>IF(Tab.11[[#This Row],[a1]]=1,IF($X$3=0,Tab.11[b66],Tab.11[[#This Row],[b66]]-AVERAGE(Tab.11[b66])))</f>
        <v>0</v>
      </c>
      <c r="Z870" s="135" t="b">
        <f>IF(Tab.11[[#This Row],[a1]]=1,Tab.11[[#This Row],[b77]]/(_xlfn.STDEV.P(Tab.11[b77])))</f>
        <v>0</v>
      </c>
      <c r="AA870" s="70" t="b">
        <f>IF(Tab.11[[#This Row],[a1]]=1,_xlfn.NORM.DIST(Tab.11[[#This Row],[b88]],$Z$1,$AA$1,FALSE))</f>
        <v>0</v>
      </c>
      <c r="AB870" s="74" t="b">
        <f>IF(Tab.11[[#This Row],[a1]]=1,IF($A$3=0,FALSE,1/Tab.11[[#This Row],[IN]]*$AC$2*IF(Tab.11[[#This Row],[a1]]=0,,$A$3*$AC$1*1/$V$3*(Tab.11[[#This Row],[b14]]))))</f>
        <v>0</v>
      </c>
      <c r="AC870" s="75" t="b">
        <f>IF(Tab.11[[#This Row],[a1]]=1,IF($AC$3=0,Tab.11[[#This Row],[φ1]],Tab.11[[#This Row],[φ1]]/MAX(Tab.11[φ1])))</f>
        <v>0</v>
      </c>
      <c r="AD870" s="74" t="b">
        <f>IF(Tab.11[[#This Row],[a1]]=1,1/Tab.11[[#This Row],[φ2]])</f>
        <v>0</v>
      </c>
      <c r="AE870" s="74" t="b">
        <f>IF(Tab.11[[#This Row],[a1]]=1,IF($AE$3=0,Tab.11[[#This Row],[w.0]],Tab.11[[#This Row],[w.0]]/SUM(Tab.11[w.0])))</f>
        <v>0</v>
      </c>
      <c r="AF870" s="76" t="str">
        <f>IF(Tab.11[[#This Row],[a1]]=0,"false",[3]!Tab.x5[[#This Row],[%_seN_C]])</f>
        <v>false</v>
      </c>
      <c r="AG870" s="77" t="b">
        <f>IF(Tab.11[[#This Row],[a1]]=1,AP870)</f>
        <v>0</v>
      </c>
      <c r="AH870" s="78" t="b">
        <f>IF(Tab.11[[#This Row],[a1]]=1,AQ870)</f>
        <v>0</v>
      </c>
      <c r="AI870" s="41">
        <v>3.0000000000000001E-3</v>
      </c>
      <c r="AJ870" s="79">
        <v>-0.1</v>
      </c>
      <c r="AK870" s="80" t="b">
        <f>IF(Tab.11[[#This Row],[a1]]=1,1)</f>
        <v>0</v>
      </c>
      <c r="AL870"/>
      <c r="AM870"/>
      <c r="AN870"/>
      <c r="AO870"/>
      <c r="AP870"/>
      <c r="AQ870"/>
      <c r="AR870"/>
      <c r="AS870"/>
    </row>
    <row r="871" spans="1:52" s="81" customFormat="1" hidden="1" x14ac:dyDescent="0.25">
      <c r="A871" s="61">
        <f t="shared" si="29"/>
        <v>0</v>
      </c>
      <c r="B871" s="62">
        <f t="shared" si="29"/>
        <v>0</v>
      </c>
      <c r="C871" s="62" t="b">
        <f>IF(Tab.11[[#This Row],[a1]]=1,[3]!Tab_x1[[#This Row],[Name]])</f>
        <v>0</v>
      </c>
      <c r="D871" s="63" t="b">
        <f>IF(Tab.11[[#This Row],[a1]]=1,AO871)</f>
        <v>0</v>
      </c>
      <c r="E871" s="63">
        <f t="shared" si="28"/>
        <v>0</v>
      </c>
      <c r="F871" s="64" t="b">
        <f>IF(Tab.11[[#This Row],[a1]]=1,Tab.11[[#This Row],[b1]])</f>
        <v>0</v>
      </c>
      <c r="G871" s="65" t="b">
        <f>IF(Tab.11[[#This Row],[a1]]=1,IF(Tab.11[[#This Row],[b3]]&gt;$L$989*$G$3,$L$989*$G$3,IF(Tab.11[[#This Row],[b3]]&lt;$M$989*$G$3,$M$989*$G$3,Tab.11[[#This Row],[b3]])))</f>
        <v>0</v>
      </c>
      <c r="H871" s="66" t="b">
        <f>IF(Tab.11[[#This Row],[a1]]=1,Tab.11[[#This Row],[b1]])</f>
        <v>0</v>
      </c>
      <c r="I871" s="67" t="b">
        <f>IF(Tab.11[[#This Row],[a1]]=1,Tab.11[[#This Row],[b1]])</f>
        <v>0</v>
      </c>
      <c r="J871" s="68" t="b">
        <f>IF(Tab.11[[#This Row],[a1]]=1,IF($I$3&lt;0,Tab.11[[#This Row],[b5]]-$I$3,Tab.11[[#This Row],[b5]]))</f>
        <v>0</v>
      </c>
      <c r="K871" s="68" t="b">
        <f>IF(Tab.11[[#This Row],[a1]]=1,IF($K$3=0,Tab.11[b6],Tab.11[[#This Row],[b6]]-AVERAGE(Tab.11[b6])))</f>
        <v>0</v>
      </c>
      <c r="L871" s="69" t="b">
        <f>IF(Tab.11[[#This Row],[a1]]=1,Tab.11[[#This Row],[data]]/(_xlfn.STDEV.P(Tab.11[data])*$B$989)+$A$989)</f>
        <v>0</v>
      </c>
      <c r="M871" s="69" t="b">
        <f>IF(Tab.11[[#This Row],[a1]]=1,Tab.11[[#This Row],[data]]/(_xlfn.STDEV.P(Tab.11[data])*$B$987)-$A$987)</f>
        <v>0</v>
      </c>
      <c r="N871" s="69" t="b">
        <f>IF(Tab.11[[#This Row],[a1]]=1,Tab.11[[#This Row],[data]]/(_xlfn.STDEV.P(Tab.11[data])*$B$988)+$A$988)</f>
        <v>0</v>
      </c>
      <c r="O871" s="70" t="b">
        <f>IF(Tab.11[[#This Row],[a1]]=1,_xlfn.NORM.DIST(Tab.11[[#This Row],[b8]],$P$1,$Q$1,FALSE))</f>
        <v>0</v>
      </c>
      <c r="P871" s="70" t="b">
        <f>IF(Tab.11[[#This Row],[a1]]=1,_xlfn.NORM.DIST(Tab.11[[#This Row],[b9]],$P$1,$Q$1,FALSE))</f>
        <v>0</v>
      </c>
      <c r="Q871" s="70" t="b">
        <f>IF(Tab.11[[#This Row],[a1]]=1,_xlfn.NORM.DIST(Tab.11[[#This Row],[b10]],$P$1,$Q$1,FALSE))</f>
        <v>0</v>
      </c>
      <c r="R871" s="67" t="b">
        <f>IF(Tab.11[[#This Row],[a1]]=1,$I$3+$A$989+IF($K$3=0,Tab.11[[#This Row],[b8]]*_xlfn.STDEV.P(Tab.11[data]),AVERAGE(Tab.11[b6])+Tab.11[[#This Row],[b8]]*_xlfn.STDEV.P(Tab.11[data])))</f>
        <v>0</v>
      </c>
      <c r="S871" s="71" t="b">
        <f>IF(Tab.11[[#This Row],[a1]]=1,$I$3+$A$987+IF($K$3=0,Tab.11[[#This Row],[b9]]*_xlfn.STDEV.P(Tab.11[data]),AVERAGE(Tab.11[b6])+Tab.11[[#This Row],[b9]]*_xlfn.STDEV.P(Tab.11[data])))</f>
        <v>0</v>
      </c>
      <c r="T871" s="71" t="b">
        <f>IF(Tab.11[[#This Row],[a1]]=1,$I$3+$A$988+IF($K$3=0,Tab.11[[#This Row],[b10]]*_xlfn.STDEV.P(Tab.11[data]),AVERAGE(Tab.11[b6])+Tab.11[[#This Row],[b10]]*_xlfn.STDEV.P(Tab.11[data])))</f>
        <v>0</v>
      </c>
      <c r="U871" s="72" t="b">
        <f>IF(Tab.11[[#This Row],[a1]]=1,Tab.11[[#This Row],[target]]-Tab.11[[#This Row],[Red]])</f>
        <v>0</v>
      </c>
      <c r="V871" s="72" t="b">
        <f>IF(Tab.11[[#This Row],[a1]]=1,Tab.11[[#This Row],[target]]-Tab.11[[#This Row],[Blue]])</f>
        <v>0</v>
      </c>
      <c r="W871" s="73" t="b">
        <f>IF(Tab.11[[#This Row],[a1]]=1,IF(ABS(Tab.11[[#This Row],[b17]])+ABS(Tab.11[[#This Row],[b18]])&lt;$W$2,$W$2,ABS(Tab.11[[#This Row],[b17]])+ABS(Tab.11[[#This Row],[b18]])))</f>
        <v>0</v>
      </c>
      <c r="X871" s="136" t="b">
        <f>IF(Tab.11[[#This Row],[a1]]=1,IF($W$3&lt;0,Tab.11[[#This Row],[IN]]-$I$3,Tab.11[[#This Row],[IN]]))</f>
        <v>0</v>
      </c>
      <c r="Y871" s="136" t="b">
        <f>IF(Tab.11[[#This Row],[a1]]=1,IF($X$3=0,Tab.11[b66],Tab.11[[#This Row],[b66]]-AVERAGE(Tab.11[b66])))</f>
        <v>0</v>
      </c>
      <c r="Z871" s="135" t="b">
        <f>IF(Tab.11[[#This Row],[a1]]=1,Tab.11[[#This Row],[b77]]/(_xlfn.STDEV.P(Tab.11[b77])))</f>
        <v>0</v>
      </c>
      <c r="AA871" s="70" t="b">
        <f>IF(Tab.11[[#This Row],[a1]]=1,_xlfn.NORM.DIST(Tab.11[[#This Row],[b88]],$Z$1,$AA$1,FALSE))</f>
        <v>0</v>
      </c>
      <c r="AB871" s="74" t="b">
        <f>IF(Tab.11[[#This Row],[a1]]=1,IF($A$3=0,FALSE,1/Tab.11[[#This Row],[IN]]*$AC$2*IF(Tab.11[[#This Row],[a1]]=0,,$A$3*$AC$1*1/$V$3*(Tab.11[[#This Row],[b14]]))))</f>
        <v>0</v>
      </c>
      <c r="AC871" s="75" t="b">
        <f>IF(Tab.11[[#This Row],[a1]]=1,IF($AC$3=0,Tab.11[[#This Row],[φ1]],Tab.11[[#This Row],[φ1]]/MAX(Tab.11[φ1])))</f>
        <v>0</v>
      </c>
      <c r="AD871" s="74" t="b">
        <f>IF(Tab.11[[#This Row],[a1]]=1,1/Tab.11[[#This Row],[φ2]])</f>
        <v>0</v>
      </c>
      <c r="AE871" s="74" t="b">
        <f>IF(Tab.11[[#This Row],[a1]]=1,IF($AE$3=0,Tab.11[[#This Row],[w.0]],Tab.11[[#This Row],[w.0]]/SUM(Tab.11[w.0])))</f>
        <v>0</v>
      </c>
      <c r="AF871" s="76" t="str">
        <f>IF(Tab.11[[#This Row],[a1]]=0,"false",[3]!Tab.x5[[#This Row],[%_seN_C]])</f>
        <v>false</v>
      </c>
      <c r="AG871" s="77" t="b">
        <f>IF(Tab.11[[#This Row],[a1]]=1,AP871)</f>
        <v>0</v>
      </c>
      <c r="AH871" s="78" t="b">
        <f>IF(Tab.11[[#This Row],[a1]]=1,AQ871)</f>
        <v>0</v>
      </c>
      <c r="AI871" s="41">
        <v>3.0000000000000001E-3</v>
      </c>
      <c r="AJ871" s="79">
        <v>0.1</v>
      </c>
      <c r="AK871" s="80" t="b">
        <f>IF(Tab.11[[#This Row],[a1]]=1,1)</f>
        <v>0</v>
      </c>
      <c r="AL871"/>
      <c r="AM871"/>
      <c r="AN871"/>
      <c r="AO871"/>
      <c r="AP871"/>
      <c r="AQ871"/>
      <c r="AR871"/>
      <c r="AS871"/>
    </row>
    <row r="872" spans="1:52" s="81" customFormat="1" hidden="1" x14ac:dyDescent="0.25">
      <c r="A872" s="61">
        <f t="shared" si="29"/>
        <v>0</v>
      </c>
      <c r="B872" s="62">
        <f t="shared" si="29"/>
        <v>0</v>
      </c>
      <c r="C872" s="62" t="b">
        <f>IF(Tab.11[[#This Row],[a1]]=1,[3]!Tab_x1[[#This Row],[Name]])</f>
        <v>0</v>
      </c>
      <c r="D872" s="63" t="b">
        <f>IF(Tab.11[[#This Row],[a1]]=1,AO872)</f>
        <v>0</v>
      </c>
      <c r="E872" s="63">
        <f t="shared" si="28"/>
        <v>0</v>
      </c>
      <c r="F872" s="64" t="b">
        <f>IF(Tab.11[[#This Row],[a1]]=1,Tab.11[[#This Row],[b1]])</f>
        <v>0</v>
      </c>
      <c r="G872" s="65" t="b">
        <f>IF(Tab.11[[#This Row],[a1]]=1,IF(Tab.11[[#This Row],[b3]]&gt;$L$989*$G$3,$L$989*$G$3,IF(Tab.11[[#This Row],[b3]]&lt;$M$989*$G$3,$M$989*$G$3,Tab.11[[#This Row],[b3]])))</f>
        <v>0</v>
      </c>
      <c r="H872" s="66" t="b">
        <f>IF(Tab.11[[#This Row],[a1]]=1,Tab.11[[#This Row],[b1]])</f>
        <v>0</v>
      </c>
      <c r="I872" s="67" t="b">
        <f>IF(Tab.11[[#This Row],[a1]]=1,Tab.11[[#This Row],[b1]])</f>
        <v>0</v>
      </c>
      <c r="J872" s="68" t="b">
        <f>IF(Tab.11[[#This Row],[a1]]=1,IF($I$3&lt;0,Tab.11[[#This Row],[b5]]-$I$3,Tab.11[[#This Row],[b5]]))</f>
        <v>0</v>
      </c>
      <c r="K872" s="68" t="b">
        <f>IF(Tab.11[[#This Row],[a1]]=1,IF($K$3=0,Tab.11[b6],Tab.11[[#This Row],[b6]]-AVERAGE(Tab.11[b6])))</f>
        <v>0</v>
      </c>
      <c r="L872" s="69" t="b">
        <f>IF(Tab.11[[#This Row],[a1]]=1,Tab.11[[#This Row],[data]]/(_xlfn.STDEV.P(Tab.11[data])*$B$989)+$A$989)</f>
        <v>0</v>
      </c>
      <c r="M872" s="69" t="b">
        <f>IF(Tab.11[[#This Row],[a1]]=1,Tab.11[[#This Row],[data]]/(_xlfn.STDEV.P(Tab.11[data])*$B$987)-$A$987)</f>
        <v>0</v>
      </c>
      <c r="N872" s="69" t="b">
        <f>IF(Tab.11[[#This Row],[a1]]=1,Tab.11[[#This Row],[data]]/(_xlfn.STDEV.P(Tab.11[data])*$B$988)+$A$988)</f>
        <v>0</v>
      </c>
      <c r="O872" s="70" t="b">
        <f>IF(Tab.11[[#This Row],[a1]]=1,_xlfn.NORM.DIST(Tab.11[[#This Row],[b8]],$P$1,$Q$1,FALSE))</f>
        <v>0</v>
      </c>
      <c r="P872" s="70" t="b">
        <f>IF(Tab.11[[#This Row],[a1]]=1,_xlfn.NORM.DIST(Tab.11[[#This Row],[b9]],$P$1,$Q$1,FALSE))</f>
        <v>0</v>
      </c>
      <c r="Q872" s="70" t="b">
        <f>IF(Tab.11[[#This Row],[a1]]=1,_xlfn.NORM.DIST(Tab.11[[#This Row],[b10]],$P$1,$Q$1,FALSE))</f>
        <v>0</v>
      </c>
      <c r="R872" s="67" t="b">
        <f>IF(Tab.11[[#This Row],[a1]]=1,$I$3+$A$989+IF($K$3=0,Tab.11[[#This Row],[b8]]*_xlfn.STDEV.P(Tab.11[data]),AVERAGE(Tab.11[b6])+Tab.11[[#This Row],[b8]]*_xlfn.STDEV.P(Tab.11[data])))</f>
        <v>0</v>
      </c>
      <c r="S872" s="71" t="b">
        <f>IF(Tab.11[[#This Row],[a1]]=1,$I$3+$A$987+IF($K$3=0,Tab.11[[#This Row],[b9]]*_xlfn.STDEV.P(Tab.11[data]),AVERAGE(Tab.11[b6])+Tab.11[[#This Row],[b9]]*_xlfn.STDEV.P(Tab.11[data])))</f>
        <v>0</v>
      </c>
      <c r="T872" s="71" t="b">
        <f>IF(Tab.11[[#This Row],[a1]]=1,$I$3+$A$988+IF($K$3=0,Tab.11[[#This Row],[b10]]*_xlfn.STDEV.P(Tab.11[data]),AVERAGE(Tab.11[b6])+Tab.11[[#This Row],[b10]]*_xlfn.STDEV.P(Tab.11[data])))</f>
        <v>0</v>
      </c>
      <c r="U872" s="72" t="b">
        <f>IF(Tab.11[[#This Row],[a1]]=1,Tab.11[[#This Row],[target]]-Tab.11[[#This Row],[Red]])</f>
        <v>0</v>
      </c>
      <c r="V872" s="72" t="b">
        <f>IF(Tab.11[[#This Row],[a1]]=1,Tab.11[[#This Row],[target]]-Tab.11[[#This Row],[Blue]])</f>
        <v>0</v>
      </c>
      <c r="W872" s="73" t="b">
        <f>IF(Tab.11[[#This Row],[a1]]=1,IF(ABS(Tab.11[[#This Row],[b17]])+ABS(Tab.11[[#This Row],[b18]])&lt;$W$2,$W$2,ABS(Tab.11[[#This Row],[b17]])+ABS(Tab.11[[#This Row],[b18]])))</f>
        <v>0</v>
      </c>
      <c r="X872" s="136" t="b">
        <f>IF(Tab.11[[#This Row],[a1]]=1,IF($W$3&lt;0,Tab.11[[#This Row],[IN]]-$I$3,Tab.11[[#This Row],[IN]]))</f>
        <v>0</v>
      </c>
      <c r="Y872" s="136" t="b">
        <f>IF(Tab.11[[#This Row],[a1]]=1,IF($X$3=0,Tab.11[b66],Tab.11[[#This Row],[b66]]-AVERAGE(Tab.11[b66])))</f>
        <v>0</v>
      </c>
      <c r="Z872" s="135" t="b">
        <f>IF(Tab.11[[#This Row],[a1]]=1,Tab.11[[#This Row],[b77]]/(_xlfn.STDEV.P(Tab.11[b77])))</f>
        <v>0</v>
      </c>
      <c r="AA872" s="70" t="b">
        <f>IF(Tab.11[[#This Row],[a1]]=1,_xlfn.NORM.DIST(Tab.11[[#This Row],[b88]],$Z$1,$AA$1,FALSE))</f>
        <v>0</v>
      </c>
      <c r="AB872" s="74" t="b">
        <f>IF(Tab.11[[#This Row],[a1]]=1,IF($A$3=0,FALSE,1/Tab.11[[#This Row],[IN]]*$AC$2*IF(Tab.11[[#This Row],[a1]]=0,,$A$3*$AC$1*1/$V$3*(Tab.11[[#This Row],[b14]]))))</f>
        <v>0</v>
      </c>
      <c r="AC872" s="75" t="b">
        <f>IF(Tab.11[[#This Row],[a1]]=1,IF($AC$3=0,Tab.11[[#This Row],[φ1]],Tab.11[[#This Row],[φ1]]/MAX(Tab.11[φ1])))</f>
        <v>0</v>
      </c>
      <c r="AD872" s="74" t="b">
        <f>IF(Tab.11[[#This Row],[a1]]=1,1/Tab.11[[#This Row],[φ2]])</f>
        <v>0</v>
      </c>
      <c r="AE872" s="74" t="b">
        <f>IF(Tab.11[[#This Row],[a1]]=1,IF($AE$3=0,Tab.11[[#This Row],[w.0]],Tab.11[[#This Row],[w.0]]/SUM(Tab.11[w.0])))</f>
        <v>0</v>
      </c>
      <c r="AF872" s="76" t="str">
        <f>IF(Tab.11[[#This Row],[a1]]=0,"false",[3]!Tab.x5[[#This Row],[%_seN_C]])</f>
        <v>false</v>
      </c>
      <c r="AG872" s="77" t="b">
        <f>IF(Tab.11[[#This Row],[a1]]=1,AP872)</f>
        <v>0</v>
      </c>
      <c r="AH872" s="78" t="b">
        <f>IF(Tab.11[[#This Row],[a1]]=1,AQ872)</f>
        <v>0</v>
      </c>
      <c r="AI872" s="41">
        <v>3.0000000000000001E-3</v>
      </c>
      <c r="AJ872" s="79">
        <v>-0.1</v>
      </c>
      <c r="AK872" s="80" t="b">
        <f>IF(Tab.11[[#This Row],[a1]]=1,1)</f>
        <v>0</v>
      </c>
      <c r="AL872"/>
      <c r="AM872"/>
      <c r="AN872"/>
      <c r="AO872"/>
      <c r="AP872"/>
      <c r="AQ872"/>
      <c r="AR872"/>
      <c r="AS872"/>
    </row>
    <row r="873" spans="1:52" s="81" customFormat="1" hidden="1" x14ac:dyDescent="0.25">
      <c r="A873" s="61">
        <f t="shared" si="29"/>
        <v>0</v>
      </c>
      <c r="B873" s="62">
        <f t="shared" si="29"/>
        <v>0</v>
      </c>
      <c r="C873" s="62" t="b">
        <f>IF(Tab.11[[#This Row],[a1]]=1,[3]!Tab_x1[[#This Row],[Name]])</f>
        <v>0</v>
      </c>
      <c r="D873" s="63" t="b">
        <f>IF(Tab.11[[#This Row],[a1]]=1,AO873)</f>
        <v>0</v>
      </c>
      <c r="E873" s="63">
        <f t="shared" si="28"/>
        <v>0</v>
      </c>
      <c r="F873" s="64" t="b">
        <f>IF(Tab.11[[#This Row],[a1]]=1,Tab.11[[#This Row],[b1]])</f>
        <v>0</v>
      </c>
      <c r="G873" s="65" t="b">
        <f>IF(Tab.11[[#This Row],[a1]]=1,IF(Tab.11[[#This Row],[b3]]&gt;$L$989*$G$3,$L$989*$G$3,IF(Tab.11[[#This Row],[b3]]&lt;$M$989*$G$3,$M$989*$G$3,Tab.11[[#This Row],[b3]])))</f>
        <v>0</v>
      </c>
      <c r="H873" s="66" t="b">
        <f>IF(Tab.11[[#This Row],[a1]]=1,Tab.11[[#This Row],[b1]])</f>
        <v>0</v>
      </c>
      <c r="I873" s="67" t="b">
        <f>IF(Tab.11[[#This Row],[a1]]=1,Tab.11[[#This Row],[b1]])</f>
        <v>0</v>
      </c>
      <c r="J873" s="68" t="b">
        <f>IF(Tab.11[[#This Row],[a1]]=1,IF($I$3&lt;0,Tab.11[[#This Row],[b5]]-$I$3,Tab.11[[#This Row],[b5]]))</f>
        <v>0</v>
      </c>
      <c r="K873" s="68" t="b">
        <f>IF(Tab.11[[#This Row],[a1]]=1,IF($K$3=0,Tab.11[b6],Tab.11[[#This Row],[b6]]-AVERAGE(Tab.11[b6])))</f>
        <v>0</v>
      </c>
      <c r="L873" s="69" t="b">
        <f>IF(Tab.11[[#This Row],[a1]]=1,Tab.11[[#This Row],[data]]/(_xlfn.STDEV.P(Tab.11[data])*$B$989)+$A$989)</f>
        <v>0</v>
      </c>
      <c r="M873" s="69" t="b">
        <f>IF(Tab.11[[#This Row],[a1]]=1,Tab.11[[#This Row],[data]]/(_xlfn.STDEV.P(Tab.11[data])*$B$987)-$A$987)</f>
        <v>0</v>
      </c>
      <c r="N873" s="69" t="b">
        <f>IF(Tab.11[[#This Row],[a1]]=1,Tab.11[[#This Row],[data]]/(_xlfn.STDEV.P(Tab.11[data])*$B$988)+$A$988)</f>
        <v>0</v>
      </c>
      <c r="O873" s="70" t="b">
        <f>IF(Tab.11[[#This Row],[a1]]=1,_xlfn.NORM.DIST(Tab.11[[#This Row],[b8]],$P$1,$Q$1,FALSE))</f>
        <v>0</v>
      </c>
      <c r="P873" s="70" t="b">
        <f>IF(Tab.11[[#This Row],[a1]]=1,_xlfn.NORM.DIST(Tab.11[[#This Row],[b9]],$P$1,$Q$1,FALSE))</f>
        <v>0</v>
      </c>
      <c r="Q873" s="70" t="b">
        <f>IF(Tab.11[[#This Row],[a1]]=1,_xlfn.NORM.DIST(Tab.11[[#This Row],[b10]],$P$1,$Q$1,FALSE))</f>
        <v>0</v>
      </c>
      <c r="R873" s="67" t="b">
        <f>IF(Tab.11[[#This Row],[a1]]=1,$I$3+$A$989+IF($K$3=0,Tab.11[[#This Row],[b8]]*_xlfn.STDEV.P(Tab.11[data]),AVERAGE(Tab.11[b6])+Tab.11[[#This Row],[b8]]*_xlfn.STDEV.P(Tab.11[data])))</f>
        <v>0</v>
      </c>
      <c r="S873" s="71" t="b">
        <f>IF(Tab.11[[#This Row],[a1]]=1,$I$3+$A$987+IF($K$3=0,Tab.11[[#This Row],[b9]]*_xlfn.STDEV.P(Tab.11[data]),AVERAGE(Tab.11[b6])+Tab.11[[#This Row],[b9]]*_xlfn.STDEV.P(Tab.11[data])))</f>
        <v>0</v>
      </c>
      <c r="T873" s="71" t="b">
        <f>IF(Tab.11[[#This Row],[a1]]=1,$I$3+$A$988+IF($K$3=0,Tab.11[[#This Row],[b10]]*_xlfn.STDEV.P(Tab.11[data]),AVERAGE(Tab.11[b6])+Tab.11[[#This Row],[b10]]*_xlfn.STDEV.P(Tab.11[data])))</f>
        <v>0</v>
      </c>
      <c r="U873" s="72" t="b">
        <f>IF(Tab.11[[#This Row],[a1]]=1,Tab.11[[#This Row],[target]]-Tab.11[[#This Row],[Red]])</f>
        <v>0</v>
      </c>
      <c r="V873" s="72" t="b">
        <f>IF(Tab.11[[#This Row],[a1]]=1,Tab.11[[#This Row],[target]]-Tab.11[[#This Row],[Blue]])</f>
        <v>0</v>
      </c>
      <c r="W873" s="73" t="b">
        <f>IF(Tab.11[[#This Row],[a1]]=1,IF(ABS(Tab.11[[#This Row],[b17]])+ABS(Tab.11[[#This Row],[b18]])&lt;$W$2,$W$2,ABS(Tab.11[[#This Row],[b17]])+ABS(Tab.11[[#This Row],[b18]])))</f>
        <v>0</v>
      </c>
      <c r="X873" s="136" t="b">
        <f>IF(Tab.11[[#This Row],[a1]]=1,IF($W$3&lt;0,Tab.11[[#This Row],[IN]]-$I$3,Tab.11[[#This Row],[IN]]))</f>
        <v>0</v>
      </c>
      <c r="Y873" s="136" t="b">
        <f>IF(Tab.11[[#This Row],[a1]]=1,IF($X$3=0,Tab.11[b66],Tab.11[[#This Row],[b66]]-AVERAGE(Tab.11[b66])))</f>
        <v>0</v>
      </c>
      <c r="Z873" s="135" t="b">
        <f>IF(Tab.11[[#This Row],[a1]]=1,Tab.11[[#This Row],[b77]]/(_xlfn.STDEV.P(Tab.11[b77])))</f>
        <v>0</v>
      </c>
      <c r="AA873" s="70" t="b">
        <f>IF(Tab.11[[#This Row],[a1]]=1,_xlfn.NORM.DIST(Tab.11[[#This Row],[b88]],$Z$1,$AA$1,FALSE))</f>
        <v>0</v>
      </c>
      <c r="AB873" s="74" t="b">
        <f>IF(Tab.11[[#This Row],[a1]]=1,IF($A$3=0,FALSE,1/Tab.11[[#This Row],[IN]]*$AC$2*IF(Tab.11[[#This Row],[a1]]=0,,$A$3*$AC$1*1/$V$3*(Tab.11[[#This Row],[b14]]))))</f>
        <v>0</v>
      </c>
      <c r="AC873" s="75" t="b">
        <f>IF(Tab.11[[#This Row],[a1]]=1,IF($AC$3=0,Tab.11[[#This Row],[φ1]],Tab.11[[#This Row],[φ1]]/MAX(Tab.11[φ1])))</f>
        <v>0</v>
      </c>
      <c r="AD873" s="74" t="b">
        <f>IF(Tab.11[[#This Row],[a1]]=1,1/Tab.11[[#This Row],[φ2]])</f>
        <v>0</v>
      </c>
      <c r="AE873" s="74" t="b">
        <f>IF(Tab.11[[#This Row],[a1]]=1,IF($AE$3=0,Tab.11[[#This Row],[w.0]],Tab.11[[#This Row],[w.0]]/SUM(Tab.11[w.0])))</f>
        <v>0</v>
      </c>
      <c r="AF873" s="76" t="str">
        <f>IF(Tab.11[[#This Row],[a1]]=0,"false",[3]!Tab.x5[[#This Row],[%_seN_C]])</f>
        <v>false</v>
      </c>
      <c r="AG873" s="77" t="b">
        <f>IF(Tab.11[[#This Row],[a1]]=1,AP873)</f>
        <v>0</v>
      </c>
      <c r="AH873" s="78" t="b">
        <f>IF(Tab.11[[#This Row],[a1]]=1,AQ873)</f>
        <v>0</v>
      </c>
      <c r="AI873" s="41">
        <v>3.0000000000000001E-3</v>
      </c>
      <c r="AJ873" s="79">
        <v>-0.09</v>
      </c>
      <c r="AK873" s="80" t="b">
        <f>IF(Tab.11[[#This Row],[a1]]=1,1)</f>
        <v>0</v>
      </c>
      <c r="AL873"/>
      <c r="AM873"/>
      <c r="AN873"/>
      <c r="AO873"/>
      <c r="AP873"/>
      <c r="AQ873"/>
      <c r="AR873"/>
      <c r="AS873"/>
    </row>
    <row r="874" spans="1:52" s="81" customFormat="1" hidden="1" x14ac:dyDescent="0.25">
      <c r="A874" s="61">
        <f t="shared" si="29"/>
        <v>0</v>
      </c>
      <c r="B874" s="62">
        <f t="shared" si="29"/>
        <v>0</v>
      </c>
      <c r="C874" s="62" t="b">
        <f>IF(Tab.11[[#This Row],[a1]]=1,[3]!Tab_x1[[#This Row],[Name]])</f>
        <v>0</v>
      </c>
      <c r="D874" s="63" t="b">
        <f>IF(Tab.11[[#This Row],[a1]]=1,AO874)</f>
        <v>0</v>
      </c>
      <c r="E874" s="63">
        <f t="shared" si="28"/>
        <v>0</v>
      </c>
      <c r="F874" s="64" t="b">
        <f>IF(Tab.11[[#This Row],[a1]]=1,Tab.11[[#This Row],[b1]])</f>
        <v>0</v>
      </c>
      <c r="G874" s="65" t="b">
        <f>IF(Tab.11[[#This Row],[a1]]=1,IF(Tab.11[[#This Row],[b3]]&gt;$L$989*$G$3,$L$989*$G$3,IF(Tab.11[[#This Row],[b3]]&lt;$M$989*$G$3,$M$989*$G$3,Tab.11[[#This Row],[b3]])))</f>
        <v>0</v>
      </c>
      <c r="H874" s="66" t="b">
        <f>IF(Tab.11[[#This Row],[a1]]=1,Tab.11[[#This Row],[b1]])</f>
        <v>0</v>
      </c>
      <c r="I874" s="67" t="b">
        <f>IF(Tab.11[[#This Row],[a1]]=1,Tab.11[[#This Row],[b1]])</f>
        <v>0</v>
      </c>
      <c r="J874" s="68" t="b">
        <f>IF(Tab.11[[#This Row],[a1]]=1,IF($I$3&lt;0,Tab.11[[#This Row],[b5]]-$I$3,Tab.11[[#This Row],[b5]]))</f>
        <v>0</v>
      </c>
      <c r="K874" s="68" t="b">
        <f>IF(Tab.11[[#This Row],[a1]]=1,IF($K$3=0,Tab.11[b6],Tab.11[[#This Row],[b6]]-AVERAGE(Tab.11[b6])))</f>
        <v>0</v>
      </c>
      <c r="L874" s="69" t="b">
        <f>IF(Tab.11[[#This Row],[a1]]=1,Tab.11[[#This Row],[data]]/(_xlfn.STDEV.P(Tab.11[data])*$B$989)+$A$989)</f>
        <v>0</v>
      </c>
      <c r="M874" s="69" t="b">
        <f>IF(Tab.11[[#This Row],[a1]]=1,Tab.11[[#This Row],[data]]/(_xlfn.STDEV.P(Tab.11[data])*$B$987)-$A$987)</f>
        <v>0</v>
      </c>
      <c r="N874" s="69" t="b">
        <f>IF(Tab.11[[#This Row],[a1]]=1,Tab.11[[#This Row],[data]]/(_xlfn.STDEV.P(Tab.11[data])*$B$988)+$A$988)</f>
        <v>0</v>
      </c>
      <c r="O874" s="70" t="b">
        <f>IF(Tab.11[[#This Row],[a1]]=1,_xlfn.NORM.DIST(Tab.11[[#This Row],[b8]],$P$1,$Q$1,FALSE))</f>
        <v>0</v>
      </c>
      <c r="P874" s="70" t="b">
        <f>IF(Tab.11[[#This Row],[a1]]=1,_xlfn.NORM.DIST(Tab.11[[#This Row],[b9]],$P$1,$Q$1,FALSE))</f>
        <v>0</v>
      </c>
      <c r="Q874" s="70" t="b">
        <f>IF(Tab.11[[#This Row],[a1]]=1,_xlfn.NORM.DIST(Tab.11[[#This Row],[b10]],$P$1,$Q$1,FALSE))</f>
        <v>0</v>
      </c>
      <c r="R874" s="67" t="b">
        <f>IF(Tab.11[[#This Row],[a1]]=1,$I$3+$A$989+IF($K$3=0,Tab.11[[#This Row],[b8]]*_xlfn.STDEV.P(Tab.11[data]),AVERAGE(Tab.11[b6])+Tab.11[[#This Row],[b8]]*_xlfn.STDEV.P(Tab.11[data])))</f>
        <v>0</v>
      </c>
      <c r="S874" s="71" t="b">
        <f>IF(Tab.11[[#This Row],[a1]]=1,$I$3+$A$987+IF($K$3=0,Tab.11[[#This Row],[b9]]*_xlfn.STDEV.P(Tab.11[data]),AVERAGE(Tab.11[b6])+Tab.11[[#This Row],[b9]]*_xlfn.STDEV.P(Tab.11[data])))</f>
        <v>0</v>
      </c>
      <c r="T874" s="71" t="b">
        <f>IF(Tab.11[[#This Row],[a1]]=1,$I$3+$A$988+IF($K$3=0,Tab.11[[#This Row],[b10]]*_xlfn.STDEV.P(Tab.11[data]),AVERAGE(Tab.11[b6])+Tab.11[[#This Row],[b10]]*_xlfn.STDEV.P(Tab.11[data])))</f>
        <v>0</v>
      </c>
      <c r="U874" s="72" t="b">
        <f>IF(Tab.11[[#This Row],[a1]]=1,Tab.11[[#This Row],[target]]-Tab.11[[#This Row],[Red]])</f>
        <v>0</v>
      </c>
      <c r="V874" s="72" t="b">
        <f>IF(Tab.11[[#This Row],[a1]]=1,Tab.11[[#This Row],[target]]-Tab.11[[#This Row],[Blue]])</f>
        <v>0</v>
      </c>
      <c r="W874" s="73" t="b">
        <f>IF(Tab.11[[#This Row],[a1]]=1,IF(ABS(Tab.11[[#This Row],[b17]])+ABS(Tab.11[[#This Row],[b18]])&lt;$W$2,$W$2,ABS(Tab.11[[#This Row],[b17]])+ABS(Tab.11[[#This Row],[b18]])))</f>
        <v>0</v>
      </c>
      <c r="X874" s="136" t="b">
        <f>IF(Tab.11[[#This Row],[a1]]=1,IF($W$3&lt;0,Tab.11[[#This Row],[IN]]-$I$3,Tab.11[[#This Row],[IN]]))</f>
        <v>0</v>
      </c>
      <c r="Y874" s="136" t="b">
        <f>IF(Tab.11[[#This Row],[a1]]=1,IF($X$3=0,Tab.11[b66],Tab.11[[#This Row],[b66]]-AVERAGE(Tab.11[b66])))</f>
        <v>0</v>
      </c>
      <c r="Z874" s="135" t="b">
        <f>IF(Tab.11[[#This Row],[a1]]=1,Tab.11[[#This Row],[b77]]/(_xlfn.STDEV.P(Tab.11[b77])))</f>
        <v>0</v>
      </c>
      <c r="AA874" s="70" t="b">
        <f>IF(Tab.11[[#This Row],[a1]]=1,_xlfn.NORM.DIST(Tab.11[[#This Row],[b88]],$Z$1,$AA$1,FALSE))</f>
        <v>0</v>
      </c>
      <c r="AB874" s="74" t="b">
        <f>IF(Tab.11[[#This Row],[a1]]=1,IF($A$3=0,FALSE,1/Tab.11[[#This Row],[IN]]*$AC$2*IF(Tab.11[[#This Row],[a1]]=0,,$A$3*$AC$1*1/$V$3*(Tab.11[[#This Row],[b14]]))))</f>
        <v>0</v>
      </c>
      <c r="AC874" s="75" t="b">
        <f>IF(Tab.11[[#This Row],[a1]]=1,IF($AC$3=0,Tab.11[[#This Row],[φ1]],Tab.11[[#This Row],[φ1]]/MAX(Tab.11[φ1])))</f>
        <v>0</v>
      </c>
      <c r="AD874" s="74" t="b">
        <f>IF(Tab.11[[#This Row],[a1]]=1,1/Tab.11[[#This Row],[φ2]])</f>
        <v>0</v>
      </c>
      <c r="AE874" s="74" t="b">
        <f>IF(Tab.11[[#This Row],[a1]]=1,IF($AE$3=0,Tab.11[[#This Row],[w.0]],Tab.11[[#This Row],[w.0]]/SUM(Tab.11[w.0])))</f>
        <v>0</v>
      </c>
      <c r="AF874" s="76" t="str">
        <f>IF(Tab.11[[#This Row],[a1]]=0,"false",[3]!Tab.x5[[#This Row],[%_seN_C]])</f>
        <v>false</v>
      </c>
      <c r="AG874" s="77" t="b">
        <f>IF(Tab.11[[#This Row],[a1]]=1,AP874)</f>
        <v>0</v>
      </c>
      <c r="AH874" s="78" t="b">
        <f>IF(Tab.11[[#This Row],[a1]]=1,AQ874)</f>
        <v>0</v>
      </c>
      <c r="AI874" s="41">
        <v>3.0000000000000001E-3</v>
      </c>
      <c r="AJ874" s="79">
        <v>0.01</v>
      </c>
      <c r="AK874" s="80" t="b">
        <f>IF(Tab.11[[#This Row],[a1]]=1,1)</f>
        <v>0</v>
      </c>
      <c r="AL874"/>
      <c r="AM874"/>
      <c r="AN874"/>
      <c r="AO874"/>
      <c r="AP874"/>
      <c r="AQ874"/>
      <c r="AR874"/>
      <c r="AS874"/>
    </row>
    <row r="875" spans="1:52" s="81" customFormat="1" hidden="1" x14ac:dyDescent="0.25">
      <c r="A875" s="61">
        <f t="shared" si="29"/>
        <v>0</v>
      </c>
      <c r="B875" s="62">
        <f t="shared" si="29"/>
        <v>0</v>
      </c>
      <c r="C875" s="62" t="b">
        <f>IF(Tab.11[[#This Row],[a1]]=1,[3]!Tab_x1[[#This Row],[Name]])</f>
        <v>0</v>
      </c>
      <c r="D875" s="63" t="b">
        <f>IF(Tab.11[[#This Row],[a1]]=1,AO875)</f>
        <v>0</v>
      </c>
      <c r="E875" s="63">
        <f t="shared" si="28"/>
        <v>0</v>
      </c>
      <c r="F875" s="64" t="b">
        <f>IF(Tab.11[[#This Row],[a1]]=1,Tab.11[[#This Row],[b1]])</f>
        <v>0</v>
      </c>
      <c r="G875" s="65" t="b">
        <f>IF(Tab.11[[#This Row],[a1]]=1,IF(Tab.11[[#This Row],[b3]]&gt;$L$989*$G$3,$L$989*$G$3,IF(Tab.11[[#This Row],[b3]]&lt;$M$989*$G$3,$M$989*$G$3,Tab.11[[#This Row],[b3]])))</f>
        <v>0</v>
      </c>
      <c r="H875" s="66" t="b">
        <f>IF(Tab.11[[#This Row],[a1]]=1,Tab.11[[#This Row],[b1]])</f>
        <v>0</v>
      </c>
      <c r="I875" s="67" t="b">
        <f>IF(Tab.11[[#This Row],[a1]]=1,Tab.11[[#This Row],[b1]])</f>
        <v>0</v>
      </c>
      <c r="J875" s="68" t="b">
        <f>IF(Tab.11[[#This Row],[a1]]=1,IF($I$3&lt;0,Tab.11[[#This Row],[b5]]-$I$3,Tab.11[[#This Row],[b5]]))</f>
        <v>0</v>
      </c>
      <c r="K875" s="68" t="b">
        <f>IF(Tab.11[[#This Row],[a1]]=1,IF($K$3=0,Tab.11[b6],Tab.11[[#This Row],[b6]]-AVERAGE(Tab.11[b6])))</f>
        <v>0</v>
      </c>
      <c r="L875" s="69" t="b">
        <f>IF(Tab.11[[#This Row],[a1]]=1,Tab.11[[#This Row],[data]]/(_xlfn.STDEV.P(Tab.11[data])*$B$989)+$A$989)</f>
        <v>0</v>
      </c>
      <c r="M875" s="69" t="b">
        <f>IF(Tab.11[[#This Row],[a1]]=1,Tab.11[[#This Row],[data]]/(_xlfn.STDEV.P(Tab.11[data])*$B$987)-$A$987)</f>
        <v>0</v>
      </c>
      <c r="N875" s="69" t="b">
        <f>IF(Tab.11[[#This Row],[a1]]=1,Tab.11[[#This Row],[data]]/(_xlfn.STDEV.P(Tab.11[data])*$B$988)+$A$988)</f>
        <v>0</v>
      </c>
      <c r="O875" s="70" t="b">
        <f>IF(Tab.11[[#This Row],[a1]]=1,_xlfn.NORM.DIST(Tab.11[[#This Row],[b8]],$P$1,$Q$1,FALSE))</f>
        <v>0</v>
      </c>
      <c r="P875" s="70" t="b">
        <f>IF(Tab.11[[#This Row],[a1]]=1,_xlfn.NORM.DIST(Tab.11[[#This Row],[b9]],$P$1,$Q$1,FALSE))</f>
        <v>0</v>
      </c>
      <c r="Q875" s="70" t="b">
        <f>IF(Tab.11[[#This Row],[a1]]=1,_xlfn.NORM.DIST(Tab.11[[#This Row],[b10]],$P$1,$Q$1,FALSE))</f>
        <v>0</v>
      </c>
      <c r="R875" s="67" t="b">
        <f>IF(Tab.11[[#This Row],[a1]]=1,$I$3+$A$989+IF($K$3=0,Tab.11[[#This Row],[b8]]*_xlfn.STDEV.P(Tab.11[data]),AVERAGE(Tab.11[b6])+Tab.11[[#This Row],[b8]]*_xlfn.STDEV.P(Tab.11[data])))</f>
        <v>0</v>
      </c>
      <c r="S875" s="71" t="b">
        <f>IF(Tab.11[[#This Row],[a1]]=1,$I$3+$A$987+IF($K$3=0,Tab.11[[#This Row],[b9]]*_xlfn.STDEV.P(Tab.11[data]),AVERAGE(Tab.11[b6])+Tab.11[[#This Row],[b9]]*_xlfn.STDEV.P(Tab.11[data])))</f>
        <v>0</v>
      </c>
      <c r="T875" s="71" t="b">
        <f>IF(Tab.11[[#This Row],[a1]]=1,$I$3+$A$988+IF($K$3=0,Tab.11[[#This Row],[b10]]*_xlfn.STDEV.P(Tab.11[data]),AVERAGE(Tab.11[b6])+Tab.11[[#This Row],[b10]]*_xlfn.STDEV.P(Tab.11[data])))</f>
        <v>0</v>
      </c>
      <c r="U875" s="72" t="b">
        <f>IF(Tab.11[[#This Row],[a1]]=1,Tab.11[[#This Row],[target]]-Tab.11[[#This Row],[Red]])</f>
        <v>0</v>
      </c>
      <c r="V875" s="72" t="b">
        <f>IF(Tab.11[[#This Row],[a1]]=1,Tab.11[[#This Row],[target]]-Tab.11[[#This Row],[Blue]])</f>
        <v>0</v>
      </c>
      <c r="W875" s="73" t="b">
        <f>IF(Tab.11[[#This Row],[a1]]=1,IF(ABS(Tab.11[[#This Row],[b17]])+ABS(Tab.11[[#This Row],[b18]])&lt;$W$2,$W$2,ABS(Tab.11[[#This Row],[b17]])+ABS(Tab.11[[#This Row],[b18]])))</f>
        <v>0</v>
      </c>
      <c r="X875" s="136" t="b">
        <f>IF(Tab.11[[#This Row],[a1]]=1,IF($W$3&lt;0,Tab.11[[#This Row],[IN]]-$I$3,Tab.11[[#This Row],[IN]]))</f>
        <v>0</v>
      </c>
      <c r="Y875" s="136" t="b">
        <f>IF(Tab.11[[#This Row],[a1]]=1,IF($X$3=0,Tab.11[b66],Tab.11[[#This Row],[b66]]-AVERAGE(Tab.11[b66])))</f>
        <v>0</v>
      </c>
      <c r="Z875" s="135" t="b">
        <f>IF(Tab.11[[#This Row],[a1]]=1,Tab.11[[#This Row],[b77]]/(_xlfn.STDEV.P(Tab.11[b77])))</f>
        <v>0</v>
      </c>
      <c r="AA875" s="70" t="b">
        <f>IF(Tab.11[[#This Row],[a1]]=1,_xlfn.NORM.DIST(Tab.11[[#This Row],[b88]],$Z$1,$AA$1,FALSE))</f>
        <v>0</v>
      </c>
      <c r="AB875" s="74" t="b">
        <f>IF(Tab.11[[#This Row],[a1]]=1,IF($A$3=0,FALSE,1/Tab.11[[#This Row],[IN]]*$AC$2*IF(Tab.11[[#This Row],[a1]]=0,,$A$3*$AC$1*1/$V$3*(Tab.11[[#This Row],[b14]]))))</f>
        <v>0</v>
      </c>
      <c r="AC875" s="75" t="b">
        <f>IF(Tab.11[[#This Row],[a1]]=1,IF($AC$3=0,Tab.11[[#This Row],[φ1]],Tab.11[[#This Row],[φ1]]/MAX(Tab.11[φ1])))</f>
        <v>0</v>
      </c>
      <c r="AD875" s="74" t="b">
        <f>IF(Tab.11[[#This Row],[a1]]=1,1/Tab.11[[#This Row],[φ2]])</f>
        <v>0</v>
      </c>
      <c r="AE875" s="74" t="b">
        <f>IF(Tab.11[[#This Row],[a1]]=1,IF($AE$3=0,Tab.11[[#This Row],[w.0]],Tab.11[[#This Row],[w.0]]/SUM(Tab.11[w.0])))</f>
        <v>0</v>
      </c>
      <c r="AF875" s="76" t="str">
        <f>IF(Tab.11[[#This Row],[a1]]=0,"false",[3]!Tab.x5[[#This Row],[%_seN_C]])</f>
        <v>false</v>
      </c>
      <c r="AG875" s="77" t="b">
        <f>IF(Tab.11[[#This Row],[a1]]=1,AP875)</f>
        <v>0</v>
      </c>
      <c r="AH875" s="78" t="b">
        <f>IF(Tab.11[[#This Row],[a1]]=1,AQ875)</f>
        <v>0</v>
      </c>
      <c r="AI875" s="41">
        <v>3.0000000000000001E-3</v>
      </c>
      <c r="AJ875" s="79">
        <v>0.03</v>
      </c>
      <c r="AK875" s="80" t="b">
        <f>IF(Tab.11[[#This Row],[a1]]=1,1)</f>
        <v>0</v>
      </c>
      <c r="AL875"/>
      <c r="AM875"/>
      <c r="AN875"/>
      <c r="AO875"/>
      <c r="AP875"/>
      <c r="AQ875"/>
      <c r="AR875"/>
      <c r="AS875"/>
    </row>
    <row r="876" spans="1:52" s="81" customFormat="1" hidden="1" x14ac:dyDescent="0.25">
      <c r="A876" s="61">
        <f t="shared" si="29"/>
        <v>0</v>
      </c>
      <c r="B876" s="62">
        <f t="shared" si="29"/>
        <v>0</v>
      </c>
      <c r="C876" s="62" t="b">
        <f>IF(Tab.11[[#This Row],[a1]]=1,[3]!Tab_x1[[#This Row],[Name]])</f>
        <v>0</v>
      </c>
      <c r="D876" s="63" t="b">
        <f>IF(Tab.11[[#This Row],[a1]]=1,AO876)</f>
        <v>0</v>
      </c>
      <c r="E876" s="63">
        <f t="shared" si="28"/>
        <v>0</v>
      </c>
      <c r="F876" s="64" t="b">
        <f>IF(Tab.11[[#This Row],[a1]]=1,Tab.11[[#This Row],[b1]])</f>
        <v>0</v>
      </c>
      <c r="G876" s="65" t="b">
        <f>IF(Tab.11[[#This Row],[a1]]=1,IF(Tab.11[[#This Row],[b3]]&gt;$L$989*$G$3,$L$989*$G$3,IF(Tab.11[[#This Row],[b3]]&lt;$M$989*$G$3,$M$989*$G$3,Tab.11[[#This Row],[b3]])))</f>
        <v>0</v>
      </c>
      <c r="H876" s="66" t="b">
        <f>IF(Tab.11[[#This Row],[a1]]=1,Tab.11[[#This Row],[b1]])</f>
        <v>0</v>
      </c>
      <c r="I876" s="67" t="b">
        <f>IF(Tab.11[[#This Row],[a1]]=1,Tab.11[[#This Row],[b1]])</f>
        <v>0</v>
      </c>
      <c r="J876" s="68" t="b">
        <f>IF(Tab.11[[#This Row],[a1]]=1,IF($I$3&lt;0,Tab.11[[#This Row],[b5]]-$I$3,Tab.11[[#This Row],[b5]]))</f>
        <v>0</v>
      </c>
      <c r="K876" s="68" t="b">
        <f>IF(Tab.11[[#This Row],[a1]]=1,IF($K$3=0,Tab.11[b6],Tab.11[[#This Row],[b6]]-AVERAGE(Tab.11[b6])))</f>
        <v>0</v>
      </c>
      <c r="L876" s="69" t="b">
        <f>IF(Tab.11[[#This Row],[a1]]=1,Tab.11[[#This Row],[data]]/(_xlfn.STDEV.P(Tab.11[data])*$B$989)+$A$989)</f>
        <v>0</v>
      </c>
      <c r="M876" s="69" t="b">
        <f>IF(Tab.11[[#This Row],[a1]]=1,Tab.11[[#This Row],[data]]/(_xlfn.STDEV.P(Tab.11[data])*$B$987)-$A$987)</f>
        <v>0</v>
      </c>
      <c r="N876" s="69" t="b">
        <f>IF(Tab.11[[#This Row],[a1]]=1,Tab.11[[#This Row],[data]]/(_xlfn.STDEV.P(Tab.11[data])*$B$988)+$A$988)</f>
        <v>0</v>
      </c>
      <c r="O876" s="70" t="b">
        <f>IF(Tab.11[[#This Row],[a1]]=1,_xlfn.NORM.DIST(Tab.11[[#This Row],[b8]],$P$1,$Q$1,FALSE))</f>
        <v>0</v>
      </c>
      <c r="P876" s="70" t="b">
        <f>IF(Tab.11[[#This Row],[a1]]=1,_xlfn.NORM.DIST(Tab.11[[#This Row],[b9]],$P$1,$Q$1,FALSE))</f>
        <v>0</v>
      </c>
      <c r="Q876" s="70" t="b">
        <f>IF(Tab.11[[#This Row],[a1]]=1,_xlfn.NORM.DIST(Tab.11[[#This Row],[b10]],$P$1,$Q$1,FALSE))</f>
        <v>0</v>
      </c>
      <c r="R876" s="67" t="b">
        <f>IF(Tab.11[[#This Row],[a1]]=1,$I$3+$A$989+IF($K$3=0,Tab.11[[#This Row],[b8]]*_xlfn.STDEV.P(Tab.11[data]),AVERAGE(Tab.11[b6])+Tab.11[[#This Row],[b8]]*_xlfn.STDEV.P(Tab.11[data])))</f>
        <v>0</v>
      </c>
      <c r="S876" s="71" t="b">
        <f>IF(Tab.11[[#This Row],[a1]]=1,$I$3+$A$987+IF($K$3=0,Tab.11[[#This Row],[b9]]*_xlfn.STDEV.P(Tab.11[data]),AVERAGE(Tab.11[b6])+Tab.11[[#This Row],[b9]]*_xlfn.STDEV.P(Tab.11[data])))</f>
        <v>0</v>
      </c>
      <c r="T876" s="71" t="b">
        <f>IF(Tab.11[[#This Row],[a1]]=1,$I$3+$A$988+IF($K$3=0,Tab.11[[#This Row],[b10]]*_xlfn.STDEV.P(Tab.11[data]),AVERAGE(Tab.11[b6])+Tab.11[[#This Row],[b10]]*_xlfn.STDEV.P(Tab.11[data])))</f>
        <v>0</v>
      </c>
      <c r="U876" s="72" t="b">
        <f>IF(Tab.11[[#This Row],[a1]]=1,Tab.11[[#This Row],[target]]-Tab.11[[#This Row],[Red]])</f>
        <v>0</v>
      </c>
      <c r="V876" s="72" t="b">
        <f>IF(Tab.11[[#This Row],[a1]]=1,Tab.11[[#This Row],[target]]-Tab.11[[#This Row],[Blue]])</f>
        <v>0</v>
      </c>
      <c r="W876" s="73" t="b">
        <f>IF(Tab.11[[#This Row],[a1]]=1,IF(ABS(Tab.11[[#This Row],[b17]])+ABS(Tab.11[[#This Row],[b18]])&lt;$W$2,$W$2,ABS(Tab.11[[#This Row],[b17]])+ABS(Tab.11[[#This Row],[b18]])))</f>
        <v>0</v>
      </c>
      <c r="X876" s="136" t="b">
        <f>IF(Tab.11[[#This Row],[a1]]=1,IF($W$3&lt;0,Tab.11[[#This Row],[IN]]-$I$3,Tab.11[[#This Row],[IN]]))</f>
        <v>0</v>
      </c>
      <c r="Y876" s="136" t="b">
        <f>IF(Tab.11[[#This Row],[a1]]=1,IF($X$3=0,Tab.11[b66],Tab.11[[#This Row],[b66]]-AVERAGE(Tab.11[b66])))</f>
        <v>0</v>
      </c>
      <c r="Z876" s="135" t="b">
        <f>IF(Tab.11[[#This Row],[a1]]=1,Tab.11[[#This Row],[b77]]/(_xlfn.STDEV.P(Tab.11[b77])))</f>
        <v>0</v>
      </c>
      <c r="AA876" s="70" t="b">
        <f>IF(Tab.11[[#This Row],[a1]]=1,_xlfn.NORM.DIST(Tab.11[[#This Row],[b88]],$Z$1,$AA$1,FALSE))</f>
        <v>0</v>
      </c>
      <c r="AB876" s="74" t="b">
        <f>IF(Tab.11[[#This Row],[a1]]=1,IF($A$3=0,FALSE,1/Tab.11[[#This Row],[IN]]*$AC$2*IF(Tab.11[[#This Row],[a1]]=0,,$A$3*$AC$1*1/$V$3*(Tab.11[[#This Row],[b14]]))))</f>
        <v>0</v>
      </c>
      <c r="AC876" s="75" t="b">
        <f>IF(Tab.11[[#This Row],[a1]]=1,IF($AC$3=0,Tab.11[[#This Row],[φ1]],Tab.11[[#This Row],[φ1]]/MAX(Tab.11[φ1])))</f>
        <v>0</v>
      </c>
      <c r="AD876" s="74" t="b">
        <f>IF(Tab.11[[#This Row],[a1]]=1,1/Tab.11[[#This Row],[φ2]])</f>
        <v>0</v>
      </c>
      <c r="AE876" s="74" t="b">
        <f>IF(Tab.11[[#This Row],[a1]]=1,IF($AE$3=0,Tab.11[[#This Row],[w.0]],Tab.11[[#This Row],[w.0]]/SUM(Tab.11[w.0])))</f>
        <v>0</v>
      </c>
      <c r="AF876" s="76" t="str">
        <f>IF(Tab.11[[#This Row],[a1]]=0,"false",[3]!Tab.x5[[#This Row],[%_seN_C]])</f>
        <v>false</v>
      </c>
      <c r="AG876" s="77" t="b">
        <f>IF(Tab.11[[#This Row],[a1]]=1,AP876)</f>
        <v>0</v>
      </c>
      <c r="AH876" s="78" t="b">
        <f>IF(Tab.11[[#This Row],[a1]]=1,AQ876)</f>
        <v>0</v>
      </c>
      <c r="AI876" s="41">
        <v>3.0000000000000001E-3</v>
      </c>
      <c r="AJ876" s="79">
        <v>-0.06</v>
      </c>
      <c r="AK876" s="80" t="b">
        <f>IF(Tab.11[[#This Row],[a1]]=1,1)</f>
        <v>0</v>
      </c>
      <c r="AL876"/>
      <c r="AM876"/>
      <c r="AN876"/>
      <c r="AO876"/>
      <c r="AP876"/>
      <c r="AQ876"/>
      <c r="AR876"/>
      <c r="AS876"/>
    </row>
    <row r="877" spans="1:52" hidden="1" x14ac:dyDescent="0.25">
      <c r="A877" s="61">
        <f t="shared" si="29"/>
        <v>0</v>
      </c>
      <c r="B877" s="62">
        <f t="shared" si="29"/>
        <v>0</v>
      </c>
      <c r="C877" s="62" t="b">
        <f>IF(Tab.11[[#This Row],[a1]]=1,[3]!Tab_x1[[#This Row],[Name]])</f>
        <v>0</v>
      </c>
      <c r="D877" s="63" t="b">
        <f>IF(Tab.11[[#This Row],[a1]]=1,AO877)</f>
        <v>0</v>
      </c>
      <c r="E877" s="63">
        <f t="shared" si="28"/>
        <v>0</v>
      </c>
      <c r="F877" s="64" t="b">
        <f>IF(Tab.11[[#This Row],[a1]]=1,Tab.11[[#This Row],[b1]])</f>
        <v>0</v>
      </c>
      <c r="G877" s="65" t="b">
        <f>IF(Tab.11[[#This Row],[a1]]=1,IF(Tab.11[[#This Row],[b3]]&gt;$L$989*$G$3,$L$989*$G$3,IF(Tab.11[[#This Row],[b3]]&lt;$M$989*$G$3,$M$989*$G$3,Tab.11[[#This Row],[b3]])))</f>
        <v>0</v>
      </c>
      <c r="H877" s="66" t="b">
        <f>IF(Tab.11[[#This Row],[a1]]=1,Tab.11[[#This Row],[b1]])</f>
        <v>0</v>
      </c>
      <c r="I877" s="67" t="b">
        <f>IF(Tab.11[[#This Row],[a1]]=1,Tab.11[[#This Row],[b1]])</f>
        <v>0</v>
      </c>
      <c r="J877" s="68" t="b">
        <f>IF(Tab.11[[#This Row],[a1]]=1,IF($I$3&lt;0,Tab.11[[#This Row],[b5]]-$I$3,Tab.11[[#This Row],[b5]]))</f>
        <v>0</v>
      </c>
      <c r="K877" s="68" t="b">
        <f>IF(Tab.11[[#This Row],[a1]]=1,IF($K$3=0,Tab.11[b6],Tab.11[[#This Row],[b6]]-AVERAGE(Tab.11[b6])))</f>
        <v>0</v>
      </c>
      <c r="L877" s="69" t="b">
        <f>IF(Tab.11[[#This Row],[a1]]=1,Tab.11[[#This Row],[data]]/(_xlfn.STDEV.P(Tab.11[data])*$B$989)+$A$989)</f>
        <v>0</v>
      </c>
      <c r="M877" s="69" t="b">
        <f>IF(Tab.11[[#This Row],[a1]]=1,Tab.11[[#This Row],[data]]/(_xlfn.STDEV.P(Tab.11[data])*$B$987)-$A$987)</f>
        <v>0</v>
      </c>
      <c r="N877" s="69" t="b">
        <f>IF(Tab.11[[#This Row],[a1]]=1,Tab.11[[#This Row],[data]]/(_xlfn.STDEV.P(Tab.11[data])*$B$988)+$A$988)</f>
        <v>0</v>
      </c>
      <c r="O877" s="70" t="b">
        <f>IF(Tab.11[[#This Row],[a1]]=1,_xlfn.NORM.DIST(Tab.11[[#This Row],[b8]],$P$1,$Q$1,FALSE))</f>
        <v>0</v>
      </c>
      <c r="P877" s="70" t="b">
        <f>IF(Tab.11[[#This Row],[a1]]=1,_xlfn.NORM.DIST(Tab.11[[#This Row],[b9]],$P$1,$Q$1,FALSE))</f>
        <v>0</v>
      </c>
      <c r="Q877" s="70" t="b">
        <f>IF(Tab.11[[#This Row],[a1]]=1,_xlfn.NORM.DIST(Tab.11[[#This Row],[b10]],$P$1,$Q$1,FALSE))</f>
        <v>0</v>
      </c>
      <c r="R877" s="67" t="b">
        <f>IF(Tab.11[[#This Row],[a1]]=1,$I$3+$A$989+IF($K$3=0,Tab.11[[#This Row],[b8]]*_xlfn.STDEV.P(Tab.11[data]),AVERAGE(Tab.11[b6])+Tab.11[[#This Row],[b8]]*_xlfn.STDEV.P(Tab.11[data])))</f>
        <v>0</v>
      </c>
      <c r="S877" s="71" t="b">
        <f>IF(Tab.11[[#This Row],[a1]]=1,$I$3+$A$987+IF($K$3=0,Tab.11[[#This Row],[b9]]*_xlfn.STDEV.P(Tab.11[data]),AVERAGE(Tab.11[b6])+Tab.11[[#This Row],[b9]]*_xlfn.STDEV.P(Tab.11[data])))</f>
        <v>0</v>
      </c>
      <c r="T877" s="71" t="b">
        <f>IF(Tab.11[[#This Row],[a1]]=1,$I$3+$A$988+IF($K$3=0,Tab.11[[#This Row],[b10]]*_xlfn.STDEV.P(Tab.11[data]),AVERAGE(Tab.11[b6])+Tab.11[[#This Row],[b10]]*_xlfn.STDEV.P(Tab.11[data])))</f>
        <v>0</v>
      </c>
      <c r="U877" s="72" t="b">
        <f>IF(Tab.11[[#This Row],[a1]]=1,Tab.11[[#This Row],[target]]-Tab.11[[#This Row],[Red]])</f>
        <v>0</v>
      </c>
      <c r="V877" s="72" t="b">
        <f>IF(Tab.11[[#This Row],[a1]]=1,Tab.11[[#This Row],[target]]-Tab.11[[#This Row],[Blue]])</f>
        <v>0</v>
      </c>
      <c r="W877" s="73" t="b">
        <f>IF(Tab.11[[#This Row],[a1]]=1,IF(ABS(Tab.11[[#This Row],[b17]])+ABS(Tab.11[[#This Row],[b18]])&lt;$W$2,$W$2,ABS(Tab.11[[#This Row],[b17]])+ABS(Tab.11[[#This Row],[b18]])))</f>
        <v>0</v>
      </c>
      <c r="X877" s="136" t="b">
        <f>IF(Tab.11[[#This Row],[a1]]=1,IF($W$3&lt;0,Tab.11[[#This Row],[IN]]-$I$3,Tab.11[[#This Row],[IN]]))</f>
        <v>0</v>
      </c>
      <c r="Y877" s="136" t="b">
        <f>IF(Tab.11[[#This Row],[a1]]=1,IF($X$3=0,Tab.11[b66],Tab.11[[#This Row],[b66]]-AVERAGE(Tab.11[b66])))</f>
        <v>0</v>
      </c>
      <c r="Z877" s="135" t="b">
        <f>IF(Tab.11[[#This Row],[a1]]=1,Tab.11[[#This Row],[b77]]/(_xlfn.STDEV.P(Tab.11[b77])))</f>
        <v>0</v>
      </c>
      <c r="AA877" s="70" t="b">
        <f>IF(Tab.11[[#This Row],[a1]]=1,_xlfn.NORM.DIST(Tab.11[[#This Row],[b88]],$Z$1,$AA$1,FALSE))</f>
        <v>0</v>
      </c>
      <c r="AB877" s="74" t="b">
        <f>IF(Tab.11[[#This Row],[a1]]=1,IF($A$3=0,FALSE,1/Tab.11[[#This Row],[IN]]*$AC$2*IF(Tab.11[[#This Row],[a1]]=0,,$A$3*$AC$1*1/$V$3*(Tab.11[[#This Row],[b14]]))))</f>
        <v>0</v>
      </c>
      <c r="AC877" s="75" t="b">
        <f>IF(Tab.11[[#This Row],[a1]]=1,IF($AC$3=0,Tab.11[[#This Row],[φ1]],Tab.11[[#This Row],[φ1]]/MAX(Tab.11[φ1])))</f>
        <v>0</v>
      </c>
      <c r="AD877" s="74" t="b">
        <f>IF(Tab.11[[#This Row],[a1]]=1,1/Tab.11[[#This Row],[φ2]])</f>
        <v>0</v>
      </c>
      <c r="AE877" s="74" t="b">
        <f>IF(Tab.11[[#This Row],[a1]]=1,IF($AE$3=0,Tab.11[[#This Row],[w.0]],Tab.11[[#This Row],[w.0]]/SUM(Tab.11[w.0])))</f>
        <v>0</v>
      </c>
      <c r="AF877" s="76" t="str">
        <f>IF(Tab.11[[#This Row],[a1]]=0,"false",[3]!Tab.x5[[#This Row],[%_seN_C]])</f>
        <v>false</v>
      </c>
      <c r="AG877" s="77" t="b">
        <f>IF(Tab.11[[#This Row],[a1]]=1,AP877)</f>
        <v>0</v>
      </c>
      <c r="AH877" s="78" t="b">
        <f>IF(Tab.11[[#This Row],[a1]]=1,AQ877)</f>
        <v>0</v>
      </c>
      <c r="AI877" s="41">
        <v>3.0000000000000001E-3</v>
      </c>
      <c r="AJ877" s="79">
        <v>0.08</v>
      </c>
      <c r="AK877" s="80" t="b">
        <f>IF(Tab.11[[#This Row],[a1]]=1,1)</f>
        <v>0</v>
      </c>
      <c r="AT877" s="81"/>
      <c r="AU877" s="81"/>
      <c r="AV877" s="81"/>
      <c r="AW877" s="81"/>
      <c r="AX877" s="81"/>
      <c r="AY877" s="81"/>
      <c r="AZ877" s="81"/>
    </row>
    <row r="878" spans="1:52" hidden="1" x14ac:dyDescent="0.25">
      <c r="A878" s="61">
        <f t="shared" si="29"/>
        <v>0</v>
      </c>
      <c r="B878" s="62">
        <f t="shared" si="29"/>
        <v>0</v>
      </c>
      <c r="C878" s="62" t="b">
        <f>IF(Tab.11[[#This Row],[a1]]=1,[3]!Tab_x1[[#This Row],[Name]])</f>
        <v>0</v>
      </c>
      <c r="D878" s="63" t="b">
        <f>IF(Tab.11[[#This Row],[a1]]=1,AO878)</f>
        <v>0</v>
      </c>
      <c r="E878" s="63">
        <f t="shared" si="28"/>
        <v>0</v>
      </c>
      <c r="F878" s="64" t="b">
        <f>IF(Tab.11[[#This Row],[a1]]=1,Tab.11[[#This Row],[b1]])</f>
        <v>0</v>
      </c>
      <c r="G878" s="65" t="b">
        <f>IF(Tab.11[[#This Row],[a1]]=1,IF(Tab.11[[#This Row],[b3]]&gt;$L$989*$G$3,$L$989*$G$3,IF(Tab.11[[#This Row],[b3]]&lt;$M$989*$G$3,$M$989*$G$3,Tab.11[[#This Row],[b3]])))</f>
        <v>0</v>
      </c>
      <c r="H878" s="66" t="b">
        <f>IF(Tab.11[[#This Row],[a1]]=1,Tab.11[[#This Row],[b1]])</f>
        <v>0</v>
      </c>
      <c r="I878" s="67" t="b">
        <f>IF(Tab.11[[#This Row],[a1]]=1,Tab.11[[#This Row],[b1]])</f>
        <v>0</v>
      </c>
      <c r="J878" s="68" t="b">
        <f>IF(Tab.11[[#This Row],[a1]]=1,IF($I$3&lt;0,Tab.11[[#This Row],[b5]]-$I$3,Tab.11[[#This Row],[b5]]))</f>
        <v>0</v>
      </c>
      <c r="K878" s="68" t="b">
        <f>IF(Tab.11[[#This Row],[a1]]=1,IF($K$3=0,Tab.11[b6],Tab.11[[#This Row],[b6]]-AVERAGE(Tab.11[b6])))</f>
        <v>0</v>
      </c>
      <c r="L878" s="69" t="b">
        <f>IF(Tab.11[[#This Row],[a1]]=1,Tab.11[[#This Row],[data]]/(_xlfn.STDEV.P(Tab.11[data])*$B$989)+$A$989)</f>
        <v>0</v>
      </c>
      <c r="M878" s="69" t="b">
        <f>IF(Tab.11[[#This Row],[a1]]=1,Tab.11[[#This Row],[data]]/(_xlfn.STDEV.P(Tab.11[data])*$B$987)-$A$987)</f>
        <v>0</v>
      </c>
      <c r="N878" s="69" t="b">
        <f>IF(Tab.11[[#This Row],[a1]]=1,Tab.11[[#This Row],[data]]/(_xlfn.STDEV.P(Tab.11[data])*$B$988)+$A$988)</f>
        <v>0</v>
      </c>
      <c r="O878" s="70" t="b">
        <f>IF(Tab.11[[#This Row],[a1]]=1,_xlfn.NORM.DIST(Tab.11[[#This Row],[b8]],$P$1,$Q$1,FALSE))</f>
        <v>0</v>
      </c>
      <c r="P878" s="70" t="b">
        <f>IF(Tab.11[[#This Row],[a1]]=1,_xlfn.NORM.DIST(Tab.11[[#This Row],[b9]],$P$1,$Q$1,FALSE))</f>
        <v>0</v>
      </c>
      <c r="Q878" s="70" t="b">
        <f>IF(Tab.11[[#This Row],[a1]]=1,_xlfn.NORM.DIST(Tab.11[[#This Row],[b10]],$P$1,$Q$1,FALSE))</f>
        <v>0</v>
      </c>
      <c r="R878" s="67" t="b">
        <f>IF(Tab.11[[#This Row],[a1]]=1,$I$3+$A$989+IF($K$3=0,Tab.11[[#This Row],[b8]]*_xlfn.STDEV.P(Tab.11[data]),AVERAGE(Tab.11[b6])+Tab.11[[#This Row],[b8]]*_xlfn.STDEV.P(Tab.11[data])))</f>
        <v>0</v>
      </c>
      <c r="S878" s="71" t="b">
        <f>IF(Tab.11[[#This Row],[a1]]=1,$I$3+$A$987+IF($K$3=0,Tab.11[[#This Row],[b9]]*_xlfn.STDEV.P(Tab.11[data]),AVERAGE(Tab.11[b6])+Tab.11[[#This Row],[b9]]*_xlfn.STDEV.P(Tab.11[data])))</f>
        <v>0</v>
      </c>
      <c r="T878" s="71" t="b">
        <f>IF(Tab.11[[#This Row],[a1]]=1,$I$3+$A$988+IF($K$3=0,Tab.11[[#This Row],[b10]]*_xlfn.STDEV.P(Tab.11[data]),AVERAGE(Tab.11[b6])+Tab.11[[#This Row],[b10]]*_xlfn.STDEV.P(Tab.11[data])))</f>
        <v>0</v>
      </c>
      <c r="U878" s="72" t="b">
        <f>IF(Tab.11[[#This Row],[a1]]=1,Tab.11[[#This Row],[target]]-Tab.11[[#This Row],[Red]])</f>
        <v>0</v>
      </c>
      <c r="V878" s="72" t="b">
        <f>IF(Tab.11[[#This Row],[a1]]=1,Tab.11[[#This Row],[target]]-Tab.11[[#This Row],[Blue]])</f>
        <v>0</v>
      </c>
      <c r="W878" s="73" t="b">
        <f>IF(Tab.11[[#This Row],[a1]]=1,IF(ABS(Tab.11[[#This Row],[b17]])+ABS(Tab.11[[#This Row],[b18]])&lt;$W$2,$W$2,ABS(Tab.11[[#This Row],[b17]])+ABS(Tab.11[[#This Row],[b18]])))</f>
        <v>0</v>
      </c>
      <c r="X878" s="136" t="b">
        <f>IF(Tab.11[[#This Row],[a1]]=1,IF($W$3&lt;0,Tab.11[[#This Row],[IN]]-$I$3,Tab.11[[#This Row],[IN]]))</f>
        <v>0</v>
      </c>
      <c r="Y878" s="136" t="b">
        <f>IF(Tab.11[[#This Row],[a1]]=1,IF($X$3=0,Tab.11[b66],Tab.11[[#This Row],[b66]]-AVERAGE(Tab.11[b66])))</f>
        <v>0</v>
      </c>
      <c r="Z878" s="135" t="b">
        <f>IF(Tab.11[[#This Row],[a1]]=1,Tab.11[[#This Row],[b77]]/(_xlfn.STDEV.P(Tab.11[b77])))</f>
        <v>0</v>
      </c>
      <c r="AA878" s="70" t="b">
        <f>IF(Tab.11[[#This Row],[a1]]=1,_xlfn.NORM.DIST(Tab.11[[#This Row],[b88]],$Z$1,$AA$1,FALSE))</f>
        <v>0</v>
      </c>
      <c r="AB878" s="74" t="b">
        <f>IF(Tab.11[[#This Row],[a1]]=1,IF($A$3=0,FALSE,1/Tab.11[[#This Row],[IN]]*$AC$2*IF(Tab.11[[#This Row],[a1]]=0,,$A$3*$AC$1*1/$V$3*(Tab.11[[#This Row],[b14]]))))</f>
        <v>0</v>
      </c>
      <c r="AC878" s="75" t="b">
        <f>IF(Tab.11[[#This Row],[a1]]=1,IF($AC$3=0,Tab.11[[#This Row],[φ1]],Tab.11[[#This Row],[φ1]]/MAX(Tab.11[φ1])))</f>
        <v>0</v>
      </c>
      <c r="AD878" s="74" t="b">
        <f>IF(Tab.11[[#This Row],[a1]]=1,1/Tab.11[[#This Row],[φ2]])</f>
        <v>0</v>
      </c>
      <c r="AE878" s="74" t="b">
        <f>IF(Tab.11[[#This Row],[a1]]=1,IF($AE$3=0,Tab.11[[#This Row],[w.0]],Tab.11[[#This Row],[w.0]]/SUM(Tab.11[w.0])))</f>
        <v>0</v>
      </c>
      <c r="AF878" s="76" t="str">
        <f>IF(Tab.11[[#This Row],[a1]]=0,"false",[3]!Tab.x5[[#This Row],[%_seN_C]])</f>
        <v>false</v>
      </c>
      <c r="AG878" s="77" t="b">
        <f>IF(Tab.11[[#This Row],[a1]]=1,AP878)</f>
        <v>0</v>
      </c>
      <c r="AH878" s="78" t="b">
        <f>IF(Tab.11[[#This Row],[a1]]=1,AQ878)</f>
        <v>0</v>
      </c>
      <c r="AI878" s="41">
        <v>3.0000000000000001E-3</v>
      </c>
      <c r="AJ878" s="79">
        <v>-0.09</v>
      </c>
      <c r="AK878" s="80" t="b">
        <f>IF(Tab.11[[#This Row],[a1]]=1,1)</f>
        <v>0</v>
      </c>
      <c r="AT878" s="81"/>
      <c r="AU878" s="81"/>
      <c r="AV878" s="81"/>
      <c r="AW878" s="81"/>
      <c r="AX878" s="81"/>
      <c r="AY878" s="81"/>
      <c r="AZ878" s="81"/>
    </row>
    <row r="879" spans="1:52" hidden="1" x14ac:dyDescent="0.25">
      <c r="A879" s="61">
        <f t="shared" si="29"/>
        <v>0</v>
      </c>
      <c r="B879" s="62">
        <f t="shared" si="29"/>
        <v>0</v>
      </c>
      <c r="C879" s="62" t="b">
        <f>IF(Tab.11[[#This Row],[a1]]=1,[3]!Tab_x1[[#This Row],[Name]])</f>
        <v>0</v>
      </c>
      <c r="D879" s="63" t="b">
        <f>IF(Tab.11[[#This Row],[a1]]=1,AO879)</f>
        <v>0</v>
      </c>
      <c r="E879" s="63">
        <f t="shared" si="28"/>
        <v>0</v>
      </c>
      <c r="F879" s="64" t="b">
        <f>IF(Tab.11[[#This Row],[a1]]=1,Tab.11[[#This Row],[b1]])</f>
        <v>0</v>
      </c>
      <c r="G879" s="65" t="b">
        <f>IF(Tab.11[[#This Row],[a1]]=1,IF(Tab.11[[#This Row],[b3]]&gt;$L$989*$G$3,$L$989*$G$3,IF(Tab.11[[#This Row],[b3]]&lt;$M$989*$G$3,$M$989*$G$3,Tab.11[[#This Row],[b3]])))</f>
        <v>0</v>
      </c>
      <c r="H879" s="66" t="b">
        <f>IF(Tab.11[[#This Row],[a1]]=1,Tab.11[[#This Row],[b1]])</f>
        <v>0</v>
      </c>
      <c r="I879" s="67" t="b">
        <f>IF(Tab.11[[#This Row],[a1]]=1,Tab.11[[#This Row],[b1]])</f>
        <v>0</v>
      </c>
      <c r="J879" s="68" t="b">
        <f>IF(Tab.11[[#This Row],[a1]]=1,IF($I$3&lt;0,Tab.11[[#This Row],[b5]]-$I$3,Tab.11[[#This Row],[b5]]))</f>
        <v>0</v>
      </c>
      <c r="K879" s="68" t="b">
        <f>IF(Tab.11[[#This Row],[a1]]=1,IF($K$3=0,Tab.11[b6],Tab.11[[#This Row],[b6]]-AVERAGE(Tab.11[b6])))</f>
        <v>0</v>
      </c>
      <c r="L879" s="69" t="b">
        <f>IF(Tab.11[[#This Row],[a1]]=1,Tab.11[[#This Row],[data]]/(_xlfn.STDEV.P(Tab.11[data])*$B$989)+$A$989)</f>
        <v>0</v>
      </c>
      <c r="M879" s="69" t="b">
        <f>IF(Tab.11[[#This Row],[a1]]=1,Tab.11[[#This Row],[data]]/(_xlfn.STDEV.P(Tab.11[data])*$B$987)-$A$987)</f>
        <v>0</v>
      </c>
      <c r="N879" s="69" t="b">
        <f>IF(Tab.11[[#This Row],[a1]]=1,Tab.11[[#This Row],[data]]/(_xlfn.STDEV.P(Tab.11[data])*$B$988)+$A$988)</f>
        <v>0</v>
      </c>
      <c r="O879" s="70" t="b">
        <f>IF(Tab.11[[#This Row],[a1]]=1,_xlfn.NORM.DIST(Tab.11[[#This Row],[b8]],$P$1,$Q$1,FALSE))</f>
        <v>0</v>
      </c>
      <c r="P879" s="70" t="b">
        <f>IF(Tab.11[[#This Row],[a1]]=1,_xlfn.NORM.DIST(Tab.11[[#This Row],[b9]],$P$1,$Q$1,FALSE))</f>
        <v>0</v>
      </c>
      <c r="Q879" s="70" t="b">
        <f>IF(Tab.11[[#This Row],[a1]]=1,_xlfn.NORM.DIST(Tab.11[[#This Row],[b10]],$P$1,$Q$1,FALSE))</f>
        <v>0</v>
      </c>
      <c r="R879" s="67" t="b">
        <f>IF(Tab.11[[#This Row],[a1]]=1,$I$3+$A$989+IF($K$3=0,Tab.11[[#This Row],[b8]]*_xlfn.STDEV.P(Tab.11[data]),AVERAGE(Tab.11[b6])+Tab.11[[#This Row],[b8]]*_xlfn.STDEV.P(Tab.11[data])))</f>
        <v>0</v>
      </c>
      <c r="S879" s="71" t="b">
        <f>IF(Tab.11[[#This Row],[a1]]=1,$I$3+$A$987+IF($K$3=0,Tab.11[[#This Row],[b9]]*_xlfn.STDEV.P(Tab.11[data]),AVERAGE(Tab.11[b6])+Tab.11[[#This Row],[b9]]*_xlfn.STDEV.P(Tab.11[data])))</f>
        <v>0</v>
      </c>
      <c r="T879" s="71" t="b">
        <f>IF(Tab.11[[#This Row],[a1]]=1,$I$3+$A$988+IF($K$3=0,Tab.11[[#This Row],[b10]]*_xlfn.STDEV.P(Tab.11[data]),AVERAGE(Tab.11[b6])+Tab.11[[#This Row],[b10]]*_xlfn.STDEV.P(Tab.11[data])))</f>
        <v>0</v>
      </c>
      <c r="U879" s="72" t="b">
        <f>IF(Tab.11[[#This Row],[a1]]=1,Tab.11[[#This Row],[target]]-Tab.11[[#This Row],[Red]])</f>
        <v>0</v>
      </c>
      <c r="V879" s="72" t="b">
        <f>IF(Tab.11[[#This Row],[a1]]=1,Tab.11[[#This Row],[target]]-Tab.11[[#This Row],[Blue]])</f>
        <v>0</v>
      </c>
      <c r="W879" s="73" t="b">
        <f>IF(Tab.11[[#This Row],[a1]]=1,IF(ABS(Tab.11[[#This Row],[b17]])+ABS(Tab.11[[#This Row],[b18]])&lt;$W$2,$W$2,ABS(Tab.11[[#This Row],[b17]])+ABS(Tab.11[[#This Row],[b18]])))</f>
        <v>0</v>
      </c>
      <c r="X879" s="136" t="b">
        <f>IF(Tab.11[[#This Row],[a1]]=1,IF($W$3&lt;0,Tab.11[[#This Row],[IN]]-$I$3,Tab.11[[#This Row],[IN]]))</f>
        <v>0</v>
      </c>
      <c r="Y879" s="136" t="b">
        <f>IF(Tab.11[[#This Row],[a1]]=1,IF($X$3=0,Tab.11[b66],Tab.11[[#This Row],[b66]]-AVERAGE(Tab.11[b66])))</f>
        <v>0</v>
      </c>
      <c r="Z879" s="135" t="b">
        <f>IF(Tab.11[[#This Row],[a1]]=1,Tab.11[[#This Row],[b77]]/(_xlfn.STDEV.P(Tab.11[b77])))</f>
        <v>0</v>
      </c>
      <c r="AA879" s="70" t="b">
        <f>IF(Tab.11[[#This Row],[a1]]=1,_xlfn.NORM.DIST(Tab.11[[#This Row],[b88]],$Z$1,$AA$1,FALSE))</f>
        <v>0</v>
      </c>
      <c r="AB879" s="74" t="b">
        <f>IF(Tab.11[[#This Row],[a1]]=1,IF($A$3=0,FALSE,1/Tab.11[[#This Row],[IN]]*$AC$2*IF(Tab.11[[#This Row],[a1]]=0,,$A$3*$AC$1*1/$V$3*(Tab.11[[#This Row],[b14]]))))</f>
        <v>0</v>
      </c>
      <c r="AC879" s="75" t="b">
        <f>IF(Tab.11[[#This Row],[a1]]=1,IF($AC$3=0,Tab.11[[#This Row],[φ1]],Tab.11[[#This Row],[φ1]]/MAX(Tab.11[φ1])))</f>
        <v>0</v>
      </c>
      <c r="AD879" s="74" t="b">
        <f>IF(Tab.11[[#This Row],[a1]]=1,1/Tab.11[[#This Row],[φ2]])</f>
        <v>0</v>
      </c>
      <c r="AE879" s="74" t="b">
        <f>IF(Tab.11[[#This Row],[a1]]=1,IF($AE$3=0,Tab.11[[#This Row],[w.0]],Tab.11[[#This Row],[w.0]]/SUM(Tab.11[w.0])))</f>
        <v>0</v>
      </c>
      <c r="AF879" s="76" t="str">
        <f>IF(Tab.11[[#This Row],[a1]]=0,"false",[3]!Tab.x5[[#This Row],[%_seN_C]])</f>
        <v>false</v>
      </c>
      <c r="AG879" s="77" t="b">
        <f>IF(Tab.11[[#This Row],[a1]]=1,AP879)</f>
        <v>0</v>
      </c>
      <c r="AH879" s="78" t="b">
        <f>IF(Tab.11[[#This Row],[a1]]=1,AQ879)</f>
        <v>0</v>
      </c>
      <c r="AI879" s="41">
        <v>3.0000000000000001E-3</v>
      </c>
      <c r="AJ879" s="79">
        <v>0.1</v>
      </c>
      <c r="AK879" s="80" t="b">
        <f>IF(Tab.11[[#This Row],[a1]]=1,1)</f>
        <v>0</v>
      </c>
      <c r="AT879" s="81"/>
      <c r="AU879" s="81"/>
      <c r="AV879" s="81"/>
      <c r="AW879" s="81"/>
      <c r="AX879" s="81"/>
      <c r="AY879" s="81"/>
      <c r="AZ879" s="81"/>
    </row>
    <row r="880" spans="1:52" hidden="1" x14ac:dyDescent="0.25">
      <c r="A880" s="61">
        <f t="shared" si="29"/>
        <v>0</v>
      </c>
      <c r="B880" s="62">
        <f t="shared" si="29"/>
        <v>0</v>
      </c>
      <c r="C880" s="62" t="b">
        <f>IF(Tab.11[[#This Row],[a1]]=1,[3]!Tab_x1[[#This Row],[Name]])</f>
        <v>0</v>
      </c>
      <c r="D880" s="63" t="b">
        <f>IF(Tab.11[[#This Row],[a1]]=1,AO880)</f>
        <v>0</v>
      </c>
      <c r="E880" s="63">
        <f t="shared" si="28"/>
        <v>0</v>
      </c>
      <c r="F880" s="64" t="b">
        <f>IF(Tab.11[[#This Row],[a1]]=1,Tab.11[[#This Row],[b1]])</f>
        <v>0</v>
      </c>
      <c r="G880" s="65" t="b">
        <f>IF(Tab.11[[#This Row],[a1]]=1,IF(Tab.11[[#This Row],[b3]]&gt;$L$989*$G$3,$L$989*$G$3,IF(Tab.11[[#This Row],[b3]]&lt;$M$989*$G$3,$M$989*$G$3,Tab.11[[#This Row],[b3]])))</f>
        <v>0</v>
      </c>
      <c r="H880" s="66" t="b">
        <f>IF(Tab.11[[#This Row],[a1]]=1,Tab.11[[#This Row],[b1]])</f>
        <v>0</v>
      </c>
      <c r="I880" s="67" t="b">
        <f>IF(Tab.11[[#This Row],[a1]]=1,Tab.11[[#This Row],[b1]])</f>
        <v>0</v>
      </c>
      <c r="J880" s="68" t="b">
        <f>IF(Tab.11[[#This Row],[a1]]=1,IF($I$3&lt;0,Tab.11[[#This Row],[b5]]-$I$3,Tab.11[[#This Row],[b5]]))</f>
        <v>0</v>
      </c>
      <c r="K880" s="68" t="b">
        <f>IF(Tab.11[[#This Row],[a1]]=1,IF($K$3=0,Tab.11[b6],Tab.11[[#This Row],[b6]]-AVERAGE(Tab.11[b6])))</f>
        <v>0</v>
      </c>
      <c r="L880" s="69" t="b">
        <f>IF(Tab.11[[#This Row],[a1]]=1,Tab.11[[#This Row],[data]]/(_xlfn.STDEV.P(Tab.11[data])*$B$989)+$A$989)</f>
        <v>0</v>
      </c>
      <c r="M880" s="69" t="b">
        <f>IF(Tab.11[[#This Row],[a1]]=1,Tab.11[[#This Row],[data]]/(_xlfn.STDEV.P(Tab.11[data])*$B$987)-$A$987)</f>
        <v>0</v>
      </c>
      <c r="N880" s="69" t="b">
        <f>IF(Tab.11[[#This Row],[a1]]=1,Tab.11[[#This Row],[data]]/(_xlfn.STDEV.P(Tab.11[data])*$B$988)+$A$988)</f>
        <v>0</v>
      </c>
      <c r="O880" s="70" t="b">
        <f>IF(Tab.11[[#This Row],[a1]]=1,_xlfn.NORM.DIST(Tab.11[[#This Row],[b8]],$P$1,$Q$1,FALSE))</f>
        <v>0</v>
      </c>
      <c r="P880" s="70" t="b">
        <f>IF(Tab.11[[#This Row],[a1]]=1,_xlfn.NORM.DIST(Tab.11[[#This Row],[b9]],$P$1,$Q$1,FALSE))</f>
        <v>0</v>
      </c>
      <c r="Q880" s="70" t="b">
        <f>IF(Tab.11[[#This Row],[a1]]=1,_xlfn.NORM.DIST(Tab.11[[#This Row],[b10]],$P$1,$Q$1,FALSE))</f>
        <v>0</v>
      </c>
      <c r="R880" s="67" t="b">
        <f>IF(Tab.11[[#This Row],[a1]]=1,$I$3+$A$989+IF($K$3=0,Tab.11[[#This Row],[b8]]*_xlfn.STDEV.P(Tab.11[data]),AVERAGE(Tab.11[b6])+Tab.11[[#This Row],[b8]]*_xlfn.STDEV.P(Tab.11[data])))</f>
        <v>0</v>
      </c>
      <c r="S880" s="71" t="b">
        <f>IF(Tab.11[[#This Row],[a1]]=1,$I$3+$A$987+IF($K$3=0,Tab.11[[#This Row],[b9]]*_xlfn.STDEV.P(Tab.11[data]),AVERAGE(Tab.11[b6])+Tab.11[[#This Row],[b9]]*_xlfn.STDEV.P(Tab.11[data])))</f>
        <v>0</v>
      </c>
      <c r="T880" s="71" t="b">
        <f>IF(Tab.11[[#This Row],[a1]]=1,$I$3+$A$988+IF($K$3=0,Tab.11[[#This Row],[b10]]*_xlfn.STDEV.P(Tab.11[data]),AVERAGE(Tab.11[b6])+Tab.11[[#This Row],[b10]]*_xlfn.STDEV.P(Tab.11[data])))</f>
        <v>0</v>
      </c>
      <c r="U880" s="72" t="b">
        <f>IF(Tab.11[[#This Row],[a1]]=1,Tab.11[[#This Row],[target]]-Tab.11[[#This Row],[Red]])</f>
        <v>0</v>
      </c>
      <c r="V880" s="72" t="b">
        <f>IF(Tab.11[[#This Row],[a1]]=1,Tab.11[[#This Row],[target]]-Tab.11[[#This Row],[Blue]])</f>
        <v>0</v>
      </c>
      <c r="W880" s="73" t="b">
        <f>IF(Tab.11[[#This Row],[a1]]=1,IF(ABS(Tab.11[[#This Row],[b17]])+ABS(Tab.11[[#This Row],[b18]])&lt;$W$2,$W$2,ABS(Tab.11[[#This Row],[b17]])+ABS(Tab.11[[#This Row],[b18]])))</f>
        <v>0</v>
      </c>
      <c r="X880" s="136" t="b">
        <f>IF(Tab.11[[#This Row],[a1]]=1,IF($W$3&lt;0,Tab.11[[#This Row],[IN]]-$I$3,Tab.11[[#This Row],[IN]]))</f>
        <v>0</v>
      </c>
      <c r="Y880" s="136" t="b">
        <f>IF(Tab.11[[#This Row],[a1]]=1,IF($X$3=0,Tab.11[b66],Tab.11[[#This Row],[b66]]-AVERAGE(Tab.11[b66])))</f>
        <v>0</v>
      </c>
      <c r="Z880" s="135" t="b">
        <f>IF(Tab.11[[#This Row],[a1]]=1,Tab.11[[#This Row],[b77]]/(_xlfn.STDEV.P(Tab.11[b77])))</f>
        <v>0</v>
      </c>
      <c r="AA880" s="70" t="b">
        <f>IF(Tab.11[[#This Row],[a1]]=1,_xlfn.NORM.DIST(Tab.11[[#This Row],[b88]],$Z$1,$AA$1,FALSE))</f>
        <v>0</v>
      </c>
      <c r="AB880" s="74" t="b">
        <f>IF(Tab.11[[#This Row],[a1]]=1,IF($A$3=0,FALSE,1/Tab.11[[#This Row],[IN]]*$AC$2*IF(Tab.11[[#This Row],[a1]]=0,,$A$3*$AC$1*1/$V$3*(Tab.11[[#This Row],[b14]]))))</f>
        <v>0</v>
      </c>
      <c r="AC880" s="75" t="b">
        <f>IF(Tab.11[[#This Row],[a1]]=1,IF($AC$3=0,Tab.11[[#This Row],[φ1]],Tab.11[[#This Row],[φ1]]/MAX(Tab.11[φ1])))</f>
        <v>0</v>
      </c>
      <c r="AD880" s="74" t="b">
        <f>IF(Tab.11[[#This Row],[a1]]=1,1/Tab.11[[#This Row],[φ2]])</f>
        <v>0</v>
      </c>
      <c r="AE880" s="74" t="b">
        <f>IF(Tab.11[[#This Row],[a1]]=1,IF($AE$3=0,Tab.11[[#This Row],[w.0]],Tab.11[[#This Row],[w.0]]/SUM(Tab.11[w.0])))</f>
        <v>0</v>
      </c>
      <c r="AF880" s="76" t="str">
        <f>IF(Tab.11[[#This Row],[a1]]=0,"false",[3]!Tab.x5[[#This Row],[%_seN_C]])</f>
        <v>false</v>
      </c>
      <c r="AG880" s="77" t="b">
        <f>IF(Tab.11[[#This Row],[a1]]=1,AP880)</f>
        <v>0</v>
      </c>
      <c r="AH880" s="78" t="b">
        <f>IF(Tab.11[[#This Row],[a1]]=1,AQ880)</f>
        <v>0</v>
      </c>
      <c r="AI880" s="41">
        <v>3.0000000000000001E-3</v>
      </c>
      <c r="AJ880" s="79">
        <v>0.04</v>
      </c>
      <c r="AK880" s="80" t="b">
        <f>IF(Tab.11[[#This Row],[a1]]=1,1)</f>
        <v>0</v>
      </c>
      <c r="AT880" s="81"/>
      <c r="AU880" s="81"/>
      <c r="AV880" s="81"/>
      <c r="AW880" s="81"/>
      <c r="AX880" s="81"/>
      <c r="AY880" s="81"/>
      <c r="AZ880" s="81"/>
    </row>
    <row r="881" spans="1:52" hidden="1" x14ac:dyDescent="0.25">
      <c r="A881" s="61">
        <f t="shared" si="29"/>
        <v>0</v>
      </c>
      <c r="B881" s="62">
        <f t="shared" si="29"/>
        <v>0</v>
      </c>
      <c r="C881" s="62" t="b">
        <f>IF(Tab.11[[#This Row],[a1]]=1,[3]!Tab_x1[[#This Row],[Name]])</f>
        <v>0</v>
      </c>
      <c r="D881" s="63" t="b">
        <f>IF(Tab.11[[#This Row],[a1]]=1,AO881)</f>
        <v>0</v>
      </c>
      <c r="E881" s="63">
        <f t="shared" si="28"/>
        <v>0</v>
      </c>
      <c r="F881" s="64" t="b">
        <f>IF(Tab.11[[#This Row],[a1]]=1,Tab.11[[#This Row],[b1]])</f>
        <v>0</v>
      </c>
      <c r="G881" s="65" t="b">
        <f>IF(Tab.11[[#This Row],[a1]]=1,IF(Tab.11[[#This Row],[b3]]&gt;$L$989*$G$3,$L$989*$G$3,IF(Tab.11[[#This Row],[b3]]&lt;$M$989*$G$3,$M$989*$G$3,Tab.11[[#This Row],[b3]])))</f>
        <v>0</v>
      </c>
      <c r="H881" s="66" t="b">
        <f>IF(Tab.11[[#This Row],[a1]]=1,Tab.11[[#This Row],[b1]])</f>
        <v>0</v>
      </c>
      <c r="I881" s="67" t="b">
        <f>IF(Tab.11[[#This Row],[a1]]=1,Tab.11[[#This Row],[b1]])</f>
        <v>0</v>
      </c>
      <c r="J881" s="68" t="b">
        <f>IF(Tab.11[[#This Row],[a1]]=1,IF($I$3&lt;0,Tab.11[[#This Row],[b5]]-$I$3,Tab.11[[#This Row],[b5]]))</f>
        <v>0</v>
      </c>
      <c r="K881" s="68" t="b">
        <f>IF(Tab.11[[#This Row],[a1]]=1,IF($K$3=0,Tab.11[b6],Tab.11[[#This Row],[b6]]-AVERAGE(Tab.11[b6])))</f>
        <v>0</v>
      </c>
      <c r="L881" s="69" t="b">
        <f>IF(Tab.11[[#This Row],[a1]]=1,Tab.11[[#This Row],[data]]/(_xlfn.STDEV.P(Tab.11[data])*$B$989)+$A$989)</f>
        <v>0</v>
      </c>
      <c r="M881" s="69" t="b">
        <f>IF(Tab.11[[#This Row],[a1]]=1,Tab.11[[#This Row],[data]]/(_xlfn.STDEV.P(Tab.11[data])*$B$987)-$A$987)</f>
        <v>0</v>
      </c>
      <c r="N881" s="69" t="b">
        <f>IF(Tab.11[[#This Row],[a1]]=1,Tab.11[[#This Row],[data]]/(_xlfn.STDEV.P(Tab.11[data])*$B$988)+$A$988)</f>
        <v>0</v>
      </c>
      <c r="O881" s="70" t="b">
        <f>IF(Tab.11[[#This Row],[a1]]=1,_xlfn.NORM.DIST(Tab.11[[#This Row],[b8]],$P$1,$Q$1,FALSE))</f>
        <v>0</v>
      </c>
      <c r="P881" s="70" t="b">
        <f>IF(Tab.11[[#This Row],[a1]]=1,_xlfn.NORM.DIST(Tab.11[[#This Row],[b9]],$P$1,$Q$1,FALSE))</f>
        <v>0</v>
      </c>
      <c r="Q881" s="70" t="b">
        <f>IF(Tab.11[[#This Row],[a1]]=1,_xlfn.NORM.DIST(Tab.11[[#This Row],[b10]],$P$1,$Q$1,FALSE))</f>
        <v>0</v>
      </c>
      <c r="R881" s="67" t="b">
        <f>IF(Tab.11[[#This Row],[a1]]=1,$I$3+$A$989+IF($K$3=0,Tab.11[[#This Row],[b8]]*_xlfn.STDEV.P(Tab.11[data]),AVERAGE(Tab.11[b6])+Tab.11[[#This Row],[b8]]*_xlfn.STDEV.P(Tab.11[data])))</f>
        <v>0</v>
      </c>
      <c r="S881" s="71" t="b">
        <f>IF(Tab.11[[#This Row],[a1]]=1,$I$3+$A$987+IF($K$3=0,Tab.11[[#This Row],[b9]]*_xlfn.STDEV.P(Tab.11[data]),AVERAGE(Tab.11[b6])+Tab.11[[#This Row],[b9]]*_xlfn.STDEV.P(Tab.11[data])))</f>
        <v>0</v>
      </c>
      <c r="T881" s="71" t="b">
        <f>IF(Tab.11[[#This Row],[a1]]=1,$I$3+$A$988+IF($K$3=0,Tab.11[[#This Row],[b10]]*_xlfn.STDEV.P(Tab.11[data]),AVERAGE(Tab.11[b6])+Tab.11[[#This Row],[b10]]*_xlfn.STDEV.P(Tab.11[data])))</f>
        <v>0</v>
      </c>
      <c r="U881" s="72" t="b">
        <f>IF(Tab.11[[#This Row],[a1]]=1,Tab.11[[#This Row],[target]]-Tab.11[[#This Row],[Red]])</f>
        <v>0</v>
      </c>
      <c r="V881" s="72" t="b">
        <f>IF(Tab.11[[#This Row],[a1]]=1,Tab.11[[#This Row],[target]]-Tab.11[[#This Row],[Blue]])</f>
        <v>0</v>
      </c>
      <c r="W881" s="73" t="b">
        <f>IF(Tab.11[[#This Row],[a1]]=1,IF(ABS(Tab.11[[#This Row],[b17]])+ABS(Tab.11[[#This Row],[b18]])&lt;$W$2,$W$2,ABS(Tab.11[[#This Row],[b17]])+ABS(Tab.11[[#This Row],[b18]])))</f>
        <v>0</v>
      </c>
      <c r="X881" s="136" t="b">
        <f>IF(Tab.11[[#This Row],[a1]]=1,IF($W$3&lt;0,Tab.11[[#This Row],[IN]]-$I$3,Tab.11[[#This Row],[IN]]))</f>
        <v>0</v>
      </c>
      <c r="Y881" s="136" t="b">
        <f>IF(Tab.11[[#This Row],[a1]]=1,IF($X$3=0,Tab.11[b66],Tab.11[[#This Row],[b66]]-AVERAGE(Tab.11[b66])))</f>
        <v>0</v>
      </c>
      <c r="Z881" s="135" t="b">
        <f>IF(Tab.11[[#This Row],[a1]]=1,Tab.11[[#This Row],[b77]]/(_xlfn.STDEV.P(Tab.11[b77])))</f>
        <v>0</v>
      </c>
      <c r="AA881" s="70" t="b">
        <f>IF(Tab.11[[#This Row],[a1]]=1,_xlfn.NORM.DIST(Tab.11[[#This Row],[b88]],$Z$1,$AA$1,FALSE))</f>
        <v>0</v>
      </c>
      <c r="AB881" s="74" t="b">
        <f>IF(Tab.11[[#This Row],[a1]]=1,IF($A$3=0,FALSE,1/Tab.11[[#This Row],[IN]]*$AC$2*IF(Tab.11[[#This Row],[a1]]=0,,$A$3*$AC$1*1/$V$3*(Tab.11[[#This Row],[b14]]))))</f>
        <v>0</v>
      </c>
      <c r="AC881" s="75" t="b">
        <f>IF(Tab.11[[#This Row],[a1]]=1,IF($AC$3=0,Tab.11[[#This Row],[φ1]],Tab.11[[#This Row],[φ1]]/MAX(Tab.11[φ1])))</f>
        <v>0</v>
      </c>
      <c r="AD881" s="74" t="b">
        <f>IF(Tab.11[[#This Row],[a1]]=1,1/Tab.11[[#This Row],[φ2]])</f>
        <v>0</v>
      </c>
      <c r="AE881" s="74" t="b">
        <f>IF(Tab.11[[#This Row],[a1]]=1,IF($AE$3=0,Tab.11[[#This Row],[w.0]],Tab.11[[#This Row],[w.0]]/SUM(Tab.11[w.0])))</f>
        <v>0</v>
      </c>
      <c r="AF881" s="76" t="str">
        <f>IF(Tab.11[[#This Row],[a1]]=0,"false",[3]!Tab.x5[[#This Row],[%_seN_C]])</f>
        <v>false</v>
      </c>
      <c r="AG881" s="77" t="b">
        <f>IF(Tab.11[[#This Row],[a1]]=1,AP881)</f>
        <v>0</v>
      </c>
      <c r="AH881" s="78" t="b">
        <f>IF(Tab.11[[#This Row],[a1]]=1,AQ881)</f>
        <v>0</v>
      </c>
      <c r="AI881" s="41">
        <v>3.0000000000000001E-3</v>
      </c>
      <c r="AJ881" s="79">
        <v>-0.1</v>
      </c>
      <c r="AK881" s="80" t="b">
        <f>IF(Tab.11[[#This Row],[a1]]=1,1)</f>
        <v>0</v>
      </c>
      <c r="AT881" s="81"/>
      <c r="AU881" s="81"/>
      <c r="AV881" s="81"/>
      <c r="AW881" s="81"/>
      <c r="AX881" s="81"/>
      <c r="AY881" s="81"/>
      <c r="AZ881" s="81"/>
    </row>
    <row r="882" spans="1:52" hidden="1" x14ac:dyDescent="0.25">
      <c r="A882" s="61">
        <f t="shared" si="29"/>
        <v>0</v>
      </c>
      <c r="B882" s="62">
        <f t="shared" si="29"/>
        <v>0</v>
      </c>
      <c r="C882" s="62" t="b">
        <f>IF(Tab.11[[#This Row],[a1]]=1,[3]!Tab_x1[[#This Row],[Name]])</f>
        <v>0</v>
      </c>
      <c r="D882" s="63" t="b">
        <f>IF(Tab.11[[#This Row],[a1]]=1,AO882)</f>
        <v>0</v>
      </c>
      <c r="E882" s="63">
        <f t="shared" si="28"/>
        <v>0</v>
      </c>
      <c r="F882" s="64" t="b">
        <f>IF(Tab.11[[#This Row],[a1]]=1,Tab.11[[#This Row],[b1]])</f>
        <v>0</v>
      </c>
      <c r="G882" s="65" t="b">
        <f>IF(Tab.11[[#This Row],[a1]]=1,IF(Tab.11[[#This Row],[b3]]&gt;$L$989*$G$3,$L$989*$G$3,IF(Tab.11[[#This Row],[b3]]&lt;$M$989*$G$3,$M$989*$G$3,Tab.11[[#This Row],[b3]])))</f>
        <v>0</v>
      </c>
      <c r="H882" s="66" t="b">
        <f>IF(Tab.11[[#This Row],[a1]]=1,Tab.11[[#This Row],[b1]])</f>
        <v>0</v>
      </c>
      <c r="I882" s="67" t="b">
        <f>IF(Tab.11[[#This Row],[a1]]=1,Tab.11[[#This Row],[b1]])</f>
        <v>0</v>
      </c>
      <c r="J882" s="68" t="b">
        <f>IF(Tab.11[[#This Row],[a1]]=1,IF($I$3&lt;0,Tab.11[[#This Row],[b5]]-$I$3,Tab.11[[#This Row],[b5]]))</f>
        <v>0</v>
      </c>
      <c r="K882" s="68" t="b">
        <f>IF(Tab.11[[#This Row],[a1]]=1,IF($K$3=0,Tab.11[b6],Tab.11[[#This Row],[b6]]-AVERAGE(Tab.11[b6])))</f>
        <v>0</v>
      </c>
      <c r="L882" s="69" t="b">
        <f>IF(Tab.11[[#This Row],[a1]]=1,Tab.11[[#This Row],[data]]/(_xlfn.STDEV.P(Tab.11[data])*$B$989)+$A$989)</f>
        <v>0</v>
      </c>
      <c r="M882" s="69" t="b">
        <f>IF(Tab.11[[#This Row],[a1]]=1,Tab.11[[#This Row],[data]]/(_xlfn.STDEV.P(Tab.11[data])*$B$987)-$A$987)</f>
        <v>0</v>
      </c>
      <c r="N882" s="69" t="b">
        <f>IF(Tab.11[[#This Row],[a1]]=1,Tab.11[[#This Row],[data]]/(_xlfn.STDEV.P(Tab.11[data])*$B$988)+$A$988)</f>
        <v>0</v>
      </c>
      <c r="O882" s="70" t="b">
        <f>IF(Tab.11[[#This Row],[a1]]=1,_xlfn.NORM.DIST(Tab.11[[#This Row],[b8]],$P$1,$Q$1,FALSE))</f>
        <v>0</v>
      </c>
      <c r="P882" s="70" t="b">
        <f>IF(Tab.11[[#This Row],[a1]]=1,_xlfn.NORM.DIST(Tab.11[[#This Row],[b9]],$P$1,$Q$1,FALSE))</f>
        <v>0</v>
      </c>
      <c r="Q882" s="70" t="b">
        <f>IF(Tab.11[[#This Row],[a1]]=1,_xlfn.NORM.DIST(Tab.11[[#This Row],[b10]],$P$1,$Q$1,FALSE))</f>
        <v>0</v>
      </c>
      <c r="R882" s="67" t="b">
        <f>IF(Tab.11[[#This Row],[a1]]=1,$I$3+$A$989+IF($K$3=0,Tab.11[[#This Row],[b8]]*_xlfn.STDEV.P(Tab.11[data]),AVERAGE(Tab.11[b6])+Tab.11[[#This Row],[b8]]*_xlfn.STDEV.P(Tab.11[data])))</f>
        <v>0</v>
      </c>
      <c r="S882" s="71" t="b">
        <f>IF(Tab.11[[#This Row],[a1]]=1,$I$3+$A$987+IF($K$3=0,Tab.11[[#This Row],[b9]]*_xlfn.STDEV.P(Tab.11[data]),AVERAGE(Tab.11[b6])+Tab.11[[#This Row],[b9]]*_xlfn.STDEV.P(Tab.11[data])))</f>
        <v>0</v>
      </c>
      <c r="T882" s="71" t="b">
        <f>IF(Tab.11[[#This Row],[a1]]=1,$I$3+$A$988+IF($K$3=0,Tab.11[[#This Row],[b10]]*_xlfn.STDEV.P(Tab.11[data]),AVERAGE(Tab.11[b6])+Tab.11[[#This Row],[b10]]*_xlfn.STDEV.P(Tab.11[data])))</f>
        <v>0</v>
      </c>
      <c r="U882" s="72" t="b">
        <f>IF(Tab.11[[#This Row],[a1]]=1,Tab.11[[#This Row],[target]]-Tab.11[[#This Row],[Red]])</f>
        <v>0</v>
      </c>
      <c r="V882" s="72" t="b">
        <f>IF(Tab.11[[#This Row],[a1]]=1,Tab.11[[#This Row],[target]]-Tab.11[[#This Row],[Blue]])</f>
        <v>0</v>
      </c>
      <c r="W882" s="73" t="b">
        <f>IF(Tab.11[[#This Row],[a1]]=1,IF(ABS(Tab.11[[#This Row],[b17]])+ABS(Tab.11[[#This Row],[b18]])&lt;$W$2,$W$2,ABS(Tab.11[[#This Row],[b17]])+ABS(Tab.11[[#This Row],[b18]])))</f>
        <v>0</v>
      </c>
      <c r="X882" s="136" t="b">
        <f>IF(Tab.11[[#This Row],[a1]]=1,IF($W$3&lt;0,Tab.11[[#This Row],[IN]]-$I$3,Tab.11[[#This Row],[IN]]))</f>
        <v>0</v>
      </c>
      <c r="Y882" s="136" t="b">
        <f>IF(Tab.11[[#This Row],[a1]]=1,IF($X$3=0,Tab.11[b66],Tab.11[[#This Row],[b66]]-AVERAGE(Tab.11[b66])))</f>
        <v>0</v>
      </c>
      <c r="Z882" s="135" t="b">
        <f>IF(Tab.11[[#This Row],[a1]]=1,Tab.11[[#This Row],[b77]]/(_xlfn.STDEV.P(Tab.11[b77])))</f>
        <v>0</v>
      </c>
      <c r="AA882" s="70" t="b">
        <f>IF(Tab.11[[#This Row],[a1]]=1,_xlfn.NORM.DIST(Tab.11[[#This Row],[b88]],$Z$1,$AA$1,FALSE))</f>
        <v>0</v>
      </c>
      <c r="AB882" s="74" t="b">
        <f>IF(Tab.11[[#This Row],[a1]]=1,IF($A$3=0,FALSE,1/Tab.11[[#This Row],[IN]]*$AC$2*IF(Tab.11[[#This Row],[a1]]=0,,$A$3*$AC$1*1/$V$3*(Tab.11[[#This Row],[b14]]))))</f>
        <v>0</v>
      </c>
      <c r="AC882" s="75" t="b">
        <f>IF(Tab.11[[#This Row],[a1]]=1,IF($AC$3=0,Tab.11[[#This Row],[φ1]],Tab.11[[#This Row],[φ1]]/MAX(Tab.11[φ1])))</f>
        <v>0</v>
      </c>
      <c r="AD882" s="74" t="b">
        <f>IF(Tab.11[[#This Row],[a1]]=1,1/Tab.11[[#This Row],[φ2]])</f>
        <v>0</v>
      </c>
      <c r="AE882" s="74" t="b">
        <f>IF(Tab.11[[#This Row],[a1]]=1,IF($AE$3=0,Tab.11[[#This Row],[w.0]],Tab.11[[#This Row],[w.0]]/SUM(Tab.11[w.0])))</f>
        <v>0</v>
      </c>
      <c r="AF882" s="76" t="str">
        <f>IF(Tab.11[[#This Row],[a1]]=0,"false",[3]!Tab.x5[[#This Row],[%_seN_C]])</f>
        <v>false</v>
      </c>
      <c r="AG882" s="77" t="b">
        <f>IF(Tab.11[[#This Row],[a1]]=1,AP882)</f>
        <v>0</v>
      </c>
      <c r="AH882" s="78" t="b">
        <f>IF(Tab.11[[#This Row],[a1]]=1,AQ882)</f>
        <v>0</v>
      </c>
      <c r="AI882" s="41">
        <v>3.0000000000000001E-3</v>
      </c>
      <c r="AJ882" s="79">
        <v>-0.04</v>
      </c>
      <c r="AK882" s="80" t="b">
        <f>IF(Tab.11[[#This Row],[a1]]=1,1)</f>
        <v>0</v>
      </c>
      <c r="AT882" s="81"/>
      <c r="AU882" s="81"/>
      <c r="AV882" s="81"/>
      <c r="AW882" s="81"/>
      <c r="AX882" s="81"/>
      <c r="AY882" s="81"/>
      <c r="AZ882" s="81"/>
    </row>
    <row r="883" spans="1:52" hidden="1" x14ac:dyDescent="0.25">
      <c r="A883" s="61">
        <f t="shared" si="29"/>
        <v>0</v>
      </c>
      <c r="B883" s="62">
        <f t="shared" si="29"/>
        <v>0</v>
      </c>
      <c r="C883" s="62" t="b">
        <f>IF(Tab.11[[#This Row],[a1]]=1,[3]!Tab_x1[[#This Row],[Name]])</f>
        <v>0</v>
      </c>
      <c r="D883" s="63" t="b">
        <f>IF(Tab.11[[#This Row],[a1]]=1,AO883)</f>
        <v>0</v>
      </c>
      <c r="E883" s="63">
        <f t="shared" si="28"/>
        <v>0</v>
      </c>
      <c r="F883" s="64" t="b">
        <f>IF(Tab.11[[#This Row],[a1]]=1,Tab.11[[#This Row],[b1]])</f>
        <v>0</v>
      </c>
      <c r="G883" s="65" t="b">
        <f>IF(Tab.11[[#This Row],[a1]]=1,IF(Tab.11[[#This Row],[b3]]&gt;$L$989*$G$3,$L$989*$G$3,IF(Tab.11[[#This Row],[b3]]&lt;$M$989*$G$3,$M$989*$G$3,Tab.11[[#This Row],[b3]])))</f>
        <v>0</v>
      </c>
      <c r="H883" s="66" t="b">
        <f>IF(Tab.11[[#This Row],[a1]]=1,Tab.11[[#This Row],[b1]])</f>
        <v>0</v>
      </c>
      <c r="I883" s="67" t="b">
        <f>IF(Tab.11[[#This Row],[a1]]=1,Tab.11[[#This Row],[b1]])</f>
        <v>0</v>
      </c>
      <c r="J883" s="68" t="b">
        <f>IF(Tab.11[[#This Row],[a1]]=1,IF($I$3&lt;0,Tab.11[[#This Row],[b5]]-$I$3,Tab.11[[#This Row],[b5]]))</f>
        <v>0</v>
      </c>
      <c r="K883" s="68" t="b">
        <f>IF(Tab.11[[#This Row],[a1]]=1,IF($K$3=0,Tab.11[b6],Tab.11[[#This Row],[b6]]-AVERAGE(Tab.11[b6])))</f>
        <v>0</v>
      </c>
      <c r="L883" s="69" t="b">
        <f>IF(Tab.11[[#This Row],[a1]]=1,Tab.11[[#This Row],[data]]/(_xlfn.STDEV.P(Tab.11[data])*$B$989)+$A$989)</f>
        <v>0</v>
      </c>
      <c r="M883" s="69" t="b">
        <f>IF(Tab.11[[#This Row],[a1]]=1,Tab.11[[#This Row],[data]]/(_xlfn.STDEV.P(Tab.11[data])*$B$987)-$A$987)</f>
        <v>0</v>
      </c>
      <c r="N883" s="69" t="b">
        <f>IF(Tab.11[[#This Row],[a1]]=1,Tab.11[[#This Row],[data]]/(_xlfn.STDEV.P(Tab.11[data])*$B$988)+$A$988)</f>
        <v>0</v>
      </c>
      <c r="O883" s="70" t="b">
        <f>IF(Tab.11[[#This Row],[a1]]=1,_xlfn.NORM.DIST(Tab.11[[#This Row],[b8]],$P$1,$Q$1,FALSE))</f>
        <v>0</v>
      </c>
      <c r="P883" s="70" t="b">
        <f>IF(Tab.11[[#This Row],[a1]]=1,_xlfn.NORM.DIST(Tab.11[[#This Row],[b9]],$P$1,$Q$1,FALSE))</f>
        <v>0</v>
      </c>
      <c r="Q883" s="70" t="b">
        <f>IF(Tab.11[[#This Row],[a1]]=1,_xlfn.NORM.DIST(Tab.11[[#This Row],[b10]],$P$1,$Q$1,FALSE))</f>
        <v>0</v>
      </c>
      <c r="R883" s="67" t="b">
        <f>IF(Tab.11[[#This Row],[a1]]=1,$I$3+$A$989+IF($K$3=0,Tab.11[[#This Row],[b8]]*_xlfn.STDEV.P(Tab.11[data]),AVERAGE(Tab.11[b6])+Tab.11[[#This Row],[b8]]*_xlfn.STDEV.P(Tab.11[data])))</f>
        <v>0</v>
      </c>
      <c r="S883" s="71" t="b">
        <f>IF(Tab.11[[#This Row],[a1]]=1,$I$3+$A$987+IF($K$3=0,Tab.11[[#This Row],[b9]]*_xlfn.STDEV.P(Tab.11[data]),AVERAGE(Tab.11[b6])+Tab.11[[#This Row],[b9]]*_xlfn.STDEV.P(Tab.11[data])))</f>
        <v>0</v>
      </c>
      <c r="T883" s="71" t="b">
        <f>IF(Tab.11[[#This Row],[a1]]=1,$I$3+$A$988+IF($K$3=0,Tab.11[[#This Row],[b10]]*_xlfn.STDEV.P(Tab.11[data]),AVERAGE(Tab.11[b6])+Tab.11[[#This Row],[b10]]*_xlfn.STDEV.P(Tab.11[data])))</f>
        <v>0</v>
      </c>
      <c r="U883" s="72" t="b">
        <f>IF(Tab.11[[#This Row],[a1]]=1,Tab.11[[#This Row],[target]]-Tab.11[[#This Row],[Red]])</f>
        <v>0</v>
      </c>
      <c r="V883" s="72" t="b">
        <f>IF(Tab.11[[#This Row],[a1]]=1,Tab.11[[#This Row],[target]]-Tab.11[[#This Row],[Blue]])</f>
        <v>0</v>
      </c>
      <c r="W883" s="73" t="b">
        <f>IF(Tab.11[[#This Row],[a1]]=1,IF(ABS(Tab.11[[#This Row],[b17]])+ABS(Tab.11[[#This Row],[b18]])&lt;$W$2,$W$2,ABS(Tab.11[[#This Row],[b17]])+ABS(Tab.11[[#This Row],[b18]])))</f>
        <v>0</v>
      </c>
      <c r="X883" s="136" t="b">
        <f>IF(Tab.11[[#This Row],[a1]]=1,IF($W$3&lt;0,Tab.11[[#This Row],[IN]]-$I$3,Tab.11[[#This Row],[IN]]))</f>
        <v>0</v>
      </c>
      <c r="Y883" s="136" t="b">
        <f>IF(Tab.11[[#This Row],[a1]]=1,IF($X$3=0,Tab.11[b66],Tab.11[[#This Row],[b66]]-AVERAGE(Tab.11[b66])))</f>
        <v>0</v>
      </c>
      <c r="Z883" s="135" t="b">
        <f>IF(Tab.11[[#This Row],[a1]]=1,Tab.11[[#This Row],[b77]]/(_xlfn.STDEV.P(Tab.11[b77])))</f>
        <v>0</v>
      </c>
      <c r="AA883" s="70" t="b">
        <f>IF(Tab.11[[#This Row],[a1]]=1,_xlfn.NORM.DIST(Tab.11[[#This Row],[b88]],$Z$1,$AA$1,FALSE))</f>
        <v>0</v>
      </c>
      <c r="AB883" s="74" t="b">
        <f>IF(Tab.11[[#This Row],[a1]]=1,IF($A$3=0,FALSE,1/Tab.11[[#This Row],[IN]]*$AC$2*IF(Tab.11[[#This Row],[a1]]=0,,$A$3*$AC$1*1/$V$3*(Tab.11[[#This Row],[b14]]))))</f>
        <v>0</v>
      </c>
      <c r="AC883" s="75" t="b">
        <f>IF(Tab.11[[#This Row],[a1]]=1,IF($AC$3=0,Tab.11[[#This Row],[φ1]],Tab.11[[#This Row],[φ1]]/MAX(Tab.11[φ1])))</f>
        <v>0</v>
      </c>
      <c r="AD883" s="74" t="b">
        <f>IF(Tab.11[[#This Row],[a1]]=1,1/Tab.11[[#This Row],[φ2]])</f>
        <v>0</v>
      </c>
      <c r="AE883" s="74" t="b">
        <f>IF(Tab.11[[#This Row],[a1]]=1,IF($AE$3=0,Tab.11[[#This Row],[w.0]],Tab.11[[#This Row],[w.0]]/SUM(Tab.11[w.0])))</f>
        <v>0</v>
      </c>
      <c r="AF883" s="76" t="str">
        <f>IF(Tab.11[[#This Row],[a1]]=0,"false",[3]!Tab.x5[[#This Row],[%_seN_C]])</f>
        <v>false</v>
      </c>
      <c r="AG883" s="77" t="b">
        <f>IF(Tab.11[[#This Row],[a1]]=1,AP883)</f>
        <v>0</v>
      </c>
      <c r="AH883" s="78" t="b">
        <f>IF(Tab.11[[#This Row],[a1]]=1,AQ883)</f>
        <v>0</v>
      </c>
      <c r="AI883" s="41">
        <v>3.0000000000000001E-3</v>
      </c>
      <c r="AJ883" s="79">
        <v>-0.03</v>
      </c>
      <c r="AK883" s="80" t="b">
        <f>IF(Tab.11[[#This Row],[a1]]=1,1)</f>
        <v>0</v>
      </c>
      <c r="AT883" s="81"/>
      <c r="AU883" s="81"/>
      <c r="AV883" s="81"/>
      <c r="AW883" s="81"/>
      <c r="AX883" s="81"/>
      <c r="AY883" s="81"/>
      <c r="AZ883" s="81"/>
    </row>
    <row r="884" spans="1:52" hidden="1" x14ac:dyDescent="0.25">
      <c r="A884" s="61">
        <f t="shared" si="29"/>
        <v>0</v>
      </c>
      <c r="B884" s="62">
        <f t="shared" si="29"/>
        <v>0</v>
      </c>
      <c r="C884" s="62" t="b">
        <f>IF(Tab.11[[#This Row],[a1]]=1,[3]!Tab_x1[[#This Row],[Name]])</f>
        <v>0</v>
      </c>
      <c r="D884" s="63" t="b">
        <f>IF(Tab.11[[#This Row],[a1]]=1,AO884)</f>
        <v>0</v>
      </c>
      <c r="E884" s="63">
        <f t="shared" si="28"/>
        <v>0</v>
      </c>
      <c r="F884" s="64" t="b">
        <f>IF(Tab.11[[#This Row],[a1]]=1,Tab.11[[#This Row],[b1]])</f>
        <v>0</v>
      </c>
      <c r="G884" s="65" t="b">
        <f>IF(Tab.11[[#This Row],[a1]]=1,IF(Tab.11[[#This Row],[b3]]&gt;$L$989*$G$3,$L$989*$G$3,IF(Tab.11[[#This Row],[b3]]&lt;$M$989*$G$3,$M$989*$G$3,Tab.11[[#This Row],[b3]])))</f>
        <v>0</v>
      </c>
      <c r="H884" s="66" t="b">
        <f>IF(Tab.11[[#This Row],[a1]]=1,Tab.11[[#This Row],[b1]])</f>
        <v>0</v>
      </c>
      <c r="I884" s="67" t="b">
        <f>IF(Tab.11[[#This Row],[a1]]=1,Tab.11[[#This Row],[b1]])</f>
        <v>0</v>
      </c>
      <c r="J884" s="68" t="b">
        <f>IF(Tab.11[[#This Row],[a1]]=1,IF($I$3&lt;0,Tab.11[[#This Row],[b5]]-$I$3,Tab.11[[#This Row],[b5]]))</f>
        <v>0</v>
      </c>
      <c r="K884" s="68" t="b">
        <f>IF(Tab.11[[#This Row],[a1]]=1,IF($K$3=0,Tab.11[b6],Tab.11[[#This Row],[b6]]-AVERAGE(Tab.11[b6])))</f>
        <v>0</v>
      </c>
      <c r="L884" s="69" t="b">
        <f>IF(Tab.11[[#This Row],[a1]]=1,Tab.11[[#This Row],[data]]/(_xlfn.STDEV.P(Tab.11[data])*$B$989)+$A$989)</f>
        <v>0</v>
      </c>
      <c r="M884" s="69" t="b">
        <f>IF(Tab.11[[#This Row],[a1]]=1,Tab.11[[#This Row],[data]]/(_xlfn.STDEV.P(Tab.11[data])*$B$987)-$A$987)</f>
        <v>0</v>
      </c>
      <c r="N884" s="69" t="b">
        <f>IF(Tab.11[[#This Row],[a1]]=1,Tab.11[[#This Row],[data]]/(_xlfn.STDEV.P(Tab.11[data])*$B$988)+$A$988)</f>
        <v>0</v>
      </c>
      <c r="O884" s="70" t="b">
        <f>IF(Tab.11[[#This Row],[a1]]=1,_xlfn.NORM.DIST(Tab.11[[#This Row],[b8]],$P$1,$Q$1,FALSE))</f>
        <v>0</v>
      </c>
      <c r="P884" s="70" t="b">
        <f>IF(Tab.11[[#This Row],[a1]]=1,_xlfn.NORM.DIST(Tab.11[[#This Row],[b9]],$P$1,$Q$1,FALSE))</f>
        <v>0</v>
      </c>
      <c r="Q884" s="70" t="b">
        <f>IF(Tab.11[[#This Row],[a1]]=1,_xlfn.NORM.DIST(Tab.11[[#This Row],[b10]],$P$1,$Q$1,FALSE))</f>
        <v>0</v>
      </c>
      <c r="R884" s="67" t="b">
        <f>IF(Tab.11[[#This Row],[a1]]=1,$I$3+$A$989+IF($K$3=0,Tab.11[[#This Row],[b8]]*_xlfn.STDEV.P(Tab.11[data]),AVERAGE(Tab.11[b6])+Tab.11[[#This Row],[b8]]*_xlfn.STDEV.P(Tab.11[data])))</f>
        <v>0</v>
      </c>
      <c r="S884" s="71" t="b">
        <f>IF(Tab.11[[#This Row],[a1]]=1,$I$3+$A$987+IF($K$3=0,Tab.11[[#This Row],[b9]]*_xlfn.STDEV.P(Tab.11[data]),AVERAGE(Tab.11[b6])+Tab.11[[#This Row],[b9]]*_xlfn.STDEV.P(Tab.11[data])))</f>
        <v>0</v>
      </c>
      <c r="T884" s="71" t="b">
        <f>IF(Tab.11[[#This Row],[a1]]=1,$I$3+$A$988+IF($K$3=0,Tab.11[[#This Row],[b10]]*_xlfn.STDEV.P(Tab.11[data]),AVERAGE(Tab.11[b6])+Tab.11[[#This Row],[b10]]*_xlfn.STDEV.P(Tab.11[data])))</f>
        <v>0</v>
      </c>
      <c r="U884" s="72" t="b">
        <f>IF(Tab.11[[#This Row],[a1]]=1,Tab.11[[#This Row],[target]]-Tab.11[[#This Row],[Red]])</f>
        <v>0</v>
      </c>
      <c r="V884" s="72" t="b">
        <f>IF(Tab.11[[#This Row],[a1]]=1,Tab.11[[#This Row],[target]]-Tab.11[[#This Row],[Blue]])</f>
        <v>0</v>
      </c>
      <c r="W884" s="73" t="b">
        <f>IF(Tab.11[[#This Row],[a1]]=1,IF(ABS(Tab.11[[#This Row],[b17]])+ABS(Tab.11[[#This Row],[b18]])&lt;$W$2,$W$2,ABS(Tab.11[[#This Row],[b17]])+ABS(Tab.11[[#This Row],[b18]])))</f>
        <v>0</v>
      </c>
      <c r="X884" s="136" t="b">
        <f>IF(Tab.11[[#This Row],[a1]]=1,IF($W$3&lt;0,Tab.11[[#This Row],[IN]]-$I$3,Tab.11[[#This Row],[IN]]))</f>
        <v>0</v>
      </c>
      <c r="Y884" s="136" t="b">
        <f>IF(Tab.11[[#This Row],[a1]]=1,IF($X$3=0,Tab.11[b66],Tab.11[[#This Row],[b66]]-AVERAGE(Tab.11[b66])))</f>
        <v>0</v>
      </c>
      <c r="Z884" s="135" t="b">
        <f>IF(Tab.11[[#This Row],[a1]]=1,Tab.11[[#This Row],[b77]]/(_xlfn.STDEV.P(Tab.11[b77])))</f>
        <v>0</v>
      </c>
      <c r="AA884" s="70" t="b">
        <f>IF(Tab.11[[#This Row],[a1]]=1,_xlfn.NORM.DIST(Tab.11[[#This Row],[b88]],$Z$1,$AA$1,FALSE))</f>
        <v>0</v>
      </c>
      <c r="AB884" s="74" t="b">
        <f>IF(Tab.11[[#This Row],[a1]]=1,IF($A$3=0,FALSE,1/Tab.11[[#This Row],[IN]]*$AC$2*IF(Tab.11[[#This Row],[a1]]=0,,$A$3*$AC$1*1/$V$3*(Tab.11[[#This Row],[b14]]))))</f>
        <v>0</v>
      </c>
      <c r="AC884" s="75" t="b">
        <f>IF(Tab.11[[#This Row],[a1]]=1,IF($AC$3=0,Tab.11[[#This Row],[φ1]],Tab.11[[#This Row],[φ1]]/MAX(Tab.11[φ1])))</f>
        <v>0</v>
      </c>
      <c r="AD884" s="74" t="b">
        <f>IF(Tab.11[[#This Row],[a1]]=1,1/Tab.11[[#This Row],[φ2]])</f>
        <v>0</v>
      </c>
      <c r="AE884" s="74" t="b">
        <f>IF(Tab.11[[#This Row],[a1]]=1,IF($AE$3=0,Tab.11[[#This Row],[w.0]],Tab.11[[#This Row],[w.0]]/SUM(Tab.11[w.0])))</f>
        <v>0</v>
      </c>
      <c r="AF884" s="76" t="str">
        <f>IF(Tab.11[[#This Row],[a1]]=0,"false",[3]!Tab.x5[[#This Row],[%_seN_C]])</f>
        <v>false</v>
      </c>
      <c r="AG884" s="77" t="b">
        <f>IF(Tab.11[[#This Row],[a1]]=1,AP884)</f>
        <v>0</v>
      </c>
      <c r="AH884" s="78" t="b">
        <f>IF(Tab.11[[#This Row],[a1]]=1,AQ884)</f>
        <v>0</v>
      </c>
      <c r="AI884" s="41">
        <v>3.0000000000000001E-3</v>
      </c>
      <c r="AJ884" s="79">
        <v>-0.06</v>
      </c>
      <c r="AK884" s="80" t="b">
        <f>IF(Tab.11[[#This Row],[a1]]=1,1)</f>
        <v>0</v>
      </c>
      <c r="AT884" s="81"/>
      <c r="AU884" s="81"/>
      <c r="AV884" s="81"/>
      <c r="AW884" s="81"/>
      <c r="AX884" s="81"/>
      <c r="AY884" s="81"/>
      <c r="AZ884" s="81"/>
    </row>
    <row r="885" spans="1:52" hidden="1" x14ac:dyDescent="0.25">
      <c r="A885" s="61">
        <f t="shared" si="29"/>
        <v>0</v>
      </c>
      <c r="B885" s="62">
        <f t="shared" si="29"/>
        <v>0</v>
      </c>
      <c r="C885" s="62" t="b">
        <f>IF(Tab.11[[#This Row],[a1]]=1,[3]!Tab_x1[[#This Row],[Name]])</f>
        <v>0</v>
      </c>
      <c r="D885" s="63" t="b">
        <f>IF(Tab.11[[#This Row],[a1]]=1,AO885)</f>
        <v>0</v>
      </c>
      <c r="E885" s="63">
        <f t="shared" si="28"/>
        <v>0</v>
      </c>
      <c r="F885" s="64" t="b">
        <f>IF(Tab.11[[#This Row],[a1]]=1,Tab.11[[#This Row],[b1]])</f>
        <v>0</v>
      </c>
      <c r="G885" s="65" t="b">
        <f>IF(Tab.11[[#This Row],[a1]]=1,IF(Tab.11[[#This Row],[b3]]&gt;$L$989*$G$3,$L$989*$G$3,IF(Tab.11[[#This Row],[b3]]&lt;$M$989*$G$3,$M$989*$G$3,Tab.11[[#This Row],[b3]])))</f>
        <v>0</v>
      </c>
      <c r="H885" s="66" t="b">
        <f>IF(Tab.11[[#This Row],[a1]]=1,Tab.11[[#This Row],[b1]])</f>
        <v>0</v>
      </c>
      <c r="I885" s="67" t="b">
        <f>IF(Tab.11[[#This Row],[a1]]=1,Tab.11[[#This Row],[b1]])</f>
        <v>0</v>
      </c>
      <c r="J885" s="68" t="b">
        <f>IF(Tab.11[[#This Row],[a1]]=1,IF($I$3&lt;0,Tab.11[[#This Row],[b5]]-$I$3,Tab.11[[#This Row],[b5]]))</f>
        <v>0</v>
      </c>
      <c r="K885" s="68" t="b">
        <f>IF(Tab.11[[#This Row],[a1]]=1,IF($K$3=0,Tab.11[b6],Tab.11[[#This Row],[b6]]-AVERAGE(Tab.11[b6])))</f>
        <v>0</v>
      </c>
      <c r="L885" s="69" t="b">
        <f>IF(Tab.11[[#This Row],[a1]]=1,Tab.11[[#This Row],[data]]/(_xlfn.STDEV.P(Tab.11[data])*$B$989)+$A$989)</f>
        <v>0</v>
      </c>
      <c r="M885" s="69" t="b">
        <f>IF(Tab.11[[#This Row],[a1]]=1,Tab.11[[#This Row],[data]]/(_xlfn.STDEV.P(Tab.11[data])*$B$987)-$A$987)</f>
        <v>0</v>
      </c>
      <c r="N885" s="69" t="b">
        <f>IF(Tab.11[[#This Row],[a1]]=1,Tab.11[[#This Row],[data]]/(_xlfn.STDEV.P(Tab.11[data])*$B$988)+$A$988)</f>
        <v>0</v>
      </c>
      <c r="O885" s="70" t="b">
        <f>IF(Tab.11[[#This Row],[a1]]=1,_xlfn.NORM.DIST(Tab.11[[#This Row],[b8]],$P$1,$Q$1,FALSE))</f>
        <v>0</v>
      </c>
      <c r="P885" s="70" t="b">
        <f>IF(Tab.11[[#This Row],[a1]]=1,_xlfn.NORM.DIST(Tab.11[[#This Row],[b9]],$P$1,$Q$1,FALSE))</f>
        <v>0</v>
      </c>
      <c r="Q885" s="70" t="b">
        <f>IF(Tab.11[[#This Row],[a1]]=1,_xlfn.NORM.DIST(Tab.11[[#This Row],[b10]],$P$1,$Q$1,FALSE))</f>
        <v>0</v>
      </c>
      <c r="R885" s="67" t="b">
        <f>IF(Tab.11[[#This Row],[a1]]=1,$I$3+$A$989+IF($K$3=0,Tab.11[[#This Row],[b8]]*_xlfn.STDEV.P(Tab.11[data]),AVERAGE(Tab.11[b6])+Tab.11[[#This Row],[b8]]*_xlfn.STDEV.P(Tab.11[data])))</f>
        <v>0</v>
      </c>
      <c r="S885" s="71" t="b">
        <f>IF(Tab.11[[#This Row],[a1]]=1,$I$3+$A$987+IF($K$3=0,Tab.11[[#This Row],[b9]]*_xlfn.STDEV.P(Tab.11[data]),AVERAGE(Tab.11[b6])+Tab.11[[#This Row],[b9]]*_xlfn.STDEV.P(Tab.11[data])))</f>
        <v>0</v>
      </c>
      <c r="T885" s="71" t="b">
        <f>IF(Tab.11[[#This Row],[a1]]=1,$I$3+$A$988+IF($K$3=0,Tab.11[[#This Row],[b10]]*_xlfn.STDEV.P(Tab.11[data]),AVERAGE(Tab.11[b6])+Tab.11[[#This Row],[b10]]*_xlfn.STDEV.P(Tab.11[data])))</f>
        <v>0</v>
      </c>
      <c r="U885" s="72" t="b">
        <f>IF(Tab.11[[#This Row],[a1]]=1,Tab.11[[#This Row],[target]]-Tab.11[[#This Row],[Red]])</f>
        <v>0</v>
      </c>
      <c r="V885" s="72" t="b">
        <f>IF(Tab.11[[#This Row],[a1]]=1,Tab.11[[#This Row],[target]]-Tab.11[[#This Row],[Blue]])</f>
        <v>0</v>
      </c>
      <c r="W885" s="73" t="b">
        <f>IF(Tab.11[[#This Row],[a1]]=1,IF(ABS(Tab.11[[#This Row],[b17]])+ABS(Tab.11[[#This Row],[b18]])&lt;$W$2,$W$2,ABS(Tab.11[[#This Row],[b17]])+ABS(Tab.11[[#This Row],[b18]])))</f>
        <v>0</v>
      </c>
      <c r="X885" s="136" t="b">
        <f>IF(Tab.11[[#This Row],[a1]]=1,IF($W$3&lt;0,Tab.11[[#This Row],[IN]]-$I$3,Tab.11[[#This Row],[IN]]))</f>
        <v>0</v>
      </c>
      <c r="Y885" s="136" t="b">
        <f>IF(Tab.11[[#This Row],[a1]]=1,IF($X$3=0,Tab.11[b66],Tab.11[[#This Row],[b66]]-AVERAGE(Tab.11[b66])))</f>
        <v>0</v>
      </c>
      <c r="Z885" s="135" t="b">
        <f>IF(Tab.11[[#This Row],[a1]]=1,Tab.11[[#This Row],[b77]]/(_xlfn.STDEV.P(Tab.11[b77])))</f>
        <v>0</v>
      </c>
      <c r="AA885" s="70" t="b">
        <f>IF(Tab.11[[#This Row],[a1]]=1,_xlfn.NORM.DIST(Tab.11[[#This Row],[b88]],$Z$1,$AA$1,FALSE))</f>
        <v>0</v>
      </c>
      <c r="AB885" s="74" t="b">
        <f>IF(Tab.11[[#This Row],[a1]]=1,IF($A$3=0,FALSE,1/Tab.11[[#This Row],[IN]]*$AC$2*IF(Tab.11[[#This Row],[a1]]=0,,$A$3*$AC$1*1/$V$3*(Tab.11[[#This Row],[b14]]))))</f>
        <v>0</v>
      </c>
      <c r="AC885" s="75" t="b">
        <f>IF(Tab.11[[#This Row],[a1]]=1,IF($AC$3=0,Tab.11[[#This Row],[φ1]],Tab.11[[#This Row],[φ1]]/MAX(Tab.11[φ1])))</f>
        <v>0</v>
      </c>
      <c r="AD885" s="74" t="b">
        <f>IF(Tab.11[[#This Row],[a1]]=1,1/Tab.11[[#This Row],[φ2]])</f>
        <v>0</v>
      </c>
      <c r="AE885" s="74" t="b">
        <f>IF(Tab.11[[#This Row],[a1]]=1,IF($AE$3=0,Tab.11[[#This Row],[w.0]],Tab.11[[#This Row],[w.0]]/SUM(Tab.11[w.0])))</f>
        <v>0</v>
      </c>
      <c r="AF885" s="76" t="str">
        <f>IF(Tab.11[[#This Row],[a1]]=0,"false",[3]!Tab.x5[[#This Row],[%_seN_C]])</f>
        <v>false</v>
      </c>
      <c r="AG885" s="77" t="b">
        <f>IF(Tab.11[[#This Row],[a1]]=1,AP885)</f>
        <v>0</v>
      </c>
      <c r="AH885" s="78" t="b">
        <f>IF(Tab.11[[#This Row],[a1]]=1,AQ885)</f>
        <v>0</v>
      </c>
      <c r="AI885" s="41">
        <v>3.0000000000000001E-3</v>
      </c>
      <c r="AJ885" s="79">
        <v>7.0000000000000007E-2</v>
      </c>
      <c r="AK885" s="80" t="b">
        <f>IF(Tab.11[[#This Row],[a1]]=1,1)</f>
        <v>0</v>
      </c>
      <c r="AZ885"/>
    </row>
    <row r="886" spans="1:52" hidden="1" x14ac:dyDescent="0.25">
      <c r="A886" s="61">
        <f t="shared" si="29"/>
        <v>0</v>
      </c>
      <c r="B886" s="62">
        <f t="shared" si="29"/>
        <v>0</v>
      </c>
      <c r="C886" s="62" t="b">
        <f>IF(Tab.11[[#This Row],[a1]]=1,[3]!Tab_x1[[#This Row],[Name]])</f>
        <v>0</v>
      </c>
      <c r="D886" s="63" t="b">
        <f>IF(Tab.11[[#This Row],[a1]]=1,AO886)</f>
        <v>0</v>
      </c>
      <c r="E886" s="63">
        <f t="shared" si="28"/>
        <v>0</v>
      </c>
      <c r="F886" s="64" t="b">
        <f>IF(Tab.11[[#This Row],[a1]]=1,Tab.11[[#This Row],[b1]])</f>
        <v>0</v>
      </c>
      <c r="G886" s="65" t="b">
        <f>IF(Tab.11[[#This Row],[a1]]=1,IF(Tab.11[[#This Row],[b3]]&gt;$L$989*$G$3,$L$989*$G$3,IF(Tab.11[[#This Row],[b3]]&lt;$M$989*$G$3,$M$989*$G$3,Tab.11[[#This Row],[b3]])))</f>
        <v>0</v>
      </c>
      <c r="H886" s="66" t="b">
        <f>IF(Tab.11[[#This Row],[a1]]=1,Tab.11[[#This Row],[b1]])</f>
        <v>0</v>
      </c>
      <c r="I886" s="67" t="b">
        <f>IF(Tab.11[[#This Row],[a1]]=1,Tab.11[[#This Row],[b1]])</f>
        <v>0</v>
      </c>
      <c r="J886" s="68" t="b">
        <f>IF(Tab.11[[#This Row],[a1]]=1,IF($I$3&lt;0,Tab.11[[#This Row],[b5]]-$I$3,Tab.11[[#This Row],[b5]]))</f>
        <v>0</v>
      </c>
      <c r="K886" s="68" t="b">
        <f>IF(Tab.11[[#This Row],[a1]]=1,IF($K$3=0,Tab.11[b6],Tab.11[[#This Row],[b6]]-AVERAGE(Tab.11[b6])))</f>
        <v>0</v>
      </c>
      <c r="L886" s="69" t="b">
        <f>IF(Tab.11[[#This Row],[a1]]=1,Tab.11[[#This Row],[data]]/(_xlfn.STDEV.P(Tab.11[data])*$B$989)+$A$989)</f>
        <v>0</v>
      </c>
      <c r="M886" s="69" t="b">
        <f>IF(Tab.11[[#This Row],[a1]]=1,Tab.11[[#This Row],[data]]/(_xlfn.STDEV.P(Tab.11[data])*$B$987)-$A$987)</f>
        <v>0</v>
      </c>
      <c r="N886" s="69" t="b">
        <f>IF(Tab.11[[#This Row],[a1]]=1,Tab.11[[#This Row],[data]]/(_xlfn.STDEV.P(Tab.11[data])*$B$988)+$A$988)</f>
        <v>0</v>
      </c>
      <c r="O886" s="70" t="b">
        <f>IF(Tab.11[[#This Row],[a1]]=1,_xlfn.NORM.DIST(Tab.11[[#This Row],[b8]],$P$1,$Q$1,FALSE))</f>
        <v>0</v>
      </c>
      <c r="P886" s="70" t="b">
        <f>IF(Tab.11[[#This Row],[a1]]=1,_xlfn.NORM.DIST(Tab.11[[#This Row],[b9]],$P$1,$Q$1,FALSE))</f>
        <v>0</v>
      </c>
      <c r="Q886" s="70" t="b">
        <f>IF(Tab.11[[#This Row],[a1]]=1,_xlfn.NORM.DIST(Tab.11[[#This Row],[b10]],$P$1,$Q$1,FALSE))</f>
        <v>0</v>
      </c>
      <c r="R886" s="67" t="b">
        <f>IF(Tab.11[[#This Row],[a1]]=1,$I$3+$A$989+IF($K$3=0,Tab.11[[#This Row],[b8]]*_xlfn.STDEV.P(Tab.11[data]),AVERAGE(Tab.11[b6])+Tab.11[[#This Row],[b8]]*_xlfn.STDEV.P(Tab.11[data])))</f>
        <v>0</v>
      </c>
      <c r="S886" s="71" t="b">
        <f>IF(Tab.11[[#This Row],[a1]]=1,$I$3+$A$987+IF($K$3=0,Tab.11[[#This Row],[b9]]*_xlfn.STDEV.P(Tab.11[data]),AVERAGE(Tab.11[b6])+Tab.11[[#This Row],[b9]]*_xlfn.STDEV.P(Tab.11[data])))</f>
        <v>0</v>
      </c>
      <c r="T886" s="71" t="b">
        <f>IF(Tab.11[[#This Row],[a1]]=1,$I$3+$A$988+IF($K$3=0,Tab.11[[#This Row],[b10]]*_xlfn.STDEV.P(Tab.11[data]),AVERAGE(Tab.11[b6])+Tab.11[[#This Row],[b10]]*_xlfn.STDEV.P(Tab.11[data])))</f>
        <v>0</v>
      </c>
      <c r="U886" s="72" t="b">
        <f>IF(Tab.11[[#This Row],[a1]]=1,Tab.11[[#This Row],[target]]-Tab.11[[#This Row],[Red]])</f>
        <v>0</v>
      </c>
      <c r="V886" s="72" t="b">
        <f>IF(Tab.11[[#This Row],[a1]]=1,Tab.11[[#This Row],[target]]-Tab.11[[#This Row],[Blue]])</f>
        <v>0</v>
      </c>
      <c r="W886" s="73" t="b">
        <f>IF(Tab.11[[#This Row],[a1]]=1,IF(ABS(Tab.11[[#This Row],[b17]])+ABS(Tab.11[[#This Row],[b18]])&lt;$W$2,$W$2,ABS(Tab.11[[#This Row],[b17]])+ABS(Tab.11[[#This Row],[b18]])))</f>
        <v>0</v>
      </c>
      <c r="X886" s="136" t="b">
        <f>IF(Tab.11[[#This Row],[a1]]=1,IF($W$3&lt;0,Tab.11[[#This Row],[IN]]-$I$3,Tab.11[[#This Row],[IN]]))</f>
        <v>0</v>
      </c>
      <c r="Y886" s="136" t="b">
        <f>IF(Tab.11[[#This Row],[a1]]=1,IF($X$3=0,Tab.11[b66],Tab.11[[#This Row],[b66]]-AVERAGE(Tab.11[b66])))</f>
        <v>0</v>
      </c>
      <c r="Z886" s="135" t="b">
        <f>IF(Tab.11[[#This Row],[a1]]=1,Tab.11[[#This Row],[b77]]/(_xlfn.STDEV.P(Tab.11[b77])))</f>
        <v>0</v>
      </c>
      <c r="AA886" s="70" t="b">
        <f>IF(Tab.11[[#This Row],[a1]]=1,_xlfn.NORM.DIST(Tab.11[[#This Row],[b88]],$Z$1,$AA$1,FALSE))</f>
        <v>0</v>
      </c>
      <c r="AB886" s="74" t="b">
        <f>IF(Tab.11[[#This Row],[a1]]=1,IF($A$3=0,FALSE,1/Tab.11[[#This Row],[IN]]*$AC$2*IF(Tab.11[[#This Row],[a1]]=0,,$A$3*$AC$1*1/$V$3*(Tab.11[[#This Row],[b14]]))))</f>
        <v>0</v>
      </c>
      <c r="AC886" s="75" t="b">
        <f>IF(Tab.11[[#This Row],[a1]]=1,IF($AC$3=0,Tab.11[[#This Row],[φ1]],Tab.11[[#This Row],[φ1]]/MAX(Tab.11[φ1])))</f>
        <v>0</v>
      </c>
      <c r="AD886" s="74" t="b">
        <f>IF(Tab.11[[#This Row],[a1]]=1,1/Tab.11[[#This Row],[φ2]])</f>
        <v>0</v>
      </c>
      <c r="AE886" s="74" t="b">
        <f>IF(Tab.11[[#This Row],[a1]]=1,IF($AE$3=0,Tab.11[[#This Row],[w.0]],Tab.11[[#This Row],[w.0]]/SUM(Tab.11[w.0])))</f>
        <v>0</v>
      </c>
      <c r="AF886" s="76" t="str">
        <f>IF(Tab.11[[#This Row],[a1]]=0,"false",[3]!Tab.x5[[#This Row],[%_seN_C]])</f>
        <v>false</v>
      </c>
      <c r="AG886" s="77" t="b">
        <f>IF(Tab.11[[#This Row],[a1]]=1,AP886)</f>
        <v>0</v>
      </c>
      <c r="AH886" s="78" t="b">
        <f>IF(Tab.11[[#This Row],[a1]]=1,AQ886)</f>
        <v>0</v>
      </c>
      <c r="AI886" s="41">
        <v>3.0000000000000001E-3</v>
      </c>
      <c r="AJ886" s="79">
        <v>-0.04</v>
      </c>
      <c r="AK886" s="80" t="b">
        <f>IF(Tab.11[[#This Row],[a1]]=1,1)</f>
        <v>0</v>
      </c>
      <c r="AZ886"/>
    </row>
    <row r="887" spans="1:52" hidden="1" x14ac:dyDescent="0.25">
      <c r="A887" s="61">
        <f t="shared" si="29"/>
        <v>0</v>
      </c>
      <c r="B887" s="62">
        <f t="shared" si="29"/>
        <v>0</v>
      </c>
      <c r="C887" s="62" t="b">
        <f>IF(Tab.11[[#This Row],[a1]]=1,[3]!Tab_x1[[#This Row],[Name]])</f>
        <v>0</v>
      </c>
      <c r="D887" s="63" t="b">
        <f>IF(Tab.11[[#This Row],[a1]]=1,AO887)</f>
        <v>0</v>
      </c>
      <c r="E887" s="63">
        <f t="shared" si="28"/>
        <v>0</v>
      </c>
      <c r="F887" s="64" t="b">
        <f>IF(Tab.11[[#This Row],[a1]]=1,Tab.11[[#This Row],[b1]])</f>
        <v>0</v>
      </c>
      <c r="G887" s="65" t="b">
        <f>IF(Tab.11[[#This Row],[a1]]=1,IF(Tab.11[[#This Row],[b3]]&gt;$L$989*$G$3,$L$989*$G$3,IF(Tab.11[[#This Row],[b3]]&lt;$M$989*$G$3,$M$989*$G$3,Tab.11[[#This Row],[b3]])))</f>
        <v>0</v>
      </c>
      <c r="H887" s="66" t="b">
        <f>IF(Tab.11[[#This Row],[a1]]=1,Tab.11[[#This Row],[b1]])</f>
        <v>0</v>
      </c>
      <c r="I887" s="67" t="b">
        <f>IF(Tab.11[[#This Row],[a1]]=1,Tab.11[[#This Row],[b1]])</f>
        <v>0</v>
      </c>
      <c r="J887" s="68" t="b">
        <f>IF(Tab.11[[#This Row],[a1]]=1,IF($I$3&lt;0,Tab.11[[#This Row],[b5]]-$I$3,Tab.11[[#This Row],[b5]]))</f>
        <v>0</v>
      </c>
      <c r="K887" s="68" t="b">
        <f>IF(Tab.11[[#This Row],[a1]]=1,IF($K$3=0,Tab.11[b6],Tab.11[[#This Row],[b6]]-AVERAGE(Tab.11[b6])))</f>
        <v>0</v>
      </c>
      <c r="L887" s="69" t="b">
        <f>IF(Tab.11[[#This Row],[a1]]=1,Tab.11[[#This Row],[data]]/(_xlfn.STDEV.P(Tab.11[data])*$B$989)+$A$989)</f>
        <v>0</v>
      </c>
      <c r="M887" s="69" t="b">
        <f>IF(Tab.11[[#This Row],[a1]]=1,Tab.11[[#This Row],[data]]/(_xlfn.STDEV.P(Tab.11[data])*$B$987)-$A$987)</f>
        <v>0</v>
      </c>
      <c r="N887" s="69" t="b">
        <f>IF(Tab.11[[#This Row],[a1]]=1,Tab.11[[#This Row],[data]]/(_xlfn.STDEV.P(Tab.11[data])*$B$988)+$A$988)</f>
        <v>0</v>
      </c>
      <c r="O887" s="70" t="b">
        <f>IF(Tab.11[[#This Row],[a1]]=1,_xlfn.NORM.DIST(Tab.11[[#This Row],[b8]],$P$1,$Q$1,FALSE))</f>
        <v>0</v>
      </c>
      <c r="P887" s="70" t="b">
        <f>IF(Tab.11[[#This Row],[a1]]=1,_xlfn.NORM.DIST(Tab.11[[#This Row],[b9]],$P$1,$Q$1,FALSE))</f>
        <v>0</v>
      </c>
      <c r="Q887" s="70" t="b">
        <f>IF(Tab.11[[#This Row],[a1]]=1,_xlfn.NORM.DIST(Tab.11[[#This Row],[b10]],$P$1,$Q$1,FALSE))</f>
        <v>0</v>
      </c>
      <c r="R887" s="67" t="b">
        <f>IF(Tab.11[[#This Row],[a1]]=1,$I$3+$A$989+IF($K$3=0,Tab.11[[#This Row],[b8]]*_xlfn.STDEV.P(Tab.11[data]),AVERAGE(Tab.11[b6])+Tab.11[[#This Row],[b8]]*_xlfn.STDEV.P(Tab.11[data])))</f>
        <v>0</v>
      </c>
      <c r="S887" s="71" t="b">
        <f>IF(Tab.11[[#This Row],[a1]]=1,$I$3+$A$987+IF($K$3=0,Tab.11[[#This Row],[b9]]*_xlfn.STDEV.P(Tab.11[data]),AVERAGE(Tab.11[b6])+Tab.11[[#This Row],[b9]]*_xlfn.STDEV.P(Tab.11[data])))</f>
        <v>0</v>
      </c>
      <c r="T887" s="71" t="b">
        <f>IF(Tab.11[[#This Row],[a1]]=1,$I$3+$A$988+IF($K$3=0,Tab.11[[#This Row],[b10]]*_xlfn.STDEV.P(Tab.11[data]),AVERAGE(Tab.11[b6])+Tab.11[[#This Row],[b10]]*_xlfn.STDEV.P(Tab.11[data])))</f>
        <v>0</v>
      </c>
      <c r="U887" s="72" t="b">
        <f>IF(Tab.11[[#This Row],[a1]]=1,Tab.11[[#This Row],[target]]-Tab.11[[#This Row],[Red]])</f>
        <v>0</v>
      </c>
      <c r="V887" s="72" t="b">
        <f>IF(Tab.11[[#This Row],[a1]]=1,Tab.11[[#This Row],[target]]-Tab.11[[#This Row],[Blue]])</f>
        <v>0</v>
      </c>
      <c r="W887" s="73" t="b">
        <f>IF(Tab.11[[#This Row],[a1]]=1,IF(ABS(Tab.11[[#This Row],[b17]])+ABS(Tab.11[[#This Row],[b18]])&lt;$W$2,$W$2,ABS(Tab.11[[#This Row],[b17]])+ABS(Tab.11[[#This Row],[b18]])))</f>
        <v>0</v>
      </c>
      <c r="X887" s="136" t="b">
        <f>IF(Tab.11[[#This Row],[a1]]=1,IF($W$3&lt;0,Tab.11[[#This Row],[IN]]-$I$3,Tab.11[[#This Row],[IN]]))</f>
        <v>0</v>
      </c>
      <c r="Y887" s="136" t="b">
        <f>IF(Tab.11[[#This Row],[a1]]=1,IF($X$3=0,Tab.11[b66],Tab.11[[#This Row],[b66]]-AVERAGE(Tab.11[b66])))</f>
        <v>0</v>
      </c>
      <c r="Z887" s="135" t="b">
        <f>IF(Tab.11[[#This Row],[a1]]=1,Tab.11[[#This Row],[b77]]/(_xlfn.STDEV.P(Tab.11[b77])))</f>
        <v>0</v>
      </c>
      <c r="AA887" s="70" t="b">
        <f>IF(Tab.11[[#This Row],[a1]]=1,_xlfn.NORM.DIST(Tab.11[[#This Row],[b88]],$Z$1,$AA$1,FALSE))</f>
        <v>0</v>
      </c>
      <c r="AB887" s="74" t="b">
        <f>IF(Tab.11[[#This Row],[a1]]=1,IF($A$3=0,FALSE,1/Tab.11[[#This Row],[IN]]*$AC$2*IF(Tab.11[[#This Row],[a1]]=0,,$A$3*$AC$1*1/$V$3*(Tab.11[[#This Row],[b14]]))))</f>
        <v>0</v>
      </c>
      <c r="AC887" s="75" t="b">
        <f>IF(Tab.11[[#This Row],[a1]]=1,IF($AC$3=0,Tab.11[[#This Row],[φ1]],Tab.11[[#This Row],[φ1]]/MAX(Tab.11[φ1])))</f>
        <v>0</v>
      </c>
      <c r="AD887" s="74" t="b">
        <f>IF(Tab.11[[#This Row],[a1]]=1,1/Tab.11[[#This Row],[φ2]])</f>
        <v>0</v>
      </c>
      <c r="AE887" s="74" t="b">
        <f>IF(Tab.11[[#This Row],[a1]]=1,IF($AE$3=0,Tab.11[[#This Row],[w.0]],Tab.11[[#This Row],[w.0]]/SUM(Tab.11[w.0])))</f>
        <v>0</v>
      </c>
      <c r="AF887" s="76" t="str">
        <f>IF(Tab.11[[#This Row],[a1]]=0,"false",[3]!Tab.x5[[#This Row],[%_seN_C]])</f>
        <v>false</v>
      </c>
      <c r="AG887" s="77" t="b">
        <f>IF(Tab.11[[#This Row],[a1]]=1,AP887)</f>
        <v>0</v>
      </c>
      <c r="AH887" s="78" t="b">
        <f>IF(Tab.11[[#This Row],[a1]]=1,AQ887)</f>
        <v>0</v>
      </c>
      <c r="AI887" s="41">
        <v>3.0000000000000001E-3</v>
      </c>
      <c r="AJ887" s="79">
        <v>0.06</v>
      </c>
      <c r="AK887" s="80" t="b">
        <f>IF(Tab.11[[#This Row],[a1]]=1,1)</f>
        <v>0</v>
      </c>
      <c r="AZ887"/>
    </row>
    <row r="888" spans="1:52" hidden="1" x14ac:dyDescent="0.25">
      <c r="A888" s="61">
        <f t="shared" si="29"/>
        <v>0</v>
      </c>
      <c r="B888" s="62">
        <f t="shared" si="29"/>
        <v>0</v>
      </c>
      <c r="C888" s="62" t="b">
        <f>IF(Tab.11[[#This Row],[a1]]=1,[3]!Tab_x1[[#This Row],[Name]])</f>
        <v>0</v>
      </c>
      <c r="D888" s="63" t="b">
        <f>IF(Tab.11[[#This Row],[a1]]=1,AO888)</f>
        <v>0</v>
      </c>
      <c r="E888" s="63">
        <f t="shared" si="28"/>
        <v>0</v>
      </c>
      <c r="F888" s="64" t="b">
        <f>IF(Tab.11[[#This Row],[a1]]=1,Tab.11[[#This Row],[b1]])</f>
        <v>0</v>
      </c>
      <c r="G888" s="65" t="b">
        <f>IF(Tab.11[[#This Row],[a1]]=1,IF(Tab.11[[#This Row],[b3]]&gt;$L$989*$G$3,$L$989*$G$3,IF(Tab.11[[#This Row],[b3]]&lt;$M$989*$G$3,$M$989*$G$3,Tab.11[[#This Row],[b3]])))</f>
        <v>0</v>
      </c>
      <c r="H888" s="66" t="b">
        <f>IF(Tab.11[[#This Row],[a1]]=1,Tab.11[[#This Row],[b1]])</f>
        <v>0</v>
      </c>
      <c r="I888" s="67" t="b">
        <f>IF(Tab.11[[#This Row],[a1]]=1,Tab.11[[#This Row],[b1]])</f>
        <v>0</v>
      </c>
      <c r="J888" s="68" t="b">
        <f>IF(Tab.11[[#This Row],[a1]]=1,IF($I$3&lt;0,Tab.11[[#This Row],[b5]]-$I$3,Tab.11[[#This Row],[b5]]))</f>
        <v>0</v>
      </c>
      <c r="K888" s="68" t="b">
        <f>IF(Tab.11[[#This Row],[a1]]=1,IF($K$3=0,Tab.11[b6],Tab.11[[#This Row],[b6]]-AVERAGE(Tab.11[b6])))</f>
        <v>0</v>
      </c>
      <c r="L888" s="69" t="b">
        <f>IF(Tab.11[[#This Row],[a1]]=1,Tab.11[[#This Row],[data]]/(_xlfn.STDEV.P(Tab.11[data])*$B$989)+$A$989)</f>
        <v>0</v>
      </c>
      <c r="M888" s="69" t="b">
        <f>IF(Tab.11[[#This Row],[a1]]=1,Tab.11[[#This Row],[data]]/(_xlfn.STDEV.P(Tab.11[data])*$B$987)-$A$987)</f>
        <v>0</v>
      </c>
      <c r="N888" s="69" t="b">
        <f>IF(Tab.11[[#This Row],[a1]]=1,Tab.11[[#This Row],[data]]/(_xlfn.STDEV.P(Tab.11[data])*$B$988)+$A$988)</f>
        <v>0</v>
      </c>
      <c r="O888" s="70" t="b">
        <f>IF(Tab.11[[#This Row],[a1]]=1,_xlfn.NORM.DIST(Tab.11[[#This Row],[b8]],$P$1,$Q$1,FALSE))</f>
        <v>0</v>
      </c>
      <c r="P888" s="70" t="b">
        <f>IF(Tab.11[[#This Row],[a1]]=1,_xlfn.NORM.DIST(Tab.11[[#This Row],[b9]],$P$1,$Q$1,FALSE))</f>
        <v>0</v>
      </c>
      <c r="Q888" s="70" t="b">
        <f>IF(Tab.11[[#This Row],[a1]]=1,_xlfn.NORM.DIST(Tab.11[[#This Row],[b10]],$P$1,$Q$1,FALSE))</f>
        <v>0</v>
      </c>
      <c r="R888" s="67" t="b">
        <f>IF(Tab.11[[#This Row],[a1]]=1,$I$3+$A$989+IF($K$3=0,Tab.11[[#This Row],[b8]]*_xlfn.STDEV.P(Tab.11[data]),AVERAGE(Tab.11[b6])+Tab.11[[#This Row],[b8]]*_xlfn.STDEV.P(Tab.11[data])))</f>
        <v>0</v>
      </c>
      <c r="S888" s="71" t="b">
        <f>IF(Tab.11[[#This Row],[a1]]=1,$I$3+$A$987+IF($K$3=0,Tab.11[[#This Row],[b9]]*_xlfn.STDEV.P(Tab.11[data]),AVERAGE(Tab.11[b6])+Tab.11[[#This Row],[b9]]*_xlfn.STDEV.P(Tab.11[data])))</f>
        <v>0</v>
      </c>
      <c r="T888" s="71" t="b">
        <f>IF(Tab.11[[#This Row],[a1]]=1,$I$3+$A$988+IF($K$3=0,Tab.11[[#This Row],[b10]]*_xlfn.STDEV.P(Tab.11[data]),AVERAGE(Tab.11[b6])+Tab.11[[#This Row],[b10]]*_xlfn.STDEV.P(Tab.11[data])))</f>
        <v>0</v>
      </c>
      <c r="U888" s="72" t="b">
        <f>IF(Tab.11[[#This Row],[a1]]=1,Tab.11[[#This Row],[target]]-Tab.11[[#This Row],[Red]])</f>
        <v>0</v>
      </c>
      <c r="V888" s="72" t="b">
        <f>IF(Tab.11[[#This Row],[a1]]=1,Tab.11[[#This Row],[target]]-Tab.11[[#This Row],[Blue]])</f>
        <v>0</v>
      </c>
      <c r="W888" s="73" t="b">
        <f>IF(Tab.11[[#This Row],[a1]]=1,IF(ABS(Tab.11[[#This Row],[b17]])+ABS(Tab.11[[#This Row],[b18]])&lt;$W$2,$W$2,ABS(Tab.11[[#This Row],[b17]])+ABS(Tab.11[[#This Row],[b18]])))</f>
        <v>0</v>
      </c>
      <c r="X888" s="136" t="b">
        <f>IF(Tab.11[[#This Row],[a1]]=1,IF($W$3&lt;0,Tab.11[[#This Row],[IN]]-$I$3,Tab.11[[#This Row],[IN]]))</f>
        <v>0</v>
      </c>
      <c r="Y888" s="136" t="b">
        <f>IF(Tab.11[[#This Row],[a1]]=1,IF($X$3=0,Tab.11[b66],Tab.11[[#This Row],[b66]]-AVERAGE(Tab.11[b66])))</f>
        <v>0</v>
      </c>
      <c r="Z888" s="135" t="b">
        <f>IF(Tab.11[[#This Row],[a1]]=1,Tab.11[[#This Row],[b77]]/(_xlfn.STDEV.P(Tab.11[b77])))</f>
        <v>0</v>
      </c>
      <c r="AA888" s="70" t="b">
        <f>IF(Tab.11[[#This Row],[a1]]=1,_xlfn.NORM.DIST(Tab.11[[#This Row],[b88]],$Z$1,$AA$1,FALSE))</f>
        <v>0</v>
      </c>
      <c r="AB888" s="74" t="b">
        <f>IF(Tab.11[[#This Row],[a1]]=1,IF($A$3=0,FALSE,1/Tab.11[[#This Row],[IN]]*$AC$2*IF(Tab.11[[#This Row],[a1]]=0,,$A$3*$AC$1*1/$V$3*(Tab.11[[#This Row],[b14]]))))</f>
        <v>0</v>
      </c>
      <c r="AC888" s="75" t="b">
        <f>IF(Tab.11[[#This Row],[a1]]=1,IF($AC$3=0,Tab.11[[#This Row],[φ1]],Tab.11[[#This Row],[φ1]]/MAX(Tab.11[φ1])))</f>
        <v>0</v>
      </c>
      <c r="AD888" s="74" t="b">
        <f>IF(Tab.11[[#This Row],[a1]]=1,1/Tab.11[[#This Row],[φ2]])</f>
        <v>0</v>
      </c>
      <c r="AE888" s="74" t="b">
        <f>IF(Tab.11[[#This Row],[a1]]=1,IF($AE$3=0,Tab.11[[#This Row],[w.0]],Tab.11[[#This Row],[w.0]]/SUM(Tab.11[w.0])))</f>
        <v>0</v>
      </c>
      <c r="AF888" s="76" t="str">
        <f>IF(Tab.11[[#This Row],[a1]]=0,"false",[3]!Tab.x5[[#This Row],[%_seN_C]])</f>
        <v>false</v>
      </c>
      <c r="AG888" s="77" t="b">
        <f>IF(Tab.11[[#This Row],[a1]]=1,AP888)</f>
        <v>0</v>
      </c>
      <c r="AH888" s="78" t="b">
        <f>IF(Tab.11[[#This Row],[a1]]=1,AQ888)</f>
        <v>0</v>
      </c>
      <c r="AI888" s="41">
        <v>3.0000000000000001E-3</v>
      </c>
      <c r="AJ888" s="79">
        <v>0.02</v>
      </c>
      <c r="AK888" s="80" t="b">
        <f>IF(Tab.11[[#This Row],[a1]]=1,1)</f>
        <v>0</v>
      </c>
      <c r="AZ888"/>
    </row>
    <row r="889" spans="1:52" hidden="1" x14ac:dyDescent="0.25">
      <c r="A889" s="61">
        <f t="shared" si="29"/>
        <v>0</v>
      </c>
      <c r="B889" s="62">
        <f t="shared" si="29"/>
        <v>0</v>
      </c>
      <c r="C889" s="62" t="b">
        <f>IF(Tab.11[[#This Row],[a1]]=1,[3]!Tab_x1[[#This Row],[Name]])</f>
        <v>0</v>
      </c>
      <c r="D889" s="63" t="b">
        <f>IF(Tab.11[[#This Row],[a1]]=1,AO889)</f>
        <v>0</v>
      </c>
      <c r="E889" s="63">
        <f t="shared" si="28"/>
        <v>0</v>
      </c>
      <c r="F889" s="64" t="b">
        <f>IF(Tab.11[[#This Row],[a1]]=1,Tab.11[[#This Row],[b1]])</f>
        <v>0</v>
      </c>
      <c r="G889" s="65" t="b">
        <f>IF(Tab.11[[#This Row],[a1]]=1,IF(Tab.11[[#This Row],[b3]]&gt;$L$989*$G$3,$L$989*$G$3,IF(Tab.11[[#This Row],[b3]]&lt;$M$989*$G$3,$M$989*$G$3,Tab.11[[#This Row],[b3]])))</f>
        <v>0</v>
      </c>
      <c r="H889" s="66" t="b">
        <f>IF(Tab.11[[#This Row],[a1]]=1,Tab.11[[#This Row],[b1]])</f>
        <v>0</v>
      </c>
      <c r="I889" s="67" t="b">
        <f>IF(Tab.11[[#This Row],[a1]]=1,Tab.11[[#This Row],[b1]])</f>
        <v>0</v>
      </c>
      <c r="J889" s="68" t="b">
        <f>IF(Tab.11[[#This Row],[a1]]=1,IF($I$3&lt;0,Tab.11[[#This Row],[b5]]-$I$3,Tab.11[[#This Row],[b5]]))</f>
        <v>0</v>
      </c>
      <c r="K889" s="68" t="b">
        <f>IF(Tab.11[[#This Row],[a1]]=1,IF($K$3=0,Tab.11[b6],Tab.11[[#This Row],[b6]]-AVERAGE(Tab.11[b6])))</f>
        <v>0</v>
      </c>
      <c r="L889" s="69" t="b">
        <f>IF(Tab.11[[#This Row],[a1]]=1,Tab.11[[#This Row],[data]]/(_xlfn.STDEV.P(Tab.11[data])*$B$989)+$A$989)</f>
        <v>0</v>
      </c>
      <c r="M889" s="69" t="b">
        <f>IF(Tab.11[[#This Row],[a1]]=1,Tab.11[[#This Row],[data]]/(_xlfn.STDEV.P(Tab.11[data])*$B$987)-$A$987)</f>
        <v>0</v>
      </c>
      <c r="N889" s="69" t="b">
        <f>IF(Tab.11[[#This Row],[a1]]=1,Tab.11[[#This Row],[data]]/(_xlfn.STDEV.P(Tab.11[data])*$B$988)+$A$988)</f>
        <v>0</v>
      </c>
      <c r="O889" s="70" t="b">
        <f>IF(Tab.11[[#This Row],[a1]]=1,_xlfn.NORM.DIST(Tab.11[[#This Row],[b8]],$P$1,$Q$1,FALSE))</f>
        <v>0</v>
      </c>
      <c r="P889" s="70" t="b">
        <f>IF(Tab.11[[#This Row],[a1]]=1,_xlfn.NORM.DIST(Tab.11[[#This Row],[b9]],$P$1,$Q$1,FALSE))</f>
        <v>0</v>
      </c>
      <c r="Q889" s="70" t="b">
        <f>IF(Tab.11[[#This Row],[a1]]=1,_xlfn.NORM.DIST(Tab.11[[#This Row],[b10]],$P$1,$Q$1,FALSE))</f>
        <v>0</v>
      </c>
      <c r="R889" s="67" t="b">
        <f>IF(Tab.11[[#This Row],[a1]]=1,$I$3+$A$989+IF($K$3=0,Tab.11[[#This Row],[b8]]*_xlfn.STDEV.P(Tab.11[data]),AVERAGE(Tab.11[b6])+Tab.11[[#This Row],[b8]]*_xlfn.STDEV.P(Tab.11[data])))</f>
        <v>0</v>
      </c>
      <c r="S889" s="71" t="b">
        <f>IF(Tab.11[[#This Row],[a1]]=1,$I$3+$A$987+IF($K$3=0,Tab.11[[#This Row],[b9]]*_xlfn.STDEV.P(Tab.11[data]),AVERAGE(Tab.11[b6])+Tab.11[[#This Row],[b9]]*_xlfn.STDEV.P(Tab.11[data])))</f>
        <v>0</v>
      </c>
      <c r="T889" s="71" t="b">
        <f>IF(Tab.11[[#This Row],[a1]]=1,$I$3+$A$988+IF($K$3=0,Tab.11[[#This Row],[b10]]*_xlfn.STDEV.P(Tab.11[data]),AVERAGE(Tab.11[b6])+Tab.11[[#This Row],[b10]]*_xlfn.STDEV.P(Tab.11[data])))</f>
        <v>0</v>
      </c>
      <c r="U889" s="72" t="b">
        <f>IF(Tab.11[[#This Row],[a1]]=1,Tab.11[[#This Row],[target]]-Tab.11[[#This Row],[Red]])</f>
        <v>0</v>
      </c>
      <c r="V889" s="72" t="b">
        <f>IF(Tab.11[[#This Row],[a1]]=1,Tab.11[[#This Row],[target]]-Tab.11[[#This Row],[Blue]])</f>
        <v>0</v>
      </c>
      <c r="W889" s="73" t="b">
        <f>IF(Tab.11[[#This Row],[a1]]=1,IF(ABS(Tab.11[[#This Row],[b17]])+ABS(Tab.11[[#This Row],[b18]])&lt;$W$2,$W$2,ABS(Tab.11[[#This Row],[b17]])+ABS(Tab.11[[#This Row],[b18]])))</f>
        <v>0</v>
      </c>
      <c r="X889" s="136" t="b">
        <f>IF(Tab.11[[#This Row],[a1]]=1,IF($W$3&lt;0,Tab.11[[#This Row],[IN]]-$I$3,Tab.11[[#This Row],[IN]]))</f>
        <v>0</v>
      </c>
      <c r="Y889" s="136" t="b">
        <f>IF(Tab.11[[#This Row],[a1]]=1,IF($X$3=0,Tab.11[b66],Tab.11[[#This Row],[b66]]-AVERAGE(Tab.11[b66])))</f>
        <v>0</v>
      </c>
      <c r="Z889" s="135" t="b">
        <f>IF(Tab.11[[#This Row],[a1]]=1,Tab.11[[#This Row],[b77]]/(_xlfn.STDEV.P(Tab.11[b77])))</f>
        <v>0</v>
      </c>
      <c r="AA889" s="70" t="b">
        <f>IF(Tab.11[[#This Row],[a1]]=1,_xlfn.NORM.DIST(Tab.11[[#This Row],[b88]],$Z$1,$AA$1,FALSE))</f>
        <v>0</v>
      </c>
      <c r="AB889" s="74" t="b">
        <f>IF(Tab.11[[#This Row],[a1]]=1,IF($A$3=0,FALSE,1/Tab.11[[#This Row],[IN]]*$AC$2*IF(Tab.11[[#This Row],[a1]]=0,,$A$3*$AC$1*1/$V$3*(Tab.11[[#This Row],[b14]]))))</f>
        <v>0</v>
      </c>
      <c r="AC889" s="75" t="b">
        <f>IF(Tab.11[[#This Row],[a1]]=1,IF($AC$3=0,Tab.11[[#This Row],[φ1]],Tab.11[[#This Row],[φ1]]/MAX(Tab.11[φ1])))</f>
        <v>0</v>
      </c>
      <c r="AD889" s="74" t="b">
        <f>IF(Tab.11[[#This Row],[a1]]=1,1/Tab.11[[#This Row],[φ2]])</f>
        <v>0</v>
      </c>
      <c r="AE889" s="74" t="b">
        <f>IF(Tab.11[[#This Row],[a1]]=1,IF($AE$3=0,Tab.11[[#This Row],[w.0]],Tab.11[[#This Row],[w.0]]/SUM(Tab.11[w.0])))</f>
        <v>0</v>
      </c>
      <c r="AF889" s="76" t="str">
        <f>IF(Tab.11[[#This Row],[a1]]=0,"false",[3]!Tab.x5[[#This Row],[%_seN_C]])</f>
        <v>false</v>
      </c>
      <c r="AG889" s="77" t="b">
        <f>IF(Tab.11[[#This Row],[a1]]=1,AP889)</f>
        <v>0</v>
      </c>
      <c r="AH889" s="78" t="b">
        <f>IF(Tab.11[[#This Row],[a1]]=1,AQ889)</f>
        <v>0</v>
      </c>
      <c r="AI889" s="41">
        <v>3.0000000000000001E-3</v>
      </c>
      <c r="AJ889" s="79">
        <v>7.0000000000000007E-2</v>
      </c>
      <c r="AK889" s="80" t="b">
        <f>IF(Tab.11[[#This Row],[a1]]=1,1)</f>
        <v>0</v>
      </c>
      <c r="AZ889"/>
    </row>
    <row r="890" spans="1:52" hidden="1" x14ac:dyDescent="0.25">
      <c r="A890" s="61">
        <f t="shared" si="29"/>
        <v>0</v>
      </c>
      <c r="B890" s="62">
        <f t="shared" si="29"/>
        <v>0</v>
      </c>
      <c r="C890" s="62" t="b">
        <f>IF(Tab.11[[#This Row],[a1]]=1,[3]!Tab_x1[[#This Row],[Name]])</f>
        <v>0</v>
      </c>
      <c r="D890" s="63" t="b">
        <f>IF(Tab.11[[#This Row],[a1]]=1,AO890)</f>
        <v>0</v>
      </c>
      <c r="E890" s="63">
        <f t="shared" si="28"/>
        <v>0</v>
      </c>
      <c r="F890" s="64" t="b">
        <f>IF(Tab.11[[#This Row],[a1]]=1,Tab.11[[#This Row],[b1]])</f>
        <v>0</v>
      </c>
      <c r="G890" s="65" t="b">
        <f>IF(Tab.11[[#This Row],[a1]]=1,IF(Tab.11[[#This Row],[b3]]&gt;$L$989*$G$3,$L$989*$G$3,IF(Tab.11[[#This Row],[b3]]&lt;$M$989*$G$3,$M$989*$G$3,Tab.11[[#This Row],[b3]])))</f>
        <v>0</v>
      </c>
      <c r="H890" s="66" t="b">
        <f>IF(Tab.11[[#This Row],[a1]]=1,Tab.11[[#This Row],[b1]])</f>
        <v>0</v>
      </c>
      <c r="I890" s="67" t="b">
        <f>IF(Tab.11[[#This Row],[a1]]=1,Tab.11[[#This Row],[b1]])</f>
        <v>0</v>
      </c>
      <c r="J890" s="68" t="b">
        <f>IF(Tab.11[[#This Row],[a1]]=1,IF($I$3&lt;0,Tab.11[[#This Row],[b5]]-$I$3,Tab.11[[#This Row],[b5]]))</f>
        <v>0</v>
      </c>
      <c r="K890" s="68" t="b">
        <f>IF(Tab.11[[#This Row],[a1]]=1,IF($K$3=0,Tab.11[b6],Tab.11[[#This Row],[b6]]-AVERAGE(Tab.11[b6])))</f>
        <v>0</v>
      </c>
      <c r="L890" s="69" t="b">
        <f>IF(Tab.11[[#This Row],[a1]]=1,Tab.11[[#This Row],[data]]/(_xlfn.STDEV.P(Tab.11[data])*$B$989)+$A$989)</f>
        <v>0</v>
      </c>
      <c r="M890" s="69" t="b">
        <f>IF(Tab.11[[#This Row],[a1]]=1,Tab.11[[#This Row],[data]]/(_xlfn.STDEV.P(Tab.11[data])*$B$987)-$A$987)</f>
        <v>0</v>
      </c>
      <c r="N890" s="69" t="b">
        <f>IF(Tab.11[[#This Row],[a1]]=1,Tab.11[[#This Row],[data]]/(_xlfn.STDEV.P(Tab.11[data])*$B$988)+$A$988)</f>
        <v>0</v>
      </c>
      <c r="O890" s="70" t="b">
        <f>IF(Tab.11[[#This Row],[a1]]=1,_xlfn.NORM.DIST(Tab.11[[#This Row],[b8]],$P$1,$Q$1,FALSE))</f>
        <v>0</v>
      </c>
      <c r="P890" s="70" t="b">
        <f>IF(Tab.11[[#This Row],[a1]]=1,_xlfn.NORM.DIST(Tab.11[[#This Row],[b9]],$P$1,$Q$1,FALSE))</f>
        <v>0</v>
      </c>
      <c r="Q890" s="70" t="b">
        <f>IF(Tab.11[[#This Row],[a1]]=1,_xlfn.NORM.DIST(Tab.11[[#This Row],[b10]],$P$1,$Q$1,FALSE))</f>
        <v>0</v>
      </c>
      <c r="R890" s="67" t="b">
        <f>IF(Tab.11[[#This Row],[a1]]=1,$I$3+$A$989+IF($K$3=0,Tab.11[[#This Row],[b8]]*_xlfn.STDEV.P(Tab.11[data]),AVERAGE(Tab.11[b6])+Tab.11[[#This Row],[b8]]*_xlfn.STDEV.P(Tab.11[data])))</f>
        <v>0</v>
      </c>
      <c r="S890" s="71" t="b">
        <f>IF(Tab.11[[#This Row],[a1]]=1,$I$3+$A$987+IF($K$3=0,Tab.11[[#This Row],[b9]]*_xlfn.STDEV.P(Tab.11[data]),AVERAGE(Tab.11[b6])+Tab.11[[#This Row],[b9]]*_xlfn.STDEV.P(Tab.11[data])))</f>
        <v>0</v>
      </c>
      <c r="T890" s="71" t="b">
        <f>IF(Tab.11[[#This Row],[a1]]=1,$I$3+$A$988+IF($K$3=0,Tab.11[[#This Row],[b10]]*_xlfn.STDEV.P(Tab.11[data]),AVERAGE(Tab.11[b6])+Tab.11[[#This Row],[b10]]*_xlfn.STDEV.P(Tab.11[data])))</f>
        <v>0</v>
      </c>
      <c r="U890" s="72" t="b">
        <f>IF(Tab.11[[#This Row],[a1]]=1,Tab.11[[#This Row],[target]]-Tab.11[[#This Row],[Red]])</f>
        <v>0</v>
      </c>
      <c r="V890" s="72" t="b">
        <f>IF(Tab.11[[#This Row],[a1]]=1,Tab.11[[#This Row],[target]]-Tab.11[[#This Row],[Blue]])</f>
        <v>0</v>
      </c>
      <c r="W890" s="73" t="b">
        <f>IF(Tab.11[[#This Row],[a1]]=1,IF(ABS(Tab.11[[#This Row],[b17]])+ABS(Tab.11[[#This Row],[b18]])&lt;$W$2,$W$2,ABS(Tab.11[[#This Row],[b17]])+ABS(Tab.11[[#This Row],[b18]])))</f>
        <v>0</v>
      </c>
      <c r="X890" s="136" t="b">
        <f>IF(Tab.11[[#This Row],[a1]]=1,IF($W$3&lt;0,Tab.11[[#This Row],[IN]]-$I$3,Tab.11[[#This Row],[IN]]))</f>
        <v>0</v>
      </c>
      <c r="Y890" s="136" t="b">
        <f>IF(Tab.11[[#This Row],[a1]]=1,IF($X$3=0,Tab.11[b66],Tab.11[[#This Row],[b66]]-AVERAGE(Tab.11[b66])))</f>
        <v>0</v>
      </c>
      <c r="Z890" s="135" t="b">
        <f>IF(Tab.11[[#This Row],[a1]]=1,Tab.11[[#This Row],[b77]]/(_xlfn.STDEV.P(Tab.11[b77])))</f>
        <v>0</v>
      </c>
      <c r="AA890" s="70" t="b">
        <f>IF(Tab.11[[#This Row],[a1]]=1,_xlfn.NORM.DIST(Tab.11[[#This Row],[b88]],$Z$1,$AA$1,FALSE))</f>
        <v>0</v>
      </c>
      <c r="AB890" s="74" t="b">
        <f>IF(Tab.11[[#This Row],[a1]]=1,IF($A$3=0,FALSE,1/Tab.11[[#This Row],[IN]]*$AC$2*IF(Tab.11[[#This Row],[a1]]=0,,$A$3*$AC$1*1/$V$3*(Tab.11[[#This Row],[b14]]))))</f>
        <v>0</v>
      </c>
      <c r="AC890" s="75" t="b">
        <f>IF(Tab.11[[#This Row],[a1]]=1,IF($AC$3=0,Tab.11[[#This Row],[φ1]],Tab.11[[#This Row],[φ1]]/MAX(Tab.11[φ1])))</f>
        <v>0</v>
      </c>
      <c r="AD890" s="74" t="b">
        <f>IF(Tab.11[[#This Row],[a1]]=1,1/Tab.11[[#This Row],[φ2]])</f>
        <v>0</v>
      </c>
      <c r="AE890" s="74" t="b">
        <f>IF(Tab.11[[#This Row],[a1]]=1,IF($AE$3=0,Tab.11[[#This Row],[w.0]],Tab.11[[#This Row],[w.0]]/SUM(Tab.11[w.0])))</f>
        <v>0</v>
      </c>
      <c r="AF890" s="76" t="str">
        <f>IF(Tab.11[[#This Row],[a1]]=0,"false",[3]!Tab.x5[[#This Row],[%_seN_C]])</f>
        <v>false</v>
      </c>
      <c r="AG890" s="77" t="b">
        <f>IF(Tab.11[[#This Row],[a1]]=1,AP890)</f>
        <v>0</v>
      </c>
      <c r="AH890" s="78" t="b">
        <f>IF(Tab.11[[#This Row],[a1]]=1,AQ890)</f>
        <v>0</v>
      </c>
      <c r="AI890" s="41">
        <v>3.0000000000000001E-3</v>
      </c>
      <c r="AJ890" s="79">
        <v>0.05</v>
      </c>
      <c r="AK890" s="80" t="b">
        <f>IF(Tab.11[[#This Row],[a1]]=1,1)</f>
        <v>0</v>
      </c>
      <c r="AZ890"/>
    </row>
    <row r="891" spans="1:52" hidden="1" x14ac:dyDescent="0.25">
      <c r="A891" s="61">
        <f t="shared" si="29"/>
        <v>0</v>
      </c>
      <c r="B891" s="62">
        <f t="shared" si="29"/>
        <v>0</v>
      </c>
      <c r="C891" s="62" t="b">
        <f>IF(Tab.11[[#This Row],[a1]]=1,[3]!Tab_x1[[#This Row],[Name]])</f>
        <v>0</v>
      </c>
      <c r="D891" s="63" t="b">
        <f>IF(Tab.11[[#This Row],[a1]]=1,AO891)</f>
        <v>0</v>
      </c>
      <c r="E891" s="63">
        <f t="shared" si="28"/>
        <v>0</v>
      </c>
      <c r="F891" s="64" t="b">
        <f>IF(Tab.11[[#This Row],[a1]]=1,Tab.11[[#This Row],[b1]])</f>
        <v>0</v>
      </c>
      <c r="G891" s="65" t="b">
        <f>IF(Tab.11[[#This Row],[a1]]=1,IF(Tab.11[[#This Row],[b3]]&gt;$L$989*$G$3,$L$989*$G$3,IF(Tab.11[[#This Row],[b3]]&lt;$M$989*$G$3,$M$989*$G$3,Tab.11[[#This Row],[b3]])))</f>
        <v>0</v>
      </c>
      <c r="H891" s="66" t="b">
        <f>IF(Tab.11[[#This Row],[a1]]=1,Tab.11[[#This Row],[b1]])</f>
        <v>0</v>
      </c>
      <c r="I891" s="67" t="b">
        <f>IF(Tab.11[[#This Row],[a1]]=1,Tab.11[[#This Row],[b1]])</f>
        <v>0</v>
      </c>
      <c r="J891" s="68" t="b">
        <f>IF(Tab.11[[#This Row],[a1]]=1,IF($I$3&lt;0,Tab.11[[#This Row],[b5]]-$I$3,Tab.11[[#This Row],[b5]]))</f>
        <v>0</v>
      </c>
      <c r="K891" s="68" t="b">
        <f>IF(Tab.11[[#This Row],[a1]]=1,IF($K$3=0,Tab.11[b6],Tab.11[[#This Row],[b6]]-AVERAGE(Tab.11[b6])))</f>
        <v>0</v>
      </c>
      <c r="L891" s="69" t="b">
        <f>IF(Tab.11[[#This Row],[a1]]=1,Tab.11[[#This Row],[data]]/(_xlfn.STDEV.P(Tab.11[data])*$B$989)+$A$989)</f>
        <v>0</v>
      </c>
      <c r="M891" s="69" t="b">
        <f>IF(Tab.11[[#This Row],[a1]]=1,Tab.11[[#This Row],[data]]/(_xlfn.STDEV.P(Tab.11[data])*$B$987)-$A$987)</f>
        <v>0</v>
      </c>
      <c r="N891" s="69" t="b">
        <f>IF(Tab.11[[#This Row],[a1]]=1,Tab.11[[#This Row],[data]]/(_xlfn.STDEV.P(Tab.11[data])*$B$988)+$A$988)</f>
        <v>0</v>
      </c>
      <c r="O891" s="70" t="b">
        <f>IF(Tab.11[[#This Row],[a1]]=1,_xlfn.NORM.DIST(Tab.11[[#This Row],[b8]],$P$1,$Q$1,FALSE))</f>
        <v>0</v>
      </c>
      <c r="P891" s="70" t="b">
        <f>IF(Tab.11[[#This Row],[a1]]=1,_xlfn.NORM.DIST(Tab.11[[#This Row],[b9]],$P$1,$Q$1,FALSE))</f>
        <v>0</v>
      </c>
      <c r="Q891" s="70" t="b">
        <f>IF(Tab.11[[#This Row],[a1]]=1,_xlfn.NORM.DIST(Tab.11[[#This Row],[b10]],$P$1,$Q$1,FALSE))</f>
        <v>0</v>
      </c>
      <c r="R891" s="67" t="b">
        <f>IF(Tab.11[[#This Row],[a1]]=1,$I$3+$A$989+IF($K$3=0,Tab.11[[#This Row],[b8]]*_xlfn.STDEV.P(Tab.11[data]),AVERAGE(Tab.11[b6])+Tab.11[[#This Row],[b8]]*_xlfn.STDEV.P(Tab.11[data])))</f>
        <v>0</v>
      </c>
      <c r="S891" s="71" t="b">
        <f>IF(Tab.11[[#This Row],[a1]]=1,$I$3+$A$987+IF($K$3=0,Tab.11[[#This Row],[b9]]*_xlfn.STDEV.P(Tab.11[data]),AVERAGE(Tab.11[b6])+Tab.11[[#This Row],[b9]]*_xlfn.STDEV.P(Tab.11[data])))</f>
        <v>0</v>
      </c>
      <c r="T891" s="71" t="b">
        <f>IF(Tab.11[[#This Row],[a1]]=1,$I$3+$A$988+IF($K$3=0,Tab.11[[#This Row],[b10]]*_xlfn.STDEV.P(Tab.11[data]),AVERAGE(Tab.11[b6])+Tab.11[[#This Row],[b10]]*_xlfn.STDEV.P(Tab.11[data])))</f>
        <v>0</v>
      </c>
      <c r="U891" s="72" t="b">
        <f>IF(Tab.11[[#This Row],[a1]]=1,Tab.11[[#This Row],[target]]-Tab.11[[#This Row],[Red]])</f>
        <v>0</v>
      </c>
      <c r="V891" s="72" t="b">
        <f>IF(Tab.11[[#This Row],[a1]]=1,Tab.11[[#This Row],[target]]-Tab.11[[#This Row],[Blue]])</f>
        <v>0</v>
      </c>
      <c r="W891" s="73" t="b">
        <f>IF(Tab.11[[#This Row],[a1]]=1,IF(ABS(Tab.11[[#This Row],[b17]])+ABS(Tab.11[[#This Row],[b18]])&lt;$W$2,$W$2,ABS(Tab.11[[#This Row],[b17]])+ABS(Tab.11[[#This Row],[b18]])))</f>
        <v>0</v>
      </c>
      <c r="X891" s="136" t="b">
        <f>IF(Tab.11[[#This Row],[a1]]=1,IF($W$3&lt;0,Tab.11[[#This Row],[IN]]-$I$3,Tab.11[[#This Row],[IN]]))</f>
        <v>0</v>
      </c>
      <c r="Y891" s="136" t="b">
        <f>IF(Tab.11[[#This Row],[a1]]=1,IF($X$3=0,Tab.11[b66],Tab.11[[#This Row],[b66]]-AVERAGE(Tab.11[b66])))</f>
        <v>0</v>
      </c>
      <c r="Z891" s="135" t="b">
        <f>IF(Tab.11[[#This Row],[a1]]=1,Tab.11[[#This Row],[b77]]/(_xlfn.STDEV.P(Tab.11[b77])))</f>
        <v>0</v>
      </c>
      <c r="AA891" s="70" t="b">
        <f>IF(Tab.11[[#This Row],[a1]]=1,_xlfn.NORM.DIST(Tab.11[[#This Row],[b88]],$Z$1,$AA$1,FALSE))</f>
        <v>0</v>
      </c>
      <c r="AB891" s="74" t="b">
        <f>IF(Tab.11[[#This Row],[a1]]=1,IF($A$3=0,FALSE,1/Tab.11[[#This Row],[IN]]*$AC$2*IF(Tab.11[[#This Row],[a1]]=0,,$A$3*$AC$1*1/$V$3*(Tab.11[[#This Row],[b14]]))))</f>
        <v>0</v>
      </c>
      <c r="AC891" s="75" t="b">
        <f>IF(Tab.11[[#This Row],[a1]]=1,IF($AC$3=0,Tab.11[[#This Row],[φ1]],Tab.11[[#This Row],[φ1]]/MAX(Tab.11[φ1])))</f>
        <v>0</v>
      </c>
      <c r="AD891" s="74" t="b">
        <f>IF(Tab.11[[#This Row],[a1]]=1,1/Tab.11[[#This Row],[φ2]])</f>
        <v>0</v>
      </c>
      <c r="AE891" s="74" t="b">
        <f>IF(Tab.11[[#This Row],[a1]]=1,IF($AE$3=0,Tab.11[[#This Row],[w.0]],Tab.11[[#This Row],[w.0]]/SUM(Tab.11[w.0])))</f>
        <v>0</v>
      </c>
      <c r="AF891" s="76" t="str">
        <f>IF(Tab.11[[#This Row],[a1]]=0,"false",[3]!Tab.x5[[#This Row],[%_seN_C]])</f>
        <v>false</v>
      </c>
      <c r="AG891" s="77" t="b">
        <f>IF(Tab.11[[#This Row],[a1]]=1,AP891)</f>
        <v>0</v>
      </c>
      <c r="AH891" s="78" t="b">
        <f>IF(Tab.11[[#This Row],[a1]]=1,AQ891)</f>
        <v>0</v>
      </c>
      <c r="AI891" s="41">
        <v>3.0000000000000001E-3</v>
      </c>
      <c r="AJ891" s="79">
        <v>0.04</v>
      </c>
      <c r="AK891" s="80" t="b">
        <f>IF(Tab.11[[#This Row],[a1]]=1,1)</f>
        <v>0</v>
      </c>
      <c r="AZ891"/>
    </row>
    <row r="892" spans="1:52" hidden="1" x14ac:dyDescent="0.25">
      <c r="A892" s="61">
        <f t="shared" si="29"/>
        <v>0</v>
      </c>
      <c r="B892" s="62">
        <f t="shared" si="29"/>
        <v>0</v>
      </c>
      <c r="C892" s="62" t="b">
        <f>IF(Tab.11[[#This Row],[a1]]=1,[3]!Tab_x1[[#This Row],[Name]])</f>
        <v>0</v>
      </c>
      <c r="D892" s="63" t="b">
        <f>IF(Tab.11[[#This Row],[a1]]=1,AO892)</f>
        <v>0</v>
      </c>
      <c r="E892" s="63">
        <f t="shared" si="28"/>
        <v>0</v>
      </c>
      <c r="F892" s="64" t="b">
        <f>IF(Tab.11[[#This Row],[a1]]=1,Tab.11[[#This Row],[b1]])</f>
        <v>0</v>
      </c>
      <c r="G892" s="65" t="b">
        <f>IF(Tab.11[[#This Row],[a1]]=1,IF(Tab.11[[#This Row],[b3]]&gt;$L$989*$G$3,$L$989*$G$3,IF(Tab.11[[#This Row],[b3]]&lt;$M$989*$G$3,$M$989*$G$3,Tab.11[[#This Row],[b3]])))</f>
        <v>0</v>
      </c>
      <c r="H892" s="66" t="b">
        <f>IF(Tab.11[[#This Row],[a1]]=1,Tab.11[[#This Row],[b1]])</f>
        <v>0</v>
      </c>
      <c r="I892" s="67" t="b">
        <f>IF(Tab.11[[#This Row],[a1]]=1,Tab.11[[#This Row],[b1]])</f>
        <v>0</v>
      </c>
      <c r="J892" s="68" t="b">
        <f>IF(Tab.11[[#This Row],[a1]]=1,IF($I$3&lt;0,Tab.11[[#This Row],[b5]]-$I$3,Tab.11[[#This Row],[b5]]))</f>
        <v>0</v>
      </c>
      <c r="K892" s="68" t="b">
        <f>IF(Tab.11[[#This Row],[a1]]=1,IF($K$3=0,Tab.11[b6],Tab.11[[#This Row],[b6]]-AVERAGE(Tab.11[b6])))</f>
        <v>0</v>
      </c>
      <c r="L892" s="69" t="b">
        <f>IF(Tab.11[[#This Row],[a1]]=1,Tab.11[[#This Row],[data]]/(_xlfn.STDEV.P(Tab.11[data])*$B$989)+$A$989)</f>
        <v>0</v>
      </c>
      <c r="M892" s="69" t="b">
        <f>IF(Tab.11[[#This Row],[a1]]=1,Tab.11[[#This Row],[data]]/(_xlfn.STDEV.P(Tab.11[data])*$B$987)-$A$987)</f>
        <v>0</v>
      </c>
      <c r="N892" s="69" t="b">
        <f>IF(Tab.11[[#This Row],[a1]]=1,Tab.11[[#This Row],[data]]/(_xlfn.STDEV.P(Tab.11[data])*$B$988)+$A$988)</f>
        <v>0</v>
      </c>
      <c r="O892" s="70" t="b">
        <f>IF(Tab.11[[#This Row],[a1]]=1,_xlfn.NORM.DIST(Tab.11[[#This Row],[b8]],$P$1,$Q$1,FALSE))</f>
        <v>0</v>
      </c>
      <c r="P892" s="70" t="b">
        <f>IF(Tab.11[[#This Row],[a1]]=1,_xlfn.NORM.DIST(Tab.11[[#This Row],[b9]],$P$1,$Q$1,FALSE))</f>
        <v>0</v>
      </c>
      <c r="Q892" s="70" t="b">
        <f>IF(Tab.11[[#This Row],[a1]]=1,_xlfn.NORM.DIST(Tab.11[[#This Row],[b10]],$P$1,$Q$1,FALSE))</f>
        <v>0</v>
      </c>
      <c r="R892" s="67" t="b">
        <f>IF(Tab.11[[#This Row],[a1]]=1,$I$3+$A$989+IF($K$3=0,Tab.11[[#This Row],[b8]]*_xlfn.STDEV.P(Tab.11[data]),AVERAGE(Tab.11[b6])+Tab.11[[#This Row],[b8]]*_xlfn.STDEV.P(Tab.11[data])))</f>
        <v>0</v>
      </c>
      <c r="S892" s="71" t="b">
        <f>IF(Tab.11[[#This Row],[a1]]=1,$I$3+$A$987+IF($K$3=0,Tab.11[[#This Row],[b9]]*_xlfn.STDEV.P(Tab.11[data]),AVERAGE(Tab.11[b6])+Tab.11[[#This Row],[b9]]*_xlfn.STDEV.P(Tab.11[data])))</f>
        <v>0</v>
      </c>
      <c r="T892" s="71" t="b">
        <f>IF(Tab.11[[#This Row],[a1]]=1,$I$3+$A$988+IF($K$3=0,Tab.11[[#This Row],[b10]]*_xlfn.STDEV.P(Tab.11[data]),AVERAGE(Tab.11[b6])+Tab.11[[#This Row],[b10]]*_xlfn.STDEV.P(Tab.11[data])))</f>
        <v>0</v>
      </c>
      <c r="U892" s="72" t="b">
        <f>IF(Tab.11[[#This Row],[a1]]=1,Tab.11[[#This Row],[target]]-Tab.11[[#This Row],[Red]])</f>
        <v>0</v>
      </c>
      <c r="V892" s="72" t="b">
        <f>IF(Tab.11[[#This Row],[a1]]=1,Tab.11[[#This Row],[target]]-Tab.11[[#This Row],[Blue]])</f>
        <v>0</v>
      </c>
      <c r="W892" s="73" t="b">
        <f>IF(Tab.11[[#This Row],[a1]]=1,IF(ABS(Tab.11[[#This Row],[b17]])+ABS(Tab.11[[#This Row],[b18]])&lt;$W$2,$W$2,ABS(Tab.11[[#This Row],[b17]])+ABS(Tab.11[[#This Row],[b18]])))</f>
        <v>0</v>
      </c>
      <c r="X892" s="136" t="b">
        <f>IF(Tab.11[[#This Row],[a1]]=1,IF($W$3&lt;0,Tab.11[[#This Row],[IN]]-$I$3,Tab.11[[#This Row],[IN]]))</f>
        <v>0</v>
      </c>
      <c r="Y892" s="136" t="b">
        <f>IF(Tab.11[[#This Row],[a1]]=1,IF($X$3=0,Tab.11[b66],Tab.11[[#This Row],[b66]]-AVERAGE(Tab.11[b66])))</f>
        <v>0</v>
      </c>
      <c r="Z892" s="135" t="b">
        <f>IF(Tab.11[[#This Row],[a1]]=1,Tab.11[[#This Row],[b77]]/(_xlfn.STDEV.P(Tab.11[b77])))</f>
        <v>0</v>
      </c>
      <c r="AA892" s="70" t="b">
        <f>IF(Tab.11[[#This Row],[a1]]=1,_xlfn.NORM.DIST(Tab.11[[#This Row],[b88]],$Z$1,$AA$1,FALSE))</f>
        <v>0</v>
      </c>
      <c r="AB892" s="74" t="b">
        <f>IF(Tab.11[[#This Row],[a1]]=1,IF($A$3=0,FALSE,1/Tab.11[[#This Row],[IN]]*$AC$2*IF(Tab.11[[#This Row],[a1]]=0,,$A$3*$AC$1*1/$V$3*(Tab.11[[#This Row],[b14]]))))</f>
        <v>0</v>
      </c>
      <c r="AC892" s="75" t="b">
        <f>IF(Tab.11[[#This Row],[a1]]=1,IF($AC$3=0,Tab.11[[#This Row],[φ1]],Tab.11[[#This Row],[φ1]]/MAX(Tab.11[φ1])))</f>
        <v>0</v>
      </c>
      <c r="AD892" s="74" t="b">
        <f>IF(Tab.11[[#This Row],[a1]]=1,1/Tab.11[[#This Row],[φ2]])</f>
        <v>0</v>
      </c>
      <c r="AE892" s="74" t="b">
        <f>IF(Tab.11[[#This Row],[a1]]=1,IF($AE$3=0,Tab.11[[#This Row],[w.0]],Tab.11[[#This Row],[w.0]]/SUM(Tab.11[w.0])))</f>
        <v>0</v>
      </c>
      <c r="AF892" s="76" t="str">
        <f>IF(Tab.11[[#This Row],[a1]]=0,"false",[3]!Tab.x5[[#This Row],[%_seN_C]])</f>
        <v>false</v>
      </c>
      <c r="AG892" s="77" t="b">
        <f>IF(Tab.11[[#This Row],[a1]]=1,AP892)</f>
        <v>0</v>
      </c>
      <c r="AH892" s="78" t="b">
        <f>IF(Tab.11[[#This Row],[a1]]=1,AQ892)</f>
        <v>0</v>
      </c>
      <c r="AI892" s="41">
        <v>3.0000000000000001E-3</v>
      </c>
      <c r="AJ892" s="79">
        <v>-0.06</v>
      </c>
      <c r="AK892" s="80" t="b">
        <f>IF(Tab.11[[#This Row],[a1]]=1,1)</f>
        <v>0</v>
      </c>
      <c r="AZ892"/>
    </row>
    <row r="893" spans="1:52" hidden="1" x14ac:dyDescent="0.25">
      <c r="A893" s="61">
        <f t="shared" si="29"/>
        <v>0</v>
      </c>
      <c r="B893" s="62">
        <f t="shared" si="29"/>
        <v>0</v>
      </c>
      <c r="C893" s="62" t="b">
        <f>IF(Tab.11[[#This Row],[a1]]=1,[3]!Tab_x1[[#This Row],[Name]])</f>
        <v>0</v>
      </c>
      <c r="D893" s="63" t="b">
        <f>IF(Tab.11[[#This Row],[a1]]=1,AO893)</f>
        <v>0</v>
      </c>
      <c r="E893" s="63">
        <f t="shared" si="28"/>
        <v>0</v>
      </c>
      <c r="F893" s="64" t="b">
        <f>IF(Tab.11[[#This Row],[a1]]=1,Tab.11[[#This Row],[b1]])</f>
        <v>0</v>
      </c>
      <c r="G893" s="65" t="b">
        <f>IF(Tab.11[[#This Row],[a1]]=1,IF(Tab.11[[#This Row],[b3]]&gt;$L$989*$G$3,$L$989*$G$3,IF(Tab.11[[#This Row],[b3]]&lt;$M$989*$G$3,$M$989*$G$3,Tab.11[[#This Row],[b3]])))</f>
        <v>0</v>
      </c>
      <c r="H893" s="66" t="b">
        <f>IF(Tab.11[[#This Row],[a1]]=1,Tab.11[[#This Row],[b1]])</f>
        <v>0</v>
      </c>
      <c r="I893" s="67" t="b">
        <f>IF(Tab.11[[#This Row],[a1]]=1,Tab.11[[#This Row],[b1]])</f>
        <v>0</v>
      </c>
      <c r="J893" s="68" t="b">
        <f>IF(Tab.11[[#This Row],[a1]]=1,IF($I$3&lt;0,Tab.11[[#This Row],[b5]]-$I$3,Tab.11[[#This Row],[b5]]))</f>
        <v>0</v>
      </c>
      <c r="K893" s="68" t="b">
        <f>IF(Tab.11[[#This Row],[a1]]=1,IF($K$3=0,Tab.11[b6],Tab.11[[#This Row],[b6]]-AVERAGE(Tab.11[b6])))</f>
        <v>0</v>
      </c>
      <c r="L893" s="69" t="b">
        <f>IF(Tab.11[[#This Row],[a1]]=1,Tab.11[[#This Row],[data]]/(_xlfn.STDEV.P(Tab.11[data])*$B$989)+$A$989)</f>
        <v>0</v>
      </c>
      <c r="M893" s="69" t="b">
        <f>IF(Tab.11[[#This Row],[a1]]=1,Tab.11[[#This Row],[data]]/(_xlfn.STDEV.P(Tab.11[data])*$B$987)-$A$987)</f>
        <v>0</v>
      </c>
      <c r="N893" s="69" t="b">
        <f>IF(Tab.11[[#This Row],[a1]]=1,Tab.11[[#This Row],[data]]/(_xlfn.STDEV.P(Tab.11[data])*$B$988)+$A$988)</f>
        <v>0</v>
      </c>
      <c r="O893" s="70" t="b">
        <f>IF(Tab.11[[#This Row],[a1]]=1,_xlfn.NORM.DIST(Tab.11[[#This Row],[b8]],$P$1,$Q$1,FALSE))</f>
        <v>0</v>
      </c>
      <c r="P893" s="70" t="b">
        <f>IF(Tab.11[[#This Row],[a1]]=1,_xlfn.NORM.DIST(Tab.11[[#This Row],[b9]],$P$1,$Q$1,FALSE))</f>
        <v>0</v>
      </c>
      <c r="Q893" s="70" t="b">
        <f>IF(Tab.11[[#This Row],[a1]]=1,_xlfn.NORM.DIST(Tab.11[[#This Row],[b10]],$P$1,$Q$1,FALSE))</f>
        <v>0</v>
      </c>
      <c r="R893" s="67" t="b">
        <f>IF(Tab.11[[#This Row],[a1]]=1,$I$3+$A$989+IF($K$3=0,Tab.11[[#This Row],[b8]]*_xlfn.STDEV.P(Tab.11[data]),AVERAGE(Tab.11[b6])+Tab.11[[#This Row],[b8]]*_xlfn.STDEV.P(Tab.11[data])))</f>
        <v>0</v>
      </c>
      <c r="S893" s="71" t="b">
        <f>IF(Tab.11[[#This Row],[a1]]=1,$I$3+$A$987+IF($K$3=0,Tab.11[[#This Row],[b9]]*_xlfn.STDEV.P(Tab.11[data]),AVERAGE(Tab.11[b6])+Tab.11[[#This Row],[b9]]*_xlfn.STDEV.P(Tab.11[data])))</f>
        <v>0</v>
      </c>
      <c r="T893" s="71" t="b">
        <f>IF(Tab.11[[#This Row],[a1]]=1,$I$3+$A$988+IF($K$3=0,Tab.11[[#This Row],[b10]]*_xlfn.STDEV.P(Tab.11[data]),AVERAGE(Tab.11[b6])+Tab.11[[#This Row],[b10]]*_xlfn.STDEV.P(Tab.11[data])))</f>
        <v>0</v>
      </c>
      <c r="U893" s="72" t="b">
        <f>IF(Tab.11[[#This Row],[a1]]=1,Tab.11[[#This Row],[target]]-Tab.11[[#This Row],[Red]])</f>
        <v>0</v>
      </c>
      <c r="V893" s="72" t="b">
        <f>IF(Tab.11[[#This Row],[a1]]=1,Tab.11[[#This Row],[target]]-Tab.11[[#This Row],[Blue]])</f>
        <v>0</v>
      </c>
      <c r="W893" s="73" t="b">
        <f>IF(Tab.11[[#This Row],[a1]]=1,IF(ABS(Tab.11[[#This Row],[b17]])+ABS(Tab.11[[#This Row],[b18]])&lt;$W$2,$W$2,ABS(Tab.11[[#This Row],[b17]])+ABS(Tab.11[[#This Row],[b18]])))</f>
        <v>0</v>
      </c>
      <c r="X893" s="136" t="b">
        <f>IF(Tab.11[[#This Row],[a1]]=1,IF($W$3&lt;0,Tab.11[[#This Row],[IN]]-$I$3,Tab.11[[#This Row],[IN]]))</f>
        <v>0</v>
      </c>
      <c r="Y893" s="136" t="b">
        <f>IF(Tab.11[[#This Row],[a1]]=1,IF($X$3=0,Tab.11[b66],Tab.11[[#This Row],[b66]]-AVERAGE(Tab.11[b66])))</f>
        <v>0</v>
      </c>
      <c r="Z893" s="135" t="b">
        <f>IF(Tab.11[[#This Row],[a1]]=1,Tab.11[[#This Row],[b77]]/(_xlfn.STDEV.P(Tab.11[b77])))</f>
        <v>0</v>
      </c>
      <c r="AA893" s="70" t="b">
        <f>IF(Tab.11[[#This Row],[a1]]=1,_xlfn.NORM.DIST(Tab.11[[#This Row],[b88]],$Z$1,$AA$1,FALSE))</f>
        <v>0</v>
      </c>
      <c r="AB893" s="74" t="b">
        <f>IF(Tab.11[[#This Row],[a1]]=1,IF($A$3=0,FALSE,1/Tab.11[[#This Row],[IN]]*$AC$2*IF(Tab.11[[#This Row],[a1]]=0,,$A$3*$AC$1*1/$V$3*(Tab.11[[#This Row],[b14]]))))</f>
        <v>0</v>
      </c>
      <c r="AC893" s="75" t="b">
        <f>IF(Tab.11[[#This Row],[a1]]=1,IF($AC$3=0,Tab.11[[#This Row],[φ1]],Tab.11[[#This Row],[φ1]]/MAX(Tab.11[φ1])))</f>
        <v>0</v>
      </c>
      <c r="AD893" s="74" t="b">
        <f>IF(Tab.11[[#This Row],[a1]]=1,1/Tab.11[[#This Row],[φ2]])</f>
        <v>0</v>
      </c>
      <c r="AE893" s="74" t="b">
        <f>IF(Tab.11[[#This Row],[a1]]=1,IF($AE$3=0,Tab.11[[#This Row],[w.0]],Tab.11[[#This Row],[w.0]]/SUM(Tab.11[w.0])))</f>
        <v>0</v>
      </c>
      <c r="AF893" s="76" t="str">
        <f>IF(Tab.11[[#This Row],[a1]]=0,"false",[3]!Tab.x5[[#This Row],[%_seN_C]])</f>
        <v>false</v>
      </c>
      <c r="AG893" s="77" t="b">
        <f>IF(Tab.11[[#This Row],[a1]]=1,AP893)</f>
        <v>0</v>
      </c>
      <c r="AH893" s="78" t="b">
        <f>IF(Tab.11[[#This Row],[a1]]=1,AQ893)</f>
        <v>0</v>
      </c>
      <c r="AI893" s="41">
        <v>3.0000000000000001E-3</v>
      </c>
      <c r="AJ893" s="79">
        <v>0.03</v>
      </c>
      <c r="AK893" s="80" t="b">
        <f>IF(Tab.11[[#This Row],[a1]]=1,1)</f>
        <v>0</v>
      </c>
      <c r="AZ893"/>
    </row>
    <row r="894" spans="1:52" hidden="1" x14ac:dyDescent="0.25">
      <c r="A894" s="61">
        <f t="shared" si="29"/>
        <v>0</v>
      </c>
      <c r="B894" s="62">
        <f t="shared" si="29"/>
        <v>0</v>
      </c>
      <c r="C894" s="62" t="b">
        <f>IF(Tab.11[[#This Row],[a1]]=1,[3]!Tab_x1[[#This Row],[Name]])</f>
        <v>0</v>
      </c>
      <c r="D894" s="63" t="b">
        <f>IF(Tab.11[[#This Row],[a1]]=1,AO894)</f>
        <v>0</v>
      </c>
      <c r="E894" s="63">
        <f t="shared" si="28"/>
        <v>0</v>
      </c>
      <c r="F894" s="64" t="b">
        <f>IF(Tab.11[[#This Row],[a1]]=1,Tab.11[[#This Row],[b1]])</f>
        <v>0</v>
      </c>
      <c r="G894" s="65" t="b">
        <f>IF(Tab.11[[#This Row],[a1]]=1,IF(Tab.11[[#This Row],[b3]]&gt;$L$989*$G$3,$L$989*$G$3,IF(Tab.11[[#This Row],[b3]]&lt;$M$989*$G$3,$M$989*$G$3,Tab.11[[#This Row],[b3]])))</f>
        <v>0</v>
      </c>
      <c r="H894" s="66" t="b">
        <f>IF(Tab.11[[#This Row],[a1]]=1,Tab.11[[#This Row],[b1]])</f>
        <v>0</v>
      </c>
      <c r="I894" s="67" t="b">
        <f>IF(Tab.11[[#This Row],[a1]]=1,Tab.11[[#This Row],[b1]])</f>
        <v>0</v>
      </c>
      <c r="J894" s="68" t="b">
        <f>IF(Tab.11[[#This Row],[a1]]=1,IF($I$3&lt;0,Tab.11[[#This Row],[b5]]-$I$3,Tab.11[[#This Row],[b5]]))</f>
        <v>0</v>
      </c>
      <c r="K894" s="68" t="b">
        <f>IF(Tab.11[[#This Row],[a1]]=1,IF($K$3=0,Tab.11[b6],Tab.11[[#This Row],[b6]]-AVERAGE(Tab.11[b6])))</f>
        <v>0</v>
      </c>
      <c r="L894" s="69" t="b">
        <f>IF(Tab.11[[#This Row],[a1]]=1,Tab.11[[#This Row],[data]]/(_xlfn.STDEV.P(Tab.11[data])*$B$989)+$A$989)</f>
        <v>0</v>
      </c>
      <c r="M894" s="69" t="b">
        <f>IF(Tab.11[[#This Row],[a1]]=1,Tab.11[[#This Row],[data]]/(_xlfn.STDEV.P(Tab.11[data])*$B$987)-$A$987)</f>
        <v>0</v>
      </c>
      <c r="N894" s="69" t="b">
        <f>IF(Tab.11[[#This Row],[a1]]=1,Tab.11[[#This Row],[data]]/(_xlfn.STDEV.P(Tab.11[data])*$B$988)+$A$988)</f>
        <v>0</v>
      </c>
      <c r="O894" s="70" t="b">
        <f>IF(Tab.11[[#This Row],[a1]]=1,_xlfn.NORM.DIST(Tab.11[[#This Row],[b8]],$P$1,$Q$1,FALSE))</f>
        <v>0</v>
      </c>
      <c r="P894" s="70" t="b">
        <f>IF(Tab.11[[#This Row],[a1]]=1,_xlfn.NORM.DIST(Tab.11[[#This Row],[b9]],$P$1,$Q$1,FALSE))</f>
        <v>0</v>
      </c>
      <c r="Q894" s="70" t="b">
        <f>IF(Tab.11[[#This Row],[a1]]=1,_xlfn.NORM.DIST(Tab.11[[#This Row],[b10]],$P$1,$Q$1,FALSE))</f>
        <v>0</v>
      </c>
      <c r="R894" s="67" t="b">
        <f>IF(Tab.11[[#This Row],[a1]]=1,$I$3+$A$989+IF($K$3=0,Tab.11[[#This Row],[b8]]*_xlfn.STDEV.P(Tab.11[data]),AVERAGE(Tab.11[b6])+Tab.11[[#This Row],[b8]]*_xlfn.STDEV.P(Tab.11[data])))</f>
        <v>0</v>
      </c>
      <c r="S894" s="71" t="b">
        <f>IF(Tab.11[[#This Row],[a1]]=1,$I$3+$A$987+IF($K$3=0,Tab.11[[#This Row],[b9]]*_xlfn.STDEV.P(Tab.11[data]),AVERAGE(Tab.11[b6])+Tab.11[[#This Row],[b9]]*_xlfn.STDEV.P(Tab.11[data])))</f>
        <v>0</v>
      </c>
      <c r="T894" s="71" t="b">
        <f>IF(Tab.11[[#This Row],[a1]]=1,$I$3+$A$988+IF($K$3=0,Tab.11[[#This Row],[b10]]*_xlfn.STDEV.P(Tab.11[data]),AVERAGE(Tab.11[b6])+Tab.11[[#This Row],[b10]]*_xlfn.STDEV.P(Tab.11[data])))</f>
        <v>0</v>
      </c>
      <c r="U894" s="72" t="b">
        <f>IF(Tab.11[[#This Row],[a1]]=1,Tab.11[[#This Row],[target]]-Tab.11[[#This Row],[Red]])</f>
        <v>0</v>
      </c>
      <c r="V894" s="72" t="b">
        <f>IF(Tab.11[[#This Row],[a1]]=1,Tab.11[[#This Row],[target]]-Tab.11[[#This Row],[Blue]])</f>
        <v>0</v>
      </c>
      <c r="W894" s="73" t="b">
        <f>IF(Tab.11[[#This Row],[a1]]=1,IF(ABS(Tab.11[[#This Row],[b17]])+ABS(Tab.11[[#This Row],[b18]])&lt;$W$2,$W$2,ABS(Tab.11[[#This Row],[b17]])+ABS(Tab.11[[#This Row],[b18]])))</f>
        <v>0</v>
      </c>
      <c r="X894" s="136" t="b">
        <f>IF(Tab.11[[#This Row],[a1]]=1,IF($W$3&lt;0,Tab.11[[#This Row],[IN]]-$I$3,Tab.11[[#This Row],[IN]]))</f>
        <v>0</v>
      </c>
      <c r="Y894" s="136" t="b">
        <f>IF(Tab.11[[#This Row],[a1]]=1,IF($X$3=0,Tab.11[b66],Tab.11[[#This Row],[b66]]-AVERAGE(Tab.11[b66])))</f>
        <v>0</v>
      </c>
      <c r="Z894" s="135" t="b">
        <f>IF(Tab.11[[#This Row],[a1]]=1,Tab.11[[#This Row],[b77]]/(_xlfn.STDEV.P(Tab.11[b77])))</f>
        <v>0</v>
      </c>
      <c r="AA894" s="70" t="b">
        <f>IF(Tab.11[[#This Row],[a1]]=1,_xlfn.NORM.DIST(Tab.11[[#This Row],[b88]],$Z$1,$AA$1,FALSE))</f>
        <v>0</v>
      </c>
      <c r="AB894" s="74" t="b">
        <f>IF(Tab.11[[#This Row],[a1]]=1,IF($A$3=0,FALSE,1/Tab.11[[#This Row],[IN]]*$AC$2*IF(Tab.11[[#This Row],[a1]]=0,,$A$3*$AC$1*1/$V$3*(Tab.11[[#This Row],[b14]]))))</f>
        <v>0</v>
      </c>
      <c r="AC894" s="75" t="b">
        <f>IF(Tab.11[[#This Row],[a1]]=1,IF($AC$3=0,Tab.11[[#This Row],[φ1]],Tab.11[[#This Row],[φ1]]/MAX(Tab.11[φ1])))</f>
        <v>0</v>
      </c>
      <c r="AD894" s="74" t="b">
        <f>IF(Tab.11[[#This Row],[a1]]=1,1/Tab.11[[#This Row],[φ2]])</f>
        <v>0</v>
      </c>
      <c r="AE894" s="74" t="b">
        <f>IF(Tab.11[[#This Row],[a1]]=1,IF($AE$3=0,Tab.11[[#This Row],[w.0]],Tab.11[[#This Row],[w.0]]/SUM(Tab.11[w.0])))</f>
        <v>0</v>
      </c>
      <c r="AF894" s="76" t="str">
        <f>IF(Tab.11[[#This Row],[a1]]=0,"false",[3]!Tab.x5[[#This Row],[%_seN_C]])</f>
        <v>false</v>
      </c>
      <c r="AG894" s="77" t="b">
        <f>IF(Tab.11[[#This Row],[a1]]=1,AP894)</f>
        <v>0</v>
      </c>
      <c r="AH894" s="78" t="b">
        <f>IF(Tab.11[[#This Row],[a1]]=1,AQ894)</f>
        <v>0</v>
      </c>
      <c r="AI894" s="41">
        <v>3.0000000000000001E-3</v>
      </c>
      <c r="AJ894" s="79">
        <v>0.09</v>
      </c>
      <c r="AK894" s="80" t="b">
        <f>IF(Tab.11[[#This Row],[a1]]=1,1)</f>
        <v>0</v>
      </c>
      <c r="AZ894"/>
    </row>
    <row r="895" spans="1:52" hidden="1" x14ac:dyDescent="0.25">
      <c r="A895" s="61">
        <f t="shared" si="29"/>
        <v>0</v>
      </c>
      <c r="B895" s="62">
        <f t="shared" si="29"/>
        <v>0</v>
      </c>
      <c r="C895" s="62" t="b">
        <f>IF(Tab.11[[#This Row],[a1]]=1,[3]!Tab_x1[[#This Row],[Name]])</f>
        <v>0</v>
      </c>
      <c r="D895" s="63" t="b">
        <f>IF(Tab.11[[#This Row],[a1]]=1,AO895)</f>
        <v>0</v>
      </c>
      <c r="E895" s="63">
        <f t="shared" si="28"/>
        <v>0</v>
      </c>
      <c r="F895" s="64" t="b">
        <f>IF(Tab.11[[#This Row],[a1]]=1,Tab.11[[#This Row],[b1]])</f>
        <v>0</v>
      </c>
      <c r="G895" s="65" t="b">
        <f>IF(Tab.11[[#This Row],[a1]]=1,IF(Tab.11[[#This Row],[b3]]&gt;$L$989*$G$3,$L$989*$G$3,IF(Tab.11[[#This Row],[b3]]&lt;$M$989*$G$3,$M$989*$G$3,Tab.11[[#This Row],[b3]])))</f>
        <v>0</v>
      </c>
      <c r="H895" s="66" t="b">
        <f>IF(Tab.11[[#This Row],[a1]]=1,Tab.11[[#This Row],[b1]])</f>
        <v>0</v>
      </c>
      <c r="I895" s="67" t="b">
        <f>IF(Tab.11[[#This Row],[a1]]=1,Tab.11[[#This Row],[b1]])</f>
        <v>0</v>
      </c>
      <c r="J895" s="68" t="b">
        <f>IF(Tab.11[[#This Row],[a1]]=1,IF($I$3&lt;0,Tab.11[[#This Row],[b5]]-$I$3,Tab.11[[#This Row],[b5]]))</f>
        <v>0</v>
      </c>
      <c r="K895" s="68" t="b">
        <f>IF(Tab.11[[#This Row],[a1]]=1,IF($K$3=0,Tab.11[b6],Tab.11[[#This Row],[b6]]-AVERAGE(Tab.11[b6])))</f>
        <v>0</v>
      </c>
      <c r="L895" s="69" t="b">
        <f>IF(Tab.11[[#This Row],[a1]]=1,Tab.11[[#This Row],[data]]/(_xlfn.STDEV.P(Tab.11[data])*$B$989)+$A$989)</f>
        <v>0</v>
      </c>
      <c r="M895" s="69" t="b">
        <f>IF(Tab.11[[#This Row],[a1]]=1,Tab.11[[#This Row],[data]]/(_xlfn.STDEV.P(Tab.11[data])*$B$987)-$A$987)</f>
        <v>0</v>
      </c>
      <c r="N895" s="69" t="b">
        <f>IF(Tab.11[[#This Row],[a1]]=1,Tab.11[[#This Row],[data]]/(_xlfn.STDEV.P(Tab.11[data])*$B$988)+$A$988)</f>
        <v>0</v>
      </c>
      <c r="O895" s="70" t="b">
        <f>IF(Tab.11[[#This Row],[a1]]=1,_xlfn.NORM.DIST(Tab.11[[#This Row],[b8]],$P$1,$Q$1,FALSE))</f>
        <v>0</v>
      </c>
      <c r="P895" s="70" t="b">
        <f>IF(Tab.11[[#This Row],[a1]]=1,_xlfn.NORM.DIST(Tab.11[[#This Row],[b9]],$P$1,$Q$1,FALSE))</f>
        <v>0</v>
      </c>
      <c r="Q895" s="70" t="b">
        <f>IF(Tab.11[[#This Row],[a1]]=1,_xlfn.NORM.DIST(Tab.11[[#This Row],[b10]],$P$1,$Q$1,FALSE))</f>
        <v>0</v>
      </c>
      <c r="R895" s="67" t="b">
        <f>IF(Tab.11[[#This Row],[a1]]=1,$I$3+$A$989+IF($K$3=0,Tab.11[[#This Row],[b8]]*_xlfn.STDEV.P(Tab.11[data]),AVERAGE(Tab.11[b6])+Tab.11[[#This Row],[b8]]*_xlfn.STDEV.P(Tab.11[data])))</f>
        <v>0</v>
      </c>
      <c r="S895" s="71" t="b">
        <f>IF(Tab.11[[#This Row],[a1]]=1,$I$3+$A$987+IF($K$3=0,Tab.11[[#This Row],[b9]]*_xlfn.STDEV.P(Tab.11[data]),AVERAGE(Tab.11[b6])+Tab.11[[#This Row],[b9]]*_xlfn.STDEV.P(Tab.11[data])))</f>
        <v>0</v>
      </c>
      <c r="T895" s="71" t="b">
        <f>IF(Tab.11[[#This Row],[a1]]=1,$I$3+$A$988+IF($K$3=0,Tab.11[[#This Row],[b10]]*_xlfn.STDEV.P(Tab.11[data]),AVERAGE(Tab.11[b6])+Tab.11[[#This Row],[b10]]*_xlfn.STDEV.P(Tab.11[data])))</f>
        <v>0</v>
      </c>
      <c r="U895" s="72" t="b">
        <f>IF(Tab.11[[#This Row],[a1]]=1,Tab.11[[#This Row],[target]]-Tab.11[[#This Row],[Red]])</f>
        <v>0</v>
      </c>
      <c r="V895" s="72" t="b">
        <f>IF(Tab.11[[#This Row],[a1]]=1,Tab.11[[#This Row],[target]]-Tab.11[[#This Row],[Blue]])</f>
        <v>0</v>
      </c>
      <c r="W895" s="73" t="b">
        <f>IF(Tab.11[[#This Row],[a1]]=1,IF(ABS(Tab.11[[#This Row],[b17]])+ABS(Tab.11[[#This Row],[b18]])&lt;$W$2,$W$2,ABS(Tab.11[[#This Row],[b17]])+ABS(Tab.11[[#This Row],[b18]])))</f>
        <v>0</v>
      </c>
      <c r="X895" s="136" t="b">
        <f>IF(Tab.11[[#This Row],[a1]]=1,IF($W$3&lt;0,Tab.11[[#This Row],[IN]]-$I$3,Tab.11[[#This Row],[IN]]))</f>
        <v>0</v>
      </c>
      <c r="Y895" s="136" t="b">
        <f>IF(Tab.11[[#This Row],[a1]]=1,IF($X$3=0,Tab.11[b66],Tab.11[[#This Row],[b66]]-AVERAGE(Tab.11[b66])))</f>
        <v>0</v>
      </c>
      <c r="Z895" s="135" t="b">
        <f>IF(Tab.11[[#This Row],[a1]]=1,Tab.11[[#This Row],[b77]]/(_xlfn.STDEV.P(Tab.11[b77])))</f>
        <v>0</v>
      </c>
      <c r="AA895" s="70" t="b">
        <f>IF(Tab.11[[#This Row],[a1]]=1,_xlfn.NORM.DIST(Tab.11[[#This Row],[b88]],$Z$1,$AA$1,FALSE))</f>
        <v>0</v>
      </c>
      <c r="AB895" s="74" t="b">
        <f>IF(Tab.11[[#This Row],[a1]]=1,IF($A$3=0,FALSE,1/Tab.11[[#This Row],[IN]]*$AC$2*IF(Tab.11[[#This Row],[a1]]=0,,$A$3*$AC$1*1/$V$3*(Tab.11[[#This Row],[b14]]))))</f>
        <v>0</v>
      </c>
      <c r="AC895" s="75" t="b">
        <f>IF(Tab.11[[#This Row],[a1]]=1,IF($AC$3=0,Tab.11[[#This Row],[φ1]],Tab.11[[#This Row],[φ1]]/MAX(Tab.11[φ1])))</f>
        <v>0</v>
      </c>
      <c r="AD895" s="74" t="b">
        <f>IF(Tab.11[[#This Row],[a1]]=1,1/Tab.11[[#This Row],[φ2]])</f>
        <v>0</v>
      </c>
      <c r="AE895" s="74" t="b">
        <f>IF(Tab.11[[#This Row],[a1]]=1,IF($AE$3=0,Tab.11[[#This Row],[w.0]],Tab.11[[#This Row],[w.0]]/SUM(Tab.11[w.0])))</f>
        <v>0</v>
      </c>
      <c r="AF895" s="76" t="str">
        <f>IF(Tab.11[[#This Row],[a1]]=0,"false",[3]!Tab.x5[[#This Row],[%_seN_C]])</f>
        <v>false</v>
      </c>
      <c r="AG895" s="77" t="b">
        <f>IF(Tab.11[[#This Row],[a1]]=1,AP895)</f>
        <v>0</v>
      </c>
      <c r="AH895" s="78" t="b">
        <f>IF(Tab.11[[#This Row],[a1]]=1,AQ895)</f>
        <v>0</v>
      </c>
      <c r="AI895" s="41">
        <v>3.0000000000000001E-3</v>
      </c>
      <c r="AJ895" s="79">
        <v>0</v>
      </c>
      <c r="AK895" s="80" t="b">
        <f>IF(Tab.11[[#This Row],[a1]]=1,1)</f>
        <v>0</v>
      </c>
      <c r="AZ895"/>
    </row>
    <row r="896" spans="1:52" hidden="1" x14ac:dyDescent="0.25">
      <c r="A896" s="61">
        <f t="shared" si="29"/>
        <v>0</v>
      </c>
      <c r="B896" s="62">
        <f t="shared" si="29"/>
        <v>0</v>
      </c>
      <c r="C896" s="62" t="b">
        <f>IF(Tab.11[[#This Row],[a1]]=1,[3]!Tab_x1[[#This Row],[Name]])</f>
        <v>0</v>
      </c>
      <c r="D896" s="63" t="b">
        <f>IF(Tab.11[[#This Row],[a1]]=1,AO896)</f>
        <v>0</v>
      </c>
      <c r="E896" s="63">
        <f t="shared" si="28"/>
        <v>0</v>
      </c>
      <c r="F896" s="64" t="b">
        <f>IF(Tab.11[[#This Row],[a1]]=1,Tab.11[[#This Row],[b1]])</f>
        <v>0</v>
      </c>
      <c r="G896" s="65" t="b">
        <f>IF(Tab.11[[#This Row],[a1]]=1,IF(Tab.11[[#This Row],[b3]]&gt;$L$989*$G$3,$L$989*$G$3,IF(Tab.11[[#This Row],[b3]]&lt;$M$989*$G$3,$M$989*$G$3,Tab.11[[#This Row],[b3]])))</f>
        <v>0</v>
      </c>
      <c r="H896" s="66" t="b">
        <f>IF(Tab.11[[#This Row],[a1]]=1,Tab.11[[#This Row],[b1]])</f>
        <v>0</v>
      </c>
      <c r="I896" s="67" t="b">
        <f>IF(Tab.11[[#This Row],[a1]]=1,Tab.11[[#This Row],[b1]])</f>
        <v>0</v>
      </c>
      <c r="J896" s="68" t="b">
        <f>IF(Tab.11[[#This Row],[a1]]=1,IF($I$3&lt;0,Tab.11[[#This Row],[b5]]-$I$3,Tab.11[[#This Row],[b5]]))</f>
        <v>0</v>
      </c>
      <c r="K896" s="68" t="b">
        <f>IF(Tab.11[[#This Row],[a1]]=1,IF($K$3=0,Tab.11[b6],Tab.11[[#This Row],[b6]]-AVERAGE(Tab.11[b6])))</f>
        <v>0</v>
      </c>
      <c r="L896" s="69" t="b">
        <f>IF(Tab.11[[#This Row],[a1]]=1,Tab.11[[#This Row],[data]]/(_xlfn.STDEV.P(Tab.11[data])*$B$989)+$A$989)</f>
        <v>0</v>
      </c>
      <c r="M896" s="69" t="b">
        <f>IF(Tab.11[[#This Row],[a1]]=1,Tab.11[[#This Row],[data]]/(_xlfn.STDEV.P(Tab.11[data])*$B$987)-$A$987)</f>
        <v>0</v>
      </c>
      <c r="N896" s="69" t="b">
        <f>IF(Tab.11[[#This Row],[a1]]=1,Tab.11[[#This Row],[data]]/(_xlfn.STDEV.P(Tab.11[data])*$B$988)+$A$988)</f>
        <v>0</v>
      </c>
      <c r="O896" s="70" t="b">
        <f>IF(Tab.11[[#This Row],[a1]]=1,_xlfn.NORM.DIST(Tab.11[[#This Row],[b8]],$P$1,$Q$1,FALSE))</f>
        <v>0</v>
      </c>
      <c r="P896" s="70" t="b">
        <f>IF(Tab.11[[#This Row],[a1]]=1,_xlfn.NORM.DIST(Tab.11[[#This Row],[b9]],$P$1,$Q$1,FALSE))</f>
        <v>0</v>
      </c>
      <c r="Q896" s="70" t="b">
        <f>IF(Tab.11[[#This Row],[a1]]=1,_xlfn.NORM.DIST(Tab.11[[#This Row],[b10]],$P$1,$Q$1,FALSE))</f>
        <v>0</v>
      </c>
      <c r="R896" s="67" t="b">
        <f>IF(Tab.11[[#This Row],[a1]]=1,$I$3+$A$989+IF($K$3=0,Tab.11[[#This Row],[b8]]*_xlfn.STDEV.P(Tab.11[data]),AVERAGE(Tab.11[b6])+Tab.11[[#This Row],[b8]]*_xlfn.STDEV.P(Tab.11[data])))</f>
        <v>0</v>
      </c>
      <c r="S896" s="71" t="b">
        <f>IF(Tab.11[[#This Row],[a1]]=1,$I$3+$A$987+IF($K$3=0,Tab.11[[#This Row],[b9]]*_xlfn.STDEV.P(Tab.11[data]),AVERAGE(Tab.11[b6])+Tab.11[[#This Row],[b9]]*_xlfn.STDEV.P(Tab.11[data])))</f>
        <v>0</v>
      </c>
      <c r="T896" s="71" t="b">
        <f>IF(Tab.11[[#This Row],[a1]]=1,$I$3+$A$988+IF($K$3=0,Tab.11[[#This Row],[b10]]*_xlfn.STDEV.P(Tab.11[data]),AVERAGE(Tab.11[b6])+Tab.11[[#This Row],[b10]]*_xlfn.STDEV.P(Tab.11[data])))</f>
        <v>0</v>
      </c>
      <c r="U896" s="72" t="b">
        <f>IF(Tab.11[[#This Row],[a1]]=1,Tab.11[[#This Row],[target]]-Tab.11[[#This Row],[Red]])</f>
        <v>0</v>
      </c>
      <c r="V896" s="72" t="b">
        <f>IF(Tab.11[[#This Row],[a1]]=1,Tab.11[[#This Row],[target]]-Tab.11[[#This Row],[Blue]])</f>
        <v>0</v>
      </c>
      <c r="W896" s="73" t="b">
        <f>IF(Tab.11[[#This Row],[a1]]=1,IF(ABS(Tab.11[[#This Row],[b17]])+ABS(Tab.11[[#This Row],[b18]])&lt;$W$2,$W$2,ABS(Tab.11[[#This Row],[b17]])+ABS(Tab.11[[#This Row],[b18]])))</f>
        <v>0</v>
      </c>
      <c r="X896" s="136" t="b">
        <f>IF(Tab.11[[#This Row],[a1]]=1,IF($W$3&lt;0,Tab.11[[#This Row],[IN]]-$I$3,Tab.11[[#This Row],[IN]]))</f>
        <v>0</v>
      </c>
      <c r="Y896" s="136" t="b">
        <f>IF(Tab.11[[#This Row],[a1]]=1,IF($X$3=0,Tab.11[b66],Tab.11[[#This Row],[b66]]-AVERAGE(Tab.11[b66])))</f>
        <v>0</v>
      </c>
      <c r="Z896" s="135" t="b">
        <f>IF(Tab.11[[#This Row],[a1]]=1,Tab.11[[#This Row],[b77]]/(_xlfn.STDEV.P(Tab.11[b77])))</f>
        <v>0</v>
      </c>
      <c r="AA896" s="70" t="b">
        <f>IF(Tab.11[[#This Row],[a1]]=1,_xlfn.NORM.DIST(Tab.11[[#This Row],[b88]],$Z$1,$AA$1,FALSE))</f>
        <v>0</v>
      </c>
      <c r="AB896" s="74" t="b">
        <f>IF(Tab.11[[#This Row],[a1]]=1,IF($A$3=0,FALSE,1/Tab.11[[#This Row],[IN]]*$AC$2*IF(Tab.11[[#This Row],[a1]]=0,,$A$3*$AC$1*1/$V$3*(Tab.11[[#This Row],[b14]]))))</f>
        <v>0</v>
      </c>
      <c r="AC896" s="75" t="b">
        <f>IF(Tab.11[[#This Row],[a1]]=1,IF($AC$3=0,Tab.11[[#This Row],[φ1]],Tab.11[[#This Row],[φ1]]/MAX(Tab.11[φ1])))</f>
        <v>0</v>
      </c>
      <c r="AD896" s="74" t="b">
        <f>IF(Tab.11[[#This Row],[a1]]=1,1/Tab.11[[#This Row],[φ2]])</f>
        <v>0</v>
      </c>
      <c r="AE896" s="74" t="b">
        <f>IF(Tab.11[[#This Row],[a1]]=1,IF($AE$3=0,Tab.11[[#This Row],[w.0]],Tab.11[[#This Row],[w.0]]/SUM(Tab.11[w.0])))</f>
        <v>0</v>
      </c>
      <c r="AF896" s="76" t="str">
        <f>IF(Tab.11[[#This Row],[a1]]=0,"false",[3]!Tab.x5[[#This Row],[%_seN_C]])</f>
        <v>false</v>
      </c>
      <c r="AG896" s="77" t="b">
        <f>IF(Tab.11[[#This Row],[a1]]=1,AP896)</f>
        <v>0</v>
      </c>
      <c r="AH896" s="78" t="b">
        <f>IF(Tab.11[[#This Row],[a1]]=1,AQ896)</f>
        <v>0</v>
      </c>
      <c r="AI896" s="41">
        <v>3.0000000000000001E-3</v>
      </c>
      <c r="AJ896" s="79">
        <v>0.02</v>
      </c>
      <c r="AK896" s="80" t="b">
        <f>IF(Tab.11[[#This Row],[a1]]=1,1)</f>
        <v>0</v>
      </c>
      <c r="AZ896"/>
    </row>
    <row r="897" spans="1:52" hidden="1" x14ac:dyDescent="0.25">
      <c r="A897" s="61">
        <f t="shared" si="29"/>
        <v>0</v>
      </c>
      <c r="B897" s="62">
        <f t="shared" si="29"/>
        <v>0</v>
      </c>
      <c r="C897" s="62" t="b">
        <f>IF(Tab.11[[#This Row],[a1]]=1,[3]!Tab_x1[[#This Row],[Name]])</f>
        <v>0</v>
      </c>
      <c r="D897" s="63" t="b">
        <f>IF(Tab.11[[#This Row],[a1]]=1,AO897)</f>
        <v>0</v>
      </c>
      <c r="E897" s="63">
        <f t="shared" si="28"/>
        <v>0</v>
      </c>
      <c r="F897" s="64" t="b">
        <f>IF(Tab.11[[#This Row],[a1]]=1,Tab.11[[#This Row],[b1]])</f>
        <v>0</v>
      </c>
      <c r="G897" s="65" t="b">
        <f>IF(Tab.11[[#This Row],[a1]]=1,IF(Tab.11[[#This Row],[b3]]&gt;$L$989*$G$3,$L$989*$G$3,IF(Tab.11[[#This Row],[b3]]&lt;$M$989*$G$3,$M$989*$G$3,Tab.11[[#This Row],[b3]])))</f>
        <v>0</v>
      </c>
      <c r="H897" s="66" t="b">
        <f>IF(Tab.11[[#This Row],[a1]]=1,Tab.11[[#This Row],[b1]])</f>
        <v>0</v>
      </c>
      <c r="I897" s="67" t="b">
        <f>IF(Tab.11[[#This Row],[a1]]=1,Tab.11[[#This Row],[b1]])</f>
        <v>0</v>
      </c>
      <c r="J897" s="68" t="b">
        <f>IF(Tab.11[[#This Row],[a1]]=1,IF($I$3&lt;0,Tab.11[[#This Row],[b5]]-$I$3,Tab.11[[#This Row],[b5]]))</f>
        <v>0</v>
      </c>
      <c r="K897" s="68" t="b">
        <f>IF(Tab.11[[#This Row],[a1]]=1,IF($K$3=0,Tab.11[b6],Tab.11[[#This Row],[b6]]-AVERAGE(Tab.11[b6])))</f>
        <v>0</v>
      </c>
      <c r="L897" s="69" t="b">
        <f>IF(Tab.11[[#This Row],[a1]]=1,Tab.11[[#This Row],[data]]/(_xlfn.STDEV.P(Tab.11[data])*$B$989)+$A$989)</f>
        <v>0</v>
      </c>
      <c r="M897" s="69" t="b">
        <f>IF(Tab.11[[#This Row],[a1]]=1,Tab.11[[#This Row],[data]]/(_xlfn.STDEV.P(Tab.11[data])*$B$987)-$A$987)</f>
        <v>0</v>
      </c>
      <c r="N897" s="69" t="b">
        <f>IF(Tab.11[[#This Row],[a1]]=1,Tab.11[[#This Row],[data]]/(_xlfn.STDEV.P(Tab.11[data])*$B$988)+$A$988)</f>
        <v>0</v>
      </c>
      <c r="O897" s="70" t="b">
        <f>IF(Tab.11[[#This Row],[a1]]=1,_xlfn.NORM.DIST(Tab.11[[#This Row],[b8]],$P$1,$Q$1,FALSE))</f>
        <v>0</v>
      </c>
      <c r="P897" s="70" t="b">
        <f>IF(Tab.11[[#This Row],[a1]]=1,_xlfn.NORM.DIST(Tab.11[[#This Row],[b9]],$P$1,$Q$1,FALSE))</f>
        <v>0</v>
      </c>
      <c r="Q897" s="70" t="b">
        <f>IF(Tab.11[[#This Row],[a1]]=1,_xlfn.NORM.DIST(Tab.11[[#This Row],[b10]],$P$1,$Q$1,FALSE))</f>
        <v>0</v>
      </c>
      <c r="R897" s="67" t="b">
        <f>IF(Tab.11[[#This Row],[a1]]=1,$I$3+$A$989+IF($K$3=0,Tab.11[[#This Row],[b8]]*_xlfn.STDEV.P(Tab.11[data]),AVERAGE(Tab.11[b6])+Tab.11[[#This Row],[b8]]*_xlfn.STDEV.P(Tab.11[data])))</f>
        <v>0</v>
      </c>
      <c r="S897" s="71" t="b">
        <f>IF(Tab.11[[#This Row],[a1]]=1,$I$3+$A$987+IF($K$3=0,Tab.11[[#This Row],[b9]]*_xlfn.STDEV.P(Tab.11[data]),AVERAGE(Tab.11[b6])+Tab.11[[#This Row],[b9]]*_xlfn.STDEV.P(Tab.11[data])))</f>
        <v>0</v>
      </c>
      <c r="T897" s="71" t="b">
        <f>IF(Tab.11[[#This Row],[a1]]=1,$I$3+$A$988+IF($K$3=0,Tab.11[[#This Row],[b10]]*_xlfn.STDEV.P(Tab.11[data]),AVERAGE(Tab.11[b6])+Tab.11[[#This Row],[b10]]*_xlfn.STDEV.P(Tab.11[data])))</f>
        <v>0</v>
      </c>
      <c r="U897" s="72" t="b">
        <f>IF(Tab.11[[#This Row],[a1]]=1,Tab.11[[#This Row],[target]]-Tab.11[[#This Row],[Red]])</f>
        <v>0</v>
      </c>
      <c r="V897" s="72" t="b">
        <f>IF(Tab.11[[#This Row],[a1]]=1,Tab.11[[#This Row],[target]]-Tab.11[[#This Row],[Blue]])</f>
        <v>0</v>
      </c>
      <c r="W897" s="73" t="b">
        <f>IF(Tab.11[[#This Row],[a1]]=1,IF(ABS(Tab.11[[#This Row],[b17]])+ABS(Tab.11[[#This Row],[b18]])&lt;$W$2,$W$2,ABS(Tab.11[[#This Row],[b17]])+ABS(Tab.11[[#This Row],[b18]])))</f>
        <v>0</v>
      </c>
      <c r="X897" s="136" t="b">
        <f>IF(Tab.11[[#This Row],[a1]]=1,IF($W$3&lt;0,Tab.11[[#This Row],[IN]]-$I$3,Tab.11[[#This Row],[IN]]))</f>
        <v>0</v>
      </c>
      <c r="Y897" s="136" t="b">
        <f>IF(Tab.11[[#This Row],[a1]]=1,IF($X$3=0,Tab.11[b66],Tab.11[[#This Row],[b66]]-AVERAGE(Tab.11[b66])))</f>
        <v>0</v>
      </c>
      <c r="Z897" s="135" t="b">
        <f>IF(Tab.11[[#This Row],[a1]]=1,Tab.11[[#This Row],[b77]]/(_xlfn.STDEV.P(Tab.11[b77])))</f>
        <v>0</v>
      </c>
      <c r="AA897" s="70" t="b">
        <f>IF(Tab.11[[#This Row],[a1]]=1,_xlfn.NORM.DIST(Tab.11[[#This Row],[b88]],$Z$1,$AA$1,FALSE))</f>
        <v>0</v>
      </c>
      <c r="AB897" s="74" t="b">
        <f>IF(Tab.11[[#This Row],[a1]]=1,IF($A$3=0,FALSE,1/Tab.11[[#This Row],[IN]]*$AC$2*IF(Tab.11[[#This Row],[a1]]=0,,$A$3*$AC$1*1/$V$3*(Tab.11[[#This Row],[b14]]))))</f>
        <v>0</v>
      </c>
      <c r="AC897" s="75" t="b">
        <f>IF(Tab.11[[#This Row],[a1]]=1,IF($AC$3=0,Tab.11[[#This Row],[φ1]],Tab.11[[#This Row],[φ1]]/MAX(Tab.11[φ1])))</f>
        <v>0</v>
      </c>
      <c r="AD897" s="74" t="b">
        <f>IF(Tab.11[[#This Row],[a1]]=1,1/Tab.11[[#This Row],[φ2]])</f>
        <v>0</v>
      </c>
      <c r="AE897" s="74" t="b">
        <f>IF(Tab.11[[#This Row],[a1]]=1,IF($AE$3=0,Tab.11[[#This Row],[w.0]],Tab.11[[#This Row],[w.0]]/SUM(Tab.11[w.0])))</f>
        <v>0</v>
      </c>
      <c r="AF897" s="76" t="str">
        <f>IF(Tab.11[[#This Row],[a1]]=0,"false",[3]!Tab.x5[[#This Row],[%_seN_C]])</f>
        <v>false</v>
      </c>
      <c r="AG897" s="77" t="b">
        <f>IF(Tab.11[[#This Row],[a1]]=1,AP897)</f>
        <v>0</v>
      </c>
      <c r="AH897" s="78" t="b">
        <f>IF(Tab.11[[#This Row],[a1]]=1,AQ897)</f>
        <v>0</v>
      </c>
      <c r="AI897" s="41">
        <v>3.0000000000000001E-3</v>
      </c>
      <c r="AJ897" s="79">
        <v>0.01</v>
      </c>
      <c r="AK897" s="80" t="b">
        <f>IF(Tab.11[[#This Row],[a1]]=1,1)</f>
        <v>0</v>
      </c>
      <c r="AZ897"/>
    </row>
    <row r="898" spans="1:52" hidden="1" x14ac:dyDescent="0.25">
      <c r="A898" s="61">
        <f t="shared" si="29"/>
        <v>0</v>
      </c>
      <c r="B898" s="62">
        <f t="shared" si="29"/>
        <v>0</v>
      </c>
      <c r="C898" s="62" t="b">
        <f>IF(Tab.11[[#This Row],[a1]]=1,[3]!Tab_x1[[#This Row],[Name]])</f>
        <v>0</v>
      </c>
      <c r="D898" s="63" t="b">
        <f>IF(Tab.11[[#This Row],[a1]]=1,AO898)</f>
        <v>0</v>
      </c>
      <c r="E898" s="63">
        <f t="shared" si="28"/>
        <v>0</v>
      </c>
      <c r="F898" s="64" t="b">
        <f>IF(Tab.11[[#This Row],[a1]]=1,Tab.11[[#This Row],[b1]])</f>
        <v>0</v>
      </c>
      <c r="G898" s="65" t="b">
        <f>IF(Tab.11[[#This Row],[a1]]=1,IF(Tab.11[[#This Row],[b3]]&gt;$L$989*$G$3,$L$989*$G$3,IF(Tab.11[[#This Row],[b3]]&lt;$M$989*$G$3,$M$989*$G$3,Tab.11[[#This Row],[b3]])))</f>
        <v>0</v>
      </c>
      <c r="H898" s="66" t="b">
        <f>IF(Tab.11[[#This Row],[a1]]=1,Tab.11[[#This Row],[b1]])</f>
        <v>0</v>
      </c>
      <c r="I898" s="67" t="b">
        <f>IF(Tab.11[[#This Row],[a1]]=1,Tab.11[[#This Row],[b1]])</f>
        <v>0</v>
      </c>
      <c r="J898" s="68" t="b">
        <f>IF(Tab.11[[#This Row],[a1]]=1,IF($I$3&lt;0,Tab.11[[#This Row],[b5]]-$I$3,Tab.11[[#This Row],[b5]]))</f>
        <v>0</v>
      </c>
      <c r="K898" s="68" t="b">
        <f>IF(Tab.11[[#This Row],[a1]]=1,IF($K$3=0,Tab.11[b6],Tab.11[[#This Row],[b6]]-AVERAGE(Tab.11[b6])))</f>
        <v>0</v>
      </c>
      <c r="L898" s="69" t="b">
        <f>IF(Tab.11[[#This Row],[a1]]=1,Tab.11[[#This Row],[data]]/(_xlfn.STDEV.P(Tab.11[data])*$B$989)+$A$989)</f>
        <v>0</v>
      </c>
      <c r="M898" s="69" t="b">
        <f>IF(Tab.11[[#This Row],[a1]]=1,Tab.11[[#This Row],[data]]/(_xlfn.STDEV.P(Tab.11[data])*$B$987)-$A$987)</f>
        <v>0</v>
      </c>
      <c r="N898" s="69" t="b">
        <f>IF(Tab.11[[#This Row],[a1]]=1,Tab.11[[#This Row],[data]]/(_xlfn.STDEV.P(Tab.11[data])*$B$988)+$A$988)</f>
        <v>0</v>
      </c>
      <c r="O898" s="70" t="b">
        <f>IF(Tab.11[[#This Row],[a1]]=1,_xlfn.NORM.DIST(Tab.11[[#This Row],[b8]],$P$1,$Q$1,FALSE))</f>
        <v>0</v>
      </c>
      <c r="P898" s="70" t="b">
        <f>IF(Tab.11[[#This Row],[a1]]=1,_xlfn.NORM.DIST(Tab.11[[#This Row],[b9]],$P$1,$Q$1,FALSE))</f>
        <v>0</v>
      </c>
      <c r="Q898" s="70" t="b">
        <f>IF(Tab.11[[#This Row],[a1]]=1,_xlfn.NORM.DIST(Tab.11[[#This Row],[b10]],$P$1,$Q$1,FALSE))</f>
        <v>0</v>
      </c>
      <c r="R898" s="67" t="b">
        <f>IF(Tab.11[[#This Row],[a1]]=1,$I$3+$A$989+IF($K$3=0,Tab.11[[#This Row],[b8]]*_xlfn.STDEV.P(Tab.11[data]),AVERAGE(Tab.11[b6])+Tab.11[[#This Row],[b8]]*_xlfn.STDEV.P(Tab.11[data])))</f>
        <v>0</v>
      </c>
      <c r="S898" s="71" t="b">
        <f>IF(Tab.11[[#This Row],[a1]]=1,$I$3+$A$987+IF($K$3=0,Tab.11[[#This Row],[b9]]*_xlfn.STDEV.P(Tab.11[data]),AVERAGE(Tab.11[b6])+Tab.11[[#This Row],[b9]]*_xlfn.STDEV.P(Tab.11[data])))</f>
        <v>0</v>
      </c>
      <c r="T898" s="71" t="b">
        <f>IF(Tab.11[[#This Row],[a1]]=1,$I$3+$A$988+IF($K$3=0,Tab.11[[#This Row],[b10]]*_xlfn.STDEV.P(Tab.11[data]),AVERAGE(Tab.11[b6])+Tab.11[[#This Row],[b10]]*_xlfn.STDEV.P(Tab.11[data])))</f>
        <v>0</v>
      </c>
      <c r="U898" s="72" t="b">
        <f>IF(Tab.11[[#This Row],[a1]]=1,Tab.11[[#This Row],[target]]-Tab.11[[#This Row],[Red]])</f>
        <v>0</v>
      </c>
      <c r="V898" s="72" t="b">
        <f>IF(Tab.11[[#This Row],[a1]]=1,Tab.11[[#This Row],[target]]-Tab.11[[#This Row],[Blue]])</f>
        <v>0</v>
      </c>
      <c r="W898" s="73" t="b">
        <f>IF(Tab.11[[#This Row],[a1]]=1,IF(ABS(Tab.11[[#This Row],[b17]])+ABS(Tab.11[[#This Row],[b18]])&lt;$W$2,$W$2,ABS(Tab.11[[#This Row],[b17]])+ABS(Tab.11[[#This Row],[b18]])))</f>
        <v>0</v>
      </c>
      <c r="X898" s="136" t="b">
        <f>IF(Tab.11[[#This Row],[a1]]=1,IF($W$3&lt;0,Tab.11[[#This Row],[IN]]-$I$3,Tab.11[[#This Row],[IN]]))</f>
        <v>0</v>
      </c>
      <c r="Y898" s="136" t="b">
        <f>IF(Tab.11[[#This Row],[a1]]=1,IF($X$3=0,Tab.11[b66],Tab.11[[#This Row],[b66]]-AVERAGE(Tab.11[b66])))</f>
        <v>0</v>
      </c>
      <c r="Z898" s="135" t="b">
        <f>IF(Tab.11[[#This Row],[a1]]=1,Tab.11[[#This Row],[b77]]/(_xlfn.STDEV.P(Tab.11[b77])))</f>
        <v>0</v>
      </c>
      <c r="AA898" s="70" t="b">
        <f>IF(Tab.11[[#This Row],[a1]]=1,_xlfn.NORM.DIST(Tab.11[[#This Row],[b88]],$Z$1,$AA$1,FALSE))</f>
        <v>0</v>
      </c>
      <c r="AB898" s="74" t="b">
        <f>IF(Tab.11[[#This Row],[a1]]=1,IF($A$3=0,FALSE,1/Tab.11[[#This Row],[IN]]*$AC$2*IF(Tab.11[[#This Row],[a1]]=0,,$A$3*$AC$1*1/$V$3*(Tab.11[[#This Row],[b14]]))))</f>
        <v>0</v>
      </c>
      <c r="AC898" s="75" t="b">
        <f>IF(Tab.11[[#This Row],[a1]]=1,IF($AC$3=0,Tab.11[[#This Row],[φ1]],Tab.11[[#This Row],[φ1]]/MAX(Tab.11[φ1])))</f>
        <v>0</v>
      </c>
      <c r="AD898" s="74" t="b">
        <f>IF(Tab.11[[#This Row],[a1]]=1,1/Tab.11[[#This Row],[φ2]])</f>
        <v>0</v>
      </c>
      <c r="AE898" s="74" t="b">
        <f>IF(Tab.11[[#This Row],[a1]]=1,IF($AE$3=0,Tab.11[[#This Row],[w.0]],Tab.11[[#This Row],[w.0]]/SUM(Tab.11[w.0])))</f>
        <v>0</v>
      </c>
      <c r="AF898" s="76" t="str">
        <f>IF(Tab.11[[#This Row],[a1]]=0,"false",[3]!Tab.x5[[#This Row],[%_seN_C]])</f>
        <v>false</v>
      </c>
      <c r="AG898" s="77" t="b">
        <f>IF(Tab.11[[#This Row],[a1]]=1,AP898)</f>
        <v>0</v>
      </c>
      <c r="AH898" s="78" t="b">
        <f>IF(Tab.11[[#This Row],[a1]]=1,AQ898)</f>
        <v>0</v>
      </c>
      <c r="AI898" s="41">
        <v>3.0000000000000001E-3</v>
      </c>
      <c r="AJ898" s="79">
        <v>-0.09</v>
      </c>
      <c r="AK898" s="80" t="b">
        <f>IF(Tab.11[[#This Row],[a1]]=1,1)</f>
        <v>0</v>
      </c>
      <c r="AZ898"/>
    </row>
    <row r="899" spans="1:52" hidden="1" x14ac:dyDescent="0.25">
      <c r="A899" s="61">
        <f t="shared" si="29"/>
        <v>0</v>
      </c>
      <c r="B899" s="62">
        <f t="shared" si="29"/>
        <v>0</v>
      </c>
      <c r="C899" s="62" t="b">
        <f>IF(Tab.11[[#This Row],[a1]]=1,[3]!Tab_x1[[#This Row],[Name]])</f>
        <v>0</v>
      </c>
      <c r="D899" s="63" t="b">
        <f>IF(Tab.11[[#This Row],[a1]]=1,AO899)</f>
        <v>0</v>
      </c>
      <c r="E899" s="63">
        <f t="shared" si="28"/>
        <v>0</v>
      </c>
      <c r="F899" s="64" t="b">
        <f>IF(Tab.11[[#This Row],[a1]]=1,Tab.11[[#This Row],[b1]])</f>
        <v>0</v>
      </c>
      <c r="G899" s="65" t="b">
        <f>IF(Tab.11[[#This Row],[a1]]=1,IF(Tab.11[[#This Row],[b3]]&gt;$L$989*$G$3,$L$989*$G$3,IF(Tab.11[[#This Row],[b3]]&lt;$M$989*$G$3,$M$989*$G$3,Tab.11[[#This Row],[b3]])))</f>
        <v>0</v>
      </c>
      <c r="H899" s="66" t="b">
        <f>IF(Tab.11[[#This Row],[a1]]=1,Tab.11[[#This Row],[b1]])</f>
        <v>0</v>
      </c>
      <c r="I899" s="67" t="b">
        <f>IF(Tab.11[[#This Row],[a1]]=1,Tab.11[[#This Row],[b1]])</f>
        <v>0</v>
      </c>
      <c r="J899" s="68" t="b">
        <f>IF(Tab.11[[#This Row],[a1]]=1,IF($I$3&lt;0,Tab.11[[#This Row],[b5]]-$I$3,Tab.11[[#This Row],[b5]]))</f>
        <v>0</v>
      </c>
      <c r="K899" s="68" t="b">
        <f>IF(Tab.11[[#This Row],[a1]]=1,IF($K$3=0,Tab.11[b6],Tab.11[[#This Row],[b6]]-AVERAGE(Tab.11[b6])))</f>
        <v>0</v>
      </c>
      <c r="L899" s="69" t="b">
        <f>IF(Tab.11[[#This Row],[a1]]=1,Tab.11[[#This Row],[data]]/(_xlfn.STDEV.P(Tab.11[data])*$B$989)+$A$989)</f>
        <v>0</v>
      </c>
      <c r="M899" s="69" t="b">
        <f>IF(Tab.11[[#This Row],[a1]]=1,Tab.11[[#This Row],[data]]/(_xlfn.STDEV.P(Tab.11[data])*$B$987)-$A$987)</f>
        <v>0</v>
      </c>
      <c r="N899" s="69" t="b">
        <f>IF(Tab.11[[#This Row],[a1]]=1,Tab.11[[#This Row],[data]]/(_xlfn.STDEV.P(Tab.11[data])*$B$988)+$A$988)</f>
        <v>0</v>
      </c>
      <c r="O899" s="70" t="b">
        <f>IF(Tab.11[[#This Row],[a1]]=1,_xlfn.NORM.DIST(Tab.11[[#This Row],[b8]],$P$1,$Q$1,FALSE))</f>
        <v>0</v>
      </c>
      <c r="P899" s="70" t="b">
        <f>IF(Tab.11[[#This Row],[a1]]=1,_xlfn.NORM.DIST(Tab.11[[#This Row],[b9]],$P$1,$Q$1,FALSE))</f>
        <v>0</v>
      </c>
      <c r="Q899" s="70" t="b">
        <f>IF(Tab.11[[#This Row],[a1]]=1,_xlfn.NORM.DIST(Tab.11[[#This Row],[b10]],$P$1,$Q$1,FALSE))</f>
        <v>0</v>
      </c>
      <c r="R899" s="67" t="b">
        <f>IF(Tab.11[[#This Row],[a1]]=1,$I$3+$A$989+IF($K$3=0,Tab.11[[#This Row],[b8]]*_xlfn.STDEV.P(Tab.11[data]),AVERAGE(Tab.11[b6])+Tab.11[[#This Row],[b8]]*_xlfn.STDEV.P(Tab.11[data])))</f>
        <v>0</v>
      </c>
      <c r="S899" s="71" t="b">
        <f>IF(Tab.11[[#This Row],[a1]]=1,$I$3+$A$987+IF($K$3=0,Tab.11[[#This Row],[b9]]*_xlfn.STDEV.P(Tab.11[data]),AVERAGE(Tab.11[b6])+Tab.11[[#This Row],[b9]]*_xlfn.STDEV.P(Tab.11[data])))</f>
        <v>0</v>
      </c>
      <c r="T899" s="71" t="b">
        <f>IF(Tab.11[[#This Row],[a1]]=1,$I$3+$A$988+IF($K$3=0,Tab.11[[#This Row],[b10]]*_xlfn.STDEV.P(Tab.11[data]),AVERAGE(Tab.11[b6])+Tab.11[[#This Row],[b10]]*_xlfn.STDEV.P(Tab.11[data])))</f>
        <v>0</v>
      </c>
      <c r="U899" s="72" t="b">
        <f>IF(Tab.11[[#This Row],[a1]]=1,Tab.11[[#This Row],[target]]-Tab.11[[#This Row],[Red]])</f>
        <v>0</v>
      </c>
      <c r="V899" s="72" t="b">
        <f>IF(Tab.11[[#This Row],[a1]]=1,Tab.11[[#This Row],[target]]-Tab.11[[#This Row],[Blue]])</f>
        <v>0</v>
      </c>
      <c r="W899" s="73" t="b">
        <f>IF(Tab.11[[#This Row],[a1]]=1,IF(ABS(Tab.11[[#This Row],[b17]])+ABS(Tab.11[[#This Row],[b18]])&lt;$W$2,$W$2,ABS(Tab.11[[#This Row],[b17]])+ABS(Tab.11[[#This Row],[b18]])))</f>
        <v>0</v>
      </c>
      <c r="X899" s="136" t="b">
        <f>IF(Tab.11[[#This Row],[a1]]=1,IF($W$3&lt;0,Tab.11[[#This Row],[IN]]-$I$3,Tab.11[[#This Row],[IN]]))</f>
        <v>0</v>
      </c>
      <c r="Y899" s="136" t="b">
        <f>IF(Tab.11[[#This Row],[a1]]=1,IF($X$3=0,Tab.11[b66],Tab.11[[#This Row],[b66]]-AVERAGE(Tab.11[b66])))</f>
        <v>0</v>
      </c>
      <c r="Z899" s="135" t="b">
        <f>IF(Tab.11[[#This Row],[a1]]=1,Tab.11[[#This Row],[b77]]/(_xlfn.STDEV.P(Tab.11[b77])))</f>
        <v>0</v>
      </c>
      <c r="AA899" s="70" t="b">
        <f>IF(Tab.11[[#This Row],[a1]]=1,_xlfn.NORM.DIST(Tab.11[[#This Row],[b88]],$Z$1,$AA$1,FALSE))</f>
        <v>0</v>
      </c>
      <c r="AB899" s="74" t="b">
        <f>IF(Tab.11[[#This Row],[a1]]=1,IF($A$3=0,FALSE,1/Tab.11[[#This Row],[IN]]*$AC$2*IF(Tab.11[[#This Row],[a1]]=0,,$A$3*$AC$1*1/$V$3*(Tab.11[[#This Row],[b14]]))))</f>
        <v>0</v>
      </c>
      <c r="AC899" s="75" t="b">
        <f>IF(Tab.11[[#This Row],[a1]]=1,IF($AC$3=0,Tab.11[[#This Row],[φ1]],Tab.11[[#This Row],[φ1]]/MAX(Tab.11[φ1])))</f>
        <v>0</v>
      </c>
      <c r="AD899" s="74" t="b">
        <f>IF(Tab.11[[#This Row],[a1]]=1,1/Tab.11[[#This Row],[φ2]])</f>
        <v>0</v>
      </c>
      <c r="AE899" s="74" t="b">
        <f>IF(Tab.11[[#This Row],[a1]]=1,IF($AE$3=0,Tab.11[[#This Row],[w.0]],Tab.11[[#This Row],[w.0]]/SUM(Tab.11[w.0])))</f>
        <v>0</v>
      </c>
      <c r="AF899" s="76" t="str">
        <f>IF(Tab.11[[#This Row],[a1]]=0,"false",[3]!Tab.x5[[#This Row],[%_seN_C]])</f>
        <v>false</v>
      </c>
      <c r="AG899" s="77" t="b">
        <f>IF(Tab.11[[#This Row],[a1]]=1,AP899)</f>
        <v>0</v>
      </c>
      <c r="AH899" s="78" t="b">
        <f>IF(Tab.11[[#This Row],[a1]]=1,AQ899)</f>
        <v>0</v>
      </c>
      <c r="AI899" s="41">
        <v>3.0000000000000001E-3</v>
      </c>
      <c r="AJ899" s="79">
        <v>-0.01</v>
      </c>
      <c r="AK899" s="80" t="b">
        <f>IF(Tab.11[[#This Row],[a1]]=1,1)</f>
        <v>0</v>
      </c>
      <c r="AZ899"/>
    </row>
    <row r="900" spans="1:52" hidden="1" x14ac:dyDescent="0.25">
      <c r="A900" s="61">
        <f t="shared" si="29"/>
        <v>0</v>
      </c>
      <c r="B900" s="62">
        <f t="shared" si="29"/>
        <v>0</v>
      </c>
      <c r="C900" s="62" t="b">
        <f>IF(Tab.11[[#This Row],[a1]]=1,[3]!Tab_x1[[#This Row],[Name]])</f>
        <v>0</v>
      </c>
      <c r="D900" s="63" t="b">
        <f>IF(Tab.11[[#This Row],[a1]]=1,AO900)</f>
        <v>0</v>
      </c>
      <c r="E900" s="63">
        <f t="shared" si="28"/>
        <v>0</v>
      </c>
      <c r="F900" s="64" t="b">
        <f>IF(Tab.11[[#This Row],[a1]]=1,Tab.11[[#This Row],[b1]])</f>
        <v>0</v>
      </c>
      <c r="G900" s="65" t="b">
        <f>IF(Tab.11[[#This Row],[a1]]=1,IF(Tab.11[[#This Row],[b3]]&gt;$L$989*$G$3,$L$989*$G$3,IF(Tab.11[[#This Row],[b3]]&lt;$M$989*$G$3,$M$989*$G$3,Tab.11[[#This Row],[b3]])))</f>
        <v>0</v>
      </c>
      <c r="H900" s="66" t="b">
        <f>IF(Tab.11[[#This Row],[a1]]=1,Tab.11[[#This Row],[b1]])</f>
        <v>0</v>
      </c>
      <c r="I900" s="67" t="b">
        <f>IF(Tab.11[[#This Row],[a1]]=1,Tab.11[[#This Row],[b1]])</f>
        <v>0</v>
      </c>
      <c r="J900" s="68" t="b">
        <f>IF(Tab.11[[#This Row],[a1]]=1,IF($I$3&lt;0,Tab.11[[#This Row],[b5]]-$I$3,Tab.11[[#This Row],[b5]]))</f>
        <v>0</v>
      </c>
      <c r="K900" s="68" t="b">
        <f>IF(Tab.11[[#This Row],[a1]]=1,IF($K$3=0,Tab.11[b6],Tab.11[[#This Row],[b6]]-AVERAGE(Tab.11[b6])))</f>
        <v>0</v>
      </c>
      <c r="L900" s="69" t="b">
        <f>IF(Tab.11[[#This Row],[a1]]=1,Tab.11[[#This Row],[data]]/(_xlfn.STDEV.P(Tab.11[data])*$B$989)+$A$989)</f>
        <v>0</v>
      </c>
      <c r="M900" s="69" t="b">
        <f>IF(Tab.11[[#This Row],[a1]]=1,Tab.11[[#This Row],[data]]/(_xlfn.STDEV.P(Tab.11[data])*$B$987)-$A$987)</f>
        <v>0</v>
      </c>
      <c r="N900" s="69" t="b">
        <f>IF(Tab.11[[#This Row],[a1]]=1,Tab.11[[#This Row],[data]]/(_xlfn.STDEV.P(Tab.11[data])*$B$988)+$A$988)</f>
        <v>0</v>
      </c>
      <c r="O900" s="70" t="b">
        <f>IF(Tab.11[[#This Row],[a1]]=1,_xlfn.NORM.DIST(Tab.11[[#This Row],[b8]],$P$1,$Q$1,FALSE))</f>
        <v>0</v>
      </c>
      <c r="P900" s="70" t="b">
        <f>IF(Tab.11[[#This Row],[a1]]=1,_xlfn.NORM.DIST(Tab.11[[#This Row],[b9]],$P$1,$Q$1,FALSE))</f>
        <v>0</v>
      </c>
      <c r="Q900" s="70" t="b">
        <f>IF(Tab.11[[#This Row],[a1]]=1,_xlfn.NORM.DIST(Tab.11[[#This Row],[b10]],$P$1,$Q$1,FALSE))</f>
        <v>0</v>
      </c>
      <c r="R900" s="67" t="b">
        <f>IF(Tab.11[[#This Row],[a1]]=1,$I$3+$A$989+IF($K$3=0,Tab.11[[#This Row],[b8]]*_xlfn.STDEV.P(Tab.11[data]),AVERAGE(Tab.11[b6])+Tab.11[[#This Row],[b8]]*_xlfn.STDEV.P(Tab.11[data])))</f>
        <v>0</v>
      </c>
      <c r="S900" s="71" t="b">
        <f>IF(Tab.11[[#This Row],[a1]]=1,$I$3+$A$987+IF($K$3=0,Tab.11[[#This Row],[b9]]*_xlfn.STDEV.P(Tab.11[data]),AVERAGE(Tab.11[b6])+Tab.11[[#This Row],[b9]]*_xlfn.STDEV.P(Tab.11[data])))</f>
        <v>0</v>
      </c>
      <c r="T900" s="71" t="b">
        <f>IF(Tab.11[[#This Row],[a1]]=1,$I$3+$A$988+IF($K$3=0,Tab.11[[#This Row],[b10]]*_xlfn.STDEV.P(Tab.11[data]),AVERAGE(Tab.11[b6])+Tab.11[[#This Row],[b10]]*_xlfn.STDEV.P(Tab.11[data])))</f>
        <v>0</v>
      </c>
      <c r="U900" s="72" t="b">
        <f>IF(Tab.11[[#This Row],[a1]]=1,Tab.11[[#This Row],[target]]-Tab.11[[#This Row],[Red]])</f>
        <v>0</v>
      </c>
      <c r="V900" s="72" t="b">
        <f>IF(Tab.11[[#This Row],[a1]]=1,Tab.11[[#This Row],[target]]-Tab.11[[#This Row],[Blue]])</f>
        <v>0</v>
      </c>
      <c r="W900" s="73" t="b">
        <f>IF(Tab.11[[#This Row],[a1]]=1,IF(ABS(Tab.11[[#This Row],[b17]])+ABS(Tab.11[[#This Row],[b18]])&lt;$W$2,$W$2,ABS(Tab.11[[#This Row],[b17]])+ABS(Tab.11[[#This Row],[b18]])))</f>
        <v>0</v>
      </c>
      <c r="X900" s="136" t="b">
        <f>IF(Tab.11[[#This Row],[a1]]=1,IF($W$3&lt;0,Tab.11[[#This Row],[IN]]-$I$3,Tab.11[[#This Row],[IN]]))</f>
        <v>0</v>
      </c>
      <c r="Y900" s="136" t="b">
        <f>IF(Tab.11[[#This Row],[a1]]=1,IF($X$3=0,Tab.11[b66],Tab.11[[#This Row],[b66]]-AVERAGE(Tab.11[b66])))</f>
        <v>0</v>
      </c>
      <c r="Z900" s="135" t="b">
        <f>IF(Tab.11[[#This Row],[a1]]=1,Tab.11[[#This Row],[b77]]/(_xlfn.STDEV.P(Tab.11[b77])))</f>
        <v>0</v>
      </c>
      <c r="AA900" s="70" t="b">
        <f>IF(Tab.11[[#This Row],[a1]]=1,_xlfn.NORM.DIST(Tab.11[[#This Row],[b88]],$Z$1,$AA$1,FALSE))</f>
        <v>0</v>
      </c>
      <c r="AB900" s="74" t="b">
        <f>IF(Tab.11[[#This Row],[a1]]=1,IF($A$3=0,FALSE,1/Tab.11[[#This Row],[IN]]*$AC$2*IF(Tab.11[[#This Row],[a1]]=0,,$A$3*$AC$1*1/$V$3*(Tab.11[[#This Row],[b14]]))))</f>
        <v>0</v>
      </c>
      <c r="AC900" s="75" t="b">
        <f>IF(Tab.11[[#This Row],[a1]]=1,IF($AC$3=0,Tab.11[[#This Row],[φ1]],Tab.11[[#This Row],[φ1]]/MAX(Tab.11[φ1])))</f>
        <v>0</v>
      </c>
      <c r="AD900" s="74" t="b">
        <f>IF(Tab.11[[#This Row],[a1]]=1,1/Tab.11[[#This Row],[φ2]])</f>
        <v>0</v>
      </c>
      <c r="AE900" s="74" t="b">
        <f>IF(Tab.11[[#This Row],[a1]]=1,IF($AE$3=0,Tab.11[[#This Row],[w.0]],Tab.11[[#This Row],[w.0]]/SUM(Tab.11[w.0])))</f>
        <v>0</v>
      </c>
      <c r="AF900" s="76" t="str">
        <f>IF(Tab.11[[#This Row],[a1]]=0,"false",[3]!Tab.x5[[#This Row],[%_seN_C]])</f>
        <v>false</v>
      </c>
      <c r="AG900" s="77" t="b">
        <f>IF(Tab.11[[#This Row],[a1]]=1,AP900)</f>
        <v>0</v>
      </c>
      <c r="AH900" s="78" t="b">
        <f>IF(Tab.11[[#This Row],[a1]]=1,AQ900)</f>
        <v>0</v>
      </c>
      <c r="AI900" s="41">
        <v>3.0000000000000001E-3</v>
      </c>
      <c r="AJ900" s="79">
        <v>-0.09</v>
      </c>
      <c r="AK900" s="80" t="b">
        <f>IF(Tab.11[[#This Row],[a1]]=1,1)</f>
        <v>0</v>
      </c>
      <c r="AZ900"/>
    </row>
    <row r="901" spans="1:52" hidden="1" x14ac:dyDescent="0.25">
      <c r="A901" s="61">
        <f t="shared" si="29"/>
        <v>0</v>
      </c>
      <c r="B901" s="62">
        <f t="shared" si="29"/>
        <v>0</v>
      </c>
      <c r="C901" s="62" t="b">
        <f>IF(Tab.11[[#This Row],[a1]]=1,[3]!Tab_x1[[#This Row],[Name]])</f>
        <v>0</v>
      </c>
      <c r="D901" s="63" t="b">
        <f>IF(Tab.11[[#This Row],[a1]]=1,AO901)</f>
        <v>0</v>
      </c>
      <c r="E901" s="63">
        <f t="shared" ref="E901:E964" si="30">AM901</f>
        <v>0</v>
      </c>
      <c r="F901" s="64" t="b">
        <f>IF(Tab.11[[#This Row],[a1]]=1,Tab.11[[#This Row],[b1]])</f>
        <v>0</v>
      </c>
      <c r="G901" s="65" t="b">
        <f>IF(Tab.11[[#This Row],[a1]]=1,IF(Tab.11[[#This Row],[b3]]&gt;$L$989*$G$3,$L$989*$G$3,IF(Tab.11[[#This Row],[b3]]&lt;$M$989*$G$3,$M$989*$G$3,Tab.11[[#This Row],[b3]])))</f>
        <v>0</v>
      </c>
      <c r="H901" s="66" t="b">
        <f>IF(Tab.11[[#This Row],[a1]]=1,Tab.11[[#This Row],[b1]])</f>
        <v>0</v>
      </c>
      <c r="I901" s="67" t="b">
        <f>IF(Tab.11[[#This Row],[a1]]=1,Tab.11[[#This Row],[b1]])</f>
        <v>0</v>
      </c>
      <c r="J901" s="68" t="b">
        <f>IF(Tab.11[[#This Row],[a1]]=1,IF($I$3&lt;0,Tab.11[[#This Row],[b5]]-$I$3,Tab.11[[#This Row],[b5]]))</f>
        <v>0</v>
      </c>
      <c r="K901" s="68" t="b">
        <f>IF(Tab.11[[#This Row],[a1]]=1,IF($K$3=0,Tab.11[b6],Tab.11[[#This Row],[b6]]-AVERAGE(Tab.11[b6])))</f>
        <v>0</v>
      </c>
      <c r="L901" s="69" t="b">
        <f>IF(Tab.11[[#This Row],[a1]]=1,Tab.11[[#This Row],[data]]/(_xlfn.STDEV.P(Tab.11[data])*$B$989)+$A$989)</f>
        <v>0</v>
      </c>
      <c r="M901" s="69" t="b">
        <f>IF(Tab.11[[#This Row],[a1]]=1,Tab.11[[#This Row],[data]]/(_xlfn.STDEV.P(Tab.11[data])*$B$987)-$A$987)</f>
        <v>0</v>
      </c>
      <c r="N901" s="69" t="b">
        <f>IF(Tab.11[[#This Row],[a1]]=1,Tab.11[[#This Row],[data]]/(_xlfn.STDEV.P(Tab.11[data])*$B$988)+$A$988)</f>
        <v>0</v>
      </c>
      <c r="O901" s="70" t="b">
        <f>IF(Tab.11[[#This Row],[a1]]=1,_xlfn.NORM.DIST(Tab.11[[#This Row],[b8]],$P$1,$Q$1,FALSE))</f>
        <v>0</v>
      </c>
      <c r="P901" s="70" t="b">
        <f>IF(Tab.11[[#This Row],[a1]]=1,_xlfn.NORM.DIST(Tab.11[[#This Row],[b9]],$P$1,$Q$1,FALSE))</f>
        <v>0</v>
      </c>
      <c r="Q901" s="70" t="b">
        <f>IF(Tab.11[[#This Row],[a1]]=1,_xlfn.NORM.DIST(Tab.11[[#This Row],[b10]],$P$1,$Q$1,FALSE))</f>
        <v>0</v>
      </c>
      <c r="R901" s="67" t="b">
        <f>IF(Tab.11[[#This Row],[a1]]=1,$I$3+$A$989+IF($K$3=0,Tab.11[[#This Row],[b8]]*_xlfn.STDEV.P(Tab.11[data]),AVERAGE(Tab.11[b6])+Tab.11[[#This Row],[b8]]*_xlfn.STDEV.P(Tab.11[data])))</f>
        <v>0</v>
      </c>
      <c r="S901" s="71" t="b">
        <f>IF(Tab.11[[#This Row],[a1]]=1,$I$3+$A$987+IF($K$3=0,Tab.11[[#This Row],[b9]]*_xlfn.STDEV.P(Tab.11[data]),AVERAGE(Tab.11[b6])+Tab.11[[#This Row],[b9]]*_xlfn.STDEV.P(Tab.11[data])))</f>
        <v>0</v>
      </c>
      <c r="T901" s="71" t="b">
        <f>IF(Tab.11[[#This Row],[a1]]=1,$I$3+$A$988+IF($K$3=0,Tab.11[[#This Row],[b10]]*_xlfn.STDEV.P(Tab.11[data]),AVERAGE(Tab.11[b6])+Tab.11[[#This Row],[b10]]*_xlfn.STDEV.P(Tab.11[data])))</f>
        <v>0</v>
      </c>
      <c r="U901" s="72" t="b">
        <f>IF(Tab.11[[#This Row],[a1]]=1,Tab.11[[#This Row],[target]]-Tab.11[[#This Row],[Red]])</f>
        <v>0</v>
      </c>
      <c r="V901" s="72" t="b">
        <f>IF(Tab.11[[#This Row],[a1]]=1,Tab.11[[#This Row],[target]]-Tab.11[[#This Row],[Blue]])</f>
        <v>0</v>
      </c>
      <c r="W901" s="73" t="b">
        <f>IF(Tab.11[[#This Row],[a1]]=1,IF(ABS(Tab.11[[#This Row],[b17]])+ABS(Tab.11[[#This Row],[b18]])&lt;$W$2,$W$2,ABS(Tab.11[[#This Row],[b17]])+ABS(Tab.11[[#This Row],[b18]])))</f>
        <v>0</v>
      </c>
      <c r="X901" s="136" t="b">
        <f>IF(Tab.11[[#This Row],[a1]]=1,IF($W$3&lt;0,Tab.11[[#This Row],[IN]]-$I$3,Tab.11[[#This Row],[IN]]))</f>
        <v>0</v>
      </c>
      <c r="Y901" s="136" t="b">
        <f>IF(Tab.11[[#This Row],[a1]]=1,IF($X$3=0,Tab.11[b66],Tab.11[[#This Row],[b66]]-AVERAGE(Tab.11[b66])))</f>
        <v>0</v>
      </c>
      <c r="Z901" s="135" t="b">
        <f>IF(Tab.11[[#This Row],[a1]]=1,Tab.11[[#This Row],[b77]]/(_xlfn.STDEV.P(Tab.11[b77])))</f>
        <v>0</v>
      </c>
      <c r="AA901" s="70" t="b">
        <f>IF(Tab.11[[#This Row],[a1]]=1,_xlfn.NORM.DIST(Tab.11[[#This Row],[b88]],$Z$1,$AA$1,FALSE))</f>
        <v>0</v>
      </c>
      <c r="AB901" s="74" t="b">
        <f>IF(Tab.11[[#This Row],[a1]]=1,IF($A$3=0,FALSE,1/Tab.11[[#This Row],[IN]]*$AC$2*IF(Tab.11[[#This Row],[a1]]=0,,$A$3*$AC$1*1/$V$3*(Tab.11[[#This Row],[b14]]))))</f>
        <v>0</v>
      </c>
      <c r="AC901" s="75" t="b">
        <f>IF(Tab.11[[#This Row],[a1]]=1,IF($AC$3=0,Tab.11[[#This Row],[φ1]],Tab.11[[#This Row],[φ1]]/MAX(Tab.11[φ1])))</f>
        <v>0</v>
      </c>
      <c r="AD901" s="74" t="b">
        <f>IF(Tab.11[[#This Row],[a1]]=1,1/Tab.11[[#This Row],[φ2]])</f>
        <v>0</v>
      </c>
      <c r="AE901" s="74" t="b">
        <f>IF(Tab.11[[#This Row],[a1]]=1,IF($AE$3=0,Tab.11[[#This Row],[w.0]],Tab.11[[#This Row],[w.0]]/SUM(Tab.11[w.0])))</f>
        <v>0</v>
      </c>
      <c r="AF901" s="76" t="str">
        <f>IF(Tab.11[[#This Row],[a1]]=0,"false",[3]!Tab.x5[[#This Row],[%_seN_C]])</f>
        <v>false</v>
      </c>
      <c r="AG901" s="77" t="b">
        <f>IF(Tab.11[[#This Row],[a1]]=1,AP901)</f>
        <v>0</v>
      </c>
      <c r="AH901" s="78" t="b">
        <f>IF(Tab.11[[#This Row],[a1]]=1,AQ901)</f>
        <v>0</v>
      </c>
      <c r="AI901" s="41">
        <v>3.0000000000000001E-3</v>
      </c>
      <c r="AJ901" s="79">
        <v>-7.0000000000000007E-2</v>
      </c>
      <c r="AK901" s="80" t="b">
        <f>IF(Tab.11[[#This Row],[a1]]=1,1)</f>
        <v>0</v>
      </c>
      <c r="AZ901"/>
    </row>
    <row r="902" spans="1:52" hidden="1" x14ac:dyDescent="0.25">
      <c r="A902" s="61">
        <f t="shared" si="29"/>
        <v>0</v>
      </c>
      <c r="B902" s="62">
        <f t="shared" si="29"/>
        <v>0</v>
      </c>
      <c r="C902" s="62" t="b">
        <f>IF(Tab.11[[#This Row],[a1]]=1,[3]!Tab_x1[[#This Row],[Name]])</f>
        <v>0</v>
      </c>
      <c r="D902" s="63" t="b">
        <f>IF(Tab.11[[#This Row],[a1]]=1,AO902)</f>
        <v>0</v>
      </c>
      <c r="E902" s="63">
        <f t="shared" si="30"/>
        <v>0</v>
      </c>
      <c r="F902" s="64" t="b">
        <f>IF(Tab.11[[#This Row],[a1]]=1,Tab.11[[#This Row],[b1]])</f>
        <v>0</v>
      </c>
      <c r="G902" s="65" t="b">
        <f>IF(Tab.11[[#This Row],[a1]]=1,IF(Tab.11[[#This Row],[b3]]&gt;$L$989*$G$3,$L$989*$G$3,IF(Tab.11[[#This Row],[b3]]&lt;$M$989*$G$3,$M$989*$G$3,Tab.11[[#This Row],[b3]])))</f>
        <v>0</v>
      </c>
      <c r="H902" s="66" t="b">
        <f>IF(Tab.11[[#This Row],[a1]]=1,Tab.11[[#This Row],[b1]])</f>
        <v>0</v>
      </c>
      <c r="I902" s="67" t="b">
        <f>IF(Tab.11[[#This Row],[a1]]=1,Tab.11[[#This Row],[b1]])</f>
        <v>0</v>
      </c>
      <c r="J902" s="68" t="b">
        <f>IF(Tab.11[[#This Row],[a1]]=1,IF($I$3&lt;0,Tab.11[[#This Row],[b5]]-$I$3,Tab.11[[#This Row],[b5]]))</f>
        <v>0</v>
      </c>
      <c r="K902" s="68" t="b">
        <f>IF(Tab.11[[#This Row],[a1]]=1,IF($K$3=0,Tab.11[b6],Tab.11[[#This Row],[b6]]-AVERAGE(Tab.11[b6])))</f>
        <v>0</v>
      </c>
      <c r="L902" s="69" t="b">
        <f>IF(Tab.11[[#This Row],[a1]]=1,Tab.11[[#This Row],[data]]/(_xlfn.STDEV.P(Tab.11[data])*$B$989)+$A$989)</f>
        <v>0</v>
      </c>
      <c r="M902" s="69" t="b">
        <f>IF(Tab.11[[#This Row],[a1]]=1,Tab.11[[#This Row],[data]]/(_xlfn.STDEV.P(Tab.11[data])*$B$987)-$A$987)</f>
        <v>0</v>
      </c>
      <c r="N902" s="69" t="b">
        <f>IF(Tab.11[[#This Row],[a1]]=1,Tab.11[[#This Row],[data]]/(_xlfn.STDEV.P(Tab.11[data])*$B$988)+$A$988)</f>
        <v>0</v>
      </c>
      <c r="O902" s="70" t="b">
        <f>IF(Tab.11[[#This Row],[a1]]=1,_xlfn.NORM.DIST(Tab.11[[#This Row],[b8]],$P$1,$Q$1,FALSE))</f>
        <v>0</v>
      </c>
      <c r="P902" s="70" t="b">
        <f>IF(Tab.11[[#This Row],[a1]]=1,_xlfn.NORM.DIST(Tab.11[[#This Row],[b9]],$P$1,$Q$1,FALSE))</f>
        <v>0</v>
      </c>
      <c r="Q902" s="70" t="b">
        <f>IF(Tab.11[[#This Row],[a1]]=1,_xlfn.NORM.DIST(Tab.11[[#This Row],[b10]],$P$1,$Q$1,FALSE))</f>
        <v>0</v>
      </c>
      <c r="R902" s="67" t="b">
        <f>IF(Tab.11[[#This Row],[a1]]=1,$I$3+$A$989+IF($K$3=0,Tab.11[[#This Row],[b8]]*_xlfn.STDEV.P(Tab.11[data]),AVERAGE(Tab.11[b6])+Tab.11[[#This Row],[b8]]*_xlfn.STDEV.P(Tab.11[data])))</f>
        <v>0</v>
      </c>
      <c r="S902" s="71" t="b">
        <f>IF(Tab.11[[#This Row],[a1]]=1,$I$3+$A$987+IF($K$3=0,Tab.11[[#This Row],[b9]]*_xlfn.STDEV.P(Tab.11[data]),AVERAGE(Tab.11[b6])+Tab.11[[#This Row],[b9]]*_xlfn.STDEV.P(Tab.11[data])))</f>
        <v>0</v>
      </c>
      <c r="T902" s="71" t="b">
        <f>IF(Tab.11[[#This Row],[a1]]=1,$I$3+$A$988+IF($K$3=0,Tab.11[[#This Row],[b10]]*_xlfn.STDEV.P(Tab.11[data]),AVERAGE(Tab.11[b6])+Tab.11[[#This Row],[b10]]*_xlfn.STDEV.P(Tab.11[data])))</f>
        <v>0</v>
      </c>
      <c r="U902" s="72" t="b">
        <f>IF(Tab.11[[#This Row],[a1]]=1,Tab.11[[#This Row],[target]]-Tab.11[[#This Row],[Red]])</f>
        <v>0</v>
      </c>
      <c r="V902" s="72" t="b">
        <f>IF(Tab.11[[#This Row],[a1]]=1,Tab.11[[#This Row],[target]]-Tab.11[[#This Row],[Blue]])</f>
        <v>0</v>
      </c>
      <c r="W902" s="73" t="b">
        <f>IF(Tab.11[[#This Row],[a1]]=1,IF(ABS(Tab.11[[#This Row],[b17]])+ABS(Tab.11[[#This Row],[b18]])&lt;$W$2,$W$2,ABS(Tab.11[[#This Row],[b17]])+ABS(Tab.11[[#This Row],[b18]])))</f>
        <v>0</v>
      </c>
      <c r="X902" s="136" t="b">
        <f>IF(Tab.11[[#This Row],[a1]]=1,IF($W$3&lt;0,Tab.11[[#This Row],[IN]]-$I$3,Tab.11[[#This Row],[IN]]))</f>
        <v>0</v>
      </c>
      <c r="Y902" s="136" t="b">
        <f>IF(Tab.11[[#This Row],[a1]]=1,IF($X$3=0,Tab.11[b66],Tab.11[[#This Row],[b66]]-AVERAGE(Tab.11[b66])))</f>
        <v>0</v>
      </c>
      <c r="Z902" s="135" t="b">
        <f>IF(Tab.11[[#This Row],[a1]]=1,Tab.11[[#This Row],[b77]]/(_xlfn.STDEV.P(Tab.11[b77])))</f>
        <v>0</v>
      </c>
      <c r="AA902" s="70" t="b">
        <f>IF(Tab.11[[#This Row],[a1]]=1,_xlfn.NORM.DIST(Tab.11[[#This Row],[b88]],$Z$1,$AA$1,FALSE))</f>
        <v>0</v>
      </c>
      <c r="AB902" s="74" t="b">
        <f>IF(Tab.11[[#This Row],[a1]]=1,IF($A$3=0,FALSE,1/Tab.11[[#This Row],[IN]]*$AC$2*IF(Tab.11[[#This Row],[a1]]=0,,$A$3*$AC$1*1/$V$3*(Tab.11[[#This Row],[b14]]))))</f>
        <v>0</v>
      </c>
      <c r="AC902" s="75" t="b">
        <f>IF(Tab.11[[#This Row],[a1]]=1,IF($AC$3=0,Tab.11[[#This Row],[φ1]],Tab.11[[#This Row],[φ1]]/MAX(Tab.11[φ1])))</f>
        <v>0</v>
      </c>
      <c r="AD902" s="74" t="b">
        <f>IF(Tab.11[[#This Row],[a1]]=1,1/Tab.11[[#This Row],[φ2]])</f>
        <v>0</v>
      </c>
      <c r="AE902" s="74" t="b">
        <f>IF(Tab.11[[#This Row],[a1]]=1,IF($AE$3=0,Tab.11[[#This Row],[w.0]],Tab.11[[#This Row],[w.0]]/SUM(Tab.11[w.0])))</f>
        <v>0</v>
      </c>
      <c r="AF902" s="76" t="str">
        <f>IF(Tab.11[[#This Row],[a1]]=0,"false",[3]!Tab.x5[[#This Row],[%_seN_C]])</f>
        <v>false</v>
      </c>
      <c r="AG902" s="77" t="b">
        <f>IF(Tab.11[[#This Row],[a1]]=1,AP902)</f>
        <v>0</v>
      </c>
      <c r="AH902" s="78" t="b">
        <f>IF(Tab.11[[#This Row],[a1]]=1,AQ902)</f>
        <v>0</v>
      </c>
      <c r="AI902" s="41">
        <v>3.0000000000000001E-3</v>
      </c>
      <c r="AJ902" s="79">
        <v>-0.08</v>
      </c>
      <c r="AK902" s="80" t="b">
        <f>IF(Tab.11[[#This Row],[a1]]=1,1)</f>
        <v>0</v>
      </c>
      <c r="AZ902"/>
    </row>
    <row r="903" spans="1:52" hidden="1" x14ac:dyDescent="0.25">
      <c r="A903" s="61">
        <f t="shared" si="29"/>
        <v>0</v>
      </c>
      <c r="B903" s="62">
        <f t="shared" si="29"/>
        <v>0</v>
      </c>
      <c r="C903" s="62" t="b">
        <f>IF(Tab.11[[#This Row],[a1]]=1,[3]!Tab_x1[[#This Row],[Name]])</f>
        <v>0</v>
      </c>
      <c r="D903" s="63" t="b">
        <f>IF(Tab.11[[#This Row],[a1]]=1,AO903)</f>
        <v>0</v>
      </c>
      <c r="E903" s="63">
        <f t="shared" si="30"/>
        <v>0</v>
      </c>
      <c r="F903" s="64" t="b">
        <f>IF(Tab.11[[#This Row],[a1]]=1,Tab.11[[#This Row],[b1]])</f>
        <v>0</v>
      </c>
      <c r="G903" s="65" t="b">
        <f>IF(Tab.11[[#This Row],[a1]]=1,IF(Tab.11[[#This Row],[b3]]&gt;$L$989*$G$3,$L$989*$G$3,IF(Tab.11[[#This Row],[b3]]&lt;$M$989*$G$3,$M$989*$G$3,Tab.11[[#This Row],[b3]])))</f>
        <v>0</v>
      </c>
      <c r="H903" s="66" t="b">
        <f>IF(Tab.11[[#This Row],[a1]]=1,Tab.11[[#This Row],[b1]])</f>
        <v>0</v>
      </c>
      <c r="I903" s="67" t="b">
        <f>IF(Tab.11[[#This Row],[a1]]=1,Tab.11[[#This Row],[b1]])</f>
        <v>0</v>
      </c>
      <c r="J903" s="68" t="b">
        <f>IF(Tab.11[[#This Row],[a1]]=1,IF($I$3&lt;0,Tab.11[[#This Row],[b5]]-$I$3,Tab.11[[#This Row],[b5]]))</f>
        <v>0</v>
      </c>
      <c r="K903" s="68" t="b">
        <f>IF(Tab.11[[#This Row],[a1]]=1,IF($K$3=0,Tab.11[b6],Tab.11[[#This Row],[b6]]-AVERAGE(Tab.11[b6])))</f>
        <v>0</v>
      </c>
      <c r="L903" s="69" t="b">
        <f>IF(Tab.11[[#This Row],[a1]]=1,Tab.11[[#This Row],[data]]/(_xlfn.STDEV.P(Tab.11[data])*$B$989)+$A$989)</f>
        <v>0</v>
      </c>
      <c r="M903" s="69" t="b">
        <f>IF(Tab.11[[#This Row],[a1]]=1,Tab.11[[#This Row],[data]]/(_xlfn.STDEV.P(Tab.11[data])*$B$987)-$A$987)</f>
        <v>0</v>
      </c>
      <c r="N903" s="69" t="b">
        <f>IF(Tab.11[[#This Row],[a1]]=1,Tab.11[[#This Row],[data]]/(_xlfn.STDEV.P(Tab.11[data])*$B$988)+$A$988)</f>
        <v>0</v>
      </c>
      <c r="O903" s="70" t="b">
        <f>IF(Tab.11[[#This Row],[a1]]=1,_xlfn.NORM.DIST(Tab.11[[#This Row],[b8]],$P$1,$Q$1,FALSE))</f>
        <v>0</v>
      </c>
      <c r="P903" s="70" t="b">
        <f>IF(Tab.11[[#This Row],[a1]]=1,_xlfn.NORM.DIST(Tab.11[[#This Row],[b9]],$P$1,$Q$1,FALSE))</f>
        <v>0</v>
      </c>
      <c r="Q903" s="70" t="b">
        <f>IF(Tab.11[[#This Row],[a1]]=1,_xlfn.NORM.DIST(Tab.11[[#This Row],[b10]],$P$1,$Q$1,FALSE))</f>
        <v>0</v>
      </c>
      <c r="R903" s="67" t="b">
        <f>IF(Tab.11[[#This Row],[a1]]=1,$I$3+$A$989+IF($K$3=0,Tab.11[[#This Row],[b8]]*_xlfn.STDEV.P(Tab.11[data]),AVERAGE(Tab.11[b6])+Tab.11[[#This Row],[b8]]*_xlfn.STDEV.P(Tab.11[data])))</f>
        <v>0</v>
      </c>
      <c r="S903" s="71" t="b">
        <f>IF(Tab.11[[#This Row],[a1]]=1,$I$3+$A$987+IF($K$3=0,Tab.11[[#This Row],[b9]]*_xlfn.STDEV.P(Tab.11[data]),AVERAGE(Tab.11[b6])+Tab.11[[#This Row],[b9]]*_xlfn.STDEV.P(Tab.11[data])))</f>
        <v>0</v>
      </c>
      <c r="T903" s="71" t="b">
        <f>IF(Tab.11[[#This Row],[a1]]=1,$I$3+$A$988+IF($K$3=0,Tab.11[[#This Row],[b10]]*_xlfn.STDEV.P(Tab.11[data]),AVERAGE(Tab.11[b6])+Tab.11[[#This Row],[b10]]*_xlfn.STDEV.P(Tab.11[data])))</f>
        <v>0</v>
      </c>
      <c r="U903" s="72" t="b">
        <f>IF(Tab.11[[#This Row],[a1]]=1,Tab.11[[#This Row],[target]]-Tab.11[[#This Row],[Red]])</f>
        <v>0</v>
      </c>
      <c r="V903" s="72" t="b">
        <f>IF(Tab.11[[#This Row],[a1]]=1,Tab.11[[#This Row],[target]]-Tab.11[[#This Row],[Blue]])</f>
        <v>0</v>
      </c>
      <c r="W903" s="73" t="b">
        <f>IF(Tab.11[[#This Row],[a1]]=1,IF(ABS(Tab.11[[#This Row],[b17]])+ABS(Tab.11[[#This Row],[b18]])&lt;$W$2,$W$2,ABS(Tab.11[[#This Row],[b17]])+ABS(Tab.11[[#This Row],[b18]])))</f>
        <v>0</v>
      </c>
      <c r="X903" s="136" t="b">
        <f>IF(Tab.11[[#This Row],[a1]]=1,IF($W$3&lt;0,Tab.11[[#This Row],[IN]]-$I$3,Tab.11[[#This Row],[IN]]))</f>
        <v>0</v>
      </c>
      <c r="Y903" s="136" t="b">
        <f>IF(Tab.11[[#This Row],[a1]]=1,IF($X$3=0,Tab.11[b66],Tab.11[[#This Row],[b66]]-AVERAGE(Tab.11[b66])))</f>
        <v>0</v>
      </c>
      <c r="Z903" s="135" t="b">
        <f>IF(Tab.11[[#This Row],[a1]]=1,Tab.11[[#This Row],[b77]]/(_xlfn.STDEV.P(Tab.11[b77])))</f>
        <v>0</v>
      </c>
      <c r="AA903" s="70" t="b">
        <f>IF(Tab.11[[#This Row],[a1]]=1,_xlfn.NORM.DIST(Tab.11[[#This Row],[b88]],$Z$1,$AA$1,FALSE))</f>
        <v>0</v>
      </c>
      <c r="AB903" s="74" t="b">
        <f>IF(Tab.11[[#This Row],[a1]]=1,IF($A$3=0,FALSE,1/Tab.11[[#This Row],[IN]]*$AC$2*IF(Tab.11[[#This Row],[a1]]=0,,$A$3*$AC$1*1/$V$3*(Tab.11[[#This Row],[b14]]))))</f>
        <v>0</v>
      </c>
      <c r="AC903" s="75" t="b">
        <f>IF(Tab.11[[#This Row],[a1]]=1,IF($AC$3=0,Tab.11[[#This Row],[φ1]],Tab.11[[#This Row],[φ1]]/MAX(Tab.11[φ1])))</f>
        <v>0</v>
      </c>
      <c r="AD903" s="74" t="b">
        <f>IF(Tab.11[[#This Row],[a1]]=1,1/Tab.11[[#This Row],[φ2]])</f>
        <v>0</v>
      </c>
      <c r="AE903" s="74" t="b">
        <f>IF(Tab.11[[#This Row],[a1]]=1,IF($AE$3=0,Tab.11[[#This Row],[w.0]],Tab.11[[#This Row],[w.0]]/SUM(Tab.11[w.0])))</f>
        <v>0</v>
      </c>
      <c r="AF903" s="76" t="str">
        <f>IF(Tab.11[[#This Row],[a1]]=0,"false",[3]!Tab.x5[[#This Row],[%_seN_C]])</f>
        <v>false</v>
      </c>
      <c r="AG903" s="77" t="b">
        <f>IF(Tab.11[[#This Row],[a1]]=1,AP903)</f>
        <v>0</v>
      </c>
      <c r="AH903" s="78" t="b">
        <f>IF(Tab.11[[#This Row],[a1]]=1,AQ903)</f>
        <v>0</v>
      </c>
      <c r="AI903" s="41">
        <v>3.0000000000000001E-3</v>
      </c>
      <c r="AJ903" s="79">
        <v>0.1</v>
      </c>
      <c r="AK903" s="80" t="b">
        <f>IF(Tab.11[[#This Row],[a1]]=1,1)</f>
        <v>0</v>
      </c>
      <c r="AZ903"/>
    </row>
    <row r="904" spans="1:52" hidden="1" x14ac:dyDescent="0.25">
      <c r="A904" s="61">
        <f t="shared" si="29"/>
        <v>0</v>
      </c>
      <c r="B904" s="62">
        <f t="shared" si="29"/>
        <v>0</v>
      </c>
      <c r="C904" s="62" t="b">
        <f>IF(Tab.11[[#This Row],[a1]]=1,[3]!Tab_x1[[#This Row],[Name]])</f>
        <v>0</v>
      </c>
      <c r="D904" s="63" t="b">
        <f>IF(Tab.11[[#This Row],[a1]]=1,AO904)</f>
        <v>0</v>
      </c>
      <c r="E904" s="63">
        <f t="shared" si="30"/>
        <v>0</v>
      </c>
      <c r="F904" s="64" t="b">
        <f>IF(Tab.11[[#This Row],[a1]]=1,Tab.11[[#This Row],[b1]])</f>
        <v>0</v>
      </c>
      <c r="G904" s="65" t="b">
        <f>IF(Tab.11[[#This Row],[a1]]=1,IF(Tab.11[[#This Row],[b3]]&gt;$L$989*$G$3,$L$989*$G$3,IF(Tab.11[[#This Row],[b3]]&lt;$M$989*$G$3,$M$989*$G$3,Tab.11[[#This Row],[b3]])))</f>
        <v>0</v>
      </c>
      <c r="H904" s="66" t="b">
        <f>IF(Tab.11[[#This Row],[a1]]=1,Tab.11[[#This Row],[b1]])</f>
        <v>0</v>
      </c>
      <c r="I904" s="67" t="b">
        <f>IF(Tab.11[[#This Row],[a1]]=1,Tab.11[[#This Row],[b1]])</f>
        <v>0</v>
      </c>
      <c r="J904" s="68" t="b">
        <f>IF(Tab.11[[#This Row],[a1]]=1,IF($I$3&lt;0,Tab.11[[#This Row],[b5]]-$I$3,Tab.11[[#This Row],[b5]]))</f>
        <v>0</v>
      </c>
      <c r="K904" s="68" t="b">
        <f>IF(Tab.11[[#This Row],[a1]]=1,IF($K$3=0,Tab.11[b6],Tab.11[[#This Row],[b6]]-AVERAGE(Tab.11[b6])))</f>
        <v>0</v>
      </c>
      <c r="L904" s="69" t="b">
        <f>IF(Tab.11[[#This Row],[a1]]=1,Tab.11[[#This Row],[data]]/(_xlfn.STDEV.P(Tab.11[data])*$B$989)+$A$989)</f>
        <v>0</v>
      </c>
      <c r="M904" s="69" t="b">
        <f>IF(Tab.11[[#This Row],[a1]]=1,Tab.11[[#This Row],[data]]/(_xlfn.STDEV.P(Tab.11[data])*$B$987)-$A$987)</f>
        <v>0</v>
      </c>
      <c r="N904" s="69" t="b">
        <f>IF(Tab.11[[#This Row],[a1]]=1,Tab.11[[#This Row],[data]]/(_xlfn.STDEV.P(Tab.11[data])*$B$988)+$A$988)</f>
        <v>0</v>
      </c>
      <c r="O904" s="70" t="b">
        <f>IF(Tab.11[[#This Row],[a1]]=1,_xlfn.NORM.DIST(Tab.11[[#This Row],[b8]],$P$1,$Q$1,FALSE))</f>
        <v>0</v>
      </c>
      <c r="P904" s="70" t="b">
        <f>IF(Tab.11[[#This Row],[a1]]=1,_xlfn.NORM.DIST(Tab.11[[#This Row],[b9]],$P$1,$Q$1,FALSE))</f>
        <v>0</v>
      </c>
      <c r="Q904" s="70" t="b">
        <f>IF(Tab.11[[#This Row],[a1]]=1,_xlfn.NORM.DIST(Tab.11[[#This Row],[b10]],$P$1,$Q$1,FALSE))</f>
        <v>0</v>
      </c>
      <c r="R904" s="67" t="b">
        <f>IF(Tab.11[[#This Row],[a1]]=1,$I$3+$A$989+IF($K$3=0,Tab.11[[#This Row],[b8]]*_xlfn.STDEV.P(Tab.11[data]),AVERAGE(Tab.11[b6])+Tab.11[[#This Row],[b8]]*_xlfn.STDEV.P(Tab.11[data])))</f>
        <v>0</v>
      </c>
      <c r="S904" s="71" t="b">
        <f>IF(Tab.11[[#This Row],[a1]]=1,$I$3+$A$987+IF($K$3=0,Tab.11[[#This Row],[b9]]*_xlfn.STDEV.P(Tab.11[data]),AVERAGE(Tab.11[b6])+Tab.11[[#This Row],[b9]]*_xlfn.STDEV.P(Tab.11[data])))</f>
        <v>0</v>
      </c>
      <c r="T904" s="71" t="b">
        <f>IF(Tab.11[[#This Row],[a1]]=1,$I$3+$A$988+IF($K$3=0,Tab.11[[#This Row],[b10]]*_xlfn.STDEV.P(Tab.11[data]),AVERAGE(Tab.11[b6])+Tab.11[[#This Row],[b10]]*_xlfn.STDEV.P(Tab.11[data])))</f>
        <v>0</v>
      </c>
      <c r="U904" s="72" t="b">
        <f>IF(Tab.11[[#This Row],[a1]]=1,Tab.11[[#This Row],[target]]-Tab.11[[#This Row],[Red]])</f>
        <v>0</v>
      </c>
      <c r="V904" s="72" t="b">
        <f>IF(Tab.11[[#This Row],[a1]]=1,Tab.11[[#This Row],[target]]-Tab.11[[#This Row],[Blue]])</f>
        <v>0</v>
      </c>
      <c r="W904" s="73" t="b">
        <f>IF(Tab.11[[#This Row],[a1]]=1,IF(ABS(Tab.11[[#This Row],[b17]])+ABS(Tab.11[[#This Row],[b18]])&lt;$W$2,$W$2,ABS(Tab.11[[#This Row],[b17]])+ABS(Tab.11[[#This Row],[b18]])))</f>
        <v>0</v>
      </c>
      <c r="X904" s="136" t="b">
        <f>IF(Tab.11[[#This Row],[a1]]=1,IF($W$3&lt;0,Tab.11[[#This Row],[IN]]-$I$3,Tab.11[[#This Row],[IN]]))</f>
        <v>0</v>
      </c>
      <c r="Y904" s="136" t="b">
        <f>IF(Tab.11[[#This Row],[a1]]=1,IF($X$3=0,Tab.11[b66],Tab.11[[#This Row],[b66]]-AVERAGE(Tab.11[b66])))</f>
        <v>0</v>
      </c>
      <c r="Z904" s="135" t="b">
        <f>IF(Tab.11[[#This Row],[a1]]=1,Tab.11[[#This Row],[b77]]/(_xlfn.STDEV.P(Tab.11[b77])))</f>
        <v>0</v>
      </c>
      <c r="AA904" s="70" t="b">
        <f>IF(Tab.11[[#This Row],[a1]]=1,_xlfn.NORM.DIST(Tab.11[[#This Row],[b88]],$Z$1,$AA$1,FALSE))</f>
        <v>0</v>
      </c>
      <c r="AB904" s="74" t="b">
        <f>IF(Tab.11[[#This Row],[a1]]=1,IF($A$3=0,FALSE,1/Tab.11[[#This Row],[IN]]*$AC$2*IF(Tab.11[[#This Row],[a1]]=0,,$A$3*$AC$1*1/$V$3*(Tab.11[[#This Row],[b14]]))))</f>
        <v>0</v>
      </c>
      <c r="AC904" s="75" t="b">
        <f>IF(Tab.11[[#This Row],[a1]]=1,IF($AC$3=0,Tab.11[[#This Row],[φ1]],Tab.11[[#This Row],[φ1]]/MAX(Tab.11[φ1])))</f>
        <v>0</v>
      </c>
      <c r="AD904" s="74" t="b">
        <f>IF(Tab.11[[#This Row],[a1]]=1,1/Tab.11[[#This Row],[φ2]])</f>
        <v>0</v>
      </c>
      <c r="AE904" s="74" t="b">
        <f>IF(Tab.11[[#This Row],[a1]]=1,IF($AE$3=0,Tab.11[[#This Row],[w.0]],Tab.11[[#This Row],[w.0]]/SUM(Tab.11[w.0])))</f>
        <v>0</v>
      </c>
      <c r="AF904" s="76" t="str">
        <f>IF(Tab.11[[#This Row],[a1]]=0,"false",[3]!Tab.x5[[#This Row],[%_seN_C]])</f>
        <v>false</v>
      </c>
      <c r="AG904" s="77" t="b">
        <f>IF(Tab.11[[#This Row],[a1]]=1,AP904)</f>
        <v>0</v>
      </c>
      <c r="AH904" s="78" t="b">
        <f>IF(Tab.11[[#This Row],[a1]]=1,AQ904)</f>
        <v>0</v>
      </c>
      <c r="AI904" s="41">
        <v>3.0000000000000001E-3</v>
      </c>
      <c r="AJ904" s="79">
        <v>0</v>
      </c>
      <c r="AK904" s="80" t="b">
        <f>IF(Tab.11[[#This Row],[a1]]=1,1)</f>
        <v>0</v>
      </c>
      <c r="AZ904"/>
    </row>
    <row r="905" spans="1:52" hidden="1" x14ac:dyDescent="0.25">
      <c r="A905" s="61">
        <f t="shared" si="29"/>
        <v>0</v>
      </c>
      <c r="B905" s="62">
        <f t="shared" si="29"/>
        <v>0</v>
      </c>
      <c r="C905" s="62" t="b">
        <f>IF(Tab.11[[#This Row],[a1]]=1,[3]!Tab_x1[[#This Row],[Name]])</f>
        <v>0</v>
      </c>
      <c r="D905" s="63" t="b">
        <f>IF(Tab.11[[#This Row],[a1]]=1,AO905)</f>
        <v>0</v>
      </c>
      <c r="E905" s="63">
        <f t="shared" si="30"/>
        <v>0</v>
      </c>
      <c r="F905" s="64" t="b">
        <f>IF(Tab.11[[#This Row],[a1]]=1,Tab.11[[#This Row],[b1]])</f>
        <v>0</v>
      </c>
      <c r="G905" s="65" t="b">
        <f>IF(Tab.11[[#This Row],[a1]]=1,IF(Tab.11[[#This Row],[b3]]&gt;$L$989*$G$3,$L$989*$G$3,IF(Tab.11[[#This Row],[b3]]&lt;$M$989*$G$3,$M$989*$G$3,Tab.11[[#This Row],[b3]])))</f>
        <v>0</v>
      </c>
      <c r="H905" s="66" t="b">
        <f>IF(Tab.11[[#This Row],[a1]]=1,Tab.11[[#This Row],[b1]])</f>
        <v>0</v>
      </c>
      <c r="I905" s="67" t="b">
        <f>IF(Tab.11[[#This Row],[a1]]=1,Tab.11[[#This Row],[b1]])</f>
        <v>0</v>
      </c>
      <c r="J905" s="68" t="b">
        <f>IF(Tab.11[[#This Row],[a1]]=1,IF($I$3&lt;0,Tab.11[[#This Row],[b5]]-$I$3,Tab.11[[#This Row],[b5]]))</f>
        <v>0</v>
      </c>
      <c r="K905" s="68" t="b">
        <f>IF(Tab.11[[#This Row],[a1]]=1,IF($K$3=0,Tab.11[b6],Tab.11[[#This Row],[b6]]-AVERAGE(Tab.11[b6])))</f>
        <v>0</v>
      </c>
      <c r="L905" s="69" t="b">
        <f>IF(Tab.11[[#This Row],[a1]]=1,Tab.11[[#This Row],[data]]/(_xlfn.STDEV.P(Tab.11[data])*$B$989)+$A$989)</f>
        <v>0</v>
      </c>
      <c r="M905" s="69" t="b">
        <f>IF(Tab.11[[#This Row],[a1]]=1,Tab.11[[#This Row],[data]]/(_xlfn.STDEV.P(Tab.11[data])*$B$987)-$A$987)</f>
        <v>0</v>
      </c>
      <c r="N905" s="69" t="b">
        <f>IF(Tab.11[[#This Row],[a1]]=1,Tab.11[[#This Row],[data]]/(_xlfn.STDEV.P(Tab.11[data])*$B$988)+$A$988)</f>
        <v>0</v>
      </c>
      <c r="O905" s="70" t="b">
        <f>IF(Tab.11[[#This Row],[a1]]=1,_xlfn.NORM.DIST(Tab.11[[#This Row],[b8]],$P$1,$Q$1,FALSE))</f>
        <v>0</v>
      </c>
      <c r="P905" s="70" t="b">
        <f>IF(Tab.11[[#This Row],[a1]]=1,_xlfn.NORM.DIST(Tab.11[[#This Row],[b9]],$P$1,$Q$1,FALSE))</f>
        <v>0</v>
      </c>
      <c r="Q905" s="70" t="b">
        <f>IF(Tab.11[[#This Row],[a1]]=1,_xlfn.NORM.DIST(Tab.11[[#This Row],[b10]],$P$1,$Q$1,FALSE))</f>
        <v>0</v>
      </c>
      <c r="R905" s="67" t="b">
        <f>IF(Tab.11[[#This Row],[a1]]=1,$I$3+$A$989+IF($K$3=0,Tab.11[[#This Row],[b8]]*_xlfn.STDEV.P(Tab.11[data]),AVERAGE(Tab.11[b6])+Tab.11[[#This Row],[b8]]*_xlfn.STDEV.P(Tab.11[data])))</f>
        <v>0</v>
      </c>
      <c r="S905" s="71" t="b">
        <f>IF(Tab.11[[#This Row],[a1]]=1,$I$3+$A$987+IF($K$3=0,Tab.11[[#This Row],[b9]]*_xlfn.STDEV.P(Tab.11[data]),AVERAGE(Tab.11[b6])+Tab.11[[#This Row],[b9]]*_xlfn.STDEV.P(Tab.11[data])))</f>
        <v>0</v>
      </c>
      <c r="T905" s="71" t="b">
        <f>IF(Tab.11[[#This Row],[a1]]=1,$I$3+$A$988+IF($K$3=0,Tab.11[[#This Row],[b10]]*_xlfn.STDEV.P(Tab.11[data]),AVERAGE(Tab.11[b6])+Tab.11[[#This Row],[b10]]*_xlfn.STDEV.P(Tab.11[data])))</f>
        <v>0</v>
      </c>
      <c r="U905" s="72" t="b">
        <f>IF(Tab.11[[#This Row],[a1]]=1,Tab.11[[#This Row],[target]]-Tab.11[[#This Row],[Red]])</f>
        <v>0</v>
      </c>
      <c r="V905" s="72" t="b">
        <f>IF(Tab.11[[#This Row],[a1]]=1,Tab.11[[#This Row],[target]]-Tab.11[[#This Row],[Blue]])</f>
        <v>0</v>
      </c>
      <c r="W905" s="73" t="b">
        <f>IF(Tab.11[[#This Row],[a1]]=1,IF(ABS(Tab.11[[#This Row],[b17]])+ABS(Tab.11[[#This Row],[b18]])&lt;$W$2,$W$2,ABS(Tab.11[[#This Row],[b17]])+ABS(Tab.11[[#This Row],[b18]])))</f>
        <v>0</v>
      </c>
      <c r="X905" s="136" t="b">
        <f>IF(Tab.11[[#This Row],[a1]]=1,IF($W$3&lt;0,Tab.11[[#This Row],[IN]]-$I$3,Tab.11[[#This Row],[IN]]))</f>
        <v>0</v>
      </c>
      <c r="Y905" s="136" t="b">
        <f>IF(Tab.11[[#This Row],[a1]]=1,IF($X$3=0,Tab.11[b66],Tab.11[[#This Row],[b66]]-AVERAGE(Tab.11[b66])))</f>
        <v>0</v>
      </c>
      <c r="Z905" s="135" t="b">
        <f>IF(Tab.11[[#This Row],[a1]]=1,Tab.11[[#This Row],[b77]]/(_xlfn.STDEV.P(Tab.11[b77])))</f>
        <v>0</v>
      </c>
      <c r="AA905" s="70" t="b">
        <f>IF(Tab.11[[#This Row],[a1]]=1,_xlfn.NORM.DIST(Tab.11[[#This Row],[b88]],$Z$1,$AA$1,FALSE))</f>
        <v>0</v>
      </c>
      <c r="AB905" s="74" t="b">
        <f>IF(Tab.11[[#This Row],[a1]]=1,IF($A$3=0,FALSE,1/Tab.11[[#This Row],[IN]]*$AC$2*IF(Tab.11[[#This Row],[a1]]=0,,$A$3*$AC$1*1/$V$3*(Tab.11[[#This Row],[b14]]))))</f>
        <v>0</v>
      </c>
      <c r="AC905" s="75" t="b">
        <f>IF(Tab.11[[#This Row],[a1]]=1,IF($AC$3=0,Tab.11[[#This Row],[φ1]],Tab.11[[#This Row],[φ1]]/MAX(Tab.11[φ1])))</f>
        <v>0</v>
      </c>
      <c r="AD905" s="74" t="b">
        <f>IF(Tab.11[[#This Row],[a1]]=1,1/Tab.11[[#This Row],[φ2]])</f>
        <v>0</v>
      </c>
      <c r="AE905" s="74" t="b">
        <f>IF(Tab.11[[#This Row],[a1]]=1,IF($AE$3=0,Tab.11[[#This Row],[w.0]],Tab.11[[#This Row],[w.0]]/SUM(Tab.11[w.0])))</f>
        <v>0</v>
      </c>
      <c r="AF905" s="76" t="str">
        <f>IF(Tab.11[[#This Row],[a1]]=0,"false",[3]!Tab.x5[[#This Row],[%_seN_C]])</f>
        <v>false</v>
      </c>
      <c r="AG905" s="77" t="b">
        <f>IF(Tab.11[[#This Row],[a1]]=1,AP905)</f>
        <v>0</v>
      </c>
      <c r="AH905" s="78" t="b">
        <f>IF(Tab.11[[#This Row],[a1]]=1,AQ905)</f>
        <v>0</v>
      </c>
      <c r="AI905" s="41">
        <v>3.0000000000000001E-3</v>
      </c>
      <c r="AJ905" s="79">
        <v>-0.01</v>
      </c>
      <c r="AK905" s="80" t="b">
        <f>IF(Tab.11[[#This Row],[a1]]=1,1)</f>
        <v>0</v>
      </c>
      <c r="AZ905"/>
    </row>
    <row r="906" spans="1:52" hidden="1" x14ac:dyDescent="0.25">
      <c r="A906" s="61">
        <f t="shared" si="29"/>
        <v>0</v>
      </c>
      <c r="B906" s="62">
        <f t="shared" si="29"/>
        <v>0</v>
      </c>
      <c r="C906" s="62" t="b">
        <f>IF(Tab.11[[#This Row],[a1]]=1,[3]!Tab_x1[[#This Row],[Name]])</f>
        <v>0</v>
      </c>
      <c r="D906" s="63" t="b">
        <f>IF(Tab.11[[#This Row],[a1]]=1,AO906)</f>
        <v>0</v>
      </c>
      <c r="E906" s="63">
        <f t="shared" si="30"/>
        <v>0</v>
      </c>
      <c r="F906" s="64" t="b">
        <f>IF(Tab.11[[#This Row],[a1]]=1,Tab.11[[#This Row],[b1]])</f>
        <v>0</v>
      </c>
      <c r="G906" s="65" t="b">
        <f>IF(Tab.11[[#This Row],[a1]]=1,IF(Tab.11[[#This Row],[b3]]&gt;$L$989*$G$3,$L$989*$G$3,IF(Tab.11[[#This Row],[b3]]&lt;$M$989*$G$3,$M$989*$G$3,Tab.11[[#This Row],[b3]])))</f>
        <v>0</v>
      </c>
      <c r="H906" s="66" t="b">
        <f>IF(Tab.11[[#This Row],[a1]]=1,Tab.11[[#This Row],[b1]])</f>
        <v>0</v>
      </c>
      <c r="I906" s="67" t="b">
        <f>IF(Tab.11[[#This Row],[a1]]=1,Tab.11[[#This Row],[b1]])</f>
        <v>0</v>
      </c>
      <c r="J906" s="68" t="b">
        <f>IF(Tab.11[[#This Row],[a1]]=1,IF($I$3&lt;0,Tab.11[[#This Row],[b5]]-$I$3,Tab.11[[#This Row],[b5]]))</f>
        <v>0</v>
      </c>
      <c r="K906" s="68" t="b">
        <f>IF(Tab.11[[#This Row],[a1]]=1,IF($K$3=0,Tab.11[b6],Tab.11[[#This Row],[b6]]-AVERAGE(Tab.11[b6])))</f>
        <v>0</v>
      </c>
      <c r="L906" s="69" t="b">
        <f>IF(Tab.11[[#This Row],[a1]]=1,Tab.11[[#This Row],[data]]/(_xlfn.STDEV.P(Tab.11[data])*$B$989)+$A$989)</f>
        <v>0</v>
      </c>
      <c r="M906" s="69" t="b">
        <f>IF(Tab.11[[#This Row],[a1]]=1,Tab.11[[#This Row],[data]]/(_xlfn.STDEV.P(Tab.11[data])*$B$987)-$A$987)</f>
        <v>0</v>
      </c>
      <c r="N906" s="69" t="b">
        <f>IF(Tab.11[[#This Row],[a1]]=1,Tab.11[[#This Row],[data]]/(_xlfn.STDEV.P(Tab.11[data])*$B$988)+$A$988)</f>
        <v>0</v>
      </c>
      <c r="O906" s="70" t="b">
        <f>IF(Tab.11[[#This Row],[a1]]=1,_xlfn.NORM.DIST(Tab.11[[#This Row],[b8]],$P$1,$Q$1,FALSE))</f>
        <v>0</v>
      </c>
      <c r="P906" s="70" t="b">
        <f>IF(Tab.11[[#This Row],[a1]]=1,_xlfn.NORM.DIST(Tab.11[[#This Row],[b9]],$P$1,$Q$1,FALSE))</f>
        <v>0</v>
      </c>
      <c r="Q906" s="70" t="b">
        <f>IF(Tab.11[[#This Row],[a1]]=1,_xlfn.NORM.DIST(Tab.11[[#This Row],[b10]],$P$1,$Q$1,FALSE))</f>
        <v>0</v>
      </c>
      <c r="R906" s="67" t="b">
        <f>IF(Tab.11[[#This Row],[a1]]=1,$I$3+$A$989+IF($K$3=0,Tab.11[[#This Row],[b8]]*_xlfn.STDEV.P(Tab.11[data]),AVERAGE(Tab.11[b6])+Tab.11[[#This Row],[b8]]*_xlfn.STDEV.P(Tab.11[data])))</f>
        <v>0</v>
      </c>
      <c r="S906" s="71" t="b">
        <f>IF(Tab.11[[#This Row],[a1]]=1,$I$3+$A$987+IF($K$3=0,Tab.11[[#This Row],[b9]]*_xlfn.STDEV.P(Tab.11[data]),AVERAGE(Tab.11[b6])+Tab.11[[#This Row],[b9]]*_xlfn.STDEV.P(Tab.11[data])))</f>
        <v>0</v>
      </c>
      <c r="T906" s="71" t="b">
        <f>IF(Tab.11[[#This Row],[a1]]=1,$I$3+$A$988+IF($K$3=0,Tab.11[[#This Row],[b10]]*_xlfn.STDEV.P(Tab.11[data]),AVERAGE(Tab.11[b6])+Tab.11[[#This Row],[b10]]*_xlfn.STDEV.P(Tab.11[data])))</f>
        <v>0</v>
      </c>
      <c r="U906" s="72" t="b">
        <f>IF(Tab.11[[#This Row],[a1]]=1,Tab.11[[#This Row],[target]]-Tab.11[[#This Row],[Red]])</f>
        <v>0</v>
      </c>
      <c r="V906" s="72" t="b">
        <f>IF(Tab.11[[#This Row],[a1]]=1,Tab.11[[#This Row],[target]]-Tab.11[[#This Row],[Blue]])</f>
        <v>0</v>
      </c>
      <c r="W906" s="73" t="b">
        <f>IF(Tab.11[[#This Row],[a1]]=1,IF(ABS(Tab.11[[#This Row],[b17]])+ABS(Tab.11[[#This Row],[b18]])&lt;$W$2,$W$2,ABS(Tab.11[[#This Row],[b17]])+ABS(Tab.11[[#This Row],[b18]])))</f>
        <v>0</v>
      </c>
      <c r="X906" s="136" t="b">
        <f>IF(Tab.11[[#This Row],[a1]]=1,IF($W$3&lt;0,Tab.11[[#This Row],[IN]]-$I$3,Tab.11[[#This Row],[IN]]))</f>
        <v>0</v>
      </c>
      <c r="Y906" s="136" t="b">
        <f>IF(Tab.11[[#This Row],[a1]]=1,IF($X$3=0,Tab.11[b66],Tab.11[[#This Row],[b66]]-AVERAGE(Tab.11[b66])))</f>
        <v>0</v>
      </c>
      <c r="Z906" s="135" t="b">
        <f>IF(Tab.11[[#This Row],[a1]]=1,Tab.11[[#This Row],[b77]]/(_xlfn.STDEV.P(Tab.11[b77])))</f>
        <v>0</v>
      </c>
      <c r="AA906" s="70" t="b">
        <f>IF(Tab.11[[#This Row],[a1]]=1,_xlfn.NORM.DIST(Tab.11[[#This Row],[b88]],$Z$1,$AA$1,FALSE))</f>
        <v>0</v>
      </c>
      <c r="AB906" s="74" t="b">
        <f>IF(Tab.11[[#This Row],[a1]]=1,IF($A$3=0,FALSE,1/Tab.11[[#This Row],[IN]]*$AC$2*IF(Tab.11[[#This Row],[a1]]=0,,$A$3*$AC$1*1/$V$3*(Tab.11[[#This Row],[b14]]))))</f>
        <v>0</v>
      </c>
      <c r="AC906" s="75" t="b">
        <f>IF(Tab.11[[#This Row],[a1]]=1,IF($AC$3=0,Tab.11[[#This Row],[φ1]],Tab.11[[#This Row],[φ1]]/MAX(Tab.11[φ1])))</f>
        <v>0</v>
      </c>
      <c r="AD906" s="74" t="b">
        <f>IF(Tab.11[[#This Row],[a1]]=1,1/Tab.11[[#This Row],[φ2]])</f>
        <v>0</v>
      </c>
      <c r="AE906" s="74" t="b">
        <f>IF(Tab.11[[#This Row],[a1]]=1,IF($AE$3=0,Tab.11[[#This Row],[w.0]],Tab.11[[#This Row],[w.0]]/SUM(Tab.11[w.0])))</f>
        <v>0</v>
      </c>
      <c r="AF906" s="76" t="str">
        <f>IF(Tab.11[[#This Row],[a1]]=0,"false",[3]!Tab.x5[[#This Row],[%_seN_C]])</f>
        <v>false</v>
      </c>
      <c r="AG906" s="77" t="b">
        <f>IF(Tab.11[[#This Row],[a1]]=1,AP906)</f>
        <v>0</v>
      </c>
      <c r="AH906" s="78" t="b">
        <f>IF(Tab.11[[#This Row],[a1]]=1,AQ906)</f>
        <v>0</v>
      </c>
      <c r="AI906" s="41">
        <v>3.0000000000000001E-3</v>
      </c>
      <c r="AJ906" s="79">
        <v>-0.09</v>
      </c>
      <c r="AK906" s="80" t="b">
        <f>IF(Tab.11[[#This Row],[a1]]=1,1)</f>
        <v>0</v>
      </c>
      <c r="AZ906"/>
    </row>
    <row r="907" spans="1:52" hidden="1" x14ac:dyDescent="0.25">
      <c r="A907" s="61">
        <f t="shared" si="29"/>
        <v>0</v>
      </c>
      <c r="B907" s="62">
        <f t="shared" si="29"/>
        <v>0</v>
      </c>
      <c r="C907" s="62" t="b">
        <f>IF(Tab.11[[#This Row],[a1]]=1,[3]!Tab_x1[[#This Row],[Name]])</f>
        <v>0</v>
      </c>
      <c r="D907" s="63" t="b">
        <f>IF(Tab.11[[#This Row],[a1]]=1,AO907)</f>
        <v>0</v>
      </c>
      <c r="E907" s="63">
        <f t="shared" si="30"/>
        <v>0</v>
      </c>
      <c r="F907" s="64" t="b">
        <f>IF(Tab.11[[#This Row],[a1]]=1,Tab.11[[#This Row],[b1]])</f>
        <v>0</v>
      </c>
      <c r="G907" s="65" t="b">
        <f>IF(Tab.11[[#This Row],[a1]]=1,IF(Tab.11[[#This Row],[b3]]&gt;$L$989*$G$3,$L$989*$G$3,IF(Tab.11[[#This Row],[b3]]&lt;$M$989*$G$3,$M$989*$G$3,Tab.11[[#This Row],[b3]])))</f>
        <v>0</v>
      </c>
      <c r="H907" s="66" t="b">
        <f>IF(Tab.11[[#This Row],[a1]]=1,Tab.11[[#This Row],[b1]])</f>
        <v>0</v>
      </c>
      <c r="I907" s="67" t="b">
        <f>IF(Tab.11[[#This Row],[a1]]=1,Tab.11[[#This Row],[b1]])</f>
        <v>0</v>
      </c>
      <c r="J907" s="68" t="b">
        <f>IF(Tab.11[[#This Row],[a1]]=1,IF($I$3&lt;0,Tab.11[[#This Row],[b5]]-$I$3,Tab.11[[#This Row],[b5]]))</f>
        <v>0</v>
      </c>
      <c r="K907" s="68" t="b">
        <f>IF(Tab.11[[#This Row],[a1]]=1,IF($K$3=0,Tab.11[b6],Tab.11[[#This Row],[b6]]-AVERAGE(Tab.11[b6])))</f>
        <v>0</v>
      </c>
      <c r="L907" s="69" t="b">
        <f>IF(Tab.11[[#This Row],[a1]]=1,Tab.11[[#This Row],[data]]/(_xlfn.STDEV.P(Tab.11[data])*$B$989)+$A$989)</f>
        <v>0</v>
      </c>
      <c r="M907" s="69" t="b">
        <f>IF(Tab.11[[#This Row],[a1]]=1,Tab.11[[#This Row],[data]]/(_xlfn.STDEV.P(Tab.11[data])*$B$987)-$A$987)</f>
        <v>0</v>
      </c>
      <c r="N907" s="69" t="b">
        <f>IF(Tab.11[[#This Row],[a1]]=1,Tab.11[[#This Row],[data]]/(_xlfn.STDEV.P(Tab.11[data])*$B$988)+$A$988)</f>
        <v>0</v>
      </c>
      <c r="O907" s="70" t="b">
        <f>IF(Tab.11[[#This Row],[a1]]=1,_xlfn.NORM.DIST(Tab.11[[#This Row],[b8]],$P$1,$Q$1,FALSE))</f>
        <v>0</v>
      </c>
      <c r="P907" s="70" t="b">
        <f>IF(Tab.11[[#This Row],[a1]]=1,_xlfn.NORM.DIST(Tab.11[[#This Row],[b9]],$P$1,$Q$1,FALSE))</f>
        <v>0</v>
      </c>
      <c r="Q907" s="70" t="b">
        <f>IF(Tab.11[[#This Row],[a1]]=1,_xlfn.NORM.DIST(Tab.11[[#This Row],[b10]],$P$1,$Q$1,FALSE))</f>
        <v>0</v>
      </c>
      <c r="R907" s="67" t="b">
        <f>IF(Tab.11[[#This Row],[a1]]=1,$I$3+$A$989+IF($K$3=0,Tab.11[[#This Row],[b8]]*_xlfn.STDEV.P(Tab.11[data]),AVERAGE(Tab.11[b6])+Tab.11[[#This Row],[b8]]*_xlfn.STDEV.P(Tab.11[data])))</f>
        <v>0</v>
      </c>
      <c r="S907" s="71" t="b">
        <f>IF(Tab.11[[#This Row],[a1]]=1,$I$3+$A$987+IF($K$3=0,Tab.11[[#This Row],[b9]]*_xlfn.STDEV.P(Tab.11[data]),AVERAGE(Tab.11[b6])+Tab.11[[#This Row],[b9]]*_xlfn.STDEV.P(Tab.11[data])))</f>
        <v>0</v>
      </c>
      <c r="T907" s="71" t="b">
        <f>IF(Tab.11[[#This Row],[a1]]=1,$I$3+$A$988+IF($K$3=0,Tab.11[[#This Row],[b10]]*_xlfn.STDEV.P(Tab.11[data]),AVERAGE(Tab.11[b6])+Tab.11[[#This Row],[b10]]*_xlfn.STDEV.P(Tab.11[data])))</f>
        <v>0</v>
      </c>
      <c r="U907" s="72" t="b">
        <f>IF(Tab.11[[#This Row],[a1]]=1,Tab.11[[#This Row],[target]]-Tab.11[[#This Row],[Red]])</f>
        <v>0</v>
      </c>
      <c r="V907" s="72" t="b">
        <f>IF(Tab.11[[#This Row],[a1]]=1,Tab.11[[#This Row],[target]]-Tab.11[[#This Row],[Blue]])</f>
        <v>0</v>
      </c>
      <c r="W907" s="73" t="b">
        <f>IF(Tab.11[[#This Row],[a1]]=1,IF(ABS(Tab.11[[#This Row],[b17]])+ABS(Tab.11[[#This Row],[b18]])&lt;$W$2,$W$2,ABS(Tab.11[[#This Row],[b17]])+ABS(Tab.11[[#This Row],[b18]])))</f>
        <v>0</v>
      </c>
      <c r="X907" s="136" t="b">
        <f>IF(Tab.11[[#This Row],[a1]]=1,IF($W$3&lt;0,Tab.11[[#This Row],[IN]]-$I$3,Tab.11[[#This Row],[IN]]))</f>
        <v>0</v>
      </c>
      <c r="Y907" s="136" t="b">
        <f>IF(Tab.11[[#This Row],[a1]]=1,IF($X$3=0,Tab.11[b66],Tab.11[[#This Row],[b66]]-AVERAGE(Tab.11[b66])))</f>
        <v>0</v>
      </c>
      <c r="Z907" s="135" t="b">
        <f>IF(Tab.11[[#This Row],[a1]]=1,Tab.11[[#This Row],[b77]]/(_xlfn.STDEV.P(Tab.11[b77])))</f>
        <v>0</v>
      </c>
      <c r="AA907" s="70" t="b">
        <f>IF(Tab.11[[#This Row],[a1]]=1,_xlfn.NORM.DIST(Tab.11[[#This Row],[b88]],$Z$1,$AA$1,FALSE))</f>
        <v>0</v>
      </c>
      <c r="AB907" s="74" t="b">
        <f>IF(Tab.11[[#This Row],[a1]]=1,IF($A$3=0,FALSE,1/Tab.11[[#This Row],[IN]]*$AC$2*IF(Tab.11[[#This Row],[a1]]=0,,$A$3*$AC$1*1/$V$3*(Tab.11[[#This Row],[b14]]))))</f>
        <v>0</v>
      </c>
      <c r="AC907" s="75" t="b">
        <f>IF(Tab.11[[#This Row],[a1]]=1,IF($AC$3=0,Tab.11[[#This Row],[φ1]],Tab.11[[#This Row],[φ1]]/MAX(Tab.11[φ1])))</f>
        <v>0</v>
      </c>
      <c r="AD907" s="74" t="b">
        <f>IF(Tab.11[[#This Row],[a1]]=1,1/Tab.11[[#This Row],[φ2]])</f>
        <v>0</v>
      </c>
      <c r="AE907" s="74" t="b">
        <f>IF(Tab.11[[#This Row],[a1]]=1,IF($AE$3=0,Tab.11[[#This Row],[w.0]],Tab.11[[#This Row],[w.0]]/SUM(Tab.11[w.0])))</f>
        <v>0</v>
      </c>
      <c r="AF907" s="76" t="str">
        <f>IF(Tab.11[[#This Row],[a1]]=0,"false",[3]!Tab.x5[[#This Row],[%_seN_C]])</f>
        <v>false</v>
      </c>
      <c r="AG907" s="77" t="b">
        <f>IF(Tab.11[[#This Row],[a1]]=1,AP907)</f>
        <v>0</v>
      </c>
      <c r="AH907" s="78" t="b">
        <f>IF(Tab.11[[#This Row],[a1]]=1,AQ907)</f>
        <v>0</v>
      </c>
      <c r="AI907" s="41">
        <v>3.0000000000000001E-3</v>
      </c>
      <c r="AJ907" s="79">
        <v>-0.05</v>
      </c>
      <c r="AK907" s="80" t="b">
        <f>IF(Tab.11[[#This Row],[a1]]=1,1)</f>
        <v>0</v>
      </c>
      <c r="AZ907"/>
    </row>
    <row r="908" spans="1:52" hidden="1" x14ac:dyDescent="0.25">
      <c r="A908" s="61">
        <f t="shared" si="29"/>
        <v>0</v>
      </c>
      <c r="B908" s="62">
        <f t="shared" si="29"/>
        <v>0</v>
      </c>
      <c r="C908" s="62" t="b">
        <f>IF(Tab.11[[#This Row],[a1]]=1,[3]!Tab_x1[[#This Row],[Name]])</f>
        <v>0</v>
      </c>
      <c r="D908" s="63" t="b">
        <f>IF(Tab.11[[#This Row],[a1]]=1,AO908)</f>
        <v>0</v>
      </c>
      <c r="E908" s="63">
        <f t="shared" si="30"/>
        <v>0</v>
      </c>
      <c r="F908" s="64" t="b">
        <f>IF(Tab.11[[#This Row],[a1]]=1,Tab.11[[#This Row],[b1]])</f>
        <v>0</v>
      </c>
      <c r="G908" s="65" t="b">
        <f>IF(Tab.11[[#This Row],[a1]]=1,IF(Tab.11[[#This Row],[b3]]&gt;$L$989*$G$3,$L$989*$G$3,IF(Tab.11[[#This Row],[b3]]&lt;$M$989*$G$3,$M$989*$G$3,Tab.11[[#This Row],[b3]])))</f>
        <v>0</v>
      </c>
      <c r="H908" s="66" t="b">
        <f>IF(Tab.11[[#This Row],[a1]]=1,Tab.11[[#This Row],[b1]])</f>
        <v>0</v>
      </c>
      <c r="I908" s="67" t="b">
        <f>IF(Tab.11[[#This Row],[a1]]=1,Tab.11[[#This Row],[b1]])</f>
        <v>0</v>
      </c>
      <c r="J908" s="68" t="b">
        <f>IF(Tab.11[[#This Row],[a1]]=1,IF($I$3&lt;0,Tab.11[[#This Row],[b5]]-$I$3,Tab.11[[#This Row],[b5]]))</f>
        <v>0</v>
      </c>
      <c r="K908" s="68" t="b">
        <f>IF(Tab.11[[#This Row],[a1]]=1,IF($K$3=0,Tab.11[b6],Tab.11[[#This Row],[b6]]-AVERAGE(Tab.11[b6])))</f>
        <v>0</v>
      </c>
      <c r="L908" s="69" t="b">
        <f>IF(Tab.11[[#This Row],[a1]]=1,Tab.11[[#This Row],[data]]/(_xlfn.STDEV.P(Tab.11[data])*$B$989)+$A$989)</f>
        <v>0</v>
      </c>
      <c r="M908" s="69" t="b">
        <f>IF(Tab.11[[#This Row],[a1]]=1,Tab.11[[#This Row],[data]]/(_xlfn.STDEV.P(Tab.11[data])*$B$987)-$A$987)</f>
        <v>0</v>
      </c>
      <c r="N908" s="69" t="b">
        <f>IF(Tab.11[[#This Row],[a1]]=1,Tab.11[[#This Row],[data]]/(_xlfn.STDEV.P(Tab.11[data])*$B$988)+$A$988)</f>
        <v>0</v>
      </c>
      <c r="O908" s="70" t="b">
        <f>IF(Tab.11[[#This Row],[a1]]=1,_xlfn.NORM.DIST(Tab.11[[#This Row],[b8]],$P$1,$Q$1,FALSE))</f>
        <v>0</v>
      </c>
      <c r="P908" s="70" t="b">
        <f>IF(Tab.11[[#This Row],[a1]]=1,_xlfn.NORM.DIST(Tab.11[[#This Row],[b9]],$P$1,$Q$1,FALSE))</f>
        <v>0</v>
      </c>
      <c r="Q908" s="70" t="b">
        <f>IF(Tab.11[[#This Row],[a1]]=1,_xlfn.NORM.DIST(Tab.11[[#This Row],[b10]],$P$1,$Q$1,FALSE))</f>
        <v>0</v>
      </c>
      <c r="R908" s="67" t="b">
        <f>IF(Tab.11[[#This Row],[a1]]=1,$I$3+$A$989+IF($K$3=0,Tab.11[[#This Row],[b8]]*_xlfn.STDEV.P(Tab.11[data]),AVERAGE(Tab.11[b6])+Tab.11[[#This Row],[b8]]*_xlfn.STDEV.P(Tab.11[data])))</f>
        <v>0</v>
      </c>
      <c r="S908" s="71" t="b">
        <f>IF(Tab.11[[#This Row],[a1]]=1,$I$3+$A$987+IF($K$3=0,Tab.11[[#This Row],[b9]]*_xlfn.STDEV.P(Tab.11[data]),AVERAGE(Tab.11[b6])+Tab.11[[#This Row],[b9]]*_xlfn.STDEV.P(Tab.11[data])))</f>
        <v>0</v>
      </c>
      <c r="T908" s="71" t="b">
        <f>IF(Tab.11[[#This Row],[a1]]=1,$I$3+$A$988+IF($K$3=0,Tab.11[[#This Row],[b10]]*_xlfn.STDEV.P(Tab.11[data]),AVERAGE(Tab.11[b6])+Tab.11[[#This Row],[b10]]*_xlfn.STDEV.P(Tab.11[data])))</f>
        <v>0</v>
      </c>
      <c r="U908" s="72" t="b">
        <f>IF(Tab.11[[#This Row],[a1]]=1,Tab.11[[#This Row],[target]]-Tab.11[[#This Row],[Red]])</f>
        <v>0</v>
      </c>
      <c r="V908" s="72" t="b">
        <f>IF(Tab.11[[#This Row],[a1]]=1,Tab.11[[#This Row],[target]]-Tab.11[[#This Row],[Blue]])</f>
        <v>0</v>
      </c>
      <c r="W908" s="73" t="b">
        <f>IF(Tab.11[[#This Row],[a1]]=1,IF(ABS(Tab.11[[#This Row],[b17]])+ABS(Tab.11[[#This Row],[b18]])&lt;$W$2,$W$2,ABS(Tab.11[[#This Row],[b17]])+ABS(Tab.11[[#This Row],[b18]])))</f>
        <v>0</v>
      </c>
      <c r="X908" s="136" t="b">
        <f>IF(Tab.11[[#This Row],[a1]]=1,IF($W$3&lt;0,Tab.11[[#This Row],[IN]]-$I$3,Tab.11[[#This Row],[IN]]))</f>
        <v>0</v>
      </c>
      <c r="Y908" s="136" t="b">
        <f>IF(Tab.11[[#This Row],[a1]]=1,IF($X$3=0,Tab.11[b66],Tab.11[[#This Row],[b66]]-AVERAGE(Tab.11[b66])))</f>
        <v>0</v>
      </c>
      <c r="Z908" s="135" t="b">
        <f>IF(Tab.11[[#This Row],[a1]]=1,Tab.11[[#This Row],[b77]]/(_xlfn.STDEV.P(Tab.11[b77])))</f>
        <v>0</v>
      </c>
      <c r="AA908" s="70" t="b">
        <f>IF(Tab.11[[#This Row],[a1]]=1,_xlfn.NORM.DIST(Tab.11[[#This Row],[b88]],$Z$1,$AA$1,FALSE))</f>
        <v>0</v>
      </c>
      <c r="AB908" s="74" t="b">
        <f>IF(Tab.11[[#This Row],[a1]]=1,IF($A$3=0,FALSE,1/Tab.11[[#This Row],[IN]]*$AC$2*IF(Tab.11[[#This Row],[a1]]=0,,$A$3*$AC$1*1/$V$3*(Tab.11[[#This Row],[b14]]))))</f>
        <v>0</v>
      </c>
      <c r="AC908" s="75" t="b">
        <f>IF(Tab.11[[#This Row],[a1]]=1,IF($AC$3=0,Tab.11[[#This Row],[φ1]],Tab.11[[#This Row],[φ1]]/MAX(Tab.11[φ1])))</f>
        <v>0</v>
      </c>
      <c r="AD908" s="74" t="b">
        <f>IF(Tab.11[[#This Row],[a1]]=1,1/Tab.11[[#This Row],[φ2]])</f>
        <v>0</v>
      </c>
      <c r="AE908" s="74" t="b">
        <f>IF(Tab.11[[#This Row],[a1]]=1,IF($AE$3=0,Tab.11[[#This Row],[w.0]],Tab.11[[#This Row],[w.0]]/SUM(Tab.11[w.0])))</f>
        <v>0</v>
      </c>
      <c r="AF908" s="76" t="str">
        <f>IF(Tab.11[[#This Row],[a1]]=0,"false",[3]!Tab.x5[[#This Row],[%_seN_C]])</f>
        <v>false</v>
      </c>
      <c r="AG908" s="77" t="b">
        <f>IF(Tab.11[[#This Row],[a1]]=1,AP908)</f>
        <v>0</v>
      </c>
      <c r="AH908" s="78" t="b">
        <f>IF(Tab.11[[#This Row],[a1]]=1,AQ908)</f>
        <v>0</v>
      </c>
      <c r="AI908" s="41">
        <v>3.0000000000000001E-3</v>
      </c>
      <c r="AJ908" s="79">
        <v>0.09</v>
      </c>
      <c r="AK908" s="80" t="b">
        <f>IF(Tab.11[[#This Row],[a1]]=1,1)</f>
        <v>0</v>
      </c>
      <c r="AZ908"/>
    </row>
    <row r="909" spans="1:52" hidden="1" x14ac:dyDescent="0.25">
      <c r="A909" s="61">
        <f t="shared" si="29"/>
        <v>0</v>
      </c>
      <c r="B909" s="62">
        <f t="shared" si="29"/>
        <v>0</v>
      </c>
      <c r="C909" s="62" t="b">
        <f>IF(Tab.11[[#This Row],[a1]]=1,[3]!Tab_x1[[#This Row],[Name]])</f>
        <v>0</v>
      </c>
      <c r="D909" s="63" t="b">
        <f>IF(Tab.11[[#This Row],[a1]]=1,AO909)</f>
        <v>0</v>
      </c>
      <c r="E909" s="63">
        <f t="shared" si="30"/>
        <v>0</v>
      </c>
      <c r="F909" s="64" t="b">
        <f>IF(Tab.11[[#This Row],[a1]]=1,Tab.11[[#This Row],[b1]])</f>
        <v>0</v>
      </c>
      <c r="G909" s="65" t="b">
        <f>IF(Tab.11[[#This Row],[a1]]=1,IF(Tab.11[[#This Row],[b3]]&gt;$L$989*$G$3,$L$989*$G$3,IF(Tab.11[[#This Row],[b3]]&lt;$M$989*$G$3,$M$989*$G$3,Tab.11[[#This Row],[b3]])))</f>
        <v>0</v>
      </c>
      <c r="H909" s="66" t="b">
        <f>IF(Tab.11[[#This Row],[a1]]=1,Tab.11[[#This Row],[b1]])</f>
        <v>0</v>
      </c>
      <c r="I909" s="67" t="b">
        <f>IF(Tab.11[[#This Row],[a1]]=1,Tab.11[[#This Row],[b1]])</f>
        <v>0</v>
      </c>
      <c r="J909" s="68" t="b">
        <f>IF(Tab.11[[#This Row],[a1]]=1,IF($I$3&lt;0,Tab.11[[#This Row],[b5]]-$I$3,Tab.11[[#This Row],[b5]]))</f>
        <v>0</v>
      </c>
      <c r="K909" s="68" t="b">
        <f>IF(Tab.11[[#This Row],[a1]]=1,IF($K$3=0,Tab.11[b6],Tab.11[[#This Row],[b6]]-AVERAGE(Tab.11[b6])))</f>
        <v>0</v>
      </c>
      <c r="L909" s="69" t="b">
        <f>IF(Tab.11[[#This Row],[a1]]=1,Tab.11[[#This Row],[data]]/(_xlfn.STDEV.P(Tab.11[data])*$B$989)+$A$989)</f>
        <v>0</v>
      </c>
      <c r="M909" s="69" t="b">
        <f>IF(Tab.11[[#This Row],[a1]]=1,Tab.11[[#This Row],[data]]/(_xlfn.STDEV.P(Tab.11[data])*$B$987)-$A$987)</f>
        <v>0</v>
      </c>
      <c r="N909" s="69" t="b">
        <f>IF(Tab.11[[#This Row],[a1]]=1,Tab.11[[#This Row],[data]]/(_xlfn.STDEV.P(Tab.11[data])*$B$988)+$A$988)</f>
        <v>0</v>
      </c>
      <c r="O909" s="70" t="b">
        <f>IF(Tab.11[[#This Row],[a1]]=1,_xlfn.NORM.DIST(Tab.11[[#This Row],[b8]],$P$1,$Q$1,FALSE))</f>
        <v>0</v>
      </c>
      <c r="P909" s="70" t="b">
        <f>IF(Tab.11[[#This Row],[a1]]=1,_xlfn.NORM.DIST(Tab.11[[#This Row],[b9]],$P$1,$Q$1,FALSE))</f>
        <v>0</v>
      </c>
      <c r="Q909" s="70" t="b">
        <f>IF(Tab.11[[#This Row],[a1]]=1,_xlfn.NORM.DIST(Tab.11[[#This Row],[b10]],$P$1,$Q$1,FALSE))</f>
        <v>0</v>
      </c>
      <c r="R909" s="67" t="b">
        <f>IF(Tab.11[[#This Row],[a1]]=1,$I$3+$A$989+IF($K$3=0,Tab.11[[#This Row],[b8]]*_xlfn.STDEV.P(Tab.11[data]),AVERAGE(Tab.11[b6])+Tab.11[[#This Row],[b8]]*_xlfn.STDEV.P(Tab.11[data])))</f>
        <v>0</v>
      </c>
      <c r="S909" s="71" t="b">
        <f>IF(Tab.11[[#This Row],[a1]]=1,$I$3+$A$987+IF($K$3=0,Tab.11[[#This Row],[b9]]*_xlfn.STDEV.P(Tab.11[data]),AVERAGE(Tab.11[b6])+Tab.11[[#This Row],[b9]]*_xlfn.STDEV.P(Tab.11[data])))</f>
        <v>0</v>
      </c>
      <c r="T909" s="71" t="b">
        <f>IF(Tab.11[[#This Row],[a1]]=1,$I$3+$A$988+IF($K$3=0,Tab.11[[#This Row],[b10]]*_xlfn.STDEV.P(Tab.11[data]),AVERAGE(Tab.11[b6])+Tab.11[[#This Row],[b10]]*_xlfn.STDEV.P(Tab.11[data])))</f>
        <v>0</v>
      </c>
      <c r="U909" s="72" t="b">
        <f>IF(Tab.11[[#This Row],[a1]]=1,Tab.11[[#This Row],[target]]-Tab.11[[#This Row],[Red]])</f>
        <v>0</v>
      </c>
      <c r="V909" s="72" t="b">
        <f>IF(Tab.11[[#This Row],[a1]]=1,Tab.11[[#This Row],[target]]-Tab.11[[#This Row],[Blue]])</f>
        <v>0</v>
      </c>
      <c r="W909" s="73" t="b">
        <f>IF(Tab.11[[#This Row],[a1]]=1,IF(ABS(Tab.11[[#This Row],[b17]])+ABS(Tab.11[[#This Row],[b18]])&lt;$W$2,$W$2,ABS(Tab.11[[#This Row],[b17]])+ABS(Tab.11[[#This Row],[b18]])))</f>
        <v>0</v>
      </c>
      <c r="X909" s="136" t="b">
        <f>IF(Tab.11[[#This Row],[a1]]=1,IF($W$3&lt;0,Tab.11[[#This Row],[IN]]-$I$3,Tab.11[[#This Row],[IN]]))</f>
        <v>0</v>
      </c>
      <c r="Y909" s="136" t="b">
        <f>IF(Tab.11[[#This Row],[a1]]=1,IF($X$3=0,Tab.11[b66],Tab.11[[#This Row],[b66]]-AVERAGE(Tab.11[b66])))</f>
        <v>0</v>
      </c>
      <c r="Z909" s="135" t="b">
        <f>IF(Tab.11[[#This Row],[a1]]=1,Tab.11[[#This Row],[b77]]/(_xlfn.STDEV.P(Tab.11[b77])))</f>
        <v>0</v>
      </c>
      <c r="AA909" s="70" t="b">
        <f>IF(Tab.11[[#This Row],[a1]]=1,_xlfn.NORM.DIST(Tab.11[[#This Row],[b88]],$Z$1,$AA$1,FALSE))</f>
        <v>0</v>
      </c>
      <c r="AB909" s="74" t="b">
        <f>IF(Tab.11[[#This Row],[a1]]=1,IF($A$3=0,FALSE,1/Tab.11[[#This Row],[IN]]*$AC$2*IF(Tab.11[[#This Row],[a1]]=0,,$A$3*$AC$1*1/$V$3*(Tab.11[[#This Row],[b14]]))))</f>
        <v>0</v>
      </c>
      <c r="AC909" s="75" t="b">
        <f>IF(Tab.11[[#This Row],[a1]]=1,IF($AC$3=0,Tab.11[[#This Row],[φ1]],Tab.11[[#This Row],[φ1]]/MAX(Tab.11[φ1])))</f>
        <v>0</v>
      </c>
      <c r="AD909" s="74" t="b">
        <f>IF(Tab.11[[#This Row],[a1]]=1,1/Tab.11[[#This Row],[φ2]])</f>
        <v>0</v>
      </c>
      <c r="AE909" s="74" t="b">
        <f>IF(Tab.11[[#This Row],[a1]]=1,IF($AE$3=0,Tab.11[[#This Row],[w.0]],Tab.11[[#This Row],[w.0]]/SUM(Tab.11[w.0])))</f>
        <v>0</v>
      </c>
      <c r="AF909" s="76" t="str">
        <f>IF(Tab.11[[#This Row],[a1]]=0,"false",[3]!Tab.x5[[#This Row],[%_seN_C]])</f>
        <v>false</v>
      </c>
      <c r="AG909" s="77" t="b">
        <f>IF(Tab.11[[#This Row],[a1]]=1,AP909)</f>
        <v>0</v>
      </c>
      <c r="AH909" s="78" t="b">
        <f>IF(Tab.11[[#This Row],[a1]]=1,AQ909)</f>
        <v>0</v>
      </c>
      <c r="AI909" s="41">
        <v>3.0000000000000001E-3</v>
      </c>
      <c r="AJ909" s="79">
        <v>-0.09</v>
      </c>
      <c r="AK909" s="80" t="b">
        <f>IF(Tab.11[[#This Row],[a1]]=1,1)</f>
        <v>0</v>
      </c>
      <c r="AZ909"/>
    </row>
    <row r="910" spans="1:52" hidden="1" x14ac:dyDescent="0.25">
      <c r="A910" s="61">
        <f t="shared" si="29"/>
        <v>0</v>
      </c>
      <c r="B910" s="62">
        <f t="shared" si="29"/>
        <v>0</v>
      </c>
      <c r="C910" s="62" t="b">
        <f>IF(Tab.11[[#This Row],[a1]]=1,[3]!Tab_x1[[#This Row],[Name]])</f>
        <v>0</v>
      </c>
      <c r="D910" s="63" t="b">
        <f>IF(Tab.11[[#This Row],[a1]]=1,AO910)</f>
        <v>0</v>
      </c>
      <c r="E910" s="63">
        <f t="shared" si="30"/>
        <v>0</v>
      </c>
      <c r="F910" s="64" t="b">
        <f>IF(Tab.11[[#This Row],[a1]]=1,Tab.11[[#This Row],[b1]])</f>
        <v>0</v>
      </c>
      <c r="G910" s="65" t="b">
        <f>IF(Tab.11[[#This Row],[a1]]=1,IF(Tab.11[[#This Row],[b3]]&gt;$L$989*$G$3,$L$989*$G$3,IF(Tab.11[[#This Row],[b3]]&lt;$M$989*$G$3,$M$989*$G$3,Tab.11[[#This Row],[b3]])))</f>
        <v>0</v>
      </c>
      <c r="H910" s="66" t="b">
        <f>IF(Tab.11[[#This Row],[a1]]=1,Tab.11[[#This Row],[b1]])</f>
        <v>0</v>
      </c>
      <c r="I910" s="67" t="b">
        <f>IF(Tab.11[[#This Row],[a1]]=1,Tab.11[[#This Row],[b1]])</f>
        <v>0</v>
      </c>
      <c r="J910" s="68" t="b">
        <f>IF(Tab.11[[#This Row],[a1]]=1,IF($I$3&lt;0,Tab.11[[#This Row],[b5]]-$I$3,Tab.11[[#This Row],[b5]]))</f>
        <v>0</v>
      </c>
      <c r="K910" s="68" t="b">
        <f>IF(Tab.11[[#This Row],[a1]]=1,IF($K$3=0,Tab.11[b6],Tab.11[[#This Row],[b6]]-AVERAGE(Tab.11[b6])))</f>
        <v>0</v>
      </c>
      <c r="L910" s="69" t="b">
        <f>IF(Tab.11[[#This Row],[a1]]=1,Tab.11[[#This Row],[data]]/(_xlfn.STDEV.P(Tab.11[data])*$B$989)+$A$989)</f>
        <v>0</v>
      </c>
      <c r="M910" s="69" t="b">
        <f>IF(Tab.11[[#This Row],[a1]]=1,Tab.11[[#This Row],[data]]/(_xlfn.STDEV.P(Tab.11[data])*$B$987)-$A$987)</f>
        <v>0</v>
      </c>
      <c r="N910" s="69" t="b">
        <f>IF(Tab.11[[#This Row],[a1]]=1,Tab.11[[#This Row],[data]]/(_xlfn.STDEV.P(Tab.11[data])*$B$988)+$A$988)</f>
        <v>0</v>
      </c>
      <c r="O910" s="70" t="b">
        <f>IF(Tab.11[[#This Row],[a1]]=1,_xlfn.NORM.DIST(Tab.11[[#This Row],[b8]],$P$1,$Q$1,FALSE))</f>
        <v>0</v>
      </c>
      <c r="P910" s="70" t="b">
        <f>IF(Tab.11[[#This Row],[a1]]=1,_xlfn.NORM.DIST(Tab.11[[#This Row],[b9]],$P$1,$Q$1,FALSE))</f>
        <v>0</v>
      </c>
      <c r="Q910" s="70" t="b">
        <f>IF(Tab.11[[#This Row],[a1]]=1,_xlfn.NORM.DIST(Tab.11[[#This Row],[b10]],$P$1,$Q$1,FALSE))</f>
        <v>0</v>
      </c>
      <c r="R910" s="67" t="b">
        <f>IF(Tab.11[[#This Row],[a1]]=1,$I$3+$A$989+IF($K$3=0,Tab.11[[#This Row],[b8]]*_xlfn.STDEV.P(Tab.11[data]),AVERAGE(Tab.11[b6])+Tab.11[[#This Row],[b8]]*_xlfn.STDEV.P(Tab.11[data])))</f>
        <v>0</v>
      </c>
      <c r="S910" s="71" t="b">
        <f>IF(Tab.11[[#This Row],[a1]]=1,$I$3+$A$987+IF($K$3=0,Tab.11[[#This Row],[b9]]*_xlfn.STDEV.P(Tab.11[data]),AVERAGE(Tab.11[b6])+Tab.11[[#This Row],[b9]]*_xlfn.STDEV.P(Tab.11[data])))</f>
        <v>0</v>
      </c>
      <c r="T910" s="71" t="b">
        <f>IF(Tab.11[[#This Row],[a1]]=1,$I$3+$A$988+IF($K$3=0,Tab.11[[#This Row],[b10]]*_xlfn.STDEV.P(Tab.11[data]),AVERAGE(Tab.11[b6])+Tab.11[[#This Row],[b10]]*_xlfn.STDEV.P(Tab.11[data])))</f>
        <v>0</v>
      </c>
      <c r="U910" s="72" t="b">
        <f>IF(Tab.11[[#This Row],[a1]]=1,Tab.11[[#This Row],[target]]-Tab.11[[#This Row],[Red]])</f>
        <v>0</v>
      </c>
      <c r="V910" s="72" t="b">
        <f>IF(Tab.11[[#This Row],[a1]]=1,Tab.11[[#This Row],[target]]-Tab.11[[#This Row],[Blue]])</f>
        <v>0</v>
      </c>
      <c r="W910" s="73" t="b">
        <f>IF(Tab.11[[#This Row],[a1]]=1,IF(ABS(Tab.11[[#This Row],[b17]])+ABS(Tab.11[[#This Row],[b18]])&lt;$W$2,$W$2,ABS(Tab.11[[#This Row],[b17]])+ABS(Tab.11[[#This Row],[b18]])))</f>
        <v>0</v>
      </c>
      <c r="X910" s="136" t="b">
        <f>IF(Tab.11[[#This Row],[a1]]=1,IF($W$3&lt;0,Tab.11[[#This Row],[IN]]-$I$3,Tab.11[[#This Row],[IN]]))</f>
        <v>0</v>
      </c>
      <c r="Y910" s="136" t="b">
        <f>IF(Tab.11[[#This Row],[a1]]=1,IF($X$3=0,Tab.11[b66],Tab.11[[#This Row],[b66]]-AVERAGE(Tab.11[b66])))</f>
        <v>0</v>
      </c>
      <c r="Z910" s="135" t="b">
        <f>IF(Tab.11[[#This Row],[a1]]=1,Tab.11[[#This Row],[b77]]/(_xlfn.STDEV.P(Tab.11[b77])))</f>
        <v>0</v>
      </c>
      <c r="AA910" s="70" t="b">
        <f>IF(Tab.11[[#This Row],[a1]]=1,_xlfn.NORM.DIST(Tab.11[[#This Row],[b88]],$Z$1,$AA$1,FALSE))</f>
        <v>0</v>
      </c>
      <c r="AB910" s="74" t="b">
        <f>IF(Tab.11[[#This Row],[a1]]=1,IF($A$3=0,FALSE,1/Tab.11[[#This Row],[IN]]*$AC$2*IF(Tab.11[[#This Row],[a1]]=0,,$A$3*$AC$1*1/$V$3*(Tab.11[[#This Row],[b14]]))))</f>
        <v>0</v>
      </c>
      <c r="AC910" s="75" t="b">
        <f>IF(Tab.11[[#This Row],[a1]]=1,IF($AC$3=0,Tab.11[[#This Row],[φ1]],Tab.11[[#This Row],[φ1]]/MAX(Tab.11[φ1])))</f>
        <v>0</v>
      </c>
      <c r="AD910" s="74" t="b">
        <f>IF(Tab.11[[#This Row],[a1]]=1,1/Tab.11[[#This Row],[φ2]])</f>
        <v>0</v>
      </c>
      <c r="AE910" s="74" t="b">
        <f>IF(Tab.11[[#This Row],[a1]]=1,IF($AE$3=0,Tab.11[[#This Row],[w.0]],Tab.11[[#This Row],[w.0]]/SUM(Tab.11[w.0])))</f>
        <v>0</v>
      </c>
      <c r="AF910" s="76" t="str">
        <f>IF(Tab.11[[#This Row],[a1]]=0,"false",[3]!Tab.x5[[#This Row],[%_seN_C]])</f>
        <v>false</v>
      </c>
      <c r="AG910" s="77" t="b">
        <f>IF(Tab.11[[#This Row],[a1]]=1,AP910)</f>
        <v>0</v>
      </c>
      <c r="AH910" s="78" t="b">
        <f>IF(Tab.11[[#This Row],[a1]]=1,AQ910)</f>
        <v>0</v>
      </c>
      <c r="AI910" s="41">
        <v>3.0000000000000001E-3</v>
      </c>
      <c r="AJ910" s="79">
        <v>0.01</v>
      </c>
      <c r="AK910" s="80" t="b">
        <f>IF(Tab.11[[#This Row],[a1]]=1,1)</f>
        <v>0</v>
      </c>
      <c r="AZ910"/>
    </row>
    <row r="911" spans="1:52" hidden="1" x14ac:dyDescent="0.25">
      <c r="A911" s="61">
        <f t="shared" si="29"/>
        <v>0</v>
      </c>
      <c r="B911" s="62">
        <f t="shared" si="29"/>
        <v>0</v>
      </c>
      <c r="C911" s="62" t="b">
        <f>IF(Tab.11[[#This Row],[a1]]=1,[3]!Tab_x1[[#This Row],[Name]])</f>
        <v>0</v>
      </c>
      <c r="D911" s="63" t="b">
        <f>IF(Tab.11[[#This Row],[a1]]=1,AO911)</f>
        <v>0</v>
      </c>
      <c r="E911" s="63">
        <f t="shared" si="30"/>
        <v>0</v>
      </c>
      <c r="F911" s="64" t="b">
        <f>IF(Tab.11[[#This Row],[a1]]=1,Tab.11[[#This Row],[b1]])</f>
        <v>0</v>
      </c>
      <c r="G911" s="65" t="b">
        <f>IF(Tab.11[[#This Row],[a1]]=1,IF(Tab.11[[#This Row],[b3]]&gt;$L$989*$G$3,$L$989*$G$3,IF(Tab.11[[#This Row],[b3]]&lt;$M$989*$G$3,$M$989*$G$3,Tab.11[[#This Row],[b3]])))</f>
        <v>0</v>
      </c>
      <c r="H911" s="66" t="b">
        <f>IF(Tab.11[[#This Row],[a1]]=1,Tab.11[[#This Row],[b1]])</f>
        <v>0</v>
      </c>
      <c r="I911" s="67" t="b">
        <f>IF(Tab.11[[#This Row],[a1]]=1,Tab.11[[#This Row],[b1]])</f>
        <v>0</v>
      </c>
      <c r="J911" s="68" t="b">
        <f>IF(Tab.11[[#This Row],[a1]]=1,IF($I$3&lt;0,Tab.11[[#This Row],[b5]]-$I$3,Tab.11[[#This Row],[b5]]))</f>
        <v>0</v>
      </c>
      <c r="K911" s="68" t="b">
        <f>IF(Tab.11[[#This Row],[a1]]=1,IF($K$3=0,Tab.11[b6],Tab.11[[#This Row],[b6]]-AVERAGE(Tab.11[b6])))</f>
        <v>0</v>
      </c>
      <c r="L911" s="69" t="b">
        <f>IF(Tab.11[[#This Row],[a1]]=1,Tab.11[[#This Row],[data]]/(_xlfn.STDEV.P(Tab.11[data])*$B$989)+$A$989)</f>
        <v>0</v>
      </c>
      <c r="M911" s="69" t="b">
        <f>IF(Tab.11[[#This Row],[a1]]=1,Tab.11[[#This Row],[data]]/(_xlfn.STDEV.P(Tab.11[data])*$B$987)-$A$987)</f>
        <v>0</v>
      </c>
      <c r="N911" s="69" t="b">
        <f>IF(Tab.11[[#This Row],[a1]]=1,Tab.11[[#This Row],[data]]/(_xlfn.STDEV.P(Tab.11[data])*$B$988)+$A$988)</f>
        <v>0</v>
      </c>
      <c r="O911" s="70" t="b">
        <f>IF(Tab.11[[#This Row],[a1]]=1,_xlfn.NORM.DIST(Tab.11[[#This Row],[b8]],$P$1,$Q$1,FALSE))</f>
        <v>0</v>
      </c>
      <c r="P911" s="70" t="b">
        <f>IF(Tab.11[[#This Row],[a1]]=1,_xlfn.NORM.DIST(Tab.11[[#This Row],[b9]],$P$1,$Q$1,FALSE))</f>
        <v>0</v>
      </c>
      <c r="Q911" s="70" t="b">
        <f>IF(Tab.11[[#This Row],[a1]]=1,_xlfn.NORM.DIST(Tab.11[[#This Row],[b10]],$P$1,$Q$1,FALSE))</f>
        <v>0</v>
      </c>
      <c r="R911" s="67" t="b">
        <f>IF(Tab.11[[#This Row],[a1]]=1,$I$3+$A$989+IF($K$3=0,Tab.11[[#This Row],[b8]]*_xlfn.STDEV.P(Tab.11[data]),AVERAGE(Tab.11[b6])+Tab.11[[#This Row],[b8]]*_xlfn.STDEV.P(Tab.11[data])))</f>
        <v>0</v>
      </c>
      <c r="S911" s="71" t="b">
        <f>IF(Tab.11[[#This Row],[a1]]=1,$I$3+$A$987+IF($K$3=0,Tab.11[[#This Row],[b9]]*_xlfn.STDEV.P(Tab.11[data]),AVERAGE(Tab.11[b6])+Tab.11[[#This Row],[b9]]*_xlfn.STDEV.P(Tab.11[data])))</f>
        <v>0</v>
      </c>
      <c r="T911" s="71" t="b">
        <f>IF(Tab.11[[#This Row],[a1]]=1,$I$3+$A$988+IF($K$3=0,Tab.11[[#This Row],[b10]]*_xlfn.STDEV.P(Tab.11[data]),AVERAGE(Tab.11[b6])+Tab.11[[#This Row],[b10]]*_xlfn.STDEV.P(Tab.11[data])))</f>
        <v>0</v>
      </c>
      <c r="U911" s="72" t="b">
        <f>IF(Tab.11[[#This Row],[a1]]=1,Tab.11[[#This Row],[target]]-Tab.11[[#This Row],[Red]])</f>
        <v>0</v>
      </c>
      <c r="V911" s="72" t="b">
        <f>IF(Tab.11[[#This Row],[a1]]=1,Tab.11[[#This Row],[target]]-Tab.11[[#This Row],[Blue]])</f>
        <v>0</v>
      </c>
      <c r="W911" s="73" t="b">
        <f>IF(Tab.11[[#This Row],[a1]]=1,IF(ABS(Tab.11[[#This Row],[b17]])+ABS(Tab.11[[#This Row],[b18]])&lt;$W$2,$W$2,ABS(Tab.11[[#This Row],[b17]])+ABS(Tab.11[[#This Row],[b18]])))</f>
        <v>0</v>
      </c>
      <c r="X911" s="136" t="b">
        <f>IF(Tab.11[[#This Row],[a1]]=1,IF($W$3&lt;0,Tab.11[[#This Row],[IN]]-$I$3,Tab.11[[#This Row],[IN]]))</f>
        <v>0</v>
      </c>
      <c r="Y911" s="136" t="b">
        <f>IF(Tab.11[[#This Row],[a1]]=1,IF($X$3=0,Tab.11[b66],Tab.11[[#This Row],[b66]]-AVERAGE(Tab.11[b66])))</f>
        <v>0</v>
      </c>
      <c r="Z911" s="135" t="b">
        <f>IF(Tab.11[[#This Row],[a1]]=1,Tab.11[[#This Row],[b77]]/(_xlfn.STDEV.P(Tab.11[b77])))</f>
        <v>0</v>
      </c>
      <c r="AA911" s="70" t="b">
        <f>IF(Tab.11[[#This Row],[a1]]=1,_xlfn.NORM.DIST(Tab.11[[#This Row],[b88]],$Z$1,$AA$1,FALSE))</f>
        <v>0</v>
      </c>
      <c r="AB911" s="74" t="b">
        <f>IF(Tab.11[[#This Row],[a1]]=1,IF($A$3=0,FALSE,1/Tab.11[[#This Row],[IN]]*$AC$2*IF(Tab.11[[#This Row],[a1]]=0,,$A$3*$AC$1*1/$V$3*(Tab.11[[#This Row],[b14]]))))</f>
        <v>0</v>
      </c>
      <c r="AC911" s="75" t="b">
        <f>IF(Tab.11[[#This Row],[a1]]=1,IF($AC$3=0,Tab.11[[#This Row],[φ1]],Tab.11[[#This Row],[φ1]]/MAX(Tab.11[φ1])))</f>
        <v>0</v>
      </c>
      <c r="AD911" s="74" t="b">
        <f>IF(Tab.11[[#This Row],[a1]]=1,1/Tab.11[[#This Row],[φ2]])</f>
        <v>0</v>
      </c>
      <c r="AE911" s="74" t="b">
        <f>IF(Tab.11[[#This Row],[a1]]=1,IF($AE$3=0,Tab.11[[#This Row],[w.0]],Tab.11[[#This Row],[w.0]]/SUM(Tab.11[w.0])))</f>
        <v>0</v>
      </c>
      <c r="AF911" s="76" t="str">
        <f>IF(Tab.11[[#This Row],[a1]]=0,"false",[3]!Tab.x5[[#This Row],[%_seN_C]])</f>
        <v>false</v>
      </c>
      <c r="AG911" s="77" t="b">
        <f>IF(Tab.11[[#This Row],[a1]]=1,AP911)</f>
        <v>0</v>
      </c>
      <c r="AH911" s="78" t="b">
        <f>IF(Tab.11[[#This Row],[a1]]=1,AQ911)</f>
        <v>0</v>
      </c>
      <c r="AI911" s="41">
        <v>3.0000000000000001E-3</v>
      </c>
      <c r="AJ911" s="79">
        <v>-7.0000000000000007E-2</v>
      </c>
      <c r="AK911" s="80" t="b">
        <f>IF(Tab.11[[#This Row],[a1]]=1,1)</f>
        <v>0</v>
      </c>
      <c r="AZ911"/>
    </row>
    <row r="912" spans="1:52" hidden="1" x14ac:dyDescent="0.25">
      <c r="A912" s="61">
        <f t="shared" si="29"/>
        <v>0</v>
      </c>
      <c r="B912" s="62">
        <f t="shared" si="29"/>
        <v>0</v>
      </c>
      <c r="C912" s="62" t="b">
        <f>IF(Tab.11[[#This Row],[a1]]=1,[3]!Tab_x1[[#This Row],[Name]])</f>
        <v>0</v>
      </c>
      <c r="D912" s="63" t="b">
        <f>IF(Tab.11[[#This Row],[a1]]=1,AO912)</f>
        <v>0</v>
      </c>
      <c r="E912" s="63">
        <f t="shared" si="30"/>
        <v>0</v>
      </c>
      <c r="F912" s="64" t="b">
        <f>IF(Tab.11[[#This Row],[a1]]=1,Tab.11[[#This Row],[b1]])</f>
        <v>0</v>
      </c>
      <c r="G912" s="65" t="b">
        <f>IF(Tab.11[[#This Row],[a1]]=1,IF(Tab.11[[#This Row],[b3]]&gt;$L$989*$G$3,$L$989*$G$3,IF(Tab.11[[#This Row],[b3]]&lt;$M$989*$G$3,$M$989*$G$3,Tab.11[[#This Row],[b3]])))</f>
        <v>0</v>
      </c>
      <c r="H912" s="66" t="b">
        <f>IF(Tab.11[[#This Row],[a1]]=1,Tab.11[[#This Row],[b1]])</f>
        <v>0</v>
      </c>
      <c r="I912" s="67" t="b">
        <f>IF(Tab.11[[#This Row],[a1]]=1,Tab.11[[#This Row],[b1]])</f>
        <v>0</v>
      </c>
      <c r="J912" s="68" t="b">
        <f>IF(Tab.11[[#This Row],[a1]]=1,IF($I$3&lt;0,Tab.11[[#This Row],[b5]]-$I$3,Tab.11[[#This Row],[b5]]))</f>
        <v>0</v>
      </c>
      <c r="K912" s="68" t="b">
        <f>IF(Tab.11[[#This Row],[a1]]=1,IF($K$3=0,Tab.11[b6],Tab.11[[#This Row],[b6]]-AVERAGE(Tab.11[b6])))</f>
        <v>0</v>
      </c>
      <c r="L912" s="69" t="b">
        <f>IF(Tab.11[[#This Row],[a1]]=1,Tab.11[[#This Row],[data]]/(_xlfn.STDEV.P(Tab.11[data])*$B$989)+$A$989)</f>
        <v>0</v>
      </c>
      <c r="M912" s="69" t="b">
        <f>IF(Tab.11[[#This Row],[a1]]=1,Tab.11[[#This Row],[data]]/(_xlfn.STDEV.P(Tab.11[data])*$B$987)-$A$987)</f>
        <v>0</v>
      </c>
      <c r="N912" s="69" t="b">
        <f>IF(Tab.11[[#This Row],[a1]]=1,Tab.11[[#This Row],[data]]/(_xlfn.STDEV.P(Tab.11[data])*$B$988)+$A$988)</f>
        <v>0</v>
      </c>
      <c r="O912" s="70" t="b">
        <f>IF(Tab.11[[#This Row],[a1]]=1,_xlfn.NORM.DIST(Tab.11[[#This Row],[b8]],$P$1,$Q$1,FALSE))</f>
        <v>0</v>
      </c>
      <c r="P912" s="70" t="b">
        <f>IF(Tab.11[[#This Row],[a1]]=1,_xlfn.NORM.DIST(Tab.11[[#This Row],[b9]],$P$1,$Q$1,FALSE))</f>
        <v>0</v>
      </c>
      <c r="Q912" s="70" t="b">
        <f>IF(Tab.11[[#This Row],[a1]]=1,_xlfn.NORM.DIST(Tab.11[[#This Row],[b10]],$P$1,$Q$1,FALSE))</f>
        <v>0</v>
      </c>
      <c r="R912" s="67" t="b">
        <f>IF(Tab.11[[#This Row],[a1]]=1,$I$3+$A$989+IF($K$3=0,Tab.11[[#This Row],[b8]]*_xlfn.STDEV.P(Tab.11[data]),AVERAGE(Tab.11[b6])+Tab.11[[#This Row],[b8]]*_xlfn.STDEV.P(Tab.11[data])))</f>
        <v>0</v>
      </c>
      <c r="S912" s="71" t="b">
        <f>IF(Tab.11[[#This Row],[a1]]=1,$I$3+$A$987+IF($K$3=0,Tab.11[[#This Row],[b9]]*_xlfn.STDEV.P(Tab.11[data]),AVERAGE(Tab.11[b6])+Tab.11[[#This Row],[b9]]*_xlfn.STDEV.P(Tab.11[data])))</f>
        <v>0</v>
      </c>
      <c r="T912" s="71" t="b">
        <f>IF(Tab.11[[#This Row],[a1]]=1,$I$3+$A$988+IF($K$3=0,Tab.11[[#This Row],[b10]]*_xlfn.STDEV.P(Tab.11[data]),AVERAGE(Tab.11[b6])+Tab.11[[#This Row],[b10]]*_xlfn.STDEV.P(Tab.11[data])))</f>
        <v>0</v>
      </c>
      <c r="U912" s="72" t="b">
        <f>IF(Tab.11[[#This Row],[a1]]=1,Tab.11[[#This Row],[target]]-Tab.11[[#This Row],[Red]])</f>
        <v>0</v>
      </c>
      <c r="V912" s="72" t="b">
        <f>IF(Tab.11[[#This Row],[a1]]=1,Tab.11[[#This Row],[target]]-Tab.11[[#This Row],[Blue]])</f>
        <v>0</v>
      </c>
      <c r="W912" s="73" t="b">
        <f>IF(Tab.11[[#This Row],[a1]]=1,IF(ABS(Tab.11[[#This Row],[b17]])+ABS(Tab.11[[#This Row],[b18]])&lt;$W$2,$W$2,ABS(Tab.11[[#This Row],[b17]])+ABS(Tab.11[[#This Row],[b18]])))</f>
        <v>0</v>
      </c>
      <c r="X912" s="136" t="b">
        <f>IF(Tab.11[[#This Row],[a1]]=1,IF($W$3&lt;0,Tab.11[[#This Row],[IN]]-$I$3,Tab.11[[#This Row],[IN]]))</f>
        <v>0</v>
      </c>
      <c r="Y912" s="136" t="b">
        <f>IF(Tab.11[[#This Row],[a1]]=1,IF($X$3=0,Tab.11[b66],Tab.11[[#This Row],[b66]]-AVERAGE(Tab.11[b66])))</f>
        <v>0</v>
      </c>
      <c r="Z912" s="135" t="b">
        <f>IF(Tab.11[[#This Row],[a1]]=1,Tab.11[[#This Row],[b77]]/(_xlfn.STDEV.P(Tab.11[b77])))</f>
        <v>0</v>
      </c>
      <c r="AA912" s="70" t="b">
        <f>IF(Tab.11[[#This Row],[a1]]=1,_xlfn.NORM.DIST(Tab.11[[#This Row],[b88]],$Z$1,$AA$1,FALSE))</f>
        <v>0</v>
      </c>
      <c r="AB912" s="74" t="b">
        <f>IF(Tab.11[[#This Row],[a1]]=1,IF($A$3=0,FALSE,1/Tab.11[[#This Row],[IN]]*$AC$2*IF(Tab.11[[#This Row],[a1]]=0,,$A$3*$AC$1*1/$V$3*(Tab.11[[#This Row],[b14]]))))</f>
        <v>0</v>
      </c>
      <c r="AC912" s="75" t="b">
        <f>IF(Tab.11[[#This Row],[a1]]=1,IF($AC$3=0,Tab.11[[#This Row],[φ1]],Tab.11[[#This Row],[φ1]]/MAX(Tab.11[φ1])))</f>
        <v>0</v>
      </c>
      <c r="AD912" s="74" t="b">
        <f>IF(Tab.11[[#This Row],[a1]]=1,1/Tab.11[[#This Row],[φ2]])</f>
        <v>0</v>
      </c>
      <c r="AE912" s="74" t="b">
        <f>IF(Tab.11[[#This Row],[a1]]=1,IF($AE$3=0,Tab.11[[#This Row],[w.0]],Tab.11[[#This Row],[w.0]]/SUM(Tab.11[w.0])))</f>
        <v>0</v>
      </c>
      <c r="AF912" s="76" t="str">
        <f>IF(Tab.11[[#This Row],[a1]]=0,"false",[3]!Tab.x5[[#This Row],[%_seN_C]])</f>
        <v>false</v>
      </c>
      <c r="AG912" s="77" t="b">
        <f>IF(Tab.11[[#This Row],[a1]]=1,AP912)</f>
        <v>0</v>
      </c>
      <c r="AH912" s="78" t="b">
        <f>IF(Tab.11[[#This Row],[a1]]=1,AQ912)</f>
        <v>0</v>
      </c>
      <c r="AI912" s="41">
        <v>3.0000000000000001E-3</v>
      </c>
      <c r="AJ912" s="79">
        <v>0.02</v>
      </c>
      <c r="AK912" s="80" t="b">
        <f>IF(Tab.11[[#This Row],[a1]]=1,1)</f>
        <v>0</v>
      </c>
      <c r="AZ912"/>
    </row>
    <row r="913" spans="1:52" hidden="1" x14ac:dyDescent="0.25">
      <c r="A913" s="61">
        <f t="shared" si="29"/>
        <v>0</v>
      </c>
      <c r="B913" s="62">
        <f t="shared" si="29"/>
        <v>0</v>
      </c>
      <c r="C913" s="62" t="b">
        <f>IF(Tab.11[[#This Row],[a1]]=1,[3]!Tab_x1[[#This Row],[Name]])</f>
        <v>0</v>
      </c>
      <c r="D913" s="63" t="b">
        <f>IF(Tab.11[[#This Row],[a1]]=1,AO913)</f>
        <v>0</v>
      </c>
      <c r="E913" s="63">
        <f t="shared" si="30"/>
        <v>0</v>
      </c>
      <c r="F913" s="64" t="b">
        <f>IF(Tab.11[[#This Row],[a1]]=1,Tab.11[[#This Row],[b1]])</f>
        <v>0</v>
      </c>
      <c r="G913" s="65" t="b">
        <f>IF(Tab.11[[#This Row],[a1]]=1,IF(Tab.11[[#This Row],[b3]]&gt;$L$989*$G$3,$L$989*$G$3,IF(Tab.11[[#This Row],[b3]]&lt;$M$989*$G$3,$M$989*$G$3,Tab.11[[#This Row],[b3]])))</f>
        <v>0</v>
      </c>
      <c r="H913" s="66" t="b">
        <f>IF(Tab.11[[#This Row],[a1]]=1,Tab.11[[#This Row],[b1]])</f>
        <v>0</v>
      </c>
      <c r="I913" s="67" t="b">
        <f>IF(Tab.11[[#This Row],[a1]]=1,Tab.11[[#This Row],[b1]])</f>
        <v>0</v>
      </c>
      <c r="J913" s="68" t="b">
        <f>IF(Tab.11[[#This Row],[a1]]=1,IF($I$3&lt;0,Tab.11[[#This Row],[b5]]-$I$3,Tab.11[[#This Row],[b5]]))</f>
        <v>0</v>
      </c>
      <c r="K913" s="68" t="b">
        <f>IF(Tab.11[[#This Row],[a1]]=1,IF($K$3=0,Tab.11[b6],Tab.11[[#This Row],[b6]]-AVERAGE(Tab.11[b6])))</f>
        <v>0</v>
      </c>
      <c r="L913" s="69" t="b">
        <f>IF(Tab.11[[#This Row],[a1]]=1,Tab.11[[#This Row],[data]]/(_xlfn.STDEV.P(Tab.11[data])*$B$989)+$A$989)</f>
        <v>0</v>
      </c>
      <c r="M913" s="69" t="b">
        <f>IF(Tab.11[[#This Row],[a1]]=1,Tab.11[[#This Row],[data]]/(_xlfn.STDEV.P(Tab.11[data])*$B$987)-$A$987)</f>
        <v>0</v>
      </c>
      <c r="N913" s="69" t="b">
        <f>IF(Tab.11[[#This Row],[a1]]=1,Tab.11[[#This Row],[data]]/(_xlfn.STDEV.P(Tab.11[data])*$B$988)+$A$988)</f>
        <v>0</v>
      </c>
      <c r="O913" s="70" t="b">
        <f>IF(Tab.11[[#This Row],[a1]]=1,_xlfn.NORM.DIST(Tab.11[[#This Row],[b8]],$P$1,$Q$1,FALSE))</f>
        <v>0</v>
      </c>
      <c r="P913" s="70" t="b">
        <f>IF(Tab.11[[#This Row],[a1]]=1,_xlfn.NORM.DIST(Tab.11[[#This Row],[b9]],$P$1,$Q$1,FALSE))</f>
        <v>0</v>
      </c>
      <c r="Q913" s="70" t="b">
        <f>IF(Tab.11[[#This Row],[a1]]=1,_xlfn.NORM.DIST(Tab.11[[#This Row],[b10]],$P$1,$Q$1,FALSE))</f>
        <v>0</v>
      </c>
      <c r="R913" s="67" t="b">
        <f>IF(Tab.11[[#This Row],[a1]]=1,$I$3+$A$989+IF($K$3=0,Tab.11[[#This Row],[b8]]*_xlfn.STDEV.P(Tab.11[data]),AVERAGE(Tab.11[b6])+Tab.11[[#This Row],[b8]]*_xlfn.STDEV.P(Tab.11[data])))</f>
        <v>0</v>
      </c>
      <c r="S913" s="71" t="b">
        <f>IF(Tab.11[[#This Row],[a1]]=1,$I$3+$A$987+IF($K$3=0,Tab.11[[#This Row],[b9]]*_xlfn.STDEV.P(Tab.11[data]),AVERAGE(Tab.11[b6])+Tab.11[[#This Row],[b9]]*_xlfn.STDEV.P(Tab.11[data])))</f>
        <v>0</v>
      </c>
      <c r="T913" s="71" t="b">
        <f>IF(Tab.11[[#This Row],[a1]]=1,$I$3+$A$988+IF($K$3=0,Tab.11[[#This Row],[b10]]*_xlfn.STDEV.P(Tab.11[data]),AVERAGE(Tab.11[b6])+Tab.11[[#This Row],[b10]]*_xlfn.STDEV.P(Tab.11[data])))</f>
        <v>0</v>
      </c>
      <c r="U913" s="72" t="b">
        <f>IF(Tab.11[[#This Row],[a1]]=1,Tab.11[[#This Row],[target]]-Tab.11[[#This Row],[Red]])</f>
        <v>0</v>
      </c>
      <c r="V913" s="72" t="b">
        <f>IF(Tab.11[[#This Row],[a1]]=1,Tab.11[[#This Row],[target]]-Tab.11[[#This Row],[Blue]])</f>
        <v>0</v>
      </c>
      <c r="W913" s="73" t="b">
        <f>IF(Tab.11[[#This Row],[a1]]=1,IF(ABS(Tab.11[[#This Row],[b17]])+ABS(Tab.11[[#This Row],[b18]])&lt;$W$2,$W$2,ABS(Tab.11[[#This Row],[b17]])+ABS(Tab.11[[#This Row],[b18]])))</f>
        <v>0</v>
      </c>
      <c r="X913" s="136" t="b">
        <f>IF(Tab.11[[#This Row],[a1]]=1,IF($W$3&lt;0,Tab.11[[#This Row],[IN]]-$I$3,Tab.11[[#This Row],[IN]]))</f>
        <v>0</v>
      </c>
      <c r="Y913" s="136" t="b">
        <f>IF(Tab.11[[#This Row],[a1]]=1,IF($X$3=0,Tab.11[b66],Tab.11[[#This Row],[b66]]-AVERAGE(Tab.11[b66])))</f>
        <v>0</v>
      </c>
      <c r="Z913" s="135" t="b">
        <f>IF(Tab.11[[#This Row],[a1]]=1,Tab.11[[#This Row],[b77]]/(_xlfn.STDEV.P(Tab.11[b77])))</f>
        <v>0</v>
      </c>
      <c r="AA913" s="70" t="b">
        <f>IF(Tab.11[[#This Row],[a1]]=1,_xlfn.NORM.DIST(Tab.11[[#This Row],[b88]],$Z$1,$AA$1,FALSE))</f>
        <v>0</v>
      </c>
      <c r="AB913" s="74" t="b">
        <f>IF(Tab.11[[#This Row],[a1]]=1,IF($A$3=0,FALSE,1/Tab.11[[#This Row],[IN]]*$AC$2*IF(Tab.11[[#This Row],[a1]]=0,,$A$3*$AC$1*1/$V$3*(Tab.11[[#This Row],[b14]]))))</f>
        <v>0</v>
      </c>
      <c r="AC913" s="75" t="b">
        <f>IF(Tab.11[[#This Row],[a1]]=1,IF($AC$3=0,Tab.11[[#This Row],[φ1]],Tab.11[[#This Row],[φ1]]/MAX(Tab.11[φ1])))</f>
        <v>0</v>
      </c>
      <c r="AD913" s="74" t="b">
        <f>IF(Tab.11[[#This Row],[a1]]=1,1/Tab.11[[#This Row],[φ2]])</f>
        <v>0</v>
      </c>
      <c r="AE913" s="74" t="b">
        <f>IF(Tab.11[[#This Row],[a1]]=1,IF($AE$3=0,Tab.11[[#This Row],[w.0]],Tab.11[[#This Row],[w.0]]/SUM(Tab.11[w.0])))</f>
        <v>0</v>
      </c>
      <c r="AF913" s="76" t="str">
        <f>IF(Tab.11[[#This Row],[a1]]=0,"false",[3]!Tab.x5[[#This Row],[%_seN_C]])</f>
        <v>false</v>
      </c>
      <c r="AG913" s="77" t="b">
        <f>IF(Tab.11[[#This Row],[a1]]=1,AP913)</f>
        <v>0</v>
      </c>
      <c r="AH913" s="78" t="b">
        <f>IF(Tab.11[[#This Row],[a1]]=1,AQ913)</f>
        <v>0</v>
      </c>
      <c r="AI913" s="41">
        <v>3.0000000000000001E-3</v>
      </c>
      <c r="AJ913" s="79">
        <v>0.05</v>
      </c>
      <c r="AK913" s="80" t="b">
        <f>IF(Tab.11[[#This Row],[a1]]=1,1)</f>
        <v>0</v>
      </c>
      <c r="AZ913"/>
    </row>
    <row r="914" spans="1:52" hidden="1" x14ac:dyDescent="0.25">
      <c r="A914" s="61">
        <f t="shared" si="29"/>
        <v>0</v>
      </c>
      <c r="B914" s="62">
        <f t="shared" si="29"/>
        <v>0</v>
      </c>
      <c r="C914" s="62" t="b">
        <f>IF(Tab.11[[#This Row],[a1]]=1,[3]!Tab_x1[[#This Row],[Name]])</f>
        <v>0</v>
      </c>
      <c r="D914" s="63" t="b">
        <f>IF(Tab.11[[#This Row],[a1]]=1,AO914)</f>
        <v>0</v>
      </c>
      <c r="E914" s="63">
        <f t="shared" si="30"/>
        <v>0</v>
      </c>
      <c r="F914" s="64" t="b">
        <f>IF(Tab.11[[#This Row],[a1]]=1,Tab.11[[#This Row],[b1]])</f>
        <v>0</v>
      </c>
      <c r="G914" s="65" t="b">
        <f>IF(Tab.11[[#This Row],[a1]]=1,IF(Tab.11[[#This Row],[b3]]&gt;$L$989*$G$3,$L$989*$G$3,IF(Tab.11[[#This Row],[b3]]&lt;$M$989*$G$3,$M$989*$G$3,Tab.11[[#This Row],[b3]])))</f>
        <v>0</v>
      </c>
      <c r="H914" s="66" t="b">
        <f>IF(Tab.11[[#This Row],[a1]]=1,Tab.11[[#This Row],[b1]])</f>
        <v>0</v>
      </c>
      <c r="I914" s="67" t="b">
        <f>IF(Tab.11[[#This Row],[a1]]=1,Tab.11[[#This Row],[b1]])</f>
        <v>0</v>
      </c>
      <c r="J914" s="68" t="b">
        <f>IF(Tab.11[[#This Row],[a1]]=1,IF($I$3&lt;0,Tab.11[[#This Row],[b5]]-$I$3,Tab.11[[#This Row],[b5]]))</f>
        <v>0</v>
      </c>
      <c r="K914" s="68" t="b">
        <f>IF(Tab.11[[#This Row],[a1]]=1,IF($K$3=0,Tab.11[b6],Tab.11[[#This Row],[b6]]-AVERAGE(Tab.11[b6])))</f>
        <v>0</v>
      </c>
      <c r="L914" s="69" t="b">
        <f>IF(Tab.11[[#This Row],[a1]]=1,Tab.11[[#This Row],[data]]/(_xlfn.STDEV.P(Tab.11[data])*$B$989)+$A$989)</f>
        <v>0</v>
      </c>
      <c r="M914" s="69" t="b">
        <f>IF(Tab.11[[#This Row],[a1]]=1,Tab.11[[#This Row],[data]]/(_xlfn.STDEV.P(Tab.11[data])*$B$987)-$A$987)</f>
        <v>0</v>
      </c>
      <c r="N914" s="69" t="b">
        <f>IF(Tab.11[[#This Row],[a1]]=1,Tab.11[[#This Row],[data]]/(_xlfn.STDEV.P(Tab.11[data])*$B$988)+$A$988)</f>
        <v>0</v>
      </c>
      <c r="O914" s="70" t="b">
        <f>IF(Tab.11[[#This Row],[a1]]=1,_xlfn.NORM.DIST(Tab.11[[#This Row],[b8]],$P$1,$Q$1,FALSE))</f>
        <v>0</v>
      </c>
      <c r="P914" s="70" t="b">
        <f>IF(Tab.11[[#This Row],[a1]]=1,_xlfn.NORM.DIST(Tab.11[[#This Row],[b9]],$P$1,$Q$1,FALSE))</f>
        <v>0</v>
      </c>
      <c r="Q914" s="70" t="b">
        <f>IF(Tab.11[[#This Row],[a1]]=1,_xlfn.NORM.DIST(Tab.11[[#This Row],[b10]],$P$1,$Q$1,FALSE))</f>
        <v>0</v>
      </c>
      <c r="R914" s="67" t="b">
        <f>IF(Tab.11[[#This Row],[a1]]=1,$I$3+$A$989+IF($K$3=0,Tab.11[[#This Row],[b8]]*_xlfn.STDEV.P(Tab.11[data]),AVERAGE(Tab.11[b6])+Tab.11[[#This Row],[b8]]*_xlfn.STDEV.P(Tab.11[data])))</f>
        <v>0</v>
      </c>
      <c r="S914" s="71" t="b">
        <f>IF(Tab.11[[#This Row],[a1]]=1,$I$3+$A$987+IF($K$3=0,Tab.11[[#This Row],[b9]]*_xlfn.STDEV.P(Tab.11[data]),AVERAGE(Tab.11[b6])+Tab.11[[#This Row],[b9]]*_xlfn.STDEV.P(Tab.11[data])))</f>
        <v>0</v>
      </c>
      <c r="T914" s="71" t="b">
        <f>IF(Tab.11[[#This Row],[a1]]=1,$I$3+$A$988+IF($K$3=0,Tab.11[[#This Row],[b10]]*_xlfn.STDEV.P(Tab.11[data]),AVERAGE(Tab.11[b6])+Tab.11[[#This Row],[b10]]*_xlfn.STDEV.P(Tab.11[data])))</f>
        <v>0</v>
      </c>
      <c r="U914" s="72" t="b">
        <f>IF(Tab.11[[#This Row],[a1]]=1,Tab.11[[#This Row],[target]]-Tab.11[[#This Row],[Red]])</f>
        <v>0</v>
      </c>
      <c r="V914" s="72" t="b">
        <f>IF(Tab.11[[#This Row],[a1]]=1,Tab.11[[#This Row],[target]]-Tab.11[[#This Row],[Blue]])</f>
        <v>0</v>
      </c>
      <c r="W914" s="73" t="b">
        <f>IF(Tab.11[[#This Row],[a1]]=1,IF(ABS(Tab.11[[#This Row],[b17]])+ABS(Tab.11[[#This Row],[b18]])&lt;$W$2,$W$2,ABS(Tab.11[[#This Row],[b17]])+ABS(Tab.11[[#This Row],[b18]])))</f>
        <v>0</v>
      </c>
      <c r="X914" s="136" t="b">
        <f>IF(Tab.11[[#This Row],[a1]]=1,IF($W$3&lt;0,Tab.11[[#This Row],[IN]]-$I$3,Tab.11[[#This Row],[IN]]))</f>
        <v>0</v>
      </c>
      <c r="Y914" s="136" t="b">
        <f>IF(Tab.11[[#This Row],[a1]]=1,IF($X$3=0,Tab.11[b66],Tab.11[[#This Row],[b66]]-AVERAGE(Tab.11[b66])))</f>
        <v>0</v>
      </c>
      <c r="Z914" s="135" t="b">
        <f>IF(Tab.11[[#This Row],[a1]]=1,Tab.11[[#This Row],[b77]]/(_xlfn.STDEV.P(Tab.11[b77])))</f>
        <v>0</v>
      </c>
      <c r="AA914" s="70" t="b">
        <f>IF(Tab.11[[#This Row],[a1]]=1,_xlfn.NORM.DIST(Tab.11[[#This Row],[b88]],$Z$1,$AA$1,FALSE))</f>
        <v>0</v>
      </c>
      <c r="AB914" s="74" t="b">
        <f>IF(Tab.11[[#This Row],[a1]]=1,IF($A$3=0,FALSE,1/Tab.11[[#This Row],[IN]]*$AC$2*IF(Tab.11[[#This Row],[a1]]=0,,$A$3*$AC$1*1/$V$3*(Tab.11[[#This Row],[b14]]))))</f>
        <v>0</v>
      </c>
      <c r="AC914" s="75" t="b">
        <f>IF(Tab.11[[#This Row],[a1]]=1,IF($AC$3=0,Tab.11[[#This Row],[φ1]],Tab.11[[#This Row],[φ1]]/MAX(Tab.11[φ1])))</f>
        <v>0</v>
      </c>
      <c r="AD914" s="74" t="b">
        <f>IF(Tab.11[[#This Row],[a1]]=1,1/Tab.11[[#This Row],[φ2]])</f>
        <v>0</v>
      </c>
      <c r="AE914" s="74" t="b">
        <f>IF(Tab.11[[#This Row],[a1]]=1,IF($AE$3=0,Tab.11[[#This Row],[w.0]],Tab.11[[#This Row],[w.0]]/SUM(Tab.11[w.0])))</f>
        <v>0</v>
      </c>
      <c r="AF914" s="76" t="str">
        <f>IF(Tab.11[[#This Row],[a1]]=0,"false",[3]!Tab.x5[[#This Row],[%_seN_C]])</f>
        <v>false</v>
      </c>
      <c r="AG914" s="77" t="b">
        <f>IF(Tab.11[[#This Row],[a1]]=1,AP914)</f>
        <v>0</v>
      </c>
      <c r="AH914" s="78" t="b">
        <f>IF(Tab.11[[#This Row],[a1]]=1,AQ914)</f>
        <v>0</v>
      </c>
      <c r="AI914" s="41">
        <v>3.0000000000000001E-3</v>
      </c>
      <c r="AJ914" s="79">
        <v>0</v>
      </c>
      <c r="AK914" s="80" t="b">
        <f>IF(Tab.11[[#This Row],[a1]]=1,1)</f>
        <v>0</v>
      </c>
      <c r="AZ914"/>
    </row>
    <row r="915" spans="1:52" hidden="1" x14ac:dyDescent="0.25">
      <c r="A915" s="61">
        <f t="shared" si="29"/>
        <v>0</v>
      </c>
      <c r="B915" s="62">
        <f t="shared" si="29"/>
        <v>0</v>
      </c>
      <c r="C915" s="62" t="b">
        <f>IF(Tab.11[[#This Row],[a1]]=1,[3]!Tab_x1[[#This Row],[Name]])</f>
        <v>0</v>
      </c>
      <c r="D915" s="63" t="b">
        <f>IF(Tab.11[[#This Row],[a1]]=1,AO915)</f>
        <v>0</v>
      </c>
      <c r="E915" s="63">
        <f t="shared" si="30"/>
        <v>0</v>
      </c>
      <c r="F915" s="64" t="b">
        <f>IF(Tab.11[[#This Row],[a1]]=1,Tab.11[[#This Row],[b1]])</f>
        <v>0</v>
      </c>
      <c r="G915" s="65" t="b">
        <f>IF(Tab.11[[#This Row],[a1]]=1,IF(Tab.11[[#This Row],[b3]]&gt;$L$989*$G$3,$L$989*$G$3,IF(Tab.11[[#This Row],[b3]]&lt;$M$989*$G$3,$M$989*$G$3,Tab.11[[#This Row],[b3]])))</f>
        <v>0</v>
      </c>
      <c r="H915" s="66" t="b">
        <f>IF(Tab.11[[#This Row],[a1]]=1,Tab.11[[#This Row],[b1]])</f>
        <v>0</v>
      </c>
      <c r="I915" s="67" t="b">
        <f>IF(Tab.11[[#This Row],[a1]]=1,Tab.11[[#This Row],[b1]])</f>
        <v>0</v>
      </c>
      <c r="J915" s="68" t="b">
        <f>IF(Tab.11[[#This Row],[a1]]=1,IF($I$3&lt;0,Tab.11[[#This Row],[b5]]-$I$3,Tab.11[[#This Row],[b5]]))</f>
        <v>0</v>
      </c>
      <c r="K915" s="68" t="b">
        <f>IF(Tab.11[[#This Row],[a1]]=1,IF($K$3=0,Tab.11[b6],Tab.11[[#This Row],[b6]]-AVERAGE(Tab.11[b6])))</f>
        <v>0</v>
      </c>
      <c r="L915" s="69" t="b">
        <f>IF(Tab.11[[#This Row],[a1]]=1,Tab.11[[#This Row],[data]]/(_xlfn.STDEV.P(Tab.11[data])*$B$989)+$A$989)</f>
        <v>0</v>
      </c>
      <c r="M915" s="69" t="b">
        <f>IF(Tab.11[[#This Row],[a1]]=1,Tab.11[[#This Row],[data]]/(_xlfn.STDEV.P(Tab.11[data])*$B$987)-$A$987)</f>
        <v>0</v>
      </c>
      <c r="N915" s="69" t="b">
        <f>IF(Tab.11[[#This Row],[a1]]=1,Tab.11[[#This Row],[data]]/(_xlfn.STDEV.P(Tab.11[data])*$B$988)+$A$988)</f>
        <v>0</v>
      </c>
      <c r="O915" s="70" t="b">
        <f>IF(Tab.11[[#This Row],[a1]]=1,_xlfn.NORM.DIST(Tab.11[[#This Row],[b8]],$P$1,$Q$1,FALSE))</f>
        <v>0</v>
      </c>
      <c r="P915" s="70" t="b">
        <f>IF(Tab.11[[#This Row],[a1]]=1,_xlfn.NORM.DIST(Tab.11[[#This Row],[b9]],$P$1,$Q$1,FALSE))</f>
        <v>0</v>
      </c>
      <c r="Q915" s="70" t="b">
        <f>IF(Tab.11[[#This Row],[a1]]=1,_xlfn.NORM.DIST(Tab.11[[#This Row],[b10]],$P$1,$Q$1,FALSE))</f>
        <v>0</v>
      </c>
      <c r="R915" s="67" t="b">
        <f>IF(Tab.11[[#This Row],[a1]]=1,$I$3+$A$989+IF($K$3=0,Tab.11[[#This Row],[b8]]*_xlfn.STDEV.P(Tab.11[data]),AVERAGE(Tab.11[b6])+Tab.11[[#This Row],[b8]]*_xlfn.STDEV.P(Tab.11[data])))</f>
        <v>0</v>
      </c>
      <c r="S915" s="71" t="b">
        <f>IF(Tab.11[[#This Row],[a1]]=1,$I$3+$A$987+IF($K$3=0,Tab.11[[#This Row],[b9]]*_xlfn.STDEV.P(Tab.11[data]),AVERAGE(Tab.11[b6])+Tab.11[[#This Row],[b9]]*_xlfn.STDEV.P(Tab.11[data])))</f>
        <v>0</v>
      </c>
      <c r="T915" s="71" t="b">
        <f>IF(Tab.11[[#This Row],[a1]]=1,$I$3+$A$988+IF($K$3=0,Tab.11[[#This Row],[b10]]*_xlfn.STDEV.P(Tab.11[data]),AVERAGE(Tab.11[b6])+Tab.11[[#This Row],[b10]]*_xlfn.STDEV.P(Tab.11[data])))</f>
        <v>0</v>
      </c>
      <c r="U915" s="72" t="b">
        <f>IF(Tab.11[[#This Row],[a1]]=1,Tab.11[[#This Row],[target]]-Tab.11[[#This Row],[Red]])</f>
        <v>0</v>
      </c>
      <c r="V915" s="72" t="b">
        <f>IF(Tab.11[[#This Row],[a1]]=1,Tab.11[[#This Row],[target]]-Tab.11[[#This Row],[Blue]])</f>
        <v>0</v>
      </c>
      <c r="W915" s="73" t="b">
        <f>IF(Tab.11[[#This Row],[a1]]=1,IF(ABS(Tab.11[[#This Row],[b17]])+ABS(Tab.11[[#This Row],[b18]])&lt;$W$2,$W$2,ABS(Tab.11[[#This Row],[b17]])+ABS(Tab.11[[#This Row],[b18]])))</f>
        <v>0</v>
      </c>
      <c r="X915" s="136" t="b">
        <f>IF(Tab.11[[#This Row],[a1]]=1,IF($W$3&lt;0,Tab.11[[#This Row],[IN]]-$I$3,Tab.11[[#This Row],[IN]]))</f>
        <v>0</v>
      </c>
      <c r="Y915" s="136" t="b">
        <f>IF(Tab.11[[#This Row],[a1]]=1,IF($X$3=0,Tab.11[b66],Tab.11[[#This Row],[b66]]-AVERAGE(Tab.11[b66])))</f>
        <v>0</v>
      </c>
      <c r="Z915" s="135" t="b">
        <f>IF(Tab.11[[#This Row],[a1]]=1,Tab.11[[#This Row],[b77]]/(_xlfn.STDEV.P(Tab.11[b77])))</f>
        <v>0</v>
      </c>
      <c r="AA915" s="70" t="b">
        <f>IF(Tab.11[[#This Row],[a1]]=1,_xlfn.NORM.DIST(Tab.11[[#This Row],[b88]],$Z$1,$AA$1,FALSE))</f>
        <v>0</v>
      </c>
      <c r="AB915" s="74" t="b">
        <f>IF(Tab.11[[#This Row],[a1]]=1,IF($A$3=0,FALSE,1/Tab.11[[#This Row],[IN]]*$AC$2*IF(Tab.11[[#This Row],[a1]]=0,,$A$3*$AC$1*1/$V$3*(Tab.11[[#This Row],[b14]]))))</f>
        <v>0</v>
      </c>
      <c r="AC915" s="75" t="b">
        <f>IF(Tab.11[[#This Row],[a1]]=1,IF($AC$3=0,Tab.11[[#This Row],[φ1]],Tab.11[[#This Row],[φ1]]/MAX(Tab.11[φ1])))</f>
        <v>0</v>
      </c>
      <c r="AD915" s="74" t="b">
        <f>IF(Tab.11[[#This Row],[a1]]=1,1/Tab.11[[#This Row],[φ2]])</f>
        <v>0</v>
      </c>
      <c r="AE915" s="74" t="b">
        <f>IF(Tab.11[[#This Row],[a1]]=1,IF($AE$3=0,Tab.11[[#This Row],[w.0]],Tab.11[[#This Row],[w.0]]/SUM(Tab.11[w.0])))</f>
        <v>0</v>
      </c>
      <c r="AF915" s="76" t="str">
        <f>IF(Tab.11[[#This Row],[a1]]=0,"false",[3]!Tab.x5[[#This Row],[%_seN_C]])</f>
        <v>false</v>
      </c>
      <c r="AG915" s="77" t="b">
        <f>IF(Tab.11[[#This Row],[a1]]=1,AP915)</f>
        <v>0</v>
      </c>
      <c r="AH915" s="78" t="b">
        <f>IF(Tab.11[[#This Row],[a1]]=1,AQ915)</f>
        <v>0</v>
      </c>
      <c r="AI915" s="41">
        <v>3.0000000000000001E-3</v>
      </c>
      <c r="AJ915" s="79">
        <v>0.1</v>
      </c>
      <c r="AK915" s="80" t="b">
        <f>IF(Tab.11[[#This Row],[a1]]=1,1)</f>
        <v>0</v>
      </c>
      <c r="AZ915"/>
    </row>
    <row r="916" spans="1:52" hidden="1" x14ac:dyDescent="0.25">
      <c r="A916" s="61">
        <f t="shared" si="29"/>
        <v>0</v>
      </c>
      <c r="B916" s="62">
        <f t="shared" si="29"/>
        <v>0</v>
      </c>
      <c r="C916" s="62" t="b">
        <f>IF(Tab.11[[#This Row],[a1]]=1,[3]!Tab_x1[[#This Row],[Name]])</f>
        <v>0</v>
      </c>
      <c r="D916" s="63" t="b">
        <f>IF(Tab.11[[#This Row],[a1]]=1,AO916)</f>
        <v>0</v>
      </c>
      <c r="E916" s="63">
        <f t="shared" si="30"/>
        <v>0</v>
      </c>
      <c r="F916" s="64" t="b">
        <f>IF(Tab.11[[#This Row],[a1]]=1,Tab.11[[#This Row],[b1]])</f>
        <v>0</v>
      </c>
      <c r="G916" s="65" t="b">
        <f>IF(Tab.11[[#This Row],[a1]]=1,IF(Tab.11[[#This Row],[b3]]&gt;$L$989*$G$3,$L$989*$G$3,IF(Tab.11[[#This Row],[b3]]&lt;$M$989*$G$3,$M$989*$G$3,Tab.11[[#This Row],[b3]])))</f>
        <v>0</v>
      </c>
      <c r="H916" s="66" t="b">
        <f>IF(Tab.11[[#This Row],[a1]]=1,Tab.11[[#This Row],[b1]])</f>
        <v>0</v>
      </c>
      <c r="I916" s="67" t="b">
        <f>IF(Tab.11[[#This Row],[a1]]=1,Tab.11[[#This Row],[b1]])</f>
        <v>0</v>
      </c>
      <c r="J916" s="68" t="b">
        <f>IF(Tab.11[[#This Row],[a1]]=1,IF($I$3&lt;0,Tab.11[[#This Row],[b5]]-$I$3,Tab.11[[#This Row],[b5]]))</f>
        <v>0</v>
      </c>
      <c r="K916" s="68" t="b">
        <f>IF(Tab.11[[#This Row],[a1]]=1,IF($K$3=0,Tab.11[b6],Tab.11[[#This Row],[b6]]-AVERAGE(Tab.11[b6])))</f>
        <v>0</v>
      </c>
      <c r="L916" s="69" t="b">
        <f>IF(Tab.11[[#This Row],[a1]]=1,Tab.11[[#This Row],[data]]/(_xlfn.STDEV.P(Tab.11[data])*$B$989)+$A$989)</f>
        <v>0</v>
      </c>
      <c r="M916" s="69" t="b">
        <f>IF(Tab.11[[#This Row],[a1]]=1,Tab.11[[#This Row],[data]]/(_xlfn.STDEV.P(Tab.11[data])*$B$987)-$A$987)</f>
        <v>0</v>
      </c>
      <c r="N916" s="69" t="b">
        <f>IF(Tab.11[[#This Row],[a1]]=1,Tab.11[[#This Row],[data]]/(_xlfn.STDEV.P(Tab.11[data])*$B$988)+$A$988)</f>
        <v>0</v>
      </c>
      <c r="O916" s="70" t="b">
        <f>IF(Tab.11[[#This Row],[a1]]=1,_xlfn.NORM.DIST(Tab.11[[#This Row],[b8]],$P$1,$Q$1,FALSE))</f>
        <v>0</v>
      </c>
      <c r="P916" s="70" t="b">
        <f>IF(Tab.11[[#This Row],[a1]]=1,_xlfn.NORM.DIST(Tab.11[[#This Row],[b9]],$P$1,$Q$1,FALSE))</f>
        <v>0</v>
      </c>
      <c r="Q916" s="70" t="b">
        <f>IF(Tab.11[[#This Row],[a1]]=1,_xlfn.NORM.DIST(Tab.11[[#This Row],[b10]],$P$1,$Q$1,FALSE))</f>
        <v>0</v>
      </c>
      <c r="R916" s="67" t="b">
        <f>IF(Tab.11[[#This Row],[a1]]=1,$I$3+$A$989+IF($K$3=0,Tab.11[[#This Row],[b8]]*_xlfn.STDEV.P(Tab.11[data]),AVERAGE(Tab.11[b6])+Tab.11[[#This Row],[b8]]*_xlfn.STDEV.P(Tab.11[data])))</f>
        <v>0</v>
      </c>
      <c r="S916" s="71" t="b">
        <f>IF(Tab.11[[#This Row],[a1]]=1,$I$3+$A$987+IF($K$3=0,Tab.11[[#This Row],[b9]]*_xlfn.STDEV.P(Tab.11[data]),AVERAGE(Tab.11[b6])+Tab.11[[#This Row],[b9]]*_xlfn.STDEV.P(Tab.11[data])))</f>
        <v>0</v>
      </c>
      <c r="T916" s="71" t="b">
        <f>IF(Tab.11[[#This Row],[a1]]=1,$I$3+$A$988+IF($K$3=0,Tab.11[[#This Row],[b10]]*_xlfn.STDEV.P(Tab.11[data]),AVERAGE(Tab.11[b6])+Tab.11[[#This Row],[b10]]*_xlfn.STDEV.P(Tab.11[data])))</f>
        <v>0</v>
      </c>
      <c r="U916" s="72" t="b">
        <f>IF(Tab.11[[#This Row],[a1]]=1,Tab.11[[#This Row],[target]]-Tab.11[[#This Row],[Red]])</f>
        <v>0</v>
      </c>
      <c r="V916" s="72" t="b">
        <f>IF(Tab.11[[#This Row],[a1]]=1,Tab.11[[#This Row],[target]]-Tab.11[[#This Row],[Blue]])</f>
        <v>0</v>
      </c>
      <c r="W916" s="73" t="b">
        <f>IF(Tab.11[[#This Row],[a1]]=1,IF(ABS(Tab.11[[#This Row],[b17]])+ABS(Tab.11[[#This Row],[b18]])&lt;$W$2,$W$2,ABS(Tab.11[[#This Row],[b17]])+ABS(Tab.11[[#This Row],[b18]])))</f>
        <v>0</v>
      </c>
      <c r="X916" s="136" t="b">
        <f>IF(Tab.11[[#This Row],[a1]]=1,IF($W$3&lt;0,Tab.11[[#This Row],[IN]]-$I$3,Tab.11[[#This Row],[IN]]))</f>
        <v>0</v>
      </c>
      <c r="Y916" s="136" t="b">
        <f>IF(Tab.11[[#This Row],[a1]]=1,IF($X$3=0,Tab.11[b66],Tab.11[[#This Row],[b66]]-AVERAGE(Tab.11[b66])))</f>
        <v>0</v>
      </c>
      <c r="Z916" s="135" t="b">
        <f>IF(Tab.11[[#This Row],[a1]]=1,Tab.11[[#This Row],[b77]]/(_xlfn.STDEV.P(Tab.11[b77])))</f>
        <v>0</v>
      </c>
      <c r="AA916" s="70" t="b">
        <f>IF(Tab.11[[#This Row],[a1]]=1,_xlfn.NORM.DIST(Tab.11[[#This Row],[b88]],$Z$1,$AA$1,FALSE))</f>
        <v>0</v>
      </c>
      <c r="AB916" s="74" t="b">
        <f>IF(Tab.11[[#This Row],[a1]]=1,IF($A$3=0,FALSE,1/Tab.11[[#This Row],[IN]]*$AC$2*IF(Tab.11[[#This Row],[a1]]=0,,$A$3*$AC$1*1/$V$3*(Tab.11[[#This Row],[b14]]))))</f>
        <v>0</v>
      </c>
      <c r="AC916" s="75" t="b">
        <f>IF(Tab.11[[#This Row],[a1]]=1,IF($AC$3=0,Tab.11[[#This Row],[φ1]],Tab.11[[#This Row],[φ1]]/MAX(Tab.11[φ1])))</f>
        <v>0</v>
      </c>
      <c r="AD916" s="74" t="b">
        <f>IF(Tab.11[[#This Row],[a1]]=1,1/Tab.11[[#This Row],[φ2]])</f>
        <v>0</v>
      </c>
      <c r="AE916" s="74" t="b">
        <f>IF(Tab.11[[#This Row],[a1]]=1,IF($AE$3=0,Tab.11[[#This Row],[w.0]],Tab.11[[#This Row],[w.0]]/SUM(Tab.11[w.0])))</f>
        <v>0</v>
      </c>
      <c r="AF916" s="76" t="str">
        <f>IF(Tab.11[[#This Row],[a1]]=0,"false",[3]!Tab.x5[[#This Row],[%_seN_C]])</f>
        <v>false</v>
      </c>
      <c r="AG916" s="77" t="b">
        <f>IF(Tab.11[[#This Row],[a1]]=1,AP916)</f>
        <v>0</v>
      </c>
      <c r="AH916" s="78" t="b">
        <f>IF(Tab.11[[#This Row],[a1]]=1,AQ916)</f>
        <v>0</v>
      </c>
      <c r="AI916" s="41">
        <v>3.0000000000000001E-3</v>
      </c>
      <c r="AJ916" s="79">
        <v>0.06</v>
      </c>
      <c r="AK916" s="80" t="b">
        <f>IF(Tab.11[[#This Row],[a1]]=1,1)</f>
        <v>0</v>
      </c>
      <c r="AZ916"/>
    </row>
    <row r="917" spans="1:52" hidden="1" x14ac:dyDescent="0.25">
      <c r="A917" s="61">
        <f t="shared" ref="A917:B980" si="31">AM917</f>
        <v>0</v>
      </c>
      <c r="B917" s="62">
        <f t="shared" si="31"/>
        <v>0</v>
      </c>
      <c r="C917" s="62" t="b">
        <f>IF(Tab.11[[#This Row],[a1]]=1,[3]!Tab_x1[[#This Row],[Name]])</f>
        <v>0</v>
      </c>
      <c r="D917" s="63" t="b">
        <f>IF(Tab.11[[#This Row],[a1]]=1,AO917)</f>
        <v>0</v>
      </c>
      <c r="E917" s="63">
        <f t="shared" si="30"/>
        <v>0</v>
      </c>
      <c r="F917" s="64" t="b">
        <f>IF(Tab.11[[#This Row],[a1]]=1,Tab.11[[#This Row],[b1]])</f>
        <v>0</v>
      </c>
      <c r="G917" s="65" t="b">
        <f>IF(Tab.11[[#This Row],[a1]]=1,IF(Tab.11[[#This Row],[b3]]&gt;$L$989*$G$3,$L$989*$G$3,IF(Tab.11[[#This Row],[b3]]&lt;$M$989*$G$3,$M$989*$G$3,Tab.11[[#This Row],[b3]])))</f>
        <v>0</v>
      </c>
      <c r="H917" s="66" t="b">
        <f>IF(Tab.11[[#This Row],[a1]]=1,Tab.11[[#This Row],[b1]])</f>
        <v>0</v>
      </c>
      <c r="I917" s="67" t="b">
        <f>IF(Tab.11[[#This Row],[a1]]=1,Tab.11[[#This Row],[b1]])</f>
        <v>0</v>
      </c>
      <c r="J917" s="68" t="b">
        <f>IF(Tab.11[[#This Row],[a1]]=1,IF($I$3&lt;0,Tab.11[[#This Row],[b5]]-$I$3,Tab.11[[#This Row],[b5]]))</f>
        <v>0</v>
      </c>
      <c r="K917" s="68" t="b">
        <f>IF(Tab.11[[#This Row],[a1]]=1,IF($K$3=0,Tab.11[b6],Tab.11[[#This Row],[b6]]-AVERAGE(Tab.11[b6])))</f>
        <v>0</v>
      </c>
      <c r="L917" s="69" t="b">
        <f>IF(Tab.11[[#This Row],[a1]]=1,Tab.11[[#This Row],[data]]/(_xlfn.STDEV.P(Tab.11[data])*$B$989)+$A$989)</f>
        <v>0</v>
      </c>
      <c r="M917" s="69" t="b">
        <f>IF(Tab.11[[#This Row],[a1]]=1,Tab.11[[#This Row],[data]]/(_xlfn.STDEV.P(Tab.11[data])*$B$987)-$A$987)</f>
        <v>0</v>
      </c>
      <c r="N917" s="69" t="b">
        <f>IF(Tab.11[[#This Row],[a1]]=1,Tab.11[[#This Row],[data]]/(_xlfn.STDEV.P(Tab.11[data])*$B$988)+$A$988)</f>
        <v>0</v>
      </c>
      <c r="O917" s="70" t="b">
        <f>IF(Tab.11[[#This Row],[a1]]=1,_xlfn.NORM.DIST(Tab.11[[#This Row],[b8]],$P$1,$Q$1,FALSE))</f>
        <v>0</v>
      </c>
      <c r="P917" s="70" t="b">
        <f>IF(Tab.11[[#This Row],[a1]]=1,_xlfn.NORM.DIST(Tab.11[[#This Row],[b9]],$P$1,$Q$1,FALSE))</f>
        <v>0</v>
      </c>
      <c r="Q917" s="70" t="b">
        <f>IF(Tab.11[[#This Row],[a1]]=1,_xlfn.NORM.DIST(Tab.11[[#This Row],[b10]],$P$1,$Q$1,FALSE))</f>
        <v>0</v>
      </c>
      <c r="R917" s="67" t="b">
        <f>IF(Tab.11[[#This Row],[a1]]=1,$I$3+$A$989+IF($K$3=0,Tab.11[[#This Row],[b8]]*_xlfn.STDEV.P(Tab.11[data]),AVERAGE(Tab.11[b6])+Tab.11[[#This Row],[b8]]*_xlfn.STDEV.P(Tab.11[data])))</f>
        <v>0</v>
      </c>
      <c r="S917" s="71" t="b">
        <f>IF(Tab.11[[#This Row],[a1]]=1,$I$3+$A$987+IF($K$3=0,Tab.11[[#This Row],[b9]]*_xlfn.STDEV.P(Tab.11[data]),AVERAGE(Tab.11[b6])+Tab.11[[#This Row],[b9]]*_xlfn.STDEV.P(Tab.11[data])))</f>
        <v>0</v>
      </c>
      <c r="T917" s="71" t="b">
        <f>IF(Tab.11[[#This Row],[a1]]=1,$I$3+$A$988+IF($K$3=0,Tab.11[[#This Row],[b10]]*_xlfn.STDEV.P(Tab.11[data]),AVERAGE(Tab.11[b6])+Tab.11[[#This Row],[b10]]*_xlfn.STDEV.P(Tab.11[data])))</f>
        <v>0</v>
      </c>
      <c r="U917" s="72" t="b">
        <f>IF(Tab.11[[#This Row],[a1]]=1,Tab.11[[#This Row],[target]]-Tab.11[[#This Row],[Red]])</f>
        <v>0</v>
      </c>
      <c r="V917" s="72" t="b">
        <f>IF(Tab.11[[#This Row],[a1]]=1,Tab.11[[#This Row],[target]]-Tab.11[[#This Row],[Blue]])</f>
        <v>0</v>
      </c>
      <c r="W917" s="73" t="b">
        <f>IF(Tab.11[[#This Row],[a1]]=1,IF(ABS(Tab.11[[#This Row],[b17]])+ABS(Tab.11[[#This Row],[b18]])&lt;$W$2,$W$2,ABS(Tab.11[[#This Row],[b17]])+ABS(Tab.11[[#This Row],[b18]])))</f>
        <v>0</v>
      </c>
      <c r="X917" s="136" t="b">
        <f>IF(Tab.11[[#This Row],[a1]]=1,IF($W$3&lt;0,Tab.11[[#This Row],[IN]]-$I$3,Tab.11[[#This Row],[IN]]))</f>
        <v>0</v>
      </c>
      <c r="Y917" s="136" t="b">
        <f>IF(Tab.11[[#This Row],[a1]]=1,IF($X$3=0,Tab.11[b66],Tab.11[[#This Row],[b66]]-AVERAGE(Tab.11[b66])))</f>
        <v>0</v>
      </c>
      <c r="Z917" s="135" t="b">
        <f>IF(Tab.11[[#This Row],[a1]]=1,Tab.11[[#This Row],[b77]]/(_xlfn.STDEV.P(Tab.11[b77])))</f>
        <v>0</v>
      </c>
      <c r="AA917" s="70" t="b">
        <f>IF(Tab.11[[#This Row],[a1]]=1,_xlfn.NORM.DIST(Tab.11[[#This Row],[b88]],$Z$1,$AA$1,FALSE))</f>
        <v>0</v>
      </c>
      <c r="AB917" s="74" t="b">
        <f>IF(Tab.11[[#This Row],[a1]]=1,IF($A$3=0,FALSE,1/Tab.11[[#This Row],[IN]]*$AC$2*IF(Tab.11[[#This Row],[a1]]=0,,$A$3*$AC$1*1/$V$3*(Tab.11[[#This Row],[b14]]))))</f>
        <v>0</v>
      </c>
      <c r="AC917" s="75" t="b">
        <f>IF(Tab.11[[#This Row],[a1]]=1,IF($AC$3=0,Tab.11[[#This Row],[φ1]],Tab.11[[#This Row],[φ1]]/MAX(Tab.11[φ1])))</f>
        <v>0</v>
      </c>
      <c r="AD917" s="74" t="b">
        <f>IF(Tab.11[[#This Row],[a1]]=1,1/Tab.11[[#This Row],[φ2]])</f>
        <v>0</v>
      </c>
      <c r="AE917" s="74" t="b">
        <f>IF(Tab.11[[#This Row],[a1]]=1,IF($AE$3=0,Tab.11[[#This Row],[w.0]],Tab.11[[#This Row],[w.0]]/SUM(Tab.11[w.0])))</f>
        <v>0</v>
      </c>
      <c r="AF917" s="76" t="str">
        <f>IF(Tab.11[[#This Row],[a1]]=0,"false",[3]!Tab.x5[[#This Row],[%_seN_C]])</f>
        <v>false</v>
      </c>
      <c r="AG917" s="77" t="b">
        <f>IF(Tab.11[[#This Row],[a1]]=1,AP917)</f>
        <v>0</v>
      </c>
      <c r="AH917" s="78" t="b">
        <f>IF(Tab.11[[#This Row],[a1]]=1,AQ917)</f>
        <v>0</v>
      </c>
      <c r="AI917" s="41">
        <v>3.0000000000000001E-3</v>
      </c>
      <c r="AJ917" s="79">
        <v>0.04</v>
      </c>
      <c r="AK917" s="80" t="b">
        <f>IF(Tab.11[[#This Row],[a1]]=1,1)</f>
        <v>0</v>
      </c>
      <c r="AZ917"/>
    </row>
    <row r="918" spans="1:52" hidden="1" x14ac:dyDescent="0.25">
      <c r="A918" s="61">
        <f t="shared" si="31"/>
        <v>0</v>
      </c>
      <c r="B918" s="62">
        <f t="shared" si="31"/>
        <v>0</v>
      </c>
      <c r="C918" s="62" t="b">
        <f>IF(Tab.11[[#This Row],[a1]]=1,[3]!Tab_x1[[#This Row],[Name]])</f>
        <v>0</v>
      </c>
      <c r="D918" s="63" t="b">
        <f>IF(Tab.11[[#This Row],[a1]]=1,AO918)</f>
        <v>0</v>
      </c>
      <c r="E918" s="63">
        <f t="shared" si="30"/>
        <v>0</v>
      </c>
      <c r="F918" s="64" t="b">
        <f>IF(Tab.11[[#This Row],[a1]]=1,Tab.11[[#This Row],[b1]])</f>
        <v>0</v>
      </c>
      <c r="G918" s="65" t="b">
        <f>IF(Tab.11[[#This Row],[a1]]=1,IF(Tab.11[[#This Row],[b3]]&gt;$L$989*$G$3,$L$989*$G$3,IF(Tab.11[[#This Row],[b3]]&lt;$M$989*$G$3,$M$989*$G$3,Tab.11[[#This Row],[b3]])))</f>
        <v>0</v>
      </c>
      <c r="H918" s="66" t="b">
        <f>IF(Tab.11[[#This Row],[a1]]=1,Tab.11[[#This Row],[b1]])</f>
        <v>0</v>
      </c>
      <c r="I918" s="67" t="b">
        <f>IF(Tab.11[[#This Row],[a1]]=1,Tab.11[[#This Row],[b1]])</f>
        <v>0</v>
      </c>
      <c r="J918" s="68" t="b">
        <f>IF(Tab.11[[#This Row],[a1]]=1,IF($I$3&lt;0,Tab.11[[#This Row],[b5]]-$I$3,Tab.11[[#This Row],[b5]]))</f>
        <v>0</v>
      </c>
      <c r="K918" s="68" t="b">
        <f>IF(Tab.11[[#This Row],[a1]]=1,IF($K$3=0,Tab.11[b6],Tab.11[[#This Row],[b6]]-AVERAGE(Tab.11[b6])))</f>
        <v>0</v>
      </c>
      <c r="L918" s="69" t="b">
        <f>IF(Tab.11[[#This Row],[a1]]=1,Tab.11[[#This Row],[data]]/(_xlfn.STDEV.P(Tab.11[data])*$B$989)+$A$989)</f>
        <v>0</v>
      </c>
      <c r="M918" s="69" t="b">
        <f>IF(Tab.11[[#This Row],[a1]]=1,Tab.11[[#This Row],[data]]/(_xlfn.STDEV.P(Tab.11[data])*$B$987)-$A$987)</f>
        <v>0</v>
      </c>
      <c r="N918" s="69" t="b">
        <f>IF(Tab.11[[#This Row],[a1]]=1,Tab.11[[#This Row],[data]]/(_xlfn.STDEV.P(Tab.11[data])*$B$988)+$A$988)</f>
        <v>0</v>
      </c>
      <c r="O918" s="70" t="b">
        <f>IF(Tab.11[[#This Row],[a1]]=1,_xlfn.NORM.DIST(Tab.11[[#This Row],[b8]],$P$1,$Q$1,FALSE))</f>
        <v>0</v>
      </c>
      <c r="P918" s="70" t="b">
        <f>IF(Tab.11[[#This Row],[a1]]=1,_xlfn.NORM.DIST(Tab.11[[#This Row],[b9]],$P$1,$Q$1,FALSE))</f>
        <v>0</v>
      </c>
      <c r="Q918" s="70" t="b">
        <f>IF(Tab.11[[#This Row],[a1]]=1,_xlfn.NORM.DIST(Tab.11[[#This Row],[b10]],$P$1,$Q$1,FALSE))</f>
        <v>0</v>
      </c>
      <c r="R918" s="67" t="b">
        <f>IF(Tab.11[[#This Row],[a1]]=1,$I$3+$A$989+IF($K$3=0,Tab.11[[#This Row],[b8]]*_xlfn.STDEV.P(Tab.11[data]),AVERAGE(Tab.11[b6])+Tab.11[[#This Row],[b8]]*_xlfn.STDEV.P(Tab.11[data])))</f>
        <v>0</v>
      </c>
      <c r="S918" s="71" t="b">
        <f>IF(Tab.11[[#This Row],[a1]]=1,$I$3+$A$987+IF($K$3=0,Tab.11[[#This Row],[b9]]*_xlfn.STDEV.P(Tab.11[data]),AVERAGE(Tab.11[b6])+Tab.11[[#This Row],[b9]]*_xlfn.STDEV.P(Tab.11[data])))</f>
        <v>0</v>
      </c>
      <c r="T918" s="71" t="b">
        <f>IF(Tab.11[[#This Row],[a1]]=1,$I$3+$A$988+IF($K$3=0,Tab.11[[#This Row],[b10]]*_xlfn.STDEV.P(Tab.11[data]),AVERAGE(Tab.11[b6])+Tab.11[[#This Row],[b10]]*_xlfn.STDEV.P(Tab.11[data])))</f>
        <v>0</v>
      </c>
      <c r="U918" s="72" t="b">
        <f>IF(Tab.11[[#This Row],[a1]]=1,Tab.11[[#This Row],[target]]-Tab.11[[#This Row],[Red]])</f>
        <v>0</v>
      </c>
      <c r="V918" s="72" t="b">
        <f>IF(Tab.11[[#This Row],[a1]]=1,Tab.11[[#This Row],[target]]-Tab.11[[#This Row],[Blue]])</f>
        <v>0</v>
      </c>
      <c r="W918" s="73" t="b">
        <f>IF(Tab.11[[#This Row],[a1]]=1,IF(ABS(Tab.11[[#This Row],[b17]])+ABS(Tab.11[[#This Row],[b18]])&lt;$W$2,$W$2,ABS(Tab.11[[#This Row],[b17]])+ABS(Tab.11[[#This Row],[b18]])))</f>
        <v>0</v>
      </c>
      <c r="X918" s="136" t="b">
        <f>IF(Tab.11[[#This Row],[a1]]=1,IF($W$3&lt;0,Tab.11[[#This Row],[IN]]-$I$3,Tab.11[[#This Row],[IN]]))</f>
        <v>0</v>
      </c>
      <c r="Y918" s="136" t="b">
        <f>IF(Tab.11[[#This Row],[a1]]=1,IF($X$3=0,Tab.11[b66],Tab.11[[#This Row],[b66]]-AVERAGE(Tab.11[b66])))</f>
        <v>0</v>
      </c>
      <c r="Z918" s="135" t="b">
        <f>IF(Tab.11[[#This Row],[a1]]=1,Tab.11[[#This Row],[b77]]/(_xlfn.STDEV.P(Tab.11[b77])))</f>
        <v>0</v>
      </c>
      <c r="AA918" s="70" t="b">
        <f>IF(Tab.11[[#This Row],[a1]]=1,_xlfn.NORM.DIST(Tab.11[[#This Row],[b88]],$Z$1,$AA$1,FALSE))</f>
        <v>0</v>
      </c>
      <c r="AB918" s="74" t="b">
        <f>IF(Tab.11[[#This Row],[a1]]=1,IF($A$3=0,FALSE,1/Tab.11[[#This Row],[IN]]*$AC$2*IF(Tab.11[[#This Row],[a1]]=0,,$A$3*$AC$1*1/$V$3*(Tab.11[[#This Row],[b14]]))))</f>
        <v>0</v>
      </c>
      <c r="AC918" s="75" t="b">
        <f>IF(Tab.11[[#This Row],[a1]]=1,IF($AC$3=0,Tab.11[[#This Row],[φ1]],Tab.11[[#This Row],[φ1]]/MAX(Tab.11[φ1])))</f>
        <v>0</v>
      </c>
      <c r="AD918" s="74" t="b">
        <f>IF(Tab.11[[#This Row],[a1]]=1,1/Tab.11[[#This Row],[φ2]])</f>
        <v>0</v>
      </c>
      <c r="AE918" s="74" t="b">
        <f>IF(Tab.11[[#This Row],[a1]]=1,IF($AE$3=0,Tab.11[[#This Row],[w.0]],Tab.11[[#This Row],[w.0]]/SUM(Tab.11[w.0])))</f>
        <v>0</v>
      </c>
      <c r="AF918" s="76" t="str">
        <f>IF(Tab.11[[#This Row],[a1]]=0,"false",[3]!Tab.x5[[#This Row],[%_seN_C]])</f>
        <v>false</v>
      </c>
      <c r="AG918" s="77" t="b">
        <f>IF(Tab.11[[#This Row],[a1]]=1,AP918)</f>
        <v>0</v>
      </c>
      <c r="AH918" s="78" t="b">
        <f>IF(Tab.11[[#This Row],[a1]]=1,AQ918)</f>
        <v>0</v>
      </c>
      <c r="AI918" s="41">
        <v>3.0000000000000001E-3</v>
      </c>
      <c r="AJ918" s="79">
        <v>-7.0000000000000007E-2</v>
      </c>
      <c r="AK918" s="80" t="b">
        <f>IF(Tab.11[[#This Row],[a1]]=1,1)</f>
        <v>0</v>
      </c>
      <c r="AZ918"/>
    </row>
    <row r="919" spans="1:52" hidden="1" x14ac:dyDescent="0.25">
      <c r="A919" s="61">
        <f t="shared" si="31"/>
        <v>0</v>
      </c>
      <c r="B919" s="62">
        <f t="shared" si="31"/>
        <v>0</v>
      </c>
      <c r="C919" s="62" t="b">
        <f>IF(Tab.11[[#This Row],[a1]]=1,[3]!Tab_x1[[#This Row],[Name]])</f>
        <v>0</v>
      </c>
      <c r="D919" s="63" t="b">
        <f>IF(Tab.11[[#This Row],[a1]]=1,AO919)</f>
        <v>0</v>
      </c>
      <c r="E919" s="63">
        <f t="shared" si="30"/>
        <v>0</v>
      </c>
      <c r="F919" s="64" t="b">
        <f>IF(Tab.11[[#This Row],[a1]]=1,Tab.11[[#This Row],[b1]])</f>
        <v>0</v>
      </c>
      <c r="G919" s="65" t="b">
        <f>IF(Tab.11[[#This Row],[a1]]=1,IF(Tab.11[[#This Row],[b3]]&gt;$L$989*$G$3,$L$989*$G$3,IF(Tab.11[[#This Row],[b3]]&lt;$M$989*$G$3,$M$989*$G$3,Tab.11[[#This Row],[b3]])))</f>
        <v>0</v>
      </c>
      <c r="H919" s="66" t="b">
        <f>IF(Tab.11[[#This Row],[a1]]=1,Tab.11[[#This Row],[b1]])</f>
        <v>0</v>
      </c>
      <c r="I919" s="67" t="b">
        <f>IF(Tab.11[[#This Row],[a1]]=1,Tab.11[[#This Row],[b1]])</f>
        <v>0</v>
      </c>
      <c r="J919" s="68" t="b">
        <f>IF(Tab.11[[#This Row],[a1]]=1,IF($I$3&lt;0,Tab.11[[#This Row],[b5]]-$I$3,Tab.11[[#This Row],[b5]]))</f>
        <v>0</v>
      </c>
      <c r="K919" s="68" t="b">
        <f>IF(Tab.11[[#This Row],[a1]]=1,IF($K$3=0,Tab.11[b6],Tab.11[[#This Row],[b6]]-AVERAGE(Tab.11[b6])))</f>
        <v>0</v>
      </c>
      <c r="L919" s="69" t="b">
        <f>IF(Tab.11[[#This Row],[a1]]=1,Tab.11[[#This Row],[data]]/(_xlfn.STDEV.P(Tab.11[data])*$B$989)+$A$989)</f>
        <v>0</v>
      </c>
      <c r="M919" s="69" t="b">
        <f>IF(Tab.11[[#This Row],[a1]]=1,Tab.11[[#This Row],[data]]/(_xlfn.STDEV.P(Tab.11[data])*$B$987)-$A$987)</f>
        <v>0</v>
      </c>
      <c r="N919" s="69" t="b">
        <f>IF(Tab.11[[#This Row],[a1]]=1,Tab.11[[#This Row],[data]]/(_xlfn.STDEV.P(Tab.11[data])*$B$988)+$A$988)</f>
        <v>0</v>
      </c>
      <c r="O919" s="70" t="b">
        <f>IF(Tab.11[[#This Row],[a1]]=1,_xlfn.NORM.DIST(Tab.11[[#This Row],[b8]],$P$1,$Q$1,FALSE))</f>
        <v>0</v>
      </c>
      <c r="P919" s="70" t="b">
        <f>IF(Tab.11[[#This Row],[a1]]=1,_xlfn.NORM.DIST(Tab.11[[#This Row],[b9]],$P$1,$Q$1,FALSE))</f>
        <v>0</v>
      </c>
      <c r="Q919" s="70" t="b">
        <f>IF(Tab.11[[#This Row],[a1]]=1,_xlfn.NORM.DIST(Tab.11[[#This Row],[b10]],$P$1,$Q$1,FALSE))</f>
        <v>0</v>
      </c>
      <c r="R919" s="67" t="b">
        <f>IF(Tab.11[[#This Row],[a1]]=1,$I$3+$A$989+IF($K$3=0,Tab.11[[#This Row],[b8]]*_xlfn.STDEV.P(Tab.11[data]),AVERAGE(Tab.11[b6])+Tab.11[[#This Row],[b8]]*_xlfn.STDEV.P(Tab.11[data])))</f>
        <v>0</v>
      </c>
      <c r="S919" s="71" t="b">
        <f>IF(Tab.11[[#This Row],[a1]]=1,$I$3+$A$987+IF($K$3=0,Tab.11[[#This Row],[b9]]*_xlfn.STDEV.P(Tab.11[data]),AVERAGE(Tab.11[b6])+Tab.11[[#This Row],[b9]]*_xlfn.STDEV.P(Tab.11[data])))</f>
        <v>0</v>
      </c>
      <c r="T919" s="71" t="b">
        <f>IF(Tab.11[[#This Row],[a1]]=1,$I$3+$A$988+IF($K$3=0,Tab.11[[#This Row],[b10]]*_xlfn.STDEV.P(Tab.11[data]),AVERAGE(Tab.11[b6])+Tab.11[[#This Row],[b10]]*_xlfn.STDEV.P(Tab.11[data])))</f>
        <v>0</v>
      </c>
      <c r="U919" s="72" t="b">
        <f>IF(Tab.11[[#This Row],[a1]]=1,Tab.11[[#This Row],[target]]-Tab.11[[#This Row],[Red]])</f>
        <v>0</v>
      </c>
      <c r="V919" s="72" t="b">
        <f>IF(Tab.11[[#This Row],[a1]]=1,Tab.11[[#This Row],[target]]-Tab.11[[#This Row],[Blue]])</f>
        <v>0</v>
      </c>
      <c r="W919" s="73" t="b">
        <f>IF(Tab.11[[#This Row],[a1]]=1,IF(ABS(Tab.11[[#This Row],[b17]])+ABS(Tab.11[[#This Row],[b18]])&lt;$W$2,$W$2,ABS(Tab.11[[#This Row],[b17]])+ABS(Tab.11[[#This Row],[b18]])))</f>
        <v>0</v>
      </c>
      <c r="X919" s="136" t="b">
        <f>IF(Tab.11[[#This Row],[a1]]=1,IF($W$3&lt;0,Tab.11[[#This Row],[IN]]-$I$3,Tab.11[[#This Row],[IN]]))</f>
        <v>0</v>
      </c>
      <c r="Y919" s="136" t="b">
        <f>IF(Tab.11[[#This Row],[a1]]=1,IF($X$3=0,Tab.11[b66],Tab.11[[#This Row],[b66]]-AVERAGE(Tab.11[b66])))</f>
        <v>0</v>
      </c>
      <c r="Z919" s="135" t="b">
        <f>IF(Tab.11[[#This Row],[a1]]=1,Tab.11[[#This Row],[b77]]/(_xlfn.STDEV.P(Tab.11[b77])))</f>
        <v>0</v>
      </c>
      <c r="AA919" s="70" t="b">
        <f>IF(Tab.11[[#This Row],[a1]]=1,_xlfn.NORM.DIST(Tab.11[[#This Row],[b88]],$Z$1,$AA$1,FALSE))</f>
        <v>0</v>
      </c>
      <c r="AB919" s="74" t="b">
        <f>IF(Tab.11[[#This Row],[a1]]=1,IF($A$3=0,FALSE,1/Tab.11[[#This Row],[IN]]*$AC$2*IF(Tab.11[[#This Row],[a1]]=0,,$A$3*$AC$1*1/$V$3*(Tab.11[[#This Row],[b14]]))))</f>
        <v>0</v>
      </c>
      <c r="AC919" s="75" t="b">
        <f>IF(Tab.11[[#This Row],[a1]]=1,IF($AC$3=0,Tab.11[[#This Row],[φ1]],Tab.11[[#This Row],[φ1]]/MAX(Tab.11[φ1])))</f>
        <v>0</v>
      </c>
      <c r="AD919" s="74" t="b">
        <f>IF(Tab.11[[#This Row],[a1]]=1,1/Tab.11[[#This Row],[φ2]])</f>
        <v>0</v>
      </c>
      <c r="AE919" s="74" t="b">
        <f>IF(Tab.11[[#This Row],[a1]]=1,IF($AE$3=0,Tab.11[[#This Row],[w.0]],Tab.11[[#This Row],[w.0]]/SUM(Tab.11[w.0])))</f>
        <v>0</v>
      </c>
      <c r="AF919" s="76" t="str">
        <f>IF(Tab.11[[#This Row],[a1]]=0,"false",[3]!Tab.x5[[#This Row],[%_seN_C]])</f>
        <v>false</v>
      </c>
      <c r="AG919" s="77" t="b">
        <f>IF(Tab.11[[#This Row],[a1]]=1,AP919)</f>
        <v>0</v>
      </c>
      <c r="AH919" s="78" t="b">
        <f>IF(Tab.11[[#This Row],[a1]]=1,AQ919)</f>
        <v>0</v>
      </c>
      <c r="AI919" s="41">
        <v>3.0000000000000001E-3</v>
      </c>
      <c r="AJ919" s="79">
        <v>-0.03</v>
      </c>
      <c r="AK919" s="80" t="b">
        <f>IF(Tab.11[[#This Row],[a1]]=1,1)</f>
        <v>0</v>
      </c>
      <c r="AZ919"/>
    </row>
    <row r="920" spans="1:52" hidden="1" x14ac:dyDescent="0.25">
      <c r="A920" s="61">
        <f t="shared" si="31"/>
        <v>0</v>
      </c>
      <c r="B920" s="62">
        <f t="shared" si="31"/>
        <v>0</v>
      </c>
      <c r="C920" s="62" t="b">
        <f>IF(Tab.11[[#This Row],[a1]]=1,[3]!Tab_x1[[#This Row],[Name]])</f>
        <v>0</v>
      </c>
      <c r="D920" s="63" t="b">
        <f>IF(Tab.11[[#This Row],[a1]]=1,AO920)</f>
        <v>0</v>
      </c>
      <c r="E920" s="63">
        <f t="shared" si="30"/>
        <v>0</v>
      </c>
      <c r="F920" s="64" t="b">
        <f>IF(Tab.11[[#This Row],[a1]]=1,Tab.11[[#This Row],[b1]])</f>
        <v>0</v>
      </c>
      <c r="G920" s="65" t="b">
        <f>IF(Tab.11[[#This Row],[a1]]=1,IF(Tab.11[[#This Row],[b3]]&gt;$L$989*$G$3,$L$989*$G$3,IF(Tab.11[[#This Row],[b3]]&lt;$M$989*$G$3,$M$989*$G$3,Tab.11[[#This Row],[b3]])))</f>
        <v>0</v>
      </c>
      <c r="H920" s="66" t="b">
        <f>IF(Tab.11[[#This Row],[a1]]=1,Tab.11[[#This Row],[b1]])</f>
        <v>0</v>
      </c>
      <c r="I920" s="67" t="b">
        <f>IF(Tab.11[[#This Row],[a1]]=1,Tab.11[[#This Row],[b1]])</f>
        <v>0</v>
      </c>
      <c r="J920" s="68" t="b">
        <f>IF(Tab.11[[#This Row],[a1]]=1,IF($I$3&lt;0,Tab.11[[#This Row],[b5]]-$I$3,Tab.11[[#This Row],[b5]]))</f>
        <v>0</v>
      </c>
      <c r="K920" s="68" t="b">
        <f>IF(Tab.11[[#This Row],[a1]]=1,IF($K$3=0,Tab.11[b6],Tab.11[[#This Row],[b6]]-AVERAGE(Tab.11[b6])))</f>
        <v>0</v>
      </c>
      <c r="L920" s="69" t="b">
        <f>IF(Tab.11[[#This Row],[a1]]=1,Tab.11[[#This Row],[data]]/(_xlfn.STDEV.P(Tab.11[data])*$B$989)+$A$989)</f>
        <v>0</v>
      </c>
      <c r="M920" s="69" t="b">
        <f>IF(Tab.11[[#This Row],[a1]]=1,Tab.11[[#This Row],[data]]/(_xlfn.STDEV.P(Tab.11[data])*$B$987)-$A$987)</f>
        <v>0</v>
      </c>
      <c r="N920" s="69" t="b">
        <f>IF(Tab.11[[#This Row],[a1]]=1,Tab.11[[#This Row],[data]]/(_xlfn.STDEV.P(Tab.11[data])*$B$988)+$A$988)</f>
        <v>0</v>
      </c>
      <c r="O920" s="70" t="b">
        <f>IF(Tab.11[[#This Row],[a1]]=1,_xlfn.NORM.DIST(Tab.11[[#This Row],[b8]],$P$1,$Q$1,FALSE))</f>
        <v>0</v>
      </c>
      <c r="P920" s="70" t="b">
        <f>IF(Tab.11[[#This Row],[a1]]=1,_xlfn.NORM.DIST(Tab.11[[#This Row],[b9]],$P$1,$Q$1,FALSE))</f>
        <v>0</v>
      </c>
      <c r="Q920" s="70" t="b">
        <f>IF(Tab.11[[#This Row],[a1]]=1,_xlfn.NORM.DIST(Tab.11[[#This Row],[b10]],$P$1,$Q$1,FALSE))</f>
        <v>0</v>
      </c>
      <c r="R920" s="67" t="b">
        <f>IF(Tab.11[[#This Row],[a1]]=1,$I$3+$A$989+IF($K$3=0,Tab.11[[#This Row],[b8]]*_xlfn.STDEV.P(Tab.11[data]),AVERAGE(Tab.11[b6])+Tab.11[[#This Row],[b8]]*_xlfn.STDEV.P(Tab.11[data])))</f>
        <v>0</v>
      </c>
      <c r="S920" s="71" t="b">
        <f>IF(Tab.11[[#This Row],[a1]]=1,$I$3+$A$987+IF($K$3=0,Tab.11[[#This Row],[b9]]*_xlfn.STDEV.P(Tab.11[data]),AVERAGE(Tab.11[b6])+Tab.11[[#This Row],[b9]]*_xlfn.STDEV.P(Tab.11[data])))</f>
        <v>0</v>
      </c>
      <c r="T920" s="71" t="b">
        <f>IF(Tab.11[[#This Row],[a1]]=1,$I$3+$A$988+IF($K$3=0,Tab.11[[#This Row],[b10]]*_xlfn.STDEV.P(Tab.11[data]),AVERAGE(Tab.11[b6])+Tab.11[[#This Row],[b10]]*_xlfn.STDEV.P(Tab.11[data])))</f>
        <v>0</v>
      </c>
      <c r="U920" s="72" t="b">
        <f>IF(Tab.11[[#This Row],[a1]]=1,Tab.11[[#This Row],[target]]-Tab.11[[#This Row],[Red]])</f>
        <v>0</v>
      </c>
      <c r="V920" s="72" t="b">
        <f>IF(Tab.11[[#This Row],[a1]]=1,Tab.11[[#This Row],[target]]-Tab.11[[#This Row],[Blue]])</f>
        <v>0</v>
      </c>
      <c r="W920" s="73" t="b">
        <f>IF(Tab.11[[#This Row],[a1]]=1,IF(ABS(Tab.11[[#This Row],[b17]])+ABS(Tab.11[[#This Row],[b18]])&lt;$W$2,$W$2,ABS(Tab.11[[#This Row],[b17]])+ABS(Tab.11[[#This Row],[b18]])))</f>
        <v>0</v>
      </c>
      <c r="X920" s="136" t="b">
        <f>IF(Tab.11[[#This Row],[a1]]=1,IF($W$3&lt;0,Tab.11[[#This Row],[IN]]-$I$3,Tab.11[[#This Row],[IN]]))</f>
        <v>0</v>
      </c>
      <c r="Y920" s="136" t="b">
        <f>IF(Tab.11[[#This Row],[a1]]=1,IF($X$3=0,Tab.11[b66],Tab.11[[#This Row],[b66]]-AVERAGE(Tab.11[b66])))</f>
        <v>0</v>
      </c>
      <c r="Z920" s="135" t="b">
        <f>IF(Tab.11[[#This Row],[a1]]=1,Tab.11[[#This Row],[b77]]/(_xlfn.STDEV.P(Tab.11[b77])))</f>
        <v>0</v>
      </c>
      <c r="AA920" s="70" t="b">
        <f>IF(Tab.11[[#This Row],[a1]]=1,_xlfn.NORM.DIST(Tab.11[[#This Row],[b88]],$Z$1,$AA$1,FALSE))</f>
        <v>0</v>
      </c>
      <c r="AB920" s="74" t="b">
        <f>IF(Tab.11[[#This Row],[a1]]=1,IF($A$3=0,FALSE,1/Tab.11[[#This Row],[IN]]*$AC$2*IF(Tab.11[[#This Row],[a1]]=0,,$A$3*$AC$1*1/$V$3*(Tab.11[[#This Row],[b14]]))))</f>
        <v>0</v>
      </c>
      <c r="AC920" s="75" t="b">
        <f>IF(Tab.11[[#This Row],[a1]]=1,IF($AC$3=0,Tab.11[[#This Row],[φ1]],Tab.11[[#This Row],[φ1]]/MAX(Tab.11[φ1])))</f>
        <v>0</v>
      </c>
      <c r="AD920" s="74" t="b">
        <f>IF(Tab.11[[#This Row],[a1]]=1,1/Tab.11[[#This Row],[φ2]])</f>
        <v>0</v>
      </c>
      <c r="AE920" s="74" t="b">
        <f>IF(Tab.11[[#This Row],[a1]]=1,IF($AE$3=0,Tab.11[[#This Row],[w.0]],Tab.11[[#This Row],[w.0]]/SUM(Tab.11[w.0])))</f>
        <v>0</v>
      </c>
      <c r="AF920" s="76" t="str">
        <f>IF(Tab.11[[#This Row],[a1]]=0,"false",[3]!Tab.x5[[#This Row],[%_seN_C]])</f>
        <v>false</v>
      </c>
      <c r="AG920" s="77" t="b">
        <f>IF(Tab.11[[#This Row],[a1]]=1,AP920)</f>
        <v>0</v>
      </c>
      <c r="AH920" s="78" t="b">
        <f>IF(Tab.11[[#This Row],[a1]]=1,AQ920)</f>
        <v>0</v>
      </c>
      <c r="AI920" s="41">
        <v>3.0000000000000001E-3</v>
      </c>
      <c r="AJ920" s="79">
        <v>-0.09</v>
      </c>
      <c r="AK920" s="80" t="b">
        <f>IF(Tab.11[[#This Row],[a1]]=1,1)</f>
        <v>0</v>
      </c>
      <c r="AZ920"/>
    </row>
    <row r="921" spans="1:52" hidden="1" x14ac:dyDescent="0.25">
      <c r="A921" s="61">
        <f t="shared" si="31"/>
        <v>0</v>
      </c>
      <c r="B921" s="62">
        <f t="shared" si="31"/>
        <v>0</v>
      </c>
      <c r="C921" s="62" t="b">
        <f>IF(Tab.11[[#This Row],[a1]]=1,[3]!Tab_x1[[#This Row],[Name]])</f>
        <v>0</v>
      </c>
      <c r="D921" s="63" t="b">
        <f>IF(Tab.11[[#This Row],[a1]]=1,AO921)</f>
        <v>0</v>
      </c>
      <c r="E921" s="63">
        <f t="shared" si="30"/>
        <v>0</v>
      </c>
      <c r="F921" s="64" t="b">
        <f>IF(Tab.11[[#This Row],[a1]]=1,Tab.11[[#This Row],[b1]])</f>
        <v>0</v>
      </c>
      <c r="G921" s="65" t="b">
        <f>IF(Tab.11[[#This Row],[a1]]=1,IF(Tab.11[[#This Row],[b3]]&gt;$L$989*$G$3,$L$989*$G$3,IF(Tab.11[[#This Row],[b3]]&lt;$M$989*$G$3,$M$989*$G$3,Tab.11[[#This Row],[b3]])))</f>
        <v>0</v>
      </c>
      <c r="H921" s="66" t="b">
        <f>IF(Tab.11[[#This Row],[a1]]=1,Tab.11[[#This Row],[b1]])</f>
        <v>0</v>
      </c>
      <c r="I921" s="67" t="b">
        <f>IF(Tab.11[[#This Row],[a1]]=1,Tab.11[[#This Row],[b1]])</f>
        <v>0</v>
      </c>
      <c r="J921" s="68" t="b">
        <f>IF(Tab.11[[#This Row],[a1]]=1,IF($I$3&lt;0,Tab.11[[#This Row],[b5]]-$I$3,Tab.11[[#This Row],[b5]]))</f>
        <v>0</v>
      </c>
      <c r="K921" s="68" t="b">
        <f>IF(Tab.11[[#This Row],[a1]]=1,IF($K$3=0,Tab.11[b6],Tab.11[[#This Row],[b6]]-AVERAGE(Tab.11[b6])))</f>
        <v>0</v>
      </c>
      <c r="L921" s="69" t="b">
        <f>IF(Tab.11[[#This Row],[a1]]=1,Tab.11[[#This Row],[data]]/(_xlfn.STDEV.P(Tab.11[data])*$B$989)+$A$989)</f>
        <v>0</v>
      </c>
      <c r="M921" s="69" t="b">
        <f>IF(Tab.11[[#This Row],[a1]]=1,Tab.11[[#This Row],[data]]/(_xlfn.STDEV.P(Tab.11[data])*$B$987)-$A$987)</f>
        <v>0</v>
      </c>
      <c r="N921" s="69" t="b">
        <f>IF(Tab.11[[#This Row],[a1]]=1,Tab.11[[#This Row],[data]]/(_xlfn.STDEV.P(Tab.11[data])*$B$988)+$A$988)</f>
        <v>0</v>
      </c>
      <c r="O921" s="70" t="b">
        <f>IF(Tab.11[[#This Row],[a1]]=1,_xlfn.NORM.DIST(Tab.11[[#This Row],[b8]],$P$1,$Q$1,FALSE))</f>
        <v>0</v>
      </c>
      <c r="P921" s="70" t="b">
        <f>IF(Tab.11[[#This Row],[a1]]=1,_xlfn.NORM.DIST(Tab.11[[#This Row],[b9]],$P$1,$Q$1,FALSE))</f>
        <v>0</v>
      </c>
      <c r="Q921" s="70" t="b">
        <f>IF(Tab.11[[#This Row],[a1]]=1,_xlfn.NORM.DIST(Tab.11[[#This Row],[b10]],$P$1,$Q$1,FALSE))</f>
        <v>0</v>
      </c>
      <c r="R921" s="67" t="b">
        <f>IF(Tab.11[[#This Row],[a1]]=1,$I$3+$A$989+IF($K$3=0,Tab.11[[#This Row],[b8]]*_xlfn.STDEV.P(Tab.11[data]),AVERAGE(Tab.11[b6])+Tab.11[[#This Row],[b8]]*_xlfn.STDEV.P(Tab.11[data])))</f>
        <v>0</v>
      </c>
      <c r="S921" s="71" t="b">
        <f>IF(Tab.11[[#This Row],[a1]]=1,$I$3+$A$987+IF($K$3=0,Tab.11[[#This Row],[b9]]*_xlfn.STDEV.P(Tab.11[data]),AVERAGE(Tab.11[b6])+Tab.11[[#This Row],[b9]]*_xlfn.STDEV.P(Tab.11[data])))</f>
        <v>0</v>
      </c>
      <c r="T921" s="71" t="b">
        <f>IF(Tab.11[[#This Row],[a1]]=1,$I$3+$A$988+IF($K$3=0,Tab.11[[#This Row],[b10]]*_xlfn.STDEV.P(Tab.11[data]),AVERAGE(Tab.11[b6])+Tab.11[[#This Row],[b10]]*_xlfn.STDEV.P(Tab.11[data])))</f>
        <v>0</v>
      </c>
      <c r="U921" s="72" t="b">
        <f>IF(Tab.11[[#This Row],[a1]]=1,Tab.11[[#This Row],[target]]-Tab.11[[#This Row],[Red]])</f>
        <v>0</v>
      </c>
      <c r="V921" s="72" t="b">
        <f>IF(Tab.11[[#This Row],[a1]]=1,Tab.11[[#This Row],[target]]-Tab.11[[#This Row],[Blue]])</f>
        <v>0</v>
      </c>
      <c r="W921" s="73" t="b">
        <f>IF(Tab.11[[#This Row],[a1]]=1,IF(ABS(Tab.11[[#This Row],[b17]])+ABS(Tab.11[[#This Row],[b18]])&lt;$W$2,$W$2,ABS(Tab.11[[#This Row],[b17]])+ABS(Tab.11[[#This Row],[b18]])))</f>
        <v>0</v>
      </c>
      <c r="X921" s="136" t="b">
        <f>IF(Tab.11[[#This Row],[a1]]=1,IF($W$3&lt;0,Tab.11[[#This Row],[IN]]-$I$3,Tab.11[[#This Row],[IN]]))</f>
        <v>0</v>
      </c>
      <c r="Y921" s="136" t="b">
        <f>IF(Tab.11[[#This Row],[a1]]=1,IF($X$3=0,Tab.11[b66],Tab.11[[#This Row],[b66]]-AVERAGE(Tab.11[b66])))</f>
        <v>0</v>
      </c>
      <c r="Z921" s="135" t="b">
        <f>IF(Tab.11[[#This Row],[a1]]=1,Tab.11[[#This Row],[b77]]/(_xlfn.STDEV.P(Tab.11[b77])))</f>
        <v>0</v>
      </c>
      <c r="AA921" s="70" t="b">
        <f>IF(Tab.11[[#This Row],[a1]]=1,_xlfn.NORM.DIST(Tab.11[[#This Row],[b88]],$Z$1,$AA$1,FALSE))</f>
        <v>0</v>
      </c>
      <c r="AB921" s="74" t="b">
        <f>IF(Tab.11[[#This Row],[a1]]=1,IF($A$3=0,FALSE,1/Tab.11[[#This Row],[IN]]*$AC$2*IF(Tab.11[[#This Row],[a1]]=0,,$A$3*$AC$1*1/$V$3*(Tab.11[[#This Row],[b14]]))))</f>
        <v>0</v>
      </c>
      <c r="AC921" s="75" t="b">
        <f>IF(Tab.11[[#This Row],[a1]]=1,IF($AC$3=0,Tab.11[[#This Row],[φ1]],Tab.11[[#This Row],[φ1]]/MAX(Tab.11[φ1])))</f>
        <v>0</v>
      </c>
      <c r="AD921" s="74" t="b">
        <f>IF(Tab.11[[#This Row],[a1]]=1,1/Tab.11[[#This Row],[φ2]])</f>
        <v>0</v>
      </c>
      <c r="AE921" s="74" t="b">
        <f>IF(Tab.11[[#This Row],[a1]]=1,IF($AE$3=0,Tab.11[[#This Row],[w.0]],Tab.11[[#This Row],[w.0]]/SUM(Tab.11[w.0])))</f>
        <v>0</v>
      </c>
      <c r="AF921" s="76" t="str">
        <f>IF(Tab.11[[#This Row],[a1]]=0,"false",[3]!Tab.x5[[#This Row],[%_seN_C]])</f>
        <v>false</v>
      </c>
      <c r="AG921" s="77" t="b">
        <f>IF(Tab.11[[#This Row],[a1]]=1,AP921)</f>
        <v>0</v>
      </c>
      <c r="AH921" s="78" t="b">
        <f>IF(Tab.11[[#This Row],[a1]]=1,AQ921)</f>
        <v>0</v>
      </c>
      <c r="AI921" s="41">
        <v>3.0000000000000001E-3</v>
      </c>
      <c r="AJ921" s="79">
        <v>0.01</v>
      </c>
      <c r="AK921" s="80" t="b">
        <f>IF(Tab.11[[#This Row],[a1]]=1,1)</f>
        <v>0</v>
      </c>
      <c r="AZ921"/>
    </row>
    <row r="922" spans="1:52" hidden="1" x14ac:dyDescent="0.25">
      <c r="A922" s="61">
        <f t="shared" si="31"/>
        <v>0</v>
      </c>
      <c r="B922" s="62">
        <f t="shared" si="31"/>
        <v>0</v>
      </c>
      <c r="C922" s="62" t="b">
        <f>IF(Tab.11[[#This Row],[a1]]=1,[3]!Tab_x1[[#This Row],[Name]])</f>
        <v>0</v>
      </c>
      <c r="D922" s="63" t="b">
        <f>IF(Tab.11[[#This Row],[a1]]=1,AO922)</f>
        <v>0</v>
      </c>
      <c r="E922" s="63">
        <f t="shared" si="30"/>
        <v>0</v>
      </c>
      <c r="F922" s="64" t="b">
        <f>IF(Tab.11[[#This Row],[a1]]=1,Tab.11[[#This Row],[b1]])</f>
        <v>0</v>
      </c>
      <c r="G922" s="65" t="b">
        <f>IF(Tab.11[[#This Row],[a1]]=1,IF(Tab.11[[#This Row],[b3]]&gt;$L$989*$G$3,$L$989*$G$3,IF(Tab.11[[#This Row],[b3]]&lt;$M$989*$G$3,$M$989*$G$3,Tab.11[[#This Row],[b3]])))</f>
        <v>0</v>
      </c>
      <c r="H922" s="66" t="b">
        <f>IF(Tab.11[[#This Row],[a1]]=1,Tab.11[[#This Row],[b1]])</f>
        <v>0</v>
      </c>
      <c r="I922" s="67" t="b">
        <f>IF(Tab.11[[#This Row],[a1]]=1,Tab.11[[#This Row],[b1]])</f>
        <v>0</v>
      </c>
      <c r="J922" s="68" t="b">
        <f>IF(Tab.11[[#This Row],[a1]]=1,IF($I$3&lt;0,Tab.11[[#This Row],[b5]]-$I$3,Tab.11[[#This Row],[b5]]))</f>
        <v>0</v>
      </c>
      <c r="K922" s="68" t="b">
        <f>IF(Tab.11[[#This Row],[a1]]=1,IF($K$3=0,Tab.11[b6],Tab.11[[#This Row],[b6]]-AVERAGE(Tab.11[b6])))</f>
        <v>0</v>
      </c>
      <c r="L922" s="69" t="b">
        <f>IF(Tab.11[[#This Row],[a1]]=1,Tab.11[[#This Row],[data]]/(_xlfn.STDEV.P(Tab.11[data])*$B$989)+$A$989)</f>
        <v>0</v>
      </c>
      <c r="M922" s="69" t="b">
        <f>IF(Tab.11[[#This Row],[a1]]=1,Tab.11[[#This Row],[data]]/(_xlfn.STDEV.P(Tab.11[data])*$B$987)-$A$987)</f>
        <v>0</v>
      </c>
      <c r="N922" s="69" t="b">
        <f>IF(Tab.11[[#This Row],[a1]]=1,Tab.11[[#This Row],[data]]/(_xlfn.STDEV.P(Tab.11[data])*$B$988)+$A$988)</f>
        <v>0</v>
      </c>
      <c r="O922" s="70" t="b">
        <f>IF(Tab.11[[#This Row],[a1]]=1,_xlfn.NORM.DIST(Tab.11[[#This Row],[b8]],$P$1,$Q$1,FALSE))</f>
        <v>0</v>
      </c>
      <c r="P922" s="70" t="b">
        <f>IF(Tab.11[[#This Row],[a1]]=1,_xlfn.NORM.DIST(Tab.11[[#This Row],[b9]],$P$1,$Q$1,FALSE))</f>
        <v>0</v>
      </c>
      <c r="Q922" s="70" t="b">
        <f>IF(Tab.11[[#This Row],[a1]]=1,_xlfn.NORM.DIST(Tab.11[[#This Row],[b10]],$P$1,$Q$1,FALSE))</f>
        <v>0</v>
      </c>
      <c r="R922" s="67" t="b">
        <f>IF(Tab.11[[#This Row],[a1]]=1,$I$3+$A$989+IF($K$3=0,Tab.11[[#This Row],[b8]]*_xlfn.STDEV.P(Tab.11[data]),AVERAGE(Tab.11[b6])+Tab.11[[#This Row],[b8]]*_xlfn.STDEV.P(Tab.11[data])))</f>
        <v>0</v>
      </c>
      <c r="S922" s="71" t="b">
        <f>IF(Tab.11[[#This Row],[a1]]=1,$I$3+$A$987+IF($K$3=0,Tab.11[[#This Row],[b9]]*_xlfn.STDEV.P(Tab.11[data]),AVERAGE(Tab.11[b6])+Tab.11[[#This Row],[b9]]*_xlfn.STDEV.P(Tab.11[data])))</f>
        <v>0</v>
      </c>
      <c r="T922" s="71" t="b">
        <f>IF(Tab.11[[#This Row],[a1]]=1,$I$3+$A$988+IF($K$3=0,Tab.11[[#This Row],[b10]]*_xlfn.STDEV.P(Tab.11[data]),AVERAGE(Tab.11[b6])+Tab.11[[#This Row],[b10]]*_xlfn.STDEV.P(Tab.11[data])))</f>
        <v>0</v>
      </c>
      <c r="U922" s="72" t="b">
        <f>IF(Tab.11[[#This Row],[a1]]=1,Tab.11[[#This Row],[target]]-Tab.11[[#This Row],[Red]])</f>
        <v>0</v>
      </c>
      <c r="V922" s="72" t="b">
        <f>IF(Tab.11[[#This Row],[a1]]=1,Tab.11[[#This Row],[target]]-Tab.11[[#This Row],[Blue]])</f>
        <v>0</v>
      </c>
      <c r="W922" s="73" t="b">
        <f>IF(Tab.11[[#This Row],[a1]]=1,IF(ABS(Tab.11[[#This Row],[b17]])+ABS(Tab.11[[#This Row],[b18]])&lt;$W$2,$W$2,ABS(Tab.11[[#This Row],[b17]])+ABS(Tab.11[[#This Row],[b18]])))</f>
        <v>0</v>
      </c>
      <c r="X922" s="136" t="b">
        <f>IF(Tab.11[[#This Row],[a1]]=1,IF($W$3&lt;0,Tab.11[[#This Row],[IN]]-$I$3,Tab.11[[#This Row],[IN]]))</f>
        <v>0</v>
      </c>
      <c r="Y922" s="136" t="b">
        <f>IF(Tab.11[[#This Row],[a1]]=1,IF($X$3=0,Tab.11[b66],Tab.11[[#This Row],[b66]]-AVERAGE(Tab.11[b66])))</f>
        <v>0</v>
      </c>
      <c r="Z922" s="135" t="b">
        <f>IF(Tab.11[[#This Row],[a1]]=1,Tab.11[[#This Row],[b77]]/(_xlfn.STDEV.P(Tab.11[b77])))</f>
        <v>0</v>
      </c>
      <c r="AA922" s="70" t="b">
        <f>IF(Tab.11[[#This Row],[a1]]=1,_xlfn.NORM.DIST(Tab.11[[#This Row],[b88]],$Z$1,$AA$1,FALSE))</f>
        <v>0</v>
      </c>
      <c r="AB922" s="74" t="b">
        <f>IF(Tab.11[[#This Row],[a1]]=1,IF($A$3=0,FALSE,1/Tab.11[[#This Row],[IN]]*$AC$2*IF(Tab.11[[#This Row],[a1]]=0,,$A$3*$AC$1*1/$V$3*(Tab.11[[#This Row],[b14]]))))</f>
        <v>0</v>
      </c>
      <c r="AC922" s="75" t="b">
        <f>IF(Tab.11[[#This Row],[a1]]=1,IF($AC$3=0,Tab.11[[#This Row],[φ1]],Tab.11[[#This Row],[φ1]]/MAX(Tab.11[φ1])))</f>
        <v>0</v>
      </c>
      <c r="AD922" s="74" t="b">
        <f>IF(Tab.11[[#This Row],[a1]]=1,1/Tab.11[[#This Row],[φ2]])</f>
        <v>0</v>
      </c>
      <c r="AE922" s="74" t="b">
        <f>IF(Tab.11[[#This Row],[a1]]=1,IF($AE$3=0,Tab.11[[#This Row],[w.0]],Tab.11[[#This Row],[w.0]]/SUM(Tab.11[w.0])))</f>
        <v>0</v>
      </c>
      <c r="AF922" s="76" t="str">
        <f>IF(Tab.11[[#This Row],[a1]]=0,"false",[3]!Tab.x5[[#This Row],[%_seN_C]])</f>
        <v>false</v>
      </c>
      <c r="AG922" s="77" t="b">
        <f>IF(Tab.11[[#This Row],[a1]]=1,AP922)</f>
        <v>0</v>
      </c>
      <c r="AH922" s="78" t="b">
        <f>IF(Tab.11[[#This Row],[a1]]=1,AQ922)</f>
        <v>0</v>
      </c>
      <c r="AI922" s="41">
        <v>3.0000000000000001E-3</v>
      </c>
      <c r="AJ922" s="79">
        <v>-0.04</v>
      </c>
      <c r="AK922" s="80" t="b">
        <f>IF(Tab.11[[#This Row],[a1]]=1,1)</f>
        <v>0</v>
      </c>
      <c r="AZ922"/>
    </row>
    <row r="923" spans="1:52" hidden="1" x14ac:dyDescent="0.25">
      <c r="A923" s="61">
        <f t="shared" si="31"/>
        <v>0</v>
      </c>
      <c r="B923" s="62">
        <f t="shared" si="31"/>
        <v>0</v>
      </c>
      <c r="C923" s="62" t="b">
        <f>IF(Tab.11[[#This Row],[a1]]=1,[3]!Tab_x1[[#This Row],[Name]])</f>
        <v>0</v>
      </c>
      <c r="D923" s="63" t="b">
        <f>IF(Tab.11[[#This Row],[a1]]=1,AO923)</f>
        <v>0</v>
      </c>
      <c r="E923" s="63">
        <f t="shared" si="30"/>
        <v>0</v>
      </c>
      <c r="F923" s="64" t="b">
        <f>IF(Tab.11[[#This Row],[a1]]=1,Tab.11[[#This Row],[b1]])</f>
        <v>0</v>
      </c>
      <c r="G923" s="65" t="b">
        <f>IF(Tab.11[[#This Row],[a1]]=1,IF(Tab.11[[#This Row],[b3]]&gt;$L$989*$G$3,$L$989*$G$3,IF(Tab.11[[#This Row],[b3]]&lt;$M$989*$G$3,$M$989*$G$3,Tab.11[[#This Row],[b3]])))</f>
        <v>0</v>
      </c>
      <c r="H923" s="66" t="b">
        <f>IF(Tab.11[[#This Row],[a1]]=1,Tab.11[[#This Row],[b1]])</f>
        <v>0</v>
      </c>
      <c r="I923" s="67" t="b">
        <f>IF(Tab.11[[#This Row],[a1]]=1,Tab.11[[#This Row],[b1]])</f>
        <v>0</v>
      </c>
      <c r="J923" s="68" t="b">
        <f>IF(Tab.11[[#This Row],[a1]]=1,IF($I$3&lt;0,Tab.11[[#This Row],[b5]]-$I$3,Tab.11[[#This Row],[b5]]))</f>
        <v>0</v>
      </c>
      <c r="K923" s="68" t="b">
        <f>IF(Tab.11[[#This Row],[a1]]=1,IF($K$3=0,Tab.11[b6],Tab.11[[#This Row],[b6]]-AVERAGE(Tab.11[b6])))</f>
        <v>0</v>
      </c>
      <c r="L923" s="69" t="b">
        <f>IF(Tab.11[[#This Row],[a1]]=1,Tab.11[[#This Row],[data]]/(_xlfn.STDEV.P(Tab.11[data])*$B$989)+$A$989)</f>
        <v>0</v>
      </c>
      <c r="M923" s="69" t="b">
        <f>IF(Tab.11[[#This Row],[a1]]=1,Tab.11[[#This Row],[data]]/(_xlfn.STDEV.P(Tab.11[data])*$B$987)-$A$987)</f>
        <v>0</v>
      </c>
      <c r="N923" s="69" t="b">
        <f>IF(Tab.11[[#This Row],[a1]]=1,Tab.11[[#This Row],[data]]/(_xlfn.STDEV.P(Tab.11[data])*$B$988)+$A$988)</f>
        <v>0</v>
      </c>
      <c r="O923" s="70" t="b">
        <f>IF(Tab.11[[#This Row],[a1]]=1,_xlfn.NORM.DIST(Tab.11[[#This Row],[b8]],$P$1,$Q$1,FALSE))</f>
        <v>0</v>
      </c>
      <c r="P923" s="70" t="b">
        <f>IF(Tab.11[[#This Row],[a1]]=1,_xlfn.NORM.DIST(Tab.11[[#This Row],[b9]],$P$1,$Q$1,FALSE))</f>
        <v>0</v>
      </c>
      <c r="Q923" s="70" t="b">
        <f>IF(Tab.11[[#This Row],[a1]]=1,_xlfn.NORM.DIST(Tab.11[[#This Row],[b10]],$P$1,$Q$1,FALSE))</f>
        <v>0</v>
      </c>
      <c r="R923" s="67" t="b">
        <f>IF(Tab.11[[#This Row],[a1]]=1,$I$3+$A$989+IF($K$3=0,Tab.11[[#This Row],[b8]]*_xlfn.STDEV.P(Tab.11[data]),AVERAGE(Tab.11[b6])+Tab.11[[#This Row],[b8]]*_xlfn.STDEV.P(Tab.11[data])))</f>
        <v>0</v>
      </c>
      <c r="S923" s="71" t="b">
        <f>IF(Tab.11[[#This Row],[a1]]=1,$I$3+$A$987+IF($K$3=0,Tab.11[[#This Row],[b9]]*_xlfn.STDEV.P(Tab.11[data]),AVERAGE(Tab.11[b6])+Tab.11[[#This Row],[b9]]*_xlfn.STDEV.P(Tab.11[data])))</f>
        <v>0</v>
      </c>
      <c r="T923" s="71" t="b">
        <f>IF(Tab.11[[#This Row],[a1]]=1,$I$3+$A$988+IF($K$3=0,Tab.11[[#This Row],[b10]]*_xlfn.STDEV.P(Tab.11[data]),AVERAGE(Tab.11[b6])+Tab.11[[#This Row],[b10]]*_xlfn.STDEV.P(Tab.11[data])))</f>
        <v>0</v>
      </c>
      <c r="U923" s="72" t="b">
        <f>IF(Tab.11[[#This Row],[a1]]=1,Tab.11[[#This Row],[target]]-Tab.11[[#This Row],[Red]])</f>
        <v>0</v>
      </c>
      <c r="V923" s="72" t="b">
        <f>IF(Tab.11[[#This Row],[a1]]=1,Tab.11[[#This Row],[target]]-Tab.11[[#This Row],[Blue]])</f>
        <v>0</v>
      </c>
      <c r="W923" s="73" t="b">
        <f>IF(Tab.11[[#This Row],[a1]]=1,IF(ABS(Tab.11[[#This Row],[b17]])+ABS(Tab.11[[#This Row],[b18]])&lt;$W$2,$W$2,ABS(Tab.11[[#This Row],[b17]])+ABS(Tab.11[[#This Row],[b18]])))</f>
        <v>0</v>
      </c>
      <c r="X923" s="136" t="b">
        <f>IF(Tab.11[[#This Row],[a1]]=1,IF($W$3&lt;0,Tab.11[[#This Row],[IN]]-$I$3,Tab.11[[#This Row],[IN]]))</f>
        <v>0</v>
      </c>
      <c r="Y923" s="136" t="b">
        <f>IF(Tab.11[[#This Row],[a1]]=1,IF($X$3=0,Tab.11[b66],Tab.11[[#This Row],[b66]]-AVERAGE(Tab.11[b66])))</f>
        <v>0</v>
      </c>
      <c r="Z923" s="135" t="b">
        <f>IF(Tab.11[[#This Row],[a1]]=1,Tab.11[[#This Row],[b77]]/(_xlfn.STDEV.P(Tab.11[b77])))</f>
        <v>0</v>
      </c>
      <c r="AA923" s="70" t="b">
        <f>IF(Tab.11[[#This Row],[a1]]=1,_xlfn.NORM.DIST(Tab.11[[#This Row],[b88]],$Z$1,$AA$1,FALSE))</f>
        <v>0</v>
      </c>
      <c r="AB923" s="74" t="b">
        <f>IF(Tab.11[[#This Row],[a1]]=1,IF($A$3=0,FALSE,1/Tab.11[[#This Row],[IN]]*$AC$2*IF(Tab.11[[#This Row],[a1]]=0,,$A$3*$AC$1*1/$V$3*(Tab.11[[#This Row],[b14]]))))</f>
        <v>0</v>
      </c>
      <c r="AC923" s="75" t="b">
        <f>IF(Tab.11[[#This Row],[a1]]=1,IF($AC$3=0,Tab.11[[#This Row],[φ1]],Tab.11[[#This Row],[φ1]]/MAX(Tab.11[φ1])))</f>
        <v>0</v>
      </c>
      <c r="AD923" s="74" t="b">
        <f>IF(Tab.11[[#This Row],[a1]]=1,1/Tab.11[[#This Row],[φ2]])</f>
        <v>0</v>
      </c>
      <c r="AE923" s="74" t="b">
        <f>IF(Tab.11[[#This Row],[a1]]=1,IF($AE$3=0,Tab.11[[#This Row],[w.0]],Tab.11[[#This Row],[w.0]]/SUM(Tab.11[w.0])))</f>
        <v>0</v>
      </c>
      <c r="AF923" s="76" t="str">
        <f>IF(Tab.11[[#This Row],[a1]]=0,"false",[3]!Tab.x5[[#This Row],[%_seN_C]])</f>
        <v>false</v>
      </c>
      <c r="AG923" s="77" t="b">
        <f>IF(Tab.11[[#This Row],[a1]]=1,AP923)</f>
        <v>0</v>
      </c>
      <c r="AH923" s="78" t="b">
        <f>IF(Tab.11[[#This Row],[a1]]=1,AQ923)</f>
        <v>0</v>
      </c>
      <c r="AI923" s="41">
        <v>3.0000000000000001E-3</v>
      </c>
      <c r="AJ923" s="79">
        <v>-0.05</v>
      </c>
      <c r="AK923" s="80" t="b">
        <f>IF(Tab.11[[#This Row],[a1]]=1,1)</f>
        <v>0</v>
      </c>
      <c r="AZ923"/>
    </row>
    <row r="924" spans="1:52" hidden="1" x14ac:dyDescent="0.25">
      <c r="A924" s="61">
        <f t="shared" si="31"/>
        <v>0</v>
      </c>
      <c r="B924" s="62">
        <f t="shared" si="31"/>
        <v>0</v>
      </c>
      <c r="C924" s="62" t="b">
        <f>IF(Tab.11[[#This Row],[a1]]=1,[3]!Tab_x1[[#This Row],[Name]])</f>
        <v>0</v>
      </c>
      <c r="D924" s="63" t="b">
        <f>IF(Tab.11[[#This Row],[a1]]=1,AO924)</f>
        <v>0</v>
      </c>
      <c r="E924" s="63">
        <f t="shared" si="30"/>
        <v>0</v>
      </c>
      <c r="F924" s="64" t="b">
        <f>IF(Tab.11[[#This Row],[a1]]=1,Tab.11[[#This Row],[b1]])</f>
        <v>0</v>
      </c>
      <c r="G924" s="65" t="b">
        <f>IF(Tab.11[[#This Row],[a1]]=1,IF(Tab.11[[#This Row],[b3]]&gt;$L$989*$G$3,$L$989*$G$3,IF(Tab.11[[#This Row],[b3]]&lt;$M$989*$G$3,$M$989*$G$3,Tab.11[[#This Row],[b3]])))</f>
        <v>0</v>
      </c>
      <c r="H924" s="66" t="b">
        <f>IF(Tab.11[[#This Row],[a1]]=1,Tab.11[[#This Row],[b1]])</f>
        <v>0</v>
      </c>
      <c r="I924" s="67" t="b">
        <f>IF(Tab.11[[#This Row],[a1]]=1,Tab.11[[#This Row],[b1]])</f>
        <v>0</v>
      </c>
      <c r="J924" s="68" t="b">
        <f>IF(Tab.11[[#This Row],[a1]]=1,IF($I$3&lt;0,Tab.11[[#This Row],[b5]]-$I$3,Tab.11[[#This Row],[b5]]))</f>
        <v>0</v>
      </c>
      <c r="K924" s="68" t="b">
        <f>IF(Tab.11[[#This Row],[a1]]=1,IF($K$3=0,Tab.11[b6],Tab.11[[#This Row],[b6]]-AVERAGE(Tab.11[b6])))</f>
        <v>0</v>
      </c>
      <c r="L924" s="69" t="b">
        <f>IF(Tab.11[[#This Row],[a1]]=1,Tab.11[[#This Row],[data]]/(_xlfn.STDEV.P(Tab.11[data])*$B$989)+$A$989)</f>
        <v>0</v>
      </c>
      <c r="M924" s="69" t="b">
        <f>IF(Tab.11[[#This Row],[a1]]=1,Tab.11[[#This Row],[data]]/(_xlfn.STDEV.P(Tab.11[data])*$B$987)-$A$987)</f>
        <v>0</v>
      </c>
      <c r="N924" s="69" t="b">
        <f>IF(Tab.11[[#This Row],[a1]]=1,Tab.11[[#This Row],[data]]/(_xlfn.STDEV.P(Tab.11[data])*$B$988)+$A$988)</f>
        <v>0</v>
      </c>
      <c r="O924" s="70" t="b">
        <f>IF(Tab.11[[#This Row],[a1]]=1,_xlfn.NORM.DIST(Tab.11[[#This Row],[b8]],$P$1,$Q$1,FALSE))</f>
        <v>0</v>
      </c>
      <c r="P924" s="70" t="b">
        <f>IF(Tab.11[[#This Row],[a1]]=1,_xlfn.NORM.DIST(Tab.11[[#This Row],[b9]],$P$1,$Q$1,FALSE))</f>
        <v>0</v>
      </c>
      <c r="Q924" s="70" t="b">
        <f>IF(Tab.11[[#This Row],[a1]]=1,_xlfn.NORM.DIST(Tab.11[[#This Row],[b10]],$P$1,$Q$1,FALSE))</f>
        <v>0</v>
      </c>
      <c r="R924" s="67" t="b">
        <f>IF(Tab.11[[#This Row],[a1]]=1,$I$3+$A$989+IF($K$3=0,Tab.11[[#This Row],[b8]]*_xlfn.STDEV.P(Tab.11[data]),AVERAGE(Tab.11[b6])+Tab.11[[#This Row],[b8]]*_xlfn.STDEV.P(Tab.11[data])))</f>
        <v>0</v>
      </c>
      <c r="S924" s="71" t="b">
        <f>IF(Tab.11[[#This Row],[a1]]=1,$I$3+$A$987+IF($K$3=0,Tab.11[[#This Row],[b9]]*_xlfn.STDEV.P(Tab.11[data]),AVERAGE(Tab.11[b6])+Tab.11[[#This Row],[b9]]*_xlfn.STDEV.P(Tab.11[data])))</f>
        <v>0</v>
      </c>
      <c r="T924" s="71" t="b">
        <f>IF(Tab.11[[#This Row],[a1]]=1,$I$3+$A$988+IF($K$3=0,Tab.11[[#This Row],[b10]]*_xlfn.STDEV.P(Tab.11[data]),AVERAGE(Tab.11[b6])+Tab.11[[#This Row],[b10]]*_xlfn.STDEV.P(Tab.11[data])))</f>
        <v>0</v>
      </c>
      <c r="U924" s="72" t="b">
        <f>IF(Tab.11[[#This Row],[a1]]=1,Tab.11[[#This Row],[target]]-Tab.11[[#This Row],[Red]])</f>
        <v>0</v>
      </c>
      <c r="V924" s="72" t="b">
        <f>IF(Tab.11[[#This Row],[a1]]=1,Tab.11[[#This Row],[target]]-Tab.11[[#This Row],[Blue]])</f>
        <v>0</v>
      </c>
      <c r="W924" s="73" t="b">
        <f>IF(Tab.11[[#This Row],[a1]]=1,IF(ABS(Tab.11[[#This Row],[b17]])+ABS(Tab.11[[#This Row],[b18]])&lt;$W$2,$W$2,ABS(Tab.11[[#This Row],[b17]])+ABS(Tab.11[[#This Row],[b18]])))</f>
        <v>0</v>
      </c>
      <c r="X924" s="136" t="b">
        <f>IF(Tab.11[[#This Row],[a1]]=1,IF($W$3&lt;0,Tab.11[[#This Row],[IN]]-$I$3,Tab.11[[#This Row],[IN]]))</f>
        <v>0</v>
      </c>
      <c r="Y924" s="136" t="b">
        <f>IF(Tab.11[[#This Row],[a1]]=1,IF($X$3=0,Tab.11[b66],Tab.11[[#This Row],[b66]]-AVERAGE(Tab.11[b66])))</f>
        <v>0</v>
      </c>
      <c r="Z924" s="135" t="b">
        <f>IF(Tab.11[[#This Row],[a1]]=1,Tab.11[[#This Row],[b77]]/(_xlfn.STDEV.P(Tab.11[b77])))</f>
        <v>0</v>
      </c>
      <c r="AA924" s="70" t="b">
        <f>IF(Tab.11[[#This Row],[a1]]=1,_xlfn.NORM.DIST(Tab.11[[#This Row],[b88]],$Z$1,$AA$1,FALSE))</f>
        <v>0</v>
      </c>
      <c r="AB924" s="74" t="b">
        <f>IF(Tab.11[[#This Row],[a1]]=1,IF($A$3=0,FALSE,1/Tab.11[[#This Row],[IN]]*$AC$2*IF(Tab.11[[#This Row],[a1]]=0,,$A$3*$AC$1*1/$V$3*(Tab.11[[#This Row],[b14]]))))</f>
        <v>0</v>
      </c>
      <c r="AC924" s="75" t="b">
        <f>IF(Tab.11[[#This Row],[a1]]=1,IF($AC$3=0,Tab.11[[#This Row],[φ1]],Tab.11[[#This Row],[φ1]]/MAX(Tab.11[φ1])))</f>
        <v>0</v>
      </c>
      <c r="AD924" s="74" t="b">
        <f>IF(Tab.11[[#This Row],[a1]]=1,1/Tab.11[[#This Row],[φ2]])</f>
        <v>0</v>
      </c>
      <c r="AE924" s="74" t="b">
        <f>IF(Tab.11[[#This Row],[a1]]=1,IF($AE$3=0,Tab.11[[#This Row],[w.0]],Tab.11[[#This Row],[w.0]]/SUM(Tab.11[w.0])))</f>
        <v>0</v>
      </c>
      <c r="AF924" s="76" t="str">
        <f>IF(Tab.11[[#This Row],[a1]]=0,"false",[3]!Tab.x5[[#This Row],[%_seN_C]])</f>
        <v>false</v>
      </c>
      <c r="AG924" s="77" t="b">
        <f>IF(Tab.11[[#This Row],[a1]]=1,AP924)</f>
        <v>0</v>
      </c>
      <c r="AH924" s="78" t="b">
        <f>IF(Tab.11[[#This Row],[a1]]=1,AQ924)</f>
        <v>0</v>
      </c>
      <c r="AI924" s="41">
        <v>3.0000000000000001E-3</v>
      </c>
      <c r="AJ924" s="79">
        <v>-0.05</v>
      </c>
      <c r="AK924" s="80" t="b">
        <f>IF(Tab.11[[#This Row],[a1]]=1,1)</f>
        <v>0</v>
      </c>
      <c r="AZ924"/>
    </row>
    <row r="925" spans="1:52" hidden="1" x14ac:dyDescent="0.25">
      <c r="A925" s="61">
        <f t="shared" si="31"/>
        <v>0</v>
      </c>
      <c r="B925" s="62">
        <f t="shared" si="31"/>
        <v>0</v>
      </c>
      <c r="C925" s="62" t="b">
        <f>IF(Tab.11[[#This Row],[a1]]=1,[3]!Tab_x1[[#This Row],[Name]])</f>
        <v>0</v>
      </c>
      <c r="D925" s="63" t="b">
        <f>IF(Tab.11[[#This Row],[a1]]=1,AO925)</f>
        <v>0</v>
      </c>
      <c r="E925" s="63">
        <f t="shared" si="30"/>
        <v>0</v>
      </c>
      <c r="F925" s="64" t="b">
        <f>IF(Tab.11[[#This Row],[a1]]=1,Tab.11[[#This Row],[b1]])</f>
        <v>0</v>
      </c>
      <c r="G925" s="65" t="b">
        <f>IF(Tab.11[[#This Row],[a1]]=1,IF(Tab.11[[#This Row],[b3]]&gt;$L$989*$G$3,$L$989*$G$3,IF(Tab.11[[#This Row],[b3]]&lt;$M$989*$G$3,$M$989*$G$3,Tab.11[[#This Row],[b3]])))</f>
        <v>0</v>
      </c>
      <c r="H925" s="66" t="b">
        <f>IF(Tab.11[[#This Row],[a1]]=1,Tab.11[[#This Row],[b1]])</f>
        <v>0</v>
      </c>
      <c r="I925" s="67" t="b">
        <f>IF(Tab.11[[#This Row],[a1]]=1,Tab.11[[#This Row],[b1]])</f>
        <v>0</v>
      </c>
      <c r="J925" s="68" t="b">
        <f>IF(Tab.11[[#This Row],[a1]]=1,IF($I$3&lt;0,Tab.11[[#This Row],[b5]]-$I$3,Tab.11[[#This Row],[b5]]))</f>
        <v>0</v>
      </c>
      <c r="K925" s="68" t="b">
        <f>IF(Tab.11[[#This Row],[a1]]=1,IF($K$3=0,Tab.11[b6],Tab.11[[#This Row],[b6]]-AVERAGE(Tab.11[b6])))</f>
        <v>0</v>
      </c>
      <c r="L925" s="69" t="b">
        <f>IF(Tab.11[[#This Row],[a1]]=1,Tab.11[[#This Row],[data]]/(_xlfn.STDEV.P(Tab.11[data])*$B$989)+$A$989)</f>
        <v>0</v>
      </c>
      <c r="M925" s="69" t="b">
        <f>IF(Tab.11[[#This Row],[a1]]=1,Tab.11[[#This Row],[data]]/(_xlfn.STDEV.P(Tab.11[data])*$B$987)-$A$987)</f>
        <v>0</v>
      </c>
      <c r="N925" s="69" t="b">
        <f>IF(Tab.11[[#This Row],[a1]]=1,Tab.11[[#This Row],[data]]/(_xlfn.STDEV.P(Tab.11[data])*$B$988)+$A$988)</f>
        <v>0</v>
      </c>
      <c r="O925" s="70" t="b">
        <f>IF(Tab.11[[#This Row],[a1]]=1,_xlfn.NORM.DIST(Tab.11[[#This Row],[b8]],$P$1,$Q$1,FALSE))</f>
        <v>0</v>
      </c>
      <c r="P925" s="70" t="b">
        <f>IF(Tab.11[[#This Row],[a1]]=1,_xlfn.NORM.DIST(Tab.11[[#This Row],[b9]],$P$1,$Q$1,FALSE))</f>
        <v>0</v>
      </c>
      <c r="Q925" s="70" t="b">
        <f>IF(Tab.11[[#This Row],[a1]]=1,_xlfn.NORM.DIST(Tab.11[[#This Row],[b10]],$P$1,$Q$1,FALSE))</f>
        <v>0</v>
      </c>
      <c r="R925" s="67" t="b">
        <f>IF(Tab.11[[#This Row],[a1]]=1,$I$3+$A$989+IF($K$3=0,Tab.11[[#This Row],[b8]]*_xlfn.STDEV.P(Tab.11[data]),AVERAGE(Tab.11[b6])+Tab.11[[#This Row],[b8]]*_xlfn.STDEV.P(Tab.11[data])))</f>
        <v>0</v>
      </c>
      <c r="S925" s="71" t="b">
        <f>IF(Tab.11[[#This Row],[a1]]=1,$I$3+$A$987+IF($K$3=0,Tab.11[[#This Row],[b9]]*_xlfn.STDEV.P(Tab.11[data]),AVERAGE(Tab.11[b6])+Tab.11[[#This Row],[b9]]*_xlfn.STDEV.P(Tab.11[data])))</f>
        <v>0</v>
      </c>
      <c r="T925" s="71" t="b">
        <f>IF(Tab.11[[#This Row],[a1]]=1,$I$3+$A$988+IF($K$3=0,Tab.11[[#This Row],[b10]]*_xlfn.STDEV.P(Tab.11[data]),AVERAGE(Tab.11[b6])+Tab.11[[#This Row],[b10]]*_xlfn.STDEV.P(Tab.11[data])))</f>
        <v>0</v>
      </c>
      <c r="U925" s="72" t="b">
        <f>IF(Tab.11[[#This Row],[a1]]=1,Tab.11[[#This Row],[target]]-Tab.11[[#This Row],[Red]])</f>
        <v>0</v>
      </c>
      <c r="V925" s="72" t="b">
        <f>IF(Tab.11[[#This Row],[a1]]=1,Tab.11[[#This Row],[target]]-Tab.11[[#This Row],[Blue]])</f>
        <v>0</v>
      </c>
      <c r="W925" s="73" t="b">
        <f>IF(Tab.11[[#This Row],[a1]]=1,IF(ABS(Tab.11[[#This Row],[b17]])+ABS(Tab.11[[#This Row],[b18]])&lt;$W$2,$W$2,ABS(Tab.11[[#This Row],[b17]])+ABS(Tab.11[[#This Row],[b18]])))</f>
        <v>0</v>
      </c>
      <c r="X925" s="136" t="b">
        <f>IF(Tab.11[[#This Row],[a1]]=1,IF($W$3&lt;0,Tab.11[[#This Row],[IN]]-$I$3,Tab.11[[#This Row],[IN]]))</f>
        <v>0</v>
      </c>
      <c r="Y925" s="136" t="b">
        <f>IF(Tab.11[[#This Row],[a1]]=1,IF($X$3=0,Tab.11[b66],Tab.11[[#This Row],[b66]]-AVERAGE(Tab.11[b66])))</f>
        <v>0</v>
      </c>
      <c r="Z925" s="135" t="b">
        <f>IF(Tab.11[[#This Row],[a1]]=1,Tab.11[[#This Row],[b77]]/(_xlfn.STDEV.P(Tab.11[b77])))</f>
        <v>0</v>
      </c>
      <c r="AA925" s="70" t="b">
        <f>IF(Tab.11[[#This Row],[a1]]=1,_xlfn.NORM.DIST(Tab.11[[#This Row],[b88]],$Z$1,$AA$1,FALSE))</f>
        <v>0</v>
      </c>
      <c r="AB925" s="74" t="b">
        <f>IF(Tab.11[[#This Row],[a1]]=1,IF($A$3=0,FALSE,1/Tab.11[[#This Row],[IN]]*$AC$2*IF(Tab.11[[#This Row],[a1]]=0,,$A$3*$AC$1*1/$V$3*(Tab.11[[#This Row],[b14]]))))</f>
        <v>0</v>
      </c>
      <c r="AC925" s="75" t="b">
        <f>IF(Tab.11[[#This Row],[a1]]=1,IF($AC$3=0,Tab.11[[#This Row],[φ1]],Tab.11[[#This Row],[φ1]]/MAX(Tab.11[φ1])))</f>
        <v>0</v>
      </c>
      <c r="AD925" s="74" t="b">
        <f>IF(Tab.11[[#This Row],[a1]]=1,1/Tab.11[[#This Row],[φ2]])</f>
        <v>0</v>
      </c>
      <c r="AE925" s="74" t="b">
        <f>IF(Tab.11[[#This Row],[a1]]=1,IF($AE$3=0,Tab.11[[#This Row],[w.0]],Tab.11[[#This Row],[w.0]]/SUM(Tab.11[w.0])))</f>
        <v>0</v>
      </c>
      <c r="AF925" s="76" t="str">
        <f>IF(Tab.11[[#This Row],[a1]]=0,"false",[3]!Tab.x5[[#This Row],[%_seN_C]])</f>
        <v>false</v>
      </c>
      <c r="AG925" s="77" t="b">
        <f>IF(Tab.11[[#This Row],[a1]]=1,AP925)</f>
        <v>0</v>
      </c>
      <c r="AH925" s="78" t="b">
        <f>IF(Tab.11[[#This Row],[a1]]=1,AQ925)</f>
        <v>0</v>
      </c>
      <c r="AI925" s="41">
        <v>3.0000000000000001E-3</v>
      </c>
      <c r="AJ925" s="79">
        <v>0</v>
      </c>
      <c r="AK925" s="80" t="b">
        <f>IF(Tab.11[[#This Row],[a1]]=1,1)</f>
        <v>0</v>
      </c>
      <c r="AZ925"/>
    </row>
    <row r="926" spans="1:52" hidden="1" x14ac:dyDescent="0.25">
      <c r="A926" s="61">
        <f t="shared" si="31"/>
        <v>0</v>
      </c>
      <c r="B926" s="62">
        <f t="shared" si="31"/>
        <v>0</v>
      </c>
      <c r="C926" s="62" t="b">
        <f>IF(Tab.11[[#This Row],[a1]]=1,[3]!Tab_x1[[#This Row],[Name]])</f>
        <v>0</v>
      </c>
      <c r="D926" s="63" t="b">
        <f>IF(Tab.11[[#This Row],[a1]]=1,AO926)</f>
        <v>0</v>
      </c>
      <c r="E926" s="63">
        <f t="shared" si="30"/>
        <v>0</v>
      </c>
      <c r="F926" s="64" t="b">
        <f>IF(Tab.11[[#This Row],[a1]]=1,Tab.11[[#This Row],[b1]])</f>
        <v>0</v>
      </c>
      <c r="G926" s="65" t="b">
        <f>IF(Tab.11[[#This Row],[a1]]=1,IF(Tab.11[[#This Row],[b3]]&gt;$L$989*$G$3,$L$989*$G$3,IF(Tab.11[[#This Row],[b3]]&lt;$M$989*$G$3,$M$989*$G$3,Tab.11[[#This Row],[b3]])))</f>
        <v>0</v>
      </c>
      <c r="H926" s="66" t="b">
        <f>IF(Tab.11[[#This Row],[a1]]=1,Tab.11[[#This Row],[b1]])</f>
        <v>0</v>
      </c>
      <c r="I926" s="67" t="b">
        <f>IF(Tab.11[[#This Row],[a1]]=1,Tab.11[[#This Row],[b1]])</f>
        <v>0</v>
      </c>
      <c r="J926" s="68" t="b">
        <f>IF(Tab.11[[#This Row],[a1]]=1,IF($I$3&lt;0,Tab.11[[#This Row],[b5]]-$I$3,Tab.11[[#This Row],[b5]]))</f>
        <v>0</v>
      </c>
      <c r="K926" s="68" t="b">
        <f>IF(Tab.11[[#This Row],[a1]]=1,IF($K$3=0,Tab.11[b6],Tab.11[[#This Row],[b6]]-AVERAGE(Tab.11[b6])))</f>
        <v>0</v>
      </c>
      <c r="L926" s="69" t="b">
        <f>IF(Tab.11[[#This Row],[a1]]=1,Tab.11[[#This Row],[data]]/(_xlfn.STDEV.P(Tab.11[data])*$B$989)+$A$989)</f>
        <v>0</v>
      </c>
      <c r="M926" s="69" t="b">
        <f>IF(Tab.11[[#This Row],[a1]]=1,Tab.11[[#This Row],[data]]/(_xlfn.STDEV.P(Tab.11[data])*$B$987)-$A$987)</f>
        <v>0</v>
      </c>
      <c r="N926" s="69" t="b">
        <f>IF(Tab.11[[#This Row],[a1]]=1,Tab.11[[#This Row],[data]]/(_xlfn.STDEV.P(Tab.11[data])*$B$988)+$A$988)</f>
        <v>0</v>
      </c>
      <c r="O926" s="70" t="b">
        <f>IF(Tab.11[[#This Row],[a1]]=1,_xlfn.NORM.DIST(Tab.11[[#This Row],[b8]],$P$1,$Q$1,FALSE))</f>
        <v>0</v>
      </c>
      <c r="P926" s="70" t="b">
        <f>IF(Tab.11[[#This Row],[a1]]=1,_xlfn.NORM.DIST(Tab.11[[#This Row],[b9]],$P$1,$Q$1,FALSE))</f>
        <v>0</v>
      </c>
      <c r="Q926" s="70" t="b">
        <f>IF(Tab.11[[#This Row],[a1]]=1,_xlfn.NORM.DIST(Tab.11[[#This Row],[b10]],$P$1,$Q$1,FALSE))</f>
        <v>0</v>
      </c>
      <c r="R926" s="67" t="b">
        <f>IF(Tab.11[[#This Row],[a1]]=1,$I$3+$A$989+IF($K$3=0,Tab.11[[#This Row],[b8]]*_xlfn.STDEV.P(Tab.11[data]),AVERAGE(Tab.11[b6])+Tab.11[[#This Row],[b8]]*_xlfn.STDEV.P(Tab.11[data])))</f>
        <v>0</v>
      </c>
      <c r="S926" s="71" t="b">
        <f>IF(Tab.11[[#This Row],[a1]]=1,$I$3+$A$987+IF($K$3=0,Tab.11[[#This Row],[b9]]*_xlfn.STDEV.P(Tab.11[data]),AVERAGE(Tab.11[b6])+Tab.11[[#This Row],[b9]]*_xlfn.STDEV.P(Tab.11[data])))</f>
        <v>0</v>
      </c>
      <c r="T926" s="71" t="b">
        <f>IF(Tab.11[[#This Row],[a1]]=1,$I$3+$A$988+IF($K$3=0,Tab.11[[#This Row],[b10]]*_xlfn.STDEV.P(Tab.11[data]),AVERAGE(Tab.11[b6])+Tab.11[[#This Row],[b10]]*_xlfn.STDEV.P(Tab.11[data])))</f>
        <v>0</v>
      </c>
      <c r="U926" s="72" t="b">
        <f>IF(Tab.11[[#This Row],[a1]]=1,Tab.11[[#This Row],[target]]-Tab.11[[#This Row],[Red]])</f>
        <v>0</v>
      </c>
      <c r="V926" s="72" t="b">
        <f>IF(Tab.11[[#This Row],[a1]]=1,Tab.11[[#This Row],[target]]-Tab.11[[#This Row],[Blue]])</f>
        <v>0</v>
      </c>
      <c r="W926" s="73" t="b">
        <f>IF(Tab.11[[#This Row],[a1]]=1,IF(ABS(Tab.11[[#This Row],[b17]])+ABS(Tab.11[[#This Row],[b18]])&lt;$W$2,$W$2,ABS(Tab.11[[#This Row],[b17]])+ABS(Tab.11[[#This Row],[b18]])))</f>
        <v>0</v>
      </c>
      <c r="X926" s="136" t="b">
        <f>IF(Tab.11[[#This Row],[a1]]=1,IF($W$3&lt;0,Tab.11[[#This Row],[IN]]-$I$3,Tab.11[[#This Row],[IN]]))</f>
        <v>0</v>
      </c>
      <c r="Y926" s="136" t="b">
        <f>IF(Tab.11[[#This Row],[a1]]=1,IF($X$3=0,Tab.11[b66],Tab.11[[#This Row],[b66]]-AVERAGE(Tab.11[b66])))</f>
        <v>0</v>
      </c>
      <c r="Z926" s="135" t="b">
        <f>IF(Tab.11[[#This Row],[a1]]=1,Tab.11[[#This Row],[b77]]/(_xlfn.STDEV.P(Tab.11[b77])))</f>
        <v>0</v>
      </c>
      <c r="AA926" s="70" t="b">
        <f>IF(Tab.11[[#This Row],[a1]]=1,_xlfn.NORM.DIST(Tab.11[[#This Row],[b88]],$Z$1,$AA$1,FALSE))</f>
        <v>0</v>
      </c>
      <c r="AB926" s="74" t="b">
        <f>IF(Tab.11[[#This Row],[a1]]=1,IF($A$3=0,FALSE,1/Tab.11[[#This Row],[IN]]*$AC$2*IF(Tab.11[[#This Row],[a1]]=0,,$A$3*$AC$1*1/$V$3*(Tab.11[[#This Row],[b14]]))))</f>
        <v>0</v>
      </c>
      <c r="AC926" s="75" t="b">
        <f>IF(Tab.11[[#This Row],[a1]]=1,IF($AC$3=0,Tab.11[[#This Row],[φ1]],Tab.11[[#This Row],[φ1]]/MAX(Tab.11[φ1])))</f>
        <v>0</v>
      </c>
      <c r="AD926" s="74" t="b">
        <f>IF(Tab.11[[#This Row],[a1]]=1,1/Tab.11[[#This Row],[φ2]])</f>
        <v>0</v>
      </c>
      <c r="AE926" s="74" t="b">
        <f>IF(Tab.11[[#This Row],[a1]]=1,IF($AE$3=0,Tab.11[[#This Row],[w.0]],Tab.11[[#This Row],[w.0]]/SUM(Tab.11[w.0])))</f>
        <v>0</v>
      </c>
      <c r="AF926" s="76" t="str">
        <f>IF(Tab.11[[#This Row],[a1]]=0,"false",[3]!Tab.x5[[#This Row],[%_seN_C]])</f>
        <v>false</v>
      </c>
      <c r="AG926" s="77" t="b">
        <f>IF(Tab.11[[#This Row],[a1]]=1,AP926)</f>
        <v>0</v>
      </c>
      <c r="AH926" s="78" t="b">
        <f>IF(Tab.11[[#This Row],[a1]]=1,AQ926)</f>
        <v>0</v>
      </c>
      <c r="AI926" s="41">
        <v>3.0000000000000001E-3</v>
      </c>
      <c r="AJ926" s="79">
        <v>-7.0000000000000007E-2</v>
      </c>
      <c r="AK926" s="80" t="b">
        <f>IF(Tab.11[[#This Row],[a1]]=1,1)</f>
        <v>0</v>
      </c>
      <c r="AZ926"/>
    </row>
    <row r="927" spans="1:52" hidden="1" x14ac:dyDescent="0.25">
      <c r="A927" s="61">
        <f t="shared" si="31"/>
        <v>0</v>
      </c>
      <c r="B927" s="62">
        <f t="shared" si="31"/>
        <v>0</v>
      </c>
      <c r="C927" s="62" t="b">
        <f>IF(Tab.11[[#This Row],[a1]]=1,[3]!Tab_x1[[#This Row],[Name]])</f>
        <v>0</v>
      </c>
      <c r="D927" s="63" t="b">
        <f>IF(Tab.11[[#This Row],[a1]]=1,AO927)</f>
        <v>0</v>
      </c>
      <c r="E927" s="63">
        <f t="shared" si="30"/>
        <v>0</v>
      </c>
      <c r="F927" s="64" t="b">
        <f>IF(Tab.11[[#This Row],[a1]]=1,Tab.11[[#This Row],[b1]])</f>
        <v>0</v>
      </c>
      <c r="G927" s="65" t="b">
        <f>IF(Tab.11[[#This Row],[a1]]=1,IF(Tab.11[[#This Row],[b3]]&gt;$L$989*$G$3,$L$989*$G$3,IF(Tab.11[[#This Row],[b3]]&lt;$M$989*$G$3,$M$989*$G$3,Tab.11[[#This Row],[b3]])))</f>
        <v>0</v>
      </c>
      <c r="H927" s="66" t="b">
        <f>IF(Tab.11[[#This Row],[a1]]=1,Tab.11[[#This Row],[b1]])</f>
        <v>0</v>
      </c>
      <c r="I927" s="67" t="b">
        <f>IF(Tab.11[[#This Row],[a1]]=1,Tab.11[[#This Row],[b1]])</f>
        <v>0</v>
      </c>
      <c r="J927" s="68" t="b">
        <f>IF(Tab.11[[#This Row],[a1]]=1,IF($I$3&lt;0,Tab.11[[#This Row],[b5]]-$I$3,Tab.11[[#This Row],[b5]]))</f>
        <v>0</v>
      </c>
      <c r="K927" s="68" t="b">
        <f>IF(Tab.11[[#This Row],[a1]]=1,IF($K$3=0,Tab.11[b6],Tab.11[[#This Row],[b6]]-AVERAGE(Tab.11[b6])))</f>
        <v>0</v>
      </c>
      <c r="L927" s="69" t="b">
        <f>IF(Tab.11[[#This Row],[a1]]=1,Tab.11[[#This Row],[data]]/(_xlfn.STDEV.P(Tab.11[data])*$B$989)+$A$989)</f>
        <v>0</v>
      </c>
      <c r="M927" s="69" t="b">
        <f>IF(Tab.11[[#This Row],[a1]]=1,Tab.11[[#This Row],[data]]/(_xlfn.STDEV.P(Tab.11[data])*$B$987)-$A$987)</f>
        <v>0</v>
      </c>
      <c r="N927" s="69" t="b">
        <f>IF(Tab.11[[#This Row],[a1]]=1,Tab.11[[#This Row],[data]]/(_xlfn.STDEV.P(Tab.11[data])*$B$988)+$A$988)</f>
        <v>0</v>
      </c>
      <c r="O927" s="70" t="b">
        <f>IF(Tab.11[[#This Row],[a1]]=1,_xlfn.NORM.DIST(Tab.11[[#This Row],[b8]],$P$1,$Q$1,FALSE))</f>
        <v>0</v>
      </c>
      <c r="P927" s="70" t="b">
        <f>IF(Tab.11[[#This Row],[a1]]=1,_xlfn.NORM.DIST(Tab.11[[#This Row],[b9]],$P$1,$Q$1,FALSE))</f>
        <v>0</v>
      </c>
      <c r="Q927" s="70" t="b">
        <f>IF(Tab.11[[#This Row],[a1]]=1,_xlfn.NORM.DIST(Tab.11[[#This Row],[b10]],$P$1,$Q$1,FALSE))</f>
        <v>0</v>
      </c>
      <c r="R927" s="67" t="b">
        <f>IF(Tab.11[[#This Row],[a1]]=1,$I$3+$A$989+IF($K$3=0,Tab.11[[#This Row],[b8]]*_xlfn.STDEV.P(Tab.11[data]),AVERAGE(Tab.11[b6])+Tab.11[[#This Row],[b8]]*_xlfn.STDEV.P(Tab.11[data])))</f>
        <v>0</v>
      </c>
      <c r="S927" s="71" t="b">
        <f>IF(Tab.11[[#This Row],[a1]]=1,$I$3+$A$987+IF($K$3=0,Tab.11[[#This Row],[b9]]*_xlfn.STDEV.P(Tab.11[data]),AVERAGE(Tab.11[b6])+Tab.11[[#This Row],[b9]]*_xlfn.STDEV.P(Tab.11[data])))</f>
        <v>0</v>
      </c>
      <c r="T927" s="71" t="b">
        <f>IF(Tab.11[[#This Row],[a1]]=1,$I$3+$A$988+IF($K$3=0,Tab.11[[#This Row],[b10]]*_xlfn.STDEV.P(Tab.11[data]),AVERAGE(Tab.11[b6])+Tab.11[[#This Row],[b10]]*_xlfn.STDEV.P(Tab.11[data])))</f>
        <v>0</v>
      </c>
      <c r="U927" s="72" t="b">
        <f>IF(Tab.11[[#This Row],[a1]]=1,Tab.11[[#This Row],[target]]-Tab.11[[#This Row],[Red]])</f>
        <v>0</v>
      </c>
      <c r="V927" s="72" t="b">
        <f>IF(Tab.11[[#This Row],[a1]]=1,Tab.11[[#This Row],[target]]-Tab.11[[#This Row],[Blue]])</f>
        <v>0</v>
      </c>
      <c r="W927" s="73" t="b">
        <f>IF(Tab.11[[#This Row],[a1]]=1,IF(ABS(Tab.11[[#This Row],[b17]])+ABS(Tab.11[[#This Row],[b18]])&lt;$W$2,$W$2,ABS(Tab.11[[#This Row],[b17]])+ABS(Tab.11[[#This Row],[b18]])))</f>
        <v>0</v>
      </c>
      <c r="X927" s="136" t="b">
        <f>IF(Tab.11[[#This Row],[a1]]=1,IF($W$3&lt;0,Tab.11[[#This Row],[IN]]-$I$3,Tab.11[[#This Row],[IN]]))</f>
        <v>0</v>
      </c>
      <c r="Y927" s="136" t="b">
        <f>IF(Tab.11[[#This Row],[a1]]=1,IF($X$3=0,Tab.11[b66],Tab.11[[#This Row],[b66]]-AVERAGE(Tab.11[b66])))</f>
        <v>0</v>
      </c>
      <c r="Z927" s="135" t="b">
        <f>IF(Tab.11[[#This Row],[a1]]=1,Tab.11[[#This Row],[b77]]/(_xlfn.STDEV.P(Tab.11[b77])))</f>
        <v>0</v>
      </c>
      <c r="AA927" s="70" t="b">
        <f>IF(Tab.11[[#This Row],[a1]]=1,_xlfn.NORM.DIST(Tab.11[[#This Row],[b88]],$Z$1,$AA$1,FALSE))</f>
        <v>0</v>
      </c>
      <c r="AB927" s="74" t="b">
        <f>IF(Tab.11[[#This Row],[a1]]=1,IF($A$3=0,FALSE,1/Tab.11[[#This Row],[IN]]*$AC$2*IF(Tab.11[[#This Row],[a1]]=0,,$A$3*$AC$1*1/$V$3*(Tab.11[[#This Row],[b14]]))))</f>
        <v>0</v>
      </c>
      <c r="AC927" s="75" t="b">
        <f>IF(Tab.11[[#This Row],[a1]]=1,IF($AC$3=0,Tab.11[[#This Row],[φ1]],Tab.11[[#This Row],[φ1]]/MAX(Tab.11[φ1])))</f>
        <v>0</v>
      </c>
      <c r="AD927" s="74" t="b">
        <f>IF(Tab.11[[#This Row],[a1]]=1,1/Tab.11[[#This Row],[φ2]])</f>
        <v>0</v>
      </c>
      <c r="AE927" s="74" t="b">
        <f>IF(Tab.11[[#This Row],[a1]]=1,IF($AE$3=0,Tab.11[[#This Row],[w.0]],Tab.11[[#This Row],[w.0]]/SUM(Tab.11[w.0])))</f>
        <v>0</v>
      </c>
      <c r="AF927" s="76" t="str">
        <f>IF(Tab.11[[#This Row],[a1]]=0,"false",[3]!Tab.x5[[#This Row],[%_seN_C]])</f>
        <v>false</v>
      </c>
      <c r="AG927" s="77" t="b">
        <f>IF(Tab.11[[#This Row],[a1]]=1,AP927)</f>
        <v>0</v>
      </c>
      <c r="AH927" s="78" t="b">
        <f>IF(Tab.11[[#This Row],[a1]]=1,AQ927)</f>
        <v>0</v>
      </c>
      <c r="AI927" s="41">
        <v>3.0000000000000001E-3</v>
      </c>
      <c r="AJ927" s="79">
        <v>-0.1</v>
      </c>
      <c r="AK927" s="80" t="b">
        <f>IF(Tab.11[[#This Row],[a1]]=1,1)</f>
        <v>0</v>
      </c>
      <c r="AZ927"/>
    </row>
    <row r="928" spans="1:52" hidden="1" x14ac:dyDescent="0.25">
      <c r="A928" s="61">
        <f t="shared" si="31"/>
        <v>0</v>
      </c>
      <c r="B928" s="62">
        <f t="shared" si="31"/>
        <v>0</v>
      </c>
      <c r="C928" s="62" t="b">
        <f>IF(Tab.11[[#This Row],[a1]]=1,[3]!Tab_x1[[#This Row],[Name]])</f>
        <v>0</v>
      </c>
      <c r="D928" s="63" t="b">
        <f>IF(Tab.11[[#This Row],[a1]]=1,AO928)</f>
        <v>0</v>
      </c>
      <c r="E928" s="63">
        <f t="shared" si="30"/>
        <v>0</v>
      </c>
      <c r="F928" s="64" t="b">
        <f>IF(Tab.11[[#This Row],[a1]]=1,Tab.11[[#This Row],[b1]])</f>
        <v>0</v>
      </c>
      <c r="G928" s="65" t="b">
        <f>IF(Tab.11[[#This Row],[a1]]=1,IF(Tab.11[[#This Row],[b3]]&gt;$L$989*$G$3,$L$989*$G$3,IF(Tab.11[[#This Row],[b3]]&lt;$M$989*$G$3,$M$989*$G$3,Tab.11[[#This Row],[b3]])))</f>
        <v>0</v>
      </c>
      <c r="H928" s="66" t="b">
        <f>IF(Tab.11[[#This Row],[a1]]=1,Tab.11[[#This Row],[b1]])</f>
        <v>0</v>
      </c>
      <c r="I928" s="67" t="b">
        <f>IF(Tab.11[[#This Row],[a1]]=1,Tab.11[[#This Row],[b1]])</f>
        <v>0</v>
      </c>
      <c r="J928" s="68" t="b">
        <f>IF(Tab.11[[#This Row],[a1]]=1,IF($I$3&lt;0,Tab.11[[#This Row],[b5]]-$I$3,Tab.11[[#This Row],[b5]]))</f>
        <v>0</v>
      </c>
      <c r="K928" s="68" t="b">
        <f>IF(Tab.11[[#This Row],[a1]]=1,IF($K$3=0,Tab.11[b6],Tab.11[[#This Row],[b6]]-AVERAGE(Tab.11[b6])))</f>
        <v>0</v>
      </c>
      <c r="L928" s="69" t="b">
        <f>IF(Tab.11[[#This Row],[a1]]=1,Tab.11[[#This Row],[data]]/(_xlfn.STDEV.P(Tab.11[data])*$B$989)+$A$989)</f>
        <v>0</v>
      </c>
      <c r="M928" s="69" t="b">
        <f>IF(Tab.11[[#This Row],[a1]]=1,Tab.11[[#This Row],[data]]/(_xlfn.STDEV.P(Tab.11[data])*$B$987)-$A$987)</f>
        <v>0</v>
      </c>
      <c r="N928" s="69" t="b">
        <f>IF(Tab.11[[#This Row],[a1]]=1,Tab.11[[#This Row],[data]]/(_xlfn.STDEV.P(Tab.11[data])*$B$988)+$A$988)</f>
        <v>0</v>
      </c>
      <c r="O928" s="70" t="b">
        <f>IF(Tab.11[[#This Row],[a1]]=1,_xlfn.NORM.DIST(Tab.11[[#This Row],[b8]],$P$1,$Q$1,FALSE))</f>
        <v>0</v>
      </c>
      <c r="P928" s="70" t="b">
        <f>IF(Tab.11[[#This Row],[a1]]=1,_xlfn.NORM.DIST(Tab.11[[#This Row],[b9]],$P$1,$Q$1,FALSE))</f>
        <v>0</v>
      </c>
      <c r="Q928" s="70" t="b">
        <f>IF(Tab.11[[#This Row],[a1]]=1,_xlfn.NORM.DIST(Tab.11[[#This Row],[b10]],$P$1,$Q$1,FALSE))</f>
        <v>0</v>
      </c>
      <c r="R928" s="67" t="b">
        <f>IF(Tab.11[[#This Row],[a1]]=1,$I$3+$A$989+IF($K$3=0,Tab.11[[#This Row],[b8]]*_xlfn.STDEV.P(Tab.11[data]),AVERAGE(Tab.11[b6])+Tab.11[[#This Row],[b8]]*_xlfn.STDEV.P(Tab.11[data])))</f>
        <v>0</v>
      </c>
      <c r="S928" s="71" t="b">
        <f>IF(Tab.11[[#This Row],[a1]]=1,$I$3+$A$987+IF($K$3=0,Tab.11[[#This Row],[b9]]*_xlfn.STDEV.P(Tab.11[data]),AVERAGE(Tab.11[b6])+Tab.11[[#This Row],[b9]]*_xlfn.STDEV.P(Tab.11[data])))</f>
        <v>0</v>
      </c>
      <c r="T928" s="71" t="b">
        <f>IF(Tab.11[[#This Row],[a1]]=1,$I$3+$A$988+IF($K$3=0,Tab.11[[#This Row],[b10]]*_xlfn.STDEV.P(Tab.11[data]),AVERAGE(Tab.11[b6])+Tab.11[[#This Row],[b10]]*_xlfn.STDEV.P(Tab.11[data])))</f>
        <v>0</v>
      </c>
      <c r="U928" s="72" t="b">
        <f>IF(Tab.11[[#This Row],[a1]]=1,Tab.11[[#This Row],[target]]-Tab.11[[#This Row],[Red]])</f>
        <v>0</v>
      </c>
      <c r="V928" s="72" t="b">
        <f>IF(Tab.11[[#This Row],[a1]]=1,Tab.11[[#This Row],[target]]-Tab.11[[#This Row],[Blue]])</f>
        <v>0</v>
      </c>
      <c r="W928" s="73" t="b">
        <f>IF(Tab.11[[#This Row],[a1]]=1,IF(ABS(Tab.11[[#This Row],[b17]])+ABS(Tab.11[[#This Row],[b18]])&lt;$W$2,$W$2,ABS(Tab.11[[#This Row],[b17]])+ABS(Tab.11[[#This Row],[b18]])))</f>
        <v>0</v>
      </c>
      <c r="X928" s="136" t="b">
        <f>IF(Tab.11[[#This Row],[a1]]=1,IF($W$3&lt;0,Tab.11[[#This Row],[IN]]-$I$3,Tab.11[[#This Row],[IN]]))</f>
        <v>0</v>
      </c>
      <c r="Y928" s="136" t="b">
        <f>IF(Tab.11[[#This Row],[a1]]=1,IF($X$3=0,Tab.11[b66],Tab.11[[#This Row],[b66]]-AVERAGE(Tab.11[b66])))</f>
        <v>0</v>
      </c>
      <c r="Z928" s="135" t="b">
        <f>IF(Tab.11[[#This Row],[a1]]=1,Tab.11[[#This Row],[b77]]/(_xlfn.STDEV.P(Tab.11[b77])))</f>
        <v>0</v>
      </c>
      <c r="AA928" s="70" t="b">
        <f>IF(Tab.11[[#This Row],[a1]]=1,_xlfn.NORM.DIST(Tab.11[[#This Row],[b88]],$Z$1,$AA$1,FALSE))</f>
        <v>0</v>
      </c>
      <c r="AB928" s="74" t="b">
        <f>IF(Tab.11[[#This Row],[a1]]=1,IF($A$3=0,FALSE,1/Tab.11[[#This Row],[IN]]*$AC$2*IF(Tab.11[[#This Row],[a1]]=0,,$A$3*$AC$1*1/$V$3*(Tab.11[[#This Row],[b14]]))))</f>
        <v>0</v>
      </c>
      <c r="AC928" s="75" t="b">
        <f>IF(Tab.11[[#This Row],[a1]]=1,IF($AC$3=0,Tab.11[[#This Row],[φ1]],Tab.11[[#This Row],[φ1]]/MAX(Tab.11[φ1])))</f>
        <v>0</v>
      </c>
      <c r="AD928" s="74" t="b">
        <f>IF(Tab.11[[#This Row],[a1]]=1,1/Tab.11[[#This Row],[φ2]])</f>
        <v>0</v>
      </c>
      <c r="AE928" s="74" t="b">
        <f>IF(Tab.11[[#This Row],[a1]]=1,IF($AE$3=0,Tab.11[[#This Row],[w.0]],Tab.11[[#This Row],[w.0]]/SUM(Tab.11[w.0])))</f>
        <v>0</v>
      </c>
      <c r="AF928" s="76" t="str">
        <f>IF(Tab.11[[#This Row],[a1]]=0,"false",[3]!Tab.x5[[#This Row],[%_seN_C]])</f>
        <v>false</v>
      </c>
      <c r="AG928" s="77" t="b">
        <f>IF(Tab.11[[#This Row],[a1]]=1,AP928)</f>
        <v>0</v>
      </c>
      <c r="AH928" s="78" t="b">
        <f>IF(Tab.11[[#This Row],[a1]]=1,AQ928)</f>
        <v>0</v>
      </c>
      <c r="AI928" s="41">
        <v>3.0000000000000001E-3</v>
      </c>
      <c r="AJ928" s="79">
        <v>0.06</v>
      </c>
      <c r="AK928" s="80" t="b">
        <f>IF(Tab.11[[#This Row],[a1]]=1,1)</f>
        <v>0</v>
      </c>
      <c r="AZ928"/>
    </row>
    <row r="929" spans="1:52" hidden="1" x14ac:dyDescent="0.25">
      <c r="A929" s="61">
        <f t="shared" si="31"/>
        <v>0</v>
      </c>
      <c r="B929" s="62">
        <f t="shared" si="31"/>
        <v>0</v>
      </c>
      <c r="C929" s="62" t="b">
        <f>IF(Tab.11[[#This Row],[a1]]=1,[3]!Tab_x1[[#This Row],[Name]])</f>
        <v>0</v>
      </c>
      <c r="D929" s="63" t="b">
        <f>IF(Tab.11[[#This Row],[a1]]=1,AO929)</f>
        <v>0</v>
      </c>
      <c r="E929" s="63">
        <f t="shared" si="30"/>
        <v>0</v>
      </c>
      <c r="F929" s="64" t="b">
        <f>IF(Tab.11[[#This Row],[a1]]=1,Tab.11[[#This Row],[b1]])</f>
        <v>0</v>
      </c>
      <c r="G929" s="65" t="b">
        <f>IF(Tab.11[[#This Row],[a1]]=1,IF(Tab.11[[#This Row],[b3]]&gt;$L$989*$G$3,$L$989*$G$3,IF(Tab.11[[#This Row],[b3]]&lt;$M$989*$G$3,$M$989*$G$3,Tab.11[[#This Row],[b3]])))</f>
        <v>0</v>
      </c>
      <c r="H929" s="66" t="b">
        <f>IF(Tab.11[[#This Row],[a1]]=1,Tab.11[[#This Row],[b1]])</f>
        <v>0</v>
      </c>
      <c r="I929" s="67" t="b">
        <f>IF(Tab.11[[#This Row],[a1]]=1,Tab.11[[#This Row],[b1]])</f>
        <v>0</v>
      </c>
      <c r="J929" s="68" t="b">
        <f>IF(Tab.11[[#This Row],[a1]]=1,IF($I$3&lt;0,Tab.11[[#This Row],[b5]]-$I$3,Tab.11[[#This Row],[b5]]))</f>
        <v>0</v>
      </c>
      <c r="K929" s="68" t="b">
        <f>IF(Tab.11[[#This Row],[a1]]=1,IF($K$3=0,Tab.11[b6],Tab.11[[#This Row],[b6]]-AVERAGE(Tab.11[b6])))</f>
        <v>0</v>
      </c>
      <c r="L929" s="69" t="b">
        <f>IF(Tab.11[[#This Row],[a1]]=1,Tab.11[[#This Row],[data]]/(_xlfn.STDEV.P(Tab.11[data])*$B$989)+$A$989)</f>
        <v>0</v>
      </c>
      <c r="M929" s="69" t="b">
        <f>IF(Tab.11[[#This Row],[a1]]=1,Tab.11[[#This Row],[data]]/(_xlfn.STDEV.P(Tab.11[data])*$B$987)-$A$987)</f>
        <v>0</v>
      </c>
      <c r="N929" s="69" t="b">
        <f>IF(Tab.11[[#This Row],[a1]]=1,Tab.11[[#This Row],[data]]/(_xlfn.STDEV.P(Tab.11[data])*$B$988)+$A$988)</f>
        <v>0</v>
      </c>
      <c r="O929" s="70" t="b">
        <f>IF(Tab.11[[#This Row],[a1]]=1,_xlfn.NORM.DIST(Tab.11[[#This Row],[b8]],$P$1,$Q$1,FALSE))</f>
        <v>0</v>
      </c>
      <c r="P929" s="70" t="b">
        <f>IF(Tab.11[[#This Row],[a1]]=1,_xlfn.NORM.DIST(Tab.11[[#This Row],[b9]],$P$1,$Q$1,FALSE))</f>
        <v>0</v>
      </c>
      <c r="Q929" s="70" t="b">
        <f>IF(Tab.11[[#This Row],[a1]]=1,_xlfn.NORM.DIST(Tab.11[[#This Row],[b10]],$P$1,$Q$1,FALSE))</f>
        <v>0</v>
      </c>
      <c r="R929" s="67" t="b">
        <f>IF(Tab.11[[#This Row],[a1]]=1,$I$3+$A$989+IF($K$3=0,Tab.11[[#This Row],[b8]]*_xlfn.STDEV.P(Tab.11[data]),AVERAGE(Tab.11[b6])+Tab.11[[#This Row],[b8]]*_xlfn.STDEV.P(Tab.11[data])))</f>
        <v>0</v>
      </c>
      <c r="S929" s="71" t="b">
        <f>IF(Tab.11[[#This Row],[a1]]=1,$I$3+$A$987+IF($K$3=0,Tab.11[[#This Row],[b9]]*_xlfn.STDEV.P(Tab.11[data]),AVERAGE(Tab.11[b6])+Tab.11[[#This Row],[b9]]*_xlfn.STDEV.P(Tab.11[data])))</f>
        <v>0</v>
      </c>
      <c r="T929" s="71" t="b">
        <f>IF(Tab.11[[#This Row],[a1]]=1,$I$3+$A$988+IF($K$3=0,Tab.11[[#This Row],[b10]]*_xlfn.STDEV.P(Tab.11[data]),AVERAGE(Tab.11[b6])+Tab.11[[#This Row],[b10]]*_xlfn.STDEV.P(Tab.11[data])))</f>
        <v>0</v>
      </c>
      <c r="U929" s="72" t="b">
        <f>IF(Tab.11[[#This Row],[a1]]=1,Tab.11[[#This Row],[target]]-Tab.11[[#This Row],[Red]])</f>
        <v>0</v>
      </c>
      <c r="V929" s="72" t="b">
        <f>IF(Tab.11[[#This Row],[a1]]=1,Tab.11[[#This Row],[target]]-Tab.11[[#This Row],[Blue]])</f>
        <v>0</v>
      </c>
      <c r="W929" s="73" t="b">
        <f>IF(Tab.11[[#This Row],[a1]]=1,IF(ABS(Tab.11[[#This Row],[b17]])+ABS(Tab.11[[#This Row],[b18]])&lt;$W$2,$W$2,ABS(Tab.11[[#This Row],[b17]])+ABS(Tab.11[[#This Row],[b18]])))</f>
        <v>0</v>
      </c>
      <c r="X929" s="136" t="b">
        <f>IF(Tab.11[[#This Row],[a1]]=1,IF($W$3&lt;0,Tab.11[[#This Row],[IN]]-$I$3,Tab.11[[#This Row],[IN]]))</f>
        <v>0</v>
      </c>
      <c r="Y929" s="136" t="b">
        <f>IF(Tab.11[[#This Row],[a1]]=1,IF($X$3=0,Tab.11[b66],Tab.11[[#This Row],[b66]]-AVERAGE(Tab.11[b66])))</f>
        <v>0</v>
      </c>
      <c r="Z929" s="135" t="b">
        <f>IF(Tab.11[[#This Row],[a1]]=1,Tab.11[[#This Row],[b77]]/(_xlfn.STDEV.P(Tab.11[b77])))</f>
        <v>0</v>
      </c>
      <c r="AA929" s="70" t="b">
        <f>IF(Tab.11[[#This Row],[a1]]=1,_xlfn.NORM.DIST(Tab.11[[#This Row],[b88]],$Z$1,$AA$1,FALSE))</f>
        <v>0</v>
      </c>
      <c r="AB929" s="74" t="b">
        <f>IF(Tab.11[[#This Row],[a1]]=1,IF($A$3=0,FALSE,1/Tab.11[[#This Row],[IN]]*$AC$2*IF(Tab.11[[#This Row],[a1]]=0,,$A$3*$AC$1*1/$V$3*(Tab.11[[#This Row],[b14]]))))</f>
        <v>0</v>
      </c>
      <c r="AC929" s="75" t="b">
        <f>IF(Tab.11[[#This Row],[a1]]=1,IF($AC$3=0,Tab.11[[#This Row],[φ1]],Tab.11[[#This Row],[φ1]]/MAX(Tab.11[φ1])))</f>
        <v>0</v>
      </c>
      <c r="AD929" s="74" t="b">
        <f>IF(Tab.11[[#This Row],[a1]]=1,1/Tab.11[[#This Row],[φ2]])</f>
        <v>0</v>
      </c>
      <c r="AE929" s="74" t="b">
        <f>IF(Tab.11[[#This Row],[a1]]=1,IF($AE$3=0,Tab.11[[#This Row],[w.0]],Tab.11[[#This Row],[w.0]]/SUM(Tab.11[w.0])))</f>
        <v>0</v>
      </c>
      <c r="AF929" s="76" t="str">
        <f>IF(Tab.11[[#This Row],[a1]]=0,"false",[3]!Tab.x5[[#This Row],[%_seN_C]])</f>
        <v>false</v>
      </c>
      <c r="AG929" s="77" t="b">
        <f>IF(Tab.11[[#This Row],[a1]]=1,AP929)</f>
        <v>0</v>
      </c>
      <c r="AH929" s="78" t="b">
        <f>IF(Tab.11[[#This Row],[a1]]=1,AQ929)</f>
        <v>0</v>
      </c>
      <c r="AI929" s="41">
        <v>3.0000000000000001E-3</v>
      </c>
      <c r="AJ929" s="79">
        <v>-0.1</v>
      </c>
      <c r="AK929" s="80" t="b">
        <f>IF(Tab.11[[#This Row],[a1]]=1,1)</f>
        <v>0</v>
      </c>
      <c r="AZ929"/>
    </row>
    <row r="930" spans="1:52" hidden="1" x14ac:dyDescent="0.25">
      <c r="A930" s="61">
        <f t="shared" si="31"/>
        <v>0</v>
      </c>
      <c r="B930" s="62">
        <f t="shared" si="31"/>
        <v>0</v>
      </c>
      <c r="C930" s="62" t="b">
        <f>IF(Tab.11[[#This Row],[a1]]=1,[3]!Tab_x1[[#This Row],[Name]])</f>
        <v>0</v>
      </c>
      <c r="D930" s="63" t="b">
        <f>IF(Tab.11[[#This Row],[a1]]=1,AO930)</f>
        <v>0</v>
      </c>
      <c r="E930" s="63">
        <f t="shared" si="30"/>
        <v>0</v>
      </c>
      <c r="F930" s="64" t="b">
        <f>IF(Tab.11[[#This Row],[a1]]=1,Tab.11[[#This Row],[b1]])</f>
        <v>0</v>
      </c>
      <c r="G930" s="65" t="b">
        <f>IF(Tab.11[[#This Row],[a1]]=1,IF(Tab.11[[#This Row],[b3]]&gt;$L$989*$G$3,$L$989*$G$3,IF(Tab.11[[#This Row],[b3]]&lt;$M$989*$G$3,$M$989*$G$3,Tab.11[[#This Row],[b3]])))</f>
        <v>0</v>
      </c>
      <c r="H930" s="66" t="b">
        <f>IF(Tab.11[[#This Row],[a1]]=1,Tab.11[[#This Row],[b1]])</f>
        <v>0</v>
      </c>
      <c r="I930" s="67" t="b">
        <f>IF(Tab.11[[#This Row],[a1]]=1,Tab.11[[#This Row],[b1]])</f>
        <v>0</v>
      </c>
      <c r="J930" s="68" t="b">
        <f>IF(Tab.11[[#This Row],[a1]]=1,IF($I$3&lt;0,Tab.11[[#This Row],[b5]]-$I$3,Tab.11[[#This Row],[b5]]))</f>
        <v>0</v>
      </c>
      <c r="K930" s="68" t="b">
        <f>IF(Tab.11[[#This Row],[a1]]=1,IF($K$3=0,Tab.11[b6],Tab.11[[#This Row],[b6]]-AVERAGE(Tab.11[b6])))</f>
        <v>0</v>
      </c>
      <c r="L930" s="69" t="b">
        <f>IF(Tab.11[[#This Row],[a1]]=1,Tab.11[[#This Row],[data]]/(_xlfn.STDEV.P(Tab.11[data])*$B$989)+$A$989)</f>
        <v>0</v>
      </c>
      <c r="M930" s="69" t="b">
        <f>IF(Tab.11[[#This Row],[a1]]=1,Tab.11[[#This Row],[data]]/(_xlfn.STDEV.P(Tab.11[data])*$B$987)-$A$987)</f>
        <v>0</v>
      </c>
      <c r="N930" s="69" t="b">
        <f>IF(Tab.11[[#This Row],[a1]]=1,Tab.11[[#This Row],[data]]/(_xlfn.STDEV.P(Tab.11[data])*$B$988)+$A$988)</f>
        <v>0</v>
      </c>
      <c r="O930" s="70" t="b">
        <f>IF(Tab.11[[#This Row],[a1]]=1,_xlfn.NORM.DIST(Tab.11[[#This Row],[b8]],$P$1,$Q$1,FALSE))</f>
        <v>0</v>
      </c>
      <c r="P930" s="70" t="b">
        <f>IF(Tab.11[[#This Row],[a1]]=1,_xlfn.NORM.DIST(Tab.11[[#This Row],[b9]],$P$1,$Q$1,FALSE))</f>
        <v>0</v>
      </c>
      <c r="Q930" s="70" t="b">
        <f>IF(Tab.11[[#This Row],[a1]]=1,_xlfn.NORM.DIST(Tab.11[[#This Row],[b10]],$P$1,$Q$1,FALSE))</f>
        <v>0</v>
      </c>
      <c r="R930" s="67" t="b">
        <f>IF(Tab.11[[#This Row],[a1]]=1,$I$3+$A$989+IF($K$3=0,Tab.11[[#This Row],[b8]]*_xlfn.STDEV.P(Tab.11[data]),AVERAGE(Tab.11[b6])+Tab.11[[#This Row],[b8]]*_xlfn.STDEV.P(Tab.11[data])))</f>
        <v>0</v>
      </c>
      <c r="S930" s="71" t="b">
        <f>IF(Tab.11[[#This Row],[a1]]=1,$I$3+$A$987+IF($K$3=0,Tab.11[[#This Row],[b9]]*_xlfn.STDEV.P(Tab.11[data]),AVERAGE(Tab.11[b6])+Tab.11[[#This Row],[b9]]*_xlfn.STDEV.P(Tab.11[data])))</f>
        <v>0</v>
      </c>
      <c r="T930" s="71" t="b">
        <f>IF(Tab.11[[#This Row],[a1]]=1,$I$3+$A$988+IF($K$3=0,Tab.11[[#This Row],[b10]]*_xlfn.STDEV.P(Tab.11[data]),AVERAGE(Tab.11[b6])+Tab.11[[#This Row],[b10]]*_xlfn.STDEV.P(Tab.11[data])))</f>
        <v>0</v>
      </c>
      <c r="U930" s="72" t="b">
        <f>IF(Tab.11[[#This Row],[a1]]=1,Tab.11[[#This Row],[target]]-Tab.11[[#This Row],[Red]])</f>
        <v>0</v>
      </c>
      <c r="V930" s="72" t="b">
        <f>IF(Tab.11[[#This Row],[a1]]=1,Tab.11[[#This Row],[target]]-Tab.11[[#This Row],[Blue]])</f>
        <v>0</v>
      </c>
      <c r="W930" s="73" t="b">
        <f>IF(Tab.11[[#This Row],[a1]]=1,IF(ABS(Tab.11[[#This Row],[b17]])+ABS(Tab.11[[#This Row],[b18]])&lt;$W$2,$W$2,ABS(Tab.11[[#This Row],[b17]])+ABS(Tab.11[[#This Row],[b18]])))</f>
        <v>0</v>
      </c>
      <c r="X930" s="136" t="b">
        <f>IF(Tab.11[[#This Row],[a1]]=1,IF($W$3&lt;0,Tab.11[[#This Row],[IN]]-$I$3,Tab.11[[#This Row],[IN]]))</f>
        <v>0</v>
      </c>
      <c r="Y930" s="136" t="b">
        <f>IF(Tab.11[[#This Row],[a1]]=1,IF($X$3=0,Tab.11[b66],Tab.11[[#This Row],[b66]]-AVERAGE(Tab.11[b66])))</f>
        <v>0</v>
      </c>
      <c r="Z930" s="135" t="b">
        <f>IF(Tab.11[[#This Row],[a1]]=1,Tab.11[[#This Row],[b77]]/(_xlfn.STDEV.P(Tab.11[b77])))</f>
        <v>0</v>
      </c>
      <c r="AA930" s="70" t="b">
        <f>IF(Tab.11[[#This Row],[a1]]=1,_xlfn.NORM.DIST(Tab.11[[#This Row],[b88]],$Z$1,$AA$1,FALSE))</f>
        <v>0</v>
      </c>
      <c r="AB930" s="74" t="b">
        <f>IF(Tab.11[[#This Row],[a1]]=1,IF($A$3=0,FALSE,1/Tab.11[[#This Row],[IN]]*$AC$2*IF(Tab.11[[#This Row],[a1]]=0,,$A$3*$AC$1*1/$V$3*(Tab.11[[#This Row],[b14]]))))</f>
        <v>0</v>
      </c>
      <c r="AC930" s="75" t="b">
        <f>IF(Tab.11[[#This Row],[a1]]=1,IF($AC$3=0,Tab.11[[#This Row],[φ1]],Tab.11[[#This Row],[φ1]]/MAX(Tab.11[φ1])))</f>
        <v>0</v>
      </c>
      <c r="AD930" s="74" t="b">
        <f>IF(Tab.11[[#This Row],[a1]]=1,1/Tab.11[[#This Row],[φ2]])</f>
        <v>0</v>
      </c>
      <c r="AE930" s="74" t="b">
        <f>IF(Tab.11[[#This Row],[a1]]=1,IF($AE$3=0,Tab.11[[#This Row],[w.0]],Tab.11[[#This Row],[w.0]]/SUM(Tab.11[w.0])))</f>
        <v>0</v>
      </c>
      <c r="AF930" s="76" t="str">
        <f>IF(Tab.11[[#This Row],[a1]]=0,"false",[3]!Tab.x5[[#This Row],[%_seN_C]])</f>
        <v>false</v>
      </c>
      <c r="AG930" s="77" t="b">
        <f>IF(Tab.11[[#This Row],[a1]]=1,AP930)</f>
        <v>0</v>
      </c>
      <c r="AH930" s="78" t="b">
        <f>IF(Tab.11[[#This Row],[a1]]=1,AQ930)</f>
        <v>0</v>
      </c>
      <c r="AI930" s="41">
        <v>3.0000000000000001E-3</v>
      </c>
      <c r="AJ930" s="79">
        <v>-0.04</v>
      </c>
      <c r="AK930" s="80" t="b">
        <f>IF(Tab.11[[#This Row],[a1]]=1,1)</f>
        <v>0</v>
      </c>
      <c r="AZ930"/>
    </row>
    <row r="931" spans="1:52" hidden="1" x14ac:dyDescent="0.25">
      <c r="A931" s="61">
        <f t="shared" si="31"/>
        <v>0</v>
      </c>
      <c r="B931" s="62">
        <f t="shared" si="31"/>
        <v>0</v>
      </c>
      <c r="C931" s="62" t="b">
        <f>IF(Tab.11[[#This Row],[a1]]=1,[3]!Tab_x1[[#This Row],[Name]])</f>
        <v>0</v>
      </c>
      <c r="D931" s="63" t="b">
        <f>IF(Tab.11[[#This Row],[a1]]=1,AO931)</f>
        <v>0</v>
      </c>
      <c r="E931" s="63">
        <f t="shared" si="30"/>
        <v>0</v>
      </c>
      <c r="F931" s="64" t="b">
        <f>IF(Tab.11[[#This Row],[a1]]=1,Tab.11[[#This Row],[b1]])</f>
        <v>0</v>
      </c>
      <c r="G931" s="65" t="b">
        <f>IF(Tab.11[[#This Row],[a1]]=1,IF(Tab.11[[#This Row],[b3]]&gt;$L$989*$G$3,$L$989*$G$3,IF(Tab.11[[#This Row],[b3]]&lt;$M$989*$G$3,$M$989*$G$3,Tab.11[[#This Row],[b3]])))</f>
        <v>0</v>
      </c>
      <c r="H931" s="66" t="b">
        <f>IF(Tab.11[[#This Row],[a1]]=1,Tab.11[[#This Row],[b1]])</f>
        <v>0</v>
      </c>
      <c r="I931" s="67" t="b">
        <f>IF(Tab.11[[#This Row],[a1]]=1,Tab.11[[#This Row],[b1]])</f>
        <v>0</v>
      </c>
      <c r="J931" s="68" t="b">
        <f>IF(Tab.11[[#This Row],[a1]]=1,IF($I$3&lt;0,Tab.11[[#This Row],[b5]]-$I$3,Tab.11[[#This Row],[b5]]))</f>
        <v>0</v>
      </c>
      <c r="K931" s="68" t="b">
        <f>IF(Tab.11[[#This Row],[a1]]=1,IF($K$3=0,Tab.11[b6],Tab.11[[#This Row],[b6]]-AVERAGE(Tab.11[b6])))</f>
        <v>0</v>
      </c>
      <c r="L931" s="69" t="b">
        <f>IF(Tab.11[[#This Row],[a1]]=1,Tab.11[[#This Row],[data]]/(_xlfn.STDEV.P(Tab.11[data])*$B$989)+$A$989)</f>
        <v>0</v>
      </c>
      <c r="M931" s="69" t="b">
        <f>IF(Tab.11[[#This Row],[a1]]=1,Tab.11[[#This Row],[data]]/(_xlfn.STDEV.P(Tab.11[data])*$B$987)-$A$987)</f>
        <v>0</v>
      </c>
      <c r="N931" s="69" t="b">
        <f>IF(Tab.11[[#This Row],[a1]]=1,Tab.11[[#This Row],[data]]/(_xlfn.STDEV.P(Tab.11[data])*$B$988)+$A$988)</f>
        <v>0</v>
      </c>
      <c r="O931" s="70" t="b">
        <f>IF(Tab.11[[#This Row],[a1]]=1,_xlfn.NORM.DIST(Tab.11[[#This Row],[b8]],$P$1,$Q$1,FALSE))</f>
        <v>0</v>
      </c>
      <c r="P931" s="70" t="b">
        <f>IF(Tab.11[[#This Row],[a1]]=1,_xlfn.NORM.DIST(Tab.11[[#This Row],[b9]],$P$1,$Q$1,FALSE))</f>
        <v>0</v>
      </c>
      <c r="Q931" s="70" t="b">
        <f>IF(Tab.11[[#This Row],[a1]]=1,_xlfn.NORM.DIST(Tab.11[[#This Row],[b10]],$P$1,$Q$1,FALSE))</f>
        <v>0</v>
      </c>
      <c r="R931" s="67" t="b">
        <f>IF(Tab.11[[#This Row],[a1]]=1,$I$3+$A$989+IF($K$3=0,Tab.11[[#This Row],[b8]]*_xlfn.STDEV.P(Tab.11[data]),AVERAGE(Tab.11[b6])+Tab.11[[#This Row],[b8]]*_xlfn.STDEV.P(Tab.11[data])))</f>
        <v>0</v>
      </c>
      <c r="S931" s="71" t="b">
        <f>IF(Tab.11[[#This Row],[a1]]=1,$I$3+$A$987+IF($K$3=0,Tab.11[[#This Row],[b9]]*_xlfn.STDEV.P(Tab.11[data]),AVERAGE(Tab.11[b6])+Tab.11[[#This Row],[b9]]*_xlfn.STDEV.P(Tab.11[data])))</f>
        <v>0</v>
      </c>
      <c r="T931" s="71" t="b">
        <f>IF(Tab.11[[#This Row],[a1]]=1,$I$3+$A$988+IF($K$3=0,Tab.11[[#This Row],[b10]]*_xlfn.STDEV.P(Tab.11[data]),AVERAGE(Tab.11[b6])+Tab.11[[#This Row],[b10]]*_xlfn.STDEV.P(Tab.11[data])))</f>
        <v>0</v>
      </c>
      <c r="U931" s="72" t="b">
        <f>IF(Tab.11[[#This Row],[a1]]=1,Tab.11[[#This Row],[target]]-Tab.11[[#This Row],[Red]])</f>
        <v>0</v>
      </c>
      <c r="V931" s="72" t="b">
        <f>IF(Tab.11[[#This Row],[a1]]=1,Tab.11[[#This Row],[target]]-Tab.11[[#This Row],[Blue]])</f>
        <v>0</v>
      </c>
      <c r="W931" s="73" t="b">
        <f>IF(Tab.11[[#This Row],[a1]]=1,IF(ABS(Tab.11[[#This Row],[b17]])+ABS(Tab.11[[#This Row],[b18]])&lt;$W$2,$W$2,ABS(Tab.11[[#This Row],[b17]])+ABS(Tab.11[[#This Row],[b18]])))</f>
        <v>0</v>
      </c>
      <c r="X931" s="136" t="b">
        <f>IF(Tab.11[[#This Row],[a1]]=1,IF($W$3&lt;0,Tab.11[[#This Row],[IN]]-$I$3,Tab.11[[#This Row],[IN]]))</f>
        <v>0</v>
      </c>
      <c r="Y931" s="136" t="b">
        <f>IF(Tab.11[[#This Row],[a1]]=1,IF($X$3=0,Tab.11[b66],Tab.11[[#This Row],[b66]]-AVERAGE(Tab.11[b66])))</f>
        <v>0</v>
      </c>
      <c r="Z931" s="135" t="b">
        <f>IF(Tab.11[[#This Row],[a1]]=1,Tab.11[[#This Row],[b77]]/(_xlfn.STDEV.P(Tab.11[b77])))</f>
        <v>0</v>
      </c>
      <c r="AA931" s="70" t="b">
        <f>IF(Tab.11[[#This Row],[a1]]=1,_xlfn.NORM.DIST(Tab.11[[#This Row],[b88]],$Z$1,$AA$1,FALSE))</f>
        <v>0</v>
      </c>
      <c r="AB931" s="74" t="b">
        <f>IF(Tab.11[[#This Row],[a1]]=1,IF($A$3=0,FALSE,1/Tab.11[[#This Row],[IN]]*$AC$2*IF(Tab.11[[#This Row],[a1]]=0,,$A$3*$AC$1*1/$V$3*(Tab.11[[#This Row],[b14]]))))</f>
        <v>0</v>
      </c>
      <c r="AC931" s="75" t="b">
        <f>IF(Tab.11[[#This Row],[a1]]=1,IF($AC$3=0,Tab.11[[#This Row],[φ1]],Tab.11[[#This Row],[φ1]]/MAX(Tab.11[φ1])))</f>
        <v>0</v>
      </c>
      <c r="AD931" s="74" t="b">
        <f>IF(Tab.11[[#This Row],[a1]]=1,1/Tab.11[[#This Row],[φ2]])</f>
        <v>0</v>
      </c>
      <c r="AE931" s="74" t="b">
        <f>IF(Tab.11[[#This Row],[a1]]=1,IF($AE$3=0,Tab.11[[#This Row],[w.0]],Tab.11[[#This Row],[w.0]]/SUM(Tab.11[w.0])))</f>
        <v>0</v>
      </c>
      <c r="AF931" s="76" t="str">
        <f>IF(Tab.11[[#This Row],[a1]]=0,"false",[3]!Tab.x5[[#This Row],[%_seN_C]])</f>
        <v>false</v>
      </c>
      <c r="AG931" s="77" t="b">
        <f>IF(Tab.11[[#This Row],[a1]]=1,AP931)</f>
        <v>0</v>
      </c>
      <c r="AH931" s="78" t="b">
        <f>IF(Tab.11[[#This Row],[a1]]=1,AQ931)</f>
        <v>0</v>
      </c>
      <c r="AI931" s="41">
        <v>3.0000000000000001E-3</v>
      </c>
      <c r="AJ931" s="79">
        <v>-0.09</v>
      </c>
      <c r="AK931" s="80" t="b">
        <f>IF(Tab.11[[#This Row],[a1]]=1,1)</f>
        <v>0</v>
      </c>
      <c r="AZ931"/>
    </row>
    <row r="932" spans="1:52" hidden="1" x14ac:dyDescent="0.25">
      <c r="A932" s="61">
        <f t="shared" si="31"/>
        <v>0</v>
      </c>
      <c r="B932" s="62">
        <f t="shared" si="31"/>
        <v>0</v>
      </c>
      <c r="C932" s="62" t="b">
        <f>IF(Tab.11[[#This Row],[a1]]=1,[3]!Tab_x1[[#This Row],[Name]])</f>
        <v>0</v>
      </c>
      <c r="D932" s="63" t="b">
        <f>IF(Tab.11[[#This Row],[a1]]=1,AO932)</f>
        <v>0</v>
      </c>
      <c r="E932" s="63">
        <f t="shared" si="30"/>
        <v>0</v>
      </c>
      <c r="F932" s="64" t="b">
        <f>IF(Tab.11[[#This Row],[a1]]=1,Tab.11[[#This Row],[b1]])</f>
        <v>0</v>
      </c>
      <c r="G932" s="65" t="b">
        <f>IF(Tab.11[[#This Row],[a1]]=1,IF(Tab.11[[#This Row],[b3]]&gt;$L$989*$G$3,$L$989*$G$3,IF(Tab.11[[#This Row],[b3]]&lt;$M$989*$G$3,$M$989*$G$3,Tab.11[[#This Row],[b3]])))</f>
        <v>0</v>
      </c>
      <c r="H932" s="66" t="b">
        <f>IF(Tab.11[[#This Row],[a1]]=1,Tab.11[[#This Row],[b1]])</f>
        <v>0</v>
      </c>
      <c r="I932" s="67" t="b">
        <f>IF(Tab.11[[#This Row],[a1]]=1,Tab.11[[#This Row],[b1]])</f>
        <v>0</v>
      </c>
      <c r="J932" s="68" t="b">
        <f>IF(Tab.11[[#This Row],[a1]]=1,IF($I$3&lt;0,Tab.11[[#This Row],[b5]]-$I$3,Tab.11[[#This Row],[b5]]))</f>
        <v>0</v>
      </c>
      <c r="K932" s="68" t="b">
        <f>IF(Tab.11[[#This Row],[a1]]=1,IF($K$3=0,Tab.11[b6],Tab.11[[#This Row],[b6]]-AVERAGE(Tab.11[b6])))</f>
        <v>0</v>
      </c>
      <c r="L932" s="69" t="b">
        <f>IF(Tab.11[[#This Row],[a1]]=1,Tab.11[[#This Row],[data]]/(_xlfn.STDEV.P(Tab.11[data])*$B$989)+$A$989)</f>
        <v>0</v>
      </c>
      <c r="M932" s="69" t="b">
        <f>IF(Tab.11[[#This Row],[a1]]=1,Tab.11[[#This Row],[data]]/(_xlfn.STDEV.P(Tab.11[data])*$B$987)-$A$987)</f>
        <v>0</v>
      </c>
      <c r="N932" s="69" t="b">
        <f>IF(Tab.11[[#This Row],[a1]]=1,Tab.11[[#This Row],[data]]/(_xlfn.STDEV.P(Tab.11[data])*$B$988)+$A$988)</f>
        <v>0</v>
      </c>
      <c r="O932" s="70" t="b">
        <f>IF(Tab.11[[#This Row],[a1]]=1,_xlfn.NORM.DIST(Tab.11[[#This Row],[b8]],$P$1,$Q$1,FALSE))</f>
        <v>0</v>
      </c>
      <c r="P932" s="70" t="b">
        <f>IF(Tab.11[[#This Row],[a1]]=1,_xlfn.NORM.DIST(Tab.11[[#This Row],[b9]],$P$1,$Q$1,FALSE))</f>
        <v>0</v>
      </c>
      <c r="Q932" s="70" t="b">
        <f>IF(Tab.11[[#This Row],[a1]]=1,_xlfn.NORM.DIST(Tab.11[[#This Row],[b10]],$P$1,$Q$1,FALSE))</f>
        <v>0</v>
      </c>
      <c r="R932" s="67" t="b">
        <f>IF(Tab.11[[#This Row],[a1]]=1,$I$3+$A$989+IF($K$3=0,Tab.11[[#This Row],[b8]]*_xlfn.STDEV.P(Tab.11[data]),AVERAGE(Tab.11[b6])+Tab.11[[#This Row],[b8]]*_xlfn.STDEV.P(Tab.11[data])))</f>
        <v>0</v>
      </c>
      <c r="S932" s="71" t="b">
        <f>IF(Tab.11[[#This Row],[a1]]=1,$I$3+$A$987+IF($K$3=0,Tab.11[[#This Row],[b9]]*_xlfn.STDEV.P(Tab.11[data]),AVERAGE(Tab.11[b6])+Tab.11[[#This Row],[b9]]*_xlfn.STDEV.P(Tab.11[data])))</f>
        <v>0</v>
      </c>
      <c r="T932" s="71" t="b">
        <f>IF(Tab.11[[#This Row],[a1]]=1,$I$3+$A$988+IF($K$3=0,Tab.11[[#This Row],[b10]]*_xlfn.STDEV.P(Tab.11[data]),AVERAGE(Tab.11[b6])+Tab.11[[#This Row],[b10]]*_xlfn.STDEV.P(Tab.11[data])))</f>
        <v>0</v>
      </c>
      <c r="U932" s="72" t="b">
        <f>IF(Tab.11[[#This Row],[a1]]=1,Tab.11[[#This Row],[target]]-Tab.11[[#This Row],[Red]])</f>
        <v>0</v>
      </c>
      <c r="V932" s="72" t="b">
        <f>IF(Tab.11[[#This Row],[a1]]=1,Tab.11[[#This Row],[target]]-Tab.11[[#This Row],[Blue]])</f>
        <v>0</v>
      </c>
      <c r="W932" s="73" t="b">
        <f>IF(Tab.11[[#This Row],[a1]]=1,IF(ABS(Tab.11[[#This Row],[b17]])+ABS(Tab.11[[#This Row],[b18]])&lt;$W$2,$W$2,ABS(Tab.11[[#This Row],[b17]])+ABS(Tab.11[[#This Row],[b18]])))</f>
        <v>0</v>
      </c>
      <c r="X932" s="136" t="b">
        <f>IF(Tab.11[[#This Row],[a1]]=1,IF($W$3&lt;0,Tab.11[[#This Row],[IN]]-$I$3,Tab.11[[#This Row],[IN]]))</f>
        <v>0</v>
      </c>
      <c r="Y932" s="136" t="b">
        <f>IF(Tab.11[[#This Row],[a1]]=1,IF($X$3=0,Tab.11[b66],Tab.11[[#This Row],[b66]]-AVERAGE(Tab.11[b66])))</f>
        <v>0</v>
      </c>
      <c r="Z932" s="135" t="b">
        <f>IF(Tab.11[[#This Row],[a1]]=1,Tab.11[[#This Row],[b77]]/(_xlfn.STDEV.P(Tab.11[b77])))</f>
        <v>0</v>
      </c>
      <c r="AA932" s="70" t="b">
        <f>IF(Tab.11[[#This Row],[a1]]=1,_xlfn.NORM.DIST(Tab.11[[#This Row],[b88]],$Z$1,$AA$1,FALSE))</f>
        <v>0</v>
      </c>
      <c r="AB932" s="74" t="b">
        <f>IF(Tab.11[[#This Row],[a1]]=1,IF($A$3=0,FALSE,1/Tab.11[[#This Row],[IN]]*$AC$2*IF(Tab.11[[#This Row],[a1]]=0,,$A$3*$AC$1*1/$V$3*(Tab.11[[#This Row],[b14]]))))</f>
        <v>0</v>
      </c>
      <c r="AC932" s="75" t="b">
        <f>IF(Tab.11[[#This Row],[a1]]=1,IF($AC$3=0,Tab.11[[#This Row],[φ1]],Tab.11[[#This Row],[φ1]]/MAX(Tab.11[φ1])))</f>
        <v>0</v>
      </c>
      <c r="AD932" s="74" t="b">
        <f>IF(Tab.11[[#This Row],[a1]]=1,1/Tab.11[[#This Row],[φ2]])</f>
        <v>0</v>
      </c>
      <c r="AE932" s="74" t="b">
        <f>IF(Tab.11[[#This Row],[a1]]=1,IF($AE$3=0,Tab.11[[#This Row],[w.0]],Tab.11[[#This Row],[w.0]]/SUM(Tab.11[w.0])))</f>
        <v>0</v>
      </c>
      <c r="AF932" s="76" t="str">
        <f>IF(Tab.11[[#This Row],[a1]]=0,"false",[3]!Tab.x5[[#This Row],[%_seN_C]])</f>
        <v>false</v>
      </c>
      <c r="AG932" s="77" t="b">
        <f>IF(Tab.11[[#This Row],[a1]]=1,AP932)</f>
        <v>0</v>
      </c>
      <c r="AH932" s="78" t="b">
        <f>IF(Tab.11[[#This Row],[a1]]=1,AQ932)</f>
        <v>0</v>
      </c>
      <c r="AI932" s="41">
        <v>3.0000000000000001E-3</v>
      </c>
      <c r="AJ932" s="79">
        <v>-0.05</v>
      </c>
      <c r="AK932" s="80" t="b">
        <f>IF(Tab.11[[#This Row],[a1]]=1,1)</f>
        <v>0</v>
      </c>
      <c r="AZ932"/>
    </row>
    <row r="933" spans="1:52" hidden="1" x14ac:dyDescent="0.25">
      <c r="A933" s="61">
        <f t="shared" si="31"/>
        <v>0</v>
      </c>
      <c r="B933" s="62">
        <f t="shared" si="31"/>
        <v>0</v>
      </c>
      <c r="C933" s="62" t="b">
        <f>IF(Tab.11[[#This Row],[a1]]=1,[3]!Tab_x1[[#This Row],[Name]])</f>
        <v>0</v>
      </c>
      <c r="D933" s="63" t="b">
        <f>IF(Tab.11[[#This Row],[a1]]=1,AO933)</f>
        <v>0</v>
      </c>
      <c r="E933" s="63">
        <f t="shared" si="30"/>
        <v>0</v>
      </c>
      <c r="F933" s="64" t="b">
        <f>IF(Tab.11[[#This Row],[a1]]=1,Tab.11[[#This Row],[b1]])</f>
        <v>0</v>
      </c>
      <c r="G933" s="65" t="b">
        <f>IF(Tab.11[[#This Row],[a1]]=1,IF(Tab.11[[#This Row],[b3]]&gt;$L$989*$G$3,$L$989*$G$3,IF(Tab.11[[#This Row],[b3]]&lt;$M$989*$G$3,$M$989*$G$3,Tab.11[[#This Row],[b3]])))</f>
        <v>0</v>
      </c>
      <c r="H933" s="66" t="b">
        <f>IF(Tab.11[[#This Row],[a1]]=1,Tab.11[[#This Row],[b1]])</f>
        <v>0</v>
      </c>
      <c r="I933" s="67" t="b">
        <f>IF(Tab.11[[#This Row],[a1]]=1,Tab.11[[#This Row],[b1]])</f>
        <v>0</v>
      </c>
      <c r="J933" s="68" t="b">
        <f>IF(Tab.11[[#This Row],[a1]]=1,IF($I$3&lt;0,Tab.11[[#This Row],[b5]]-$I$3,Tab.11[[#This Row],[b5]]))</f>
        <v>0</v>
      </c>
      <c r="K933" s="68" t="b">
        <f>IF(Tab.11[[#This Row],[a1]]=1,IF($K$3=0,Tab.11[b6],Tab.11[[#This Row],[b6]]-AVERAGE(Tab.11[b6])))</f>
        <v>0</v>
      </c>
      <c r="L933" s="69" t="b">
        <f>IF(Tab.11[[#This Row],[a1]]=1,Tab.11[[#This Row],[data]]/(_xlfn.STDEV.P(Tab.11[data])*$B$989)+$A$989)</f>
        <v>0</v>
      </c>
      <c r="M933" s="69" t="b">
        <f>IF(Tab.11[[#This Row],[a1]]=1,Tab.11[[#This Row],[data]]/(_xlfn.STDEV.P(Tab.11[data])*$B$987)-$A$987)</f>
        <v>0</v>
      </c>
      <c r="N933" s="69" t="b">
        <f>IF(Tab.11[[#This Row],[a1]]=1,Tab.11[[#This Row],[data]]/(_xlfn.STDEV.P(Tab.11[data])*$B$988)+$A$988)</f>
        <v>0</v>
      </c>
      <c r="O933" s="70" t="b">
        <f>IF(Tab.11[[#This Row],[a1]]=1,_xlfn.NORM.DIST(Tab.11[[#This Row],[b8]],$P$1,$Q$1,FALSE))</f>
        <v>0</v>
      </c>
      <c r="P933" s="70" t="b">
        <f>IF(Tab.11[[#This Row],[a1]]=1,_xlfn.NORM.DIST(Tab.11[[#This Row],[b9]],$P$1,$Q$1,FALSE))</f>
        <v>0</v>
      </c>
      <c r="Q933" s="70" t="b">
        <f>IF(Tab.11[[#This Row],[a1]]=1,_xlfn.NORM.DIST(Tab.11[[#This Row],[b10]],$P$1,$Q$1,FALSE))</f>
        <v>0</v>
      </c>
      <c r="R933" s="67" t="b">
        <f>IF(Tab.11[[#This Row],[a1]]=1,$I$3+$A$989+IF($K$3=0,Tab.11[[#This Row],[b8]]*_xlfn.STDEV.P(Tab.11[data]),AVERAGE(Tab.11[b6])+Tab.11[[#This Row],[b8]]*_xlfn.STDEV.P(Tab.11[data])))</f>
        <v>0</v>
      </c>
      <c r="S933" s="71" t="b">
        <f>IF(Tab.11[[#This Row],[a1]]=1,$I$3+$A$987+IF($K$3=0,Tab.11[[#This Row],[b9]]*_xlfn.STDEV.P(Tab.11[data]),AVERAGE(Tab.11[b6])+Tab.11[[#This Row],[b9]]*_xlfn.STDEV.P(Tab.11[data])))</f>
        <v>0</v>
      </c>
      <c r="T933" s="71" t="b">
        <f>IF(Tab.11[[#This Row],[a1]]=1,$I$3+$A$988+IF($K$3=0,Tab.11[[#This Row],[b10]]*_xlfn.STDEV.P(Tab.11[data]),AVERAGE(Tab.11[b6])+Tab.11[[#This Row],[b10]]*_xlfn.STDEV.P(Tab.11[data])))</f>
        <v>0</v>
      </c>
      <c r="U933" s="72" t="b">
        <f>IF(Tab.11[[#This Row],[a1]]=1,Tab.11[[#This Row],[target]]-Tab.11[[#This Row],[Red]])</f>
        <v>0</v>
      </c>
      <c r="V933" s="72" t="b">
        <f>IF(Tab.11[[#This Row],[a1]]=1,Tab.11[[#This Row],[target]]-Tab.11[[#This Row],[Blue]])</f>
        <v>0</v>
      </c>
      <c r="W933" s="73" t="b">
        <f>IF(Tab.11[[#This Row],[a1]]=1,IF(ABS(Tab.11[[#This Row],[b17]])+ABS(Tab.11[[#This Row],[b18]])&lt;$W$2,$W$2,ABS(Tab.11[[#This Row],[b17]])+ABS(Tab.11[[#This Row],[b18]])))</f>
        <v>0</v>
      </c>
      <c r="X933" s="136" t="b">
        <f>IF(Tab.11[[#This Row],[a1]]=1,IF($W$3&lt;0,Tab.11[[#This Row],[IN]]-$I$3,Tab.11[[#This Row],[IN]]))</f>
        <v>0</v>
      </c>
      <c r="Y933" s="136" t="b">
        <f>IF(Tab.11[[#This Row],[a1]]=1,IF($X$3=0,Tab.11[b66],Tab.11[[#This Row],[b66]]-AVERAGE(Tab.11[b66])))</f>
        <v>0</v>
      </c>
      <c r="Z933" s="135" t="b">
        <f>IF(Tab.11[[#This Row],[a1]]=1,Tab.11[[#This Row],[b77]]/(_xlfn.STDEV.P(Tab.11[b77])))</f>
        <v>0</v>
      </c>
      <c r="AA933" s="70" t="b">
        <f>IF(Tab.11[[#This Row],[a1]]=1,_xlfn.NORM.DIST(Tab.11[[#This Row],[b88]],$Z$1,$AA$1,FALSE))</f>
        <v>0</v>
      </c>
      <c r="AB933" s="74" t="b">
        <f>IF(Tab.11[[#This Row],[a1]]=1,IF($A$3=0,FALSE,1/Tab.11[[#This Row],[IN]]*$AC$2*IF(Tab.11[[#This Row],[a1]]=0,,$A$3*$AC$1*1/$V$3*(Tab.11[[#This Row],[b14]]))))</f>
        <v>0</v>
      </c>
      <c r="AC933" s="75" t="b">
        <f>IF(Tab.11[[#This Row],[a1]]=1,IF($AC$3=0,Tab.11[[#This Row],[φ1]],Tab.11[[#This Row],[φ1]]/MAX(Tab.11[φ1])))</f>
        <v>0</v>
      </c>
      <c r="AD933" s="74" t="b">
        <f>IF(Tab.11[[#This Row],[a1]]=1,1/Tab.11[[#This Row],[φ2]])</f>
        <v>0</v>
      </c>
      <c r="AE933" s="74" t="b">
        <f>IF(Tab.11[[#This Row],[a1]]=1,IF($AE$3=0,Tab.11[[#This Row],[w.0]],Tab.11[[#This Row],[w.0]]/SUM(Tab.11[w.0])))</f>
        <v>0</v>
      </c>
      <c r="AF933" s="76" t="str">
        <f>IF(Tab.11[[#This Row],[a1]]=0,"false",[3]!Tab.x5[[#This Row],[%_seN_C]])</f>
        <v>false</v>
      </c>
      <c r="AG933" s="77" t="b">
        <f>IF(Tab.11[[#This Row],[a1]]=1,AP933)</f>
        <v>0</v>
      </c>
      <c r="AH933" s="78" t="b">
        <f>IF(Tab.11[[#This Row],[a1]]=1,AQ933)</f>
        <v>0</v>
      </c>
      <c r="AI933" s="41">
        <v>3.0000000000000001E-3</v>
      </c>
      <c r="AJ933" s="79">
        <v>0.09</v>
      </c>
      <c r="AK933" s="80" t="b">
        <f>IF(Tab.11[[#This Row],[a1]]=1,1)</f>
        <v>0</v>
      </c>
      <c r="AZ933"/>
    </row>
    <row r="934" spans="1:52" hidden="1" x14ac:dyDescent="0.25">
      <c r="A934" s="61">
        <f t="shared" si="31"/>
        <v>0</v>
      </c>
      <c r="B934" s="62">
        <f t="shared" si="31"/>
        <v>0</v>
      </c>
      <c r="C934" s="62" t="b">
        <f>IF(Tab.11[[#This Row],[a1]]=1,[3]!Tab_x1[[#This Row],[Name]])</f>
        <v>0</v>
      </c>
      <c r="D934" s="63" t="b">
        <f>IF(Tab.11[[#This Row],[a1]]=1,AO934)</f>
        <v>0</v>
      </c>
      <c r="E934" s="63">
        <f t="shared" si="30"/>
        <v>0</v>
      </c>
      <c r="F934" s="64" t="b">
        <f>IF(Tab.11[[#This Row],[a1]]=1,Tab.11[[#This Row],[b1]])</f>
        <v>0</v>
      </c>
      <c r="G934" s="65" t="b">
        <f>IF(Tab.11[[#This Row],[a1]]=1,IF(Tab.11[[#This Row],[b3]]&gt;$L$989*$G$3,$L$989*$G$3,IF(Tab.11[[#This Row],[b3]]&lt;$M$989*$G$3,$M$989*$G$3,Tab.11[[#This Row],[b3]])))</f>
        <v>0</v>
      </c>
      <c r="H934" s="66" t="b">
        <f>IF(Tab.11[[#This Row],[a1]]=1,Tab.11[[#This Row],[b1]])</f>
        <v>0</v>
      </c>
      <c r="I934" s="67" t="b">
        <f>IF(Tab.11[[#This Row],[a1]]=1,Tab.11[[#This Row],[b1]])</f>
        <v>0</v>
      </c>
      <c r="J934" s="68" t="b">
        <f>IF(Tab.11[[#This Row],[a1]]=1,IF($I$3&lt;0,Tab.11[[#This Row],[b5]]-$I$3,Tab.11[[#This Row],[b5]]))</f>
        <v>0</v>
      </c>
      <c r="K934" s="68" t="b">
        <f>IF(Tab.11[[#This Row],[a1]]=1,IF($K$3=0,Tab.11[b6],Tab.11[[#This Row],[b6]]-AVERAGE(Tab.11[b6])))</f>
        <v>0</v>
      </c>
      <c r="L934" s="69" t="b">
        <f>IF(Tab.11[[#This Row],[a1]]=1,Tab.11[[#This Row],[data]]/(_xlfn.STDEV.P(Tab.11[data])*$B$989)+$A$989)</f>
        <v>0</v>
      </c>
      <c r="M934" s="69" t="b">
        <f>IF(Tab.11[[#This Row],[a1]]=1,Tab.11[[#This Row],[data]]/(_xlfn.STDEV.P(Tab.11[data])*$B$987)-$A$987)</f>
        <v>0</v>
      </c>
      <c r="N934" s="69" t="b">
        <f>IF(Tab.11[[#This Row],[a1]]=1,Tab.11[[#This Row],[data]]/(_xlfn.STDEV.P(Tab.11[data])*$B$988)+$A$988)</f>
        <v>0</v>
      </c>
      <c r="O934" s="70" t="b">
        <f>IF(Tab.11[[#This Row],[a1]]=1,_xlfn.NORM.DIST(Tab.11[[#This Row],[b8]],$P$1,$Q$1,FALSE))</f>
        <v>0</v>
      </c>
      <c r="P934" s="70" t="b">
        <f>IF(Tab.11[[#This Row],[a1]]=1,_xlfn.NORM.DIST(Tab.11[[#This Row],[b9]],$P$1,$Q$1,FALSE))</f>
        <v>0</v>
      </c>
      <c r="Q934" s="70" t="b">
        <f>IF(Tab.11[[#This Row],[a1]]=1,_xlfn.NORM.DIST(Tab.11[[#This Row],[b10]],$P$1,$Q$1,FALSE))</f>
        <v>0</v>
      </c>
      <c r="R934" s="67" t="b">
        <f>IF(Tab.11[[#This Row],[a1]]=1,$I$3+$A$989+IF($K$3=0,Tab.11[[#This Row],[b8]]*_xlfn.STDEV.P(Tab.11[data]),AVERAGE(Tab.11[b6])+Tab.11[[#This Row],[b8]]*_xlfn.STDEV.P(Tab.11[data])))</f>
        <v>0</v>
      </c>
      <c r="S934" s="71" t="b">
        <f>IF(Tab.11[[#This Row],[a1]]=1,$I$3+$A$987+IF($K$3=0,Tab.11[[#This Row],[b9]]*_xlfn.STDEV.P(Tab.11[data]),AVERAGE(Tab.11[b6])+Tab.11[[#This Row],[b9]]*_xlfn.STDEV.P(Tab.11[data])))</f>
        <v>0</v>
      </c>
      <c r="T934" s="71" t="b">
        <f>IF(Tab.11[[#This Row],[a1]]=1,$I$3+$A$988+IF($K$3=0,Tab.11[[#This Row],[b10]]*_xlfn.STDEV.P(Tab.11[data]),AVERAGE(Tab.11[b6])+Tab.11[[#This Row],[b10]]*_xlfn.STDEV.P(Tab.11[data])))</f>
        <v>0</v>
      </c>
      <c r="U934" s="72" t="b">
        <f>IF(Tab.11[[#This Row],[a1]]=1,Tab.11[[#This Row],[target]]-Tab.11[[#This Row],[Red]])</f>
        <v>0</v>
      </c>
      <c r="V934" s="72" t="b">
        <f>IF(Tab.11[[#This Row],[a1]]=1,Tab.11[[#This Row],[target]]-Tab.11[[#This Row],[Blue]])</f>
        <v>0</v>
      </c>
      <c r="W934" s="73" t="b">
        <f>IF(Tab.11[[#This Row],[a1]]=1,IF(ABS(Tab.11[[#This Row],[b17]])+ABS(Tab.11[[#This Row],[b18]])&lt;$W$2,$W$2,ABS(Tab.11[[#This Row],[b17]])+ABS(Tab.11[[#This Row],[b18]])))</f>
        <v>0</v>
      </c>
      <c r="X934" s="136" t="b">
        <f>IF(Tab.11[[#This Row],[a1]]=1,IF($W$3&lt;0,Tab.11[[#This Row],[IN]]-$I$3,Tab.11[[#This Row],[IN]]))</f>
        <v>0</v>
      </c>
      <c r="Y934" s="136" t="b">
        <f>IF(Tab.11[[#This Row],[a1]]=1,IF($X$3=0,Tab.11[b66],Tab.11[[#This Row],[b66]]-AVERAGE(Tab.11[b66])))</f>
        <v>0</v>
      </c>
      <c r="Z934" s="135" t="b">
        <f>IF(Tab.11[[#This Row],[a1]]=1,Tab.11[[#This Row],[b77]]/(_xlfn.STDEV.P(Tab.11[b77])))</f>
        <v>0</v>
      </c>
      <c r="AA934" s="70" t="b">
        <f>IF(Tab.11[[#This Row],[a1]]=1,_xlfn.NORM.DIST(Tab.11[[#This Row],[b88]],$Z$1,$AA$1,FALSE))</f>
        <v>0</v>
      </c>
      <c r="AB934" s="74" t="b">
        <f>IF(Tab.11[[#This Row],[a1]]=1,IF($A$3=0,FALSE,1/Tab.11[[#This Row],[IN]]*$AC$2*IF(Tab.11[[#This Row],[a1]]=0,,$A$3*$AC$1*1/$V$3*(Tab.11[[#This Row],[b14]]))))</f>
        <v>0</v>
      </c>
      <c r="AC934" s="75" t="b">
        <f>IF(Tab.11[[#This Row],[a1]]=1,IF($AC$3=0,Tab.11[[#This Row],[φ1]],Tab.11[[#This Row],[φ1]]/MAX(Tab.11[φ1])))</f>
        <v>0</v>
      </c>
      <c r="AD934" s="74" t="b">
        <f>IF(Tab.11[[#This Row],[a1]]=1,1/Tab.11[[#This Row],[φ2]])</f>
        <v>0</v>
      </c>
      <c r="AE934" s="74" t="b">
        <f>IF(Tab.11[[#This Row],[a1]]=1,IF($AE$3=0,Tab.11[[#This Row],[w.0]],Tab.11[[#This Row],[w.0]]/SUM(Tab.11[w.0])))</f>
        <v>0</v>
      </c>
      <c r="AF934" s="76" t="str">
        <f>IF(Tab.11[[#This Row],[a1]]=0,"false",[3]!Tab.x5[[#This Row],[%_seN_C]])</f>
        <v>false</v>
      </c>
      <c r="AG934" s="77" t="b">
        <f>IF(Tab.11[[#This Row],[a1]]=1,AP934)</f>
        <v>0</v>
      </c>
      <c r="AH934" s="78" t="b">
        <f>IF(Tab.11[[#This Row],[a1]]=1,AQ934)</f>
        <v>0</v>
      </c>
      <c r="AI934" s="41">
        <v>3.0000000000000001E-3</v>
      </c>
      <c r="AJ934" s="79">
        <v>0.08</v>
      </c>
      <c r="AK934" s="80" t="b">
        <f>IF(Tab.11[[#This Row],[a1]]=1,1)</f>
        <v>0</v>
      </c>
      <c r="AZ934"/>
    </row>
    <row r="935" spans="1:52" hidden="1" x14ac:dyDescent="0.25">
      <c r="A935" s="61">
        <f t="shared" si="31"/>
        <v>0</v>
      </c>
      <c r="B935" s="62">
        <f t="shared" si="31"/>
        <v>0</v>
      </c>
      <c r="C935" s="62" t="b">
        <f>IF(Tab.11[[#This Row],[a1]]=1,[3]!Tab_x1[[#This Row],[Name]])</f>
        <v>0</v>
      </c>
      <c r="D935" s="63" t="b">
        <f>IF(Tab.11[[#This Row],[a1]]=1,AO935)</f>
        <v>0</v>
      </c>
      <c r="E935" s="63">
        <f t="shared" si="30"/>
        <v>0</v>
      </c>
      <c r="F935" s="64" t="b">
        <f>IF(Tab.11[[#This Row],[a1]]=1,Tab.11[[#This Row],[b1]])</f>
        <v>0</v>
      </c>
      <c r="G935" s="65" t="b">
        <f>IF(Tab.11[[#This Row],[a1]]=1,IF(Tab.11[[#This Row],[b3]]&gt;$L$989*$G$3,$L$989*$G$3,IF(Tab.11[[#This Row],[b3]]&lt;$M$989*$G$3,$M$989*$G$3,Tab.11[[#This Row],[b3]])))</f>
        <v>0</v>
      </c>
      <c r="H935" s="66" t="b">
        <f>IF(Tab.11[[#This Row],[a1]]=1,Tab.11[[#This Row],[b1]])</f>
        <v>0</v>
      </c>
      <c r="I935" s="67" t="b">
        <f>IF(Tab.11[[#This Row],[a1]]=1,Tab.11[[#This Row],[b1]])</f>
        <v>0</v>
      </c>
      <c r="J935" s="68" t="b">
        <f>IF(Tab.11[[#This Row],[a1]]=1,IF($I$3&lt;0,Tab.11[[#This Row],[b5]]-$I$3,Tab.11[[#This Row],[b5]]))</f>
        <v>0</v>
      </c>
      <c r="K935" s="68" t="b">
        <f>IF(Tab.11[[#This Row],[a1]]=1,IF($K$3=0,Tab.11[b6],Tab.11[[#This Row],[b6]]-AVERAGE(Tab.11[b6])))</f>
        <v>0</v>
      </c>
      <c r="L935" s="69" t="b">
        <f>IF(Tab.11[[#This Row],[a1]]=1,Tab.11[[#This Row],[data]]/(_xlfn.STDEV.P(Tab.11[data])*$B$989)+$A$989)</f>
        <v>0</v>
      </c>
      <c r="M935" s="69" t="b">
        <f>IF(Tab.11[[#This Row],[a1]]=1,Tab.11[[#This Row],[data]]/(_xlfn.STDEV.P(Tab.11[data])*$B$987)-$A$987)</f>
        <v>0</v>
      </c>
      <c r="N935" s="69" t="b">
        <f>IF(Tab.11[[#This Row],[a1]]=1,Tab.11[[#This Row],[data]]/(_xlfn.STDEV.P(Tab.11[data])*$B$988)+$A$988)</f>
        <v>0</v>
      </c>
      <c r="O935" s="70" t="b">
        <f>IF(Tab.11[[#This Row],[a1]]=1,_xlfn.NORM.DIST(Tab.11[[#This Row],[b8]],$P$1,$Q$1,FALSE))</f>
        <v>0</v>
      </c>
      <c r="P935" s="70" t="b">
        <f>IF(Tab.11[[#This Row],[a1]]=1,_xlfn.NORM.DIST(Tab.11[[#This Row],[b9]],$P$1,$Q$1,FALSE))</f>
        <v>0</v>
      </c>
      <c r="Q935" s="70" t="b">
        <f>IF(Tab.11[[#This Row],[a1]]=1,_xlfn.NORM.DIST(Tab.11[[#This Row],[b10]],$P$1,$Q$1,FALSE))</f>
        <v>0</v>
      </c>
      <c r="R935" s="67" t="b">
        <f>IF(Tab.11[[#This Row],[a1]]=1,$I$3+$A$989+IF($K$3=0,Tab.11[[#This Row],[b8]]*_xlfn.STDEV.P(Tab.11[data]),AVERAGE(Tab.11[b6])+Tab.11[[#This Row],[b8]]*_xlfn.STDEV.P(Tab.11[data])))</f>
        <v>0</v>
      </c>
      <c r="S935" s="71" t="b">
        <f>IF(Tab.11[[#This Row],[a1]]=1,$I$3+$A$987+IF($K$3=0,Tab.11[[#This Row],[b9]]*_xlfn.STDEV.P(Tab.11[data]),AVERAGE(Tab.11[b6])+Tab.11[[#This Row],[b9]]*_xlfn.STDEV.P(Tab.11[data])))</f>
        <v>0</v>
      </c>
      <c r="T935" s="71" t="b">
        <f>IF(Tab.11[[#This Row],[a1]]=1,$I$3+$A$988+IF($K$3=0,Tab.11[[#This Row],[b10]]*_xlfn.STDEV.P(Tab.11[data]),AVERAGE(Tab.11[b6])+Tab.11[[#This Row],[b10]]*_xlfn.STDEV.P(Tab.11[data])))</f>
        <v>0</v>
      </c>
      <c r="U935" s="72" t="b">
        <f>IF(Tab.11[[#This Row],[a1]]=1,Tab.11[[#This Row],[target]]-Tab.11[[#This Row],[Red]])</f>
        <v>0</v>
      </c>
      <c r="V935" s="72" t="b">
        <f>IF(Tab.11[[#This Row],[a1]]=1,Tab.11[[#This Row],[target]]-Tab.11[[#This Row],[Blue]])</f>
        <v>0</v>
      </c>
      <c r="W935" s="73" t="b">
        <f>IF(Tab.11[[#This Row],[a1]]=1,IF(ABS(Tab.11[[#This Row],[b17]])+ABS(Tab.11[[#This Row],[b18]])&lt;$W$2,$W$2,ABS(Tab.11[[#This Row],[b17]])+ABS(Tab.11[[#This Row],[b18]])))</f>
        <v>0</v>
      </c>
      <c r="X935" s="136" t="b">
        <f>IF(Tab.11[[#This Row],[a1]]=1,IF($W$3&lt;0,Tab.11[[#This Row],[IN]]-$I$3,Tab.11[[#This Row],[IN]]))</f>
        <v>0</v>
      </c>
      <c r="Y935" s="136" t="b">
        <f>IF(Tab.11[[#This Row],[a1]]=1,IF($X$3=0,Tab.11[b66],Tab.11[[#This Row],[b66]]-AVERAGE(Tab.11[b66])))</f>
        <v>0</v>
      </c>
      <c r="Z935" s="135" t="b">
        <f>IF(Tab.11[[#This Row],[a1]]=1,Tab.11[[#This Row],[b77]]/(_xlfn.STDEV.P(Tab.11[b77])))</f>
        <v>0</v>
      </c>
      <c r="AA935" s="70" t="b">
        <f>IF(Tab.11[[#This Row],[a1]]=1,_xlfn.NORM.DIST(Tab.11[[#This Row],[b88]],$Z$1,$AA$1,FALSE))</f>
        <v>0</v>
      </c>
      <c r="AB935" s="74" t="b">
        <f>IF(Tab.11[[#This Row],[a1]]=1,IF($A$3=0,FALSE,1/Tab.11[[#This Row],[IN]]*$AC$2*IF(Tab.11[[#This Row],[a1]]=0,,$A$3*$AC$1*1/$V$3*(Tab.11[[#This Row],[b14]]))))</f>
        <v>0</v>
      </c>
      <c r="AC935" s="75" t="b">
        <f>IF(Tab.11[[#This Row],[a1]]=1,IF($AC$3=0,Tab.11[[#This Row],[φ1]],Tab.11[[#This Row],[φ1]]/MAX(Tab.11[φ1])))</f>
        <v>0</v>
      </c>
      <c r="AD935" s="74" t="b">
        <f>IF(Tab.11[[#This Row],[a1]]=1,1/Tab.11[[#This Row],[φ2]])</f>
        <v>0</v>
      </c>
      <c r="AE935" s="74" t="b">
        <f>IF(Tab.11[[#This Row],[a1]]=1,IF($AE$3=0,Tab.11[[#This Row],[w.0]],Tab.11[[#This Row],[w.0]]/SUM(Tab.11[w.0])))</f>
        <v>0</v>
      </c>
      <c r="AF935" s="76" t="str">
        <f>IF(Tab.11[[#This Row],[a1]]=0,"false",[3]!Tab.x5[[#This Row],[%_seN_C]])</f>
        <v>false</v>
      </c>
      <c r="AG935" s="77" t="b">
        <f>IF(Tab.11[[#This Row],[a1]]=1,AP935)</f>
        <v>0</v>
      </c>
      <c r="AH935" s="78" t="b">
        <f>IF(Tab.11[[#This Row],[a1]]=1,AQ935)</f>
        <v>0</v>
      </c>
      <c r="AI935" s="41">
        <v>3.0000000000000001E-3</v>
      </c>
      <c r="AJ935" s="79">
        <v>-0.02</v>
      </c>
      <c r="AK935" s="80" t="b">
        <f>IF(Tab.11[[#This Row],[a1]]=1,1)</f>
        <v>0</v>
      </c>
      <c r="AZ935"/>
    </row>
    <row r="936" spans="1:52" hidden="1" x14ac:dyDescent="0.25">
      <c r="A936" s="61">
        <f t="shared" si="31"/>
        <v>0</v>
      </c>
      <c r="B936" s="62">
        <f t="shared" si="31"/>
        <v>0</v>
      </c>
      <c r="C936" s="62" t="b">
        <f>IF(Tab.11[[#This Row],[a1]]=1,[3]!Tab_x1[[#This Row],[Name]])</f>
        <v>0</v>
      </c>
      <c r="D936" s="63" t="b">
        <f>IF(Tab.11[[#This Row],[a1]]=1,AO936)</f>
        <v>0</v>
      </c>
      <c r="E936" s="63">
        <f t="shared" si="30"/>
        <v>0</v>
      </c>
      <c r="F936" s="64" t="b">
        <f>IF(Tab.11[[#This Row],[a1]]=1,Tab.11[[#This Row],[b1]])</f>
        <v>0</v>
      </c>
      <c r="G936" s="65" t="b">
        <f>IF(Tab.11[[#This Row],[a1]]=1,IF(Tab.11[[#This Row],[b3]]&gt;$L$989*$G$3,$L$989*$G$3,IF(Tab.11[[#This Row],[b3]]&lt;$M$989*$G$3,$M$989*$G$3,Tab.11[[#This Row],[b3]])))</f>
        <v>0</v>
      </c>
      <c r="H936" s="66" t="b">
        <f>IF(Tab.11[[#This Row],[a1]]=1,Tab.11[[#This Row],[b1]])</f>
        <v>0</v>
      </c>
      <c r="I936" s="67" t="b">
        <f>IF(Tab.11[[#This Row],[a1]]=1,Tab.11[[#This Row],[b1]])</f>
        <v>0</v>
      </c>
      <c r="J936" s="68" t="b">
        <f>IF(Tab.11[[#This Row],[a1]]=1,IF($I$3&lt;0,Tab.11[[#This Row],[b5]]-$I$3,Tab.11[[#This Row],[b5]]))</f>
        <v>0</v>
      </c>
      <c r="K936" s="68" t="b">
        <f>IF(Tab.11[[#This Row],[a1]]=1,IF($K$3=0,Tab.11[b6],Tab.11[[#This Row],[b6]]-AVERAGE(Tab.11[b6])))</f>
        <v>0</v>
      </c>
      <c r="L936" s="69" t="b">
        <f>IF(Tab.11[[#This Row],[a1]]=1,Tab.11[[#This Row],[data]]/(_xlfn.STDEV.P(Tab.11[data])*$B$989)+$A$989)</f>
        <v>0</v>
      </c>
      <c r="M936" s="69" t="b">
        <f>IF(Tab.11[[#This Row],[a1]]=1,Tab.11[[#This Row],[data]]/(_xlfn.STDEV.P(Tab.11[data])*$B$987)-$A$987)</f>
        <v>0</v>
      </c>
      <c r="N936" s="69" t="b">
        <f>IF(Tab.11[[#This Row],[a1]]=1,Tab.11[[#This Row],[data]]/(_xlfn.STDEV.P(Tab.11[data])*$B$988)+$A$988)</f>
        <v>0</v>
      </c>
      <c r="O936" s="70" t="b">
        <f>IF(Tab.11[[#This Row],[a1]]=1,_xlfn.NORM.DIST(Tab.11[[#This Row],[b8]],$P$1,$Q$1,FALSE))</f>
        <v>0</v>
      </c>
      <c r="P936" s="70" t="b">
        <f>IF(Tab.11[[#This Row],[a1]]=1,_xlfn.NORM.DIST(Tab.11[[#This Row],[b9]],$P$1,$Q$1,FALSE))</f>
        <v>0</v>
      </c>
      <c r="Q936" s="70" t="b">
        <f>IF(Tab.11[[#This Row],[a1]]=1,_xlfn.NORM.DIST(Tab.11[[#This Row],[b10]],$P$1,$Q$1,FALSE))</f>
        <v>0</v>
      </c>
      <c r="R936" s="67" t="b">
        <f>IF(Tab.11[[#This Row],[a1]]=1,$I$3+$A$989+IF($K$3=0,Tab.11[[#This Row],[b8]]*_xlfn.STDEV.P(Tab.11[data]),AVERAGE(Tab.11[b6])+Tab.11[[#This Row],[b8]]*_xlfn.STDEV.P(Tab.11[data])))</f>
        <v>0</v>
      </c>
      <c r="S936" s="71" t="b">
        <f>IF(Tab.11[[#This Row],[a1]]=1,$I$3+$A$987+IF($K$3=0,Tab.11[[#This Row],[b9]]*_xlfn.STDEV.P(Tab.11[data]),AVERAGE(Tab.11[b6])+Tab.11[[#This Row],[b9]]*_xlfn.STDEV.P(Tab.11[data])))</f>
        <v>0</v>
      </c>
      <c r="T936" s="71" t="b">
        <f>IF(Tab.11[[#This Row],[a1]]=1,$I$3+$A$988+IF($K$3=0,Tab.11[[#This Row],[b10]]*_xlfn.STDEV.P(Tab.11[data]),AVERAGE(Tab.11[b6])+Tab.11[[#This Row],[b10]]*_xlfn.STDEV.P(Tab.11[data])))</f>
        <v>0</v>
      </c>
      <c r="U936" s="72" t="b">
        <f>IF(Tab.11[[#This Row],[a1]]=1,Tab.11[[#This Row],[target]]-Tab.11[[#This Row],[Red]])</f>
        <v>0</v>
      </c>
      <c r="V936" s="72" t="b">
        <f>IF(Tab.11[[#This Row],[a1]]=1,Tab.11[[#This Row],[target]]-Tab.11[[#This Row],[Blue]])</f>
        <v>0</v>
      </c>
      <c r="W936" s="73" t="b">
        <f>IF(Tab.11[[#This Row],[a1]]=1,IF(ABS(Tab.11[[#This Row],[b17]])+ABS(Tab.11[[#This Row],[b18]])&lt;$W$2,$W$2,ABS(Tab.11[[#This Row],[b17]])+ABS(Tab.11[[#This Row],[b18]])))</f>
        <v>0</v>
      </c>
      <c r="X936" s="136" t="b">
        <f>IF(Tab.11[[#This Row],[a1]]=1,IF($W$3&lt;0,Tab.11[[#This Row],[IN]]-$I$3,Tab.11[[#This Row],[IN]]))</f>
        <v>0</v>
      </c>
      <c r="Y936" s="136" t="b">
        <f>IF(Tab.11[[#This Row],[a1]]=1,IF($X$3=0,Tab.11[b66],Tab.11[[#This Row],[b66]]-AVERAGE(Tab.11[b66])))</f>
        <v>0</v>
      </c>
      <c r="Z936" s="135" t="b">
        <f>IF(Tab.11[[#This Row],[a1]]=1,Tab.11[[#This Row],[b77]]/(_xlfn.STDEV.P(Tab.11[b77])))</f>
        <v>0</v>
      </c>
      <c r="AA936" s="70" t="b">
        <f>IF(Tab.11[[#This Row],[a1]]=1,_xlfn.NORM.DIST(Tab.11[[#This Row],[b88]],$Z$1,$AA$1,FALSE))</f>
        <v>0</v>
      </c>
      <c r="AB936" s="74" t="b">
        <f>IF(Tab.11[[#This Row],[a1]]=1,IF($A$3=0,FALSE,1/Tab.11[[#This Row],[IN]]*$AC$2*IF(Tab.11[[#This Row],[a1]]=0,,$A$3*$AC$1*1/$V$3*(Tab.11[[#This Row],[b14]]))))</f>
        <v>0</v>
      </c>
      <c r="AC936" s="75" t="b">
        <f>IF(Tab.11[[#This Row],[a1]]=1,IF($AC$3=0,Tab.11[[#This Row],[φ1]],Tab.11[[#This Row],[φ1]]/MAX(Tab.11[φ1])))</f>
        <v>0</v>
      </c>
      <c r="AD936" s="74" t="b">
        <f>IF(Tab.11[[#This Row],[a1]]=1,1/Tab.11[[#This Row],[φ2]])</f>
        <v>0</v>
      </c>
      <c r="AE936" s="74" t="b">
        <f>IF(Tab.11[[#This Row],[a1]]=1,IF($AE$3=0,Tab.11[[#This Row],[w.0]],Tab.11[[#This Row],[w.0]]/SUM(Tab.11[w.0])))</f>
        <v>0</v>
      </c>
      <c r="AF936" s="76" t="str">
        <f>IF(Tab.11[[#This Row],[a1]]=0,"false",[3]!Tab.x5[[#This Row],[%_seN_C]])</f>
        <v>false</v>
      </c>
      <c r="AG936" s="77" t="b">
        <f>IF(Tab.11[[#This Row],[a1]]=1,AP936)</f>
        <v>0</v>
      </c>
      <c r="AH936" s="78" t="b">
        <f>IF(Tab.11[[#This Row],[a1]]=1,AQ936)</f>
        <v>0</v>
      </c>
      <c r="AI936" s="41">
        <v>3.0000000000000001E-3</v>
      </c>
      <c r="AJ936" s="79">
        <v>0.08</v>
      </c>
      <c r="AK936" s="80" t="b">
        <f>IF(Tab.11[[#This Row],[a1]]=1,1)</f>
        <v>0</v>
      </c>
      <c r="AZ936"/>
    </row>
    <row r="937" spans="1:52" hidden="1" x14ac:dyDescent="0.25">
      <c r="A937" s="61">
        <f t="shared" si="31"/>
        <v>0</v>
      </c>
      <c r="B937" s="62">
        <f t="shared" si="31"/>
        <v>0</v>
      </c>
      <c r="C937" s="62" t="b">
        <f>IF(Tab.11[[#This Row],[a1]]=1,[3]!Tab_x1[[#This Row],[Name]])</f>
        <v>0</v>
      </c>
      <c r="D937" s="63" t="b">
        <f>IF(Tab.11[[#This Row],[a1]]=1,AO937)</f>
        <v>0</v>
      </c>
      <c r="E937" s="63">
        <f t="shared" si="30"/>
        <v>0</v>
      </c>
      <c r="F937" s="64" t="b">
        <f>IF(Tab.11[[#This Row],[a1]]=1,Tab.11[[#This Row],[b1]])</f>
        <v>0</v>
      </c>
      <c r="G937" s="65" t="b">
        <f>IF(Tab.11[[#This Row],[a1]]=1,IF(Tab.11[[#This Row],[b3]]&gt;$L$989*$G$3,$L$989*$G$3,IF(Tab.11[[#This Row],[b3]]&lt;$M$989*$G$3,$M$989*$G$3,Tab.11[[#This Row],[b3]])))</f>
        <v>0</v>
      </c>
      <c r="H937" s="66" t="b">
        <f>IF(Tab.11[[#This Row],[a1]]=1,Tab.11[[#This Row],[b1]])</f>
        <v>0</v>
      </c>
      <c r="I937" s="67" t="b">
        <f>IF(Tab.11[[#This Row],[a1]]=1,Tab.11[[#This Row],[b1]])</f>
        <v>0</v>
      </c>
      <c r="J937" s="68" t="b">
        <f>IF(Tab.11[[#This Row],[a1]]=1,IF($I$3&lt;0,Tab.11[[#This Row],[b5]]-$I$3,Tab.11[[#This Row],[b5]]))</f>
        <v>0</v>
      </c>
      <c r="K937" s="68" t="b">
        <f>IF(Tab.11[[#This Row],[a1]]=1,IF($K$3=0,Tab.11[b6],Tab.11[[#This Row],[b6]]-AVERAGE(Tab.11[b6])))</f>
        <v>0</v>
      </c>
      <c r="L937" s="69" t="b">
        <f>IF(Tab.11[[#This Row],[a1]]=1,Tab.11[[#This Row],[data]]/(_xlfn.STDEV.P(Tab.11[data])*$B$989)+$A$989)</f>
        <v>0</v>
      </c>
      <c r="M937" s="69" t="b">
        <f>IF(Tab.11[[#This Row],[a1]]=1,Tab.11[[#This Row],[data]]/(_xlfn.STDEV.P(Tab.11[data])*$B$987)-$A$987)</f>
        <v>0</v>
      </c>
      <c r="N937" s="69" t="b">
        <f>IF(Tab.11[[#This Row],[a1]]=1,Tab.11[[#This Row],[data]]/(_xlfn.STDEV.P(Tab.11[data])*$B$988)+$A$988)</f>
        <v>0</v>
      </c>
      <c r="O937" s="70" t="b">
        <f>IF(Tab.11[[#This Row],[a1]]=1,_xlfn.NORM.DIST(Tab.11[[#This Row],[b8]],$P$1,$Q$1,FALSE))</f>
        <v>0</v>
      </c>
      <c r="P937" s="70" t="b">
        <f>IF(Tab.11[[#This Row],[a1]]=1,_xlfn.NORM.DIST(Tab.11[[#This Row],[b9]],$P$1,$Q$1,FALSE))</f>
        <v>0</v>
      </c>
      <c r="Q937" s="70" t="b">
        <f>IF(Tab.11[[#This Row],[a1]]=1,_xlfn.NORM.DIST(Tab.11[[#This Row],[b10]],$P$1,$Q$1,FALSE))</f>
        <v>0</v>
      </c>
      <c r="R937" s="67" t="b">
        <f>IF(Tab.11[[#This Row],[a1]]=1,$I$3+$A$989+IF($K$3=0,Tab.11[[#This Row],[b8]]*_xlfn.STDEV.P(Tab.11[data]),AVERAGE(Tab.11[b6])+Tab.11[[#This Row],[b8]]*_xlfn.STDEV.P(Tab.11[data])))</f>
        <v>0</v>
      </c>
      <c r="S937" s="71" t="b">
        <f>IF(Tab.11[[#This Row],[a1]]=1,$I$3+$A$987+IF($K$3=0,Tab.11[[#This Row],[b9]]*_xlfn.STDEV.P(Tab.11[data]),AVERAGE(Tab.11[b6])+Tab.11[[#This Row],[b9]]*_xlfn.STDEV.P(Tab.11[data])))</f>
        <v>0</v>
      </c>
      <c r="T937" s="71" t="b">
        <f>IF(Tab.11[[#This Row],[a1]]=1,$I$3+$A$988+IF($K$3=0,Tab.11[[#This Row],[b10]]*_xlfn.STDEV.P(Tab.11[data]),AVERAGE(Tab.11[b6])+Tab.11[[#This Row],[b10]]*_xlfn.STDEV.P(Tab.11[data])))</f>
        <v>0</v>
      </c>
      <c r="U937" s="72" t="b">
        <f>IF(Tab.11[[#This Row],[a1]]=1,Tab.11[[#This Row],[target]]-Tab.11[[#This Row],[Red]])</f>
        <v>0</v>
      </c>
      <c r="V937" s="72" t="b">
        <f>IF(Tab.11[[#This Row],[a1]]=1,Tab.11[[#This Row],[target]]-Tab.11[[#This Row],[Blue]])</f>
        <v>0</v>
      </c>
      <c r="W937" s="73" t="b">
        <f>IF(Tab.11[[#This Row],[a1]]=1,IF(ABS(Tab.11[[#This Row],[b17]])+ABS(Tab.11[[#This Row],[b18]])&lt;$W$2,$W$2,ABS(Tab.11[[#This Row],[b17]])+ABS(Tab.11[[#This Row],[b18]])))</f>
        <v>0</v>
      </c>
      <c r="X937" s="136" t="b">
        <f>IF(Tab.11[[#This Row],[a1]]=1,IF($W$3&lt;0,Tab.11[[#This Row],[IN]]-$I$3,Tab.11[[#This Row],[IN]]))</f>
        <v>0</v>
      </c>
      <c r="Y937" s="136" t="b">
        <f>IF(Tab.11[[#This Row],[a1]]=1,IF($X$3=0,Tab.11[b66],Tab.11[[#This Row],[b66]]-AVERAGE(Tab.11[b66])))</f>
        <v>0</v>
      </c>
      <c r="Z937" s="135" t="b">
        <f>IF(Tab.11[[#This Row],[a1]]=1,Tab.11[[#This Row],[b77]]/(_xlfn.STDEV.P(Tab.11[b77])))</f>
        <v>0</v>
      </c>
      <c r="AA937" s="70" t="b">
        <f>IF(Tab.11[[#This Row],[a1]]=1,_xlfn.NORM.DIST(Tab.11[[#This Row],[b88]],$Z$1,$AA$1,FALSE))</f>
        <v>0</v>
      </c>
      <c r="AB937" s="74" t="b">
        <f>IF(Tab.11[[#This Row],[a1]]=1,IF($A$3=0,FALSE,1/Tab.11[[#This Row],[IN]]*$AC$2*IF(Tab.11[[#This Row],[a1]]=0,,$A$3*$AC$1*1/$V$3*(Tab.11[[#This Row],[b14]]))))</f>
        <v>0</v>
      </c>
      <c r="AC937" s="75" t="b">
        <f>IF(Tab.11[[#This Row],[a1]]=1,IF($AC$3=0,Tab.11[[#This Row],[φ1]],Tab.11[[#This Row],[φ1]]/MAX(Tab.11[φ1])))</f>
        <v>0</v>
      </c>
      <c r="AD937" s="74" t="b">
        <f>IF(Tab.11[[#This Row],[a1]]=1,1/Tab.11[[#This Row],[φ2]])</f>
        <v>0</v>
      </c>
      <c r="AE937" s="74" t="b">
        <f>IF(Tab.11[[#This Row],[a1]]=1,IF($AE$3=0,Tab.11[[#This Row],[w.0]],Tab.11[[#This Row],[w.0]]/SUM(Tab.11[w.0])))</f>
        <v>0</v>
      </c>
      <c r="AF937" s="76" t="str">
        <f>IF(Tab.11[[#This Row],[a1]]=0,"false",[3]!Tab.x5[[#This Row],[%_seN_C]])</f>
        <v>false</v>
      </c>
      <c r="AG937" s="77" t="b">
        <f>IF(Tab.11[[#This Row],[a1]]=1,AP937)</f>
        <v>0</v>
      </c>
      <c r="AH937" s="78" t="b">
        <f>IF(Tab.11[[#This Row],[a1]]=1,AQ937)</f>
        <v>0</v>
      </c>
      <c r="AI937" s="41">
        <v>3.0000000000000001E-3</v>
      </c>
      <c r="AJ937" s="79">
        <v>-0.01</v>
      </c>
      <c r="AK937" s="80" t="b">
        <f>IF(Tab.11[[#This Row],[a1]]=1,1)</f>
        <v>0</v>
      </c>
      <c r="AZ937"/>
    </row>
    <row r="938" spans="1:52" hidden="1" x14ac:dyDescent="0.25">
      <c r="A938" s="61">
        <f t="shared" si="31"/>
        <v>0</v>
      </c>
      <c r="B938" s="62">
        <f t="shared" si="31"/>
        <v>0</v>
      </c>
      <c r="C938" s="62" t="b">
        <f>IF(Tab.11[[#This Row],[a1]]=1,[3]!Tab_x1[[#This Row],[Name]])</f>
        <v>0</v>
      </c>
      <c r="D938" s="63" t="b">
        <f>IF(Tab.11[[#This Row],[a1]]=1,AO938)</f>
        <v>0</v>
      </c>
      <c r="E938" s="63">
        <f t="shared" si="30"/>
        <v>0</v>
      </c>
      <c r="F938" s="64" t="b">
        <f>IF(Tab.11[[#This Row],[a1]]=1,Tab.11[[#This Row],[b1]])</f>
        <v>0</v>
      </c>
      <c r="G938" s="65" t="b">
        <f>IF(Tab.11[[#This Row],[a1]]=1,IF(Tab.11[[#This Row],[b3]]&gt;$L$989*$G$3,$L$989*$G$3,IF(Tab.11[[#This Row],[b3]]&lt;$M$989*$G$3,$M$989*$G$3,Tab.11[[#This Row],[b3]])))</f>
        <v>0</v>
      </c>
      <c r="H938" s="66" t="b">
        <f>IF(Tab.11[[#This Row],[a1]]=1,Tab.11[[#This Row],[b1]])</f>
        <v>0</v>
      </c>
      <c r="I938" s="67" t="b">
        <f>IF(Tab.11[[#This Row],[a1]]=1,Tab.11[[#This Row],[b1]])</f>
        <v>0</v>
      </c>
      <c r="J938" s="68" t="b">
        <f>IF(Tab.11[[#This Row],[a1]]=1,IF($I$3&lt;0,Tab.11[[#This Row],[b5]]-$I$3,Tab.11[[#This Row],[b5]]))</f>
        <v>0</v>
      </c>
      <c r="K938" s="68" t="b">
        <f>IF(Tab.11[[#This Row],[a1]]=1,IF($K$3=0,Tab.11[b6],Tab.11[[#This Row],[b6]]-AVERAGE(Tab.11[b6])))</f>
        <v>0</v>
      </c>
      <c r="L938" s="69" t="b">
        <f>IF(Tab.11[[#This Row],[a1]]=1,Tab.11[[#This Row],[data]]/(_xlfn.STDEV.P(Tab.11[data])*$B$989)+$A$989)</f>
        <v>0</v>
      </c>
      <c r="M938" s="69" t="b">
        <f>IF(Tab.11[[#This Row],[a1]]=1,Tab.11[[#This Row],[data]]/(_xlfn.STDEV.P(Tab.11[data])*$B$987)-$A$987)</f>
        <v>0</v>
      </c>
      <c r="N938" s="69" t="b">
        <f>IF(Tab.11[[#This Row],[a1]]=1,Tab.11[[#This Row],[data]]/(_xlfn.STDEV.P(Tab.11[data])*$B$988)+$A$988)</f>
        <v>0</v>
      </c>
      <c r="O938" s="70" t="b">
        <f>IF(Tab.11[[#This Row],[a1]]=1,_xlfn.NORM.DIST(Tab.11[[#This Row],[b8]],$P$1,$Q$1,FALSE))</f>
        <v>0</v>
      </c>
      <c r="P938" s="70" t="b">
        <f>IF(Tab.11[[#This Row],[a1]]=1,_xlfn.NORM.DIST(Tab.11[[#This Row],[b9]],$P$1,$Q$1,FALSE))</f>
        <v>0</v>
      </c>
      <c r="Q938" s="70" t="b">
        <f>IF(Tab.11[[#This Row],[a1]]=1,_xlfn.NORM.DIST(Tab.11[[#This Row],[b10]],$P$1,$Q$1,FALSE))</f>
        <v>0</v>
      </c>
      <c r="R938" s="67" t="b">
        <f>IF(Tab.11[[#This Row],[a1]]=1,$I$3+$A$989+IF($K$3=0,Tab.11[[#This Row],[b8]]*_xlfn.STDEV.P(Tab.11[data]),AVERAGE(Tab.11[b6])+Tab.11[[#This Row],[b8]]*_xlfn.STDEV.P(Tab.11[data])))</f>
        <v>0</v>
      </c>
      <c r="S938" s="71" t="b">
        <f>IF(Tab.11[[#This Row],[a1]]=1,$I$3+$A$987+IF($K$3=0,Tab.11[[#This Row],[b9]]*_xlfn.STDEV.P(Tab.11[data]),AVERAGE(Tab.11[b6])+Tab.11[[#This Row],[b9]]*_xlfn.STDEV.P(Tab.11[data])))</f>
        <v>0</v>
      </c>
      <c r="T938" s="71" t="b">
        <f>IF(Tab.11[[#This Row],[a1]]=1,$I$3+$A$988+IF($K$3=0,Tab.11[[#This Row],[b10]]*_xlfn.STDEV.P(Tab.11[data]),AVERAGE(Tab.11[b6])+Tab.11[[#This Row],[b10]]*_xlfn.STDEV.P(Tab.11[data])))</f>
        <v>0</v>
      </c>
      <c r="U938" s="72" t="b">
        <f>IF(Tab.11[[#This Row],[a1]]=1,Tab.11[[#This Row],[target]]-Tab.11[[#This Row],[Red]])</f>
        <v>0</v>
      </c>
      <c r="V938" s="72" t="b">
        <f>IF(Tab.11[[#This Row],[a1]]=1,Tab.11[[#This Row],[target]]-Tab.11[[#This Row],[Blue]])</f>
        <v>0</v>
      </c>
      <c r="W938" s="73" t="b">
        <f>IF(Tab.11[[#This Row],[a1]]=1,IF(ABS(Tab.11[[#This Row],[b17]])+ABS(Tab.11[[#This Row],[b18]])&lt;$W$2,$W$2,ABS(Tab.11[[#This Row],[b17]])+ABS(Tab.11[[#This Row],[b18]])))</f>
        <v>0</v>
      </c>
      <c r="X938" s="136" t="b">
        <f>IF(Tab.11[[#This Row],[a1]]=1,IF($W$3&lt;0,Tab.11[[#This Row],[IN]]-$I$3,Tab.11[[#This Row],[IN]]))</f>
        <v>0</v>
      </c>
      <c r="Y938" s="136" t="b">
        <f>IF(Tab.11[[#This Row],[a1]]=1,IF($X$3=0,Tab.11[b66],Tab.11[[#This Row],[b66]]-AVERAGE(Tab.11[b66])))</f>
        <v>0</v>
      </c>
      <c r="Z938" s="135" t="b">
        <f>IF(Tab.11[[#This Row],[a1]]=1,Tab.11[[#This Row],[b77]]/(_xlfn.STDEV.P(Tab.11[b77])))</f>
        <v>0</v>
      </c>
      <c r="AA938" s="70" t="b">
        <f>IF(Tab.11[[#This Row],[a1]]=1,_xlfn.NORM.DIST(Tab.11[[#This Row],[b88]],$Z$1,$AA$1,FALSE))</f>
        <v>0</v>
      </c>
      <c r="AB938" s="74" t="b">
        <f>IF(Tab.11[[#This Row],[a1]]=1,IF($A$3=0,FALSE,1/Tab.11[[#This Row],[IN]]*$AC$2*IF(Tab.11[[#This Row],[a1]]=0,,$A$3*$AC$1*1/$V$3*(Tab.11[[#This Row],[b14]]))))</f>
        <v>0</v>
      </c>
      <c r="AC938" s="75" t="b">
        <f>IF(Tab.11[[#This Row],[a1]]=1,IF($AC$3=0,Tab.11[[#This Row],[φ1]],Tab.11[[#This Row],[φ1]]/MAX(Tab.11[φ1])))</f>
        <v>0</v>
      </c>
      <c r="AD938" s="74" t="b">
        <f>IF(Tab.11[[#This Row],[a1]]=1,1/Tab.11[[#This Row],[φ2]])</f>
        <v>0</v>
      </c>
      <c r="AE938" s="74" t="b">
        <f>IF(Tab.11[[#This Row],[a1]]=1,IF($AE$3=0,Tab.11[[#This Row],[w.0]],Tab.11[[#This Row],[w.0]]/SUM(Tab.11[w.0])))</f>
        <v>0</v>
      </c>
      <c r="AF938" s="76" t="str">
        <f>IF(Tab.11[[#This Row],[a1]]=0,"false",[3]!Tab.x5[[#This Row],[%_seN_C]])</f>
        <v>false</v>
      </c>
      <c r="AG938" s="77" t="b">
        <f>IF(Tab.11[[#This Row],[a1]]=1,AP938)</f>
        <v>0</v>
      </c>
      <c r="AH938" s="78" t="b">
        <f>IF(Tab.11[[#This Row],[a1]]=1,AQ938)</f>
        <v>0</v>
      </c>
      <c r="AI938" s="41">
        <v>3.0000000000000001E-3</v>
      </c>
      <c r="AJ938" s="79">
        <v>-0.01</v>
      </c>
      <c r="AK938" s="80" t="b">
        <f>IF(Tab.11[[#This Row],[a1]]=1,1)</f>
        <v>0</v>
      </c>
      <c r="AZ938"/>
    </row>
    <row r="939" spans="1:52" hidden="1" x14ac:dyDescent="0.25">
      <c r="A939" s="61">
        <f t="shared" si="31"/>
        <v>0</v>
      </c>
      <c r="B939" s="62">
        <f t="shared" si="31"/>
        <v>0</v>
      </c>
      <c r="C939" s="62" t="b">
        <f>IF(Tab.11[[#This Row],[a1]]=1,[3]!Tab_x1[[#This Row],[Name]])</f>
        <v>0</v>
      </c>
      <c r="D939" s="63" t="b">
        <f>IF(Tab.11[[#This Row],[a1]]=1,AO939)</f>
        <v>0</v>
      </c>
      <c r="E939" s="63">
        <f t="shared" si="30"/>
        <v>0</v>
      </c>
      <c r="F939" s="64" t="b">
        <f>IF(Tab.11[[#This Row],[a1]]=1,Tab.11[[#This Row],[b1]])</f>
        <v>0</v>
      </c>
      <c r="G939" s="65" t="b">
        <f>IF(Tab.11[[#This Row],[a1]]=1,IF(Tab.11[[#This Row],[b3]]&gt;$L$989*$G$3,$L$989*$G$3,IF(Tab.11[[#This Row],[b3]]&lt;$M$989*$G$3,$M$989*$G$3,Tab.11[[#This Row],[b3]])))</f>
        <v>0</v>
      </c>
      <c r="H939" s="66" t="b">
        <f>IF(Tab.11[[#This Row],[a1]]=1,Tab.11[[#This Row],[b1]])</f>
        <v>0</v>
      </c>
      <c r="I939" s="67" t="b">
        <f>IF(Tab.11[[#This Row],[a1]]=1,Tab.11[[#This Row],[b1]])</f>
        <v>0</v>
      </c>
      <c r="J939" s="68" t="b">
        <f>IF(Tab.11[[#This Row],[a1]]=1,IF($I$3&lt;0,Tab.11[[#This Row],[b5]]-$I$3,Tab.11[[#This Row],[b5]]))</f>
        <v>0</v>
      </c>
      <c r="K939" s="68" t="b">
        <f>IF(Tab.11[[#This Row],[a1]]=1,IF($K$3=0,Tab.11[b6],Tab.11[[#This Row],[b6]]-AVERAGE(Tab.11[b6])))</f>
        <v>0</v>
      </c>
      <c r="L939" s="69" t="b">
        <f>IF(Tab.11[[#This Row],[a1]]=1,Tab.11[[#This Row],[data]]/(_xlfn.STDEV.P(Tab.11[data])*$B$989)+$A$989)</f>
        <v>0</v>
      </c>
      <c r="M939" s="69" t="b">
        <f>IF(Tab.11[[#This Row],[a1]]=1,Tab.11[[#This Row],[data]]/(_xlfn.STDEV.P(Tab.11[data])*$B$987)-$A$987)</f>
        <v>0</v>
      </c>
      <c r="N939" s="69" t="b">
        <f>IF(Tab.11[[#This Row],[a1]]=1,Tab.11[[#This Row],[data]]/(_xlfn.STDEV.P(Tab.11[data])*$B$988)+$A$988)</f>
        <v>0</v>
      </c>
      <c r="O939" s="70" t="b">
        <f>IF(Tab.11[[#This Row],[a1]]=1,_xlfn.NORM.DIST(Tab.11[[#This Row],[b8]],$P$1,$Q$1,FALSE))</f>
        <v>0</v>
      </c>
      <c r="P939" s="70" t="b">
        <f>IF(Tab.11[[#This Row],[a1]]=1,_xlfn.NORM.DIST(Tab.11[[#This Row],[b9]],$P$1,$Q$1,FALSE))</f>
        <v>0</v>
      </c>
      <c r="Q939" s="70" t="b">
        <f>IF(Tab.11[[#This Row],[a1]]=1,_xlfn.NORM.DIST(Tab.11[[#This Row],[b10]],$P$1,$Q$1,FALSE))</f>
        <v>0</v>
      </c>
      <c r="R939" s="67" t="b">
        <f>IF(Tab.11[[#This Row],[a1]]=1,$I$3+$A$989+IF($K$3=0,Tab.11[[#This Row],[b8]]*_xlfn.STDEV.P(Tab.11[data]),AVERAGE(Tab.11[b6])+Tab.11[[#This Row],[b8]]*_xlfn.STDEV.P(Tab.11[data])))</f>
        <v>0</v>
      </c>
      <c r="S939" s="71" t="b">
        <f>IF(Tab.11[[#This Row],[a1]]=1,$I$3+$A$987+IF($K$3=0,Tab.11[[#This Row],[b9]]*_xlfn.STDEV.P(Tab.11[data]),AVERAGE(Tab.11[b6])+Tab.11[[#This Row],[b9]]*_xlfn.STDEV.P(Tab.11[data])))</f>
        <v>0</v>
      </c>
      <c r="T939" s="71" t="b">
        <f>IF(Tab.11[[#This Row],[a1]]=1,$I$3+$A$988+IF($K$3=0,Tab.11[[#This Row],[b10]]*_xlfn.STDEV.P(Tab.11[data]),AVERAGE(Tab.11[b6])+Tab.11[[#This Row],[b10]]*_xlfn.STDEV.P(Tab.11[data])))</f>
        <v>0</v>
      </c>
      <c r="U939" s="72" t="b">
        <f>IF(Tab.11[[#This Row],[a1]]=1,Tab.11[[#This Row],[target]]-Tab.11[[#This Row],[Red]])</f>
        <v>0</v>
      </c>
      <c r="V939" s="72" t="b">
        <f>IF(Tab.11[[#This Row],[a1]]=1,Tab.11[[#This Row],[target]]-Tab.11[[#This Row],[Blue]])</f>
        <v>0</v>
      </c>
      <c r="W939" s="73" t="b">
        <f>IF(Tab.11[[#This Row],[a1]]=1,IF(ABS(Tab.11[[#This Row],[b17]])+ABS(Tab.11[[#This Row],[b18]])&lt;$W$2,$W$2,ABS(Tab.11[[#This Row],[b17]])+ABS(Tab.11[[#This Row],[b18]])))</f>
        <v>0</v>
      </c>
      <c r="X939" s="136" t="b">
        <f>IF(Tab.11[[#This Row],[a1]]=1,IF($W$3&lt;0,Tab.11[[#This Row],[IN]]-$I$3,Tab.11[[#This Row],[IN]]))</f>
        <v>0</v>
      </c>
      <c r="Y939" s="136" t="b">
        <f>IF(Tab.11[[#This Row],[a1]]=1,IF($X$3=0,Tab.11[b66],Tab.11[[#This Row],[b66]]-AVERAGE(Tab.11[b66])))</f>
        <v>0</v>
      </c>
      <c r="Z939" s="135" t="b">
        <f>IF(Tab.11[[#This Row],[a1]]=1,Tab.11[[#This Row],[b77]]/(_xlfn.STDEV.P(Tab.11[b77])))</f>
        <v>0</v>
      </c>
      <c r="AA939" s="70" t="b">
        <f>IF(Tab.11[[#This Row],[a1]]=1,_xlfn.NORM.DIST(Tab.11[[#This Row],[b88]],$Z$1,$AA$1,FALSE))</f>
        <v>0</v>
      </c>
      <c r="AB939" s="74" t="b">
        <f>IF(Tab.11[[#This Row],[a1]]=1,IF($A$3=0,FALSE,1/Tab.11[[#This Row],[IN]]*$AC$2*IF(Tab.11[[#This Row],[a1]]=0,,$A$3*$AC$1*1/$V$3*(Tab.11[[#This Row],[b14]]))))</f>
        <v>0</v>
      </c>
      <c r="AC939" s="75" t="b">
        <f>IF(Tab.11[[#This Row],[a1]]=1,IF($AC$3=0,Tab.11[[#This Row],[φ1]],Tab.11[[#This Row],[φ1]]/MAX(Tab.11[φ1])))</f>
        <v>0</v>
      </c>
      <c r="AD939" s="74" t="b">
        <f>IF(Tab.11[[#This Row],[a1]]=1,1/Tab.11[[#This Row],[φ2]])</f>
        <v>0</v>
      </c>
      <c r="AE939" s="74" t="b">
        <f>IF(Tab.11[[#This Row],[a1]]=1,IF($AE$3=0,Tab.11[[#This Row],[w.0]],Tab.11[[#This Row],[w.0]]/SUM(Tab.11[w.0])))</f>
        <v>0</v>
      </c>
      <c r="AF939" s="76" t="str">
        <f>IF(Tab.11[[#This Row],[a1]]=0,"false",[3]!Tab.x5[[#This Row],[%_seN_C]])</f>
        <v>false</v>
      </c>
      <c r="AG939" s="77" t="b">
        <f>IF(Tab.11[[#This Row],[a1]]=1,AP939)</f>
        <v>0</v>
      </c>
      <c r="AH939" s="78" t="b">
        <f>IF(Tab.11[[#This Row],[a1]]=1,AQ939)</f>
        <v>0</v>
      </c>
      <c r="AI939" s="41">
        <v>3.0000000000000001E-3</v>
      </c>
      <c r="AJ939" s="79">
        <v>-0.03</v>
      </c>
      <c r="AK939" s="80" t="b">
        <f>IF(Tab.11[[#This Row],[a1]]=1,1)</f>
        <v>0</v>
      </c>
      <c r="AZ939"/>
    </row>
    <row r="940" spans="1:52" hidden="1" x14ac:dyDescent="0.25">
      <c r="A940" s="61">
        <f t="shared" si="31"/>
        <v>0</v>
      </c>
      <c r="B940" s="62">
        <f t="shared" si="31"/>
        <v>0</v>
      </c>
      <c r="C940" s="62" t="b">
        <f>IF(Tab.11[[#This Row],[a1]]=1,[3]!Tab_x1[[#This Row],[Name]])</f>
        <v>0</v>
      </c>
      <c r="D940" s="63" t="b">
        <f>IF(Tab.11[[#This Row],[a1]]=1,AO940)</f>
        <v>0</v>
      </c>
      <c r="E940" s="63">
        <f t="shared" si="30"/>
        <v>0</v>
      </c>
      <c r="F940" s="64" t="b">
        <f>IF(Tab.11[[#This Row],[a1]]=1,Tab.11[[#This Row],[b1]])</f>
        <v>0</v>
      </c>
      <c r="G940" s="65" t="b">
        <f>IF(Tab.11[[#This Row],[a1]]=1,IF(Tab.11[[#This Row],[b3]]&gt;$L$989*$G$3,$L$989*$G$3,IF(Tab.11[[#This Row],[b3]]&lt;$M$989*$G$3,$M$989*$G$3,Tab.11[[#This Row],[b3]])))</f>
        <v>0</v>
      </c>
      <c r="H940" s="66" t="b">
        <f>IF(Tab.11[[#This Row],[a1]]=1,Tab.11[[#This Row],[b1]])</f>
        <v>0</v>
      </c>
      <c r="I940" s="67" t="b">
        <f>IF(Tab.11[[#This Row],[a1]]=1,Tab.11[[#This Row],[b1]])</f>
        <v>0</v>
      </c>
      <c r="J940" s="68" t="b">
        <f>IF(Tab.11[[#This Row],[a1]]=1,IF($I$3&lt;0,Tab.11[[#This Row],[b5]]-$I$3,Tab.11[[#This Row],[b5]]))</f>
        <v>0</v>
      </c>
      <c r="K940" s="68" t="b">
        <f>IF(Tab.11[[#This Row],[a1]]=1,IF($K$3=0,Tab.11[b6],Tab.11[[#This Row],[b6]]-AVERAGE(Tab.11[b6])))</f>
        <v>0</v>
      </c>
      <c r="L940" s="69" t="b">
        <f>IF(Tab.11[[#This Row],[a1]]=1,Tab.11[[#This Row],[data]]/(_xlfn.STDEV.P(Tab.11[data])*$B$989)+$A$989)</f>
        <v>0</v>
      </c>
      <c r="M940" s="69" t="b">
        <f>IF(Tab.11[[#This Row],[a1]]=1,Tab.11[[#This Row],[data]]/(_xlfn.STDEV.P(Tab.11[data])*$B$987)-$A$987)</f>
        <v>0</v>
      </c>
      <c r="N940" s="69" t="b">
        <f>IF(Tab.11[[#This Row],[a1]]=1,Tab.11[[#This Row],[data]]/(_xlfn.STDEV.P(Tab.11[data])*$B$988)+$A$988)</f>
        <v>0</v>
      </c>
      <c r="O940" s="70" t="b">
        <f>IF(Tab.11[[#This Row],[a1]]=1,_xlfn.NORM.DIST(Tab.11[[#This Row],[b8]],$P$1,$Q$1,FALSE))</f>
        <v>0</v>
      </c>
      <c r="P940" s="70" t="b">
        <f>IF(Tab.11[[#This Row],[a1]]=1,_xlfn.NORM.DIST(Tab.11[[#This Row],[b9]],$P$1,$Q$1,FALSE))</f>
        <v>0</v>
      </c>
      <c r="Q940" s="70" t="b">
        <f>IF(Tab.11[[#This Row],[a1]]=1,_xlfn.NORM.DIST(Tab.11[[#This Row],[b10]],$P$1,$Q$1,FALSE))</f>
        <v>0</v>
      </c>
      <c r="R940" s="67" t="b">
        <f>IF(Tab.11[[#This Row],[a1]]=1,$I$3+$A$989+IF($K$3=0,Tab.11[[#This Row],[b8]]*_xlfn.STDEV.P(Tab.11[data]),AVERAGE(Tab.11[b6])+Tab.11[[#This Row],[b8]]*_xlfn.STDEV.P(Tab.11[data])))</f>
        <v>0</v>
      </c>
      <c r="S940" s="71" t="b">
        <f>IF(Tab.11[[#This Row],[a1]]=1,$I$3+$A$987+IF($K$3=0,Tab.11[[#This Row],[b9]]*_xlfn.STDEV.P(Tab.11[data]),AVERAGE(Tab.11[b6])+Tab.11[[#This Row],[b9]]*_xlfn.STDEV.P(Tab.11[data])))</f>
        <v>0</v>
      </c>
      <c r="T940" s="71" t="b">
        <f>IF(Tab.11[[#This Row],[a1]]=1,$I$3+$A$988+IF($K$3=0,Tab.11[[#This Row],[b10]]*_xlfn.STDEV.P(Tab.11[data]),AVERAGE(Tab.11[b6])+Tab.11[[#This Row],[b10]]*_xlfn.STDEV.P(Tab.11[data])))</f>
        <v>0</v>
      </c>
      <c r="U940" s="72" t="b">
        <f>IF(Tab.11[[#This Row],[a1]]=1,Tab.11[[#This Row],[target]]-Tab.11[[#This Row],[Red]])</f>
        <v>0</v>
      </c>
      <c r="V940" s="72" t="b">
        <f>IF(Tab.11[[#This Row],[a1]]=1,Tab.11[[#This Row],[target]]-Tab.11[[#This Row],[Blue]])</f>
        <v>0</v>
      </c>
      <c r="W940" s="73" t="b">
        <f>IF(Tab.11[[#This Row],[a1]]=1,IF(ABS(Tab.11[[#This Row],[b17]])+ABS(Tab.11[[#This Row],[b18]])&lt;$W$2,$W$2,ABS(Tab.11[[#This Row],[b17]])+ABS(Tab.11[[#This Row],[b18]])))</f>
        <v>0</v>
      </c>
      <c r="X940" s="136" t="b">
        <f>IF(Tab.11[[#This Row],[a1]]=1,IF($W$3&lt;0,Tab.11[[#This Row],[IN]]-$I$3,Tab.11[[#This Row],[IN]]))</f>
        <v>0</v>
      </c>
      <c r="Y940" s="136" t="b">
        <f>IF(Tab.11[[#This Row],[a1]]=1,IF($X$3=0,Tab.11[b66],Tab.11[[#This Row],[b66]]-AVERAGE(Tab.11[b66])))</f>
        <v>0</v>
      </c>
      <c r="Z940" s="135" t="b">
        <f>IF(Tab.11[[#This Row],[a1]]=1,Tab.11[[#This Row],[b77]]/(_xlfn.STDEV.P(Tab.11[b77])))</f>
        <v>0</v>
      </c>
      <c r="AA940" s="70" t="b">
        <f>IF(Tab.11[[#This Row],[a1]]=1,_xlfn.NORM.DIST(Tab.11[[#This Row],[b88]],$Z$1,$AA$1,FALSE))</f>
        <v>0</v>
      </c>
      <c r="AB940" s="74" t="b">
        <f>IF(Tab.11[[#This Row],[a1]]=1,IF($A$3=0,FALSE,1/Tab.11[[#This Row],[IN]]*$AC$2*IF(Tab.11[[#This Row],[a1]]=0,,$A$3*$AC$1*1/$V$3*(Tab.11[[#This Row],[b14]]))))</f>
        <v>0</v>
      </c>
      <c r="AC940" s="75" t="b">
        <f>IF(Tab.11[[#This Row],[a1]]=1,IF($AC$3=0,Tab.11[[#This Row],[φ1]],Tab.11[[#This Row],[φ1]]/MAX(Tab.11[φ1])))</f>
        <v>0</v>
      </c>
      <c r="AD940" s="74" t="b">
        <f>IF(Tab.11[[#This Row],[a1]]=1,1/Tab.11[[#This Row],[φ2]])</f>
        <v>0</v>
      </c>
      <c r="AE940" s="74" t="b">
        <f>IF(Tab.11[[#This Row],[a1]]=1,IF($AE$3=0,Tab.11[[#This Row],[w.0]],Tab.11[[#This Row],[w.0]]/SUM(Tab.11[w.0])))</f>
        <v>0</v>
      </c>
      <c r="AF940" s="76" t="str">
        <f>IF(Tab.11[[#This Row],[a1]]=0,"false",[3]!Tab.x5[[#This Row],[%_seN_C]])</f>
        <v>false</v>
      </c>
      <c r="AG940" s="77" t="b">
        <f>IF(Tab.11[[#This Row],[a1]]=1,AP940)</f>
        <v>0</v>
      </c>
      <c r="AH940" s="78" t="b">
        <f>IF(Tab.11[[#This Row],[a1]]=1,AQ940)</f>
        <v>0</v>
      </c>
      <c r="AI940" s="41">
        <v>3.0000000000000001E-3</v>
      </c>
      <c r="AJ940" s="79">
        <v>-0.04</v>
      </c>
      <c r="AK940" s="80" t="b">
        <f>IF(Tab.11[[#This Row],[a1]]=1,1)</f>
        <v>0</v>
      </c>
      <c r="AZ940"/>
    </row>
    <row r="941" spans="1:52" hidden="1" x14ac:dyDescent="0.25">
      <c r="A941" s="61">
        <f t="shared" si="31"/>
        <v>0</v>
      </c>
      <c r="B941" s="62">
        <f t="shared" si="31"/>
        <v>0</v>
      </c>
      <c r="C941" s="62" t="b">
        <f>IF(Tab.11[[#This Row],[a1]]=1,[3]!Tab_x1[[#This Row],[Name]])</f>
        <v>0</v>
      </c>
      <c r="D941" s="63" t="b">
        <f>IF(Tab.11[[#This Row],[a1]]=1,AO941)</f>
        <v>0</v>
      </c>
      <c r="E941" s="63">
        <f t="shared" si="30"/>
        <v>0</v>
      </c>
      <c r="F941" s="64" t="b">
        <f>IF(Tab.11[[#This Row],[a1]]=1,Tab.11[[#This Row],[b1]])</f>
        <v>0</v>
      </c>
      <c r="G941" s="65" t="b">
        <f>IF(Tab.11[[#This Row],[a1]]=1,IF(Tab.11[[#This Row],[b3]]&gt;$L$989*$G$3,$L$989*$G$3,IF(Tab.11[[#This Row],[b3]]&lt;$M$989*$G$3,$M$989*$G$3,Tab.11[[#This Row],[b3]])))</f>
        <v>0</v>
      </c>
      <c r="H941" s="66" t="b">
        <f>IF(Tab.11[[#This Row],[a1]]=1,Tab.11[[#This Row],[b1]])</f>
        <v>0</v>
      </c>
      <c r="I941" s="67" t="b">
        <f>IF(Tab.11[[#This Row],[a1]]=1,Tab.11[[#This Row],[b1]])</f>
        <v>0</v>
      </c>
      <c r="J941" s="68" t="b">
        <f>IF(Tab.11[[#This Row],[a1]]=1,IF($I$3&lt;0,Tab.11[[#This Row],[b5]]-$I$3,Tab.11[[#This Row],[b5]]))</f>
        <v>0</v>
      </c>
      <c r="K941" s="68" t="b">
        <f>IF(Tab.11[[#This Row],[a1]]=1,IF($K$3=0,Tab.11[b6],Tab.11[[#This Row],[b6]]-AVERAGE(Tab.11[b6])))</f>
        <v>0</v>
      </c>
      <c r="L941" s="69" t="b">
        <f>IF(Tab.11[[#This Row],[a1]]=1,Tab.11[[#This Row],[data]]/(_xlfn.STDEV.P(Tab.11[data])*$B$989)+$A$989)</f>
        <v>0</v>
      </c>
      <c r="M941" s="69" t="b">
        <f>IF(Tab.11[[#This Row],[a1]]=1,Tab.11[[#This Row],[data]]/(_xlfn.STDEV.P(Tab.11[data])*$B$987)-$A$987)</f>
        <v>0</v>
      </c>
      <c r="N941" s="69" t="b">
        <f>IF(Tab.11[[#This Row],[a1]]=1,Tab.11[[#This Row],[data]]/(_xlfn.STDEV.P(Tab.11[data])*$B$988)+$A$988)</f>
        <v>0</v>
      </c>
      <c r="O941" s="70" t="b">
        <f>IF(Tab.11[[#This Row],[a1]]=1,_xlfn.NORM.DIST(Tab.11[[#This Row],[b8]],$P$1,$Q$1,FALSE))</f>
        <v>0</v>
      </c>
      <c r="P941" s="70" t="b">
        <f>IF(Tab.11[[#This Row],[a1]]=1,_xlfn.NORM.DIST(Tab.11[[#This Row],[b9]],$P$1,$Q$1,FALSE))</f>
        <v>0</v>
      </c>
      <c r="Q941" s="70" t="b">
        <f>IF(Tab.11[[#This Row],[a1]]=1,_xlfn.NORM.DIST(Tab.11[[#This Row],[b10]],$P$1,$Q$1,FALSE))</f>
        <v>0</v>
      </c>
      <c r="R941" s="67" t="b">
        <f>IF(Tab.11[[#This Row],[a1]]=1,$I$3+$A$989+IF($K$3=0,Tab.11[[#This Row],[b8]]*_xlfn.STDEV.P(Tab.11[data]),AVERAGE(Tab.11[b6])+Tab.11[[#This Row],[b8]]*_xlfn.STDEV.P(Tab.11[data])))</f>
        <v>0</v>
      </c>
      <c r="S941" s="71" t="b">
        <f>IF(Tab.11[[#This Row],[a1]]=1,$I$3+$A$987+IF($K$3=0,Tab.11[[#This Row],[b9]]*_xlfn.STDEV.P(Tab.11[data]),AVERAGE(Tab.11[b6])+Tab.11[[#This Row],[b9]]*_xlfn.STDEV.P(Tab.11[data])))</f>
        <v>0</v>
      </c>
      <c r="T941" s="71" t="b">
        <f>IF(Tab.11[[#This Row],[a1]]=1,$I$3+$A$988+IF($K$3=0,Tab.11[[#This Row],[b10]]*_xlfn.STDEV.P(Tab.11[data]),AVERAGE(Tab.11[b6])+Tab.11[[#This Row],[b10]]*_xlfn.STDEV.P(Tab.11[data])))</f>
        <v>0</v>
      </c>
      <c r="U941" s="72" t="b">
        <f>IF(Tab.11[[#This Row],[a1]]=1,Tab.11[[#This Row],[target]]-Tab.11[[#This Row],[Red]])</f>
        <v>0</v>
      </c>
      <c r="V941" s="72" t="b">
        <f>IF(Tab.11[[#This Row],[a1]]=1,Tab.11[[#This Row],[target]]-Tab.11[[#This Row],[Blue]])</f>
        <v>0</v>
      </c>
      <c r="W941" s="73" t="b">
        <f>IF(Tab.11[[#This Row],[a1]]=1,IF(ABS(Tab.11[[#This Row],[b17]])+ABS(Tab.11[[#This Row],[b18]])&lt;$W$2,$W$2,ABS(Tab.11[[#This Row],[b17]])+ABS(Tab.11[[#This Row],[b18]])))</f>
        <v>0</v>
      </c>
      <c r="X941" s="136" t="b">
        <f>IF(Tab.11[[#This Row],[a1]]=1,IF($W$3&lt;0,Tab.11[[#This Row],[IN]]-$I$3,Tab.11[[#This Row],[IN]]))</f>
        <v>0</v>
      </c>
      <c r="Y941" s="136" t="b">
        <f>IF(Tab.11[[#This Row],[a1]]=1,IF($X$3=0,Tab.11[b66],Tab.11[[#This Row],[b66]]-AVERAGE(Tab.11[b66])))</f>
        <v>0</v>
      </c>
      <c r="Z941" s="135" t="b">
        <f>IF(Tab.11[[#This Row],[a1]]=1,Tab.11[[#This Row],[b77]]/(_xlfn.STDEV.P(Tab.11[b77])))</f>
        <v>0</v>
      </c>
      <c r="AA941" s="70" t="b">
        <f>IF(Tab.11[[#This Row],[a1]]=1,_xlfn.NORM.DIST(Tab.11[[#This Row],[b88]],$Z$1,$AA$1,FALSE))</f>
        <v>0</v>
      </c>
      <c r="AB941" s="74" t="b">
        <f>IF(Tab.11[[#This Row],[a1]]=1,IF($A$3=0,FALSE,1/Tab.11[[#This Row],[IN]]*$AC$2*IF(Tab.11[[#This Row],[a1]]=0,,$A$3*$AC$1*1/$V$3*(Tab.11[[#This Row],[b14]]))))</f>
        <v>0</v>
      </c>
      <c r="AC941" s="75" t="b">
        <f>IF(Tab.11[[#This Row],[a1]]=1,IF($AC$3=0,Tab.11[[#This Row],[φ1]],Tab.11[[#This Row],[φ1]]/MAX(Tab.11[φ1])))</f>
        <v>0</v>
      </c>
      <c r="AD941" s="74" t="b">
        <f>IF(Tab.11[[#This Row],[a1]]=1,1/Tab.11[[#This Row],[φ2]])</f>
        <v>0</v>
      </c>
      <c r="AE941" s="74" t="b">
        <f>IF(Tab.11[[#This Row],[a1]]=1,IF($AE$3=0,Tab.11[[#This Row],[w.0]],Tab.11[[#This Row],[w.0]]/SUM(Tab.11[w.0])))</f>
        <v>0</v>
      </c>
      <c r="AF941" s="76" t="str">
        <f>IF(Tab.11[[#This Row],[a1]]=0,"false",[3]!Tab.x5[[#This Row],[%_seN_C]])</f>
        <v>false</v>
      </c>
      <c r="AG941" s="77" t="b">
        <f>IF(Tab.11[[#This Row],[a1]]=1,AP941)</f>
        <v>0</v>
      </c>
      <c r="AH941" s="78" t="b">
        <f>IF(Tab.11[[#This Row],[a1]]=1,AQ941)</f>
        <v>0</v>
      </c>
      <c r="AI941" s="41">
        <v>3.0000000000000001E-3</v>
      </c>
      <c r="AJ941" s="79">
        <v>0.02</v>
      </c>
      <c r="AK941" s="80" t="b">
        <f>IF(Tab.11[[#This Row],[a1]]=1,1)</f>
        <v>0</v>
      </c>
      <c r="AZ941"/>
    </row>
    <row r="942" spans="1:52" hidden="1" x14ac:dyDescent="0.25">
      <c r="A942" s="61">
        <f t="shared" si="31"/>
        <v>0</v>
      </c>
      <c r="B942" s="62">
        <f t="shared" si="31"/>
        <v>0</v>
      </c>
      <c r="C942" s="62" t="b">
        <f>IF(Tab.11[[#This Row],[a1]]=1,[3]!Tab_x1[[#This Row],[Name]])</f>
        <v>0</v>
      </c>
      <c r="D942" s="63" t="b">
        <f>IF(Tab.11[[#This Row],[a1]]=1,AO942)</f>
        <v>0</v>
      </c>
      <c r="E942" s="63">
        <f t="shared" si="30"/>
        <v>0</v>
      </c>
      <c r="F942" s="64" t="b">
        <f>IF(Tab.11[[#This Row],[a1]]=1,Tab.11[[#This Row],[b1]])</f>
        <v>0</v>
      </c>
      <c r="G942" s="65" t="b">
        <f>IF(Tab.11[[#This Row],[a1]]=1,IF(Tab.11[[#This Row],[b3]]&gt;$L$989*$G$3,$L$989*$G$3,IF(Tab.11[[#This Row],[b3]]&lt;$M$989*$G$3,$M$989*$G$3,Tab.11[[#This Row],[b3]])))</f>
        <v>0</v>
      </c>
      <c r="H942" s="66" t="b">
        <f>IF(Tab.11[[#This Row],[a1]]=1,Tab.11[[#This Row],[b1]])</f>
        <v>0</v>
      </c>
      <c r="I942" s="67" t="b">
        <f>IF(Tab.11[[#This Row],[a1]]=1,Tab.11[[#This Row],[b1]])</f>
        <v>0</v>
      </c>
      <c r="J942" s="68" t="b">
        <f>IF(Tab.11[[#This Row],[a1]]=1,IF($I$3&lt;0,Tab.11[[#This Row],[b5]]-$I$3,Tab.11[[#This Row],[b5]]))</f>
        <v>0</v>
      </c>
      <c r="K942" s="68" t="b">
        <f>IF(Tab.11[[#This Row],[a1]]=1,IF($K$3=0,Tab.11[b6],Tab.11[[#This Row],[b6]]-AVERAGE(Tab.11[b6])))</f>
        <v>0</v>
      </c>
      <c r="L942" s="69" t="b">
        <f>IF(Tab.11[[#This Row],[a1]]=1,Tab.11[[#This Row],[data]]/(_xlfn.STDEV.P(Tab.11[data])*$B$989)+$A$989)</f>
        <v>0</v>
      </c>
      <c r="M942" s="69" t="b">
        <f>IF(Tab.11[[#This Row],[a1]]=1,Tab.11[[#This Row],[data]]/(_xlfn.STDEV.P(Tab.11[data])*$B$987)-$A$987)</f>
        <v>0</v>
      </c>
      <c r="N942" s="69" t="b">
        <f>IF(Tab.11[[#This Row],[a1]]=1,Tab.11[[#This Row],[data]]/(_xlfn.STDEV.P(Tab.11[data])*$B$988)+$A$988)</f>
        <v>0</v>
      </c>
      <c r="O942" s="70" t="b">
        <f>IF(Tab.11[[#This Row],[a1]]=1,_xlfn.NORM.DIST(Tab.11[[#This Row],[b8]],$P$1,$Q$1,FALSE))</f>
        <v>0</v>
      </c>
      <c r="P942" s="70" t="b">
        <f>IF(Tab.11[[#This Row],[a1]]=1,_xlfn.NORM.DIST(Tab.11[[#This Row],[b9]],$P$1,$Q$1,FALSE))</f>
        <v>0</v>
      </c>
      <c r="Q942" s="70" t="b">
        <f>IF(Tab.11[[#This Row],[a1]]=1,_xlfn.NORM.DIST(Tab.11[[#This Row],[b10]],$P$1,$Q$1,FALSE))</f>
        <v>0</v>
      </c>
      <c r="R942" s="67" t="b">
        <f>IF(Tab.11[[#This Row],[a1]]=1,$I$3+$A$989+IF($K$3=0,Tab.11[[#This Row],[b8]]*_xlfn.STDEV.P(Tab.11[data]),AVERAGE(Tab.11[b6])+Tab.11[[#This Row],[b8]]*_xlfn.STDEV.P(Tab.11[data])))</f>
        <v>0</v>
      </c>
      <c r="S942" s="71" t="b">
        <f>IF(Tab.11[[#This Row],[a1]]=1,$I$3+$A$987+IF($K$3=0,Tab.11[[#This Row],[b9]]*_xlfn.STDEV.P(Tab.11[data]),AVERAGE(Tab.11[b6])+Tab.11[[#This Row],[b9]]*_xlfn.STDEV.P(Tab.11[data])))</f>
        <v>0</v>
      </c>
      <c r="T942" s="71" t="b">
        <f>IF(Tab.11[[#This Row],[a1]]=1,$I$3+$A$988+IF($K$3=0,Tab.11[[#This Row],[b10]]*_xlfn.STDEV.P(Tab.11[data]),AVERAGE(Tab.11[b6])+Tab.11[[#This Row],[b10]]*_xlfn.STDEV.P(Tab.11[data])))</f>
        <v>0</v>
      </c>
      <c r="U942" s="72" t="b">
        <f>IF(Tab.11[[#This Row],[a1]]=1,Tab.11[[#This Row],[target]]-Tab.11[[#This Row],[Red]])</f>
        <v>0</v>
      </c>
      <c r="V942" s="72" t="b">
        <f>IF(Tab.11[[#This Row],[a1]]=1,Tab.11[[#This Row],[target]]-Tab.11[[#This Row],[Blue]])</f>
        <v>0</v>
      </c>
      <c r="W942" s="73" t="b">
        <f>IF(Tab.11[[#This Row],[a1]]=1,IF(ABS(Tab.11[[#This Row],[b17]])+ABS(Tab.11[[#This Row],[b18]])&lt;$W$2,$W$2,ABS(Tab.11[[#This Row],[b17]])+ABS(Tab.11[[#This Row],[b18]])))</f>
        <v>0</v>
      </c>
      <c r="X942" s="136" t="b">
        <f>IF(Tab.11[[#This Row],[a1]]=1,IF($W$3&lt;0,Tab.11[[#This Row],[IN]]-$I$3,Tab.11[[#This Row],[IN]]))</f>
        <v>0</v>
      </c>
      <c r="Y942" s="136" t="b">
        <f>IF(Tab.11[[#This Row],[a1]]=1,IF($X$3=0,Tab.11[b66],Tab.11[[#This Row],[b66]]-AVERAGE(Tab.11[b66])))</f>
        <v>0</v>
      </c>
      <c r="Z942" s="135" t="b">
        <f>IF(Tab.11[[#This Row],[a1]]=1,Tab.11[[#This Row],[b77]]/(_xlfn.STDEV.P(Tab.11[b77])))</f>
        <v>0</v>
      </c>
      <c r="AA942" s="70" t="b">
        <f>IF(Tab.11[[#This Row],[a1]]=1,_xlfn.NORM.DIST(Tab.11[[#This Row],[b88]],$Z$1,$AA$1,FALSE))</f>
        <v>0</v>
      </c>
      <c r="AB942" s="74" t="b">
        <f>IF(Tab.11[[#This Row],[a1]]=1,IF($A$3=0,FALSE,1/Tab.11[[#This Row],[IN]]*$AC$2*IF(Tab.11[[#This Row],[a1]]=0,,$A$3*$AC$1*1/$V$3*(Tab.11[[#This Row],[b14]]))))</f>
        <v>0</v>
      </c>
      <c r="AC942" s="75" t="b">
        <f>IF(Tab.11[[#This Row],[a1]]=1,IF($AC$3=0,Tab.11[[#This Row],[φ1]],Tab.11[[#This Row],[φ1]]/MAX(Tab.11[φ1])))</f>
        <v>0</v>
      </c>
      <c r="AD942" s="74" t="b">
        <f>IF(Tab.11[[#This Row],[a1]]=1,1/Tab.11[[#This Row],[φ2]])</f>
        <v>0</v>
      </c>
      <c r="AE942" s="74" t="b">
        <f>IF(Tab.11[[#This Row],[a1]]=1,IF($AE$3=0,Tab.11[[#This Row],[w.0]],Tab.11[[#This Row],[w.0]]/SUM(Tab.11[w.0])))</f>
        <v>0</v>
      </c>
      <c r="AF942" s="76" t="str">
        <f>IF(Tab.11[[#This Row],[a1]]=0,"false",[3]!Tab.x5[[#This Row],[%_seN_C]])</f>
        <v>false</v>
      </c>
      <c r="AG942" s="77" t="b">
        <f>IF(Tab.11[[#This Row],[a1]]=1,AP942)</f>
        <v>0</v>
      </c>
      <c r="AH942" s="78" t="b">
        <f>IF(Tab.11[[#This Row],[a1]]=1,AQ942)</f>
        <v>0</v>
      </c>
      <c r="AI942" s="41">
        <v>3.0000000000000001E-3</v>
      </c>
      <c r="AJ942" s="79">
        <v>0.04</v>
      </c>
      <c r="AK942" s="80" t="b">
        <f>IF(Tab.11[[#This Row],[a1]]=1,1)</f>
        <v>0</v>
      </c>
      <c r="AZ942"/>
    </row>
    <row r="943" spans="1:52" hidden="1" x14ac:dyDescent="0.25">
      <c r="A943" s="61">
        <f t="shared" si="31"/>
        <v>0</v>
      </c>
      <c r="B943" s="62">
        <f t="shared" si="31"/>
        <v>0</v>
      </c>
      <c r="C943" s="62" t="b">
        <f>IF(Tab.11[[#This Row],[a1]]=1,[3]!Tab_x1[[#This Row],[Name]])</f>
        <v>0</v>
      </c>
      <c r="D943" s="63" t="b">
        <f>IF(Tab.11[[#This Row],[a1]]=1,AO943)</f>
        <v>0</v>
      </c>
      <c r="E943" s="63">
        <f t="shared" si="30"/>
        <v>0</v>
      </c>
      <c r="F943" s="64" t="b">
        <f>IF(Tab.11[[#This Row],[a1]]=1,Tab.11[[#This Row],[b1]])</f>
        <v>0</v>
      </c>
      <c r="G943" s="65" t="b">
        <f>IF(Tab.11[[#This Row],[a1]]=1,IF(Tab.11[[#This Row],[b3]]&gt;$L$989*$G$3,$L$989*$G$3,IF(Tab.11[[#This Row],[b3]]&lt;$M$989*$G$3,$M$989*$G$3,Tab.11[[#This Row],[b3]])))</f>
        <v>0</v>
      </c>
      <c r="H943" s="66" t="b">
        <f>IF(Tab.11[[#This Row],[a1]]=1,Tab.11[[#This Row],[b1]])</f>
        <v>0</v>
      </c>
      <c r="I943" s="67" t="b">
        <f>IF(Tab.11[[#This Row],[a1]]=1,Tab.11[[#This Row],[b1]])</f>
        <v>0</v>
      </c>
      <c r="J943" s="68" t="b">
        <f>IF(Tab.11[[#This Row],[a1]]=1,IF($I$3&lt;0,Tab.11[[#This Row],[b5]]-$I$3,Tab.11[[#This Row],[b5]]))</f>
        <v>0</v>
      </c>
      <c r="K943" s="68" t="b">
        <f>IF(Tab.11[[#This Row],[a1]]=1,IF($K$3=0,Tab.11[b6],Tab.11[[#This Row],[b6]]-AVERAGE(Tab.11[b6])))</f>
        <v>0</v>
      </c>
      <c r="L943" s="69" t="b">
        <f>IF(Tab.11[[#This Row],[a1]]=1,Tab.11[[#This Row],[data]]/(_xlfn.STDEV.P(Tab.11[data])*$B$989)+$A$989)</f>
        <v>0</v>
      </c>
      <c r="M943" s="69" t="b">
        <f>IF(Tab.11[[#This Row],[a1]]=1,Tab.11[[#This Row],[data]]/(_xlfn.STDEV.P(Tab.11[data])*$B$987)-$A$987)</f>
        <v>0</v>
      </c>
      <c r="N943" s="69" t="b">
        <f>IF(Tab.11[[#This Row],[a1]]=1,Tab.11[[#This Row],[data]]/(_xlfn.STDEV.P(Tab.11[data])*$B$988)+$A$988)</f>
        <v>0</v>
      </c>
      <c r="O943" s="70" t="b">
        <f>IF(Tab.11[[#This Row],[a1]]=1,_xlfn.NORM.DIST(Tab.11[[#This Row],[b8]],$P$1,$Q$1,FALSE))</f>
        <v>0</v>
      </c>
      <c r="P943" s="70" t="b">
        <f>IF(Tab.11[[#This Row],[a1]]=1,_xlfn.NORM.DIST(Tab.11[[#This Row],[b9]],$P$1,$Q$1,FALSE))</f>
        <v>0</v>
      </c>
      <c r="Q943" s="70" t="b">
        <f>IF(Tab.11[[#This Row],[a1]]=1,_xlfn.NORM.DIST(Tab.11[[#This Row],[b10]],$P$1,$Q$1,FALSE))</f>
        <v>0</v>
      </c>
      <c r="R943" s="67" t="b">
        <f>IF(Tab.11[[#This Row],[a1]]=1,$I$3+$A$989+IF($K$3=0,Tab.11[[#This Row],[b8]]*_xlfn.STDEV.P(Tab.11[data]),AVERAGE(Tab.11[b6])+Tab.11[[#This Row],[b8]]*_xlfn.STDEV.P(Tab.11[data])))</f>
        <v>0</v>
      </c>
      <c r="S943" s="71" t="b">
        <f>IF(Tab.11[[#This Row],[a1]]=1,$I$3+$A$987+IF($K$3=0,Tab.11[[#This Row],[b9]]*_xlfn.STDEV.P(Tab.11[data]),AVERAGE(Tab.11[b6])+Tab.11[[#This Row],[b9]]*_xlfn.STDEV.P(Tab.11[data])))</f>
        <v>0</v>
      </c>
      <c r="T943" s="71" t="b">
        <f>IF(Tab.11[[#This Row],[a1]]=1,$I$3+$A$988+IF($K$3=0,Tab.11[[#This Row],[b10]]*_xlfn.STDEV.P(Tab.11[data]),AVERAGE(Tab.11[b6])+Tab.11[[#This Row],[b10]]*_xlfn.STDEV.P(Tab.11[data])))</f>
        <v>0</v>
      </c>
      <c r="U943" s="72" t="b">
        <f>IF(Tab.11[[#This Row],[a1]]=1,Tab.11[[#This Row],[target]]-Tab.11[[#This Row],[Red]])</f>
        <v>0</v>
      </c>
      <c r="V943" s="72" t="b">
        <f>IF(Tab.11[[#This Row],[a1]]=1,Tab.11[[#This Row],[target]]-Tab.11[[#This Row],[Blue]])</f>
        <v>0</v>
      </c>
      <c r="W943" s="73" t="b">
        <f>IF(Tab.11[[#This Row],[a1]]=1,IF(ABS(Tab.11[[#This Row],[b17]])+ABS(Tab.11[[#This Row],[b18]])&lt;$W$2,$W$2,ABS(Tab.11[[#This Row],[b17]])+ABS(Tab.11[[#This Row],[b18]])))</f>
        <v>0</v>
      </c>
      <c r="X943" s="136" t="b">
        <f>IF(Tab.11[[#This Row],[a1]]=1,IF($W$3&lt;0,Tab.11[[#This Row],[IN]]-$I$3,Tab.11[[#This Row],[IN]]))</f>
        <v>0</v>
      </c>
      <c r="Y943" s="136" t="b">
        <f>IF(Tab.11[[#This Row],[a1]]=1,IF($X$3=0,Tab.11[b66],Tab.11[[#This Row],[b66]]-AVERAGE(Tab.11[b66])))</f>
        <v>0</v>
      </c>
      <c r="Z943" s="135" t="b">
        <f>IF(Tab.11[[#This Row],[a1]]=1,Tab.11[[#This Row],[b77]]/(_xlfn.STDEV.P(Tab.11[b77])))</f>
        <v>0</v>
      </c>
      <c r="AA943" s="70" t="b">
        <f>IF(Tab.11[[#This Row],[a1]]=1,_xlfn.NORM.DIST(Tab.11[[#This Row],[b88]],$Z$1,$AA$1,FALSE))</f>
        <v>0</v>
      </c>
      <c r="AB943" s="74" t="b">
        <f>IF(Tab.11[[#This Row],[a1]]=1,IF($A$3=0,FALSE,1/Tab.11[[#This Row],[IN]]*$AC$2*IF(Tab.11[[#This Row],[a1]]=0,,$A$3*$AC$1*1/$V$3*(Tab.11[[#This Row],[b14]]))))</f>
        <v>0</v>
      </c>
      <c r="AC943" s="75" t="b">
        <f>IF(Tab.11[[#This Row],[a1]]=1,IF($AC$3=0,Tab.11[[#This Row],[φ1]],Tab.11[[#This Row],[φ1]]/MAX(Tab.11[φ1])))</f>
        <v>0</v>
      </c>
      <c r="AD943" s="74" t="b">
        <f>IF(Tab.11[[#This Row],[a1]]=1,1/Tab.11[[#This Row],[φ2]])</f>
        <v>0</v>
      </c>
      <c r="AE943" s="74" t="b">
        <f>IF(Tab.11[[#This Row],[a1]]=1,IF($AE$3=0,Tab.11[[#This Row],[w.0]],Tab.11[[#This Row],[w.0]]/SUM(Tab.11[w.0])))</f>
        <v>0</v>
      </c>
      <c r="AF943" s="76" t="str">
        <f>IF(Tab.11[[#This Row],[a1]]=0,"false",[3]!Tab.x5[[#This Row],[%_seN_C]])</f>
        <v>false</v>
      </c>
      <c r="AG943" s="77" t="b">
        <f>IF(Tab.11[[#This Row],[a1]]=1,AP943)</f>
        <v>0</v>
      </c>
      <c r="AH943" s="78" t="b">
        <f>IF(Tab.11[[#This Row],[a1]]=1,AQ943)</f>
        <v>0</v>
      </c>
      <c r="AI943" s="41">
        <v>3.0000000000000001E-3</v>
      </c>
      <c r="AJ943" s="79">
        <v>-7.0000000000000007E-2</v>
      </c>
      <c r="AK943" s="80" t="b">
        <f>IF(Tab.11[[#This Row],[a1]]=1,1)</f>
        <v>0</v>
      </c>
      <c r="AZ943"/>
    </row>
    <row r="944" spans="1:52" hidden="1" x14ac:dyDescent="0.25">
      <c r="A944" s="61">
        <f t="shared" si="31"/>
        <v>0</v>
      </c>
      <c r="B944" s="62">
        <f t="shared" si="31"/>
        <v>0</v>
      </c>
      <c r="C944" s="62" t="b">
        <f>IF(Tab.11[[#This Row],[a1]]=1,[3]!Tab_x1[[#This Row],[Name]])</f>
        <v>0</v>
      </c>
      <c r="D944" s="63" t="b">
        <f>IF(Tab.11[[#This Row],[a1]]=1,AO944)</f>
        <v>0</v>
      </c>
      <c r="E944" s="63">
        <f t="shared" si="30"/>
        <v>0</v>
      </c>
      <c r="F944" s="64" t="b">
        <f>IF(Tab.11[[#This Row],[a1]]=1,Tab.11[[#This Row],[b1]])</f>
        <v>0</v>
      </c>
      <c r="G944" s="65" t="b">
        <f>IF(Tab.11[[#This Row],[a1]]=1,IF(Tab.11[[#This Row],[b3]]&gt;$L$989*$G$3,$L$989*$G$3,IF(Tab.11[[#This Row],[b3]]&lt;$M$989*$G$3,$M$989*$G$3,Tab.11[[#This Row],[b3]])))</f>
        <v>0</v>
      </c>
      <c r="H944" s="66" t="b">
        <f>IF(Tab.11[[#This Row],[a1]]=1,Tab.11[[#This Row],[b1]])</f>
        <v>0</v>
      </c>
      <c r="I944" s="67" t="b">
        <f>IF(Tab.11[[#This Row],[a1]]=1,Tab.11[[#This Row],[b1]])</f>
        <v>0</v>
      </c>
      <c r="J944" s="68" t="b">
        <f>IF(Tab.11[[#This Row],[a1]]=1,IF($I$3&lt;0,Tab.11[[#This Row],[b5]]-$I$3,Tab.11[[#This Row],[b5]]))</f>
        <v>0</v>
      </c>
      <c r="K944" s="68" t="b">
        <f>IF(Tab.11[[#This Row],[a1]]=1,IF($K$3=0,Tab.11[b6],Tab.11[[#This Row],[b6]]-AVERAGE(Tab.11[b6])))</f>
        <v>0</v>
      </c>
      <c r="L944" s="69" t="b">
        <f>IF(Tab.11[[#This Row],[a1]]=1,Tab.11[[#This Row],[data]]/(_xlfn.STDEV.P(Tab.11[data])*$B$989)+$A$989)</f>
        <v>0</v>
      </c>
      <c r="M944" s="69" t="b">
        <f>IF(Tab.11[[#This Row],[a1]]=1,Tab.11[[#This Row],[data]]/(_xlfn.STDEV.P(Tab.11[data])*$B$987)-$A$987)</f>
        <v>0</v>
      </c>
      <c r="N944" s="69" t="b">
        <f>IF(Tab.11[[#This Row],[a1]]=1,Tab.11[[#This Row],[data]]/(_xlfn.STDEV.P(Tab.11[data])*$B$988)+$A$988)</f>
        <v>0</v>
      </c>
      <c r="O944" s="70" t="b">
        <f>IF(Tab.11[[#This Row],[a1]]=1,_xlfn.NORM.DIST(Tab.11[[#This Row],[b8]],$P$1,$Q$1,FALSE))</f>
        <v>0</v>
      </c>
      <c r="P944" s="70" t="b">
        <f>IF(Tab.11[[#This Row],[a1]]=1,_xlfn.NORM.DIST(Tab.11[[#This Row],[b9]],$P$1,$Q$1,FALSE))</f>
        <v>0</v>
      </c>
      <c r="Q944" s="70" t="b">
        <f>IF(Tab.11[[#This Row],[a1]]=1,_xlfn.NORM.DIST(Tab.11[[#This Row],[b10]],$P$1,$Q$1,FALSE))</f>
        <v>0</v>
      </c>
      <c r="R944" s="67" t="b">
        <f>IF(Tab.11[[#This Row],[a1]]=1,$I$3+$A$989+IF($K$3=0,Tab.11[[#This Row],[b8]]*_xlfn.STDEV.P(Tab.11[data]),AVERAGE(Tab.11[b6])+Tab.11[[#This Row],[b8]]*_xlfn.STDEV.P(Tab.11[data])))</f>
        <v>0</v>
      </c>
      <c r="S944" s="71" t="b">
        <f>IF(Tab.11[[#This Row],[a1]]=1,$I$3+$A$987+IF($K$3=0,Tab.11[[#This Row],[b9]]*_xlfn.STDEV.P(Tab.11[data]),AVERAGE(Tab.11[b6])+Tab.11[[#This Row],[b9]]*_xlfn.STDEV.P(Tab.11[data])))</f>
        <v>0</v>
      </c>
      <c r="T944" s="71" t="b">
        <f>IF(Tab.11[[#This Row],[a1]]=1,$I$3+$A$988+IF($K$3=0,Tab.11[[#This Row],[b10]]*_xlfn.STDEV.P(Tab.11[data]),AVERAGE(Tab.11[b6])+Tab.11[[#This Row],[b10]]*_xlfn.STDEV.P(Tab.11[data])))</f>
        <v>0</v>
      </c>
      <c r="U944" s="72" t="b">
        <f>IF(Tab.11[[#This Row],[a1]]=1,Tab.11[[#This Row],[target]]-Tab.11[[#This Row],[Red]])</f>
        <v>0</v>
      </c>
      <c r="V944" s="72" t="b">
        <f>IF(Tab.11[[#This Row],[a1]]=1,Tab.11[[#This Row],[target]]-Tab.11[[#This Row],[Blue]])</f>
        <v>0</v>
      </c>
      <c r="W944" s="73" t="b">
        <f>IF(Tab.11[[#This Row],[a1]]=1,IF(ABS(Tab.11[[#This Row],[b17]])+ABS(Tab.11[[#This Row],[b18]])&lt;$W$2,$W$2,ABS(Tab.11[[#This Row],[b17]])+ABS(Tab.11[[#This Row],[b18]])))</f>
        <v>0</v>
      </c>
      <c r="X944" s="136" t="b">
        <f>IF(Tab.11[[#This Row],[a1]]=1,IF($W$3&lt;0,Tab.11[[#This Row],[IN]]-$I$3,Tab.11[[#This Row],[IN]]))</f>
        <v>0</v>
      </c>
      <c r="Y944" s="136" t="b">
        <f>IF(Tab.11[[#This Row],[a1]]=1,IF($X$3=0,Tab.11[b66],Tab.11[[#This Row],[b66]]-AVERAGE(Tab.11[b66])))</f>
        <v>0</v>
      </c>
      <c r="Z944" s="135" t="b">
        <f>IF(Tab.11[[#This Row],[a1]]=1,Tab.11[[#This Row],[b77]]/(_xlfn.STDEV.P(Tab.11[b77])))</f>
        <v>0</v>
      </c>
      <c r="AA944" s="70" t="b">
        <f>IF(Tab.11[[#This Row],[a1]]=1,_xlfn.NORM.DIST(Tab.11[[#This Row],[b88]],$Z$1,$AA$1,FALSE))</f>
        <v>0</v>
      </c>
      <c r="AB944" s="74" t="b">
        <f>IF(Tab.11[[#This Row],[a1]]=1,IF($A$3=0,FALSE,1/Tab.11[[#This Row],[IN]]*$AC$2*IF(Tab.11[[#This Row],[a1]]=0,,$A$3*$AC$1*1/$V$3*(Tab.11[[#This Row],[b14]]))))</f>
        <v>0</v>
      </c>
      <c r="AC944" s="75" t="b">
        <f>IF(Tab.11[[#This Row],[a1]]=1,IF($AC$3=0,Tab.11[[#This Row],[φ1]],Tab.11[[#This Row],[φ1]]/MAX(Tab.11[φ1])))</f>
        <v>0</v>
      </c>
      <c r="AD944" s="74" t="b">
        <f>IF(Tab.11[[#This Row],[a1]]=1,1/Tab.11[[#This Row],[φ2]])</f>
        <v>0</v>
      </c>
      <c r="AE944" s="74" t="b">
        <f>IF(Tab.11[[#This Row],[a1]]=1,IF($AE$3=0,Tab.11[[#This Row],[w.0]],Tab.11[[#This Row],[w.0]]/SUM(Tab.11[w.0])))</f>
        <v>0</v>
      </c>
      <c r="AF944" s="76" t="str">
        <f>IF(Tab.11[[#This Row],[a1]]=0,"false",[3]!Tab.x5[[#This Row],[%_seN_C]])</f>
        <v>false</v>
      </c>
      <c r="AG944" s="77" t="b">
        <f>IF(Tab.11[[#This Row],[a1]]=1,AP944)</f>
        <v>0</v>
      </c>
      <c r="AH944" s="78" t="b">
        <f>IF(Tab.11[[#This Row],[a1]]=1,AQ944)</f>
        <v>0</v>
      </c>
      <c r="AI944" s="41">
        <v>3.0000000000000001E-3</v>
      </c>
      <c r="AJ944" s="79">
        <v>0.05</v>
      </c>
      <c r="AK944" s="80" t="b">
        <f>IF(Tab.11[[#This Row],[a1]]=1,1)</f>
        <v>0</v>
      </c>
      <c r="AZ944"/>
    </row>
    <row r="945" spans="1:52" hidden="1" x14ac:dyDescent="0.25">
      <c r="A945" s="61">
        <f t="shared" si="31"/>
        <v>0</v>
      </c>
      <c r="B945" s="62">
        <f t="shared" si="31"/>
        <v>0</v>
      </c>
      <c r="C945" s="62" t="b">
        <f>IF(Tab.11[[#This Row],[a1]]=1,[3]!Tab_x1[[#This Row],[Name]])</f>
        <v>0</v>
      </c>
      <c r="D945" s="63" t="b">
        <f>IF(Tab.11[[#This Row],[a1]]=1,AO945)</f>
        <v>0</v>
      </c>
      <c r="E945" s="63">
        <f t="shared" si="30"/>
        <v>0</v>
      </c>
      <c r="F945" s="64" t="b">
        <f>IF(Tab.11[[#This Row],[a1]]=1,Tab.11[[#This Row],[b1]])</f>
        <v>0</v>
      </c>
      <c r="G945" s="65" t="b">
        <f>IF(Tab.11[[#This Row],[a1]]=1,IF(Tab.11[[#This Row],[b3]]&gt;$L$989*$G$3,$L$989*$G$3,IF(Tab.11[[#This Row],[b3]]&lt;$M$989*$G$3,$M$989*$G$3,Tab.11[[#This Row],[b3]])))</f>
        <v>0</v>
      </c>
      <c r="H945" s="66" t="b">
        <f>IF(Tab.11[[#This Row],[a1]]=1,Tab.11[[#This Row],[b1]])</f>
        <v>0</v>
      </c>
      <c r="I945" s="67" t="b">
        <f>IF(Tab.11[[#This Row],[a1]]=1,Tab.11[[#This Row],[b1]])</f>
        <v>0</v>
      </c>
      <c r="J945" s="68" t="b">
        <f>IF(Tab.11[[#This Row],[a1]]=1,IF($I$3&lt;0,Tab.11[[#This Row],[b5]]-$I$3,Tab.11[[#This Row],[b5]]))</f>
        <v>0</v>
      </c>
      <c r="K945" s="68" t="b">
        <f>IF(Tab.11[[#This Row],[a1]]=1,IF($K$3=0,Tab.11[b6],Tab.11[[#This Row],[b6]]-AVERAGE(Tab.11[b6])))</f>
        <v>0</v>
      </c>
      <c r="L945" s="69" t="b">
        <f>IF(Tab.11[[#This Row],[a1]]=1,Tab.11[[#This Row],[data]]/(_xlfn.STDEV.P(Tab.11[data])*$B$989)+$A$989)</f>
        <v>0</v>
      </c>
      <c r="M945" s="69" t="b">
        <f>IF(Tab.11[[#This Row],[a1]]=1,Tab.11[[#This Row],[data]]/(_xlfn.STDEV.P(Tab.11[data])*$B$987)-$A$987)</f>
        <v>0</v>
      </c>
      <c r="N945" s="69" t="b">
        <f>IF(Tab.11[[#This Row],[a1]]=1,Tab.11[[#This Row],[data]]/(_xlfn.STDEV.P(Tab.11[data])*$B$988)+$A$988)</f>
        <v>0</v>
      </c>
      <c r="O945" s="70" t="b">
        <f>IF(Tab.11[[#This Row],[a1]]=1,_xlfn.NORM.DIST(Tab.11[[#This Row],[b8]],$P$1,$Q$1,FALSE))</f>
        <v>0</v>
      </c>
      <c r="P945" s="70" t="b">
        <f>IF(Tab.11[[#This Row],[a1]]=1,_xlfn.NORM.DIST(Tab.11[[#This Row],[b9]],$P$1,$Q$1,FALSE))</f>
        <v>0</v>
      </c>
      <c r="Q945" s="70" t="b">
        <f>IF(Tab.11[[#This Row],[a1]]=1,_xlfn.NORM.DIST(Tab.11[[#This Row],[b10]],$P$1,$Q$1,FALSE))</f>
        <v>0</v>
      </c>
      <c r="R945" s="67" t="b">
        <f>IF(Tab.11[[#This Row],[a1]]=1,$I$3+$A$989+IF($K$3=0,Tab.11[[#This Row],[b8]]*_xlfn.STDEV.P(Tab.11[data]),AVERAGE(Tab.11[b6])+Tab.11[[#This Row],[b8]]*_xlfn.STDEV.P(Tab.11[data])))</f>
        <v>0</v>
      </c>
      <c r="S945" s="71" t="b">
        <f>IF(Tab.11[[#This Row],[a1]]=1,$I$3+$A$987+IF($K$3=0,Tab.11[[#This Row],[b9]]*_xlfn.STDEV.P(Tab.11[data]),AVERAGE(Tab.11[b6])+Tab.11[[#This Row],[b9]]*_xlfn.STDEV.P(Tab.11[data])))</f>
        <v>0</v>
      </c>
      <c r="T945" s="71" t="b">
        <f>IF(Tab.11[[#This Row],[a1]]=1,$I$3+$A$988+IF($K$3=0,Tab.11[[#This Row],[b10]]*_xlfn.STDEV.P(Tab.11[data]),AVERAGE(Tab.11[b6])+Tab.11[[#This Row],[b10]]*_xlfn.STDEV.P(Tab.11[data])))</f>
        <v>0</v>
      </c>
      <c r="U945" s="72" t="b">
        <f>IF(Tab.11[[#This Row],[a1]]=1,Tab.11[[#This Row],[target]]-Tab.11[[#This Row],[Red]])</f>
        <v>0</v>
      </c>
      <c r="V945" s="72" t="b">
        <f>IF(Tab.11[[#This Row],[a1]]=1,Tab.11[[#This Row],[target]]-Tab.11[[#This Row],[Blue]])</f>
        <v>0</v>
      </c>
      <c r="W945" s="73" t="b">
        <f>IF(Tab.11[[#This Row],[a1]]=1,IF(ABS(Tab.11[[#This Row],[b17]])+ABS(Tab.11[[#This Row],[b18]])&lt;$W$2,$W$2,ABS(Tab.11[[#This Row],[b17]])+ABS(Tab.11[[#This Row],[b18]])))</f>
        <v>0</v>
      </c>
      <c r="X945" s="136" t="b">
        <f>IF(Tab.11[[#This Row],[a1]]=1,IF($W$3&lt;0,Tab.11[[#This Row],[IN]]-$I$3,Tab.11[[#This Row],[IN]]))</f>
        <v>0</v>
      </c>
      <c r="Y945" s="136" t="b">
        <f>IF(Tab.11[[#This Row],[a1]]=1,IF($X$3=0,Tab.11[b66],Tab.11[[#This Row],[b66]]-AVERAGE(Tab.11[b66])))</f>
        <v>0</v>
      </c>
      <c r="Z945" s="135" t="b">
        <f>IF(Tab.11[[#This Row],[a1]]=1,Tab.11[[#This Row],[b77]]/(_xlfn.STDEV.P(Tab.11[b77])))</f>
        <v>0</v>
      </c>
      <c r="AA945" s="70" t="b">
        <f>IF(Tab.11[[#This Row],[a1]]=1,_xlfn.NORM.DIST(Tab.11[[#This Row],[b88]],$Z$1,$AA$1,FALSE))</f>
        <v>0</v>
      </c>
      <c r="AB945" s="74" t="b">
        <f>IF(Tab.11[[#This Row],[a1]]=1,IF($A$3=0,FALSE,1/Tab.11[[#This Row],[IN]]*$AC$2*IF(Tab.11[[#This Row],[a1]]=0,,$A$3*$AC$1*1/$V$3*(Tab.11[[#This Row],[b14]]))))</f>
        <v>0</v>
      </c>
      <c r="AC945" s="75" t="b">
        <f>IF(Tab.11[[#This Row],[a1]]=1,IF($AC$3=0,Tab.11[[#This Row],[φ1]],Tab.11[[#This Row],[φ1]]/MAX(Tab.11[φ1])))</f>
        <v>0</v>
      </c>
      <c r="AD945" s="74" t="b">
        <f>IF(Tab.11[[#This Row],[a1]]=1,1/Tab.11[[#This Row],[φ2]])</f>
        <v>0</v>
      </c>
      <c r="AE945" s="74" t="b">
        <f>IF(Tab.11[[#This Row],[a1]]=1,IF($AE$3=0,Tab.11[[#This Row],[w.0]],Tab.11[[#This Row],[w.0]]/SUM(Tab.11[w.0])))</f>
        <v>0</v>
      </c>
      <c r="AF945" s="76" t="str">
        <f>IF(Tab.11[[#This Row],[a1]]=0,"false",[3]!Tab.x5[[#This Row],[%_seN_C]])</f>
        <v>false</v>
      </c>
      <c r="AG945" s="77" t="b">
        <f>IF(Tab.11[[#This Row],[a1]]=1,AP945)</f>
        <v>0</v>
      </c>
      <c r="AH945" s="78" t="b">
        <f>IF(Tab.11[[#This Row],[a1]]=1,AQ945)</f>
        <v>0</v>
      </c>
      <c r="AI945" s="41">
        <v>3.0000000000000001E-3</v>
      </c>
      <c r="AJ945" s="79">
        <v>-0.08</v>
      </c>
      <c r="AK945" s="80" t="b">
        <f>IF(Tab.11[[#This Row],[a1]]=1,1)</f>
        <v>0</v>
      </c>
      <c r="AZ945"/>
    </row>
    <row r="946" spans="1:52" hidden="1" x14ac:dyDescent="0.25">
      <c r="A946" s="61">
        <f t="shared" si="31"/>
        <v>0</v>
      </c>
      <c r="B946" s="62">
        <f t="shared" si="31"/>
        <v>0</v>
      </c>
      <c r="C946" s="62" t="b">
        <f>IF(Tab.11[[#This Row],[a1]]=1,[3]!Tab_x1[[#This Row],[Name]])</f>
        <v>0</v>
      </c>
      <c r="D946" s="63" t="b">
        <f>IF(Tab.11[[#This Row],[a1]]=1,AO946)</f>
        <v>0</v>
      </c>
      <c r="E946" s="63">
        <f t="shared" si="30"/>
        <v>0</v>
      </c>
      <c r="F946" s="64" t="b">
        <f>IF(Tab.11[[#This Row],[a1]]=1,Tab.11[[#This Row],[b1]])</f>
        <v>0</v>
      </c>
      <c r="G946" s="65" t="b">
        <f>IF(Tab.11[[#This Row],[a1]]=1,IF(Tab.11[[#This Row],[b3]]&gt;$L$989*$G$3,$L$989*$G$3,IF(Tab.11[[#This Row],[b3]]&lt;$M$989*$G$3,$M$989*$G$3,Tab.11[[#This Row],[b3]])))</f>
        <v>0</v>
      </c>
      <c r="H946" s="66" t="b">
        <f>IF(Tab.11[[#This Row],[a1]]=1,Tab.11[[#This Row],[b1]])</f>
        <v>0</v>
      </c>
      <c r="I946" s="67" t="b">
        <f>IF(Tab.11[[#This Row],[a1]]=1,Tab.11[[#This Row],[b1]])</f>
        <v>0</v>
      </c>
      <c r="J946" s="68" t="b">
        <f>IF(Tab.11[[#This Row],[a1]]=1,IF($I$3&lt;0,Tab.11[[#This Row],[b5]]-$I$3,Tab.11[[#This Row],[b5]]))</f>
        <v>0</v>
      </c>
      <c r="K946" s="68" t="b">
        <f>IF(Tab.11[[#This Row],[a1]]=1,IF($K$3=0,Tab.11[b6],Tab.11[[#This Row],[b6]]-AVERAGE(Tab.11[b6])))</f>
        <v>0</v>
      </c>
      <c r="L946" s="69" t="b">
        <f>IF(Tab.11[[#This Row],[a1]]=1,Tab.11[[#This Row],[data]]/(_xlfn.STDEV.P(Tab.11[data])*$B$989)+$A$989)</f>
        <v>0</v>
      </c>
      <c r="M946" s="69" t="b">
        <f>IF(Tab.11[[#This Row],[a1]]=1,Tab.11[[#This Row],[data]]/(_xlfn.STDEV.P(Tab.11[data])*$B$987)-$A$987)</f>
        <v>0</v>
      </c>
      <c r="N946" s="69" t="b">
        <f>IF(Tab.11[[#This Row],[a1]]=1,Tab.11[[#This Row],[data]]/(_xlfn.STDEV.P(Tab.11[data])*$B$988)+$A$988)</f>
        <v>0</v>
      </c>
      <c r="O946" s="70" t="b">
        <f>IF(Tab.11[[#This Row],[a1]]=1,_xlfn.NORM.DIST(Tab.11[[#This Row],[b8]],$P$1,$Q$1,FALSE))</f>
        <v>0</v>
      </c>
      <c r="P946" s="70" t="b">
        <f>IF(Tab.11[[#This Row],[a1]]=1,_xlfn.NORM.DIST(Tab.11[[#This Row],[b9]],$P$1,$Q$1,FALSE))</f>
        <v>0</v>
      </c>
      <c r="Q946" s="70" t="b">
        <f>IF(Tab.11[[#This Row],[a1]]=1,_xlfn.NORM.DIST(Tab.11[[#This Row],[b10]],$P$1,$Q$1,FALSE))</f>
        <v>0</v>
      </c>
      <c r="R946" s="67" t="b">
        <f>IF(Tab.11[[#This Row],[a1]]=1,$I$3+$A$989+IF($K$3=0,Tab.11[[#This Row],[b8]]*_xlfn.STDEV.P(Tab.11[data]),AVERAGE(Tab.11[b6])+Tab.11[[#This Row],[b8]]*_xlfn.STDEV.P(Tab.11[data])))</f>
        <v>0</v>
      </c>
      <c r="S946" s="71" t="b">
        <f>IF(Tab.11[[#This Row],[a1]]=1,$I$3+$A$987+IF($K$3=0,Tab.11[[#This Row],[b9]]*_xlfn.STDEV.P(Tab.11[data]),AVERAGE(Tab.11[b6])+Tab.11[[#This Row],[b9]]*_xlfn.STDEV.P(Tab.11[data])))</f>
        <v>0</v>
      </c>
      <c r="T946" s="71" t="b">
        <f>IF(Tab.11[[#This Row],[a1]]=1,$I$3+$A$988+IF($K$3=0,Tab.11[[#This Row],[b10]]*_xlfn.STDEV.P(Tab.11[data]),AVERAGE(Tab.11[b6])+Tab.11[[#This Row],[b10]]*_xlfn.STDEV.P(Tab.11[data])))</f>
        <v>0</v>
      </c>
      <c r="U946" s="72" t="b">
        <f>IF(Tab.11[[#This Row],[a1]]=1,Tab.11[[#This Row],[target]]-Tab.11[[#This Row],[Red]])</f>
        <v>0</v>
      </c>
      <c r="V946" s="72" t="b">
        <f>IF(Tab.11[[#This Row],[a1]]=1,Tab.11[[#This Row],[target]]-Tab.11[[#This Row],[Blue]])</f>
        <v>0</v>
      </c>
      <c r="W946" s="73" t="b">
        <f>IF(Tab.11[[#This Row],[a1]]=1,IF(ABS(Tab.11[[#This Row],[b17]])+ABS(Tab.11[[#This Row],[b18]])&lt;$W$2,$W$2,ABS(Tab.11[[#This Row],[b17]])+ABS(Tab.11[[#This Row],[b18]])))</f>
        <v>0</v>
      </c>
      <c r="X946" s="136" t="b">
        <f>IF(Tab.11[[#This Row],[a1]]=1,IF($W$3&lt;0,Tab.11[[#This Row],[IN]]-$I$3,Tab.11[[#This Row],[IN]]))</f>
        <v>0</v>
      </c>
      <c r="Y946" s="136" t="b">
        <f>IF(Tab.11[[#This Row],[a1]]=1,IF($X$3=0,Tab.11[b66],Tab.11[[#This Row],[b66]]-AVERAGE(Tab.11[b66])))</f>
        <v>0</v>
      </c>
      <c r="Z946" s="135" t="b">
        <f>IF(Tab.11[[#This Row],[a1]]=1,Tab.11[[#This Row],[b77]]/(_xlfn.STDEV.P(Tab.11[b77])))</f>
        <v>0</v>
      </c>
      <c r="AA946" s="70" t="b">
        <f>IF(Tab.11[[#This Row],[a1]]=1,_xlfn.NORM.DIST(Tab.11[[#This Row],[b88]],$Z$1,$AA$1,FALSE))</f>
        <v>0</v>
      </c>
      <c r="AB946" s="74" t="b">
        <f>IF(Tab.11[[#This Row],[a1]]=1,IF($A$3=0,FALSE,1/Tab.11[[#This Row],[IN]]*$AC$2*IF(Tab.11[[#This Row],[a1]]=0,,$A$3*$AC$1*1/$V$3*(Tab.11[[#This Row],[b14]]))))</f>
        <v>0</v>
      </c>
      <c r="AC946" s="75" t="b">
        <f>IF(Tab.11[[#This Row],[a1]]=1,IF($AC$3=0,Tab.11[[#This Row],[φ1]],Tab.11[[#This Row],[φ1]]/MAX(Tab.11[φ1])))</f>
        <v>0</v>
      </c>
      <c r="AD946" s="74" t="b">
        <f>IF(Tab.11[[#This Row],[a1]]=1,1/Tab.11[[#This Row],[φ2]])</f>
        <v>0</v>
      </c>
      <c r="AE946" s="74" t="b">
        <f>IF(Tab.11[[#This Row],[a1]]=1,IF($AE$3=0,Tab.11[[#This Row],[w.0]],Tab.11[[#This Row],[w.0]]/SUM(Tab.11[w.0])))</f>
        <v>0</v>
      </c>
      <c r="AF946" s="76" t="str">
        <f>IF(Tab.11[[#This Row],[a1]]=0,"false",[3]!Tab.x5[[#This Row],[%_seN_C]])</f>
        <v>false</v>
      </c>
      <c r="AG946" s="77" t="b">
        <f>IF(Tab.11[[#This Row],[a1]]=1,AP946)</f>
        <v>0</v>
      </c>
      <c r="AH946" s="78" t="b">
        <f>IF(Tab.11[[#This Row],[a1]]=1,AQ946)</f>
        <v>0</v>
      </c>
      <c r="AI946" s="41">
        <v>3.0000000000000001E-3</v>
      </c>
      <c r="AJ946" s="79">
        <v>-0.03</v>
      </c>
      <c r="AK946" s="80" t="b">
        <f>IF(Tab.11[[#This Row],[a1]]=1,1)</f>
        <v>0</v>
      </c>
      <c r="AZ946"/>
    </row>
    <row r="947" spans="1:52" hidden="1" x14ac:dyDescent="0.25">
      <c r="A947" s="61">
        <f t="shared" si="31"/>
        <v>0</v>
      </c>
      <c r="B947" s="62">
        <f t="shared" si="31"/>
        <v>0</v>
      </c>
      <c r="C947" s="62" t="b">
        <f>IF(Tab.11[[#This Row],[a1]]=1,[3]!Tab_x1[[#This Row],[Name]])</f>
        <v>0</v>
      </c>
      <c r="D947" s="63" t="b">
        <f>IF(Tab.11[[#This Row],[a1]]=1,AO947)</f>
        <v>0</v>
      </c>
      <c r="E947" s="63">
        <f t="shared" si="30"/>
        <v>0</v>
      </c>
      <c r="F947" s="64" t="b">
        <f>IF(Tab.11[[#This Row],[a1]]=1,Tab.11[[#This Row],[b1]])</f>
        <v>0</v>
      </c>
      <c r="G947" s="65" t="b">
        <f>IF(Tab.11[[#This Row],[a1]]=1,IF(Tab.11[[#This Row],[b3]]&gt;$L$989*$G$3,$L$989*$G$3,IF(Tab.11[[#This Row],[b3]]&lt;$M$989*$G$3,$M$989*$G$3,Tab.11[[#This Row],[b3]])))</f>
        <v>0</v>
      </c>
      <c r="H947" s="66" t="b">
        <f>IF(Tab.11[[#This Row],[a1]]=1,Tab.11[[#This Row],[b1]])</f>
        <v>0</v>
      </c>
      <c r="I947" s="67" t="b">
        <f>IF(Tab.11[[#This Row],[a1]]=1,Tab.11[[#This Row],[b1]])</f>
        <v>0</v>
      </c>
      <c r="J947" s="68" t="b">
        <f>IF(Tab.11[[#This Row],[a1]]=1,IF($I$3&lt;0,Tab.11[[#This Row],[b5]]-$I$3,Tab.11[[#This Row],[b5]]))</f>
        <v>0</v>
      </c>
      <c r="K947" s="68" t="b">
        <f>IF(Tab.11[[#This Row],[a1]]=1,IF($K$3=0,Tab.11[b6],Tab.11[[#This Row],[b6]]-AVERAGE(Tab.11[b6])))</f>
        <v>0</v>
      </c>
      <c r="L947" s="69" t="b">
        <f>IF(Tab.11[[#This Row],[a1]]=1,Tab.11[[#This Row],[data]]/(_xlfn.STDEV.P(Tab.11[data])*$B$989)+$A$989)</f>
        <v>0</v>
      </c>
      <c r="M947" s="69" t="b">
        <f>IF(Tab.11[[#This Row],[a1]]=1,Tab.11[[#This Row],[data]]/(_xlfn.STDEV.P(Tab.11[data])*$B$987)-$A$987)</f>
        <v>0</v>
      </c>
      <c r="N947" s="69" t="b">
        <f>IF(Tab.11[[#This Row],[a1]]=1,Tab.11[[#This Row],[data]]/(_xlfn.STDEV.P(Tab.11[data])*$B$988)+$A$988)</f>
        <v>0</v>
      </c>
      <c r="O947" s="70" t="b">
        <f>IF(Tab.11[[#This Row],[a1]]=1,_xlfn.NORM.DIST(Tab.11[[#This Row],[b8]],$P$1,$Q$1,FALSE))</f>
        <v>0</v>
      </c>
      <c r="P947" s="70" t="b">
        <f>IF(Tab.11[[#This Row],[a1]]=1,_xlfn.NORM.DIST(Tab.11[[#This Row],[b9]],$P$1,$Q$1,FALSE))</f>
        <v>0</v>
      </c>
      <c r="Q947" s="70" t="b">
        <f>IF(Tab.11[[#This Row],[a1]]=1,_xlfn.NORM.DIST(Tab.11[[#This Row],[b10]],$P$1,$Q$1,FALSE))</f>
        <v>0</v>
      </c>
      <c r="R947" s="67" t="b">
        <f>IF(Tab.11[[#This Row],[a1]]=1,$I$3+$A$989+IF($K$3=0,Tab.11[[#This Row],[b8]]*_xlfn.STDEV.P(Tab.11[data]),AVERAGE(Tab.11[b6])+Tab.11[[#This Row],[b8]]*_xlfn.STDEV.P(Tab.11[data])))</f>
        <v>0</v>
      </c>
      <c r="S947" s="71" t="b">
        <f>IF(Tab.11[[#This Row],[a1]]=1,$I$3+$A$987+IF($K$3=0,Tab.11[[#This Row],[b9]]*_xlfn.STDEV.P(Tab.11[data]),AVERAGE(Tab.11[b6])+Tab.11[[#This Row],[b9]]*_xlfn.STDEV.P(Tab.11[data])))</f>
        <v>0</v>
      </c>
      <c r="T947" s="71" t="b">
        <f>IF(Tab.11[[#This Row],[a1]]=1,$I$3+$A$988+IF($K$3=0,Tab.11[[#This Row],[b10]]*_xlfn.STDEV.P(Tab.11[data]),AVERAGE(Tab.11[b6])+Tab.11[[#This Row],[b10]]*_xlfn.STDEV.P(Tab.11[data])))</f>
        <v>0</v>
      </c>
      <c r="U947" s="72" t="b">
        <f>IF(Tab.11[[#This Row],[a1]]=1,Tab.11[[#This Row],[target]]-Tab.11[[#This Row],[Red]])</f>
        <v>0</v>
      </c>
      <c r="V947" s="72" t="b">
        <f>IF(Tab.11[[#This Row],[a1]]=1,Tab.11[[#This Row],[target]]-Tab.11[[#This Row],[Blue]])</f>
        <v>0</v>
      </c>
      <c r="W947" s="73" t="b">
        <f>IF(Tab.11[[#This Row],[a1]]=1,IF(ABS(Tab.11[[#This Row],[b17]])+ABS(Tab.11[[#This Row],[b18]])&lt;$W$2,$W$2,ABS(Tab.11[[#This Row],[b17]])+ABS(Tab.11[[#This Row],[b18]])))</f>
        <v>0</v>
      </c>
      <c r="X947" s="136" t="b">
        <f>IF(Tab.11[[#This Row],[a1]]=1,IF($W$3&lt;0,Tab.11[[#This Row],[IN]]-$I$3,Tab.11[[#This Row],[IN]]))</f>
        <v>0</v>
      </c>
      <c r="Y947" s="136" t="b">
        <f>IF(Tab.11[[#This Row],[a1]]=1,IF($X$3=0,Tab.11[b66],Tab.11[[#This Row],[b66]]-AVERAGE(Tab.11[b66])))</f>
        <v>0</v>
      </c>
      <c r="Z947" s="135" t="b">
        <f>IF(Tab.11[[#This Row],[a1]]=1,Tab.11[[#This Row],[b77]]/(_xlfn.STDEV.P(Tab.11[b77])))</f>
        <v>0</v>
      </c>
      <c r="AA947" s="70" t="b">
        <f>IF(Tab.11[[#This Row],[a1]]=1,_xlfn.NORM.DIST(Tab.11[[#This Row],[b88]],$Z$1,$AA$1,FALSE))</f>
        <v>0</v>
      </c>
      <c r="AB947" s="74" t="b">
        <f>IF(Tab.11[[#This Row],[a1]]=1,IF($A$3=0,FALSE,1/Tab.11[[#This Row],[IN]]*$AC$2*IF(Tab.11[[#This Row],[a1]]=0,,$A$3*$AC$1*1/$V$3*(Tab.11[[#This Row],[b14]]))))</f>
        <v>0</v>
      </c>
      <c r="AC947" s="75" t="b">
        <f>IF(Tab.11[[#This Row],[a1]]=1,IF($AC$3=0,Tab.11[[#This Row],[φ1]],Tab.11[[#This Row],[φ1]]/MAX(Tab.11[φ1])))</f>
        <v>0</v>
      </c>
      <c r="AD947" s="74" t="b">
        <f>IF(Tab.11[[#This Row],[a1]]=1,1/Tab.11[[#This Row],[φ2]])</f>
        <v>0</v>
      </c>
      <c r="AE947" s="74" t="b">
        <f>IF(Tab.11[[#This Row],[a1]]=1,IF($AE$3=0,Tab.11[[#This Row],[w.0]],Tab.11[[#This Row],[w.0]]/SUM(Tab.11[w.0])))</f>
        <v>0</v>
      </c>
      <c r="AF947" s="76" t="str">
        <f>IF(Tab.11[[#This Row],[a1]]=0,"false",[3]!Tab.x5[[#This Row],[%_seN_C]])</f>
        <v>false</v>
      </c>
      <c r="AG947" s="77" t="b">
        <f>IF(Tab.11[[#This Row],[a1]]=1,AP947)</f>
        <v>0</v>
      </c>
      <c r="AH947" s="78" t="b">
        <f>IF(Tab.11[[#This Row],[a1]]=1,AQ947)</f>
        <v>0</v>
      </c>
      <c r="AI947" s="41">
        <v>3.0000000000000001E-3</v>
      </c>
      <c r="AJ947" s="79">
        <v>-0.06</v>
      </c>
      <c r="AK947" s="80" t="b">
        <f>IF(Tab.11[[#This Row],[a1]]=1,1)</f>
        <v>0</v>
      </c>
      <c r="AZ947"/>
    </row>
    <row r="948" spans="1:52" hidden="1" x14ac:dyDescent="0.25">
      <c r="A948" s="61">
        <f t="shared" si="31"/>
        <v>0</v>
      </c>
      <c r="B948" s="62">
        <f t="shared" si="31"/>
        <v>0</v>
      </c>
      <c r="C948" s="62" t="b">
        <f>IF(Tab.11[[#This Row],[a1]]=1,[3]!Tab_x1[[#This Row],[Name]])</f>
        <v>0</v>
      </c>
      <c r="D948" s="63" t="b">
        <f>IF(Tab.11[[#This Row],[a1]]=1,AO948)</f>
        <v>0</v>
      </c>
      <c r="E948" s="63">
        <f t="shared" si="30"/>
        <v>0</v>
      </c>
      <c r="F948" s="64" t="b">
        <f>IF(Tab.11[[#This Row],[a1]]=1,Tab.11[[#This Row],[b1]])</f>
        <v>0</v>
      </c>
      <c r="G948" s="65" t="b">
        <f>IF(Tab.11[[#This Row],[a1]]=1,IF(Tab.11[[#This Row],[b3]]&gt;$L$989*$G$3,$L$989*$G$3,IF(Tab.11[[#This Row],[b3]]&lt;$M$989*$G$3,$M$989*$G$3,Tab.11[[#This Row],[b3]])))</f>
        <v>0</v>
      </c>
      <c r="H948" s="66" t="b">
        <f>IF(Tab.11[[#This Row],[a1]]=1,Tab.11[[#This Row],[b1]])</f>
        <v>0</v>
      </c>
      <c r="I948" s="67" t="b">
        <f>IF(Tab.11[[#This Row],[a1]]=1,Tab.11[[#This Row],[b1]])</f>
        <v>0</v>
      </c>
      <c r="J948" s="68" t="b">
        <f>IF(Tab.11[[#This Row],[a1]]=1,IF($I$3&lt;0,Tab.11[[#This Row],[b5]]-$I$3,Tab.11[[#This Row],[b5]]))</f>
        <v>0</v>
      </c>
      <c r="K948" s="68" t="b">
        <f>IF(Tab.11[[#This Row],[a1]]=1,IF($K$3=0,Tab.11[b6],Tab.11[[#This Row],[b6]]-AVERAGE(Tab.11[b6])))</f>
        <v>0</v>
      </c>
      <c r="L948" s="69" t="b">
        <f>IF(Tab.11[[#This Row],[a1]]=1,Tab.11[[#This Row],[data]]/(_xlfn.STDEV.P(Tab.11[data])*$B$989)+$A$989)</f>
        <v>0</v>
      </c>
      <c r="M948" s="69" t="b">
        <f>IF(Tab.11[[#This Row],[a1]]=1,Tab.11[[#This Row],[data]]/(_xlfn.STDEV.P(Tab.11[data])*$B$987)-$A$987)</f>
        <v>0</v>
      </c>
      <c r="N948" s="69" t="b">
        <f>IF(Tab.11[[#This Row],[a1]]=1,Tab.11[[#This Row],[data]]/(_xlfn.STDEV.P(Tab.11[data])*$B$988)+$A$988)</f>
        <v>0</v>
      </c>
      <c r="O948" s="70" t="b">
        <f>IF(Tab.11[[#This Row],[a1]]=1,_xlfn.NORM.DIST(Tab.11[[#This Row],[b8]],$P$1,$Q$1,FALSE))</f>
        <v>0</v>
      </c>
      <c r="P948" s="70" t="b">
        <f>IF(Tab.11[[#This Row],[a1]]=1,_xlfn.NORM.DIST(Tab.11[[#This Row],[b9]],$P$1,$Q$1,FALSE))</f>
        <v>0</v>
      </c>
      <c r="Q948" s="70" t="b">
        <f>IF(Tab.11[[#This Row],[a1]]=1,_xlfn.NORM.DIST(Tab.11[[#This Row],[b10]],$P$1,$Q$1,FALSE))</f>
        <v>0</v>
      </c>
      <c r="R948" s="67" t="b">
        <f>IF(Tab.11[[#This Row],[a1]]=1,$I$3+$A$989+IF($K$3=0,Tab.11[[#This Row],[b8]]*_xlfn.STDEV.P(Tab.11[data]),AVERAGE(Tab.11[b6])+Tab.11[[#This Row],[b8]]*_xlfn.STDEV.P(Tab.11[data])))</f>
        <v>0</v>
      </c>
      <c r="S948" s="71" t="b">
        <f>IF(Tab.11[[#This Row],[a1]]=1,$I$3+$A$987+IF($K$3=0,Tab.11[[#This Row],[b9]]*_xlfn.STDEV.P(Tab.11[data]),AVERAGE(Tab.11[b6])+Tab.11[[#This Row],[b9]]*_xlfn.STDEV.P(Tab.11[data])))</f>
        <v>0</v>
      </c>
      <c r="T948" s="71" t="b">
        <f>IF(Tab.11[[#This Row],[a1]]=1,$I$3+$A$988+IF($K$3=0,Tab.11[[#This Row],[b10]]*_xlfn.STDEV.P(Tab.11[data]),AVERAGE(Tab.11[b6])+Tab.11[[#This Row],[b10]]*_xlfn.STDEV.P(Tab.11[data])))</f>
        <v>0</v>
      </c>
      <c r="U948" s="72" t="b">
        <f>IF(Tab.11[[#This Row],[a1]]=1,Tab.11[[#This Row],[target]]-Tab.11[[#This Row],[Red]])</f>
        <v>0</v>
      </c>
      <c r="V948" s="72" t="b">
        <f>IF(Tab.11[[#This Row],[a1]]=1,Tab.11[[#This Row],[target]]-Tab.11[[#This Row],[Blue]])</f>
        <v>0</v>
      </c>
      <c r="W948" s="73" t="b">
        <f>IF(Tab.11[[#This Row],[a1]]=1,IF(ABS(Tab.11[[#This Row],[b17]])+ABS(Tab.11[[#This Row],[b18]])&lt;$W$2,$W$2,ABS(Tab.11[[#This Row],[b17]])+ABS(Tab.11[[#This Row],[b18]])))</f>
        <v>0</v>
      </c>
      <c r="X948" s="136" t="b">
        <f>IF(Tab.11[[#This Row],[a1]]=1,IF($W$3&lt;0,Tab.11[[#This Row],[IN]]-$I$3,Tab.11[[#This Row],[IN]]))</f>
        <v>0</v>
      </c>
      <c r="Y948" s="136" t="b">
        <f>IF(Tab.11[[#This Row],[a1]]=1,IF($X$3=0,Tab.11[b66],Tab.11[[#This Row],[b66]]-AVERAGE(Tab.11[b66])))</f>
        <v>0</v>
      </c>
      <c r="Z948" s="135" t="b">
        <f>IF(Tab.11[[#This Row],[a1]]=1,Tab.11[[#This Row],[b77]]/(_xlfn.STDEV.P(Tab.11[b77])))</f>
        <v>0</v>
      </c>
      <c r="AA948" s="70" t="b">
        <f>IF(Tab.11[[#This Row],[a1]]=1,_xlfn.NORM.DIST(Tab.11[[#This Row],[b88]],$Z$1,$AA$1,FALSE))</f>
        <v>0</v>
      </c>
      <c r="AB948" s="74" t="b">
        <f>IF(Tab.11[[#This Row],[a1]]=1,IF($A$3=0,FALSE,1/Tab.11[[#This Row],[IN]]*$AC$2*IF(Tab.11[[#This Row],[a1]]=0,,$A$3*$AC$1*1/$V$3*(Tab.11[[#This Row],[b14]]))))</f>
        <v>0</v>
      </c>
      <c r="AC948" s="75" t="b">
        <f>IF(Tab.11[[#This Row],[a1]]=1,IF($AC$3=0,Tab.11[[#This Row],[φ1]],Tab.11[[#This Row],[φ1]]/MAX(Tab.11[φ1])))</f>
        <v>0</v>
      </c>
      <c r="AD948" s="74" t="b">
        <f>IF(Tab.11[[#This Row],[a1]]=1,1/Tab.11[[#This Row],[φ2]])</f>
        <v>0</v>
      </c>
      <c r="AE948" s="74" t="b">
        <f>IF(Tab.11[[#This Row],[a1]]=1,IF($AE$3=0,Tab.11[[#This Row],[w.0]],Tab.11[[#This Row],[w.0]]/SUM(Tab.11[w.0])))</f>
        <v>0</v>
      </c>
      <c r="AF948" s="76" t="str">
        <f>IF(Tab.11[[#This Row],[a1]]=0,"false",[3]!Tab.x5[[#This Row],[%_seN_C]])</f>
        <v>false</v>
      </c>
      <c r="AG948" s="77" t="b">
        <f>IF(Tab.11[[#This Row],[a1]]=1,AP948)</f>
        <v>0</v>
      </c>
      <c r="AH948" s="78" t="b">
        <f>IF(Tab.11[[#This Row],[a1]]=1,AQ948)</f>
        <v>0</v>
      </c>
      <c r="AI948" s="41">
        <v>3.0000000000000001E-3</v>
      </c>
      <c r="AJ948" s="79">
        <v>0.1</v>
      </c>
      <c r="AK948" s="80" t="b">
        <f>IF(Tab.11[[#This Row],[a1]]=1,1)</f>
        <v>0</v>
      </c>
      <c r="AZ948"/>
    </row>
    <row r="949" spans="1:52" hidden="1" x14ac:dyDescent="0.25">
      <c r="A949" s="61">
        <f t="shared" si="31"/>
        <v>0</v>
      </c>
      <c r="B949" s="62">
        <f t="shared" si="31"/>
        <v>0</v>
      </c>
      <c r="C949" s="62" t="b">
        <f>IF(Tab.11[[#This Row],[a1]]=1,[3]!Tab_x1[[#This Row],[Name]])</f>
        <v>0</v>
      </c>
      <c r="D949" s="63" t="b">
        <f>IF(Tab.11[[#This Row],[a1]]=1,AO949)</f>
        <v>0</v>
      </c>
      <c r="E949" s="63">
        <f t="shared" si="30"/>
        <v>0</v>
      </c>
      <c r="F949" s="64" t="b">
        <f>IF(Tab.11[[#This Row],[a1]]=1,Tab.11[[#This Row],[b1]])</f>
        <v>0</v>
      </c>
      <c r="G949" s="65" t="b">
        <f>IF(Tab.11[[#This Row],[a1]]=1,IF(Tab.11[[#This Row],[b3]]&gt;$L$989*$G$3,$L$989*$G$3,IF(Tab.11[[#This Row],[b3]]&lt;$M$989*$G$3,$M$989*$G$3,Tab.11[[#This Row],[b3]])))</f>
        <v>0</v>
      </c>
      <c r="H949" s="66" t="b">
        <f>IF(Tab.11[[#This Row],[a1]]=1,Tab.11[[#This Row],[b1]])</f>
        <v>0</v>
      </c>
      <c r="I949" s="67" t="b">
        <f>IF(Tab.11[[#This Row],[a1]]=1,Tab.11[[#This Row],[b1]])</f>
        <v>0</v>
      </c>
      <c r="J949" s="68" t="b">
        <f>IF(Tab.11[[#This Row],[a1]]=1,IF($I$3&lt;0,Tab.11[[#This Row],[b5]]-$I$3,Tab.11[[#This Row],[b5]]))</f>
        <v>0</v>
      </c>
      <c r="K949" s="68" t="b">
        <f>IF(Tab.11[[#This Row],[a1]]=1,IF($K$3=0,Tab.11[b6],Tab.11[[#This Row],[b6]]-AVERAGE(Tab.11[b6])))</f>
        <v>0</v>
      </c>
      <c r="L949" s="69" t="b">
        <f>IF(Tab.11[[#This Row],[a1]]=1,Tab.11[[#This Row],[data]]/(_xlfn.STDEV.P(Tab.11[data])*$B$989)+$A$989)</f>
        <v>0</v>
      </c>
      <c r="M949" s="69" t="b">
        <f>IF(Tab.11[[#This Row],[a1]]=1,Tab.11[[#This Row],[data]]/(_xlfn.STDEV.P(Tab.11[data])*$B$987)-$A$987)</f>
        <v>0</v>
      </c>
      <c r="N949" s="69" t="b">
        <f>IF(Tab.11[[#This Row],[a1]]=1,Tab.11[[#This Row],[data]]/(_xlfn.STDEV.P(Tab.11[data])*$B$988)+$A$988)</f>
        <v>0</v>
      </c>
      <c r="O949" s="70" t="b">
        <f>IF(Tab.11[[#This Row],[a1]]=1,_xlfn.NORM.DIST(Tab.11[[#This Row],[b8]],$P$1,$Q$1,FALSE))</f>
        <v>0</v>
      </c>
      <c r="P949" s="70" t="b">
        <f>IF(Tab.11[[#This Row],[a1]]=1,_xlfn.NORM.DIST(Tab.11[[#This Row],[b9]],$P$1,$Q$1,FALSE))</f>
        <v>0</v>
      </c>
      <c r="Q949" s="70" t="b">
        <f>IF(Tab.11[[#This Row],[a1]]=1,_xlfn.NORM.DIST(Tab.11[[#This Row],[b10]],$P$1,$Q$1,FALSE))</f>
        <v>0</v>
      </c>
      <c r="R949" s="67" t="b">
        <f>IF(Tab.11[[#This Row],[a1]]=1,$I$3+$A$989+IF($K$3=0,Tab.11[[#This Row],[b8]]*_xlfn.STDEV.P(Tab.11[data]),AVERAGE(Tab.11[b6])+Tab.11[[#This Row],[b8]]*_xlfn.STDEV.P(Tab.11[data])))</f>
        <v>0</v>
      </c>
      <c r="S949" s="71" t="b">
        <f>IF(Tab.11[[#This Row],[a1]]=1,$I$3+$A$987+IF($K$3=0,Tab.11[[#This Row],[b9]]*_xlfn.STDEV.P(Tab.11[data]),AVERAGE(Tab.11[b6])+Tab.11[[#This Row],[b9]]*_xlfn.STDEV.P(Tab.11[data])))</f>
        <v>0</v>
      </c>
      <c r="T949" s="71" t="b">
        <f>IF(Tab.11[[#This Row],[a1]]=1,$I$3+$A$988+IF($K$3=0,Tab.11[[#This Row],[b10]]*_xlfn.STDEV.P(Tab.11[data]),AVERAGE(Tab.11[b6])+Tab.11[[#This Row],[b10]]*_xlfn.STDEV.P(Tab.11[data])))</f>
        <v>0</v>
      </c>
      <c r="U949" s="72" t="b">
        <f>IF(Tab.11[[#This Row],[a1]]=1,Tab.11[[#This Row],[target]]-Tab.11[[#This Row],[Red]])</f>
        <v>0</v>
      </c>
      <c r="V949" s="72" t="b">
        <f>IF(Tab.11[[#This Row],[a1]]=1,Tab.11[[#This Row],[target]]-Tab.11[[#This Row],[Blue]])</f>
        <v>0</v>
      </c>
      <c r="W949" s="73" t="b">
        <f>IF(Tab.11[[#This Row],[a1]]=1,IF(ABS(Tab.11[[#This Row],[b17]])+ABS(Tab.11[[#This Row],[b18]])&lt;$W$2,$W$2,ABS(Tab.11[[#This Row],[b17]])+ABS(Tab.11[[#This Row],[b18]])))</f>
        <v>0</v>
      </c>
      <c r="X949" s="136" t="b">
        <f>IF(Tab.11[[#This Row],[a1]]=1,IF($W$3&lt;0,Tab.11[[#This Row],[IN]]-$I$3,Tab.11[[#This Row],[IN]]))</f>
        <v>0</v>
      </c>
      <c r="Y949" s="136" t="b">
        <f>IF(Tab.11[[#This Row],[a1]]=1,IF($X$3=0,Tab.11[b66],Tab.11[[#This Row],[b66]]-AVERAGE(Tab.11[b66])))</f>
        <v>0</v>
      </c>
      <c r="Z949" s="135" t="b">
        <f>IF(Tab.11[[#This Row],[a1]]=1,Tab.11[[#This Row],[b77]]/(_xlfn.STDEV.P(Tab.11[b77])))</f>
        <v>0</v>
      </c>
      <c r="AA949" s="70" t="b">
        <f>IF(Tab.11[[#This Row],[a1]]=1,_xlfn.NORM.DIST(Tab.11[[#This Row],[b88]],$Z$1,$AA$1,FALSE))</f>
        <v>0</v>
      </c>
      <c r="AB949" s="74" t="b">
        <f>IF(Tab.11[[#This Row],[a1]]=1,IF($A$3=0,FALSE,1/Tab.11[[#This Row],[IN]]*$AC$2*IF(Tab.11[[#This Row],[a1]]=0,,$A$3*$AC$1*1/$V$3*(Tab.11[[#This Row],[b14]]))))</f>
        <v>0</v>
      </c>
      <c r="AC949" s="75" t="b">
        <f>IF(Tab.11[[#This Row],[a1]]=1,IF($AC$3=0,Tab.11[[#This Row],[φ1]],Tab.11[[#This Row],[φ1]]/MAX(Tab.11[φ1])))</f>
        <v>0</v>
      </c>
      <c r="AD949" s="74" t="b">
        <f>IF(Tab.11[[#This Row],[a1]]=1,1/Tab.11[[#This Row],[φ2]])</f>
        <v>0</v>
      </c>
      <c r="AE949" s="74" t="b">
        <f>IF(Tab.11[[#This Row],[a1]]=1,IF($AE$3=0,Tab.11[[#This Row],[w.0]],Tab.11[[#This Row],[w.0]]/SUM(Tab.11[w.0])))</f>
        <v>0</v>
      </c>
      <c r="AF949" s="76" t="str">
        <f>IF(Tab.11[[#This Row],[a1]]=0,"false",[3]!Tab.x5[[#This Row],[%_seN_C]])</f>
        <v>false</v>
      </c>
      <c r="AG949" s="77" t="b">
        <f>IF(Tab.11[[#This Row],[a1]]=1,AP949)</f>
        <v>0</v>
      </c>
      <c r="AH949" s="78" t="b">
        <f>IF(Tab.11[[#This Row],[a1]]=1,AQ949)</f>
        <v>0</v>
      </c>
      <c r="AI949" s="41">
        <v>3.0000000000000001E-3</v>
      </c>
      <c r="AJ949" s="79">
        <v>0.02</v>
      </c>
      <c r="AK949" s="80" t="b">
        <f>IF(Tab.11[[#This Row],[a1]]=1,1)</f>
        <v>0</v>
      </c>
      <c r="AZ949"/>
    </row>
    <row r="950" spans="1:52" hidden="1" x14ac:dyDescent="0.25">
      <c r="A950" s="61">
        <f t="shared" si="31"/>
        <v>0</v>
      </c>
      <c r="B950" s="62">
        <f t="shared" si="31"/>
        <v>0</v>
      </c>
      <c r="C950" s="62" t="b">
        <f>IF(Tab.11[[#This Row],[a1]]=1,[3]!Tab_x1[[#This Row],[Name]])</f>
        <v>0</v>
      </c>
      <c r="D950" s="63" t="b">
        <f>IF(Tab.11[[#This Row],[a1]]=1,AO950)</f>
        <v>0</v>
      </c>
      <c r="E950" s="63">
        <f t="shared" si="30"/>
        <v>0</v>
      </c>
      <c r="F950" s="64" t="b">
        <f>IF(Tab.11[[#This Row],[a1]]=1,Tab.11[[#This Row],[b1]])</f>
        <v>0</v>
      </c>
      <c r="G950" s="65" t="b">
        <f>IF(Tab.11[[#This Row],[a1]]=1,IF(Tab.11[[#This Row],[b3]]&gt;$L$989*$G$3,$L$989*$G$3,IF(Tab.11[[#This Row],[b3]]&lt;$M$989*$G$3,$M$989*$G$3,Tab.11[[#This Row],[b3]])))</f>
        <v>0</v>
      </c>
      <c r="H950" s="66" t="b">
        <f>IF(Tab.11[[#This Row],[a1]]=1,Tab.11[[#This Row],[b1]])</f>
        <v>0</v>
      </c>
      <c r="I950" s="67" t="b">
        <f>IF(Tab.11[[#This Row],[a1]]=1,Tab.11[[#This Row],[b1]])</f>
        <v>0</v>
      </c>
      <c r="J950" s="68" t="b">
        <f>IF(Tab.11[[#This Row],[a1]]=1,IF($I$3&lt;0,Tab.11[[#This Row],[b5]]-$I$3,Tab.11[[#This Row],[b5]]))</f>
        <v>0</v>
      </c>
      <c r="K950" s="68" t="b">
        <f>IF(Tab.11[[#This Row],[a1]]=1,IF($K$3=0,Tab.11[b6],Tab.11[[#This Row],[b6]]-AVERAGE(Tab.11[b6])))</f>
        <v>0</v>
      </c>
      <c r="L950" s="69" t="b">
        <f>IF(Tab.11[[#This Row],[a1]]=1,Tab.11[[#This Row],[data]]/(_xlfn.STDEV.P(Tab.11[data])*$B$989)+$A$989)</f>
        <v>0</v>
      </c>
      <c r="M950" s="69" t="b">
        <f>IF(Tab.11[[#This Row],[a1]]=1,Tab.11[[#This Row],[data]]/(_xlfn.STDEV.P(Tab.11[data])*$B$987)-$A$987)</f>
        <v>0</v>
      </c>
      <c r="N950" s="69" t="b">
        <f>IF(Tab.11[[#This Row],[a1]]=1,Tab.11[[#This Row],[data]]/(_xlfn.STDEV.P(Tab.11[data])*$B$988)+$A$988)</f>
        <v>0</v>
      </c>
      <c r="O950" s="70" t="b">
        <f>IF(Tab.11[[#This Row],[a1]]=1,_xlfn.NORM.DIST(Tab.11[[#This Row],[b8]],$P$1,$Q$1,FALSE))</f>
        <v>0</v>
      </c>
      <c r="P950" s="70" t="b">
        <f>IF(Tab.11[[#This Row],[a1]]=1,_xlfn.NORM.DIST(Tab.11[[#This Row],[b9]],$P$1,$Q$1,FALSE))</f>
        <v>0</v>
      </c>
      <c r="Q950" s="70" t="b">
        <f>IF(Tab.11[[#This Row],[a1]]=1,_xlfn.NORM.DIST(Tab.11[[#This Row],[b10]],$P$1,$Q$1,FALSE))</f>
        <v>0</v>
      </c>
      <c r="R950" s="67" t="b">
        <f>IF(Tab.11[[#This Row],[a1]]=1,$I$3+$A$989+IF($K$3=0,Tab.11[[#This Row],[b8]]*_xlfn.STDEV.P(Tab.11[data]),AVERAGE(Tab.11[b6])+Tab.11[[#This Row],[b8]]*_xlfn.STDEV.P(Tab.11[data])))</f>
        <v>0</v>
      </c>
      <c r="S950" s="71" t="b">
        <f>IF(Tab.11[[#This Row],[a1]]=1,$I$3+$A$987+IF($K$3=0,Tab.11[[#This Row],[b9]]*_xlfn.STDEV.P(Tab.11[data]),AVERAGE(Tab.11[b6])+Tab.11[[#This Row],[b9]]*_xlfn.STDEV.P(Tab.11[data])))</f>
        <v>0</v>
      </c>
      <c r="T950" s="71" t="b">
        <f>IF(Tab.11[[#This Row],[a1]]=1,$I$3+$A$988+IF($K$3=0,Tab.11[[#This Row],[b10]]*_xlfn.STDEV.P(Tab.11[data]),AVERAGE(Tab.11[b6])+Tab.11[[#This Row],[b10]]*_xlfn.STDEV.P(Tab.11[data])))</f>
        <v>0</v>
      </c>
      <c r="U950" s="72" t="b">
        <f>IF(Tab.11[[#This Row],[a1]]=1,Tab.11[[#This Row],[target]]-Tab.11[[#This Row],[Red]])</f>
        <v>0</v>
      </c>
      <c r="V950" s="72" t="b">
        <f>IF(Tab.11[[#This Row],[a1]]=1,Tab.11[[#This Row],[target]]-Tab.11[[#This Row],[Blue]])</f>
        <v>0</v>
      </c>
      <c r="W950" s="73" t="b">
        <f>IF(Tab.11[[#This Row],[a1]]=1,IF(ABS(Tab.11[[#This Row],[b17]])+ABS(Tab.11[[#This Row],[b18]])&lt;$W$2,$W$2,ABS(Tab.11[[#This Row],[b17]])+ABS(Tab.11[[#This Row],[b18]])))</f>
        <v>0</v>
      </c>
      <c r="X950" s="136" t="b">
        <f>IF(Tab.11[[#This Row],[a1]]=1,IF($W$3&lt;0,Tab.11[[#This Row],[IN]]-$I$3,Tab.11[[#This Row],[IN]]))</f>
        <v>0</v>
      </c>
      <c r="Y950" s="136" t="b">
        <f>IF(Tab.11[[#This Row],[a1]]=1,IF($X$3=0,Tab.11[b66],Tab.11[[#This Row],[b66]]-AVERAGE(Tab.11[b66])))</f>
        <v>0</v>
      </c>
      <c r="Z950" s="135" t="b">
        <f>IF(Tab.11[[#This Row],[a1]]=1,Tab.11[[#This Row],[b77]]/(_xlfn.STDEV.P(Tab.11[b77])))</f>
        <v>0</v>
      </c>
      <c r="AA950" s="70" t="b">
        <f>IF(Tab.11[[#This Row],[a1]]=1,_xlfn.NORM.DIST(Tab.11[[#This Row],[b88]],$Z$1,$AA$1,FALSE))</f>
        <v>0</v>
      </c>
      <c r="AB950" s="74" t="b">
        <f>IF(Tab.11[[#This Row],[a1]]=1,IF($A$3=0,FALSE,1/Tab.11[[#This Row],[IN]]*$AC$2*IF(Tab.11[[#This Row],[a1]]=0,,$A$3*$AC$1*1/$V$3*(Tab.11[[#This Row],[b14]]))))</f>
        <v>0</v>
      </c>
      <c r="AC950" s="75" t="b">
        <f>IF(Tab.11[[#This Row],[a1]]=1,IF($AC$3=0,Tab.11[[#This Row],[φ1]],Tab.11[[#This Row],[φ1]]/MAX(Tab.11[φ1])))</f>
        <v>0</v>
      </c>
      <c r="AD950" s="74" t="b">
        <f>IF(Tab.11[[#This Row],[a1]]=1,1/Tab.11[[#This Row],[φ2]])</f>
        <v>0</v>
      </c>
      <c r="AE950" s="74" t="b">
        <f>IF(Tab.11[[#This Row],[a1]]=1,IF($AE$3=0,Tab.11[[#This Row],[w.0]],Tab.11[[#This Row],[w.0]]/SUM(Tab.11[w.0])))</f>
        <v>0</v>
      </c>
      <c r="AF950" s="76" t="str">
        <f>IF(Tab.11[[#This Row],[a1]]=0,"false",[3]!Tab.x5[[#This Row],[%_seN_C]])</f>
        <v>false</v>
      </c>
      <c r="AG950" s="77" t="b">
        <f>IF(Tab.11[[#This Row],[a1]]=1,AP950)</f>
        <v>0</v>
      </c>
      <c r="AH950" s="78" t="b">
        <f>IF(Tab.11[[#This Row],[a1]]=1,AQ950)</f>
        <v>0</v>
      </c>
      <c r="AI950" s="41">
        <v>3.0000000000000001E-3</v>
      </c>
      <c r="AJ950" s="79">
        <v>0.02</v>
      </c>
      <c r="AK950" s="80" t="b">
        <f>IF(Tab.11[[#This Row],[a1]]=1,1)</f>
        <v>0</v>
      </c>
      <c r="AZ950"/>
    </row>
    <row r="951" spans="1:52" hidden="1" x14ac:dyDescent="0.25">
      <c r="A951" s="61">
        <f t="shared" si="31"/>
        <v>0</v>
      </c>
      <c r="B951" s="62">
        <f t="shared" si="31"/>
        <v>0</v>
      </c>
      <c r="C951" s="62" t="b">
        <f>IF(Tab.11[[#This Row],[a1]]=1,[3]!Tab_x1[[#This Row],[Name]])</f>
        <v>0</v>
      </c>
      <c r="D951" s="63" t="b">
        <f>IF(Tab.11[[#This Row],[a1]]=1,AO951)</f>
        <v>0</v>
      </c>
      <c r="E951" s="63">
        <f t="shared" si="30"/>
        <v>0</v>
      </c>
      <c r="F951" s="64" t="b">
        <f>IF(Tab.11[[#This Row],[a1]]=1,Tab.11[[#This Row],[b1]])</f>
        <v>0</v>
      </c>
      <c r="G951" s="65" t="b">
        <f>IF(Tab.11[[#This Row],[a1]]=1,IF(Tab.11[[#This Row],[b3]]&gt;$L$989*$G$3,$L$989*$G$3,IF(Tab.11[[#This Row],[b3]]&lt;$M$989*$G$3,$M$989*$G$3,Tab.11[[#This Row],[b3]])))</f>
        <v>0</v>
      </c>
      <c r="H951" s="66" t="b">
        <f>IF(Tab.11[[#This Row],[a1]]=1,Tab.11[[#This Row],[b1]])</f>
        <v>0</v>
      </c>
      <c r="I951" s="67" t="b">
        <f>IF(Tab.11[[#This Row],[a1]]=1,Tab.11[[#This Row],[b1]])</f>
        <v>0</v>
      </c>
      <c r="J951" s="68" t="b">
        <f>IF(Tab.11[[#This Row],[a1]]=1,IF($I$3&lt;0,Tab.11[[#This Row],[b5]]-$I$3,Tab.11[[#This Row],[b5]]))</f>
        <v>0</v>
      </c>
      <c r="K951" s="68" t="b">
        <f>IF(Tab.11[[#This Row],[a1]]=1,IF($K$3=0,Tab.11[b6],Tab.11[[#This Row],[b6]]-AVERAGE(Tab.11[b6])))</f>
        <v>0</v>
      </c>
      <c r="L951" s="69" t="b">
        <f>IF(Tab.11[[#This Row],[a1]]=1,Tab.11[[#This Row],[data]]/(_xlfn.STDEV.P(Tab.11[data])*$B$989)+$A$989)</f>
        <v>0</v>
      </c>
      <c r="M951" s="69" t="b">
        <f>IF(Tab.11[[#This Row],[a1]]=1,Tab.11[[#This Row],[data]]/(_xlfn.STDEV.P(Tab.11[data])*$B$987)-$A$987)</f>
        <v>0</v>
      </c>
      <c r="N951" s="69" t="b">
        <f>IF(Tab.11[[#This Row],[a1]]=1,Tab.11[[#This Row],[data]]/(_xlfn.STDEV.P(Tab.11[data])*$B$988)+$A$988)</f>
        <v>0</v>
      </c>
      <c r="O951" s="70" t="b">
        <f>IF(Tab.11[[#This Row],[a1]]=1,_xlfn.NORM.DIST(Tab.11[[#This Row],[b8]],$P$1,$Q$1,FALSE))</f>
        <v>0</v>
      </c>
      <c r="P951" s="70" t="b">
        <f>IF(Tab.11[[#This Row],[a1]]=1,_xlfn.NORM.DIST(Tab.11[[#This Row],[b9]],$P$1,$Q$1,FALSE))</f>
        <v>0</v>
      </c>
      <c r="Q951" s="70" t="b">
        <f>IF(Tab.11[[#This Row],[a1]]=1,_xlfn.NORM.DIST(Tab.11[[#This Row],[b10]],$P$1,$Q$1,FALSE))</f>
        <v>0</v>
      </c>
      <c r="R951" s="67" t="b">
        <f>IF(Tab.11[[#This Row],[a1]]=1,$I$3+$A$989+IF($K$3=0,Tab.11[[#This Row],[b8]]*_xlfn.STDEV.P(Tab.11[data]),AVERAGE(Tab.11[b6])+Tab.11[[#This Row],[b8]]*_xlfn.STDEV.P(Tab.11[data])))</f>
        <v>0</v>
      </c>
      <c r="S951" s="71" t="b">
        <f>IF(Tab.11[[#This Row],[a1]]=1,$I$3+$A$987+IF($K$3=0,Tab.11[[#This Row],[b9]]*_xlfn.STDEV.P(Tab.11[data]),AVERAGE(Tab.11[b6])+Tab.11[[#This Row],[b9]]*_xlfn.STDEV.P(Tab.11[data])))</f>
        <v>0</v>
      </c>
      <c r="T951" s="71" t="b">
        <f>IF(Tab.11[[#This Row],[a1]]=1,$I$3+$A$988+IF($K$3=0,Tab.11[[#This Row],[b10]]*_xlfn.STDEV.P(Tab.11[data]),AVERAGE(Tab.11[b6])+Tab.11[[#This Row],[b10]]*_xlfn.STDEV.P(Tab.11[data])))</f>
        <v>0</v>
      </c>
      <c r="U951" s="72" t="b">
        <f>IF(Tab.11[[#This Row],[a1]]=1,Tab.11[[#This Row],[target]]-Tab.11[[#This Row],[Red]])</f>
        <v>0</v>
      </c>
      <c r="V951" s="72" t="b">
        <f>IF(Tab.11[[#This Row],[a1]]=1,Tab.11[[#This Row],[target]]-Tab.11[[#This Row],[Blue]])</f>
        <v>0</v>
      </c>
      <c r="W951" s="73" t="b">
        <f>IF(Tab.11[[#This Row],[a1]]=1,IF(ABS(Tab.11[[#This Row],[b17]])+ABS(Tab.11[[#This Row],[b18]])&lt;$W$2,$W$2,ABS(Tab.11[[#This Row],[b17]])+ABS(Tab.11[[#This Row],[b18]])))</f>
        <v>0</v>
      </c>
      <c r="X951" s="136" t="b">
        <f>IF(Tab.11[[#This Row],[a1]]=1,IF($W$3&lt;0,Tab.11[[#This Row],[IN]]-$I$3,Tab.11[[#This Row],[IN]]))</f>
        <v>0</v>
      </c>
      <c r="Y951" s="136" t="b">
        <f>IF(Tab.11[[#This Row],[a1]]=1,IF($X$3=0,Tab.11[b66],Tab.11[[#This Row],[b66]]-AVERAGE(Tab.11[b66])))</f>
        <v>0</v>
      </c>
      <c r="Z951" s="135" t="b">
        <f>IF(Tab.11[[#This Row],[a1]]=1,Tab.11[[#This Row],[b77]]/(_xlfn.STDEV.P(Tab.11[b77])))</f>
        <v>0</v>
      </c>
      <c r="AA951" s="70" t="b">
        <f>IF(Tab.11[[#This Row],[a1]]=1,_xlfn.NORM.DIST(Tab.11[[#This Row],[b88]],$Z$1,$AA$1,FALSE))</f>
        <v>0</v>
      </c>
      <c r="AB951" s="74" t="b">
        <f>IF(Tab.11[[#This Row],[a1]]=1,IF($A$3=0,FALSE,1/Tab.11[[#This Row],[IN]]*$AC$2*IF(Tab.11[[#This Row],[a1]]=0,,$A$3*$AC$1*1/$V$3*(Tab.11[[#This Row],[b14]]))))</f>
        <v>0</v>
      </c>
      <c r="AC951" s="75" t="b">
        <f>IF(Tab.11[[#This Row],[a1]]=1,IF($AC$3=0,Tab.11[[#This Row],[φ1]],Tab.11[[#This Row],[φ1]]/MAX(Tab.11[φ1])))</f>
        <v>0</v>
      </c>
      <c r="AD951" s="74" t="b">
        <f>IF(Tab.11[[#This Row],[a1]]=1,1/Tab.11[[#This Row],[φ2]])</f>
        <v>0</v>
      </c>
      <c r="AE951" s="74" t="b">
        <f>IF(Tab.11[[#This Row],[a1]]=1,IF($AE$3=0,Tab.11[[#This Row],[w.0]],Tab.11[[#This Row],[w.0]]/SUM(Tab.11[w.0])))</f>
        <v>0</v>
      </c>
      <c r="AF951" s="76" t="str">
        <f>IF(Tab.11[[#This Row],[a1]]=0,"false",[3]!Tab.x5[[#This Row],[%_seN_C]])</f>
        <v>false</v>
      </c>
      <c r="AG951" s="77" t="b">
        <f>IF(Tab.11[[#This Row],[a1]]=1,AP951)</f>
        <v>0</v>
      </c>
      <c r="AH951" s="78" t="b">
        <f>IF(Tab.11[[#This Row],[a1]]=1,AQ951)</f>
        <v>0</v>
      </c>
      <c r="AI951" s="41">
        <v>3.0000000000000001E-3</v>
      </c>
      <c r="AJ951" s="79">
        <v>0</v>
      </c>
      <c r="AK951" s="80" t="b">
        <f>IF(Tab.11[[#This Row],[a1]]=1,1)</f>
        <v>0</v>
      </c>
      <c r="AZ951"/>
    </row>
    <row r="952" spans="1:52" hidden="1" x14ac:dyDescent="0.25">
      <c r="A952" s="61">
        <f t="shared" si="31"/>
        <v>0</v>
      </c>
      <c r="B952" s="62">
        <f t="shared" si="31"/>
        <v>0</v>
      </c>
      <c r="C952" s="62" t="b">
        <f>IF(Tab.11[[#This Row],[a1]]=1,[3]!Tab_x1[[#This Row],[Name]])</f>
        <v>0</v>
      </c>
      <c r="D952" s="63" t="b">
        <f>IF(Tab.11[[#This Row],[a1]]=1,AO952)</f>
        <v>0</v>
      </c>
      <c r="E952" s="63">
        <f t="shared" si="30"/>
        <v>0</v>
      </c>
      <c r="F952" s="64" t="b">
        <f>IF(Tab.11[[#This Row],[a1]]=1,Tab.11[[#This Row],[b1]])</f>
        <v>0</v>
      </c>
      <c r="G952" s="65" t="b">
        <f>IF(Tab.11[[#This Row],[a1]]=1,IF(Tab.11[[#This Row],[b3]]&gt;$L$989*$G$3,$L$989*$G$3,IF(Tab.11[[#This Row],[b3]]&lt;$M$989*$G$3,$M$989*$G$3,Tab.11[[#This Row],[b3]])))</f>
        <v>0</v>
      </c>
      <c r="H952" s="66" t="b">
        <f>IF(Tab.11[[#This Row],[a1]]=1,Tab.11[[#This Row],[b1]])</f>
        <v>0</v>
      </c>
      <c r="I952" s="67" t="b">
        <f>IF(Tab.11[[#This Row],[a1]]=1,Tab.11[[#This Row],[b1]])</f>
        <v>0</v>
      </c>
      <c r="J952" s="68" t="b">
        <f>IF(Tab.11[[#This Row],[a1]]=1,IF($I$3&lt;0,Tab.11[[#This Row],[b5]]-$I$3,Tab.11[[#This Row],[b5]]))</f>
        <v>0</v>
      </c>
      <c r="K952" s="68" t="b">
        <f>IF(Tab.11[[#This Row],[a1]]=1,IF($K$3=0,Tab.11[b6],Tab.11[[#This Row],[b6]]-AVERAGE(Tab.11[b6])))</f>
        <v>0</v>
      </c>
      <c r="L952" s="69" t="b">
        <f>IF(Tab.11[[#This Row],[a1]]=1,Tab.11[[#This Row],[data]]/(_xlfn.STDEV.P(Tab.11[data])*$B$989)+$A$989)</f>
        <v>0</v>
      </c>
      <c r="M952" s="69" t="b">
        <f>IF(Tab.11[[#This Row],[a1]]=1,Tab.11[[#This Row],[data]]/(_xlfn.STDEV.P(Tab.11[data])*$B$987)-$A$987)</f>
        <v>0</v>
      </c>
      <c r="N952" s="69" t="b">
        <f>IF(Tab.11[[#This Row],[a1]]=1,Tab.11[[#This Row],[data]]/(_xlfn.STDEV.P(Tab.11[data])*$B$988)+$A$988)</f>
        <v>0</v>
      </c>
      <c r="O952" s="70" t="b">
        <f>IF(Tab.11[[#This Row],[a1]]=1,_xlfn.NORM.DIST(Tab.11[[#This Row],[b8]],$P$1,$Q$1,FALSE))</f>
        <v>0</v>
      </c>
      <c r="P952" s="70" t="b">
        <f>IF(Tab.11[[#This Row],[a1]]=1,_xlfn.NORM.DIST(Tab.11[[#This Row],[b9]],$P$1,$Q$1,FALSE))</f>
        <v>0</v>
      </c>
      <c r="Q952" s="70" t="b">
        <f>IF(Tab.11[[#This Row],[a1]]=1,_xlfn.NORM.DIST(Tab.11[[#This Row],[b10]],$P$1,$Q$1,FALSE))</f>
        <v>0</v>
      </c>
      <c r="R952" s="67" t="b">
        <f>IF(Tab.11[[#This Row],[a1]]=1,$I$3+$A$989+IF($K$3=0,Tab.11[[#This Row],[b8]]*_xlfn.STDEV.P(Tab.11[data]),AVERAGE(Tab.11[b6])+Tab.11[[#This Row],[b8]]*_xlfn.STDEV.P(Tab.11[data])))</f>
        <v>0</v>
      </c>
      <c r="S952" s="71" t="b">
        <f>IF(Tab.11[[#This Row],[a1]]=1,$I$3+$A$987+IF($K$3=0,Tab.11[[#This Row],[b9]]*_xlfn.STDEV.P(Tab.11[data]),AVERAGE(Tab.11[b6])+Tab.11[[#This Row],[b9]]*_xlfn.STDEV.P(Tab.11[data])))</f>
        <v>0</v>
      </c>
      <c r="T952" s="71" t="b">
        <f>IF(Tab.11[[#This Row],[a1]]=1,$I$3+$A$988+IF($K$3=0,Tab.11[[#This Row],[b10]]*_xlfn.STDEV.P(Tab.11[data]),AVERAGE(Tab.11[b6])+Tab.11[[#This Row],[b10]]*_xlfn.STDEV.P(Tab.11[data])))</f>
        <v>0</v>
      </c>
      <c r="U952" s="72" t="b">
        <f>IF(Tab.11[[#This Row],[a1]]=1,Tab.11[[#This Row],[target]]-Tab.11[[#This Row],[Red]])</f>
        <v>0</v>
      </c>
      <c r="V952" s="72" t="b">
        <f>IF(Tab.11[[#This Row],[a1]]=1,Tab.11[[#This Row],[target]]-Tab.11[[#This Row],[Blue]])</f>
        <v>0</v>
      </c>
      <c r="W952" s="73" t="b">
        <f>IF(Tab.11[[#This Row],[a1]]=1,IF(ABS(Tab.11[[#This Row],[b17]])+ABS(Tab.11[[#This Row],[b18]])&lt;$W$2,$W$2,ABS(Tab.11[[#This Row],[b17]])+ABS(Tab.11[[#This Row],[b18]])))</f>
        <v>0</v>
      </c>
      <c r="X952" s="136" t="b">
        <f>IF(Tab.11[[#This Row],[a1]]=1,IF($W$3&lt;0,Tab.11[[#This Row],[IN]]-$I$3,Tab.11[[#This Row],[IN]]))</f>
        <v>0</v>
      </c>
      <c r="Y952" s="136" t="b">
        <f>IF(Tab.11[[#This Row],[a1]]=1,IF($X$3=0,Tab.11[b66],Tab.11[[#This Row],[b66]]-AVERAGE(Tab.11[b66])))</f>
        <v>0</v>
      </c>
      <c r="Z952" s="135" t="b">
        <f>IF(Tab.11[[#This Row],[a1]]=1,Tab.11[[#This Row],[b77]]/(_xlfn.STDEV.P(Tab.11[b77])))</f>
        <v>0</v>
      </c>
      <c r="AA952" s="70" t="b">
        <f>IF(Tab.11[[#This Row],[a1]]=1,_xlfn.NORM.DIST(Tab.11[[#This Row],[b88]],$Z$1,$AA$1,FALSE))</f>
        <v>0</v>
      </c>
      <c r="AB952" s="74" t="b">
        <f>IF(Tab.11[[#This Row],[a1]]=1,IF($A$3=0,FALSE,1/Tab.11[[#This Row],[IN]]*$AC$2*IF(Tab.11[[#This Row],[a1]]=0,,$A$3*$AC$1*1/$V$3*(Tab.11[[#This Row],[b14]]))))</f>
        <v>0</v>
      </c>
      <c r="AC952" s="75" t="b">
        <f>IF(Tab.11[[#This Row],[a1]]=1,IF($AC$3=0,Tab.11[[#This Row],[φ1]],Tab.11[[#This Row],[φ1]]/MAX(Tab.11[φ1])))</f>
        <v>0</v>
      </c>
      <c r="AD952" s="74" t="b">
        <f>IF(Tab.11[[#This Row],[a1]]=1,1/Tab.11[[#This Row],[φ2]])</f>
        <v>0</v>
      </c>
      <c r="AE952" s="74" t="b">
        <f>IF(Tab.11[[#This Row],[a1]]=1,IF($AE$3=0,Tab.11[[#This Row],[w.0]],Tab.11[[#This Row],[w.0]]/SUM(Tab.11[w.0])))</f>
        <v>0</v>
      </c>
      <c r="AF952" s="76" t="str">
        <f>IF(Tab.11[[#This Row],[a1]]=0,"false",[3]!Tab.x5[[#This Row],[%_seN_C]])</f>
        <v>false</v>
      </c>
      <c r="AG952" s="77" t="b">
        <f>IF(Tab.11[[#This Row],[a1]]=1,AP952)</f>
        <v>0</v>
      </c>
      <c r="AH952" s="78" t="b">
        <f>IF(Tab.11[[#This Row],[a1]]=1,AQ952)</f>
        <v>0</v>
      </c>
      <c r="AI952" s="41">
        <v>3.0000000000000001E-3</v>
      </c>
      <c r="AJ952" s="79">
        <v>-0.04</v>
      </c>
      <c r="AK952" s="80" t="b">
        <f>IF(Tab.11[[#This Row],[a1]]=1,1)</f>
        <v>0</v>
      </c>
      <c r="AZ952"/>
    </row>
    <row r="953" spans="1:52" hidden="1" x14ac:dyDescent="0.25">
      <c r="A953" s="61">
        <f t="shared" si="31"/>
        <v>0</v>
      </c>
      <c r="B953" s="62">
        <f t="shared" si="31"/>
        <v>0</v>
      </c>
      <c r="C953" s="62" t="b">
        <f>IF(Tab.11[[#This Row],[a1]]=1,[3]!Tab_x1[[#This Row],[Name]])</f>
        <v>0</v>
      </c>
      <c r="D953" s="63" t="b">
        <f>IF(Tab.11[[#This Row],[a1]]=1,AO953)</f>
        <v>0</v>
      </c>
      <c r="E953" s="63">
        <f t="shared" si="30"/>
        <v>0</v>
      </c>
      <c r="F953" s="64" t="b">
        <f>IF(Tab.11[[#This Row],[a1]]=1,Tab.11[[#This Row],[b1]])</f>
        <v>0</v>
      </c>
      <c r="G953" s="65" t="b">
        <f>IF(Tab.11[[#This Row],[a1]]=1,IF(Tab.11[[#This Row],[b3]]&gt;$L$989*$G$3,$L$989*$G$3,IF(Tab.11[[#This Row],[b3]]&lt;$M$989*$G$3,$M$989*$G$3,Tab.11[[#This Row],[b3]])))</f>
        <v>0</v>
      </c>
      <c r="H953" s="66" t="b">
        <f>IF(Tab.11[[#This Row],[a1]]=1,Tab.11[[#This Row],[b1]])</f>
        <v>0</v>
      </c>
      <c r="I953" s="67" t="b">
        <f>IF(Tab.11[[#This Row],[a1]]=1,Tab.11[[#This Row],[b1]])</f>
        <v>0</v>
      </c>
      <c r="J953" s="68" t="b">
        <f>IF(Tab.11[[#This Row],[a1]]=1,IF($I$3&lt;0,Tab.11[[#This Row],[b5]]-$I$3,Tab.11[[#This Row],[b5]]))</f>
        <v>0</v>
      </c>
      <c r="K953" s="68" t="b">
        <f>IF(Tab.11[[#This Row],[a1]]=1,IF($K$3=0,Tab.11[b6],Tab.11[[#This Row],[b6]]-AVERAGE(Tab.11[b6])))</f>
        <v>0</v>
      </c>
      <c r="L953" s="69" t="b">
        <f>IF(Tab.11[[#This Row],[a1]]=1,Tab.11[[#This Row],[data]]/(_xlfn.STDEV.P(Tab.11[data])*$B$989)+$A$989)</f>
        <v>0</v>
      </c>
      <c r="M953" s="69" t="b">
        <f>IF(Tab.11[[#This Row],[a1]]=1,Tab.11[[#This Row],[data]]/(_xlfn.STDEV.P(Tab.11[data])*$B$987)-$A$987)</f>
        <v>0</v>
      </c>
      <c r="N953" s="69" t="b">
        <f>IF(Tab.11[[#This Row],[a1]]=1,Tab.11[[#This Row],[data]]/(_xlfn.STDEV.P(Tab.11[data])*$B$988)+$A$988)</f>
        <v>0</v>
      </c>
      <c r="O953" s="70" t="b">
        <f>IF(Tab.11[[#This Row],[a1]]=1,_xlfn.NORM.DIST(Tab.11[[#This Row],[b8]],$P$1,$Q$1,FALSE))</f>
        <v>0</v>
      </c>
      <c r="P953" s="70" t="b">
        <f>IF(Tab.11[[#This Row],[a1]]=1,_xlfn.NORM.DIST(Tab.11[[#This Row],[b9]],$P$1,$Q$1,FALSE))</f>
        <v>0</v>
      </c>
      <c r="Q953" s="70" t="b">
        <f>IF(Tab.11[[#This Row],[a1]]=1,_xlfn.NORM.DIST(Tab.11[[#This Row],[b10]],$P$1,$Q$1,FALSE))</f>
        <v>0</v>
      </c>
      <c r="R953" s="67" t="b">
        <f>IF(Tab.11[[#This Row],[a1]]=1,$I$3+$A$989+IF($K$3=0,Tab.11[[#This Row],[b8]]*_xlfn.STDEV.P(Tab.11[data]),AVERAGE(Tab.11[b6])+Tab.11[[#This Row],[b8]]*_xlfn.STDEV.P(Tab.11[data])))</f>
        <v>0</v>
      </c>
      <c r="S953" s="71" t="b">
        <f>IF(Tab.11[[#This Row],[a1]]=1,$I$3+$A$987+IF($K$3=0,Tab.11[[#This Row],[b9]]*_xlfn.STDEV.P(Tab.11[data]),AVERAGE(Tab.11[b6])+Tab.11[[#This Row],[b9]]*_xlfn.STDEV.P(Tab.11[data])))</f>
        <v>0</v>
      </c>
      <c r="T953" s="71" t="b">
        <f>IF(Tab.11[[#This Row],[a1]]=1,$I$3+$A$988+IF($K$3=0,Tab.11[[#This Row],[b10]]*_xlfn.STDEV.P(Tab.11[data]),AVERAGE(Tab.11[b6])+Tab.11[[#This Row],[b10]]*_xlfn.STDEV.P(Tab.11[data])))</f>
        <v>0</v>
      </c>
      <c r="U953" s="72" t="b">
        <f>IF(Tab.11[[#This Row],[a1]]=1,Tab.11[[#This Row],[target]]-Tab.11[[#This Row],[Red]])</f>
        <v>0</v>
      </c>
      <c r="V953" s="72" t="b">
        <f>IF(Tab.11[[#This Row],[a1]]=1,Tab.11[[#This Row],[target]]-Tab.11[[#This Row],[Blue]])</f>
        <v>0</v>
      </c>
      <c r="W953" s="73" t="b">
        <f>IF(Tab.11[[#This Row],[a1]]=1,IF(ABS(Tab.11[[#This Row],[b17]])+ABS(Tab.11[[#This Row],[b18]])&lt;$W$2,$W$2,ABS(Tab.11[[#This Row],[b17]])+ABS(Tab.11[[#This Row],[b18]])))</f>
        <v>0</v>
      </c>
      <c r="X953" s="136" t="b">
        <f>IF(Tab.11[[#This Row],[a1]]=1,IF($W$3&lt;0,Tab.11[[#This Row],[IN]]-$I$3,Tab.11[[#This Row],[IN]]))</f>
        <v>0</v>
      </c>
      <c r="Y953" s="136" t="b">
        <f>IF(Tab.11[[#This Row],[a1]]=1,IF($X$3=0,Tab.11[b66],Tab.11[[#This Row],[b66]]-AVERAGE(Tab.11[b66])))</f>
        <v>0</v>
      </c>
      <c r="Z953" s="135" t="b">
        <f>IF(Tab.11[[#This Row],[a1]]=1,Tab.11[[#This Row],[b77]]/(_xlfn.STDEV.P(Tab.11[b77])))</f>
        <v>0</v>
      </c>
      <c r="AA953" s="70" t="b">
        <f>IF(Tab.11[[#This Row],[a1]]=1,_xlfn.NORM.DIST(Tab.11[[#This Row],[b88]],$Z$1,$AA$1,FALSE))</f>
        <v>0</v>
      </c>
      <c r="AB953" s="74" t="b">
        <f>IF(Tab.11[[#This Row],[a1]]=1,IF($A$3=0,FALSE,1/Tab.11[[#This Row],[IN]]*$AC$2*IF(Tab.11[[#This Row],[a1]]=0,,$A$3*$AC$1*1/$V$3*(Tab.11[[#This Row],[b14]]))))</f>
        <v>0</v>
      </c>
      <c r="AC953" s="75" t="b">
        <f>IF(Tab.11[[#This Row],[a1]]=1,IF($AC$3=0,Tab.11[[#This Row],[φ1]],Tab.11[[#This Row],[φ1]]/MAX(Tab.11[φ1])))</f>
        <v>0</v>
      </c>
      <c r="AD953" s="74" t="b">
        <f>IF(Tab.11[[#This Row],[a1]]=1,1/Tab.11[[#This Row],[φ2]])</f>
        <v>0</v>
      </c>
      <c r="AE953" s="74" t="b">
        <f>IF(Tab.11[[#This Row],[a1]]=1,IF($AE$3=0,Tab.11[[#This Row],[w.0]],Tab.11[[#This Row],[w.0]]/SUM(Tab.11[w.0])))</f>
        <v>0</v>
      </c>
      <c r="AF953" s="76" t="str">
        <f>IF(Tab.11[[#This Row],[a1]]=0,"false",[3]!Tab.x5[[#This Row],[%_seN_C]])</f>
        <v>false</v>
      </c>
      <c r="AG953" s="77" t="b">
        <f>IF(Tab.11[[#This Row],[a1]]=1,AP953)</f>
        <v>0</v>
      </c>
      <c r="AH953" s="78" t="b">
        <f>IF(Tab.11[[#This Row],[a1]]=1,AQ953)</f>
        <v>0</v>
      </c>
      <c r="AI953" s="41">
        <v>3.0000000000000001E-3</v>
      </c>
      <c r="AJ953" s="79">
        <v>0.1</v>
      </c>
      <c r="AK953" s="80" t="b">
        <f>IF(Tab.11[[#This Row],[a1]]=1,1)</f>
        <v>0</v>
      </c>
      <c r="AZ953"/>
    </row>
    <row r="954" spans="1:52" hidden="1" x14ac:dyDescent="0.25">
      <c r="A954" s="61">
        <f t="shared" si="31"/>
        <v>0</v>
      </c>
      <c r="B954" s="62">
        <f t="shared" si="31"/>
        <v>0</v>
      </c>
      <c r="C954" s="62" t="b">
        <f>IF(Tab.11[[#This Row],[a1]]=1,[3]!Tab_x1[[#This Row],[Name]])</f>
        <v>0</v>
      </c>
      <c r="D954" s="63" t="b">
        <f>IF(Tab.11[[#This Row],[a1]]=1,AO954)</f>
        <v>0</v>
      </c>
      <c r="E954" s="63">
        <f t="shared" si="30"/>
        <v>0</v>
      </c>
      <c r="F954" s="64" t="b">
        <f>IF(Tab.11[[#This Row],[a1]]=1,Tab.11[[#This Row],[b1]])</f>
        <v>0</v>
      </c>
      <c r="G954" s="65" t="b">
        <f>IF(Tab.11[[#This Row],[a1]]=1,IF(Tab.11[[#This Row],[b3]]&gt;$L$989*$G$3,$L$989*$G$3,IF(Tab.11[[#This Row],[b3]]&lt;$M$989*$G$3,$M$989*$G$3,Tab.11[[#This Row],[b3]])))</f>
        <v>0</v>
      </c>
      <c r="H954" s="66" t="b">
        <f>IF(Tab.11[[#This Row],[a1]]=1,Tab.11[[#This Row],[b1]])</f>
        <v>0</v>
      </c>
      <c r="I954" s="67" t="b">
        <f>IF(Tab.11[[#This Row],[a1]]=1,Tab.11[[#This Row],[b1]])</f>
        <v>0</v>
      </c>
      <c r="J954" s="68" t="b">
        <f>IF(Tab.11[[#This Row],[a1]]=1,IF($I$3&lt;0,Tab.11[[#This Row],[b5]]-$I$3,Tab.11[[#This Row],[b5]]))</f>
        <v>0</v>
      </c>
      <c r="K954" s="68" t="b">
        <f>IF(Tab.11[[#This Row],[a1]]=1,IF($K$3=0,Tab.11[b6],Tab.11[[#This Row],[b6]]-AVERAGE(Tab.11[b6])))</f>
        <v>0</v>
      </c>
      <c r="L954" s="69" t="b">
        <f>IF(Tab.11[[#This Row],[a1]]=1,Tab.11[[#This Row],[data]]/(_xlfn.STDEV.P(Tab.11[data])*$B$989)+$A$989)</f>
        <v>0</v>
      </c>
      <c r="M954" s="69" t="b">
        <f>IF(Tab.11[[#This Row],[a1]]=1,Tab.11[[#This Row],[data]]/(_xlfn.STDEV.P(Tab.11[data])*$B$987)-$A$987)</f>
        <v>0</v>
      </c>
      <c r="N954" s="69" t="b">
        <f>IF(Tab.11[[#This Row],[a1]]=1,Tab.11[[#This Row],[data]]/(_xlfn.STDEV.P(Tab.11[data])*$B$988)+$A$988)</f>
        <v>0</v>
      </c>
      <c r="O954" s="70" t="b">
        <f>IF(Tab.11[[#This Row],[a1]]=1,_xlfn.NORM.DIST(Tab.11[[#This Row],[b8]],$P$1,$Q$1,FALSE))</f>
        <v>0</v>
      </c>
      <c r="P954" s="70" t="b">
        <f>IF(Tab.11[[#This Row],[a1]]=1,_xlfn.NORM.DIST(Tab.11[[#This Row],[b9]],$P$1,$Q$1,FALSE))</f>
        <v>0</v>
      </c>
      <c r="Q954" s="70" t="b">
        <f>IF(Tab.11[[#This Row],[a1]]=1,_xlfn.NORM.DIST(Tab.11[[#This Row],[b10]],$P$1,$Q$1,FALSE))</f>
        <v>0</v>
      </c>
      <c r="R954" s="67" t="b">
        <f>IF(Tab.11[[#This Row],[a1]]=1,$I$3+$A$989+IF($K$3=0,Tab.11[[#This Row],[b8]]*_xlfn.STDEV.P(Tab.11[data]),AVERAGE(Tab.11[b6])+Tab.11[[#This Row],[b8]]*_xlfn.STDEV.P(Tab.11[data])))</f>
        <v>0</v>
      </c>
      <c r="S954" s="71" t="b">
        <f>IF(Tab.11[[#This Row],[a1]]=1,$I$3+$A$987+IF($K$3=0,Tab.11[[#This Row],[b9]]*_xlfn.STDEV.P(Tab.11[data]),AVERAGE(Tab.11[b6])+Tab.11[[#This Row],[b9]]*_xlfn.STDEV.P(Tab.11[data])))</f>
        <v>0</v>
      </c>
      <c r="T954" s="71" t="b">
        <f>IF(Tab.11[[#This Row],[a1]]=1,$I$3+$A$988+IF($K$3=0,Tab.11[[#This Row],[b10]]*_xlfn.STDEV.P(Tab.11[data]),AVERAGE(Tab.11[b6])+Tab.11[[#This Row],[b10]]*_xlfn.STDEV.P(Tab.11[data])))</f>
        <v>0</v>
      </c>
      <c r="U954" s="72" t="b">
        <f>IF(Tab.11[[#This Row],[a1]]=1,Tab.11[[#This Row],[target]]-Tab.11[[#This Row],[Red]])</f>
        <v>0</v>
      </c>
      <c r="V954" s="72" t="b">
        <f>IF(Tab.11[[#This Row],[a1]]=1,Tab.11[[#This Row],[target]]-Tab.11[[#This Row],[Blue]])</f>
        <v>0</v>
      </c>
      <c r="W954" s="73" t="b">
        <f>IF(Tab.11[[#This Row],[a1]]=1,IF(ABS(Tab.11[[#This Row],[b17]])+ABS(Tab.11[[#This Row],[b18]])&lt;$W$2,$W$2,ABS(Tab.11[[#This Row],[b17]])+ABS(Tab.11[[#This Row],[b18]])))</f>
        <v>0</v>
      </c>
      <c r="X954" s="136" t="b">
        <f>IF(Tab.11[[#This Row],[a1]]=1,IF($W$3&lt;0,Tab.11[[#This Row],[IN]]-$I$3,Tab.11[[#This Row],[IN]]))</f>
        <v>0</v>
      </c>
      <c r="Y954" s="136" t="b">
        <f>IF(Tab.11[[#This Row],[a1]]=1,IF($X$3=0,Tab.11[b66],Tab.11[[#This Row],[b66]]-AVERAGE(Tab.11[b66])))</f>
        <v>0</v>
      </c>
      <c r="Z954" s="135" t="b">
        <f>IF(Tab.11[[#This Row],[a1]]=1,Tab.11[[#This Row],[b77]]/(_xlfn.STDEV.P(Tab.11[b77])))</f>
        <v>0</v>
      </c>
      <c r="AA954" s="70" t="b">
        <f>IF(Tab.11[[#This Row],[a1]]=1,_xlfn.NORM.DIST(Tab.11[[#This Row],[b88]],$Z$1,$AA$1,FALSE))</f>
        <v>0</v>
      </c>
      <c r="AB954" s="74" t="b">
        <f>IF(Tab.11[[#This Row],[a1]]=1,IF($A$3=0,FALSE,1/Tab.11[[#This Row],[IN]]*$AC$2*IF(Tab.11[[#This Row],[a1]]=0,,$A$3*$AC$1*1/$V$3*(Tab.11[[#This Row],[b14]]))))</f>
        <v>0</v>
      </c>
      <c r="AC954" s="75" t="b">
        <f>IF(Tab.11[[#This Row],[a1]]=1,IF($AC$3=0,Tab.11[[#This Row],[φ1]],Tab.11[[#This Row],[φ1]]/MAX(Tab.11[φ1])))</f>
        <v>0</v>
      </c>
      <c r="AD954" s="74" t="b">
        <f>IF(Tab.11[[#This Row],[a1]]=1,1/Tab.11[[#This Row],[φ2]])</f>
        <v>0</v>
      </c>
      <c r="AE954" s="74" t="b">
        <f>IF(Tab.11[[#This Row],[a1]]=1,IF($AE$3=0,Tab.11[[#This Row],[w.0]],Tab.11[[#This Row],[w.0]]/SUM(Tab.11[w.0])))</f>
        <v>0</v>
      </c>
      <c r="AF954" s="76" t="str">
        <f>IF(Tab.11[[#This Row],[a1]]=0,"false",[3]!Tab.x5[[#This Row],[%_seN_C]])</f>
        <v>false</v>
      </c>
      <c r="AG954" s="77" t="b">
        <f>IF(Tab.11[[#This Row],[a1]]=1,AP954)</f>
        <v>0</v>
      </c>
      <c r="AH954" s="78" t="b">
        <f>IF(Tab.11[[#This Row],[a1]]=1,AQ954)</f>
        <v>0</v>
      </c>
      <c r="AI954" s="41">
        <v>3.0000000000000001E-3</v>
      </c>
      <c r="AJ954" s="79">
        <v>0</v>
      </c>
      <c r="AK954" s="80" t="b">
        <f>IF(Tab.11[[#This Row],[a1]]=1,1)</f>
        <v>0</v>
      </c>
      <c r="AZ954"/>
    </row>
    <row r="955" spans="1:52" hidden="1" x14ac:dyDescent="0.25">
      <c r="A955" s="61">
        <f t="shared" si="31"/>
        <v>0</v>
      </c>
      <c r="B955" s="62">
        <f t="shared" si="31"/>
        <v>0</v>
      </c>
      <c r="C955" s="62" t="b">
        <f>IF(Tab.11[[#This Row],[a1]]=1,[3]!Tab_x1[[#This Row],[Name]])</f>
        <v>0</v>
      </c>
      <c r="D955" s="63" t="b">
        <f>IF(Tab.11[[#This Row],[a1]]=1,AO955)</f>
        <v>0</v>
      </c>
      <c r="E955" s="63">
        <f t="shared" si="30"/>
        <v>0</v>
      </c>
      <c r="F955" s="64" t="b">
        <f>IF(Tab.11[[#This Row],[a1]]=1,Tab.11[[#This Row],[b1]])</f>
        <v>0</v>
      </c>
      <c r="G955" s="65" t="b">
        <f>IF(Tab.11[[#This Row],[a1]]=1,IF(Tab.11[[#This Row],[b3]]&gt;$L$989*$G$3,$L$989*$G$3,IF(Tab.11[[#This Row],[b3]]&lt;$M$989*$G$3,$M$989*$G$3,Tab.11[[#This Row],[b3]])))</f>
        <v>0</v>
      </c>
      <c r="H955" s="66" t="b">
        <f>IF(Tab.11[[#This Row],[a1]]=1,Tab.11[[#This Row],[b1]])</f>
        <v>0</v>
      </c>
      <c r="I955" s="67" t="b">
        <f>IF(Tab.11[[#This Row],[a1]]=1,Tab.11[[#This Row],[b1]])</f>
        <v>0</v>
      </c>
      <c r="J955" s="68" t="b">
        <f>IF(Tab.11[[#This Row],[a1]]=1,IF($I$3&lt;0,Tab.11[[#This Row],[b5]]-$I$3,Tab.11[[#This Row],[b5]]))</f>
        <v>0</v>
      </c>
      <c r="K955" s="68" t="b">
        <f>IF(Tab.11[[#This Row],[a1]]=1,IF($K$3=0,Tab.11[b6],Tab.11[[#This Row],[b6]]-AVERAGE(Tab.11[b6])))</f>
        <v>0</v>
      </c>
      <c r="L955" s="69" t="b">
        <f>IF(Tab.11[[#This Row],[a1]]=1,Tab.11[[#This Row],[data]]/(_xlfn.STDEV.P(Tab.11[data])*$B$989)+$A$989)</f>
        <v>0</v>
      </c>
      <c r="M955" s="69" t="b">
        <f>IF(Tab.11[[#This Row],[a1]]=1,Tab.11[[#This Row],[data]]/(_xlfn.STDEV.P(Tab.11[data])*$B$987)-$A$987)</f>
        <v>0</v>
      </c>
      <c r="N955" s="69" t="b">
        <f>IF(Tab.11[[#This Row],[a1]]=1,Tab.11[[#This Row],[data]]/(_xlfn.STDEV.P(Tab.11[data])*$B$988)+$A$988)</f>
        <v>0</v>
      </c>
      <c r="O955" s="70" t="b">
        <f>IF(Tab.11[[#This Row],[a1]]=1,_xlfn.NORM.DIST(Tab.11[[#This Row],[b8]],$P$1,$Q$1,FALSE))</f>
        <v>0</v>
      </c>
      <c r="P955" s="70" t="b">
        <f>IF(Tab.11[[#This Row],[a1]]=1,_xlfn.NORM.DIST(Tab.11[[#This Row],[b9]],$P$1,$Q$1,FALSE))</f>
        <v>0</v>
      </c>
      <c r="Q955" s="70" t="b">
        <f>IF(Tab.11[[#This Row],[a1]]=1,_xlfn.NORM.DIST(Tab.11[[#This Row],[b10]],$P$1,$Q$1,FALSE))</f>
        <v>0</v>
      </c>
      <c r="R955" s="67" t="b">
        <f>IF(Tab.11[[#This Row],[a1]]=1,$I$3+$A$989+IF($K$3=0,Tab.11[[#This Row],[b8]]*_xlfn.STDEV.P(Tab.11[data]),AVERAGE(Tab.11[b6])+Tab.11[[#This Row],[b8]]*_xlfn.STDEV.P(Tab.11[data])))</f>
        <v>0</v>
      </c>
      <c r="S955" s="71" t="b">
        <f>IF(Tab.11[[#This Row],[a1]]=1,$I$3+$A$987+IF($K$3=0,Tab.11[[#This Row],[b9]]*_xlfn.STDEV.P(Tab.11[data]),AVERAGE(Tab.11[b6])+Tab.11[[#This Row],[b9]]*_xlfn.STDEV.P(Tab.11[data])))</f>
        <v>0</v>
      </c>
      <c r="T955" s="71" t="b">
        <f>IF(Tab.11[[#This Row],[a1]]=1,$I$3+$A$988+IF($K$3=0,Tab.11[[#This Row],[b10]]*_xlfn.STDEV.P(Tab.11[data]),AVERAGE(Tab.11[b6])+Tab.11[[#This Row],[b10]]*_xlfn.STDEV.P(Tab.11[data])))</f>
        <v>0</v>
      </c>
      <c r="U955" s="72" t="b">
        <f>IF(Tab.11[[#This Row],[a1]]=1,Tab.11[[#This Row],[target]]-Tab.11[[#This Row],[Red]])</f>
        <v>0</v>
      </c>
      <c r="V955" s="72" t="b">
        <f>IF(Tab.11[[#This Row],[a1]]=1,Tab.11[[#This Row],[target]]-Tab.11[[#This Row],[Blue]])</f>
        <v>0</v>
      </c>
      <c r="W955" s="73" t="b">
        <f>IF(Tab.11[[#This Row],[a1]]=1,IF(ABS(Tab.11[[#This Row],[b17]])+ABS(Tab.11[[#This Row],[b18]])&lt;$W$2,$W$2,ABS(Tab.11[[#This Row],[b17]])+ABS(Tab.11[[#This Row],[b18]])))</f>
        <v>0</v>
      </c>
      <c r="X955" s="136" t="b">
        <f>IF(Tab.11[[#This Row],[a1]]=1,IF($W$3&lt;0,Tab.11[[#This Row],[IN]]-$I$3,Tab.11[[#This Row],[IN]]))</f>
        <v>0</v>
      </c>
      <c r="Y955" s="136" t="b">
        <f>IF(Tab.11[[#This Row],[a1]]=1,IF($X$3=0,Tab.11[b66],Tab.11[[#This Row],[b66]]-AVERAGE(Tab.11[b66])))</f>
        <v>0</v>
      </c>
      <c r="Z955" s="135" t="b">
        <f>IF(Tab.11[[#This Row],[a1]]=1,Tab.11[[#This Row],[b77]]/(_xlfn.STDEV.P(Tab.11[b77])))</f>
        <v>0</v>
      </c>
      <c r="AA955" s="70" t="b">
        <f>IF(Tab.11[[#This Row],[a1]]=1,_xlfn.NORM.DIST(Tab.11[[#This Row],[b88]],$Z$1,$AA$1,FALSE))</f>
        <v>0</v>
      </c>
      <c r="AB955" s="74" t="b">
        <f>IF(Tab.11[[#This Row],[a1]]=1,IF($A$3=0,FALSE,1/Tab.11[[#This Row],[IN]]*$AC$2*IF(Tab.11[[#This Row],[a1]]=0,,$A$3*$AC$1*1/$V$3*(Tab.11[[#This Row],[b14]]))))</f>
        <v>0</v>
      </c>
      <c r="AC955" s="75" t="b">
        <f>IF(Tab.11[[#This Row],[a1]]=1,IF($AC$3=0,Tab.11[[#This Row],[φ1]],Tab.11[[#This Row],[φ1]]/MAX(Tab.11[φ1])))</f>
        <v>0</v>
      </c>
      <c r="AD955" s="74" t="b">
        <f>IF(Tab.11[[#This Row],[a1]]=1,1/Tab.11[[#This Row],[φ2]])</f>
        <v>0</v>
      </c>
      <c r="AE955" s="74" t="b">
        <f>IF(Tab.11[[#This Row],[a1]]=1,IF($AE$3=0,Tab.11[[#This Row],[w.0]],Tab.11[[#This Row],[w.0]]/SUM(Tab.11[w.0])))</f>
        <v>0</v>
      </c>
      <c r="AF955" s="76" t="str">
        <f>IF(Tab.11[[#This Row],[a1]]=0,"false",[3]!Tab.x5[[#This Row],[%_seN_C]])</f>
        <v>false</v>
      </c>
      <c r="AG955" s="77" t="b">
        <f>IF(Tab.11[[#This Row],[a1]]=1,AP955)</f>
        <v>0</v>
      </c>
      <c r="AH955" s="78" t="b">
        <f>IF(Tab.11[[#This Row],[a1]]=1,AQ955)</f>
        <v>0</v>
      </c>
      <c r="AI955" s="41">
        <v>3.0000000000000001E-3</v>
      </c>
      <c r="AJ955" s="79">
        <v>-0.05</v>
      </c>
      <c r="AK955" s="80" t="b">
        <f>IF(Tab.11[[#This Row],[a1]]=1,1)</f>
        <v>0</v>
      </c>
      <c r="AZ955"/>
    </row>
    <row r="956" spans="1:52" hidden="1" x14ac:dyDescent="0.25">
      <c r="A956" s="61">
        <f t="shared" si="31"/>
        <v>0</v>
      </c>
      <c r="B956" s="62">
        <f t="shared" si="31"/>
        <v>0</v>
      </c>
      <c r="C956" s="62" t="b">
        <f>IF(Tab.11[[#This Row],[a1]]=1,[3]!Tab_x1[[#This Row],[Name]])</f>
        <v>0</v>
      </c>
      <c r="D956" s="63" t="b">
        <f>IF(Tab.11[[#This Row],[a1]]=1,AO956)</f>
        <v>0</v>
      </c>
      <c r="E956" s="63">
        <f t="shared" si="30"/>
        <v>0</v>
      </c>
      <c r="F956" s="64" t="b">
        <f>IF(Tab.11[[#This Row],[a1]]=1,Tab.11[[#This Row],[b1]])</f>
        <v>0</v>
      </c>
      <c r="G956" s="65" t="b">
        <f>IF(Tab.11[[#This Row],[a1]]=1,IF(Tab.11[[#This Row],[b3]]&gt;$L$989*$G$3,$L$989*$G$3,IF(Tab.11[[#This Row],[b3]]&lt;$M$989*$G$3,$M$989*$G$3,Tab.11[[#This Row],[b3]])))</f>
        <v>0</v>
      </c>
      <c r="H956" s="66" t="b">
        <f>IF(Tab.11[[#This Row],[a1]]=1,Tab.11[[#This Row],[b1]])</f>
        <v>0</v>
      </c>
      <c r="I956" s="67" t="b">
        <f>IF(Tab.11[[#This Row],[a1]]=1,Tab.11[[#This Row],[b1]])</f>
        <v>0</v>
      </c>
      <c r="J956" s="68" t="b">
        <f>IF(Tab.11[[#This Row],[a1]]=1,IF($I$3&lt;0,Tab.11[[#This Row],[b5]]-$I$3,Tab.11[[#This Row],[b5]]))</f>
        <v>0</v>
      </c>
      <c r="K956" s="68" t="b">
        <f>IF(Tab.11[[#This Row],[a1]]=1,IF($K$3=0,Tab.11[b6],Tab.11[[#This Row],[b6]]-AVERAGE(Tab.11[b6])))</f>
        <v>0</v>
      </c>
      <c r="L956" s="69" t="b">
        <f>IF(Tab.11[[#This Row],[a1]]=1,Tab.11[[#This Row],[data]]/(_xlfn.STDEV.P(Tab.11[data])*$B$989)+$A$989)</f>
        <v>0</v>
      </c>
      <c r="M956" s="69" t="b">
        <f>IF(Tab.11[[#This Row],[a1]]=1,Tab.11[[#This Row],[data]]/(_xlfn.STDEV.P(Tab.11[data])*$B$987)-$A$987)</f>
        <v>0</v>
      </c>
      <c r="N956" s="69" t="b">
        <f>IF(Tab.11[[#This Row],[a1]]=1,Tab.11[[#This Row],[data]]/(_xlfn.STDEV.P(Tab.11[data])*$B$988)+$A$988)</f>
        <v>0</v>
      </c>
      <c r="O956" s="70" t="b">
        <f>IF(Tab.11[[#This Row],[a1]]=1,_xlfn.NORM.DIST(Tab.11[[#This Row],[b8]],$P$1,$Q$1,FALSE))</f>
        <v>0</v>
      </c>
      <c r="P956" s="70" t="b">
        <f>IF(Tab.11[[#This Row],[a1]]=1,_xlfn.NORM.DIST(Tab.11[[#This Row],[b9]],$P$1,$Q$1,FALSE))</f>
        <v>0</v>
      </c>
      <c r="Q956" s="70" t="b">
        <f>IF(Tab.11[[#This Row],[a1]]=1,_xlfn.NORM.DIST(Tab.11[[#This Row],[b10]],$P$1,$Q$1,FALSE))</f>
        <v>0</v>
      </c>
      <c r="R956" s="67" t="b">
        <f>IF(Tab.11[[#This Row],[a1]]=1,$I$3+$A$989+IF($K$3=0,Tab.11[[#This Row],[b8]]*_xlfn.STDEV.P(Tab.11[data]),AVERAGE(Tab.11[b6])+Tab.11[[#This Row],[b8]]*_xlfn.STDEV.P(Tab.11[data])))</f>
        <v>0</v>
      </c>
      <c r="S956" s="71" t="b">
        <f>IF(Tab.11[[#This Row],[a1]]=1,$I$3+$A$987+IF($K$3=0,Tab.11[[#This Row],[b9]]*_xlfn.STDEV.P(Tab.11[data]),AVERAGE(Tab.11[b6])+Tab.11[[#This Row],[b9]]*_xlfn.STDEV.P(Tab.11[data])))</f>
        <v>0</v>
      </c>
      <c r="T956" s="71" t="b">
        <f>IF(Tab.11[[#This Row],[a1]]=1,$I$3+$A$988+IF($K$3=0,Tab.11[[#This Row],[b10]]*_xlfn.STDEV.P(Tab.11[data]),AVERAGE(Tab.11[b6])+Tab.11[[#This Row],[b10]]*_xlfn.STDEV.P(Tab.11[data])))</f>
        <v>0</v>
      </c>
      <c r="U956" s="72" t="b">
        <f>IF(Tab.11[[#This Row],[a1]]=1,Tab.11[[#This Row],[target]]-Tab.11[[#This Row],[Red]])</f>
        <v>0</v>
      </c>
      <c r="V956" s="72" t="b">
        <f>IF(Tab.11[[#This Row],[a1]]=1,Tab.11[[#This Row],[target]]-Tab.11[[#This Row],[Blue]])</f>
        <v>0</v>
      </c>
      <c r="W956" s="73" t="b">
        <f>IF(Tab.11[[#This Row],[a1]]=1,IF(ABS(Tab.11[[#This Row],[b17]])+ABS(Tab.11[[#This Row],[b18]])&lt;$W$2,$W$2,ABS(Tab.11[[#This Row],[b17]])+ABS(Tab.11[[#This Row],[b18]])))</f>
        <v>0</v>
      </c>
      <c r="X956" s="136" t="b">
        <f>IF(Tab.11[[#This Row],[a1]]=1,IF($W$3&lt;0,Tab.11[[#This Row],[IN]]-$I$3,Tab.11[[#This Row],[IN]]))</f>
        <v>0</v>
      </c>
      <c r="Y956" s="136" t="b">
        <f>IF(Tab.11[[#This Row],[a1]]=1,IF($X$3=0,Tab.11[b66],Tab.11[[#This Row],[b66]]-AVERAGE(Tab.11[b66])))</f>
        <v>0</v>
      </c>
      <c r="Z956" s="135" t="b">
        <f>IF(Tab.11[[#This Row],[a1]]=1,Tab.11[[#This Row],[b77]]/(_xlfn.STDEV.P(Tab.11[b77])))</f>
        <v>0</v>
      </c>
      <c r="AA956" s="70" t="b">
        <f>IF(Tab.11[[#This Row],[a1]]=1,_xlfn.NORM.DIST(Tab.11[[#This Row],[b88]],$Z$1,$AA$1,FALSE))</f>
        <v>0</v>
      </c>
      <c r="AB956" s="74" t="b">
        <f>IF(Tab.11[[#This Row],[a1]]=1,IF($A$3=0,FALSE,1/Tab.11[[#This Row],[IN]]*$AC$2*IF(Tab.11[[#This Row],[a1]]=0,,$A$3*$AC$1*1/$V$3*(Tab.11[[#This Row],[b14]]))))</f>
        <v>0</v>
      </c>
      <c r="AC956" s="75" t="b">
        <f>IF(Tab.11[[#This Row],[a1]]=1,IF($AC$3=0,Tab.11[[#This Row],[φ1]],Tab.11[[#This Row],[φ1]]/MAX(Tab.11[φ1])))</f>
        <v>0</v>
      </c>
      <c r="AD956" s="74" t="b">
        <f>IF(Tab.11[[#This Row],[a1]]=1,1/Tab.11[[#This Row],[φ2]])</f>
        <v>0</v>
      </c>
      <c r="AE956" s="74" t="b">
        <f>IF(Tab.11[[#This Row],[a1]]=1,IF($AE$3=0,Tab.11[[#This Row],[w.0]],Tab.11[[#This Row],[w.0]]/SUM(Tab.11[w.0])))</f>
        <v>0</v>
      </c>
      <c r="AF956" s="76" t="str">
        <f>IF(Tab.11[[#This Row],[a1]]=0,"false",[3]!Tab.x5[[#This Row],[%_seN_C]])</f>
        <v>false</v>
      </c>
      <c r="AG956" s="77" t="b">
        <f>IF(Tab.11[[#This Row],[a1]]=1,AP956)</f>
        <v>0</v>
      </c>
      <c r="AH956" s="78" t="b">
        <f>IF(Tab.11[[#This Row],[a1]]=1,AQ956)</f>
        <v>0</v>
      </c>
      <c r="AI956" s="41">
        <v>3.0000000000000001E-3</v>
      </c>
      <c r="AJ956" s="79">
        <v>0</v>
      </c>
      <c r="AK956" s="80" t="b">
        <f>IF(Tab.11[[#This Row],[a1]]=1,1)</f>
        <v>0</v>
      </c>
      <c r="AZ956"/>
    </row>
    <row r="957" spans="1:52" hidden="1" x14ac:dyDescent="0.25">
      <c r="A957" s="61">
        <f t="shared" si="31"/>
        <v>0</v>
      </c>
      <c r="B957" s="62">
        <f t="shared" si="31"/>
        <v>0</v>
      </c>
      <c r="C957" s="62" t="b">
        <f>IF(Tab.11[[#This Row],[a1]]=1,[3]!Tab_x1[[#This Row],[Name]])</f>
        <v>0</v>
      </c>
      <c r="D957" s="63" t="b">
        <f>IF(Tab.11[[#This Row],[a1]]=1,AO957)</f>
        <v>0</v>
      </c>
      <c r="E957" s="63">
        <f t="shared" si="30"/>
        <v>0</v>
      </c>
      <c r="F957" s="64" t="b">
        <f>IF(Tab.11[[#This Row],[a1]]=1,Tab.11[[#This Row],[b1]])</f>
        <v>0</v>
      </c>
      <c r="G957" s="65" t="b">
        <f>IF(Tab.11[[#This Row],[a1]]=1,IF(Tab.11[[#This Row],[b3]]&gt;$L$989*$G$3,$L$989*$G$3,IF(Tab.11[[#This Row],[b3]]&lt;$M$989*$G$3,$M$989*$G$3,Tab.11[[#This Row],[b3]])))</f>
        <v>0</v>
      </c>
      <c r="H957" s="66" t="b">
        <f>IF(Tab.11[[#This Row],[a1]]=1,Tab.11[[#This Row],[b1]])</f>
        <v>0</v>
      </c>
      <c r="I957" s="67" t="b">
        <f>IF(Tab.11[[#This Row],[a1]]=1,Tab.11[[#This Row],[b1]])</f>
        <v>0</v>
      </c>
      <c r="J957" s="68" t="b">
        <f>IF(Tab.11[[#This Row],[a1]]=1,IF($I$3&lt;0,Tab.11[[#This Row],[b5]]-$I$3,Tab.11[[#This Row],[b5]]))</f>
        <v>0</v>
      </c>
      <c r="K957" s="68" t="b">
        <f>IF(Tab.11[[#This Row],[a1]]=1,IF($K$3=0,Tab.11[b6],Tab.11[[#This Row],[b6]]-AVERAGE(Tab.11[b6])))</f>
        <v>0</v>
      </c>
      <c r="L957" s="69" t="b">
        <f>IF(Tab.11[[#This Row],[a1]]=1,Tab.11[[#This Row],[data]]/(_xlfn.STDEV.P(Tab.11[data])*$B$989)+$A$989)</f>
        <v>0</v>
      </c>
      <c r="M957" s="69" t="b">
        <f>IF(Tab.11[[#This Row],[a1]]=1,Tab.11[[#This Row],[data]]/(_xlfn.STDEV.P(Tab.11[data])*$B$987)-$A$987)</f>
        <v>0</v>
      </c>
      <c r="N957" s="69" t="b">
        <f>IF(Tab.11[[#This Row],[a1]]=1,Tab.11[[#This Row],[data]]/(_xlfn.STDEV.P(Tab.11[data])*$B$988)+$A$988)</f>
        <v>0</v>
      </c>
      <c r="O957" s="70" t="b">
        <f>IF(Tab.11[[#This Row],[a1]]=1,_xlfn.NORM.DIST(Tab.11[[#This Row],[b8]],$P$1,$Q$1,FALSE))</f>
        <v>0</v>
      </c>
      <c r="P957" s="70" t="b">
        <f>IF(Tab.11[[#This Row],[a1]]=1,_xlfn.NORM.DIST(Tab.11[[#This Row],[b9]],$P$1,$Q$1,FALSE))</f>
        <v>0</v>
      </c>
      <c r="Q957" s="70" t="b">
        <f>IF(Tab.11[[#This Row],[a1]]=1,_xlfn.NORM.DIST(Tab.11[[#This Row],[b10]],$P$1,$Q$1,FALSE))</f>
        <v>0</v>
      </c>
      <c r="R957" s="67" t="b">
        <f>IF(Tab.11[[#This Row],[a1]]=1,$I$3+$A$989+IF($K$3=0,Tab.11[[#This Row],[b8]]*_xlfn.STDEV.P(Tab.11[data]),AVERAGE(Tab.11[b6])+Tab.11[[#This Row],[b8]]*_xlfn.STDEV.P(Tab.11[data])))</f>
        <v>0</v>
      </c>
      <c r="S957" s="71" t="b">
        <f>IF(Tab.11[[#This Row],[a1]]=1,$I$3+$A$987+IF($K$3=0,Tab.11[[#This Row],[b9]]*_xlfn.STDEV.P(Tab.11[data]),AVERAGE(Tab.11[b6])+Tab.11[[#This Row],[b9]]*_xlfn.STDEV.P(Tab.11[data])))</f>
        <v>0</v>
      </c>
      <c r="T957" s="71" t="b">
        <f>IF(Tab.11[[#This Row],[a1]]=1,$I$3+$A$988+IF($K$3=0,Tab.11[[#This Row],[b10]]*_xlfn.STDEV.P(Tab.11[data]),AVERAGE(Tab.11[b6])+Tab.11[[#This Row],[b10]]*_xlfn.STDEV.P(Tab.11[data])))</f>
        <v>0</v>
      </c>
      <c r="U957" s="72" t="b">
        <f>IF(Tab.11[[#This Row],[a1]]=1,Tab.11[[#This Row],[target]]-Tab.11[[#This Row],[Red]])</f>
        <v>0</v>
      </c>
      <c r="V957" s="72" t="b">
        <f>IF(Tab.11[[#This Row],[a1]]=1,Tab.11[[#This Row],[target]]-Tab.11[[#This Row],[Blue]])</f>
        <v>0</v>
      </c>
      <c r="W957" s="73" t="b">
        <f>IF(Tab.11[[#This Row],[a1]]=1,IF(ABS(Tab.11[[#This Row],[b17]])+ABS(Tab.11[[#This Row],[b18]])&lt;$W$2,$W$2,ABS(Tab.11[[#This Row],[b17]])+ABS(Tab.11[[#This Row],[b18]])))</f>
        <v>0</v>
      </c>
      <c r="X957" s="136" t="b">
        <f>IF(Tab.11[[#This Row],[a1]]=1,IF($W$3&lt;0,Tab.11[[#This Row],[IN]]-$I$3,Tab.11[[#This Row],[IN]]))</f>
        <v>0</v>
      </c>
      <c r="Y957" s="136" t="b">
        <f>IF(Tab.11[[#This Row],[a1]]=1,IF($X$3=0,Tab.11[b66],Tab.11[[#This Row],[b66]]-AVERAGE(Tab.11[b66])))</f>
        <v>0</v>
      </c>
      <c r="Z957" s="135" t="b">
        <f>IF(Tab.11[[#This Row],[a1]]=1,Tab.11[[#This Row],[b77]]/(_xlfn.STDEV.P(Tab.11[b77])))</f>
        <v>0</v>
      </c>
      <c r="AA957" s="70" t="b">
        <f>IF(Tab.11[[#This Row],[a1]]=1,_xlfn.NORM.DIST(Tab.11[[#This Row],[b88]],$Z$1,$AA$1,FALSE))</f>
        <v>0</v>
      </c>
      <c r="AB957" s="74" t="b">
        <f>IF(Tab.11[[#This Row],[a1]]=1,IF($A$3=0,FALSE,1/Tab.11[[#This Row],[IN]]*$AC$2*IF(Tab.11[[#This Row],[a1]]=0,,$A$3*$AC$1*1/$V$3*(Tab.11[[#This Row],[b14]]))))</f>
        <v>0</v>
      </c>
      <c r="AC957" s="75" t="b">
        <f>IF(Tab.11[[#This Row],[a1]]=1,IF($AC$3=0,Tab.11[[#This Row],[φ1]],Tab.11[[#This Row],[φ1]]/MAX(Tab.11[φ1])))</f>
        <v>0</v>
      </c>
      <c r="AD957" s="74" t="b">
        <f>IF(Tab.11[[#This Row],[a1]]=1,1/Tab.11[[#This Row],[φ2]])</f>
        <v>0</v>
      </c>
      <c r="AE957" s="74" t="b">
        <f>IF(Tab.11[[#This Row],[a1]]=1,IF($AE$3=0,Tab.11[[#This Row],[w.0]],Tab.11[[#This Row],[w.0]]/SUM(Tab.11[w.0])))</f>
        <v>0</v>
      </c>
      <c r="AF957" s="76" t="str">
        <f>IF(Tab.11[[#This Row],[a1]]=0,"false",[3]!Tab.x5[[#This Row],[%_seN_C]])</f>
        <v>false</v>
      </c>
      <c r="AG957" s="77" t="b">
        <f>IF(Tab.11[[#This Row],[a1]]=1,AP957)</f>
        <v>0</v>
      </c>
      <c r="AH957" s="78" t="b">
        <f>IF(Tab.11[[#This Row],[a1]]=1,AQ957)</f>
        <v>0</v>
      </c>
      <c r="AI957" s="41">
        <v>3.0000000000000001E-3</v>
      </c>
      <c r="AJ957" s="79">
        <v>0.04</v>
      </c>
      <c r="AK957" s="80" t="b">
        <f>IF(Tab.11[[#This Row],[a1]]=1,1)</f>
        <v>0</v>
      </c>
      <c r="AZ957"/>
    </row>
    <row r="958" spans="1:52" hidden="1" x14ac:dyDescent="0.25">
      <c r="A958" s="61">
        <f t="shared" si="31"/>
        <v>0</v>
      </c>
      <c r="B958" s="62">
        <f t="shared" si="31"/>
        <v>0</v>
      </c>
      <c r="C958" s="62" t="b">
        <f>IF(Tab.11[[#This Row],[a1]]=1,[3]!Tab_x1[[#This Row],[Name]])</f>
        <v>0</v>
      </c>
      <c r="D958" s="63" t="b">
        <f>IF(Tab.11[[#This Row],[a1]]=1,AO958)</f>
        <v>0</v>
      </c>
      <c r="E958" s="63">
        <f t="shared" si="30"/>
        <v>0</v>
      </c>
      <c r="F958" s="64" t="b">
        <f>IF(Tab.11[[#This Row],[a1]]=1,Tab.11[[#This Row],[b1]])</f>
        <v>0</v>
      </c>
      <c r="G958" s="65" t="b">
        <f>IF(Tab.11[[#This Row],[a1]]=1,IF(Tab.11[[#This Row],[b3]]&gt;$L$989*$G$3,$L$989*$G$3,IF(Tab.11[[#This Row],[b3]]&lt;$M$989*$G$3,$M$989*$G$3,Tab.11[[#This Row],[b3]])))</f>
        <v>0</v>
      </c>
      <c r="H958" s="66" t="b">
        <f>IF(Tab.11[[#This Row],[a1]]=1,Tab.11[[#This Row],[b1]])</f>
        <v>0</v>
      </c>
      <c r="I958" s="67" t="b">
        <f>IF(Tab.11[[#This Row],[a1]]=1,Tab.11[[#This Row],[b1]])</f>
        <v>0</v>
      </c>
      <c r="J958" s="68" t="b">
        <f>IF(Tab.11[[#This Row],[a1]]=1,IF($I$3&lt;0,Tab.11[[#This Row],[b5]]-$I$3,Tab.11[[#This Row],[b5]]))</f>
        <v>0</v>
      </c>
      <c r="K958" s="68" t="b">
        <f>IF(Tab.11[[#This Row],[a1]]=1,IF($K$3=0,Tab.11[b6],Tab.11[[#This Row],[b6]]-AVERAGE(Tab.11[b6])))</f>
        <v>0</v>
      </c>
      <c r="L958" s="69" t="b">
        <f>IF(Tab.11[[#This Row],[a1]]=1,Tab.11[[#This Row],[data]]/(_xlfn.STDEV.P(Tab.11[data])*$B$989)+$A$989)</f>
        <v>0</v>
      </c>
      <c r="M958" s="69" t="b">
        <f>IF(Tab.11[[#This Row],[a1]]=1,Tab.11[[#This Row],[data]]/(_xlfn.STDEV.P(Tab.11[data])*$B$987)-$A$987)</f>
        <v>0</v>
      </c>
      <c r="N958" s="69" t="b">
        <f>IF(Tab.11[[#This Row],[a1]]=1,Tab.11[[#This Row],[data]]/(_xlfn.STDEV.P(Tab.11[data])*$B$988)+$A$988)</f>
        <v>0</v>
      </c>
      <c r="O958" s="70" t="b">
        <f>IF(Tab.11[[#This Row],[a1]]=1,_xlfn.NORM.DIST(Tab.11[[#This Row],[b8]],$P$1,$Q$1,FALSE))</f>
        <v>0</v>
      </c>
      <c r="P958" s="70" t="b">
        <f>IF(Tab.11[[#This Row],[a1]]=1,_xlfn.NORM.DIST(Tab.11[[#This Row],[b9]],$P$1,$Q$1,FALSE))</f>
        <v>0</v>
      </c>
      <c r="Q958" s="70" t="b">
        <f>IF(Tab.11[[#This Row],[a1]]=1,_xlfn.NORM.DIST(Tab.11[[#This Row],[b10]],$P$1,$Q$1,FALSE))</f>
        <v>0</v>
      </c>
      <c r="R958" s="67" t="b">
        <f>IF(Tab.11[[#This Row],[a1]]=1,$I$3+$A$989+IF($K$3=0,Tab.11[[#This Row],[b8]]*_xlfn.STDEV.P(Tab.11[data]),AVERAGE(Tab.11[b6])+Tab.11[[#This Row],[b8]]*_xlfn.STDEV.P(Tab.11[data])))</f>
        <v>0</v>
      </c>
      <c r="S958" s="71" t="b">
        <f>IF(Tab.11[[#This Row],[a1]]=1,$I$3+$A$987+IF($K$3=0,Tab.11[[#This Row],[b9]]*_xlfn.STDEV.P(Tab.11[data]),AVERAGE(Tab.11[b6])+Tab.11[[#This Row],[b9]]*_xlfn.STDEV.P(Tab.11[data])))</f>
        <v>0</v>
      </c>
      <c r="T958" s="71" t="b">
        <f>IF(Tab.11[[#This Row],[a1]]=1,$I$3+$A$988+IF($K$3=0,Tab.11[[#This Row],[b10]]*_xlfn.STDEV.P(Tab.11[data]),AVERAGE(Tab.11[b6])+Tab.11[[#This Row],[b10]]*_xlfn.STDEV.P(Tab.11[data])))</f>
        <v>0</v>
      </c>
      <c r="U958" s="72" t="b">
        <f>IF(Tab.11[[#This Row],[a1]]=1,Tab.11[[#This Row],[target]]-Tab.11[[#This Row],[Red]])</f>
        <v>0</v>
      </c>
      <c r="V958" s="72" t="b">
        <f>IF(Tab.11[[#This Row],[a1]]=1,Tab.11[[#This Row],[target]]-Tab.11[[#This Row],[Blue]])</f>
        <v>0</v>
      </c>
      <c r="W958" s="73" t="b">
        <f>IF(Tab.11[[#This Row],[a1]]=1,IF(ABS(Tab.11[[#This Row],[b17]])+ABS(Tab.11[[#This Row],[b18]])&lt;$W$2,$W$2,ABS(Tab.11[[#This Row],[b17]])+ABS(Tab.11[[#This Row],[b18]])))</f>
        <v>0</v>
      </c>
      <c r="X958" s="136" t="b">
        <f>IF(Tab.11[[#This Row],[a1]]=1,IF($W$3&lt;0,Tab.11[[#This Row],[IN]]-$I$3,Tab.11[[#This Row],[IN]]))</f>
        <v>0</v>
      </c>
      <c r="Y958" s="136" t="b">
        <f>IF(Tab.11[[#This Row],[a1]]=1,IF($X$3=0,Tab.11[b66],Tab.11[[#This Row],[b66]]-AVERAGE(Tab.11[b66])))</f>
        <v>0</v>
      </c>
      <c r="Z958" s="135" t="b">
        <f>IF(Tab.11[[#This Row],[a1]]=1,Tab.11[[#This Row],[b77]]/(_xlfn.STDEV.P(Tab.11[b77])))</f>
        <v>0</v>
      </c>
      <c r="AA958" s="70" t="b">
        <f>IF(Tab.11[[#This Row],[a1]]=1,_xlfn.NORM.DIST(Tab.11[[#This Row],[b88]],$Z$1,$AA$1,FALSE))</f>
        <v>0</v>
      </c>
      <c r="AB958" s="74" t="b">
        <f>IF(Tab.11[[#This Row],[a1]]=1,IF($A$3=0,FALSE,1/Tab.11[[#This Row],[IN]]*$AC$2*IF(Tab.11[[#This Row],[a1]]=0,,$A$3*$AC$1*1/$V$3*(Tab.11[[#This Row],[b14]]))))</f>
        <v>0</v>
      </c>
      <c r="AC958" s="75" t="b">
        <f>IF(Tab.11[[#This Row],[a1]]=1,IF($AC$3=0,Tab.11[[#This Row],[φ1]],Tab.11[[#This Row],[φ1]]/MAX(Tab.11[φ1])))</f>
        <v>0</v>
      </c>
      <c r="AD958" s="74" t="b">
        <f>IF(Tab.11[[#This Row],[a1]]=1,1/Tab.11[[#This Row],[φ2]])</f>
        <v>0</v>
      </c>
      <c r="AE958" s="74" t="b">
        <f>IF(Tab.11[[#This Row],[a1]]=1,IF($AE$3=0,Tab.11[[#This Row],[w.0]],Tab.11[[#This Row],[w.0]]/SUM(Tab.11[w.0])))</f>
        <v>0</v>
      </c>
      <c r="AF958" s="76" t="str">
        <f>IF(Tab.11[[#This Row],[a1]]=0,"false",[3]!Tab.x5[[#This Row],[%_seN_C]])</f>
        <v>false</v>
      </c>
      <c r="AG958" s="77" t="b">
        <f>IF(Tab.11[[#This Row],[a1]]=1,AP958)</f>
        <v>0</v>
      </c>
      <c r="AH958" s="78" t="b">
        <f>IF(Tab.11[[#This Row],[a1]]=1,AQ958)</f>
        <v>0</v>
      </c>
      <c r="AI958" s="41">
        <v>3.0000000000000001E-3</v>
      </c>
      <c r="AJ958" s="79">
        <v>-0.05</v>
      </c>
      <c r="AK958" s="80" t="b">
        <f>IF(Tab.11[[#This Row],[a1]]=1,1)</f>
        <v>0</v>
      </c>
      <c r="AZ958"/>
    </row>
    <row r="959" spans="1:52" hidden="1" x14ac:dyDescent="0.25">
      <c r="A959" s="61">
        <f t="shared" si="31"/>
        <v>0</v>
      </c>
      <c r="B959" s="62">
        <f t="shared" si="31"/>
        <v>0</v>
      </c>
      <c r="C959" s="62" t="b">
        <f>IF(Tab.11[[#This Row],[a1]]=1,[3]!Tab_x1[[#This Row],[Name]])</f>
        <v>0</v>
      </c>
      <c r="D959" s="63" t="b">
        <f>IF(Tab.11[[#This Row],[a1]]=1,AO959)</f>
        <v>0</v>
      </c>
      <c r="E959" s="63">
        <f t="shared" si="30"/>
        <v>0</v>
      </c>
      <c r="F959" s="64" t="b">
        <f>IF(Tab.11[[#This Row],[a1]]=1,Tab.11[[#This Row],[b1]])</f>
        <v>0</v>
      </c>
      <c r="G959" s="65" t="b">
        <f>IF(Tab.11[[#This Row],[a1]]=1,IF(Tab.11[[#This Row],[b3]]&gt;$L$989*$G$3,$L$989*$G$3,IF(Tab.11[[#This Row],[b3]]&lt;$M$989*$G$3,$M$989*$G$3,Tab.11[[#This Row],[b3]])))</f>
        <v>0</v>
      </c>
      <c r="H959" s="66" t="b">
        <f>IF(Tab.11[[#This Row],[a1]]=1,Tab.11[[#This Row],[b1]])</f>
        <v>0</v>
      </c>
      <c r="I959" s="67" t="b">
        <f>IF(Tab.11[[#This Row],[a1]]=1,Tab.11[[#This Row],[b1]])</f>
        <v>0</v>
      </c>
      <c r="J959" s="68" t="b">
        <f>IF(Tab.11[[#This Row],[a1]]=1,IF($I$3&lt;0,Tab.11[[#This Row],[b5]]-$I$3,Tab.11[[#This Row],[b5]]))</f>
        <v>0</v>
      </c>
      <c r="K959" s="68" t="b">
        <f>IF(Tab.11[[#This Row],[a1]]=1,IF($K$3=0,Tab.11[b6],Tab.11[[#This Row],[b6]]-AVERAGE(Tab.11[b6])))</f>
        <v>0</v>
      </c>
      <c r="L959" s="69" t="b">
        <f>IF(Tab.11[[#This Row],[a1]]=1,Tab.11[[#This Row],[data]]/(_xlfn.STDEV.P(Tab.11[data])*$B$989)+$A$989)</f>
        <v>0</v>
      </c>
      <c r="M959" s="69" t="b">
        <f>IF(Tab.11[[#This Row],[a1]]=1,Tab.11[[#This Row],[data]]/(_xlfn.STDEV.P(Tab.11[data])*$B$987)-$A$987)</f>
        <v>0</v>
      </c>
      <c r="N959" s="69" t="b">
        <f>IF(Tab.11[[#This Row],[a1]]=1,Tab.11[[#This Row],[data]]/(_xlfn.STDEV.P(Tab.11[data])*$B$988)+$A$988)</f>
        <v>0</v>
      </c>
      <c r="O959" s="70" t="b">
        <f>IF(Tab.11[[#This Row],[a1]]=1,_xlfn.NORM.DIST(Tab.11[[#This Row],[b8]],$P$1,$Q$1,FALSE))</f>
        <v>0</v>
      </c>
      <c r="P959" s="70" t="b">
        <f>IF(Tab.11[[#This Row],[a1]]=1,_xlfn.NORM.DIST(Tab.11[[#This Row],[b9]],$P$1,$Q$1,FALSE))</f>
        <v>0</v>
      </c>
      <c r="Q959" s="70" t="b">
        <f>IF(Tab.11[[#This Row],[a1]]=1,_xlfn.NORM.DIST(Tab.11[[#This Row],[b10]],$P$1,$Q$1,FALSE))</f>
        <v>0</v>
      </c>
      <c r="R959" s="67" t="b">
        <f>IF(Tab.11[[#This Row],[a1]]=1,$I$3+$A$989+IF($K$3=0,Tab.11[[#This Row],[b8]]*_xlfn.STDEV.P(Tab.11[data]),AVERAGE(Tab.11[b6])+Tab.11[[#This Row],[b8]]*_xlfn.STDEV.P(Tab.11[data])))</f>
        <v>0</v>
      </c>
      <c r="S959" s="71" t="b">
        <f>IF(Tab.11[[#This Row],[a1]]=1,$I$3+$A$987+IF($K$3=0,Tab.11[[#This Row],[b9]]*_xlfn.STDEV.P(Tab.11[data]),AVERAGE(Tab.11[b6])+Tab.11[[#This Row],[b9]]*_xlfn.STDEV.P(Tab.11[data])))</f>
        <v>0</v>
      </c>
      <c r="T959" s="71" t="b">
        <f>IF(Tab.11[[#This Row],[a1]]=1,$I$3+$A$988+IF($K$3=0,Tab.11[[#This Row],[b10]]*_xlfn.STDEV.P(Tab.11[data]),AVERAGE(Tab.11[b6])+Tab.11[[#This Row],[b10]]*_xlfn.STDEV.P(Tab.11[data])))</f>
        <v>0</v>
      </c>
      <c r="U959" s="72" t="b">
        <f>IF(Tab.11[[#This Row],[a1]]=1,Tab.11[[#This Row],[target]]-Tab.11[[#This Row],[Red]])</f>
        <v>0</v>
      </c>
      <c r="V959" s="72" t="b">
        <f>IF(Tab.11[[#This Row],[a1]]=1,Tab.11[[#This Row],[target]]-Tab.11[[#This Row],[Blue]])</f>
        <v>0</v>
      </c>
      <c r="W959" s="73" t="b">
        <f>IF(Tab.11[[#This Row],[a1]]=1,IF(ABS(Tab.11[[#This Row],[b17]])+ABS(Tab.11[[#This Row],[b18]])&lt;$W$2,$W$2,ABS(Tab.11[[#This Row],[b17]])+ABS(Tab.11[[#This Row],[b18]])))</f>
        <v>0</v>
      </c>
      <c r="X959" s="136" t="b">
        <f>IF(Tab.11[[#This Row],[a1]]=1,IF($W$3&lt;0,Tab.11[[#This Row],[IN]]-$I$3,Tab.11[[#This Row],[IN]]))</f>
        <v>0</v>
      </c>
      <c r="Y959" s="136" t="b">
        <f>IF(Tab.11[[#This Row],[a1]]=1,IF($X$3=0,Tab.11[b66],Tab.11[[#This Row],[b66]]-AVERAGE(Tab.11[b66])))</f>
        <v>0</v>
      </c>
      <c r="Z959" s="135" t="b">
        <f>IF(Tab.11[[#This Row],[a1]]=1,Tab.11[[#This Row],[b77]]/(_xlfn.STDEV.P(Tab.11[b77])))</f>
        <v>0</v>
      </c>
      <c r="AA959" s="70" t="b">
        <f>IF(Tab.11[[#This Row],[a1]]=1,_xlfn.NORM.DIST(Tab.11[[#This Row],[b88]],$Z$1,$AA$1,FALSE))</f>
        <v>0</v>
      </c>
      <c r="AB959" s="74" t="b">
        <f>IF(Tab.11[[#This Row],[a1]]=1,IF($A$3=0,FALSE,1/Tab.11[[#This Row],[IN]]*$AC$2*IF(Tab.11[[#This Row],[a1]]=0,,$A$3*$AC$1*1/$V$3*(Tab.11[[#This Row],[b14]]))))</f>
        <v>0</v>
      </c>
      <c r="AC959" s="75" t="b">
        <f>IF(Tab.11[[#This Row],[a1]]=1,IF($AC$3=0,Tab.11[[#This Row],[φ1]],Tab.11[[#This Row],[φ1]]/MAX(Tab.11[φ1])))</f>
        <v>0</v>
      </c>
      <c r="AD959" s="74" t="b">
        <f>IF(Tab.11[[#This Row],[a1]]=1,1/Tab.11[[#This Row],[φ2]])</f>
        <v>0</v>
      </c>
      <c r="AE959" s="74" t="b">
        <f>IF(Tab.11[[#This Row],[a1]]=1,IF($AE$3=0,Tab.11[[#This Row],[w.0]],Tab.11[[#This Row],[w.0]]/SUM(Tab.11[w.0])))</f>
        <v>0</v>
      </c>
      <c r="AF959" s="76" t="str">
        <f>IF(Tab.11[[#This Row],[a1]]=0,"false",[3]!Tab.x5[[#This Row],[%_seN_C]])</f>
        <v>false</v>
      </c>
      <c r="AG959" s="77" t="b">
        <f>IF(Tab.11[[#This Row],[a1]]=1,AP959)</f>
        <v>0</v>
      </c>
      <c r="AH959" s="78" t="b">
        <f>IF(Tab.11[[#This Row],[a1]]=1,AQ959)</f>
        <v>0</v>
      </c>
      <c r="AI959" s="41">
        <v>3.0000000000000001E-3</v>
      </c>
      <c r="AJ959" s="79">
        <v>0.08</v>
      </c>
      <c r="AK959" s="80" t="b">
        <f>IF(Tab.11[[#This Row],[a1]]=1,1)</f>
        <v>0</v>
      </c>
      <c r="AZ959"/>
    </row>
    <row r="960" spans="1:52" hidden="1" x14ac:dyDescent="0.25">
      <c r="A960" s="61">
        <f t="shared" si="31"/>
        <v>0</v>
      </c>
      <c r="B960" s="62">
        <f t="shared" si="31"/>
        <v>0</v>
      </c>
      <c r="C960" s="62" t="b">
        <f>IF(Tab.11[[#This Row],[a1]]=1,[3]!Tab_x1[[#This Row],[Name]])</f>
        <v>0</v>
      </c>
      <c r="D960" s="63" t="b">
        <f>IF(Tab.11[[#This Row],[a1]]=1,AO960)</f>
        <v>0</v>
      </c>
      <c r="E960" s="63">
        <f t="shared" si="30"/>
        <v>0</v>
      </c>
      <c r="F960" s="64" t="b">
        <f>IF(Tab.11[[#This Row],[a1]]=1,Tab.11[[#This Row],[b1]])</f>
        <v>0</v>
      </c>
      <c r="G960" s="65" t="b">
        <f>IF(Tab.11[[#This Row],[a1]]=1,IF(Tab.11[[#This Row],[b3]]&gt;$L$989*$G$3,$L$989*$G$3,IF(Tab.11[[#This Row],[b3]]&lt;$M$989*$G$3,$M$989*$G$3,Tab.11[[#This Row],[b3]])))</f>
        <v>0</v>
      </c>
      <c r="H960" s="66" t="b">
        <f>IF(Tab.11[[#This Row],[a1]]=1,Tab.11[[#This Row],[b1]])</f>
        <v>0</v>
      </c>
      <c r="I960" s="67" t="b">
        <f>IF(Tab.11[[#This Row],[a1]]=1,Tab.11[[#This Row],[b1]])</f>
        <v>0</v>
      </c>
      <c r="J960" s="68" t="b">
        <f>IF(Tab.11[[#This Row],[a1]]=1,IF($I$3&lt;0,Tab.11[[#This Row],[b5]]-$I$3,Tab.11[[#This Row],[b5]]))</f>
        <v>0</v>
      </c>
      <c r="K960" s="68" t="b">
        <f>IF(Tab.11[[#This Row],[a1]]=1,IF($K$3=0,Tab.11[b6],Tab.11[[#This Row],[b6]]-AVERAGE(Tab.11[b6])))</f>
        <v>0</v>
      </c>
      <c r="L960" s="69" t="b">
        <f>IF(Tab.11[[#This Row],[a1]]=1,Tab.11[[#This Row],[data]]/(_xlfn.STDEV.P(Tab.11[data])*$B$989)+$A$989)</f>
        <v>0</v>
      </c>
      <c r="M960" s="69" t="b">
        <f>IF(Tab.11[[#This Row],[a1]]=1,Tab.11[[#This Row],[data]]/(_xlfn.STDEV.P(Tab.11[data])*$B$987)-$A$987)</f>
        <v>0</v>
      </c>
      <c r="N960" s="69" t="b">
        <f>IF(Tab.11[[#This Row],[a1]]=1,Tab.11[[#This Row],[data]]/(_xlfn.STDEV.P(Tab.11[data])*$B$988)+$A$988)</f>
        <v>0</v>
      </c>
      <c r="O960" s="70" t="b">
        <f>IF(Tab.11[[#This Row],[a1]]=1,_xlfn.NORM.DIST(Tab.11[[#This Row],[b8]],$P$1,$Q$1,FALSE))</f>
        <v>0</v>
      </c>
      <c r="P960" s="70" t="b">
        <f>IF(Tab.11[[#This Row],[a1]]=1,_xlfn.NORM.DIST(Tab.11[[#This Row],[b9]],$P$1,$Q$1,FALSE))</f>
        <v>0</v>
      </c>
      <c r="Q960" s="70" t="b">
        <f>IF(Tab.11[[#This Row],[a1]]=1,_xlfn.NORM.DIST(Tab.11[[#This Row],[b10]],$P$1,$Q$1,FALSE))</f>
        <v>0</v>
      </c>
      <c r="R960" s="67" t="b">
        <f>IF(Tab.11[[#This Row],[a1]]=1,$I$3+$A$989+IF($K$3=0,Tab.11[[#This Row],[b8]]*_xlfn.STDEV.P(Tab.11[data]),AVERAGE(Tab.11[b6])+Tab.11[[#This Row],[b8]]*_xlfn.STDEV.P(Tab.11[data])))</f>
        <v>0</v>
      </c>
      <c r="S960" s="71" t="b">
        <f>IF(Tab.11[[#This Row],[a1]]=1,$I$3+$A$987+IF($K$3=0,Tab.11[[#This Row],[b9]]*_xlfn.STDEV.P(Tab.11[data]),AVERAGE(Tab.11[b6])+Tab.11[[#This Row],[b9]]*_xlfn.STDEV.P(Tab.11[data])))</f>
        <v>0</v>
      </c>
      <c r="T960" s="71" t="b">
        <f>IF(Tab.11[[#This Row],[a1]]=1,$I$3+$A$988+IF($K$3=0,Tab.11[[#This Row],[b10]]*_xlfn.STDEV.P(Tab.11[data]),AVERAGE(Tab.11[b6])+Tab.11[[#This Row],[b10]]*_xlfn.STDEV.P(Tab.11[data])))</f>
        <v>0</v>
      </c>
      <c r="U960" s="72" t="b">
        <f>IF(Tab.11[[#This Row],[a1]]=1,Tab.11[[#This Row],[target]]-Tab.11[[#This Row],[Red]])</f>
        <v>0</v>
      </c>
      <c r="V960" s="72" t="b">
        <f>IF(Tab.11[[#This Row],[a1]]=1,Tab.11[[#This Row],[target]]-Tab.11[[#This Row],[Blue]])</f>
        <v>0</v>
      </c>
      <c r="W960" s="73" t="b">
        <f>IF(Tab.11[[#This Row],[a1]]=1,IF(ABS(Tab.11[[#This Row],[b17]])+ABS(Tab.11[[#This Row],[b18]])&lt;$W$2,$W$2,ABS(Tab.11[[#This Row],[b17]])+ABS(Tab.11[[#This Row],[b18]])))</f>
        <v>0</v>
      </c>
      <c r="X960" s="136" t="b">
        <f>IF(Tab.11[[#This Row],[a1]]=1,IF($W$3&lt;0,Tab.11[[#This Row],[IN]]-$I$3,Tab.11[[#This Row],[IN]]))</f>
        <v>0</v>
      </c>
      <c r="Y960" s="136" t="b">
        <f>IF(Tab.11[[#This Row],[a1]]=1,IF($X$3=0,Tab.11[b66],Tab.11[[#This Row],[b66]]-AVERAGE(Tab.11[b66])))</f>
        <v>0</v>
      </c>
      <c r="Z960" s="135" t="b">
        <f>IF(Tab.11[[#This Row],[a1]]=1,Tab.11[[#This Row],[b77]]/(_xlfn.STDEV.P(Tab.11[b77])))</f>
        <v>0</v>
      </c>
      <c r="AA960" s="70" t="b">
        <f>IF(Tab.11[[#This Row],[a1]]=1,_xlfn.NORM.DIST(Tab.11[[#This Row],[b88]],$Z$1,$AA$1,FALSE))</f>
        <v>0</v>
      </c>
      <c r="AB960" s="74" t="b">
        <f>IF(Tab.11[[#This Row],[a1]]=1,IF($A$3=0,FALSE,1/Tab.11[[#This Row],[IN]]*$AC$2*IF(Tab.11[[#This Row],[a1]]=0,,$A$3*$AC$1*1/$V$3*(Tab.11[[#This Row],[b14]]))))</f>
        <v>0</v>
      </c>
      <c r="AC960" s="75" t="b">
        <f>IF(Tab.11[[#This Row],[a1]]=1,IF($AC$3=0,Tab.11[[#This Row],[φ1]],Tab.11[[#This Row],[φ1]]/MAX(Tab.11[φ1])))</f>
        <v>0</v>
      </c>
      <c r="AD960" s="74" t="b">
        <f>IF(Tab.11[[#This Row],[a1]]=1,1/Tab.11[[#This Row],[φ2]])</f>
        <v>0</v>
      </c>
      <c r="AE960" s="74" t="b">
        <f>IF(Tab.11[[#This Row],[a1]]=1,IF($AE$3=0,Tab.11[[#This Row],[w.0]],Tab.11[[#This Row],[w.0]]/SUM(Tab.11[w.0])))</f>
        <v>0</v>
      </c>
      <c r="AF960" s="76" t="str">
        <f>IF(Tab.11[[#This Row],[a1]]=0,"false",[3]!Tab.x5[[#This Row],[%_seN_C]])</f>
        <v>false</v>
      </c>
      <c r="AG960" s="77" t="b">
        <f>IF(Tab.11[[#This Row],[a1]]=1,AP960)</f>
        <v>0</v>
      </c>
      <c r="AH960" s="78" t="b">
        <f>IF(Tab.11[[#This Row],[a1]]=1,AQ960)</f>
        <v>0</v>
      </c>
      <c r="AI960" s="41">
        <v>3.0000000000000001E-3</v>
      </c>
      <c r="AJ960" s="79">
        <v>0.02</v>
      </c>
      <c r="AK960" s="80" t="b">
        <f>IF(Tab.11[[#This Row],[a1]]=1,1)</f>
        <v>0</v>
      </c>
      <c r="AZ960"/>
    </row>
    <row r="961" spans="1:52" hidden="1" x14ac:dyDescent="0.25">
      <c r="A961" s="61">
        <f t="shared" si="31"/>
        <v>0</v>
      </c>
      <c r="B961" s="62">
        <f t="shared" si="31"/>
        <v>0</v>
      </c>
      <c r="C961" s="62" t="b">
        <f>IF(Tab.11[[#This Row],[a1]]=1,[3]!Tab_x1[[#This Row],[Name]])</f>
        <v>0</v>
      </c>
      <c r="D961" s="63" t="b">
        <f>IF(Tab.11[[#This Row],[a1]]=1,AO961)</f>
        <v>0</v>
      </c>
      <c r="E961" s="63">
        <f t="shared" si="30"/>
        <v>0</v>
      </c>
      <c r="F961" s="64" t="b">
        <f>IF(Tab.11[[#This Row],[a1]]=1,Tab.11[[#This Row],[b1]])</f>
        <v>0</v>
      </c>
      <c r="G961" s="65" t="b">
        <f>IF(Tab.11[[#This Row],[a1]]=1,IF(Tab.11[[#This Row],[b3]]&gt;$L$989*$G$3,$L$989*$G$3,IF(Tab.11[[#This Row],[b3]]&lt;$M$989*$G$3,$M$989*$G$3,Tab.11[[#This Row],[b3]])))</f>
        <v>0</v>
      </c>
      <c r="H961" s="66" t="b">
        <f>IF(Tab.11[[#This Row],[a1]]=1,Tab.11[[#This Row],[b1]])</f>
        <v>0</v>
      </c>
      <c r="I961" s="67" t="b">
        <f>IF(Tab.11[[#This Row],[a1]]=1,Tab.11[[#This Row],[b1]])</f>
        <v>0</v>
      </c>
      <c r="J961" s="68" t="b">
        <f>IF(Tab.11[[#This Row],[a1]]=1,IF($I$3&lt;0,Tab.11[[#This Row],[b5]]-$I$3,Tab.11[[#This Row],[b5]]))</f>
        <v>0</v>
      </c>
      <c r="K961" s="68" t="b">
        <f>IF(Tab.11[[#This Row],[a1]]=1,IF($K$3=0,Tab.11[b6],Tab.11[[#This Row],[b6]]-AVERAGE(Tab.11[b6])))</f>
        <v>0</v>
      </c>
      <c r="L961" s="69" t="b">
        <f>IF(Tab.11[[#This Row],[a1]]=1,Tab.11[[#This Row],[data]]/(_xlfn.STDEV.P(Tab.11[data])*$B$989)+$A$989)</f>
        <v>0</v>
      </c>
      <c r="M961" s="69" t="b">
        <f>IF(Tab.11[[#This Row],[a1]]=1,Tab.11[[#This Row],[data]]/(_xlfn.STDEV.P(Tab.11[data])*$B$987)-$A$987)</f>
        <v>0</v>
      </c>
      <c r="N961" s="69" t="b">
        <f>IF(Tab.11[[#This Row],[a1]]=1,Tab.11[[#This Row],[data]]/(_xlfn.STDEV.P(Tab.11[data])*$B$988)+$A$988)</f>
        <v>0</v>
      </c>
      <c r="O961" s="70" t="b">
        <f>IF(Tab.11[[#This Row],[a1]]=1,_xlfn.NORM.DIST(Tab.11[[#This Row],[b8]],$P$1,$Q$1,FALSE))</f>
        <v>0</v>
      </c>
      <c r="P961" s="70" t="b">
        <f>IF(Tab.11[[#This Row],[a1]]=1,_xlfn.NORM.DIST(Tab.11[[#This Row],[b9]],$P$1,$Q$1,FALSE))</f>
        <v>0</v>
      </c>
      <c r="Q961" s="70" t="b">
        <f>IF(Tab.11[[#This Row],[a1]]=1,_xlfn.NORM.DIST(Tab.11[[#This Row],[b10]],$P$1,$Q$1,FALSE))</f>
        <v>0</v>
      </c>
      <c r="R961" s="67" t="b">
        <f>IF(Tab.11[[#This Row],[a1]]=1,$I$3+$A$989+IF($K$3=0,Tab.11[[#This Row],[b8]]*_xlfn.STDEV.P(Tab.11[data]),AVERAGE(Tab.11[b6])+Tab.11[[#This Row],[b8]]*_xlfn.STDEV.P(Tab.11[data])))</f>
        <v>0</v>
      </c>
      <c r="S961" s="71" t="b">
        <f>IF(Tab.11[[#This Row],[a1]]=1,$I$3+$A$987+IF($K$3=0,Tab.11[[#This Row],[b9]]*_xlfn.STDEV.P(Tab.11[data]),AVERAGE(Tab.11[b6])+Tab.11[[#This Row],[b9]]*_xlfn.STDEV.P(Tab.11[data])))</f>
        <v>0</v>
      </c>
      <c r="T961" s="71" t="b">
        <f>IF(Tab.11[[#This Row],[a1]]=1,$I$3+$A$988+IF($K$3=0,Tab.11[[#This Row],[b10]]*_xlfn.STDEV.P(Tab.11[data]),AVERAGE(Tab.11[b6])+Tab.11[[#This Row],[b10]]*_xlfn.STDEV.P(Tab.11[data])))</f>
        <v>0</v>
      </c>
      <c r="U961" s="72" t="b">
        <f>IF(Tab.11[[#This Row],[a1]]=1,Tab.11[[#This Row],[target]]-Tab.11[[#This Row],[Red]])</f>
        <v>0</v>
      </c>
      <c r="V961" s="72" t="b">
        <f>IF(Tab.11[[#This Row],[a1]]=1,Tab.11[[#This Row],[target]]-Tab.11[[#This Row],[Blue]])</f>
        <v>0</v>
      </c>
      <c r="W961" s="73" t="b">
        <f>IF(Tab.11[[#This Row],[a1]]=1,IF(ABS(Tab.11[[#This Row],[b17]])+ABS(Tab.11[[#This Row],[b18]])&lt;$W$2,$W$2,ABS(Tab.11[[#This Row],[b17]])+ABS(Tab.11[[#This Row],[b18]])))</f>
        <v>0</v>
      </c>
      <c r="X961" s="136" t="b">
        <f>IF(Tab.11[[#This Row],[a1]]=1,IF($W$3&lt;0,Tab.11[[#This Row],[IN]]-$I$3,Tab.11[[#This Row],[IN]]))</f>
        <v>0</v>
      </c>
      <c r="Y961" s="136" t="b">
        <f>IF(Tab.11[[#This Row],[a1]]=1,IF($X$3=0,Tab.11[b66],Tab.11[[#This Row],[b66]]-AVERAGE(Tab.11[b66])))</f>
        <v>0</v>
      </c>
      <c r="Z961" s="135" t="b">
        <f>IF(Tab.11[[#This Row],[a1]]=1,Tab.11[[#This Row],[b77]]/(_xlfn.STDEV.P(Tab.11[b77])))</f>
        <v>0</v>
      </c>
      <c r="AA961" s="70" t="b">
        <f>IF(Tab.11[[#This Row],[a1]]=1,_xlfn.NORM.DIST(Tab.11[[#This Row],[b88]],$Z$1,$AA$1,FALSE))</f>
        <v>0</v>
      </c>
      <c r="AB961" s="74" t="b">
        <f>IF(Tab.11[[#This Row],[a1]]=1,IF($A$3=0,FALSE,1/Tab.11[[#This Row],[IN]]*$AC$2*IF(Tab.11[[#This Row],[a1]]=0,,$A$3*$AC$1*1/$V$3*(Tab.11[[#This Row],[b14]]))))</f>
        <v>0</v>
      </c>
      <c r="AC961" s="75" t="b">
        <f>IF(Tab.11[[#This Row],[a1]]=1,IF($AC$3=0,Tab.11[[#This Row],[φ1]],Tab.11[[#This Row],[φ1]]/MAX(Tab.11[φ1])))</f>
        <v>0</v>
      </c>
      <c r="AD961" s="74" t="b">
        <f>IF(Tab.11[[#This Row],[a1]]=1,1/Tab.11[[#This Row],[φ2]])</f>
        <v>0</v>
      </c>
      <c r="AE961" s="74" t="b">
        <f>IF(Tab.11[[#This Row],[a1]]=1,IF($AE$3=0,Tab.11[[#This Row],[w.0]],Tab.11[[#This Row],[w.0]]/SUM(Tab.11[w.0])))</f>
        <v>0</v>
      </c>
      <c r="AF961" s="76" t="str">
        <f>IF(Tab.11[[#This Row],[a1]]=0,"false",[3]!Tab.x5[[#This Row],[%_seN_C]])</f>
        <v>false</v>
      </c>
      <c r="AG961" s="77" t="b">
        <f>IF(Tab.11[[#This Row],[a1]]=1,AP961)</f>
        <v>0</v>
      </c>
      <c r="AH961" s="78" t="b">
        <f>IF(Tab.11[[#This Row],[a1]]=1,AQ961)</f>
        <v>0</v>
      </c>
      <c r="AI961" s="41">
        <v>3.0000000000000001E-3</v>
      </c>
      <c r="AJ961" s="79">
        <v>-7.0000000000000007E-2</v>
      </c>
      <c r="AK961" s="80" t="b">
        <f>IF(Tab.11[[#This Row],[a1]]=1,1)</f>
        <v>0</v>
      </c>
      <c r="AZ961"/>
    </row>
    <row r="962" spans="1:52" hidden="1" x14ac:dyDescent="0.25">
      <c r="A962" s="61">
        <f t="shared" si="31"/>
        <v>0</v>
      </c>
      <c r="B962" s="62">
        <f t="shared" si="31"/>
        <v>0</v>
      </c>
      <c r="C962" s="62" t="b">
        <f>IF(Tab.11[[#This Row],[a1]]=1,[3]!Tab_x1[[#This Row],[Name]])</f>
        <v>0</v>
      </c>
      <c r="D962" s="63" t="b">
        <f>IF(Tab.11[[#This Row],[a1]]=1,AO962)</f>
        <v>0</v>
      </c>
      <c r="E962" s="63">
        <f t="shared" si="30"/>
        <v>0</v>
      </c>
      <c r="F962" s="64" t="b">
        <f>IF(Tab.11[[#This Row],[a1]]=1,Tab.11[[#This Row],[b1]])</f>
        <v>0</v>
      </c>
      <c r="G962" s="65" t="b">
        <f>IF(Tab.11[[#This Row],[a1]]=1,IF(Tab.11[[#This Row],[b3]]&gt;$L$989*$G$3,$L$989*$G$3,IF(Tab.11[[#This Row],[b3]]&lt;$M$989*$G$3,$M$989*$G$3,Tab.11[[#This Row],[b3]])))</f>
        <v>0</v>
      </c>
      <c r="H962" s="66" t="b">
        <f>IF(Tab.11[[#This Row],[a1]]=1,Tab.11[[#This Row],[b1]])</f>
        <v>0</v>
      </c>
      <c r="I962" s="67" t="b">
        <f>IF(Tab.11[[#This Row],[a1]]=1,Tab.11[[#This Row],[b1]])</f>
        <v>0</v>
      </c>
      <c r="J962" s="68" t="b">
        <f>IF(Tab.11[[#This Row],[a1]]=1,IF($I$3&lt;0,Tab.11[[#This Row],[b5]]-$I$3,Tab.11[[#This Row],[b5]]))</f>
        <v>0</v>
      </c>
      <c r="K962" s="68" t="b">
        <f>IF(Tab.11[[#This Row],[a1]]=1,IF($K$3=0,Tab.11[b6],Tab.11[[#This Row],[b6]]-AVERAGE(Tab.11[b6])))</f>
        <v>0</v>
      </c>
      <c r="L962" s="69" t="b">
        <f>IF(Tab.11[[#This Row],[a1]]=1,Tab.11[[#This Row],[data]]/(_xlfn.STDEV.P(Tab.11[data])*$B$989)+$A$989)</f>
        <v>0</v>
      </c>
      <c r="M962" s="69" t="b">
        <f>IF(Tab.11[[#This Row],[a1]]=1,Tab.11[[#This Row],[data]]/(_xlfn.STDEV.P(Tab.11[data])*$B$987)-$A$987)</f>
        <v>0</v>
      </c>
      <c r="N962" s="69" t="b">
        <f>IF(Tab.11[[#This Row],[a1]]=1,Tab.11[[#This Row],[data]]/(_xlfn.STDEV.P(Tab.11[data])*$B$988)+$A$988)</f>
        <v>0</v>
      </c>
      <c r="O962" s="70" t="b">
        <f>IF(Tab.11[[#This Row],[a1]]=1,_xlfn.NORM.DIST(Tab.11[[#This Row],[b8]],$P$1,$Q$1,FALSE))</f>
        <v>0</v>
      </c>
      <c r="P962" s="70" t="b">
        <f>IF(Tab.11[[#This Row],[a1]]=1,_xlfn.NORM.DIST(Tab.11[[#This Row],[b9]],$P$1,$Q$1,FALSE))</f>
        <v>0</v>
      </c>
      <c r="Q962" s="70" t="b">
        <f>IF(Tab.11[[#This Row],[a1]]=1,_xlfn.NORM.DIST(Tab.11[[#This Row],[b10]],$P$1,$Q$1,FALSE))</f>
        <v>0</v>
      </c>
      <c r="R962" s="67" t="b">
        <f>IF(Tab.11[[#This Row],[a1]]=1,$I$3+$A$989+IF($K$3=0,Tab.11[[#This Row],[b8]]*_xlfn.STDEV.P(Tab.11[data]),AVERAGE(Tab.11[b6])+Tab.11[[#This Row],[b8]]*_xlfn.STDEV.P(Tab.11[data])))</f>
        <v>0</v>
      </c>
      <c r="S962" s="71" t="b">
        <f>IF(Tab.11[[#This Row],[a1]]=1,$I$3+$A$987+IF($K$3=0,Tab.11[[#This Row],[b9]]*_xlfn.STDEV.P(Tab.11[data]),AVERAGE(Tab.11[b6])+Tab.11[[#This Row],[b9]]*_xlfn.STDEV.P(Tab.11[data])))</f>
        <v>0</v>
      </c>
      <c r="T962" s="71" t="b">
        <f>IF(Tab.11[[#This Row],[a1]]=1,$I$3+$A$988+IF($K$3=0,Tab.11[[#This Row],[b10]]*_xlfn.STDEV.P(Tab.11[data]),AVERAGE(Tab.11[b6])+Tab.11[[#This Row],[b10]]*_xlfn.STDEV.P(Tab.11[data])))</f>
        <v>0</v>
      </c>
      <c r="U962" s="72" t="b">
        <f>IF(Tab.11[[#This Row],[a1]]=1,Tab.11[[#This Row],[target]]-Tab.11[[#This Row],[Red]])</f>
        <v>0</v>
      </c>
      <c r="V962" s="72" t="b">
        <f>IF(Tab.11[[#This Row],[a1]]=1,Tab.11[[#This Row],[target]]-Tab.11[[#This Row],[Blue]])</f>
        <v>0</v>
      </c>
      <c r="W962" s="73" t="b">
        <f>IF(Tab.11[[#This Row],[a1]]=1,IF(ABS(Tab.11[[#This Row],[b17]])+ABS(Tab.11[[#This Row],[b18]])&lt;$W$2,$W$2,ABS(Tab.11[[#This Row],[b17]])+ABS(Tab.11[[#This Row],[b18]])))</f>
        <v>0</v>
      </c>
      <c r="X962" s="136" t="b">
        <f>IF(Tab.11[[#This Row],[a1]]=1,IF($W$3&lt;0,Tab.11[[#This Row],[IN]]-$I$3,Tab.11[[#This Row],[IN]]))</f>
        <v>0</v>
      </c>
      <c r="Y962" s="136" t="b">
        <f>IF(Tab.11[[#This Row],[a1]]=1,IF($X$3=0,Tab.11[b66],Tab.11[[#This Row],[b66]]-AVERAGE(Tab.11[b66])))</f>
        <v>0</v>
      </c>
      <c r="Z962" s="135" t="b">
        <f>IF(Tab.11[[#This Row],[a1]]=1,Tab.11[[#This Row],[b77]]/(_xlfn.STDEV.P(Tab.11[b77])))</f>
        <v>0</v>
      </c>
      <c r="AA962" s="70" t="b">
        <f>IF(Tab.11[[#This Row],[a1]]=1,_xlfn.NORM.DIST(Tab.11[[#This Row],[b88]],$Z$1,$AA$1,FALSE))</f>
        <v>0</v>
      </c>
      <c r="AB962" s="74" t="b">
        <f>IF(Tab.11[[#This Row],[a1]]=1,IF($A$3=0,FALSE,1/Tab.11[[#This Row],[IN]]*$AC$2*IF(Tab.11[[#This Row],[a1]]=0,,$A$3*$AC$1*1/$V$3*(Tab.11[[#This Row],[b14]]))))</f>
        <v>0</v>
      </c>
      <c r="AC962" s="75" t="b">
        <f>IF(Tab.11[[#This Row],[a1]]=1,IF($AC$3=0,Tab.11[[#This Row],[φ1]],Tab.11[[#This Row],[φ1]]/MAX(Tab.11[φ1])))</f>
        <v>0</v>
      </c>
      <c r="AD962" s="74" t="b">
        <f>IF(Tab.11[[#This Row],[a1]]=1,1/Tab.11[[#This Row],[φ2]])</f>
        <v>0</v>
      </c>
      <c r="AE962" s="74" t="b">
        <f>IF(Tab.11[[#This Row],[a1]]=1,IF($AE$3=0,Tab.11[[#This Row],[w.0]],Tab.11[[#This Row],[w.0]]/SUM(Tab.11[w.0])))</f>
        <v>0</v>
      </c>
      <c r="AF962" s="76" t="str">
        <f>IF(Tab.11[[#This Row],[a1]]=0,"false",[3]!Tab.x5[[#This Row],[%_seN_C]])</f>
        <v>false</v>
      </c>
      <c r="AG962" s="77" t="b">
        <f>IF(Tab.11[[#This Row],[a1]]=1,AP962)</f>
        <v>0</v>
      </c>
      <c r="AH962" s="78" t="b">
        <f>IF(Tab.11[[#This Row],[a1]]=1,AQ962)</f>
        <v>0</v>
      </c>
      <c r="AI962" s="41">
        <v>3.0000000000000001E-3</v>
      </c>
      <c r="AJ962" s="79">
        <v>0.05</v>
      </c>
      <c r="AK962" s="80" t="b">
        <f>IF(Tab.11[[#This Row],[a1]]=1,1)</f>
        <v>0</v>
      </c>
      <c r="AZ962"/>
    </row>
    <row r="963" spans="1:52" hidden="1" x14ac:dyDescent="0.25">
      <c r="A963" s="61">
        <f t="shared" si="31"/>
        <v>0</v>
      </c>
      <c r="B963" s="62">
        <f t="shared" si="31"/>
        <v>0</v>
      </c>
      <c r="C963" s="62" t="b">
        <f>IF(Tab.11[[#This Row],[a1]]=1,[3]!Tab_x1[[#This Row],[Name]])</f>
        <v>0</v>
      </c>
      <c r="D963" s="63" t="b">
        <f>IF(Tab.11[[#This Row],[a1]]=1,AO963)</f>
        <v>0</v>
      </c>
      <c r="E963" s="63">
        <f t="shared" si="30"/>
        <v>0</v>
      </c>
      <c r="F963" s="64" t="b">
        <f>IF(Tab.11[[#This Row],[a1]]=1,Tab.11[[#This Row],[b1]])</f>
        <v>0</v>
      </c>
      <c r="G963" s="65" t="b">
        <f>IF(Tab.11[[#This Row],[a1]]=1,IF(Tab.11[[#This Row],[b3]]&gt;$L$989*$G$3,$L$989*$G$3,IF(Tab.11[[#This Row],[b3]]&lt;$M$989*$G$3,$M$989*$G$3,Tab.11[[#This Row],[b3]])))</f>
        <v>0</v>
      </c>
      <c r="H963" s="66" t="b">
        <f>IF(Tab.11[[#This Row],[a1]]=1,Tab.11[[#This Row],[b1]])</f>
        <v>0</v>
      </c>
      <c r="I963" s="67" t="b">
        <f>IF(Tab.11[[#This Row],[a1]]=1,Tab.11[[#This Row],[b1]])</f>
        <v>0</v>
      </c>
      <c r="J963" s="68" t="b">
        <f>IF(Tab.11[[#This Row],[a1]]=1,IF($I$3&lt;0,Tab.11[[#This Row],[b5]]-$I$3,Tab.11[[#This Row],[b5]]))</f>
        <v>0</v>
      </c>
      <c r="K963" s="68" t="b">
        <f>IF(Tab.11[[#This Row],[a1]]=1,IF($K$3=0,Tab.11[b6],Tab.11[[#This Row],[b6]]-AVERAGE(Tab.11[b6])))</f>
        <v>0</v>
      </c>
      <c r="L963" s="69" t="b">
        <f>IF(Tab.11[[#This Row],[a1]]=1,Tab.11[[#This Row],[data]]/(_xlfn.STDEV.P(Tab.11[data])*$B$989)+$A$989)</f>
        <v>0</v>
      </c>
      <c r="M963" s="69" t="b">
        <f>IF(Tab.11[[#This Row],[a1]]=1,Tab.11[[#This Row],[data]]/(_xlfn.STDEV.P(Tab.11[data])*$B$987)-$A$987)</f>
        <v>0</v>
      </c>
      <c r="N963" s="69" t="b">
        <f>IF(Tab.11[[#This Row],[a1]]=1,Tab.11[[#This Row],[data]]/(_xlfn.STDEV.P(Tab.11[data])*$B$988)+$A$988)</f>
        <v>0</v>
      </c>
      <c r="O963" s="70" t="b">
        <f>IF(Tab.11[[#This Row],[a1]]=1,_xlfn.NORM.DIST(Tab.11[[#This Row],[b8]],$P$1,$Q$1,FALSE))</f>
        <v>0</v>
      </c>
      <c r="P963" s="70" t="b">
        <f>IF(Tab.11[[#This Row],[a1]]=1,_xlfn.NORM.DIST(Tab.11[[#This Row],[b9]],$P$1,$Q$1,FALSE))</f>
        <v>0</v>
      </c>
      <c r="Q963" s="70" t="b">
        <f>IF(Tab.11[[#This Row],[a1]]=1,_xlfn.NORM.DIST(Tab.11[[#This Row],[b10]],$P$1,$Q$1,FALSE))</f>
        <v>0</v>
      </c>
      <c r="R963" s="67" t="b">
        <f>IF(Tab.11[[#This Row],[a1]]=1,$I$3+$A$989+IF($K$3=0,Tab.11[[#This Row],[b8]]*_xlfn.STDEV.P(Tab.11[data]),AVERAGE(Tab.11[b6])+Tab.11[[#This Row],[b8]]*_xlfn.STDEV.P(Tab.11[data])))</f>
        <v>0</v>
      </c>
      <c r="S963" s="71" t="b">
        <f>IF(Tab.11[[#This Row],[a1]]=1,$I$3+$A$987+IF($K$3=0,Tab.11[[#This Row],[b9]]*_xlfn.STDEV.P(Tab.11[data]),AVERAGE(Tab.11[b6])+Tab.11[[#This Row],[b9]]*_xlfn.STDEV.P(Tab.11[data])))</f>
        <v>0</v>
      </c>
      <c r="T963" s="71" t="b">
        <f>IF(Tab.11[[#This Row],[a1]]=1,$I$3+$A$988+IF($K$3=0,Tab.11[[#This Row],[b10]]*_xlfn.STDEV.P(Tab.11[data]),AVERAGE(Tab.11[b6])+Tab.11[[#This Row],[b10]]*_xlfn.STDEV.P(Tab.11[data])))</f>
        <v>0</v>
      </c>
      <c r="U963" s="72" t="b">
        <f>IF(Tab.11[[#This Row],[a1]]=1,Tab.11[[#This Row],[target]]-Tab.11[[#This Row],[Red]])</f>
        <v>0</v>
      </c>
      <c r="V963" s="72" t="b">
        <f>IF(Tab.11[[#This Row],[a1]]=1,Tab.11[[#This Row],[target]]-Tab.11[[#This Row],[Blue]])</f>
        <v>0</v>
      </c>
      <c r="W963" s="73" t="b">
        <f>IF(Tab.11[[#This Row],[a1]]=1,IF(ABS(Tab.11[[#This Row],[b17]])+ABS(Tab.11[[#This Row],[b18]])&lt;$W$2,$W$2,ABS(Tab.11[[#This Row],[b17]])+ABS(Tab.11[[#This Row],[b18]])))</f>
        <v>0</v>
      </c>
      <c r="X963" s="136" t="b">
        <f>IF(Tab.11[[#This Row],[a1]]=1,IF($W$3&lt;0,Tab.11[[#This Row],[IN]]-$I$3,Tab.11[[#This Row],[IN]]))</f>
        <v>0</v>
      </c>
      <c r="Y963" s="136" t="b">
        <f>IF(Tab.11[[#This Row],[a1]]=1,IF($X$3=0,Tab.11[b66],Tab.11[[#This Row],[b66]]-AVERAGE(Tab.11[b66])))</f>
        <v>0</v>
      </c>
      <c r="Z963" s="135" t="b">
        <f>IF(Tab.11[[#This Row],[a1]]=1,Tab.11[[#This Row],[b77]]/(_xlfn.STDEV.P(Tab.11[b77])))</f>
        <v>0</v>
      </c>
      <c r="AA963" s="70" t="b">
        <f>IF(Tab.11[[#This Row],[a1]]=1,_xlfn.NORM.DIST(Tab.11[[#This Row],[b88]],$Z$1,$AA$1,FALSE))</f>
        <v>0</v>
      </c>
      <c r="AB963" s="74" t="b">
        <f>IF(Tab.11[[#This Row],[a1]]=1,IF($A$3=0,FALSE,1/Tab.11[[#This Row],[IN]]*$AC$2*IF(Tab.11[[#This Row],[a1]]=0,,$A$3*$AC$1*1/$V$3*(Tab.11[[#This Row],[b14]]))))</f>
        <v>0</v>
      </c>
      <c r="AC963" s="75" t="b">
        <f>IF(Tab.11[[#This Row],[a1]]=1,IF($AC$3=0,Tab.11[[#This Row],[φ1]],Tab.11[[#This Row],[φ1]]/MAX(Tab.11[φ1])))</f>
        <v>0</v>
      </c>
      <c r="AD963" s="74" t="b">
        <f>IF(Tab.11[[#This Row],[a1]]=1,1/Tab.11[[#This Row],[φ2]])</f>
        <v>0</v>
      </c>
      <c r="AE963" s="74" t="b">
        <f>IF(Tab.11[[#This Row],[a1]]=1,IF($AE$3=0,Tab.11[[#This Row],[w.0]],Tab.11[[#This Row],[w.0]]/SUM(Tab.11[w.0])))</f>
        <v>0</v>
      </c>
      <c r="AF963" s="76" t="str">
        <f>IF(Tab.11[[#This Row],[a1]]=0,"false",[3]!Tab.x5[[#This Row],[%_seN_C]])</f>
        <v>false</v>
      </c>
      <c r="AG963" s="77" t="b">
        <f>IF(Tab.11[[#This Row],[a1]]=1,AP963)</f>
        <v>0</v>
      </c>
      <c r="AH963" s="78" t="b">
        <f>IF(Tab.11[[#This Row],[a1]]=1,AQ963)</f>
        <v>0</v>
      </c>
      <c r="AI963" s="41">
        <v>3.0000000000000001E-3</v>
      </c>
      <c r="AJ963" s="79">
        <v>-0.04</v>
      </c>
      <c r="AK963" s="80" t="b">
        <f>IF(Tab.11[[#This Row],[a1]]=1,1)</f>
        <v>0</v>
      </c>
      <c r="AZ963"/>
    </row>
    <row r="964" spans="1:52" hidden="1" x14ac:dyDescent="0.25">
      <c r="A964" s="61">
        <f t="shared" si="31"/>
        <v>0</v>
      </c>
      <c r="B964" s="62">
        <f t="shared" si="31"/>
        <v>0</v>
      </c>
      <c r="C964" s="62" t="b">
        <f>IF(Tab.11[[#This Row],[a1]]=1,[3]!Tab_x1[[#This Row],[Name]])</f>
        <v>0</v>
      </c>
      <c r="D964" s="63" t="b">
        <f>IF(Tab.11[[#This Row],[a1]]=1,AO964)</f>
        <v>0</v>
      </c>
      <c r="E964" s="63">
        <f t="shared" si="30"/>
        <v>0</v>
      </c>
      <c r="F964" s="64" t="b">
        <f>IF(Tab.11[[#This Row],[a1]]=1,Tab.11[[#This Row],[b1]])</f>
        <v>0</v>
      </c>
      <c r="G964" s="65" t="b">
        <f>IF(Tab.11[[#This Row],[a1]]=1,IF(Tab.11[[#This Row],[b3]]&gt;$L$989*$G$3,$L$989*$G$3,IF(Tab.11[[#This Row],[b3]]&lt;$M$989*$G$3,$M$989*$G$3,Tab.11[[#This Row],[b3]])))</f>
        <v>0</v>
      </c>
      <c r="H964" s="66" t="b">
        <f>IF(Tab.11[[#This Row],[a1]]=1,Tab.11[[#This Row],[b1]])</f>
        <v>0</v>
      </c>
      <c r="I964" s="67" t="b">
        <f>IF(Tab.11[[#This Row],[a1]]=1,Tab.11[[#This Row],[b1]])</f>
        <v>0</v>
      </c>
      <c r="J964" s="68" t="b">
        <f>IF(Tab.11[[#This Row],[a1]]=1,IF($I$3&lt;0,Tab.11[[#This Row],[b5]]-$I$3,Tab.11[[#This Row],[b5]]))</f>
        <v>0</v>
      </c>
      <c r="K964" s="68" t="b">
        <f>IF(Tab.11[[#This Row],[a1]]=1,IF($K$3=0,Tab.11[b6],Tab.11[[#This Row],[b6]]-AVERAGE(Tab.11[b6])))</f>
        <v>0</v>
      </c>
      <c r="L964" s="69" t="b">
        <f>IF(Tab.11[[#This Row],[a1]]=1,Tab.11[[#This Row],[data]]/(_xlfn.STDEV.P(Tab.11[data])*$B$989)+$A$989)</f>
        <v>0</v>
      </c>
      <c r="M964" s="69" t="b">
        <f>IF(Tab.11[[#This Row],[a1]]=1,Tab.11[[#This Row],[data]]/(_xlfn.STDEV.P(Tab.11[data])*$B$987)-$A$987)</f>
        <v>0</v>
      </c>
      <c r="N964" s="69" t="b">
        <f>IF(Tab.11[[#This Row],[a1]]=1,Tab.11[[#This Row],[data]]/(_xlfn.STDEV.P(Tab.11[data])*$B$988)+$A$988)</f>
        <v>0</v>
      </c>
      <c r="O964" s="70" t="b">
        <f>IF(Tab.11[[#This Row],[a1]]=1,_xlfn.NORM.DIST(Tab.11[[#This Row],[b8]],$P$1,$Q$1,FALSE))</f>
        <v>0</v>
      </c>
      <c r="P964" s="70" t="b">
        <f>IF(Tab.11[[#This Row],[a1]]=1,_xlfn.NORM.DIST(Tab.11[[#This Row],[b9]],$P$1,$Q$1,FALSE))</f>
        <v>0</v>
      </c>
      <c r="Q964" s="70" t="b">
        <f>IF(Tab.11[[#This Row],[a1]]=1,_xlfn.NORM.DIST(Tab.11[[#This Row],[b10]],$P$1,$Q$1,FALSE))</f>
        <v>0</v>
      </c>
      <c r="R964" s="67" t="b">
        <f>IF(Tab.11[[#This Row],[a1]]=1,$I$3+$A$989+IF($K$3=0,Tab.11[[#This Row],[b8]]*_xlfn.STDEV.P(Tab.11[data]),AVERAGE(Tab.11[b6])+Tab.11[[#This Row],[b8]]*_xlfn.STDEV.P(Tab.11[data])))</f>
        <v>0</v>
      </c>
      <c r="S964" s="71" t="b">
        <f>IF(Tab.11[[#This Row],[a1]]=1,$I$3+$A$987+IF($K$3=0,Tab.11[[#This Row],[b9]]*_xlfn.STDEV.P(Tab.11[data]),AVERAGE(Tab.11[b6])+Tab.11[[#This Row],[b9]]*_xlfn.STDEV.P(Tab.11[data])))</f>
        <v>0</v>
      </c>
      <c r="T964" s="71" t="b">
        <f>IF(Tab.11[[#This Row],[a1]]=1,$I$3+$A$988+IF($K$3=0,Tab.11[[#This Row],[b10]]*_xlfn.STDEV.P(Tab.11[data]),AVERAGE(Tab.11[b6])+Tab.11[[#This Row],[b10]]*_xlfn.STDEV.P(Tab.11[data])))</f>
        <v>0</v>
      </c>
      <c r="U964" s="72" t="b">
        <f>IF(Tab.11[[#This Row],[a1]]=1,Tab.11[[#This Row],[target]]-Tab.11[[#This Row],[Red]])</f>
        <v>0</v>
      </c>
      <c r="V964" s="72" t="b">
        <f>IF(Tab.11[[#This Row],[a1]]=1,Tab.11[[#This Row],[target]]-Tab.11[[#This Row],[Blue]])</f>
        <v>0</v>
      </c>
      <c r="W964" s="73" t="b">
        <f>IF(Tab.11[[#This Row],[a1]]=1,IF(ABS(Tab.11[[#This Row],[b17]])+ABS(Tab.11[[#This Row],[b18]])&lt;$W$2,$W$2,ABS(Tab.11[[#This Row],[b17]])+ABS(Tab.11[[#This Row],[b18]])))</f>
        <v>0</v>
      </c>
      <c r="X964" s="136" t="b">
        <f>IF(Tab.11[[#This Row],[a1]]=1,IF($W$3&lt;0,Tab.11[[#This Row],[IN]]-$I$3,Tab.11[[#This Row],[IN]]))</f>
        <v>0</v>
      </c>
      <c r="Y964" s="136" t="b">
        <f>IF(Tab.11[[#This Row],[a1]]=1,IF($X$3=0,Tab.11[b66],Tab.11[[#This Row],[b66]]-AVERAGE(Tab.11[b66])))</f>
        <v>0</v>
      </c>
      <c r="Z964" s="135" t="b">
        <f>IF(Tab.11[[#This Row],[a1]]=1,Tab.11[[#This Row],[b77]]/(_xlfn.STDEV.P(Tab.11[b77])))</f>
        <v>0</v>
      </c>
      <c r="AA964" s="70" t="b">
        <f>IF(Tab.11[[#This Row],[a1]]=1,_xlfn.NORM.DIST(Tab.11[[#This Row],[b88]],$Z$1,$AA$1,FALSE))</f>
        <v>0</v>
      </c>
      <c r="AB964" s="74" t="b">
        <f>IF(Tab.11[[#This Row],[a1]]=1,IF($A$3=0,FALSE,1/Tab.11[[#This Row],[IN]]*$AC$2*IF(Tab.11[[#This Row],[a1]]=0,,$A$3*$AC$1*1/$V$3*(Tab.11[[#This Row],[b14]]))))</f>
        <v>0</v>
      </c>
      <c r="AC964" s="75" t="b">
        <f>IF(Tab.11[[#This Row],[a1]]=1,IF($AC$3=0,Tab.11[[#This Row],[φ1]],Tab.11[[#This Row],[φ1]]/MAX(Tab.11[φ1])))</f>
        <v>0</v>
      </c>
      <c r="AD964" s="74" t="b">
        <f>IF(Tab.11[[#This Row],[a1]]=1,1/Tab.11[[#This Row],[φ2]])</f>
        <v>0</v>
      </c>
      <c r="AE964" s="74" t="b">
        <f>IF(Tab.11[[#This Row],[a1]]=1,IF($AE$3=0,Tab.11[[#This Row],[w.0]],Tab.11[[#This Row],[w.0]]/SUM(Tab.11[w.0])))</f>
        <v>0</v>
      </c>
      <c r="AF964" s="76" t="str">
        <f>IF(Tab.11[[#This Row],[a1]]=0,"false",[3]!Tab.x5[[#This Row],[%_seN_C]])</f>
        <v>false</v>
      </c>
      <c r="AG964" s="77" t="b">
        <f>IF(Tab.11[[#This Row],[a1]]=1,AP964)</f>
        <v>0</v>
      </c>
      <c r="AH964" s="78" t="b">
        <f>IF(Tab.11[[#This Row],[a1]]=1,AQ964)</f>
        <v>0</v>
      </c>
      <c r="AI964" s="41">
        <v>3.0000000000000001E-3</v>
      </c>
      <c r="AJ964" s="79">
        <v>0.09</v>
      </c>
      <c r="AK964" s="80" t="b">
        <f>IF(Tab.11[[#This Row],[a1]]=1,1)</f>
        <v>0</v>
      </c>
      <c r="AZ964"/>
    </row>
    <row r="965" spans="1:52" hidden="1" x14ac:dyDescent="0.25">
      <c r="A965" s="61">
        <f t="shared" si="31"/>
        <v>0</v>
      </c>
      <c r="B965" s="62">
        <f t="shared" si="31"/>
        <v>0</v>
      </c>
      <c r="C965" s="62" t="b">
        <f>IF(Tab.11[[#This Row],[a1]]=1,[3]!Tab_x1[[#This Row],[Name]])</f>
        <v>0</v>
      </c>
      <c r="D965" s="63" t="b">
        <f>IF(Tab.11[[#This Row],[a1]]=1,AO965)</f>
        <v>0</v>
      </c>
      <c r="E965" s="63">
        <f t="shared" ref="E965:E984" si="32">AM965</f>
        <v>0</v>
      </c>
      <c r="F965" s="64" t="b">
        <f>IF(Tab.11[[#This Row],[a1]]=1,Tab.11[[#This Row],[b1]])</f>
        <v>0</v>
      </c>
      <c r="G965" s="65" t="b">
        <f>IF(Tab.11[[#This Row],[a1]]=1,IF(Tab.11[[#This Row],[b3]]&gt;$L$989*$G$3,$L$989*$G$3,IF(Tab.11[[#This Row],[b3]]&lt;$M$989*$G$3,$M$989*$G$3,Tab.11[[#This Row],[b3]])))</f>
        <v>0</v>
      </c>
      <c r="H965" s="66" t="b">
        <f>IF(Tab.11[[#This Row],[a1]]=1,Tab.11[[#This Row],[b1]])</f>
        <v>0</v>
      </c>
      <c r="I965" s="67" t="b">
        <f>IF(Tab.11[[#This Row],[a1]]=1,Tab.11[[#This Row],[b1]])</f>
        <v>0</v>
      </c>
      <c r="J965" s="68" t="b">
        <f>IF(Tab.11[[#This Row],[a1]]=1,IF($I$3&lt;0,Tab.11[[#This Row],[b5]]-$I$3,Tab.11[[#This Row],[b5]]))</f>
        <v>0</v>
      </c>
      <c r="K965" s="68" t="b">
        <f>IF(Tab.11[[#This Row],[a1]]=1,IF($K$3=0,Tab.11[b6],Tab.11[[#This Row],[b6]]-AVERAGE(Tab.11[b6])))</f>
        <v>0</v>
      </c>
      <c r="L965" s="69" t="b">
        <f>IF(Tab.11[[#This Row],[a1]]=1,Tab.11[[#This Row],[data]]/(_xlfn.STDEV.P(Tab.11[data])*$B$989)+$A$989)</f>
        <v>0</v>
      </c>
      <c r="M965" s="69" t="b">
        <f>IF(Tab.11[[#This Row],[a1]]=1,Tab.11[[#This Row],[data]]/(_xlfn.STDEV.P(Tab.11[data])*$B$987)-$A$987)</f>
        <v>0</v>
      </c>
      <c r="N965" s="69" t="b">
        <f>IF(Tab.11[[#This Row],[a1]]=1,Tab.11[[#This Row],[data]]/(_xlfn.STDEV.P(Tab.11[data])*$B$988)+$A$988)</f>
        <v>0</v>
      </c>
      <c r="O965" s="70" t="b">
        <f>IF(Tab.11[[#This Row],[a1]]=1,_xlfn.NORM.DIST(Tab.11[[#This Row],[b8]],$P$1,$Q$1,FALSE))</f>
        <v>0</v>
      </c>
      <c r="P965" s="70" t="b">
        <f>IF(Tab.11[[#This Row],[a1]]=1,_xlfn.NORM.DIST(Tab.11[[#This Row],[b9]],$P$1,$Q$1,FALSE))</f>
        <v>0</v>
      </c>
      <c r="Q965" s="70" t="b">
        <f>IF(Tab.11[[#This Row],[a1]]=1,_xlfn.NORM.DIST(Tab.11[[#This Row],[b10]],$P$1,$Q$1,FALSE))</f>
        <v>0</v>
      </c>
      <c r="R965" s="67" t="b">
        <f>IF(Tab.11[[#This Row],[a1]]=1,$I$3+$A$989+IF($K$3=0,Tab.11[[#This Row],[b8]]*_xlfn.STDEV.P(Tab.11[data]),AVERAGE(Tab.11[b6])+Tab.11[[#This Row],[b8]]*_xlfn.STDEV.P(Tab.11[data])))</f>
        <v>0</v>
      </c>
      <c r="S965" s="71" t="b">
        <f>IF(Tab.11[[#This Row],[a1]]=1,$I$3+$A$987+IF($K$3=0,Tab.11[[#This Row],[b9]]*_xlfn.STDEV.P(Tab.11[data]),AVERAGE(Tab.11[b6])+Tab.11[[#This Row],[b9]]*_xlfn.STDEV.P(Tab.11[data])))</f>
        <v>0</v>
      </c>
      <c r="T965" s="71" t="b">
        <f>IF(Tab.11[[#This Row],[a1]]=1,$I$3+$A$988+IF($K$3=0,Tab.11[[#This Row],[b10]]*_xlfn.STDEV.P(Tab.11[data]),AVERAGE(Tab.11[b6])+Tab.11[[#This Row],[b10]]*_xlfn.STDEV.P(Tab.11[data])))</f>
        <v>0</v>
      </c>
      <c r="U965" s="72" t="b">
        <f>IF(Tab.11[[#This Row],[a1]]=1,Tab.11[[#This Row],[target]]-Tab.11[[#This Row],[Red]])</f>
        <v>0</v>
      </c>
      <c r="V965" s="72" t="b">
        <f>IF(Tab.11[[#This Row],[a1]]=1,Tab.11[[#This Row],[target]]-Tab.11[[#This Row],[Blue]])</f>
        <v>0</v>
      </c>
      <c r="W965" s="73" t="b">
        <f>IF(Tab.11[[#This Row],[a1]]=1,IF(ABS(Tab.11[[#This Row],[b17]])+ABS(Tab.11[[#This Row],[b18]])&lt;$W$2,$W$2,ABS(Tab.11[[#This Row],[b17]])+ABS(Tab.11[[#This Row],[b18]])))</f>
        <v>0</v>
      </c>
      <c r="X965" s="136" t="b">
        <f>IF(Tab.11[[#This Row],[a1]]=1,IF($W$3&lt;0,Tab.11[[#This Row],[IN]]-$I$3,Tab.11[[#This Row],[IN]]))</f>
        <v>0</v>
      </c>
      <c r="Y965" s="136" t="b">
        <f>IF(Tab.11[[#This Row],[a1]]=1,IF($X$3=0,Tab.11[b66],Tab.11[[#This Row],[b66]]-AVERAGE(Tab.11[b66])))</f>
        <v>0</v>
      </c>
      <c r="Z965" s="135" t="b">
        <f>IF(Tab.11[[#This Row],[a1]]=1,Tab.11[[#This Row],[b77]]/(_xlfn.STDEV.P(Tab.11[b77])))</f>
        <v>0</v>
      </c>
      <c r="AA965" s="70" t="b">
        <f>IF(Tab.11[[#This Row],[a1]]=1,_xlfn.NORM.DIST(Tab.11[[#This Row],[b88]],$Z$1,$AA$1,FALSE))</f>
        <v>0</v>
      </c>
      <c r="AB965" s="74" t="b">
        <f>IF(Tab.11[[#This Row],[a1]]=1,IF($A$3=0,FALSE,1/Tab.11[[#This Row],[IN]]*$AC$2*IF(Tab.11[[#This Row],[a1]]=0,,$A$3*$AC$1*1/$V$3*(Tab.11[[#This Row],[b14]]))))</f>
        <v>0</v>
      </c>
      <c r="AC965" s="75" t="b">
        <f>IF(Tab.11[[#This Row],[a1]]=1,IF($AC$3=0,Tab.11[[#This Row],[φ1]],Tab.11[[#This Row],[φ1]]/MAX(Tab.11[φ1])))</f>
        <v>0</v>
      </c>
      <c r="AD965" s="74" t="b">
        <f>IF(Tab.11[[#This Row],[a1]]=1,1/Tab.11[[#This Row],[φ2]])</f>
        <v>0</v>
      </c>
      <c r="AE965" s="74" t="b">
        <f>IF(Tab.11[[#This Row],[a1]]=1,IF($AE$3=0,Tab.11[[#This Row],[w.0]],Tab.11[[#This Row],[w.0]]/SUM(Tab.11[w.0])))</f>
        <v>0</v>
      </c>
      <c r="AF965" s="76" t="str">
        <f>IF(Tab.11[[#This Row],[a1]]=0,"false",[3]!Tab.x5[[#This Row],[%_seN_C]])</f>
        <v>false</v>
      </c>
      <c r="AG965" s="77" t="b">
        <f>IF(Tab.11[[#This Row],[a1]]=1,AP965)</f>
        <v>0</v>
      </c>
      <c r="AH965" s="78" t="b">
        <f>IF(Tab.11[[#This Row],[a1]]=1,AQ965)</f>
        <v>0</v>
      </c>
      <c r="AI965" s="41">
        <v>3.0000000000000001E-3</v>
      </c>
      <c r="AJ965" s="79">
        <v>0</v>
      </c>
      <c r="AK965" s="80" t="b">
        <f>IF(Tab.11[[#This Row],[a1]]=1,1)</f>
        <v>0</v>
      </c>
      <c r="AZ965"/>
    </row>
    <row r="966" spans="1:52" hidden="1" x14ac:dyDescent="0.25">
      <c r="A966" s="61">
        <f t="shared" si="31"/>
        <v>0</v>
      </c>
      <c r="B966" s="62">
        <f t="shared" si="31"/>
        <v>0</v>
      </c>
      <c r="C966" s="62" t="b">
        <f>IF(Tab.11[[#This Row],[a1]]=1,[3]!Tab_x1[[#This Row],[Name]])</f>
        <v>0</v>
      </c>
      <c r="D966" s="63" t="b">
        <f>IF(Tab.11[[#This Row],[a1]]=1,AO966)</f>
        <v>0</v>
      </c>
      <c r="E966" s="63">
        <f t="shared" si="32"/>
        <v>0</v>
      </c>
      <c r="F966" s="64" t="b">
        <f>IF(Tab.11[[#This Row],[a1]]=1,Tab.11[[#This Row],[b1]])</f>
        <v>0</v>
      </c>
      <c r="G966" s="65" t="b">
        <f>IF(Tab.11[[#This Row],[a1]]=1,IF(Tab.11[[#This Row],[b3]]&gt;$L$989*$G$3,$L$989*$G$3,IF(Tab.11[[#This Row],[b3]]&lt;$M$989*$G$3,$M$989*$G$3,Tab.11[[#This Row],[b3]])))</f>
        <v>0</v>
      </c>
      <c r="H966" s="66" t="b">
        <f>IF(Tab.11[[#This Row],[a1]]=1,Tab.11[[#This Row],[b1]])</f>
        <v>0</v>
      </c>
      <c r="I966" s="67" t="b">
        <f>IF(Tab.11[[#This Row],[a1]]=1,Tab.11[[#This Row],[b1]])</f>
        <v>0</v>
      </c>
      <c r="J966" s="68" t="b">
        <f>IF(Tab.11[[#This Row],[a1]]=1,IF($I$3&lt;0,Tab.11[[#This Row],[b5]]-$I$3,Tab.11[[#This Row],[b5]]))</f>
        <v>0</v>
      </c>
      <c r="K966" s="68" t="b">
        <f>IF(Tab.11[[#This Row],[a1]]=1,IF($K$3=0,Tab.11[b6],Tab.11[[#This Row],[b6]]-AVERAGE(Tab.11[b6])))</f>
        <v>0</v>
      </c>
      <c r="L966" s="69" t="b">
        <f>IF(Tab.11[[#This Row],[a1]]=1,Tab.11[[#This Row],[data]]/(_xlfn.STDEV.P(Tab.11[data])*$B$989)+$A$989)</f>
        <v>0</v>
      </c>
      <c r="M966" s="69" t="b">
        <f>IF(Tab.11[[#This Row],[a1]]=1,Tab.11[[#This Row],[data]]/(_xlfn.STDEV.P(Tab.11[data])*$B$987)-$A$987)</f>
        <v>0</v>
      </c>
      <c r="N966" s="69" t="b">
        <f>IF(Tab.11[[#This Row],[a1]]=1,Tab.11[[#This Row],[data]]/(_xlfn.STDEV.P(Tab.11[data])*$B$988)+$A$988)</f>
        <v>0</v>
      </c>
      <c r="O966" s="70" t="b">
        <f>IF(Tab.11[[#This Row],[a1]]=1,_xlfn.NORM.DIST(Tab.11[[#This Row],[b8]],$P$1,$Q$1,FALSE))</f>
        <v>0</v>
      </c>
      <c r="P966" s="70" t="b">
        <f>IF(Tab.11[[#This Row],[a1]]=1,_xlfn.NORM.DIST(Tab.11[[#This Row],[b9]],$P$1,$Q$1,FALSE))</f>
        <v>0</v>
      </c>
      <c r="Q966" s="70" t="b">
        <f>IF(Tab.11[[#This Row],[a1]]=1,_xlfn.NORM.DIST(Tab.11[[#This Row],[b10]],$P$1,$Q$1,FALSE))</f>
        <v>0</v>
      </c>
      <c r="R966" s="67" t="b">
        <f>IF(Tab.11[[#This Row],[a1]]=1,$I$3+$A$989+IF($K$3=0,Tab.11[[#This Row],[b8]]*_xlfn.STDEV.P(Tab.11[data]),AVERAGE(Tab.11[b6])+Tab.11[[#This Row],[b8]]*_xlfn.STDEV.P(Tab.11[data])))</f>
        <v>0</v>
      </c>
      <c r="S966" s="71" t="b">
        <f>IF(Tab.11[[#This Row],[a1]]=1,$I$3+$A$987+IF($K$3=0,Tab.11[[#This Row],[b9]]*_xlfn.STDEV.P(Tab.11[data]),AVERAGE(Tab.11[b6])+Tab.11[[#This Row],[b9]]*_xlfn.STDEV.P(Tab.11[data])))</f>
        <v>0</v>
      </c>
      <c r="T966" s="71" t="b">
        <f>IF(Tab.11[[#This Row],[a1]]=1,$I$3+$A$988+IF($K$3=0,Tab.11[[#This Row],[b10]]*_xlfn.STDEV.P(Tab.11[data]),AVERAGE(Tab.11[b6])+Tab.11[[#This Row],[b10]]*_xlfn.STDEV.P(Tab.11[data])))</f>
        <v>0</v>
      </c>
      <c r="U966" s="72" t="b">
        <f>IF(Tab.11[[#This Row],[a1]]=1,Tab.11[[#This Row],[target]]-Tab.11[[#This Row],[Red]])</f>
        <v>0</v>
      </c>
      <c r="V966" s="72" t="b">
        <f>IF(Tab.11[[#This Row],[a1]]=1,Tab.11[[#This Row],[target]]-Tab.11[[#This Row],[Blue]])</f>
        <v>0</v>
      </c>
      <c r="W966" s="73" t="b">
        <f>IF(Tab.11[[#This Row],[a1]]=1,IF(ABS(Tab.11[[#This Row],[b17]])+ABS(Tab.11[[#This Row],[b18]])&lt;$W$2,$W$2,ABS(Tab.11[[#This Row],[b17]])+ABS(Tab.11[[#This Row],[b18]])))</f>
        <v>0</v>
      </c>
      <c r="X966" s="136" t="b">
        <f>IF(Tab.11[[#This Row],[a1]]=1,IF($W$3&lt;0,Tab.11[[#This Row],[IN]]-$I$3,Tab.11[[#This Row],[IN]]))</f>
        <v>0</v>
      </c>
      <c r="Y966" s="136" t="b">
        <f>IF(Tab.11[[#This Row],[a1]]=1,IF($X$3=0,Tab.11[b66],Tab.11[[#This Row],[b66]]-AVERAGE(Tab.11[b66])))</f>
        <v>0</v>
      </c>
      <c r="Z966" s="135" t="b">
        <f>IF(Tab.11[[#This Row],[a1]]=1,Tab.11[[#This Row],[b77]]/(_xlfn.STDEV.P(Tab.11[b77])))</f>
        <v>0</v>
      </c>
      <c r="AA966" s="70" t="b">
        <f>IF(Tab.11[[#This Row],[a1]]=1,_xlfn.NORM.DIST(Tab.11[[#This Row],[b88]],$Z$1,$AA$1,FALSE))</f>
        <v>0</v>
      </c>
      <c r="AB966" s="74" t="b">
        <f>IF(Tab.11[[#This Row],[a1]]=1,IF($A$3=0,FALSE,1/Tab.11[[#This Row],[IN]]*$AC$2*IF(Tab.11[[#This Row],[a1]]=0,,$A$3*$AC$1*1/$V$3*(Tab.11[[#This Row],[b14]]))))</f>
        <v>0</v>
      </c>
      <c r="AC966" s="75" t="b">
        <f>IF(Tab.11[[#This Row],[a1]]=1,IF($AC$3=0,Tab.11[[#This Row],[φ1]],Tab.11[[#This Row],[φ1]]/MAX(Tab.11[φ1])))</f>
        <v>0</v>
      </c>
      <c r="AD966" s="74" t="b">
        <f>IF(Tab.11[[#This Row],[a1]]=1,1/Tab.11[[#This Row],[φ2]])</f>
        <v>0</v>
      </c>
      <c r="AE966" s="74" t="b">
        <f>IF(Tab.11[[#This Row],[a1]]=1,IF($AE$3=0,Tab.11[[#This Row],[w.0]],Tab.11[[#This Row],[w.0]]/SUM(Tab.11[w.0])))</f>
        <v>0</v>
      </c>
      <c r="AF966" s="76" t="str">
        <f>IF(Tab.11[[#This Row],[a1]]=0,"false",[3]!Tab.x5[[#This Row],[%_seN_C]])</f>
        <v>false</v>
      </c>
      <c r="AG966" s="77" t="b">
        <f>IF(Tab.11[[#This Row],[a1]]=1,AP966)</f>
        <v>0</v>
      </c>
      <c r="AH966" s="78" t="b">
        <f>IF(Tab.11[[#This Row],[a1]]=1,AQ966)</f>
        <v>0</v>
      </c>
      <c r="AI966" s="41">
        <v>3.0000000000000001E-3</v>
      </c>
      <c r="AJ966" s="79">
        <v>0.02</v>
      </c>
      <c r="AK966" s="80" t="b">
        <f>IF(Tab.11[[#This Row],[a1]]=1,1)</f>
        <v>0</v>
      </c>
      <c r="AZ966"/>
    </row>
    <row r="967" spans="1:52" hidden="1" x14ac:dyDescent="0.25">
      <c r="A967" s="61">
        <f t="shared" si="31"/>
        <v>0</v>
      </c>
      <c r="B967" s="62">
        <f t="shared" si="31"/>
        <v>0</v>
      </c>
      <c r="C967" s="62" t="b">
        <f>IF(Tab.11[[#This Row],[a1]]=1,[3]!Tab_x1[[#This Row],[Name]])</f>
        <v>0</v>
      </c>
      <c r="D967" s="63" t="b">
        <f>IF(Tab.11[[#This Row],[a1]]=1,AO967)</f>
        <v>0</v>
      </c>
      <c r="E967" s="63">
        <f t="shared" si="32"/>
        <v>0</v>
      </c>
      <c r="F967" s="64" t="b">
        <f>IF(Tab.11[[#This Row],[a1]]=1,Tab.11[[#This Row],[b1]])</f>
        <v>0</v>
      </c>
      <c r="G967" s="65" t="b">
        <f>IF(Tab.11[[#This Row],[a1]]=1,IF(Tab.11[[#This Row],[b3]]&gt;$L$989*$G$3,$L$989*$G$3,IF(Tab.11[[#This Row],[b3]]&lt;$M$989*$G$3,$M$989*$G$3,Tab.11[[#This Row],[b3]])))</f>
        <v>0</v>
      </c>
      <c r="H967" s="66" t="b">
        <f>IF(Tab.11[[#This Row],[a1]]=1,Tab.11[[#This Row],[b1]])</f>
        <v>0</v>
      </c>
      <c r="I967" s="67" t="b">
        <f>IF(Tab.11[[#This Row],[a1]]=1,Tab.11[[#This Row],[b1]])</f>
        <v>0</v>
      </c>
      <c r="J967" s="68" t="b">
        <f>IF(Tab.11[[#This Row],[a1]]=1,IF($I$3&lt;0,Tab.11[[#This Row],[b5]]-$I$3,Tab.11[[#This Row],[b5]]))</f>
        <v>0</v>
      </c>
      <c r="K967" s="68" t="b">
        <f>IF(Tab.11[[#This Row],[a1]]=1,IF($K$3=0,Tab.11[b6],Tab.11[[#This Row],[b6]]-AVERAGE(Tab.11[b6])))</f>
        <v>0</v>
      </c>
      <c r="L967" s="69" t="b">
        <f>IF(Tab.11[[#This Row],[a1]]=1,Tab.11[[#This Row],[data]]/(_xlfn.STDEV.P(Tab.11[data])*$B$989)+$A$989)</f>
        <v>0</v>
      </c>
      <c r="M967" s="69" t="b">
        <f>IF(Tab.11[[#This Row],[a1]]=1,Tab.11[[#This Row],[data]]/(_xlfn.STDEV.P(Tab.11[data])*$B$987)-$A$987)</f>
        <v>0</v>
      </c>
      <c r="N967" s="69" t="b">
        <f>IF(Tab.11[[#This Row],[a1]]=1,Tab.11[[#This Row],[data]]/(_xlfn.STDEV.P(Tab.11[data])*$B$988)+$A$988)</f>
        <v>0</v>
      </c>
      <c r="O967" s="70" t="b">
        <f>IF(Tab.11[[#This Row],[a1]]=1,_xlfn.NORM.DIST(Tab.11[[#This Row],[b8]],$P$1,$Q$1,FALSE))</f>
        <v>0</v>
      </c>
      <c r="P967" s="70" t="b">
        <f>IF(Tab.11[[#This Row],[a1]]=1,_xlfn.NORM.DIST(Tab.11[[#This Row],[b9]],$P$1,$Q$1,FALSE))</f>
        <v>0</v>
      </c>
      <c r="Q967" s="70" t="b">
        <f>IF(Tab.11[[#This Row],[a1]]=1,_xlfn.NORM.DIST(Tab.11[[#This Row],[b10]],$P$1,$Q$1,FALSE))</f>
        <v>0</v>
      </c>
      <c r="R967" s="67" t="b">
        <f>IF(Tab.11[[#This Row],[a1]]=1,$I$3+$A$989+IF($K$3=0,Tab.11[[#This Row],[b8]]*_xlfn.STDEV.P(Tab.11[data]),AVERAGE(Tab.11[b6])+Tab.11[[#This Row],[b8]]*_xlfn.STDEV.P(Tab.11[data])))</f>
        <v>0</v>
      </c>
      <c r="S967" s="71" t="b">
        <f>IF(Tab.11[[#This Row],[a1]]=1,$I$3+$A$987+IF($K$3=0,Tab.11[[#This Row],[b9]]*_xlfn.STDEV.P(Tab.11[data]),AVERAGE(Tab.11[b6])+Tab.11[[#This Row],[b9]]*_xlfn.STDEV.P(Tab.11[data])))</f>
        <v>0</v>
      </c>
      <c r="T967" s="71" t="b">
        <f>IF(Tab.11[[#This Row],[a1]]=1,$I$3+$A$988+IF($K$3=0,Tab.11[[#This Row],[b10]]*_xlfn.STDEV.P(Tab.11[data]),AVERAGE(Tab.11[b6])+Tab.11[[#This Row],[b10]]*_xlfn.STDEV.P(Tab.11[data])))</f>
        <v>0</v>
      </c>
      <c r="U967" s="72" t="b">
        <f>IF(Tab.11[[#This Row],[a1]]=1,Tab.11[[#This Row],[target]]-Tab.11[[#This Row],[Red]])</f>
        <v>0</v>
      </c>
      <c r="V967" s="72" t="b">
        <f>IF(Tab.11[[#This Row],[a1]]=1,Tab.11[[#This Row],[target]]-Tab.11[[#This Row],[Blue]])</f>
        <v>0</v>
      </c>
      <c r="W967" s="73" t="b">
        <f>IF(Tab.11[[#This Row],[a1]]=1,IF(ABS(Tab.11[[#This Row],[b17]])+ABS(Tab.11[[#This Row],[b18]])&lt;$W$2,$W$2,ABS(Tab.11[[#This Row],[b17]])+ABS(Tab.11[[#This Row],[b18]])))</f>
        <v>0</v>
      </c>
      <c r="X967" s="136" t="b">
        <f>IF(Tab.11[[#This Row],[a1]]=1,IF($W$3&lt;0,Tab.11[[#This Row],[IN]]-$I$3,Tab.11[[#This Row],[IN]]))</f>
        <v>0</v>
      </c>
      <c r="Y967" s="136" t="b">
        <f>IF(Tab.11[[#This Row],[a1]]=1,IF($X$3=0,Tab.11[b66],Tab.11[[#This Row],[b66]]-AVERAGE(Tab.11[b66])))</f>
        <v>0</v>
      </c>
      <c r="Z967" s="135" t="b">
        <f>IF(Tab.11[[#This Row],[a1]]=1,Tab.11[[#This Row],[b77]]/(_xlfn.STDEV.P(Tab.11[b77])))</f>
        <v>0</v>
      </c>
      <c r="AA967" s="70" t="b">
        <f>IF(Tab.11[[#This Row],[a1]]=1,_xlfn.NORM.DIST(Tab.11[[#This Row],[b88]],$Z$1,$AA$1,FALSE))</f>
        <v>0</v>
      </c>
      <c r="AB967" s="74" t="b">
        <f>IF(Tab.11[[#This Row],[a1]]=1,IF($A$3=0,FALSE,1/Tab.11[[#This Row],[IN]]*$AC$2*IF(Tab.11[[#This Row],[a1]]=0,,$A$3*$AC$1*1/$V$3*(Tab.11[[#This Row],[b14]]))))</f>
        <v>0</v>
      </c>
      <c r="AC967" s="75" t="b">
        <f>IF(Tab.11[[#This Row],[a1]]=1,IF($AC$3=0,Tab.11[[#This Row],[φ1]],Tab.11[[#This Row],[φ1]]/MAX(Tab.11[φ1])))</f>
        <v>0</v>
      </c>
      <c r="AD967" s="74" t="b">
        <f>IF(Tab.11[[#This Row],[a1]]=1,1/Tab.11[[#This Row],[φ2]])</f>
        <v>0</v>
      </c>
      <c r="AE967" s="74" t="b">
        <f>IF(Tab.11[[#This Row],[a1]]=1,IF($AE$3=0,Tab.11[[#This Row],[w.0]],Tab.11[[#This Row],[w.0]]/SUM(Tab.11[w.0])))</f>
        <v>0</v>
      </c>
      <c r="AF967" s="76" t="str">
        <f>IF(Tab.11[[#This Row],[a1]]=0,"false",[3]!Tab.x5[[#This Row],[%_seN_C]])</f>
        <v>false</v>
      </c>
      <c r="AG967" s="77" t="b">
        <f>IF(Tab.11[[#This Row],[a1]]=1,AP967)</f>
        <v>0</v>
      </c>
      <c r="AH967" s="78" t="b">
        <f>IF(Tab.11[[#This Row],[a1]]=1,AQ967)</f>
        <v>0</v>
      </c>
      <c r="AI967" s="41">
        <v>3.0000000000000001E-3</v>
      </c>
      <c r="AJ967" s="79">
        <v>-7.0000000000000007E-2</v>
      </c>
      <c r="AK967" s="80" t="b">
        <f>IF(Tab.11[[#This Row],[a1]]=1,1)</f>
        <v>0</v>
      </c>
      <c r="AZ967"/>
    </row>
    <row r="968" spans="1:52" hidden="1" x14ac:dyDescent="0.25">
      <c r="A968" s="61">
        <f t="shared" si="31"/>
        <v>0</v>
      </c>
      <c r="B968" s="62">
        <f t="shared" si="31"/>
        <v>0</v>
      </c>
      <c r="C968" s="62" t="b">
        <f>IF(Tab.11[[#This Row],[a1]]=1,[3]!Tab_x1[[#This Row],[Name]])</f>
        <v>0</v>
      </c>
      <c r="D968" s="63" t="b">
        <f>IF(Tab.11[[#This Row],[a1]]=1,AO968)</f>
        <v>0</v>
      </c>
      <c r="E968" s="63">
        <f t="shared" si="32"/>
        <v>0</v>
      </c>
      <c r="F968" s="64" t="b">
        <f>IF(Tab.11[[#This Row],[a1]]=1,Tab.11[[#This Row],[b1]])</f>
        <v>0</v>
      </c>
      <c r="G968" s="65" t="b">
        <f>IF(Tab.11[[#This Row],[a1]]=1,IF(Tab.11[[#This Row],[b3]]&gt;$L$989*$G$3,$L$989*$G$3,IF(Tab.11[[#This Row],[b3]]&lt;$M$989*$G$3,$M$989*$G$3,Tab.11[[#This Row],[b3]])))</f>
        <v>0</v>
      </c>
      <c r="H968" s="66" t="b">
        <f>IF(Tab.11[[#This Row],[a1]]=1,Tab.11[[#This Row],[b1]])</f>
        <v>0</v>
      </c>
      <c r="I968" s="67" t="b">
        <f>IF(Tab.11[[#This Row],[a1]]=1,Tab.11[[#This Row],[b1]])</f>
        <v>0</v>
      </c>
      <c r="J968" s="68" t="b">
        <f>IF(Tab.11[[#This Row],[a1]]=1,IF($I$3&lt;0,Tab.11[[#This Row],[b5]]-$I$3,Tab.11[[#This Row],[b5]]))</f>
        <v>0</v>
      </c>
      <c r="K968" s="68" t="b">
        <f>IF(Tab.11[[#This Row],[a1]]=1,IF($K$3=0,Tab.11[b6],Tab.11[[#This Row],[b6]]-AVERAGE(Tab.11[b6])))</f>
        <v>0</v>
      </c>
      <c r="L968" s="69" t="b">
        <f>IF(Tab.11[[#This Row],[a1]]=1,Tab.11[[#This Row],[data]]/(_xlfn.STDEV.P(Tab.11[data])*$B$989)+$A$989)</f>
        <v>0</v>
      </c>
      <c r="M968" s="69" t="b">
        <f>IF(Tab.11[[#This Row],[a1]]=1,Tab.11[[#This Row],[data]]/(_xlfn.STDEV.P(Tab.11[data])*$B$987)-$A$987)</f>
        <v>0</v>
      </c>
      <c r="N968" s="69" t="b">
        <f>IF(Tab.11[[#This Row],[a1]]=1,Tab.11[[#This Row],[data]]/(_xlfn.STDEV.P(Tab.11[data])*$B$988)+$A$988)</f>
        <v>0</v>
      </c>
      <c r="O968" s="70" t="b">
        <f>IF(Tab.11[[#This Row],[a1]]=1,_xlfn.NORM.DIST(Tab.11[[#This Row],[b8]],$P$1,$Q$1,FALSE))</f>
        <v>0</v>
      </c>
      <c r="P968" s="70" t="b">
        <f>IF(Tab.11[[#This Row],[a1]]=1,_xlfn.NORM.DIST(Tab.11[[#This Row],[b9]],$P$1,$Q$1,FALSE))</f>
        <v>0</v>
      </c>
      <c r="Q968" s="70" t="b">
        <f>IF(Tab.11[[#This Row],[a1]]=1,_xlfn.NORM.DIST(Tab.11[[#This Row],[b10]],$P$1,$Q$1,FALSE))</f>
        <v>0</v>
      </c>
      <c r="R968" s="67" t="b">
        <f>IF(Tab.11[[#This Row],[a1]]=1,$I$3+$A$989+IF($K$3=0,Tab.11[[#This Row],[b8]]*_xlfn.STDEV.P(Tab.11[data]),AVERAGE(Tab.11[b6])+Tab.11[[#This Row],[b8]]*_xlfn.STDEV.P(Tab.11[data])))</f>
        <v>0</v>
      </c>
      <c r="S968" s="71" t="b">
        <f>IF(Tab.11[[#This Row],[a1]]=1,$I$3+$A$987+IF($K$3=0,Tab.11[[#This Row],[b9]]*_xlfn.STDEV.P(Tab.11[data]),AVERAGE(Tab.11[b6])+Tab.11[[#This Row],[b9]]*_xlfn.STDEV.P(Tab.11[data])))</f>
        <v>0</v>
      </c>
      <c r="T968" s="71" t="b">
        <f>IF(Tab.11[[#This Row],[a1]]=1,$I$3+$A$988+IF($K$3=0,Tab.11[[#This Row],[b10]]*_xlfn.STDEV.P(Tab.11[data]),AVERAGE(Tab.11[b6])+Tab.11[[#This Row],[b10]]*_xlfn.STDEV.P(Tab.11[data])))</f>
        <v>0</v>
      </c>
      <c r="U968" s="72" t="b">
        <f>IF(Tab.11[[#This Row],[a1]]=1,Tab.11[[#This Row],[target]]-Tab.11[[#This Row],[Red]])</f>
        <v>0</v>
      </c>
      <c r="V968" s="72" t="b">
        <f>IF(Tab.11[[#This Row],[a1]]=1,Tab.11[[#This Row],[target]]-Tab.11[[#This Row],[Blue]])</f>
        <v>0</v>
      </c>
      <c r="W968" s="73" t="b">
        <f>IF(Tab.11[[#This Row],[a1]]=1,IF(ABS(Tab.11[[#This Row],[b17]])+ABS(Tab.11[[#This Row],[b18]])&lt;$W$2,$W$2,ABS(Tab.11[[#This Row],[b17]])+ABS(Tab.11[[#This Row],[b18]])))</f>
        <v>0</v>
      </c>
      <c r="X968" s="136" t="b">
        <f>IF(Tab.11[[#This Row],[a1]]=1,IF($W$3&lt;0,Tab.11[[#This Row],[IN]]-$I$3,Tab.11[[#This Row],[IN]]))</f>
        <v>0</v>
      </c>
      <c r="Y968" s="136" t="b">
        <f>IF(Tab.11[[#This Row],[a1]]=1,IF($X$3=0,Tab.11[b66],Tab.11[[#This Row],[b66]]-AVERAGE(Tab.11[b66])))</f>
        <v>0</v>
      </c>
      <c r="Z968" s="135" t="b">
        <f>IF(Tab.11[[#This Row],[a1]]=1,Tab.11[[#This Row],[b77]]/(_xlfn.STDEV.P(Tab.11[b77])))</f>
        <v>0</v>
      </c>
      <c r="AA968" s="70" t="b">
        <f>IF(Tab.11[[#This Row],[a1]]=1,_xlfn.NORM.DIST(Tab.11[[#This Row],[b88]],$Z$1,$AA$1,FALSE))</f>
        <v>0</v>
      </c>
      <c r="AB968" s="74" t="b">
        <f>IF(Tab.11[[#This Row],[a1]]=1,IF($A$3=0,FALSE,1/Tab.11[[#This Row],[IN]]*$AC$2*IF(Tab.11[[#This Row],[a1]]=0,,$A$3*$AC$1*1/$V$3*(Tab.11[[#This Row],[b14]]))))</f>
        <v>0</v>
      </c>
      <c r="AC968" s="75" t="b">
        <f>IF(Tab.11[[#This Row],[a1]]=1,IF($AC$3=0,Tab.11[[#This Row],[φ1]],Tab.11[[#This Row],[φ1]]/MAX(Tab.11[φ1])))</f>
        <v>0</v>
      </c>
      <c r="AD968" s="74" t="b">
        <f>IF(Tab.11[[#This Row],[a1]]=1,1/Tab.11[[#This Row],[φ2]])</f>
        <v>0</v>
      </c>
      <c r="AE968" s="74" t="b">
        <f>IF(Tab.11[[#This Row],[a1]]=1,IF($AE$3=0,Tab.11[[#This Row],[w.0]],Tab.11[[#This Row],[w.0]]/SUM(Tab.11[w.0])))</f>
        <v>0</v>
      </c>
      <c r="AF968" s="76" t="str">
        <f>IF(Tab.11[[#This Row],[a1]]=0,"false",[3]!Tab.x5[[#This Row],[%_seN_C]])</f>
        <v>false</v>
      </c>
      <c r="AG968" s="77" t="b">
        <f>IF(Tab.11[[#This Row],[a1]]=1,AP968)</f>
        <v>0</v>
      </c>
      <c r="AH968" s="78" t="b">
        <f>IF(Tab.11[[#This Row],[a1]]=1,AQ968)</f>
        <v>0</v>
      </c>
      <c r="AI968" s="41">
        <v>3.0000000000000001E-3</v>
      </c>
      <c r="AJ968" s="79">
        <v>0.03</v>
      </c>
      <c r="AK968" s="80" t="b">
        <f>IF(Tab.11[[#This Row],[a1]]=1,1)</f>
        <v>0</v>
      </c>
      <c r="AZ968"/>
    </row>
    <row r="969" spans="1:52" hidden="1" x14ac:dyDescent="0.25">
      <c r="A969" s="61">
        <f t="shared" si="31"/>
        <v>0</v>
      </c>
      <c r="B969" s="62">
        <f t="shared" si="31"/>
        <v>0</v>
      </c>
      <c r="C969" s="62" t="b">
        <f>IF(Tab.11[[#This Row],[a1]]=1,[3]!Tab_x1[[#This Row],[Name]])</f>
        <v>0</v>
      </c>
      <c r="D969" s="63" t="b">
        <f>IF(Tab.11[[#This Row],[a1]]=1,AO969)</f>
        <v>0</v>
      </c>
      <c r="E969" s="63">
        <f t="shared" si="32"/>
        <v>0</v>
      </c>
      <c r="F969" s="64" t="b">
        <f>IF(Tab.11[[#This Row],[a1]]=1,Tab.11[[#This Row],[b1]])</f>
        <v>0</v>
      </c>
      <c r="G969" s="65" t="b">
        <f>IF(Tab.11[[#This Row],[a1]]=1,IF(Tab.11[[#This Row],[b3]]&gt;$L$989*$G$3,$L$989*$G$3,IF(Tab.11[[#This Row],[b3]]&lt;$M$989*$G$3,$M$989*$G$3,Tab.11[[#This Row],[b3]])))</f>
        <v>0</v>
      </c>
      <c r="H969" s="66" t="b">
        <f>IF(Tab.11[[#This Row],[a1]]=1,Tab.11[[#This Row],[b1]])</f>
        <v>0</v>
      </c>
      <c r="I969" s="67" t="b">
        <f>IF(Tab.11[[#This Row],[a1]]=1,Tab.11[[#This Row],[b1]])</f>
        <v>0</v>
      </c>
      <c r="J969" s="68" t="b">
        <f>IF(Tab.11[[#This Row],[a1]]=1,IF($I$3&lt;0,Tab.11[[#This Row],[b5]]-$I$3,Tab.11[[#This Row],[b5]]))</f>
        <v>0</v>
      </c>
      <c r="K969" s="68" t="b">
        <f>IF(Tab.11[[#This Row],[a1]]=1,IF($K$3=0,Tab.11[b6],Tab.11[[#This Row],[b6]]-AVERAGE(Tab.11[b6])))</f>
        <v>0</v>
      </c>
      <c r="L969" s="69" t="b">
        <f>IF(Tab.11[[#This Row],[a1]]=1,Tab.11[[#This Row],[data]]/(_xlfn.STDEV.P(Tab.11[data])*$B$989)+$A$989)</f>
        <v>0</v>
      </c>
      <c r="M969" s="69" t="b">
        <f>IF(Tab.11[[#This Row],[a1]]=1,Tab.11[[#This Row],[data]]/(_xlfn.STDEV.P(Tab.11[data])*$B$987)-$A$987)</f>
        <v>0</v>
      </c>
      <c r="N969" s="69" t="b">
        <f>IF(Tab.11[[#This Row],[a1]]=1,Tab.11[[#This Row],[data]]/(_xlfn.STDEV.P(Tab.11[data])*$B$988)+$A$988)</f>
        <v>0</v>
      </c>
      <c r="O969" s="70" t="b">
        <f>IF(Tab.11[[#This Row],[a1]]=1,_xlfn.NORM.DIST(Tab.11[[#This Row],[b8]],$P$1,$Q$1,FALSE))</f>
        <v>0</v>
      </c>
      <c r="P969" s="70" t="b">
        <f>IF(Tab.11[[#This Row],[a1]]=1,_xlfn.NORM.DIST(Tab.11[[#This Row],[b9]],$P$1,$Q$1,FALSE))</f>
        <v>0</v>
      </c>
      <c r="Q969" s="70" t="b">
        <f>IF(Tab.11[[#This Row],[a1]]=1,_xlfn.NORM.DIST(Tab.11[[#This Row],[b10]],$P$1,$Q$1,FALSE))</f>
        <v>0</v>
      </c>
      <c r="R969" s="67" t="b">
        <f>IF(Tab.11[[#This Row],[a1]]=1,$I$3+$A$989+IF($K$3=0,Tab.11[[#This Row],[b8]]*_xlfn.STDEV.P(Tab.11[data]),AVERAGE(Tab.11[b6])+Tab.11[[#This Row],[b8]]*_xlfn.STDEV.P(Tab.11[data])))</f>
        <v>0</v>
      </c>
      <c r="S969" s="71" t="b">
        <f>IF(Tab.11[[#This Row],[a1]]=1,$I$3+$A$987+IF($K$3=0,Tab.11[[#This Row],[b9]]*_xlfn.STDEV.P(Tab.11[data]),AVERAGE(Tab.11[b6])+Tab.11[[#This Row],[b9]]*_xlfn.STDEV.P(Tab.11[data])))</f>
        <v>0</v>
      </c>
      <c r="T969" s="71" t="b">
        <f>IF(Tab.11[[#This Row],[a1]]=1,$I$3+$A$988+IF($K$3=0,Tab.11[[#This Row],[b10]]*_xlfn.STDEV.P(Tab.11[data]),AVERAGE(Tab.11[b6])+Tab.11[[#This Row],[b10]]*_xlfn.STDEV.P(Tab.11[data])))</f>
        <v>0</v>
      </c>
      <c r="U969" s="72" t="b">
        <f>IF(Tab.11[[#This Row],[a1]]=1,Tab.11[[#This Row],[target]]-Tab.11[[#This Row],[Red]])</f>
        <v>0</v>
      </c>
      <c r="V969" s="72" t="b">
        <f>IF(Tab.11[[#This Row],[a1]]=1,Tab.11[[#This Row],[target]]-Tab.11[[#This Row],[Blue]])</f>
        <v>0</v>
      </c>
      <c r="W969" s="73" t="b">
        <f>IF(Tab.11[[#This Row],[a1]]=1,IF(ABS(Tab.11[[#This Row],[b17]])+ABS(Tab.11[[#This Row],[b18]])&lt;$W$2,$W$2,ABS(Tab.11[[#This Row],[b17]])+ABS(Tab.11[[#This Row],[b18]])))</f>
        <v>0</v>
      </c>
      <c r="X969" s="136" t="b">
        <f>IF(Tab.11[[#This Row],[a1]]=1,IF($W$3&lt;0,Tab.11[[#This Row],[IN]]-$I$3,Tab.11[[#This Row],[IN]]))</f>
        <v>0</v>
      </c>
      <c r="Y969" s="136" t="b">
        <f>IF(Tab.11[[#This Row],[a1]]=1,IF($X$3=0,Tab.11[b66],Tab.11[[#This Row],[b66]]-AVERAGE(Tab.11[b66])))</f>
        <v>0</v>
      </c>
      <c r="Z969" s="135" t="b">
        <f>IF(Tab.11[[#This Row],[a1]]=1,Tab.11[[#This Row],[b77]]/(_xlfn.STDEV.P(Tab.11[b77])))</f>
        <v>0</v>
      </c>
      <c r="AA969" s="70" t="b">
        <f>IF(Tab.11[[#This Row],[a1]]=1,_xlfn.NORM.DIST(Tab.11[[#This Row],[b88]],$Z$1,$AA$1,FALSE))</f>
        <v>0</v>
      </c>
      <c r="AB969" s="74" t="b">
        <f>IF(Tab.11[[#This Row],[a1]]=1,IF($A$3=0,FALSE,1/Tab.11[[#This Row],[IN]]*$AC$2*IF(Tab.11[[#This Row],[a1]]=0,,$A$3*$AC$1*1/$V$3*(Tab.11[[#This Row],[b14]]))))</f>
        <v>0</v>
      </c>
      <c r="AC969" s="75" t="b">
        <f>IF(Tab.11[[#This Row],[a1]]=1,IF($AC$3=0,Tab.11[[#This Row],[φ1]],Tab.11[[#This Row],[φ1]]/MAX(Tab.11[φ1])))</f>
        <v>0</v>
      </c>
      <c r="AD969" s="74" t="b">
        <f>IF(Tab.11[[#This Row],[a1]]=1,1/Tab.11[[#This Row],[φ2]])</f>
        <v>0</v>
      </c>
      <c r="AE969" s="74" t="b">
        <f>IF(Tab.11[[#This Row],[a1]]=1,IF($AE$3=0,Tab.11[[#This Row],[w.0]],Tab.11[[#This Row],[w.0]]/SUM(Tab.11[w.0])))</f>
        <v>0</v>
      </c>
      <c r="AF969" s="76" t="str">
        <f>IF(Tab.11[[#This Row],[a1]]=0,"false",[3]!Tab.x5[[#This Row],[%_seN_C]])</f>
        <v>false</v>
      </c>
      <c r="AG969" s="77" t="b">
        <f>IF(Tab.11[[#This Row],[a1]]=1,AP969)</f>
        <v>0</v>
      </c>
      <c r="AH969" s="78" t="b">
        <f>IF(Tab.11[[#This Row],[a1]]=1,AQ969)</f>
        <v>0</v>
      </c>
      <c r="AI969" s="41">
        <v>3.0000000000000001E-3</v>
      </c>
      <c r="AJ969" s="79">
        <v>-0.02</v>
      </c>
      <c r="AK969" s="80" t="b">
        <f>IF(Tab.11[[#This Row],[a1]]=1,1)</f>
        <v>0</v>
      </c>
      <c r="AZ969"/>
    </row>
    <row r="970" spans="1:52" hidden="1" x14ac:dyDescent="0.25">
      <c r="A970" s="61">
        <f t="shared" si="31"/>
        <v>0</v>
      </c>
      <c r="B970" s="62">
        <f t="shared" si="31"/>
        <v>0</v>
      </c>
      <c r="C970" s="62" t="b">
        <f>IF(Tab.11[[#This Row],[a1]]=1,[3]!Tab_x1[[#This Row],[Name]])</f>
        <v>0</v>
      </c>
      <c r="D970" s="63" t="b">
        <f>IF(Tab.11[[#This Row],[a1]]=1,AO970)</f>
        <v>0</v>
      </c>
      <c r="E970" s="63">
        <f t="shared" si="32"/>
        <v>0</v>
      </c>
      <c r="F970" s="64" t="b">
        <f>IF(Tab.11[[#This Row],[a1]]=1,Tab.11[[#This Row],[b1]])</f>
        <v>0</v>
      </c>
      <c r="G970" s="65" t="b">
        <f>IF(Tab.11[[#This Row],[a1]]=1,IF(Tab.11[[#This Row],[b3]]&gt;$L$989*$G$3,$L$989*$G$3,IF(Tab.11[[#This Row],[b3]]&lt;$M$989*$G$3,$M$989*$G$3,Tab.11[[#This Row],[b3]])))</f>
        <v>0</v>
      </c>
      <c r="H970" s="66" t="b">
        <f>IF(Tab.11[[#This Row],[a1]]=1,Tab.11[[#This Row],[b1]])</f>
        <v>0</v>
      </c>
      <c r="I970" s="67" t="b">
        <f>IF(Tab.11[[#This Row],[a1]]=1,Tab.11[[#This Row],[b1]])</f>
        <v>0</v>
      </c>
      <c r="J970" s="68" t="b">
        <f>IF(Tab.11[[#This Row],[a1]]=1,IF($I$3&lt;0,Tab.11[[#This Row],[b5]]-$I$3,Tab.11[[#This Row],[b5]]))</f>
        <v>0</v>
      </c>
      <c r="K970" s="68" t="b">
        <f>IF(Tab.11[[#This Row],[a1]]=1,IF($K$3=0,Tab.11[b6],Tab.11[[#This Row],[b6]]-AVERAGE(Tab.11[b6])))</f>
        <v>0</v>
      </c>
      <c r="L970" s="69" t="b">
        <f>IF(Tab.11[[#This Row],[a1]]=1,Tab.11[[#This Row],[data]]/(_xlfn.STDEV.P(Tab.11[data])*$B$989)+$A$989)</f>
        <v>0</v>
      </c>
      <c r="M970" s="69" t="b">
        <f>IF(Tab.11[[#This Row],[a1]]=1,Tab.11[[#This Row],[data]]/(_xlfn.STDEV.P(Tab.11[data])*$B$987)-$A$987)</f>
        <v>0</v>
      </c>
      <c r="N970" s="69" t="b">
        <f>IF(Tab.11[[#This Row],[a1]]=1,Tab.11[[#This Row],[data]]/(_xlfn.STDEV.P(Tab.11[data])*$B$988)+$A$988)</f>
        <v>0</v>
      </c>
      <c r="O970" s="70" t="b">
        <f>IF(Tab.11[[#This Row],[a1]]=1,_xlfn.NORM.DIST(Tab.11[[#This Row],[b8]],$P$1,$Q$1,FALSE))</f>
        <v>0</v>
      </c>
      <c r="P970" s="70" t="b">
        <f>IF(Tab.11[[#This Row],[a1]]=1,_xlfn.NORM.DIST(Tab.11[[#This Row],[b9]],$P$1,$Q$1,FALSE))</f>
        <v>0</v>
      </c>
      <c r="Q970" s="70" t="b">
        <f>IF(Tab.11[[#This Row],[a1]]=1,_xlfn.NORM.DIST(Tab.11[[#This Row],[b10]],$P$1,$Q$1,FALSE))</f>
        <v>0</v>
      </c>
      <c r="R970" s="67" t="b">
        <f>IF(Tab.11[[#This Row],[a1]]=1,$I$3+$A$989+IF($K$3=0,Tab.11[[#This Row],[b8]]*_xlfn.STDEV.P(Tab.11[data]),AVERAGE(Tab.11[b6])+Tab.11[[#This Row],[b8]]*_xlfn.STDEV.P(Tab.11[data])))</f>
        <v>0</v>
      </c>
      <c r="S970" s="71" t="b">
        <f>IF(Tab.11[[#This Row],[a1]]=1,$I$3+$A$987+IF($K$3=0,Tab.11[[#This Row],[b9]]*_xlfn.STDEV.P(Tab.11[data]),AVERAGE(Tab.11[b6])+Tab.11[[#This Row],[b9]]*_xlfn.STDEV.P(Tab.11[data])))</f>
        <v>0</v>
      </c>
      <c r="T970" s="71" t="b">
        <f>IF(Tab.11[[#This Row],[a1]]=1,$I$3+$A$988+IF($K$3=0,Tab.11[[#This Row],[b10]]*_xlfn.STDEV.P(Tab.11[data]),AVERAGE(Tab.11[b6])+Tab.11[[#This Row],[b10]]*_xlfn.STDEV.P(Tab.11[data])))</f>
        <v>0</v>
      </c>
      <c r="U970" s="72" t="b">
        <f>IF(Tab.11[[#This Row],[a1]]=1,Tab.11[[#This Row],[target]]-Tab.11[[#This Row],[Red]])</f>
        <v>0</v>
      </c>
      <c r="V970" s="72" t="b">
        <f>IF(Tab.11[[#This Row],[a1]]=1,Tab.11[[#This Row],[target]]-Tab.11[[#This Row],[Blue]])</f>
        <v>0</v>
      </c>
      <c r="W970" s="73" t="b">
        <f>IF(Tab.11[[#This Row],[a1]]=1,IF(ABS(Tab.11[[#This Row],[b17]])+ABS(Tab.11[[#This Row],[b18]])&lt;$W$2,$W$2,ABS(Tab.11[[#This Row],[b17]])+ABS(Tab.11[[#This Row],[b18]])))</f>
        <v>0</v>
      </c>
      <c r="X970" s="136" t="b">
        <f>IF(Tab.11[[#This Row],[a1]]=1,IF($W$3&lt;0,Tab.11[[#This Row],[IN]]-$I$3,Tab.11[[#This Row],[IN]]))</f>
        <v>0</v>
      </c>
      <c r="Y970" s="136" t="b">
        <f>IF(Tab.11[[#This Row],[a1]]=1,IF($X$3=0,Tab.11[b66],Tab.11[[#This Row],[b66]]-AVERAGE(Tab.11[b66])))</f>
        <v>0</v>
      </c>
      <c r="Z970" s="135" t="b">
        <f>IF(Tab.11[[#This Row],[a1]]=1,Tab.11[[#This Row],[b77]]/(_xlfn.STDEV.P(Tab.11[b77])))</f>
        <v>0</v>
      </c>
      <c r="AA970" s="70" t="b">
        <f>IF(Tab.11[[#This Row],[a1]]=1,_xlfn.NORM.DIST(Tab.11[[#This Row],[b88]],$Z$1,$AA$1,FALSE))</f>
        <v>0</v>
      </c>
      <c r="AB970" s="74" t="b">
        <f>IF(Tab.11[[#This Row],[a1]]=1,IF($A$3=0,FALSE,1/Tab.11[[#This Row],[IN]]*$AC$2*IF(Tab.11[[#This Row],[a1]]=0,,$A$3*$AC$1*1/$V$3*(Tab.11[[#This Row],[b14]]))))</f>
        <v>0</v>
      </c>
      <c r="AC970" s="75" t="b">
        <f>IF(Tab.11[[#This Row],[a1]]=1,IF($AC$3=0,Tab.11[[#This Row],[φ1]],Tab.11[[#This Row],[φ1]]/MAX(Tab.11[φ1])))</f>
        <v>0</v>
      </c>
      <c r="AD970" s="74" t="b">
        <f>IF(Tab.11[[#This Row],[a1]]=1,1/Tab.11[[#This Row],[φ2]])</f>
        <v>0</v>
      </c>
      <c r="AE970" s="74" t="b">
        <f>IF(Tab.11[[#This Row],[a1]]=1,IF($AE$3=0,Tab.11[[#This Row],[w.0]],Tab.11[[#This Row],[w.0]]/SUM(Tab.11[w.0])))</f>
        <v>0</v>
      </c>
      <c r="AF970" s="76" t="str">
        <f>IF(Tab.11[[#This Row],[a1]]=0,"false",[3]!Tab.x5[[#This Row],[%_seN_C]])</f>
        <v>false</v>
      </c>
      <c r="AG970" s="77" t="b">
        <f>IF(Tab.11[[#This Row],[a1]]=1,AP970)</f>
        <v>0</v>
      </c>
      <c r="AH970" s="78" t="b">
        <f>IF(Tab.11[[#This Row],[a1]]=1,AQ970)</f>
        <v>0</v>
      </c>
      <c r="AI970" s="41">
        <v>3.0000000000000001E-3</v>
      </c>
      <c r="AJ970" s="79">
        <v>0.02</v>
      </c>
      <c r="AK970" s="80" t="b">
        <f>IF(Tab.11[[#This Row],[a1]]=1,1)</f>
        <v>0</v>
      </c>
      <c r="AZ970"/>
    </row>
    <row r="971" spans="1:52" hidden="1" x14ac:dyDescent="0.25">
      <c r="A971" s="61">
        <f t="shared" si="31"/>
        <v>0</v>
      </c>
      <c r="B971" s="62">
        <f t="shared" si="31"/>
        <v>0</v>
      </c>
      <c r="C971" s="62" t="b">
        <f>IF(Tab.11[[#This Row],[a1]]=1,[3]!Tab_x1[[#This Row],[Name]])</f>
        <v>0</v>
      </c>
      <c r="D971" s="63" t="b">
        <f>IF(Tab.11[[#This Row],[a1]]=1,AO971)</f>
        <v>0</v>
      </c>
      <c r="E971" s="63">
        <f t="shared" si="32"/>
        <v>0</v>
      </c>
      <c r="F971" s="64" t="b">
        <f>IF(Tab.11[[#This Row],[a1]]=1,Tab.11[[#This Row],[b1]])</f>
        <v>0</v>
      </c>
      <c r="G971" s="65" t="b">
        <f>IF(Tab.11[[#This Row],[a1]]=1,IF(Tab.11[[#This Row],[b3]]&gt;$L$989*$G$3,$L$989*$G$3,IF(Tab.11[[#This Row],[b3]]&lt;$M$989*$G$3,$M$989*$G$3,Tab.11[[#This Row],[b3]])))</f>
        <v>0</v>
      </c>
      <c r="H971" s="66" t="b">
        <f>IF(Tab.11[[#This Row],[a1]]=1,Tab.11[[#This Row],[b1]])</f>
        <v>0</v>
      </c>
      <c r="I971" s="67" t="b">
        <f>IF(Tab.11[[#This Row],[a1]]=1,Tab.11[[#This Row],[b1]])</f>
        <v>0</v>
      </c>
      <c r="J971" s="68" t="b">
        <f>IF(Tab.11[[#This Row],[a1]]=1,IF($I$3&lt;0,Tab.11[[#This Row],[b5]]-$I$3,Tab.11[[#This Row],[b5]]))</f>
        <v>0</v>
      </c>
      <c r="K971" s="68" t="b">
        <f>IF(Tab.11[[#This Row],[a1]]=1,IF($K$3=0,Tab.11[b6],Tab.11[[#This Row],[b6]]-AVERAGE(Tab.11[b6])))</f>
        <v>0</v>
      </c>
      <c r="L971" s="69" t="b">
        <f>IF(Tab.11[[#This Row],[a1]]=1,Tab.11[[#This Row],[data]]/(_xlfn.STDEV.P(Tab.11[data])*$B$989)+$A$989)</f>
        <v>0</v>
      </c>
      <c r="M971" s="69" t="b">
        <f>IF(Tab.11[[#This Row],[a1]]=1,Tab.11[[#This Row],[data]]/(_xlfn.STDEV.P(Tab.11[data])*$B$987)-$A$987)</f>
        <v>0</v>
      </c>
      <c r="N971" s="69" t="b">
        <f>IF(Tab.11[[#This Row],[a1]]=1,Tab.11[[#This Row],[data]]/(_xlfn.STDEV.P(Tab.11[data])*$B$988)+$A$988)</f>
        <v>0</v>
      </c>
      <c r="O971" s="70" t="b">
        <f>IF(Tab.11[[#This Row],[a1]]=1,_xlfn.NORM.DIST(Tab.11[[#This Row],[b8]],$P$1,$Q$1,FALSE))</f>
        <v>0</v>
      </c>
      <c r="P971" s="70" t="b">
        <f>IF(Tab.11[[#This Row],[a1]]=1,_xlfn.NORM.DIST(Tab.11[[#This Row],[b9]],$P$1,$Q$1,FALSE))</f>
        <v>0</v>
      </c>
      <c r="Q971" s="70" t="b">
        <f>IF(Tab.11[[#This Row],[a1]]=1,_xlfn.NORM.DIST(Tab.11[[#This Row],[b10]],$P$1,$Q$1,FALSE))</f>
        <v>0</v>
      </c>
      <c r="R971" s="67" t="b">
        <f>IF(Tab.11[[#This Row],[a1]]=1,$I$3+$A$989+IF($K$3=0,Tab.11[[#This Row],[b8]]*_xlfn.STDEV.P(Tab.11[data]),AVERAGE(Tab.11[b6])+Tab.11[[#This Row],[b8]]*_xlfn.STDEV.P(Tab.11[data])))</f>
        <v>0</v>
      </c>
      <c r="S971" s="71" t="b">
        <f>IF(Tab.11[[#This Row],[a1]]=1,$I$3+$A$987+IF($K$3=0,Tab.11[[#This Row],[b9]]*_xlfn.STDEV.P(Tab.11[data]),AVERAGE(Tab.11[b6])+Tab.11[[#This Row],[b9]]*_xlfn.STDEV.P(Tab.11[data])))</f>
        <v>0</v>
      </c>
      <c r="T971" s="71" t="b">
        <f>IF(Tab.11[[#This Row],[a1]]=1,$I$3+$A$988+IF($K$3=0,Tab.11[[#This Row],[b10]]*_xlfn.STDEV.P(Tab.11[data]),AVERAGE(Tab.11[b6])+Tab.11[[#This Row],[b10]]*_xlfn.STDEV.P(Tab.11[data])))</f>
        <v>0</v>
      </c>
      <c r="U971" s="72" t="b">
        <f>IF(Tab.11[[#This Row],[a1]]=1,Tab.11[[#This Row],[target]]-Tab.11[[#This Row],[Red]])</f>
        <v>0</v>
      </c>
      <c r="V971" s="72" t="b">
        <f>IF(Tab.11[[#This Row],[a1]]=1,Tab.11[[#This Row],[target]]-Tab.11[[#This Row],[Blue]])</f>
        <v>0</v>
      </c>
      <c r="W971" s="73" t="b">
        <f>IF(Tab.11[[#This Row],[a1]]=1,IF(ABS(Tab.11[[#This Row],[b17]])+ABS(Tab.11[[#This Row],[b18]])&lt;$W$2,$W$2,ABS(Tab.11[[#This Row],[b17]])+ABS(Tab.11[[#This Row],[b18]])))</f>
        <v>0</v>
      </c>
      <c r="X971" s="136" t="b">
        <f>IF(Tab.11[[#This Row],[a1]]=1,IF($W$3&lt;0,Tab.11[[#This Row],[IN]]-$I$3,Tab.11[[#This Row],[IN]]))</f>
        <v>0</v>
      </c>
      <c r="Y971" s="136" t="b">
        <f>IF(Tab.11[[#This Row],[a1]]=1,IF($X$3=0,Tab.11[b66],Tab.11[[#This Row],[b66]]-AVERAGE(Tab.11[b66])))</f>
        <v>0</v>
      </c>
      <c r="Z971" s="135" t="b">
        <f>IF(Tab.11[[#This Row],[a1]]=1,Tab.11[[#This Row],[b77]]/(_xlfn.STDEV.P(Tab.11[b77])))</f>
        <v>0</v>
      </c>
      <c r="AA971" s="70" t="b">
        <f>IF(Tab.11[[#This Row],[a1]]=1,_xlfn.NORM.DIST(Tab.11[[#This Row],[b88]],$Z$1,$AA$1,FALSE))</f>
        <v>0</v>
      </c>
      <c r="AB971" s="74" t="b">
        <f>IF(Tab.11[[#This Row],[a1]]=1,IF($A$3=0,FALSE,1/Tab.11[[#This Row],[IN]]*$AC$2*IF(Tab.11[[#This Row],[a1]]=0,,$A$3*$AC$1*1/$V$3*(Tab.11[[#This Row],[b14]]))))</f>
        <v>0</v>
      </c>
      <c r="AC971" s="75" t="b">
        <f>IF(Tab.11[[#This Row],[a1]]=1,IF($AC$3=0,Tab.11[[#This Row],[φ1]],Tab.11[[#This Row],[φ1]]/MAX(Tab.11[φ1])))</f>
        <v>0</v>
      </c>
      <c r="AD971" s="74" t="b">
        <f>IF(Tab.11[[#This Row],[a1]]=1,1/Tab.11[[#This Row],[φ2]])</f>
        <v>0</v>
      </c>
      <c r="AE971" s="74" t="b">
        <f>IF(Tab.11[[#This Row],[a1]]=1,IF($AE$3=0,Tab.11[[#This Row],[w.0]],Tab.11[[#This Row],[w.0]]/SUM(Tab.11[w.0])))</f>
        <v>0</v>
      </c>
      <c r="AF971" s="76" t="str">
        <f>IF(Tab.11[[#This Row],[a1]]=0,"false",[3]!Tab.x5[[#This Row],[%_seN_C]])</f>
        <v>false</v>
      </c>
      <c r="AG971" s="77" t="b">
        <f>IF(Tab.11[[#This Row],[a1]]=1,AP971)</f>
        <v>0</v>
      </c>
      <c r="AH971" s="78" t="b">
        <f>IF(Tab.11[[#This Row],[a1]]=1,AQ971)</f>
        <v>0</v>
      </c>
      <c r="AI971" s="41">
        <v>3.0000000000000001E-3</v>
      </c>
      <c r="AJ971" s="79">
        <v>-0.09</v>
      </c>
      <c r="AK971" s="80" t="b">
        <f>IF(Tab.11[[#This Row],[a1]]=1,1)</f>
        <v>0</v>
      </c>
      <c r="AZ971"/>
    </row>
    <row r="972" spans="1:52" hidden="1" x14ac:dyDescent="0.25">
      <c r="A972" s="61">
        <f t="shared" si="31"/>
        <v>0</v>
      </c>
      <c r="B972" s="62">
        <f t="shared" si="31"/>
        <v>0</v>
      </c>
      <c r="C972" s="62" t="b">
        <f>IF(Tab.11[[#This Row],[a1]]=1,[3]!Tab_x1[[#This Row],[Name]])</f>
        <v>0</v>
      </c>
      <c r="D972" s="63" t="b">
        <f>IF(Tab.11[[#This Row],[a1]]=1,AO972)</f>
        <v>0</v>
      </c>
      <c r="E972" s="63">
        <f t="shared" si="32"/>
        <v>0</v>
      </c>
      <c r="F972" s="64" t="b">
        <f>IF(Tab.11[[#This Row],[a1]]=1,Tab.11[[#This Row],[b1]])</f>
        <v>0</v>
      </c>
      <c r="G972" s="65" t="b">
        <f>IF(Tab.11[[#This Row],[a1]]=1,IF(Tab.11[[#This Row],[b3]]&gt;$L$989*$G$3,$L$989*$G$3,IF(Tab.11[[#This Row],[b3]]&lt;$M$989*$G$3,$M$989*$G$3,Tab.11[[#This Row],[b3]])))</f>
        <v>0</v>
      </c>
      <c r="H972" s="66" t="b">
        <f>IF(Tab.11[[#This Row],[a1]]=1,Tab.11[[#This Row],[b1]])</f>
        <v>0</v>
      </c>
      <c r="I972" s="67" t="b">
        <f>IF(Tab.11[[#This Row],[a1]]=1,Tab.11[[#This Row],[b1]])</f>
        <v>0</v>
      </c>
      <c r="J972" s="68" t="b">
        <f>IF(Tab.11[[#This Row],[a1]]=1,IF($I$3&lt;0,Tab.11[[#This Row],[b5]]-$I$3,Tab.11[[#This Row],[b5]]))</f>
        <v>0</v>
      </c>
      <c r="K972" s="68" t="b">
        <f>IF(Tab.11[[#This Row],[a1]]=1,IF($K$3=0,Tab.11[b6],Tab.11[[#This Row],[b6]]-AVERAGE(Tab.11[b6])))</f>
        <v>0</v>
      </c>
      <c r="L972" s="69" t="b">
        <f>IF(Tab.11[[#This Row],[a1]]=1,Tab.11[[#This Row],[data]]/(_xlfn.STDEV.P(Tab.11[data])*$B$989)+$A$989)</f>
        <v>0</v>
      </c>
      <c r="M972" s="69" t="b">
        <f>IF(Tab.11[[#This Row],[a1]]=1,Tab.11[[#This Row],[data]]/(_xlfn.STDEV.P(Tab.11[data])*$B$987)-$A$987)</f>
        <v>0</v>
      </c>
      <c r="N972" s="69" t="b">
        <f>IF(Tab.11[[#This Row],[a1]]=1,Tab.11[[#This Row],[data]]/(_xlfn.STDEV.P(Tab.11[data])*$B$988)+$A$988)</f>
        <v>0</v>
      </c>
      <c r="O972" s="70" t="b">
        <f>IF(Tab.11[[#This Row],[a1]]=1,_xlfn.NORM.DIST(Tab.11[[#This Row],[b8]],$P$1,$Q$1,FALSE))</f>
        <v>0</v>
      </c>
      <c r="P972" s="70" t="b">
        <f>IF(Tab.11[[#This Row],[a1]]=1,_xlfn.NORM.DIST(Tab.11[[#This Row],[b9]],$P$1,$Q$1,FALSE))</f>
        <v>0</v>
      </c>
      <c r="Q972" s="70" t="b">
        <f>IF(Tab.11[[#This Row],[a1]]=1,_xlfn.NORM.DIST(Tab.11[[#This Row],[b10]],$P$1,$Q$1,FALSE))</f>
        <v>0</v>
      </c>
      <c r="R972" s="67" t="b">
        <f>IF(Tab.11[[#This Row],[a1]]=1,$I$3+$A$989+IF($K$3=0,Tab.11[[#This Row],[b8]]*_xlfn.STDEV.P(Tab.11[data]),AVERAGE(Tab.11[b6])+Tab.11[[#This Row],[b8]]*_xlfn.STDEV.P(Tab.11[data])))</f>
        <v>0</v>
      </c>
      <c r="S972" s="71" t="b">
        <f>IF(Tab.11[[#This Row],[a1]]=1,$I$3+$A$987+IF($K$3=0,Tab.11[[#This Row],[b9]]*_xlfn.STDEV.P(Tab.11[data]),AVERAGE(Tab.11[b6])+Tab.11[[#This Row],[b9]]*_xlfn.STDEV.P(Tab.11[data])))</f>
        <v>0</v>
      </c>
      <c r="T972" s="71" t="b">
        <f>IF(Tab.11[[#This Row],[a1]]=1,$I$3+$A$988+IF($K$3=0,Tab.11[[#This Row],[b10]]*_xlfn.STDEV.P(Tab.11[data]),AVERAGE(Tab.11[b6])+Tab.11[[#This Row],[b10]]*_xlfn.STDEV.P(Tab.11[data])))</f>
        <v>0</v>
      </c>
      <c r="U972" s="72" t="b">
        <f>IF(Tab.11[[#This Row],[a1]]=1,Tab.11[[#This Row],[target]]-Tab.11[[#This Row],[Red]])</f>
        <v>0</v>
      </c>
      <c r="V972" s="72" t="b">
        <f>IF(Tab.11[[#This Row],[a1]]=1,Tab.11[[#This Row],[target]]-Tab.11[[#This Row],[Blue]])</f>
        <v>0</v>
      </c>
      <c r="W972" s="73" t="b">
        <f>IF(Tab.11[[#This Row],[a1]]=1,IF(ABS(Tab.11[[#This Row],[b17]])+ABS(Tab.11[[#This Row],[b18]])&lt;$W$2,$W$2,ABS(Tab.11[[#This Row],[b17]])+ABS(Tab.11[[#This Row],[b18]])))</f>
        <v>0</v>
      </c>
      <c r="X972" s="136" t="b">
        <f>IF(Tab.11[[#This Row],[a1]]=1,IF($W$3&lt;0,Tab.11[[#This Row],[IN]]-$I$3,Tab.11[[#This Row],[IN]]))</f>
        <v>0</v>
      </c>
      <c r="Y972" s="136" t="b">
        <f>IF(Tab.11[[#This Row],[a1]]=1,IF($X$3=0,Tab.11[b66],Tab.11[[#This Row],[b66]]-AVERAGE(Tab.11[b66])))</f>
        <v>0</v>
      </c>
      <c r="Z972" s="135" t="b">
        <f>IF(Tab.11[[#This Row],[a1]]=1,Tab.11[[#This Row],[b77]]/(_xlfn.STDEV.P(Tab.11[b77])))</f>
        <v>0</v>
      </c>
      <c r="AA972" s="70" t="b">
        <f>IF(Tab.11[[#This Row],[a1]]=1,_xlfn.NORM.DIST(Tab.11[[#This Row],[b88]],$Z$1,$AA$1,FALSE))</f>
        <v>0</v>
      </c>
      <c r="AB972" s="74" t="b">
        <f>IF(Tab.11[[#This Row],[a1]]=1,IF($A$3=0,FALSE,1/Tab.11[[#This Row],[IN]]*$AC$2*IF(Tab.11[[#This Row],[a1]]=0,,$A$3*$AC$1*1/$V$3*(Tab.11[[#This Row],[b14]]))))</f>
        <v>0</v>
      </c>
      <c r="AC972" s="75" t="b">
        <f>IF(Tab.11[[#This Row],[a1]]=1,IF($AC$3=0,Tab.11[[#This Row],[φ1]],Tab.11[[#This Row],[φ1]]/MAX(Tab.11[φ1])))</f>
        <v>0</v>
      </c>
      <c r="AD972" s="74" t="b">
        <f>IF(Tab.11[[#This Row],[a1]]=1,1/Tab.11[[#This Row],[φ2]])</f>
        <v>0</v>
      </c>
      <c r="AE972" s="74" t="b">
        <f>IF(Tab.11[[#This Row],[a1]]=1,IF($AE$3=0,Tab.11[[#This Row],[w.0]],Tab.11[[#This Row],[w.0]]/SUM(Tab.11[w.0])))</f>
        <v>0</v>
      </c>
      <c r="AF972" s="76" t="str">
        <f>IF(Tab.11[[#This Row],[a1]]=0,"false",[3]!Tab.x5[[#This Row],[%_seN_C]])</f>
        <v>false</v>
      </c>
      <c r="AG972" s="77" t="b">
        <f>IF(Tab.11[[#This Row],[a1]]=1,AP972)</f>
        <v>0</v>
      </c>
      <c r="AH972" s="78" t="b">
        <f>IF(Tab.11[[#This Row],[a1]]=1,AQ972)</f>
        <v>0</v>
      </c>
      <c r="AI972" s="41">
        <v>3.0000000000000001E-3</v>
      </c>
      <c r="AJ972" s="79">
        <v>0</v>
      </c>
      <c r="AK972" s="80" t="b">
        <f>IF(Tab.11[[#This Row],[a1]]=1,1)</f>
        <v>0</v>
      </c>
      <c r="AZ972"/>
    </row>
    <row r="973" spans="1:52" hidden="1" x14ac:dyDescent="0.25">
      <c r="A973" s="61">
        <f t="shared" si="31"/>
        <v>0</v>
      </c>
      <c r="B973" s="62">
        <f t="shared" si="31"/>
        <v>0</v>
      </c>
      <c r="C973" s="62" t="b">
        <f>IF(Tab.11[[#This Row],[a1]]=1,[3]!Tab_x1[[#This Row],[Name]])</f>
        <v>0</v>
      </c>
      <c r="D973" s="63" t="b">
        <f>IF(Tab.11[[#This Row],[a1]]=1,AO973)</f>
        <v>0</v>
      </c>
      <c r="E973" s="63">
        <f t="shared" si="32"/>
        <v>0</v>
      </c>
      <c r="F973" s="64" t="b">
        <f>IF(Tab.11[[#This Row],[a1]]=1,Tab.11[[#This Row],[b1]])</f>
        <v>0</v>
      </c>
      <c r="G973" s="65" t="b">
        <f>IF(Tab.11[[#This Row],[a1]]=1,IF(Tab.11[[#This Row],[b3]]&gt;$L$989*$G$3,$L$989*$G$3,IF(Tab.11[[#This Row],[b3]]&lt;$M$989*$G$3,$M$989*$G$3,Tab.11[[#This Row],[b3]])))</f>
        <v>0</v>
      </c>
      <c r="H973" s="66" t="b">
        <f>IF(Tab.11[[#This Row],[a1]]=1,Tab.11[[#This Row],[b1]])</f>
        <v>0</v>
      </c>
      <c r="I973" s="67" t="b">
        <f>IF(Tab.11[[#This Row],[a1]]=1,Tab.11[[#This Row],[b1]])</f>
        <v>0</v>
      </c>
      <c r="J973" s="68" t="b">
        <f>IF(Tab.11[[#This Row],[a1]]=1,IF($I$3&lt;0,Tab.11[[#This Row],[b5]]-$I$3,Tab.11[[#This Row],[b5]]))</f>
        <v>0</v>
      </c>
      <c r="K973" s="68" t="b">
        <f>IF(Tab.11[[#This Row],[a1]]=1,IF($K$3=0,Tab.11[b6],Tab.11[[#This Row],[b6]]-AVERAGE(Tab.11[b6])))</f>
        <v>0</v>
      </c>
      <c r="L973" s="69" t="b">
        <f>IF(Tab.11[[#This Row],[a1]]=1,Tab.11[[#This Row],[data]]/(_xlfn.STDEV.P(Tab.11[data])*$B$989)+$A$989)</f>
        <v>0</v>
      </c>
      <c r="M973" s="69" t="b">
        <f>IF(Tab.11[[#This Row],[a1]]=1,Tab.11[[#This Row],[data]]/(_xlfn.STDEV.P(Tab.11[data])*$B$987)-$A$987)</f>
        <v>0</v>
      </c>
      <c r="N973" s="69" t="b">
        <f>IF(Tab.11[[#This Row],[a1]]=1,Tab.11[[#This Row],[data]]/(_xlfn.STDEV.P(Tab.11[data])*$B$988)+$A$988)</f>
        <v>0</v>
      </c>
      <c r="O973" s="70" t="b">
        <f>IF(Tab.11[[#This Row],[a1]]=1,_xlfn.NORM.DIST(Tab.11[[#This Row],[b8]],$P$1,$Q$1,FALSE))</f>
        <v>0</v>
      </c>
      <c r="P973" s="70" t="b">
        <f>IF(Tab.11[[#This Row],[a1]]=1,_xlfn.NORM.DIST(Tab.11[[#This Row],[b9]],$P$1,$Q$1,FALSE))</f>
        <v>0</v>
      </c>
      <c r="Q973" s="70" t="b">
        <f>IF(Tab.11[[#This Row],[a1]]=1,_xlfn.NORM.DIST(Tab.11[[#This Row],[b10]],$P$1,$Q$1,FALSE))</f>
        <v>0</v>
      </c>
      <c r="R973" s="67" t="b">
        <f>IF(Tab.11[[#This Row],[a1]]=1,$I$3+$A$989+IF($K$3=0,Tab.11[[#This Row],[b8]]*_xlfn.STDEV.P(Tab.11[data]),AVERAGE(Tab.11[b6])+Tab.11[[#This Row],[b8]]*_xlfn.STDEV.P(Tab.11[data])))</f>
        <v>0</v>
      </c>
      <c r="S973" s="71" t="b">
        <f>IF(Tab.11[[#This Row],[a1]]=1,$I$3+$A$987+IF($K$3=0,Tab.11[[#This Row],[b9]]*_xlfn.STDEV.P(Tab.11[data]),AVERAGE(Tab.11[b6])+Tab.11[[#This Row],[b9]]*_xlfn.STDEV.P(Tab.11[data])))</f>
        <v>0</v>
      </c>
      <c r="T973" s="71" t="b">
        <f>IF(Tab.11[[#This Row],[a1]]=1,$I$3+$A$988+IF($K$3=0,Tab.11[[#This Row],[b10]]*_xlfn.STDEV.P(Tab.11[data]),AVERAGE(Tab.11[b6])+Tab.11[[#This Row],[b10]]*_xlfn.STDEV.P(Tab.11[data])))</f>
        <v>0</v>
      </c>
      <c r="U973" s="72" t="b">
        <f>IF(Tab.11[[#This Row],[a1]]=1,Tab.11[[#This Row],[target]]-Tab.11[[#This Row],[Red]])</f>
        <v>0</v>
      </c>
      <c r="V973" s="72" t="b">
        <f>IF(Tab.11[[#This Row],[a1]]=1,Tab.11[[#This Row],[target]]-Tab.11[[#This Row],[Blue]])</f>
        <v>0</v>
      </c>
      <c r="W973" s="73" t="b">
        <f>IF(Tab.11[[#This Row],[a1]]=1,IF(ABS(Tab.11[[#This Row],[b17]])+ABS(Tab.11[[#This Row],[b18]])&lt;$W$2,$W$2,ABS(Tab.11[[#This Row],[b17]])+ABS(Tab.11[[#This Row],[b18]])))</f>
        <v>0</v>
      </c>
      <c r="X973" s="136" t="b">
        <f>IF(Tab.11[[#This Row],[a1]]=1,IF($W$3&lt;0,Tab.11[[#This Row],[IN]]-$I$3,Tab.11[[#This Row],[IN]]))</f>
        <v>0</v>
      </c>
      <c r="Y973" s="136" t="b">
        <f>IF(Tab.11[[#This Row],[a1]]=1,IF($X$3=0,Tab.11[b66],Tab.11[[#This Row],[b66]]-AVERAGE(Tab.11[b66])))</f>
        <v>0</v>
      </c>
      <c r="Z973" s="135" t="b">
        <f>IF(Tab.11[[#This Row],[a1]]=1,Tab.11[[#This Row],[b77]]/(_xlfn.STDEV.P(Tab.11[b77])))</f>
        <v>0</v>
      </c>
      <c r="AA973" s="70" t="b">
        <f>IF(Tab.11[[#This Row],[a1]]=1,_xlfn.NORM.DIST(Tab.11[[#This Row],[b88]],$Z$1,$AA$1,FALSE))</f>
        <v>0</v>
      </c>
      <c r="AB973" s="74" t="b">
        <f>IF(Tab.11[[#This Row],[a1]]=1,IF($A$3=0,FALSE,1/Tab.11[[#This Row],[IN]]*$AC$2*IF(Tab.11[[#This Row],[a1]]=0,,$A$3*$AC$1*1/$V$3*(Tab.11[[#This Row],[b14]]))))</f>
        <v>0</v>
      </c>
      <c r="AC973" s="75" t="b">
        <f>IF(Tab.11[[#This Row],[a1]]=1,IF($AC$3=0,Tab.11[[#This Row],[φ1]],Tab.11[[#This Row],[φ1]]/MAX(Tab.11[φ1])))</f>
        <v>0</v>
      </c>
      <c r="AD973" s="74" t="b">
        <f>IF(Tab.11[[#This Row],[a1]]=1,1/Tab.11[[#This Row],[φ2]])</f>
        <v>0</v>
      </c>
      <c r="AE973" s="74" t="b">
        <f>IF(Tab.11[[#This Row],[a1]]=1,IF($AE$3=0,Tab.11[[#This Row],[w.0]],Tab.11[[#This Row],[w.0]]/SUM(Tab.11[w.0])))</f>
        <v>0</v>
      </c>
      <c r="AF973" s="76" t="str">
        <f>IF(Tab.11[[#This Row],[a1]]=0,"false",[3]!Tab.x5[[#This Row],[%_seN_C]])</f>
        <v>false</v>
      </c>
      <c r="AG973" s="77" t="b">
        <f>IF(Tab.11[[#This Row],[a1]]=1,AP973)</f>
        <v>0</v>
      </c>
      <c r="AH973" s="78" t="b">
        <f>IF(Tab.11[[#This Row],[a1]]=1,AQ973)</f>
        <v>0</v>
      </c>
      <c r="AI973" s="41">
        <v>3.0000000000000001E-3</v>
      </c>
      <c r="AJ973" s="79">
        <v>7.0000000000000007E-2</v>
      </c>
      <c r="AK973" s="80" t="b">
        <f>IF(Tab.11[[#This Row],[a1]]=1,1)</f>
        <v>0</v>
      </c>
      <c r="AZ973"/>
    </row>
    <row r="974" spans="1:52" hidden="1" x14ac:dyDescent="0.25">
      <c r="A974" s="61">
        <f t="shared" si="31"/>
        <v>0</v>
      </c>
      <c r="B974" s="62">
        <f t="shared" si="31"/>
        <v>0</v>
      </c>
      <c r="C974" s="62" t="b">
        <f>IF(Tab.11[[#This Row],[a1]]=1,[3]!Tab_x1[[#This Row],[Name]])</f>
        <v>0</v>
      </c>
      <c r="D974" s="63" t="b">
        <f>IF(Tab.11[[#This Row],[a1]]=1,AO974)</f>
        <v>0</v>
      </c>
      <c r="E974" s="63">
        <f t="shared" si="32"/>
        <v>0</v>
      </c>
      <c r="F974" s="64" t="b">
        <f>IF(Tab.11[[#This Row],[a1]]=1,Tab.11[[#This Row],[b1]])</f>
        <v>0</v>
      </c>
      <c r="G974" s="65" t="b">
        <f>IF(Tab.11[[#This Row],[a1]]=1,IF(Tab.11[[#This Row],[b3]]&gt;$L$989*$G$3,$L$989*$G$3,IF(Tab.11[[#This Row],[b3]]&lt;$M$989*$G$3,$M$989*$G$3,Tab.11[[#This Row],[b3]])))</f>
        <v>0</v>
      </c>
      <c r="H974" s="66" t="b">
        <f>IF(Tab.11[[#This Row],[a1]]=1,Tab.11[[#This Row],[b1]])</f>
        <v>0</v>
      </c>
      <c r="I974" s="67" t="b">
        <f>IF(Tab.11[[#This Row],[a1]]=1,Tab.11[[#This Row],[b1]])</f>
        <v>0</v>
      </c>
      <c r="J974" s="68" t="b">
        <f>IF(Tab.11[[#This Row],[a1]]=1,IF($I$3&lt;0,Tab.11[[#This Row],[b5]]-$I$3,Tab.11[[#This Row],[b5]]))</f>
        <v>0</v>
      </c>
      <c r="K974" s="68" t="b">
        <f>IF(Tab.11[[#This Row],[a1]]=1,IF($K$3=0,Tab.11[b6],Tab.11[[#This Row],[b6]]-AVERAGE(Tab.11[b6])))</f>
        <v>0</v>
      </c>
      <c r="L974" s="69" t="b">
        <f>IF(Tab.11[[#This Row],[a1]]=1,Tab.11[[#This Row],[data]]/(_xlfn.STDEV.P(Tab.11[data])*$B$989)+$A$989)</f>
        <v>0</v>
      </c>
      <c r="M974" s="69" t="b">
        <f>IF(Tab.11[[#This Row],[a1]]=1,Tab.11[[#This Row],[data]]/(_xlfn.STDEV.P(Tab.11[data])*$B$987)-$A$987)</f>
        <v>0</v>
      </c>
      <c r="N974" s="69" t="b">
        <f>IF(Tab.11[[#This Row],[a1]]=1,Tab.11[[#This Row],[data]]/(_xlfn.STDEV.P(Tab.11[data])*$B$988)+$A$988)</f>
        <v>0</v>
      </c>
      <c r="O974" s="70" t="b">
        <f>IF(Tab.11[[#This Row],[a1]]=1,_xlfn.NORM.DIST(Tab.11[[#This Row],[b8]],$P$1,$Q$1,FALSE))</f>
        <v>0</v>
      </c>
      <c r="P974" s="70" t="b">
        <f>IF(Tab.11[[#This Row],[a1]]=1,_xlfn.NORM.DIST(Tab.11[[#This Row],[b9]],$P$1,$Q$1,FALSE))</f>
        <v>0</v>
      </c>
      <c r="Q974" s="70" t="b">
        <f>IF(Tab.11[[#This Row],[a1]]=1,_xlfn.NORM.DIST(Tab.11[[#This Row],[b10]],$P$1,$Q$1,FALSE))</f>
        <v>0</v>
      </c>
      <c r="R974" s="67" t="b">
        <f>IF(Tab.11[[#This Row],[a1]]=1,$I$3+$A$989+IF($K$3=0,Tab.11[[#This Row],[b8]]*_xlfn.STDEV.P(Tab.11[data]),AVERAGE(Tab.11[b6])+Tab.11[[#This Row],[b8]]*_xlfn.STDEV.P(Tab.11[data])))</f>
        <v>0</v>
      </c>
      <c r="S974" s="71" t="b">
        <f>IF(Tab.11[[#This Row],[a1]]=1,$I$3+$A$987+IF($K$3=0,Tab.11[[#This Row],[b9]]*_xlfn.STDEV.P(Tab.11[data]),AVERAGE(Tab.11[b6])+Tab.11[[#This Row],[b9]]*_xlfn.STDEV.P(Tab.11[data])))</f>
        <v>0</v>
      </c>
      <c r="T974" s="71" t="b">
        <f>IF(Tab.11[[#This Row],[a1]]=1,$I$3+$A$988+IF($K$3=0,Tab.11[[#This Row],[b10]]*_xlfn.STDEV.P(Tab.11[data]),AVERAGE(Tab.11[b6])+Tab.11[[#This Row],[b10]]*_xlfn.STDEV.P(Tab.11[data])))</f>
        <v>0</v>
      </c>
      <c r="U974" s="72" t="b">
        <f>IF(Tab.11[[#This Row],[a1]]=1,Tab.11[[#This Row],[target]]-Tab.11[[#This Row],[Red]])</f>
        <v>0</v>
      </c>
      <c r="V974" s="72" t="b">
        <f>IF(Tab.11[[#This Row],[a1]]=1,Tab.11[[#This Row],[target]]-Tab.11[[#This Row],[Blue]])</f>
        <v>0</v>
      </c>
      <c r="W974" s="73" t="b">
        <f>IF(Tab.11[[#This Row],[a1]]=1,IF(ABS(Tab.11[[#This Row],[b17]])+ABS(Tab.11[[#This Row],[b18]])&lt;$W$2,$W$2,ABS(Tab.11[[#This Row],[b17]])+ABS(Tab.11[[#This Row],[b18]])))</f>
        <v>0</v>
      </c>
      <c r="X974" s="136" t="b">
        <f>IF(Tab.11[[#This Row],[a1]]=1,IF($W$3&lt;0,Tab.11[[#This Row],[IN]]-$I$3,Tab.11[[#This Row],[IN]]))</f>
        <v>0</v>
      </c>
      <c r="Y974" s="136" t="b">
        <f>IF(Tab.11[[#This Row],[a1]]=1,IF($X$3=0,Tab.11[b66],Tab.11[[#This Row],[b66]]-AVERAGE(Tab.11[b66])))</f>
        <v>0</v>
      </c>
      <c r="Z974" s="135" t="b">
        <f>IF(Tab.11[[#This Row],[a1]]=1,Tab.11[[#This Row],[b77]]/(_xlfn.STDEV.P(Tab.11[b77])))</f>
        <v>0</v>
      </c>
      <c r="AA974" s="70" t="b">
        <f>IF(Tab.11[[#This Row],[a1]]=1,_xlfn.NORM.DIST(Tab.11[[#This Row],[b88]],$Z$1,$AA$1,FALSE))</f>
        <v>0</v>
      </c>
      <c r="AB974" s="74" t="b">
        <f>IF(Tab.11[[#This Row],[a1]]=1,IF($A$3=0,FALSE,1/Tab.11[[#This Row],[IN]]*$AC$2*IF(Tab.11[[#This Row],[a1]]=0,,$A$3*$AC$1*1/$V$3*(Tab.11[[#This Row],[b14]]))))</f>
        <v>0</v>
      </c>
      <c r="AC974" s="75" t="b">
        <f>IF(Tab.11[[#This Row],[a1]]=1,IF($AC$3=0,Tab.11[[#This Row],[φ1]],Tab.11[[#This Row],[φ1]]/MAX(Tab.11[φ1])))</f>
        <v>0</v>
      </c>
      <c r="AD974" s="74" t="b">
        <f>IF(Tab.11[[#This Row],[a1]]=1,1/Tab.11[[#This Row],[φ2]])</f>
        <v>0</v>
      </c>
      <c r="AE974" s="74" t="b">
        <f>IF(Tab.11[[#This Row],[a1]]=1,IF($AE$3=0,Tab.11[[#This Row],[w.0]],Tab.11[[#This Row],[w.0]]/SUM(Tab.11[w.0])))</f>
        <v>0</v>
      </c>
      <c r="AF974" s="76" t="str">
        <f>IF(Tab.11[[#This Row],[a1]]=0,"false",[3]!Tab.x5[[#This Row],[%_seN_C]])</f>
        <v>false</v>
      </c>
      <c r="AG974" s="77" t="b">
        <f>IF(Tab.11[[#This Row],[a1]]=1,AP974)</f>
        <v>0</v>
      </c>
      <c r="AH974" s="78" t="b">
        <f>IF(Tab.11[[#This Row],[a1]]=1,AQ974)</f>
        <v>0</v>
      </c>
      <c r="AI974" s="41">
        <v>3.0000000000000001E-3</v>
      </c>
      <c r="AJ974" s="79">
        <v>0.1</v>
      </c>
      <c r="AK974" s="80" t="b">
        <f>IF(Tab.11[[#This Row],[a1]]=1,1)</f>
        <v>0</v>
      </c>
      <c r="AZ974"/>
    </row>
    <row r="975" spans="1:52" hidden="1" x14ac:dyDescent="0.25">
      <c r="A975" s="61">
        <f t="shared" si="31"/>
        <v>0</v>
      </c>
      <c r="B975" s="62">
        <f t="shared" si="31"/>
        <v>0</v>
      </c>
      <c r="C975" s="62" t="b">
        <f>IF(Tab.11[[#This Row],[a1]]=1,[3]!Tab_x1[[#This Row],[Name]])</f>
        <v>0</v>
      </c>
      <c r="D975" s="63" t="b">
        <f>IF(Tab.11[[#This Row],[a1]]=1,AO975)</f>
        <v>0</v>
      </c>
      <c r="E975" s="63">
        <f t="shared" si="32"/>
        <v>0</v>
      </c>
      <c r="F975" s="64" t="b">
        <f>IF(Tab.11[[#This Row],[a1]]=1,Tab.11[[#This Row],[b1]])</f>
        <v>0</v>
      </c>
      <c r="G975" s="65" t="b">
        <f>IF(Tab.11[[#This Row],[a1]]=1,IF(Tab.11[[#This Row],[b3]]&gt;$L$989*$G$3,$L$989*$G$3,IF(Tab.11[[#This Row],[b3]]&lt;$M$989*$G$3,$M$989*$G$3,Tab.11[[#This Row],[b3]])))</f>
        <v>0</v>
      </c>
      <c r="H975" s="66" t="b">
        <f>IF(Tab.11[[#This Row],[a1]]=1,Tab.11[[#This Row],[b1]])</f>
        <v>0</v>
      </c>
      <c r="I975" s="67" t="b">
        <f>IF(Tab.11[[#This Row],[a1]]=1,Tab.11[[#This Row],[b1]])</f>
        <v>0</v>
      </c>
      <c r="J975" s="68" t="b">
        <f>IF(Tab.11[[#This Row],[a1]]=1,IF($I$3&lt;0,Tab.11[[#This Row],[b5]]-$I$3,Tab.11[[#This Row],[b5]]))</f>
        <v>0</v>
      </c>
      <c r="K975" s="68" t="b">
        <f>IF(Tab.11[[#This Row],[a1]]=1,IF($K$3=0,Tab.11[b6],Tab.11[[#This Row],[b6]]-AVERAGE(Tab.11[b6])))</f>
        <v>0</v>
      </c>
      <c r="L975" s="69" t="b">
        <f>IF(Tab.11[[#This Row],[a1]]=1,Tab.11[[#This Row],[data]]/(_xlfn.STDEV.P(Tab.11[data])*$B$989)+$A$989)</f>
        <v>0</v>
      </c>
      <c r="M975" s="69" t="b">
        <f>IF(Tab.11[[#This Row],[a1]]=1,Tab.11[[#This Row],[data]]/(_xlfn.STDEV.P(Tab.11[data])*$B$987)-$A$987)</f>
        <v>0</v>
      </c>
      <c r="N975" s="69" t="b">
        <f>IF(Tab.11[[#This Row],[a1]]=1,Tab.11[[#This Row],[data]]/(_xlfn.STDEV.P(Tab.11[data])*$B$988)+$A$988)</f>
        <v>0</v>
      </c>
      <c r="O975" s="70" t="b">
        <f>IF(Tab.11[[#This Row],[a1]]=1,_xlfn.NORM.DIST(Tab.11[[#This Row],[b8]],$P$1,$Q$1,FALSE))</f>
        <v>0</v>
      </c>
      <c r="P975" s="70" t="b">
        <f>IF(Tab.11[[#This Row],[a1]]=1,_xlfn.NORM.DIST(Tab.11[[#This Row],[b9]],$P$1,$Q$1,FALSE))</f>
        <v>0</v>
      </c>
      <c r="Q975" s="70" t="b">
        <f>IF(Tab.11[[#This Row],[a1]]=1,_xlfn.NORM.DIST(Tab.11[[#This Row],[b10]],$P$1,$Q$1,FALSE))</f>
        <v>0</v>
      </c>
      <c r="R975" s="67" t="b">
        <f>IF(Tab.11[[#This Row],[a1]]=1,$I$3+$A$989+IF($K$3=0,Tab.11[[#This Row],[b8]]*_xlfn.STDEV.P(Tab.11[data]),AVERAGE(Tab.11[b6])+Tab.11[[#This Row],[b8]]*_xlfn.STDEV.P(Tab.11[data])))</f>
        <v>0</v>
      </c>
      <c r="S975" s="71" t="b">
        <f>IF(Tab.11[[#This Row],[a1]]=1,$I$3+$A$987+IF($K$3=0,Tab.11[[#This Row],[b9]]*_xlfn.STDEV.P(Tab.11[data]),AVERAGE(Tab.11[b6])+Tab.11[[#This Row],[b9]]*_xlfn.STDEV.P(Tab.11[data])))</f>
        <v>0</v>
      </c>
      <c r="T975" s="71" t="b">
        <f>IF(Tab.11[[#This Row],[a1]]=1,$I$3+$A$988+IF($K$3=0,Tab.11[[#This Row],[b10]]*_xlfn.STDEV.P(Tab.11[data]),AVERAGE(Tab.11[b6])+Tab.11[[#This Row],[b10]]*_xlfn.STDEV.P(Tab.11[data])))</f>
        <v>0</v>
      </c>
      <c r="U975" s="72" t="b">
        <f>IF(Tab.11[[#This Row],[a1]]=1,Tab.11[[#This Row],[target]]-Tab.11[[#This Row],[Red]])</f>
        <v>0</v>
      </c>
      <c r="V975" s="72" t="b">
        <f>IF(Tab.11[[#This Row],[a1]]=1,Tab.11[[#This Row],[target]]-Tab.11[[#This Row],[Blue]])</f>
        <v>0</v>
      </c>
      <c r="W975" s="73" t="b">
        <f>IF(Tab.11[[#This Row],[a1]]=1,IF(ABS(Tab.11[[#This Row],[b17]])+ABS(Tab.11[[#This Row],[b18]])&lt;$W$2,$W$2,ABS(Tab.11[[#This Row],[b17]])+ABS(Tab.11[[#This Row],[b18]])))</f>
        <v>0</v>
      </c>
      <c r="X975" s="136" t="b">
        <f>IF(Tab.11[[#This Row],[a1]]=1,IF($W$3&lt;0,Tab.11[[#This Row],[IN]]-$I$3,Tab.11[[#This Row],[IN]]))</f>
        <v>0</v>
      </c>
      <c r="Y975" s="136" t="b">
        <f>IF(Tab.11[[#This Row],[a1]]=1,IF($X$3=0,Tab.11[b66],Tab.11[[#This Row],[b66]]-AVERAGE(Tab.11[b66])))</f>
        <v>0</v>
      </c>
      <c r="Z975" s="135" t="b">
        <f>IF(Tab.11[[#This Row],[a1]]=1,Tab.11[[#This Row],[b77]]/(_xlfn.STDEV.P(Tab.11[b77])))</f>
        <v>0</v>
      </c>
      <c r="AA975" s="70" t="b">
        <f>IF(Tab.11[[#This Row],[a1]]=1,_xlfn.NORM.DIST(Tab.11[[#This Row],[b88]],$Z$1,$AA$1,FALSE))</f>
        <v>0</v>
      </c>
      <c r="AB975" s="74" t="b">
        <f>IF(Tab.11[[#This Row],[a1]]=1,IF($A$3=0,FALSE,1/Tab.11[[#This Row],[IN]]*$AC$2*IF(Tab.11[[#This Row],[a1]]=0,,$A$3*$AC$1*1/$V$3*(Tab.11[[#This Row],[b14]]))))</f>
        <v>0</v>
      </c>
      <c r="AC975" s="75" t="b">
        <f>IF(Tab.11[[#This Row],[a1]]=1,IF($AC$3=0,Tab.11[[#This Row],[φ1]],Tab.11[[#This Row],[φ1]]/MAX(Tab.11[φ1])))</f>
        <v>0</v>
      </c>
      <c r="AD975" s="74" t="b">
        <f>IF(Tab.11[[#This Row],[a1]]=1,1/Tab.11[[#This Row],[φ2]])</f>
        <v>0</v>
      </c>
      <c r="AE975" s="74" t="b">
        <f>IF(Tab.11[[#This Row],[a1]]=1,IF($AE$3=0,Tab.11[[#This Row],[w.0]],Tab.11[[#This Row],[w.0]]/SUM(Tab.11[w.0])))</f>
        <v>0</v>
      </c>
      <c r="AF975" s="76" t="str">
        <f>IF(Tab.11[[#This Row],[a1]]=0,"false",[3]!Tab.x5[[#This Row],[%_seN_C]])</f>
        <v>false</v>
      </c>
      <c r="AG975" s="77" t="b">
        <f>IF(Tab.11[[#This Row],[a1]]=1,AP975)</f>
        <v>0</v>
      </c>
      <c r="AH975" s="78" t="b">
        <f>IF(Tab.11[[#This Row],[a1]]=1,AQ975)</f>
        <v>0</v>
      </c>
      <c r="AI975" s="41">
        <v>3.0000000000000001E-3</v>
      </c>
      <c r="AJ975" s="79">
        <v>0.06</v>
      </c>
      <c r="AK975" s="80" t="b">
        <f>IF(Tab.11[[#This Row],[a1]]=1,1)</f>
        <v>0</v>
      </c>
      <c r="AZ975"/>
    </row>
    <row r="976" spans="1:52" hidden="1" x14ac:dyDescent="0.25">
      <c r="A976" s="61">
        <f t="shared" si="31"/>
        <v>0</v>
      </c>
      <c r="B976" s="62">
        <f t="shared" si="31"/>
        <v>0</v>
      </c>
      <c r="C976" s="62" t="b">
        <f>IF(Tab.11[[#This Row],[a1]]=1,[3]!Tab_x1[[#This Row],[Name]])</f>
        <v>0</v>
      </c>
      <c r="D976" s="63" t="b">
        <f>IF(Tab.11[[#This Row],[a1]]=1,AO976)</f>
        <v>0</v>
      </c>
      <c r="E976" s="63">
        <f t="shared" si="32"/>
        <v>0</v>
      </c>
      <c r="F976" s="64" t="b">
        <f>IF(Tab.11[[#This Row],[a1]]=1,Tab.11[[#This Row],[b1]])</f>
        <v>0</v>
      </c>
      <c r="G976" s="65" t="b">
        <f>IF(Tab.11[[#This Row],[a1]]=1,IF(Tab.11[[#This Row],[b3]]&gt;$L$989*$G$3,$L$989*$G$3,IF(Tab.11[[#This Row],[b3]]&lt;$M$989*$G$3,$M$989*$G$3,Tab.11[[#This Row],[b3]])))</f>
        <v>0</v>
      </c>
      <c r="H976" s="66" t="b">
        <f>IF(Tab.11[[#This Row],[a1]]=1,Tab.11[[#This Row],[b1]])</f>
        <v>0</v>
      </c>
      <c r="I976" s="67" t="b">
        <f>IF(Tab.11[[#This Row],[a1]]=1,Tab.11[[#This Row],[b1]])</f>
        <v>0</v>
      </c>
      <c r="J976" s="68" t="b">
        <f>IF(Tab.11[[#This Row],[a1]]=1,IF($I$3&lt;0,Tab.11[[#This Row],[b5]]-$I$3,Tab.11[[#This Row],[b5]]))</f>
        <v>0</v>
      </c>
      <c r="K976" s="68" t="b">
        <f>IF(Tab.11[[#This Row],[a1]]=1,IF($K$3=0,Tab.11[b6],Tab.11[[#This Row],[b6]]-AVERAGE(Tab.11[b6])))</f>
        <v>0</v>
      </c>
      <c r="L976" s="69" t="b">
        <f>IF(Tab.11[[#This Row],[a1]]=1,Tab.11[[#This Row],[data]]/(_xlfn.STDEV.P(Tab.11[data])*$B$989)+$A$989)</f>
        <v>0</v>
      </c>
      <c r="M976" s="69" t="b">
        <f>IF(Tab.11[[#This Row],[a1]]=1,Tab.11[[#This Row],[data]]/(_xlfn.STDEV.P(Tab.11[data])*$B$987)-$A$987)</f>
        <v>0</v>
      </c>
      <c r="N976" s="69" t="b">
        <f>IF(Tab.11[[#This Row],[a1]]=1,Tab.11[[#This Row],[data]]/(_xlfn.STDEV.P(Tab.11[data])*$B$988)+$A$988)</f>
        <v>0</v>
      </c>
      <c r="O976" s="70" t="b">
        <f>IF(Tab.11[[#This Row],[a1]]=1,_xlfn.NORM.DIST(Tab.11[[#This Row],[b8]],$P$1,$Q$1,FALSE))</f>
        <v>0</v>
      </c>
      <c r="P976" s="70" t="b">
        <f>IF(Tab.11[[#This Row],[a1]]=1,_xlfn.NORM.DIST(Tab.11[[#This Row],[b9]],$P$1,$Q$1,FALSE))</f>
        <v>0</v>
      </c>
      <c r="Q976" s="70" t="b">
        <f>IF(Tab.11[[#This Row],[a1]]=1,_xlfn.NORM.DIST(Tab.11[[#This Row],[b10]],$P$1,$Q$1,FALSE))</f>
        <v>0</v>
      </c>
      <c r="R976" s="67" t="b">
        <f>IF(Tab.11[[#This Row],[a1]]=1,$I$3+$A$989+IF($K$3=0,Tab.11[[#This Row],[b8]]*_xlfn.STDEV.P(Tab.11[data]),AVERAGE(Tab.11[b6])+Tab.11[[#This Row],[b8]]*_xlfn.STDEV.P(Tab.11[data])))</f>
        <v>0</v>
      </c>
      <c r="S976" s="71" t="b">
        <f>IF(Tab.11[[#This Row],[a1]]=1,$I$3+$A$987+IF($K$3=0,Tab.11[[#This Row],[b9]]*_xlfn.STDEV.P(Tab.11[data]),AVERAGE(Tab.11[b6])+Tab.11[[#This Row],[b9]]*_xlfn.STDEV.P(Tab.11[data])))</f>
        <v>0</v>
      </c>
      <c r="T976" s="71" t="b">
        <f>IF(Tab.11[[#This Row],[a1]]=1,$I$3+$A$988+IF($K$3=0,Tab.11[[#This Row],[b10]]*_xlfn.STDEV.P(Tab.11[data]),AVERAGE(Tab.11[b6])+Tab.11[[#This Row],[b10]]*_xlfn.STDEV.P(Tab.11[data])))</f>
        <v>0</v>
      </c>
      <c r="U976" s="72" t="b">
        <f>IF(Tab.11[[#This Row],[a1]]=1,Tab.11[[#This Row],[target]]-Tab.11[[#This Row],[Red]])</f>
        <v>0</v>
      </c>
      <c r="V976" s="72" t="b">
        <f>IF(Tab.11[[#This Row],[a1]]=1,Tab.11[[#This Row],[target]]-Tab.11[[#This Row],[Blue]])</f>
        <v>0</v>
      </c>
      <c r="W976" s="73" t="b">
        <f>IF(Tab.11[[#This Row],[a1]]=1,IF(ABS(Tab.11[[#This Row],[b17]])+ABS(Tab.11[[#This Row],[b18]])&lt;$W$2,$W$2,ABS(Tab.11[[#This Row],[b17]])+ABS(Tab.11[[#This Row],[b18]])))</f>
        <v>0</v>
      </c>
      <c r="X976" s="136" t="b">
        <f>IF(Tab.11[[#This Row],[a1]]=1,IF($W$3&lt;0,Tab.11[[#This Row],[IN]]-$I$3,Tab.11[[#This Row],[IN]]))</f>
        <v>0</v>
      </c>
      <c r="Y976" s="136" t="b">
        <f>IF(Tab.11[[#This Row],[a1]]=1,IF($X$3=0,Tab.11[b66],Tab.11[[#This Row],[b66]]-AVERAGE(Tab.11[b66])))</f>
        <v>0</v>
      </c>
      <c r="Z976" s="135" t="b">
        <f>IF(Tab.11[[#This Row],[a1]]=1,Tab.11[[#This Row],[b77]]/(_xlfn.STDEV.P(Tab.11[b77])))</f>
        <v>0</v>
      </c>
      <c r="AA976" s="70" t="b">
        <f>IF(Tab.11[[#This Row],[a1]]=1,_xlfn.NORM.DIST(Tab.11[[#This Row],[b88]],$Z$1,$AA$1,FALSE))</f>
        <v>0</v>
      </c>
      <c r="AB976" s="74" t="b">
        <f>IF(Tab.11[[#This Row],[a1]]=1,IF($A$3=0,FALSE,1/Tab.11[[#This Row],[IN]]*$AC$2*IF(Tab.11[[#This Row],[a1]]=0,,$A$3*$AC$1*1/$V$3*(Tab.11[[#This Row],[b14]]))))</f>
        <v>0</v>
      </c>
      <c r="AC976" s="75" t="b">
        <f>IF(Tab.11[[#This Row],[a1]]=1,IF($AC$3=0,Tab.11[[#This Row],[φ1]],Tab.11[[#This Row],[φ1]]/MAX(Tab.11[φ1])))</f>
        <v>0</v>
      </c>
      <c r="AD976" s="74" t="b">
        <f>IF(Tab.11[[#This Row],[a1]]=1,1/Tab.11[[#This Row],[φ2]])</f>
        <v>0</v>
      </c>
      <c r="AE976" s="74" t="b">
        <f>IF(Tab.11[[#This Row],[a1]]=1,IF($AE$3=0,Tab.11[[#This Row],[w.0]],Tab.11[[#This Row],[w.0]]/SUM(Tab.11[w.0])))</f>
        <v>0</v>
      </c>
      <c r="AF976" s="76" t="str">
        <f>IF(Tab.11[[#This Row],[a1]]=0,"false",[3]!Tab.x5[[#This Row],[%_seN_C]])</f>
        <v>false</v>
      </c>
      <c r="AG976" s="77" t="b">
        <f>IF(Tab.11[[#This Row],[a1]]=1,AP976)</f>
        <v>0</v>
      </c>
      <c r="AH976" s="78" t="b">
        <f>IF(Tab.11[[#This Row],[a1]]=1,AQ976)</f>
        <v>0</v>
      </c>
      <c r="AI976" s="41">
        <v>3.0000000000000001E-3</v>
      </c>
      <c r="AJ976" s="79">
        <v>-0.09</v>
      </c>
      <c r="AK976" s="80" t="b">
        <f>IF(Tab.11[[#This Row],[a1]]=1,1)</f>
        <v>0</v>
      </c>
      <c r="AZ976"/>
    </row>
    <row r="977" spans="1:102" hidden="1" x14ac:dyDescent="0.25">
      <c r="A977" s="61">
        <f t="shared" si="31"/>
        <v>0</v>
      </c>
      <c r="B977" s="62">
        <f t="shared" si="31"/>
        <v>0</v>
      </c>
      <c r="C977" s="62" t="b">
        <f>IF(Tab.11[[#This Row],[a1]]=1,[3]!Tab_x1[[#This Row],[Name]])</f>
        <v>0</v>
      </c>
      <c r="D977" s="63" t="b">
        <f>IF(Tab.11[[#This Row],[a1]]=1,AO977)</f>
        <v>0</v>
      </c>
      <c r="E977" s="63">
        <f t="shared" si="32"/>
        <v>0</v>
      </c>
      <c r="F977" s="64" t="b">
        <f>IF(Tab.11[[#This Row],[a1]]=1,Tab.11[[#This Row],[b1]])</f>
        <v>0</v>
      </c>
      <c r="G977" s="65" t="b">
        <f>IF(Tab.11[[#This Row],[a1]]=1,IF(Tab.11[[#This Row],[b3]]&gt;$L$989*$G$3,$L$989*$G$3,IF(Tab.11[[#This Row],[b3]]&lt;$M$989*$G$3,$M$989*$G$3,Tab.11[[#This Row],[b3]])))</f>
        <v>0</v>
      </c>
      <c r="H977" s="66" t="b">
        <f>IF(Tab.11[[#This Row],[a1]]=1,Tab.11[[#This Row],[b1]])</f>
        <v>0</v>
      </c>
      <c r="I977" s="67" t="b">
        <f>IF(Tab.11[[#This Row],[a1]]=1,Tab.11[[#This Row],[b1]])</f>
        <v>0</v>
      </c>
      <c r="J977" s="68" t="b">
        <f>IF(Tab.11[[#This Row],[a1]]=1,IF($I$3&lt;0,Tab.11[[#This Row],[b5]]-$I$3,Tab.11[[#This Row],[b5]]))</f>
        <v>0</v>
      </c>
      <c r="K977" s="68" t="b">
        <f>IF(Tab.11[[#This Row],[a1]]=1,IF($K$3=0,Tab.11[b6],Tab.11[[#This Row],[b6]]-AVERAGE(Tab.11[b6])))</f>
        <v>0</v>
      </c>
      <c r="L977" s="69" t="b">
        <f>IF(Tab.11[[#This Row],[a1]]=1,Tab.11[[#This Row],[data]]/(_xlfn.STDEV.P(Tab.11[data])*$B$989)+$A$989)</f>
        <v>0</v>
      </c>
      <c r="M977" s="69" t="b">
        <f>IF(Tab.11[[#This Row],[a1]]=1,Tab.11[[#This Row],[data]]/(_xlfn.STDEV.P(Tab.11[data])*$B$987)-$A$987)</f>
        <v>0</v>
      </c>
      <c r="N977" s="69" t="b">
        <f>IF(Tab.11[[#This Row],[a1]]=1,Tab.11[[#This Row],[data]]/(_xlfn.STDEV.P(Tab.11[data])*$B$988)+$A$988)</f>
        <v>0</v>
      </c>
      <c r="O977" s="70" t="b">
        <f>IF(Tab.11[[#This Row],[a1]]=1,_xlfn.NORM.DIST(Tab.11[[#This Row],[b8]],$P$1,$Q$1,FALSE))</f>
        <v>0</v>
      </c>
      <c r="P977" s="70" t="b">
        <f>IF(Tab.11[[#This Row],[a1]]=1,_xlfn.NORM.DIST(Tab.11[[#This Row],[b9]],$P$1,$Q$1,FALSE))</f>
        <v>0</v>
      </c>
      <c r="Q977" s="70" t="b">
        <f>IF(Tab.11[[#This Row],[a1]]=1,_xlfn.NORM.DIST(Tab.11[[#This Row],[b10]],$P$1,$Q$1,FALSE))</f>
        <v>0</v>
      </c>
      <c r="R977" s="67" t="b">
        <f>IF(Tab.11[[#This Row],[a1]]=1,$I$3+$A$989+IF($K$3=0,Tab.11[[#This Row],[b8]]*_xlfn.STDEV.P(Tab.11[data]),AVERAGE(Tab.11[b6])+Tab.11[[#This Row],[b8]]*_xlfn.STDEV.P(Tab.11[data])))</f>
        <v>0</v>
      </c>
      <c r="S977" s="71" t="b">
        <f>IF(Tab.11[[#This Row],[a1]]=1,$I$3+$A$987+IF($K$3=0,Tab.11[[#This Row],[b9]]*_xlfn.STDEV.P(Tab.11[data]),AVERAGE(Tab.11[b6])+Tab.11[[#This Row],[b9]]*_xlfn.STDEV.P(Tab.11[data])))</f>
        <v>0</v>
      </c>
      <c r="T977" s="71" t="b">
        <f>IF(Tab.11[[#This Row],[a1]]=1,$I$3+$A$988+IF($K$3=0,Tab.11[[#This Row],[b10]]*_xlfn.STDEV.P(Tab.11[data]),AVERAGE(Tab.11[b6])+Tab.11[[#This Row],[b10]]*_xlfn.STDEV.P(Tab.11[data])))</f>
        <v>0</v>
      </c>
      <c r="U977" s="72" t="b">
        <f>IF(Tab.11[[#This Row],[a1]]=1,Tab.11[[#This Row],[target]]-Tab.11[[#This Row],[Red]])</f>
        <v>0</v>
      </c>
      <c r="V977" s="72" t="b">
        <f>IF(Tab.11[[#This Row],[a1]]=1,Tab.11[[#This Row],[target]]-Tab.11[[#This Row],[Blue]])</f>
        <v>0</v>
      </c>
      <c r="W977" s="73" t="b">
        <f>IF(Tab.11[[#This Row],[a1]]=1,IF(ABS(Tab.11[[#This Row],[b17]])+ABS(Tab.11[[#This Row],[b18]])&lt;$W$2,$W$2,ABS(Tab.11[[#This Row],[b17]])+ABS(Tab.11[[#This Row],[b18]])))</f>
        <v>0</v>
      </c>
      <c r="X977" s="136" t="b">
        <f>IF(Tab.11[[#This Row],[a1]]=1,IF($W$3&lt;0,Tab.11[[#This Row],[IN]]-$I$3,Tab.11[[#This Row],[IN]]))</f>
        <v>0</v>
      </c>
      <c r="Y977" s="136" t="b">
        <f>IF(Tab.11[[#This Row],[a1]]=1,IF($X$3=0,Tab.11[b66],Tab.11[[#This Row],[b66]]-AVERAGE(Tab.11[b66])))</f>
        <v>0</v>
      </c>
      <c r="Z977" s="135" t="b">
        <f>IF(Tab.11[[#This Row],[a1]]=1,Tab.11[[#This Row],[b77]]/(_xlfn.STDEV.P(Tab.11[b77])))</f>
        <v>0</v>
      </c>
      <c r="AA977" s="70" t="b">
        <f>IF(Tab.11[[#This Row],[a1]]=1,_xlfn.NORM.DIST(Tab.11[[#This Row],[b88]],$Z$1,$AA$1,FALSE))</f>
        <v>0</v>
      </c>
      <c r="AB977" s="74" t="b">
        <f>IF(Tab.11[[#This Row],[a1]]=1,IF($A$3=0,FALSE,1/Tab.11[[#This Row],[IN]]*$AC$2*IF(Tab.11[[#This Row],[a1]]=0,,$A$3*$AC$1*1/$V$3*(Tab.11[[#This Row],[b14]]))))</f>
        <v>0</v>
      </c>
      <c r="AC977" s="75" t="b">
        <f>IF(Tab.11[[#This Row],[a1]]=1,IF($AC$3=0,Tab.11[[#This Row],[φ1]],Tab.11[[#This Row],[φ1]]/MAX(Tab.11[φ1])))</f>
        <v>0</v>
      </c>
      <c r="AD977" s="74" t="b">
        <f>IF(Tab.11[[#This Row],[a1]]=1,1/Tab.11[[#This Row],[φ2]])</f>
        <v>0</v>
      </c>
      <c r="AE977" s="74" t="b">
        <f>IF(Tab.11[[#This Row],[a1]]=1,IF($AE$3=0,Tab.11[[#This Row],[w.0]],Tab.11[[#This Row],[w.0]]/SUM(Tab.11[w.0])))</f>
        <v>0</v>
      </c>
      <c r="AF977" s="76" t="str">
        <f>IF(Tab.11[[#This Row],[a1]]=0,"false",[3]!Tab.x5[[#This Row],[%_seN_C]])</f>
        <v>false</v>
      </c>
      <c r="AG977" s="77" t="b">
        <f>IF(Tab.11[[#This Row],[a1]]=1,AP977)</f>
        <v>0</v>
      </c>
      <c r="AH977" s="78" t="b">
        <f>IF(Tab.11[[#This Row],[a1]]=1,AQ977)</f>
        <v>0</v>
      </c>
      <c r="AI977" s="41">
        <v>3.0000000000000001E-3</v>
      </c>
      <c r="AJ977" s="79">
        <v>-0.09</v>
      </c>
      <c r="AK977" s="80" t="b">
        <f>IF(Tab.11[[#This Row],[a1]]=1,1)</f>
        <v>0</v>
      </c>
      <c r="AZ977"/>
    </row>
    <row r="978" spans="1:102" hidden="1" x14ac:dyDescent="0.25">
      <c r="A978" s="61">
        <f t="shared" si="31"/>
        <v>0</v>
      </c>
      <c r="B978" s="62">
        <f t="shared" si="31"/>
        <v>0</v>
      </c>
      <c r="C978" s="62" t="b">
        <f>IF(Tab.11[[#This Row],[a1]]=1,[3]!Tab_x1[[#This Row],[Name]])</f>
        <v>0</v>
      </c>
      <c r="D978" s="63" t="b">
        <f>IF(Tab.11[[#This Row],[a1]]=1,AO978)</f>
        <v>0</v>
      </c>
      <c r="E978" s="63">
        <f t="shared" si="32"/>
        <v>0</v>
      </c>
      <c r="F978" s="64" t="b">
        <f>IF(Tab.11[[#This Row],[a1]]=1,Tab.11[[#This Row],[b1]])</f>
        <v>0</v>
      </c>
      <c r="G978" s="65" t="b">
        <f>IF(Tab.11[[#This Row],[a1]]=1,IF(Tab.11[[#This Row],[b3]]&gt;$L$989*$G$3,$L$989*$G$3,IF(Tab.11[[#This Row],[b3]]&lt;$M$989*$G$3,$M$989*$G$3,Tab.11[[#This Row],[b3]])))</f>
        <v>0</v>
      </c>
      <c r="H978" s="66" t="b">
        <f>IF(Tab.11[[#This Row],[a1]]=1,Tab.11[[#This Row],[b1]])</f>
        <v>0</v>
      </c>
      <c r="I978" s="67" t="b">
        <f>IF(Tab.11[[#This Row],[a1]]=1,Tab.11[[#This Row],[b1]])</f>
        <v>0</v>
      </c>
      <c r="J978" s="68" t="b">
        <f>IF(Tab.11[[#This Row],[a1]]=1,IF($I$3&lt;0,Tab.11[[#This Row],[b5]]-$I$3,Tab.11[[#This Row],[b5]]))</f>
        <v>0</v>
      </c>
      <c r="K978" s="68" t="b">
        <f>IF(Tab.11[[#This Row],[a1]]=1,IF($K$3=0,Tab.11[b6],Tab.11[[#This Row],[b6]]-AVERAGE(Tab.11[b6])))</f>
        <v>0</v>
      </c>
      <c r="L978" s="69" t="b">
        <f>IF(Tab.11[[#This Row],[a1]]=1,Tab.11[[#This Row],[data]]/(_xlfn.STDEV.P(Tab.11[data])*$B$989)+$A$989)</f>
        <v>0</v>
      </c>
      <c r="M978" s="69" t="b">
        <f>IF(Tab.11[[#This Row],[a1]]=1,Tab.11[[#This Row],[data]]/(_xlfn.STDEV.P(Tab.11[data])*$B$987)-$A$987)</f>
        <v>0</v>
      </c>
      <c r="N978" s="69" t="b">
        <f>IF(Tab.11[[#This Row],[a1]]=1,Tab.11[[#This Row],[data]]/(_xlfn.STDEV.P(Tab.11[data])*$B$988)+$A$988)</f>
        <v>0</v>
      </c>
      <c r="O978" s="70" t="b">
        <f>IF(Tab.11[[#This Row],[a1]]=1,_xlfn.NORM.DIST(Tab.11[[#This Row],[b8]],$P$1,$Q$1,FALSE))</f>
        <v>0</v>
      </c>
      <c r="P978" s="70" t="b">
        <f>IF(Tab.11[[#This Row],[a1]]=1,_xlfn.NORM.DIST(Tab.11[[#This Row],[b9]],$P$1,$Q$1,FALSE))</f>
        <v>0</v>
      </c>
      <c r="Q978" s="70" t="b">
        <f>IF(Tab.11[[#This Row],[a1]]=1,_xlfn.NORM.DIST(Tab.11[[#This Row],[b10]],$P$1,$Q$1,FALSE))</f>
        <v>0</v>
      </c>
      <c r="R978" s="67" t="b">
        <f>IF(Tab.11[[#This Row],[a1]]=1,$I$3+$A$989+IF($K$3=0,Tab.11[[#This Row],[b8]]*_xlfn.STDEV.P(Tab.11[data]),AVERAGE(Tab.11[b6])+Tab.11[[#This Row],[b8]]*_xlfn.STDEV.P(Tab.11[data])))</f>
        <v>0</v>
      </c>
      <c r="S978" s="71" t="b">
        <f>IF(Tab.11[[#This Row],[a1]]=1,$I$3+$A$987+IF($K$3=0,Tab.11[[#This Row],[b9]]*_xlfn.STDEV.P(Tab.11[data]),AVERAGE(Tab.11[b6])+Tab.11[[#This Row],[b9]]*_xlfn.STDEV.P(Tab.11[data])))</f>
        <v>0</v>
      </c>
      <c r="T978" s="71" t="b">
        <f>IF(Tab.11[[#This Row],[a1]]=1,$I$3+$A$988+IF($K$3=0,Tab.11[[#This Row],[b10]]*_xlfn.STDEV.P(Tab.11[data]),AVERAGE(Tab.11[b6])+Tab.11[[#This Row],[b10]]*_xlfn.STDEV.P(Tab.11[data])))</f>
        <v>0</v>
      </c>
      <c r="U978" s="72" t="b">
        <f>IF(Tab.11[[#This Row],[a1]]=1,Tab.11[[#This Row],[target]]-Tab.11[[#This Row],[Red]])</f>
        <v>0</v>
      </c>
      <c r="V978" s="72" t="b">
        <f>IF(Tab.11[[#This Row],[a1]]=1,Tab.11[[#This Row],[target]]-Tab.11[[#This Row],[Blue]])</f>
        <v>0</v>
      </c>
      <c r="W978" s="73" t="b">
        <f>IF(Tab.11[[#This Row],[a1]]=1,IF(ABS(Tab.11[[#This Row],[b17]])+ABS(Tab.11[[#This Row],[b18]])&lt;$W$2,$W$2,ABS(Tab.11[[#This Row],[b17]])+ABS(Tab.11[[#This Row],[b18]])))</f>
        <v>0</v>
      </c>
      <c r="X978" s="136" t="b">
        <f>IF(Tab.11[[#This Row],[a1]]=1,IF($W$3&lt;0,Tab.11[[#This Row],[IN]]-$I$3,Tab.11[[#This Row],[IN]]))</f>
        <v>0</v>
      </c>
      <c r="Y978" s="136" t="b">
        <f>IF(Tab.11[[#This Row],[a1]]=1,IF($X$3=0,Tab.11[b66],Tab.11[[#This Row],[b66]]-AVERAGE(Tab.11[b66])))</f>
        <v>0</v>
      </c>
      <c r="Z978" s="135" t="b">
        <f>IF(Tab.11[[#This Row],[a1]]=1,Tab.11[[#This Row],[b77]]/(_xlfn.STDEV.P(Tab.11[b77])))</f>
        <v>0</v>
      </c>
      <c r="AA978" s="70" t="b">
        <f>IF(Tab.11[[#This Row],[a1]]=1,_xlfn.NORM.DIST(Tab.11[[#This Row],[b88]],$Z$1,$AA$1,FALSE))</f>
        <v>0</v>
      </c>
      <c r="AB978" s="74" t="b">
        <f>IF(Tab.11[[#This Row],[a1]]=1,IF($A$3=0,FALSE,1/Tab.11[[#This Row],[IN]]*$AC$2*IF(Tab.11[[#This Row],[a1]]=0,,$A$3*$AC$1*1/$V$3*(Tab.11[[#This Row],[b14]]))))</f>
        <v>0</v>
      </c>
      <c r="AC978" s="75" t="b">
        <f>IF(Tab.11[[#This Row],[a1]]=1,IF($AC$3=0,Tab.11[[#This Row],[φ1]],Tab.11[[#This Row],[φ1]]/MAX(Tab.11[φ1])))</f>
        <v>0</v>
      </c>
      <c r="AD978" s="74" t="b">
        <f>IF(Tab.11[[#This Row],[a1]]=1,1/Tab.11[[#This Row],[φ2]])</f>
        <v>0</v>
      </c>
      <c r="AE978" s="74" t="b">
        <f>IF(Tab.11[[#This Row],[a1]]=1,IF($AE$3=0,Tab.11[[#This Row],[w.0]],Tab.11[[#This Row],[w.0]]/SUM(Tab.11[w.0])))</f>
        <v>0</v>
      </c>
      <c r="AF978" s="76" t="str">
        <f>IF(Tab.11[[#This Row],[a1]]=0,"false",[3]!Tab.x5[[#This Row],[%_seN_C]])</f>
        <v>false</v>
      </c>
      <c r="AG978" s="77" t="b">
        <f>IF(Tab.11[[#This Row],[a1]]=1,AP978)</f>
        <v>0</v>
      </c>
      <c r="AH978" s="78" t="b">
        <f>IF(Tab.11[[#This Row],[a1]]=1,AQ978)</f>
        <v>0</v>
      </c>
      <c r="AI978" s="41">
        <v>3.0000000000000001E-3</v>
      </c>
      <c r="AJ978" s="79">
        <v>-0.1</v>
      </c>
      <c r="AK978" s="80" t="b">
        <f>IF(Tab.11[[#This Row],[a1]]=1,1)</f>
        <v>0</v>
      </c>
      <c r="AZ978"/>
    </row>
    <row r="979" spans="1:102" hidden="1" x14ac:dyDescent="0.25">
      <c r="A979" s="61">
        <f t="shared" si="31"/>
        <v>0</v>
      </c>
      <c r="B979" s="62">
        <f t="shared" si="31"/>
        <v>0</v>
      </c>
      <c r="C979" s="62" t="b">
        <f>IF(Tab.11[[#This Row],[a1]]=1,[3]!Tab_x1[[#This Row],[Name]])</f>
        <v>0</v>
      </c>
      <c r="D979" s="63" t="b">
        <f>IF(Tab.11[[#This Row],[a1]]=1,AO979)</f>
        <v>0</v>
      </c>
      <c r="E979" s="63">
        <f t="shared" si="32"/>
        <v>0</v>
      </c>
      <c r="F979" s="64" t="b">
        <f>IF(Tab.11[[#This Row],[a1]]=1,Tab.11[[#This Row],[b1]])</f>
        <v>0</v>
      </c>
      <c r="G979" s="65" t="b">
        <f>IF(Tab.11[[#This Row],[a1]]=1,IF(Tab.11[[#This Row],[b3]]&gt;$L$989*$G$3,$L$989*$G$3,IF(Tab.11[[#This Row],[b3]]&lt;$M$989*$G$3,$M$989*$G$3,Tab.11[[#This Row],[b3]])))</f>
        <v>0</v>
      </c>
      <c r="H979" s="66" t="b">
        <f>IF(Tab.11[[#This Row],[a1]]=1,Tab.11[[#This Row],[b1]])</f>
        <v>0</v>
      </c>
      <c r="I979" s="67" t="b">
        <f>IF(Tab.11[[#This Row],[a1]]=1,Tab.11[[#This Row],[b1]])</f>
        <v>0</v>
      </c>
      <c r="J979" s="68" t="b">
        <f>IF(Tab.11[[#This Row],[a1]]=1,IF($I$3&lt;0,Tab.11[[#This Row],[b5]]-$I$3,Tab.11[[#This Row],[b5]]))</f>
        <v>0</v>
      </c>
      <c r="K979" s="68" t="b">
        <f>IF(Tab.11[[#This Row],[a1]]=1,IF($K$3=0,Tab.11[b6],Tab.11[[#This Row],[b6]]-AVERAGE(Tab.11[b6])))</f>
        <v>0</v>
      </c>
      <c r="L979" s="69" t="b">
        <f>IF(Tab.11[[#This Row],[a1]]=1,Tab.11[[#This Row],[data]]/(_xlfn.STDEV.P(Tab.11[data])*$B$989)+$A$989)</f>
        <v>0</v>
      </c>
      <c r="M979" s="69" t="b">
        <f>IF(Tab.11[[#This Row],[a1]]=1,Tab.11[[#This Row],[data]]/(_xlfn.STDEV.P(Tab.11[data])*$B$987)-$A$987)</f>
        <v>0</v>
      </c>
      <c r="N979" s="69" t="b">
        <f>IF(Tab.11[[#This Row],[a1]]=1,Tab.11[[#This Row],[data]]/(_xlfn.STDEV.P(Tab.11[data])*$B$988)+$A$988)</f>
        <v>0</v>
      </c>
      <c r="O979" s="70" t="b">
        <f>IF(Tab.11[[#This Row],[a1]]=1,_xlfn.NORM.DIST(Tab.11[[#This Row],[b8]],$P$1,$Q$1,FALSE))</f>
        <v>0</v>
      </c>
      <c r="P979" s="70" t="b">
        <f>IF(Tab.11[[#This Row],[a1]]=1,_xlfn.NORM.DIST(Tab.11[[#This Row],[b9]],$P$1,$Q$1,FALSE))</f>
        <v>0</v>
      </c>
      <c r="Q979" s="70" t="b">
        <f>IF(Tab.11[[#This Row],[a1]]=1,_xlfn.NORM.DIST(Tab.11[[#This Row],[b10]],$P$1,$Q$1,FALSE))</f>
        <v>0</v>
      </c>
      <c r="R979" s="67" t="b">
        <f>IF(Tab.11[[#This Row],[a1]]=1,$I$3+$A$989+IF($K$3=0,Tab.11[[#This Row],[b8]]*_xlfn.STDEV.P(Tab.11[data]),AVERAGE(Tab.11[b6])+Tab.11[[#This Row],[b8]]*_xlfn.STDEV.P(Tab.11[data])))</f>
        <v>0</v>
      </c>
      <c r="S979" s="71" t="b">
        <f>IF(Tab.11[[#This Row],[a1]]=1,$I$3+$A$987+IF($K$3=0,Tab.11[[#This Row],[b9]]*_xlfn.STDEV.P(Tab.11[data]),AVERAGE(Tab.11[b6])+Tab.11[[#This Row],[b9]]*_xlfn.STDEV.P(Tab.11[data])))</f>
        <v>0</v>
      </c>
      <c r="T979" s="71" t="b">
        <f>IF(Tab.11[[#This Row],[a1]]=1,$I$3+$A$988+IF($K$3=0,Tab.11[[#This Row],[b10]]*_xlfn.STDEV.P(Tab.11[data]),AVERAGE(Tab.11[b6])+Tab.11[[#This Row],[b10]]*_xlfn.STDEV.P(Tab.11[data])))</f>
        <v>0</v>
      </c>
      <c r="U979" s="72" t="b">
        <f>IF(Tab.11[[#This Row],[a1]]=1,Tab.11[[#This Row],[target]]-Tab.11[[#This Row],[Red]])</f>
        <v>0</v>
      </c>
      <c r="V979" s="72" t="b">
        <f>IF(Tab.11[[#This Row],[a1]]=1,Tab.11[[#This Row],[target]]-Tab.11[[#This Row],[Blue]])</f>
        <v>0</v>
      </c>
      <c r="W979" s="73" t="b">
        <f>IF(Tab.11[[#This Row],[a1]]=1,IF(ABS(Tab.11[[#This Row],[b17]])+ABS(Tab.11[[#This Row],[b18]])&lt;$W$2,$W$2,ABS(Tab.11[[#This Row],[b17]])+ABS(Tab.11[[#This Row],[b18]])))</f>
        <v>0</v>
      </c>
      <c r="X979" s="136" t="b">
        <f>IF(Tab.11[[#This Row],[a1]]=1,IF($W$3&lt;0,Tab.11[[#This Row],[IN]]-$I$3,Tab.11[[#This Row],[IN]]))</f>
        <v>0</v>
      </c>
      <c r="Y979" s="136" t="b">
        <f>IF(Tab.11[[#This Row],[a1]]=1,IF($X$3=0,Tab.11[b66],Tab.11[[#This Row],[b66]]-AVERAGE(Tab.11[b66])))</f>
        <v>0</v>
      </c>
      <c r="Z979" s="135" t="b">
        <f>IF(Tab.11[[#This Row],[a1]]=1,Tab.11[[#This Row],[b77]]/(_xlfn.STDEV.P(Tab.11[b77])))</f>
        <v>0</v>
      </c>
      <c r="AA979" s="70" t="b">
        <f>IF(Tab.11[[#This Row],[a1]]=1,_xlfn.NORM.DIST(Tab.11[[#This Row],[b88]],$Z$1,$AA$1,FALSE))</f>
        <v>0</v>
      </c>
      <c r="AB979" s="74" t="b">
        <f>IF(Tab.11[[#This Row],[a1]]=1,IF($A$3=0,FALSE,1/Tab.11[[#This Row],[IN]]*$AC$2*IF(Tab.11[[#This Row],[a1]]=0,,$A$3*$AC$1*1/$V$3*(Tab.11[[#This Row],[b14]]))))</f>
        <v>0</v>
      </c>
      <c r="AC979" s="75" t="b">
        <f>IF(Tab.11[[#This Row],[a1]]=1,IF($AC$3=0,Tab.11[[#This Row],[φ1]],Tab.11[[#This Row],[φ1]]/MAX(Tab.11[φ1])))</f>
        <v>0</v>
      </c>
      <c r="AD979" s="74" t="b">
        <f>IF(Tab.11[[#This Row],[a1]]=1,1/Tab.11[[#This Row],[φ2]])</f>
        <v>0</v>
      </c>
      <c r="AE979" s="74" t="b">
        <f>IF(Tab.11[[#This Row],[a1]]=1,IF($AE$3=0,Tab.11[[#This Row],[w.0]],Tab.11[[#This Row],[w.0]]/SUM(Tab.11[w.0])))</f>
        <v>0</v>
      </c>
      <c r="AF979" s="76" t="str">
        <f>IF(Tab.11[[#This Row],[a1]]=0,"false",[3]!Tab.x5[[#This Row],[%_seN_C]])</f>
        <v>false</v>
      </c>
      <c r="AG979" s="77" t="b">
        <f>IF(Tab.11[[#This Row],[a1]]=1,AP979)</f>
        <v>0</v>
      </c>
      <c r="AH979" s="78" t="b">
        <f>IF(Tab.11[[#This Row],[a1]]=1,AQ979)</f>
        <v>0</v>
      </c>
      <c r="AI979" s="41">
        <v>3.0000000000000001E-3</v>
      </c>
      <c r="AJ979" s="79">
        <v>-0.06</v>
      </c>
      <c r="AK979" s="80" t="b">
        <f>IF(Tab.11[[#This Row],[a1]]=1,1)</f>
        <v>0</v>
      </c>
      <c r="AZ979"/>
    </row>
    <row r="980" spans="1:102" hidden="1" x14ac:dyDescent="0.25">
      <c r="A980" s="61">
        <f t="shared" si="31"/>
        <v>0</v>
      </c>
      <c r="B980" s="62">
        <f t="shared" si="31"/>
        <v>0</v>
      </c>
      <c r="C980" s="62" t="b">
        <f>IF(Tab.11[[#This Row],[a1]]=1,[3]!Tab_x1[[#This Row],[Name]])</f>
        <v>0</v>
      </c>
      <c r="D980" s="63" t="b">
        <f>IF(Tab.11[[#This Row],[a1]]=1,AO980)</f>
        <v>0</v>
      </c>
      <c r="E980" s="63">
        <f t="shared" si="32"/>
        <v>0</v>
      </c>
      <c r="F980" s="64" t="b">
        <f>IF(Tab.11[[#This Row],[a1]]=1,Tab.11[[#This Row],[b1]])</f>
        <v>0</v>
      </c>
      <c r="G980" s="65" t="b">
        <f>IF(Tab.11[[#This Row],[a1]]=1,IF(Tab.11[[#This Row],[b3]]&gt;$L$989*$G$3,$L$989*$G$3,IF(Tab.11[[#This Row],[b3]]&lt;$M$989*$G$3,$M$989*$G$3,Tab.11[[#This Row],[b3]])))</f>
        <v>0</v>
      </c>
      <c r="H980" s="66" t="b">
        <f>IF(Tab.11[[#This Row],[a1]]=1,Tab.11[[#This Row],[b1]])</f>
        <v>0</v>
      </c>
      <c r="I980" s="67" t="b">
        <f>IF(Tab.11[[#This Row],[a1]]=1,Tab.11[[#This Row],[b1]])</f>
        <v>0</v>
      </c>
      <c r="J980" s="68" t="b">
        <f>IF(Tab.11[[#This Row],[a1]]=1,IF($I$3&lt;0,Tab.11[[#This Row],[b5]]-$I$3,Tab.11[[#This Row],[b5]]))</f>
        <v>0</v>
      </c>
      <c r="K980" s="68" t="b">
        <f>IF(Tab.11[[#This Row],[a1]]=1,IF($K$3=0,Tab.11[b6],Tab.11[[#This Row],[b6]]-AVERAGE(Tab.11[b6])))</f>
        <v>0</v>
      </c>
      <c r="L980" s="69" t="b">
        <f>IF(Tab.11[[#This Row],[a1]]=1,Tab.11[[#This Row],[data]]/(_xlfn.STDEV.P(Tab.11[data])*$B$989)+$A$989)</f>
        <v>0</v>
      </c>
      <c r="M980" s="69" t="b">
        <f>IF(Tab.11[[#This Row],[a1]]=1,Tab.11[[#This Row],[data]]/(_xlfn.STDEV.P(Tab.11[data])*$B$987)-$A$987)</f>
        <v>0</v>
      </c>
      <c r="N980" s="69" t="b">
        <f>IF(Tab.11[[#This Row],[a1]]=1,Tab.11[[#This Row],[data]]/(_xlfn.STDEV.P(Tab.11[data])*$B$988)+$A$988)</f>
        <v>0</v>
      </c>
      <c r="O980" s="70" t="b">
        <f>IF(Tab.11[[#This Row],[a1]]=1,_xlfn.NORM.DIST(Tab.11[[#This Row],[b8]],$P$1,$Q$1,FALSE))</f>
        <v>0</v>
      </c>
      <c r="P980" s="70" t="b">
        <f>IF(Tab.11[[#This Row],[a1]]=1,_xlfn.NORM.DIST(Tab.11[[#This Row],[b9]],$P$1,$Q$1,FALSE))</f>
        <v>0</v>
      </c>
      <c r="Q980" s="70" t="b">
        <f>IF(Tab.11[[#This Row],[a1]]=1,_xlfn.NORM.DIST(Tab.11[[#This Row],[b10]],$P$1,$Q$1,FALSE))</f>
        <v>0</v>
      </c>
      <c r="R980" s="67" t="b">
        <f>IF(Tab.11[[#This Row],[a1]]=1,$I$3+$A$989+IF($K$3=0,Tab.11[[#This Row],[b8]]*_xlfn.STDEV.P(Tab.11[data]),AVERAGE(Tab.11[b6])+Tab.11[[#This Row],[b8]]*_xlfn.STDEV.P(Tab.11[data])))</f>
        <v>0</v>
      </c>
      <c r="S980" s="71" t="b">
        <f>IF(Tab.11[[#This Row],[a1]]=1,$I$3+$A$987+IF($K$3=0,Tab.11[[#This Row],[b9]]*_xlfn.STDEV.P(Tab.11[data]),AVERAGE(Tab.11[b6])+Tab.11[[#This Row],[b9]]*_xlfn.STDEV.P(Tab.11[data])))</f>
        <v>0</v>
      </c>
      <c r="T980" s="71" t="b">
        <f>IF(Tab.11[[#This Row],[a1]]=1,$I$3+$A$988+IF($K$3=0,Tab.11[[#This Row],[b10]]*_xlfn.STDEV.P(Tab.11[data]),AVERAGE(Tab.11[b6])+Tab.11[[#This Row],[b10]]*_xlfn.STDEV.P(Tab.11[data])))</f>
        <v>0</v>
      </c>
      <c r="U980" s="72" t="b">
        <f>IF(Tab.11[[#This Row],[a1]]=1,Tab.11[[#This Row],[target]]-Tab.11[[#This Row],[Red]])</f>
        <v>0</v>
      </c>
      <c r="V980" s="72" t="b">
        <f>IF(Tab.11[[#This Row],[a1]]=1,Tab.11[[#This Row],[target]]-Tab.11[[#This Row],[Blue]])</f>
        <v>0</v>
      </c>
      <c r="W980" s="73" t="b">
        <f>IF(Tab.11[[#This Row],[a1]]=1,IF(ABS(Tab.11[[#This Row],[b17]])+ABS(Tab.11[[#This Row],[b18]])&lt;$W$2,$W$2,ABS(Tab.11[[#This Row],[b17]])+ABS(Tab.11[[#This Row],[b18]])))</f>
        <v>0</v>
      </c>
      <c r="X980" s="136" t="b">
        <f>IF(Tab.11[[#This Row],[a1]]=1,IF($W$3&lt;0,Tab.11[[#This Row],[IN]]-$I$3,Tab.11[[#This Row],[IN]]))</f>
        <v>0</v>
      </c>
      <c r="Y980" s="136" t="b">
        <f>IF(Tab.11[[#This Row],[a1]]=1,IF($X$3=0,Tab.11[b66],Tab.11[[#This Row],[b66]]-AVERAGE(Tab.11[b66])))</f>
        <v>0</v>
      </c>
      <c r="Z980" s="135" t="b">
        <f>IF(Tab.11[[#This Row],[a1]]=1,Tab.11[[#This Row],[b77]]/(_xlfn.STDEV.P(Tab.11[b77])))</f>
        <v>0</v>
      </c>
      <c r="AA980" s="70" t="b">
        <f>IF(Tab.11[[#This Row],[a1]]=1,_xlfn.NORM.DIST(Tab.11[[#This Row],[b88]],$Z$1,$AA$1,FALSE))</f>
        <v>0</v>
      </c>
      <c r="AB980" s="74" t="b">
        <f>IF(Tab.11[[#This Row],[a1]]=1,IF($A$3=0,FALSE,1/Tab.11[[#This Row],[IN]]*$AC$2*IF(Tab.11[[#This Row],[a1]]=0,,$A$3*$AC$1*1/$V$3*(Tab.11[[#This Row],[b14]]))))</f>
        <v>0</v>
      </c>
      <c r="AC980" s="75" t="b">
        <f>IF(Tab.11[[#This Row],[a1]]=1,IF($AC$3=0,Tab.11[[#This Row],[φ1]],Tab.11[[#This Row],[φ1]]/MAX(Tab.11[φ1])))</f>
        <v>0</v>
      </c>
      <c r="AD980" s="74" t="b">
        <f>IF(Tab.11[[#This Row],[a1]]=1,1/Tab.11[[#This Row],[φ2]])</f>
        <v>0</v>
      </c>
      <c r="AE980" s="74" t="b">
        <f>IF(Tab.11[[#This Row],[a1]]=1,IF($AE$3=0,Tab.11[[#This Row],[w.0]],Tab.11[[#This Row],[w.0]]/SUM(Tab.11[w.0])))</f>
        <v>0</v>
      </c>
      <c r="AF980" s="76" t="str">
        <f>IF(Tab.11[[#This Row],[a1]]=0,"false",[3]!Tab.x5[[#This Row],[%_seN_C]])</f>
        <v>false</v>
      </c>
      <c r="AG980" s="77" t="b">
        <f>IF(Tab.11[[#This Row],[a1]]=1,AP980)</f>
        <v>0</v>
      </c>
      <c r="AH980" s="78" t="b">
        <f>IF(Tab.11[[#This Row],[a1]]=1,AQ980)</f>
        <v>0</v>
      </c>
      <c r="AI980" s="41">
        <v>3.0000000000000001E-3</v>
      </c>
      <c r="AJ980" s="79">
        <v>-0.03</v>
      </c>
      <c r="AK980" s="80" t="b">
        <f>IF(Tab.11[[#This Row],[a1]]=1,1)</f>
        <v>0</v>
      </c>
      <c r="AZ980"/>
    </row>
    <row r="981" spans="1:102" hidden="1" x14ac:dyDescent="0.25">
      <c r="A981" s="61">
        <f t="shared" ref="A981:B984" si="33">AM981</f>
        <v>0</v>
      </c>
      <c r="B981" s="62">
        <f t="shared" si="33"/>
        <v>0</v>
      </c>
      <c r="C981" s="62" t="b">
        <f>IF(Tab.11[[#This Row],[a1]]=1,[3]!Tab_x1[[#This Row],[Name]])</f>
        <v>0</v>
      </c>
      <c r="D981" s="63" t="b">
        <f>IF(Tab.11[[#This Row],[a1]]=1,AO981)</f>
        <v>0</v>
      </c>
      <c r="E981" s="63">
        <f t="shared" si="32"/>
        <v>0</v>
      </c>
      <c r="F981" s="64" t="b">
        <f>IF(Tab.11[[#This Row],[a1]]=1,Tab.11[[#This Row],[b1]])</f>
        <v>0</v>
      </c>
      <c r="G981" s="65" t="b">
        <f>IF(Tab.11[[#This Row],[a1]]=1,IF(Tab.11[[#This Row],[b3]]&gt;$L$989*$G$3,$L$989*$G$3,IF(Tab.11[[#This Row],[b3]]&lt;$M$989*$G$3,$M$989*$G$3,Tab.11[[#This Row],[b3]])))</f>
        <v>0</v>
      </c>
      <c r="H981" s="66" t="b">
        <f>IF(Tab.11[[#This Row],[a1]]=1,Tab.11[[#This Row],[b1]])</f>
        <v>0</v>
      </c>
      <c r="I981" s="67" t="b">
        <f>IF(Tab.11[[#This Row],[a1]]=1,Tab.11[[#This Row],[b1]])</f>
        <v>0</v>
      </c>
      <c r="J981" s="68" t="b">
        <f>IF(Tab.11[[#This Row],[a1]]=1,IF($I$3&lt;0,Tab.11[[#This Row],[b5]]-$I$3,Tab.11[[#This Row],[b5]]))</f>
        <v>0</v>
      </c>
      <c r="K981" s="68" t="b">
        <f>IF(Tab.11[[#This Row],[a1]]=1,IF($K$3=0,Tab.11[b6],Tab.11[[#This Row],[b6]]-AVERAGE(Tab.11[b6])))</f>
        <v>0</v>
      </c>
      <c r="L981" s="69" t="b">
        <f>IF(Tab.11[[#This Row],[a1]]=1,Tab.11[[#This Row],[data]]/(_xlfn.STDEV.P(Tab.11[data])*$B$989)+$A$989)</f>
        <v>0</v>
      </c>
      <c r="M981" s="69" t="b">
        <f>IF(Tab.11[[#This Row],[a1]]=1,Tab.11[[#This Row],[data]]/(_xlfn.STDEV.P(Tab.11[data])*$B$987)-$A$987)</f>
        <v>0</v>
      </c>
      <c r="N981" s="69" t="b">
        <f>IF(Tab.11[[#This Row],[a1]]=1,Tab.11[[#This Row],[data]]/(_xlfn.STDEV.P(Tab.11[data])*$B$988)+$A$988)</f>
        <v>0</v>
      </c>
      <c r="O981" s="70" t="b">
        <f>IF(Tab.11[[#This Row],[a1]]=1,_xlfn.NORM.DIST(Tab.11[[#This Row],[b8]],$P$1,$Q$1,FALSE))</f>
        <v>0</v>
      </c>
      <c r="P981" s="70" t="b">
        <f>IF(Tab.11[[#This Row],[a1]]=1,_xlfn.NORM.DIST(Tab.11[[#This Row],[b9]],$P$1,$Q$1,FALSE))</f>
        <v>0</v>
      </c>
      <c r="Q981" s="70" t="b">
        <f>IF(Tab.11[[#This Row],[a1]]=1,_xlfn.NORM.DIST(Tab.11[[#This Row],[b10]],$P$1,$Q$1,FALSE))</f>
        <v>0</v>
      </c>
      <c r="R981" s="67" t="b">
        <f>IF(Tab.11[[#This Row],[a1]]=1,$I$3+$A$989+IF($K$3=0,Tab.11[[#This Row],[b8]]*_xlfn.STDEV.P(Tab.11[data]),AVERAGE(Tab.11[b6])+Tab.11[[#This Row],[b8]]*_xlfn.STDEV.P(Tab.11[data])))</f>
        <v>0</v>
      </c>
      <c r="S981" s="71" t="b">
        <f>IF(Tab.11[[#This Row],[a1]]=1,$I$3+$A$987+IF($K$3=0,Tab.11[[#This Row],[b9]]*_xlfn.STDEV.P(Tab.11[data]),AVERAGE(Tab.11[b6])+Tab.11[[#This Row],[b9]]*_xlfn.STDEV.P(Tab.11[data])))</f>
        <v>0</v>
      </c>
      <c r="T981" s="71" t="b">
        <f>IF(Tab.11[[#This Row],[a1]]=1,$I$3+$A$988+IF($K$3=0,Tab.11[[#This Row],[b10]]*_xlfn.STDEV.P(Tab.11[data]),AVERAGE(Tab.11[b6])+Tab.11[[#This Row],[b10]]*_xlfn.STDEV.P(Tab.11[data])))</f>
        <v>0</v>
      </c>
      <c r="U981" s="72" t="b">
        <f>IF(Tab.11[[#This Row],[a1]]=1,Tab.11[[#This Row],[target]]-Tab.11[[#This Row],[Red]])</f>
        <v>0</v>
      </c>
      <c r="V981" s="72" t="b">
        <f>IF(Tab.11[[#This Row],[a1]]=1,Tab.11[[#This Row],[target]]-Tab.11[[#This Row],[Blue]])</f>
        <v>0</v>
      </c>
      <c r="W981" s="73" t="b">
        <f>IF(Tab.11[[#This Row],[a1]]=1,IF(ABS(Tab.11[[#This Row],[b17]])+ABS(Tab.11[[#This Row],[b18]])&lt;$W$2,$W$2,ABS(Tab.11[[#This Row],[b17]])+ABS(Tab.11[[#This Row],[b18]])))</f>
        <v>0</v>
      </c>
      <c r="X981" s="136" t="b">
        <f>IF(Tab.11[[#This Row],[a1]]=1,IF($W$3&lt;0,Tab.11[[#This Row],[IN]]-$I$3,Tab.11[[#This Row],[IN]]))</f>
        <v>0</v>
      </c>
      <c r="Y981" s="136" t="b">
        <f>IF(Tab.11[[#This Row],[a1]]=1,IF($X$3=0,Tab.11[b66],Tab.11[[#This Row],[b66]]-AVERAGE(Tab.11[b66])))</f>
        <v>0</v>
      </c>
      <c r="Z981" s="135" t="b">
        <f>IF(Tab.11[[#This Row],[a1]]=1,Tab.11[[#This Row],[b77]]/(_xlfn.STDEV.P(Tab.11[b77])))</f>
        <v>0</v>
      </c>
      <c r="AA981" s="70" t="b">
        <f>IF(Tab.11[[#This Row],[a1]]=1,_xlfn.NORM.DIST(Tab.11[[#This Row],[b88]],$Z$1,$AA$1,FALSE))</f>
        <v>0</v>
      </c>
      <c r="AB981" s="74" t="b">
        <f>IF(Tab.11[[#This Row],[a1]]=1,IF($A$3=0,FALSE,1/Tab.11[[#This Row],[IN]]*$AC$2*IF(Tab.11[[#This Row],[a1]]=0,,$A$3*$AC$1*1/$V$3*(Tab.11[[#This Row],[b14]]))))</f>
        <v>0</v>
      </c>
      <c r="AC981" s="75" t="b">
        <f>IF(Tab.11[[#This Row],[a1]]=1,IF($AC$3=0,Tab.11[[#This Row],[φ1]],Tab.11[[#This Row],[φ1]]/MAX(Tab.11[φ1])))</f>
        <v>0</v>
      </c>
      <c r="AD981" s="74" t="b">
        <f>IF(Tab.11[[#This Row],[a1]]=1,1/Tab.11[[#This Row],[φ2]])</f>
        <v>0</v>
      </c>
      <c r="AE981" s="74" t="b">
        <f>IF(Tab.11[[#This Row],[a1]]=1,IF($AE$3=0,Tab.11[[#This Row],[w.0]],Tab.11[[#This Row],[w.0]]/SUM(Tab.11[w.0])))</f>
        <v>0</v>
      </c>
      <c r="AF981" s="76" t="str">
        <f>IF(Tab.11[[#This Row],[a1]]=0,"false",[3]!Tab.x5[[#This Row],[%_seN_C]])</f>
        <v>false</v>
      </c>
      <c r="AG981" s="77" t="b">
        <f>IF(Tab.11[[#This Row],[a1]]=1,AP981)</f>
        <v>0</v>
      </c>
      <c r="AH981" s="78" t="b">
        <f>IF(Tab.11[[#This Row],[a1]]=1,AQ981)</f>
        <v>0</v>
      </c>
      <c r="AI981" s="41">
        <v>3.0000000000000001E-3</v>
      </c>
      <c r="AJ981" s="79">
        <v>0.01</v>
      </c>
      <c r="AK981" s="80" t="b">
        <f>IF(Tab.11[[#This Row],[a1]]=1,1)</f>
        <v>0</v>
      </c>
      <c r="AZ981"/>
    </row>
    <row r="982" spans="1:102" hidden="1" x14ac:dyDescent="0.25">
      <c r="A982" s="61">
        <f t="shared" si="33"/>
        <v>0</v>
      </c>
      <c r="B982" s="62">
        <f t="shared" si="33"/>
        <v>0</v>
      </c>
      <c r="C982" s="62" t="b">
        <f>IF(Tab.11[[#This Row],[a1]]=1,[3]!Tab_x1[[#This Row],[Name]])</f>
        <v>0</v>
      </c>
      <c r="D982" s="63" t="b">
        <f>IF(Tab.11[[#This Row],[a1]]=1,AO982)</f>
        <v>0</v>
      </c>
      <c r="E982" s="63">
        <f t="shared" si="32"/>
        <v>0</v>
      </c>
      <c r="F982" s="64" t="b">
        <f>IF(Tab.11[[#This Row],[a1]]=1,Tab.11[[#This Row],[b1]])</f>
        <v>0</v>
      </c>
      <c r="G982" s="65" t="b">
        <f>IF(Tab.11[[#This Row],[a1]]=1,IF(Tab.11[[#This Row],[b3]]&gt;$L$989*$G$3,$L$989*$G$3,IF(Tab.11[[#This Row],[b3]]&lt;$M$989*$G$3,$M$989*$G$3,Tab.11[[#This Row],[b3]])))</f>
        <v>0</v>
      </c>
      <c r="H982" s="66" t="b">
        <f>IF(Tab.11[[#This Row],[a1]]=1,Tab.11[[#This Row],[b1]])</f>
        <v>0</v>
      </c>
      <c r="I982" s="67" t="b">
        <f>IF(Tab.11[[#This Row],[a1]]=1,Tab.11[[#This Row],[b1]])</f>
        <v>0</v>
      </c>
      <c r="J982" s="68" t="b">
        <f>IF(Tab.11[[#This Row],[a1]]=1,IF($I$3&lt;0,Tab.11[[#This Row],[b5]]-$I$3,Tab.11[[#This Row],[b5]]))</f>
        <v>0</v>
      </c>
      <c r="K982" s="68" t="b">
        <f>IF(Tab.11[[#This Row],[a1]]=1,IF($K$3=0,Tab.11[b6],Tab.11[[#This Row],[b6]]-AVERAGE(Tab.11[b6])))</f>
        <v>0</v>
      </c>
      <c r="L982" s="69" t="b">
        <f>IF(Tab.11[[#This Row],[a1]]=1,Tab.11[[#This Row],[data]]/(_xlfn.STDEV.P(Tab.11[data])*$B$989)+$A$989)</f>
        <v>0</v>
      </c>
      <c r="M982" s="69" t="b">
        <f>IF(Tab.11[[#This Row],[a1]]=1,Tab.11[[#This Row],[data]]/(_xlfn.STDEV.P(Tab.11[data])*$B$987)-$A$987)</f>
        <v>0</v>
      </c>
      <c r="N982" s="69" t="b">
        <f>IF(Tab.11[[#This Row],[a1]]=1,Tab.11[[#This Row],[data]]/(_xlfn.STDEV.P(Tab.11[data])*$B$988)+$A$988)</f>
        <v>0</v>
      </c>
      <c r="O982" s="70" t="b">
        <f>IF(Tab.11[[#This Row],[a1]]=1,_xlfn.NORM.DIST(Tab.11[[#This Row],[b8]],$P$1,$Q$1,FALSE))</f>
        <v>0</v>
      </c>
      <c r="P982" s="70" t="b">
        <f>IF(Tab.11[[#This Row],[a1]]=1,_xlfn.NORM.DIST(Tab.11[[#This Row],[b9]],$P$1,$Q$1,FALSE))</f>
        <v>0</v>
      </c>
      <c r="Q982" s="70" t="b">
        <f>IF(Tab.11[[#This Row],[a1]]=1,_xlfn.NORM.DIST(Tab.11[[#This Row],[b10]],$P$1,$Q$1,FALSE))</f>
        <v>0</v>
      </c>
      <c r="R982" s="67" t="b">
        <f>IF(Tab.11[[#This Row],[a1]]=1,$I$3+$A$989+IF($K$3=0,Tab.11[[#This Row],[b8]]*_xlfn.STDEV.P(Tab.11[data]),AVERAGE(Tab.11[b6])+Tab.11[[#This Row],[b8]]*_xlfn.STDEV.P(Tab.11[data])))</f>
        <v>0</v>
      </c>
      <c r="S982" s="71" t="b">
        <f>IF(Tab.11[[#This Row],[a1]]=1,$I$3+$A$987+IF($K$3=0,Tab.11[[#This Row],[b9]]*_xlfn.STDEV.P(Tab.11[data]),AVERAGE(Tab.11[b6])+Tab.11[[#This Row],[b9]]*_xlfn.STDEV.P(Tab.11[data])))</f>
        <v>0</v>
      </c>
      <c r="T982" s="71" t="b">
        <f>IF(Tab.11[[#This Row],[a1]]=1,$I$3+$A$988+IF($K$3=0,Tab.11[[#This Row],[b10]]*_xlfn.STDEV.P(Tab.11[data]),AVERAGE(Tab.11[b6])+Tab.11[[#This Row],[b10]]*_xlfn.STDEV.P(Tab.11[data])))</f>
        <v>0</v>
      </c>
      <c r="U982" s="72" t="b">
        <f>IF(Tab.11[[#This Row],[a1]]=1,Tab.11[[#This Row],[target]]-Tab.11[[#This Row],[Red]])</f>
        <v>0</v>
      </c>
      <c r="V982" s="72" t="b">
        <f>IF(Tab.11[[#This Row],[a1]]=1,Tab.11[[#This Row],[target]]-Tab.11[[#This Row],[Blue]])</f>
        <v>0</v>
      </c>
      <c r="W982" s="73" t="b">
        <f>IF(Tab.11[[#This Row],[a1]]=1,IF(ABS(Tab.11[[#This Row],[b17]])+ABS(Tab.11[[#This Row],[b18]])&lt;$W$2,$W$2,ABS(Tab.11[[#This Row],[b17]])+ABS(Tab.11[[#This Row],[b18]])))</f>
        <v>0</v>
      </c>
      <c r="X982" s="136" t="b">
        <f>IF(Tab.11[[#This Row],[a1]]=1,IF($W$3&lt;0,Tab.11[[#This Row],[IN]]-$I$3,Tab.11[[#This Row],[IN]]))</f>
        <v>0</v>
      </c>
      <c r="Y982" s="136" t="b">
        <f>IF(Tab.11[[#This Row],[a1]]=1,IF($X$3=0,Tab.11[b66],Tab.11[[#This Row],[b66]]-AVERAGE(Tab.11[b66])))</f>
        <v>0</v>
      </c>
      <c r="Z982" s="135" t="b">
        <f>IF(Tab.11[[#This Row],[a1]]=1,Tab.11[[#This Row],[b77]]/(_xlfn.STDEV.P(Tab.11[b77])))</f>
        <v>0</v>
      </c>
      <c r="AA982" s="70" t="b">
        <f>IF(Tab.11[[#This Row],[a1]]=1,_xlfn.NORM.DIST(Tab.11[[#This Row],[b88]],$Z$1,$AA$1,FALSE))</f>
        <v>0</v>
      </c>
      <c r="AB982" s="74" t="b">
        <f>IF(Tab.11[[#This Row],[a1]]=1,IF($A$3=0,FALSE,1/Tab.11[[#This Row],[IN]]*$AC$2*IF(Tab.11[[#This Row],[a1]]=0,,$A$3*$AC$1*1/$V$3*(Tab.11[[#This Row],[b14]]))))</f>
        <v>0</v>
      </c>
      <c r="AC982" s="75" t="b">
        <f>IF(Tab.11[[#This Row],[a1]]=1,IF($AC$3=0,Tab.11[[#This Row],[φ1]],Tab.11[[#This Row],[φ1]]/MAX(Tab.11[φ1])))</f>
        <v>0</v>
      </c>
      <c r="AD982" s="74" t="b">
        <f>IF(Tab.11[[#This Row],[a1]]=1,1/Tab.11[[#This Row],[φ2]])</f>
        <v>0</v>
      </c>
      <c r="AE982" s="74" t="b">
        <f>IF(Tab.11[[#This Row],[a1]]=1,IF($AE$3=0,Tab.11[[#This Row],[w.0]],Tab.11[[#This Row],[w.0]]/SUM(Tab.11[w.0])))</f>
        <v>0</v>
      </c>
      <c r="AF982" s="76" t="str">
        <f>IF(Tab.11[[#This Row],[a1]]=0,"false",[3]!Tab.x5[[#This Row],[%_seN_C]])</f>
        <v>false</v>
      </c>
      <c r="AG982" s="77" t="b">
        <f>IF(Tab.11[[#This Row],[a1]]=1,AP982)</f>
        <v>0</v>
      </c>
      <c r="AH982" s="78" t="b">
        <f>IF(Tab.11[[#This Row],[a1]]=1,AQ982)</f>
        <v>0</v>
      </c>
      <c r="AI982" s="41">
        <v>3.0000000000000001E-3</v>
      </c>
      <c r="AJ982" s="79">
        <v>0.05</v>
      </c>
      <c r="AK982" s="80" t="b">
        <f>IF(Tab.11[[#This Row],[a1]]=1,1)</f>
        <v>0</v>
      </c>
      <c r="AZ982"/>
    </row>
    <row r="983" spans="1:102" hidden="1" x14ac:dyDescent="0.25">
      <c r="A983" s="61">
        <f t="shared" si="33"/>
        <v>0</v>
      </c>
      <c r="B983" s="62">
        <f t="shared" si="33"/>
        <v>0</v>
      </c>
      <c r="C983" s="62" t="b">
        <f>IF(Tab.11[[#This Row],[a1]]=1,[3]!Tab_x1[[#This Row],[Name]])</f>
        <v>0</v>
      </c>
      <c r="D983" s="63" t="b">
        <f>IF(Tab.11[[#This Row],[a1]]=1,AO983)</f>
        <v>0</v>
      </c>
      <c r="E983" s="63">
        <f t="shared" si="32"/>
        <v>0</v>
      </c>
      <c r="F983" s="64" t="b">
        <f>IF(Tab.11[[#This Row],[a1]]=1,Tab.11[[#This Row],[b1]])</f>
        <v>0</v>
      </c>
      <c r="G983" s="65" t="b">
        <f>IF(Tab.11[[#This Row],[a1]]=1,IF(Tab.11[[#This Row],[b3]]&gt;$L$989*$G$3,$L$989*$G$3,IF(Tab.11[[#This Row],[b3]]&lt;$M$989*$G$3,$M$989*$G$3,Tab.11[[#This Row],[b3]])))</f>
        <v>0</v>
      </c>
      <c r="H983" s="66" t="b">
        <f>IF(Tab.11[[#This Row],[a1]]=1,Tab.11[[#This Row],[b1]])</f>
        <v>0</v>
      </c>
      <c r="I983" s="67" t="b">
        <f>IF(Tab.11[[#This Row],[a1]]=1,Tab.11[[#This Row],[b1]])</f>
        <v>0</v>
      </c>
      <c r="J983" s="68" t="b">
        <f>IF(Tab.11[[#This Row],[a1]]=1,IF($I$3&lt;0,Tab.11[[#This Row],[b5]]-$I$3,Tab.11[[#This Row],[b5]]))</f>
        <v>0</v>
      </c>
      <c r="K983" s="68" t="b">
        <f>IF(Tab.11[[#This Row],[a1]]=1,IF($K$3=0,Tab.11[b6],Tab.11[[#This Row],[b6]]-AVERAGE(Tab.11[b6])))</f>
        <v>0</v>
      </c>
      <c r="L983" s="69" t="b">
        <f>IF(Tab.11[[#This Row],[a1]]=1,Tab.11[[#This Row],[data]]/(_xlfn.STDEV.P(Tab.11[data])*$B$989)+$A$989)</f>
        <v>0</v>
      </c>
      <c r="M983" s="69" t="b">
        <f>IF(Tab.11[[#This Row],[a1]]=1,Tab.11[[#This Row],[data]]/(_xlfn.STDEV.P(Tab.11[data])*$B$987)-$A$987)</f>
        <v>0</v>
      </c>
      <c r="N983" s="69" t="b">
        <f>IF(Tab.11[[#This Row],[a1]]=1,Tab.11[[#This Row],[data]]/(_xlfn.STDEV.P(Tab.11[data])*$B$988)+$A$988)</f>
        <v>0</v>
      </c>
      <c r="O983" s="70" t="b">
        <f>IF(Tab.11[[#This Row],[a1]]=1,_xlfn.NORM.DIST(Tab.11[[#This Row],[b8]],$P$1,$Q$1,FALSE))</f>
        <v>0</v>
      </c>
      <c r="P983" s="70" t="b">
        <f>IF(Tab.11[[#This Row],[a1]]=1,_xlfn.NORM.DIST(Tab.11[[#This Row],[b9]],$P$1,$Q$1,FALSE))</f>
        <v>0</v>
      </c>
      <c r="Q983" s="70" t="b">
        <f>IF(Tab.11[[#This Row],[a1]]=1,_xlfn.NORM.DIST(Tab.11[[#This Row],[b10]],$P$1,$Q$1,FALSE))</f>
        <v>0</v>
      </c>
      <c r="R983" s="67" t="b">
        <f>IF(Tab.11[[#This Row],[a1]]=1,$I$3+$A$989+IF($K$3=0,Tab.11[[#This Row],[b8]]*_xlfn.STDEV.P(Tab.11[data]),AVERAGE(Tab.11[b6])+Tab.11[[#This Row],[b8]]*_xlfn.STDEV.P(Tab.11[data])))</f>
        <v>0</v>
      </c>
      <c r="S983" s="71" t="b">
        <f>IF(Tab.11[[#This Row],[a1]]=1,$I$3+$A$987+IF($K$3=0,Tab.11[[#This Row],[b9]]*_xlfn.STDEV.P(Tab.11[data]),AVERAGE(Tab.11[b6])+Tab.11[[#This Row],[b9]]*_xlfn.STDEV.P(Tab.11[data])))</f>
        <v>0</v>
      </c>
      <c r="T983" s="71" t="b">
        <f>IF(Tab.11[[#This Row],[a1]]=1,$I$3+$A$988+IF($K$3=0,Tab.11[[#This Row],[b10]]*_xlfn.STDEV.P(Tab.11[data]),AVERAGE(Tab.11[b6])+Tab.11[[#This Row],[b10]]*_xlfn.STDEV.P(Tab.11[data])))</f>
        <v>0</v>
      </c>
      <c r="U983" s="72" t="b">
        <f>IF(Tab.11[[#This Row],[a1]]=1,Tab.11[[#This Row],[target]]-Tab.11[[#This Row],[Red]])</f>
        <v>0</v>
      </c>
      <c r="V983" s="72" t="b">
        <f>IF(Tab.11[[#This Row],[a1]]=1,Tab.11[[#This Row],[target]]-Tab.11[[#This Row],[Blue]])</f>
        <v>0</v>
      </c>
      <c r="W983" s="73" t="b">
        <f>IF(Tab.11[[#This Row],[a1]]=1,IF(ABS(Tab.11[[#This Row],[b17]])+ABS(Tab.11[[#This Row],[b18]])&lt;$W$2,$W$2,ABS(Tab.11[[#This Row],[b17]])+ABS(Tab.11[[#This Row],[b18]])))</f>
        <v>0</v>
      </c>
      <c r="X983" s="136" t="b">
        <f>IF(Tab.11[[#This Row],[a1]]=1,IF($W$3&lt;0,Tab.11[[#This Row],[IN]]-$I$3,Tab.11[[#This Row],[IN]]))</f>
        <v>0</v>
      </c>
      <c r="Y983" s="136" t="b">
        <f>IF(Tab.11[[#This Row],[a1]]=1,IF($X$3=0,Tab.11[b66],Tab.11[[#This Row],[b66]]-AVERAGE(Tab.11[b66])))</f>
        <v>0</v>
      </c>
      <c r="Z983" s="135" t="b">
        <f>IF(Tab.11[[#This Row],[a1]]=1,Tab.11[[#This Row],[b77]]/(_xlfn.STDEV.P(Tab.11[b77])))</f>
        <v>0</v>
      </c>
      <c r="AA983" s="70" t="b">
        <f>IF(Tab.11[[#This Row],[a1]]=1,_xlfn.NORM.DIST(Tab.11[[#This Row],[b88]],$Z$1,$AA$1,FALSE))</f>
        <v>0</v>
      </c>
      <c r="AB983" s="74" t="b">
        <f>IF(Tab.11[[#This Row],[a1]]=1,IF($A$3=0,FALSE,1/Tab.11[[#This Row],[IN]]*$AC$2*IF(Tab.11[[#This Row],[a1]]=0,,$A$3*$AC$1*1/$V$3*(Tab.11[[#This Row],[b14]]))))</f>
        <v>0</v>
      </c>
      <c r="AC983" s="75" t="b">
        <f>IF(Tab.11[[#This Row],[a1]]=1,IF($AC$3=0,Tab.11[[#This Row],[φ1]],Tab.11[[#This Row],[φ1]]/MAX(Tab.11[φ1])))</f>
        <v>0</v>
      </c>
      <c r="AD983" s="74" t="b">
        <f>IF(Tab.11[[#This Row],[a1]]=1,1/Tab.11[[#This Row],[φ2]])</f>
        <v>0</v>
      </c>
      <c r="AE983" s="74" t="b">
        <f>IF(Tab.11[[#This Row],[a1]]=1,IF($AE$3=0,Tab.11[[#This Row],[w.0]],Tab.11[[#This Row],[w.0]]/SUM(Tab.11[w.0])))</f>
        <v>0</v>
      </c>
      <c r="AF983" s="76" t="str">
        <f>IF(Tab.11[[#This Row],[a1]]=0,"false",[3]!Tab.x5[[#This Row],[%_seN_C]])</f>
        <v>false</v>
      </c>
      <c r="AG983" s="77" t="b">
        <f>IF(Tab.11[[#This Row],[a1]]=1,AP983)</f>
        <v>0</v>
      </c>
      <c r="AH983" s="78" t="b">
        <f>IF(Tab.11[[#This Row],[a1]]=1,AQ983)</f>
        <v>0</v>
      </c>
      <c r="AI983" s="41">
        <v>3.0000000000000001E-3</v>
      </c>
      <c r="AJ983" s="79">
        <v>-0.1</v>
      </c>
      <c r="AK983" s="80" t="b">
        <f>IF(Tab.11[[#This Row],[a1]]=1,1)</f>
        <v>0</v>
      </c>
      <c r="AZ983"/>
    </row>
    <row r="984" spans="1:102" hidden="1" x14ac:dyDescent="0.25">
      <c r="A984" s="61">
        <f t="shared" si="33"/>
        <v>0</v>
      </c>
      <c r="B984" s="62">
        <f t="shared" si="33"/>
        <v>0</v>
      </c>
      <c r="C984" s="62" t="b">
        <f>IF(Tab.11[[#This Row],[a1]]=1,[3]!Tab_x1[[#This Row],[Name]])</f>
        <v>0</v>
      </c>
      <c r="D984" s="63" t="b">
        <f>IF(Tab.11[[#This Row],[a1]]=1,AO984)</f>
        <v>0</v>
      </c>
      <c r="E984" s="63">
        <f t="shared" si="32"/>
        <v>0</v>
      </c>
      <c r="F984" s="64" t="b">
        <f>IF(Tab.11[[#This Row],[a1]]=1,Tab.11[[#This Row],[b1]])</f>
        <v>0</v>
      </c>
      <c r="G984" s="65" t="b">
        <f>IF(Tab.11[[#This Row],[a1]]=1,IF(Tab.11[[#This Row],[b3]]&gt;$L$989*$G$3,$L$989*$G$3,IF(Tab.11[[#This Row],[b3]]&lt;$M$989*$G$3,$M$989*$G$3,Tab.11[[#This Row],[b3]])))</f>
        <v>0</v>
      </c>
      <c r="H984" s="66" t="b">
        <f>IF(Tab.11[[#This Row],[a1]]=1,Tab.11[[#This Row],[b1]])</f>
        <v>0</v>
      </c>
      <c r="I984" s="67" t="b">
        <f>IF(Tab.11[[#This Row],[a1]]=1,Tab.11[[#This Row],[b1]])</f>
        <v>0</v>
      </c>
      <c r="J984" s="68" t="b">
        <f>IF(Tab.11[[#This Row],[a1]]=1,IF($I$3&lt;0,Tab.11[[#This Row],[b5]]-$I$3,Tab.11[[#This Row],[b5]]))</f>
        <v>0</v>
      </c>
      <c r="K984" s="68" t="b">
        <f>IF(Tab.11[[#This Row],[a1]]=1,IF($K$3=0,Tab.11[b6],Tab.11[[#This Row],[b6]]-AVERAGE(Tab.11[b6])))</f>
        <v>0</v>
      </c>
      <c r="L984" s="69" t="b">
        <f>IF(Tab.11[[#This Row],[a1]]=1,Tab.11[[#This Row],[data]]/(_xlfn.STDEV.P(Tab.11[data])*$B$989)+$A$989)</f>
        <v>0</v>
      </c>
      <c r="M984" s="69" t="b">
        <f>IF(Tab.11[[#This Row],[a1]]=1,Tab.11[[#This Row],[data]]/(_xlfn.STDEV.P(Tab.11[data])*$B$987)-$A$987)</f>
        <v>0</v>
      </c>
      <c r="N984" s="69" t="b">
        <f>IF(Tab.11[[#This Row],[a1]]=1,Tab.11[[#This Row],[data]]/(_xlfn.STDEV.P(Tab.11[data])*$B$988)+$A$988)</f>
        <v>0</v>
      </c>
      <c r="O984" s="70" t="b">
        <f>IF(Tab.11[[#This Row],[a1]]=1,_xlfn.NORM.DIST(Tab.11[[#This Row],[b8]],$P$1,$Q$1,FALSE))</f>
        <v>0</v>
      </c>
      <c r="P984" s="70" t="b">
        <f>IF(Tab.11[[#This Row],[a1]]=1,_xlfn.NORM.DIST(Tab.11[[#This Row],[b9]],$P$1,$Q$1,FALSE))</f>
        <v>0</v>
      </c>
      <c r="Q984" s="70" t="b">
        <f>IF(Tab.11[[#This Row],[a1]]=1,_xlfn.NORM.DIST(Tab.11[[#This Row],[b10]],$P$1,$Q$1,FALSE))</f>
        <v>0</v>
      </c>
      <c r="R984" s="67" t="b">
        <f>IF(Tab.11[[#This Row],[a1]]=1,$I$3+$A$989+IF($K$3=0,Tab.11[[#This Row],[b8]]*_xlfn.STDEV.P(Tab.11[data]),AVERAGE(Tab.11[b6])+Tab.11[[#This Row],[b8]]*_xlfn.STDEV.P(Tab.11[data])))</f>
        <v>0</v>
      </c>
      <c r="S984" s="71" t="b">
        <f>IF(Tab.11[[#This Row],[a1]]=1,$I$3+$A$987+IF($K$3=0,Tab.11[[#This Row],[b9]]*_xlfn.STDEV.P(Tab.11[data]),AVERAGE(Tab.11[b6])+Tab.11[[#This Row],[b9]]*_xlfn.STDEV.P(Tab.11[data])))</f>
        <v>0</v>
      </c>
      <c r="T984" s="71" t="b">
        <f>IF(Tab.11[[#This Row],[a1]]=1,$I$3+$A$988+IF($K$3=0,Tab.11[[#This Row],[b10]]*_xlfn.STDEV.P(Tab.11[data]),AVERAGE(Tab.11[b6])+Tab.11[[#This Row],[b10]]*_xlfn.STDEV.P(Tab.11[data])))</f>
        <v>0</v>
      </c>
      <c r="U984" s="72" t="b">
        <f>IF(Tab.11[[#This Row],[a1]]=1,Tab.11[[#This Row],[target]]-Tab.11[[#This Row],[Red]])</f>
        <v>0</v>
      </c>
      <c r="V984" s="72" t="b">
        <f>IF(Tab.11[[#This Row],[a1]]=1,Tab.11[[#This Row],[target]]-Tab.11[[#This Row],[Blue]])</f>
        <v>0</v>
      </c>
      <c r="W984" s="73" t="b">
        <f>IF(Tab.11[[#This Row],[a1]]=1,IF(ABS(Tab.11[[#This Row],[b17]])+ABS(Tab.11[[#This Row],[b18]])&lt;$W$2,$W$2,ABS(Tab.11[[#This Row],[b17]])+ABS(Tab.11[[#This Row],[b18]])))</f>
        <v>0</v>
      </c>
      <c r="X984" s="136" t="b">
        <f>IF(Tab.11[[#This Row],[a1]]=1,IF($W$3&lt;0,Tab.11[[#This Row],[IN]]-$I$3,Tab.11[[#This Row],[IN]]))</f>
        <v>0</v>
      </c>
      <c r="Y984" s="136" t="b">
        <f>IF(Tab.11[[#This Row],[a1]]=1,IF($X$3=0,Tab.11[b66],Tab.11[[#This Row],[b66]]-AVERAGE(Tab.11[b66])))</f>
        <v>0</v>
      </c>
      <c r="Z984" s="135" t="b">
        <f>IF(Tab.11[[#This Row],[a1]]=1,Tab.11[[#This Row],[b77]]/(_xlfn.STDEV.P(Tab.11[b77])))</f>
        <v>0</v>
      </c>
      <c r="AA984" s="70" t="b">
        <f>IF(Tab.11[[#This Row],[a1]]=1,_xlfn.NORM.DIST(Tab.11[[#This Row],[b88]],$Z$1,$AA$1,FALSE))</f>
        <v>0</v>
      </c>
      <c r="AB984" s="74" t="b">
        <f>IF(Tab.11[[#This Row],[a1]]=1,IF($A$3=0,FALSE,1/Tab.11[[#This Row],[IN]]*$AC$2*IF(Tab.11[[#This Row],[a1]]=0,,$A$3*$AC$1*1/$V$3*(Tab.11[[#This Row],[b14]]))))</f>
        <v>0</v>
      </c>
      <c r="AC984" s="75" t="b">
        <f>IF(Tab.11[[#This Row],[a1]]=1,IF($AC$3=0,Tab.11[[#This Row],[φ1]],Tab.11[[#This Row],[φ1]]/MAX(Tab.11[φ1])))</f>
        <v>0</v>
      </c>
      <c r="AD984" s="74" t="b">
        <f>IF(Tab.11[[#This Row],[a1]]=1,1/Tab.11[[#This Row],[φ2]])</f>
        <v>0</v>
      </c>
      <c r="AE984" s="74" t="b">
        <f>IF(Tab.11[[#This Row],[a1]]=1,IF($AE$3=0,Tab.11[[#This Row],[w.0]],Tab.11[[#This Row],[w.0]]/SUM(Tab.11[w.0])))</f>
        <v>0</v>
      </c>
      <c r="AF984" s="76" t="str">
        <f>IF(Tab.11[[#This Row],[a1]]=0,"false",[3]!Tab.x5[[#This Row],[%_seN_C]])</f>
        <v>false</v>
      </c>
      <c r="AG984" s="77" t="b">
        <f>IF(Tab.11[[#This Row],[a1]]=1,AP984)</f>
        <v>0</v>
      </c>
      <c r="AH984" s="78" t="b">
        <f>IF(Tab.11[[#This Row],[a1]]=1,AQ984)</f>
        <v>0</v>
      </c>
      <c r="AI984" s="41">
        <v>3.0000000000000001E-3</v>
      </c>
      <c r="AJ984" s="79">
        <v>0.04</v>
      </c>
      <c r="AK984" s="80" t="b">
        <f>IF(Tab.11[[#This Row],[a1]]=1,1)</f>
        <v>0</v>
      </c>
      <c r="AZ984"/>
    </row>
    <row r="985" spans="1:102" x14ac:dyDescent="0.25">
      <c r="E985" s="100"/>
      <c r="CR985" s="81"/>
      <c r="CS985" s="81"/>
      <c r="CT985" s="81"/>
      <c r="CU985" s="81"/>
      <c r="CW985" s="17"/>
      <c r="CX985" s="81"/>
    </row>
    <row r="986" spans="1:102" x14ac:dyDescent="0.25">
      <c r="A986" s="112">
        <v>1</v>
      </c>
      <c r="E986" s="100"/>
      <c r="O986" t="s">
        <v>44</v>
      </c>
      <c r="P986" t="s">
        <v>45</v>
      </c>
      <c r="Q986" t="s">
        <v>46</v>
      </c>
      <c r="R986" t="s">
        <v>47</v>
      </c>
      <c r="CR986" s="81"/>
      <c r="CS986" s="81"/>
      <c r="CT986" s="81"/>
      <c r="CU986" s="81"/>
      <c r="CW986" s="17"/>
      <c r="CX986" s="81"/>
    </row>
    <row r="987" spans="1:102" ht="15.75" x14ac:dyDescent="0.25">
      <c r="A987" s="24">
        <f>J987*V2*A986</f>
        <v>2</v>
      </c>
      <c r="B987" s="24">
        <f>K987</f>
        <v>0.5</v>
      </c>
      <c r="I987" s="152" t="s">
        <v>42</v>
      </c>
      <c r="J987" s="24">
        <v>2</v>
      </c>
      <c r="K987" s="24">
        <v>0.5</v>
      </c>
      <c r="L987" s="48" t="s">
        <v>33</v>
      </c>
      <c r="M987" s="48" t="s">
        <v>34</v>
      </c>
      <c r="CP987" s="102">
        <f>[3]Ctrl!L64</f>
        <v>128.78597430870846</v>
      </c>
      <c r="CQ987" s="103">
        <f>[3]Ctrl!M64</f>
        <v>8.454770724114411</v>
      </c>
      <c r="CR987" s="104" t="b">
        <f>[3]Ctrl!N64</f>
        <v>0</v>
      </c>
      <c r="CS987" s="105">
        <f>[3]Ctrl!O64</f>
        <v>30.808504676826875</v>
      </c>
      <c r="CT987" s="106" t="b">
        <f>[3]Ctrl!P64</f>
        <v>0</v>
      </c>
      <c r="CU987" s="107">
        <f>[3]Ctrl!Q64</f>
        <v>2756.6927383045631</v>
      </c>
    </row>
    <row r="988" spans="1:102" x14ac:dyDescent="0.25">
      <c r="A988" s="40">
        <f>J988*V3*A986</f>
        <v>1</v>
      </c>
      <c r="B988" s="40">
        <f>K988</f>
        <v>2</v>
      </c>
      <c r="I988" s="152" t="s">
        <v>51</v>
      </c>
      <c r="J988" s="40">
        <v>1</v>
      </c>
      <c r="K988" s="40">
        <v>2</v>
      </c>
      <c r="L988" s="108">
        <v>0.03</v>
      </c>
      <c r="M988" s="108">
        <v>0.03</v>
      </c>
      <c r="CP988" s="110">
        <f>[3]Ctrl!L65</f>
        <v>0.62108989937609294</v>
      </c>
      <c r="CQ988" s="110">
        <f>[3]Ctrl!M65</f>
        <v>0.85</v>
      </c>
      <c r="CR988" s="110" t="b">
        <f>[3]Ctrl!N65</f>
        <v>0</v>
      </c>
      <c r="CS988" s="110">
        <f>[3]Ctrl!O65</f>
        <v>0.24263600583118392</v>
      </c>
      <c r="CT988" s="110" t="b">
        <f>[3]Ctrl!P65</f>
        <v>0</v>
      </c>
      <c r="CU988" s="110">
        <f>[3]Ctrl!Q65</f>
        <v>7.759101623623739E-2</v>
      </c>
      <c r="CW988" s="111" t="e">
        <f>AVERAGE(AN244:AN247)/4</f>
        <v>#DIV/0!</v>
      </c>
    </row>
    <row r="989" spans="1:102" x14ac:dyDescent="0.25">
      <c r="A989" s="113">
        <f>J989*A986</f>
        <v>0</v>
      </c>
      <c r="B989" s="114">
        <f>K989</f>
        <v>1</v>
      </c>
      <c r="I989" s="152"/>
      <c r="J989" s="115">
        <v>0</v>
      </c>
      <c r="K989" s="114">
        <v>1</v>
      </c>
      <c r="L989" s="116">
        <f>_xlfn.PERCENTILE.INC(Tab.11[b4],(1-L988))</f>
        <v>17.489999999999998</v>
      </c>
      <c r="M989" s="117">
        <f>_xlfn.PERCENTILE.INC(Tab.11[b4],(M988))</f>
        <v>1.51</v>
      </c>
      <c r="CP989" s="118">
        <f>[3]Ctrl!L66</f>
        <v>4.7872303514735588</v>
      </c>
      <c r="CQ989" s="118">
        <f>[3]Ctrl!M66</f>
        <v>872.15651626577801</v>
      </c>
      <c r="CR989" s="118" t="b">
        <f>[3]Ctrl!N66</f>
        <v>0</v>
      </c>
      <c r="CS989" s="118">
        <f>[3]Ctrl!O66</f>
        <v>1348.2894857229708</v>
      </c>
      <c r="CT989" s="118" t="b">
        <f>[3]Ctrl!P66</f>
        <v>0</v>
      </c>
      <c r="CU989" s="118">
        <f>[3]Ctrl!Q66</f>
        <v>2325.4639326065089</v>
      </c>
    </row>
    <row r="990" spans="1:102" x14ac:dyDescent="0.25">
      <c r="A990" s="113">
        <v>0</v>
      </c>
      <c r="B990" s="114">
        <v>1</v>
      </c>
      <c r="L990" s="31"/>
      <c r="CP990" s="120"/>
      <c r="CQ990" s="120"/>
      <c r="CR990" s="120"/>
      <c r="CS990" s="120"/>
      <c r="CT990" s="120"/>
      <c r="CU990" s="120"/>
    </row>
    <row r="991" spans="1:102" x14ac:dyDescent="0.25">
      <c r="A991" s="24">
        <v>1</v>
      </c>
      <c r="CP991" s="122"/>
      <c r="CQ991" s="122"/>
      <c r="CR991" s="122"/>
      <c r="CS991" s="122"/>
      <c r="CT991" s="122"/>
      <c r="CU991" s="122"/>
    </row>
    <row r="992" spans="1:102" x14ac:dyDescent="0.25">
      <c r="A992" s="109">
        <v>1</v>
      </c>
      <c r="CP992" s="124"/>
      <c r="CQ992" s="124"/>
      <c r="CR992" s="124"/>
      <c r="CS992" s="124"/>
      <c r="CT992" s="124"/>
      <c r="CU992" s="124"/>
    </row>
    <row r="993" spans="1:108" x14ac:dyDescent="0.25">
      <c r="A993" s="40">
        <v>1</v>
      </c>
    </row>
    <row r="994" spans="1:108" ht="15.75" x14ac:dyDescent="0.25">
      <c r="A994" s="119">
        <v>1</v>
      </c>
      <c r="CP994" s="125" t="e">
        <f>-MAX(ABS(MAX(#REF!)),ABS(MIN(#REF!)))</f>
        <v>#REF!</v>
      </c>
      <c r="CQ994" s="125" t="e">
        <f>-MAX(ABS(MAX([4]!Tab.74[e1])),ABS(MIN([4]!Tab.74[e1])))</f>
        <v>#REF!</v>
      </c>
      <c r="CR994" s="125" t="e">
        <f>-MAX(ABS(MAX(#REF!)),ABS(MIN(#REF!)))</f>
        <v>#REF!</v>
      </c>
      <c r="CS994" s="125" t="e">
        <f>-MAX(ABS(MAX(#REF!)),ABS(MIN(#REF!)))</f>
        <v>#REF!</v>
      </c>
      <c r="CT994" s="125" t="e">
        <f>-MAX(ABS(MAX(#REF!)),ABS(MIN(#REF!)))</f>
        <v>#REF!</v>
      </c>
      <c r="CU994" s="125" t="e">
        <f>-MAX(ABS(MAX([4]!Tab.75[e1])),ABS(MIN([4]!Tab.75[e1])))</f>
        <v>#REF!</v>
      </c>
    </row>
    <row r="995" spans="1:108" ht="15.75" x14ac:dyDescent="0.25">
      <c r="A995" s="121">
        <v>1</v>
      </c>
      <c r="AU995" s="126"/>
      <c r="CP995" s="125" t="e">
        <f>MAX(ABS(MAX(#REF!)),ABS(MIN(#REF!)))</f>
        <v>#REF!</v>
      </c>
      <c r="CQ995" s="125" t="e">
        <f>MAX(ABS(MAX([4]!Tab.74[e2])),ABS(MIN([4]!Tab.74[e2])))</f>
        <v>#REF!</v>
      </c>
      <c r="CR995" s="125" t="e">
        <f>MAX(ABS(MAX(#REF!)),ABS(MIN(#REF!)))</f>
        <v>#REF!</v>
      </c>
      <c r="CS995" s="125" t="e">
        <f>MAX(ABS(MAX(#REF!)),ABS(MIN(#REF!)))</f>
        <v>#REF!</v>
      </c>
      <c r="CT995" s="125" t="e">
        <f>MAX(ABS(MAX(#REF!)),ABS(MIN(#REF!)))</f>
        <v>#REF!</v>
      </c>
      <c r="CU995" s="125" t="e">
        <f>MAX(ABS(MAX([4]!Tab.75[e2])),ABS(MIN([4]!Tab.75[e2])))</f>
        <v>#REF!</v>
      </c>
    </row>
    <row r="996" spans="1:108" x14ac:dyDescent="0.25">
      <c r="A996" s="123">
        <v>1</v>
      </c>
      <c r="CP996" s="81"/>
      <c r="CQ996" s="81"/>
      <c r="CR996" s="81"/>
      <c r="CS996" s="81"/>
    </row>
    <row r="997" spans="1:108" ht="15.75" x14ac:dyDescent="0.25">
      <c r="A997" s="26">
        <f>[3]Ctrl!O96</f>
        <v>1</v>
      </c>
      <c r="AU997" s="126"/>
      <c r="CP997" s="127">
        <f>[4]r46!BM1</f>
        <v>-2.0990294281389428</v>
      </c>
      <c r="CQ997" s="127">
        <f>[4]r46!BN1</f>
        <v>-2.4699487698586782</v>
      </c>
      <c r="CR997" s="127" t="e">
        <f>[4]r46!BO1</f>
        <v>#REF!</v>
      </c>
      <c r="CS997" s="127" t="e">
        <f>[4]r46!BP1</f>
        <v>#REF!</v>
      </c>
      <c r="CT997" s="127" t="e">
        <f>[4]r46!BQ1</f>
        <v>#REF!</v>
      </c>
      <c r="CU997" s="127" t="s">
        <v>36</v>
      </c>
    </row>
    <row r="998" spans="1:108" ht="15.75" x14ac:dyDescent="0.25">
      <c r="A998" s="26" t="s">
        <v>35</v>
      </c>
      <c r="AU998" s="126"/>
      <c r="CP998" s="127">
        <f>[4]r46!BM2</f>
        <v>1.3443770410355054</v>
      </c>
      <c r="CQ998" s="127">
        <f>[4]r46!BN2</f>
        <v>2.5179258256623624</v>
      </c>
      <c r="CR998" s="127" t="e">
        <f>[4]r46!BO2</f>
        <v>#REF!</v>
      </c>
      <c r="CS998" s="127" t="e">
        <f>[4]r46!BP2</f>
        <v>#REF!</v>
      </c>
      <c r="CT998" s="127" t="e">
        <f>[4]r46!BQ2</f>
        <v>#REF!</v>
      </c>
      <c r="CU998" s="127" t="str">
        <f>CU997</f>
        <v>P</v>
      </c>
    </row>
    <row r="999" spans="1:108" x14ac:dyDescent="0.25">
      <c r="AU999" s="126"/>
    </row>
    <row r="1000" spans="1:108" x14ac:dyDescent="0.25">
      <c r="DD1000" s="81"/>
    </row>
    <row r="1003" spans="1:108" x14ac:dyDescent="0.25">
      <c r="AH1003" s="128"/>
      <c r="AI1003" s="128"/>
      <c r="AJ1003" s="128"/>
      <c r="AM1003" s="129"/>
      <c r="AN1003" s="129"/>
      <c r="AO1003" s="129"/>
      <c r="CP1003" s="81"/>
      <c r="CQ1003" s="81"/>
    </row>
    <row r="1004" spans="1:108" x14ac:dyDescent="0.25">
      <c r="AH1004" s="128"/>
      <c r="AI1004" s="128"/>
      <c r="AJ1004" s="128"/>
      <c r="AM1004" s="129"/>
      <c r="AN1004" s="129"/>
      <c r="AO1004" s="129"/>
      <c r="CP1004" s="81"/>
      <c r="CQ1004" s="81"/>
    </row>
    <row r="1005" spans="1:108" x14ac:dyDescent="0.25">
      <c r="AM1005" s="129"/>
      <c r="AN1005" s="129"/>
      <c r="AO1005" s="129"/>
      <c r="AV1005" s="81"/>
      <c r="AW1005" s="81"/>
      <c r="AX1005" s="81"/>
      <c r="AY1005" s="81"/>
      <c r="BA1005" s="81"/>
      <c r="BB1005" s="81"/>
      <c r="BC1005" s="81"/>
      <c r="BD1005" s="81"/>
      <c r="BE1005" s="81"/>
      <c r="BF1005" s="81"/>
      <c r="BG1005" s="81"/>
      <c r="BH1005" s="81"/>
      <c r="BI1005" s="81"/>
      <c r="BJ1005" s="81"/>
      <c r="BK1005" s="81"/>
      <c r="BL1005" s="81"/>
      <c r="BM1005" s="81"/>
      <c r="BN1005" s="81"/>
      <c r="BO1005" s="81"/>
      <c r="BP1005" s="81"/>
      <c r="BQ1005" s="81"/>
      <c r="BR1005" s="81"/>
      <c r="BS1005" s="81"/>
      <c r="BT1005" s="81"/>
      <c r="BU1005" s="81"/>
      <c r="BV1005" s="81"/>
      <c r="BW1005" s="81"/>
      <c r="BX1005" s="81"/>
      <c r="BY1005" s="81"/>
      <c r="BZ1005" s="81"/>
      <c r="CA1005" s="81"/>
      <c r="CB1005" s="81"/>
      <c r="CC1005" s="81"/>
      <c r="CD1005" s="81"/>
      <c r="CE1005" s="81"/>
      <c r="CF1005" s="81"/>
      <c r="CG1005" s="81"/>
      <c r="CH1005" s="81"/>
      <c r="CI1005" s="81"/>
      <c r="CJ1005" s="81"/>
      <c r="CK1005" s="81"/>
      <c r="CL1005" s="81"/>
      <c r="CM1005" s="81"/>
      <c r="CN1005" s="81"/>
      <c r="CO1005" s="81"/>
      <c r="CP1005" s="81"/>
      <c r="CQ1005" s="111"/>
    </row>
    <row r="1006" spans="1:108" x14ac:dyDescent="0.25">
      <c r="AM1006" s="129"/>
      <c r="AN1006" s="129"/>
      <c r="AO1006" s="129"/>
      <c r="AV1006" s="81"/>
      <c r="AW1006" s="81"/>
      <c r="AX1006" s="81"/>
      <c r="AY1006" s="81"/>
      <c r="BA1006" s="81"/>
      <c r="BB1006" s="81"/>
      <c r="BC1006" s="81"/>
      <c r="BD1006" s="81"/>
      <c r="BE1006" s="81"/>
      <c r="BF1006" s="81"/>
      <c r="BG1006" s="81"/>
      <c r="BH1006" s="81"/>
      <c r="BI1006" s="81"/>
      <c r="BJ1006" s="81"/>
      <c r="BK1006" s="81"/>
      <c r="BL1006" s="81"/>
      <c r="BM1006" s="81"/>
      <c r="BN1006" s="81"/>
      <c r="BO1006" s="81"/>
      <c r="BP1006" s="81"/>
      <c r="BQ1006" s="81"/>
      <c r="BR1006" s="81"/>
      <c r="BS1006" s="81"/>
      <c r="BT1006" s="81"/>
      <c r="BU1006" s="81"/>
      <c r="BV1006" s="81"/>
      <c r="BW1006" s="81"/>
      <c r="BX1006" s="81"/>
      <c r="BY1006" s="81"/>
      <c r="BZ1006" s="81"/>
      <c r="CA1006" s="81"/>
      <c r="CB1006" s="81"/>
      <c r="CC1006" s="81"/>
      <c r="CD1006" s="81"/>
      <c r="CE1006" s="81"/>
      <c r="CF1006" s="81"/>
      <c r="CG1006" s="81"/>
      <c r="CH1006" s="81"/>
      <c r="CI1006" s="81"/>
      <c r="CJ1006" s="81"/>
      <c r="CK1006" s="81"/>
      <c r="CL1006" s="81"/>
      <c r="CM1006" s="81"/>
      <c r="CN1006" s="81"/>
      <c r="CO1006" s="81"/>
      <c r="CP1006" s="81"/>
      <c r="CQ1006" s="111"/>
      <c r="CR1006" s="81"/>
      <c r="CS1006" s="130"/>
      <c r="CT1006" s="130"/>
    </row>
    <row r="1007" spans="1:108" x14ac:dyDescent="0.25">
      <c r="AH1007" s="128"/>
      <c r="AI1007" s="128"/>
      <c r="AJ1007" s="128"/>
      <c r="AM1007" s="129"/>
      <c r="AN1007" s="129"/>
      <c r="AO1007" s="129"/>
      <c r="AV1007" s="81"/>
      <c r="AW1007" s="81"/>
      <c r="AX1007" s="81"/>
      <c r="AY1007" s="81"/>
      <c r="BA1007" s="81"/>
      <c r="BB1007" s="81"/>
      <c r="BC1007" s="81"/>
      <c r="BD1007" s="81"/>
      <c r="BE1007" s="81"/>
      <c r="BF1007" s="81"/>
      <c r="BG1007" s="81"/>
      <c r="BH1007" s="81"/>
      <c r="BI1007" s="81"/>
      <c r="BJ1007" s="81"/>
      <c r="BK1007" s="81"/>
      <c r="BL1007" s="81"/>
      <c r="BM1007" s="81"/>
      <c r="BN1007" s="81"/>
      <c r="BO1007" s="81"/>
      <c r="BP1007" s="81"/>
      <c r="BQ1007" s="81"/>
      <c r="BR1007" s="81"/>
      <c r="BS1007" s="81"/>
      <c r="BT1007" s="81"/>
      <c r="BU1007" s="81"/>
      <c r="BV1007" s="81"/>
      <c r="BW1007" s="81"/>
      <c r="BX1007" s="81"/>
      <c r="BY1007" s="81"/>
      <c r="BZ1007" s="81"/>
      <c r="CA1007" s="81"/>
      <c r="CB1007" s="81"/>
      <c r="CC1007" s="81"/>
      <c r="CD1007" s="81"/>
      <c r="CE1007" s="81"/>
      <c r="CF1007" s="81"/>
      <c r="CG1007" s="81"/>
      <c r="CH1007" s="81"/>
      <c r="CI1007" s="81"/>
      <c r="CJ1007" s="81"/>
      <c r="CK1007" s="81"/>
      <c r="CL1007" s="81"/>
      <c r="CM1007" s="81"/>
      <c r="CN1007" s="81"/>
      <c r="CO1007" s="81"/>
      <c r="CP1007" s="81"/>
      <c r="CQ1007" s="111"/>
      <c r="CR1007" s="81"/>
    </row>
    <row r="1008" spans="1:108" x14ac:dyDescent="0.25">
      <c r="AV1008" s="81"/>
      <c r="AW1008" s="81"/>
      <c r="AX1008" s="81"/>
      <c r="AY1008" s="81"/>
      <c r="BA1008" s="81"/>
      <c r="BB1008" s="81"/>
      <c r="BC1008" s="81"/>
      <c r="BD1008" s="81"/>
      <c r="BE1008" s="81"/>
      <c r="BF1008" s="81"/>
      <c r="BG1008" s="81"/>
      <c r="BH1008" s="81"/>
      <c r="BI1008" s="81"/>
      <c r="BJ1008" s="81"/>
      <c r="BK1008" s="81"/>
      <c r="BL1008" s="81"/>
      <c r="BM1008" s="81"/>
      <c r="BN1008" s="81"/>
      <c r="BO1008" s="81"/>
      <c r="BP1008" s="81"/>
      <c r="BQ1008" s="81"/>
      <c r="BR1008" s="81"/>
      <c r="BS1008" s="81"/>
      <c r="BT1008" s="81"/>
      <c r="BU1008" s="81"/>
      <c r="BV1008" s="81"/>
      <c r="BW1008" s="81"/>
      <c r="BX1008" s="81"/>
      <c r="BY1008" s="81"/>
      <c r="BZ1008" s="81"/>
      <c r="CA1008" s="81"/>
      <c r="CB1008" s="81"/>
      <c r="CC1008" s="81"/>
      <c r="CD1008" s="81"/>
      <c r="CE1008" s="81"/>
      <c r="CF1008" s="81"/>
      <c r="CG1008" s="81"/>
      <c r="CH1008" s="81"/>
      <c r="CI1008" s="81"/>
      <c r="CJ1008" s="81"/>
      <c r="CK1008" s="81"/>
      <c r="CL1008" s="81"/>
      <c r="CM1008" s="81"/>
      <c r="CN1008" s="81"/>
      <c r="CO1008" s="81"/>
      <c r="CP1008" s="81"/>
      <c r="CQ1008" s="111"/>
      <c r="CR1008" s="81"/>
      <c r="CS1008" s="81"/>
      <c r="CT1008" s="81"/>
    </row>
    <row r="1009" spans="2:100" x14ac:dyDescent="0.25">
      <c r="AH1009" s="128"/>
      <c r="AI1009" s="128"/>
      <c r="AJ1009" s="128"/>
      <c r="AM1009" s="129"/>
      <c r="AN1009" s="129"/>
      <c r="AO1009" s="129"/>
      <c r="AV1009" s="81"/>
      <c r="AW1009" s="81"/>
      <c r="AX1009" s="81"/>
      <c r="AY1009" s="81"/>
      <c r="BA1009" s="81"/>
      <c r="BB1009" s="81"/>
      <c r="BC1009" s="81"/>
      <c r="BD1009" s="81"/>
      <c r="BE1009" s="81"/>
      <c r="BF1009" s="81"/>
      <c r="BG1009" s="81"/>
      <c r="BH1009" s="81"/>
      <c r="BI1009" s="81"/>
      <c r="BJ1009" s="81"/>
      <c r="BK1009" s="81"/>
      <c r="BL1009" s="81"/>
      <c r="BM1009" s="81"/>
      <c r="BN1009" s="81"/>
      <c r="BO1009" s="81"/>
      <c r="BP1009" s="81"/>
      <c r="BQ1009" s="81"/>
      <c r="BR1009" s="81"/>
      <c r="BS1009" s="81"/>
      <c r="BT1009" s="81"/>
      <c r="BU1009" s="81"/>
      <c r="BV1009" s="81"/>
      <c r="BW1009" s="81"/>
      <c r="BX1009" s="81"/>
      <c r="BY1009" s="81"/>
      <c r="BZ1009" s="81"/>
      <c r="CA1009" s="81"/>
      <c r="CB1009" s="81"/>
      <c r="CC1009" s="81"/>
      <c r="CD1009" s="81"/>
      <c r="CE1009" s="81"/>
      <c r="CF1009" s="81"/>
      <c r="CG1009" s="81"/>
      <c r="CH1009" s="81"/>
      <c r="CI1009" s="81"/>
      <c r="CJ1009" s="81"/>
      <c r="CK1009" s="81"/>
      <c r="CL1009" s="81"/>
      <c r="CM1009" s="81"/>
      <c r="CN1009" s="81"/>
      <c r="CO1009" s="81"/>
      <c r="CP1009" s="81"/>
      <c r="CQ1009" s="111"/>
      <c r="CR1009" s="81"/>
    </row>
    <row r="1010" spans="2:100" x14ac:dyDescent="0.25">
      <c r="AH1010" s="128"/>
      <c r="AI1010" s="128"/>
      <c r="AJ1010" s="128"/>
      <c r="AV1010" s="81"/>
      <c r="AW1010" s="81"/>
      <c r="AX1010" s="81"/>
      <c r="AY1010" s="81"/>
      <c r="BA1010" s="81"/>
      <c r="BB1010" s="81"/>
      <c r="BC1010" s="81"/>
      <c r="BD1010" s="81"/>
      <c r="BE1010" s="81"/>
      <c r="BF1010" s="81"/>
      <c r="BG1010" s="81"/>
      <c r="BH1010" s="81"/>
      <c r="BI1010" s="81"/>
      <c r="BJ1010" s="81"/>
      <c r="BK1010" s="81"/>
      <c r="BL1010" s="81"/>
      <c r="BM1010" s="81"/>
      <c r="BN1010" s="81"/>
      <c r="BO1010" s="81"/>
      <c r="BP1010" s="81"/>
      <c r="BQ1010" s="81"/>
      <c r="BR1010" s="81"/>
      <c r="BS1010" s="81"/>
      <c r="BT1010" s="81"/>
      <c r="BU1010" s="81"/>
      <c r="BV1010" s="81"/>
      <c r="BW1010" s="81"/>
      <c r="BX1010" s="81"/>
      <c r="BY1010" s="81"/>
      <c r="BZ1010" s="81"/>
      <c r="CA1010" s="81"/>
      <c r="CB1010" s="81"/>
      <c r="CC1010" s="81"/>
      <c r="CD1010" s="81"/>
      <c r="CE1010" s="81"/>
      <c r="CF1010" s="81"/>
      <c r="CG1010" s="81"/>
      <c r="CH1010" s="81"/>
      <c r="CI1010" s="81"/>
      <c r="CJ1010" s="81"/>
      <c r="CK1010" s="81"/>
      <c r="CL1010" s="81"/>
      <c r="CM1010" s="81"/>
      <c r="CN1010" s="81"/>
      <c r="CO1010" s="81"/>
      <c r="CP1010" s="81"/>
      <c r="CQ1010" s="111"/>
      <c r="CR1010" s="81"/>
      <c r="CS1010" s="81"/>
    </row>
    <row r="1011" spans="2:100" x14ac:dyDescent="0.25">
      <c r="AU1011" s="126"/>
      <c r="BA1011" s="81"/>
      <c r="BB1011" s="81"/>
      <c r="BC1011" s="81"/>
      <c r="BD1011" s="81"/>
      <c r="BE1011" s="81"/>
      <c r="BF1011" s="81"/>
      <c r="BG1011" s="81"/>
      <c r="BH1011" s="81"/>
      <c r="BI1011" s="81"/>
      <c r="BJ1011" s="81"/>
      <c r="BK1011" s="81"/>
      <c r="BL1011" s="81"/>
      <c r="BM1011" s="81"/>
      <c r="BN1011" s="81"/>
      <c r="BO1011" s="81"/>
      <c r="BP1011" s="81"/>
      <c r="BQ1011" s="81"/>
      <c r="BR1011" s="81"/>
      <c r="BS1011" s="81"/>
      <c r="BT1011" s="81"/>
      <c r="BU1011" s="81"/>
      <c r="BV1011" s="81"/>
      <c r="BW1011" s="81"/>
      <c r="BX1011" s="81"/>
      <c r="BY1011" s="81"/>
      <c r="BZ1011" s="81"/>
      <c r="CA1011" s="81"/>
      <c r="CB1011" s="81"/>
      <c r="CC1011" s="81"/>
      <c r="CD1011" s="81"/>
      <c r="CE1011" s="81"/>
      <c r="CF1011" s="81"/>
      <c r="CG1011" s="81"/>
      <c r="CH1011" s="81"/>
      <c r="CI1011" s="81"/>
      <c r="CJ1011" s="81"/>
      <c r="CK1011" s="81"/>
      <c r="CL1011" s="81"/>
      <c r="CM1011" s="81"/>
      <c r="CN1011" s="81"/>
      <c r="CO1011" s="81"/>
      <c r="CP1011" s="81"/>
      <c r="CQ1011" s="111"/>
      <c r="CR1011" s="81"/>
      <c r="CS1011" s="81"/>
      <c r="CT1011" s="81"/>
    </row>
    <row r="1012" spans="2:100" x14ac:dyDescent="0.25">
      <c r="AV1012" s="81"/>
      <c r="AW1012" s="81"/>
      <c r="AX1012" s="81"/>
      <c r="AY1012" s="81"/>
      <c r="BA1012" s="81"/>
      <c r="BB1012" s="81"/>
      <c r="BC1012" s="81"/>
      <c r="BD1012" s="81"/>
      <c r="BE1012" s="81"/>
      <c r="BF1012" s="81"/>
      <c r="BG1012" s="81"/>
      <c r="BH1012" s="81"/>
      <c r="BI1012" s="81"/>
      <c r="BJ1012" s="81"/>
      <c r="BK1012" s="81"/>
      <c r="BL1012" s="81"/>
      <c r="BM1012" s="81"/>
      <c r="BN1012" s="81"/>
      <c r="BO1012" s="81"/>
      <c r="BP1012" s="81"/>
      <c r="BQ1012" s="81"/>
      <c r="BR1012" s="81"/>
      <c r="BS1012" s="81"/>
      <c r="BT1012" s="81"/>
      <c r="BU1012" s="81"/>
      <c r="BV1012" s="81"/>
      <c r="BW1012" s="81"/>
      <c r="BX1012" s="81"/>
      <c r="BY1012" s="81"/>
      <c r="BZ1012" s="81"/>
      <c r="CA1012" s="81"/>
      <c r="CB1012" s="81"/>
      <c r="CC1012" s="81"/>
      <c r="CD1012" s="81"/>
      <c r="CE1012" s="81"/>
      <c r="CF1012" s="81"/>
      <c r="CG1012" s="81"/>
      <c r="CH1012" s="81"/>
      <c r="CI1012" s="81"/>
      <c r="CJ1012" s="81"/>
      <c r="CK1012" s="81"/>
      <c r="CL1012" s="81"/>
      <c r="CM1012" s="81"/>
      <c r="CN1012" s="81"/>
      <c r="CO1012" s="81"/>
      <c r="CP1012" s="81"/>
      <c r="CQ1012" s="111"/>
      <c r="CR1012" s="81"/>
      <c r="CS1012" s="81"/>
    </row>
    <row r="1013" spans="2:100" x14ac:dyDescent="0.25">
      <c r="AV1013" s="81"/>
      <c r="AW1013" s="81"/>
      <c r="AX1013" s="81"/>
      <c r="AY1013" s="81"/>
      <c r="BA1013" s="81"/>
      <c r="BB1013" s="81"/>
      <c r="BC1013" s="81"/>
      <c r="BD1013" s="81"/>
      <c r="BE1013" s="81"/>
      <c r="BF1013" s="81"/>
      <c r="BG1013" s="81"/>
      <c r="BH1013" s="81"/>
      <c r="BI1013" s="81"/>
      <c r="BJ1013" s="81"/>
      <c r="BK1013" s="81"/>
      <c r="BL1013" s="81"/>
      <c r="BM1013" s="81"/>
      <c r="BN1013" s="81"/>
      <c r="BO1013" s="81"/>
      <c r="BP1013" s="81"/>
      <c r="BQ1013" s="81"/>
      <c r="BR1013" s="81"/>
      <c r="BS1013" s="81"/>
      <c r="BT1013" s="81"/>
      <c r="BU1013" s="81"/>
      <c r="BV1013" s="81"/>
      <c r="BW1013" s="81"/>
      <c r="BX1013" s="81"/>
      <c r="BY1013" s="81"/>
      <c r="BZ1013" s="81"/>
      <c r="CA1013" s="81"/>
      <c r="CB1013" s="81"/>
      <c r="CC1013" s="81"/>
      <c r="CD1013" s="81"/>
      <c r="CE1013" s="81"/>
      <c r="CF1013" s="81"/>
      <c r="CG1013" s="81"/>
      <c r="CH1013" s="81"/>
      <c r="CI1013" s="81"/>
      <c r="CJ1013" s="81"/>
      <c r="CK1013" s="81"/>
      <c r="CL1013" s="81"/>
      <c r="CM1013" s="81"/>
      <c r="CN1013" s="81"/>
      <c r="CO1013" s="81"/>
      <c r="CP1013" s="81"/>
      <c r="CQ1013" s="111"/>
      <c r="CT1013" s="81"/>
    </row>
    <row r="1014" spans="2:100" x14ac:dyDescent="0.25">
      <c r="B1014" s="81"/>
      <c r="C1014" s="81"/>
      <c r="D1014" s="81"/>
      <c r="AV1014" s="81"/>
      <c r="AW1014" s="81"/>
      <c r="AX1014" s="81"/>
      <c r="AY1014" s="81"/>
      <c r="BA1014" s="81"/>
      <c r="BB1014" s="81"/>
      <c r="BC1014" s="81"/>
      <c r="BD1014" s="81"/>
      <c r="BE1014" s="81"/>
      <c r="BF1014" s="81"/>
      <c r="BG1014" s="81"/>
      <c r="BH1014" s="81"/>
      <c r="BI1014" s="81"/>
      <c r="BJ1014" s="81"/>
      <c r="BK1014" s="81"/>
      <c r="BL1014" s="81"/>
      <c r="BM1014" s="81"/>
      <c r="BN1014" s="81"/>
      <c r="BO1014" s="81"/>
      <c r="BP1014" s="81"/>
      <c r="BQ1014" s="81"/>
      <c r="BR1014" s="81"/>
      <c r="BS1014" s="81"/>
      <c r="BT1014" s="81"/>
      <c r="BU1014" s="81"/>
      <c r="BV1014" s="81"/>
      <c r="BW1014" s="81"/>
      <c r="BX1014" s="81"/>
      <c r="BY1014" s="81"/>
      <c r="BZ1014" s="81"/>
      <c r="CA1014" s="81"/>
      <c r="CB1014" s="81"/>
      <c r="CC1014" s="81"/>
      <c r="CD1014" s="81"/>
      <c r="CE1014" s="81"/>
      <c r="CF1014" s="81"/>
      <c r="CG1014" s="81"/>
      <c r="CH1014" s="81"/>
      <c r="CI1014" s="81"/>
      <c r="CJ1014" s="81"/>
      <c r="CK1014" s="81"/>
      <c r="CL1014" s="81"/>
      <c r="CM1014" s="81"/>
      <c r="CN1014" s="81"/>
      <c r="CO1014" s="81"/>
      <c r="CP1014" s="81"/>
      <c r="CQ1014" s="111"/>
      <c r="CT1014" s="81"/>
    </row>
    <row r="1015" spans="2:100" x14ac:dyDescent="0.25">
      <c r="B1015" s="81"/>
      <c r="C1015" s="81"/>
      <c r="D1015" s="81"/>
      <c r="AV1015" s="81"/>
      <c r="AW1015" s="81"/>
      <c r="AX1015" s="81"/>
      <c r="AY1015" s="81"/>
      <c r="BA1015" s="81"/>
      <c r="BB1015" s="81"/>
      <c r="BC1015" s="81"/>
      <c r="BD1015" s="81"/>
      <c r="BE1015" s="81"/>
      <c r="BF1015" s="81"/>
      <c r="BG1015" s="81"/>
      <c r="BH1015" s="81"/>
      <c r="BI1015" s="81"/>
      <c r="BJ1015" s="81"/>
      <c r="BK1015" s="81"/>
      <c r="BL1015" s="81"/>
      <c r="BM1015" s="81"/>
      <c r="BN1015" s="81"/>
      <c r="BO1015" s="81"/>
      <c r="BP1015" s="81"/>
      <c r="BQ1015" s="81"/>
      <c r="BR1015" s="81"/>
      <c r="BS1015" s="81"/>
      <c r="BT1015" s="81"/>
      <c r="BU1015" s="81"/>
      <c r="BV1015" s="81"/>
      <c r="BW1015" s="81"/>
      <c r="BX1015" s="81"/>
      <c r="BY1015" s="81"/>
      <c r="BZ1015" s="81"/>
      <c r="CA1015" s="81"/>
      <c r="CB1015" s="81"/>
      <c r="CC1015" s="81"/>
      <c r="CD1015" s="81"/>
      <c r="CE1015" s="81"/>
      <c r="CF1015" s="81"/>
      <c r="CG1015" s="81"/>
      <c r="CH1015" s="81"/>
      <c r="CI1015" s="81"/>
      <c r="CJ1015" s="81"/>
      <c r="CK1015" s="81"/>
      <c r="CL1015" s="81"/>
      <c r="CM1015" s="81"/>
      <c r="CN1015" s="81"/>
      <c r="CO1015" s="81"/>
      <c r="CP1015" s="81"/>
      <c r="CQ1015" s="111"/>
      <c r="CR1015" s="131"/>
      <c r="CT1015" s="81"/>
    </row>
    <row r="1016" spans="2:100" x14ac:dyDescent="0.25">
      <c r="AV1016" s="81"/>
      <c r="AW1016" s="81"/>
      <c r="AX1016" s="81"/>
      <c r="AY1016" s="81"/>
      <c r="BA1016" s="81"/>
      <c r="BB1016" s="81"/>
      <c r="BC1016" s="81"/>
      <c r="BD1016" s="81"/>
      <c r="BE1016" s="81"/>
      <c r="BF1016" s="81"/>
      <c r="BG1016" s="81"/>
      <c r="BH1016" s="81"/>
      <c r="BI1016" s="81"/>
      <c r="BJ1016" s="81"/>
      <c r="BK1016" s="81"/>
      <c r="BL1016" s="81"/>
      <c r="BM1016" s="81"/>
      <c r="BN1016" s="81"/>
      <c r="BO1016" s="81"/>
      <c r="BP1016" s="81"/>
      <c r="BQ1016" s="81"/>
      <c r="BR1016" s="81"/>
      <c r="BS1016" s="81"/>
      <c r="BT1016" s="81"/>
      <c r="BU1016" s="81"/>
      <c r="BV1016" s="81"/>
      <c r="BW1016" s="81"/>
      <c r="BX1016" s="81"/>
      <c r="BY1016" s="81"/>
      <c r="BZ1016" s="81"/>
      <c r="CA1016" s="81"/>
      <c r="CB1016" s="81"/>
      <c r="CC1016" s="81"/>
      <c r="CD1016" s="81"/>
      <c r="CE1016" s="81"/>
      <c r="CF1016" s="81"/>
      <c r="CG1016" s="81"/>
      <c r="CH1016" s="81"/>
      <c r="CI1016" s="81"/>
      <c r="CJ1016" s="81"/>
      <c r="CK1016" s="81"/>
      <c r="CL1016" s="81"/>
      <c r="CM1016" s="81"/>
      <c r="CN1016" s="81"/>
      <c r="CO1016" s="81"/>
      <c r="CP1016" s="81"/>
      <c r="CQ1016" s="111"/>
      <c r="CT1016" s="81"/>
    </row>
    <row r="1017" spans="2:100" x14ac:dyDescent="0.25">
      <c r="AV1017" s="81"/>
      <c r="AW1017" s="81"/>
      <c r="AX1017" s="81"/>
      <c r="AY1017" s="81"/>
      <c r="BA1017" s="81"/>
      <c r="BB1017" s="81"/>
      <c r="BC1017" s="81"/>
      <c r="BD1017" s="81"/>
      <c r="BE1017" s="81"/>
      <c r="BF1017" s="81"/>
      <c r="BG1017" s="81"/>
      <c r="BH1017" s="81"/>
      <c r="BI1017" s="81"/>
      <c r="BJ1017" s="81"/>
      <c r="BK1017" s="81"/>
      <c r="BL1017" s="81"/>
      <c r="BM1017" s="81"/>
      <c r="BN1017" s="81"/>
      <c r="BO1017" s="81"/>
      <c r="BP1017" s="81"/>
      <c r="BQ1017" s="81"/>
      <c r="BR1017" s="81"/>
      <c r="BS1017" s="81"/>
      <c r="BT1017" s="81"/>
      <c r="BU1017" s="81"/>
      <c r="BV1017" s="81"/>
      <c r="BW1017" s="81"/>
      <c r="BX1017" s="81"/>
      <c r="BY1017" s="81"/>
      <c r="BZ1017" s="81"/>
      <c r="CA1017" s="81"/>
      <c r="CB1017" s="81"/>
      <c r="CC1017" s="81"/>
      <c r="CD1017" s="81"/>
      <c r="CE1017" s="81"/>
      <c r="CF1017" s="81"/>
      <c r="CG1017" s="81"/>
      <c r="CH1017" s="81"/>
      <c r="CI1017" s="81"/>
      <c r="CJ1017" s="81"/>
      <c r="CK1017" s="81"/>
      <c r="CL1017" s="81"/>
      <c r="CM1017" s="81"/>
      <c r="CN1017" s="81"/>
      <c r="CO1017" s="81"/>
      <c r="CP1017" s="81"/>
      <c r="CQ1017" s="111"/>
      <c r="CT1017" s="81"/>
    </row>
    <row r="1018" spans="2:100" x14ac:dyDescent="0.25">
      <c r="B1018" s="111"/>
      <c r="C1018" s="111"/>
      <c r="D1018" s="111"/>
      <c r="E1018" s="81"/>
      <c r="F1018" s="81"/>
      <c r="G1018" s="81"/>
      <c r="H1018" s="81"/>
      <c r="I1018" s="81"/>
      <c r="J1018" s="81"/>
      <c r="K1018" s="81"/>
      <c r="M1018" s="81"/>
      <c r="N1018" s="81"/>
      <c r="O1018" s="81"/>
      <c r="P1018" s="81"/>
      <c r="Q1018" s="81"/>
      <c r="R1018" s="81"/>
      <c r="S1018" s="81"/>
      <c r="T1018" s="81"/>
      <c r="Y1018" s="81"/>
      <c r="Z1018" s="81"/>
      <c r="AA1018" s="81"/>
      <c r="AB1018" s="81"/>
      <c r="AC1018" s="81"/>
      <c r="AD1018" s="81"/>
      <c r="AE1018" s="81"/>
      <c r="AF1018" s="81"/>
      <c r="AH1018" s="81"/>
      <c r="AI1018" s="81"/>
      <c r="AJ1018" s="81"/>
      <c r="AL1018" s="81"/>
      <c r="AM1018" s="81"/>
      <c r="AN1018" s="81"/>
      <c r="AO1018" s="81"/>
      <c r="AV1018" s="81"/>
      <c r="AW1018" s="81"/>
      <c r="AX1018" s="81"/>
      <c r="AY1018" s="81"/>
      <c r="BA1018" s="81"/>
      <c r="BB1018" s="81"/>
      <c r="BC1018" s="81"/>
      <c r="BD1018" s="81"/>
      <c r="BE1018" s="81"/>
      <c r="BF1018" s="81"/>
      <c r="BG1018" s="81"/>
      <c r="BH1018" s="81"/>
      <c r="BI1018" s="81"/>
      <c r="BJ1018" s="81"/>
      <c r="BK1018" s="81"/>
      <c r="BL1018" s="81"/>
      <c r="BM1018" s="81"/>
      <c r="BN1018" s="81"/>
      <c r="BO1018" s="81"/>
      <c r="BP1018" s="81"/>
      <c r="BQ1018" s="81"/>
      <c r="BR1018" s="81"/>
      <c r="BS1018" s="81"/>
      <c r="BT1018" s="81"/>
      <c r="BU1018" s="81"/>
      <c r="BV1018" s="81"/>
      <c r="BW1018" s="81"/>
      <c r="BX1018" s="81"/>
      <c r="BY1018" s="81"/>
      <c r="BZ1018" s="81"/>
      <c r="CA1018" s="81"/>
      <c r="CB1018" s="81"/>
      <c r="CC1018" s="81"/>
      <c r="CD1018" s="81"/>
      <c r="CE1018" s="81"/>
      <c r="CF1018" s="81"/>
      <c r="CG1018" s="81"/>
      <c r="CH1018" s="81"/>
      <c r="CI1018" s="81"/>
      <c r="CJ1018" s="81"/>
      <c r="CK1018" s="81"/>
      <c r="CL1018" s="81"/>
      <c r="CM1018" s="81"/>
      <c r="CN1018" s="81"/>
      <c r="CO1018" s="81"/>
      <c r="CP1018" s="81"/>
      <c r="CQ1018" s="111"/>
      <c r="CT1018" s="81"/>
    </row>
    <row r="1019" spans="2:100" x14ac:dyDescent="0.25">
      <c r="E1019" s="81"/>
      <c r="F1019" s="81"/>
      <c r="G1019" s="81"/>
      <c r="H1019" s="81"/>
      <c r="I1019" s="81"/>
      <c r="J1019" s="81"/>
      <c r="K1019" s="81"/>
      <c r="M1019" s="81"/>
      <c r="N1019" s="81"/>
      <c r="O1019" s="81"/>
      <c r="P1019" s="81"/>
      <c r="Q1019" s="81"/>
      <c r="R1019" s="81"/>
      <c r="S1019" s="81"/>
      <c r="T1019" s="81"/>
      <c r="Y1019" s="81"/>
      <c r="Z1019" s="81"/>
      <c r="AA1019" s="81"/>
      <c r="AB1019" s="81"/>
      <c r="AC1019" s="81"/>
      <c r="AD1019" s="81"/>
      <c r="AE1019" s="81"/>
      <c r="AF1019" s="81"/>
      <c r="AH1019" s="81"/>
      <c r="AI1019" s="81"/>
      <c r="AJ1019" s="81"/>
      <c r="AL1019" s="81"/>
      <c r="AM1019" s="81"/>
      <c r="AN1019" s="81"/>
      <c r="AO1019" s="81"/>
      <c r="AV1019" s="81"/>
      <c r="AW1019" s="81"/>
      <c r="AX1019" s="81"/>
      <c r="AY1019" s="81"/>
      <c r="BA1019" s="81"/>
      <c r="BB1019" s="81"/>
      <c r="BC1019" s="81"/>
      <c r="BD1019" s="81"/>
      <c r="BE1019" s="81"/>
      <c r="BF1019" s="81"/>
      <c r="BG1019" s="81"/>
      <c r="BH1019" s="81"/>
      <c r="BI1019" s="81"/>
      <c r="BJ1019" s="81"/>
      <c r="BK1019" s="81"/>
      <c r="BL1019" s="81"/>
      <c r="BM1019" s="81"/>
      <c r="BN1019" s="81"/>
      <c r="BO1019" s="81"/>
      <c r="BP1019" s="81"/>
      <c r="BQ1019" s="81"/>
      <c r="BR1019" s="81"/>
      <c r="BS1019" s="81"/>
      <c r="BT1019" s="81"/>
      <c r="BU1019" s="81"/>
      <c r="BV1019" s="81"/>
      <c r="BW1019" s="81"/>
      <c r="BX1019" s="81"/>
      <c r="BY1019" s="81"/>
      <c r="BZ1019" s="81"/>
      <c r="CA1019" s="81"/>
      <c r="CB1019" s="81"/>
      <c r="CC1019" s="81"/>
      <c r="CD1019" s="81"/>
      <c r="CE1019" s="81"/>
      <c r="CF1019" s="81"/>
      <c r="CG1019" s="81"/>
      <c r="CH1019" s="81"/>
      <c r="CI1019" s="81"/>
      <c r="CJ1019" s="81"/>
      <c r="CK1019" s="81"/>
      <c r="CL1019" s="81"/>
      <c r="CM1019" s="81"/>
      <c r="CN1019" s="81"/>
      <c r="CO1019" s="81"/>
      <c r="CP1019" s="81"/>
      <c r="CQ1019" s="111"/>
      <c r="CT1019" s="81"/>
    </row>
    <row r="1020" spans="2:100" x14ac:dyDescent="0.25">
      <c r="B1020" s="81"/>
      <c r="C1020" s="81"/>
      <c r="D1020" s="81"/>
      <c r="AH1020" s="81"/>
      <c r="AI1020" s="81"/>
      <c r="AJ1020" s="81"/>
      <c r="AM1020" s="81"/>
      <c r="AN1020" s="81"/>
      <c r="AO1020" s="81"/>
      <c r="AV1020" s="81"/>
      <c r="AW1020" s="81"/>
      <c r="AX1020" s="81"/>
      <c r="AY1020" s="81"/>
      <c r="BA1020" s="81"/>
      <c r="BB1020" s="81"/>
      <c r="BC1020" s="81"/>
      <c r="BD1020" s="81"/>
      <c r="BE1020" s="81"/>
      <c r="BF1020" s="81"/>
      <c r="BG1020" s="81"/>
      <c r="BH1020" s="81"/>
      <c r="BI1020" s="81"/>
      <c r="BJ1020" s="81"/>
      <c r="BK1020" s="81"/>
      <c r="BL1020" s="81"/>
      <c r="BM1020" s="81"/>
      <c r="BN1020" s="81"/>
      <c r="BO1020" s="81"/>
      <c r="BP1020" s="81"/>
      <c r="BQ1020" s="81"/>
      <c r="BR1020" s="81"/>
      <c r="BS1020" s="81"/>
      <c r="BT1020" s="81"/>
      <c r="BU1020" s="81"/>
      <c r="BV1020" s="81"/>
      <c r="BW1020" s="81"/>
      <c r="BX1020" s="81"/>
      <c r="BY1020" s="81"/>
      <c r="BZ1020" s="81"/>
      <c r="CA1020" s="81"/>
      <c r="CB1020" s="81"/>
      <c r="CC1020" s="81"/>
      <c r="CD1020" s="81"/>
      <c r="CE1020" s="81"/>
      <c r="CF1020" s="81"/>
      <c r="CG1020" s="81"/>
      <c r="CH1020" s="81"/>
      <c r="CI1020" s="81"/>
      <c r="CJ1020" s="81"/>
      <c r="CK1020" s="81"/>
      <c r="CL1020" s="81"/>
      <c r="CM1020" s="81"/>
      <c r="CN1020" s="81"/>
      <c r="CO1020" s="81"/>
      <c r="CP1020" s="81"/>
      <c r="CQ1020" s="111"/>
      <c r="CT1020" s="81"/>
    </row>
    <row r="1021" spans="2:100" x14ac:dyDescent="0.25">
      <c r="AH1021" s="81"/>
      <c r="AI1021" s="81"/>
      <c r="AJ1021" s="81"/>
      <c r="AV1021" s="81"/>
      <c r="AW1021" s="81"/>
      <c r="AX1021" s="81"/>
      <c r="AY1021" s="81"/>
      <c r="BA1021" s="81"/>
      <c r="BB1021" s="81"/>
      <c r="BC1021" s="81"/>
      <c r="BD1021" s="81"/>
      <c r="BE1021" s="81"/>
      <c r="BF1021" s="81"/>
      <c r="BG1021" s="81"/>
      <c r="BH1021" s="81"/>
      <c r="BI1021" s="81"/>
      <c r="BJ1021" s="81"/>
      <c r="BK1021" s="81"/>
      <c r="BL1021" s="81"/>
      <c r="BM1021" s="81"/>
      <c r="BN1021" s="81"/>
      <c r="BO1021" s="81"/>
      <c r="BP1021" s="81"/>
      <c r="BQ1021" s="81"/>
      <c r="BR1021" s="81"/>
      <c r="BS1021" s="81"/>
      <c r="BT1021" s="81"/>
      <c r="BU1021" s="81"/>
      <c r="BV1021" s="81"/>
      <c r="BW1021" s="81"/>
      <c r="BX1021" s="81"/>
      <c r="BY1021" s="81"/>
      <c r="BZ1021" s="81"/>
      <c r="CA1021" s="81"/>
      <c r="CB1021" s="81"/>
      <c r="CC1021" s="81"/>
      <c r="CD1021" s="81"/>
      <c r="CE1021" s="81"/>
      <c r="CF1021" s="81"/>
      <c r="CG1021" s="81"/>
      <c r="CH1021" s="81"/>
      <c r="CI1021" s="81"/>
      <c r="CJ1021" s="81"/>
      <c r="CK1021" s="81"/>
      <c r="CL1021" s="81"/>
      <c r="CM1021" s="81"/>
      <c r="CN1021" s="81"/>
      <c r="CO1021" s="81"/>
      <c r="CP1021" s="81"/>
      <c r="CQ1021" s="111"/>
      <c r="CT1021" s="81"/>
      <c r="CV1021" s="132"/>
    </row>
    <row r="1022" spans="2:100" x14ac:dyDescent="0.25">
      <c r="E1022" s="111"/>
      <c r="F1022" s="111"/>
      <c r="G1022" s="111"/>
      <c r="H1022" s="111"/>
      <c r="I1022" s="111"/>
      <c r="J1022" s="111"/>
      <c r="K1022" s="111"/>
      <c r="M1022" s="111"/>
      <c r="N1022" s="111"/>
      <c r="O1022" s="111"/>
      <c r="P1022" s="111"/>
      <c r="Q1022" s="111"/>
      <c r="R1022" s="111"/>
      <c r="S1022" s="111"/>
      <c r="T1022" s="111"/>
      <c r="Y1022" s="111"/>
      <c r="Z1022" s="111"/>
      <c r="AA1022" s="111"/>
      <c r="AB1022" s="111"/>
      <c r="AC1022" s="111"/>
      <c r="AD1022" s="111"/>
      <c r="AE1022" s="111"/>
      <c r="AF1022" s="111"/>
      <c r="AH1022" s="111"/>
      <c r="AI1022" s="111"/>
      <c r="AJ1022" s="111"/>
      <c r="AL1022" s="111"/>
      <c r="AM1022" s="111"/>
      <c r="AN1022" s="111"/>
      <c r="AO1022" s="111"/>
      <c r="AV1022" s="81"/>
      <c r="AW1022" s="81"/>
      <c r="AX1022" s="81"/>
      <c r="AY1022" s="81"/>
      <c r="BA1022" s="81"/>
      <c r="BB1022" s="81"/>
      <c r="BC1022" s="81"/>
      <c r="BD1022" s="81"/>
      <c r="BE1022" s="81"/>
      <c r="BF1022" s="81"/>
      <c r="BG1022" s="81"/>
      <c r="BH1022" s="81"/>
      <c r="BI1022" s="81"/>
      <c r="BJ1022" s="81"/>
      <c r="BK1022" s="81"/>
      <c r="BL1022" s="81"/>
      <c r="BM1022" s="81"/>
      <c r="BN1022" s="81"/>
      <c r="BO1022" s="81"/>
      <c r="BP1022" s="81"/>
      <c r="BQ1022" s="81"/>
      <c r="BR1022" s="81"/>
      <c r="BS1022" s="81"/>
      <c r="BT1022" s="81"/>
      <c r="BU1022" s="81"/>
      <c r="BV1022" s="81"/>
      <c r="BW1022" s="81"/>
      <c r="BX1022" s="81"/>
      <c r="BY1022" s="81"/>
      <c r="BZ1022" s="81"/>
      <c r="CA1022" s="81"/>
      <c r="CB1022" s="81"/>
      <c r="CC1022" s="81"/>
      <c r="CD1022" s="81"/>
      <c r="CE1022" s="81"/>
      <c r="CF1022" s="81"/>
      <c r="CG1022" s="81"/>
      <c r="CH1022" s="81"/>
      <c r="CI1022" s="81"/>
      <c r="CJ1022" s="81"/>
      <c r="CK1022" s="81"/>
      <c r="CL1022" s="81"/>
      <c r="CM1022" s="81"/>
      <c r="CN1022" s="81"/>
      <c r="CO1022" s="81"/>
      <c r="CP1022" s="81"/>
      <c r="CQ1022" s="111"/>
      <c r="CT1022" s="81"/>
    </row>
    <row r="1023" spans="2:100" x14ac:dyDescent="0.25">
      <c r="AV1023" s="81"/>
      <c r="AW1023" s="81"/>
      <c r="AX1023" s="81"/>
      <c r="AY1023" s="81"/>
      <c r="BA1023" s="81"/>
      <c r="BB1023" s="81"/>
      <c r="BC1023" s="81"/>
      <c r="BD1023" s="81"/>
      <c r="BE1023" s="81"/>
      <c r="BF1023" s="81"/>
      <c r="BG1023" s="81"/>
      <c r="BH1023" s="81"/>
      <c r="BI1023" s="81"/>
      <c r="BJ1023" s="81"/>
      <c r="BK1023" s="81"/>
      <c r="BL1023" s="81"/>
      <c r="BM1023" s="81"/>
      <c r="BN1023" s="81"/>
      <c r="BO1023" s="81"/>
      <c r="BP1023" s="81"/>
      <c r="BQ1023" s="81"/>
      <c r="BR1023" s="81"/>
      <c r="BS1023" s="81"/>
      <c r="BT1023" s="81"/>
      <c r="BU1023" s="81"/>
      <c r="BV1023" s="81"/>
      <c r="BW1023" s="81"/>
      <c r="BX1023" s="81"/>
      <c r="BY1023" s="81"/>
      <c r="BZ1023" s="81"/>
      <c r="CA1023" s="81"/>
      <c r="CB1023" s="81"/>
      <c r="CC1023" s="81"/>
      <c r="CD1023" s="81"/>
      <c r="CE1023" s="81"/>
      <c r="CF1023" s="81"/>
      <c r="CG1023" s="81"/>
      <c r="CH1023" s="81"/>
      <c r="CI1023" s="81"/>
      <c r="CJ1023" s="81"/>
      <c r="CK1023" s="81"/>
      <c r="CL1023" s="81"/>
      <c r="CM1023" s="81"/>
      <c r="CN1023" s="81"/>
      <c r="CO1023" s="81"/>
      <c r="CP1023" s="81"/>
      <c r="CQ1023" s="111"/>
      <c r="CT1023" s="81"/>
    </row>
    <row r="1024" spans="2:100" x14ac:dyDescent="0.25">
      <c r="E1024" s="81"/>
      <c r="F1024" s="81"/>
      <c r="G1024" s="81"/>
      <c r="H1024" s="81"/>
      <c r="I1024" s="81"/>
      <c r="J1024" s="81"/>
      <c r="K1024" s="81"/>
      <c r="M1024" s="81"/>
      <c r="N1024" s="81"/>
      <c r="O1024" s="81"/>
      <c r="P1024" s="81"/>
      <c r="Q1024" s="81"/>
      <c r="R1024" s="81"/>
      <c r="S1024" s="81"/>
      <c r="T1024" s="81"/>
      <c r="Y1024" s="81"/>
      <c r="Z1024" s="81"/>
      <c r="AA1024" s="81"/>
      <c r="AB1024" s="81"/>
      <c r="AC1024" s="81"/>
      <c r="AD1024" s="81"/>
      <c r="AE1024" s="81"/>
      <c r="AF1024" s="81"/>
      <c r="AH1024" s="81"/>
      <c r="AI1024" s="81"/>
      <c r="AJ1024" s="81"/>
      <c r="AL1024" s="81"/>
      <c r="AM1024" s="81"/>
      <c r="AN1024" s="81"/>
      <c r="AO1024" s="81"/>
      <c r="AV1024" s="81"/>
      <c r="AW1024" s="81"/>
      <c r="AX1024" s="81"/>
      <c r="AY1024" s="81"/>
      <c r="BA1024" s="81"/>
      <c r="BB1024" s="81"/>
      <c r="BC1024" s="81"/>
      <c r="BD1024" s="81"/>
      <c r="BE1024" s="81"/>
      <c r="BF1024" s="81"/>
      <c r="BG1024" s="81"/>
      <c r="BH1024" s="81"/>
      <c r="BI1024" s="81"/>
      <c r="BJ1024" s="81"/>
      <c r="BK1024" s="81"/>
      <c r="BL1024" s="81"/>
      <c r="BM1024" s="81"/>
      <c r="BN1024" s="81"/>
      <c r="BO1024" s="81"/>
      <c r="BP1024" s="81"/>
      <c r="BQ1024" s="81"/>
      <c r="BR1024" s="81"/>
      <c r="BS1024" s="81"/>
      <c r="BT1024" s="81"/>
      <c r="BU1024" s="81"/>
      <c r="BV1024" s="81"/>
      <c r="BW1024" s="81"/>
      <c r="BX1024" s="81"/>
      <c r="BY1024" s="81"/>
      <c r="BZ1024" s="81"/>
      <c r="CA1024" s="81"/>
      <c r="CB1024" s="81"/>
      <c r="CC1024" s="81"/>
      <c r="CD1024" s="81"/>
      <c r="CE1024" s="81"/>
      <c r="CF1024" s="81"/>
      <c r="CG1024" s="81"/>
      <c r="CH1024" s="81"/>
      <c r="CI1024" s="81"/>
      <c r="CJ1024" s="81"/>
      <c r="CK1024" s="81"/>
      <c r="CL1024" s="81"/>
      <c r="CM1024" s="81"/>
      <c r="CN1024" s="81"/>
      <c r="CO1024" s="81"/>
      <c r="CP1024" s="81"/>
      <c r="CQ1024" s="111"/>
      <c r="CT1024" s="81"/>
    </row>
    <row r="1025" spans="48:98" x14ac:dyDescent="0.25">
      <c r="AV1025" s="81"/>
      <c r="AW1025" s="81"/>
      <c r="AX1025" s="81"/>
      <c r="AY1025" s="81"/>
      <c r="BA1025" s="81"/>
      <c r="BB1025" s="81"/>
      <c r="BC1025" s="81"/>
      <c r="BD1025" s="81"/>
      <c r="BE1025" s="81"/>
      <c r="BF1025" s="81"/>
      <c r="BG1025" s="81"/>
      <c r="BH1025" s="81"/>
      <c r="BI1025" s="81"/>
      <c r="BJ1025" s="81"/>
      <c r="BK1025" s="81"/>
      <c r="BL1025" s="81"/>
      <c r="BM1025" s="81"/>
      <c r="BN1025" s="81"/>
      <c r="BO1025" s="81"/>
      <c r="BP1025" s="81"/>
      <c r="BQ1025" s="81"/>
      <c r="BR1025" s="81"/>
      <c r="BS1025" s="81"/>
      <c r="BT1025" s="81"/>
      <c r="BU1025" s="81"/>
      <c r="BV1025" s="81"/>
      <c r="BW1025" s="81"/>
      <c r="BX1025" s="81"/>
      <c r="BY1025" s="81"/>
      <c r="BZ1025" s="81"/>
      <c r="CA1025" s="81"/>
      <c r="CB1025" s="81"/>
      <c r="CC1025" s="81"/>
      <c r="CD1025" s="81"/>
      <c r="CE1025" s="81"/>
      <c r="CF1025" s="81"/>
      <c r="CG1025" s="81"/>
      <c r="CH1025" s="81"/>
      <c r="CI1025" s="81"/>
      <c r="CJ1025" s="81"/>
      <c r="CK1025" s="81"/>
      <c r="CL1025" s="81"/>
      <c r="CM1025" s="81"/>
      <c r="CN1025" s="81"/>
      <c r="CO1025" s="81"/>
      <c r="CP1025" s="81"/>
      <c r="CQ1025" s="111"/>
      <c r="CT1025" s="81"/>
    </row>
    <row r="1026" spans="48:98" x14ac:dyDescent="0.25">
      <c r="AV1026" s="81"/>
      <c r="AW1026" s="81"/>
      <c r="AX1026" s="81"/>
      <c r="AY1026" s="81"/>
      <c r="BA1026" s="81"/>
      <c r="BB1026" s="81"/>
      <c r="BC1026" s="81"/>
      <c r="BD1026" s="81"/>
      <c r="BE1026" s="81"/>
      <c r="BF1026" s="81"/>
      <c r="BG1026" s="81"/>
      <c r="BH1026" s="81"/>
      <c r="BI1026" s="81"/>
      <c r="BJ1026" s="81"/>
      <c r="BK1026" s="81"/>
      <c r="BL1026" s="81"/>
      <c r="BM1026" s="81"/>
      <c r="BN1026" s="81"/>
      <c r="BO1026" s="81"/>
      <c r="BP1026" s="81"/>
      <c r="BQ1026" s="81"/>
      <c r="BR1026" s="81"/>
      <c r="BS1026" s="81"/>
      <c r="BT1026" s="81"/>
      <c r="BU1026" s="81"/>
      <c r="BV1026" s="81"/>
      <c r="BW1026" s="81"/>
      <c r="BX1026" s="81"/>
      <c r="BY1026" s="81"/>
      <c r="BZ1026" s="81"/>
      <c r="CA1026" s="81"/>
      <c r="CB1026" s="81"/>
      <c r="CC1026" s="81"/>
      <c r="CD1026" s="81"/>
      <c r="CE1026" s="81"/>
      <c r="CF1026" s="81"/>
      <c r="CG1026" s="81"/>
      <c r="CH1026" s="81"/>
      <c r="CI1026" s="81"/>
      <c r="CJ1026" s="81"/>
      <c r="CK1026" s="81"/>
      <c r="CL1026" s="81"/>
      <c r="CM1026" s="81"/>
      <c r="CN1026" s="81"/>
      <c r="CO1026" s="81"/>
      <c r="CP1026" s="81"/>
      <c r="CQ1026" s="111"/>
      <c r="CT1026" s="81"/>
    </row>
    <row r="1027" spans="48:98" x14ac:dyDescent="0.25">
      <c r="AV1027" s="81"/>
      <c r="AW1027" s="81"/>
      <c r="AX1027" s="81"/>
      <c r="AY1027" s="81"/>
      <c r="BA1027" s="81"/>
      <c r="BB1027" s="81"/>
      <c r="BC1027" s="81"/>
      <c r="BD1027" s="81"/>
      <c r="BE1027" s="81"/>
      <c r="BF1027" s="81"/>
      <c r="BG1027" s="81"/>
      <c r="BH1027" s="81"/>
      <c r="BI1027" s="81"/>
      <c r="BJ1027" s="81"/>
      <c r="BK1027" s="81"/>
      <c r="BL1027" s="81"/>
      <c r="BM1027" s="81"/>
      <c r="BN1027" s="81"/>
      <c r="BO1027" s="81"/>
      <c r="BP1027" s="81"/>
      <c r="BQ1027" s="81"/>
      <c r="BR1027" s="81"/>
      <c r="BS1027" s="81"/>
      <c r="BT1027" s="81"/>
      <c r="BU1027" s="81"/>
      <c r="BV1027" s="81"/>
      <c r="BW1027" s="81"/>
      <c r="BX1027" s="81"/>
      <c r="BY1027" s="81"/>
      <c r="BZ1027" s="81"/>
      <c r="CA1027" s="81"/>
      <c r="CB1027" s="81"/>
      <c r="CC1027" s="81"/>
      <c r="CD1027" s="81"/>
      <c r="CE1027" s="81"/>
      <c r="CF1027" s="81"/>
      <c r="CG1027" s="81"/>
      <c r="CH1027" s="81"/>
      <c r="CI1027" s="81"/>
      <c r="CJ1027" s="81"/>
      <c r="CK1027" s="81"/>
      <c r="CL1027" s="81"/>
      <c r="CM1027" s="81"/>
      <c r="CN1027" s="81"/>
      <c r="CO1027" s="81"/>
      <c r="CP1027" s="81"/>
      <c r="CQ1027" s="111"/>
      <c r="CT1027" s="81"/>
    </row>
    <row r="1028" spans="48:98" x14ac:dyDescent="0.25">
      <c r="AV1028" s="81"/>
      <c r="AW1028" s="81"/>
      <c r="AX1028" s="81"/>
      <c r="AY1028" s="81"/>
      <c r="BA1028" s="81"/>
      <c r="BB1028" s="81"/>
      <c r="BC1028" s="81"/>
      <c r="BD1028" s="81"/>
      <c r="BE1028" s="81"/>
      <c r="BF1028" s="81"/>
      <c r="BG1028" s="81"/>
      <c r="BH1028" s="81"/>
      <c r="BI1028" s="81"/>
      <c r="BJ1028" s="81"/>
      <c r="BK1028" s="81"/>
      <c r="BL1028" s="81"/>
      <c r="BM1028" s="81"/>
      <c r="BN1028" s="81"/>
      <c r="BO1028" s="81"/>
      <c r="BP1028" s="81"/>
      <c r="BQ1028" s="81"/>
      <c r="BR1028" s="81"/>
      <c r="BS1028" s="81"/>
      <c r="BT1028" s="81"/>
      <c r="BU1028" s="81"/>
      <c r="BV1028" s="81"/>
      <c r="BW1028" s="81"/>
      <c r="BX1028" s="81"/>
      <c r="BY1028" s="81"/>
      <c r="BZ1028" s="81"/>
      <c r="CA1028" s="81"/>
      <c r="CB1028" s="81"/>
      <c r="CC1028" s="81"/>
      <c r="CD1028" s="81"/>
      <c r="CE1028" s="81"/>
      <c r="CF1028" s="81"/>
      <c r="CG1028" s="81"/>
      <c r="CH1028" s="81"/>
      <c r="CI1028" s="81"/>
      <c r="CJ1028" s="81"/>
      <c r="CK1028" s="81"/>
      <c r="CL1028" s="81"/>
      <c r="CM1028" s="81"/>
      <c r="CN1028" s="81"/>
      <c r="CO1028" s="81"/>
      <c r="CP1028" s="81"/>
      <c r="CQ1028" s="111"/>
      <c r="CT1028" s="81"/>
    </row>
    <row r="1029" spans="48:98" x14ac:dyDescent="0.25">
      <c r="AV1029" s="81"/>
      <c r="AW1029" s="81"/>
      <c r="AX1029" s="81"/>
      <c r="AY1029" s="81"/>
      <c r="BA1029" s="81"/>
      <c r="BB1029" s="81"/>
      <c r="BC1029" s="81"/>
      <c r="BD1029" s="81"/>
      <c r="BE1029" s="81"/>
      <c r="BF1029" s="81"/>
      <c r="BG1029" s="81"/>
      <c r="BH1029" s="81"/>
      <c r="BI1029" s="81"/>
      <c r="BJ1029" s="81"/>
      <c r="BK1029" s="81"/>
      <c r="BL1029" s="81"/>
      <c r="BM1029" s="81"/>
      <c r="BN1029" s="81"/>
      <c r="BO1029" s="81"/>
      <c r="BP1029" s="81"/>
      <c r="BQ1029" s="81"/>
      <c r="BR1029" s="81"/>
      <c r="BS1029" s="81"/>
      <c r="BT1029" s="81"/>
      <c r="BU1029" s="81"/>
      <c r="BV1029" s="81"/>
      <c r="BW1029" s="81"/>
      <c r="BX1029" s="81"/>
      <c r="BY1029" s="81"/>
      <c r="BZ1029" s="81"/>
      <c r="CA1029" s="81"/>
      <c r="CB1029" s="81"/>
      <c r="CC1029" s="81"/>
      <c r="CD1029" s="81"/>
      <c r="CE1029" s="81"/>
      <c r="CF1029" s="81"/>
      <c r="CG1029" s="81"/>
      <c r="CH1029" s="81"/>
      <c r="CI1029" s="81"/>
      <c r="CJ1029" s="81"/>
      <c r="CK1029" s="81"/>
      <c r="CL1029" s="81"/>
      <c r="CM1029" s="81"/>
      <c r="CN1029" s="81"/>
      <c r="CO1029" s="81"/>
      <c r="CP1029" s="81"/>
      <c r="CQ1029" s="111"/>
      <c r="CT1029" s="81"/>
    </row>
    <row r="1030" spans="48:98" x14ac:dyDescent="0.25">
      <c r="AV1030" s="81"/>
      <c r="AW1030" s="81"/>
      <c r="AX1030" s="81"/>
      <c r="AY1030" s="81"/>
      <c r="BA1030" s="81"/>
      <c r="BB1030" s="81"/>
      <c r="BC1030" s="81"/>
      <c r="BD1030" s="81"/>
      <c r="BE1030" s="81"/>
      <c r="BF1030" s="81"/>
      <c r="BG1030" s="81"/>
      <c r="BH1030" s="81"/>
      <c r="BI1030" s="81"/>
      <c r="BJ1030" s="81"/>
      <c r="BK1030" s="81"/>
      <c r="BL1030" s="81"/>
      <c r="BM1030" s="81"/>
      <c r="BN1030" s="81"/>
      <c r="BO1030" s="81"/>
      <c r="BP1030" s="81"/>
      <c r="BQ1030" s="81"/>
      <c r="BR1030" s="81"/>
      <c r="BS1030" s="81"/>
      <c r="BT1030" s="81"/>
      <c r="BU1030" s="81"/>
      <c r="BV1030" s="81"/>
      <c r="BW1030" s="81"/>
      <c r="BX1030" s="81"/>
      <c r="BY1030" s="81"/>
      <c r="BZ1030" s="81"/>
      <c r="CA1030" s="81"/>
      <c r="CB1030" s="81"/>
      <c r="CC1030" s="81"/>
      <c r="CD1030" s="81"/>
      <c r="CE1030" s="81"/>
      <c r="CF1030" s="81"/>
      <c r="CG1030" s="81"/>
      <c r="CH1030" s="81"/>
      <c r="CI1030" s="81"/>
      <c r="CJ1030" s="81"/>
      <c r="CK1030" s="81"/>
      <c r="CL1030" s="81"/>
      <c r="CM1030" s="81"/>
      <c r="CN1030" s="81"/>
      <c r="CO1030" s="81"/>
      <c r="CP1030" s="81"/>
      <c r="CQ1030" s="111"/>
      <c r="CT1030" s="81"/>
    </row>
    <row r="1031" spans="48:98" x14ac:dyDescent="0.25">
      <c r="AV1031" s="81"/>
      <c r="AW1031" s="81"/>
      <c r="AX1031" s="81"/>
      <c r="AY1031" s="81"/>
      <c r="BA1031" s="81"/>
      <c r="BB1031" s="81"/>
      <c r="BC1031" s="81"/>
      <c r="BD1031" s="81"/>
      <c r="BE1031" s="81"/>
      <c r="BF1031" s="81"/>
      <c r="BG1031" s="81"/>
      <c r="BH1031" s="81"/>
      <c r="BI1031" s="81"/>
      <c r="BJ1031" s="81"/>
      <c r="BK1031" s="81"/>
      <c r="BL1031" s="81"/>
      <c r="BM1031" s="81"/>
      <c r="BN1031" s="81"/>
      <c r="BO1031" s="81"/>
      <c r="BP1031" s="81"/>
      <c r="BQ1031" s="81"/>
      <c r="BR1031" s="81"/>
      <c r="BS1031" s="81"/>
      <c r="BT1031" s="81"/>
      <c r="BU1031" s="81"/>
      <c r="BV1031" s="81"/>
      <c r="BW1031" s="81"/>
      <c r="BX1031" s="81"/>
      <c r="BY1031" s="81"/>
      <c r="BZ1031" s="81"/>
      <c r="CA1031" s="81"/>
      <c r="CB1031" s="81"/>
      <c r="CC1031" s="81"/>
      <c r="CD1031" s="81"/>
      <c r="CE1031" s="81"/>
      <c r="CF1031" s="81"/>
      <c r="CG1031" s="81"/>
      <c r="CH1031" s="81"/>
      <c r="CI1031" s="81"/>
      <c r="CJ1031" s="81"/>
      <c r="CK1031" s="81"/>
      <c r="CL1031" s="81"/>
      <c r="CM1031" s="81"/>
      <c r="CN1031" s="81"/>
      <c r="CO1031" s="81"/>
      <c r="CP1031" s="81"/>
      <c r="CQ1031" s="111"/>
      <c r="CT1031" s="81"/>
    </row>
    <row r="1032" spans="48:98" x14ac:dyDescent="0.25">
      <c r="AV1032" s="81"/>
      <c r="AW1032" s="81"/>
      <c r="AX1032" s="81"/>
      <c r="AY1032" s="81"/>
      <c r="BA1032" s="81"/>
      <c r="BB1032" s="81"/>
      <c r="BC1032" s="81"/>
      <c r="BD1032" s="81"/>
      <c r="BE1032" s="81"/>
      <c r="BF1032" s="81"/>
      <c r="BG1032" s="81"/>
      <c r="BH1032" s="81"/>
      <c r="BI1032" s="81"/>
      <c r="BJ1032" s="81"/>
      <c r="BK1032" s="81"/>
      <c r="BL1032" s="81"/>
      <c r="BM1032" s="81"/>
      <c r="BN1032" s="81"/>
      <c r="BO1032" s="81"/>
      <c r="BP1032" s="81"/>
      <c r="BQ1032" s="81"/>
      <c r="BR1032" s="81"/>
      <c r="BS1032" s="81"/>
      <c r="BT1032" s="81"/>
      <c r="BU1032" s="81"/>
      <c r="BV1032" s="81"/>
      <c r="BW1032" s="81"/>
      <c r="BX1032" s="81"/>
      <c r="BY1032" s="81"/>
      <c r="BZ1032" s="81"/>
      <c r="CA1032" s="81"/>
      <c r="CB1032" s="81"/>
      <c r="CC1032" s="81"/>
      <c r="CD1032" s="81"/>
      <c r="CE1032" s="81"/>
      <c r="CF1032" s="81"/>
      <c r="CG1032" s="81"/>
      <c r="CH1032" s="81"/>
      <c r="CI1032" s="81"/>
      <c r="CJ1032" s="81"/>
      <c r="CK1032" s="81"/>
      <c r="CL1032" s="81"/>
      <c r="CM1032" s="81"/>
      <c r="CN1032" s="81"/>
      <c r="CO1032" s="81"/>
      <c r="CP1032" s="81"/>
      <c r="CQ1032" s="111"/>
      <c r="CT1032" s="81"/>
    </row>
    <row r="1033" spans="48:98" x14ac:dyDescent="0.25">
      <c r="AV1033" s="81"/>
      <c r="AW1033" s="81"/>
      <c r="AX1033" s="81"/>
      <c r="AY1033" s="81"/>
      <c r="BA1033" s="81"/>
      <c r="BB1033" s="81"/>
      <c r="BC1033" s="81"/>
      <c r="BD1033" s="81"/>
      <c r="BE1033" s="81"/>
      <c r="BF1033" s="81"/>
      <c r="BG1033" s="81"/>
      <c r="BH1033" s="81"/>
      <c r="BI1033" s="81"/>
      <c r="BJ1033" s="81"/>
      <c r="BK1033" s="81"/>
      <c r="BL1033" s="81"/>
      <c r="BM1033" s="81"/>
      <c r="BN1033" s="81"/>
      <c r="BO1033" s="81"/>
      <c r="BP1033" s="81"/>
      <c r="BQ1033" s="81"/>
      <c r="BR1033" s="81"/>
      <c r="BS1033" s="81"/>
      <c r="BT1033" s="81"/>
      <c r="BU1033" s="81"/>
      <c r="BV1033" s="81"/>
      <c r="BW1033" s="81"/>
      <c r="BX1033" s="81"/>
      <c r="BY1033" s="81"/>
      <c r="BZ1033" s="81"/>
      <c r="CA1033" s="81"/>
      <c r="CB1033" s="81"/>
      <c r="CC1033" s="81"/>
      <c r="CD1033" s="81"/>
      <c r="CE1033" s="81"/>
      <c r="CF1033" s="81"/>
      <c r="CG1033" s="81"/>
      <c r="CH1033" s="81"/>
      <c r="CI1033" s="81"/>
      <c r="CJ1033" s="81"/>
      <c r="CK1033" s="81"/>
      <c r="CL1033" s="81"/>
      <c r="CM1033" s="81"/>
      <c r="CN1033" s="81"/>
      <c r="CO1033" s="81"/>
      <c r="CP1033" s="81"/>
      <c r="CQ1033" s="111"/>
      <c r="CT1033" s="81"/>
    </row>
    <row r="1034" spans="48:98" x14ac:dyDescent="0.25">
      <c r="AV1034" s="81"/>
      <c r="AW1034" s="81"/>
      <c r="AX1034" s="81"/>
      <c r="AY1034" s="81"/>
      <c r="BA1034" s="81"/>
      <c r="BB1034" s="81"/>
      <c r="BC1034" s="81"/>
      <c r="BD1034" s="81"/>
      <c r="BE1034" s="81"/>
      <c r="BF1034" s="81"/>
      <c r="BG1034" s="81"/>
      <c r="BH1034" s="81"/>
      <c r="BI1034" s="81"/>
      <c r="BJ1034" s="81"/>
      <c r="BK1034" s="81"/>
      <c r="BL1034" s="81"/>
      <c r="BM1034" s="81"/>
      <c r="BN1034" s="81"/>
      <c r="BO1034" s="81"/>
      <c r="BP1034" s="81"/>
      <c r="BQ1034" s="81"/>
      <c r="BR1034" s="81"/>
      <c r="BS1034" s="81"/>
      <c r="BT1034" s="81"/>
      <c r="BU1034" s="81"/>
      <c r="BV1034" s="81"/>
      <c r="BW1034" s="81"/>
      <c r="BX1034" s="81"/>
      <c r="BY1034" s="81"/>
      <c r="BZ1034" s="81"/>
      <c r="CA1034" s="81"/>
      <c r="CB1034" s="81"/>
      <c r="CC1034" s="81"/>
      <c r="CD1034" s="81"/>
      <c r="CE1034" s="81"/>
      <c r="CF1034" s="81"/>
      <c r="CG1034" s="81"/>
      <c r="CH1034" s="81"/>
      <c r="CI1034" s="81"/>
      <c r="CJ1034" s="81"/>
      <c r="CK1034" s="81"/>
      <c r="CL1034" s="81"/>
      <c r="CM1034" s="81"/>
      <c r="CN1034" s="81"/>
      <c r="CO1034" s="81"/>
      <c r="CP1034" s="81"/>
      <c r="CQ1034" s="111"/>
      <c r="CT1034" s="81"/>
    </row>
    <row r="1035" spans="48:98" x14ac:dyDescent="0.25">
      <c r="AV1035" s="81"/>
      <c r="AW1035" s="81"/>
      <c r="AX1035" s="81"/>
      <c r="AY1035" s="81"/>
      <c r="BA1035" s="81"/>
      <c r="BB1035" s="81"/>
      <c r="BC1035" s="81"/>
      <c r="BD1035" s="81"/>
      <c r="BE1035" s="81"/>
      <c r="BF1035" s="81"/>
      <c r="BG1035" s="81"/>
      <c r="BH1035" s="81"/>
      <c r="BI1035" s="81"/>
      <c r="BJ1035" s="81"/>
      <c r="BK1035" s="81"/>
      <c r="BL1035" s="81"/>
      <c r="BM1035" s="81"/>
      <c r="BN1035" s="81"/>
      <c r="BO1035" s="81"/>
      <c r="BP1035" s="81"/>
      <c r="BQ1035" s="81"/>
      <c r="BR1035" s="81"/>
      <c r="BS1035" s="81"/>
      <c r="BT1035" s="81"/>
      <c r="BU1035" s="81"/>
      <c r="BV1035" s="81"/>
      <c r="BW1035" s="81"/>
      <c r="BX1035" s="81"/>
      <c r="BY1035" s="81"/>
      <c r="BZ1035" s="81"/>
      <c r="CA1035" s="81"/>
      <c r="CB1035" s="81"/>
      <c r="CC1035" s="81"/>
      <c r="CD1035" s="81"/>
      <c r="CE1035" s="81"/>
      <c r="CF1035" s="81"/>
      <c r="CG1035" s="81"/>
      <c r="CH1035" s="81"/>
      <c r="CI1035" s="81"/>
      <c r="CJ1035" s="81"/>
      <c r="CK1035" s="81"/>
      <c r="CL1035" s="81"/>
      <c r="CM1035" s="81"/>
      <c r="CN1035" s="81"/>
      <c r="CO1035" s="81"/>
      <c r="CP1035" s="81"/>
      <c r="CQ1035" s="111"/>
      <c r="CT1035" s="81"/>
    </row>
    <row r="1036" spans="48:98" x14ac:dyDescent="0.25">
      <c r="AV1036" s="81"/>
      <c r="AW1036" s="81"/>
      <c r="AX1036" s="81"/>
      <c r="AY1036" s="81"/>
      <c r="BA1036" s="81"/>
      <c r="BB1036" s="81"/>
      <c r="BC1036" s="81"/>
      <c r="BD1036" s="81"/>
      <c r="BE1036" s="81"/>
      <c r="BF1036" s="81"/>
      <c r="BG1036" s="81"/>
      <c r="BH1036" s="81"/>
      <c r="BI1036" s="81"/>
      <c r="BJ1036" s="81"/>
      <c r="BK1036" s="81"/>
      <c r="BL1036" s="81"/>
      <c r="BM1036" s="81"/>
      <c r="BN1036" s="81"/>
      <c r="BO1036" s="81"/>
      <c r="BP1036" s="81"/>
      <c r="BQ1036" s="81"/>
      <c r="BR1036" s="81"/>
      <c r="BS1036" s="81"/>
      <c r="BT1036" s="81"/>
      <c r="BU1036" s="81"/>
      <c r="BV1036" s="81"/>
      <c r="BW1036" s="81"/>
      <c r="BX1036" s="81"/>
      <c r="BY1036" s="81"/>
      <c r="BZ1036" s="81"/>
      <c r="CA1036" s="81"/>
      <c r="CB1036" s="81"/>
      <c r="CC1036" s="81"/>
      <c r="CD1036" s="81"/>
      <c r="CE1036" s="81"/>
      <c r="CF1036" s="81"/>
      <c r="CG1036" s="81"/>
      <c r="CH1036" s="81"/>
      <c r="CI1036" s="81"/>
      <c r="CJ1036" s="81"/>
      <c r="CK1036" s="81"/>
      <c r="CL1036" s="81"/>
      <c r="CM1036" s="81"/>
      <c r="CN1036" s="81"/>
      <c r="CO1036" s="81"/>
      <c r="CP1036" s="81"/>
      <c r="CQ1036" s="111"/>
      <c r="CT1036" s="81"/>
    </row>
    <row r="1037" spans="48:98" x14ac:dyDescent="0.25">
      <c r="AV1037" s="81"/>
      <c r="AW1037" s="81"/>
      <c r="AX1037" s="81"/>
      <c r="AY1037" s="81"/>
      <c r="BA1037" s="81"/>
      <c r="BB1037" s="81"/>
      <c r="BC1037" s="81"/>
      <c r="BD1037" s="81"/>
      <c r="BE1037" s="81"/>
      <c r="BF1037" s="81"/>
      <c r="BG1037" s="81"/>
      <c r="BH1037" s="81"/>
      <c r="BI1037" s="81"/>
      <c r="BJ1037" s="81"/>
      <c r="BK1037" s="81"/>
      <c r="BL1037" s="81"/>
      <c r="BM1037" s="81"/>
      <c r="BN1037" s="81"/>
      <c r="BO1037" s="81"/>
      <c r="BP1037" s="81"/>
      <c r="BQ1037" s="81"/>
      <c r="BR1037" s="81"/>
      <c r="BS1037" s="81"/>
      <c r="BT1037" s="81"/>
      <c r="BU1037" s="81"/>
      <c r="BV1037" s="81"/>
      <c r="BW1037" s="81"/>
      <c r="BX1037" s="81"/>
      <c r="BY1037" s="81"/>
      <c r="BZ1037" s="81"/>
      <c r="CA1037" s="81"/>
      <c r="CB1037" s="81"/>
      <c r="CC1037" s="81"/>
      <c r="CD1037" s="81"/>
      <c r="CE1037" s="81"/>
      <c r="CF1037" s="81"/>
      <c r="CG1037" s="81"/>
      <c r="CH1037" s="81"/>
      <c r="CI1037" s="81"/>
      <c r="CJ1037" s="81"/>
      <c r="CK1037" s="81"/>
      <c r="CL1037" s="81"/>
      <c r="CM1037" s="81"/>
      <c r="CN1037" s="81"/>
      <c r="CO1037" s="81"/>
      <c r="CP1037" s="81"/>
      <c r="CQ1037" s="111"/>
      <c r="CT1037" s="81"/>
    </row>
    <row r="1038" spans="48:98" x14ac:dyDescent="0.25">
      <c r="AV1038" s="81"/>
      <c r="AW1038" s="81"/>
      <c r="AX1038" s="81"/>
      <c r="AY1038" s="81"/>
      <c r="BA1038" s="81"/>
      <c r="BB1038" s="81"/>
      <c r="BC1038" s="81"/>
      <c r="BD1038" s="81"/>
      <c r="BE1038" s="81"/>
      <c r="BF1038" s="81"/>
      <c r="BG1038" s="81"/>
      <c r="BH1038" s="81"/>
      <c r="BI1038" s="81"/>
      <c r="BJ1038" s="81"/>
      <c r="BK1038" s="81"/>
      <c r="BL1038" s="81"/>
      <c r="BM1038" s="81"/>
      <c r="BN1038" s="81"/>
      <c r="BO1038" s="81"/>
      <c r="BP1038" s="81"/>
      <c r="BQ1038" s="81"/>
      <c r="BR1038" s="81"/>
      <c r="BS1038" s="81"/>
      <c r="BT1038" s="81"/>
      <c r="BU1038" s="81"/>
      <c r="BV1038" s="81"/>
      <c r="BW1038" s="81"/>
      <c r="BX1038" s="81"/>
      <c r="BY1038" s="81"/>
      <c r="BZ1038" s="81"/>
      <c r="CA1038" s="81"/>
      <c r="CB1038" s="81"/>
      <c r="CC1038" s="81"/>
      <c r="CD1038" s="81"/>
      <c r="CE1038" s="81"/>
      <c r="CF1038" s="81"/>
      <c r="CG1038" s="81"/>
      <c r="CH1038" s="81"/>
      <c r="CI1038" s="81"/>
      <c r="CJ1038" s="81"/>
      <c r="CK1038" s="81"/>
      <c r="CL1038" s="81"/>
      <c r="CM1038" s="81"/>
      <c r="CN1038" s="81"/>
      <c r="CO1038" s="81"/>
      <c r="CP1038" s="81"/>
      <c r="CQ1038" s="111"/>
      <c r="CT1038" s="81"/>
    </row>
    <row r="1039" spans="48:98" x14ac:dyDescent="0.25">
      <c r="AV1039" s="81"/>
      <c r="AW1039" s="81"/>
      <c r="AX1039" s="81"/>
      <c r="AY1039" s="81"/>
      <c r="BA1039" s="81"/>
      <c r="BB1039" s="81"/>
      <c r="BC1039" s="81"/>
      <c r="BD1039" s="81"/>
      <c r="BE1039" s="81"/>
      <c r="BF1039" s="81"/>
      <c r="BG1039" s="81"/>
      <c r="BH1039" s="81"/>
      <c r="BI1039" s="81"/>
      <c r="BJ1039" s="81"/>
      <c r="BK1039" s="81"/>
      <c r="BL1039" s="81"/>
      <c r="BM1039" s="81"/>
      <c r="BN1039" s="81"/>
      <c r="BO1039" s="81"/>
      <c r="BP1039" s="81"/>
      <c r="BQ1039" s="81"/>
      <c r="BR1039" s="81"/>
      <c r="BS1039" s="81"/>
      <c r="BT1039" s="81"/>
      <c r="BU1039" s="81"/>
      <c r="BV1039" s="81"/>
      <c r="BW1039" s="81"/>
      <c r="BX1039" s="81"/>
      <c r="BY1039" s="81"/>
      <c r="BZ1039" s="81"/>
      <c r="CA1039" s="81"/>
      <c r="CB1039" s="81"/>
      <c r="CC1039" s="81"/>
      <c r="CD1039" s="81"/>
      <c r="CE1039" s="81"/>
      <c r="CF1039" s="81"/>
      <c r="CG1039" s="81"/>
      <c r="CH1039" s="81"/>
      <c r="CI1039" s="81"/>
      <c r="CJ1039" s="81"/>
      <c r="CK1039" s="81"/>
      <c r="CL1039" s="81"/>
      <c r="CM1039" s="81"/>
      <c r="CN1039" s="81"/>
      <c r="CO1039" s="81"/>
      <c r="CP1039" s="81"/>
      <c r="CQ1039" s="111"/>
      <c r="CT1039" s="81"/>
    </row>
    <row r="1040" spans="48:98" x14ac:dyDescent="0.25">
      <c r="AV1040" s="81"/>
      <c r="AW1040" s="81"/>
      <c r="AX1040" s="81"/>
      <c r="AY1040" s="81"/>
      <c r="BA1040" s="81"/>
      <c r="BB1040" s="81"/>
      <c r="BC1040" s="81"/>
      <c r="BD1040" s="81"/>
      <c r="BE1040" s="81"/>
      <c r="BF1040" s="81"/>
      <c r="BG1040" s="81"/>
      <c r="BH1040" s="81"/>
      <c r="BI1040" s="81"/>
      <c r="BJ1040" s="81"/>
      <c r="BK1040" s="81"/>
      <c r="BL1040" s="81"/>
      <c r="BM1040" s="81"/>
      <c r="BN1040" s="81"/>
      <c r="BO1040" s="81"/>
      <c r="BP1040" s="81"/>
      <c r="BQ1040" s="81"/>
      <c r="BR1040" s="81"/>
      <c r="BS1040" s="81"/>
      <c r="BT1040" s="81"/>
      <c r="BU1040" s="81"/>
      <c r="BV1040" s="81"/>
      <c r="BW1040" s="81"/>
      <c r="BX1040" s="81"/>
      <c r="BY1040" s="81"/>
      <c r="BZ1040" s="81"/>
      <c r="CA1040" s="81"/>
      <c r="CB1040" s="81"/>
      <c r="CC1040" s="81"/>
      <c r="CD1040" s="81"/>
      <c r="CE1040" s="81"/>
      <c r="CF1040" s="81"/>
      <c r="CG1040" s="81"/>
      <c r="CH1040" s="81"/>
      <c r="CI1040" s="81"/>
      <c r="CJ1040" s="81"/>
      <c r="CK1040" s="81"/>
      <c r="CL1040" s="81"/>
      <c r="CM1040" s="81"/>
      <c r="CN1040" s="81"/>
      <c r="CO1040" s="81"/>
      <c r="CP1040" s="81"/>
      <c r="CQ1040" s="111"/>
      <c r="CT1040" s="81"/>
    </row>
    <row r="1041" spans="48:98" x14ac:dyDescent="0.25">
      <c r="AV1041" s="81"/>
      <c r="AW1041" s="81"/>
      <c r="AX1041" s="81"/>
      <c r="AY1041" s="81"/>
      <c r="BA1041" s="81"/>
      <c r="BB1041" s="81"/>
      <c r="BC1041" s="81"/>
      <c r="BD1041" s="81"/>
      <c r="BE1041" s="81"/>
      <c r="BF1041" s="81"/>
      <c r="BG1041" s="81"/>
      <c r="BH1041" s="81"/>
      <c r="BI1041" s="81"/>
      <c r="BJ1041" s="81"/>
      <c r="BK1041" s="81"/>
      <c r="BL1041" s="81"/>
      <c r="BM1041" s="81"/>
      <c r="BN1041" s="81"/>
      <c r="BO1041" s="81"/>
      <c r="BP1041" s="81"/>
      <c r="BQ1041" s="81"/>
      <c r="BR1041" s="81"/>
      <c r="BS1041" s="81"/>
      <c r="BT1041" s="81"/>
      <c r="BU1041" s="81"/>
      <c r="BV1041" s="81"/>
      <c r="BW1041" s="81"/>
      <c r="BX1041" s="81"/>
      <c r="BY1041" s="81"/>
      <c r="BZ1041" s="81"/>
      <c r="CA1041" s="81"/>
      <c r="CB1041" s="81"/>
      <c r="CC1041" s="81"/>
      <c r="CD1041" s="81"/>
      <c r="CE1041" s="81"/>
      <c r="CF1041" s="81"/>
      <c r="CG1041" s="81"/>
      <c r="CH1041" s="81"/>
      <c r="CI1041" s="81"/>
      <c r="CJ1041" s="81"/>
      <c r="CK1041" s="81"/>
      <c r="CL1041" s="81"/>
      <c r="CM1041" s="81"/>
      <c r="CN1041" s="81"/>
      <c r="CO1041" s="81"/>
      <c r="CP1041" s="81"/>
      <c r="CQ1041" s="111"/>
      <c r="CT1041" s="81"/>
    </row>
    <row r="1042" spans="48:98" x14ac:dyDescent="0.25">
      <c r="AV1042" s="81"/>
      <c r="AW1042" s="81"/>
      <c r="AX1042" s="81"/>
      <c r="AY1042" s="81"/>
      <c r="BA1042" s="81"/>
      <c r="BB1042" s="81"/>
      <c r="BC1042" s="81"/>
      <c r="BD1042" s="81"/>
      <c r="BE1042" s="81"/>
      <c r="BF1042" s="81"/>
      <c r="BG1042" s="81"/>
      <c r="BH1042" s="81"/>
      <c r="BI1042" s="81"/>
      <c r="BJ1042" s="81"/>
      <c r="BK1042" s="81"/>
      <c r="BL1042" s="81"/>
      <c r="BM1042" s="81"/>
      <c r="BN1042" s="81"/>
      <c r="BO1042" s="81"/>
      <c r="BP1042" s="81"/>
      <c r="BQ1042" s="81"/>
      <c r="BR1042" s="81"/>
      <c r="BS1042" s="81"/>
      <c r="BT1042" s="81"/>
      <c r="BU1042" s="81"/>
      <c r="BV1042" s="81"/>
      <c r="BW1042" s="81"/>
      <c r="BX1042" s="81"/>
      <c r="BY1042" s="81"/>
      <c r="BZ1042" s="81"/>
      <c r="CA1042" s="81"/>
      <c r="CB1042" s="81"/>
      <c r="CC1042" s="81"/>
      <c r="CD1042" s="81"/>
      <c r="CE1042" s="81"/>
      <c r="CF1042" s="81"/>
      <c r="CG1042" s="81"/>
      <c r="CH1042" s="81"/>
      <c r="CI1042" s="81"/>
      <c r="CJ1042" s="81"/>
      <c r="CK1042" s="81"/>
      <c r="CL1042" s="81"/>
      <c r="CM1042" s="81"/>
      <c r="CN1042" s="81"/>
      <c r="CO1042" s="81"/>
      <c r="CP1042" s="81"/>
      <c r="CQ1042" s="111"/>
      <c r="CT1042" s="81"/>
    </row>
    <row r="1043" spans="48:98" x14ac:dyDescent="0.25">
      <c r="AV1043" s="81"/>
      <c r="AW1043" s="81"/>
      <c r="AX1043" s="81"/>
      <c r="AY1043" s="81"/>
      <c r="BA1043" s="81"/>
      <c r="BB1043" s="81"/>
      <c r="BC1043" s="81"/>
      <c r="BD1043" s="81"/>
      <c r="BE1043" s="81"/>
      <c r="BF1043" s="81"/>
      <c r="BG1043" s="81"/>
      <c r="BH1043" s="81"/>
      <c r="BI1043" s="81"/>
      <c r="BJ1043" s="81"/>
      <c r="BK1043" s="81"/>
      <c r="BL1043" s="81"/>
      <c r="BM1043" s="81"/>
      <c r="BN1043" s="81"/>
      <c r="BO1043" s="81"/>
      <c r="BP1043" s="81"/>
      <c r="BQ1043" s="81"/>
      <c r="BR1043" s="81"/>
      <c r="BS1043" s="81"/>
      <c r="BT1043" s="81"/>
      <c r="BU1043" s="81"/>
      <c r="BV1043" s="81"/>
      <c r="BW1043" s="81"/>
      <c r="BX1043" s="81"/>
      <c r="BY1043" s="81"/>
      <c r="BZ1043" s="81"/>
      <c r="CA1043" s="81"/>
      <c r="CB1043" s="81"/>
      <c r="CC1043" s="81"/>
      <c r="CD1043" s="81"/>
      <c r="CE1043" s="81"/>
      <c r="CF1043" s="81"/>
      <c r="CG1043" s="81"/>
      <c r="CH1043" s="81"/>
      <c r="CI1043" s="81"/>
      <c r="CJ1043" s="81"/>
      <c r="CK1043" s="81"/>
      <c r="CL1043" s="81"/>
      <c r="CM1043" s="81"/>
      <c r="CN1043" s="81"/>
      <c r="CO1043" s="81"/>
      <c r="CP1043" s="81"/>
      <c r="CQ1043" s="111"/>
      <c r="CT1043" s="81"/>
    </row>
    <row r="1044" spans="48:98" x14ac:dyDescent="0.25">
      <c r="AV1044" s="81"/>
      <c r="AW1044" s="81"/>
      <c r="AX1044" s="81"/>
      <c r="AY1044" s="81"/>
      <c r="BA1044" s="81"/>
      <c r="BB1044" s="81"/>
      <c r="BC1044" s="81"/>
      <c r="BD1044" s="81"/>
      <c r="BE1044" s="81"/>
      <c r="BF1044" s="81"/>
      <c r="BG1044" s="81"/>
      <c r="BH1044" s="81"/>
      <c r="BI1044" s="81"/>
      <c r="BJ1044" s="81"/>
      <c r="BK1044" s="81"/>
      <c r="BL1044" s="81"/>
      <c r="BM1044" s="81"/>
      <c r="BN1044" s="81"/>
      <c r="BO1044" s="81"/>
      <c r="BP1044" s="81"/>
      <c r="BQ1044" s="81"/>
      <c r="BR1044" s="81"/>
      <c r="BS1044" s="81"/>
      <c r="BT1044" s="81"/>
      <c r="BU1044" s="81"/>
      <c r="BV1044" s="81"/>
      <c r="BW1044" s="81"/>
      <c r="BX1044" s="81"/>
      <c r="BY1044" s="81"/>
      <c r="BZ1044" s="81"/>
      <c r="CA1044" s="81"/>
      <c r="CB1044" s="81"/>
      <c r="CC1044" s="81"/>
      <c r="CD1044" s="81"/>
      <c r="CE1044" s="81"/>
      <c r="CF1044" s="81"/>
      <c r="CG1044" s="81"/>
      <c r="CH1044" s="81"/>
      <c r="CI1044" s="81"/>
      <c r="CJ1044" s="81"/>
      <c r="CK1044" s="81"/>
      <c r="CL1044" s="81"/>
      <c r="CM1044" s="81"/>
      <c r="CN1044" s="81"/>
      <c r="CO1044" s="81"/>
      <c r="CP1044" s="81"/>
      <c r="CQ1044" s="111"/>
      <c r="CT1044" s="81"/>
    </row>
    <row r="1045" spans="48:98" x14ac:dyDescent="0.25">
      <c r="AV1045" s="81"/>
      <c r="AW1045" s="81"/>
      <c r="AX1045" s="81"/>
      <c r="AY1045" s="81"/>
      <c r="BA1045" s="81"/>
      <c r="BB1045" s="81"/>
      <c r="BC1045" s="81"/>
      <c r="BD1045" s="81"/>
      <c r="BE1045" s="81"/>
      <c r="BF1045" s="81"/>
      <c r="BG1045" s="81"/>
      <c r="BH1045" s="81"/>
      <c r="BI1045" s="81"/>
      <c r="BJ1045" s="81"/>
      <c r="BK1045" s="81"/>
      <c r="BL1045" s="81"/>
      <c r="BM1045" s="81"/>
      <c r="BN1045" s="81"/>
      <c r="BO1045" s="81"/>
      <c r="BP1045" s="81"/>
      <c r="BQ1045" s="81"/>
      <c r="BR1045" s="81"/>
      <c r="BS1045" s="81"/>
      <c r="BT1045" s="81"/>
      <c r="BU1045" s="81"/>
      <c r="BV1045" s="81"/>
      <c r="BW1045" s="81"/>
      <c r="BX1045" s="81"/>
      <c r="BY1045" s="81"/>
      <c r="BZ1045" s="81"/>
      <c r="CA1045" s="81"/>
      <c r="CB1045" s="81"/>
      <c r="CC1045" s="81"/>
      <c r="CD1045" s="81"/>
      <c r="CE1045" s="81"/>
      <c r="CF1045" s="81"/>
      <c r="CG1045" s="81"/>
      <c r="CH1045" s="81"/>
      <c r="CI1045" s="81"/>
      <c r="CJ1045" s="81"/>
      <c r="CK1045" s="81"/>
      <c r="CL1045" s="81"/>
      <c r="CM1045" s="81"/>
      <c r="CN1045" s="81"/>
      <c r="CO1045" s="81"/>
      <c r="CP1045" s="81"/>
      <c r="CQ1045" s="111"/>
      <c r="CT1045" s="81"/>
    </row>
    <row r="1046" spans="48:98" x14ac:dyDescent="0.25">
      <c r="AV1046" s="81"/>
      <c r="AW1046" s="81"/>
      <c r="AX1046" s="81"/>
      <c r="AY1046" s="81"/>
      <c r="BA1046" s="81"/>
      <c r="BB1046" s="81"/>
      <c r="BC1046" s="81"/>
      <c r="BD1046" s="81"/>
      <c r="BE1046" s="81"/>
      <c r="BF1046" s="81"/>
      <c r="BG1046" s="81"/>
      <c r="BH1046" s="81"/>
      <c r="BI1046" s="81"/>
      <c r="BJ1046" s="81"/>
      <c r="BK1046" s="81"/>
      <c r="BL1046" s="81"/>
      <c r="BM1046" s="81"/>
      <c r="BN1046" s="81"/>
      <c r="BO1046" s="81"/>
      <c r="BP1046" s="81"/>
      <c r="BQ1046" s="81"/>
      <c r="BR1046" s="81"/>
      <c r="BS1046" s="81"/>
      <c r="BT1046" s="81"/>
      <c r="BU1046" s="81"/>
      <c r="BV1046" s="81"/>
      <c r="BW1046" s="81"/>
      <c r="BX1046" s="81"/>
      <c r="BY1046" s="81"/>
      <c r="BZ1046" s="81"/>
      <c r="CA1046" s="81"/>
      <c r="CB1046" s="81"/>
      <c r="CC1046" s="81"/>
      <c r="CD1046" s="81"/>
      <c r="CE1046" s="81"/>
      <c r="CF1046" s="81"/>
      <c r="CG1046" s="81"/>
      <c r="CH1046" s="81"/>
      <c r="CI1046" s="81"/>
      <c r="CJ1046" s="81"/>
      <c r="CK1046" s="81"/>
      <c r="CL1046" s="81"/>
      <c r="CM1046" s="81"/>
      <c r="CN1046" s="81"/>
      <c r="CO1046" s="81"/>
      <c r="CP1046" s="81"/>
      <c r="CQ1046" s="111"/>
      <c r="CT1046" s="81"/>
    </row>
    <row r="1047" spans="48:98" x14ac:dyDescent="0.25">
      <c r="AV1047" s="81"/>
      <c r="AW1047" s="81"/>
      <c r="AX1047" s="81"/>
      <c r="AY1047" s="81"/>
      <c r="BA1047" s="81"/>
      <c r="BB1047" s="81"/>
      <c r="BC1047" s="81"/>
      <c r="BD1047" s="81"/>
      <c r="BE1047" s="81"/>
      <c r="BF1047" s="81"/>
      <c r="BG1047" s="81"/>
      <c r="BH1047" s="81"/>
      <c r="BI1047" s="81"/>
      <c r="BJ1047" s="81"/>
      <c r="BK1047" s="81"/>
      <c r="BL1047" s="81"/>
      <c r="BM1047" s="81"/>
      <c r="BN1047" s="81"/>
      <c r="BO1047" s="81"/>
      <c r="BP1047" s="81"/>
      <c r="BQ1047" s="81"/>
      <c r="BR1047" s="81"/>
      <c r="BS1047" s="81"/>
      <c r="BT1047" s="81"/>
      <c r="BU1047" s="81"/>
      <c r="BV1047" s="81"/>
      <c r="BW1047" s="81"/>
      <c r="BX1047" s="81"/>
      <c r="BY1047" s="81"/>
      <c r="BZ1047" s="81"/>
      <c r="CA1047" s="81"/>
      <c r="CB1047" s="81"/>
      <c r="CC1047" s="81"/>
      <c r="CD1047" s="81"/>
      <c r="CE1047" s="81"/>
      <c r="CF1047" s="81"/>
      <c r="CG1047" s="81"/>
      <c r="CH1047" s="81"/>
      <c r="CI1047" s="81"/>
      <c r="CJ1047" s="81"/>
      <c r="CK1047" s="81"/>
      <c r="CL1047" s="81"/>
      <c r="CM1047" s="81"/>
      <c r="CN1047" s="81"/>
      <c r="CO1047" s="81"/>
      <c r="CP1047" s="81"/>
      <c r="CQ1047" s="111"/>
      <c r="CT1047" s="81"/>
    </row>
    <row r="1048" spans="48:98" x14ac:dyDescent="0.25">
      <c r="AV1048" s="81"/>
      <c r="AW1048" s="81"/>
      <c r="AX1048" s="81"/>
      <c r="AY1048" s="81"/>
      <c r="BA1048" s="81"/>
      <c r="BB1048" s="81"/>
      <c r="BC1048" s="81"/>
      <c r="BD1048" s="81"/>
      <c r="BE1048" s="81"/>
      <c r="BF1048" s="81"/>
      <c r="BG1048" s="81"/>
      <c r="BH1048" s="81"/>
      <c r="BI1048" s="81"/>
      <c r="BJ1048" s="81"/>
      <c r="BK1048" s="81"/>
      <c r="BL1048" s="81"/>
      <c r="BM1048" s="81"/>
      <c r="BN1048" s="81"/>
      <c r="BO1048" s="81"/>
      <c r="BP1048" s="81"/>
      <c r="BQ1048" s="81"/>
      <c r="BR1048" s="81"/>
      <c r="BS1048" s="81"/>
      <c r="BT1048" s="81"/>
      <c r="BU1048" s="81"/>
      <c r="BV1048" s="81"/>
      <c r="BW1048" s="81"/>
      <c r="BX1048" s="81"/>
      <c r="BY1048" s="81"/>
      <c r="BZ1048" s="81"/>
      <c r="CA1048" s="81"/>
      <c r="CB1048" s="81"/>
      <c r="CC1048" s="81"/>
      <c r="CD1048" s="81"/>
      <c r="CE1048" s="81"/>
      <c r="CF1048" s="81"/>
      <c r="CG1048" s="81"/>
      <c r="CH1048" s="81"/>
      <c r="CI1048" s="81"/>
      <c r="CJ1048" s="81"/>
      <c r="CK1048" s="81"/>
      <c r="CL1048" s="81"/>
      <c r="CM1048" s="81"/>
      <c r="CN1048" s="81"/>
      <c r="CO1048" s="81"/>
      <c r="CP1048" s="81"/>
      <c r="CQ1048" s="111"/>
      <c r="CT1048" s="81"/>
    </row>
    <row r="1049" spans="48:98" x14ac:dyDescent="0.25">
      <c r="AV1049" s="81"/>
      <c r="AW1049" s="81"/>
      <c r="AX1049" s="81"/>
      <c r="AY1049" s="81"/>
      <c r="BA1049" s="81"/>
      <c r="BB1049" s="81"/>
      <c r="BC1049" s="81"/>
      <c r="BD1049" s="81"/>
      <c r="BE1049" s="81"/>
      <c r="BF1049" s="81"/>
      <c r="BG1049" s="81"/>
      <c r="BH1049" s="81"/>
      <c r="BI1049" s="81"/>
      <c r="BJ1049" s="81"/>
      <c r="BK1049" s="81"/>
      <c r="BL1049" s="81"/>
      <c r="BM1049" s="81"/>
      <c r="BN1049" s="81"/>
      <c r="BO1049" s="81"/>
      <c r="BP1049" s="81"/>
      <c r="BQ1049" s="81"/>
      <c r="BR1049" s="81"/>
      <c r="BS1049" s="81"/>
      <c r="BT1049" s="81"/>
      <c r="BU1049" s="81"/>
      <c r="BV1049" s="81"/>
      <c r="BW1049" s="81"/>
      <c r="BX1049" s="81"/>
      <c r="BY1049" s="81"/>
      <c r="BZ1049" s="81"/>
      <c r="CA1049" s="81"/>
      <c r="CB1049" s="81"/>
      <c r="CC1049" s="81"/>
      <c r="CD1049" s="81"/>
      <c r="CE1049" s="81"/>
      <c r="CF1049" s="81"/>
      <c r="CG1049" s="81"/>
      <c r="CH1049" s="81"/>
      <c r="CI1049" s="81"/>
      <c r="CJ1049" s="81"/>
      <c r="CK1049" s="81"/>
      <c r="CL1049" s="81"/>
      <c r="CM1049" s="81"/>
      <c r="CN1049" s="81"/>
      <c r="CO1049" s="81"/>
      <c r="CP1049" s="81"/>
      <c r="CQ1049" s="111"/>
      <c r="CT1049" s="81"/>
    </row>
    <row r="1050" spans="48:98" x14ac:dyDescent="0.25">
      <c r="AV1050" s="81"/>
      <c r="AW1050" s="81"/>
      <c r="AX1050" s="81"/>
      <c r="AY1050" s="81"/>
      <c r="BA1050" s="81"/>
      <c r="BB1050" s="81"/>
      <c r="BC1050" s="81"/>
      <c r="BD1050" s="81"/>
      <c r="BE1050" s="81"/>
      <c r="BF1050" s="81"/>
      <c r="BG1050" s="81"/>
      <c r="BH1050" s="81"/>
      <c r="BI1050" s="81"/>
      <c r="BJ1050" s="81"/>
      <c r="BK1050" s="81"/>
      <c r="BL1050" s="81"/>
      <c r="BM1050" s="81"/>
      <c r="BN1050" s="81"/>
      <c r="BO1050" s="81"/>
      <c r="BP1050" s="81"/>
      <c r="BQ1050" s="81"/>
      <c r="BR1050" s="81"/>
      <c r="BS1050" s="81"/>
      <c r="BT1050" s="81"/>
      <c r="BU1050" s="81"/>
      <c r="BV1050" s="81"/>
      <c r="BW1050" s="81"/>
      <c r="BX1050" s="81"/>
      <c r="BY1050" s="81"/>
      <c r="BZ1050" s="81"/>
      <c r="CA1050" s="81"/>
      <c r="CB1050" s="81"/>
      <c r="CC1050" s="81"/>
      <c r="CD1050" s="81"/>
      <c r="CE1050" s="81"/>
      <c r="CF1050" s="81"/>
      <c r="CG1050" s="81"/>
      <c r="CH1050" s="81"/>
      <c r="CI1050" s="81"/>
      <c r="CJ1050" s="81"/>
      <c r="CK1050" s="81"/>
      <c r="CL1050" s="81"/>
      <c r="CM1050" s="81"/>
      <c r="CN1050" s="81"/>
      <c r="CO1050" s="81"/>
      <c r="CP1050" s="81"/>
      <c r="CQ1050" s="111"/>
      <c r="CT1050" s="81"/>
    </row>
    <row r="1051" spans="48:98" x14ac:dyDescent="0.25">
      <c r="AV1051" s="81"/>
      <c r="AW1051" s="81"/>
      <c r="AX1051" s="81"/>
      <c r="AY1051" s="81"/>
      <c r="BA1051" s="81"/>
      <c r="BB1051" s="81"/>
      <c r="BC1051" s="81"/>
      <c r="BD1051" s="81"/>
      <c r="BE1051" s="81"/>
      <c r="BF1051" s="81"/>
      <c r="BG1051" s="81"/>
      <c r="BH1051" s="81"/>
      <c r="BI1051" s="81"/>
      <c r="BJ1051" s="81"/>
      <c r="BK1051" s="81"/>
      <c r="BL1051" s="81"/>
      <c r="BM1051" s="81"/>
      <c r="BN1051" s="81"/>
      <c r="BO1051" s="81"/>
      <c r="BP1051" s="81"/>
      <c r="BQ1051" s="81"/>
      <c r="BR1051" s="81"/>
      <c r="BS1051" s="81"/>
      <c r="BT1051" s="81"/>
      <c r="BU1051" s="81"/>
      <c r="BV1051" s="81"/>
      <c r="BW1051" s="81"/>
      <c r="BX1051" s="81"/>
      <c r="BY1051" s="81"/>
      <c r="BZ1051" s="81"/>
      <c r="CA1051" s="81"/>
      <c r="CB1051" s="81"/>
      <c r="CC1051" s="81"/>
      <c r="CD1051" s="81"/>
      <c r="CE1051" s="81"/>
      <c r="CF1051" s="81"/>
      <c r="CG1051" s="81"/>
      <c r="CH1051" s="81"/>
      <c r="CI1051" s="81"/>
      <c r="CJ1051" s="81"/>
      <c r="CK1051" s="81"/>
      <c r="CL1051" s="81"/>
      <c r="CM1051" s="81"/>
      <c r="CN1051" s="81"/>
      <c r="CO1051" s="81"/>
      <c r="CP1051" s="81"/>
      <c r="CQ1051" s="111"/>
      <c r="CT1051" s="81"/>
    </row>
    <row r="1052" spans="48:98" x14ac:dyDescent="0.25">
      <c r="AV1052" s="81"/>
      <c r="AW1052" s="81"/>
      <c r="AX1052" s="81"/>
      <c r="AY1052" s="81"/>
      <c r="BA1052" s="81"/>
      <c r="BB1052" s="81"/>
      <c r="BC1052" s="81"/>
      <c r="BD1052" s="81"/>
      <c r="BE1052" s="81"/>
      <c r="BF1052" s="81"/>
      <c r="BG1052" s="81"/>
      <c r="BH1052" s="81"/>
      <c r="BI1052" s="81"/>
      <c r="BJ1052" s="81"/>
      <c r="BK1052" s="81"/>
      <c r="BL1052" s="81"/>
      <c r="BM1052" s="81"/>
      <c r="BN1052" s="81"/>
      <c r="BO1052" s="81"/>
      <c r="BP1052" s="81"/>
      <c r="BQ1052" s="81"/>
      <c r="BR1052" s="81"/>
      <c r="BS1052" s="81"/>
      <c r="BT1052" s="81"/>
      <c r="BU1052" s="81"/>
      <c r="BV1052" s="81"/>
      <c r="BW1052" s="81"/>
      <c r="BX1052" s="81"/>
      <c r="BY1052" s="81"/>
      <c r="BZ1052" s="81"/>
      <c r="CA1052" s="81"/>
      <c r="CB1052" s="81"/>
      <c r="CC1052" s="81"/>
      <c r="CD1052" s="81"/>
      <c r="CE1052" s="81"/>
      <c r="CF1052" s="81"/>
      <c r="CG1052" s="81"/>
      <c r="CH1052" s="81"/>
      <c r="CI1052" s="81"/>
      <c r="CJ1052" s="81"/>
      <c r="CK1052" s="81"/>
      <c r="CL1052" s="81"/>
      <c r="CM1052" s="81"/>
      <c r="CN1052" s="81"/>
      <c r="CO1052" s="81"/>
      <c r="CP1052" s="81"/>
      <c r="CQ1052" s="111"/>
      <c r="CT1052" s="81"/>
    </row>
    <row r="1053" spans="48:98" x14ac:dyDescent="0.25">
      <c r="AV1053" s="81"/>
      <c r="AW1053" s="81"/>
      <c r="AX1053" s="81"/>
      <c r="AY1053" s="81"/>
      <c r="BA1053" s="81"/>
      <c r="BB1053" s="81"/>
      <c r="BC1053" s="81"/>
      <c r="BD1053" s="81"/>
      <c r="BE1053" s="81"/>
      <c r="BF1053" s="81"/>
      <c r="BG1053" s="81"/>
      <c r="BH1053" s="81"/>
      <c r="BI1053" s="81"/>
      <c r="BJ1053" s="81"/>
      <c r="BK1053" s="81"/>
      <c r="BL1053" s="81"/>
      <c r="BM1053" s="81"/>
      <c r="BN1053" s="81"/>
      <c r="BO1053" s="81"/>
      <c r="BP1053" s="81"/>
      <c r="BQ1053" s="81"/>
      <c r="BR1053" s="81"/>
      <c r="BS1053" s="81"/>
      <c r="BT1053" s="81"/>
      <c r="BU1053" s="81"/>
      <c r="BV1053" s="81"/>
      <c r="BW1053" s="81"/>
      <c r="BX1053" s="81"/>
      <c r="BY1053" s="81"/>
      <c r="BZ1053" s="81"/>
      <c r="CA1053" s="81"/>
      <c r="CB1053" s="81"/>
      <c r="CC1053" s="81"/>
      <c r="CD1053" s="81"/>
      <c r="CE1053" s="81"/>
      <c r="CF1053" s="81"/>
      <c r="CG1053" s="81"/>
      <c r="CH1053" s="81"/>
      <c r="CI1053" s="81"/>
      <c r="CJ1053" s="81"/>
      <c r="CK1053" s="81"/>
      <c r="CL1053" s="81"/>
      <c r="CM1053" s="81"/>
      <c r="CN1053" s="81"/>
      <c r="CO1053" s="81"/>
      <c r="CP1053" s="81"/>
      <c r="CQ1053" s="111"/>
      <c r="CT1053" s="81"/>
    </row>
    <row r="1054" spans="48:98" x14ac:dyDescent="0.25">
      <c r="AV1054" s="81"/>
      <c r="AW1054" s="81"/>
      <c r="AX1054" s="81"/>
      <c r="AY1054" s="81"/>
      <c r="BA1054" s="81"/>
      <c r="BB1054" s="81"/>
      <c r="BC1054" s="81"/>
      <c r="BD1054" s="81"/>
      <c r="BE1054" s="81"/>
      <c r="BF1054" s="81"/>
      <c r="BG1054" s="81"/>
      <c r="BH1054" s="81"/>
      <c r="BI1054" s="81"/>
      <c r="BJ1054" s="81"/>
      <c r="BK1054" s="81"/>
      <c r="BL1054" s="81"/>
      <c r="BM1054" s="81"/>
      <c r="BN1054" s="81"/>
      <c r="BO1054" s="81"/>
      <c r="BP1054" s="81"/>
      <c r="BQ1054" s="81"/>
      <c r="BR1054" s="81"/>
      <c r="BS1054" s="81"/>
      <c r="BT1054" s="81"/>
      <c r="BU1054" s="81"/>
      <c r="BV1054" s="81"/>
      <c r="BW1054" s="81"/>
      <c r="BX1054" s="81"/>
      <c r="BY1054" s="81"/>
      <c r="BZ1054" s="81"/>
      <c r="CA1054" s="81"/>
      <c r="CB1054" s="81"/>
      <c r="CC1054" s="81"/>
      <c r="CD1054" s="81"/>
      <c r="CE1054" s="81"/>
      <c r="CF1054" s="81"/>
      <c r="CG1054" s="81"/>
      <c r="CH1054" s="81"/>
      <c r="CI1054" s="81"/>
      <c r="CJ1054" s="81"/>
      <c r="CK1054" s="81"/>
      <c r="CL1054" s="81"/>
      <c r="CM1054" s="81"/>
      <c r="CN1054" s="81"/>
      <c r="CO1054" s="81"/>
      <c r="CP1054" s="81"/>
      <c r="CQ1054" s="111"/>
      <c r="CT1054" s="81"/>
    </row>
    <row r="1055" spans="48:98" x14ac:dyDescent="0.25">
      <c r="AV1055" s="81"/>
      <c r="AW1055" s="81"/>
      <c r="AX1055" s="81"/>
      <c r="AY1055" s="81"/>
      <c r="BA1055" s="81"/>
      <c r="BB1055" s="81"/>
      <c r="BC1055" s="81"/>
      <c r="BD1055" s="81"/>
      <c r="BE1055" s="81"/>
      <c r="BF1055" s="81"/>
      <c r="BG1055" s="81"/>
      <c r="BH1055" s="81"/>
      <c r="BI1055" s="81"/>
      <c r="BJ1055" s="81"/>
      <c r="BK1055" s="81"/>
      <c r="BL1055" s="81"/>
      <c r="BM1055" s="81"/>
      <c r="BN1055" s="81"/>
      <c r="BO1055" s="81"/>
      <c r="BP1055" s="81"/>
      <c r="BQ1055" s="81"/>
      <c r="BR1055" s="81"/>
      <c r="BS1055" s="81"/>
      <c r="BT1055" s="81"/>
      <c r="BU1055" s="81"/>
      <c r="BV1055" s="81"/>
      <c r="BW1055" s="81"/>
      <c r="BX1055" s="81"/>
      <c r="BY1055" s="81"/>
      <c r="BZ1055" s="81"/>
      <c r="CA1055" s="81"/>
      <c r="CB1055" s="81"/>
      <c r="CC1055" s="81"/>
      <c r="CD1055" s="81"/>
      <c r="CE1055" s="81"/>
      <c r="CF1055" s="81"/>
      <c r="CG1055" s="81"/>
      <c r="CH1055" s="81"/>
      <c r="CI1055" s="81"/>
      <c r="CJ1055" s="81"/>
      <c r="CK1055" s="81"/>
      <c r="CL1055" s="81"/>
      <c r="CM1055" s="81"/>
      <c r="CN1055" s="81"/>
      <c r="CO1055" s="81"/>
      <c r="CP1055" s="81"/>
      <c r="CQ1055" s="111"/>
      <c r="CT1055" s="81"/>
    </row>
    <row r="1056" spans="48:98" x14ac:dyDescent="0.25">
      <c r="AV1056" s="81"/>
      <c r="AW1056" s="81"/>
      <c r="AX1056" s="81"/>
      <c r="AY1056" s="81"/>
      <c r="BA1056" s="81"/>
      <c r="BB1056" s="81"/>
      <c r="BC1056" s="81"/>
      <c r="BD1056" s="81"/>
      <c r="BE1056" s="81"/>
      <c r="BF1056" s="81"/>
      <c r="BG1056" s="81"/>
      <c r="BH1056" s="81"/>
      <c r="BI1056" s="81"/>
      <c r="BJ1056" s="81"/>
      <c r="BK1056" s="81"/>
      <c r="BL1056" s="81"/>
      <c r="BM1056" s="81"/>
      <c r="BN1056" s="81"/>
      <c r="BO1056" s="81"/>
      <c r="BP1056" s="81"/>
      <c r="BQ1056" s="81"/>
      <c r="BR1056" s="81"/>
      <c r="BS1056" s="81"/>
      <c r="BT1056" s="81"/>
      <c r="BU1056" s="81"/>
      <c r="BV1056" s="81"/>
      <c r="BW1056" s="81"/>
      <c r="BX1056" s="81"/>
      <c r="BY1056" s="81"/>
      <c r="BZ1056" s="81"/>
      <c r="CA1056" s="81"/>
      <c r="CB1056" s="81"/>
      <c r="CC1056" s="81"/>
      <c r="CD1056" s="81"/>
      <c r="CE1056" s="81"/>
      <c r="CF1056" s="81"/>
      <c r="CG1056" s="81"/>
      <c r="CH1056" s="81"/>
      <c r="CI1056" s="81"/>
      <c r="CJ1056" s="81"/>
      <c r="CK1056" s="81"/>
      <c r="CL1056" s="81"/>
      <c r="CM1056" s="81"/>
      <c r="CN1056" s="81"/>
      <c r="CO1056" s="81"/>
      <c r="CP1056" s="81"/>
      <c r="CQ1056" s="111"/>
      <c r="CT1056" s="81"/>
    </row>
    <row r="1057" spans="48:98" x14ac:dyDescent="0.25">
      <c r="AV1057" s="81"/>
      <c r="AW1057" s="81"/>
      <c r="AX1057" s="81"/>
      <c r="AY1057" s="81"/>
      <c r="BA1057" s="81"/>
      <c r="BB1057" s="81"/>
      <c r="BC1057" s="81"/>
      <c r="BD1057" s="81"/>
      <c r="BE1057" s="81"/>
      <c r="BF1057" s="81"/>
      <c r="BG1057" s="81"/>
      <c r="BH1057" s="81"/>
      <c r="BI1057" s="81"/>
      <c r="BJ1057" s="81"/>
      <c r="BK1057" s="81"/>
      <c r="BL1057" s="81"/>
      <c r="BM1057" s="81"/>
      <c r="BN1057" s="81"/>
      <c r="BO1057" s="81"/>
      <c r="BP1057" s="81"/>
      <c r="BQ1057" s="81"/>
      <c r="BR1057" s="81"/>
      <c r="BS1057" s="81"/>
      <c r="BT1057" s="81"/>
      <c r="BU1057" s="81"/>
      <c r="BV1057" s="81"/>
      <c r="BW1057" s="81"/>
      <c r="BX1057" s="81"/>
      <c r="BY1057" s="81"/>
      <c r="BZ1057" s="81"/>
      <c r="CA1057" s="81"/>
      <c r="CB1057" s="81"/>
      <c r="CC1057" s="81"/>
      <c r="CD1057" s="81"/>
      <c r="CE1057" s="81"/>
      <c r="CF1057" s="81"/>
      <c r="CG1057" s="81"/>
      <c r="CH1057" s="81"/>
      <c r="CI1057" s="81"/>
      <c r="CJ1057" s="81"/>
      <c r="CK1057" s="81"/>
      <c r="CL1057" s="81"/>
      <c r="CM1057" s="81"/>
      <c r="CN1057" s="81"/>
      <c r="CO1057" s="81"/>
      <c r="CP1057" s="81"/>
      <c r="CQ1057" s="111"/>
      <c r="CT1057" s="81"/>
    </row>
    <row r="1058" spans="48:98" x14ac:dyDescent="0.25">
      <c r="AV1058" s="81"/>
      <c r="AW1058" s="81"/>
      <c r="AX1058" s="81"/>
      <c r="AY1058" s="81"/>
      <c r="BA1058" s="81"/>
      <c r="BB1058" s="81"/>
      <c r="BC1058" s="81"/>
      <c r="BD1058" s="81"/>
      <c r="BE1058" s="81"/>
      <c r="BF1058" s="81"/>
      <c r="BG1058" s="81"/>
      <c r="BH1058" s="81"/>
      <c r="BI1058" s="81"/>
      <c r="BJ1058" s="81"/>
      <c r="BK1058" s="81"/>
      <c r="BL1058" s="81"/>
      <c r="BM1058" s="81"/>
      <c r="BN1058" s="81"/>
      <c r="BO1058" s="81"/>
      <c r="BP1058" s="81"/>
      <c r="BQ1058" s="81"/>
      <c r="BR1058" s="81"/>
      <c r="BS1058" s="81"/>
      <c r="BT1058" s="81"/>
      <c r="BU1058" s="81"/>
      <c r="BV1058" s="81"/>
      <c r="BW1058" s="81"/>
      <c r="BX1058" s="81"/>
      <c r="BY1058" s="81"/>
      <c r="BZ1058" s="81"/>
      <c r="CA1058" s="81"/>
      <c r="CB1058" s="81"/>
      <c r="CC1058" s="81"/>
      <c r="CD1058" s="81"/>
      <c r="CE1058" s="81"/>
      <c r="CF1058" s="81"/>
      <c r="CG1058" s="81"/>
      <c r="CH1058" s="81"/>
      <c r="CI1058" s="81"/>
      <c r="CJ1058" s="81"/>
      <c r="CK1058" s="81"/>
      <c r="CL1058" s="81"/>
      <c r="CM1058" s="81"/>
      <c r="CN1058" s="81"/>
      <c r="CO1058" s="81"/>
      <c r="CP1058" s="81"/>
      <c r="CQ1058" s="111"/>
      <c r="CT1058" s="81"/>
    </row>
    <row r="1059" spans="48:98" x14ac:dyDescent="0.25">
      <c r="AV1059" s="81"/>
      <c r="AW1059" s="81"/>
      <c r="AX1059" s="81"/>
      <c r="AY1059" s="81"/>
      <c r="BA1059" s="81"/>
      <c r="BB1059" s="81"/>
      <c r="BC1059" s="81"/>
      <c r="BD1059" s="81"/>
      <c r="BE1059" s="81"/>
      <c r="BF1059" s="81"/>
      <c r="BG1059" s="81"/>
      <c r="BH1059" s="81"/>
      <c r="BI1059" s="81"/>
      <c r="BJ1059" s="81"/>
      <c r="BK1059" s="81"/>
      <c r="BL1059" s="81"/>
      <c r="BM1059" s="81"/>
      <c r="BN1059" s="81"/>
      <c r="BO1059" s="81"/>
      <c r="BP1059" s="81"/>
      <c r="BQ1059" s="81"/>
      <c r="BR1059" s="81"/>
      <c r="BS1059" s="81"/>
      <c r="BT1059" s="81"/>
      <c r="BU1059" s="81"/>
      <c r="BV1059" s="81"/>
      <c r="BW1059" s="81"/>
      <c r="BX1059" s="81"/>
      <c r="BY1059" s="81"/>
      <c r="BZ1059" s="81"/>
      <c r="CA1059" s="81"/>
      <c r="CB1059" s="81"/>
      <c r="CC1059" s="81"/>
      <c r="CD1059" s="81"/>
      <c r="CE1059" s="81"/>
      <c r="CF1059" s="81"/>
      <c r="CG1059" s="81"/>
      <c r="CH1059" s="81"/>
      <c r="CI1059" s="81"/>
      <c r="CJ1059" s="81"/>
      <c r="CK1059" s="81"/>
      <c r="CL1059" s="81"/>
      <c r="CM1059" s="81"/>
      <c r="CN1059" s="81"/>
      <c r="CO1059" s="81"/>
      <c r="CP1059" s="81"/>
      <c r="CQ1059" s="111"/>
      <c r="CT1059" s="81"/>
    </row>
    <row r="1060" spans="48:98" x14ac:dyDescent="0.25">
      <c r="AV1060" s="81"/>
      <c r="AW1060" s="81"/>
      <c r="AX1060" s="81"/>
      <c r="AY1060" s="81"/>
      <c r="BA1060" s="81"/>
      <c r="BB1060" s="81"/>
      <c r="BC1060" s="81"/>
      <c r="BD1060" s="81"/>
      <c r="BE1060" s="81"/>
      <c r="BF1060" s="81"/>
      <c r="BG1060" s="81"/>
      <c r="BH1060" s="81"/>
      <c r="BI1060" s="81"/>
      <c r="BJ1060" s="81"/>
      <c r="BK1060" s="81"/>
      <c r="BL1060" s="81"/>
      <c r="BM1060" s="81"/>
      <c r="BN1060" s="81"/>
      <c r="BO1060" s="81"/>
      <c r="BP1060" s="81"/>
      <c r="BQ1060" s="81"/>
      <c r="BR1060" s="81"/>
      <c r="BS1060" s="81"/>
      <c r="BT1060" s="81"/>
      <c r="BU1060" s="81"/>
      <c r="BV1060" s="81"/>
      <c r="BW1060" s="81"/>
      <c r="BX1060" s="81"/>
      <c r="BY1060" s="81"/>
      <c r="BZ1060" s="81"/>
      <c r="CA1060" s="81"/>
      <c r="CB1060" s="81"/>
      <c r="CC1060" s="81"/>
      <c r="CD1060" s="81"/>
      <c r="CE1060" s="81"/>
      <c r="CF1060" s="81"/>
      <c r="CG1060" s="81"/>
      <c r="CH1060" s="81"/>
      <c r="CI1060" s="81"/>
      <c r="CJ1060" s="81"/>
      <c r="CK1060" s="81"/>
      <c r="CL1060" s="81"/>
      <c r="CM1060" s="81"/>
      <c r="CN1060" s="81"/>
      <c r="CO1060" s="81"/>
      <c r="CP1060" s="81"/>
      <c r="CQ1060" s="111"/>
      <c r="CT1060" s="81"/>
    </row>
    <row r="1061" spans="48:98" x14ac:dyDescent="0.25">
      <c r="AV1061" s="81"/>
      <c r="AW1061" s="81"/>
      <c r="AX1061" s="81"/>
      <c r="AY1061" s="81"/>
      <c r="BA1061" s="81"/>
      <c r="BB1061" s="81"/>
      <c r="BC1061" s="81"/>
      <c r="BD1061" s="81"/>
      <c r="BE1061" s="81"/>
      <c r="BF1061" s="81"/>
      <c r="BG1061" s="81"/>
      <c r="BH1061" s="81"/>
      <c r="BI1061" s="81"/>
      <c r="BJ1061" s="81"/>
      <c r="BK1061" s="81"/>
      <c r="BL1061" s="81"/>
      <c r="BM1061" s="81"/>
      <c r="BN1061" s="81"/>
      <c r="BO1061" s="81"/>
      <c r="BP1061" s="81"/>
      <c r="BQ1061" s="81"/>
      <c r="BR1061" s="81"/>
      <c r="BS1061" s="81"/>
      <c r="BT1061" s="81"/>
      <c r="BU1061" s="81"/>
      <c r="BV1061" s="81"/>
      <c r="BW1061" s="81"/>
      <c r="BX1061" s="81"/>
      <c r="BY1061" s="81"/>
      <c r="BZ1061" s="81"/>
      <c r="CA1061" s="81"/>
      <c r="CB1061" s="81"/>
      <c r="CC1061" s="81"/>
      <c r="CD1061" s="81"/>
      <c r="CE1061" s="81"/>
      <c r="CF1061" s="81"/>
      <c r="CG1061" s="81"/>
      <c r="CH1061" s="81"/>
      <c r="CI1061" s="81"/>
      <c r="CJ1061" s="81"/>
      <c r="CK1061" s="81"/>
      <c r="CL1061" s="81"/>
      <c r="CM1061" s="81"/>
      <c r="CN1061" s="81"/>
      <c r="CO1061" s="81"/>
      <c r="CP1061" s="81"/>
      <c r="CQ1061" s="111"/>
      <c r="CT1061" s="81"/>
    </row>
    <row r="1062" spans="48:98" x14ac:dyDescent="0.25">
      <c r="AV1062" s="81"/>
      <c r="AW1062" s="81"/>
      <c r="AX1062" s="81"/>
      <c r="AY1062" s="81"/>
      <c r="BA1062" s="81"/>
      <c r="BB1062" s="81"/>
      <c r="BC1062" s="81"/>
      <c r="BD1062" s="81"/>
      <c r="BE1062" s="81"/>
      <c r="BF1062" s="81"/>
      <c r="BG1062" s="81"/>
      <c r="BH1062" s="81"/>
      <c r="BI1062" s="81"/>
      <c r="BJ1062" s="81"/>
      <c r="BK1062" s="81"/>
      <c r="BL1062" s="81"/>
      <c r="BM1062" s="81"/>
      <c r="BN1062" s="81"/>
      <c r="BO1062" s="81"/>
      <c r="BP1062" s="81"/>
      <c r="BQ1062" s="81"/>
      <c r="BR1062" s="81"/>
      <c r="BS1062" s="81"/>
      <c r="BT1062" s="81"/>
      <c r="BU1062" s="81"/>
      <c r="BV1062" s="81"/>
      <c r="BW1062" s="81"/>
      <c r="BX1062" s="81"/>
      <c r="BY1062" s="81"/>
      <c r="BZ1062" s="81"/>
      <c r="CA1062" s="81"/>
      <c r="CB1062" s="81"/>
      <c r="CC1062" s="81"/>
      <c r="CD1062" s="81"/>
      <c r="CE1062" s="81"/>
      <c r="CF1062" s="81"/>
      <c r="CG1062" s="81"/>
      <c r="CH1062" s="81"/>
      <c r="CI1062" s="81"/>
      <c r="CJ1062" s="81"/>
      <c r="CK1062" s="81"/>
      <c r="CL1062" s="81"/>
      <c r="CM1062" s="81"/>
      <c r="CN1062" s="81"/>
      <c r="CO1062" s="81"/>
      <c r="CP1062" s="81"/>
      <c r="CQ1062" s="111"/>
      <c r="CT1062" s="81"/>
    </row>
    <row r="1063" spans="48:98" x14ac:dyDescent="0.25">
      <c r="AV1063" s="81"/>
      <c r="AW1063" s="81"/>
      <c r="AX1063" s="81"/>
      <c r="AY1063" s="81"/>
      <c r="BA1063" s="81"/>
      <c r="BB1063" s="81"/>
      <c r="BC1063" s="81"/>
      <c r="BD1063" s="81"/>
      <c r="BE1063" s="81"/>
      <c r="BF1063" s="81"/>
      <c r="BG1063" s="81"/>
      <c r="BH1063" s="81"/>
      <c r="BI1063" s="81"/>
      <c r="BJ1063" s="81"/>
      <c r="BK1063" s="81"/>
      <c r="BL1063" s="81"/>
      <c r="BM1063" s="81"/>
      <c r="BN1063" s="81"/>
      <c r="BO1063" s="81"/>
      <c r="BP1063" s="81"/>
      <c r="BQ1063" s="81"/>
      <c r="BR1063" s="81"/>
      <c r="BS1063" s="81"/>
      <c r="BT1063" s="81"/>
      <c r="BU1063" s="81"/>
      <c r="BV1063" s="81"/>
      <c r="BW1063" s="81"/>
      <c r="BX1063" s="81"/>
      <c r="BY1063" s="81"/>
      <c r="BZ1063" s="81"/>
      <c r="CA1063" s="81"/>
      <c r="CB1063" s="81"/>
      <c r="CC1063" s="81"/>
      <c r="CD1063" s="81"/>
      <c r="CE1063" s="81"/>
      <c r="CF1063" s="81"/>
      <c r="CG1063" s="81"/>
      <c r="CH1063" s="81"/>
      <c r="CI1063" s="81"/>
      <c r="CJ1063" s="81"/>
      <c r="CK1063" s="81"/>
      <c r="CL1063" s="81"/>
      <c r="CM1063" s="81"/>
      <c r="CN1063" s="81"/>
      <c r="CO1063" s="81"/>
      <c r="CP1063" s="81"/>
      <c r="CQ1063" s="111"/>
      <c r="CT1063" s="81"/>
    </row>
    <row r="1064" spans="48:98" x14ac:dyDescent="0.25">
      <c r="AV1064" s="81"/>
      <c r="AW1064" s="81"/>
      <c r="AX1064" s="81"/>
      <c r="AY1064" s="81"/>
      <c r="BA1064" s="81"/>
      <c r="BB1064" s="81"/>
      <c r="BC1064" s="81"/>
      <c r="BD1064" s="81"/>
      <c r="BE1064" s="81"/>
      <c r="BF1064" s="81"/>
      <c r="BG1064" s="81"/>
      <c r="BH1064" s="81"/>
      <c r="BI1064" s="81"/>
      <c r="BJ1064" s="81"/>
      <c r="BK1064" s="81"/>
      <c r="BL1064" s="81"/>
      <c r="BM1064" s="81"/>
      <c r="BN1064" s="81"/>
      <c r="BO1064" s="81"/>
      <c r="BP1064" s="81"/>
      <c r="BQ1064" s="81"/>
      <c r="BR1064" s="81"/>
      <c r="BS1064" s="81"/>
      <c r="BT1064" s="81"/>
      <c r="BU1064" s="81"/>
      <c r="BV1064" s="81"/>
      <c r="BW1064" s="81"/>
      <c r="BX1064" s="81"/>
      <c r="BY1064" s="81"/>
      <c r="BZ1064" s="81"/>
      <c r="CA1064" s="81"/>
      <c r="CB1064" s="81"/>
      <c r="CC1064" s="81"/>
      <c r="CD1064" s="81"/>
      <c r="CE1064" s="81"/>
      <c r="CF1064" s="81"/>
      <c r="CG1064" s="81"/>
      <c r="CH1064" s="81"/>
      <c r="CI1064" s="81"/>
      <c r="CJ1064" s="81"/>
      <c r="CK1064" s="81"/>
      <c r="CL1064" s="81"/>
      <c r="CM1064" s="81"/>
      <c r="CN1064" s="81"/>
      <c r="CO1064" s="81"/>
      <c r="CP1064" s="81"/>
      <c r="CQ1064" s="111"/>
      <c r="CT1064" s="81"/>
    </row>
    <row r="1065" spans="48:98" x14ac:dyDescent="0.25">
      <c r="AV1065" s="81"/>
      <c r="AW1065" s="81"/>
      <c r="AX1065" s="81"/>
      <c r="AY1065" s="81"/>
      <c r="BA1065" s="81"/>
      <c r="BB1065" s="81"/>
      <c r="BC1065" s="81"/>
      <c r="BD1065" s="81"/>
      <c r="BE1065" s="81"/>
      <c r="BF1065" s="81"/>
      <c r="BG1065" s="81"/>
      <c r="BH1065" s="81"/>
      <c r="BI1065" s="81"/>
      <c r="BJ1065" s="81"/>
      <c r="BK1065" s="81"/>
      <c r="BL1065" s="81"/>
      <c r="BM1065" s="81"/>
      <c r="BN1065" s="81"/>
      <c r="BO1065" s="81"/>
      <c r="BP1065" s="81"/>
      <c r="BQ1065" s="81"/>
      <c r="BR1065" s="81"/>
      <c r="BS1065" s="81"/>
      <c r="BT1065" s="81"/>
      <c r="BU1065" s="81"/>
      <c r="BV1065" s="81"/>
      <c r="BW1065" s="81"/>
      <c r="BX1065" s="81"/>
      <c r="BY1065" s="81"/>
      <c r="BZ1065" s="81"/>
      <c r="CA1065" s="81"/>
      <c r="CB1065" s="81"/>
      <c r="CC1065" s="81"/>
      <c r="CD1065" s="81"/>
      <c r="CE1065" s="81"/>
      <c r="CF1065" s="81"/>
      <c r="CG1065" s="81"/>
      <c r="CH1065" s="81"/>
      <c r="CI1065" s="81"/>
      <c r="CJ1065" s="81"/>
      <c r="CK1065" s="81"/>
      <c r="CL1065" s="81"/>
      <c r="CM1065" s="81"/>
      <c r="CN1065" s="81"/>
      <c r="CO1065" s="81"/>
      <c r="CP1065" s="81"/>
      <c r="CQ1065" s="111"/>
      <c r="CT1065" s="81"/>
    </row>
    <row r="1066" spans="48:98" x14ac:dyDescent="0.25">
      <c r="AV1066" s="81"/>
      <c r="AW1066" s="81"/>
      <c r="AX1066" s="81"/>
      <c r="AY1066" s="81"/>
      <c r="BA1066" s="81"/>
      <c r="BB1066" s="81"/>
      <c r="BC1066" s="81"/>
      <c r="BD1066" s="81"/>
      <c r="BE1066" s="81"/>
      <c r="BF1066" s="81"/>
      <c r="BG1066" s="81"/>
      <c r="BH1066" s="81"/>
      <c r="BI1066" s="81"/>
      <c r="BJ1066" s="81"/>
      <c r="BK1066" s="81"/>
      <c r="BL1066" s="81"/>
      <c r="BM1066" s="81"/>
      <c r="BN1066" s="81"/>
      <c r="BO1066" s="81"/>
      <c r="BP1066" s="81"/>
      <c r="BQ1066" s="81"/>
      <c r="BR1066" s="81"/>
      <c r="BS1066" s="81"/>
      <c r="BT1066" s="81"/>
      <c r="BU1066" s="81"/>
      <c r="BV1066" s="81"/>
      <c r="BW1066" s="81"/>
      <c r="BX1066" s="81"/>
      <c r="BY1066" s="81"/>
      <c r="BZ1066" s="81"/>
      <c r="CA1066" s="81"/>
      <c r="CB1066" s="81"/>
      <c r="CC1066" s="81"/>
      <c r="CD1066" s="81"/>
      <c r="CE1066" s="81"/>
      <c r="CF1066" s="81"/>
      <c r="CG1066" s="81"/>
      <c r="CH1066" s="81"/>
      <c r="CI1066" s="81"/>
      <c r="CJ1066" s="81"/>
      <c r="CK1066" s="81"/>
      <c r="CL1066" s="81"/>
      <c r="CM1066" s="81"/>
      <c r="CN1066" s="81"/>
      <c r="CO1066" s="81"/>
      <c r="CP1066" s="81"/>
      <c r="CQ1066" s="111"/>
      <c r="CT1066" s="81"/>
    </row>
    <row r="1067" spans="48:98" x14ac:dyDescent="0.25">
      <c r="AV1067" s="81"/>
      <c r="AW1067" s="81"/>
      <c r="AX1067" s="81"/>
      <c r="AY1067" s="81"/>
      <c r="BA1067" s="81"/>
      <c r="BB1067" s="81"/>
      <c r="BC1067" s="81"/>
      <c r="BD1067" s="81"/>
      <c r="BE1067" s="81"/>
      <c r="BF1067" s="81"/>
      <c r="BG1067" s="81"/>
      <c r="BH1067" s="81"/>
      <c r="BI1067" s="81"/>
      <c r="BJ1067" s="81"/>
      <c r="BK1067" s="81"/>
      <c r="BL1067" s="81"/>
      <c r="BM1067" s="81"/>
      <c r="BN1067" s="81"/>
      <c r="BO1067" s="81"/>
      <c r="BP1067" s="81"/>
      <c r="BQ1067" s="81"/>
      <c r="BR1067" s="81"/>
      <c r="BS1067" s="81"/>
      <c r="BT1067" s="81"/>
      <c r="BU1067" s="81"/>
      <c r="BV1067" s="81"/>
      <c r="BW1067" s="81"/>
      <c r="BX1067" s="81"/>
      <c r="BY1067" s="81"/>
      <c r="BZ1067" s="81"/>
      <c r="CA1067" s="81"/>
      <c r="CB1067" s="81"/>
      <c r="CC1067" s="81"/>
      <c r="CD1067" s="81"/>
      <c r="CE1067" s="81"/>
      <c r="CF1067" s="81"/>
      <c r="CG1067" s="81"/>
      <c r="CH1067" s="81"/>
      <c r="CI1067" s="81"/>
      <c r="CJ1067" s="81"/>
      <c r="CK1067" s="81"/>
      <c r="CL1067" s="81"/>
      <c r="CM1067" s="81"/>
      <c r="CN1067" s="81"/>
      <c r="CO1067" s="81"/>
      <c r="CP1067" s="81"/>
      <c r="CQ1067" s="111"/>
      <c r="CT1067" s="81"/>
    </row>
    <row r="1068" spans="48:98" x14ac:dyDescent="0.25">
      <c r="AV1068" s="81"/>
      <c r="AW1068" s="81"/>
      <c r="AX1068" s="81"/>
      <c r="AY1068" s="81"/>
      <c r="BA1068" s="81"/>
      <c r="BB1068" s="81"/>
      <c r="BC1068" s="81"/>
      <c r="BD1068" s="81"/>
      <c r="BE1068" s="81"/>
      <c r="BF1068" s="81"/>
      <c r="BG1068" s="81"/>
      <c r="BH1068" s="81"/>
      <c r="BI1068" s="81"/>
      <c r="BJ1068" s="81"/>
      <c r="BK1068" s="81"/>
      <c r="BL1068" s="81"/>
      <c r="BM1068" s="81"/>
      <c r="BN1068" s="81"/>
      <c r="BO1068" s="81"/>
      <c r="BP1068" s="81"/>
      <c r="BQ1068" s="81"/>
      <c r="BR1068" s="81"/>
      <c r="BS1068" s="81"/>
      <c r="BT1068" s="81"/>
      <c r="BU1068" s="81"/>
      <c r="BV1068" s="81"/>
      <c r="BW1068" s="81"/>
      <c r="BX1068" s="81"/>
      <c r="BY1068" s="81"/>
      <c r="BZ1068" s="81"/>
      <c r="CA1068" s="81"/>
      <c r="CB1068" s="81"/>
      <c r="CC1068" s="81"/>
      <c r="CD1068" s="81"/>
      <c r="CE1068" s="81"/>
      <c r="CF1068" s="81"/>
      <c r="CG1068" s="81"/>
      <c r="CH1068" s="81"/>
      <c r="CI1068" s="81"/>
      <c r="CJ1068" s="81"/>
      <c r="CK1068" s="81"/>
      <c r="CL1068" s="81"/>
      <c r="CM1068" s="81"/>
      <c r="CN1068" s="81"/>
      <c r="CO1068" s="81"/>
      <c r="CP1068" s="81"/>
      <c r="CQ1068" s="111"/>
      <c r="CT1068" s="81"/>
    </row>
    <row r="1069" spans="48:98" x14ac:dyDescent="0.25">
      <c r="AV1069" s="81"/>
      <c r="AW1069" s="81"/>
      <c r="AX1069" s="81"/>
      <c r="AY1069" s="81"/>
      <c r="BA1069" s="81"/>
      <c r="BB1069" s="81"/>
      <c r="BC1069" s="81"/>
      <c r="BD1069" s="81"/>
      <c r="BE1069" s="81"/>
      <c r="BF1069" s="81"/>
      <c r="BG1069" s="81"/>
      <c r="BH1069" s="81"/>
      <c r="BI1069" s="81"/>
      <c r="BJ1069" s="81"/>
      <c r="BK1069" s="81"/>
      <c r="BL1069" s="81"/>
      <c r="BM1069" s="81"/>
      <c r="BN1069" s="81"/>
      <c r="BO1069" s="81"/>
      <c r="BP1069" s="81"/>
      <c r="BQ1069" s="81"/>
      <c r="BR1069" s="81"/>
      <c r="BS1069" s="81"/>
      <c r="BT1069" s="81"/>
      <c r="BU1069" s="81"/>
      <c r="BV1069" s="81"/>
      <c r="BW1069" s="81"/>
      <c r="BX1069" s="81"/>
      <c r="BY1069" s="81"/>
      <c r="BZ1069" s="81"/>
      <c r="CA1069" s="81"/>
      <c r="CB1069" s="81"/>
      <c r="CC1069" s="81"/>
      <c r="CD1069" s="81"/>
      <c r="CE1069" s="81"/>
      <c r="CF1069" s="81"/>
      <c r="CG1069" s="81"/>
      <c r="CH1069" s="81"/>
      <c r="CI1069" s="81"/>
      <c r="CJ1069" s="81"/>
      <c r="CK1069" s="81"/>
      <c r="CL1069" s="81"/>
      <c r="CM1069" s="81"/>
      <c r="CN1069" s="81"/>
      <c r="CO1069" s="81"/>
      <c r="CP1069" s="81"/>
      <c r="CQ1069" s="111"/>
      <c r="CT1069" s="81"/>
    </row>
    <row r="1070" spans="48:98" x14ac:dyDescent="0.25">
      <c r="AV1070" s="81"/>
      <c r="AW1070" s="81"/>
      <c r="AX1070" s="81"/>
      <c r="AY1070" s="81"/>
      <c r="BA1070" s="81"/>
      <c r="BB1070" s="81"/>
      <c r="BC1070" s="81"/>
      <c r="BD1070" s="81"/>
      <c r="BE1070" s="81"/>
      <c r="BF1070" s="81"/>
      <c r="BG1070" s="81"/>
      <c r="BH1070" s="81"/>
      <c r="BI1070" s="81"/>
      <c r="BJ1070" s="81"/>
      <c r="BK1070" s="81"/>
      <c r="BL1070" s="81"/>
      <c r="BM1070" s="81"/>
      <c r="BN1070" s="81"/>
      <c r="BO1070" s="81"/>
      <c r="BP1070" s="81"/>
      <c r="BQ1070" s="81"/>
      <c r="BR1070" s="81"/>
      <c r="BS1070" s="81"/>
      <c r="BT1070" s="81"/>
      <c r="BU1070" s="81"/>
      <c r="BV1070" s="81"/>
      <c r="BW1070" s="81"/>
      <c r="BX1070" s="81"/>
      <c r="BY1070" s="81"/>
      <c r="BZ1070" s="81"/>
      <c r="CA1070" s="81"/>
      <c r="CB1070" s="81"/>
      <c r="CC1070" s="81"/>
      <c r="CD1070" s="81"/>
      <c r="CE1070" s="81"/>
      <c r="CF1070" s="81"/>
      <c r="CG1070" s="81"/>
      <c r="CH1070" s="81"/>
      <c r="CI1070" s="81"/>
      <c r="CJ1070" s="81"/>
      <c r="CK1070" s="81"/>
      <c r="CL1070" s="81"/>
      <c r="CM1070" s="81"/>
      <c r="CN1070" s="81"/>
      <c r="CO1070" s="81"/>
      <c r="CP1070" s="81"/>
      <c r="CQ1070" s="111"/>
      <c r="CT1070" s="81"/>
    </row>
    <row r="1071" spans="48:98" x14ac:dyDescent="0.25">
      <c r="AV1071" s="81"/>
      <c r="AW1071" s="81"/>
      <c r="AX1071" s="81"/>
      <c r="AY1071" s="81"/>
      <c r="BA1071" s="81"/>
      <c r="BB1071" s="81"/>
      <c r="BC1071" s="81"/>
      <c r="BD1071" s="81"/>
      <c r="BE1071" s="81"/>
      <c r="BF1071" s="81"/>
      <c r="BG1071" s="81"/>
      <c r="BH1071" s="81"/>
      <c r="BI1071" s="81"/>
      <c r="BJ1071" s="81"/>
      <c r="BK1071" s="81"/>
      <c r="BL1071" s="81"/>
      <c r="BM1071" s="81"/>
      <c r="BN1071" s="81"/>
      <c r="BO1071" s="81"/>
      <c r="BP1071" s="81"/>
      <c r="BQ1071" s="81"/>
      <c r="BR1071" s="81"/>
      <c r="BS1071" s="81"/>
      <c r="BT1071" s="81"/>
      <c r="BU1071" s="81"/>
      <c r="BV1071" s="81"/>
      <c r="BW1071" s="81"/>
      <c r="BX1071" s="81"/>
      <c r="BY1071" s="81"/>
      <c r="BZ1071" s="81"/>
      <c r="CA1071" s="81"/>
      <c r="CB1071" s="81"/>
      <c r="CC1071" s="81"/>
      <c r="CD1071" s="81"/>
      <c r="CE1071" s="81"/>
      <c r="CF1071" s="81"/>
      <c r="CG1071" s="81"/>
      <c r="CH1071" s="81"/>
      <c r="CI1071" s="81"/>
      <c r="CJ1071" s="81"/>
      <c r="CK1071" s="81"/>
      <c r="CL1071" s="81"/>
      <c r="CM1071" s="81"/>
      <c r="CN1071" s="81"/>
      <c r="CO1071" s="81"/>
      <c r="CP1071" s="81"/>
      <c r="CQ1071" s="111"/>
      <c r="CT1071" s="81"/>
    </row>
    <row r="1072" spans="48:98" x14ac:dyDescent="0.25">
      <c r="AV1072" s="81"/>
      <c r="AW1072" s="81"/>
      <c r="AX1072" s="81"/>
      <c r="AY1072" s="81"/>
      <c r="BA1072" s="81"/>
      <c r="BB1072" s="81"/>
      <c r="BC1072" s="81"/>
      <c r="BD1072" s="81"/>
      <c r="BE1072" s="81"/>
      <c r="BF1072" s="81"/>
      <c r="BG1072" s="81"/>
      <c r="BH1072" s="81"/>
      <c r="BI1072" s="81"/>
      <c r="BJ1072" s="81"/>
      <c r="BK1072" s="81"/>
      <c r="BL1072" s="81"/>
      <c r="BM1072" s="81"/>
      <c r="BN1072" s="81"/>
      <c r="BO1072" s="81"/>
      <c r="BP1072" s="81"/>
      <c r="BQ1072" s="81"/>
      <c r="BR1072" s="81"/>
      <c r="BS1072" s="81"/>
      <c r="BT1072" s="81"/>
      <c r="BU1072" s="81"/>
      <c r="BV1072" s="81"/>
      <c r="BW1072" s="81"/>
      <c r="BX1072" s="81"/>
      <c r="BY1072" s="81"/>
      <c r="BZ1072" s="81"/>
      <c r="CA1072" s="81"/>
      <c r="CB1072" s="81"/>
      <c r="CC1072" s="81"/>
      <c r="CD1072" s="81"/>
      <c r="CE1072" s="81"/>
      <c r="CF1072" s="81"/>
      <c r="CG1072" s="81"/>
      <c r="CH1072" s="81"/>
      <c r="CI1072" s="81"/>
      <c r="CJ1072" s="81"/>
      <c r="CK1072" s="81"/>
      <c r="CL1072" s="81"/>
      <c r="CM1072" s="81"/>
      <c r="CN1072" s="81"/>
      <c r="CO1072" s="81"/>
      <c r="CP1072" s="81"/>
      <c r="CQ1072" s="111"/>
      <c r="CT1072" s="81"/>
    </row>
    <row r="1073" spans="48:98" x14ac:dyDescent="0.25">
      <c r="AV1073" s="81"/>
      <c r="AW1073" s="81"/>
      <c r="AX1073" s="81"/>
      <c r="AY1073" s="81"/>
      <c r="BA1073" s="81"/>
      <c r="BB1073" s="81"/>
      <c r="BC1073" s="81"/>
      <c r="BD1073" s="81"/>
      <c r="BE1073" s="81"/>
      <c r="BF1073" s="81"/>
      <c r="BG1073" s="81"/>
      <c r="BH1073" s="81"/>
      <c r="BI1073" s="81"/>
      <c r="BJ1073" s="81"/>
      <c r="BK1073" s="81"/>
      <c r="BL1073" s="81"/>
      <c r="BM1073" s="81"/>
      <c r="BN1073" s="81"/>
      <c r="BO1073" s="81"/>
      <c r="BP1073" s="81"/>
      <c r="BQ1073" s="81"/>
      <c r="BR1073" s="81"/>
      <c r="BS1073" s="81"/>
      <c r="BT1073" s="81"/>
      <c r="BU1073" s="81"/>
      <c r="BV1073" s="81"/>
      <c r="BW1073" s="81"/>
      <c r="BX1073" s="81"/>
      <c r="BY1073" s="81"/>
      <c r="BZ1073" s="81"/>
      <c r="CA1073" s="81"/>
      <c r="CB1073" s="81"/>
      <c r="CC1073" s="81"/>
      <c r="CD1073" s="81"/>
      <c r="CE1073" s="81"/>
      <c r="CF1073" s="81"/>
      <c r="CG1073" s="81"/>
      <c r="CH1073" s="81"/>
      <c r="CI1073" s="81"/>
      <c r="CJ1073" s="81"/>
      <c r="CK1073" s="81"/>
      <c r="CL1073" s="81"/>
      <c r="CM1073" s="81"/>
      <c r="CN1073" s="81"/>
      <c r="CO1073" s="81"/>
      <c r="CP1073" s="81"/>
      <c r="CQ1073" s="111"/>
      <c r="CT1073" s="81"/>
    </row>
    <row r="1074" spans="48:98" x14ac:dyDescent="0.25">
      <c r="AV1074" s="81"/>
      <c r="AW1074" s="81"/>
      <c r="AX1074" s="81"/>
      <c r="AY1074" s="81"/>
      <c r="BA1074" s="81"/>
      <c r="BB1074" s="81"/>
      <c r="BC1074" s="81"/>
      <c r="BD1074" s="81"/>
      <c r="BE1074" s="81"/>
      <c r="BF1074" s="81"/>
      <c r="BG1074" s="81"/>
      <c r="BH1074" s="81"/>
      <c r="BI1074" s="81"/>
      <c r="BJ1074" s="81"/>
      <c r="BK1074" s="81"/>
      <c r="BL1074" s="81"/>
      <c r="BM1074" s="81"/>
      <c r="BN1074" s="81"/>
      <c r="BO1074" s="81"/>
      <c r="BP1074" s="81"/>
      <c r="BQ1074" s="81"/>
      <c r="BR1074" s="81"/>
      <c r="BS1074" s="81"/>
      <c r="BT1074" s="81"/>
      <c r="BU1074" s="81"/>
      <c r="BV1074" s="81"/>
      <c r="BW1074" s="81"/>
      <c r="BX1074" s="81"/>
      <c r="BY1074" s="81"/>
      <c r="BZ1074" s="81"/>
      <c r="CA1074" s="81"/>
      <c r="CB1074" s="81"/>
      <c r="CC1074" s="81"/>
      <c r="CD1074" s="81"/>
      <c r="CE1074" s="81"/>
      <c r="CF1074" s="81"/>
      <c r="CG1074" s="81"/>
      <c r="CH1074" s="81"/>
      <c r="CI1074" s="81"/>
      <c r="CJ1074" s="81"/>
      <c r="CK1074" s="81"/>
      <c r="CL1074" s="81"/>
      <c r="CM1074" s="81"/>
      <c r="CN1074" s="81"/>
      <c r="CO1074" s="81"/>
      <c r="CP1074" s="81"/>
      <c r="CQ1074" s="111"/>
      <c r="CT1074" s="81"/>
    </row>
    <row r="1075" spans="48:98" x14ac:dyDescent="0.25">
      <c r="AV1075" s="81"/>
      <c r="AW1075" s="81"/>
      <c r="AX1075" s="81"/>
      <c r="AY1075" s="81"/>
      <c r="BA1075" s="81"/>
      <c r="BB1075" s="81"/>
      <c r="BC1075" s="81"/>
      <c r="BD1075" s="81"/>
      <c r="BE1075" s="81"/>
      <c r="BF1075" s="81"/>
      <c r="BG1075" s="81"/>
      <c r="BH1075" s="81"/>
      <c r="BI1075" s="81"/>
      <c r="BJ1075" s="81"/>
      <c r="BK1075" s="81"/>
      <c r="BL1075" s="81"/>
      <c r="BM1075" s="81"/>
      <c r="BN1075" s="81"/>
      <c r="BO1075" s="81"/>
      <c r="BP1075" s="81"/>
      <c r="BQ1075" s="81"/>
      <c r="BR1075" s="81"/>
      <c r="BS1075" s="81"/>
      <c r="BT1075" s="81"/>
      <c r="BU1075" s="81"/>
      <c r="BV1075" s="81"/>
      <c r="BW1075" s="81"/>
      <c r="BX1075" s="81"/>
      <c r="BY1075" s="81"/>
      <c r="BZ1075" s="81"/>
      <c r="CA1075" s="81"/>
      <c r="CB1075" s="81"/>
      <c r="CC1075" s="81"/>
      <c r="CD1075" s="81"/>
      <c r="CE1075" s="81"/>
      <c r="CF1075" s="81"/>
      <c r="CG1075" s="81"/>
      <c r="CH1075" s="81"/>
      <c r="CI1075" s="81"/>
      <c r="CJ1075" s="81"/>
      <c r="CK1075" s="81"/>
      <c r="CL1075" s="81"/>
      <c r="CM1075" s="81"/>
      <c r="CN1075" s="81"/>
      <c r="CO1075" s="81"/>
      <c r="CP1075" s="81"/>
      <c r="CQ1075" s="111"/>
      <c r="CT1075" s="81"/>
    </row>
    <row r="1076" spans="48:98" x14ac:dyDescent="0.25">
      <c r="AV1076" s="81"/>
      <c r="AW1076" s="81"/>
      <c r="AX1076" s="81"/>
      <c r="AY1076" s="81"/>
      <c r="BA1076" s="81"/>
      <c r="BB1076" s="81"/>
      <c r="BC1076" s="81"/>
      <c r="BD1076" s="81"/>
      <c r="BE1076" s="81"/>
      <c r="BF1076" s="81"/>
      <c r="BG1076" s="81"/>
      <c r="BH1076" s="81"/>
      <c r="BI1076" s="81"/>
      <c r="BJ1076" s="81"/>
      <c r="BK1076" s="81"/>
      <c r="BL1076" s="81"/>
      <c r="BM1076" s="81"/>
      <c r="BN1076" s="81"/>
      <c r="BO1076" s="81"/>
      <c r="BP1076" s="81"/>
      <c r="BQ1076" s="81"/>
      <c r="BR1076" s="81"/>
      <c r="BS1076" s="81"/>
      <c r="BT1076" s="81"/>
      <c r="BU1076" s="81"/>
      <c r="BV1076" s="81"/>
      <c r="BW1076" s="81"/>
      <c r="BX1076" s="81"/>
      <c r="BY1076" s="81"/>
      <c r="BZ1076" s="81"/>
      <c r="CA1076" s="81"/>
      <c r="CB1076" s="81"/>
      <c r="CC1076" s="81"/>
      <c r="CD1076" s="81"/>
      <c r="CE1076" s="81"/>
      <c r="CF1076" s="81"/>
      <c r="CG1076" s="81"/>
      <c r="CH1076" s="81"/>
      <c r="CI1076" s="81"/>
      <c r="CJ1076" s="81"/>
      <c r="CK1076" s="81"/>
      <c r="CL1076" s="81"/>
      <c r="CM1076" s="81"/>
      <c r="CN1076" s="81"/>
      <c r="CO1076" s="81"/>
      <c r="CP1076" s="81"/>
      <c r="CQ1076" s="111"/>
      <c r="CT1076" s="81"/>
    </row>
    <row r="1077" spans="48:98" x14ac:dyDescent="0.25">
      <c r="AV1077" s="81"/>
      <c r="AW1077" s="81"/>
      <c r="AX1077" s="81"/>
      <c r="AY1077" s="81"/>
      <c r="BA1077" s="81"/>
      <c r="BB1077" s="81"/>
      <c r="BC1077" s="81"/>
      <c r="BD1077" s="81"/>
      <c r="BE1077" s="81"/>
      <c r="BF1077" s="81"/>
      <c r="BG1077" s="81"/>
      <c r="BH1077" s="81"/>
      <c r="BI1077" s="81"/>
      <c r="BJ1077" s="81"/>
      <c r="BK1077" s="81"/>
      <c r="BL1077" s="81"/>
      <c r="BM1077" s="81"/>
      <c r="BN1077" s="81"/>
      <c r="BO1077" s="81"/>
      <c r="BP1077" s="81"/>
      <c r="BQ1077" s="81"/>
      <c r="BR1077" s="81"/>
      <c r="BS1077" s="81"/>
      <c r="BT1077" s="81"/>
      <c r="BU1077" s="81"/>
      <c r="BV1077" s="81"/>
      <c r="BW1077" s="81"/>
      <c r="BX1077" s="81"/>
      <c r="BY1077" s="81"/>
      <c r="BZ1077" s="81"/>
      <c r="CA1077" s="81"/>
      <c r="CB1077" s="81"/>
      <c r="CC1077" s="81"/>
      <c r="CD1077" s="81"/>
      <c r="CE1077" s="81"/>
      <c r="CF1077" s="81"/>
      <c r="CG1077" s="81"/>
      <c r="CH1077" s="81"/>
      <c r="CI1077" s="81"/>
      <c r="CJ1077" s="81"/>
      <c r="CK1077" s="81"/>
      <c r="CL1077" s="81"/>
      <c r="CM1077" s="81"/>
      <c r="CN1077" s="81"/>
      <c r="CO1077" s="81"/>
      <c r="CP1077" s="81"/>
      <c r="CQ1077" s="111"/>
      <c r="CT1077" s="81"/>
    </row>
    <row r="1078" spans="48:98" x14ac:dyDescent="0.25">
      <c r="AV1078" s="81"/>
      <c r="AW1078" s="81"/>
      <c r="AX1078" s="81"/>
      <c r="AY1078" s="81"/>
      <c r="BA1078" s="81"/>
      <c r="BB1078" s="81"/>
      <c r="BC1078" s="81"/>
      <c r="BD1078" s="81"/>
      <c r="BE1078" s="81"/>
      <c r="BF1078" s="81"/>
      <c r="BG1078" s="81"/>
      <c r="BH1078" s="81"/>
      <c r="BI1078" s="81"/>
      <c r="BJ1078" s="81"/>
      <c r="BK1078" s="81"/>
      <c r="BL1078" s="81"/>
      <c r="BM1078" s="81"/>
      <c r="BN1078" s="81"/>
      <c r="BO1078" s="81"/>
      <c r="BP1078" s="81"/>
      <c r="BQ1078" s="81"/>
      <c r="BR1078" s="81"/>
      <c r="BS1078" s="81"/>
      <c r="BT1078" s="81"/>
      <c r="BU1078" s="81"/>
      <c r="BV1078" s="81"/>
      <c r="BW1078" s="81"/>
      <c r="BX1078" s="81"/>
      <c r="BY1078" s="81"/>
      <c r="BZ1078" s="81"/>
      <c r="CA1078" s="81"/>
      <c r="CB1078" s="81"/>
      <c r="CC1078" s="81"/>
      <c r="CD1078" s="81"/>
      <c r="CE1078" s="81"/>
      <c r="CF1078" s="81"/>
      <c r="CG1078" s="81"/>
      <c r="CH1078" s="81"/>
      <c r="CI1078" s="81"/>
      <c r="CJ1078" s="81"/>
      <c r="CK1078" s="81"/>
      <c r="CL1078" s="81"/>
      <c r="CM1078" s="81"/>
      <c r="CN1078" s="81"/>
      <c r="CO1078" s="81"/>
      <c r="CP1078" s="81"/>
      <c r="CQ1078" s="111"/>
      <c r="CT1078" s="81"/>
    </row>
    <row r="1079" spans="48:98" x14ac:dyDescent="0.25">
      <c r="AV1079" s="81"/>
      <c r="AW1079" s="81"/>
      <c r="AX1079" s="81"/>
      <c r="AY1079" s="81"/>
      <c r="BA1079" s="81"/>
      <c r="BB1079" s="81"/>
      <c r="BC1079" s="81"/>
      <c r="BD1079" s="81"/>
      <c r="BE1079" s="81"/>
      <c r="BF1079" s="81"/>
      <c r="BG1079" s="81"/>
      <c r="BH1079" s="81"/>
      <c r="BI1079" s="81"/>
      <c r="BJ1079" s="81"/>
      <c r="BK1079" s="81"/>
      <c r="BL1079" s="81"/>
      <c r="BM1079" s="81"/>
      <c r="BN1079" s="81"/>
      <c r="BO1079" s="81"/>
      <c r="BP1079" s="81"/>
      <c r="BQ1079" s="81"/>
      <c r="BR1079" s="81"/>
      <c r="BS1079" s="81"/>
      <c r="BT1079" s="81"/>
      <c r="BU1079" s="81"/>
      <c r="BV1079" s="81"/>
      <c r="BW1079" s="81"/>
      <c r="BX1079" s="81"/>
      <c r="BY1079" s="81"/>
      <c r="BZ1079" s="81"/>
      <c r="CA1079" s="81"/>
      <c r="CB1079" s="81"/>
      <c r="CC1079" s="81"/>
      <c r="CD1079" s="81"/>
      <c r="CE1079" s="81"/>
      <c r="CF1079" s="81"/>
      <c r="CG1079" s="81"/>
      <c r="CH1079" s="81"/>
      <c r="CI1079" s="81"/>
      <c r="CJ1079" s="81"/>
      <c r="CK1079" s="81"/>
      <c r="CL1079" s="81"/>
      <c r="CM1079" s="81"/>
      <c r="CN1079" s="81"/>
      <c r="CO1079" s="81"/>
      <c r="CP1079" s="81"/>
      <c r="CQ1079" s="111"/>
      <c r="CT1079" s="81"/>
    </row>
    <row r="1080" spans="48:98" x14ac:dyDescent="0.25">
      <c r="AV1080" s="81"/>
      <c r="AW1080" s="81"/>
      <c r="AX1080" s="81"/>
      <c r="AY1080" s="81"/>
      <c r="BA1080" s="81"/>
      <c r="BB1080" s="81"/>
      <c r="BC1080" s="81"/>
      <c r="BD1080" s="81"/>
      <c r="BE1080" s="81"/>
      <c r="BF1080" s="81"/>
      <c r="BG1080" s="81"/>
      <c r="BH1080" s="81"/>
      <c r="BI1080" s="81"/>
      <c r="BJ1080" s="81"/>
      <c r="BK1080" s="81"/>
      <c r="BL1080" s="81"/>
      <c r="BM1080" s="81"/>
      <c r="BN1080" s="81"/>
      <c r="BO1080" s="81"/>
      <c r="BP1080" s="81"/>
      <c r="BQ1080" s="81"/>
      <c r="BR1080" s="81"/>
      <c r="BS1080" s="81"/>
      <c r="BT1080" s="81"/>
      <c r="BU1080" s="81"/>
      <c r="BV1080" s="81"/>
      <c r="BW1080" s="81"/>
      <c r="BX1080" s="81"/>
      <c r="BY1080" s="81"/>
      <c r="BZ1080" s="81"/>
      <c r="CA1080" s="81"/>
      <c r="CB1080" s="81"/>
      <c r="CC1080" s="81"/>
      <c r="CD1080" s="81"/>
      <c r="CE1080" s="81"/>
      <c r="CF1080" s="81"/>
      <c r="CG1080" s="81"/>
      <c r="CH1080" s="81"/>
      <c r="CI1080" s="81"/>
      <c r="CJ1080" s="81"/>
      <c r="CK1080" s="81"/>
      <c r="CL1080" s="81"/>
      <c r="CM1080" s="81"/>
      <c r="CN1080" s="81"/>
      <c r="CO1080" s="81"/>
      <c r="CP1080" s="81"/>
      <c r="CQ1080" s="111"/>
      <c r="CT1080" s="81"/>
    </row>
    <row r="1081" spans="48:98" x14ac:dyDescent="0.25">
      <c r="AV1081" s="81"/>
      <c r="AW1081" s="81"/>
      <c r="AX1081" s="81"/>
      <c r="AY1081" s="81"/>
      <c r="BA1081" s="81"/>
      <c r="BB1081" s="81"/>
      <c r="BC1081" s="81"/>
      <c r="BD1081" s="81"/>
      <c r="BE1081" s="81"/>
      <c r="BF1081" s="81"/>
      <c r="BG1081" s="81"/>
      <c r="BH1081" s="81"/>
      <c r="BI1081" s="81"/>
      <c r="BJ1081" s="81"/>
      <c r="BK1081" s="81"/>
      <c r="BL1081" s="81"/>
      <c r="BM1081" s="81"/>
      <c r="BN1081" s="81"/>
      <c r="BO1081" s="81"/>
      <c r="BP1081" s="81"/>
      <c r="BQ1081" s="81"/>
      <c r="BR1081" s="81"/>
      <c r="BS1081" s="81"/>
      <c r="BT1081" s="81"/>
      <c r="BU1081" s="81"/>
      <c r="BV1081" s="81"/>
      <c r="BW1081" s="81"/>
      <c r="BX1081" s="81"/>
      <c r="BY1081" s="81"/>
      <c r="BZ1081" s="81"/>
      <c r="CA1081" s="81"/>
      <c r="CB1081" s="81"/>
      <c r="CC1081" s="81"/>
      <c r="CD1081" s="81"/>
      <c r="CE1081" s="81"/>
      <c r="CF1081" s="81"/>
      <c r="CG1081" s="81"/>
      <c r="CH1081" s="81"/>
      <c r="CI1081" s="81"/>
      <c r="CJ1081" s="81"/>
      <c r="CK1081" s="81"/>
      <c r="CL1081" s="81"/>
      <c r="CM1081" s="81"/>
      <c r="CN1081" s="81"/>
      <c r="CO1081" s="81"/>
      <c r="CP1081" s="81"/>
      <c r="CQ1081" s="111"/>
      <c r="CT1081" s="81"/>
    </row>
    <row r="1082" spans="48:98" x14ac:dyDescent="0.25">
      <c r="AV1082" s="81"/>
      <c r="AW1082" s="81"/>
      <c r="AX1082" s="81"/>
      <c r="AY1082" s="81"/>
      <c r="BA1082" s="81"/>
      <c r="BB1082" s="81"/>
      <c r="BC1082" s="81"/>
      <c r="BD1082" s="81"/>
      <c r="BE1082" s="81"/>
      <c r="BF1082" s="81"/>
      <c r="BG1082" s="81"/>
      <c r="BH1082" s="81"/>
      <c r="BI1082" s="81"/>
      <c r="BJ1082" s="81"/>
      <c r="BK1082" s="81"/>
      <c r="BL1082" s="81"/>
      <c r="BM1082" s="81"/>
      <c r="BN1082" s="81"/>
      <c r="BO1082" s="81"/>
      <c r="BP1082" s="81"/>
      <c r="BQ1082" s="81"/>
      <c r="BR1082" s="81"/>
      <c r="BS1082" s="81"/>
      <c r="BT1082" s="81"/>
      <c r="BU1082" s="81"/>
      <c r="BV1082" s="81"/>
      <c r="BW1082" s="81"/>
      <c r="BX1082" s="81"/>
      <c r="BY1082" s="81"/>
      <c r="BZ1082" s="81"/>
      <c r="CA1082" s="81"/>
      <c r="CB1082" s="81"/>
      <c r="CC1082" s="81"/>
      <c r="CD1082" s="81"/>
      <c r="CE1082" s="81"/>
      <c r="CF1082" s="81"/>
      <c r="CG1082" s="81"/>
      <c r="CH1082" s="81"/>
      <c r="CI1082" s="81"/>
      <c r="CJ1082" s="81"/>
      <c r="CK1082" s="81"/>
      <c r="CL1082" s="81"/>
      <c r="CM1082" s="81"/>
      <c r="CN1082" s="81"/>
      <c r="CO1082" s="81"/>
      <c r="CP1082" s="81"/>
      <c r="CQ1082" s="111"/>
      <c r="CT1082" s="81"/>
    </row>
    <row r="1083" spans="48:98" x14ac:dyDescent="0.25">
      <c r="AV1083" s="81"/>
      <c r="AW1083" s="81"/>
      <c r="AX1083" s="81"/>
      <c r="AY1083" s="81"/>
      <c r="BA1083" s="81"/>
      <c r="BB1083" s="81"/>
      <c r="BC1083" s="81"/>
      <c r="BD1083" s="81"/>
      <c r="BE1083" s="81"/>
      <c r="BF1083" s="81"/>
      <c r="BG1083" s="81"/>
      <c r="BH1083" s="81"/>
      <c r="BI1083" s="81"/>
      <c r="BJ1083" s="81"/>
      <c r="BK1083" s="81"/>
      <c r="BL1083" s="81"/>
      <c r="BM1083" s="81"/>
      <c r="BN1083" s="81"/>
      <c r="BO1083" s="81"/>
      <c r="BP1083" s="81"/>
      <c r="BQ1083" s="81"/>
      <c r="BR1083" s="81"/>
      <c r="BS1083" s="81"/>
      <c r="BT1083" s="81"/>
      <c r="BU1083" s="81"/>
      <c r="BV1083" s="81"/>
      <c r="BW1083" s="81"/>
      <c r="BX1083" s="81"/>
      <c r="BY1083" s="81"/>
      <c r="BZ1083" s="81"/>
      <c r="CA1083" s="81"/>
      <c r="CB1083" s="81"/>
      <c r="CC1083" s="81"/>
      <c r="CD1083" s="81"/>
      <c r="CE1083" s="81"/>
      <c r="CF1083" s="81"/>
      <c r="CG1083" s="81"/>
      <c r="CH1083" s="81"/>
      <c r="CI1083" s="81"/>
      <c r="CJ1083" s="81"/>
      <c r="CK1083" s="81"/>
      <c r="CL1083" s="81"/>
      <c r="CM1083" s="81"/>
      <c r="CN1083" s="81"/>
      <c r="CO1083" s="81"/>
      <c r="CP1083" s="81"/>
      <c r="CQ1083" s="111"/>
      <c r="CT1083" s="81"/>
    </row>
    <row r="1084" spans="48:98" x14ac:dyDescent="0.25">
      <c r="AV1084" s="81"/>
      <c r="AW1084" s="81"/>
      <c r="AX1084" s="81"/>
      <c r="AY1084" s="81"/>
      <c r="BA1084" s="81"/>
      <c r="BB1084" s="81"/>
      <c r="BC1084" s="81"/>
      <c r="BD1084" s="81"/>
      <c r="BE1084" s="81"/>
      <c r="BF1084" s="81"/>
      <c r="BG1084" s="81"/>
      <c r="BH1084" s="81"/>
      <c r="BI1084" s="81"/>
      <c r="BJ1084" s="81"/>
      <c r="BK1084" s="81"/>
      <c r="BL1084" s="81"/>
      <c r="BM1084" s="81"/>
      <c r="BN1084" s="81"/>
      <c r="BO1084" s="81"/>
      <c r="BP1084" s="81"/>
      <c r="BQ1084" s="81"/>
      <c r="BR1084" s="81"/>
      <c r="BS1084" s="81"/>
      <c r="BT1084" s="81"/>
      <c r="BU1084" s="81"/>
      <c r="BV1084" s="81"/>
      <c r="BW1084" s="81"/>
      <c r="BX1084" s="81"/>
      <c r="BY1084" s="81"/>
      <c r="BZ1084" s="81"/>
      <c r="CA1084" s="81"/>
      <c r="CB1084" s="81"/>
      <c r="CC1084" s="81"/>
      <c r="CD1084" s="81"/>
      <c r="CE1084" s="81"/>
      <c r="CF1084" s="81"/>
      <c r="CG1084" s="81"/>
      <c r="CH1084" s="81"/>
      <c r="CI1084" s="81"/>
      <c r="CJ1084" s="81"/>
      <c r="CK1084" s="81"/>
      <c r="CL1084" s="81"/>
      <c r="CM1084" s="81"/>
      <c r="CN1084" s="81"/>
      <c r="CO1084" s="81"/>
      <c r="CP1084" s="81"/>
      <c r="CQ1084" s="111"/>
      <c r="CT1084" s="81"/>
    </row>
    <row r="1085" spans="48:98" x14ac:dyDescent="0.25">
      <c r="AV1085" s="81"/>
      <c r="AW1085" s="81"/>
      <c r="AX1085" s="81"/>
      <c r="AY1085" s="81"/>
      <c r="BA1085" s="81"/>
      <c r="BB1085" s="81"/>
      <c r="BC1085" s="81"/>
      <c r="BD1085" s="81"/>
      <c r="BE1085" s="81"/>
      <c r="BF1085" s="81"/>
      <c r="BG1085" s="81"/>
      <c r="BH1085" s="81"/>
      <c r="BI1085" s="81"/>
      <c r="BJ1085" s="81"/>
      <c r="BK1085" s="81"/>
      <c r="BL1085" s="81"/>
      <c r="BM1085" s="81"/>
      <c r="BN1085" s="81"/>
      <c r="BO1085" s="81"/>
      <c r="BP1085" s="81"/>
      <c r="BQ1085" s="81"/>
      <c r="BR1085" s="81"/>
      <c r="BS1085" s="81"/>
      <c r="BT1085" s="81"/>
      <c r="BU1085" s="81"/>
      <c r="BV1085" s="81"/>
      <c r="BW1085" s="81"/>
      <c r="BX1085" s="81"/>
      <c r="BY1085" s="81"/>
      <c r="BZ1085" s="81"/>
      <c r="CA1085" s="81"/>
      <c r="CB1085" s="81"/>
      <c r="CC1085" s="81"/>
      <c r="CD1085" s="81"/>
      <c r="CE1085" s="81"/>
      <c r="CF1085" s="81"/>
      <c r="CG1085" s="81"/>
      <c r="CH1085" s="81"/>
      <c r="CI1085" s="81"/>
      <c r="CJ1085" s="81"/>
      <c r="CK1085" s="81"/>
      <c r="CL1085" s="81"/>
      <c r="CM1085" s="81"/>
      <c r="CN1085" s="81"/>
      <c r="CO1085" s="81"/>
      <c r="CP1085" s="81"/>
      <c r="CQ1085" s="111"/>
      <c r="CT1085" s="81"/>
    </row>
    <row r="1086" spans="48:98" x14ac:dyDescent="0.25">
      <c r="AV1086" s="81"/>
      <c r="AW1086" s="81"/>
      <c r="AX1086" s="81"/>
      <c r="AY1086" s="81"/>
      <c r="BA1086" s="81"/>
      <c r="BB1086" s="81"/>
      <c r="BC1086" s="81"/>
      <c r="BD1086" s="81"/>
      <c r="BE1086" s="81"/>
      <c r="BF1086" s="81"/>
      <c r="BG1086" s="81"/>
      <c r="BH1086" s="81"/>
      <c r="BI1086" s="81"/>
      <c r="BJ1086" s="81"/>
      <c r="BK1086" s="81"/>
      <c r="BL1086" s="81"/>
      <c r="BM1086" s="81"/>
      <c r="BN1086" s="81"/>
      <c r="BO1086" s="81"/>
      <c r="BP1086" s="81"/>
      <c r="BQ1086" s="81"/>
      <c r="BR1086" s="81"/>
      <c r="BS1086" s="81"/>
      <c r="BT1086" s="81"/>
      <c r="BU1086" s="81"/>
      <c r="BV1086" s="81"/>
      <c r="BW1086" s="81"/>
      <c r="BX1086" s="81"/>
      <c r="BY1086" s="81"/>
      <c r="BZ1086" s="81"/>
      <c r="CA1086" s="81"/>
      <c r="CB1086" s="81"/>
      <c r="CC1086" s="81"/>
      <c r="CD1086" s="81"/>
      <c r="CE1086" s="81"/>
      <c r="CF1086" s="81"/>
      <c r="CG1086" s="81"/>
      <c r="CH1086" s="81"/>
      <c r="CI1086" s="81"/>
      <c r="CJ1086" s="81"/>
      <c r="CK1086" s="81"/>
      <c r="CL1086" s="81"/>
      <c r="CM1086" s="81"/>
      <c r="CN1086" s="81"/>
      <c r="CO1086" s="81"/>
      <c r="CP1086" s="81"/>
      <c r="CQ1086" s="111"/>
      <c r="CT1086" s="81"/>
    </row>
    <row r="1087" spans="48:98" x14ac:dyDescent="0.25">
      <c r="AV1087" s="81"/>
      <c r="AW1087" s="81"/>
      <c r="AX1087" s="81"/>
      <c r="AY1087" s="81"/>
      <c r="BA1087" s="81"/>
      <c r="BB1087" s="81"/>
      <c r="BC1087" s="81"/>
      <c r="BD1087" s="81"/>
      <c r="BE1087" s="81"/>
      <c r="BF1087" s="81"/>
      <c r="BG1087" s="81"/>
      <c r="BH1087" s="81"/>
      <c r="BI1087" s="81"/>
      <c r="BJ1087" s="81"/>
      <c r="BK1087" s="81"/>
      <c r="BL1087" s="81"/>
      <c r="BM1087" s="81"/>
      <c r="BN1087" s="81"/>
      <c r="BO1087" s="81"/>
      <c r="BP1087" s="81"/>
      <c r="BQ1087" s="81"/>
      <c r="BR1087" s="81"/>
      <c r="BS1087" s="81"/>
      <c r="BT1087" s="81"/>
      <c r="BU1087" s="81"/>
      <c r="BV1087" s="81"/>
      <c r="BW1087" s="81"/>
      <c r="BX1087" s="81"/>
      <c r="BY1087" s="81"/>
      <c r="BZ1087" s="81"/>
      <c r="CA1087" s="81"/>
      <c r="CB1087" s="81"/>
      <c r="CC1087" s="81"/>
      <c r="CD1087" s="81"/>
      <c r="CE1087" s="81"/>
      <c r="CF1087" s="81"/>
      <c r="CG1087" s="81"/>
      <c r="CH1087" s="81"/>
      <c r="CI1087" s="81"/>
      <c r="CJ1087" s="81"/>
      <c r="CK1087" s="81"/>
      <c r="CL1087" s="81"/>
      <c r="CM1087" s="81"/>
      <c r="CN1087" s="81"/>
      <c r="CO1087" s="81"/>
      <c r="CP1087" s="81"/>
      <c r="CQ1087" s="111"/>
      <c r="CT1087" s="81"/>
    </row>
    <row r="1088" spans="48:98" x14ac:dyDescent="0.25">
      <c r="AV1088" s="81"/>
      <c r="AW1088" s="81"/>
      <c r="AX1088" s="81"/>
      <c r="AY1088" s="81"/>
      <c r="BA1088" s="81"/>
      <c r="BB1088" s="81"/>
      <c r="BC1088" s="81"/>
      <c r="BD1088" s="81"/>
      <c r="BE1088" s="81"/>
      <c r="BF1088" s="81"/>
      <c r="BG1088" s="81"/>
      <c r="BH1088" s="81"/>
      <c r="BI1088" s="81"/>
      <c r="BJ1088" s="81"/>
      <c r="BK1088" s="81"/>
      <c r="BL1088" s="81"/>
      <c r="BM1088" s="81"/>
      <c r="BN1088" s="81"/>
      <c r="BO1088" s="81"/>
      <c r="BP1088" s="81"/>
      <c r="BQ1088" s="81"/>
      <c r="BR1088" s="81"/>
      <c r="BS1088" s="81"/>
      <c r="BT1088" s="81"/>
      <c r="BU1088" s="81"/>
      <c r="BV1088" s="81"/>
      <c r="BW1088" s="81"/>
      <c r="BX1088" s="81"/>
      <c r="BY1088" s="81"/>
      <c r="BZ1088" s="81"/>
      <c r="CA1088" s="81"/>
      <c r="CB1088" s="81"/>
      <c r="CC1088" s="81"/>
      <c r="CD1088" s="81"/>
      <c r="CE1088" s="81"/>
      <c r="CF1088" s="81"/>
      <c r="CG1088" s="81"/>
      <c r="CH1088" s="81"/>
      <c r="CI1088" s="81"/>
      <c r="CJ1088" s="81"/>
      <c r="CK1088" s="81"/>
      <c r="CL1088" s="81"/>
      <c r="CM1088" s="81"/>
      <c r="CN1088" s="81"/>
      <c r="CO1088" s="81"/>
      <c r="CP1088" s="81"/>
      <c r="CQ1088" s="111"/>
      <c r="CT1088" s="81"/>
    </row>
    <row r="1089" spans="48:98" x14ac:dyDescent="0.25">
      <c r="AV1089" s="81"/>
      <c r="AW1089" s="81"/>
      <c r="AX1089" s="81"/>
      <c r="AY1089" s="81"/>
      <c r="BA1089" s="81"/>
      <c r="BB1089" s="81"/>
      <c r="BC1089" s="81"/>
      <c r="BD1089" s="81"/>
      <c r="BE1089" s="81"/>
      <c r="BF1089" s="81"/>
      <c r="BG1089" s="81"/>
      <c r="BH1089" s="81"/>
      <c r="BI1089" s="81"/>
      <c r="BJ1089" s="81"/>
      <c r="BK1089" s="81"/>
      <c r="BL1089" s="81"/>
      <c r="BM1089" s="81"/>
      <c r="BN1089" s="81"/>
      <c r="BO1089" s="81"/>
      <c r="BP1089" s="81"/>
      <c r="BQ1089" s="81"/>
      <c r="BR1089" s="81"/>
      <c r="BS1089" s="81"/>
      <c r="BT1089" s="81"/>
      <c r="BU1089" s="81"/>
      <c r="BV1089" s="81"/>
      <c r="BW1089" s="81"/>
      <c r="BX1089" s="81"/>
      <c r="BY1089" s="81"/>
      <c r="BZ1089" s="81"/>
      <c r="CA1089" s="81"/>
      <c r="CB1089" s="81"/>
      <c r="CC1089" s="81"/>
      <c r="CD1089" s="81"/>
      <c r="CE1089" s="81"/>
      <c r="CF1089" s="81"/>
      <c r="CG1089" s="81"/>
      <c r="CH1089" s="81"/>
      <c r="CI1089" s="81"/>
      <c r="CJ1089" s="81"/>
      <c r="CK1089" s="81"/>
      <c r="CL1089" s="81"/>
      <c r="CM1089" s="81"/>
      <c r="CN1089" s="81"/>
      <c r="CO1089" s="81"/>
      <c r="CP1089" s="81"/>
      <c r="CQ1089" s="111"/>
      <c r="CT1089" s="81"/>
    </row>
    <row r="1090" spans="48:98" x14ac:dyDescent="0.25">
      <c r="AV1090" s="81"/>
      <c r="AW1090" s="81"/>
      <c r="AX1090" s="81"/>
      <c r="AY1090" s="81"/>
      <c r="BA1090" s="81"/>
      <c r="BB1090" s="81"/>
      <c r="BC1090" s="81"/>
      <c r="BD1090" s="81"/>
      <c r="BE1090" s="81"/>
      <c r="BF1090" s="81"/>
      <c r="BG1090" s="81"/>
      <c r="BH1090" s="81"/>
      <c r="BI1090" s="81"/>
      <c r="BJ1090" s="81"/>
      <c r="BK1090" s="81"/>
      <c r="BL1090" s="81"/>
      <c r="BM1090" s="81"/>
      <c r="BN1090" s="81"/>
      <c r="BO1090" s="81"/>
      <c r="BP1090" s="81"/>
      <c r="BQ1090" s="81"/>
      <c r="BR1090" s="81"/>
      <c r="BS1090" s="81"/>
      <c r="BT1090" s="81"/>
      <c r="BU1090" s="81"/>
      <c r="BV1090" s="81"/>
      <c r="BW1090" s="81"/>
      <c r="BX1090" s="81"/>
      <c r="BY1090" s="81"/>
      <c r="BZ1090" s="81"/>
      <c r="CA1090" s="81"/>
      <c r="CB1090" s="81"/>
      <c r="CC1090" s="81"/>
      <c r="CD1090" s="81"/>
      <c r="CE1090" s="81"/>
      <c r="CF1090" s="81"/>
      <c r="CG1090" s="81"/>
      <c r="CH1090" s="81"/>
      <c r="CI1090" s="81"/>
      <c r="CJ1090" s="81"/>
      <c r="CK1090" s="81"/>
      <c r="CL1090" s="81"/>
      <c r="CM1090" s="81"/>
      <c r="CN1090" s="81"/>
      <c r="CO1090" s="81"/>
      <c r="CP1090" s="81"/>
      <c r="CQ1090" s="111"/>
      <c r="CT1090" s="81"/>
    </row>
    <row r="1091" spans="48:98" x14ac:dyDescent="0.25">
      <c r="AV1091" s="81"/>
      <c r="AW1091" s="81"/>
      <c r="AX1091" s="81"/>
      <c r="AY1091" s="81"/>
      <c r="BA1091" s="81"/>
      <c r="BB1091" s="81"/>
      <c r="BC1091" s="81"/>
      <c r="BD1091" s="81"/>
      <c r="BE1091" s="81"/>
      <c r="BF1091" s="81"/>
      <c r="BG1091" s="81"/>
      <c r="BH1091" s="81"/>
      <c r="BI1091" s="81"/>
      <c r="BJ1091" s="81"/>
      <c r="BK1091" s="81"/>
      <c r="BL1091" s="81"/>
      <c r="BM1091" s="81"/>
      <c r="BN1091" s="81"/>
      <c r="BO1091" s="81"/>
      <c r="BP1091" s="81"/>
      <c r="BQ1091" s="81"/>
      <c r="BR1091" s="81"/>
      <c r="BS1091" s="81"/>
      <c r="BT1091" s="81"/>
      <c r="BU1091" s="81"/>
      <c r="BV1091" s="81"/>
      <c r="BW1091" s="81"/>
      <c r="BX1091" s="81"/>
      <c r="BY1091" s="81"/>
      <c r="BZ1091" s="81"/>
      <c r="CA1091" s="81"/>
      <c r="CB1091" s="81"/>
      <c r="CC1091" s="81"/>
      <c r="CD1091" s="81"/>
      <c r="CE1091" s="81"/>
      <c r="CF1091" s="81"/>
      <c r="CG1091" s="81"/>
      <c r="CH1091" s="81"/>
      <c r="CI1091" s="81"/>
      <c r="CJ1091" s="81"/>
      <c r="CK1091" s="81"/>
      <c r="CL1091" s="81"/>
      <c r="CM1091" s="81"/>
      <c r="CN1091" s="81"/>
      <c r="CO1091" s="81"/>
      <c r="CP1091" s="81"/>
      <c r="CQ1091" s="111"/>
      <c r="CT1091" s="81"/>
    </row>
    <row r="1092" spans="48:98" x14ac:dyDescent="0.25">
      <c r="AV1092" s="81"/>
      <c r="AW1092" s="81"/>
      <c r="AX1092" s="81"/>
      <c r="AY1092" s="81"/>
      <c r="BA1092" s="81"/>
      <c r="BB1092" s="81"/>
      <c r="BC1092" s="81"/>
      <c r="BD1092" s="81"/>
      <c r="BE1092" s="81"/>
      <c r="BF1092" s="81"/>
      <c r="BG1092" s="81"/>
      <c r="BH1092" s="81"/>
      <c r="BI1092" s="81"/>
      <c r="BJ1092" s="81"/>
      <c r="BK1092" s="81"/>
      <c r="BL1092" s="81"/>
      <c r="BM1092" s="81"/>
      <c r="BN1092" s="81"/>
      <c r="BO1092" s="81"/>
      <c r="BP1092" s="81"/>
      <c r="BQ1092" s="81"/>
      <c r="BR1092" s="81"/>
      <c r="BS1092" s="81"/>
      <c r="BT1092" s="81"/>
      <c r="BU1092" s="81"/>
      <c r="BV1092" s="81"/>
      <c r="BW1092" s="81"/>
      <c r="BX1092" s="81"/>
      <c r="BY1092" s="81"/>
      <c r="BZ1092" s="81"/>
      <c r="CA1092" s="81"/>
      <c r="CB1092" s="81"/>
      <c r="CC1092" s="81"/>
      <c r="CD1092" s="81"/>
      <c r="CE1092" s="81"/>
      <c r="CF1092" s="81"/>
      <c r="CG1092" s="81"/>
      <c r="CH1092" s="81"/>
      <c r="CI1092" s="81"/>
      <c r="CJ1092" s="81"/>
      <c r="CK1092" s="81"/>
      <c r="CL1092" s="81"/>
      <c r="CM1092" s="81"/>
      <c r="CN1092" s="81"/>
      <c r="CO1092" s="81"/>
      <c r="CP1092" s="81"/>
      <c r="CQ1092" s="111"/>
      <c r="CT1092" s="81"/>
    </row>
    <row r="1093" spans="48:98" x14ac:dyDescent="0.25">
      <c r="AV1093" s="81"/>
      <c r="AW1093" s="81"/>
      <c r="AX1093" s="81"/>
      <c r="AY1093" s="81"/>
      <c r="BA1093" s="81"/>
      <c r="BB1093" s="81"/>
      <c r="BC1093" s="81"/>
      <c r="BD1093" s="81"/>
      <c r="BE1093" s="81"/>
      <c r="BF1093" s="81"/>
      <c r="BG1093" s="81"/>
      <c r="BH1093" s="81"/>
      <c r="BI1093" s="81"/>
      <c r="BJ1093" s="81"/>
      <c r="BK1093" s="81"/>
      <c r="BL1093" s="81"/>
      <c r="BM1093" s="81"/>
      <c r="BN1093" s="81"/>
      <c r="BO1093" s="81"/>
      <c r="BP1093" s="81"/>
      <c r="BQ1093" s="81"/>
      <c r="BR1093" s="81"/>
      <c r="BS1093" s="81"/>
      <c r="BT1093" s="81"/>
      <c r="BU1093" s="81"/>
      <c r="BV1093" s="81"/>
      <c r="BW1093" s="81"/>
      <c r="BX1093" s="81"/>
      <c r="BY1093" s="81"/>
      <c r="BZ1093" s="81"/>
      <c r="CA1093" s="81"/>
      <c r="CB1093" s="81"/>
      <c r="CC1093" s="81"/>
      <c r="CD1093" s="81"/>
      <c r="CE1093" s="81"/>
      <c r="CF1093" s="81"/>
      <c r="CG1093" s="81"/>
      <c r="CH1093" s="81"/>
      <c r="CI1093" s="81"/>
      <c r="CJ1093" s="81"/>
      <c r="CK1093" s="81"/>
      <c r="CL1093" s="81"/>
      <c r="CM1093" s="81"/>
      <c r="CN1093" s="81"/>
      <c r="CO1093" s="81"/>
      <c r="CP1093" s="81"/>
      <c r="CQ1093" s="111"/>
      <c r="CT1093" s="81"/>
    </row>
    <row r="1094" spans="48:98" x14ac:dyDescent="0.25">
      <c r="AV1094" s="81"/>
      <c r="AW1094" s="81"/>
      <c r="AX1094" s="81"/>
      <c r="AY1094" s="81"/>
      <c r="BA1094" s="81"/>
      <c r="BB1094" s="81"/>
      <c r="BC1094" s="81"/>
      <c r="BD1094" s="81"/>
      <c r="BE1094" s="81"/>
      <c r="BF1094" s="81"/>
      <c r="BG1094" s="81"/>
      <c r="BH1094" s="81"/>
      <c r="BI1094" s="81"/>
      <c r="BJ1094" s="81"/>
      <c r="BK1094" s="81"/>
      <c r="BL1094" s="81"/>
      <c r="BM1094" s="81"/>
      <c r="BN1094" s="81"/>
      <c r="BO1094" s="81"/>
      <c r="BP1094" s="81"/>
      <c r="BQ1094" s="81"/>
      <c r="BR1094" s="81"/>
      <c r="BS1094" s="81"/>
      <c r="BT1094" s="81"/>
      <c r="BU1094" s="81"/>
      <c r="BV1094" s="81"/>
      <c r="BW1094" s="81"/>
      <c r="BX1094" s="81"/>
      <c r="BY1094" s="81"/>
      <c r="BZ1094" s="81"/>
      <c r="CA1094" s="81"/>
      <c r="CB1094" s="81"/>
      <c r="CC1094" s="81"/>
      <c r="CD1094" s="81"/>
      <c r="CE1094" s="81"/>
      <c r="CF1094" s="81"/>
      <c r="CG1094" s="81"/>
      <c r="CH1094" s="81"/>
      <c r="CI1094" s="81"/>
      <c r="CJ1094" s="81"/>
      <c r="CK1094" s="81"/>
      <c r="CL1094" s="81"/>
      <c r="CM1094" s="81"/>
      <c r="CN1094" s="81"/>
      <c r="CO1094" s="81"/>
      <c r="CP1094" s="81"/>
      <c r="CQ1094" s="111"/>
      <c r="CT1094" s="81"/>
    </row>
    <row r="1095" spans="48:98" x14ac:dyDescent="0.25">
      <c r="AV1095" s="81"/>
      <c r="AW1095" s="81"/>
      <c r="AX1095" s="81"/>
      <c r="AY1095" s="81"/>
      <c r="BA1095" s="81"/>
      <c r="BB1095" s="81"/>
      <c r="BC1095" s="81"/>
      <c r="BD1095" s="81"/>
      <c r="BE1095" s="81"/>
      <c r="BF1095" s="81"/>
      <c r="BG1095" s="81"/>
      <c r="BH1095" s="81"/>
      <c r="BI1095" s="81"/>
      <c r="BJ1095" s="81"/>
      <c r="BK1095" s="81"/>
      <c r="BL1095" s="81"/>
      <c r="BM1095" s="81"/>
      <c r="BN1095" s="81"/>
      <c r="BO1095" s="81"/>
      <c r="BP1095" s="81"/>
      <c r="BQ1095" s="81"/>
      <c r="BR1095" s="81"/>
      <c r="BS1095" s="81"/>
      <c r="BT1095" s="81"/>
      <c r="BU1095" s="81"/>
      <c r="BV1095" s="81"/>
      <c r="BW1095" s="81"/>
      <c r="BX1095" s="81"/>
      <c r="BY1095" s="81"/>
      <c r="BZ1095" s="81"/>
      <c r="CA1095" s="81"/>
      <c r="CB1095" s="81"/>
      <c r="CC1095" s="81"/>
      <c r="CD1095" s="81"/>
      <c r="CE1095" s="81"/>
      <c r="CF1095" s="81"/>
      <c r="CG1095" s="81"/>
      <c r="CH1095" s="81"/>
      <c r="CI1095" s="81"/>
      <c r="CJ1095" s="81"/>
      <c r="CK1095" s="81"/>
      <c r="CL1095" s="81"/>
      <c r="CM1095" s="81"/>
      <c r="CN1095" s="81"/>
      <c r="CO1095" s="81"/>
      <c r="CP1095" s="81"/>
      <c r="CQ1095" s="111"/>
      <c r="CT1095" s="81"/>
    </row>
    <row r="1096" spans="48:98" x14ac:dyDescent="0.25">
      <c r="AV1096" s="81"/>
      <c r="AW1096" s="81"/>
      <c r="AX1096" s="81"/>
      <c r="AY1096" s="81"/>
      <c r="BA1096" s="81"/>
      <c r="BB1096" s="81"/>
      <c r="BC1096" s="81"/>
      <c r="BD1096" s="81"/>
      <c r="BE1096" s="81"/>
      <c r="BF1096" s="81"/>
      <c r="BG1096" s="81"/>
      <c r="BH1096" s="81"/>
      <c r="BI1096" s="81"/>
      <c r="BJ1096" s="81"/>
      <c r="BK1096" s="81"/>
      <c r="BL1096" s="81"/>
      <c r="BM1096" s="81"/>
      <c r="BN1096" s="81"/>
      <c r="BO1096" s="81"/>
      <c r="BP1096" s="81"/>
      <c r="BQ1096" s="81"/>
      <c r="BR1096" s="81"/>
      <c r="BS1096" s="81"/>
      <c r="BT1096" s="81"/>
      <c r="BU1096" s="81"/>
      <c r="BV1096" s="81"/>
      <c r="BW1096" s="81"/>
      <c r="BX1096" s="81"/>
      <c r="BY1096" s="81"/>
      <c r="BZ1096" s="81"/>
      <c r="CA1096" s="81"/>
      <c r="CB1096" s="81"/>
      <c r="CC1096" s="81"/>
      <c r="CD1096" s="81"/>
      <c r="CE1096" s="81"/>
      <c r="CF1096" s="81"/>
      <c r="CG1096" s="81"/>
      <c r="CH1096" s="81"/>
      <c r="CI1096" s="81"/>
      <c r="CJ1096" s="81"/>
      <c r="CK1096" s="81"/>
      <c r="CL1096" s="81"/>
      <c r="CM1096" s="81"/>
      <c r="CN1096" s="81"/>
      <c r="CO1096" s="81"/>
      <c r="CP1096" s="81"/>
      <c r="CQ1096" s="111"/>
      <c r="CT1096" s="81"/>
    </row>
    <row r="1097" spans="48:98" x14ac:dyDescent="0.25">
      <c r="AV1097" s="81"/>
      <c r="AW1097" s="81"/>
      <c r="AX1097" s="81"/>
      <c r="AY1097" s="81"/>
      <c r="BA1097" s="81"/>
      <c r="BB1097" s="81"/>
      <c r="BC1097" s="81"/>
      <c r="BD1097" s="81"/>
      <c r="BE1097" s="81"/>
      <c r="BF1097" s="81"/>
      <c r="BG1097" s="81"/>
      <c r="BH1097" s="81"/>
      <c r="BI1097" s="81"/>
      <c r="BJ1097" s="81"/>
      <c r="BK1097" s="81"/>
      <c r="BL1097" s="81"/>
      <c r="BM1097" s="81"/>
      <c r="BN1097" s="81"/>
      <c r="BO1097" s="81"/>
      <c r="BP1097" s="81"/>
      <c r="BQ1097" s="81"/>
      <c r="BR1097" s="81"/>
      <c r="BS1097" s="81"/>
      <c r="BT1097" s="81"/>
      <c r="BU1097" s="81"/>
      <c r="BV1097" s="81"/>
      <c r="BW1097" s="81"/>
      <c r="BX1097" s="81"/>
      <c r="BY1097" s="81"/>
      <c r="BZ1097" s="81"/>
      <c r="CA1097" s="81"/>
      <c r="CB1097" s="81"/>
      <c r="CC1097" s="81"/>
      <c r="CD1097" s="81"/>
      <c r="CE1097" s="81"/>
      <c r="CF1097" s="81"/>
      <c r="CG1097" s="81"/>
      <c r="CH1097" s="81"/>
      <c r="CI1097" s="81"/>
      <c r="CJ1097" s="81"/>
      <c r="CK1097" s="81"/>
      <c r="CL1097" s="81"/>
      <c r="CM1097" s="81"/>
      <c r="CN1097" s="81"/>
      <c r="CO1097" s="81"/>
      <c r="CP1097" s="81"/>
      <c r="CQ1097" s="111"/>
      <c r="CT1097" s="81"/>
    </row>
    <row r="1098" spans="48:98" x14ac:dyDescent="0.25">
      <c r="AV1098" s="81"/>
      <c r="AW1098" s="81"/>
      <c r="AX1098" s="81"/>
      <c r="AY1098" s="81"/>
      <c r="BA1098" s="81"/>
      <c r="BB1098" s="81"/>
      <c r="BC1098" s="81"/>
      <c r="BD1098" s="81"/>
      <c r="BE1098" s="81"/>
      <c r="BF1098" s="81"/>
      <c r="BG1098" s="81"/>
      <c r="BH1098" s="81"/>
      <c r="BI1098" s="81"/>
      <c r="BJ1098" s="81"/>
      <c r="BK1098" s="81"/>
      <c r="BL1098" s="81"/>
      <c r="BM1098" s="81"/>
      <c r="BN1098" s="81"/>
      <c r="BO1098" s="81"/>
      <c r="BP1098" s="81"/>
      <c r="BQ1098" s="81"/>
      <c r="BR1098" s="81"/>
      <c r="BS1098" s="81"/>
      <c r="BT1098" s="81"/>
      <c r="BU1098" s="81"/>
      <c r="BV1098" s="81"/>
      <c r="BW1098" s="81"/>
      <c r="BX1098" s="81"/>
      <c r="BY1098" s="81"/>
      <c r="BZ1098" s="81"/>
      <c r="CA1098" s="81"/>
      <c r="CB1098" s="81"/>
      <c r="CC1098" s="81"/>
      <c r="CD1098" s="81"/>
      <c r="CE1098" s="81"/>
      <c r="CF1098" s="81"/>
      <c r="CG1098" s="81"/>
      <c r="CH1098" s="81"/>
      <c r="CI1098" s="81"/>
      <c r="CJ1098" s="81"/>
      <c r="CK1098" s="81"/>
      <c r="CL1098" s="81"/>
      <c r="CM1098" s="81"/>
      <c r="CN1098" s="81"/>
      <c r="CO1098" s="81"/>
      <c r="CP1098" s="81"/>
      <c r="CQ1098" s="111"/>
      <c r="CT1098" s="81"/>
    </row>
    <row r="1099" spans="48:98" x14ac:dyDescent="0.25">
      <c r="AV1099" s="81"/>
      <c r="AW1099" s="81"/>
      <c r="AX1099" s="81"/>
      <c r="AY1099" s="81"/>
      <c r="BA1099" s="81"/>
      <c r="BB1099" s="81"/>
      <c r="BC1099" s="81"/>
      <c r="BD1099" s="81"/>
      <c r="BE1099" s="81"/>
      <c r="BF1099" s="81"/>
      <c r="BG1099" s="81"/>
      <c r="BH1099" s="81"/>
      <c r="BI1099" s="81"/>
      <c r="BJ1099" s="81"/>
      <c r="BK1099" s="81"/>
      <c r="BL1099" s="81"/>
      <c r="BM1099" s="81"/>
      <c r="BN1099" s="81"/>
      <c r="BO1099" s="81"/>
      <c r="BP1099" s="81"/>
      <c r="BQ1099" s="81"/>
      <c r="BR1099" s="81"/>
      <c r="BS1099" s="81"/>
      <c r="BT1099" s="81"/>
      <c r="BU1099" s="81"/>
      <c r="BV1099" s="81"/>
      <c r="BW1099" s="81"/>
      <c r="BX1099" s="81"/>
      <c r="BY1099" s="81"/>
      <c r="BZ1099" s="81"/>
      <c r="CA1099" s="81"/>
      <c r="CB1099" s="81"/>
      <c r="CC1099" s="81"/>
      <c r="CD1099" s="81"/>
      <c r="CE1099" s="81"/>
      <c r="CF1099" s="81"/>
      <c r="CG1099" s="81"/>
      <c r="CH1099" s="81"/>
      <c r="CI1099" s="81"/>
      <c r="CJ1099" s="81"/>
      <c r="CK1099" s="81"/>
      <c r="CL1099" s="81"/>
      <c r="CM1099" s="81"/>
      <c r="CN1099" s="81"/>
      <c r="CO1099" s="81"/>
      <c r="CP1099" s="81"/>
      <c r="CQ1099" s="111"/>
      <c r="CT1099" s="81"/>
    </row>
    <row r="1100" spans="48:98" x14ac:dyDescent="0.25">
      <c r="AV1100" s="81"/>
      <c r="AW1100" s="81"/>
      <c r="AX1100" s="81"/>
      <c r="AY1100" s="81"/>
      <c r="BA1100" s="81"/>
      <c r="BB1100" s="81"/>
      <c r="BC1100" s="81"/>
      <c r="BD1100" s="81"/>
      <c r="BE1100" s="81"/>
      <c r="BF1100" s="81"/>
      <c r="BG1100" s="81"/>
      <c r="BH1100" s="81"/>
      <c r="BI1100" s="81"/>
      <c r="BJ1100" s="81"/>
      <c r="BK1100" s="81"/>
      <c r="BL1100" s="81"/>
      <c r="BM1100" s="81"/>
      <c r="BN1100" s="81"/>
      <c r="BO1100" s="81"/>
      <c r="BP1100" s="81"/>
      <c r="BQ1100" s="81"/>
      <c r="BR1100" s="81"/>
      <c r="BS1100" s="81"/>
      <c r="BT1100" s="81"/>
      <c r="BU1100" s="81"/>
      <c r="BV1100" s="81"/>
      <c r="BW1100" s="81"/>
      <c r="BX1100" s="81"/>
      <c r="BY1100" s="81"/>
      <c r="BZ1100" s="81"/>
      <c r="CA1100" s="81"/>
      <c r="CB1100" s="81"/>
      <c r="CC1100" s="81"/>
      <c r="CD1100" s="81"/>
      <c r="CE1100" s="81"/>
      <c r="CF1100" s="81"/>
      <c r="CG1100" s="81"/>
      <c r="CH1100" s="81"/>
      <c r="CI1100" s="81"/>
      <c r="CJ1100" s="81"/>
      <c r="CK1100" s="81"/>
      <c r="CL1100" s="81"/>
      <c r="CM1100" s="81"/>
      <c r="CN1100" s="81"/>
      <c r="CO1100" s="81"/>
      <c r="CP1100" s="81"/>
      <c r="CQ1100" s="111"/>
      <c r="CT1100" s="81"/>
    </row>
    <row r="1101" spans="48:98" x14ac:dyDescent="0.25">
      <c r="AV1101" s="81"/>
      <c r="AW1101" s="81"/>
      <c r="AX1101" s="81"/>
      <c r="AY1101" s="81"/>
      <c r="BA1101" s="81"/>
      <c r="BB1101" s="81"/>
      <c r="BC1101" s="81"/>
      <c r="BD1101" s="81"/>
      <c r="BE1101" s="81"/>
      <c r="BF1101" s="81"/>
      <c r="BG1101" s="81"/>
      <c r="BH1101" s="81"/>
      <c r="BI1101" s="81"/>
      <c r="BJ1101" s="81"/>
      <c r="BK1101" s="81"/>
      <c r="BL1101" s="81"/>
      <c r="BM1101" s="81"/>
      <c r="BN1101" s="81"/>
      <c r="BO1101" s="81"/>
      <c r="BP1101" s="81"/>
      <c r="BQ1101" s="81"/>
      <c r="BR1101" s="81"/>
      <c r="BS1101" s="81"/>
      <c r="BT1101" s="81"/>
      <c r="BU1101" s="81"/>
      <c r="BV1101" s="81"/>
      <c r="BW1101" s="81"/>
      <c r="BX1101" s="81"/>
      <c r="BY1101" s="81"/>
      <c r="BZ1101" s="81"/>
      <c r="CA1101" s="81"/>
      <c r="CB1101" s="81"/>
      <c r="CC1101" s="81"/>
      <c r="CD1101" s="81"/>
      <c r="CE1101" s="81"/>
      <c r="CF1101" s="81"/>
      <c r="CG1101" s="81"/>
      <c r="CH1101" s="81"/>
      <c r="CI1101" s="81"/>
      <c r="CJ1101" s="81"/>
      <c r="CK1101" s="81"/>
      <c r="CL1101" s="81"/>
      <c r="CM1101" s="81"/>
      <c r="CN1101" s="81"/>
      <c r="CO1101" s="81"/>
      <c r="CP1101" s="81"/>
      <c r="CQ1101" s="111"/>
      <c r="CT1101" s="81"/>
    </row>
    <row r="1102" spans="48:98" x14ac:dyDescent="0.25">
      <c r="AV1102" s="81"/>
      <c r="AW1102" s="81"/>
      <c r="AX1102" s="81"/>
      <c r="AY1102" s="81"/>
      <c r="BA1102" s="81"/>
      <c r="BB1102" s="81"/>
      <c r="BC1102" s="81"/>
      <c r="BD1102" s="81"/>
      <c r="BE1102" s="81"/>
      <c r="BF1102" s="81"/>
      <c r="BG1102" s="81"/>
      <c r="BH1102" s="81"/>
      <c r="BI1102" s="81"/>
      <c r="BJ1102" s="81"/>
      <c r="BK1102" s="81"/>
      <c r="BL1102" s="81"/>
      <c r="BM1102" s="81"/>
      <c r="BN1102" s="81"/>
      <c r="BO1102" s="81"/>
      <c r="BP1102" s="81"/>
      <c r="BQ1102" s="81"/>
      <c r="BR1102" s="81"/>
      <c r="BS1102" s="81"/>
      <c r="BT1102" s="81"/>
      <c r="BU1102" s="81"/>
      <c r="BV1102" s="81"/>
      <c r="BW1102" s="81"/>
      <c r="BX1102" s="81"/>
      <c r="BY1102" s="81"/>
      <c r="BZ1102" s="81"/>
      <c r="CA1102" s="81"/>
      <c r="CB1102" s="81"/>
      <c r="CC1102" s="81"/>
      <c r="CD1102" s="81"/>
      <c r="CE1102" s="81"/>
      <c r="CF1102" s="81"/>
      <c r="CG1102" s="81"/>
      <c r="CH1102" s="81"/>
      <c r="CI1102" s="81"/>
      <c r="CJ1102" s="81"/>
      <c r="CK1102" s="81"/>
      <c r="CL1102" s="81"/>
      <c r="CM1102" s="81"/>
      <c r="CN1102" s="81"/>
      <c r="CO1102" s="81"/>
      <c r="CP1102" s="81"/>
      <c r="CQ1102" s="111"/>
      <c r="CT1102" s="81"/>
    </row>
    <row r="1103" spans="48:98" x14ac:dyDescent="0.25">
      <c r="AV1103" s="81"/>
      <c r="AW1103" s="81"/>
      <c r="AX1103" s="81"/>
      <c r="AY1103" s="81"/>
      <c r="BA1103" s="81"/>
      <c r="BB1103" s="81"/>
      <c r="BC1103" s="81"/>
      <c r="BD1103" s="81"/>
      <c r="BE1103" s="81"/>
      <c r="BF1103" s="81"/>
      <c r="BG1103" s="81"/>
      <c r="BH1103" s="81"/>
      <c r="BI1103" s="81"/>
      <c r="BJ1103" s="81"/>
      <c r="BK1103" s="81"/>
      <c r="BL1103" s="81"/>
      <c r="BM1103" s="81"/>
      <c r="BN1103" s="81"/>
      <c r="BO1103" s="81"/>
      <c r="BP1103" s="81"/>
      <c r="BQ1103" s="81"/>
      <c r="BR1103" s="81"/>
      <c r="BS1103" s="81"/>
      <c r="BT1103" s="81"/>
      <c r="BU1103" s="81"/>
      <c r="BV1103" s="81"/>
      <c r="BW1103" s="81"/>
      <c r="BX1103" s="81"/>
      <c r="BY1103" s="81"/>
      <c r="BZ1103" s="81"/>
      <c r="CA1103" s="81"/>
      <c r="CB1103" s="81"/>
      <c r="CC1103" s="81"/>
      <c r="CD1103" s="81"/>
      <c r="CE1103" s="81"/>
      <c r="CF1103" s="81"/>
      <c r="CG1103" s="81"/>
      <c r="CH1103" s="81"/>
      <c r="CI1103" s="81"/>
      <c r="CJ1103" s="81"/>
      <c r="CK1103" s="81"/>
      <c r="CL1103" s="81"/>
      <c r="CM1103" s="81"/>
      <c r="CN1103" s="81"/>
      <c r="CO1103" s="81"/>
      <c r="CP1103" s="81"/>
      <c r="CQ1103" s="111"/>
      <c r="CT1103" s="81"/>
    </row>
    <row r="1104" spans="48:98" x14ac:dyDescent="0.25">
      <c r="AV1104" s="81"/>
      <c r="AW1104" s="81"/>
      <c r="AX1104" s="81"/>
      <c r="AY1104" s="81"/>
      <c r="BA1104" s="81"/>
      <c r="BB1104" s="81"/>
      <c r="BC1104" s="81"/>
      <c r="BD1104" s="81"/>
      <c r="BE1104" s="81"/>
      <c r="BF1104" s="81"/>
      <c r="BG1104" s="81"/>
      <c r="BH1104" s="81"/>
      <c r="BI1104" s="81"/>
      <c r="BJ1104" s="81"/>
      <c r="BK1104" s="81"/>
      <c r="BL1104" s="81"/>
      <c r="BM1104" s="81"/>
      <c r="BN1104" s="81"/>
      <c r="BO1104" s="81"/>
      <c r="BP1104" s="81"/>
      <c r="BQ1104" s="81"/>
      <c r="BR1104" s="81"/>
      <c r="BS1104" s="81"/>
      <c r="BT1104" s="81"/>
      <c r="BU1104" s="81"/>
      <c r="BV1104" s="81"/>
      <c r="BW1104" s="81"/>
      <c r="BX1104" s="81"/>
      <c r="BY1104" s="81"/>
      <c r="BZ1104" s="81"/>
      <c r="CA1104" s="81"/>
      <c r="CB1104" s="81"/>
      <c r="CC1104" s="81"/>
      <c r="CD1104" s="81"/>
      <c r="CE1104" s="81"/>
      <c r="CF1104" s="81"/>
      <c r="CG1104" s="81"/>
      <c r="CH1104" s="81"/>
      <c r="CI1104" s="81"/>
      <c r="CJ1104" s="81"/>
      <c r="CK1104" s="81"/>
      <c r="CL1104" s="81"/>
      <c r="CM1104" s="81"/>
      <c r="CN1104" s="81"/>
      <c r="CO1104" s="81"/>
      <c r="CP1104" s="81"/>
      <c r="CQ1104" s="111"/>
      <c r="CT1104" s="81"/>
    </row>
    <row r="1105" spans="48:98" x14ac:dyDescent="0.25">
      <c r="AV1105" s="81"/>
      <c r="AW1105" s="81"/>
      <c r="AX1105" s="81"/>
      <c r="AY1105" s="81"/>
      <c r="BA1105" s="81"/>
      <c r="BB1105" s="81"/>
      <c r="BC1105" s="81"/>
      <c r="BD1105" s="81"/>
      <c r="BE1105" s="81"/>
      <c r="BF1105" s="81"/>
      <c r="BG1105" s="81"/>
      <c r="BH1105" s="81"/>
      <c r="BI1105" s="81"/>
      <c r="BJ1105" s="81"/>
      <c r="BK1105" s="81"/>
      <c r="BL1105" s="81"/>
      <c r="BM1105" s="81"/>
      <c r="BN1105" s="81"/>
      <c r="BO1105" s="81"/>
      <c r="BP1105" s="81"/>
      <c r="BQ1105" s="81"/>
      <c r="BR1105" s="81"/>
      <c r="BS1105" s="81"/>
      <c r="BT1105" s="81"/>
      <c r="BU1105" s="81"/>
      <c r="BV1105" s="81"/>
      <c r="BW1105" s="81"/>
      <c r="BX1105" s="81"/>
      <c r="BY1105" s="81"/>
      <c r="BZ1105" s="81"/>
      <c r="CA1105" s="81"/>
      <c r="CB1105" s="81"/>
      <c r="CC1105" s="81"/>
      <c r="CD1105" s="81"/>
      <c r="CE1105" s="81"/>
      <c r="CF1105" s="81"/>
      <c r="CG1105" s="81"/>
      <c r="CH1105" s="81"/>
      <c r="CI1105" s="81"/>
      <c r="CJ1105" s="81"/>
      <c r="CK1105" s="81"/>
      <c r="CL1105" s="81"/>
      <c r="CM1105" s="81"/>
      <c r="CN1105" s="81"/>
      <c r="CO1105" s="81"/>
      <c r="CP1105" s="81"/>
      <c r="CQ1105" s="111"/>
      <c r="CT1105" s="81"/>
    </row>
    <row r="1106" spans="48:98" x14ac:dyDescent="0.25">
      <c r="AV1106" s="81"/>
      <c r="AW1106" s="81"/>
      <c r="AX1106" s="81"/>
      <c r="AY1106" s="81"/>
      <c r="BA1106" s="81"/>
      <c r="BB1106" s="81"/>
      <c r="BC1106" s="81"/>
      <c r="BD1106" s="81"/>
      <c r="BE1106" s="81"/>
      <c r="BF1106" s="81"/>
      <c r="BG1106" s="81"/>
      <c r="BH1106" s="81"/>
      <c r="BI1106" s="81"/>
      <c r="BJ1106" s="81"/>
      <c r="BK1106" s="81"/>
      <c r="BL1106" s="81"/>
      <c r="BM1106" s="81"/>
      <c r="BN1106" s="81"/>
      <c r="BO1106" s="81"/>
      <c r="BP1106" s="81"/>
      <c r="BQ1106" s="81"/>
      <c r="BR1106" s="81"/>
      <c r="BS1106" s="81"/>
      <c r="BT1106" s="81"/>
      <c r="BU1106" s="81"/>
      <c r="BV1106" s="81"/>
      <c r="BW1106" s="81"/>
      <c r="BX1106" s="81"/>
      <c r="BY1106" s="81"/>
      <c r="BZ1106" s="81"/>
      <c r="CA1106" s="81"/>
      <c r="CB1106" s="81"/>
      <c r="CC1106" s="81"/>
      <c r="CD1106" s="81"/>
      <c r="CE1106" s="81"/>
      <c r="CF1106" s="81"/>
      <c r="CG1106" s="81"/>
      <c r="CH1106" s="81"/>
      <c r="CI1106" s="81"/>
      <c r="CJ1106" s="81"/>
      <c r="CK1106" s="81"/>
      <c r="CL1106" s="81"/>
      <c r="CM1106" s="81"/>
      <c r="CN1106" s="81"/>
      <c r="CO1106" s="81"/>
      <c r="CP1106" s="81"/>
      <c r="CQ1106" s="111"/>
      <c r="CT1106" s="81"/>
    </row>
    <row r="1107" spans="48:98" x14ac:dyDescent="0.25">
      <c r="AV1107" s="81"/>
      <c r="AW1107" s="81"/>
      <c r="AX1107" s="81"/>
      <c r="AY1107" s="81"/>
      <c r="BA1107" s="81"/>
      <c r="BB1107" s="81"/>
      <c r="BC1107" s="81"/>
      <c r="BD1107" s="81"/>
      <c r="BE1107" s="81"/>
      <c r="BF1107" s="81"/>
      <c r="BG1107" s="81"/>
      <c r="BH1107" s="81"/>
      <c r="BI1107" s="81"/>
      <c r="BJ1107" s="81"/>
      <c r="BK1107" s="81"/>
      <c r="BL1107" s="81"/>
      <c r="BM1107" s="81"/>
      <c r="BN1107" s="81"/>
      <c r="BO1107" s="81"/>
      <c r="BP1107" s="81"/>
      <c r="BQ1107" s="81"/>
      <c r="BR1107" s="81"/>
      <c r="BS1107" s="81"/>
      <c r="BT1107" s="81"/>
      <c r="BU1107" s="81"/>
      <c r="BV1107" s="81"/>
      <c r="BW1107" s="81"/>
      <c r="BX1107" s="81"/>
      <c r="BY1107" s="81"/>
      <c r="BZ1107" s="81"/>
      <c r="CA1107" s="81"/>
      <c r="CB1107" s="81"/>
      <c r="CC1107" s="81"/>
      <c r="CD1107" s="81"/>
      <c r="CE1107" s="81"/>
      <c r="CF1107" s="81"/>
      <c r="CG1107" s="81"/>
      <c r="CH1107" s="81"/>
      <c r="CI1107" s="81"/>
      <c r="CJ1107" s="81"/>
      <c r="CK1107" s="81"/>
      <c r="CL1107" s="81"/>
      <c r="CM1107" s="81"/>
      <c r="CN1107" s="81"/>
      <c r="CO1107" s="81"/>
      <c r="CP1107" s="81"/>
      <c r="CQ1107" s="111"/>
      <c r="CT1107" s="81"/>
    </row>
    <row r="1108" spans="48:98" x14ac:dyDescent="0.25">
      <c r="AV1108" s="81"/>
      <c r="AW1108" s="81"/>
      <c r="AX1108" s="81"/>
      <c r="AY1108" s="81"/>
      <c r="BA1108" s="81"/>
      <c r="BB1108" s="81"/>
      <c r="BC1108" s="81"/>
      <c r="BD1108" s="81"/>
      <c r="BE1108" s="81"/>
      <c r="BF1108" s="81"/>
      <c r="BG1108" s="81"/>
      <c r="BH1108" s="81"/>
      <c r="BI1108" s="81"/>
      <c r="BJ1108" s="81"/>
      <c r="BK1108" s="81"/>
      <c r="BL1108" s="81"/>
      <c r="BM1108" s="81"/>
      <c r="BN1108" s="81"/>
      <c r="BO1108" s="81"/>
      <c r="BP1108" s="81"/>
      <c r="BQ1108" s="81"/>
      <c r="BR1108" s="81"/>
      <c r="BS1108" s="81"/>
      <c r="BT1108" s="81"/>
      <c r="BU1108" s="81"/>
      <c r="BV1108" s="81"/>
      <c r="BW1108" s="81"/>
      <c r="BX1108" s="81"/>
      <c r="BY1108" s="81"/>
      <c r="BZ1108" s="81"/>
      <c r="CA1108" s="81"/>
      <c r="CB1108" s="81"/>
      <c r="CC1108" s="81"/>
      <c r="CD1108" s="81"/>
      <c r="CE1108" s="81"/>
      <c r="CF1108" s="81"/>
      <c r="CG1108" s="81"/>
      <c r="CH1108" s="81"/>
      <c r="CI1108" s="81"/>
      <c r="CJ1108" s="81"/>
      <c r="CK1108" s="81"/>
      <c r="CL1108" s="81"/>
      <c r="CM1108" s="81"/>
      <c r="CN1108" s="81"/>
      <c r="CO1108" s="81"/>
      <c r="CP1108" s="81"/>
      <c r="CQ1108" s="111"/>
      <c r="CT1108" s="81"/>
    </row>
    <row r="1109" spans="48:98" x14ac:dyDescent="0.25">
      <c r="AV1109" s="81"/>
      <c r="AW1109" s="81"/>
      <c r="AX1109" s="81"/>
      <c r="AY1109" s="81"/>
      <c r="BA1109" s="81"/>
      <c r="BB1109" s="81"/>
      <c r="BC1109" s="81"/>
      <c r="BD1109" s="81"/>
      <c r="BE1109" s="81"/>
      <c r="BF1109" s="81"/>
      <c r="BG1109" s="81"/>
      <c r="BH1109" s="81"/>
      <c r="BI1109" s="81"/>
      <c r="BJ1109" s="81"/>
      <c r="BK1109" s="81"/>
      <c r="BL1109" s="81"/>
      <c r="BM1109" s="81"/>
      <c r="BN1109" s="81"/>
      <c r="BO1109" s="81"/>
      <c r="BP1109" s="81"/>
      <c r="BQ1109" s="81"/>
      <c r="BR1109" s="81"/>
      <c r="BS1109" s="81"/>
      <c r="BT1109" s="81"/>
      <c r="BU1109" s="81"/>
      <c r="BV1109" s="81"/>
      <c r="BW1109" s="81"/>
      <c r="BX1109" s="81"/>
      <c r="BY1109" s="81"/>
      <c r="BZ1109" s="81"/>
      <c r="CA1109" s="81"/>
      <c r="CB1109" s="81"/>
      <c r="CC1109" s="81"/>
      <c r="CD1109" s="81"/>
      <c r="CE1109" s="81"/>
      <c r="CF1109" s="81"/>
      <c r="CG1109" s="81"/>
      <c r="CH1109" s="81"/>
      <c r="CI1109" s="81"/>
      <c r="CJ1109" s="81"/>
      <c r="CK1109" s="81"/>
      <c r="CL1109" s="81"/>
      <c r="CM1109" s="81"/>
      <c r="CN1109" s="81"/>
      <c r="CO1109" s="81"/>
      <c r="CP1109" s="81"/>
      <c r="CQ1109" s="111"/>
      <c r="CT1109" s="81"/>
    </row>
    <row r="1110" spans="48:98" x14ac:dyDescent="0.25">
      <c r="AV1110" s="81"/>
      <c r="AW1110" s="81"/>
      <c r="AX1110" s="81"/>
      <c r="AY1110" s="81"/>
      <c r="BA1110" s="81"/>
      <c r="BB1110" s="81"/>
      <c r="BC1110" s="81"/>
      <c r="BD1110" s="81"/>
      <c r="BE1110" s="81"/>
      <c r="BF1110" s="81"/>
      <c r="BG1110" s="81"/>
      <c r="BH1110" s="81"/>
      <c r="BI1110" s="81"/>
      <c r="BJ1110" s="81"/>
      <c r="BK1110" s="81"/>
      <c r="BL1110" s="81"/>
      <c r="BM1110" s="81"/>
      <c r="BN1110" s="81"/>
      <c r="BO1110" s="81"/>
      <c r="BP1110" s="81"/>
      <c r="BQ1110" s="81"/>
      <c r="BR1110" s="81"/>
      <c r="BS1110" s="81"/>
      <c r="BT1110" s="81"/>
      <c r="BU1110" s="81"/>
      <c r="BV1110" s="81"/>
      <c r="BW1110" s="81"/>
      <c r="BX1110" s="81"/>
      <c r="BY1110" s="81"/>
      <c r="BZ1110" s="81"/>
      <c r="CA1110" s="81"/>
      <c r="CB1110" s="81"/>
      <c r="CC1110" s="81"/>
      <c r="CD1110" s="81"/>
      <c r="CE1110" s="81"/>
      <c r="CF1110" s="81"/>
      <c r="CG1110" s="81"/>
      <c r="CH1110" s="81"/>
      <c r="CI1110" s="81"/>
      <c r="CJ1110" s="81"/>
      <c r="CK1110" s="81"/>
      <c r="CL1110" s="81"/>
      <c r="CM1110" s="81"/>
      <c r="CN1110" s="81"/>
      <c r="CO1110" s="81"/>
      <c r="CP1110" s="81"/>
      <c r="CQ1110" s="111"/>
      <c r="CT1110" s="81"/>
    </row>
    <row r="1111" spans="48:98" x14ac:dyDescent="0.25">
      <c r="AV1111" s="81"/>
      <c r="AW1111" s="81"/>
      <c r="AX1111" s="81"/>
      <c r="AY1111" s="81"/>
      <c r="BA1111" s="81"/>
      <c r="BB1111" s="81"/>
      <c r="BC1111" s="81"/>
      <c r="BD1111" s="81"/>
      <c r="BE1111" s="81"/>
      <c r="BF1111" s="81"/>
      <c r="BG1111" s="81"/>
      <c r="BH1111" s="81"/>
      <c r="BI1111" s="81"/>
      <c r="BJ1111" s="81"/>
      <c r="BK1111" s="81"/>
      <c r="BL1111" s="81"/>
      <c r="BM1111" s="81"/>
      <c r="BN1111" s="81"/>
      <c r="BO1111" s="81"/>
      <c r="BP1111" s="81"/>
      <c r="BQ1111" s="81"/>
      <c r="BR1111" s="81"/>
      <c r="BS1111" s="81"/>
      <c r="BT1111" s="81"/>
      <c r="BU1111" s="81"/>
      <c r="BV1111" s="81"/>
      <c r="BW1111" s="81"/>
      <c r="BX1111" s="81"/>
      <c r="BY1111" s="81"/>
      <c r="BZ1111" s="81"/>
      <c r="CA1111" s="81"/>
      <c r="CB1111" s="81"/>
      <c r="CC1111" s="81"/>
      <c r="CD1111" s="81"/>
      <c r="CE1111" s="81"/>
      <c r="CF1111" s="81"/>
      <c r="CG1111" s="81"/>
      <c r="CH1111" s="81"/>
      <c r="CI1111" s="81"/>
      <c r="CJ1111" s="81"/>
      <c r="CK1111" s="81"/>
      <c r="CL1111" s="81"/>
      <c r="CM1111" s="81"/>
      <c r="CN1111" s="81"/>
      <c r="CO1111" s="81"/>
      <c r="CP1111" s="81"/>
      <c r="CQ1111" s="111"/>
      <c r="CT1111" s="81"/>
    </row>
    <row r="1112" spans="48:98" x14ac:dyDescent="0.25">
      <c r="AV1112" s="81"/>
      <c r="AW1112" s="81"/>
      <c r="AX1112" s="81"/>
      <c r="AY1112" s="81"/>
      <c r="BA1112" s="81"/>
      <c r="BB1112" s="81"/>
      <c r="BC1112" s="81"/>
      <c r="BD1112" s="81"/>
      <c r="BE1112" s="81"/>
      <c r="BF1112" s="81"/>
      <c r="BG1112" s="81"/>
      <c r="BH1112" s="81"/>
      <c r="BI1112" s="81"/>
      <c r="BJ1112" s="81"/>
      <c r="BK1112" s="81"/>
      <c r="BL1112" s="81"/>
      <c r="BM1112" s="81"/>
      <c r="BN1112" s="81"/>
      <c r="BO1112" s="81"/>
      <c r="BP1112" s="81"/>
      <c r="BQ1112" s="81"/>
      <c r="BR1112" s="81"/>
      <c r="BS1112" s="81"/>
      <c r="BT1112" s="81"/>
      <c r="BU1112" s="81"/>
      <c r="BV1112" s="81"/>
      <c r="BW1112" s="81"/>
      <c r="BX1112" s="81"/>
      <c r="BY1112" s="81"/>
      <c r="BZ1112" s="81"/>
      <c r="CA1112" s="81"/>
      <c r="CB1112" s="81"/>
      <c r="CC1112" s="81"/>
      <c r="CD1112" s="81"/>
      <c r="CE1112" s="81"/>
      <c r="CF1112" s="81"/>
      <c r="CG1112" s="81"/>
      <c r="CH1112" s="81"/>
      <c r="CI1112" s="81"/>
      <c r="CJ1112" s="81"/>
      <c r="CK1112" s="81"/>
      <c r="CL1112" s="81"/>
      <c r="CM1112" s="81"/>
      <c r="CN1112" s="81"/>
      <c r="CO1112" s="81"/>
      <c r="CP1112" s="81"/>
      <c r="CQ1112" s="111"/>
      <c r="CT1112" s="81"/>
    </row>
    <row r="1113" spans="48:98" x14ac:dyDescent="0.25">
      <c r="AV1113" s="81"/>
      <c r="AW1113" s="81"/>
      <c r="AX1113" s="81"/>
      <c r="AY1113" s="81"/>
      <c r="BA1113" s="81"/>
      <c r="BB1113" s="81"/>
      <c r="BC1113" s="81"/>
      <c r="BD1113" s="81"/>
      <c r="BE1113" s="81"/>
      <c r="BF1113" s="81"/>
      <c r="BG1113" s="81"/>
      <c r="BH1113" s="81"/>
      <c r="BI1113" s="81"/>
      <c r="BJ1113" s="81"/>
      <c r="BK1113" s="81"/>
      <c r="BL1113" s="81"/>
      <c r="BM1113" s="81"/>
      <c r="BN1113" s="81"/>
      <c r="BO1113" s="81"/>
      <c r="BP1113" s="81"/>
      <c r="BQ1113" s="81"/>
      <c r="BR1113" s="81"/>
      <c r="BS1113" s="81"/>
      <c r="BT1113" s="81"/>
      <c r="BU1113" s="81"/>
      <c r="BV1113" s="81"/>
      <c r="BW1113" s="81"/>
      <c r="BX1113" s="81"/>
      <c r="BY1113" s="81"/>
      <c r="BZ1113" s="81"/>
      <c r="CA1113" s="81"/>
      <c r="CB1113" s="81"/>
      <c r="CC1113" s="81"/>
      <c r="CD1113" s="81"/>
      <c r="CE1113" s="81"/>
      <c r="CF1113" s="81"/>
      <c r="CG1113" s="81"/>
      <c r="CH1113" s="81"/>
      <c r="CI1113" s="81"/>
      <c r="CJ1113" s="81"/>
      <c r="CK1113" s="81"/>
      <c r="CL1113" s="81"/>
      <c r="CM1113" s="81"/>
      <c r="CN1113" s="81"/>
      <c r="CO1113" s="81"/>
      <c r="CP1113" s="81"/>
      <c r="CQ1113" s="111"/>
      <c r="CT1113" s="81"/>
    </row>
    <row r="1114" spans="48:98" x14ac:dyDescent="0.25">
      <c r="AV1114" s="81"/>
      <c r="AW1114" s="81"/>
      <c r="AX1114" s="81"/>
      <c r="AY1114" s="81"/>
      <c r="BA1114" s="81"/>
      <c r="BB1114" s="81"/>
      <c r="BC1114" s="81"/>
      <c r="BD1114" s="81"/>
      <c r="BE1114" s="81"/>
      <c r="BF1114" s="81"/>
      <c r="BG1114" s="81"/>
      <c r="BH1114" s="81"/>
      <c r="BI1114" s="81"/>
      <c r="BJ1114" s="81"/>
      <c r="BK1114" s="81"/>
      <c r="BL1114" s="81"/>
      <c r="BM1114" s="81"/>
      <c r="BN1114" s="81"/>
      <c r="BO1114" s="81"/>
      <c r="BP1114" s="81"/>
      <c r="BQ1114" s="81"/>
      <c r="BR1114" s="81"/>
      <c r="BS1114" s="81"/>
      <c r="BT1114" s="81"/>
      <c r="BU1114" s="81"/>
      <c r="BV1114" s="81"/>
      <c r="BW1114" s="81"/>
      <c r="BX1114" s="81"/>
      <c r="BY1114" s="81"/>
      <c r="BZ1114" s="81"/>
      <c r="CA1114" s="81"/>
      <c r="CB1114" s="81"/>
      <c r="CC1114" s="81"/>
      <c r="CD1114" s="81"/>
      <c r="CE1114" s="81"/>
      <c r="CF1114" s="81"/>
      <c r="CG1114" s="81"/>
      <c r="CH1114" s="81"/>
      <c r="CI1114" s="81"/>
      <c r="CJ1114" s="81"/>
      <c r="CK1114" s="81"/>
      <c r="CL1114" s="81"/>
      <c r="CM1114" s="81"/>
      <c r="CN1114" s="81"/>
      <c r="CO1114" s="81"/>
      <c r="CP1114" s="81"/>
      <c r="CQ1114" s="111"/>
      <c r="CT1114" s="81"/>
    </row>
    <row r="1115" spans="48:98" x14ac:dyDescent="0.25">
      <c r="AV1115" s="81"/>
      <c r="AW1115" s="81"/>
      <c r="AX1115" s="81"/>
      <c r="AY1115" s="81"/>
      <c r="BA1115" s="81"/>
      <c r="BB1115" s="81"/>
      <c r="BC1115" s="81"/>
      <c r="BD1115" s="81"/>
      <c r="BE1115" s="81"/>
      <c r="BF1115" s="81"/>
      <c r="BG1115" s="81"/>
      <c r="BH1115" s="81"/>
      <c r="BI1115" s="81"/>
      <c r="BJ1115" s="81"/>
      <c r="BK1115" s="81"/>
      <c r="BL1115" s="81"/>
      <c r="BM1115" s="81"/>
      <c r="BN1115" s="81"/>
      <c r="BO1115" s="81"/>
      <c r="BP1115" s="81"/>
      <c r="BQ1115" s="81"/>
      <c r="BR1115" s="81"/>
      <c r="BS1115" s="81"/>
      <c r="BT1115" s="81"/>
      <c r="BU1115" s="81"/>
      <c r="BV1115" s="81"/>
      <c r="BW1115" s="81"/>
      <c r="BX1115" s="81"/>
      <c r="BY1115" s="81"/>
      <c r="BZ1115" s="81"/>
      <c r="CA1115" s="81"/>
      <c r="CB1115" s="81"/>
      <c r="CC1115" s="81"/>
      <c r="CD1115" s="81"/>
      <c r="CE1115" s="81"/>
      <c r="CF1115" s="81"/>
      <c r="CG1115" s="81"/>
      <c r="CH1115" s="81"/>
      <c r="CI1115" s="81"/>
      <c r="CJ1115" s="81"/>
      <c r="CK1115" s="81"/>
      <c r="CL1115" s="81"/>
      <c r="CM1115" s="81"/>
      <c r="CN1115" s="81"/>
      <c r="CO1115" s="81"/>
      <c r="CP1115" s="81"/>
      <c r="CQ1115" s="111"/>
      <c r="CT1115" s="81"/>
    </row>
    <row r="1116" spans="48:98" x14ac:dyDescent="0.25">
      <c r="AV1116" s="81"/>
      <c r="AW1116" s="81"/>
      <c r="AX1116" s="81"/>
      <c r="AY1116" s="81"/>
      <c r="BA1116" s="81"/>
      <c r="BB1116" s="81"/>
      <c r="BC1116" s="81"/>
      <c r="BD1116" s="81"/>
      <c r="BE1116" s="81"/>
      <c r="BF1116" s="81"/>
      <c r="BG1116" s="81"/>
      <c r="BH1116" s="81"/>
      <c r="BI1116" s="81"/>
      <c r="BJ1116" s="81"/>
      <c r="BK1116" s="81"/>
      <c r="BL1116" s="81"/>
      <c r="BM1116" s="81"/>
      <c r="BN1116" s="81"/>
      <c r="BO1116" s="81"/>
      <c r="BP1116" s="81"/>
      <c r="BQ1116" s="81"/>
      <c r="BR1116" s="81"/>
      <c r="BS1116" s="81"/>
      <c r="BT1116" s="81"/>
      <c r="BU1116" s="81"/>
      <c r="BV1116" s="81"/>
      <c r="BW1116" s="81"/>
      <c r="BX1116" s="81"/>
      <c r="BY1116" s="81"/>
      <c r="BZ1116" s="81"/>
      <c r="CA1116" s="81"/>
      <c r="CB1116" s="81"/>
      <c r="CC1116" s="81"/>
      <c r="CD1116" s="81"/>
      <c r="CE1116" s="81"/>
      <c r="CF1116" s="81"/>
      <c r="CG1116" s="81"/>
      <c r="CH1116" s="81"/>
      <c r="CI1116" s="81"/>
      <c r="CJ1116" s="81"/>
      <c r="CK1116" s="81"/>
      <c r="CL1116" s="81"/>
      <c r="CM1116" s="81"/>
      <c r="CN1116" s="81"/>
      <c r="CO1116" s="81"/>
      <c r="CP1116" s="81"/>
      <c r="CQ1116" s="111"/>
      <c r="CT1116" s="81"/>
    </row>
    <row r="1117" spans="48:98" x14ac:dyDescent="0.25">
      <c r="AV1117" s="81"/>
      <c r="AW1117" s="81"/>
      <c r="AX1117" s="81"/>
      <c r="AY1117" s="81"/>
      <c r="BA1117" s="81"/>
      <c r="BB1117" s="81"/>
      <c r="BC1117" s="81"/>
      <c r="BD1117" s="81"/>
      <c r="BE1117" s="81"/>
      <c r="BF1117" s="81"/>
      <c r="BG1117" s="81"/>
      <c r="BH1117" s="81"/>
      <c r="BI1117" s="81"/>
      <c r="BJ1117" s="81"/>
      <c r="BK1117" s="81"/>
      <c r="BL1117" s="81"/>
      <c r="BM1117" s="81"/>
      <c r="BN1117" s="81"/>
      <c r="BO1117" s="81"/>
      <c r="BP1117" s="81"/>
      <c r="BQ1117" s="81"/>
      <c r="BR1117" s="81"/>
      <c r="BS1117" s="81"/>
      <c r="BT1117" s="81"/>
      <c r="BU1117" s="81"/>
      <c r="BV1117" s="81"/>
      <c r="BW1117" s="81"/>
      <c r="BX1117" s="81"/>
      <c r="BY1117" s="81"/>
      <c r="BZ1117" s="81"/>
      <c r="CA1117" s="81"/>
      <c r="CB1117" s="81"/>
      <c r="CC1117" s="81"/>
      <c r="CD1117" s="81"/>
      <c r="CE1117" s="81"/>
      <c r="CF1117" s="81"/>
      <c r="CG1117" s="81"/>
      <c r="CH1117" s="81"/>
      <c r="CI1117" s="81"/>
      <c r="CJ1117" s="81"/>
      <c r="CK1117" s="81"/>
      <c r="CL1117" s="81"/>
      <c r="CM1117" s="81"/>
      <c r="CN1117" s="81"/>
      <c r="CO1117" s="81"/>
      <c r="CP1117" s="81"/>
      <c r="CQ1117" s="111"/>
      <c r="CT1117" s="81"/>
    </row>
    <row r="1118" spans="48:98" x14ac:dyDescent="0.25">
      <c r="AV1118" s="81"/>
      <c r="AW1118" s="81"/>
      <c r="AX1118" s="81"/>
      <c r="AY1118" s="81"/>
      <c r="BA1118" s="81"/>
      <c r="BB1118" s="81"/>
      <c r="BC1118" s="81"/>
      <c r="BD1118" s="81"/>
      <c r="BE1118" s="81"/>
      <c r="BF1118" s="81"/>
      <c r="BG1118" s="81"/>
      <c r="BH1118" s="81"/>
      <c r="BI1118" s="81"/>
      <c r="BJ1118" s="81"/>
      <c r="BK1118" s="81"/>
      <c r="BL1118" s="81"/>
      <c r="BM1118" s="81"/>
      <c r="BN1118" s="81"/>
      <c r="BO1118" s="81"/>
      <c r="BP1118" s="81"/>
      <c r="BQ1118" s="81"/>
      <c r="BR1118" s="81"/>
      <c r="BS1118" s="81"/>
      <c r="BT1118" s="81"/>
      <c r="BU1118" s="81"/>
      <c r="BV1118" s="81"/>
      <c r="BW1118" s="81"/>
      <c r="BX1118" s="81"/>
      <c r="BY1118" s="81"/>
      <c r="BZ1118" s="81"/>
      <c r="CA1118" s="81"/>
      <c r="CB1118" s="81"/>
      <c r="CC1118" s="81"/>
      <c r="CD1118" s="81"/>
      <c r="CE1118" s="81"/>
      <c r="CF1118" s="81"/>
      <c r="CG1118" s="81"/>
      <c r="CH1118" s="81"/>
      <c r="CI1118" s="81"/>
      <c r="CJ1118" s="81"/>
      <c r="CK1118" s="81"/>
      <c r="CL1118" s="81"/>
      <c r="CM1118" s="81"/>
      <c r="CN1118" s="81"/>
      <c r="CO1118" s="81"/>
      <c r="CP1118" s="81"/>
      <c r="CQ1118" s="111"/>
      <c r="CT1118" s="81"/>
    </row>
    <row r="1119" spans="48:98" x14ac:dyDescent="0.25">
      <c r="AV1119" s="81"/>
      <c r="AW1119" s="81"/>
      <c r="AX1119" s="81"/>
      <c r="AY1119" s="81"/>
      <c r="BA1119" s="81"/>
      <c r="BB1119" s="81"/>
      <c r="BC1119" s="81"/>
      <c r="BD1119" s="81"/>
      <c r="BE1119" s="81"/>
      <c r="BF1119" s="81"/>
      <c r="BG1119" s="81"/>
      <c r="BH1119" s="81"/>
      <c r="BI1119" s="81"/>
      <c r="BJ1119" s="81"/>
      <c r="BK1119" s="81"/>
      <c r="BL1119" s="81"/>
      <c r="BM1119" s="81"/>
      <c r="BN1119" s="81"/>
      <c r="BO1119" s="81"/>
      <c r="BP1119" s="81"/>
      <c r="BQ1119" s="81"/>
      <c r="BR1119" s="81"/>
      <c r="BS1119" s="81"/>
      <c r="BT1119" s="81"/>
      <c r="BU1119" s="81"/>
      <c r="BV1119" s="81"/>
      <c r="BW1119" s="81"/>
      <c r="BX1119" s="81"/>
      <c r="BY1119" s="81"/>
      <c r="BZ1119" s="81"/>
      <c r="CA1119" s="81"/>
      <c r="CB1119" s="81"/>
      <c r="CC1119" s="81"/>
      <c r="CD1119" s="81"/>
      <c r="CE1119" s="81"/>
      <c r="CF1119" s="81"/>
      <c r="CG1119" s="81"/>
      <c r="CH1119" s="81"/>
      <c r="CI1119" s="81"/>
      <c r="CJ1119" s="81"/>
      <c r="CK1119" s="81"/>
      <c r="CL1119" s="81"/>
      <c r="CM1119" s="81"/>
      <c r="CN1119" s="81"/>
      <c r="CO1119" s="81"/>
      <c r="CP1119" s="81"/>
      <c r="CQ1119" s="111"/>
      <c r="CT1119" s="81"/>
    </row>
    <row r="1120" spans="48:98" x14ac:dyDescent="0.25">
      <c r="AV1120" s="81"/>
      <c r="AW1120" s="81"/>
      <c r="AX1120" s="81"/>
      <c r="AY1120" s="81"/>
      <c r="BA1120" s="81"/>
      <c r="BB1120" s="81"/>
      <c r="BC1120" s="81"/>
      <c r="BD1120" s="81"/>
      <c r="BE1120" s="81"/>
      <c r="BF1120" s="81"/>
      <c r="BG1120" s="81"/>
      <c r="BH1120" s="81"/>
      <c r="BI1120" s="81"/>
      <c r="BJ1120" s="81"/>
      <c r="BK1120" s="81"/>
      <c r="BL1120" s="81"/>
      <c r="BM1120" s="81"/>
      <c r="BN1120" s="81"/>
      <c r="BO1120" s="81"/>
      <c r="BP1120" s="81"/>
      <c r="BQ1120" s="81"/>
      <c r="BR1120" s="81"/>
      <c r="BS1120" s="81"/>
      <c r="BT1120" s="81"/>
      <c r="BU1120" s="81"/>
      <c r="BV1120" s="81"/>
      <c r="BW1120" s="81"/>
      <c r="BX1120" s="81"/>
      <c r="BY1120" s="81"/>
      <c r="BZ1120" s="81"/>
      <c r="CA1120" s="81"/>
      <c r="CB1120" s="81"/>
      <c r="CC1120" s="81"/>
      <c r="CD1120" s="81"/>
      <c r="CE1120" s="81"/>
      <c r="CF1120" s="81"/>
      <c r="CG1120" s="81"/>
      <c r="CH1120" s="81"/>
      <c r="CI1120" s="81"/>
      <c r="CJ1120" s="81"/>
      <c r="CK1120" s="81"/>
      <c r="CL1120" s="81"/>
      <c r="CM1120" s="81"/>
      <c r="CN1120" s="81"/>
      <c r="CO1120" s="81"/>
      <c r="CP1120" s="81"/>
      <c r="CQ1120" s="111"/>
      <c r="CT1120" s="81"/>
    </row>
    <row r="1121" spans="48:98" x14ac:dyDescent="0.25">
      <c r="AV1121" s="81"/>
      <c r="AW1121" s="81"/>
      <c r="AX1121" s="81"/>
      <c r="AY1121" s="81"/>
      <c r="BA1121" s="81"/>
      <c r="BB1121" s="81"/>
      <c r="BC1121" s="81"/>
      <c r="BD1121" s="81"/>
      <c r="BE1121" s="81"/>
      <c r="BF1121" s="81"/>
      <c r="BG1121" s="81"/>
      <c r="BH1121" s="81"/>
      <c r="BI1121" s="81"/>
      <c r="BJ1121" s="81"/>
      <c r="BK1121" s="81"/>
      <c r="BL1121" s="81"/>
      <c r="BM1121" s="81"/>
      <c r="BN1121" s="81"/>
      <c r="BO1121" s="81"/>
      <c r="BP1121" s="81"/>
      <c r="BQ1121" s="81"/>
      <c r="BR1121" s="81"/>
      <c r="BS1121" s="81"/>
      <c r="BT1121" s="81"/>
      <c r="BU1121" s="81"/>
      <c r="BV1121" s="81"/>
      <c r="BW1121" s="81"/>
      <c r="BX1121" s="81"/>
      <c r="BY1121" s="81"/>
      <c r="BZ1121" s="81"/>
      <c r="CA1121" s="81"/>
      <c r="CB1121" s="81"/>
      <c r="CC1121" s="81"/>
      <c r="CD1121" s="81"/>
      <c r="CE1121" s="81"/>
      <c r="CF1121" s="81"/>
      <c r="CG1121" s="81"/>
      <c r="CH1121" s="81"/>
      <c r="CI1121" s="81"/>
      <c r="CJ1121" s="81"/>
      <c r="CK1121" s="81"/>
      <c r="CL1121" s="81"/>
      <c r="CM1121" s="81"/>
      <c r="CN1121" s="81"/>
      <c r="CO1121" s="81"/>
      <c r="CP1121" s="81"/>
      <c r="CQ1121" s="111"/>
      <c r="CT1121" s="81"/>
    </row>
    <row r="1122" spans="48:98" x14ac:dyDescent="0.25">
      <c r="AV1122" s="81"/>
      <c r="AW1122" s="81"/>
      <c r="AX1122" s="81"/>
      <c r="AY1122" s="81"/>
      <c r="BA1122" s="81"/>
      <c r="BB1122" s="81"/>
      <c r="BC1122" s="81"/>
      <c r="BD1122" s="81"/>
      <c r="BE1122" s="81"/>
      <c r="BF1122" s="81"/>
      <c r="BG1122" s="81"/>
      <c r="BH1122" s="81"/>
      <c r="BI1122" s="81"/>
      <c r="BJ1122" s="81"/>
      <c r="BK1122" s="81"/>
      <c r="BL1122" s="81"/>
      <c r="BM1122" s="81"/>
      <c r="BN1122" s="81"/>
      <c r="BO1122" s="81"/>
      <c r="BP1122" s="81"/>
      <c r="BQ1122" s="81"/>
      <c r="BR1122" s="81"/>
      <c r="BS1122" s="81"/>
      <c r="BT1122" s="81"/>
      <c r="BU1122" s="81"/>
      <c r="BV1122" s="81"/>
      <c r="BW1122" s="81"/>
      <c r="BX1122" s="81"/>
      <c r="BY1122" s="81"/>
      <c r="BZ1122" s="81"/>
      <c r="CA1122" s="81"/>
      <c r="CB1122" s="81"/>
      <c r="CC1122" s="81"/>
      <c r="CD1122" s="81"/>
      <c r="CE1122" s="81"/>
      <c r="CF1122" s="81"/>
      <c r="CG1122" s="81"/>
      <c r="CH1122" s="81"/>
      <c r="CI1122" s="81"/>
      <c r="CJ1122" s="81"/>
      <c r="CK1122" s="81"/>
      <c r="CL1122" s="81"/>
      <c r="CM1122" s="81"/>
      <c r="CN1122" s="81"/>
      <c r="CO1122" s="81"/>
      <c r="CP1122" s="81"/>
      <c r="CQ1122" s="111"/>
      <c r="CT1122" s="81"/>
    </row>
    <row r="1123" spans="48:98" x14ac:dyDescent="0.25">
      <c r="AV1123" s="81"/>
      <c r="AW1123" s="81"/>
      <c r="AX1123" s="81"/>
      <c r="AY1123" s="81"/>
      <c r="BA1123" s="81"/>
      <c r="BB1123" s="81"/>
      <c r="BC1123" s="81"/>
      <c r="BD1123" s="81"/>
      <c r="BE1123" s="81"/>
      <c r="BF1123" s="81"/>
      <c r="BG1123" s="81"/>
      <c r="BH1123" s="81"/>
      <c r="BI1123" s="81"/>
      <c r="BJ1123" s="81"/>
      <c r="BK1123" s="81"/>
      <c r="BL1123" s="81"/>
      <c r="BM1123" s="81"/>
      <c r="BN1123" s="81"/>
      <c r="BO1123" s="81"/>
      <c r="BP1123" s="81"/>
      <c r="BQ1123" s="81"/>
      <c r="BR1123" s="81"/>
      <c r="BS1123" s="81"/>
      <c r="BT1123" s="81"/>
      <c r="BU1123" s="81"/>
      <c r="BV1123" s="81"/>
      <c r="BW1123" s="81"/>
      <c r="BX1123" s="81"/>
      <c r="BY1123" s="81"/>
      <c r="BZ1123" s="81"/>
      <c r="CA1123" s="81"/>
      <c r="CB1123" s="81"/>
      <c r="CC1123" s="81"/>
      <c r="CD1123" s="81"/>
      <c r="CE1123" s="81"/>
      <c r="CF1123" s="81"/>
      <c r="CG1123" s="81"/>
      <c r="CH1123" s="81"/>
      <c r="CI1123" s="81"/>
      <c r="CJ1123" s="81"/>
      <c r="CK1123" s="81"/>
      <c r="CL1123" s="81"/>
      <c r="CM1123" s="81"/>
      <c r="CN1123" s="81"/>
      <c r="CO1123" s="81"/>
      <c r="CP1123" s="81"/>
      <c r="CQ1123" s="111"/>
      <c r="CT1123" s="81"/>
    </row>
    <row r="1124" spans="48:98" x14ac:dyDescent="0.25">
      <c r="AV1124" s="81"/>
      <c r="AW1124" s="81"/>
      <c r="AX1124" s="81"/>
      <c r="AY1124" s="81"/>
      <c r="BA1124" s="81"/>
      <c r="BB1124" s="81"/>
      <c r="BC1124" s="81"/>
      <c r="BD1124" s="81"/>
      <c r="BE1124" s="81"/>
      <c r="BF1124" s="81"/>
      <c r="BG1124" s="81"/>
      <c r="BH1124" s="81"/>
      <c r="BI1124" s="81"/>
      <c r="BJ1124" s="81"/>
      <c r="BK1124" s="81"/>
      <c r="BL1124" s="81"/>
      <c r="BM1124" s="81"/>
      <c r="BN1124" s="81"/>
      <c r="BO1124" s="81"/>
      <c r="BP1124" s="81"/>
      <c r="BQ1124" s="81"/>
      <c r="BR1124" s="81"/>
      <c r="BS1124" s="81"/>
      <c r="BT1124" s="81"/>
      <c r="BU1124" s="81"/>
      <c r="BV1124" s="81"/>
      <c r="BW1124" s="81"/>
      <c r="BX1124" s="81"/>
      <c r="BY1124" s="81"/>
      <c r="BZ1124" s="81"/>
      <c r="CA1124" s="81"/>
      <c r="CB1124" s="81"/>
      <c r="CC1124" s="81"/>
      <c r="CD1124" s="81"/>
      <c r="CE1124" s="81"/>
      <c r="CF1124" s="81"/>
      <c r="CG1124" s="81"/>
      <c r="CH1124" s="81"/>
      <c r="CI1124" s="81"/>
      <c r="CJ1124" s="81"/>
      <c r="CK1124" s="81"/>
      <c r="CL1124" s="81"/>
      <c r="CM1124" s="81"/>
      <c r="CN1124" s="81"/>
      <c r="CO1124" s="81"/>
      <c r="CP1124" s="81"/>
      <c r="CQ1124" s="111"/>
      <c r="CT1124" s="81"/>
    </row>
    <row r="1125" spans="48:98" x14ac:dyDescent="0.25">
      <c r="AV1125" s="81"/>
      <c r="AW1125" s="81"/>
      <c r="AX1125" s="81"/>
      <c r="AY1125" s="81"/>
      <c r="BA1125" s="81"/>
      <c r="BB1125" s="81"/>
      <c r="BC1125" s="81"/>
      <c r="BD1125" s="81"/>
      <c r="BE1125" s="81"/>
      <c r="BF1125" s="81"/>
      <c r="BG1125" s="81"/>
      <c r="BH1125" s="81"/>
      <c r="BI1125" s="81"/>
      <c r="BJ1125" s="81"/>
      <c r="BK1125" s="81"/>
      <c r="BL1125" s="81"/>
      <c r="BM1125" s="81"/>
      <c r="BN1125" s="81"/>
      <c r="BO1125" s="81"/>
      <c r="BP1125" s="81"/>
      <c r="BQ1125" s="81"/>
      <c r="BR1125" s="81"/>
      <c r="BS1125" s="81"/>
      <c r="BT1125" s="81"/>
      <c r="BU1125" s="81"/>
      <c r="BV1125" s="81"/>
      <c r="BW1125" s="81"/>
      <c r="BX1125" s="81"/>
      <c r="BY1125" s="81"/>
      <c r="BZ1125" s="81"/>
      <c r="CA1125" s="81"/>
      <c r="CB1125" s="81"/>
      <c r="CC1125" s="81"/>
      <c r="CD1125" s="81"/>
      <c r="CE1125" s="81"/>
      <c r="CF1125" s="81"/>
      <c r="CG1125" s="81"/>
      <c r="CH1125" s="81"/>
      <c r="CI1125" s="81"/>
      <c r="CJ1125" s="81"/>
      <c r="CK1125" s="81"/>
      <c r="CL1125" s="81"/>
      <c r="CM1125" s="81"/>
      <c r="CN1125" s="81"/>
      <c r="CO1125" s="81"/>
      <c r="CP1125" s="81"/>
      <c r="CQ1125" s="111"/>
      <c r="CT1125" s="81"/>
    </row>
    <row r="1126" spans="48:98" x14ac:dyDescent="0.25">
      <c r="AV1126" s="81"/>
      <c r="AW1126" s="81"/>
      <c r="AX1126" s="81"/>
      <c r="AY1126" s="81"/>
      <c r="BA1126" s="81"/>
      <c r="BB1126" s="81"/>
      <c r="BC1126" s="81"/>
      <c r="BD1126" s="81"/>
      <c r="BE1126" s="81"/>
      <c r="BF1126" s="81"/>
      <c r="BG1126" s="81"/>
      <c r="BH1126" s="81"/>
      <c r="BI1126" s="81"/>
      <c r="BJ1126" s="81"/>
      <c r="BK1126" s="81"/>
      <c r="BL1126" s="81"/>
      <c r="BM1126" s="81"/>
      <c r="BN1126" s="81"/>
      <c r="BO1126" s="81"/>
      <c r="BP1126" s="81"/>
      <c r="BQ1126" s="81"/>
      <c r="BR1126" s="81"/>
      <c r="BS1126" s="81"/>
      <c r="BT1126" s="81"/>
      <c r="BU1126" s="81"/>
      <c r="BV1126" s="81"/>
      <c r="BW1126" s="81"/>
      <c r="BX1126" s="81"/>
      <c r="BY1126" s="81"/>
      <c r="BZ1126" s="81"/>
      <c r="CA1126" s="81"/>
      <c r="CB1126" s="81"/>
      <c r="CC1126" s="81"/>
      <c r="CD1126" s="81"/>
      <c r="CE1126" s="81"/>
      <c r="CF1126" s="81"/>
      <c r="CG1126" s="81"/>
      <c r="CH1126" s="81"/>
      <c r="CI1126" s="81"/>
      <c r="CJ1126" s="81"/>
      <c r="CK1126" s="81"/>
      <c r="CL1126" s="81"/>
      <c r="CM1126" s="81"/>
      <c r="CN1126" s="81"/>
      <c r="CO1126" s="81"/>
      <c r="CP1126" s="81"/>
      <c r="CQ1126" s="111"/>
      <c r="CT1126" s="81"/>
    </row>
    <row r="1127" spans="48:98" x14ac:dyDescent="0.25">
      <c r="AV1127" s="81"/>
      <c r="AW1127" s="81"/>
      <c r="AX1127" s="81"/>
      <c r="AY1127" s="81"/>
      <c r="BA1127" s="81"/>
      <c r="BB1127" s="81"/>
      <c r="BC1127" s="81"/>
      <c r="BD1127" s="81"/>
      <c r="BE1127" s="81"/>
      <c r="BF1127" s="81"/>
      <c r="BG1127" s="81"/>
      <c r="BH1127" s="81"/>
      <c r="BI1127" s="81"/>
      <c r="BJ1127" s="81"/>
      <c r="BK1127" s="81"/>
      <c r="BL1127" s="81"/>
      <c r="BM1127" s="81"/>
      <c r="BN1127" s="81"/>
      <c r="BO1127" s="81"/>
      <c r="BP1127" s="81"/>
      <c r="BQ1127" s="81"/>
      <c r="BR1127" s="81"/>
      <c r="BS1127" s="81"/>
      <c r="BT1127" s="81"/>
      <c r="BU1127" s="81"/>
      <c r="BV1127" s="81"/>
      <c r="BW1127" s="81"/>
      <c r="BX1127" s="81"/>
      <c r="BY1127" s="81"/>
      <c r="BZ1127" s="81"/>
      <c r="CA1127" s="81"/>
      <c r="CB1127" s="81"/>
      <c r="CC1127" s="81"/>
      <c r="CD1127" s="81"/>
      <c r="CE1127" s="81"/>
      <c r="CF1127" s="81"/>
      <c r="CG1127" s="81"/>
      <c r="CH1127" s="81"/>
      <c r="CI1127" s="81"/>
      <c r="CJ1127" s="81"/>
      <c r="CK1127" s="81"/>
      <c r="CL1127" s="81"/>
      <c r="CM1127" s="81"/>
      <c r="CN1127" s="81"/>
      <c r="CO1127" s="81"/>
      <c r="CP1127" s="81"/>
      <c r="CQ1127" s="111"/>
      <c r="CT1127" s="81"/>
    </row>
    <row r="1128" spans="48:98" x14ac:dyDescent="0.25">
      <c r="AV1128" s="81"/>
      <c r="AW1128" s="81"/>
      <c r="AX1128" s="81"/>
      <c r="AY1128" s="81"/>
      <c r="BA1128" s="81"/>
      <c r="BB1128" s="81"/>
      <c r="BC1128" s="81"/>
      <c r="BD1128" s="81"/>
      <c r="BE1128" s="81"/>
      <c r="BF1128" s="81"/>
      <c r="BG1128" s="81"/>
      <c r="BH1128" s="81"/>
      <c r="BI1128" s="81"/>
      <c r="BJ1128" s="81"/>
      <c r="BK1128" s="81"/>
      <c r="BL1128" s="81"/>
      <c r="BM1128" s="81"/>
      <c r="BN1128" s="81"/>
      <c r="BO1128" s="81"/>
      <c r="BP1128" s="81"/>
      <c r="BQ1128" s="81"/>
      <c r="BR1128" s="81"/>
      <c r="BS1128" s="81"/>
      <c r="BT1128" s="81"/>
      <c r="BU1128" s="81"/>
      <c r="BV1128" s="81"/>
      <c r="BW1128" s="81"/>
      <c r="BX1128" s="81"/>
      <c r="BY1128" s="81"/>
      <c r="BZ1128" s="81"/>
      <c r="CA1128" s="81"/>
      <c r="CB1128" s="81"/>
      <c r="CC1128" s="81"/>
      <c r="CD1128" s="81"/>
      <c r="CE1128" s="81"/>
      <c r="CF1128" s="81"/>
      <c r="CG1128" s="81"/>
      <c r="CH1128" s="81"/>
      <c r="CI1128" s="81"/>
      <c r="CJ1128" s="81"/>
      <c r="CK1128" s="81"/>
      <c r="CL1128" s="81"/>
      <c r="CM1128" s="81"/>
      <c r="CN1128" s="81"/>
      <c r="CO1128" s="81"/>
      <c r="CP1128" s="81"/>
      <c r="CQ1128" s="111"/>
      <c r="CT1128" s="81"/>
    </row>
    <row r="1129" spans="48:98" x14ac:dyDescent="0.25">
      <c r="AV1129" s="81"/>
      <c r="AW1129" s="81"/>
      <c r="AX1129" s="81"/>
      <c r="AY1129" s="81"/>
      <c r="BA1129" s="81"/>
      <c r="BB1129" s="81"/>
      <c r="BC1129" s="81"/>
      <c r="BD1129" s="81"/>
      <c r="BE1129" s="81"/>
      <c r="BF1129" s="81"/>
      <c r="BG1129" s="81"/>
      <c r="BH1129" s="81"/>
      <c r="BI1129" s="81"/>
      <c r="BJ1129" s="81"/>
      <c r="BK1129" s="81"/>
      <c r="BL1129" s="81"/>
      <c r="BM1129" s="81"/>
      <c r="BN1129" s="81"/>
      <c r="BO1129" s="81"/>
      <c r="BP1129" s="81"/>
      <c r="BQ1129" s="81"/>
      <c r="BR1129" s="81"/>
      <c r="BS1129" s="81"/>
      <c r="BT1129" s="81"/>
      <c r="BU1129" s="81"/>
      <c r="BV1129" s="81"/>
      <c r="BW1129" s="81"/>
      <c r="BX1129" s="81"/>
      <c r="BY1129" s="81"/>
      <c r="BZ1129" s="81"/>
      <c r="CA1129" s="81"/>
      <c r="CB1129" s="81"/>
      <c r="CC1129" s="81"/>
      <c r="CD1129" s="81"/>
      <c r="CE1129" s="81"/>
      <c r="CF1129" s="81"/>
      <c r="CG1129" s="81"/>
      <c r="CH1129" s="81"/>
      <c r="CI1129" s="81"/>
      <c r="CJ1129" s="81"/>
      <c r="CK1129" s="81"/>
      <c r="CL1129" s="81"/>
      <c r="CM1129" s="81"/>
      <c r="CN1129" s="81"/>
      <c r="CO1129" s="81"/>
      <c r="CP1129" s="81"/>
      <c r="CQ1129" s="111"/>
      <c r="CT1129" s="81"/>
    </row>
    <row r="1130" spans="48:98" x14ac:dyDescent="0.25">
      <c r="AV1130" s="81"/>
      <c r="AW1130" s="81"/>
      <c r="AX1130" s="81"/>
      <c r="AY1130" s="81"/>
      <c r="BA1130" s="81"/>
      <c r="BB1130" s="81"/>
      <c r="BC1130" s="81"/>
      <c r="BD1130" s="81"/>
      <c r="BE1130" s="81"/>
      <c r="BF1130" s="81"/>
      <c r="BG1130" s="81"/>
      <c r="BH1130" s="81"/>
      <c r="BI1130" s="81"/>
      <c r="BJ1130" s="81"/>
      <c r="BK1130" s="81"/>
      <c r="BL1130" s="81"/>
      <c r="BM1130" s="81"/>
      <c r="BN1130" s="81"/>
      <c r="BO1130" s="81"/>
      <c r="BP1130" s="81"/>
      <c r="BQ1130" s="81"/>
      <c r="BR1130" s="81"/>
      <c r="BS1130" s="81"/>
      <c r="BT1130" s="81"/>
      <c r="BU1130" s="81"/>
      <c r="BV1130" s="81"/>
      <c r="BW1130" s="81"/>
      <c r="BX1130" s="81"/>
      <c r="BY1130" s="81"/>
      <c r="BZ1130" s="81"/>
      <c r="CA1130" s="81"/>
      <c r="CB1130" s="81"/>
      <c r="CC1130" s="81"/>
      <c r="CD1130" s="81"/>
      <c r="CE1130" s="81"/>
      <c r="CF1130" s="81"/>
      <c r="CG1130" s="81"/>
      <c r="CH1130" s="81"/>
      <c r="CI1130" s="81"/>
      <c r="CJ1130" s="81"/>
      <c r="CK1130" s="81"/>
      <c r="CL1130" s="81"/>
      <c r="CM1130" s="81"/>
      <c r="CN1130" s="81"/>
      <c r="CO1130" s="81"/>
      <c r="CP1130" s="81"/>
      <c r="CQ1130" s="111"/>
      <c r="CT1130" s="81"/>
    </row>
    <row r="1131" spans="48:98" x14ac:dyDescent="0.25">
      <c r="AV1131" s="81"/>
      <c r="AW1131" s="81"/>
      <c r="AX1131" s="81"/>
      <c r="AY1131" s="81"/>
      <c r="BA1131" s="81"/>
      <c r="BB1131" s="81"/>
      <c r="BC1131" s="81"/>
      <c r="BD1131" s="81"/>
      <c r="BE1131" s="81"/>
      <c r="BF1131" s="81"/>
      <c r="BG1131" s="81"/>
      <c r="BH1131" s="81"/>
      <c r="BI1131" s="81"/>
      <c r="BJ1131" s="81"/>
      <c r="BK1131" s="81"/>
      <c r="BL1131" s="81"/>
      <c r="BM1131" s="81"/>
      <c r="BN1131" s="81"/>
      <c r="BO1131" s="81"/>
      <c r="BP1131" s="81"/>
      <c r="BQ1131" s="81"/>
      <c r="BR1131" s="81"/>
      <c r="BS1131" s="81"/>
      <c r="BT1131" s="81"/>
      <c r="BU1131" s="81"/>
      <c r="BV1131" s="81"/>
      <c r="BW1131" s="81"/>
      <c r="BX1131" s="81"/>
      <c r="BY1131" s="81"/>
      <c r="BZ1131" s="81"/>
      <c r="CA1131" s="81"/>
      <c r="CB1131" s="81"/>
      <c r="CC1131" s="81"/>
      <c r="CD1131" s="81"/>
      <c r="CE1131" s="81"/>
      <c r="CF1131" s="81"/>
      <c r="CG1131" s="81"/>
      <c r="CH1131" s="81"/>
      <c r="CI1131" s="81"/>
      <c r="CJ1131" s="81"/>
      <c r="CK1131" s="81"/>
      <c r="CL1131" s="81"/>
      <c r="CM1131" s="81"/>
      <c r="CN1131" s="81"/>
      <c r="CO1131" s="81"/>
      <c r="CP1131" s="81"/>
      <c r="CQ1131" s="111"/>
      <c r="CT1131" s="81"/>
    </row>
    <row r="1132" spans="48:98" x14ac:dyDescent="0.25">
      <c r="AV1132" s="81"/>
      <c r="AW1132" s="81"/>
      <c r="AX1132" s="81"/>
      <c r="AY1132" s="81"/>
      <c r="BA1132" s="81"/>
      <c r="BB1132" s="81"/>
      <c r="BC1132" s="81"/>
      <c r="BD1132" s="81"/>
      <c r="BE1132" s="81"/>
      <c r="BF1132" s="81"/>
      <c r="BG1132" s="81"/>
      <c r="BH1132" s="81"/>
      <c r="BI1132" s="81"/>
      <c r="BJ1132" s="81"/>
      <c r="BK1132" s="81"/>
      <c r="BL1132" s="81"/>
      <c r="BM1132" s="81"/>
      <c r="BN1132" s="81"/>
      <c r="BO1132" s="81"/>
      <c r="BP1132" s="81"/>
      <c r="BQ1132" s="81"/>
      <c r="BR1132" s="81"/>
      <c r="BS1132" s="81"/>
      <c r="BT1132" s="81"/>
      <c r="BU1132" s="81"/>
      <c r="BV1132" s="81"/>
      <c r="BW1132" s="81"/>
      <c r="BX1132" s="81"/>
      <c r="BY1132" s="81"/>
      <c r="BZ1132" s="81"/>
      <c r="CA1132" s="81"/>
      <c r="CB1132" s="81"/>
      <c r="CC1132" s="81"/>
      <c r="CD1132" s="81"/>
      <c r="CE1132" s="81"/>
      <c r="CF1132" s="81"/>
      <c r="CG1132" s="81"/>
      <c r="CH1132" s="81"/>
      <c r="CI1132" s="81"/>
      <c r="CJ1132" s="81"/>
      <c r="CK1132" s="81"/>
      <c r="CL1132" s="81"/>
      <c r="CM1132" s="81"/>
      <c r="CN1132" s="81"/>
      <c r="CO1132" s="81"/>
      <c r="CP1132" s="81"/>
      <c r="CQ1132" s="111"/>
      <c r="CT1132" s="81"/>
    </row>
    <row r="1133" spans="48:98" x14ac:dyDescent="0.25">
      <c r="AV1133" s="81"/>
      <c r="AW1133" s="81"/>
      <c r="AX1133" s="81"/>
      <c r="AY1133" s="81"/>
      <c r="BA1133" s="81"/>
      <c r="BB1133" s="81"/>
      <c r="BC1133" s="81"/>
      <c r="BD1133" s="81"/>
      <c r="BE1133" s="81"/>
      <c r="BF1133" s="81"/>
      <c r="BG1133" s="81"/>
      <c r="BH1133" s="81"/>
      <c r="BI1133" s="81"/>
      <c r="BJ1133" s="81"/>
      <c r="BK1133" s="81"/>
      <c r="BL1133" s="81"/>
      <c r="BM1133" s="81"/>
      <c r="BN1133" s="81"/>
      <c r="BO1133" s="81"/>
      <c r="BP1133" s="81"/>
      <c r="BQ1133" s="81"/>
      <c r="BR1133" s="81"/>
      <c r="BS1133" s="81"/>
      <c r="BT1133" s="81"/>
      <c r="BU1133" s="81"/>
      <c r="BV1133" s="81"/>
      <c r="BW1133" s="81"/>
      <c r="BX1133" s="81"/>
      <c r="BY1133" s="81"/>
      <c r="BZ1133" s="81"/>
      <c r="CA1133" s="81"/>
      <c r="CB1133" s="81"/>
      <c r="CC1133" s="81"/>
      <c r="CD1133" s="81"/>
      <c r="CE1133" s="81"/>
      <c r="CF1133" s="81"/>
      <c r="CG1133" s="81"/>
      <c r="CH1133" s="81"/>
      <c r="CI1133" s="81"/>
      <c r="CJ1133" s="81"/>
      <c r="CK1133" s="81"/>
      <c r="CL1133" s="81"/>
      <c r="CM1133" s="81"/>
      <c r="CN1133" s="81"/>
      <c r="CO1133" s="81"/>
      <c r="CP1133" s="81"/>
      <c r="CQ1133" s="111"/>
      <c r="CT1133" s="81"/>
    </row>
    <row r="1134" spans="48:98" x14ac:dyDescent="0.25">
      <c r="AV1134" s="81"/>
      <c r="AW1134" s="81"/>
      <c r="AX1134" s="81"/>
      <c r="AY1134" s="81"/>
      <c r="BA1134" s="81"/>
      <c r="BB1134" s="81"/>
      <c r="BC1134" s="81"/>
      <c r="BD1134" s="81"/>
      <c r="BE1134" s="81"/>
      <c r="BF1134" s="81"/>
      <c r="BG1134" s="81"/>
      <c r="BH1134" s="81"/>
      <c r="BI1134" s="81"/>
      <c r="BJ1134" s="81"/>
      <c r="BK1134" s="81"/>
      <c r="BL1134" s="81"/>
      <c r="BM1134" s="81"/>
      <c r="BN1134" s="81"/>
      <c r="BO1134" s="81"/>
      <c r="BP1134" s="81"/>
      <c r="BQ1134" s="81"/>
      <c r="BR1134" s="81"/>
      <c r="BS1134" s="81"/>
      <c r="BT1134" s="81"/>
      <c r="BU1134" s="81"/>
      <c r="BV1134" s="81"/>
      <c r="BW1134" s="81"/>
      <c r="BX1134" s="81"/>
      <c r="BY1134" s="81"/>
      <c r="BZ1134" s="81"/>
      <c r="CA1134" s="81"/>
      <c r="CB1134" s="81"/>
      <c r="CC1134" s="81"/>
      <c r="CD1134" s="81"/>
      <c r="CE1134" s="81"/>
      <c r="CF1134" s="81"/>
      <c r="CG1134" s="81"/>
      <c r="CH1134" s="81"/>
      <c r="CI1134" s="81"/>
      <c r="CJ1134" s="81"/>
      <c r="CK1134" s="81"/>
      <c r="CL1134" s="81"/>
      <c r="CM1134" s="81"/>
      <c r="CN1134" s="81"/>
      <c r="CO1134" s="81"/>
      <c r="CP1134" s="81"/>
      <c r="CQ1134" s="111"/>
      <c r="CT1134" s="81"/>
    </row>
    <row r="1135" spans="48:98" x14ac:dyDescent="0.25">
      <c r="AV1135" s="81"/>
      <c r="AW1135" s="81"/>
      <c r="AX1135" s="81"/>
      <c r="AY1135" s="81"/>
      <c r="BA1135" s="81"/>
      <c r="BB1135" s="81"/>
      <c r="BC1135" s="81"/>
      <c r="BD1135" s="81"/>
      <c r="BE1135" s="81"/>
      <c r="BF1135" s="81"/>
      <c r="BG1135" s="81"/>
      <c r="BH1135" s="81"/>
      <c r="BI1135" s="81"/>
      <c r="BJ1135" s="81"/>
      <c r="BK1135" s="81"/>
      <c r="BL1135" s="81"/>
      <c r="BM1135" s="81"/>
      <c r="BN1135" s="81"/>
      <c r="BO1135" s="81"/>
      <c r="BP1135" s="81"/>
      <c r="BQ1135" s="81"/>
      <c r="BR1135" s="81"/>
      <c r="BS1135" s="81"/>
      <c r="BT1135" s="81"/>
      <c r="BU1135" s="81"/>
      <c r="BV1135" s="81"/>
      <c r="BW1135" s="81"/>
      <c r="BX1135" s="81"/>
      <c r="BY1135" s="81"/>
      <c r="BZ1135" s="81"/>
      <c r="CA1135" s="81"/>
      <c r="CB1135" s="81"/>
      <c r="CC1135" s="81"/>
      <c r="CD1135" s="81"/>
      <c r="CE1135" s="81"/>
      <c r="CF1135" s="81"/>
      <c r="CG1135" s="81"/>
      <c r="CH1135" s="81"/>
      <c r="CI1135" s="81"/>
      <c r="CJ1135" s="81"/>
      <c r="CK1135" s="81"/>
      <c r="CL1135" s="81"/>
      <c r="CM1135" s="81"/>
      <c r="CN1135" s="81"/>
      <c r="CO1135" s="81"/>
      <c r="CP1135" s="81"/>
      <c r="CQ1135" s="111"/>
      <c r="CT1135" s="81"/>
    </row>
    <row r="1136" spans="48:98" x14ac:dyDescent="0.25">
      <c r="AV1136" s="81"/>
      <c r="AW1136" s="81"/>
      <c r="AX1136" s="81"/>
      <c r="AY1136" s="81"/>
      <c r="BA1136" s="81"/>
      <c r="BB1136" s="81"/>
      <c r="BC1136" s="81"/>
      <c r="BD1136" s="81"/>
      <c r="BE1136" s="81"/>
      <c r="BF1136" s="81"/>
      <c r="BG1136" s="81"/>
      <c r="BH1136" s="81"/>
      <c r="BI1136" s="81"/>
      <c r="BJ1136" s="81"/>
      <c r="BK1136" s="81"/>
      <c r="BL1136" s="81"/>
      <c r="BM1136" s="81"/>
      <c r="BN1136" s="81"/>
      <c r="BO1136" s="81"/>
      <c r="BP1136" s="81"/>
      <c r="BQ1136" s="81"/>
      <c r="BR1136" s="81"/>
      <c r="BS1136" s="81"/>
      <c r="BT1136" s="81"/>
      <c r="BU1136" s="81"/>
      <c r="BV1136" s="81"/>
      <c r="BW1136" s="81"/>
      <c r="BX1136" s="81"/>
      <c r="BY1136" s="81"/>
      <c r="BZ1136" s="81"/>
      <c r="CA1136" s="81"/>
      <c r="CB1136" s="81"/>
      <c r="CC1136" s="81"/>
      <c r="CD1136" s="81"/>
      <c r="CE1136" s="81"/>
      <c r="CF1136" s="81"/>
      <c r="CG1136" s="81"/>
      <c r="CH1136" s="81"/>
      <c r="CI1136" s="81"/>
      <c r="CJ1136" s="81"/>
      <c r="CK1136" s="81"/>
      <c r="CL1136" s="81"/>
      <c r="CM1136" s="81"/>
      <c r="CN1136" s="81"/>
      <c r="CO1136" s="81"/>
      <c r="CP1136" s="81"/>
      <c r="CQ1136" s="111"/>
      <c r="CT1136" s="81"/>
    </row>
    <row r="1137" spans="48:98" x14ac:dyDescent="0.25">
      <c r="AV1137" s="81"/>
      <c r="AW1137" s="81"/>
      <c r="AX1137" s="81"/>
      <c r="AY1137" s="81"/>
      <c r="BA1137" s="81"/>
      <c r="BB1137" s="81"/>
      <c r="BC1137" s="81"/>
      <c r="BD1137" s="81"/>
      <c r="BE1137" s="81"/>
      <c r="BF1137" s="81"/>
      <c r="BG1137" s="81"/>
      <c r="BH1137" s="81"/>
      <c r="BI1137" s="81"/>
      <c r="BJ1137" s="81"/>
      <c r="BK1137" s="81"/>
      <c r="BL1137" s="81"/>
      <c r="BM1137" s="81"/>
      <c r="BN1137" s="81"/>
      <c r="BO1137" s="81"/>
      <c r="BP1137" s="81"/>
      <c r="BQ1137" s="81"/>
      <c r="BR1137" s="81"/>
      <c r="BS1137" s="81"/>
      <c r="BT1137" s="81"/>
      <c r="BU1137" s="81"/>
      <c r="BV1137" s="81"/>
      <c r="BW1137" s="81"/>
      <c r="BX1137" s="81"/>
      <c r="BY1137" s="81"/>
      <c r="BZ1137" s="81"/>
      <c r="CA1137" s="81"/>
      <c r="CB1137" s="81"/>
      <c r="CC1137" s="81"/>
      <c r="CD1137" s="81"/>
      <c r="CE1137" s="81"/>
      <c r="CF1137" s="81"/>
      <c r="CG1137" s="81"/>
      <c r="CH1137" s="81"/>
      <c r="CI1137" s="81"/>
      <c r="CJ1137" s="81"/>
      <c r="CK1137" s="81"/>
      <c r="CL1137" s="81"/>
      <c r="CM1137" s="81"/>
      <c r="CN1137" s="81"/>
      <c r="CO1137" s="81"/>
      <c r="CP1137" s="81"/>
      <c r="CQ1137" s="111"/>
      <c r="CT1137" s="81"/>
    </row>
    <row r="1138" spans="48:98" x14ac:dyDescent="0.25">
      <c r="AV1138" s="81"/>
      <c r="AW1138" s="81"/>
      <c r="AX1138" s="81"/>
      <c r="AY1138" s="81"/>
      <c r="BA1138" s="81"/>
      <c r="BB1138" s="81"/>
      <c r="BC1138" s="81"/>
      <c r="BD1138" s="81"/>
      <c r="BE1138" s="81"/>
      <c r="BF1138" s="81"/>
      <c r="BG1138" s="81"/>
      <c r="BH1138" s="81"/>
      <c r="BI1138" s="81"/>
      <c r="BJ1138" s="81"/>
      <c r="BK1138" s="81"/>
      <c r="BL1138" s="81"/>
      <c r="BM1138" s="81"/>
      <c r="BN1138" s="81"/>
      <c r="BO1138" s="81"/>
      <c r="BP1138" s="81"/>
      <c r="BQ1138" s="81"/>
      <c r="BR1138" s="81"/>
      <c r="BS1138" s="81"/>
      <c r="BT1138" s="81"/>
      <c r="BU1138" s="81"/>
      <c r="BV1138" s="81"/>
      <c r="BW1138" s="81"/>
      <c r="BX1138" s="81"/>
      <c r="BY1138" s="81"/>
      <c r="BZ1138" s="81"/>
      <c r="CA1138" s="81"/>
      <c r="CB1138" s="81"/>
      <c r="CC1138" s="81"/>
      <c r="CD1138" s="81"/>
      <c r="CE1138" s="81"/>
      <c r="CF1138" s="81"/>
      <c r="CG1138" s="81"/>
      <c r="CH1138" s="81"/>
      <c r="CI1138" s="81"/>
      <c r="CJ1138" s="81"/>
      <c r="CK1138" s="81"/>
      <c r="CL1138" s="81"/>
      <c r="CM1138" s="81"/>
      <c r="CN1138" s="81"/>
      <c r="CO1138" s="81"/>
      <c r="CP1138" s="81"/>
      <c r="CQ1138" s="111"/>
      <c r="CT1138" s="81"/>
    </row>
    <row r="1139" spans="48:98" x14ac:dyDescent="0.25">
      <c r="AV1139" s="81"/>
      <c r="AW1139" s="81"/>
      <c r="AX1139" s="81"/>
      <c r="AY1139" s="81"/>
      <c r="BA1139" s="81"/>
      <c r="BB1139" s="81"/>
      <c r="BC1139" s="81"/>
      <c r="BD1139" s="81"/>
      <c r="BE1139" s="81"/>
      <c r="BF1139" s="81"/>
      <c r="BG1139" s="81"/>
      <c r="BH1139" s="81"/>
      <c r="BI1139" s="81"/>
      <c r="BJ1139" s="81"/>
      <c r="BK1139" s="81"/>
      <c r="BL1139" s="81"/>
      <c r="BM1139" s="81"/>
      <c r="BN1139" s="81"/>
      <c r="BO1139" s="81"/>
      <c r="BP1139" s="81"/>
      <c r="BQ1139" s="81"/>
      <c r="BR1139" s="81"/>
      <c r="BS1139" s="81"/>
      <c r="BT1139" s="81"/>
      <c r="BU1139" s="81"/>
      <c r="BV1139" s="81"/>
      <c r="BW1139" s="81"/>
      <c r="BX1139" s="81"/>
      <c r="BY1139" s="81"/>
      <c r="BZ1139" s="81"/>
      <c r="CA1139" s="81"/>
      <c r="CB1139" s="81"/>
      <c r="CC1139" s="81"/>
      <c r="CD1139" s="81"/>
      <c r="CE1139" s="81"/>
      <c r="CF1139" s="81"/>
      <c r="CG1139" s="81"/>
      <c r="CH1139" s="81"/>
      <c r="CI1139" s="81"/>
      <c r="CJ1139" s="81"/>
      <c r="CK1139" s="81"/>
      <c r="CL1139" s="81"/>
      <c r="CM1139" s="81"/>
      <c r="CN1139" s="81"/>
      <c r="CO1139" s="81"/>
      <c r="CP1139" s="81"/>
      <c r="CQ1139" s="111"/>
      <c r="CT1139" s="81"/>
    </row>
    <row r="1140" spans="48:98" x14ac:dyDescent="0.25">
      <c r="AV1140" s="81"/>
      <c r="AW1140" s="81"/>
      <c r="AX1140" s="81"/>
      <c r="AY1140" s="81"/>
      <c r="BA1140" s="81"/>
      <c r="BB1140" s="81"/>
      <c r="BC1140" s="81"/>
      <c r="BD1140" s="81"/>
      <c r="BE1140" s="81"/>
      <c r="BF1140" s="81"/>
      <c r="BG1140" s="81"/>
      <c r="BH1140" s="81"/>
      <c r="BI1140" s="81"/>
      <c r="BJ1140" s="81"/>
      <c r="BK1140" s="81"/>
      <c r="BL1140" s="81"/>
      <c r="BM1140" s="81"/>
      <c r="BN1140" s="81"/>
      <c r="BO1140" s="81"/>
      <c r="BP1140" s="81"/>
      <c r="BQ1140" s="81"/>
      <c r="BR1140" s="81"/>
      <c r="BS1140" s="81"/>
      <c r="BT1140" s="81"/>
      <c r="BU1140" s="81"/>
      <c r="BV1140" s="81"/>
      <c r="BW1140" s="81"/>
      <c r="BX1140" s="81"/>
      <c r="BY1140" s="81"/>
      <c r="BZ1140" s="81"/>
      <c r="CA1140" s="81"/>
      <c r="CB1140" s="81"/>
      <c r="CC1140" s="81"/>
      <c r="CD1140" s="81"/>
      <c r="CE1140" s="81"/>
      <c r="CF1140" s="81"/>
      <c r="CG1140" s="81"/>
      <c r="CH1140" s="81"/>
      <c r="CI1140" s="81"/>
      <c r="CJ1140" s="81"/>
      <c r="CK1140" s="81"/>
      <c r="CL1140" s="81"/>
      <c r="CM1140" s="81"/>
      <c r="CN1140" s="81"/>
      <c r="CO1140" s="81"/>
      <c r="CP1140" s="81"/>
      <c r="CQ1140" s="111"/>
      <c r="CT1140" s="81"/>
    </row>
    <row r="1141" spans="48:98" x14ac:dyDescent="0.25">
      <c r="AV1141" s="81"/>
      <c r="AW1141" s="81"/>
      <c r="AX1141" s="81"/>
      <c r="AY1141" s="81"/>
      <c r="BA1141" s="81"/>
      <c r="BB1141" s="81"/>
      <c r="BC1141" s="81"/>
      <c r="BD1141" s="81"/>
      <c r="BE1141" s="81"/>
      <c r="BF1141" s="81"/>
      <c r="BG1141" s="81"/>
      <c r="BH1141" s="81"/>
      <c r="BI1141" s="81"/>
      <c r="BJ1141" s="81"/>
      <c r="BK1141" s="81"/>
      <c r="BL1141" s="81"/>
      <c r="BM1141" s="81"/>
      <c r="BN1141" s="81"/>
      <c r="BO1141" s="81"/>
      <c r="BP1141" s="81"/>
      <c r="BQ1141" s="81"/>
      <c r="BR1141" s="81"/>
      <c r="BS1141" s="81"/>
      <c r="BT1141" s="81"/>
      <c r="BU1141" s="81"/>
      <c r="BV1141" s="81"/>
      <c r="BW1141" s="81"/>
      <c r="BX1141" s="81"/>
      <c r="BY1141" s="81"/>
      <c r="BZ1141" s="81"/>
      <c r="CA1141" s="81"/>
      <c r="CB1141" s="81"/>
      <c r="CC1141" s="81"/>
      <c r="CD1141" s="81"/>
      <c r="CE1141" s="81"/>
      <c r="CF1141" s="81"/>
      <c r="CG1141" s="81"/>
      <c r="CH1141" s="81"/>
      <c r="CI1141" s="81"/>
      <c r="CJ1141" s="81"/>
      <c r="CK1141" s="81"/>
      <c r="CL1141" s="81"/>
      <c r="CM1141" s="81"/>
      <c r="CN1141" s="81"/>
      <c r="CO1141" s="81"/>
      <c r="CP1141" s="81"/>
      <c r="CQ1141" s="111"/>
      <c r="CT1141" s="81"/>
    </row>
    <row r="1142" spans="48:98" x14ac:dyDescent="0.25">
      <c r="AV1142" s="81"/>
      <c r="AW1142" s="81"/>
      <c r="AX1142" s="81"/>
      <c r="AY1142" s="81"/>
      <c r="BA1142" s="81"/>
      <c r="BB1142" s="81"/>
      <c r="BC1142" s="81"/>
      <c r="BD1142" s="81"/>
      <c r="BE1142" s="81"/>
      <c r="BF1142" s="81"/>
      <c r="BG1142" s="81"/>
      <c r="BH1142" s="81"/>
      <c r="BI1142" s="81"/>
      <c r="BJ1142" s="81"/>
      <c r="BK1142" s="81"/>
      <c r="BL1142" s="81"/>
      <c r="BM1142" s="81"/>
      <c r="BN1142" s="81"/>
      <c r="BO1142" s="81"/>
      <c r="BP1142" s="81"/>
      <c r="BQ1142" s="81"/>
      <c r="BR1142" s="81"/>
      <c r="BS1142" s="81"/>
      <c r="BT1142" s="81"/>
      <c r="BU1142" s="81"/>
      <c r="BV1142" s="81"/>
      <c r="BW1142" s="81"/>
      <c r="BX1142" s="81"/>
      <c r="BY1142" s="81"/>
      <c r="BZ1142" s="81"/>
      <c r="CA1142" s="81"/>
      <c r="CB1142" s="81"/>
      <c r="CC1142" s="81"/>
      <c r="CD1142" s="81"/>
      <c r="CE1142" s="81"/>
      <c r="CF1142" s="81"/>
      <c r="CG1142" s="81"/>
      <c r="CH1142" s="81"/>
      <c r="CI1142" s="81"/>
      <c r="CJ1142" s="81"/>
      <c r="CK1142" s="81"/>
      <c r="CL1142" s="81"/>
      <c r="CM1142" s="81"/>
      <c r="CN1142" s="81"/>
      <c r="CO1142" s="81"/>
      <c r="CP1142" s="81"/>
      <c r="CQ1142" s="111"/>
      <c r="CT1142" s="81"/>
    </row>
    <row r="1143" spans="48:98" x14ac:dyDescent="0.25">
      <c r="AV1143" s="81"/>
      <c r="AW1143" s="81"/>
      <c r="AX1143" s="81"/>
      <c r="AY1143" s="81"/>
      <c r="BA1143" s="81"/>
      <c r="BB1143" s="81"/>
      <c r="BC1143" s="81"/>
      <c r="BD1143" s="81"/>
      <c r="BE1143" s="81"/>
      <c r="BF1143" s="81"/>
      <c r="BG1143" s="81"/>
      <c r="BH1143" s="81"/>
      <c r="BI1143" s="81"/>
      <c r="BJ1143" s="81"/>
      <c r="BK1143" s="81"/>
      <c r="BL1143" s="81"/>
      <c r="BM1143" s="81"/>
      <c r="BN1143" s="81"/>
      <c r="BO1143" s="81"/>
      <c r="BP1143" s="81"/>
      <c r="BQ1143" s="81"/>
      <c r="BR1143" s="81"/>
      <c r="BS1143" s="81"/>
      <c r="BT1143" s="81"/>
      <c r="BU1143" s="81"/>
      <c r="BV1143" s="81"/>
      <c r="BW1143" s="81"/>
      <c r="BX1143" s="81"/>
      <c r="BY1143" s="81"/>
      <c r="BZ1143" s="81"/>
      <c r="CA1143" s="81"/>
      <c r="CB1143" s="81"/>
      <c r="CC1143" s="81"/>
      <c r="CD1143" s="81"/>
      <c r="CE1143" s="81"/>
      <c r="CF1143" s="81"/>
      <c r="CG1143" s="81"/>
      <c r="CH1143" s="81"/>
      <c r="CI1143" s="81"/>
      <c r="CJ1143" s="81"/>
      <c r="CK1143" s="81"/>
      <c r="CL1143" s="81"/>
      <c r="CM1143" s="81"/>
      <c r="CN1143" s="81"/>
      <c r="CO1143" s="81"/>
      <c r="CP1143" s="81"/>
      <c r="CQ1143" s="111"/>
      <c r="CT1143" s="81"/>
    </row>
    <row r="1144" spans="48:98" x14ac:dyDescent="0.25">
      <c r="AV1144" s="81"/>
      <c r="AW1144" s="81"/>
      <c r="AX1144" s="81"/>
      <c r="AY1144" s="81"/>
      <c r="BA1144" s="81"/>
      <c r="BB1144" s="81"/>
      <c r="BC1144" s="81"/>
      <c r="BD1144" s="81"/>
      <c r="BE1144" s="81"/>
      <c r="BF1144" s="81"/>
      <c r="BG1144" s="81"/>
      <c r="BH1144" s="81"/>
      <c r="BI1144" s="81"/>
      <c r="BJ1144" s="81"/>
      <c r="BK1144" s="81"/>
      <c r="BL1144" s="81"/>
      <c r="BM1144" s="81"/>
      <c r="BN1144" s="81"/>
      <c r="BO1144" s="81"/>
      <c r="BP1144" s="81"/>
      <c r="BQ1144" s="81"/>
      <c r="BR1144" s="81"/>
      <c r="BS1144" s="81"/>
      <c r="BT1144" s="81"/>
      <c r="BU1144" s="81"/>
      <c r="BV1144" s="81"/>
      <c r="BW1144" s="81"/>
      <c r="BX1144" s="81"/>
      <c r="BY1144" s="81"/>
      <c r="BZ1144" s="81"/>
      <c r="CA1144" s="81"/>
      <c r="CB1144" s="81"/>
      <c r="CC1144" s="81"/>
      <c r="CD1144" s="81"/>
      <c r="CE1144" s="81"/>
      <c r="CF1144" s="81"/>
      <c r="CG1144" s="81"/>
      <c r="CH1144" s="81"/>
      <c r="CI1144" s="81"/>
      <c r="CJ1144" s="81"/>
      <c r="CK1144" s="81"/>
      <c r="CL1144" s="81"/>
      <c r="CM1144" s="81"/>
      <c r="CN1144" s="81"/>
      <c r="CO1144" s="81"/>
      <c r="CP1144" s="81"/>
      <c r="CQ1144" s="111"/>
      <c r="CT1144" s="81"/>
    </row>
    <row r="1145" spans="48:98" x14ac:dyDescent="0.25">
      <c r="AV1145" s="81"/>
      <c r="AW1145" s="81"/>
      <c r="AX1145" s="81"/>
      <c r="AY1145" s="81"/>
      <c r="BA1145" s="81"/>
      <c r="BB1145" s="81"/>
      <c r="BC1145" s="81"/>
      <c r="BD1145" s="81"/>
      <c r="BE1145" s="81"/>
      <c r="BF1145" s="81"/>
      <c r="BG1145" s="81"/>
      <c r="BH1145" s="81"/>
      <c r="BI1145" s="81"/>
      <c r="BJ1145" s="81"/>
      <c r="BK1145" s="81"/>
      <c r="BL1145" s="81"/>
      <c r="BM1145" s="81"/>
      <c r="BN1145" s="81"/>
      <c r="BO1145" s="81"/>
      <c r="BP1145" s="81"/>
      <c r="BQ1145" s="81"/>
      <c r="BR1145" s="81"/>
      <c r="BS1145" s="81"/>
      <c r="BT1145" s="81"/>
      <c r="BU1145" s="81"/>
      <c r="BV1145" s="81"/>
      <c r="BW1145" s="81"/>
      <c r="BX1145" s="81"/>
      <c r="BY1145" s="81"/>
      <c r="BZ1145" s="81"/>
      <c r="CA1145" s="81"/>
      <c r="CB1145" s="81"/>
      <c r="CC1145" s="81"/>
      <c r="CD1145" s="81"/>
      <c r="CE1145" s="81"/>
      <c r="CF1145" s="81"/>
      <c r="CG1145" s="81"/>
      <c r="CH1145" s="81"/>
      <c r="CI1145" s="81"/>
      <c r="CJ1145" s="81"/>
      <c r="CK1145" s="81"/>
      <c r="CL1145" s="81"/>
      <c r="CM1145" s="81"/>
      <c r="CN1145" s="81"/>
      <c r="CO1145" s="81"/>
      <c r="CP1145" s="81"/>
      <c r="CQ1145" s="111"/>
      <c r="CT1145" s="81"/>
    </row>
    <row r="1146" spans="48:98" x14ac:dyDescent="0.25">
      <c r="AV1146" s="81"/>
      <c r="AW1146" s="81"/>
      <c r="AX1146" s="81"/>
      <c r="AY1146" s="81"/>
      <c r="BA1146" s="81"/>
      <c r="BB1146" s="81"/>
      <c r="BC1146" s="81"/>
      <c r="BD1146" s="81"/>
      <c r="BE1146" s="81"/>
      <c r="BF1146" s="81"/>
      <c r="BG1146" s="81"/>
      <c r="BH1146" s="81"/>
      <c r="BI1146" s="81"/>
      <c r="BJ1146" s="81"/>
      <c r="BK1146" s="81"/>
      <c r="BL1146" s="81"/>
      <c r="BM1146" s="81"/>
      <c r="BN1146" s="81"/>
      <c r="BO1146" s="81"/>
      <c r="BP1146" s="81"/>
      <c r="BQ1146" s="81"/>
      <c r="BR1146" s="81"/>
      <c r="BS1146" s="81"/>
      <c r="BT1146" s="81"/>
      <c r="BU1146" s="81"/>
      <c r="BV1146" s="81"/>
      <c r="BW1146" s="81"/>
      <c r="BX1146" s="81"/>
      <c r="BY1146" s="81"/>
      <c r="BZ1146" s="81"/>
      <c r="CA1146" s="81"/>
      <c r="CB1146" s="81"/>
      <c r="CC1146" s="81"/>
      <c r="CD1146" s="81"/>
      <c r="CE1146" s="81"/>
      <c r="CF1146" s="81"/>
      <c r="CG1146" s="81"/>
      <c r="CH1146" s="81"/>
      <c r="CI1146" s="81"/>
      <c r="CJ1146" s="81"/>
      <c r="CK1146" s="81"/>
      <c r="CL1146" s="81"/>
      <c r="CM1146" s="81"/>
      <c r="CN1146" s="81"/>
      <c r="CO1146" s="81"/>
      <c r="CP1146" s="81"/>
      <c r="CQ1146" s="111"/>
      <c r="CT1146" s="81"/>
    </row>
    <row r="1147" spans="48:98" x14ac:dyDescent="0.25">
      <c r="AV1147" s="81"/>
      <c r="AW1147" s="81"/>
      <c r="AX1147" s="81"/>
      <c r="AY1147" s="81"/>
      <c r="BA1147" s="81"/>
      <c r="BB1147" s="81"/>
      <c r="BC1147" s="81"/>
      <c r="BD1147" s="81"/>
      <c r="BE1147" s="81"/>
      <c r="BF1147" s="81"/>
      <c r="BG1147" s="81"/>
      <c r="BH1147" s="81"/>
      <c r="BI1147" s="81"/>
      <c r="BJ1147" s="81"/>
      <c r="BK1147" s="81"/>
      <c r="BL1147" s="81"/>
      <c r="BM1147" s="81"/>
      <c r="BN1147" s="81"/>
      <c r="BO1147" s="81"/>
      <c r="BP1147" s="81"/>
      <c r="BQ1147" s="81"/>
      <c r="BR1147" s="81"/>
      <c r="BS1147" s="81"/>
      <c r="BT1147" s="81"/>
      <c r="BU1147" s="81"/>
      <c r="BV1147" s="81"/>
      <c r="BW1147" s="81"/>
      <c r="BX1147" s="81"/>
      <c r="BY1147" s="81"/>
      <c r="BZ1147" s="81"/>
      <c r="CA1147" s="81"/>
      <c r="CB1147" s="81"/>
      <c r="CC1147" s="81"/>
      <c r="CD1147" s="81"/>
      <c r="CE1147" s="81"/>
      <c r="CF1147" s="81"/>
      <c r="CG1147" s="81"/>
      <c r="CH1147" s="81"/>
      <c r="CI1147" s="81"/>
      <c r="CJ1147" s="81"/>
      <c r="CK1147" s="81"/>
      <c r="CL1147" s="81"/>
      <c r="CM1147" s="81"/>
      <c r="CN1147" s="81"/>
      <c r="CO1147" s="81"/>
      <c r="CP1147" s="81"/>
      <c r="CQ1147" s="111"/>
      <c r="CT1147" s="81"/>
    </row>
    <row r="1148" spans="48:98" x14ac:dyDescent="0.25">
      <c r="AV1148" s="81"/>
      <c r="AW1148" s="81"/>
      <c r="AX1148" s="81"/>
      <c r="AY1148" s="81"/>
      <c r="BA1148" s="81"/>
      <c r="BB1148" s="81"/>
      <c r="BC1148" s="81"/>
      <c r="BD1148" s="81"/>
      <c r="BE1148" s="81"/>
      <c r="BF1148" s="81"/>
      <c r="BG1148" s="81"/>
      <c r="BH1148" s="81"/>
      <c r="BI1148" s="81"/>
      <c r="BJ1148" s="81"/>
      <c r="BK1148" s="81"/>
      <c r="BL1148" s="81"/>
      <c r="BM1148" s="81"/>
      <c r="BN1148" s="81"/>
      <c r="BO1148" s="81"/>
      <c r="BP1148" s="81"/>
      <c r="BQ1148" s="81"/>
      <c r="BR1148" s="81"/>
      <c r="BS1148" s="81"/>
      <c r="BT1148" s="81"/>
      <c r="BU1148" s="81"/>
      <c r="BV1148" s="81"/>
      <c r="BW1148" s="81"/>
      <c r="BX1148" s="81"/>
      <c r="BY1148" s="81"/>
      <c r="BZ1148" s="81"/>
      <c r="CA1148" s="81"/>
      <c r="CB1148" s="81"/>
      <c r="CC1148" s="81"/>
      <c r="CD1148" s="81"/>
      <c r="CE1148" s="81"/>
      <c r="CF1148" s="81"/>
      <c r="CG1148" s="81"/>
      <c r="CH1148" s="81"/>
      <c r="CI1148" s="81"/>
      <c r="CJ1148" s="81"/>
      <c r="CK1148" s="81"/>
      <c r="CL1148" s="81"/>
      <c r="CM1148" s="81"/>
      <c r="CN1148" s="81"/>
      <c r="CO1148" s="81"/>
      <c r="CP1148" s="81"/>
      <c r="CQ1148" s="111"/>
      <c r="CT1148" s="81"/>
    </row>
    <row r="1149" spans="48:98" x14ac:dyDescent="0.25">
      <c r="AV1149" s="81"/>
      <c r="AW1149" s="81"/>
      <c r="AX1149" s="81"/>
      <c r="AY1149" s="81"/>
      <c r="BA1149" s="81"/>
      <c r="BB1149" s="81"/>
      <c r="BC1149" s="81"/>
      <c r="BD1149" s="81"/>
      <c r="BE1149" s="81"/>
      <c r="BF1149" s="81"/>
      <c r="BG1149" s="81"/>
      <c r="BH1149" s="81"/>
      <c r="BI1149" s="81"/>
      <c r="BJ1149" s="81"/>
      <c r="BK1149" s="81"/>
      <c r="BL1149" s="81"/>
      <c r="BM1149" s="81"/>
      <c r="BN1149" s="81"/>
      <c r="BO1149" s="81"/>
      <c r="BP1149" s="81"/>
      <c r="BQ1149" s="81"/>
      <c r="BR1149" s="81"/>
      <c r="BS1149" s="81"/>
      <c r="BT1149" s="81"/>
      <c r="BU1149" s="81"/>
      <c r="BV1149" s="81"/>
      <c r="BW1149" s="81"/>
      <c r="BX1149" s="81"/>
      <c r="BY1149" s="81"/>
      <c r="BZ1149" s="81"/>
      <c r="CA1149" s="81"/>
      <c r="CB1149" s="81"/>
      <c r="CC1149" s="81"/>
      <c r="CD1149" s="81"/>
      <c r="CE1149" s="81"/>
      <c r="CF1149" s="81"/>
      <c r="CG1149" s="81"/>
      <c r="CH1149" s="81"/>
      <c r="CI1149" s="81"/>
      <c r="CJ1149" s="81"/>
      <c r="CK1149" s="81"/>
      <c r="CL1149" s="81"/>
      <c r="CM1149" s="81"/>
      <c r="CN1149" s="81"/>
      <c r="CO1149" s="81"/>
      <c r="CP1149" s="81"/>
      <c r="CQ1149" s="111"/>
      <c r="CT1149" s="81"/>
    </row>
    <row r="1150" spans="48:98" x14ac:dyDescent="0.25">
      <c r="AV1150" s="81"/>
      <c r="AW1150" s="81"/>
      <c r="AX1150" s="81"/>
      <c r="AY1150" s="81"/>
      <c r="BA1150" s="81"/>
      <c r="BB1150" s="81"/>
      <c r="BC1150" s="81"/>
      <c r="BD1150" s="81"/>
      <c r="BE1150" s="81"/>
      <c r="BF1150" s="81"/>
      <c r="BG1150" s="81"/>
      <c r="BH1150" s="81"/>
      <c r="BI1150" s="81"/>
      <c r="BJ1150" s="81"/>
      <c r="BK1150" s="81"/>
      <c r="BL1150" s="81"/>
      <c r="BM1150" s="81"/>
      <c r="BN1150" s="81"/>
      <c r="BO1150" s="81"/>
      <c r="BP1150" s="81"/>
      <c r="BQ1150" s="81"/>
      <c r="BR1150" s="81"/>
      <c r="BS1150" s="81"/>
      <c r="BT1150" s="81"/>
      <c r="BU1150" s="81"/>
      <c r="BV1150" s="81"/>
      <c r="BW1150" s="81"/>
      <c r="BX1150" s="81"/>
      <c r="BY1150" s="81"/>
      <c r="BZ1150" s="81"/>
      <c r="CA1150" s="81"/>
      <c r="CB1150" s="81"/>
      <c r="CC1150" s="81"/>
      <c r="CD1150" s="81"/>
      <c r="CE1150" s="81"/>
      <c r="CF1150" s="81"/>
      <c r="CG1150" s="81"/>
      <c r="CH1150" s="81"/>
      <c r="CI1150" s="81"/>
      <c r="CJ1150" s="81"/>
      <c r="CK1150" s="81"/>
      <c r="CL1150" s="81"/>
      <c r="CM1150" s="81"/>
      <c r="CN1150" s="81"/>
      <c r="CO1150" s="81"/>
      <c r="CP1150" s="81"/>
      <c r="CQ1150" s="111"/>
      <c r="CT1150" s="81"/>
    </row>
    <row r="1151" spans="48:98" x14ac:dyDescent="0.25">
      <c r="AV1151" s="81"/>
      <c r="AW1151" s="81"/>
      <c r="AX1151" s="81"/>
      <c r="AY1151" s="81"/>
      <c r="BA1151" s="81"/>
      <c r="BB1151" s="81"/>
      <c r="BC1151" s="81"/>
      <c r="BD1151" s="81"/>
      <c r="BE1151" s="81"/>
      <c r="BF1151" s="81"/>
      <c r="BG1151" s="81"/>
      <c r="BH1151" s="81"/>
      <c r="BI1151" s="81"/>
      <c r="BJ1151" s="81"/>
      <c r="BK1151" s="81"/>
      <c r="BL1151" s="81"/>
      <c r="BM1151" s="81"/>
      <c r="BN1151" s="81"/>
      <c r="BO1151" s="81"/>
      <c r="BP1151" s="81"/>
      <c r="BQ1151" s="81"/>
      <c r="BR1151" s="81"/>
      <c r="BS1151" s="81"/>
      <c r="BT1151" s="81"/>
      <c r="BU1151" s="81"/>
      <c r="BV1151" s="81"/>
      <c r="BW1151" s="81"/>
      <c r="BX1151" s="81"/>
      <c r="BY1151" s="81"/>
      <c r="BZ1151" s="81"/>
      <c r="CA1151" s="81"/>
      <c r="CB1151" s="81"/>
      <c r="CC1151" s="81"/>
      <c r="CD1151" s="81"/>
      <c r="CE1151" s="81"/>
      <c r="CF1151" s="81"/>
      <c r="CG1151" s="81"/>
      <c r="CH1151" s="81"/>
      <c r="CI1151" s="81"/>
      <c r="CJ1151" s="81"/>
      <c r="CK1151" s="81"/>
      <c r="CL1151" s="81"/>
      <c r="CM1151" s="81"/>
      <c r="CN1151" s="81"/>
      <c r="CO1151" s="81"/>
      <c r="CP1151" s="81"/>
      <c r="CQ1151" s="111"/>
      <c r="CT1151" s="81"/>
    </row>
    <row r="1152" spans="48:98" x14ac:dyDescent="0.25">
      <c r="AV1152" s="81"/>
      <c r="AW1152" s="81"/>
      <c r="AX1152" s="81"/>
      <c r="AY1152" s="81"/>
      <c r="BA1152" s="81"/>
      <c r="BB1152" s="81"/>
      <c r="BC1152" s="81"/>
      <c r="BD1152" s="81"/>
      <c r="BE1152" s="81"/>
      <c r="BF1152" s="81"/>
      <c r="BG1152" s="81"/>
      <c r="BH1152" s="81"/>
      <c r="BI1152" s="81"/>
      <c r="BJ1152" s="81"/>
      <c r="BK1152" s="81"/>
      <c r="BL1152" s="81"/>
      <c r="BM1152" s="81"/>
      <c r="BN1152" s="81"/>
      <c r="BO1152" s="81"/>
      <c r="BP1152" s="81"/>
      <c r="BQ1152" s="81"/>
      <c r="BR1152" s="81"/>
      <c r="BS1152" s="81"/>
      <c r="BT1152" s="81"/>
      <c r="BU1152" s="81"/>
      <c r="BV1152" s="81"/>
      <c r="BW1152" s="81"/>
      <c r="BX1152" s="81"/>
      <c r="BY1152" s="81"/>
      <c r="BZ1152" s="81"/>
      <c r="CA1152" s="81"/>
      <c r="CB1152" s="81"/>
      <c r="CC1152" s="81"/>
      <c r="CD1152" s="81"/>
      <c r="CE1152" s="81"/>
      <c r="CF1152" s="81"/>
      <c r="CG1152" s="81"/>
      <c r="CH1152" s="81"/>
      <c r="CI1152" s="81"/>
      <c r="CJ1152" s="81"/>
      <c r="CK1152" s="81"/>
      <c r="CL1152" s="81"/>
      <c r="CM1152" s="81"/>
      <c r="CN1152" s="81"/>
      <c r="CO1152" s="81"/>
      <c r="CP1152" s="81"/>
      <c r="CQ1152" s="111"/>
      <c r="CT1152" s="81"/>
    </row>
    <row r="1153" spans="48:98" x14ac:dyDescent="0.25">
      <c r="AV1153" s="81"/>
      <c r="AW1153" s="81"/>
      <c r="AX1153" s="81"/>
      <c r="AY1153" s="81"/>
      <c r="BA1153" s="81"/>
      <c r="BB1153" s="81"/>
      <c r="BC1153" s="81"/>
      <c r="BD1153" s="81"/>
      <c r="BE1153" s="81"/>
      <c r="BF1153" s="81"/>
      <c r="BG1153" s="81"/>
      <c r="BH1153" s="81"/>
      <c r="BI1153" s="81"/>
      <c r="BJ1153" s="81"/>
      <c r="BK1153" s="81"/>
      <c r="BL1153" s="81"/>
      <c r="BM1153" s="81"/>
      <c r="BN1153" s="81"/>
      <c r="BO1153" s="81"/>
      <c r="BP1153" s="81"/>
      <c r="BQ1153" s="81"/>
      <c r="BR1153" s="81"/>
      <c r="BS1153" s="81"/>
      <c r="BT1153" s="81"/>
      <c r="BU1153" s="81"/>
      <c r="BV1153" s="81"/>
      <c r="BW1153" s="81"/>
      <c r="BX1153" s="81"/>
      <c r="BY1153" s="81"/>
      <c r="BZ1153" s="81"/>
      <c r="CA1153" s="81"/>
      <c r="CB1153" s="81"/>
      <c r="CC1153" s="81"/>
      <c r="CD1153" s="81"/>
      <c r="CE1153" s="81"/>
      <c r="CF1153" s="81"/>
      <c r="CG1153" s="81"/>
      <c r="CH1153" s="81"/>
      <c r="CI1153" s="81"/>
      <c r="CJ1153" s="81"/>
      <c r="CK1153" s="81"/>
      <c r="CL1153" s="81"/>
      <c r="CM1153" s="81"/>
      <c r="CN1153" s="81"/>
      <c r="CO1153" s="81"/>
      <c r="CP1153" s="81"/>
      <c r="CQ1153" s="111"/>
      <c r="CT1153" s="81"/>
    </row>
    <row r="1154" spans="48:98" x14ac:dyDescent="0.25">
      <c r="AV1154" s="81"/>
      <c r="AW1154" s="81"/>
      <c r="AX1154" s="81"/>
      <c r="AY1154" s="81"/>
      <c r="BA1154" s="81"/>
      <c r="BB1154" s="81"/>
      <c r="BC1154" s="81"/>
      <c r="BD1154" s="81"/>
      <c r="BE1154" s="81"/>
      <c r="BF1154" s="81"/>
      <c r="BG1154" s="81"/>
      <c r="BH1154" s="81"/>
      <c r="BI1154" s="81"/>
      <c r="BJ1154" s="81"/>
      <c r="BK1154" s="81"/>
      <c r="BL1154" s="81"/>
      <c r="BM1154" s="81"/>
      <c r="BN1154" s="81"/>
      <c r="BO1154" s="81"/>
      <c r="BP1154" s="81"/>
      <c r="BQ1154" s="81"/>
      <c r="BR1154" s="81"/>
      <c r="BS1154" s="81"/>
      <c r="BT1154" s="81"/>
      <c r="BU1154" s="81"/>
      <c r="BV1154" s="81"/>
      <c r="BW1154" s="81"/>
      <c r="BX1154" s="81"/>
      <c r="BY1154" s="81"/>
      <c r="BZ1154" s="81"/>
      <c r="CA1154" s="81"/>
      <c r="CB1154" s="81"/>
      <c r="CC1154" s="81"/>
      <c r="CD1154" s="81"/>
      <c r="CE1154" s="81"/>
      <c r="CF1154" s="81"/>
      <c r="CG1154" s="81"/>
      <c r="CH1154" s="81"/>
      <c r="CI1154" s="81"/>
      <c r="CJ1154" s="81"/>
      <c r="CK1154" s="81"/>
      <c r="CL1154" s="81"/>
      <c r="CM1154" s="81"/>
      <c r="CN1154" s="81"/>
      <c r="CO1154" s="81"/>
      <c r="CP1154" s="81"/>
      <c r="CQ1154" s="111"/>
      <c r="CT1154" s="81"/>
    </row>
    <row r="1155" spans="48:98" x14ac:dyDescent="0.25">
      <c r="AV1155" s="81"/>
      <c r="AW1155" s="81"/>
      <c r="AX1155" s="81"/>
      <c r="AY1155" s="81"/>
      <c r="BA1155" s="81"/>
      <c r="BB1155" s="81"/>
      <c r="BC1155" s="81"/>
      <c r="BD1155" s="81"/>
      <c r="BE1155" s="81"/>
      <c r="BF1155" s="81"/>
      <c r="BG1155" s="81"/>
      <c r="BH1155" s="81"/>
      <c r="BI1155" s="81"/>
      <c r="BJ1155" s="81"/>
      <c r="BK1155" s="81"/>
      <c r="BL1155" s="81"/>
      <c r="BM1155" s="81"/>
      <c r="BN1155" s="81"/>
      <c r="BO1155" s="81"/>
      <c r="BP1155" s="81"/>
      <c r="BQ1155" s="81"/>
      <c r="BR1155" s="81"/>
      <c r="BS1155" s="81"/>
      <c r="BT1155" s="81"/>
      <c r="BU1155" s="81"/>
      <c r="BV1155" s="81"/>
      <c r="BW1155" s="81"/>
      <c r="BX1155" s="81"/>
      <c r="BY1155" s="81"/>
      <c r="BZ1155" s="81"/>
      <c r="CA1155" s="81"/>
      <c r="CB1155" s="81"/>
      <c r="CC1155" s="81"/>
      <c r="CD1155" s="81"/>
      <c r="CE1155" s="81"/>
      <c r="CF1155" s="81"/>
      <c r="CG1155" s="81"/>
      <c r="CH1155" s="81"/>
      <c r="CI1155" s="81"/>
      <c r="CJ1155" s="81"/>
      <c r="CK1155" s="81"/>
      <c r="CL1155" s="81"/>
      <c r="CM1155" s="81"/>
      <c r="CN1155" s="81"/>
      <c r="CO1155" s="81"/>
      <c r="CP1155" s="81"/>
      <c r="CQ1155" s="111"/>
      <c r="CT1155" s="81"/>
    </row>
    <row r="1156" spans="48:98" x14ac:dyDescent="0.25">
      <c r="AV1156" s="81"/>
      <c r="AW1156" s="81"/>
      <c r="AX1156" s="81"/>
      <c r="AY1156" s="81"/>
      <c r="BA1156" s="81"/>
      <c r="BB1156" s="81"/>
      <c r="BC1156" s="81"/>
      <c r="BD1156" s="81"/>
      <c r="BE1156" s="81"/>
      <c r="BF1156" s="81"/>
      <c r="BG1156" s="81"/>
      <c r="BH1156" s="81"/>
      <c r="BI1156" s="81"/>
      <c r="BJ1156" s="81"/>
      <c r="BK1156" s="81"/>
      <c r="BL1156" s="81"/>
      <c r="BM1156" s="81"/>
      <c r="BN1156" s="81"/>
      <c r="BO1156" s="81"/>
      <c r="BP1156" s="81"/>
      <c r="BQ1156" s="81"/>
      <c r="BR1156" s="81"/>
      <c r="BS1156" s="81"/>
      <c r="BT1156" s="81"/>
      <c r="BU1156" s="81"/>
      <c r="BV1156" s="81"/>
      <c r="BW1156" s="81"/>
      <c r="BX1156" s="81"/>
      <c r="BY1156" s="81"/>
      <c r="BZ1156" s="81"/>
      <c r="CA1156" s="81"/>
      <c r="CB1156" s="81"/>
      <c r="CC1156" s="81"/>
      <c r="CD1156" s="81"/>
      <c r="CE1156" s="81"/>
      <c r="CF1156" s="81"/>
      <c r="CG1156" s="81"/>
      <c r="CH1156" s="81"/>
      <c r="CI1156" s="81"/>
      <c r="CJ1156" s="81"/>
      <c r="CK1156" s="81"/>
      <c r="CL1156" s="81"/>
      <c r="CM1156" s="81"/>
      <c r="CN1156" s="81"/>
      <c r="CO1156" s="81"/>
      <c r="CP1156" s="81"/>
      <c r="CQ1156" s="111"/>
      <c r="CT1156" s="81"/>
    </row>
    <row r="1157" spans="48:98" x14ac:dyDescent="0.25">
      <c r="AV1157" s="81"/>
      <c r="AW1157" s="81"/>
      <c r="AX1157" s="81"/>
      <c r="AY1157" s="81"/>
      <c r="BA1157" s="81"/>
      <c r="BB1157" s="81"/>
      <c r="BC1157" s="81"/>
      <c r="BD1157" s="81"/>
      <c r="BE1157" s="81"/>
      <c r="BF1157" s="81"/>
      <c r="BG1157" s="81"/>
      <c r="BH1157" s="81"/>
      <c r="BI1157" s="81"/>
      <c r="BJ1157" s="81"/>
      <c r="BK1157" s="81"/>
      <c r="BL1157" s="81"/>
      <c r="BM1157" s="81"/>
      <c r="BN1157" s="81"/>
      <c r="BO1157" s="81"/>
      <c r="BP1157" s="81"/>
      <c r="BQ1157" s="81"/>
      <c r="BR1157" s="81"/>
      <c r="BS1157" s="81"/>
      <c r="BT1157" s="81"/>
      <c r="BU1157" s="81"/>
      <c r="BV1157" s="81"/>
      <c r="BW1157" s="81"/>
      <c r="BX1157" s="81"/>
      <c r="BY1157" s="81"/>
      <c r="BZ1157" s="81"/>
      <c r="CA1157" s="81"/>
      <c r="CB1157" s="81"/>
      <c r="CC1157" s="81"/>
      <c r="CD1157" s="81"/>
      <c r="CE1157" s="81"/>
      <c r="CF1157" s="81"/>
      <c r="CG1157" s="81"/>
      <c r="CH1157" s="81"/>
      <c r="CI1157" s="81"/>
      <c r="CJ1157" s="81"/>
      <c r="CK1157" s="81"/>
      <c r="CL1157" s="81"/>
      <c r="CM1157" s="81"/>
      <c r="CN1157" s="81"/>
      <c r="CO1157" s="81"/>
      <c r="CP1157" s="81"/>
      <c r="CQ1157" s="111"/>
      <c r="CT1157" s="81"/>
    </row>
    <row r="1158" spans="48:98" x14ac:dyDescent="0.25">
      <c r="AV1158" s="81"/>
      <c r="AW1158" s="81"/>
      <c r="AX1158" s="81"/>
      <c r="AY1158" s="81"/>
      <c r="BA1158" s="81"/>
      <c r="BB1158" s="81"/>
      <c r="BC1158" s="81"/>
      <c r="BD1158" s="81"/>
      <c r="BE1158" s="81"/>
      <c r="BF1158" s="81"/>
      <c r="BG1158" s="81"/>
      <c r="BH1158" s="81"/>
      <c r="BI1158" s="81"/>
      <c r="BJ1158" s="81"/>
      <c r="BK1158" s="81"/>
      <c r="BL1158" s="81"/>
      <c r="BM1158" s="81"/>
      <c r="BN1158" s="81"/>
      <c r="BO1158" s="81"/>
      <c r="BP1158" s="81"/>
      <c r="BQ1158" s="81"/>
      <c r="BR1158" s="81"/>
      <c r="BS1158" s="81"/>
      <c r="BT1158" s="81"/>
      <c r="BU1158" s="81"/>
      <c r="BV1158" s="81"/>
      <c r="BW1158" s="81"/>
      <c r="BX1158" s="81"/>
      <c r="BY1158" s="81"/>
      <c r="BZ1158" s="81"/>
      <c r="CA1158" s="81"/>
      <c r="CB1158" s="81"/>
      <c r="CC1158" s="81"/>
      <c r="CD1158" s="81"/>
      <c r="CE1158" s="81"/>
      <c r="CF1158" s="81"/>
      <c r="CG1158" s="81"/>
      <c r="CH1158" s="81"/>
      <c r="CI1158" s="81"/>
      <c r="CJ1158" s="81"/>
      <c r="CK1158" s="81"/>
      <c r="CL1158" s="81"/>
      <c r="CM1158" s="81"/>
      <c r="CN1158" s="81"/>
      <c r="CO1158" s="81"/>
      <c r="CP1158" s="81"/>
      <c r="CQ1158" s="111"/>
      <c r="CT1158" s="81"/>
    </row>
    <row r="1159" spans="48:98" x14ac:dyDescent="0.25">
      <c r="AV1159" s="81"/>
      <c r="AW1159" s="81"/>
      <c r="AX1159" s="81"/>
      <c r="AY1159" s="81"/>
      <c r="BA1159" s="81"/>
      <c r="BB1159" s="81"/>
      <c r="BC1159" s="81"/>
      <c r="BD1159" s="81"/>
      <c r="BE1159" s="81"/>
      <c r="BF1159" s="81"/>
      <c r="BG1159" s="81"/>
      <c r="BH1159" s="81"/>
      <c r="BI1159" s="81"/>
      <c r="BJ1159" s="81"/>
      <c r="BK1159" s="81"/>
      <c r="BL1159" s="81"/>
      <c r="BM1159" s="81"/>
      <c r="BN1159" s="81"/>
      <c r="BO1159" s="81"/>
      <c r="BP1159" s="81"/>
      <c r="BQ1159" s="81"/>
      <c r="BR1159" s="81"/>
      <c r="BS1159" s="81"/>
      <c r="BT1159" s="81"/>
      <c r="BU1159" s="81"/>
      <c r="BV1159" s="81"/>
      <c r="BW1159" s="81"/>
      <c r="BX1159" s="81"/>
      <c r="BY1159" s="81"/>
      <c r="BZ1159" s="81"/>
      <c r="CA1159" s="81"/>
      <c r="CB1159" s="81"/>
      <c r="CC1159" s="81"/>
      <c r="CD1159" s="81"/>
      <c r="CE1159" s="81"/>
      <c r="CF1159" s="81"/>
      <c r="CG1159" s="81"/>
      <c r="CH1159" s="81"/>
      <c r="CI1159" s="81"/>
      <c r="CJ1159" s="81"/>
      <c r="CK1159" s="81"/>
      <c r="CL1159" s="81"/>
      <c r="CM1159" s="81"/>
      <c r="CN1159" s="81"/>
      <c r="CO1159" s="81"/>
      <c r="CP1159" s="81"/>
      <c r="CQ1159" s="111"/>
      <c r="CT1159" s="81"/>
    </row>
    <row r="1160" spans="48:98" x14ac:dyDescent="0.25">
      <c r="AV1160" s="81"/>
      <c r="AW1160" s="81"/>
      <c r="AX1160" s="81"/>
      <c r="AY1160" s="81"/>
      <c r="BA1160" s="81"/>
      <c r="BB1160" s="81"/>
      <c r="BC1160" s="81"/>
      <c r="BD1160" s="81"/>
      <c r="BE1160" s="81"/>
      <c r="BF1160" s="81"/>
      <c r="BG1160" s="81"/>
      <c r="BH1160" s="81"/>
      <c r="BI1160" s="81"/>
      <c r="BJ1160" s="81"/>
      <c r="BK1160" s="81"/>
      <c r="BL1160" s="81"/>
      <c r="BM1160" s="81"/>
      <c r="BN1160" s="81"/>
      <c r="BO1160" s="81"/>
      <c r="BP1160" s="81"/>
      <c r="BQ1160" s="81"/>
      <c r="BR1160" s="81"/>
      <c r="BS1160" s="81"/>
      <c r="BT1160" s="81"/>
      <c r="BU1160" s="81"/>
      <c r="BV1160" s="81"/>
      <c r="BW1160" s="81"/>
      <c r="BX1160" s="81"/>
      <c r="BY1160" s="81"/>
      <c r="BZ1160" s="81"/>
      <c r="CA1160" s="81"/>
      <c r="CB1160" s="81"/>
      <c r="CC1160" s="81"/>
      <c r="CD1160" s="81"/>
      <c r="CE1160" s="81"/>
      <c r="CF1160" s="81"/>
      <c r="CG1160" s="81"/>
      <c r="CH1160" s="81"/>
      <c r="CI1160" s="81"/>
      <c r="CJ1160" s="81"/>
      <c r="CK1160" s="81"/>
      <c r="CL1160" s="81"/>
      <c r="CM1160" s="81"/>
      <c r="CN1160" s="81"/>
      <c r="CO1160" s="81"/>
      <c r="CP1160" s="81"/>
      <c r="CQ1160" s="111"/>
      <c r="CT1160" s="81"/>
    </row>
    <row r="1161" spans="48:98" x14ac:dyDescent="0.25">
      <c r="AV1161" s="81"/>
      <c r="AW1161" s="81"/>
      <c r="AX1161" s="81"/>
      <c r="AY1161" s="81"/>
      <c r="BA1161" s="81"/>
      <c r="BB1161" s="81"/>
      <c r="BC1161" s="81"/>
      <c r="BD1161" s="81"/>
      <c r="BE1161" s="81"/>
      <c r="BF1161" s="81"/>
      <c r="BG1161" s="81"/>
      <c r="BH1161" s="81"/>
      <c r="BI1161" s="81"/>
      <c r="BJ1161" s="81"/>
      <c r="BK1161" s="81"/>
      <c r="BL1161" s="81"/>
      <c r="BM1161" s="81"/>
      <c r="BN1161" s="81"/>
      <c r="BO1161" s="81"/>
      <c r="BP1161" s="81"/>
      <c r="BQ1161" s="81"/>
      <c r="BR1161" s="81"/>
      <c r="BS1161" s="81"/>
      <c r="BT1161" s="81"/>
      <c r="BU1161" s="81"/>
      <c r="BV1161" s="81"/>
      <c r="BW1161" s="81"/>
      <c r="BX1161" s="81"/>
      <c r="BY1161" s="81"/>
      <c r="BZ1161" s="81"/>
      <c r="CA1161" s="81"/>
      <c r="CB1161" s="81"/>
      <c r="CC1161" s="81"/>
      <c r="CD1161" s="81"/>
      <c r="CE1161" s="81"/>
      <c r="CF1161" s="81"/>
      <c r="CG1161" s="81"/>
      <c r="CH1161" s="81"/>
      <c r="CI1161" s="81"/>
      <c r="CJ1161" s="81"/>
      <c r="CK1161" s="81"/>
      <c r="CL1161" s="81"/>
      <c r="CM1161" s="81"/>
      <c r="CN1161" s="81"/>
      <c r="CO1161" s="81"/>
      <c r="CP1161" s="81"/>
      <c r="CQ1161" s="111"/>
      <c r="CT1161" s="81"/>
    </row>
    <row r="1162" spans="48:98" x14ac:dyDescent="0.25">
      <c r="AV1162" s="81"/>
      <c r="AW1162" s="81"/>
      <c r="AX1162" s="81"/>
      <c r="AY1162" s="81"/>
      <c r="BA1162" s="81"/>
      <c r="BB1162" s="81"/>
      <c r="BC1162" s="81"/>
      <c r="BD1162" s="81"/>
      <c r="BE1162" s="81"/>
      <c r="BF1162" s="81"/>
      <c r="BG1162" s="81"/>
      <c r="BH1162" s="81"/>
      <c r="BI1162" s="81"/>
      <c r="BJ1162" s="81"/>
      <c r="BK1162" s="81"/>
      <c r="BL1162" s="81"/>
      <c r="BM1162" s="81"/>
      <c r="BN1162" s="81"/>
      <c r="BO1162" s="81"/>
      <c r="BP1162" s="81"/>
      <c r="BQ1162" s="81"/>
      <c r="BR1162" s="81"/>
      <c r="BS1162" s="81"/>
      <c r="BT1162" s="81"/>
      <c r="BU1162" s="81"/>
      <c r="BV1162" s="81"/>
      <c r="BW1162" s="81"/>
      <c r="BX1162" s="81"/>
      <c r="BY1162" s="81"/>
      <c r="BZ1162" s="81"/>
      <c r="CA1162" s="81"/>
      <c r="CB1162" s="81"/>
      <c r="CC1162" s="81"/>
      <c r="CD1162" s="81"/>
      <c r="CE1162" s="81"/>
      <c r="CF1162" s="81"/>
      <c r="CG1162" s="81"/>
      <c r="CH1162" s="81"/>
      <c r="CI1162" s="81"/>
      <c r="CJ1162" s="81"/>
      <c r="CK1162" s="81"/>
      <c r="CL1162" s="81"/>
      <c r="CM1162" s="81"/>
      <c r="CN1162" s="81"/>
      <c r="CO1162" s="81"/>
      <c r="CP1162" s="81"/>
      <c r="CQ1162" s="111"/>
      <c r="CT1162" s="81"/>
    </row>
    <row r="1163" spans="48:98" x14ac:dyDescent="0.25">
      <c r="AV1163" s="81"/>
      <c r="AW1163" s="81"/>
      <c r="AX1163" s="81"/>
      <c r="AY1163" s="81"/>
      <c r="BA1163" s="81"/>
      <c r="BB1163" s="81"/>
      <c r="BC1163" s="81"/>
      <c r="BD1163" s="81"/>
      <c r="BE1163" s="81"/>
      <c r="BF1163" s="81"/>
      <c r="BG1163" s="81"/>
      <c r="BH1163" s="81"/>
      <c r="BI1163" s="81"/>
      <c r="BJ1163" s="81"/>
      <c r="BK1163" s="81"/>
      <c r="BL1163" s="81"/>
      <c r="BM1163" s="81"/>
      <c r="BN1163" s="81"/>
      <c r="BO1163" s="81"/>
      <c r="BP1163" s="81"/>
      <c r="BQ1163" s="81"/>
      <c r="BR1163" s="81"/>
      <c r="BS1163" s="81"/>
      <c r="BT1163" s="81"/>
      <c r="BU1163" s="81"/>
      <c r="BV1163" s="81"/>
      <c r="BW1163" s="81"/>
      <c r="BX1163" s="81"/>
      <c r="BY1163" s="81"/>
      <c r="BZ1163" s="81"/>
      <c r="CA1163" s="81"/>
      <c r="CB1163" s="81"/>
      <c r="CC1163" s="81"/>
      <c r="CD1163" s="81"/>
      <c r="CE1163" s="81"/>
      <c r="CF1163" s="81"/>
      <c r="CG1163" s="81"/>
      <c r="CH1163" s="81"/>
      <c r="CI1163" s="81"/>
      <c r="CJ1163" s="81"/>
      <c r="CK1163" s="81"/>
      <c r="CL1163" s="81"/>
      <c r="CM1163" s="81"/>
      <c r="CN1163" s="81"/>
      <c r="CO1163" s="81"/>
      <c r="CP1163" s="81"/>
      <c r="CQ1163" s="111"/>
      <c r="CT1163" s="81"/>
    </row>
    <row r="1164" spans="48:98" x14ac:dyDescent="0.25">
      <c r="AV1164" s="81"/>
      <c r="AW1164" s="81"/>
      <c r="AX1164" s="81"/>
      <c r="AY1164" s="81"/>
      <c r="BA1164" s="81"/>
      <c r="BB1164" s="81"/>
      <c r="BC1164" s="81"/>
      <c r="BD1164" s="81"/>
      <c r="BE1164" s="81"/>
      <c r="BF1164" s="81"/>
      <c r="BG1164" s="81"/>
      <c r="BH1164" s="81"/>
      <c r="BI1164" s="81"/>
      <c r="BJ1164" s="81"/>
      <c r="BK1164" s="81"/>
      <c r="BL1164" s="81"/>
      <c r="BM1164" s="81"/>
      <c r="BN1164" s="81"/>
      <c r="BO1164" s="81"/>
      <c r="BP1164" s="81"/>
      <c r="BQ1164" s="81"/>
      <c r="BR1164" s="81"/>
      <c r="BS1164" s="81"/>
      <c r="BT1164" s="81"/>
      <c r="BU1164" s="81"/>
      <c r="BV1164" s="81"/>
      <c r="BW1164" s="81"/>
      <c r="BX1164" s="81"/>
      <c r="BY1164" s="81"/>
      <c r="BZ1164" s="81"/>
      <c r="CA1164" s="81"/>
      <c r="CB1164" s="81"/>
      <c r="CC1164" s="81"/>
      <c r="CD1164" s="81"/>
      <c r="CE1164" s="81"/>
      <c r="CF1164" s="81"/>
      <c r="CG1164" s="81"/>
      <c r="CH1164" s="81"/>
      <c r="CI1164" s="81"/>
      <c r="CJ1164" s="81"/>
      <c r="CK1164" s="81"/>
      <c r="CL1164" s="81"/>
      <c r="CM1164" s="81"/>
      <c r="CN1164" s="81"/>
      <c r="CO1164" s="81"/>
      <c r="CP1164" s="81"/>
      <c r="CQ1164" s="111"/>
      <c r="CT1164" s="81"/>
    </row>
    <row r="1165" spans="48:98" x14ac:dyDescent="0.25">
      <c r="AV1165" s="81"/>
      <c r="AW1165" s="81"/>
      <c r="AX1165" s="81"/>
      <c r="AY1165" s="81"/>
      <c r="BA1165" s="81"/>
      <c r="BB1165" s="81"/>
      <c r="BC1165" s="81"/>
      <c r="BD1165" s="81"/>
      <c r="BE1165" s="81"/>
      <c r="BF1165" s="81"/>
      <c r="BG1165" s="81"/>
      <c r="BH1165" s="81"/>
      <c r="BI1165" s="81"/>
      <c r="BJ1165" s="81"/>
      <c r="BK1165" s="81"/>
      <c r="BL1165" s="81"/>
      <c r="BM1165" s="81"/>
      <c r="BN1165" s="81"/>
      <c r="BO1165" s="81"/>
      <c r="BP1165" s="81"/>
      <c r="BQ1165" s="81"/>
      <c r="BR1165" s="81"/>
      <c r="BS1165" s="81"/>
      <c r="BT1165" s="81"/>
      <c r="BU1165" s="81"/>
      <c r="BV1165" s="81"/>
      <c r="BW1165" s="81"/>
      <c r="BX1165" s="81"/>
      <c r="BY1165" s="81"/>
      <c r="BZ1165" s="81"/>
      <c r="CA1165" s="81"/>
      <c r="CB1165" s="81"/>
      <c r="CC1165" s="81"/>
      <c r="CD1165" s="81"/>
      <c r="CE1165" s="81"/>
      <c r="CF1165" s="81"/>
      <c r="CG1165" s="81"/>
      <c r="CH1165" s="81"/>
      <c r="CI1165" s="81"/>
      <c r="CJ1165" s="81"/>
      <c r="CK1165" s="81"/>
      <c r="CL1165" s="81"/>
      <c r="CM1165" s="81"/>
      <c r="CN1165" s="81"/>
      <c r="CO1165" s="81"/>
      <c r="CP1165" s="81"/>
      <c r="CQ1165" s="111"/>
      <c r="CT1165" s="81"/>
    </row>
    <row r="1166" spans="48:98" x14ac:dyDescent="0.25">
      <c r="AV1166" s="81"/>
      <c r="AW1166" s="81"/>
      <c r="AX1166" s="81"/>
      <c r="AY1166" s="81"/>
      <c r="BA1166" s="81"/>
      <c r="BB1166" s="81"/>
      <c r="BC1166" s="81"/>
      <c r="BD1166" s="81"/>
      <c r="BE1166" s="81"/>
      <c r="BF1166" s="81"/>
      <c r="BG1166" s="81"/>
      <c r="BH1166" s="81"/>
      <c r="BI1166" s="81"/>
      <c r="BJ1166" s="81"/>
      <c r="BK1166" s="81"/>
      <c r="BL1166" s="81"/>
      <c r="BM1166" s="81"/>
      <c r="BN1166" s="81"/>
      <c r="BO1166" s="81"/>
      <c r="BP1166" s="81"/>
      <c r="BQ1166" s="81"/>
      <c r="BR1166" s="81"/>
      <c r="BS1166" s="81"/>
      <c r="BT1166" s="81"/>
      <c r="BU1166" s="81"/>
      <c r="BV1166" s="81"/>
      <c r="BW1166" s="81"/>
      <c r="BX1166" s="81"/>
      <c r="BY1166" s="81"/>
      <c r="BZ1166" s="81"/>
      <c r="CA1166" s="81"/>
      <c r="CB1166" s="81"/>
      <c r="CC1166" s="81"/>
      <c r="CD1166" s="81"/>
      <c r="CE1166" s="81"/>
      <c r="CF1166" s="81"/>
      <c r="CG1166" s="81"/>
      <c r="CH1166" s="81"/>
      <c r="CI1166" s="81"/>
      <c r="CJ1166" s="81"/>
      <c r="CK1166" s="81"/>
      <c r="CL1166" s="81"/>
      <c r="CM1166" s="81"/>
      <c r="CN1166" s="81"/>
      <c r="CO1166" s="81"/>
      <c r="CP1166" s="81"/>
      <c r="CQ1166" s="111"/>
      <c r="CT1166" s="81"/>
    </row>
    <row r="1167" spans="48:98" x14ac:dyDescent="0.25">
      <c r="AV1167" s="81"/>
      <c r="AW1167" s="81"/>
      <c r="AX1167" s="81"/>
      <c r="AY1167" s="81"/>
      <c r="BA1167" s="81"/>
      <c r="BB1167" s="81"/>
      <c r="BC1167" s="81"/>
      <c r="BD1167" s="81"/>
      <c r="BE1167" s="81"/>
      <c r="BF1167" s="81"/>
      <c r="BG1167" s="81"/>
      <c r="BH1167" s="81"/>
      <c r="BI1167" s="81"/>
      <c r="BJ1167" s="81"/>
      <c r="BK1167" s="81"/>
      <c r="BL1167" s="81"/>
      <c r="BM1167" s="81"/>
      <c r="BN1167" s="81"/>
      <c r="BO1167" s="81"/>
      <c r="BP1167" s="81"/>
      <c r="BQ1167" s="81"/>
      <c r="BR1167" s="81"/>
      <c r="BS1167" s="81"/>
      <c r="BT1167" s="81"/>
      <c r="BU1167" s="81"/>
      <c r="BV1167" s="81"/>
      <c r="BW1167" s="81"/>
      <c r="BX1167" s="81"/>
      <c r="BY1167" s="81"/>
      <c r="BZ1167" s="81"/>
      <c r="CA1167" s="81"/>
      <c r="CB1167" s="81"/>
      <c r="CC1167" s="81"/>
      <c r="CD1167" s="81"/>
      <c r="CE1167" s="81"/>
      <c r="CF1167" s="81"/>
      <c r="CG1167" s="81"/>
      <c r="CH1167" s="81"/>
      <c r="CI1167" s="81"/>
      <c r="CJ1167" s="81"/>
      <c r="CK1167" s="81"/>
      <c r="CL1167" s="81"/>
      <c r="CM1167" s="81"/>
      <c r="CN1167" s="81"/>
      <c r="CO1167" s="81"/>
      <c r="CP1167" s="81"/>
      <c r="CQ1167" s="111"/>
      <c r="CT1167" s="81"/>
    </row>
    <row r="1168" spans="48:98" x14ac:dyDescent="0.25">
      <c r="AV1168" s="81"/>
      <c r="AW1168" s="81"/>
      <c r="AX1168" s="81"/>
      <c r="AY1168" s="81"/>
      <c r="BA1168" s="81"/>
      <c r="BB1168" s="81"/>
      <c r="BC1168" s="81"/>
      <c r="BD1168" s="81"/>
      <c r="BE1168" s="81"/>
      <c r="BF1168" s="81"/>
      <c r="BG1168" s="81"/>
      <c r="BH1168" s="81"/>
      <c r="BI1168" s="81"/>
      <c r="BJ1168" s="81"/>
      <c r="BK1168" s="81"/>
      <c r="BL1168" s="81"/>
      <c r="BM1168" s="81"/>
      <c r="BN1168" s="81"/>
      <c r="BO1168" s="81"/>
      <c r="BP1168" s="81"/>
      <c r="BQ1168" s="81"/>
      <c r="BR1168" s="81"/>
      <c r="BS1168" s="81"/>
      <c r="BT1168" s="81"/>
      <c r="BU1168" s="81"/>
      <c r="BV1168" s="81"/>
      <c r="BW1168" s="81"/>
      <c r="BX1168" s="81"/>
      <c r="BY1168" s="81"/>
      <c r="BZ1168" s="81"/>
      <c r="CA1168" s="81"/>
      <c r="CB1168" s="81"/>
      <c r="CC1168" s="81"/>
      <c r="CD1168" s="81"/>
      <c r="CE1168" s="81"/>
      <c r="CF1168" s="81"/>
      <c r="CG1168" s="81"/>
      <c r="CH1168" s="81"/>
      <c r="CI1168" s="81"/>
      <c r="CJ1168" s="81"/>
      <c r="CK1168" s="81"/>
      <c r="CL1168" s="81"/>
      <c r="CM1168" s="81"/>
      <c r="CN1168" s="81"/>
      <c r="CO1168" s="81"/>
      <c r="CP1168" s="81"/>
      <c r="CQ1168" s="111"/>
      <c r="CT1168" s="81"/>
    </row>
    <row r="1169" spans="48:98" x14ac:dyDescent="0.25">
      <c r="AV1169" s="81"/>
      <c r="AW1169" s="81"/>
      <c r="AX1169" s="81"/>
      <c r="AY1169" s="81"/>
      <c r="BA1169" s="81"/>
      <c r="BB1169" s="81"/>
      <c r="BC1169" s="81"/>
      <c r="BD1169" s="81"/>
      <c r="BE1169" s="81"/>
      <c r="BF1169" s="81"/>
      <c r="BG1169" s="81"/>
      <c r="BH1169" s="81"/>
      <c r="BI1169" s="81"/>
      <c r="BJ1169" s="81"/>
      <c r="BK1169" s="81"/>
      <c r="BL1169" s="81"/>
      <c r="BM1169" s="81"/>
      <c r="BN1169" s="81"/>
      <c r="BO1169" s="81"/>
      <c r="BP1169" s="81"/>
      <c r="BQ1169" s="81"/>
      <c r="BR1169" s="81"/>
      <c r="BS1169" s="81"/>
      <c r="BT1169" s="81"/>
      <c r="BU1169" s="81"/>
      <c r="BV1169" s="81"/>
      <c r="BW1169" s="81"/>
      <c r="BX1169" s="81"/>
      <c r="BY1169" s="81"/>
      <c r="BZ1169" s="81"/>
      <c r="CA1169" s="81"/>
      <c r="CB1169" s="81"/>
      <c r="CC1169" s="81"/>
      <c r="CD1169" s="81"/>
      <c r="CE1169" s="81"/>
      <c r="CF1169" s="81"/>
      <c r="CG1169" s="81"/>
      <c r="CH1169" s="81"/>
      <c r="CI1169" s="81"/>
      <c r="CJ1169" s="81"/>
      <c r="CK1169" s="81"/>
      <c r="CL1169" s="81"/>
      <c r="CM1169" s="81"/>
      <c r="CN1169" s="81"/>
      <c r="CO1169" s="81"/>
      <c r="CP1169" s="81"/>
      <c r="CQ1169" s="111"/>
      <c r="CT1169" s="81"/>
    </row>
    <row r="1170" spans="48:98" x14ac:dyDescent="0.25">
      <c r="AV1170" s="81"/>
      <c r="AW1170" s="81"/>
      <c r="AX1170" s="81"/>
      <c r="AY1170" s="81"/>
      <c r="BA1170" s="81"/>
      <c r="BB1170" s="81"/>
      <c r="BC1170" s="81"/>
      <c r="BD1170" s="81"/>
      <c r="BE1170" s="81"/>
      <c r="BF1170" s="81"/>
      <c r="BG1170" s="81"/>
      <c r="BH1170" s="81"/>
      <c r="BI1170" s="81"/>
      <c r="BJ1170" s="81"/>
      <c r="BK1170" s="81"/>
      <c r="BL1170" s="81"/>
      <c r="BM1170" s="81"/>
      <c r="BN1170" s="81"/>
      <c r="BO1170" s="81"/>
      <c r="BP1170" s="81"/>
      <c r="BQ1170" s="81"/>
      <c r="BR1170" s="81"/>
      <c r="BS1170" s="81"/>
      <c r="BT1170" s="81"/>
      <c r="BU1170" s="81"/>
      <c r="BV1170" s="81"/>
      <c r="BW1170" s="81"/>
      <c r="BX1170" s="81"/>
      <c r="BY1170" s="81"/>
      <c r="BZ1170" s="81"/>
      <c r="CA1170" s="81"/>
      <c r="CB1170" s="81"/>
      <c r="CC1170" s="81"/>
      <c r="CD1170" s="81"/>
      <c r="CE1170" s="81"/>
      <c r="CF1170" s="81"/>
      <c r="CG1170" s="81"/>
      <c r="CH1170" s="81"/>
      <c r="CI1170" s="81"/>
      <c r="CJ1170" s="81"/>
      <c r="CK1170" s="81"/>
      <c r="CL1170" s="81"/>
      <c r="CM1170" s="81"/>
      <c r="CN1170" s="81"/>
      <c r="CO1170" s="81"/>
      <c r="CP1170" s="81"/>
      <c r="CQ1170" s="111"/>
      <c r="CT1170" s="81"/>
    </row>
    <row r="1171" spans="48:98" x14ac:dyDescent="0.25">
      <c r="AV1171" s="81"/>
      <c r="AW1171" s="81"/>
      <c r="AX1171" s="81"/>
      <c r="AY1171" s="81"/>
      <c r="BA1171" s="81"/>
      <c r="BB1171" s="81"/>
      <c r="BC1171" s="81"/>
      <c r="BD1171" s="81"/>
      <c r="BE1171" s="81"/>
      <c r="BF1171" s="81"/>
      <c r="BG1171" s="81"/>
      <c r="BH1171" s="81"/>
      <c r="BI1171" s="81"/>
      <c r="BJ1171" s="81"/>
      <c r="BK1171" s="81"/>
      <c r="BL1171" s="81"/>
      <c r="BM1171" s="81"/>
      <c r="BN1171" s="81"/>
      <c r="BO1171" s="81"/>
      <c r="BP1171" s="81"/>
      <c r="BQ1171" s="81"/>
      <c r="BR1171" s="81"/>
      <c r="BS1171" s="81"/>
      <c r="BT1171" s="81"/>
      <c r="BU1171" s="81"/>
      <c r="BV1171" s="81"/>
      <c r="BW1171" s="81"/>
      <c r="BX1171" s="81"/>
      <c r="BY1171" s="81"/>
      <c r="BZ1171" s="81"/>
      <c r="CA1171" s="81"/>
      <c r="CB1171" s="81"/>
      <c r="CC1171" s="81"/>
      <c r="CD1171" s="81"/>
      <c r="CE1171" s="81"/>
      <c r="CF1171" s="81"/>
      <c r="CG1171" s="81"/>
      <c r="CH1171" s="81"/>
      <c r="CI1171" s="81"/>
      <c r="CJ1171" s="81"/>
      <c r="CK1171" s="81"/>
      <c r="CL1171" s="81"/>
      <c r="CM1171" s="81"/>
      <c r="CN1171" s="81"/>
      <c r="CO1171" s="81"/>
      <c r="CP1171" s="81"/>
      <c r="CQ1171" s="111"/>
      <c r="CT1171" s="81"/>
    </row>
    <row r="1172" spans="48:98" x14ac:dyDescent="0.25">
      <c r="AV1172" s="81"/>
      <c r="AW1172" s="81"/>
      <c r="AX1172" s="81"/>
      <c r="AY1172" s="81"/>
      <c r="BA1172" s="81"/>
      <c r="BB1172" s="81"/>
      <c r="BC1172" s="81"/>
      <c r="BD1172" s="81"/>
      <c r="BE1172" s="81"/>
      <c r="BF1172" s="81"/>
      <c r="BG1172" s="81"/>
      <c r="BH1172" s="81"/>
      <c r="BI1172" s="81"/>
      <c r="BJ1172" s="81"/>
      <c r="BK1172" s="81"/>
      <c r="BL1172" s="81"/>
      <c r="BM1172" s="81"/>
      <c r="BN1172" s="81"/>
      <c r="BO1172" s="81"/>
      <c r="BP1172" s="81"/>
      <c r="BQ1172" s="81"/>
      <c r="BR1172" s="81"/>
      <c r="BS1172" s="81"/>
      <c r="BT1172" s="81"/>
      <c r="BU1172" s="81"/>
      <c r="BV1172" s="81"/>
      <c r="BW1172" s="81"/>
      <c r="BX1172" s="81"/>
      <c r="BY1172" s="81"/>
      <c r="BZ1172" s="81"/>
      <c r="CA1172" s="81"/>
      <c r="CB1172" s="81"/>
      <c r="CC1172" s="81"/>
      <c r="CD1172" s="81"/>
      <c r="CE1172" s="81"/>
      <c r="CF1172" s="81"/>
      <c r="CG1172" s="81"/>
      <c r="CH1172" s="81"/>
      <c r="CI1172" s="81"/>
      <c r="CJ1172" s="81"/>
      <c r="CK1172" s="81"/>
      <c r="CL1172" s="81"/>
      <c r="CM1172" s="81"/>
      <c r="CN1172" s="81"/>
      <c r="CO1172" s="81"/>
      <c r="CP1172" s="81"/>
      <c r="CQ1172" s="111"/>
      <c r="CT1172" s="81"/>
    </row>
    <row r="1173" spans="48:98" x14ac:dyDescent="0.25">
      <c r="AV1173" s="81"/>
      <c r="AW1173" s="81"/>
      <c r="AX1173" s="81"/>
      <c r="AY1173" s="81"/>
      <c r="BA1173" s="81"/>
      <c r="BB1173" s="81"/>
      <c r="BC1173" s="81"/>
      <c r="BD1173" s="81"/>
      <c r="BE1173" s="81"/>
      <c r="BF1173" s="81"/>
      <c r="BG1173" s="81"/>
      <c r="BH1173" s="81"/>
      <c r="BI1173" s="81"/>
      <c r="BJ1173" s="81"/>
      <c r="BK1173" s="81"/>
      <c r="BL1173" s="81"/>
      <c r="BM1173" s="81"/>
      <c r="BN1173" s="81"/>
      <c r="BO1173" s="81"/>
      <c r="BP1173" s="81"/>
      <c r="BQ1173" s="81"/>
      <c r="BR1173" s="81"/>
      <c r="BS1173" s="81"/>
      <c r="BT1173" s="81"/>
      <c r="BU1173" s="81"/>
      <c r="BV1173" s="81"/>
      <c r="BW1173" s="81"/>
      <c r="BX1173" s="81"/>
      <c r="BY1173" s="81"/>
      <c r="BZ1173" s="81"/>
      <c r="CA1173" s="81"/>
      <c r="CB1173" s="81"/>
      <c r="CC1173" s="81"/>
      <c r="CD1173" s="81"/>
      <c r="CE1173" s="81"/>
      <c r="CF1173" s="81"/>
      <c r="CG1173" s="81"/>
      <c r="CH1173" s="81"/>
      <c r="CI1173" s="81"/>
      <c r="CJ1173" s="81"/>
      <c r="CK1173" s="81"/>
      <c r="CL1173" s="81"/>
      <c r="CM1173" s="81"/>
      <c r="CN1173" s="81"/>
      <c r="CO1173" s="81"/>
      <c r="CP1173" s="81"/>
      <c r="CQ1173" s="111"/>
      <c r="CT1173" s="81"/>
    </row>
    <row r="1174" spans="48:98" x14ac:dyDescent="0.25">
      <c r="AV1174" s="81"/>
      <c r="AW1174" s="81"/>
      <c r="AX1174" s="81"/>
      <c r="AY1174" s="81"/>
      <c r="BA1174" s="81"/>
      <c r="BB1174" s="81"/>
      <c r="BC1174" s="81"/>
      <c r="BD1174" s="81"/>
      <c r="BE1174" s="81"/>
      <c r="BF1174" s="81"/>
      <c r="BG1174" s="81"/>
      <c r="BH1174" s="81"/>
      <c r="BI1174" s="81"/>
      <c r="BJ1174" s="81"/>
      <c r="BK1174" s="81"/>
      <c r="BL1174" s="81"/>
      <c r="BM1174" s="81"/>
      <c r="BN1174" s="81"/>
      <c r="BO1174" s="81"/>
      <c r="BP1174" s="81"/>
      <c r="BQ1174" s="81"/>
      <c r="BR1174" s="81"/>
      <c r="BS1174" s="81"/>
      <c r="BT1174" s="81"/>
      <c r="BU1174" s="81"/>
      <c r="BV1174" s="81"/>
      <c r="BW1174" s="81"/>
      <c r="BX1174" s="81"/>
      <c r="BY1174" s="81"/>
      <c r="BZ1174" s="81"/>
      <c r="CA1174" s="81"/>
      <c r="CB1174" s="81"/>
      <c r="CC1174" s="81"/>
      <c r="CD1174" s="81"/>
      <c r="CE1174" s="81"/>
      <c r="CF1174" s="81"/>
      <c r="CG1174" s="81"/>
      <c r="CH1174" s="81"/>
      <c r="CI1174" s="81"/>
      <c r="CJ1174" s="81"/>
      <c r="CK1174" s="81"/>
      <c r="CL1174" s="81"/>
      <c r="CM1174" s="81"/>
      <c r="CN1174" s="81"/>
      <c r="CO1174" s="81"/>
      <c r="CP1174" s="81"/>
      <c r="CQ1174" s="111"/>
      <c r="CT1174" s="81"/>
    </row>
    <row r="1175" spans="48:98" x14ac:dyDescent="0.25">
      <c r="AV1175" s="81"/>
      <c r="AW1175" s="81"/>
      <c r="AX1175" s="81"/>
      <c r="AY1175" s="81"/>
      <c r="BA1175" s="81"/>
      <c r="BB1175" s="81"/>
      <c r="BC1175" s="81"/>
      <c r="BD1175" s="81"/>
      <c r="BE1175" s="81"/>
      <c r="BF1175" s="81"/>
      <c r="BG1175" s="81"/>
      <c r="BH1175" s="81"/>
      <c r="BI1175" s="81"/>
      <c r="BJ1175" s="81"/>
      <c r="BK1175" s="81"/>
      <c r="BL1175" s="81"/>
      <c r="BM1175" s="81"/>
      <c r="BN1175" s="81"/>
      <c r="BO1175" s="81"/>
      <c r="BP1175" s="81"/>
      <c r="BQ1175" s="81"/>
      <c r="BR1175" s="81"/>
      <c r="BS1175" s="81"/>
      <c r="BT1175" s="81"/>
      <c r="BU1175" s="81"/>
      <c r="BV1175" s="81"/>
      <c r="BW1175" s="81"/>
      <c r="BX1175" s="81"/>
      <c r="BY1175" s="81"/>
      <c r="BZ1175" s="81"/>
      <c r="CA1175" s="81"/>
      <c r="CB1175" s="81"/>
      <c r="CC1175" s="81"/>
      <c r="CD1175" s="81"/>
      <c r="CE1175" s="81"/>
      <c r="CF1175" s="81"/>
      <c r="CG1175" s="81"/>
      <c r="CH1175" s="81"/>
      <c r="CI1175" s="81"/>
      <c r="CJ1175" s="81"/>
      <c r="CK1175" s="81"/>
      <c r="CL1175" s="81"/>
      <c r="CM1175" s="81"/>
      <c r="CN1175" s="81"/>
      <c r="CO1175" s="81"/>
      <c r="CP1175" s="81"/>
      <c r="CQ1175" s="111"/>
      <c r="CT1175" s="81"/>
    </row>
    <row r="1176" spans="48:98" x14ac:dyDescent="0.25">
      <c r="AV1176" s="81"/>
      <c r="AW1176" s="81"/>
      <c r="AX1176" s="81"/>
      <c r="AY1176" s="81"/>
      <c r="BA1176" s="81"/>
      <c r="BB1176" s="81"/>
      <c r="BC1176" s="81"/>
      <c r="BD1176" s="81"/>
      <c r="BE1176" s="81"/>
      <c r="BF1176" s="81"/>
      <c r="BG1176" s="81"/>
      <c r="BH1176" s="81"/>
      <c r="BI1176" s="81"/>
      <c r="BJ1176" s="81"/>
      <c r="BK1176" s="81"/>
      <c r="BL1176" s="81"/>
      <c r="BM1176" s="81"/>
      <c r="BN1176" s="81"/>
      <c r="BO1176" s="81"/>
      <c r="BP1176" s="81"/>
      <c r="BQ1176" s="81"/>
      <c r="BR1176" s="81"/>
      <c r="BS1176" s="81"/>
      <c r="BT1176" s="81"/>
      <c r="BU1176" s="81"/>
      <c r="BV1176" s="81"/>
      <c r="BW1176" s="81"/>
      <c r="BX1176" s="81"/>
      <c r="BY1176" s="81"/>
      <c r="BZ1176" s="81"/>
      <c r="CA1176" s="81"/>
      <c r="CB1176" s="81"/>
      <c r="CC1176" s="81"/>
      <c r="CD1176" s="81"/>
      <c r="CE1176" s="81"/>
      <c r="CF1176" s="81"/>
      <c r="CG1176" s="81"/>
      <c r="CH1176" s="81"/>
      <c r="CI1176" s="81"/>
      <c r="CJ1176" s="81"/>
      <c r="CK1176" s="81"/>
      <c r="CL1176" s="81"/>
      <c r="CM1176" s="81"/>
      <c r="CN1176" s="81"/>
      <c r="CO1176" s="81"/>
      <c r="CP1176" s="81"/>
      <c r="CQ1176" s="111"/>
      <c r="CT1176" s="81"/>
    </row>
    <row r="1177" spans="48:98" x14ac:dyDescent="0.25">
      <c r="AV1177" s="81"/>
      <c r="AW1177" s="81"/>
      <c r="AX1177" s="81"/>
      <c r="AY1177" s="81"/>
      <c r="BA1177" s="81"/>
      <c r="BB1177" s="81"/>
      <c r="BC1177" s="81"/>
      <c r="BD1177" s="81"/>
      <c r="BE1177" s="81"/>
      <c r="BF1177" s="81"/>
      <c r="BG1177" s="81"/>
      <c r="BH1177" s="81"/>
      <c r="BI1177" s="81"/>
      <c r="BJ1177" s="81"/>
      <c r="BK1177" s="81"/>
      <c r="BL1177" s="81"/>
      <c r="BM1177" s="81"/>
      <c r="BN1177" s="81"/>
      <c r="BO1177" s="81"/>
      <c r="BP1177" s="81"/>
      <c r="BQ1177" s="81"/>
      <c r="BR1177" s="81"/>
      <c r="BS1177" s="81"/>
      <c r="BT1177" s="81"/>
      <c r="BU1177" s="81"/>
      <c r="BV1177" s="81"/>
      <c r="BW1177" s="81"/>
      <c r="BX1177" s="81"/>
      <c r="BY1177" s="81"/>
      <c r="BZ1177" s="81"/>
      <c r="CA1177" s="81"/>
      <c r="CB1177" s="81"/>
      <c r="CC1177" s="81"/>
      <c r="CD1177" s="81"/>
      <c r="CE1177" s="81"/>
      <c r="CF1177" s="81"/>
      <c r="CG1177" s="81"/>
      <c r="CH1177" s="81"/>
      <c r="CI1177" s="81"/>
      <c r="CJ1177" s="81"/>
      <c r="CK1177" s="81"/>
      <c r="CL1177" s="81"/>
      <c r="CM1177" s="81"/>
      <c r="CN1177" s="81"/>
      <c r="CO1177" s="81"/>
      <c r="CP1177" s="81"/>
      <c r="CQ1177" s="111"/>
      <c r="CT1177" s="81"/>
    </row>
    <row r="1178" spans="48:98" x14ac:dyDescent="0.25">
      <c r="AV1178" s="81"/>
      <c r="AW1178" s="81"/>
      <c r="AX1178" s="81"/>
      <c r="AY1178" s="81"/>
      <c r="BA1178" s="81"/>
      <c r="BB1178" s="81"/>
      <c r="BC1178" s="81"/>
      <c r="BD1178" s="81"/>
      <c r="BE1178" s="81"/>
      <c r="BF1178" s="81"/>
      <c r="BG1178" s="81"/>
      <c r="BH1178" s="81"/>
      <c r="BI1178" s="81"/>
      <c r="BJ1178" s="81"/>
      <c r="BK1178" s="81"/>
      <c r="BL1178" s="81"/>
      <c r="BM1178" s="81"/>
      <c r="BN1178" s="81"/>
      <c r="BO1178" s="81"/>
      <c r="BP1178" s="81"/>
      <c r="BQ1178" s="81"/>
      <c r="BR1178" s="81"/>
      <c r="BS1178" s="81"/>
      <c r="BT1178" s="81"/>
      <c r="BU1178" s="81"/>
      <c r="BV1178" s="81"/>
      <c r="BW1178" s="81"/>
      <c r="BX1178" s="81"/>
      <c r="BY1178" s="81"/>
      <c r="BZ1178" s="81"/>
      <c r="CA1178" s="81"/>
      <c r="CB1178" s="81"/>
      <c r="CC1178" s="81"/>
      <c r="CD1178" s="81"/>
      <c r="CE1178" s="81"/>
      <c r="CF1178" s="81"/>
      <c r="CG1178" s="81"/>
      <c r="CH1178" s="81"/>
      <c r="CI1178" s="81"/>
      <c r="CJ1178" s="81"/>
      <c r="CK1178" s="81"/>
      <c r="CL1178" s="81"/>
      <c r="CM1178" s="81"/>
      <c r="CN1178" s="81"/>
      <c r="CO1178" s="81"/>
      <c r="CP1178" s="81"/>
      <c r="CQ1178" s="111"/>
      <c r="CT1178" s="81"/>
    </row>
    <row r="1179" spans="48:98" x14ac:dyDescent="0.25">
      <c r="AV1179" s="81"/>
      <c r="AW1179" s="81"/>
      <c r="AX1179" s="81"/>
      <c r="AY1179" s="81"/>
      <c r="BA1179" s="81"/>
      <c r="BB1179" s="81"/>
      <c r="BC1179" s="81"/>
      <c r="BD1179" s="81"/>
      <c r="BE1179" s="81"/>
      <c r="BF1179" s="81"/>
      <c r="BG1179" s="81"/>
      <c r="BH1179" s="81"/>
      <c r="BI1179" s="81"/>
      <c r="BJ1179" s="81"/>
      <c r="BK1179" s="81"/>
      <c r="BL1179" s="81"/>
      <c r="BM1179" s="81"/>
      <c r="BN1179" s="81"/>
      <c r="BO1179" s="81"/>
      <c r="BP1179" s="81"/>
      <c r="BQ1179" s="81"/>
      <c r="BR1179" s="81"/>
      <c r="BS1179" s="81"/>
      <c r="BT1179" s="81"/>
      <c r="BU1179" s="81"/>
      <c r="BV1179" s="81"/>
      <c r="BW1179" s="81"/>
      <c r="BX1179" s="81"/>
      <c r="BY1179" s="81"/>
      <c r="BZ1179" s="81"/>
      <c r="CA1179" s="81"/>
      <c r="CB1179" s="81"/>
      <c r="CC1179" s="81"/>
      <c r="CD1179" s="81"/>
      <c r="CE1179" s="81"/>
      <c r="CF1179" s="81"/>
      <c r="CG1179" s="81"/>
      <c r="CH1179" s="81"/>
      <c r="CI1179" s="81"/>
      <c r="CJ1179" s="81"/>
      <c r="CK1179" s="81"/>
      <c r="CL1179" s="81"/>
      <c r="CM1179" s="81"/>
      <c r="CN1179" s="81"/>
      <c r="CO1179" s="81"/>
      <c r="CP1179" s="81"/>
      <c r="CQ1179" s="111"/>
      <c r="CT1179" s="81"/>
    </row>
    <row r="1180" spans="48:98" x14ac:dyDescent="0.25">
      <c r="AV1180" s="81"/>
      <c r="AW1180" s="81"/>
      <c r="AX1180" s="81"/>
      <c r="AY1180" s="81"/>
      <c r="BA1180" s="81"/>
      <c r="BB1180" s="81"/>
      <c r="BC1180" s="81"/>
      <c r="BD1180" s="81"/>
      <c r="BE1180" s="81"/>
      <c r="BF1180" s="81"/>
      <c r="BG1180" s="81"/>
      <c r="BH1180" s="81"/>
      <c r="BI1180" s="81"/>
      <c r="BJ1180" s="81"/>
      <c r="BK1180" s="81"/>
      <c r="BL1180" s="81"/>
      <c r="BM1180" s="81"/>
      <c r="BN1180" s="81"/>
      <c r="BO1180" s="81"/>
      <c r="BP1180" s="81"/>
      <c r="BQ1180" s="81"/>
      <c r="BR1180" s="81"/>
      <c r="BS1180" s="81"/>
      <c r="BT1180" s="81"/>
      <c r="BU1180" s="81"/>
      <c r="BV1180" s="81"/>
      <c r="BW1180" s="81"/>
      <c r="BX1180" s="81"/>
      <c r="BY1180" s="81"/>
      <c r="BZ1180" s="81"/>
      <c r="CA1180" s="81"/>
      <c r="CB1180" s="81"/>
      <c r="CC1180" s="81"/>
      <c r="CD1180" s="81"/>
      <c r="CE1180" s="81"/>
      <c r="CF1180" s="81"/>
      <c r="CG1180" s="81"/>
      <c r="CH1180" s="81"/>
      <c r="CI1180" s="81"/>
      <c r="CJ1180" s="81"/>
      <c r="CK1180" s="81"/>
      <c r="CL1180" s="81"/>
      <c r="CM1180" s="81"/>
      <c r="CN1180" s="81"/>
      <c r="CO1180" s="81"/>
      <c r="CP1180" s="81"/>
      <c r="CQ1180" s="111"/>
      <c r="CT1180" s="81"/>
    </row>
    <row r="1181" spans="48:98" x14ac:dyDescent="0.25">
      <c r="AV1181" s="81"/>
      <c r="AW1181" s="81"/>
      <c r="AX1181" s="81"/>
      <c r="AY1181" s="81"/>
      <c r="BA1181" s="81"/>
      <c r="BB1181" s="81"/>
      <c r="BC1181" s="81"/>
      <c r="BD1181" s="81"/>
      <c r="BE1181" s="81"/>
      <c r="BF1181" s="81"/>
      <c r="BG1181" s="81"/>
      <c r="BH1181" s="81"/>
      <c r="BI1181" s="81"/>
      <c r="BJ1181" s="81"/>
      <c r="BK1181" s="81"/>
      <c r="BL1181" s="81"/>
      <c r="BM1181" s="81"/>
      <c r="BN1181" s="81"/>
      <c r="BO1181" s="81"/>
      <c r="BP1181" s="81"/>
      <c r="BQ1181" s="81"/>
      <c r="BR1181" s="81"/>
      <c r="BS1181" s="81"/>
      <c r="BT1181" s="81"/>
      <c r="BU1181" s="81"/>
      <c r="BV1181" s="81"/>
      <c r="BW1181" s="81"/>
      <c r="BX1181" s="81"/>
      <c r="BY1181" s="81"/>
      <c r="BZ1181" s="81"/>
      <c r="CA1181" s="81"/>
      <c r="CB1181" s="81"/>
      <c r="CC1181" s="81"/>
      <c r="CD1181" s="81"/>
      <c r="CE1181" s="81"/>
      <c r="CF1181" s="81"/>
      <c r="CG1181" s="81"/>
      <c r="CH1181" s="81"/>
      <c r="CI1181" s="81"/>
      <c r="CJ1181" s="81"/>
      <c r="CK1181" s="81"/>
      <c r="CL1181" s="81"/>
      <c r="CM1181" s="81"/>
      <c r="CN1181" s="81"/>
      <c r="CO1181" s="81"/>
      <c r="CP1181" s="81"/>
      <c r="CQ1181" s="111"/>
      <c r="CT1181" s="81"/>
    </row>
    <row r="1182" spans="48:98" x14ac:dyDescent="0.25">
      <c r="AV1182" s="81"/>
      <c r="AW1182" s="81"/>
      <c r="AX1182" s="81"/>
      <c r="AY1182" s="81"/>
      <c r="BA1182" s="81"/>
      <c r="BB1182" s="81"/>
      <c r="BC1182" s="81"/>
      <c r="BD1182" s="81"/>
      <c r="BE1182" s="81"/>
      <c r="BF1182" s="81"/>
      <c r="BG1182" s="81"/>
      <c r="BH1182" s="81"/>
      <c r="BI1182" s="81"/>
      <c r="BJ1182" s="81"/>
      <c r="BK1182" s="81"/>
      <c r="BL1182" s="81"/>
      <c r="BM1182" s="81"/>
      <c r="BN1182" s="81"/>
      <c r="BO1182" s="81"/>
      <c r="BP1182" s="81"/>
      <c r="BQ1182" s="81"/>
      <c r="BR1182" s="81"/>
      <c r="BS1182" s="81"/>
      <c r="BT1182" s="81"/>
      <c r="BU1182" s="81"/>
      <c r="BV1182" s="81"/>
      <c r="BW1182" s="81"/>
      <c r="BX1182" s="81"/>
      <c r="BY1182" s="81"/>
      <c r="BZ1182" s="81"/>
      <c r="CA1182" s="81"/>
      <c r="CB1182" s="81"/>
      <c r="CC1182" s="81"/>
      <c r="CD1182" s="81"/>
      <c r="CE1182" s="81"/>
      <c r="CF1182" s="81"/>
      <c r="CG1182" s="81"/>
      <c r="CH1182" s="81"/>
      <c r="CI1182" s="81"/>
      <c r="CJ1182" s="81"/>
      <c r="CK1182" s="81"/>
      <c r="CL1182" s="81"/>
      <c r="CM1182" s="81"/>
      <c r="CN1182" s="81"/>
      <c r="CO1182" s="81"/>
      <c r="CP1182" s="81"/>
      <c r="CQ1182" s="111"/>
      <c r="CT1182" s="81"/>
    </row>
    <row r="1183" spans="48:98" x14ac:dyDescent="0.25">
      <c r="AV1183" s="81"/>
      <c r="AW1183" s="81"/>
      <c r="AX1183" s="81"/>
      <c r="AY1183" s="81"/>
      <c r="BA1183" s="81"/>
      <c r="BB1183" s="81"/>
      <c r="BC1183" s="81"/>
      <c r="BD1183" s="81"/>
      <c r="BE1183" s="81"/>
      <c r="BF1183" s="81"/>
      <c r="BG1183" s="81"/>
      <c r="BH1183" s="81"/>
      <c r="BI1183" s="81"/>
      <c r="BJ1183" s="81"/>
      <c r="BK1183" s="81"/>
      <c r="BL1183" s="81"/>
      <c r="BM1183" s="81"/>
      <c r="BN1183" s="81"/>
      <c r="BO1183" s="81"/>
      <c r="BP1183" s="81"/>
      <c r="BQ1183" s="81"/>
      <c r="BR1183" s="81"/>
      <c r="BS1183" s="81"/>
      <c r="BT1183" s="81"/>
      <c r="BU1183" s="81"/>
      <c r="BV1183" s="81"/>
      <c r="BW1183" s="81"/>
      <c r="BX1183" s="81"/>
      <c r="BY1183" s="81"/>
      <c r="BZ1183" s="81"/>
      <c r="CA1183" s="81"/>
      <c r="CB1183" s="81"/>
      <c r="CC1183" s="81"/>
      <c r="CD1183" s="81"/>
      <c r="CE1183" s="81"/>
      <c r="CF1183" s="81"/>
      <c r="CG1183" s="81"/>
      <c r="CH1183" s="81"/>
      <c r="CI1183" s="81"/>
      <c r="CJ1183" s="81"/>
      <c r="CK1183" s="81"/>
      <c r="CL1183" s="81"/>
      <c r="CM1183" s="81"/>
      <c r="CN1183" s="81"/>
      <c r="CO1183" s="81"/>
      <c r="CP1183" s="81"/>
      <c r="CQ1183" s="111"/>
      <c r="CT1183" s="81"/>
    </row>
    <row r="1184" spans="48:98" x14ac:dyDescent="0.25">
      <c r="AV1184" s="81"/>
      <c r="AW1184" s="81"/>
      <c r="AX1184" s="81"/>
      <c r="AY1184" s="81"/>
      <c r="BA1184" s="81"/>
      <c r="BB1184" s="81"/>
      <c r="BC1184" s="81"/>
      <c r="BD1184" s="81"/>
      <c r="BE1184" s="81"/>
      <c r="BF1184" s="81"/>
      <c r="BG1184" s="81"/>
      <c r="BH1184" s="81"/>
      <c r="BI1184" s="81"/>
      <c r="BJ1184" s="81"/>
      <c r="BK1184" s="81"/>
      <c r="BL1184" s="81"/>
      <c r="BM1184" s="81"/>
      <c r="BN1184" s="81"/>
      <c r="BO1184" s="81"/>
      <c r="BP1184" s="81"/>
      <c r="BQ1184" s="81"/>
      <c r="BR1184" s="81"/>
      <c r="BS1184" s="81"/>
      <c r="BT1184" s="81"/>
      <c r="BU1184" s="81"/>
      <c r="BV1184" s="81"/>
      <c r="BW1184" s="81"/>
      <c r="BX1184" s="81"/>
      <c r="BY1184" s="81"/>
      <c r="BZ1184" s="81"/>
      <c r="CA1184" s="81"/>
      <c r="CB1184" s="81"/>
      <c r="CC1184" s="81"/>
      <c r="CD1184" s="81"/>
      <c r="CE1184" s="81"/>
      <c r="CF1184" s="81"/>
      <c r="CG1184" s="81"/>
      <c r="CH1184" s="81"/>
      <c r="CI1184" s="81"/>
      <c r="CJ1184" s="81"/>
      <c r="CK1184" s="81"/>
      <c r="CL1184" s="81"/>
      <c r="CM1184" s="81"/>
      <c r="CN1184" s="81"/>
      <c r="CO1184" s="81"/>
      <c r="CP1184" s="81"/>
      <c r="CQ1184" s="111"/>
      <c r="CT1184" s="81"/>
    </row>
    <row r="1185" spans="48:98" x14ac:dyDescent="0.25">
      <c r="AV1185" s="81"/>
      <c r="AW1185" s="81"/>
      <c r="AX1185" s="81"/>
      <c r="AY1185" s="81"/>
      <c r="BA1185" s="81"/>
      <c r="BB1185" s="81"/>
      <c r="BC1185" s="81"/>
      <c r="BD1185" s="81"/>
      <c r="BE1185" s="81"/>
      <c r="BF1185" s="81"/>
      <c r="BG1185" s="81"/>
      <c r="BH1185" s="81"/>
      <c r="BI1185" s="81"/>
      <c r="BJ1185" s="81"/>
      <c r="BK1185" s="81"/>
      <c r="BL1185" s="81"/>
      <c r="BM1185" s="81"/>
      <c r="BN1185" s="81"/>
      <c r="BO1185" s="81"/>
      <c r="BP1185" s="81"/>
      <c r="BQ1185" s="81"/>
      <c r="BR1185" s="81"/>
      <c r="BS1185" s="81"/>
      <c r="BT1185" s="81"/>
      <c r="BU1185" s="81"/>
      <c r="BV1185" s="81"/>
      <c r="BW1185" s="81"/>
      <c r="BX1185" s="81"/>
      <c r="BY1185" s="81"/>
      <c r="BZ1185" s="81"/>
      <c r="CA1185" s="81"/>
      <c r="CB1185" s="81"/>
      <c r="CC1185" s="81"/>
      <c r="CD1185" s="81"/>
      <c r="CE1185" s="81"/>
      <c r="CF1185" s="81"/>
      <c r="CG1185" s="81"/>
      <c r="CH1185" s="81"/>
      <c r="CI1185" s="81"/>
      <c r="CJ1185" s="81"/>
      <c r="CK1185" s="81"/>
      <c r="CL1185" s="81"/>
      <c r="CM1185" s="81"/>
      <c r="CN1185" s="81"/>
      <c r="CO1185" s="81"/>
      <c r="CP1185" s="81"/>
      <c r="CQ1185" s="111"/>
      <c r="CT1185" s="81"/>
    </row>
    <row r="1186" spans="48:98" x14ac:dyDescent="0.25">
      <c r="AV1186" s="81"/>
      <c r="AW1186" s="81"/>
      <c r="AX1186" s="81"/>
      <c r="AY1186" s="81"/>
      <c r="BA1186" s="81"/>
      <c r="BB1186" s="81"/>
      <c r="BC1186" s="81"/>
      <c r="BD1186" s="81"/>
      <c r="BE1186" s="81"/>
      <c r="BF1186" s="81"/>
      <c r="BG1186" s="81"/>
      <c r="BH1186" s="81"/>
      <c r="BI1186" s="81"/>
      <c r="BJ1186" s="81"/>
      <c r="BK1186" s="81"/>
      <c r="BL1186" s="81"/>
      <c r="BM1186" s="81"/>
      <c r="BN1186" s="81"/>
      <c r="BO1186" s="81"/>
      <c r="BP1186" s="81"/>
      <c r="BQ1186" s="81"/>
      <c r="BR1186" s="81"/>
      <c r="BS1186" s="81"/>
      <c r="BT1186" s="81"/>
      <c r="BU1186" s="81"/>
      <c r="BV1186" s="81"/>
      <c r="BW1186" s="81"/>
      <c r="BX1186" s="81"/>
      <c r="BY1186" s="81"/>
      <c r="BZ1186" s="81"/>
      <c r="CA1186" s="81"/>
      <c r="CB1186" s="81"/>
      <c r="CC1186" s="81"/>
      <c r="CD1186" s="81"/>
      <c r="CE1186" s="81"/>
      <c r="CF1186" s="81"/>
      <c r="CG1186" s="81"/>
      <c r="CH1186" s="81"/>
      <c r="CI1186" s="81"/>
      <c r="CJ1186" s="81"/>
      <c r="CK1186" s="81"/>
      <c r="CL1186" s="81"/>
      <c r="CM1186" s="81"/>
      <c r="CN1186" s="81"/>
      <c r="CO1186" s="81"/>
      <c r="CP1186" s="81"/>
      <c r="CQ1186" s="111"/>
      <c r="CT1186" s="81"/>
    </row>
    <row r="1187" spans="48:98" x14ac:dyDescent="0.25">
      <c r="AV1187" s="81"/>
      <c r="AW1187" s="81"/>
      <c r="AX1187" s="81"/>
      <c r="AY1187" s="81"/>
      <c r="BA1187" s="81"/>
      <c r="BB1187" s="81"/>
      <c r="BC1187" s="81"/>
      <c r="BD1187" s="81"/>
      <c r="BE1187" s="81"/>
      <c r="BF1187" s="81"/>
      <c r="BG1187" s="81"/>
      <c r="BH1187" s="81"/>
      <c r="BI1187" s="81"/>
      <c r="BJ1187" s="81"/>
      <c r="BK1187" s="81"/>
      <c r="BL1187" s="81"/>
      <c r="BM1187" s="81"/>
      <c r="BN1187" s="81"/>
      <c r="BO1187" s="81"/>
      <c r="BP1187" s="81"/>
      <c r="BQ1187" s="81"/>
      <c r="BR1187" s="81"/>
      <c r="BS1187" s="81"/>
      <c r="BT1187" s="81"/>
      <c r="BU1187" s="81"/>
      <c r="BV1187" s="81"/>
      <c r="BW1187" s="81"/>
      <c r="BX1187" s="81"/>
      <c r="BY1187" s="81"/>
      <c r="BZ1187" s="81"/>
      <c r="CA1187" s="81"/>
      <c r="CB1187" s="81"/>
      <c r="CC1187" s="81"/>
      <c r="CD1187" s="81"/>
      <c r="CE1187" s="81"/>
      <c r="CF1187" s="81"/>
      <c r="CG1187" s="81"/>
      <c r="CH1187" s="81"/>
      <c r="CI1187" s="81"/>
      <c r="CJ1187" s="81"/>
      <c r="CK1187" s="81"/>
      <c r="CL1187" s="81"/>
      <c r="CM1187" s="81"/>
      <c r="CN1187" s="81"/>
      <c r="CO1187" s="81"/>
      <c r="CP1187" s="81"/>
      <c r="CQ1187" s="111"/>
      <c r="CT1187" s="81"/>
    </row>
    <row r="1188" spans="48:98" x14ac:dyDescent="0.25">
      <c r="AV1188" s="81"/>
      <c r="AW1188" s="81"/>
      <c r="AX1188" s="81"/>
      <c r="AY1188" s="81"/>
      <c r="BA1188" s="81"/>
      <c r="BB1188" s="81"/>
      <c r="BC1188" s="81"/>
      <c r="BD1188" s="81"/>
      <c r="BE1188" s="81"/>
      <c r="BF1188" s="81"/>
      <c r="BG1188" s="81"/>
      <c r="BH1188" s="81"/>
      <c r="BI1188" s="81"/>
      <c r="BJ1188" s="81"/>
      <c r="BK1188" s="81"/>
      <c r="BL1188" s="81"/>
      <c r="BM1188" s="81"/>
      <c r="BN1188" s="81"/>
      <c r="BO1188" s="81"/>
      <c r="BP1188" s="81"/>
      <c r="BQ1188" s="81"/>
      <c r="BR1188" s="81"/>
      <c r="BS1188" s="81"/>
      <c r="BT1188" s="81"/>
      <c r="BU1188" s="81"/>
      <c r="BV1188" s="81"/>
      <c r="BW1188" s="81"/>
      <c r="BX1188" s="81"/>
      <c r="BY1188" s="81"/>
      <c r="BZ1188" s="81"/>
      <c r="CA1188" s="81"/>
      <c r="CB1188" s="81"/>
      <c r="CC1188" s="81"/>
      <c r="CD1188" s="81"/>
      <c r="CE1188" s="81"/>
      <c r="CF1188" s="81"/>
      <c r="CG1188" s="81"/>
      <c r="CH1188" s="81"/>
      <c r="CI1188" s="81"/>
      <c r="CJ1188" s="81"/>
      <c r="CK1188" s="81"/>
      <c r="CL1188" s="81"/>
      <c r="CM1188" s="81"/>
      <c r="CN1188" s="81"/>
      <c r="CO1188" s="81"/>
      <c r="CP1188" s="81"/>
      <c r="CQ1188" s="111"/>
      <c r="CT1188" s="81"/>
    </row>
    <row r="1189" spans="48:98" x14ac:dyDescent="0.25">
      <c r="AV1189" s="81"/>
      <c r="AW1189" s="81"/>
      <c r="AX1189" s="81"/>
      <c r="AY1189" s="81"/>
      <c r="BA1189" s="81"/>
      <c r="BB1189" s="81"/>
      <c r="BC1189" s="81"/>
      <c r="BD1189" s="81"/>
      <c r="BE1189" s="81"/>
      <c r="BF1189" s="81"/>
      <c r="BG1189" s="81"/>
      <c r="BH1189" s="81"/>
      <c r="BI1189" s="81"/>
      <c r="BJ1189" s="81"/>
      <c r="BK1189" s="81"/>
      <c r="BL1189" s="81"/>
      <c r="BM1189" s="81"/>
      <c r="BN1189" s="81"/>
      <c r="BO1189" s="81"/>
      <c r="BP1189" s="81"/>
      <c r="BQ1189" s="81"/>
      <c r="BR1189" s="81"/>
      <c r="BS1189" s="81"/>
      <c r="BT1189" s="81"/>
      <c r="BU1189" s="81"/>
      <c r="BV1189" s="81"/>
      <c r="BW1189" s="81"/>
      <c r="BX1189" s="81"/>
      <c r="BY1189" s="81"/>
      <c r="BZ1189" s="81"/>
      <c r="CA1189" s="81"/>
      <c r="CB1189" s="81"/>
      <c r="CC1189" s="81"/>
      <c r="CD1189" s="81"/>
      <c r="CE1189" s="81"/>
      <c r="CF1189" s="81"/>
      <c r="CG1189" s="81"/>
      <c r="CH1189" s="81"/>
      <c r="CI1189" s="81"/>
      <c r="CJ1189" s="81"/>
      <c r="CK1189" s="81"/>
      <c r="CL1189" s="81"/>
      <c r="CM1189" s="81"/>
      <c r="CN1189" s="81"/>
      <c r="CO1189" s="81"/>
      <c r="CP1189" s="81"/>
      <c r="CQ1189" s="111"/>
      <c r="CT1189" s="81"/>
    </row>
    <row r="1190" spans="48:98" x14ac:dyDescent="0.25">
      <c r="AV1190" s="81"/>
      <c r="AW1190" s="81"/>
      <c r="AX1190" s="81"/>
      <c r="AY1190" s="81"/>
      <c r="BA1190" s="81"/>
      <c r="BB1190" s="81"/>
      <c r="BC1190" s="81"/>
      <c r="BD1190" s="81"/>
      <c r="BE1190" s="81"/>
      <c r="BF1190" s="81"/>
      <c r="BG1190" s="81"/>
      <c r="BH1190" s="81"/>
      <c r="BI1190" s="81"/>
      <c r="BJ1190" s="81"/>
      <c r="BK1190" s="81"/>
      <c r="BL1190" s="81"/>
      <c r="BM1190" s="81"/>
      <c r="BN1190" s="81"/>
      <c r="BO1190" s="81"/>
      <c r="BP1190" s="81"/>
      <c r="BQ1190" s="81"/>
      <c r="BR1190" s="81"/>
      <c r="BS1190" s="81"/>
      <c r="BT1190" s="81"/>
      <c r="BU1190" s="81"/>
      <c r="BV1190" s="81"/>
      <c r="BW1190" s="81"/>
      <c r="BX1190" s="81"/>
      <c r="BY1190" s="81"/>
      <c r="BZ1190" s="81"/>
      <c r="CA1190" s="81"/>
      <c r="CB1190" s="81"/>
      <c r="CC1190" s="81"/>
      <c r="CD1190" s="81"/>
      <c r="CE1190" s="81"/>
      <c r="CF1190" s="81"/>
      <c r="CG1190" s="81"/>
      <c r="CH1190" s="81"/>
      <c r="CI1190" s="81"/>
      <c r="CJ1190" s="81"/>
      <c r="CK1190" s="81"/>
      <c r="CL1190" s="81"/>
      <c r="CM1190" s="81"/>
      <c r="CN1190" s="81"/>
      <c r="CO1190" s="81"/>
      <c r="CP1190" s="81"/>
      <c r="CQ1190" s="111"/>
      <c r="CT1190" s="81"/>
    </row>
    <row r="1191" spans="48:98" x14ac:dyDescent="0.25">
      <c r="AV1191" s="81"/>
      <c r="AW1191" s="81"/>
      <c r="AX1191" s="81"/>
      <c r="AY1191" s="81"/>
      <c r="BA1191" s="81"/>
      <c r="BB1191" s="81"/>
      <c r="BC1191" s="81"/>
      <c r="BD1191" s="81"/>
      <c r="BE1191" s="81"/>
      <c r="BF1191" s="81"/>
      <c r="BG1191" s="81"/>
      <c r="BH1191" s="81"/>
      <c r="BI1191" s="81"/>
      <c r="BJ1191" s="81"/>
      <c r="BK1191" s="81"/>
      <c r="BL1191" s="81"/>
      <c r="BM1191" s="81"/>
      <c r="BN1191" s="81"/>
      <c r="BO1191" s="81"/>
      <c r="BP1191" s="81"/>
      <c r="BQ1191" s="81"/>
      <c r="BR1191" s="81"/>
      <c r="BS1191" s="81"/>
      <c r="BT1191" s="81"/>
      <c r="BU1191" s="81"/>
      <c r="BV1191" s="81"/>
      <c r="BW1191" s="81"/>
      <c r="BX1191" s="81"/>
      <c r="BY1191" s="81"/>
      <c r="BZ1191" s="81"/>
      <c r="CA1191" s="81"/>
      <c r="CB1191" s="81"/>
      <c r="CC1191" s="81"/>
      <c r="CD1191" s="81"/>
      <c r="CE1191" s="81"/>
      <c r="CF1191" s="81"/>
      <c r="CG1191" s="81"/>
      <c r="CH1191" s="81"/>
      <c r="CI1191" s="81"/>
      <c r="CJ1191" s="81"/>
      <c r="CK1191" s="81"/>
      <c r="CL1191" s="81"/>
      <c r="CM1191" s="81"/>
      <c r="CN1191" s="81"/>
      <c r="CO1191" s="81"/>
      <c r="CP1191" s="81"/>
      <c r="CQ1191" s="111"/>
      <c r="CT1191" s="81"/>
    </row>
    <row r="1192" spans="48:98" x14ac:dyDescent="0.25">
      <c r="AV1192" s="81"/>
      <c r="AW1192" s="81"/>
      <c r="AX1192" s="81"/>
      <c r="AY1192" s="81"/>
      <c r="BA1192" s="81"/>
      <c r="BB1192" s="81"/>
      <c r="BC1192" s="81"/>
      <c r="BD1192" s="81"/>
      <c r="BE1192" s="81"/>
      <c r="BF1192" s="81"/>
      <c r="BG1192" s="81"/>
      <c r="BH1192" s="81"/>
      <c r="BI1192" s="81"/>
      <c r="BJ1192" s="81"/>
      <c r="BK1192" s="81"/>
      <c r="BL1192" s="81"/>
      <c r="BM1192" s="81"/>
      <c r="BN1192" s="81"/>
      <c r="BO1192" s="81"/>
      <c r="BP1192" s="81"/>
      <c r="BQ1192" s="81"/>
      <c r="BR1192" s="81"/>
      <c r="BS1192" s="81"/>
      <c r="BT1192" s="81"/>
      <c r="BU1192" s="81"/>
      <c r="BV1192" s="81"/>
      <c r="BW1192" s="81"/>
      <c r="BX1192" s="81"/>
      <c r="BY1192" s="81"/>
      <c r="BZ1192" s="81"/>
      <c r="CA1192" s="81"/>
      <c r="CB1192" s="81"/>
      <c r="CC1192" s="81"/>
      <c r="CD1192" s="81"/>
      <c r="CE1192" s="81"/>
      <c r="CF1192" s="81"/>
      <c r="CG1192" s="81"/>
      <c r="CH1192" s="81"/>
      <c r="CI1192" s="81"/>
      <c r="CJ1192" s="81"/>
      <c r="CK1192" s="81"/>
      <c r="CL1192" s="81"/>
      <c r="CM1192" s="81"/>
      <c r="CN1192" s="81"/>
      <c r="CO1192" s="81"/>
      <c r="CP1192" s="81"/>
      <c r="CQ1192" s="111"/>
      <c r="CT1192" s="81"/>
    </row>
    <row r="1193" spans="48:98" x14ac:dyDescent="0.25">
      <c r="AV1193" s="81"/>
      <c r="AW1193" s="81"/>
      <c r="AX1193" s="81"/>
      <c r="AY1193" s="81"/>
      <c r="BA1193" s="81"/>
      <c r="BB1193" s="81"/>
      <c r="BC1193" s="81"/>
      <c r="BD1193" s="81"/>
      <c r="BE1193" s="81"/>
      <c r="BF1193" s="81"/>
      <c r="BG1193" s="81"/>
      <c r="BH1193" s="81"/>
      <c r="BI1193" s="81"/>
      <c r="BJ1193" s="81"/>
      <c r="BK1193" s="81"/>
      <c r="BL1193" s="81"/>
      <c r="BM1193" s="81"/>
      <c r="BN1193" s="81"/>
      <c r="BO1193" s="81"/>
      <c r="BP1193" s="81"/>
      <c r="BQ1193" s="81"/>
      <c r="BR1193" s="81"/>
      <c r="BS1193" s="81"/>
      <c r="BT1193" s="81"/>
      <c r="BU1193" s="81"/>
      <c r="BV1193" s="81"/>
      <c r="BW1193" s="81"/>
      <c r="BX1193" s="81"/>
      <c r="BY1193" s="81"/>
      <c r="BZ1193" s="81"/>
      <c r="CA1193" s="81"/>
      <c r="CB1193" s="81"/>
      <c r="CC1193" s="81"/>
      <c r="CD1193" s="81"/>
      <c r="CE1193" s="81"/>
      <c r="CF1193" s="81"/>
      <c r="CG1193" s="81"/>
      <c r="CH1193" s="81"/>
      <c r="CI1193" s="81"/>
      <c r="CJ1193" s="81"/>
      <c r="CK1193" s="81"/>
      <c r="CL1193" s="81"/>
      <c r="CM1193" s="81"/>
      <c r="CN1193" s="81"/>
      <c r="CO1193" s="81"/>
      <c r="CP1193" s="81"/>
      <c r="CQ1193" s="111"/>
      <c r="CT1193" s="81"/>
    </row>
    <row r="1194" spans="48:98" x14ac:dyDescent="0.25">
      <c r="AV1194" s="81"/>
      <c r="AW1194" s="81"/>
      <c r="AX1194" s="81"/>
      <c r="AY1194" s="81"/>
      <c r="BA1194" s="81"/>
      <c r="BB1194" s="81"/>
      <c r="BC1194" s="81"/>
      <c r="BD1194" s="81"/>
      <c r="BE1194" s="81"/>
      <c r="BF1194" s="81"/>
      <c r="BG1194" s="81"/>
      <c r="BH1194" s="81"/>
      <c r="BI1194" s="81"/>
      <c r="BJ1194" s="81"/>
      <c r="BK1194" s="81"/>
      <c r="BL1194" s="81"/>
      <c r="BM1194" s="81"/>
      <c r="BN1194" s="81"/>
      <c r="BO1194" s="81"/>
      <c r="BP1194" s="81"/>
      <c r="BQ1194" s="81"/>
      <c r="BR1194" s="81"/>
      <c r="BS1194" s="81"/>
      <c r="BT1194" s="81"/>
      <c r="BU1194" s="81"/>
      <c r="BV1194" s="81"/>
      <c r="BW1194" s="81"/>
      <c r="BX1194" s="81"/>
      <c r="BY1194" s="81"/>
      <c r="BZ1194" s="81"/>
      <c r="CA1194" s="81"/>
      <c r="CB1194" s="81"/>
      <c r="CC1194" s="81"/>
      <c r="CD1194" s="81"/>
      <c r="CE1194" s="81"/>
      <c r="CF1194" s="81"/>
      <c r="CG1194" s="81"/>
      <c r="CH1194" s="81"/>
      <c r="CI1194" s="81"/>
      <c r="CJ1194" s="81"/>
      <c r="CK1194" s="81"/>
      <c r="CL1194" s="81"/>
      <c r="CM1194" s="81"/>
      <c r="CN1194" s="81"/>
      <c r="CO1194" s="81"/>
      <c r="CP1194" s="81"/>
      <c r="CQ1194" s="111"/>
      <c r="CT1194" s="81"/>
    </row>
    <row r="1195" spans="48:98" x14ac:dyDescent="0.25">
      <c r="AV1195" s="81"/>
      <c r="AW1195" s="81"/>
      <c r="AX1195" s="81"/>
      <c r="AY1195" s="81"/>
      <c r="BA1195" s="81"/>
      <c r="BB1195" s="81"/>
      <c r="BC1195" s="81"/>
      <c r="BD1195" s="81"/>
      <c r="BE1195" s="81"/>
      <c r="BF1195" s="81"/>
      <c r="BG1195" s="81"/>
      <c r="BH1195" s="81"/>
      <c r="BI1195" s="81"/>
      <c r="BJ1195" s="81"/>
      <c r="BK1195" s="81"/>
      <c r="BL1195" s="81"/>
      <c r="BM1195" s="81"/>
      <c r="BN1195" s="81"/>
      <c r="BO1195" s="81"/>
      <c r="BP1195" s="81"/>
      <c r="BQ1195" s="81"/>
      <c r="BR1195" s="81"/>
      <c r="BS1195" s="81"/>
      <c r="BT1195" s="81"/>
      <c r="BU1195" s="81"/>
      <c r="BV1195" s="81"/>
      <c r="BW1195" s="81"/>
      <c r="BX1195" s="81"/>
      <c r="BY1195" s="81"/>
      <c r="BZ1195" s="81"/>
      <c r="CA1195" s="81"/>
      <c r="CB1195" s="81"/>
      <c r="CC1195" s="81"/>
      <c r="CD1195" s="81"/>
      <c r="CE1195" s="81"/>
      <c r="CF1195" s="81"/>
      <c r="CG1195" s="81"/>
      <c r="CH1195" s="81"/>
      <c r="CI1195" s="81"/>
      <c r="CJ1195" s="81"/>
      <c r="CK1195" s="81"/>
      <c r="CL1195" s="81"/>
      <c r="CM1195" s="81"/>
      <c r="CN1195" s="81"/>
      <c r="CO1195" s="81"/>
      <c r="CP1195" s="81"/>
      <c r="CQ1195" s="111"/>
      <c r="CT1195" s="81"/>
    </row>
    <row r="1196" spans="48:98" x14ac:dyDescent="0.25">
      <c r="AV1196" s="81"/>
      <c r="AW1196" s="81"/>
      <c r="AX1196" s="81"/>
      <c r="AY1196" s="81"/>
      <c r="BA1196" s="81"/>
      <c r="BB1196" s="81"/>
      <c r="BC1196" s="81"/>
      <c r="BD1196" s="81"/>
      <c r="BE1196" s="81"/>
      <c r="BF1196" s="81"/>
      <c r="BG1196" s="81"/>
      <c r="BH1196" s="81"/>
      <c r="BI1196" s="81"/>
      <c r="BJ1196" s="81"/>
      <c r="BK1196" s="81"/>
      <c r="BL1196" s="81"/>
      <c r="BM1196" s="81"/>
      <c r="BN1196" s="81"/>
      <c r="BO1196" s="81"/>
      <c r="BP1196" s="81"/>
      <c r="BQ1196" s="81"/>
      <c r="BR1196" s="81"/>
      <c r="BS1196" s="81"/>
      <c r="BT1196" s="81"/>
      <c r="BU1196" s="81"/>
      <c r="BV1196" s="81"/>
      <c r="BW1196" s="81"/>
      <c r="BX1196" s="81"/>
      <c r="BY1196" s="81"/>
      <c r="BZ1196" s="81"/>
      <c r="CA1196" s="81"/>
      <c r="CB1196" s="81"/>
      <c r="CC1196" s="81"/>
      <c r="CD1196" s="81"/>
      <c r="CE1196" s="81"/>
      <c r="CF1196" s="81"/>
      <c r="CG1196" s="81"/>
      <c r="CH1196" s="81"/>
      <c r="CI1196" s="81"/>
      <c r="CJ1196" s="81"/>
      <c r="CK1196" s="81"/>
      <c r="CL1196" s="81"/>
      <c r="CM1196" s="81"/>
      <c r="CN1196" s="81"/>
      <c r="CO1196" s="81"/>
      <c r="CP1196" s="81"/>
      <c r="CQ1196" s="111"/>
      <c r="CT1196" s="81"/>
    </row>
    <row r="1197" spans="48:98" x14ac:dyDescent="0.25">
      <c r="AV1197" s="81"/>
      <c r="AW1197" s="81"/>
      <c r="AX1197" s="81"/>
      <c r="AY1197" s="81"/>
      <c r="BA1197" s="81"/>
      <c r="BB1197" s="81"/>
      <c r="BC1197" s="81"/>
      <c r="BD1197" s="81"/>
      <c r="BE1197" s="81"/>
      <c r="BF1197" s="81"/>
      <c r="BG1197" s="81"/>
      <c r="BH1197" s="81"/>
      <c r="BI1197" s="81"/>
      <c r="BJ1197" s="81"/>
      <c r="BK1197" s="81"/>
      <c r="BL1197" s="81"/>
      <c r="BM1197" s="81"/>
      <c r="BN1197" s="81"/>
      <c r="BO1197" s="81"/>
      <c r="BP1197" s="81"/>
      <c r="BQ1197" s="81"/>
      <c r="BR1197" s="81"/>
      <c r="BS1197" s="81"/>
      <c r="BT1197" s="81"/>
      <c r="BU1197" s="81"/>
      <c r="BV1197" s="81"/>
      <c r="BW1197" s="81"/>
      <c r="BX1197" s="81"/>
      <c r="BY1197" s="81"/>
      <c r="BZ1197" s="81"/>
      <c r="CA1197" s="81"/>
      <c r="CB1197" s="81"/>
      <c r="CC1197" s="81"/>
      <c r="CD1197" s="81"/>
      <c r="CE1197" s="81"/>
      <c r="CF1197" s="81"/>
      <c r="CG1197" s="81"/>
      <c r="CH1197" s="81"/>
      <c r="CI1197" s="81"/>
      <c r="CJ1197" s="81"/>
      <c r="CK1197" s="81"/>
      <c r="CL1197" s="81"/>
      <c r="CM1197" s="81"/>
      <c r="CN1197" s="81"/>
      <c r="CO1197" s="81"/>
      <c r="CP1197" s="81"/>
      <c r="CQ1197" s="111"/>
      <c r="CT1197" s="81"/>
    </row>
    <row r="1198" spans="48:98" x14ac:dyDescent="0.25">
      <c r="AV1198" s="81"/>
      <c r="AW1198" s="81"/>
      <c r="AX1198" s="81"/>
      <c r="AY1198" s="81"/>
      <c r="BA1198" s="81"/>
      <c r="BB1198" s="81"/>
      <c r="BC1198" s="81"/>
      <c r="BD1198" s="81"/>
      <c r="BE1198" s="81"/>
      <c r="BF1198" s="81"/>
      <c r="BG1198" s="81"/>
      <c r="BH1198" s="81"/>
      <c r="BI1198" s="81"/>
      <c r="BJ1198" s="81"/>
      <c r="BK1198" s="81"/>
      <c r="BL1198" s="81"/>
      <c r="BM1198" s="81"/>
      <c r="BN1198" s="81"/>
      <c r="BO1198" s="81"/>
      <c r="BP1198" s="81"/>
      <c r="BQ1198" s="81"/>
      <c r="BR1198" s="81"/>
      <c r="BS1198" s="81"/>
      <c r="BT1198" s="81"/>
      <c r="BU1198" s="81"/>
      <c r="BV1198" s="81"/>
      <c r="BW1198" s="81"/>
      <c r="BX1198" s="81"/>
      <c r="BY1198" s="81"/>
      <c r="BZ1198" s="81"/>
      <c r="CA1198" s="81"/>
      <c r="CB1198" s="81"/>
      <c r="CC1198" s="81"/>
      <c r="CD1198" s="81"/>
      <c r="CE1198" s="81"/>
      <c r="CF1198" s="81"/>
      <c r="CG1198" s="81"/>
      <c r="CH1198" s="81"/>
      <c r="CI1198" s="81"/>
      <c r="CJ1198" s="81"/>
      <c r="CK1198" s="81"/>
      <c r="CL1198" s="81"/>
      <c r="CM1198" s="81"/>
      <c r="CN1198" s="81"/>
      <c r="CO1198" s="81"/>
      <c r="CP1198" s="81"/>
      <c r="CQ1198" s="111"/>
      <c r="CT1198" s="81"/>
    </row>
    <row r="1199" spans="48:98" x14ac:dyDescent="0.25">
      <c r="AV1199" s="81"/>
      <c r="AW1199" s="81"/>
      <c r="AX1199" s="81"/>
      <c r="AY1199" s="81"/>
      <c r="BA1199" s="81"/>
      <c r="BB1199" s="81"/>
      <c r="BC1199" s="81"/>
      <c r="BD1199" s="81"/>
      <c r="BE1199" s="81"/>
      <c r="BF1199" s="81"/>
      <c r="BG1199" s="81"/>
      <c r="BH1199" s="81"/>
      <c r="BI1199" s="81"/>
      <c r="BJ1199" s="81"/>
      <c r="BK1199" s="81"/>
      <c r="BL1199" s="81"/>
      <c r="BM1199" s="81"/>
      <c r="BN1199" s="81"/>
      <c r="BO1199" s="81"/>
      <c r="BP1199" s="81"/>
      <c r="BQ1199" s="81"/>
      <c r="BR1199" s="81"/>
      <c r="BS1199" s="81"/>
      <c r="BT1199" s="81"/>
      <c r="BU1199" s="81"/>
      <c r="BV1199" s="81"/>
      <c r="BW1199" s="81"/>
      <c r="BX1199" s="81"/>
      <c r="BY1199" s="81"/>
      <c r="BZ1199" s="81"/>
      <c r="CA1199" s="81"/>
      <c r="CB1199" s="81"/>
      <c r="CC1199" s="81"/>
      <c r="CD1199" s="81"/>
      <c r="CE1199" s="81"/>
      <c r="CF1199" s="81"/>
      <c r="CG1199" s="81"/>
      <c r="CH1199" s="81"/>
      <c r="CI1199" s="81"/>
      <c r="CJ1199" s="81"/>
      <c r="CK1199" s="81"/>
      <c r="CL1199" s="81"/>
      <c r="CM1199" s="81"/>
      <c r="CN1199" s="81"/>
      <c r="CO1199" s="81"/>
      <c r="CP1199" s="81"/>
      <c r="CQ1199" s="111"/>
      <c r="CT1199" s="81"/>
    </row>
    <row r="1200" spans="48:98" x14ac:dyDescent="0.25">
      <c r="AV1200" s="81"/>
      <c r="AW1200" s="81"/>
      <c r="AX1200" s="81"/>
      <c r="AY1200" s="81"/>
      <c r="BA1200" s="81"/>
      <c r="BB1200" s="81"/>
      <c r="BC1200" s="81"/>
      <c r="BD1200" s="81"/>
      <c r="BE1200" s="81"/>
      <c r="BF1200" s="81"/>
      <c r="BG1200" s="81"/>
      <c r="BH1200" s="81"/>
      <c r="BI1200" s="81"/>
      <c r="BJ1200" s="81"/>
      <c r="BK1200" s="81"/>
      <c r="BL1200" s="81"/>
      <c r="BM1200" s="81"/>
      <c r="BN1200" s="81"/>
      <c r="BO1200" s="81"/>
      <c r="BP1200" s="81"/>
      <c r="BQ1200" s="81"/>
      <c r="BR1200" s="81"/>
      <c r="BS1200" s="81"/>
      <c r="BT1200" s="81"/>
      <c r="BU1200" s="81"/>
      <c r="BV1200" s="81"/>
      <c r="BW1200" s="81"/>
      <c r="BX1200" s="81"/>
      <c r="BY1200" s="81"/>
      <c r="BZ1200" s="81"/>
      <c r="CA1200" s="81"/>
      <c r="CB1200" s="81"/>
      <c r="CC1200" s="81"/>
      <c r="CD1200" s="81"/>
      <c r="CE1200" s="81"/>
      <c r="CF1200" s="81"/>
      <c r="CG1200" s="81"/>
      <c r="CH1200" s="81"/>
      <c r="CI1200" s="81"/>
      <c r="CJ1200" s="81"/>
      <c r="CK1200" s="81"/>
      <c r="CL1200" s="81"/>
      <c r="CM1200" s="81"/>
      <c r="CN1200" s="81"/>
      <c r="CO1200" s="81"/>
      <c r="CP1200" s="81"/>
      <c r="CQ1200" s="111"/>
      <c r="CT1200" s="81"/>
    </row>
    <row r="1201" spans="48:98" x14ac:dyDescent="0.25">
      <c r="AV1201" s="81"/>
      <c r="AW1201" s="81"/>
      <c r="AX1201" s="81"/>
      <c r="AY1201" s="81"/>
      <c r="BA1201" s="81"/>
      <c r="BB1201" s="81"/>
      <c r="BC1201" s="81"/>
      <c r="BD1201" s="81"/>
      <c r="BE1201" s="81"/>
      <c r="BF1201" s="81"/>
      <c r="BG1201" s="81"/>
      <c r="BH1201" s="81"/>
      <c r="BI1201" s="81"/>
      <c r="BJ1201" s="81"/>
      <c r="BK1201" s="81"/>
      <c r="BL1201" s="81"/>
      <c r="BM1201" s="81"/>
      <c r="BN1201" s="81"/>
      <c r="BO1201" s="81"/>
      <c r="BP1201" s="81"/>
      <c r="BQ1201" s="81"/>
      <c r="BR1201" s="81"/>
      <c r="BS1201" s="81"/>
      <c r="BT1201" s="81"/>
      <c r="BU1201" s="81"/>
      <c r="BV1201" s="81"/>
      <c r="BW1201" s="81"/>
      <c r="BX1201" s="81"/>
      <c r="BY1201" s="81"/>
      <c r="BZ1201" s="81"/>
      <c r="CA1201" s="81"/>
      <c r="CB1201" s="81"/>
      <c r="CC1201" s="81"/>
      <c r="CD1201" s="81"/>
      <c r="CE1201" s="81"/>
      <c r="CF1201" s="81"/>
      <c r="CG1201" s="81"/>
      <c r="CH1201" s="81"/>
      <c r="CI1201" s="81"/>
      <c r="CJ1201" s="81"/>
      <c r="CK1201" s="81"/>
      <c r="CL1201" s="81"/>
      <c r="CM1201" s="81"/>
      <c r="CN1201" s="81"/>
      <c r="CO1201" s="81"/>
      <c r="CP1201" s="81"/>
      <c r="CQ1201" s="111"/>
      <c r="CT1201" s="81"/>
    </row>
    <row r="1202" spans="48:98" x14ac:dyDescent="0.25">
      <c r="AV1202" s="81"/>
      <c r="AW1202" s="81"/>
      <c r="AX1202" s="81"/>
      <c r="AY1202" s="81"/>
      <c r="BA1202" s="81"/>
      <c r="BB1202" s="81"/>
      <c r="BC1202" s="81"/>
      <c r="BD1202" s="81"/>
      <c r="BE1202" s="81"/>
      <c r="BF1202" s="81"/>
      <c r="BG1202" s="81"/>
      <c r="BH1202" s="81"/>
      <c r="BI1202" s="81"/>
      <c r="BJ1202" s="81"/>
      <c r="BK1202" s="81"/>
      <c r="BL1202" s="81"/>
      <c r="BM1202" s="81"/>
      <c r="BN1202" s="81"/>
      <c r="BO1202" s="81"/>
      <c r="BP1202" s="81"/>
      <c r="BQ1202" s="81"/>
      <c r="BR1202" s="81"/>
      <c r="BS1202" s="81"/>
      <c r="BT1202" s="81"/>
      <c r="BU1202" s="81"/>
      <c r="BV1202" s="81"/>
      <c r="BW1202" s="81"/>
      <c r="BX1202" s="81"/>
      <c r="BY1202" s="81"/>
      <c r="BZ1202" s="81"/>
      <c r="CA1202" s="81"/>
      <c r="CB1202" s="81"/>
      <c r="CC1202" s="81"/>
      <c r="CD1202" s="81"/>
      <c r="CE1202" s="81"/>
      <c r="CF1202" s="81"/>
      <c r="CG1202" s="81"/>
      <c r="CH1202" s="81"/>
      <c r="CI1202" s="81"/>
      <c r="CJ1202" s="81"/>
      <c r="CK1202" s="81"/>
      <c r="CL1202" s="81"/>
      <c r="CM1202" s="81"/>
      <c r="CN1202" s="81"/>
      <c r="CO1202" s="81"/>
      <c r="CP1202" s="81"/>
      <c r="CQ1202" s="111"/>
      <c r="CT1202" s="81"/>
    </row>
    <row r="1203" spans="48:98" x14ac:dyDescent="0.25">
      <c r="AV1203" s="81"/>
      <c r="AW1203" s="81"/>
      <c r="AX1203" s="81"/>
      <c r="AY1203" s="81"/>
      <c r="BA1203" s="81"/>
      <c r="BB1203" s="81"/>
      <c r="BC1203" s="81"/>
      <c r="BD1203" s="81"/>
      <c r="BE1203" s="81"/>
      <c r="BF1203" s="81"/>
      <c r="BG1203" s="81"/>
      <c r="BH1203" s="81"/>
      <c r="BI1203" s="81"/>
      <c r="BJ1203" s="81"/>
      <c r="BK1203" s="81"/>
      <c r="BL1203" s="81"/>
      <c r="BM1203" s="81"/>
      <c r="BN1203" s="81"/>
      <c r="BO1203" s="81"/>
      <c r="BP1203" s="81"/>
      <c r="BQ1203" s="81"/>
      <c r="BR1203" s="81"/>
      <c r="BS1203" s="81"/>
      <c r="BT1203" s="81"/>
      <c r="BU1203" s="81"/>
      <c r="BV1203" s="81"/>
      <c r="BW1203" s="81"/>
      <c r="BX1203" s="81"/>
      <c r="BY1203" s="81"/>
      <c r="BZ1203" s="81"/>
      <c r="CA1203" s="81"/>
      <c r="CB1203" s="81"/>
      <c r="CC1203" s="81"/>
      <c r="CD1203" s="81"/>
      <c r="CE1203" s="81"/>
      <c r="CF1203" s="81"/>
      <c r="CG1203" s="81"/>
      <c r="CH1203" s="81"/>
      <c r="CI1203" s="81"/>
      <c r="CJ1203" s="81"/>
      <c r="CK1203" s="81"/>
      <c r="CL1203" s="81"/>
      <c r="CM1203" s="81"/>
      <c r="CN1203" s="81"/>
      <c r="CO1203" s="81"/>
      <c r="CP1203" s="81"/>
      <c r="CQ1203" s="111"/>
      <c r="CT1203" s="81"/>
    </row>
    <row r="1204" spans="48:98" x14ac:dyDescent="0.25">
      <c r="AV1204" s="81"/>
      <c r="AW1204" s="81"/>
      <c r="AX1204" s="81"/>
      <c r="AY1204" s="81"/>
      <c r="BA1204" s="81"/>
      <c r="BB1204" s="81"/>
      <c r="BC1204" s="81"/>
      <c r="BD1204" s="81"/>
      <c r="BE1204" s="81"/>
      <c r="BF1204" s="81"/>
      <c r="BG1204" s="81"/>
      <c r="BH1204" s="81"/>
      <c r="BI1204" s="81"/>
      <c r="BJ1204" s="81"/>
      <c r="BK1204" s="81"/>
      <c r="BL1204" s="81"/>
      <c r="BM1204" s="81"/>
      <c r="BN1204" s="81"/>
      <c r="BO1204" s="81"/>
      <c r="BP1204" s="81"/>
      <c r="BQ1204" s="81"/>
      <c r="BR1204" s="81"/>
      <c r="BS1204" s="81"/>
      <c r="BT1204" s="81"/>
      <c r="BU1204" s="81"/>
      <c r="BV1204" s="81"/>
      <c r="BW1204" s="81"/>
      <c r="BX1204" s="81"/>
      <c r="BY1204" s="81"/>
      <c r="BZ1204" s="81"/>
      <c r="CA1204" s="81"/>
      <c r="CB1204" s="81"/>
      <c r="CC1204" s="81"/>
      <c r="CD1204" s="81"/>
      <c r="CE1204" s="81"/>
      <c r="CF1204" s="81"/>
      <c r="CG1204" s="81"/>
      <c r="CH1204" s="81"/>
      <c r="CI1204" s="81"/>
      <c r="CJ1204" s="81"/>
      <c r="CK1204" s="81"/>
      <c r="CL1204" s="81"/>
      <c r="CM1204" s="81"/>
      <c r="CN1204" s="81"/>
      <c r="CO1204" s="81"/>
      <c r="CP1204" s="81"/>
      <c r="CQ1204" s="111"/>
      <c r="CT1204" s="81"/>
    </row>
    <row r="1205" spans="48:98" x14ac:dyDescent="0.25">
      <c r="AV1205" s="81"/>
      <c r="AW1205" s="81"/>
      <c r="AX1205" s="81"/>
      <c r="AY1205" s="81"/>
      <c r="BA1205" s="81"/>
      <c r="BB1205" s="81"/>
      <c r="BC1205" s="81"/>
      <c r="BD1205" s="81"/>
      <c r="BE1205" s="81"/>
      <c r="BF1205" s="81"/>
      <c r="BG1205" s="81"/>
      <c r="BH1205" s="81"/>
      <c r="BI1205" s="81"/>
      <c r="BJ1205" s="81"/>
      <c r="BK1205" s="81"/>
      <c r="BL1205" s="81"/>
      <c r="BM1205" s="81"/>
      <c r="BN1205" s="81"/>
      <c r="BO1205" s="81"/>
      <c r="BP1205" s="81"/>
      <c r="BQ1205" s="81"/>
      <c r="BR1205" s="81"/>
      <c r="BS1205" s="81"/>
      <c r="BT1205" s="81"/>
      <c r="BU1205" s="81"/>
      <c r="BV1205" s="81"/>
      <c r="BW1205" s="81"/>
      <c r="BX1205" s="81"/>
      <c r="BY1205" s="81"/>
      <c r="BZ1205" s="81"/>
      <c r="CA1205" s="81"/>
      <c r="CB1205" s="81"/>
      <c r="CC1205" s="81"/>
      <c r="CD1205" s="81"/>
      <c r="CE1205" s="81"/>
      <c r="CF1205" s="81"/>
      <c r="CG1205" s="81"/>
      <c r="CH1205" s="81"/>
      <c r="CI1205" s="81"/>
      <c r="CJ1205" s="81"/>
      <c r="CK1205" s="81"/>
      <c r="CL1205" s="81"/>
      <c r="CM1205" s="81"/>
      <c r="CN1205" s="81"/>
      <c r="CO1205" s="81"/>
      <c r="CP1205" s="81"/>
      <c r="CQ1205" s="111"/>
      <c r="CT1205" s="81"/>
    </row>
    <row r="1206" spans="48:98" x14ac:dyDescent="0.25">
      <c r="AV1206" s="81"/>
      <c r="AW1206" s="81"/>
      <c r="AX1206" s="81"/>
      <c r="AY1206" s="81"/>
      <c r="BA1206" s="81"/>
      <c r="BB1206" s="81"/>
      <c r="BC1206" s="81"/>
      <c r="BD1206" s="81"/>
      <c r="BE1206" s="81"/>
      <c r="BF1206" s="81"/>
      <c r="BG1206" s="81"/>
      <c r="BH1206" s="81"/>
      <c r="BI1206" s="81"/>
      <c r="BJ1206" s="81"/>
      <c r="BK1206" s="81"/>
      <c r="BL1206" s="81"/>
      <c r="BM1206" s="81"/>
      <c r="BN1206" s="81"/>
      <c r="BO1206" s="81"/>
      <c r="BP1206" s="81"/>
      <c r="BQ1206" s="81"/>
      <c r="BR1206" s="81"/>
      <c r="BS1206" s="81"/>
      <c r="BT1206" s="81"/>
      <c r="BU1206" s="81"/>
      <c r="BV1206" s="81"/>
      <c r="BW1206" s="81"/>
      <c r="BX1206" s="81"/>
      <c r="BY1206" s="81"/>
      <c r="BZ1206" s="81"/>
      <c r="CA1206" s="81"/>
      <c r="CB1206" s="81"/>
      <c r="CC1206" s="81"/>
      <c r="CD1206" s="81"/>
      <c r="CE1206" s="81"/>
      <c r="CF1206" s="81"/>
      <c r="CG1206" s="81"/>
      <c r="CH1206" s="81"/>
      <c r="CI1206" s="81"/>
      <c r="CJ1206" s="81"/>
      <c r="CK1206" s="81"/>
      <c r="CL1206" s="81"/>
      <c r="CM1206" s="81"/>
      <c r="CN1206" s="81"/>
      <c r="CO1206" s="81"/>
      <c r="CP1206" s="81"/>
      <c r="CQ1206" s="111"/>
      <c r="CT1206" s="81"/>
    </row>
    <row r="1207" spans="48:98" x14ac:dyDescent="0.25">
      <c r="AV1207" s="81"/>
      <c r="AW1207" s="81"/>
      <c r="AX1207" s="81"/>
      <c r="AY1207" s="81"/>
      <c r="BA1207" s="81"/>
      <c r="BB1207" s="81"/>
      <c r="BC1207" s="81"/>
      <c r="BD1207" s="81"/>
      <c r="BE1207" s="81"/>
      <c r="BF1207" s="81"/>
      <c r="BG1207" s="81"/>
      <c r="BH1207" s="81"/>
      <c r="BI1207" s="81"/>
      <c r="BJ1207" s="81"/>
      <c r="BK1207" s="81"/>
      <c r="BL1207" s="81"/>
      <c r="BM1207" s="81"/>
      <c r="BN1207" s="81"/>
      <c r="BO1207" s="81"/>
      <c r="BP1207" s="81"/>
      <c r="BQ1207" s="81"/>
      <c r="BR1207" s="81"/>
      <c r="BS1207" s="81"/>
      <c r="BT1207" s="81"/>
      <c r="BU1207" s="81"/>
      <c r="BV1207" s="81"/>
      <c r="BW1207" s="81"/>
      <c r="BX1207" s="81"/>
      <c r="BY1207" s="81"/>
      <c r="BZ1207" s="81"/>
      <c r="CA1207" s="81"/>
      <c r="CB1207" s="81"/>
      <c r="CC1207" s="81"/>
      <c r="CD1207" s="81"/>
      <c r="CE1207" s="81"/>
      <c r="CF1207" s="81"/>
      <c r="CG1207" s="81"/>
      <c r="CH1207" s="81"/>
      <c r="CI1207" s="81"/>
      <c r="CJ1207" s="81"/>
      <c r="CK1207" s="81"/>
      <c r="CL1207" s="81"/>
      <c r="CM1207" s="81"/>
      <c r="CN1207" s="81"/>
      <c r="CO1207" s="81"/>
      <c r="CP1207" s="81"/>
      <c r="CQ1207" s="111"/>
      <c r="CT1207" s="81"/>
    </row>
    <row r="1208" spans="48:98" x14ac:dyDescent="0.25">
      <c r="AV1208" s="81"/>
      <c r="AW1208" s="81"/>
      <c r="AX1208" s="81"/>
      <c r="AY1208" s="81"/>
      <c r="BA1208" s="81"/>
      <c r="BB1208" s="81"/>
      <c r="BC1208" s="81"/>
      <c r="BD1208" s="81"/>
      <c r="BE1208" s="81"/>
      <c r="BF1208" s="81"/>
      <c r="BG1208" s="81"/>
      <c r="BH1208" s="81"/>
      <c r="BI1208" s="81"/>
      <c r="BJ1208" s="81"/>
      <c r="BK1208" s="81"/>
      <c r="BL1208" s="81"/>
      <c r="BM1208" s="81"/>
      <c r="BN1208" s="81"/>
      <c r="BO1208" s="81"/>
      <c r="BP1208" s="81"/>
      <c r="BQ1208" s="81"/>
      <c r="BR1208" s="81"/>
      <c r="BS1208" s="81"/>
      <c r="BT1208" s="81"/>
      <c r="BU1208" s="81"/>
      <c r="BV1208" s="81"/>
      <c r="BW1208" s="81"/>
      <c r="BX1208" s="81"/>
      <c r="BY1208" s="81"/>
      <c r="BZ1208" s="81"/>
      <c r="CA1208" s="81"/>
      <c r="CB1208" s="81"/>
      <c r="CC1208" s="81"/>
      <c r="CD1208" s="81"/>
      <c r="CE1208" s="81"/>
      <c r="CF1208" s="81"/>
      <c r="CG1208" s="81"/>
      <c r="CH1208" s="81"/>
      <c r="CI1208" s="81"/>
      <c r="CJ1208" s="81"/>
      <c r="CK1208" s="81"/>
      <c r="CL1208" s="81"/>
      <c r="CM1208" s="81"/>
      <c r="CN1208" s="81"/>
      <c r="CO1208" s="81"/>
      <c r="CP1208" s="81"/>
      <c r="CQ1208" s="111"/>
      <c r="CT1208" s="81"/>
    </row>
    <row r="1209" spans="48:98" x14ac:dyDescent="0.25">
      <c r="AV1209" s="81"/>
      <c r="AW1209" s="81"/>
      <c r="AX1209" s="81"/>
      <c r="AY1209" s="81"/>
      <c r="BA1209" s="81"/>
      <c r="BB1209" s="81"/>
      <c r="BC1209" s="81"/>
      <c r="BD1209" s="81"/>
      <c r="BE1209" s="81"/>
      <c r="BF1209" s="81"/>
      <c r="BG1209" s="81"/>
      <c r="BH1209" s="81"/>
      <c r="BI1209" s="81"/>
      <c r="BJ1209" s="81"/>
      <c r="BK1209" s="81"/>
      <c r="BL1209" s="81"/>
      <c r="BM1209" s="81"/>
      <c r="BN1209" s="81"/>
      <c r="BO1209" s="81"/>
      <c r="BP1209" s="81"/>
      <c r="BQ1209" s="81"/>
      <c r="BR1209" s="81"/>
      <c r="BS1209" s="81"/>
      <c r="BT1209" s="81"/>
      <c r="BU1209" s="81"/>
      <c r="BV1209" s="81"/>
      <c r="BW1209" s="81"/>
      <c r="BX1209" s="81"/>
      <c r="BY1209" s="81"/>
      <c r="BZ1209" s="81"/>
      <c r="CA1209" s="81"/>
      <c r="CB1209" s="81"/>
      <c r="CC1209" s="81"/>
      <c r="CD1209" s="81"/>
      <c r="CE1209" s="81"/>
      <c r="CF1209" s="81"/>
      <c r="CG1209" s="81"/>
      <c r="CH1209" s="81"/>
      <c r="CI1209" s="81"/>
      <c r="CJ1209" s="81"/>
      <c r="CK1209" s="81"/>
      <c r="CL1209" s="81"/>
      <c r="CM1209" s="81"/>
      <c r="CN1209" s="81"/>
      <c r="CO1209" s="81"/>
      <c r="CP1209" s="81"/>
      <c r="CQ1209" s="111"/>
      <c r="CT1209" s="81"/>
    </row>
    <row r="1210" spans="48:98" x14ac:dyDescent="0.25">
      <c r="AV1210" s="81"/>
      <c r="AW1210" s="81"/>
      <c r="AX1210" s="81"/>
      <c r="AY1210" s="81"/>
      <c r="BA1210" s="81"/>
      <c r="BB1210" s="81"/>
      <c r="BC1210" s="81"/>
      <c r="BD1210" s="81"/>
      <c r="BE1210" s="81"/>
      <c r="BF1210" s="81"/>
      <c r="BG1210" s="81"/>
      <c r="BH1210" s="81"/>
      <c r="BI1210" s="81"/>
      <c r="BJ1210" s="81"/>
      <c r="BK1210" s="81"/>
      <c r="BL1210" s="81"/>
      <c r="BM1210" s="81"/>
      <c r="BN1210" s="81"/>
      <c r="BO1210" s="81"/>
      <c r="BP1210" s="81"/>
      <c r="BQ1210" s="81"/>
      <c r="BR1210" s="81"/>
      <c r="BS1210" s="81"/>
      <c r="BT1210" s="81"/>
      <c r="BU1210" s="81"/>
      <c r="BV1210" s="81"/>
      <c r="BW1210" s="81"/>
      <c r="BX1210" s="81"/>
      <c r="BY1210" s="81"/>
      <c r="BZ1210" s="81"/>
      <c r="CA1210" s="81"/>
      <c r="CB1210" s="81"/>
      <c r="CC1210" s="81"/>
      <c r="CD1210" s="81"/>
      <c r="CE1210" s="81"/>
      <c r="CF1210" s="81"/>
      <c r="CG1210" s="81"/>
      <c r="CH1210" s="81"/>
      <c r="CI1210" s="81"/>
      <c r="CJ1210" s="81"/>
      <c r="CK1210" s="81"/>
      <c r="CL1210" s="81"/>
      <c r="CM1210" s="81"/>
      <c r="CN1210" s="81"/>
      <c r="CO1210" s="81"/>
      <c r="CP1210" s="81"/>
      <c r="CQ1210" s="111"/>
      <c r="CT1210" s="81"/>
    </row>
    <row r="1211" spans="48:98" x14ac:dyDescent="0.25">
      <c r="AV1211" s="81"/>
      <c r="AW1211" s="81"/>
      <c r="AX1211" s="81"/>
      <c r="AY1211" s="81"/>
      <c r="BA1211" s="81"/>
      <c r="BB1211" s="81"/>
      <c r="BC1211" s="81"/>
      <c r="BD1211" s="81"/>
      <c r="BE1211" s="81"/>
      <c r="BF1211" s="81"/>
      <c r="BG1211" s="81"/>
      <c r="BH1211" s="81"/>
      <c r="BI1211" s="81"/>
      <c r="BJ1211" s="81"/>
      <c r="BK1211" s="81"/>
      <c r="BL1211" s="81"/>
      <c r="BM1211" s="81"/>
      <c r="BN1211" s="81"/>
      <c r="BO1211" s="81"/>
      <c r="BP1211" s="81"/>
      <c r="BQ1211" s="81"/>
      <c r="BR1211" s="81"/>
      <c r="BS1211" s="81"/>
      <c r="BT1211" s="81"/>
      <c r="BU1211" s="81"/>
      <c r="BV1211" s="81"/>
      <c r="BW1211" s="81"/>
      <c r="BX1211" s="81"/>
      <c r="BY1211" s="81"/>
      <c r="BZ1211" s="81"/>
      <c r="CA1211" s="81"/>
      <c r="CB1211" s="81"/>
      <c r="CC1211" s="81"/>
      <c r="CD1211" s="81"/>
      <c r="CE1211" s="81"/>
      <c r="CF1211" s="81"/>
      <c r="CG1211" s="81"/>
      <c r="CH1211" s="81"/>
      <c r="CI1211" s="81"/>
      <c r="CJ1211" s="81"/>
      <c r="CK1211" s="81"/>
      <c r="CL1211" s="81"/>
      <c r="CM1211" s="81"/>
      <c r="CN1211" s="81"/>
      <c r="CO1211" s="81"/>
      <c r="CP1211" s="81"/>
      <c r="CQ1211" s="111"/>
      <c r="CT1211" s="81"/>
    </row>
    <row r="1212" spans="48:98" x14ac:dyDescent="0.25">
      <c r="AV1212" s="81"/>
      <c r="AW1212" s="81"/>
      <c r="AX1212" s="81"/>
      <c r="AY1212" s="81"/>
      <c r="BA1212" s="81"/>
      <c r="BB1212" s="81"/>
      <c r="BC1212" s="81"/>
      <c r="BD1212" s="81"/>
      <c r="BE1212" s="81"/>
      <c r="BF1212" s="81"/>
      <c r="BG1212" s="81"/>
      <c r="BH1212" s="81"/>
      <c r="BI1212" s="81"/>
      <c r="BJ1212" s="81"/>
      <c r="BK1212" s="81"/>
      <c r="BL1212" s="81"/>
      <c r="BM1212" s="81"/>
      <c r="BN1212" s="81"/>
      <c r="BO1212" s="81"/>
      <c r="BP1212" s="81"/>
      <c r="BQ1212" s="81"/>
      <c r="BR1212" s="81"/>
      <c r="BS1212" s="81"/>
      <c r="BT1212" s="81"/>
      <c r="BU1212" s="81"/>
      <c r="BV1212" s="81"/>
      <c r="BW1212" s="81"/>
      <c r="BX1212" s="81"/>
      <c r="BY1212" s="81"/>
      <c r="BZ1212" s="81"/>
      <c r="CA1212" s="81"/>
      <c r="CB1212" s="81"/>
      <c r="CC1212" s="81"/>
      <c r="CD1212" s="81"/>
      <c r="CE1212" s="81"/>
      <c r="CF1212" s="81"/>
      <c r="CG1212" s="81"/>
      <c r="CH1212" s="81"/>
      <c r="CI1212" s="81"/>
      <c r="CJ1212" s="81"/>
      <c r="CK1212" s="81"/>
      <c r="CL1212" s="81"/>
      <c r="CM1212" s="81"/>
      <c r="CN1212" s="81"/>
      <c r="CO1212" s="81"/>
      <c r="CP1212" s="81"/>
      <c r="CQ1212" s="111"/>
      <c r="CT1212" s="81"/>
    </row>
    <row r="1213" spans="48:98" x14ac:dyDescent="0.25">
      <c r="AV1213" s="81"/>
      <c r="AW1213" s="81"/>
      <c r="AX1213" s="81"/>
      <c r="AY1213" s="81"/>
      <c r="BA1213" s="81"/>
      <c r="BB1213" s="81"/>
      <c r="BC1213" s="81"/>
      <c r="BD1213" s="81"/>
      <c r="BE1213" s="81"/>
      <c r="BF1213" s="81"/>
      <c r="BG1213" s="81"/>
      <c r="BH1213" s="81"/>
      <c r="BI1213" s="81"/>
      <c r="BJ1213" s="81"/>
      <c r="BK1213" s="81"/>
      <c r="BL1213" s="81"/>
      <c r="BM1213" s="81"/>
      <c r="BN1213" s="81"/>
      <c r="BO1213" s="81"/>
      <c r="BP1213" s="81"/>
      <c r="BQ1213" s="81"/>
      <c r="BR1213" s="81"/>
      <c r="BS1213" s="81"/>
      <c r="BT1213" s="81"/>
      <c r="BU1213" s="81"/>
      <c r="BV1213" s="81"/>
      <c r="BW1213" s="81"/>
      <c r="BX1213" s="81"/>
      <c r="BY1213" s="81"/>
      <c r="BZ1213" s="81"/>
      <c r="CA1213" s="81"/>
      <c r="CB1213" s="81"/>
      <c r="CC1213" s="81"/>
      <c r="CD1213" s="81"/>
      <c r="CE1213" s="81"/>
      <c r="CF1213" s="81"/>
      <c r="CG1213" s="81"/>
      <c r="CH1213" s="81"/>
      <c r="CI1213" s="81"/>
      <c r="CJ1213" s="81"/>
      <c r="CK1213" s="81"/>
      <c r="CL1213" s="81"/>
      <c r="CM1213" s="81"/>
      <c r="CN1213" s="81"/>
      <c r="CO1213" s="81"/>
      <c r="CP1213" s="81"/>
      <c r="CQ1213" s="111"/>
      <c r="CT1213" s="81"/>
    </row>
    <row r="1214" spans="48:98" x14ac:dyDescent="0.25">
      <c r="AV1214" s="81"/>
      <c r="AW1214" s="81"/>
      <c r="AX1214" s="81"/>
      <c r="AY1214" s="81"/>
      <c r="BA1214" s="81"/>
      <c r="BB1214" s="81"/>
      <c r="BC1214" s="81"/>
      <c r="BD1214" s="81"/>
      <c r="BE1214" s="81"/>
      <c r="BF1214" s="81"/>
      <c r="BG1214" s="81"/>
      <c r="BH1214" s="81"/>
      <c r="BI1214" s="81"/>
      <c r="BJ1214" s="81"/>
      <c r="BK1214" s="81"/>
      <c r="BL1214" s="81"/>
      <c r="BM1214" s="81"/>
      <c r="BN1214" s="81"/>
      <c r="BO1214" s="81"/>
      <c r="BP1214" s="81"/>
      <c r="BQ1214" s="81"/>
      <c r="BR1214" s="81"/>
      <c r="BS1214" s="81"/>
      <c r="BT1214" s="81"/>
      <c r="BU1214" s="81"/>
      <c r="BV1214" s="81"/>
      <c r="BW1214" s="81"/>
      <c r="BX1214" s="81"/>
      <c r="BY1214" s="81"/>
      <c r="BZ1214" s="81"/>
      <c r="CA1214" s="81"/>
      <c r="CB1214" s="81"/>
      <c r="CC1214" s="81"/>
      <c r="CD1214" s="81"/>
      <c r="CE1214" s="81"/>
      <c r="CF1214" s="81"/>
      <c r="CG1214" s="81"/>
      <c r="CH1214" s="81"/>
      <c r="CI1214" s="81"/>
      <c r="CJ1214" s="81"/>
      <c r="CK1214" s="81"/>
      <c r="CL1214" s="81"/>
      <c r="CM1214" s="81"/>
      <c r="CN1214" s="81"/>
      <c r="CO1214" s="81"/>
      <c r="CP1214" s="81"/>
      <c r="CQ1214" s="111"/>
      <c r="CT1214" s="81"/>
    </row>
    <row r="1215" spans="48:98" x14ac:dyDescent="0.25">
      <c r="AV1215" s="81"/>
      <c r="AW1215" s="81"/>
      <c r="AX1215" s="81"/>
      <c r="AY1215" s="81"/>
      <c r="BA1215" s="81"/>
      <c r="BB1215" s="81"/>
      <c r="BC1215" s="81"/>
      <c r="BD1215" s="81"/>
      <c r="BE1215" s="81"/>
      <c r="BF1215" s="81"/>
      <c r="BG1215" s="81"/>
      <c r="BH1215" s="81"/>
      <c r="BI1215" s="81"/>
      <c r="BJ1215" s="81"/>
      <c r="BK1215" s="81"/>
      <c r="BL1215" s="81"/>
      <c r="BM1215" s="81"/>
      <c r="BN1215" s="81"/>
      <c r="BO1215" s="81"/>
      <c r="BP1215" s="81"/>
      <c r="BQ1215" s="81"/>
      <c r="BR1215" s="81"/>
      <c r="BS1215" s="81"/>
      <c r="BT1215" s="81"/>
      <c r="BU1215" s="81"/>
      <c r="BV1215" s="81"/>
      <c r="BW1215" s="81"/>
      <c r="BX1215" s="81"/>
      <c r="BY1215" s="81"/>
      <c r="BZ1215" s="81"/>
      <c r="CA1215" s="81"/>
      <c r="CB1215" s="81"/>
      <c r="CC1215" s="81"/>
      <c r="CD1215" s="81"/>
      <c r="CE1215" s="81"/>
      <c r="CF1215" s="81"/>
      <c r="CG1215" s="81"/>
      <c r="CH1215" s="81"/>
      <c r="CI1215" s="81"/>
      <c r="CJ1215" s="81"/>
      <c r="CK1215" s="81"/>
      <c r="CL1215" s="81"/>
      <c r="CM1215" s="81"/>
      <c r="CN1215" s="81"/>
      <c r="CO1215" s="81"/>
      <c r="CP1215" s="81"/>
      <c r="CQ1215" s="111"/>
      <c r="CT1215" s="81"/>
    </row>
    <row r="1216" spans="48:98" x14ac:dyDescent="0.25">
      <c r="AV1216" s="81"/>
      <c r="AW1216" s="81"/>
      <c r="AX1216" s="81"/>
      <c r="AY1216" s="81"/>
      <c r="BA1216" s="81"/>
      <c r="BB1216" s="81"/>
      <c r="BC1216" s="81"/>
      <c r="BD1216" s="81"/>
      <c r="BE1216" s="81"/>
      <c r="BF1216" s="81"/>
      <c r="BG1216" s="81"/>
      <c r="BH1216" s="81"/>
      <c r="BI1216" s="81"/>
      <c r="BJ1216" s="81"/>
      <c r="BK1216" s="81"/>
      <c r="BL1216" s="81"/>
      <c r="BM1216" s="81"/>
      <c r="BN1216" s="81"/>
      <c r="BO1216" s="81"/>
      <c r="BP1216" s="81"/>
      <c r="BQ1216" s="81"/>
      <c r="BR1216" s="81"/>
      <c r="BS1216" s="81"/>
      <c r="BT1216" s="81"/>
      <c r="BU1216" s="81"/>
      <c r="BV1216" s="81"/>
      <c r="BW1216" s="81"/>
      <c r="BX1216" s="81"/>
      <c r="BY1216" s="81"/>
      <c r="BZ1216" s="81"/>
      <c r="CA1216" s="81"/>
      <c r="CB1216" s="81"/>
      <c r="CC1216" s="81"/>
      <c r="CD1216" s="81"/>
      <c r="CE1216" s="81"/>
      <c r="CF1216" s="81"/>
      <c r="CG1216" s="81"/>
      <c r="CH1216" s="81"/>
      <c r="CI1216" s="81"/>
      <c r="CJ1216" s="81"/>
      <c r="CK1216" s="81"/>
      <c r="CL1216" s="81"/>
      <c r="CM1216" s="81"/>
      <c r="CN1216" s="81"/>
      <c r="CO1216" s="81"/>
      <c r="CP1216" s="81"/>
      <c r="CQ1216" s="111"/>
      <c r="CT1216" s="81"/>
    </row>
    <row r="1217" spans="48:98" x14ac:dyDescent="0.25">
      <c r="AV1217" s="81"/>
      <c r="AW1217" s="81"/>
      <c r="AX1217" s="81"/>
      <c r="AY1217" s="81"/>
      <c r="BA1217" s="81"/>
      <c r="BB1217" s="81"/>
      <c r="BC1217" s="81"/>
      <c r="BD1217" s="81"/>
      <c r="BE1217" s="81"/>
      <c r="BF1217" s="81"/>
      <c r="BG1217" s="81"/>
      <c r="BH1217" s="81"/>
      <c r="BI1217" s="81"/>
      <c r="BJ1217" s="81"/>
      <c r="BK1217" s="81"/>
      <c r="BL1217" s="81"/>
      <c r="BM1217" s="81"/>
      <c r="BN1217" s="81"/>
      <c r="BO1217" s="81"/>
      <c r="BP1217" s="81"/>
      <c r="BQ1217" s="81"/>
      <c r="BR1217" s="81"/>
      <c r="BS1217" s="81"/>
      <c r="BT1217" s="81"/>
      <c r="BU1217" s="81"/>
      <c r="BV1217" s="81"/>
      <c r="BW1217" s="81"/>
      <c r="BX1217" s="81"/>
      <c r="BY1217" s="81"/>
      <c r="BZ1217" s="81"/>
      <c r="CA1217" s="81"/>
      <c r="CB1217" s="81"/>
      <c r="CC1217" s="81"/>
      <c r="CD1217" s="81"/>
      <c r="CE1217" s="81"/>
      <c r="CF1217" s="81"/>
      <c r="CG1217" s="81"/>
      <c r="CH1217" s="81"/>
      <c r="CI1217" s="81"/>
      <c r="CJ1217" s="81"/>
      <c r="CK1217" s="81"/>
      <c r="CL1217" s="81"/>
      <c r="CM1217" s="81"/>
      <c r="CN1217" s="81"/>
      <c r="CO1217" s="81"/>
      <c r="CP1217" s="81"/>
      <c r="CQ1217" s="111"/>
      <c r="CT1217" s="81"/>
    </row>
    <row r="1218" spans="48:98" x14ac:dyDescent="0.25">
      <c r="AV1218" s="81"/>
      <c r="AW1218" s="81"/>
      <c r="AX1218" s="81"/>
      <c r="AY1218" s="81"/>
      <c r="BA1218" s="81"/>
      <c r="BB1218" s="81"/>
      <c r="BC1218" s="81"/>
      <c r="BD1218" s="81"/>
      <c r="BE1218" s="81"/>
      <c r="BF1218" s="81"/>
      <c r="BG1218" s="81"/>
      <c r="BH1218" s="81"/>
      <c r="BI1218" s="81"/>
      <c r="BJ1218" s="81"/>
      <c r="BK1218" s="81"/>
      <c r="BL1218" s="81"/>
      <c r="BM1218" s="81"/>
      <c r="BN1218" s="81"/>
      <c r="BO1218" s="81"/>
      <c r="BP1218" s="81"/>
      <c r="BQ1218" s="81"/>
      <c r="BR1218" s="81"/>
      <c r="BS1218" s="81"/>
      <c r="BT1218" s="81"/>
      <c r="BU1218" s="81"/>
      <c r="BV1218" s="81"/>
      <c r="BW1218" s="81"/>
      <c r="BX1218" s="81"/>
      <c r="BY1218" s="81"/>
      <c r="BZ1218" s="81"/>
      <c r="CA1218" s="81"/>
      <c r="CB1218" s="81"/>
      <c r="CC1218" s="81"/>
      <c r="CD1218" s="81"/>
      <c r="CE1218" s="81"/>
      <c r="CF1218" s="81"/>
      <c r="CG1218" s="81"/>
      <c r="CH1218" s="81"/>
      <c r="CI1218" s="81"/>
      <c r="CJ1218" s="81"/>
      <c r="CK1218" s="81"/>
      <c r="CL1218" s="81"/>
      <c r="CM1218" s="81"/>
      <c r="CN1218" s="81"/>
      <c r="CO1218" s="81"/>
      <c r="CP1218" s="81"/>
      <c r="CQ1218" s="111"/>
      <c r="CT1218" s="81"/>
    </row>
    <row r="1219" spans="48:98" x14ac:dyDescent="0.25">
      <c r="AV1219" s="81"/>
      <c r="AW1219" s="81"/>
      <c r="AX1219" s="81"/>
      <c r="AY1219" s="81"/>
      <c r="BA1219" s="81"/>
      <c r="BB1219" s="81"/>
      <c r="BC1219" s="81"/>
      <c r="BD1219" s="81"/>
      <c r="BE1219" s="81"/>
      <c r="BF1219" s="81"/>
      <c r="BG1219" s="81"/>
      <c r="BH1219" s="81"/>
      <c r="BI1219" s="81"/>
      <c r="BJ1219" s="81"/>
      <c r="BK1219" s="81"/>
      <c r="BL1219" s="81"/>
      <c r="BM1219" s="81"/>
      <c r="BN1219" s="81"/>
      <c r="BO1219" s="81"/>
      <c r="BP1219" s="81"/>
      <c r="BQ1219" s="81"/>
      <c r="BR1219" s="81"/>
      <c r="BS1219" s="81"/>
      <c r="BT1219" s="81"/>
      <c r="BU1219" s="81"/>
      <c r="BV1219" s="81"/>
      <c r="BW1219" s="81"/>
      <c r="BX1219" s="81"/>
      <c r="BY1219" s="81"/>
      <c r="BZ1219" s="81"/>
      <c r="CA1219" s="81"/>
      <c r="CB1219" s="81"/>
      <c r="CC1219" s="81"/>
      <c r="CD1219" s="81"/>
      <c r="CE1219" s="81"/>
      <c r="CF1219" s="81"/>
      <c r="CG1219" s="81"/>
      <c r="CH1219" s="81"/>
      <c r="CI1219" s="81"/>
      <c r="CJ1219" s="81"/>
      <c r="CK1219" s="81"/>
      <c r="CL1219" s="81"/>
      <c r="CM1219" s="81"/>
      <c r="CN1219" s="81"/>
      <c r="CO1219" s="81"/>
      <c r="CP1219" s="81"/>
      <c r="CQ1219" s="111"/>
      <c r="CT1219" s="81"/>
    </row>
    <row r="1220" spans="48:98" x14ac:dyDescent="0.25">
      <c r="AV1220" s="81"/>
      <c r="AW1220" s="81"/>
      <c r="AX1220" s="81"/>
      <c r="AY1220" s="81"/>
      <c r="BA1220" s="81"/>
      <c r="BB1220" s="81"/>
      <c r="BC1220" s="81"/>
      <c r="BD1220" s="81"/>
      <c r="BE1220" s="81"/>
      <c r="BF1220" s="81"/>
      <c r="BG1220" s="81"/>
      <c r="BH1220" s="81"/>
      <c r="BI1220" s="81"/>
      <c r="BJ1220" s="81"/>
      <c r="BK1220" s="81"/>
      <c r="BL1220" s="81"/>
      <c r="BM1220" s="81"/>
      <c r="BN1220" s="81"/>
      <c r="BO1220" s="81"/>
      <c r="BP1220" s="81"/>
      <c r="BQ1220" s="81"/>
      <c r="BR1220" s="81"/>
      <c r="BS1220" s="81"/>
      <c r="BT1220" s="81"/>
      <c r="BU1220" s="81"/>
      <c r="BV1220" s="81"/>
      <c r="BW1220" s="81"/>
      <c r="BX1220" s="81"/>
      <c r="BY1220" s="81"/>
      <c r="BZ1220" s="81"/>
      <c r="CA1220" s="81"/>
      <c r="CB1220" s="81"/>
      <c r="CC1220" s="81"/>
      <c r="CD1220" s="81"/>
      <c r="CE1220" s="81"/>
      <c r="CF1220" s="81"/>
      <c r="CG1220" s="81"/>
      <c r="CH1220" s="81"/>
      <c r="CI1220" s="81"/>
      <c r="CJ1220" s="81"/>
      <c r="CK1220" s="81"/>
      <c r="CL1220" s="81"/>
      <c r="CM1220" s="81"/>
      <c r="CN1220" s="81"/>
      <c r="CO1220" s="81"/>
      <c r="CP1220" s="81"/>
      <c r="CQ1220" s="111"/>
      <c r="CT1220" s="81"/>
    </row>
    <row r="1221" spans="48:98" x14ac:dyDescent="0.25">
      <c r="AV1221" s="81"/>
      <c r="AW1221" s="81"/>
      <c r="AX1221" s="81"/>
      <c r="AY1221" s="81"/>
      <c r="BA1221" s="81"/>
      <c r="BB1221" s="81"/>
      <c r="BC1221" s="81"/>
      <c r="BD1221" s="81"/>
      <c r="BE1221" s="81"/>
      <c r="BF1221" s="81"/>
      <c r="BG1221" s="81"/>
      <c r="BH1221" s="81"/>
      <c r="BI1221" s="81"/>
      <c r="BJ1221" s="81"/>
      <c r="BK1221" s="81"/>
      <c r="BL1221" s="81"/>
      <c r="BM1221" s="81"/>
      <c r="BN1221" s="81"/>
      <c r="BO1221" s="81"/>
      <c r="BP1221" s="81"/>
      <c r="BQ1221" s="81"/>
      <c r="BR1221" s="81"/>
      <c r="BS1221" s="81"/>
      <c r="BT1221" s="81"/>
      <c r="BU1221" s="81"/>
      <c r="BV1221" s="81"/>
      <c r="BW1221" s="81"/>
      <c r="BX1221" s="81"/>
      <c r="BY1221" s="81"/>
      <c r="BZ1221" s="81"/>
      <c r="CA1221" s="81"/>
      <c r="CB1221" s="81"/>
      <c r="CC1221" s="81"/>
      <c r="CD1221" s="81"/>
      <c r="CE1221" s="81"/>
      <c r="CF1221" s="81"/>
      <c r="CG1221" s="81"/>
      <c r="CH1221" s="81"/>
      <c r="CI1221" s="81"/>
      <c r="CJ1221" s="81"/>
      <c r="CK1221" s="81"/>
      <c r="CL1221" s="81"/>
      <c r="CM1221" s="81"/>
      <c r="CN1221" s="81"/>
      <c r="CO1221" s="81"/>
      <c r="CP1221" s="81"/>
      <c r="CQ1221" s="111"/>
      <c r="CT1221" s="81"/>
    </row>
    <row r="1222" spans="48:98" x14ac:dyDescent="0.25">
      <c r="AV1222" s="81"/>
      <c r="AW1222" s="81"/>
      <c r="AX1222" s="81"/>
      <c r="AY1222" s="81"/>
      <c r="BA1222" s="81"/>
      <c r="BB1222" s="81"/>
      <c r="BC1222" s="81"/>
      <c r="BD1222" s="81"/>
      <c r="BE1222" s="81"/>
      <c r="BF1222" s="81"/>
      <c r="BG1222" s="81"/>
      <c r="BH1222" s="81"/>
      <c r="BI1222" s="81"/>
      <c r="BJ1222" s="81"/>
      <c r="BK1222" s="81"/>
      <c r="BL1222" s="81"/>
      <c r="BM1222" s="81"/>
      <c r="BN1222" s="81"/>
      <c r="BO1222" s="81"/>
      <c r="BP1222" s="81"/>
      <c r="BQ1222" s="81"/>
      <c r="BR1222" s="81"/>
      <c r="BS1222" s="81"/>
      <c r="BT1222" s="81"/>
      <c r="BU1222" s="81"/>
      <c r="BV1222" s="81"/>
      <c r="BW1222" s="81"/>
      <c r="BX1222" s="81"/>
      <c r="BY1222" s="81"/>
      <c r="BZ1222" s="81"/>
      <c r="CA1222" s="81"/>
      <c r="CB1222" s="81"/>
      <c r="CC1222" s="81"/>
      <c r="CD1222" s="81"/>
      <c r="CE1222" s="81"/>
      <c r="CF1222" s="81"/>
      <c r="CG1222" s="81"/>
      <c r="CH1222" s="81"/>
      <c r="CI1222" s="81"/>
      <c r="CJ1222" s="81"/>
      <c r="CK1222" s="81"/>
      <c r="CL1222" s="81"/>
      <c r="CM1222" s="81"/>
      <c r="CN1222" s="81"/>
      <c r="CO1222" s="81"/>
      <c r="CP1222" s="81"/>
      <c r="CQ1222" s="111"/>
      <c r="CT1222" s="81"/>
    </row>
    <row r="1223" spans="48:98" x14ac:dyDescent="0.25">
      <c r="AV1223" s="81"/>
      <c r="AW1223" s="81"/>
      <c r="AX1223" s="81"/>
      <c r="AY1223" s="81"/>
      <c r="BA1223" s="81"/>
      <c r="BB1223" s="81"/>
      <c r="BC1223" s="81"/>
      <c r="BD1223" s="81"/>
      <c r="BE1223" s="81"/>
      <c r="BF1223" s="81"/>
      <c r="BG1223" s="81"/>
      <c r="BH1223" s="81"/>
      <c r="BI1223" s="81"/>
      <c r="BJ1223" s="81"/>
      <c r="BK1223" s="81"/>
      <c r="BL1223" s="81"/>
      <c r="BM1223" s="81"/>
      <c r="BN1223" s="81"/>
      <c r="BO1223" s="81"/>
      <c r="BP1223" s="81"/>
      <c r="BQ1223" s="81"/>
      <c r="BR1223" s="81"/>
      <c r="BS1223" s="81"/>
      <c r="BT1223" s="81"/>
      <c r="BU1223" s="81"/>
      <c r="BV1223" s="81"/>
      <c r="BW1223" s="81"/>
      <c r="BX1223" s="81"/>
      <c r="BY1223" s="81"/>
      <c r="BZ1223" s="81"/>
      <c r="CA1223" s="81"/>
      <c r="CB1223" s="81"/>
      <c r="CC1223" s="81"/>
      <c r="CD1223" s="81"/>
      <c r="CE1223" s="81"/>
      <c r="CF1223" s="81"/>
      <c r="CG1223" s="81"/>
      <c r="CH1223" s="81"/>
      <c r="CI1223" s="81"/>
      <c r="CJ1223" s="81"/>
      <c r="CK1223" s="81"/>
      <c r="CL1223" s="81"/>
      <c r="CM1223" s="81"/>
      <c r="CN1223" s="81"/>
      <c r="CO1223" s="81"/>
      <c r="CP1223" s="81"/>
      <c r="CQ1223" s="111"/>
      <c r="CT1223" s="81"/>
    </row>
    <row r="1224" spans="48:98" x14ac:dyDescent="0.25">
      <c r="AV1224" s="81"/>
      <c r="AW1224" s="81"/>
      <c r="AX1224" s="81"/>
      <c r="AY1224" s="81"/>
      <c r="BA1224" s="81"/>
      <c r="BB1224" s="81"/>
      <c r="BC1224" s="81"/>
      <c r="BD1224" s="81"/>
      <c r="BE1224" s="81"/>
      <c r="BF1224" s="81"/>
      <c r="BG1224" s="81"/>
      <c r="BH1224" s="81"/>
      <c r="BI1224" s="81"/>
      <c r="BJ1224" s="81"/>
      <c r="BK1224" s="81"/>
      <c r="BL1224" s="81"/>
      <c r="BM1224" s="81"/>
      <c r="BN1224" s="81"/>
      <c r="BO1224" s="81"/>
      <c r="BP1224" s="81"/>
      <c r="BQ1224" s="81"/>
      <c r="BR1224" s="81"/>
      <c r="BS1224" s="81"/>
      <c r="BT1224" s="81"/>
      <c r="BU1224" s="81"/>
      <c r="BV1224" s="81"/>
      <c r="BW1224" s="81"/>
      <c r="BX1224" s="81"/>
      <c r="BY1224" s="81"/>
      <c r="BZ1224" s="81"/>
      <c r="CA1224" s="81"/>
      <c r="CB1224" s="81"/>
      <c r="CC1224" s="81"/>
      <c r="CD1224" s="81"/>
      <c r="CE1224" s="81"/>
      <c r="CF1224" s="81"/>
      <c r="CG1224" s="81"/>
      <c r="CH1224" s="81"/>
      <c r="CI1224" s="81"/>
      <c r="CJ1224" s="81"/>
      <c r="CK1224" s="81"/>
      <c r="CL1224" s="81"/>
      <c r="CM1224" s="81"/>
      <c r="CN1224" s="81"/>
      <c r="CO1224" s="81"/>
      <c r="CP1224" s="81"/>
      <c r="CQ1224" s="111"/>
      <c r="CT1224" s="81"/>
    </row>
    <row r="1225" spans="48:98" x14ac:dyDescent="0.25">
      <c r="AV1225" s="81"/>
      <c r="AW1225" s="81"/>
      <c r="AX1225" s="81"/>
      <c r="AY1225" s="81"/>
      <c r="BA1225" s="81"/>
      <c r="BB1225" s="81"/>
      <c r="BC1225" s="81"/>
      <c r="BD1225" s="81"/>
      <c r="BE1225" s="81"/>
      <c r="BF1225" s="81"/>
      <c r="BG1225" s="81"/>
      <c r="BH1225" s="81"/>
      <c r="BI1225" s="81"/>
      <c r="BJ1225" s="81"/>
      <c r="BK1225" s="81"/>
      <c r="BL1225" s="81"/>
      <c r="BM1225" s="81"/>
      <c r="BN1225" s="81"/>
      <c r="BO1225" s="81"/>
      <c r="BP1225" s="81"/>
      <c r="BQ1225" s="81"/>
      <c r="BR1225" s="81"/>
      <c r="BS1225" s="81"/>
      <c r="BT1225" s="81"/>
      <c r="BU1225" s="81"/>
      <c r="BV1225" s="81"/>
      <c r="BW1225" s="81"/>
      <c r="BX1225" s="81"/>
      <c r="BY1225" s="81"/>
      <c r="BZ1225" s="81"/>
      <c r="CA1225" s="81"/>
      <c r="CB1225" s="81"/>
      <c r="CC1225" s="81"/>
      <c r="CD1225" s="81"/>
      <c r="CE1225" s="81"/>
      <c r="CF1225" s="81"/>
      <c r="CG1225" s="81"/>
      <c r="CH1225" s="81"/>
      <c r="CI1225" s="81"/>
      <c r="CJ1225" s="81"/>
      <c r="CK1225" s="81"/>
      <c r="CL1225" s="81"/>
      <c r="CM1225" s="81"/>
      <c r="CN1225" s="81"/>
      <c r="CO1225" s="81"/>
      <c r="CP1225" s="81"/>
      <c r="CQ1225" s="111"/>
      <c r="CT1225" s="81"/>
    </row>
    <row r="1226" spans="48:98" x14ac:dyDescent="0.25">
      <c r="AV1226" s="81"/>
      <c r="AW1226" s="81"/>
      <c r="AX1226" s="81"/>
      <c r="AY1226" s="81"/>
      <c r="BA1226" s="81"/>
      <c r="BB1226" s="81"/>
      <c r="BC1226" s="81"/>
      <c r="BD1226" s="81"/>
      <c r="BE1226" s="81"/>
      <c r="BF1226" s="81"/>
      <c r="BG1226" s="81"/>
      <c r="BH1226" s="81"/>
      <c r="BI1226" s="81"/>
      <c r="BJ1226" s="81"/>
      <c r="BK1226" s="81"/>
      <c r="BL1226" s="81"/>
      <c r="BM1226" s="81"/>
      <c r="BN1226" s="81"/>
      <c r="BO1226" s="81"/>
      <c r="BP1226" s="81"/>
      <c r="BQ1226" s="81"/>
      <c r="BR1226" s="81"/>
      <c r="BS1226" s="81"/>
      <c r="BT1226" s="81"/>
      <c r="BU1226" s="81"/>
      <c r="BV1226" s="81"/>
      <c r="BW1226" s="81"/>
      <c r="BX1226" s="81"/>
      <c r="BY1226" s="81"/>
      <c r="BZ1226" s="81"/>
      <c r="CA1226" s="81"/>
      <c r="CB1226" s="81"/>
      <c r="CC1226" s="81"/>
      <c r="CD1226" s="81"/>
      <c r="CE1226" s="81"/>
      <c r="CF1226" s="81"/>
      <c r="CG1226" s="81"/>
      <c r="CH1226" s="81"/>
      <c r="CI1226" s="81"/>
      <c r="CJ1226" s="81"/>
      <c r="CK1226" s="81"/>
      <c r="CL1226" s="81"/>
      <c r="CM1226" s="81"/>
      <c r="CN1226" s="81"/>
      <c r="CO1226" s="81"/>
      <c r="CP1226" s="81"/>
      <c r="CQ1226" s="111"/>
      <c r="CT1226" s="81"/>
    </row>
    <row r="1227" spans="48:98" x14ac:dyDescent="0.25">
      <c r="AV1227" s="81"/>
      <c r="AW1227" s="81"/>
      <c r="AX1227" s="81"/>
      <c r="AY1227" s="81"/>
      <c r="BA1227" s="81"/>
      <c r="BB1227" s="81"/>
      <c r="BC1227" s="81"/>
      <c r="BD1227" s="81"/>
      <c r="BE1227" s="81"/>
      <c r="BF1227" s="81"/>
      <c r="BG1227" s="81"/>
      <c r="BH1227" s="81"/>
      <c r="BI1227" s="81"/>
      <c r="BJ1227" s="81"/>
      <c r="BK1227" s="81"/>
      <c r="BL1227" s="81"/>
      <c r="BM1227" s="81"/>
      <c r="BN1227" s="81"/>
      <c r="BO1227" s="81"/>
      <c r="BP1227" s="81"/>
      <c r="BQ1227" s="81"/>
      <c r="BR1227" s="81"/>
      <c r="BS1227" s="81"/>
      <c r="BT1227" s="81"/>
      <c r="BU1227" s="81"/>
      <c r="BV1227" s="81"/>
      <c r="BW1227" s="81"/>
      <c r="BX1227" s="81"/>
      <c r="BY1227" s="81"/>
      <c r="BZ1227" s="81"/>
      <c r="CA1227" s="81"/>
      <c r="CB1227" s="81"/>
      <c r="CC1227" s="81"/>
      <c r="CD1227" s="81"/>
      <c r="CE1227" s="81"/>
      <c r="CF1227" s="81"/>
      <c r="CG1227" s="81"/>
      <c r="CH1227" s="81"/>
      <c r="CI1227" s="81"/>
      <c r="CJ1227" s="81"/>
      <c r="CK1227" s="81"/>
      <c r="CL1227" s="81"/>
      <c r="CM1227" s="81"/>
      <c r="CN1227" s="81"/>
      <c r="CO1227" s="81"/>
      <c r="CP1227" s="81"/>
      <c r="CQ1227" s="111"/>
      <c r="CT1227" s="81"/>
    </row>
    <row r="1228" spans="48:98" x14ac:dyDescent="0.25">
      <c r="AV1228" s="81"/>
      <c r="AW1228" s="81"/>
      <c r="AX1228" s="81"/>
      <c r="AY1228" s="81"/>
      <c r="BA1228" s="81"/>
      <c r="BB1228" s="81"/>
      <c r="BC1228" s="81"/>
      <c r="BD1228" s="81"/>
      <c r="BE1228" s="81"/>
      <c r="BF1228" s="81"/>
      <c r="BG1228" s="81"/>
      <c r="BH1228" s="81"/>
      <c r="BI1228" s="81"/>
      <c r="BJ1228" s="81"/>
      <c r="BK1228" s="81"/>
      <c r="BL1228" s="81"/>
      <c r="BM1228" s="81"/>
      <c r="BN1228" s="81"/>
      <c r="BO1228" s="81"/>
      <c r="BP1228" s="81"/>
      <c r="BQ1228" s="81"/>
      <c r="BR1228" s="81"/>
      <c r="BS1228" s="81"/>
      <c r="BT1228" s="81"/>
      <c r="BU1228" s="81"/>
      <c r="BV1228" s="81"/>
      <c r="BW1228" s="81"/>
      <c r="BX1228" s="81"/>
      <c r="BY1228" s="81"/>
      <c r="BZ1228" s="81"/>
      <c r="CA1228" s="81"/>
      <c r="CB1228" s="81"/>
      <c r="CC1228" s="81"/>
      <c r="CD1228" s="81"/>
      <c r="CE1228" s="81"/>
      <c r="CF1228" s="81"/>
      <c r="CG1228" s="81"/>
      <c r="CH1228" s="81"/>
      <c r="CI1228" s="81"/>
      <c r="CJ1228" s="81"/>
      <c r="CK1228" s="81"/>
      <c r="CL1228" s="81"/>
      <c r="CM1228" s="81"/>
      <c r="CN1228" s="81"/>
      <c r="CO1228" s="81"/>
      <c r="CP1228" s="81"/>
      <c r="CQ1228" s="111"/>
      <c r="CT1228" s="81"/>
    </row>
    <row r="1229" spans="48:98" x14ac:dyDescent="0.25">
      <c r="AV1229" s="81"/>
      <c r="AW1229" s="81"/>
      <c r="AX1229" s="81"/>
      <c r="AY1229" s="81"/>
      <c r="BA1229" s="81"/>
      <c r="BB1229" s="81"/>
      <c r="BC1229" s="81"/>
      <c r="BD1229" s="81"/>
      <c r="BE1229" s="81"/>
      <c r="BF1229" s="81"/>
      <c r="BG1229" s="81"/>
      <c r="BH1229" s="81"/>
      <c r="BI1229" s="81"/>
      <c r="BJ1229" s="81"/>
      <c r="BK1229" s="81"/>
      <c r="BL1229" s="81"/>
      <c r="BM1229" s="81"/>
      <c r="BN1229" s="81"/>
      <c r="BO1229" s="81"/>
      <c r="BP1229" s="81"/>
      <c r="BQ1229" s="81"/>
      <c r="BR1229" s="81"/>
      <c r="BS1229" s="81"/>
      <c r="BT1229" s="81"/>
      <c r="BU1229" s="81"/>
      <c r="BV1229" s="81"/>
      <c r="BW1229" s="81"/>
      <c r="BX1229" s="81"/>
      <c r="BY1229" s="81"/>
      <c r="BZ1229" s="81"/>
      <c r="CA1229" s="81"/>
      <c r="CB1229" s="81"/>
      <c r="CC1229" s="81"/>
      <c r="CD1229" s="81"/>
      <c r="CE1229" s="81"/>
      <c r="CF1229" s="81"/>
      <c r="CG1229" s="81"/>
      <c r="CH1229" s="81"/>
      <c r="CI1229" s="81"/>
      <c r="CJ1229" s="81"/>
      <c r="CK1229" s="81"/>
      <c r="CL1229" s="81"/>
      <c r="CM1229" s="81"/>
      <c r="CN1229" s="81"/>
      <c r="CO1229" s="81"/>
      <c r="CP1229" s="81"/>
      <c r="CQ1229" s="111"/>
      <c r="CT1229" s="81"/>
    </row>
    <row r="1230" spans="48:98" x14ac:dyDescent="0.25">
      <c r="AV1230" s="81"/>
      <c r="AW1230" s="81"/>
      <c r="AX1230" s="81"/>
      <c r="AY1230" s="81"/>
      <c r="BA1230" s="81"/>
      <c r="BB1230" s="81"/>
      <c r="BC1230" s="81"/>
      <c r="BD1230" s="81"/>
      <c r="BE1230" s="81"/>
      <c r="BF1230" s="81"/>
      <c r="BG1230" s="81"/>
      <c r="BH1230" s="81"/>
      <c r="BI1230" s="81"/>
      <c r="BJ1230" s="81"/>
      <c r="BK1230" s="81"/>
      <c r="BL1230" s="81"/>
      <c r="BM1230" s="81"/>
      <c r="BN1230" s="81"/>
      <c r="BO1230" s="81"/>
      <c r="BP1230" s="81"/>
      <c r="BQ1230" s="81"/>
      <c r="BR1230" s="81"/>
      <c r="BS1230" s="81"/>
      <c r="BT1230" s="81"/>
      <c r="BU1230" s="81"/>
      <c r="BV1230" s="81"/>
      <c r="BW1230" s="81"/>
      <c r="BX1230" s="81"/>
      <c r="BY1230" s="81"/>
      <c r="BZ1230" s="81"/>
      <c r="CA1230" s="81"/>
      <c r="CB1230" s="81"/>
      <c r="CC1230" s="81"/>
      <c r="CD1230" s="81"/>
      <c r="CE1230" s="81"/>
      <c r="CF1230" s="81"/>
      <c r="CG1230" s="81"/>
      <c r="CH1230" s="81"/>
      <c r="CI1230" s="81"/>
      <c r="CJ1230" s="81"/>
      <c r="CK1230" s="81"/>
      <c r="CL1230" s="81"/>
      <c r="CM1230" s="81"/>
      <c r="CN1230" s="81"/>
      <c r="CO1230" s="81"/>
      <c r="CP1230" s="81"/>
      <c r="CQ1230" s="111"/>
      <c r="CT1230" s="81"/>
    </row>
    <row r="1231" spans="48:98" x14ac:dyDescent="0.25">
      <c r="AV1231" s="81"/>
      <c r="AW1231" s="81"/>
      <c r="AX1231" s="81"/>
      <c r="AY1231" s="81"/>
      <c r="BA1231" s="81"/>
      <c r="BB1231" s="81"/>
      <c r="BC1231" s="81"/>
      <c r="BD1231" s="81"/>
      <c r="BE1231" s="81"/>
      <c r="BF1231" s="81"/>
      <c r="BG1231" s="81"/>
      <c r="BH1231" s="81"/>
      <c r="BI1231" s="81"/>
      <c r="BJ1231" s="81"/>
      <c r="BK1231" s="81"/>
      <c r="BL1231" s="81"/>
      <c r="BM1231" s="81"/>
      <c r="BN1231" s="81"/>
      <c r="BO1231" s="81"/>
      <c r="BP1231" s="81"/>
      <c r="BQ1231" s="81"/>
      <c r="BR1231" s="81"/>
      <c r="BS1231" s="81"/>
      <c r="BT1231" s="81"/>
      <c r="BU1231" s="81"/>
      <c r="BV1231" s="81"/>
      <c r="BW1231" s="81"/>
      <c r="BX1231" s="81"/>
      <c r="BY1231" s="81"/>
      <c r="BZ1231" s="81"/>
      <c r="CA1231" s="81"/>
      <c r="CB1231" s="81"/>
      <c r="CC1231" s="81"/>
      <c r="CD1231" s="81"/>
      <c r="CE1231" s="81"/>
      <c r="CF1231" s="81"/>
      <c r="CG1231" s="81"/>
      <c r="CH1231" s="81"/>
      <c r="CI1231" s="81"/>
      <c r="CJ1231" s="81"/>
      <c r="CK1231" s="81"/>
      <c r="CL1231" s="81"/>
      <c r="CM1231" s="81"/>
      <c r="CN1231" s="81"/>
      <c r="CO1231" s="81"/>
      <c r="CP1231" s="81"/>
      <c r="CQ1231" s="111"/>
      <c r="CT1231" s="81"/>
    </row>
    <row r="1232" spans="48:98" x14ac:dyDescent="0.25">
      <c r="AV1232" s="81"/>
      <c r="AW1232" s="81"/>
      <c r="AX1232" s="81"/>
      <c r="AY1232" s="81"/>
      <c r="BA1232" s="81"/>
      <c r="BB1232" s="81"/>
      <c r="BC1232" s="81"/>
      <c r="BD1232" s="81"/>
      <c r="BE1232" s="81"/>
      <c r="BF1232" s="81"/>
      <c r="BG1232" s="81"/>
      <c r="BH1232" s="81"/>
      <c r="BI1232" s="81"/>
      <c r="BJ1232" s="81"/>
      <c r="BK1232" s="81"/>
      <c r="BL1232" s="81"/>
      <c r="BM1232" s="81"/>
      <c r="BN1232" s="81"/>
      <c r="BO1232" s="81"/>
      <c r="BP1232" s="81"/>
      <c r="BQ1232" s="81"/>
      <c r="BR1232" s="81"/>
      <c r="BS1232" s="81"/>
      <c r="BT1232" s="81"/>
      <c r="BU1232" s="81"/>
      <c r="BV1232" s="81"/>
      <c r="BW1232" s="81"/>
      <c r="BX1232" s="81"/>
      <c r="BY1232" s="81"/>
      <c r="BZ1232" s="81"/>
      <c r="CA1232" s="81"/>
      <c r="CB1232" s="81"/>
      <c r="CC1232" s="81"/>
      <c r="CD1232" s="81"/>
      <c r="CE1232" s="81"/>
      <c r="CF1232" s="81"/>
      <c r="CG1232" s="81"/>
      <c r="CH1232" s="81"/>
      <c r="CI1232" s="81"/>
      <c r="CJ1232" s="81"/>
      <c r="CK1232" s="81"/>
      <c r="CL1232" s="81"/>
      <c r="CM1232" s="81"/>
      <c r="CN1232" s="81"/>
      <c r="CO1232" s="81"/>
      <c r="CP1232" s="81"/>
      <c r="CQ1232" s="111"/>
      <c r="CT1232" s="81"/>
    </row>
    <row r="1233" spans="48:98" x14ac:dyDescent="0.25">
      <c r="AV1233" s="81"/>
      <c r="AW1233" s="81"/>
      <c r="AX1233" s="81"/>
      <c r="AY1233" s="81"/>
      <c r="BA1233" s="81"/>
      <c r="BB1233" s="81"/>
      <c r="BC1233" s="81"/>
      <c r="BD1233" s="81"/>
      <c r="BE1233" s="81"/>
      <c r="BF1233" s="81"/>
      <c r="BG1233" s="81"/>
      <c r="BH1233" s="81"/>
      <c r="BI1233" s="81"/>
      <c r="BJ1233" s="81"/>
      <c r="BK1233" s="81"/>
      <c r="BL1233" s="81"/>
      <c r="BM1233" s="81"/>
      <c r="BN1233" s="81"/>
      <c r="BO1233" s="81"/>
      <c r="BP1233" s="81"/>
      <c r="BQ1233" s="81"/>
      <c r="BR1233" s="81"/>
      <c r="BS1233" s="81"/>
      <c r="BT1233" s="81"/>
      <c r="BU1233" s="81"/>
      <c r="BV1233" s="81"/>
      <c r="BW1233" s="81"/>
      <c r="BX1233" s="81"/>
      <c r="BY1233" s="81"/>
      <c r="BZ1233" s="81"/>
      <c r="CA1233" s="81"/>
      <c r="CB1233" s="81"/>
      <c r="CC1233" s="81"/>
      <c r="CD1233" s="81"/>
      <c r="CE1233" s="81"/>
      <c r="CF1233" s="81"/>
      <c r="CG1233" s="81"/>
      <c r="CH1233" s="81"/>
      <c r="CI1233" s="81"/>
      <c r="CJ1233" s="81"/>
      <c r="CK1233" s="81"/>
      <c r="CL1233" s="81"/>
      <c r="CM1233" s="81"/>
      <c r="CN1233" s="81"/>
      <c r="CO1233" s="81"/>
      <c r="CP1233" s="81"/>
      <c r="CQ1233" s="111"/>
      <c r="CT1233" s="81"/>
    </row>
    <row r="1234" spans="48:98" x14ac:dyDescent="0.25">
      <c r="AV1234" s="81"/>
      <c r="AW1234" s="81"/>
      <c r="AX1234" s="81"/>
      <c r="AY1234" s="81"/>
      <c r="BA1234" s="81"/>
      <c r="BB1234" s="81"/>
      <c r="BC1234" s="81"/>
      <c r="BD1234" s="81"/>
      <c r="BE1234" s="81"/>
      <c r="BF1234" s="81"/>
      <c r="BG1234" s="81"/>
      <c r="BH1234" s="81"/>
      <c r="BI1234" s="81"/>
      <c r="BJ1234" s="81"/>
      <c r="BK1234" s="81"/>
      <c r="BL1234" s="81"/>
      <c r="BM1234" s="81"/>
      <c r="BN1234" s="81"/>
      <c r="BO1234" s="81"/>
      <c r="BP1234" s="81"/>
      <c r="BQ1234" s="81"/>
      <c r="BR1234" s="81"/>
      <c r="BS1234" s="81"/>
      <c r="BT1234" s="81"/>
      <c r="BU1234" s="81"/>
      <c r="BV1234" s="81"/>
      <c r="BW1234" s="81"/>
      <c r="BX1234" s="81"/>
      <c r="BY1234" s="81"/>
      <c r="BZ1234" s="81"/>
      <c r="CA1234" s="81"/>
      <c r="CB1234" s="81"/>
      <c r="CC1234" s="81"/>
      <c r="CD1234" s="81"/>
      <c r="CE1234" s="81"/>
      <c r="CF1234" s="81"/>
      <c r="CG1234" s="81"/>
      <c r="CH1234" s="81"/>
      <c r="CI1234" s="81"/>
      <c r="CJ1234" s="81"/>
      <c r="CK1234" s="81"/>
      <c r="CL1234" s="81"/>
      <c r="CM1234" s="81"/>
      <c r="CN1234" s="81"/>
      <c r="CO1234" s="81"/>
      <c r="CP1234" s="81"/>
      <c r="CQ1234" s="111"/>
      <c r="CT1234" s="81"/>
    </row>
    <row r="1235" spans="48:98" x14ac:dyDescent="0.25">
      <c r="AV1235" s="81"/>
      <c r="AW1235" s="81"/>
      <c r="AX1235" s="81"/>
      <c r="AY1235" s="81"/>
      <c r="BA1235" s="81"/>
      <c r="BB1235" s="81"/>
      <c r="BC1235" s="81"/>
      <c r="BD1235" s="81"/>
      <c r="BE1235" s="81"/>
      <c r="BF1235" s="81"/>
      <c r="BG1235" s="81"/>
      <c r="BH1235" s="81"/>
      <c r="BI1235" s="81"/>
      <c r="BJ1235" s="81"/>
      <c r="BK1235" s="81"/>
      <c r="BL1235" s="81"/>
      <c r="BM1235" s="81"/>
      <c r="BN1235" s="81"/>
      <c r="BO1235" s="81"/>
      <c r="BP1235" s="81"/>
      <c r="BQ1235" s="81"/>
      <c r="BR1235" s="81"/>
      <c r="BS1235" s="81"/>
      <c r="BT1235" s="81"/>
      <c r="BU1235" s="81"/>
      <c r="BV1235" s="81"/>
      <c r="BW1235" s="81"/>
      <c r="BX1235" s="81"/>
      <c r="BY1235" s="81"/>
      <c r="BZ1235" s="81"/>
      <c r="CA1235" s="81"/>
      <c r="CB1235" s="81"/>
      <c r="CC1235" s="81"/>
      <c r="CD1235" s="81"/>
      <c r="CE1235" s="81"/>
      <c r="CF1235" s="81"/>
      <c r="CG1235" s="81"/>
      <c r="CH1235" s="81"/>
      <c r="CI1235" s="81"/>
      <c r="CJ1235" s="81"/>
      <c r="CK1235" s="81"/>
      <c r="CL1235" s="81"/>
      <c r="CM1235" s="81"/>
      <c r="CN1235" s="81"/>
      <c r="CO1235" s="81"/>
      <c r="CP1235" s="81"/>
      <c r="CQ1235" s="111"/>
      <c r="CT1235" s="81"/>
    </row>
    <row r="1236" spans="48:98" x14ac:dyDescent="0.25">
      <c r="AV1236" s="81"/>
      <c r="AW1236" s="81"/>
      <c r="AX1236" s="81"/>
      <c r="AY1236" s="81"/>
      <c r="BA1236" s="81"/>
      <c r="BB1236" s="81"/>
      <c r="BC1236" s="81"/>
      <c r="BD1236" s="81"/>
      <c r="BE1236" s="81"/>
      <c r="BF1236" s="81"/>
      <c r="BG1236" s="81"/>
      <c r="BH1236" s="81"/>
      <c r="BI1236" s="81"/>
      <c r="BJ1236" s="81"/>
      <c r="BK1236" s="81"/>
      <c r="BL1236" s="81"/>
      <c r="BM1236" s="81"/>
      <c r="BN1236" s="81"/>
      <c r="BO1236" s="81"/>
      <c r="BP1236" s="81"/>
      <c r="BQ1236" s="81"/>
      <c r="BR1236" s="81"/>
      <c r="BS1236" s="81"/>
      <c r="BT1236" s="81"/>
      <c r="BU1236" s="81"/>
      <c r="BV1236" s="81"/>
      <c r="BW1236" s="81"/>
      <c r="BX1236" s="81"/>
      <c r="BY1236" s="81"/>
      <c r="BZ1236" s="81"/>
      <c r="CA1236" s="81"/>
      <c r="CB1236" s="81"/>
      <c r="CC1236" s="81"/>
      <c r="CD1236" s="81"/>
      <c r="CE1236" s="81"/>
      <c r="CF1236" s="81"/>
      <c r="CG1236" s="81"/>
      <c r="CH1236" s="81"/>
      <c r="CI1236" s="81"/>
      <c r="CJ1236" s="81"/>
      <c r="CK1236" s="81"/>
      <c r="CL1236" s="81"/>
      <c r="CM1236" s="81"/>
      <c r="CN1236" s="81"/>
      <c r="CO1236" s="81"/>
      <c r="CP1236" s="81"/>
      <c r="CQ1236" s="111"/>
      <c r="CT1236" s="81"/>
    </row>
    <row r="1237" spans="48:98" x14ac:dyDescent="0.25">
      <c r="AV1237" s="81"/>
      <c r="AW1237" s="81"/>
      <c r="AX1237" s="81"/>
      <c r="AY1237" s="81"/>
      <c r="BA1237" s="81"/>
      <c r="BB1237" s="81"/>
      <c r="BC1237" s="81"/>
      <c r="BD1237" s="81"/>
      <c r="BE1237" s="81"/>
      <c r="BF1237" s="81"/>
      <c r="BG1237" s="81"/>
      <c r="BH1237" s="81"/>
      <c r="BI1237" s="81"/>
      <c r="BJ1237" s="81"/>
      <c r="BK1237" s="81"/>
      <c r="BL1237" s="81"/>
      <c r="BM1237" s="81"/>
      <c r="BN1237" s="81"/>
      <c r="BO1237" s="81"/>
      <c r="BP1237" s="81"/>
      <c r="BQ1237" s="81"/>
      <c r="BR1237" s="81"/>
      <c r="BS1237" s="81"/>
      <c r="BT1237" s="81"/>
      <c r="BU1237" s="81"/>
      <c r="BV1237" s="81"/>
      <c r="BW1237" s="81"/>
      <c r="BX1237" s="81"/>
      <c r="BY1237" s="81"/>
      <c r="BZ1237" s="81"/>
      <c r="CA1237" s="81"/>
      <c r="CB1237" s="81"/>
      <c r="CC1237" s="81"/>
      <c r="CD1237" s="81"/>
      <c r="CE1237" s="81"/>
      <c r="CF1237" s="81"/>
      <c r="CG1237" s="81"/>
      <c r="CH1237" s="81"/>
      <c r="CI1237" s="81"/>
      <c r="CJ1237" s="81"/>
      <c r="CK1237" s="81"/>
      <c r="CL1237" s="81"/>
      <c r="CM1237" s="81"/>
      <c r="CN1237" s="81"/>
      <c r="CO1237" s="81"/>
      <c r="CP1237" s="81"/>
      <c r="CQ1237" s="111"/>
      <c r="CT1237" s="81"/>
    </row>
    <row r="1238" spans="48:98" x14ac:dyDescent="0.25">
      <c r="AV1238" s="81"/>
      <c r="AW1238" s="81"/>
      <c r="AX1238" s="81"/>
      <c r="AY1238" s="81"/>
      <c r="BA1238" s="81"/>
      <c r="BB1238" s="81"/>
      <c r="BC1238" s="81"/>
      <c r="BD1238" s="81"/>
      <c r="BE1238" s="81"/>
      <c r="BF1238" s="81"/>
      <c r="BG1238" s="81"/>
      <c r="BH1238" s="81"/>
      <c r="BI1238" s="81"/>
      <c r="BJ1238" s="81"/>
      <c r="BK1238" s="81"/>
      <c r="BL1238" s="81"/>
      <c r="BM1238" s="81"/>
      <c r="BN1238" s="81"/>
      <c r="BO1238" s="81"/>
      <c r="BP1238" s="81"/>
      <c r="BQ1238" s="81"/>
      <c r="BR1238" s="81"/>
      <c r="BS1238" s="81"/>
      <c r="BT1238" s="81"/>
      <c r="BU1238" s="81"/>
      <c r="BV1238" s="81"/>
      <c r="BW1238" s="81"/>
      <c r="BX1238" s="81"/>
      <c r="BY1238" s="81"/>
      <c r="BZ1238" s="81"/>
      <c r="CA1238" s="81"/>
      <c r="CB1238" s="81"/>
      <c r="CC1238" s="81"/>
      <c r="CD1238" s="81"/>
      <c r="CE1238" s="81"/>
      <c r="CF1238" s="81"/>
      <c r="CG1238" s="81"/>
      <c r="CH1238" s="81"/>
      <c r="CI1238" s="81"/>
      <c r="CJ1238" s="81"/>
      <c r="CK1238" s="81"/>
      <c r="CL1238" s="81"/>
      <c r="CM1238" s="81"/>
      <c r="CN1238" s="81"/>
      <c r="CO1238" s="81"/>
      <c r="CP1238" s="81"/>
      <c r="CQ1238" s="111"/>
      <c r="CT1238" s="81"/>
    </row>
    <row r="1239" spans="48:98" x14ac:dyDescent="0.25">
      <c r="AV1239" s="81"/>
      <c r="AW1239" s="81"/>
      <c r="AX1239" s="81"/>
      <c r="AY1239" s="81"/>
      <c r="BA1239" s="81"/>
      <c r="BB1239" s="81"/>
      <c r="BC1239" s="81"/>
      <c r="BD1239" s="81"/>
      <c r="BE1239" s="81"/>
      <c r="BF1239" s="81"/>
      <c r="BG1239" s="81"/>
      <c r="BH1239" s="81"/>
      <c r="BI1239" s="81"/>
      <c r="BJ1239" s="81"/>
      <c r="BK1239" s="81"/>
      <c r="BL1239" s="81"/>
      <c r="BM1239" s="81"/>
      <c r="BN1239" s="81"/>
      <c r="BO1239" s="81"/>
      <c r="BP1239" s="81"/>
      <c r="BQ1239" s="81"/>
      <c r="BR1239" s="81"/>
      <c r="BS1239" s="81"/>
      <c r="BT1239" s="81"/>
      <c r="BU1239" s="81"/>
      <c r="BV1239" s="81"/>
      <c r="BW1239" s="81"/>
      <c r="BX1239" s="81"/>
      <c r="BY1239" s="81"/>
      <c r="BZ1239" s="81"/>
      <c r="CA1239" s="81"/>
      <c r="CB1239" s="81"/>
      <c r="CC1239" s="81"/>
      <c r="CD1239" s="81"/>
      <c r="CE1239" s="81"/>
      <c r="CF1239" s="81"/>
      <c r="CG1239" s="81"/>
      <c r="CH1239" s="81"/>
      <c r="CI1239" s="81"/>
      <c r="CJ1239" s="81"/>
      <c r="CK1239" s="81"/>
      <c r="CL1239" s="81"/>
      <c r="CM1239" s="81"/>
      <c r="CN1239" s="81"/>
      <c r="CO1239" s="81"/>
      <c r="CP1239" s="81"/>
      <c r="CQ1239" s="111"/>
      <c r="CT1239" s="81"/>
    </row>
    <row r="1240" spans="48:98" x14ac:dyDescent="0.25">
      <c r="AV1240" s="81"/>
      <c r="AW1240" s="81"/>
      <c r="AX1240" s="81"/>
      <c r="AY1240" s="81"/>
      <c r="BA1240" s="81"/>
      <c r="BB1240" s="81"/>
      <c r="BC1240" s="81"/>
      <c r="BD1240" s="81"/>
      <c r="BE1240" s="81"/>
      <c r="BF1240" s="81"/>
      <c r="BG1240" s="81"/>
      <c r="BH1240" s="81"/>
      <c r="BI1240" s="81"/>
      <c r="BJ1240" s="81"/>
      <c r="BK1240" s="81"/>
      <c r="BL1240" s="81"/>
      <c r="BM1240" s="81"/>
      <c r="BN1240" s="81"/>
      <c r="BO1240" s="81"/>
      <c r="BP1240" s="81"/>
      <c r="BQ1240" s="81"/>
      <c r="BR1240" s="81"/>
      <c r="BS1240" s="81"/>
      <c r="BT1240" s="81"/>
      <c r="BU1240" s="81"/>
      <c r="BV1240" s="81"/>
      <c r="BW1240" s="81"/>
      <c r="BX1240" s="81"/>
      <c r="BY1240" s="81"/>
      <c r="BZ1240" s="81"/>
      <c r="CA1240" s="81"/>
      <c r="CB1240" s="81"/>
      <c r="CC1240" s="81"/>
      <c r="CD1240" s="81"/>
      <c r="CE1240" s="81"/>
      <c r="CF1240" s="81"/>
      <c r="CG1240" s="81"/>
      <c r="CH1240" s="81"/>
      <c r="CI1240" s="81"/>
      <c r="CJ1240" s="81"/>
      <c r="CK1240" s="81"/>
      <c r="CL1240" s="81"/>
      <c r="CM1240" s="81"/>
      <c r="CN1240" s="81"/>
      <c r="CO1240" s="81"/>
      <c r="CP1240" s="81"/>
      <c r="CQ1240" s="111"/>
      <c r="CT1240" s="81"/>
    </row>
    <row r="1241" spans="48:98" x14ac:dyDescent="0.25">
      <c r="AV1241" s="81"/>
      <c r="AW1241" s="81"/>
      <c r="AX1241" s="81"/>
      <c r="AY1241" s="81"/>
      <c r="BA1241" s="81"/>
      <c r="BB1241" s="81"/>
      <c r="BC1241" s="81"/>
      <c r="BD1241" s="81"/>
      <c r="BE1241" s="81"/>
      <c r="BF1241" s="81"/>
      <c r="BG1241" s="81"/>
      <c r="BH1241" s="81"/>
      <c r="BI1241" s="81"/>
      <c r="BJ1241" s="81"/>
      <c r="BK1241" s="81"/>
      <c r="BL1241" s="81"/>
      <c r="BM1241" s="81"/>
      <c r="BN1241" s="81"/>
      <c r="BO1241" s="81"/>
      <c r="BP1241" s="81"/>
      <c r="BQ1241" s="81"/>
      <c r="BR1241" s="81"/>
      <c r="BS1241" s="81"/>
      <c r="BT1241" s="81"/>
      <c r="BU1241" s="81"/>
      <c r="BV1241" s="81"/>
      <c r="BW1241" s="81"/>
      <c r="BX1241" s="81"/>
      <c r="BY1241" s="81"/>
      <c r="BZ1241" s="81"/>
      <c r="CA1241" s="81"/>
      <c r="CB1241" s="81"/>
      <c r="CC1241" s="81"/>
      <c r="CD1241" s="81"/>
      <c r="CE1241" s="81"/>
      <c r="CF1241" s="81"/>
      <c r="CG1241" s="81"/>
      <c r="CH1241" s="81"/>
      <c r="CI1241" s="81"/>
      <c r="CJ1241" s="81"/>
      <c r="CK1241" s="81"/>
      <c r="CL1241" s="81"/>
      <c r="CM1241" s="81"/>
      <c r="CN1241" s="81"/>
      <c r="CO1241" s="81"/>
      <c r="CP1241" s="81"/>
      <c r="CQ1241" s="111"/>
      <c r="CT1241" s="81"/>
    </row>
    <row r="1242" spans="48:98" x14ac:dyDescent="0.25">
      <c r="AV1242" s="81"/>
      <c r="AW1242" s="81"/>
      <c r="AX1242" s="81"/>
      <c r="AY1242" s="81"/>
      <c r="BA1242" s="81"/>
      <c r="BB1242" s="81"/>
      <c r="BC1242" s="81"/>
      <c r="BD1242" s="81"/>
      <c r="BE1242" s="81"/>
      <c r="BF1242" s="81"/>
      <c r="BG1242" s="81"/>
      <c r="BH1242" s="81"/>
      <c r="BI1242" s="81"/>
      <c r="BJ1242" s="81"/>
      <c r="BK1242" s="81"/>
      <c r="BL1242" s="81"/>
      <c r="BM1242" s="81"/>
      <c r="BN1242" s="81"/>
      <c r="BO1242" s="81"/>
      <c r="BP1242" s="81"/>
      <c r="BQ1242" s="81"/>
      <c r="BR1242" s="81"/>
      <c r="BS1242" s="81"/>
      <c r="BT1242" s="81"/>
      <c r="BU1242" s="81"/>
      <c r="BV1242" s="81"/>
      <c r="BW1242" s="81"/>
      <c r="BX1242" s="81"/>
      <c r="BY1242" s="81"/>
      <c r="BZ1242" s="81"/>
      <c r="CA1242" s="81"/>
      <c r="CB1242" s="81"/>
      <c r="CC1242" s="81"/>
      <c r="CD1242" s="81"/>
      <c r="CE1242" s="81"/>
      <c r="CF1242" s="81"/>
      <c r="CG1242" s="81"/>
      <c r="CH1242" s="81"/>
      <c r="CI1242" s="81"/>
      <c r="CJ1242" s="81"/>
      <c r="CK1242" s="81"/>
      <c r="CL1242" s="81"/>
      <c r="CM1242" s="81"/>
      <c r="CN1242" s="81"/>
      <c r="CO1242" s="81"/>
      <c r="CP1242" s="81"/>
      <c r="CQ1242" s="111"/>
      <c r="CT1242" s="81"/>
    </row>
    <row r="1243" spans="48:98" x14ac:dyDescent="0.25">
      <c r="AV1243" s="81"/>
      <c r="AW1243" s="81"/>
      <c r="AX1243" s="81"/>
      <c r="AY1243" s="81"/>
      <c r="BA1243" s="81"/>
      <c r="BB1243" s="81"/>
      <c r="BC1243" s="81"/>
      <c r="BD1243" s="81"/>
      <c r="BE1243" s="81"/>
      <c r="BF1243" s="81"/>
      <c r="BG1243" s="81"/>
      <c r="BH1243" s="81"/>
      <c r="BI1243" s="81"/>
      <c r="BJ1243" s="81"/>
      <c r="BK1243" s="81"/>
      <c r="BL1243" s="81"/>
      <c r="BM1243" s="81"/>
      <c r="BN1243" s="81"/>
      <c r="BO1243" s="81"/>
      <c r="BP1243" s="81"/>
      <c r="BQ1243" s="81"/>
      <c r="BR1243" s="81"/>
      <c r="BS1243" s="81"/>
      <c r="BT1243" s="81"/>
      <c r="BU1243" s="81"/>
      <c r="BV1243" s="81"/>
      <c r="BW1243" s="81"/>
      <c r="BX1243" s="81"/>
      <c r="BY1243" s="81"/>
      <c r="BZ1243" s="81"/>
      <c r="CA1243" s="81"/>
      <c r="CB1243" s="81"/>
      <c r="CC1243" s="81"/>
      <c r="CD1243" s="81"/>
      <c r="CE1243" s="81"/>
      <c r="CF1243" s="81"/>
      <c r="CG1243" s="81"/>
      <c r="CH1243" s="81"/>
      <c r="CI1243" s="81"/>
      <c r="CJ1243" s="81"/>
      <c r="CK1243" s="81"/>
      <c r="CL1243" s="81"/>
      <c r="CM1243" s="81"/>
      <c r="CN1243" s="81"/>
      <c r="CO1243" s="81"/>
      <c r="CP1243" s="81"/>
      <c r="CQ1243" s="111"/>
      <c r="CT1243" s="81"/>
    </row>
    <row r="1244" spans="48:98" x14ac:dyDescent="0.25">
      <c r="AV1244" s="81"/>
      <c r="AW1244" s="81"/>
      <c r="AX1244" s="81"/>
      <c r="AY1244" s="81"/>
      <c r="BA1244" s="81"/>
      <c r="BB1244" s="81"/>
      <c r="BC1244" s="81"/>
      <c r="BD1244" s="81"/>
      <c r="BE1244" s="81"/>
      <c r="BF1244" s="81"/>
      <c r="BG1244" s="81"/>
      <c r="BH1244" s="81"/>
      <c r="BI1244" s="81"/>
      <c r="BJ1244" s="81"/>
      <c r="BK1244" s="81"/>
      <c r="BL1244" s="81"/>
      <c r="BM1244" s="81"/>
      <c r="BN1244" s="81"/>
      <c r="BO1244" s="81"/>
      <c r="BP1244" s="81"/>
      <c r="BQ1244" s="81"/>
      <c r="BR1244" s="81"/>
      <c r="BS1244" s="81"/>
      <c r="BT1244" s="81"/>
      <c r="BU1244" s="81"/>
      <c r="BV1244" s="81"/>
      <c r="BW1244" s="81"/>
      <c r="BX1244" s="81"/>
      <c r="BY1244" s="81"/>
      <c r="BZ1244" s="81"/>
      <c r="CA1244" s="81"/>
      <c r="CB1244" s="81"/>
      <c r="CC1244" s="81"/>
      <c r="CD1244" s="81"/>
      <c r="CE1244" s="81"/>
      <c r="CF1244" s="81"/>
      <c r="CG1244" s="81"/>
      <c r="CH1244" s="81"/>
      <c r="CI1244" s="81"/>
      <c r="CJ1244" s="81"/>
      <c r="CK1244" s="81"/>
      <c r="CL1244" s="81"/>
      <c r="CM1244" s="81"/>
      <c r="CN1244" s="81"/>
      <c r="CO1244" s="81"/>
      <c r="CP1244" s="81"/>
      <c r="CQ1244" s="111"/>
      <c r="CT1244" s="81"/>
    </row>
    <row r="1245" spans="48:98" x14ac:dyDescent="0.25">
      <c r="AV1245" s="81"/>
      <c r="AW1245" s="81"/>
      <c r="AX1245" s="81"/>
      <c r="AY1245" s="81"/>
      <c r="BA1245" s="81"/>
      <c r="BB1245" s="81"/>
      <c r="BC1245" s="81"/>
      <c r="BD1245" s="81"/>
      <c r="BE1245" s="81"/>
      <c r="BF1245" s="81"/>
      <c r="BG1245" s="81"/>
      <c r="BH1245" s="81"/>
      <c r="BI1245" s="81"/>
      <c r="BJ1245" s="81"/>
      <c r="BK1245" s="81"/>
      <c r="BL1245" s="81"/>
      <c r="BM1245" s="81"/>
      <c r="BN1245" s="81"/>
      <c r="BO1245" s="81"/>
      <c r="BP1245" s="81"/>
      <c r="BQ1245" s="81"/>
      <c r="BR1245" s="81"/>
      <c r="BS1245" s="81"/>
      <c r="BT1245" s="81"/>
      <c r="BU1245" s="81"/>
      <c r="BV1245" s="81"/>
      <c r="BW1245" s="81"/>
      <c r="BX1245" s="81"/>
      <c r="BY1245" s="81"/>
      <c r="BZ1245" s="81"/>
      <c r="CA1245" s="81"/>
      <c r="CB1245" s="81"/>
      <c r="CC1245" s="81"/>
      <c r="CD1245" s="81"/>
      <c r="CE1245" s="81"/>
      <c r="CF1245" s="81"/>
      <c r="CG1245" s="81"/>
      <c r="CH1245" s="81"/>
      <c r="CI1245" s="81"/>
      <c r="CJ1245" s="81"/>
      <c r="CK1245" s="81"/>
      <c r="CL1245" s="81"/>
      <c r="CM1245" s="81"/>
      <c r="CN1245" s="81"/>
      <c r="CO1245" s="81"/>
      <c r="CP1245" s="81"/>
      <c r="CQ1245" s="111"/>
      <c r="CT1245" s="81"/>
    </row>
    <row r="1246" spans="48:98" x14ac:dyDescent="0.25">
      <c r="AV1246" s="81"/>
      <c r="AW1246" s="81"/>
      <c r="AX1246" s="81"/>
      <c r="AY1246" s="81"/>
      <c r="BA1246" s="81"/>
      <c r="BB1246" s="81"/>
      <c r="BC1246" s="81"/>
      <c r="BD1246" s="81"/>
      <c r="BE1246" s="81"/>
      <c r="BF1246" s="81"/>
      <c r="BG1246" s="81"/>
      <c r="BH1246" s="81"/>
      <c r="BI1246" s="81"/>
      <c r="BJ1246" s="81"/>
      <c r="BK1246" s="81"/>
      <c r="BL1246" s="81"/>
      <c r="BM1246" s="81"/>
      <c r="BN1246" s="81"/>
      <c r="BO1246" s="81"/>
      <c r="BP1246" s="81"/>
      <c r="BQ1246" s="81"/>
      <c r="BR1246" s="81"/>
      <c r="BS1246" s="81"/>
      <c r="BT1246" s="81"/>
      <c r="BU1246" s="81"/>
      <c r="BV1246" s="81"/>
      <c r="BW1246" s="81"/>
      <c r="BX1246" s="81"/>
      <c r="BY1246" s="81"/>
      <c r="BZ1246" s="81"/>
      <c r="CA1246" s="81"/>
      <c r="CB1246" s="81"/>
      <c r="CC1246" s="81"/>
      <c r="CD1246" s="81"/>
      <c r="CE1246" s="81"/>
      <c r="CF1246" s="81"/>
      <c r="CG1246" s="81"/>
      <c r="CH1246" s="81"/>
      <c r="CI1246" s="81"/>
      <c r="CJ1246" s="81"/>
      <c r="CK1246" s="81"/>
      <c r="CL1246" s="81"/>
      <c r="CM1246" s="81"/>
      <c r="CN1246" s="81"/>
      <c r="CO1246" s="81"/>
      <c r="CP1246" s="81"/>
      <c r="CQ1246" s="111"/>
      <c r="CT1246" s="81"/>
    </row>
    <row r="1247" spans="48:98" x14ac:dyDescent="0.25">
      <c r="AV1247" s="81"/>
      <c r="AW1247" s="81"/>
      <c r="AX1247" s="81"/>
      <c r="AY1247" s="81"/>
      <c r="BA1247" s="81"/>
      <c r="BB1247" s="81"/>
      <c r="BC1247" s="81"/>
      <c r="BD1247" s="81"/>
      <c r="BE1247" s="81"/>
      <c r="BF1247" s="81"/>
      <c r="BG1247" s="81"/>
      <c r="BH1247" s="81"/>
      <c r="BI1247" s="81"/>
      <c r="BJ1247" s="81"/>
      <c r="BK1247" s="81"/>
      <c r="BL1247" s="81"/>
      <c r="BM1247" s="81"/>
      <c r="BN1247" s="81"/>
      <c r="BO1247" s="81"/>
      <c r="BP1247" s="81"/>
      <c r="BQ1247" s="81"/>
      <c r="BR1247" s="81"/>
      <c r="BS1247" s="81"/>
      <c r="BT1247" s="81"/>
      <c r="BU1247" s="81"/>
      <c r="BV1247" s="81"/>
      <c r="BW1247" s="81"/>
      <c r="BX1247" s="81"/>
      <c r="BY1247" s="81"/>
      <c r="BZ1247" s="81"/>
      <c r="CA1247" s="81"/>
      <c r="CB1247" s="81"/>
      <c r="CC1247" s="81"/>
      <c r="CD1247" s="81"/>
      <c r="CE1247" s="81"/>
      <c r="CF1247" s="81"/>
      <c r="CG1247" s="81"/>
      <c r="CH1247" s="81"/>
      <c r="CI1247" s="81"/>
      <c r="CJ1247" s="81"/>
      <c r="CK1247" s="81"/>
      <c r="CL1247" s="81"/>
      <c r="CM1247" s="81"/>
      <c r="CN1247" s="81"/>
      <c r="CO1247" s="81"/>
      <c r="CP1247" s="81"/>
      <c r="CQ1247" s="111"/>
      <c r="CT1247" s="81"/>
    </row>
    <row r="1248" spans="48:98" x14ac:dyDescent="0.25">
      <c r="AV1248" s="81"/>
      <c r="AW1248" s="81"/>
      <c r="AX1248" s="81"/>
      <c r="AY1248" s="81"/>
      <c r="BA1248" s="81"/>
      <c r="BB1248" s="81"/>
      <c r="BC1248" s="81"/>
      <c r="BD1248" s="81"/>
      <c r="BE1248" s="81"/>
      <c r="BF1248" s="81"/>
      <c r="BG1248" s="81"/>
      <c r="BH1248" s="81"/>
      <c r="BI1248" s="81"/>
      <c r="BJ1248" s="81"/>
      <c r="BK1248" s="81"/>
      <c r="BL1248" s="81"/>
      <c r="BM1248" s="81"/>
      <c r="BN1248" s="81"/>
      <c r="BO1248" s="81"/>
      <c r="BP1248" s="81"/>
      <c r="BQ1248" s="81"/>
      <c r="BR1248" s="81"/>
      <c r="BS1248" s="81"/>
      <c r="BT1248" s="81"/>
      <c r="BU1248" s="81"/>
      <c r="BV1248" s="81"/>
      <c r="BW1248" s="81"/>
      <c r="BX1248" s="81"/>
      <c r="BY1248" s="81"/>
      <c r="BZ1248" s="81"/>
      <c r="CA1248" s="81"/>
      <c r="CB1248" s="81"/>
      <c r="CC1248" s="81"/>
      <c r="CD1248" s="81"/>
      <c r="CE1248" s="81"/>
      <c r="CF1248" s="81"/>
      <c r="CG1248" s="81"/>
      <c r="CH1248" s="81"/>
      <c r="CI1248" s="81"/>
      <c r="CJ1248" s="81"/>
      <c r="CK1248" s="81"/>
      <c r="CL1248" s="81"/>
      <c r="CM1248" s="81"/>
      <c r="CN1248" s="81"/>
      <c r="CO1248" s="81"/>
      <c r="CP1248" s="81"/>
      <c r="CQ1248" s="111"/>
      <c r="CT1248" s="81"/>
    </row>
    <row r="1249" spans="48:98" x14ac:dyDescent="0.25">
      <c r="AV1249" s="81"/>
      <c r="AW1249" s="81"/>
      <c r="AX1249" s="81"/>
      <c r="AY1249" s="81"/>
      <c r="BA1249" s="81"/>
      <c r="BB1249" s="81"/>
      <c r="BC1249" s="81"/>
      <c r="BD1249" s="81"/>
      <c r="BE1249" s="81"/>
      <c r="BF1249" s="81"/>
      <c r="BG1249" s="81"/>
      <c r="BH1249" s="81"/>
      <c r="BI1249" s="81"/>
      <c r="BJ1249" s="81"/>
      <c r="BK1249" s="81"/>
      <c r="BL1249" s="81"/>
      <c r="BM1249" s="81"/>
      <c r="BN1249" s="81"/>
      <c r="BO1249" s="81"/>
      <c r="BP1249" s="81"/>
      <c r="BQ1249" s="81"/>
      <c r="BR1249" s="81"/>
      <c r="BS1249" s="81"/>
      <c r="BT1249" s="81"/>
      <c r="BU1249" s="81"/>
      <c r="BV1249" s="81"/>
      <c r="BW1249" s="81"/>
      <c r="BX1249" s="81"/>
      <c r="BY1249" s="81"/>
      <c r="BZ1249" s="81"/>
      <c r="CA1249" s="81"/>
      <c r="CB1249" s="81"/>
      <c r="CC1249" s="81"/>
      <c r="CD1249" s="81"/>
      <c r="CE1249" s="81"/>
      <c r="CF1249" s="81"/>
      <c r="CG1249" s="81"/>
      <c r="CH1249" s="81"/>
      <c r="CI1249" s="81"/>
      <c r="CJ1249" s="81"/>
      <c r="CK1249" s="81"/>
      <c r="CL1249" s="81"/>
      <c r="CM1249" s="81"/>
      <c r="CN1249" s="81"/>
      <c r="CO1249" s="81"/>
      <c r="CP1249" s="81"/>
      <c r="CQ1249" s="111"/>
      <c r="CT1249" s="81"/>
    </row>
    <row r="1250" spans="48:98" x14ac:dyDescent="0.25">
      <c r="AV1250" s="81"/>
      <c r="AW1250" s="81"/>
      <c r="AX1250" s="81"/>
      <c r="AY1250" s="81"/>
      <c r="BA1250" s="81"/>
      <c r="BB1250" s="81"/>
      <c r="BC1250" s="81"/>
      <c r="BD1250" s="81"/>
      <c r="BE1250" s="81"/>
      <c r="BF1250" s="81"/>
      <c r="BG1250" s="81"/>
      <c r="BH1250" s="81"/>
      <c r="BI1250" s="81"/>
      <c r="BJ1250" s="81"/>
      <c r="BK1250" s="81"/>
      <c r="BL1250" s="81"/>
      <c r="BM1250" s="81"/>
      <c r="BN1250" s="81"/>
      <c r="BO1250" s="81"/>
      <c r="BP1250" s="81"/>
      <c r="BQ1250" s="81"/>
      <c r="BR1250" s="81"/>
      <c r="BS1250" s="81"/>
      <c r="BT1250" s="81"/>
      <c r="BU1250" s="81"/>
      <c r="BV1250" s="81"/>
      <c r="BW1250" s="81"/>
      <c r="BX1250" s="81"/>
      <c r="BY1250" s="81"/>
      <c r="BZ1250" s="81"/>
      <c r="CA1250" s="81"/>
      <c r="CB1250" s="81"/>
      <c r="CC1250" s="81"/>
      <c r="CD1250" s="81"/>
      <c r="CE1250" s="81"/>
      <c r="CF1250" s="81"/>
      <c r="CG1250" s="81"/>
      <c r="CH1250" s="81"/>
      <c r="CI1250" s="81"/>
      <c r="CJ1250" s="81"/>
      <c r="CK1250" s="81"/>
      <c r="CL1250" s="81"/>
      <c r="CM1250" s="81"/>
      <c r="CN1250" s="81"/>
      <c r="CO1250" s="81"/>
      <c r="CP1250" s="81"/>
      <c r="CQ1250" s="111"/>
      <c r="CT1250" s="81"/>
    </row>
    <row r="1251" spans="48:98" x14ac:dyDescent="0.25">
      <c r="AV1251" s="81"/>
      <c r="AW1251" s="81"/>
      <c r="AX1251" s="81"/>
      <c r="AY1251" s="81"/>
      <c r="BA1251" s="81"/>
      <c r="BB1251" s="81"/>
      <c r="BC1251" s="81"/>
      <c r="BD1251" s="81"/>
      <c r="BE1251" s="81"/>
      <c r="BF1251" s="81"/>
      <c r="BG1251" s="81"/>
      <c r="BH1251" s="81"/>
      <c r="BI1251" s="81"/>
      <c r="BJ1251" s="81"/>
      <c r="BK1251" s="81"/>
      <c r="BL1251" s="81"/>
      <c r="BM1251" s="81"/>
      <c r="BN1251" s="81"/>
      <c r="BO1251" s="81"/>
      <c r="BP1251" s="81"/>
      <c r="BQ1251" s="81"/>
      <c r="BR1251" s="81"/>
      <c r="BS1251" s="81"/>
      <c r="BT1251" s="81"/>
      <c r="BU1251" s="81"/>
      <c r="BV1251" s="81"/>
      <c r="BW1251" s="81"/>
      <c r="BX1251" s="81"/>
      <c r="BY1251" s="81"/>
      <c r="BZ1251" s="81"/>
      <c r="CA1251" s="81"/>
      <c r="CB1251" s="81"/>
      <c r="CC1251" s="81"/>
      <c r="CD1251" s="81"/>
      <c r="CE1251" s="81"/>
      <c r="CF1251" s="81"/>
      <c r="CG1251" s="81"/>
      <c r="CH1251" s="81"/>
      <c r="CI1251" s="81"/>
      <c r="CJ1251" s="81"/>
      <c r="CK1251" s="81"/>
      <c r="CL1251" s="81"/>
      <c r="CM1251" s="81"/>
      <c r="CN1251" s="81"/>
      <c r="CO1251" s="81"/>
      <c r="CP1251" s="81"/>
      <c r="CQ1251" s="111"/>
      <c r="CT1251" s="81"/>
    </row>
    <row r="1252" spans="48:98" x14ac:dyDescent="0.25">
      <c r="AV1252" s="81"/>
      <c r="AW1252" s="81"/>
      <c r="AX1252" s="81"/>
      <c r="AY1252" s="81"/>
      <c r="BA1252" s="81"/>
      <c r="BB1252" s="81"/>
      <c r="BC1252" s="81"/>
      <c r="BD1252" s="81"/>
      <c r="BE1252" s="81"/>
      <c r="BF1252" s="81"/>
      <c r="BG1252" s="81"/>
      <c r="BH1252" s="81"/>
      <c r="BI1252" s="81"/>
      <c r="BJ1252" s="81"/>
      <c r="BK1252" s="81"/>
      <c r="BL1252" s="81"/>
      <c r="BM1252" s="81"/>
      <c r="BN1252" s="81"/>
      <c r="BO1252" s="81"/>
      <c r="BP1252" s="81"/>
      <c r="BQ1252" s="81"/>
      <c r="BR1252" s="81"/>
      <c r="BS1252" s="81"/>
      <c r="BT1252" s="81"/>
      <c r="BU1252" s="81"/>
      <c r="BV1252" s="81"/>
      <c r="BW1252" s="81"/>
      <c r="BX1252" s="81"/>
      <c r="BY1252" s="81"/>
      <c r="BZ1252" s="81"/>
      <c r="CA1252" s="81"/>
      <c r="CB1252" s="81"/>
      <c r="CC1252" s="81"/>
      <c r="CD1252" s="81"/>
      <c r="CE1252" s="81"/>
      <c r="CF1252" s="81"/>
      <c r="CG1252" s="81"/>
      <c r="CH1252" s="81"/>
      <c r="CI1252" s="81"/>
      <c r="CJ1252" s="81"/>
      <c r="CK1252" s="81"/>
      <c r="CL1252" s="81"/>
      <c r="CM1252" s="81"/>
      <c r="CN1252" s="81"/>
      <c r="CO1252" s="81"/>
      <c r="CP1252" s="81"/>
      <c r="CQ1252" s="111"/>
      <c r="CT1252" s="81"/>
    </row>
    <row r="1253" spans="48:98" x14ac:dyDescent="0.25">
      <c r="AV1253" s="81"/>
      <c r="AW1253" s="81"/>
      <c r="AX1253" s="81"/>
      <c r="AY1253" s="81"/>
      <c r="BA1253" s="81"/>
      <c r="BB1253" s="81"/>
      <c r="BC1253" s="81"/>
      <c r="BD1253" s="81"/>
      <c r="BE1253" s="81"/>
      <c r="BF1253" s="81"/>
      <c r="BG1253" s="81"/>
      <c r="BH1253" s="81"/>
      <c r="BI1253" s="81"/>
      <c r="BJ1253" s="81"/>
      <c r="BK1253" s="81"/>
      <c r="BL1253" s="81"/>
      <c r="BM1253" s="81"/>
      <c r="BN1253" s="81"/>
      <c r="BO1253" s="81"/>
      <c r="BP1253" s="81"/>
      <c r="BQ1253" s="81"/>
      <c r="BR1253" s="81"/>
      <c r="BS1253" s="81"/>
      <c r="BT1253" s="81"/>
      <c r="BU1253" s="81"/>
      <c r="BV1253" s="81"/>
      <c r="BW1253" s="81"/>
      <c r="BX1253" s="81"/>
      <c r="BY1253" s="81"/>
      <c r="BZ1253" s="81"/>
      <c r="CA1253" s="81"/>
      <c r="CB1253" s="81"/>
      <c r="CC1253" s="81"/>
      <c r="CD1253" s="81"/>
      <c r="CE1253" s="81"/>
      <c r="CF1253" s="81"/>
      <c r="CG1253" s="81"/>
      <c r="CH1253" s="81"/>
      <c r="CI1253" s="81"/>
      <c r="CJ1253" s="81"/>
      <c r="CK1253" s="81"/>
      <c r="CL1253" s="81"/>
      <c r="CM1253" s="81"/>
      <c r="CN1253" s="81"/>
      <c r="CO1253" s="81"/>
      <c r="CP1253" s="81"/>
      <c r="CQ1253" s="111"/>
      <c r="CT1253" s="81"/>
    </row>
    <row r="1254" spans="48:98" x14ac:dyDescent="0.25">
      <c r="AV1254" s="81"/>
      <c r="AW1254" s="81"/>
      <c r="AX1254" s="81"/>
      <c r="AY1254" s="81"/>
      <c r="BA1254" s="81"/>
      <c r="BB1254" s="81"/>
      <c r="BC1254" s="81"/>
      <c r="BD1254" s="81"/>
      <c r="BE1254" s="81"/>
      <c r="BF1254" s="81"/>
      <c r="BG1254" s="81"/>
      <c r="BH1254" s="81"/>
      <c r="BI1254" s="81"/>
      <c r="BJ1254" s="81"/>
      <c r="BK1254" s="81"/>
      <c r="BL1254" s="81"/>
      <c r="BM1254" s="81"/>
      <c r="BN1254" s="81"/>
      <c r="BO1254" s="81"/>
      <c r="BP1254" s="81"/>
      <c r="BQ1254" s="81"/>
      <c r="BR1254" s="81"/>
      <c r="BS1254" s="81"/>
      <c r="BT1254" s="81"/>
      <c r="BU1254" s="81"/>
      <c r="BV1254" s="81"/>
      <c r="BW1254" s="81"/>
      <c r="BX1254" s="81"/>
      <c r="BY1254" s="81"/>
      <c r="BZ1254" s="81"/>
      <c r="CA1254" s="81"/>
      <c r="CB1254" s="81"/>
      <c r="CC1254" s="81"/>
      <c r="CD1254" s="81"/>
      <c r="CE1254" s="81"/>
      <c r="CF1254" s="81"/>
      <c r="CG1254" s="81"/>
      <c r="CH1254" s="81"/>
      <c r="CI1254" s="81"/>
      <c r="CJ1254" s="81"/>
      <c r="CK1254" s="81"/>
      <c r="CL1254" s="81"/>
      <c r="CM1254" s="81"/>
      <c r="CN1254" s="81"/>
      <c r="CO1254" s="81"/>
      <c r="CP1254" s="81"/>
      <c r="CQ1254" s="111"/>
      <c r="CT1254" s="81"/>
    </row>
    <row r="1255" spans="48:98" x14ac:dyDescent="0.25">
      <c r="AV1255" s="81"/>
      <c r="AW1255" s="81"/>
      <c r="AX1255" s="81"/>
      <c r="AY1255" s="81"/>
      <c r="BA1255" s="81"/>
      <c r="BB1255" s="81"/>
      <c r="BC1255" s="81"/>
      <c r="BD1255" s="81"/>
      <c r="BE1255" s="81"/>
      <c r="BF1255" s="81"/>
      <c r="BG1255" s="81"/>
      <c r="BH1255" s="81"/>
      <c r="BI1255" s="81"/>
      <c r="BJ1255" s="81"/>
      <c r="BK1255" s="81"/>
      <c r="BL1255" s="81"/>
      <c r="BM1255" s="81"/>
      <c r="BN1255" s="81"/>
      <c r="BO1255" s="81"/>
      <c r="BP1255" s="81"/>
      <c r="BQ1255" s="81"/>
      <c r="BR1255" s="81"/>
      <c r="BS1255" s="81"/>
      <c r="BT1255" s="81"/>
      <c r="BU1255" s="81"/>
      <c r="BV1255" s="81"/>
      <c r="BW1255" s="81"/>
      <c r="BX1255" s="81"/>
      <c r="BY1255" s="81"/>
      <c r="BZ1255" s="81"/>
      <c r="CA1255" s="81"/>
      <c r="CB1255" s="81"/>
      <c r="CC1255" s="81"/>
      <c r="CD1255" s="81"/>
      <c r="CE1255" s="81"/>
      <c r="CF1255" s="81"/>
      <c r="CG1255" s="81"/>
      <c r="CH1255" s="81"/>
      <c r="CI1255" s="81"/>
      <c r="CJ1255" s="81"/>
      <c r="CK1255" s="81"/>
      <c r="CL1255" s="81"/>
      <c r="CM1255" s="81"/>
      <c r="CN1255" s="81"/>
      <c r="CO1255" s="81"/>
      <c r="CP1255" s="81"/>
      <c r="CQ1255" s="111"/>
      <c r="CT1255" s="81"/>
    </row>
    <row r="1256" spans="48:98" x14ac:dyDescent="0.25">
      <c r="AV1256" s="81"/>
      <c r="AW1256" s="81"/>
      <c r="AX1256" s="81"/>
      <c r="AY1256" s="81"/>
      <c r="BA1256" s="81"/>
      <c r="BB1256" s="81"/>
      <c r="BC1256" s="81"/>
      <c r="BD1256" s="81"/>
      <c r="BE1256" s="81"/>
      <c r="BF1256" s="81"/>
      <c r="BG1256" s="81"/>
      <c r="BH1256" s="81"/>
      <c r="BI1256" s="81"/>
      <c r="BJ1256" s="81"/>
      <c r="BK1256" s="81"/>
      <c r="BL1256" s="81"/>
      <c r="BM1256" s="81"/>
      <c r="BN1256" s="81"/>
      <c r="BO1256" s="81"/>
      <c r="BP1256" s="81"/>
      <c r="BQ1256" s="81"/>
      <c r="BR1256" s="81"/>
      <c r="BS1256" s="81"/>
      <c r="BT1256" s="81"/>
      <c r="BU1256" s="81"/>
      <c r="BV1256" s="81"/>
      <c r="BW1256" s="81"/>
      <c r="BX1256" s="81"/>
      <c r="BY1256" s="81"/>
      <c r="BZ1256" s="81"/>
      <c r="CA1256" s="81"/>
      <c r="CB1256" s="81"/>
      <c r="CC1256" s="81"/>
      <c r="CD1256" s="81"/>
      <c r="CE1256" s="81"/>
      <c r="CF1256" s="81"/>
      <c r="CG1256" s="81"/>
      <c r="CH1256" s="81"/>
      <c r="CI1256" s="81"/>
      <c r="CJ1256" s="81"/>
      <c r="CK1256" s="81"/>
      <c r="CL1256" s="81"/>
      <c r="CM1256" s="81"/>
      <c r="CN1256" s="81"/>
      <c r="CO1256" s="81"/>
      <c r="CP1256" s="81"/>
      <c r="CQ1256" s="111"/>
      <c r="CT1256" s="81"/>
    </row>
    <row r="1257" spans="48:98" x14ac:dyDescent="0.25">
      <c r="AV1257" s="81"/>
      <c r="AW1257" s="81"/>
      <c r="AX1257" s="81"/>
      <c r="AY1257" s="81"/>
      <c r="BA1257" s="81"/>
      <c r="BB1257" s="81"/>
      <c r="BC1257" s="81"/>
      <c r="BD1257" s="81"/>
      <c r="BE1257" s="81"/>
      <c r="BF1257" s="81"/>
      <c r="BG1257" s="81"/>
      <c r="BH1257" s="81"/>
      <c r="BI1257" s="81"/>
      <c r="BJ1257" s="81"/>
      <c r="BK1257" s="81"/>
      <c r="BL1257" s="81"/>
      <c r="BM1257" s="81"/>
      <c r="BN1257" s="81"/>
      <c r="BO1257" s="81"/>
      <c r="BP1257" s="81"/>
      <c r="BQ1257" s="81"/>
      <c r="BR1257" s="81"/>
      <c r="BS1257" s="81"/>
      <c r="BT1257" s="81"/>
      <c r="BU1257" s="81"/>
      <c r="BV1257" s="81"/>
      <c r="BW1257" s="81"/>
      <c r="BX1257" s="81"/>
      <c r="BY1257" s="81"/>
      <c r="BZ1257" s="81"/>
      <c r="CA1257" s="81"/>
      <c r="CB1257" s="81"/>
      <c r="CC1257" s="81"/>
      <c r="CD1257" s="81"/>
      <c r="CE1257" s="81"/>
      <c r="CF1257" s="81"/>
      <c r="CG1257" s="81"/>
      <c r="CH1257" s="81"/>
      <c r="CI1257" s="81"/>
      <c r="CJ1257" s="81"/>
      <c r="CK1257" s="81"/>
      <c r="CL1257" s="81"/>
      <c r="CM1257" s="81"/>
      <c r="CN1257" s="81"/>
      <c r="CO1257" s="81"/>
      <c r="CP1257" s="81"/>
      <c r="CQ1257" s="111"/>
      <c r="CT1257" s="81"/>
    </row>
    <row r="1258" spans="48:98" x14ac:dyDescent="0.25">
      <c r="AV1258" s="81"/>
      <c r="AW1258" s="81"/>
      <c r="AX1258" s="81"/>
      <c r="AY1258" s="81"/>
      <c r="BA1258" s="81"/>
      <c r="BB1258" s="81"/>
      <c r="BC1258" s="81"/>
      <c r="BD1258" s="81"/>
      <c r="BE1258" s="81"/>
      <c r="BF1258" s="81"/>
      <c r="BG1258" s="81"/>
      <c r="BH1258" s="81"/>
      <c r="BI1258" s="81"/>
      <c r="BJ1258" s="81"/>
      <c r="BK1258" s="81"/>
      <c r="BL1258" s="81"/>
      <c r="BM1258" s="81"/>
      <c r="BN1258" s="81"/>
      <c r="BO1258" s="81"/>
      <c r="BP1258" s="81"/>
      <c r="BQ1258" s="81"/>
      <c r="BR1258" s="81"/>
      <c r="BS1258" s="81"/>
      <c r="BT1258" s="81"/>
      <c r="BU1258" s="81"/>
      <c r="BV1258" s="81"/>
      <c r="BW1258" s="81"/>
      <c r="BX1258" s="81"/>
      <c r="BY1258" s="81"/>
      <c r="BZ1258" s="81"/>
      <c r="CA1258" s="81"/>
      <c r="CB1258" s="81"/>
      <c r="CC1258" s="81"/>
      <c r="CD1258" s="81"/>
      <c r="CE1258" s="81"/>
      <c r="CF1258" s="81"/>
      <c r="CG1258" s="81"/>
      <c r="CH1258" s="81"/>
      <c r="CI1258" s="81"/>
      <c r="CJ1258" s="81"/>
      <c r="CK1258" s="81"/>
      <c r="CL1258" s="81"/>
      <c r="CM1258" s="81"/>
      <c r="CN1258" s="81"/>
      <c r="CO1258" s="81"/>
      <c r="CP1258" s="81"/>
      <c r="CQ1258" s="111"/>
      <c r="CT1258" s="81"/>
    </row>
    <row r="1259" spans="48:98" x14ac:dyDescent="0.25">
      <c r="AV1259" s="81"/>
      <c r="AW1259" s="81"/>
      <c r="AX1259" s="81"/>
      <c r="AY1259" s="81"/>
      <c r="BA1259" s="81"/>
      <c r="BB1259" s="81"/>
      <c r="BC1259" s="81"/>
      <c r="BD1259" s="81"/>
      <c r="BE1259" s="81"/>
      <c r="BF1259" s="81"/>
      <c r="BG1259" s="81"/>
      <c r="BH1259" s="81"/>
      <c r="BI1259" s="81"/>
      <c r="BJ1259" s="81"/>
      <c r="BK1259" s="81"/>
      <c r="BL1259" s="81"/>
      <c r="BM1259" s="81"/>
      <c r="BN1259" s="81"/>
      <c r="BO1259" s="81"/>
      <c r="BP1259" s="81"/>
      <c r="BQ1259" s="81"/>
      <c r="BR1259" s="81"/>
      <c r="BS1259" s="81"/>
      <c r="BT1259" s="81"/>
      <c r="BU1259" s="81"/>
      <c r="BV1259" s="81"/>
      <c r="BW1259" s="81"/>
      <c r="BX1259" s="81"/>
      <c r="BY1259" s="81"/>
      <c r="BZ1259" s="81"/>
      <c r="CA1259" s="81"/>
      <c r="CB1259" s="81"/>
      <c r="CC1259" s="81"/>
      <c r="CD1259" s="81"/>
      <c r="CE1259" s="81"/>
      <c r="CF1259" s="81"/>
      <c r="CG1259" s="81"/>
      <c r="CH1259" s="81"/>
      <c r="CI1259" s="81"/>
      <c r="CJ1259" s="81"/>
      <c r="CK1259" s="81"/>
      <c r="CL1259" s="81"/>
      <c r="CM1259" s="81"/>
      <c r="CN1259" s="81"/>
      <c r="CO1259" s="81"/>
      <c r="CP1259" s="81"/>
      <c r="CQ1259" s="111"/>
      <c r="CT1259" s="81"/>
    </row>
    <row r="1260" spans="48:98" x14ac:dyDescent="0.25">
      <c r="AV1260" s="81"/>
      <c r="AW1260" s="81"/>
      <c r="AX1260" s="81"/>
      <c r="AY1260" s="81"/>
      <c r="BA1260" s="81"/>
      <c r="BB1260" s="81"/>
      <c r="BC1260" s="81"/>
      <c r="BD1260" s="81"/>
      <c r="BE1260" s="81"/>
      <c r="BF1260" s="81"/>
      <c r="BG1260" s="81"/>
      <c r="BH1260" s="81"/>
      <c r="BI1260" s="81"/>
      <c r="BJ1260" s="81"/>
      <c r="BK1260" s="81"/>
      <c r="BL1260" s="81"/>
      <c r="BM1260" s="81"/>
      <c r="BN1260" s="81"/>
      <c r="BO1260" s="81"/>
      <c r="BP1260" s="81"/>
      <c r="BQ1260" s="81"/>
      <c r="BR1260" s="81"/>
      <c r="BS1260" s="81"/>
      <c r="BT1260" s="81"/>
      <c r="BU1260" s="81"/>
      <c r="BV1260" s="81"/>
      <c r="BW1260" s="81"/>
      <c r="BX1260" s="81"/>
      <c r="BY1260" s="81"/>
      <c r="BZ1260" s="81"/>
      <c r="CA1260" s="81"/>
      <c r="CB1260" s="81"/>
      <c r="CC1260" s="81"/>
      <c r="CD1260" s="81"/>
      <c r="CE1260" s="81"/>
      <c r="CF1260" s="81"/>
      <c r="CG1260" s="81"/>
      <c r="CH1260" s="81"/>
      <c r="CI1260" s="81"/>
      <c r="CJ1260" s="81"/>
      <c r="CK1260" s="81"/>
      <c r="CL1260" s="81"/>
      <c r="CM1260" s="81"/>
      <c r="CN1260" s="81"/>
      <c r="CO1260" s="81"/>
      <c r="CP1260" s="81"/>
      <c r="CQ1260" s="111"/>
      <c r="CT1260" s="81"/>
    </row>
    <row r="1261" spans="48:98" x14ac:dyDescent="0.25">
      <c r="AV1261" s="81"/>
      <c r="AW1261" s="81"/>
      <c r="AX1261" s="81"/>
      <c r="AY1261" s="81"/>
      <c r="BA1261" s="81"/>
      <c r="BB1261" s="81"/>
      <c r="BC1261" s="81"/>
      <c r="BD1261" s="81"/>
      <c r="BE1261" s="81"/>
      <c r="BF1261" s="81"/>
      <c r="BG1261" s="81"/>
      <c r="BH1261" s="81"/>
      <c r="BI1261" s="81"/>
      <c r="BJ1261" s="81"/>
      <c r="BK1261" s="81"/>
      <c r="BL1261" s="81"/>
      <c r="BM1261" s="81"/>
      <c r="BN1261" s="81"/>
      <c r="BO1261" s="81"/>
      <c r="BP1261" s="81"/>
      <c r="BQ1261" s="81"/>
      <c r="BR1261" s="81"/>
      <c r="BS1261" s="81"/>
      <c r="BT1261" s="81"/>
      <c r="BU1261" s="81"/>
      <c r="BV1261" s="81"/>
      <c r="BW1261" s="81"/>
      <c r="BX1261" s="81"/>
      <c r="BY1261" s="81"/>
      <c r="BZ1261" s="81"/>
      <c r="CA1261" s="81"/>
      <c r="CB1261" s="81"/>
      <c r="CC1261" s="81"/>
      <c r="CD1261" s="81"/>
      <c r="CE1261" s="81"/>
      <c r="CF1261" s="81"/>
      <c r="CG1261" s="81"/>
      <c r="CH1261" s="81"/>
      <c r="CI1261" s="81"/>
      <c r="CJ1261" s="81"/>
      <c r="CK1261" s="81"/>
      <c r="CL1261" s="81"/>
      <c r="CM1261" s="81"/>
      <c r="CN1261" s="81"/>
      <c r="CO1261" s="81"/>
      <c r="CP1261" s="81"/>
      <c r="CQ1261" s="111"/>
      <c r="CT1261" s="81"/>
    </row>
    <row r="1262" spans="48:98" x14ac:dyDescent="0.25">
      <c r="AV1262" s="81"/>
      <c r="AW1262" s="81"/>
      <c r="AX1262" s="81"/>
      <c r="AY1262" s="81"/>
      <c r="BA1262" s="81"/>
      <c r="BB1262" s="81"/>
      <c r="BC1262" s="81"/>
      <c r="BD1262" s="81"/>
      <c r="BE1262" s="81"/>
      <c r="BF1262" s="81"/>
      <c r="BG1262" s="81"/>
      <c r="BH1262" s="81"/>
      <c r="BI1262" s="81"/>
      <c r="BJ1262" s="81"/>
      <c r="BK1262" s="81"/>
      <c r="BL1262" s="81"/>
      <c r="BM1262" s="81"/>
      <c r="BN1262" s="81"/>
      <c r="BO1262" s="81"/>
      <c r="BP1262" s="81"/>
      <c r="BQ1262" s="81"/>
      <c r="BR1262" s="81"/>
      <c r="BS1262" s="81"/>
      <c r="BT1262" s="81"/>
      <c r="BU1262" s="81"/>
      <c r="BV1262" s="81"/>
      <c r="BW1262" s="81"/>
      <c r="BX1262" s="81"/>
      <c r="BY1262" s="81"/>
      <c r="BZ1262" s="81"/>
      <c r="CA1262" s="81"/>
      <c r="CB1262" s="81"/>
      <c r="CC1262" s="81"/>
      <c r="CD1262" s="81"/>
      <c r="CE1262" s="81"/>
      <c r="CF1262" s="81"/>
      <c r="CG1262" s="81"/>
      <c r="CH1262" s="81"/>
      <c r="CI1262" s="81"/>
      <c r="CJ1262" s="81"/>
      <c r="CK1262" s="81"/>
      <c r="CL1262" s="81"/>
      <c r="CM1262" s="81"/>
      <c r="CN1262" s="81"/>
      <c r="CO1262" s="81"/>
      <c r="CP1262" s="81"/>
      <c r="CQ1262" s="111"/>
      <c r="CT1262" s="81"/>
    </row>
    <row r="1263" spans="48:98" x14ac:dyDescent="0.25">
      <c r="AV1263" s="81"/>
      <c r="AW1263" s="81"/>
      <c r="AX1263" s="81"/>
      <c r="AY1263" s="81"/>
      <c r="BA1263" s="81"/>
      <c r="BB1263" s="81"/>
      <c r="BC1263" s="81"/>
      <c r="BD1263" s="81"/>
      <c r="BE1263" s="81"/>
      <c r="BF1263" s="81"/>
      <c r="BG1263" s="81"/>
      <c r="BH1263" s="81"/>
      <c r="BI1263" s="81"/>
      <c r="BJ1263" s="81"/>
      <c r="BK1263" s="81"/>
      <c r="BL1263" s="81"/>
      <c r="BM1263" s="81"/>
      <c r="BN1263" s="81"/>
      <c r="BO1263" s="81"/>
      <c r="BP1263" s="81"/>
      <c r="BQ1263" s="81"/>
      <c r="BR1263" s="81"/>
      <c r="BS1263" s="81"/>
      <c r="BT1263" s="81"/>
      <c r="BU1263" s="81"/>
      <c r="BV1263" s="81"/>
      <c r="BW1263" s="81"/>
      <c r="BX1263" s="81"/>
      <c r="BY1263" s="81"/>
      <c r="BZ1263" s="81"/>
      <c r="CA1263" s="81"/>
      <c r="CB1263" s="81"/>
      <c r="CC1263" s="81"/>
      <c r="CD1263" s="81"/>
      <c r="CE1263" s="81"/>
      <c r="CF1263" s="81"/>
      <c r="CG1263" s="81"/>
      <c r="CH1263" s="81"/>
      <c r="CI1263" s="81"/>
      <c r="CJ1263" s="81"/>
      <c r="CK1263" s="81"/>
      <c r="CL1263" s="81"/>
      <c r="CM1263" s="81"/>
      <c r="CN1263" s="81"/>
      <c r="CO1263" s="81"/>
      <c r="CP1263" s="81"/>
      <c r="CQ1263" s="111"/>
      <c r="CT1263" s="81"/>
    </row>
    <row r="1264" spans="48:98" x14ac:dyDescent="0.25">
      <c r="AV1264" s="81"/>
      <c r="AW1264" s="81"/>
      <c r="AX1264" s="81"/>
      <c r="AY1264" s="81"/>
      <c r="BA1264" s="81"/>
      <c r="BB1264" s="81"/>
      <c r="BC1264" s="81"/>
      <c r="BD1264" s="81"/>
      <c r="BE1264" s="81"/>
      <c r="BF1264" s="81"/>
      <c r="BG1264" s="81"/>
      <c r="BH1264" s="81"/>
      <c r="BI1264" s="81"/>
      <c r="BJ1264" s="81"/>
      <c r="BK1264" s="81"/>
      <c r="BL1264" s="81"/>
      <c r="BM1264" s="81"/>
      <c r="BN1264" s="81"/>
      <c r="BO1264" s="81"/>
      <c r="BP1264" s="81"/>
      <c r="BQ1264" s="81"/>
      <c r="BR1264" s="81"/>
      <c r="BS1264" s="81"/>
      <c r="BT1264" s="81"/>
      <c r="BU1264" s="81"/>
      <c r="BV1264" s="81"/>
      <c r="BW1264" s="81"/>
      <c r="BX1264" s="81"/>
      <c r="BY1264" s="81"/>
      <c r="BZ1264" s="81"/>
      <c r="CA1264" s="81"/>
      <c r="CB1264" s="81"/>
      <c r="CC1264" s="81"/>
      <c r="CD1264" s="81"/>
      <c r="CE1264" s="81"/>
      <c r="CF1264" s="81"/>
      <c r="CG1264" s="81"/>
      <c r="CH1264" s="81"/>
      <c r="CI1264" s="81"/>
      <c r="CJ1264" s="81"/>
      <c r="CK1264" s="81"/>
      <c r="CL1264" s="81"/>
      <c r="CM1264" s="81"/>
      <c r="CN1264" s="81"/>
      <c r="CO1264" s="81"/>
      <c r="CP1264" s="81"/>
      <c r="CQ1264" s="111"/>
      <c r="CT1264" s="81"/>
    </row>
    <row r="1265" spans="48:98" x14ac:dyDescent="0.25">
      <c r="AV1265" s="81"/>
      <c r="AW1265" s="81"/>
      <c r="AX1265" s="81"/>
      <c r="AY1265" s="81"/>
      <c r="BA1265" s="81"/>
      <c r="BB1265" s="81"/>
      <c r="BC1265" s="81"/>
      <c r="BD1265" s="81"/>
      <c r="BE1265" s="81"/>
      <c r="BF1265" s="81"/>
      <c r="BG1265" s="81"/>
      <c r="BH1265" s="81"/>
      <c r="BI1265" s="81"/>
      <c r="BJ1265" s="81"/>
      <c r="BK1265" s="81"/>
      <c r="BL1265" s="81"/>
      <c r="BM1265" s="81"/>
      <c r="BN1265" s="81"/>
      <c r="BO1265" s="81"/>
      <c r="BP1265" s="81"/>
      <c r="BQ1265" s="81"/>
      <c r="BR1265" s="81"/>
      <c r="BS1265" s="81"/>
      <c r="BT1265" s="81"/>
      <c r="BU1265" s="81"/>
      <c r="BV1265" s="81"/>
      <c r="BW1265" s="81"/>
      <c r="BX1265" s="81"/>
      <c r="BY1265" s="81"/>
      <c r="BZ1265" s="81"/>
      <c r="CA1265" s="81"/>
      <c r="CB1265" s="81"/>
      <c r="CC1265" s="81"/>
      <c r="CD1265" s="81"/>
      <c r="CE1265" s="81"/>
      <c r="CF1265" s="81"/>
      <c r="CG1265" s="81"/>
      <c r="CH1265" s="81"/>
      <c r="CI1265" s="81"/>
      <c r="CJ1265" s="81"/>
      <c r="CK1265" s="81"/>
      <c r="CL1265" s="81"/>
      <c r="CM1265" s="81"/>
      <c r="CN1265" s="81"/>
      <c r="CO1265" s="81"/>
      <c r="CP1265" s="81"/>
      <c r="CQ1265" s="111"/>
      <c r="CT1265" s="81"/>
    </row>
    <row r="1266" spans="48:98" x14ac:dyDescent="0.25">
      <c r="AV1266" s="81"/>
      <c r="AW1266" s="81"/>
      <c r="AX1266" s="81"/>
      <c r="AY1266" s="81"/>
      <c r="BA1266" s="81"/>
      <c r="BB1266" s="81"/>
      <c r="BC1266" s="81"/>
      <c r="BD1266" s="81"/>
      <c r="BE1266" s="81"/>
      <c r="BF1266" s="81"/>
      <c r="BG1266" s="81"/>
      <c r="BH1266" s="81"/>
      <c r="BI1266" s="81"/>
      <c r="BJ1266" s="81"/>
      <c r="BK1266" s="81"/>
      <c r="BL1266" s="81"/>
      <c r="BM1266" s="81"/>
      <c r="BN1266" s="81"/>
      <c r="BO1266" s="81"/>
      <c r="BP1266" s="81"/>
      <c r="BQ1266" s="81"/>
      <c r="BR1266" s="81"/>
      <c r="BS1266" s="81"/>
      <c r="BT1266" s="81"/>
      <c r="BU1266" s="81"/>
      <c r="BV1266" s="81"/>
      <c r="BW1266" s="81"/>
      <c r="BX1266" s="81"/>
      <c r="BY1266" s="81"/>
      <c r="BZ1266" s="81"/>
      <c r="CA1266" s="81"/>
      <c r="CB1266" s="81"/>
      <c r="CC1266" s="81"/>
      <c r="CD1266" s="81"/>
      <c r="CE1266" s="81"/>
      <c r="CF1266" s="81"/>
      <c r="CG1266" s="81"/>
      <c r="CH1266" s="81"/>
      <c r="CI1266" s="81"/>
      <c r="CJ1266" s="81"/>
      <c r="CK1266" s="81"/>
      <c r="CL1266" s="81"/>
      <c r="CM1266" s="81"/>
      <c r="CN1266" s="81"/>
      <c r="CO1266" s="81"/>
      <c r="CP1266" s="81"/>
      <c r="CQ1266" s="111"/>
      <c r="CT1266" s="81"/>
    </row>
    <row r="1267" spans="48:98" x14ac:dyDescent="0.25">
      <c r="AV1267" s="81"/>
      <c r="AW1267" s="81"/>
      <c r="AX1267" s="81"/>
      <c r="AY1267" s="81"/>
      <c r="BA1267" s="81"/>
      <c r="BB1267" s="81"/>
      <c r="BC1267" s="81"/>
      <c r="BD1267" s="81"/>
      <c r="BE1267" s="81"/>
      <c r="BF1267" s="81"/>
      <c r="BG1267" s="81"/>
      <c r="BH1267" s="81"/>
      <c r="BI1267" s="81"/>
      <c r="BJ1267" s="81"/>
      <c r="BK1267" s="81"/>
      <c r="BL1267" s="81"/>
      <c r="BM1267" s="81"/>
      <c r="BN1267" s="81"/>
      <c r="BO1267" s="81"/>
      <c r="BP1267" s="81"/>
      <c r="BQ1267" s="81"/>
      <c r="BR1267" s="81"/>
      <c r="BS1267" s="81"/>
      <c r="BT1267" s="81"/>
      <c r="BU1267" s="81"/>
      <c r="BV1267" s="81"/>
      <c r="BW1267" s="81"/>
      <c r="BX1267" s="81"/>
      <c r="BY1267" s="81"/>
      <c r="BZ1267" s="81"/>
      <c r="CA1267" s="81"/>
      <c r="CB1267" s="81"/>
      <c r="CC1267" s="81"/>
      <c r="CD1267" s="81"/>
      <c r="CE1267" s="81"/>
      <c r="CF1267" s="81"/>
      <c r="CG1267" s="81"/>
      <c r="CH1267" s="81"/>
      <c r="CI1267" s="81"/>
      <c r="CJ1267" s="81"/>
      <c r="CK1267" s="81"/>
      <c r="CL1267" s="81"/>
      <c r="CM1267" s="81"/>
      <c r="CN1267" s="81"/>
      <c r="CO1267" s="81"/>
      <c r="CP1267" s="81"/>
      <c r="CQ1267" s="111"/>
      <c r="CT1267" s="81"/>
    </row>
    <row r="1268" spans="48:98" x14ac:dyDescent="0.25">
      <c r="AV1268" s="81"/>
      <c r="AW1268" s="81"/>
      <c r="AX1268" s="81"/>
      <c r="AY1268" s="81"/>
      <c r="BA1268" s="81"/>
      <c r="BB1268" s="81"/>
      <c r="BC1268" s="81"/>
      <c r="BD1268" s="81"/>
      <c r="BE1268" s="81"/>
      <c r="BF1268" s="81"/>
      <c r="BG1268" s="81"/>
      <c r="BH1268" s="81"/>
      <c r="BI1268" s="81"/>
      <c r="BJ1268" s="81"/>
      <c r="BK1268" s="81"/>
      <c r="BL1268" s="81"/>
      <c r="BM1268" s="81"/>
      <c r="BN1268" s="81"/>
      <c r="BO1268" s="81"/>
      <c r="BP1268" s="81"/>
      <c r="BQ1268" s="81"/>
      <c r="BR1268" s="81"/>
      <c r="BS1268" s="81"/>
      <c r="BT1268" s="81"/>
      <c r="BU1268" s="81"/>
      <c r="BV1268" s="81"/>
      <c r="BW1268" s="81"/>
      <c r="BX1268" s="81"/>
      <c r="BY1268" s="81"/>
      <c r="BZ1268" s="81"/>
      <c r="CA1268" s="81"/>
      <c r="CB1268" s="81"/>
      <c r="CC1268" s="81"/>
      <c r="CD1268" s="81"/>
      <c r="CE1268" s="81"/>
      <c r="CF1268" s="81"/>
      <c r="CG1268" s="81"/>
      <c r="CH1268" s="81"/>
      <c r="CI1268" s="81"/>
      <c r="CJ1268" s="81"/>
      <c r="CK1268" s="81"/>
      <c r="CL1268" s="81"/>
      <c r="CM1268" s="81"/>
      <c r="CN1268" s="81"/>
      <c r="CO1268" s="81"/>
      <c r="CP1268" s="81"/>
      <c r="CQ1268" s="111"/>
      <c r="CT1268" s="81"/>
    </row>
    <row r="1269" spans="48:98" x14ac:dyDescent="0.25">
      <c r="AV1269" s="81"/>
      <c r="AW1269" s="81"/>
      <c r="AX1269" s="81"/>
      <c r="AY1269" s="81"/>
      <c r="BA1269" s="81"/>
      <c r="BB1269" s="81"/>
      <c r="BC1269" s="81"/>
      <c r="BD1269" s="81"/>
      <c r="BE1269" s="81"/>
      <c r="BF1269" s="81"/>
      <c r="BG1269" s="81"/>
      <c r="BH1269" s="81"/>
      <c r="BI1269" s="81"/>
      <c r="BJ1269" s="81"/>
      <c r="BK1269" s="81"/>
      <c r="BL1269" s="81"/>
      <c r="BM1269" s="81"/>
      <c r="BN1269" s="81"/>
      <c r="BO1269" s="81"/>
      <c r="BP1269" s="81"/>
      <c r="BQ1269" s="81"/>
      <c r="BR1269" s="81"/>
      <c r="BS1269" s="81"/>
      <c r="BT1269" s="81"/>
      <c r="BU1269" s="81"/>
      <c r="BV1269" s="81"/>
      <c r="BW1269" s="81"/>
      <c r="BX1269" s="81"/>
      <c r="BY1269" s="81"/>
      <c r="BZ1269" s="81"/>
      <c r="CA1269" s="81"/>
      <c r="CB1269" s="81"/>
      <c r="CC1269" s="81"/>
      <c r="CD1269" s="81"/>
      <c r="CE1269" s="81"/>
      <c r="CF1269" s="81"/>
      <c r="CG1269" s="81"/>
      <c r="CH1269" s="81"/>
      <c r="CI1269" s="81"/>
      <c r="CJ1269" s="81"/>
      <c r="CK1269" s="81"/>
      <c r="CL1269" s="81"/>
      <c r="CM1269" s="81"/>
      <c r="CN1269" s="81"/>
      <c r="CO1269" s="81"/>
      <c r="CP1269" s="81"/>
      <c r="CQ1269" s="111"/>
      <c r="CT1269" s="81"/>
    </row>
    <row r="1270" spans="48:98" x14ac:dyDescent="0.25">
      <c r="AV1270" s="81"/>
      <c r="AW1270" s="81"/>
      <c r="AX1270" s="81"/>
      <c r="AY1270" s="81"/>
      <c r="BA1270" s="81"/>
      <c r="BB1270" s="81"/>
      <c r="BC1270" s="81"/>
      <c r="BD1270" s="81"/>
      <c r="BE1270" s="81"/>
      <c r="BF1270" s="81"/>
      <c r="BG1270" s="81"/>
      <c r="BH1270" s="81"/>
      <c r="BI1270" s="81"/>
      <c r="BJ1270" s="81"/>
      <c r="BK1270" s="81"/>
      <c r="BL1270" s="81"/>
      <c r="BM1270" s="81"/>
      <c r="BN1270" s="81"/>
      <c r="BO1270" s="81"/>
      <c r="BP1270" s="81"/>
      <c r="BQ1270" s="81"/>
      <c r="BR1270" s="81"/>
      <c r="BS1270" s="81"/>
      <c r="BT1270" s="81"/>
      <c r="BU1270" s="81"/>
      <c r="BV1270" s="81"/>
      <c r="BW1270" s="81"/>
      <c r="BX1270" s="81"/>
      <c r="BY1270" s="81"/>
      <c r="BZ1270" s="81"/>
      <c r="CA1270" s="81"/>
      <c r="CB1270" s="81"/>
      <c r="CC1270" s="81"/>
      <c r="CD1270" s="81"/>
      <c r="CE1270" s="81"/>
      <c r="CF1270" s="81"/>
      <c r="CG1270" s="81"/>
      <c r="CH1270" s="81"/>
      <c r="CI1270" s="81"/>
      <c r="CJ1270" s="81"/>
      <c r="CK1270" s="81"/>
      <c r="CL1270" s="81"/>
      <c r="CM1270" s="81"/>
      <c r="CN1270" s="81"/>
      <c r="CO1270" s="81"/>
      <c r="CP1270" s="81"/>
      <c r="CQ1270" s="111"/>
      <c r="CT1270" s="81"/>
    </row>
    <row r="1271" spans="48:98" x14ac:dyDescent="0.25">
      <c r="AV1271" s="81"/>
      <c r="AW1271" s="81"/>
      <c r="AX1271" s="81"/>
      <c r="AY1271" s="81"/>
      <c r="BA1271" s="81"/>
      <c r="BB1271" s="81"/>
      <c r="BC1271" s="81"/>
      <c r="BD1271" s="81"/>
      <c r="BE1271" s="81"/>
      <c r="BF1271" s="81"/>
      <c r="BG1271" s="81"/>
      <c r="BH1271" s="81"/>
      <c r="BI1271" s="81"/>
      <c r="BJ1271" s="81"/>
      <c r="BK1271" s="81"/>
      <c r="BL1271" s="81"/>
      <c r="BM1271" s="81"/>
      <c r="BN1271" s="81"/>
      <c r="BO1271" s="81"/>
      <c r="BP1271" s="81"/>
      <c r="BQ1271" s="81"/>
      <c r="BR1271" s="81"/>
      <c r="BS1271" s="81"/>
      <c r="BT1271" s="81"/>
      <c r="BU1271" s="81"/>
      <c r="BV1271" s="81"/>
      <c r="BW1271" s="81"/>
      <c r="BX1271" s="81"/>
      <c r="BY1271" s="81"/>
      <c r="BZ1271" s="81"/>
      <c r="CA1271" s="81"/>
      <c r="CB1271" s="81"/>
      <c r="CC1271" s="81"/>
      <c r="CD1271" s="81"/>
      <c r="CE1271" s="81"/>
      <c r="CF1271" s="81"/>
      <c r="CG1271" s="81"/>
      <c r="CH1271" s="81"/>
      <c r="CI1271" s="81"/>
      <c r="CJ1271" s="81"/>
      <c r="CK1271" s="81"/>
      <c r="CL1271" s="81"/>
      <c r="CM1271" s="81"/>
      <c r="CN1271" s="81"/>
      <c r="CO1271" s="81"/>
      <c r="CP1271" s="81"/>
      <c r="CQ1271" s="111"/>
      <c r="CT1271" s="81"/>
    </row>
    <row r="1272" spans="48:98" x14ac:dyDescent="0.25">
      <c r="AV1272" s="81"/>
      <c r="AW1272" s="81"/>
      <c r="AX1272" s="81"/>
      <c r="AY1272" s="81"/>
      <c r="BA1272" s="81"/>
      <c r="BB1272" s="81"/>
      <c r="BC1272" s="81"/>
      <c r="BD1272" s="81"/>
      <c r="BE1272" s="81"/>
      <c r="BF1272" s="81"/>
      <c r="BG1272" s="81"/>
      <c r="BH1272" s="81"/>
      <c r="BI1272" s="81"/>
      <c r="BJ1272" s="81"/>
      <c r="BK1272" s="81"/>
      <c r="BL1272" s="81"/>
      <c r="BM1272" s="81"/>
      <c r="BN1272" s="81"/>
      <c r="BO1272" s="81"/>
      <c r="BP1272" s="81"/>
      <c r="BQ1272" s="81"/>
      <c r="BR1272" s="81"/>
      <c r="BS1272" s="81"/>
      <c r="BT1272" s="81"/>
      <c r="BU1272" s="81"/>
      <c r="BV1272" s="81"/>
      <c r="BW1272" s="81"/>
      <c r="BX1272" s="81"/>
      <c r="BY1272" s="81"/>
      <c r="BZ1272" s="81"/>
      <c r="CA1272" s="81"/>
      <c r="CB1272" s="81"/>
      <c r="CC1272" s="81"/>
      <c r="CD1272" s="81"/>
      <c r="CE1272" s="81"/>
      <c r="CF1272" s="81"/>
      <c r="CG1272" s="81"/>
      <c r="CH1272" s="81"/>
      <c r="CI1272" s="81"/>
      <c r="CJ1272" s="81"/>
      <c r="CK1272" s="81"/>
      <c r="CL1272" s="81"/>
      <c r="CM1272" s="81"/>
      <c r="CN1272" s="81"/>
      <c r="CO1272" s="81"/>
      <c r="CP1272" s="81"/>
      <c r="CQ1272" s="111"/>
      <c r="CT1272" s="81"/>
    </row>
    <row r="1273" spans="48:98" x14ac:dyDescent="0.25">
      <c r="AV1273" s="81"/>
      <c r="AW1273" s="81"/>
      <c r="AX1273" s="81"/>
      <c r="AY1273" s="81"/>
      <c r="BA1273" s="81"/>
      <c r="BB1273" s="81"/>
      <c r="BC1273" s="81"/>
      <c r="BD1273" s="81"/>
      <c r="BE1273" s="81"/>
      <c r="BF1273" s="81"/>
      <c r="BG1273" s="81"/>
      <c r="BH1273" s="81"/>
      <c r="BI1273" s="81"/>
      <c r="BJ1273" s="81"/>
      <c r="BK1273" s="81"/>
      <c r="BL1273" s="81"/>
      <c r="BM1273" s="81"/>
      <c r="BN1273" s="81"/>
      <c r="BO1273" s="81"/>
      <c r="BP1273" s="81"/>
      <c r="BQ1273" s="81"/>
      <c r="BR1273" s="81"/>
      <c r="BS1273" s="81"/>
      <c r="BT1273" s="81"/>
      <c r="BU1273" s="81"/>
      <c r="BV1273" s="81"/>
      <c r="BW1273" s="81"/>
      <c r="BX1273" s="81"/>
      <c r="BY1273" s="81"/>
      <c r="BZ1273" s="81"/>
      <c r="CA1273" s="81"/>
      <c r="CB1273" s="81"/>
      <c r="CC1273" s="81"/>
      <c r="CD1273" s="81"/>
      <c r="CE1273" s="81"/>
      <c r="CF1273" s="81"/>
      <c r="CG1273" s="81"/>
      <c r="CH1273" s="81"/>
      <c r="CI1273" s="81"/>
      <c r="CJ1273" s="81"/>
      <c r="CK1273" s="81"/>
      <c r="CL1273" s="81"/>
      <c r="CM1273" s="81"/>
      <c r="CN1273" s="81"/>
      <c r="CO1273" s="81"/>
      <c r="CP1273" s="81"/>
      <c r="CQ1273" s="111"/>
      <c r="CT1273" s="81"/>
    </row>
    <row r="1274" spans="48:98" x14ac:dyDescent="0.25">
      <c r="AV1274" s="81"/>
      <c r="AW1274" s="81"/>
      <c r="AX1274" s="81"/>
      <c r="AY1274" s="81"/>
      <c r="BA1274" s="81"/>
      <c r="BB1274" s="81"/>
      <c r="BC1274" s="81"/>
      <c r="BD1274" s="81"/>
      <c r="BE1274" s="81"/>
      <c r="BF1274" s="81"/>
      <c r="BG1274" s="81"/>
      <c r="BH1274" s="81"/>
      <c r="BI1274" s="81"/>
      <c r="BJ1274" s="81"/>
      <c r="BK1274" s="81"/>
      <c r="BL1274" s="81"/>
      <c r="BM1274" s="81"/>
      <c r="BN1274" s="81"/>
      <c r="BO1274" s="81"/>
      <c r="BP1274" s="81"/>
      <c r="BQ1274" s="81"/>
      <c r="BR1274" s="81"/>
      <c r="BS1274" s="81"/>
      <c r="BT1274" s="81"/>
      <c r="BU1274" s="81"/>
      <c r="BV1274" s="81"/>
      <c r="BW1274" s="81"/>
      <c r="BX1274" s="81"/>
      <c r="BY1274" s="81"/>
      <c r="BZ1274" s="81"/>
      <c r="CA1274" s="81"/>
      <c r="CB1274" s="81"/>
      <c r="CC1274" s="81"/>
      <c r="CD1274" s="81"/>
      <c r="CE1274" s="81"/>
      <c r="CF1274" s="81"/>
      <c r="CG1274" s="81"/>
      <c r="CH1274" s="81"/>
      <c r="CI1274" s="81"/>
      <c r="CJ1274" s="81"/>
      <c r="CK1274" s="81"/>
      <c r="CL1274" s="81"/>
      <c r="CM1274" s="81"/>
      <c r="CN1274" s="81"/>
      <c r="CO1274" s="81"/>
      <c r="CP1274" s="81"/>
      <c r="CQ1274" s="111"/>
      <c r="CT1274" s="81"/>
    </row>
    <row r="1275" spans="48:98" x14ac:dyDescent="0.25">
      <c r="AV1275" s="81"/>
      <c r="AW1275" s="81"/>
      <c r="AX1275" s="81"/>
      <c r="AY1275" s="81"/>
      <c r="BA1275" s="81"/>
      <c r="BB1275" s="81"/>
      <c r="BC1275" s="81"/>
      <c r="BD1275" s="81"/>
      <c r="BE1275" s="81"/>
      <c r="BF1275" s="81"/>
      <c r="BG1275" s="81"/>
      <c r="BH1275" s="81"/>
      <c r="BI1275" s="81"/>
      <c r="BJ1275" s="81"/>
      <c r="BK1275" s="81"/>
      <c r="BL1275" s="81"/>
      <c r="BM1275" s="81"/>
      <c r="BN1275" s="81"/>
      <c r="BO1275" s="81"/>
      <c r="BP1275" s="81"/>
      <c r="BQ1275" s="81"/>
      <c r="BR1275" s="81"/>
      <c r="BS1275" s="81"/>
      <c r="BT1275" s="81"/>
      <c r="BU1275" s="81"/>
      <c r="BV1275" s="81"/>
      <c r="BW1275" s="81"/>
      <c r="BX1275" s="81"/>
      <c r="BY1275" s="81"/>
      <c r="BZ1275" s="81"/>
      <c r="CA1275" s="81"/>
      <c r="CB1275" s="81"/>
      <c r="CC1275" s="81"/>
      <c r="CD1275" s="81"/>
      <c r="CE1275" s="81"/>
      <c r="CF1275" s="81"/>
      <c r="CG1275" s="81"/>
      <c r="CH1275" s="81"/>
      <c r="CI1275" s="81"/>
      <c r="CJ1275" s="81"/>
      <c r="CK1275" s="81"/>
      <c r="CL1275" s="81"/>
      <c r="CM1275" s="81"/>
      <c r="CN1275" s="81"/>
      <c r="CO1275" s="81"/>
      <c r="CP1275" s="81"/>
      <c r="CQ1275" s="111"/>
      <c r="CT1275" s="81"/>
    </row>
    <row r="1276" spans="48:98" x14ac:dyDescent="0.25">
      <c r="AV1276" s="81"/>
      <c r="AW1276" s="81"/>
      <c r="AX1276" s="81"/>
      <c r="AY1276" s="81"/>
      <c r="BA1276" s="81"/>
      <c r="BB1276" s="81"/>
      <c r="BC1276" s="81"/>
      <c r="BD1276" s="81"/>
      <c r="BE1276" s="81"/>
      <c r="BF1276" s="81"/>
      <c r="BG1276" s="81"/>
      <c r="BH1276" s="81"/>
      <c r="BI1276" s="81"/>
      <c r="BJ1276" s="81"/>
      <c r="BK1276" s="81"/>
      <c r="BL1276" s="81"/>
      <c r="BM1276" s="81"/>
      <c r="BN1276" s="81"/>
      <c r="BO1276" s="81"/>
      <c r="BP1276" s="81"/>
      <c r="BQ1276" s="81"/>
      <c r="BR1276" s="81"/>
      <c r="BS1276" s="81"/>
      <c r="BT1276" s="81"/>
      <c r="BU1276" s="81"/>
      <c r="BV1276" s="81"/>
      <c r="BW1276" s="81"/>
      <c r="BX1276" s="81"/>
      <c r="BY1276" s="81"/>
      <c r="BZ1276" s="81"/>
      <c r="CA1276" s="81"/>
      <c r="CB1276" s="81"/>
      <c r="CC1276" s="81"/>
      <c r="CD1276" s="81"/>
      <c r="CE1276" s="81"/>
      <c r="CF1276" s="81"/>
      <c r="CG1276" s="81"/>
      <c r="CH1276" s="81"/>
      <c r="CI1276" s="81"/>
      <c r="CJ1276" s="81"/>
      <c r="CK1276" s="81"/>
      <c r="CL1276" s="81"/>
      <c r="CM1276" s="81"/>
      <c r="CN1276" s="81"/>
      <c r="CO1276" s="81"/>
      <c r="CP1276" s="81"/>
      <c r="CQ1276" s="111"/>
      <c r="CT1276" s="81"/>
    </row>
    <row r="1277" spans="48:98" x14ac:dyDescent="0.25">
      <c r="AV1277" s="81"/>
      <c r="AW1277" s="81"/>
      <c r="AX1277" s="81"/>
      <c r="AY1277" s="81"/>
      <c r="BA1277" s="81"/>
      <c r="BB1277" s="81"/>
      <c r="BC1277" s="81"/>
      <c r="BD1277" s="81"/>
      <c r="BE1277" s="81"/>
      <c r="BF1277" s="81"/>
      <c r="BG1277" s="81"/>
      <c r="BH1277" s="81"/>
      <c r="BI1277" s="81"/>
      <c r="BJ1277" s="81"/>
      <c r="BK1277" s="81"/>
      <c r="BL1277" s="81"/>
      <c r="BM1277" s="81"/>
      <c r="BN1277" s="81"/>
      <c r="BO1277" s="81"/>
      <c r="BP1277" s="81"/>
      <c r="BQ1277" s="81"/>
      <c r="BR1277" s="81"/>
      <c r="BS1277" s="81"/>
      <c r="BT1277" s="81"/>
      <c r="BU1277" s="81"/>
      <c r="BV1277" s="81"/>
      <c r="BW1277" s="81"/>
      <c r="BX1277" s="81"/>
      <c r="BY1277" s="81"/>
      <c r="BZ1277" s="81"/>
      <c r="CA1277" s="81"/>
      <c r="CB1277" s="81"/>
      <c r="CC1277" s="81"/>
      <c r="CD1277" s="81"/>
      <c r="CE1277" s="81"/>
      <c r="CF1277" s="81"/>
      <c r="CG1277" s="81"/>
      <c r="CH1277" s="81"/>
      <c r="CI1277" s="81"/>
      <c r="CJ1277" s="81"/>
      <c r="CK1277" s="81"/>
      <c r="CL1277" s="81"/>
      <c r="CM1277" s="81"/>
      <c r="CN1277" s="81"/>
      <c r="CO1277" s="81"/>
      <c r="CP1277" s="81"/>
      <c r="CQ1277" s="111"/>
      <c r="CT1277" s="81"/>
    </row>
    <row r="1278" spans="48:98" x14ac:dyDescent="0.25">
      <c r="AV1278" s="81"/>
      <c r="AW1278" s="81"/>
      <c r="AX1278" s="81"/>
      <c r="AY1278" s="81"/>
      <c r="BA1278" s="81"/>
      <c r="BB1278" s="81"/>
      <c r="BC1278" s="81"/>
      <c r="BD1278" s="81"/>
      <c r="BE1278" s="81"/>
      <c r="BF1278" s="81"/>
      <c r="BG1278" s="81"/>
      <c r="BH1278" s="81"/>
      <c r="BI1278" s="81"/>
      <c r="BJ1278" s="81"/>
      <c r="BK1278" s="81"/>
      <c r="BL1278" s="81"/>
      <c r="BM1278" s="81"/>
      <c r="BN1278" s="81"/>
      <c r="BO1278" s="81"/>
      <c r="BP1278" s="81"/>
      <c r="BQ1278" s="81"/>
      <c r="BR1278" s="81"/>
      <c r="BS1278" s="81"/>
      <c r="BT1278" s="81"/>
      <c r="BU1278" s="81"/>
      <c r="BV1278" s="81"/>
      <c r="BW1278" s="81"/>
      <c r="BX1278" s="81"/>
      <c r="BY1278" s="81"/>
      <c r="BZ1278" s="81"/>
      <c r="CA1278" s="81"/>
      <c r="CB1278" s="81"/>
      <c r="CC1278" s="81"/>
      <c r="CD1278" s="81"/>
      <c r="CE1278" s="81"/>
      <c r="CF1278" s="81"/>
      <c r="CG1278" s="81"/>
      <c r="CH1278" s="81"/>
      <c r="CI1278" s="81"/>
      <c r="CJ1278" s="81"/>
      <c r="CK1278" s="81"/>
      <c r="CL1278" s="81"/>
      <c r="CM1278" s="81"/>
      <c r="CN1278" s="81"/>
      <c r="CO1278" s="81"/>
      <c r="CP1278" s="81"/>
      <c r="CQ1278" s="111"/>
      <c r="CT1278" s="81"/>
    </row>
    <row r="1279" spans="48:98" x14ac:dyDescent="0.25">
      <c r="AV1279" s="81"/>
      <c r="AW1279" s="81"/>
      <c r="AX1279" s="81"/>
      <c r="AY1279" s="81"/>
      <c r="BA1279" s="81"/>
      <c r="BB1279" s="81"/>
      <c r="BC1279" s="81"/>
      <c r="BD1279" s="81"/>
      <c r="BE1279" s="81"/>
      <c r="BF1279" s="81"/>
      <c r="BG1279" s="81"/>
      <c r="BH1279" s="81"/>
      <c r="BI1279" s="81"/>
      <c r="BJ1279" s="81"/>
      <c r="BK1279" s="81"/>
      <c r="BL1279" s="81"/>
      <c r="BM1279" s="81"/>
      <c r="BN1279" s="81"/>
      <c r="BO1279" s="81"/>
      <c r="BP1279" s="81"/>
      <c r="BQ1279" s="81"/>
      <c r="BR1279" s="81"/>
      <c r="BS1279" s="81"/>
      <c r="BT1279" s="81"/>
      <c r="BU1279" s="81"/>
      <c r="BV1279" s="81"/>
      <c r="BW1279" s="81"/>
      <c r="BX1279" s="81"/>
      <c r="BY1279" s="81"/>
      <c r="BZ1279" s="81"/>
      <c r="CA1279" s="81"/>
      <c r="CB1279" s="81"/>
      <c r="CC1279" s="81"/>
      <c r="CD1279" s="81"/>
      <c r="CE1279" s="81"/>
      <c r="CF1279" s="81"/>
      <c r="CG1279" s="81"/>
      <c r="CH1279" s="81"/>
      <c r="CI1279" s="81"/>
      <c r="CJ1279" s="81"/>
      <c r="CK1279" s="81"/>
      <c r="CL1279" s="81"/>
      <c r="CM1279" s="81"/>
      <c r="CN1279" s="81"/>
      <c r="CO1279" s="81"/>
      <c r="CP1279" s="81"/>
      <c r="CQ1279" s="111"/>
      <c r="CT1279" s="81"/>
    </row>
    <row r="1280" spans="48:98" x14ac:dyDescent="0.25">
      <c r="AV1280" s="81"/>
      <c r="AW1280" s="81"/>
      <c r="AX1280" s="81"/>
      <c r="AY1280" s="81"/>
      <c r="BA1280" s="81"/>
      <c r="BB1280" s="81"/>
      <c r="BC1280" s="81"/>
      <c r="BD1280" s="81"/>
      <c r="BE1280" s="81"/>
      <c r="BF1280" s="81"/>
      <c r="BG1280" s="81"/>
      <c r="BH1280" s="81"/>
      <c r="BI1280" s="81"/>
      <c r="BJ1280" s="81"/>
      <c r="BK1280" s="81"/>
      <c r="BL1280" s="81"/>
      <c r="BM1280" s="81"/>
      <c r="BN1280" s="81"/>
      <c r="BO1280" s="81"/>
      <c r="BP1280" s="81"/>
      <c r="BQ1280" s="81"/>
      <c r="BR1280" s="81"/>
      <c r="BS1280" s="81"/>
      <c r="BT1280" s="81"/>
      <c r="BU1280" s="81"/>
      <c r="BV1280" s="81"/>
      <c r="BW1280" s="81"/>
      <c r="BX1280" s="81"/>
      <c r="BY1280" s="81"/>
      <c r="BZ1280" s="81"/>
      <c r="CA1280" s="81"/>
      <c r="CB1280" s="81"/>
      <c r="CC1280" s="81"/>
      <c r="CD1280" s="81"/>
      <c r="CE1280" s="81"/>
      <c r="CF1280" s="81"/>
      <c r="CG1280" s="81"/>
      <c r="CH1280" s="81"/>
      <c r="CI1280" s="81"/>
      <c r="CJ1280" s="81"/>
      <c r="CK1280" s="81"/>
      <c r="CL1280" s="81"/>
      <c r="CM1280" s="81"/>
      <c r="CN1280" s="81"/>
      <c r="CO1280" s="81"/>
      <c r="CP1280" s="81"/>
      <c r="CQ1280" s="111"/>
      <c r="CT1280" s="81"/>
    </row>
    <row r="1281" spans="48:98" x14ac:dyDescent="0.25">
      <c r="AV1281" s="81"/>
      <c r="AW1281" s="81"/>
      <c r="AX1281" s="81"/>
      <c r="AY1281" s="81"/>
      <c r="BA1281" s="81"/>
      <c r="BB1281" s="81"/>
      <c r="BC1281" s="81"/>
      <c r="BD1281" s="81"/>
      <c r="BE1281" s="81"/>
      <c r="BF1281" s="81"/>
      <c r="BG1281" s="81"/>
      <c r="BH1281" s="81"/>
      <c r="BI1281" s="81"/>
      <c r="BJ1281" s="81"/>
      <c r="BK1281" s="81"/>
      <c r="BL1281" s="81"/>
      <c r="BM1281" s="81"/>
      <c r="BN1281" s="81"/>
      <c r="BO1281" s="81"/>
      <c r="BP1281" s="81"/>
      <c r="BQ1281" s="81"/>
      <c r="BR1281" s="81"/>
      <c r="BS1281" s="81"/>
      <c r="BT1281" s="81"/>
      <c r="BU1281" s="81"/>
      <c r="BV1281" s="81"/>
      <c r="BW1281" s="81"/>
      <c r="BX1281" s="81"/>
      <c r="BY1281" s="81"/>
      <c r="BZ1281" s="81"/>
      <c r="CA1281" s="81"/>
      <c r="CB1281" s="81"/>
      <c r="CC1281" s="81"/>
      <c r="CD1281" s="81"/>
      <c r="CE1281" s="81"/>
      <c r="CF1281" s="81"/>
      <c r="CG1281" s="81"/>
      <c r="CH1281" s="81"/>
      <c r="CI1281" s="81"/>
      <c r="CJ1281" s="81"/>
      <c r="CK1281" s="81"/>
      <c r="CL1281" s="81"/>
      <c r="CM1281" s="81"/>
      <c r="CN1281" s="81"/>
      <c r="CO1281" s="81"/>
      <c r="CP1281" s="81"/>
      <c r="CQ1281" s="111"/>
      <c r="CT1281" s="81"/>
    </row>
    <row r="1282" spans="48:98" x14ac:dyDescent="0.25">
      <c r="AV1282" s="81"/>
      <c r="AW1282" s="81"/>
      <c r="AX1282" s="81"/>
      <c r="AY1282" s="81"/>
      <c r="BA1282" s="81"/>
      <c r="BB1282" s="81"/>
      <c r="BC1282" s="81"/>
      <c r="BD1282" s="81"/>
      <c r="BE1282" s="81"/>
      <c r="BF1282" s="81"/>
      <c r="BG1282" s="81"/>
      <c r="BH1282" s="81"/>
      <c r="BI1282" s="81"/>
      <c r="BJ1282" s="81"/>
      <c r="BK1282" s="81"/>
      <c r="BL1282" s="81"/>
      <c r="BM1282" s="81"/>
      <c r="BN1282" s="81"/>
      <c r="BO1282" s="81"/>
      <c r="BP1282" s="81"/>
      <c r="BQ1282" s="81"/>
      <c r="BR1282" s="81"/>
      <c r="BS1282" s="81"/>
      <c r="BT1282" s="81"/>
      <c r="BU1282" s="81"/>
      <c r="BV1282" s="81"/>
      <c r="BW1282" s="81"/>
      <c r="BX1282" s="81"/>
      <c r="BY1282" s="81"/>
      <c r="BZ1282" s="81"/>
      <c r="CA1282" s="81"/>
      <c r="CB1282" s="81"/>
      <c r="CC1282" s="81"/>
      <c r="CD1282" s="81"/>
      <c r="CE1282" s="81"/>
      <c r="CF1282" s="81"/>
      <c r="CG1282" s="81"/>
      <c r="CH1282" s="81"/>
      <c r="CI1282" s="81"/>
      <c r="CJ1282" s="81"/>
      <c r="CK1282" s="81"/>
      <c r="CL1282" s="81"/>
      <c r="CM1282" s="81"/>
      <c r="CN1282" s="81"/>
      <c r="CO1282" s="81"/>
      <c r="CP1282" s="81"/>
      <c r="CQ1282" s="111"/>
      <c r="CT1282" s="81"/>
    </row>
    <row r="1283" spans="48:98" x14ac:dyDescent="0.25">
      <c r="AV1283" s="81"/>
      <c r="AW1283" s="81"/>
      <c r="AX1283" s="81"/>
      <c r="AY1283" s="81"/>
      <c r="BA1283" s="81"/>
      <c r="BB1283" s="81"/>
      <c r="BC1283" s="81"/>
      <c r="BD1283" s="81"/>
      <c r="BE1283" s="81"/>
      <c r="BF1283" s="81"/>
      <c r="BG1283" s="81"/>
      <c r="BH1283" s="81"/>
      <c r="BI1283" s="81"/>
      <c r="BJ1283" s="81"/>
      <c r="BK1283" s="81"/>
      <c r="BL1283" s="81"/>
      <c r="BM1283" s="81"/>
      <c r="BN1283" s="81"/>
      <c r="BO1283" s="81"/>
      <c r="BP1283" s="81"/>
      <c r="BQ1283" s="81"/>
      <c r="BR1283" s="81"/>
      <c r="BS1283" s="81"/>
      <c r="BT1283" s="81"/>
      <c r="BU1283" s="81"/>
      <c r="BV1283" s="81"/>
      <c r="BW1283" s="81"/>
      <c r="BX1283" s="81"/>
      <c r="BY1283" s="81"/>
      <c r="BZ1283" s="81"/>
      <c r="CA1283" s="81"/>
      <c r="CB1283" s="81"/>
      <c r="CC1283" s="81"/>
      <c r="CD1283" s="81"/>
      <c r="CE1283" s="81"/>
      <c r="CF1283" s="81"/>
      <c r="CG1283" s="81"/>
      <c r="CH1283" s="81"/>
      <c r="CI1283" s="81"/>
      <c r="CJ1283" s="81"/>
      <c r="CK1283" s="81"/>
      <c r="CL1283" s="81"/>
      <c r="CM1283" s="81"/>
      <c r="CN1283" s="81"/>
      <c r="CO1283" s="81"/>
      <c r="CP1283" s="81"/>
      <c r="CQ1283" s="111"/>
      <c r="CT1283" s="81"/>
    </row>
    <row r="1284" spans="48:98" x14ac:dyDescent="0.25">
      <c r="AV1284" s="81"/>
      <c r="AW1284" s="81"/>
      <c r="AX1284" s="81"/>
      <c r="AY1284" s="81"/>
      <c r="BA1284" s="81"/>
      <c r="BB1284" s="81"/>
      <c r="BC1284" s="81"/>
      <c r="BD1284" s="81"/>
      <c r="BE1284" s="81"/>
      <c r="BF1284" s="81"/>
      <c r="BG1284" s="81"/>
      <c r="BH1284" s="81"/>
      <c r="BI1284" s="81"/>
      <c r="BJ1284" s="81"/>
      <c r="BK1284" s="81"/>
      <c r="BL1284" s="81"/>
      <c r="BM1284" s="81"/>
      <c r="BN1284" s="81"/>
      <c r="BO1284" s="81"/>
      <c r="BP1284" s="81"/>
      <c r="BQ1284" s="81"/>
      <c r="BR1284" s="81"/>
      <c r="BS1284" s="81"/>
      <c r="BT1284" s="81"/>
      <c r="BU1284" s="81"/>
      <c r="BV1284" s="81"/>
      <c r="BW1284" s="81"/>
      <c r="BX1284" s="81"/>
      <c r="BY1284" s="81"/>
      <c r="BZ1284" s="81"/>
      <c r="CA1284" s="81"/>
      <c r="CB1284" s="81"/>
      <c r="CC1284" s="81"/>
      <c r="CD1284" s="81"/>
      <c r="CE1284" s="81"/>
      <c r="CF1284" s="81"/>
      <c r="CG1284" s="81"/>
      <c r="CH1284" s="81"/>
      <c r="CI1284" s="81"/>
      <c r="CJ1284" s="81"/>
      <c r="CK1284" s="81"/>
      <c r="CL1284" s="81"/>
      <c r="CM1284" s="81"/>
      <c r="CN1284" s="81"/>
      <c r="CO1284" s="81"/>
      <c r="CP1284" s="81"/>
      <c r="CQ1284" s="111"/>
      <c r="CT1284" s="81"/>
    </row>
    <row r="1285" spans="48:98" x14ac:dyDescent="0.25">
      <c r="AV1285" s="81"/>
      <c r="AW1285" s="81"/>
      <c r="AX1285" s="81"/>
      <c r="AY1285" s="81"/>
      <c r="BA1285" s="81"/>
      <c r="BB1285" s="81"/>
      <c r="BC1285" s="81"/>
      <c r="BD1285" s="81"/>
      <c r="BE1285" s="81"/>
      <c r="BF1285" s="81"/>
      <c r="BG1285" s="81"/>
      <c r="BH1285" s="81"/>
      <c r="BI1285" s="81"/>
      <c r="BJ1285" s="81"/>
      <c r="BK1285" s="81"/>
      <c r="BL1285" s="81"/>
      <c r="BM1285" s="81"/>
      <c r="BN1285" s="81"/>
      <c r="BO1285" s="81"/>
      <c r="BP1285" s="81"/>
      <c r="BQ1285" s="81"/>
      <c r="BR1285" s="81"/>
      <c r="BS1285" s="81"/>
      <c r="BT1285" s="81"/>
      <c r="BU1285" s="81"/>
      <c r="BV1285" s="81"/>
      <c r="BW1285" s="81"/>
      <c r="BX1285" s="81"/>
      <c r="BY1285" s="81"/>
      <c r="BZ1285" s="81"/>
      <c r="CA1285" s="81"/>
      <c r="CB1285" s="81"/>
      <c r="CC1285" s="81"/>
      <c r="CD1285" s="81"/>
      <c r="CE1285" s="81"/>
      <c r="CF1285" s="81"/>
      <c r="CG1285" s="81"/>
      <c r="CH1285" s="81"/>
      <c r="CI1285" s="81"/>
      <c r="CJ1285" s="81"/>
      <c r="CK1285" s="81"/>
      <c r="CL1285" s="81"/>
      <c r="CM1285" s="81"/>
      <c r="CN1285" s="81"/>
      <c r="CO1285" s="81"/>
      <c r="CP1285" s="81"/>
      <c r="CQ1285" s="111"/>
      <c r="CT1285" s="81"/>
    </row>
    <row r="1286" spans="48:98" x14ac:dyDescent="0.25">
      <c r="AV1286" s="81"/>
      <c r="AW1286" s="81"/>
      <c r="AX1286" s="81"/>
      <c r="AY1286" s="81"/>
      <c r="BA1286" s="81"/>
      <c r="BB1286" s="81"/>
      <c r="BC1286" s="81"/>
      <c r="BD1286" s="81"/>
      <c r="BE1286" s="81"/>
      <c r="BF1286" s="81"/>
      <c r="BG1286" s="81"/>
      <c r="BH1286" s="81"/>
      <c r="BI1286" s="81"/>
      <c r="BJ1286" s="81"/>
      <c r="BK1286" s="81"/>
      <c r="BL1286" s="81"/>
      <c r="BM1286" s="81"/>
      <c r="BN1286" s="81"/>
      <c r="BO1286" s="81"/>
      <c r="BP1286" s="81"/>
      <c r="BQ1286" s="81"/>
      <c r="BR1286" s="81"/>
      <c r="BS1286" s="81"/>
      <c r="BT1286" s="81"/>
      <c r="BU1286" s="81"/>
      <c r="BV1286" s="81"/>
      <c r="BW1286" s="81"/>
      <c r="BX1286" s="81"/>
      <c r="BY1286" s="81"/>
      <c r="BZ1286" s="81"/>
      <c r="CA1286" s="81"/>
      <c r="CB1286" s="81"/>
      <c r="CC1286" s="81"/>
      <c r="CD1286" s="81"/>
      <c r="CE1286" s="81"/>
      <c r="CF1286" s="81"/>
      <c r="CG1286" s="81"/>
      <c r="CH1286" s="81"/>
      <c r="CI1286" s="81"/>
      <c r="CJ1286" s="81"/>
      <c r="CK1286" s="81"/>
      <c r="CL1286" s="81"/>
      <c r="CM1286" s="81"/>
      <c r="CN1286" s="81"/>
      <c r="CO1286" s="81"/>
      <c r="CP1286" s="81"/>
      <c r="CQ1286" s="111"/>
      <c r="CT1286" s="81"/>
    </row>
    <row r="1287" spans="48:98" x14ac:dyDescent="0.25">
      <c r="AV1287" s="81"/>
      <c r="AW1287" s="81"/>
      <c r="AX1287" s="81"/>
      <c r="AY1287" s="81"/>
      <c r="BA1287" s="81"/>
      <c r="BB1287" s="81"/>
      <c r="BC1287" s="81"/>
      <c r="BD1287" s="81"/>
      <c r="BE1287" s="81"/>
      <c r="BF1287" s="81"/>
      <c r="BG1287" s="81"/>
      <c r="BH1287" s="81"/>
      <c r="BI1287" s="81"/>
      <c r="BJ1287" s="81"/>
      <c r="BK1287" s="81"/>
      <c r="BL1287" s="81"/>
      <c r="BM1287" s="81"/>
      <c r="BN1287" s="81"/>
      <c r="BO1287" s="81"/>
      <c r="BP1287" s="81"/>
      <c r="BQ1287" s="81"/>
      <c r="BR1287" s="81"/>
      <c r="BS1287" s="81"/>
      <c r="BT1287" s="81"/>
      <c r="BU1287" s="81"/>
      <c r="BV1287" s="81"/>
      <c r="BW1287" s="81"/>
      <c r="BX1287" s="81"/>
      <c r="BY1287" s="81"/>
      <c r="BZ1287" s="81"/>
      <c r="CA1287" s="81"/>
      <c r="CB1287" s="81"/>
      <c r="CC1287" s="81"/>
      <c r="CD1287" s="81"/>
      <c r="CE1287" s="81"/>
      <c r="CF1287" s="81"/>
      <c r="CG1287" s="81"/>
      <c r="CH1287" s="81"/>
      <c r="CI1287" s="81"/>
      <c r="CJ1287" s="81"/>
      <c r="CK1287" s="81"/>
      <c r="CL1287" s="81"/>
      <c r="CM1287" s="81"/>
      <c r="CN1287" s="81"/>
      <c r="CO1287" s="81"/>
      <c r="CP1287" s="81"/>
      <c r="CQ1287" s="111"/>
      <c r="CT1287" s="81"/>
    </row>
    <row r="1288" spans="48:98" x14ac:dyDescent="0.25">
      <c r="AV1288" s="81"/>
      <c r="AW1288" s="81"/>
      <c r="AX1288" s="81"/>
      <c r="AY1288" s="81"/>
      <c r="BA1288" s="81"/>
      <c r="BB1288" s="81"/>
      <c r="BC1288" s="81"/>
      <c r="BD1288" s="81"/>
      <c r="BE1288" s="81"/>
      <c r="BF1288" s="81"/>
      <c r="BG1288" s="81"/>
      <c r="BH1288" s="81"/>
      <c r="BI1288" s="81"/>
      <c r="BJ1288" s="81"/>
      <c r="BK1288" s="81"/>
      <c r="BL1288" s="81"/>
      <c r="BM1288" s="81"/>
      <c r="BN1288" s="81"/>
      <c r="BO1288" s="81"/>
      <c r="BP1288" s="81"/>
      <c r="BQ1288" s="81"/>
      <c r="BR1288" s="81"/>
      <c r="BS1288" s="81"/>
      <c r="BT1288" s="81"/>
      <c r="BU1288" s="81"/>
      <c r="BV1288" s="81"/>
      <c r="BW1288" s="81"/>
      <c r="BX1288" s="81"/>
      <c r="BY1288" s="81"/>
      <c r="BZ1288" s="81"/>
      <c r="CA1288" s="81"/>
      <c r="CB1288" s="81"/>
      <c r="CC1288" s="81"/>
      <c r="CD1288" s="81"/>
      <c r="CE1288" s="81"/>
      <c r="CF1288" s="81"/>
      <c r="CG1288" s="81"/>
      <c r="CH1288" s="81"/>
      <c r="CI1288" s="81"/>
      <c r="CJ1288" s="81"/>
      <c r="CK1288" s="81"/>
      <c r="CL1288" s="81"/>
      <c r="CM1288" s="81"/>
      <c r="CN1288" s="81"/>
      <c r="CO1288" s="81"/>
      <c r="CP1288" s="81"/>
      <c r="CQ1288" s="111"/>
      <c r="CT1288" s="81"/>
    </row>
    <row r="1289" spans="48:98" x14ac:dyDescent="0.25">
      <c r="AV1289" s="81"/>
      <c r="AW1289" s="81"/>
      <c r="AX1289" s="81"/>
      <c r="AY1289" s="81"/>
      <c r="BA1289" s="81"/>
      <c r="BB1289" s="81"/>
      <c r="BC1289" s="81"/>
      <c r="BD1289" s="81"/>
      <c r="BE1289" s="81"/>
      <c r="BF1289" s="81"/>
      <c r="BG1289" s="81"/>
      <c r="BH1289" s="81"/>
      <c r="BI1289" s="81"/>
      <c r="BJ1289" s="81"/>
      <c r="BK1289" s="81"/>
      <c r="BL1289" s="81"/>
      <c r="BM1289" s="81"/>
      <c r="BN1289" s="81"/>
      <c r="BO1289" s="81"/>
      <c r="BP1289" s="81"/>
      <c r="BQ1289" s="81"/>
      <c r="BR1289" s="81"/>
      <c r="BS1289" s="81"/>
      <c r="BT1289" s="81"/>
      <c r="BU1289" s="81"/>
      <c r="BV1289" s="81"/>
      <c r="BW1289" s="81"/>
      <c r="BX1289" s="81"/>
      <c r="BY1289" s="81"/>
      <c r="BZ1289" s="81"/>
      <c r="CA1289" s="81"/>
      <c r="CB1289" s="81"/>
      <c r="CC1289" s="81"/>
      <c r="CD1289" s="81"/>
      <c r="CE1289" s="81"/>
      <c r="CF1289" s="81"/>
      <c r="CG1289" s="81"/>
      <c r="CH1289" s="81"/>
      <c r="CI1289" s="81"/>
      <c r="CJ1289" s="81"/>
      <c r="CK1289" s="81"/>
      <c r="CL1289" s="81"/>
      <c r="CM1289" s="81"/>
      <c r="CN1289" s="81"/>
      <c r="CO1289" s="81"/>
      <c r="CP1289" s="81"/>
      <c r="CQ1289" s="111"/>
      <c r="CT1289" s="81"/>
    </row>
    <row r="1290" spans="48:98" x14ac:dyDescent="0.25">
      <c r="AV1290" s="81"/>
      <c r="AW1290" s="81"/>
      <c r="AX1290" s="81"/>
      <c r="AY1290" s="81"/>
      <c r="BA1290" s="81"/>
      <c r="BB1290" s="81"/>
      <c r="BC1290" s="81"/>
      <c r="BD1290" s="81"/>
      <c r="BE1290" s="81"/>
      <c r="BF1290" s="81"/>
      <c r="BG1290" s="81"/>
      <c r="BH1290" s="81"/>
      <c r="BI1290" s="81"/>
      <c r="BJ1290" s="81"/>
      <c r="BK1290" s="81"/>
      <c r="BL1290" s="81"/>
      <c r="BM1290" s="81"/>
      <c r="BN1290" s="81"/>
      <c r="BO1290" s="81"/>
      <c r="BP1290" s="81"/>
      <c r="BQ1290" s="81"/>
      <c r="BR1290" s="81"/>
      <c r="BS1290" s="81"/>
      <c r="BT1290" s="81"/>
      <c r="BU1290" s="81"/>
      <c r="BV1290" s="81"/>
      <c r="BW1290" s="81"/>
      <c r="BX1290" s="81"/>
      <c r="BY1290" s="81"/>
      <c r="BZ1290" s="81"/>
      <c r="CA1290" s="81"/>
      <c r="CB1290" s="81"/>
      <c r="CC1290" s="81"/>
      <c r="CD1290" s="81"/>
      <c r="CE1290" s="81"/>
      <c r="CF1290" s="81"/>
      <c r="CG1290" s="81"/>
      <c r="CH1290" s="81"/>
      <c r="CI1290" s="81"/>
      <c r="CJ1290" s="81"/>
      <c r="CK1290" s="81"/>
      <c r="CL1290" s="81"/>
      <c r="CM1290" s="81"/>
      <c r="CN1290" s="81"/>
      <c r="CO1290" s="81"/>
      <c r="CP1290" s="81"/>
      <c r="CQ1290" s="111"/>
      <c r="CT1290" s="81"/>
    </row>
    <row r="1291" spans="48:98" x14ac:dyDescent="0.25">
      <c r="AV1291" s="81"/>
      <c r="AW1291" s="81"/>
      <c r="AX1291" s="81"/>
      <c r="AY1291" s="81"/>
      <c r="BA1291" s="81"/>
      <c r="BB1291" s="81"/>
      <c r="BC1291" s="81"/>
      <c r="BD1291" s="81"/>
      <c r="BE1291" s="81"/>
      <c r="BF1291" s="81"/>
      <c r="BG1291" s="81"/>
      <c r="BH1291" s="81"/>
      <c r="BI1291" s="81"/>
      <c r="BJ1291" s="81"/>
      <c r="BK1291" s="81"/>
      <c r="BL1291" s="81"/>
      <c r="BM1291" s="81"/>
      <c r="BN1291" s="81"/>
      <c r="BO1291" s="81"/>
      <c r="BP1291" s="81"/>
      <c r="BQ1291" s="81"/>
      <c r="BR1291" s="81"/>
      <c r="BS1291" s="81"/>
      <c r="BT1291" s="81"/>
      <c r="BU1291" s="81"/>
      <c r="BV1291" s="81"/>
      <c r="BW1291" s="81"/>
      <c r="BX1291" s="81"/>
      <c r="BY1291" s="81"/>
      <c r="BZ1291" s="81"/>
      <c r="CA1291" s="81"/>
      <c r="CB1291" s="81"/>
      <c r="CC1291" s="81"/>
      <c r="CD1291" s="81"/>
      <c r="CE1291" s="81"/>
      <c r="CF1291" s="81"/>
      <c r="CG1291" s="81"/>
      <c r="CH1291" s="81"/>
      <c r="CI1291" s="81"/>
      <c r="CJ1291" s="81"/>
      <c r="CK1291" s="81"/>
      <c r="CL1291" s="81"/>
      <c r="CM1291" s="81"/>
      <c r="CN1291" s="81"/>
      <c r="CO1291" s="81"/>
      <c r="CP1291" s="81"/>
      <c r="CQ1291" s="111"/>
      <c r="CT1291" s="81"/>
    </row>
    <row r="1292" spans="48:98" x14ac:dyDescent="0.25">
      <c r="AV1292" s="81"/>
      <c r="AW1292" s="81"/>
      <c r="AX1292" s="81"/>
      <c r="AY1292" s="81"/>
      <c r="BA1292" s="81"/>
      <c r="BB1292" s="81"/>
      <c r="BC1292" s="81"/>
      <c r="BD1292" s="81"/>
      <c r="BE1292" s="81"/>
      <c r="BF1292" s="81"/>
      <c r="BG1292" s="81"/>
      <c r="BH1292" s="81"/>
      <c r="BI1292" s="81"/>
      <c r="BJ1292" s="81"/>
      <c r="BK1292" s="81"/>
      <c r="BL1292" s="81"/>
      <c r="BM1292" s="81"/>
      <c r="BN1292" s="81"/>
      <c r="BO1292" s="81"/>
      <c r="BP1292" s="81"/>
      <c r="BQ1292" s="81"/>
      <c r="BR1292" s="81"/>
      <c r="BS1292" s="81"/>
      <c r="BT1292" s="81"/>
      <c r="BU1292" s="81"/>
      <c r="BV1292" s="81"/>
      <c r="BW1292" s="81"/>
      <c r="BX1292" s="81"/>
      <c r="BY1292" s="81"/>
      <c r="BZ1292" s="81"/>
      <c r="CA1292" s="81"/>
      <c r="CB1292" s="81"/>
      <c r="CC1292" s="81"/>
      <c r="CD1292" s="81"/>
      <c r="CE1292" s="81"/>
      <c r="CF1292" s="81"/>
      <c r="CG1292" s="81"/>
      <c r="CH1292" s="81"/>
      <c r="CI1292" s="81"/>
      <c r="CJ1292" s="81"/>
      <c r="CK1292" s="81"/>
      <c r="CL1292" s="81"/>
      <c r="CM1292" s="81"/>
      <c r="CN1292" s="81"/>
      <c r="CO1292" s="81"/>
      <c r="CP1292" s="81"/>
      <c r="CQ1292" s="111"/>
      <c r="CT1292" s="81"/>
    </row>
    <row r="1293" spans="48:98" x14ac:dyDescent="0.25">
      <c r="AV1293" s="81"/>
      <c r="AW1293" s="81"/>
      <c r="AX1293" s="81"/>
      <c r="AY1293" s="81"/>
      <c r="BA1293" s="81"/>
      <c r="BB1293" s="81"/>
      <c r="BC1293" s="81"/>
      <c r="BD1293" s="81"/>
      <c r="BE1293" s="81"/>
      <c r="BF1293" s="81"/>
      <c r="BG1293" s="81"/>
      <c r="BH1293" s="81"/>
      <c r="BI1293" s="81"/>
      <c r="BJ1293" s="81"/>
      <c r="BK1293" s="81"/>
      <c r="BL1293" s="81"/>
      <c r="BM1293" s="81"/>
      <c r="BN1293" s="81"/>
      <c r="BO1293" s="81"/>
      <c r="BP1293" s="81"/>
      <c r="BQ1293" s="81"/>
      <c r="BR1293" s="81"/>
      <c r="BS1293" s="81"/>
      <c r="BT1293" s="81"/>
      <c r="BU1293" s="81"/>
      <c r="BV1293" s="81"/>
      <c r="BW1293" s="81"/>
      <c r="BX1293" s="81"/>
      <c r="BY1293" s="81"/>
      <c r="BZ1293" s="81"/>
      <c r="CA1293" s="81"/>
      <c r="CB1293" s="81"/>
      <c r="CC1293" s="81"/>
      <c r="CD1293" s="81"/>
      <c r="CE1293" s="81"/>
      <c r="CF1293" s="81"/>
      <c r="CG1293" s="81"/>
      <c r="CH1293" s="81"/>
      <c r="CI1293" s="81"/>
      <c r="CJ1293" s="81"/>
      <c r="CK1293" s="81"/>
      <c r="CL1293" s="81"/>
      <c r="CM1293" s="81"/>
      <c r="CN1293" s="81"/>
      <c r="CO1293" s="81"/>
      <c r="CP1293" s="81"/>
      <c r="CQ1293" s="111"/>
      <c r="CT1293" s="81"/>
    </row>
    <row r="1294" spans="48:98" x14ac:dyDescent="0.25">
      <c r="AV1294" s="81"/>
      <c r="AW1294" s="81"/>
      <c r="AX1294" s="81"/>
      <c r="AY1294" s="81"/>
      <c r="BA1294" s="81"/>
      <c r="BB1294" s="81"/>
      <c r="BC1294" s="81"/>
      <c r="BD1294" s="81"/>
      <c r="BE1294" s="81"/>
      <c r="BF1294" s="81"/>
      <c r="BG1294" s="81"/>
      <c r="BH1294" s="81"/>
      <c r="BI1294" s="81"/>
      <c r="BJ1294" s="81"/>
      <c r="BK1294" s="81"/>
      <c r="BL1294" s="81"/>
      <c r="BM1294" s="81"/>
      <c r="BN1294" s="81"/>
      <c r="BO1294" s="81"/>
      <c r="BP1294" s="81"/>
      <c r="BQ1294" s="81"/>
      <c r="BR1294" s="81"/>
      <c r="BS1294" s="81"/>
      <c r="BT1294" s="81"/>
      <c r="BU1294" s="81"/>
      <c r="BV1294" s="81"/>
      <c r="BW1294" s="81"/>
      <c r="BX1294" s="81"/>
      <c r="BY1294" s="81"/>
      <c r="BZ1294" s="81"/>
      <c r="CA1294" s="81"/>
      <c r="CB1294" s="81"/>
      <c r="CC1294" s="81"/>
      <c r="CD1294" s="81"/>
      <c r="CE1294" s="81"/>
      <c r="CF1294" s="81"/>
      <c r="CG1294" s="81"/>
      <c r="CH1294" s="81"/>
      <c r="CI1294" s="81"/>
      <c r="CJ1294" s="81"/>
      <c r="CK1294" s="81"/>
      <c r="CL1294" s="81"/>
      <c r="CM1294" s="81"/>
      <c r="CN1294" s="81"/>
      <c r="CO1294" s="81"/>
      <c r="CP1294" s="81"/>
      <c r="CQ1294" s="111"/>
      <c r="CT1294" s="81"/>
    </row>
    <row r="1295" spans="48:98" x14ac:dyDescent="0.25">
      <c r="AV1295" s="81"/>
      <c r="AW1295" s="81"/>
      <c r="AX1295" s="81"/>
      <c r="AY1295" s="81"/>
      <c r="BA1295" s="81"/>
      <c r="BB1295" s="81"/>
      <c r="BC1295" s="81"/>
      <c r="BD1295" s="81"/>
      <c r="BE1295" s="81"/>
      <c r="BF1295" s="81"/>
      <c r="BG1295" s="81"/>
      <c r="BH1295" s="81"/>
      <c r="BI1295" s="81"/>
      <c r="BJ1295" s="81"/>
      <c r="BK1295" s="81"/>
      <c r="BL1295" s="81"/>
      <c r="BM1295" s="81"/>
      <c r="BN1295" s="81"/>
      <c r="BO1295" s="81"/>
      <c r="BP1295" s="81"/>
      <c r="BQ1295" s="81"/>
      <c r="BR1295" s="81"/>
      <c r="BS1295" s="81"/>
      <c r="BT1295" s="81"/>
      <c r="BU1295" s="81"/>
      <c r="BV1295" s="81"/>
      <c r="BW1295" s="81"/>
      <c r="BX1295" s="81"/>
      <c r="BY1295" s="81"/>
      <c r="BZ1295" s="81"/>
      <c r="CA1295" s="81"/>
      <c r="CB1295" s="81"/>
      <c r="CC1295" s="81"/>
      <c r="CD1295" s="81"/>
      <c r="CE1295" s="81"/>
      <c r="CF1295" s="81"/>
      <c r="CG1295" s="81"/>
      <c r="CH1295" s="81"/>
      <c r="CI1295" s="81"/>
      <c r="CJ1295" s="81"/>
      <c r="CK1295" s="81"/>
      <c r="CL1295" s="81"/>
      <c r="CM1295" s="81"/>
      <c r="CN1295" s="81"/>
      <c r="CO1295" s="81"/>
      <c r="CP1295" s="81"/>
      <c r="CQ1295" s="111"/>
      <c r="CT1295" s="81"/>
    </row>
    <row r="1296" spans="48:98" x14ac:dyDescent="0.25">
      <c r="AV1296" s="81"/>
      <c r="AW1296" s="81"/>
      <c r="AX1296" s="81"/>
      <c r="AY1296" s="81"/>
      <c r="BA1296" s="81"/>
      <c r="BB1296" s="81"/>
      <c r="BC1296" s="81"/>
      <c r="BD1296" s="81"/>
      <c r="BE1296" s="81"/>
      <c r="BF1296" s="81"/>
      <c r="BG1296" s="81"/>
      <c r="BH1296" s="81"/>
      <c r="BI1296" s="81"/>
      <c r="BJ1296" s="81"/>
      <c r="BK1296" s="81"/>
      <c r="BL1296" s="81"/>
      <c r="BM1296" s="81"/>
      <c r="BN1296" s="81"/>
      <c r="BO1296" s="81"/>
      <c r="BP1296" s="81"/>
      <c r="BQ1296" s="81"/>
      <c r="BR1296" s="81"/>
      <c r="BS1296" s="81"/>
      <c r="BT1296" s="81"/>
      <c r="BU1296" s="81"/>
      <c r="BV1296" s="81"/>
      <c r="BW1296" s="81"/>
      <c r="BX1296" s="81"/>
      <c r="BY1296" s="81"/>
      <c r="BZ1296" s="81"/>
      <c r="CA1296" s="81"/>
      <c r="CB1296" s="81"/>
      <c r="CC1296" s="81"/>
      <c r="CD1296" s="81"/>
      <c r="CE1296" s="81"/>
      <c r="CF1296" s="81"/>
      <c r="CG1296" s="81"/>
      <c r="CH1296" s="81"/>
      <c r="CI1296" s="81"/>
      <c r="CJ1296" s="81"/>
      <c r="CK1296" s="81"/>
      <c r="CL1296" s="81"/>
      <c r="CM1296" s="81"/>
      <c r="CN1296" s="81"/>
      <c r="CO1296" s="81"/>
      <c r="CP1296" s="81"/>
      <c r="CQ1296" s="111"/>
      <c r="CT1296" s="81"/>
    </row>
    <row r="1297" spans="48:98" x14ac:dyDescent="0.25">
      <c r="AV1297" s="81"/>
      <c r="AW1297" s="81"/>
      <c r="AX1297" s="81"/>
      <c r="AY1297" s="81"/>
      <c r="BA1297" s="81"/>
      <c r="BB1297" s="81"/>
      <c r="BC1297" s="81"/>
      <c r="BD1297" s="81"/>
      <c r="BE1297" s="81"/>
      <c r="BF1297" s="81"/>
      <c r="BG1297" s="81"/>
      <c r="BH1297" s="81"/>
      <c r="BI1297" s="81"/>
      <c r="BJ1297" s="81"/>
      <c r="BK1297" s="81"/>
      <c r="BL1297" s="81"/>
      <c r="BM1297" s="81"/>
      <c r="BN1297" s="81"/>
      <c r="BO1297" s="81"/>
      <c r="BP1297" s="81"/>
      <c r="BQ1297" s="81"/>
      <c r="BR1297" s="81"/>
      <c r="BS1297" s="81"/>
      <c r="BT1297" s="81"/>
      <c r="BU1297" s="81"/>
      <c r="BV1297" s="81"/>
      <c r="BW1297" s="81"/>
      <c r="BX1297" s="81"/>
      <c r="BY1297" s="81"/>
      <c r="BZ1297" s="81"/>
      <c r="CA1297" s="81"/>
      <c r="CB1297" s="81"/>
      <c r="CC1297" s="81"/>
      <c r="CD1297" s="81"/>
      <c r="CE1297" s="81"/>
      <c r="CF1297" s="81"/>
      <c r="CG1297" s="81"/>
      <c r="CH1297" s="81"/>
      <c r="CI1297" s="81"/>
      <c r="CJ1297" s="81"/>
      <c r="CK1297" s="81"/>
      <c r="CL1297" s="81"/>
      <c r="CM1297" s="81"/>
      <c r="CN1297" s="81"/>
      <c r="CO1297" s="81"/>
      <c r="CP1297" s="81"/>
      <c r="CQ1297" s="111"/>
      <c r="CT1297" s="81"/>
    </row>
    <row r="1298" spans="48:98" x14ac:dyDescent="0.25">
      <c r="AV1298" s="81"/>
      <c r="AW1298" s="81"/>
      <c r="AX1298" s="81"/>
      <c r="AY1298" s="81"/>
      <c r="BA1298" s="81"/>
      <c r="BB1298" s="81"/>
      <c r="BC1298" s="81"/>
      <c r="BD1298" s="81"/>
      <c r="BE1298" s="81"/>
      <c r="BF1298" s="81"/>
      <c r="BG1298" s="81"/>
      <c r="BH1298" s="81"/>
      <c r="BI1298" s="81"/>
      <c r="BJ1298" s="81"/>
      <c r="BK1298" s="81"/>
      <c r="BL1298" s="81"/>
      <c r="BM1298" s="81"/>
      <c r="BN1298" s="81"/>
      <c r="BO1298" s="81"/>
      <c r="BP1298" s="81"/>
      <c r="BQ1298" s="81"/>
      <c r="BR1298" s="81"/>
      <c r="BS1298" s="81"/>
      <c r="BT1298" s="81"/>
      <c r="BU1298" s="81"/>
      <c r="BV1298" s="81"/>
      <c r="BW1298" s="81"/>
      <c r="BX1298" s="81"/>
      <c r="BY1298" s="81"/>
      <c r="BZ1298" s="81"/>
      <c r="CA1298" s="81"/>
      <c r="CB1298" s="81"/>
      <c r="CC1298" s="81"/>
      <c r="CD1298" s="81"/>
      <c r="CE1298" s="81"/>
      <c r="CF1298" s="81"/>
      <c r="CG1298" s="81"/>
      <c r="CH1298" s="81"/>
      <c r="CI1298" s="81"/>
      <c r="CJ1298" s="81"/>
      <c r="CK1298" s="81"/>
      <c r="CL1298" s="81"/>
      <c r="CM1298" s="81"/>
      <c r="CN1298" s="81"/>
      <c r="CO1298" s="81"/>
      <c r="CP1298" s="81"/>
      <c r="CQ1298" s="111"/>
      <c r="CT1298" s="81"/>
    </row>
    <row r="1299" spans="48:98" x14ac:dyDescent="0.25">
      <c r="AV1299" s="81"/>
      <c r="AW1299" s="81"/>
      <c r="AX1299" s="81"/>
      <c r="AY1299" s="81"/>
      <c r="BA1299" s="81"/>
      <c r="BB1299" s="81"/>
      <c r="BC1299" s="81"/>
      <c r="BD1299" s="81"/>
      <c r="BE1299" s="81"/>
      <c r="BF1299" s="81"/>
      <c r="BG1299" s="81"/>
      <c r="BH1299" s="81"/>
      <c r="BI1299" s="81"/>
      <c r="BJ1299" s="81"/>
      <c r="BK1299" s="81"/>
      <c r="BL1299" s="81"/>
      <c r="BM1299" s="81"/>
      <c r="BN1299" s="81"/>
      <c r="BO1299" s="81"/>
      <c r="BP1299" s="81"/>
      <c r="BQ1299" s="81"/>
      <c r="BR1299" s="81"/>
      <c r="BS1299" s="81"/>
      <c r="BT1299" s="81"/>
      <c r="BU1299" s="81"/>
      <c r="BV1299" s="81"/>
      <c r="BW1299" s="81"/>
      <c r="BX1299" s="81"/>
      <c r="BY1299" s="81"/>
      <c r="BZ1299" s="81"/>
      <c r="CA1299" s="81"/>
      <c r="CB1299" s="81"/>
      <c r="CC1299" s="81"/>
      <c r="CD1299" s="81"/>
      <c r="CE1299" s="81"/>
      <c r="CF1299" s="81"/>
      <c r="CG1299" s="81"/>
      <c r="CH1299" s="81"/>
      <c r="CI1299" s="81"/>
      <c r="CJ1299" s="81"/>
      <c r="CK1299" s="81"/>
      <c r="CL1299" s="81"/>
      <c r="CM1299" s="81"/>
      <c r="CN1299" s="81"/>
      <c r="CO1299" s="81"/>
      <c r="CP1299" s="81"/>
      <c r="CQ1299" s="111"/>
      <c r="CT1299" s="81"/>
    </row>
    <row r="1300" spans="48:98" x14ac:dyDescent="0.25">
      <c r="AV1300" s="81"/>
      <c r="AW1300" s="81"/>
      <c r="AX1300" s="81"/>
      <c r="AY1300" s="81"/>
      <c r="BA1300" s="81"/>
      <c r="BB1300" s="81"/>
      <c r="BC1300" s="81"/>
      <c r="BD1300" s="81"/>
      <c r="BE1300" s="81"/>
      <c r="BF1300" s="81"/>
      <c r="BG1300" s="81"/>
      <c r="BH1300" s="81"/>
      <c r="BI1300" s="81"/>
      <c r="BJ1300" s="81"/>
      <c r="BK1300" s="81"/>
      <c r="BL1300" s="81"/>
      <c r="BM1300" s="81"/>
      <c r="BN1300" s="81"/>
      <c r="BO1300" s="81"/>
      <c r="BP1300" s="81"/>
      <c r="BQ1300" s="81"/>
      <c r="BR1300" s="81"/>
      <c r="BS1300" s="81"/>
      <c r="BT1300" s="81"/>
      <c r="BU1300" s="81"/>
      <c r="BV1300" s="81"/>
      <c r="BW1300" s="81"/>
      <c r="BX1300" s="81"/>
      <c r="BY1300" s="81"/>
      <c r="BZ1300" s="81"/>
      <c r="CA1300" s="81"/>
      <c r="CB1300" s="81"/>
      <c r="CC1300" s="81"/>
      <c r="CD1300" s="81"/>
      <c r="CE1300" s="81"/>
      <c r="CF1300" s="81"/>
      <c r="CG1300" s="81"/>
      <c r="CH1300" s="81"/>
      <c r="CI1300" s="81"/>
      <c r="CJ1300" s="81"/>
      <c r="CK1300" s="81"/>
      <c r="CL1300" s="81"/>
      <c r="CM1300" s="81"/>
      <c r="CN1300" s="81"/>
      <c r="CO1300" s="81"/>
      <c r="CP1300" s="81"/>
      <c r="CQ1300" s="111"/>
      <c r="CT1300" s="81"/>
    </row>
    <row r="1301" spans="48:98" x14ac:dyDescent="0.25">
      <c r="AV1301" s="81"/>
      <c r="AW1301" s="81"/>
      <c r="AX1301" s="81"/>
      <c r="AY1301" s="81"/>
      <c r="BA1301" s="81"/>
      <c r="BB1301" s="81"/>
      <c r="BC1301" s="81"/>
      <c r="BD1301" s="81"/>
      <c r="BE1301" s="81"/>
      <c r="BF1301" s="81"/>
      <c r="BG1301" s="81"/>
      <c r="BH1301" s="81"/>
      <c r="BI1301" s="81"/>
      <c r="BJ1301" s="81"/>
      <c r="BK1301" s="81"/>
      <c r="BL1301" s="81"/>
      <c r="BM1301" s="81"/>
      <c r="BN1301" s="81"/>
      <c r="BO1301" s="81"/>
      <c r="BP1301" s="81"/>
      <c r="BQ1301" s="81"/>
      <c r="BR1301" s="81"/>
      <c r="BS1301" s="81"/>
      <c r="BT1301" s="81"/>
      <c r="BU1301" s="81"/>
      <c r="BV1301" s="81"/>
      <c r="BW1301" s="81"/>
      <c r="BX1301" s="81"/>
      <c r="BY1301" s="81"/>
      <c r="BZ1301" s="81"/>
      <c r="CA1301" s="81"/>
      <c r="CB1301" s="81"/>
      <c r="CC1301" s="81"/>
      <c r="CD1301" s="81"/>
      <c r="CE1301" s="81"/>
      <c r="CF1301" s="81"/>
      <c r="CG1301" s="81"/>
      <c r="CH1301" s="81"/>
      <c r="CI1301" s="81"/>
      <c r="CJ1301" s="81"/>
      <c r="CK1301" s="81"/>
      <c r="CL1301" s="81"/>
      <c r="CM1301" s="81"/>
      <c r="CN1301" s="81"/>
      <c r="CO1301" s="81"/>
      <c r="CP1301" s="81"/>
      <c r="CQ1301" s="111"/>
      <c r="CT1301" s="81"/>
    </row>
    <row r="1302" spans="48:98" x14ac:dyDescent="0.25">
      <c r="AV1302" s="81"/>
      <c r="AW1302" s="81"/>
      <c r="AX1302" s="81"/>
      <c r="AY1302" s="81"/>
      <c r="BA1302" s="81"/>
      <c r="BB1302" s="81"/>
      <c r="BC1302" s="81"/>
      <c r="BD1302" s="81"/>
      <c r="BE1302" s="81"/>
      <c r="BF1302" s="81"/>
      <c r="BG1302" s="81"/>
      <c r="BH1302" s="81"/>
      <c r="BI1302" s="81"/>
      <c r="BJ1302" s="81"/>
      <c r="BK1302" s="81"/>
      <c r="BL1302" s="81"/>
      <c r="BM1302" s="81"/>
      <c r="BN1302" s="81"/>
      <c r="BO1302" s="81"/>
      <c r="BP1302" s="81"/>
      <c r="BQ1302" s="81"/>
      <c r="BR1302" s="81"/>
      <c r="BS1302" s="81"/>
      <c r="BT1302" s="81"/>
      <c r="BU1302" s="81"/>
      <c r="BV1302" s="81"/>
      <c r="BW1302" s="81"/>
      <c r="BX1302" s="81"/>
      <c r="BY1302" s="81"/>
      <c r="BZ1302" s="81"/>
      <c r="CA1302" s="81"/>
      <c r="CB1302" s="81"/>
      <c r="CC1302" s="81"/>
      <c r="CD1302" s="81"/>
      <c r="CE1302" s="81"/>
      <c r="CF1302" s="81"/>
      <c r="CG1302" s="81"/>
      <c r="CH1302" s="81"/>
      <c r="CI1302" s="81"/>
      <c r="CJ1302" s="81"/>
      <c r="CK1302" s="81"/>
      <c r="CL1302" s="81"/>
      <c r="CM1302" s="81"/>
      <c r="CN1302" s="81"/>
      <c r="CO1302" s="81"/>
      <c r="CP1302" s="81"/>
      <c r="CQ1302" s="111"/>
      <c r="CT1302" s="81"/>
    </row>
    <row r="1303" spans="48:98" x14ac:dyDescent="0.25">
      <c r="AV1303" s="81"/>
      <c r="AW1303" s="81"/>
      <c r="AX1303" s="81"/>
      <c r="AY1303" s="81"/>
      <c r="BA1303" s="81"/>
      <c r="BB1303" s="81"/>
      <c r="BC1303" s="81"/>
      <c r="BD1303" s="81"/>
      <c r="BE1303" s="81"/>
      <c r="BF1303" s="81"/>
      <c r="BG1303" s="81"/>
      <c r="BH1303" s="81"/>
      <c r="BI1303" s="81"/>
      <c r="BJ1303" s="81"/>
      <c r="BK1303" s="81"/>
      <c r="BL1303" s="81"/>
      <c r="BM1303" s="81"/>
      <c r="BN1303" s="81"/>
      <c r="BO1303" s="81"/>
      <c r="BP1303" s="81"/>
      <c r="BQ1303" s="81"/>
      <c r="BR1303" s="81"/>
      <c r="BS1303" s="81"/>
      <c r="BT1303" s="81"/>
      <c r="BU1303" s="81"/>
      <c r="BV1303" s="81"/>
      <c r="BW1303" s="81"/>
      <c r="BX1303" s="81"/>
      <c r="BY1303" s="81"/>
      <c r="BZ1303" s="81"/>
      <c r="CA1303" s="81"/>
      <c r="CB1303" s="81"/>
      <c r="CC1303" s="81"/>
      <c r="CD1303" s="81"/>
      <c r="CE1303" s="81"/>
      <c r="CF1303" s="81"/>
      <c r="CG1303" s="81"/>
      <c r="CH1303" s="81"/>
      <c r="CI1303" s="81"/>
      <c r="CJ1303" s="81"/>
      <c r="CK1303" s="81"/>
      <c r="CL1303" s="81"/>
      <c r="CM1303" s="81"/>
      <c r="CN1303" s="81"/>
      <c r="CO1303" s="81"/>
      <c r="CP1303" s="81"/>
      <c r="CQ1303" s="111"/>
      <c r="CT1303" s="81"/>
    </row>
    <row r="1304" spans="48:98" x14ac:dyDescent="0.25">
      <c r="AV1304" s="81"/>
      <c r="AW1304" s="81"/>
      <c r="AX1304" s="81"/>
      <c r="AY1304" s="81"/>
      <c r="BA1304" s="81"/>
      <c r="BB1304" s="81"/>
      <c r="BC1304" s="81"/>
      <c r="BD1304" s="81"/>
      <c r="BE1304" s="81"/>
      <c r="BF1304" s="81"/>
      <c r="BG1304" s="81"/>
      <c r="BH1304" s="81"/>
      <c r="BI1304" s="81"/>
      <c r="BJ1304" s="81"/>
      <c r="BK1304" s="81"/>
      <c r="BL1304" s="81"/>
      <c r="BM1304" s="81"/>
      <c r="BN1304" s="81"/>
      <c r="BO1304" s="81"/>
      <c r="BP1304" s="81"/>
      <c r="BQ1304" s="81"/>
      <c r="BR1304" s="81"/>
      <c r="BS1304" s="81"/>
      <c r="BT1304" s="81"/>
      <c r="BU1304" s="81"/>
      <c r="BV1304" s="81"/>
      <c r="BW1304" s="81"/>
      <c r="BX1304" s="81"/>
      <c r="BY1304" s="81"/>
      <c r="BZ1304" s="81"/>
      <c r="CA1304" s="81"/>
      <c r="CB1304" s="81"/>
      <c r="CC1304" s="81"/>
      <c r="CD1304" s="81"/>
      <c r="CE1304" s="81"/>
      <c r="CF1304" s="81"/>
      <c r="CG1304" s="81"/>
      <c r="CH1304" s="81"/>
      <c r="CI1304" s="81"/>
      <c r="CJ1304" s="81"/>
      <c r="CK1304" s="81"/>
      <c r="CL1304" s="81"/>
      <c r="CM1304" s="81"/>
      <c r="CN1304" s="81"/>
      <c r="CO1304" s="81"/>
      <c r="CP1304" s="81"/>
      <c r="CQ1304" s="111"/>
      <c r="CT1304" s="81"/>
    </row>
    <row r="1305" spans="48:98" x14ac:dyDescent="0.25">
      <c r="AV1305" s="81"/>
      <c r="AW1305" s="81"/>
      <c r="AX1305" s="81"/>
      <c r="AY1305" s="81"/>
      <c r="BA1305" s="81"/>
      <c r="BB1305" s="81"/>
      <c r="BC1305" s="81"/>
      <c r="BD1305" s="81"/>
      <c r="BE1305" s="81"/>
      <c r="BF1305" s="81"/>
      <c r="BG1305" s="81"/>
      <c r="BH1305" s="81"/>
      <c r="BI1305" s="81"/>
      <c r="BJ1305" s="81"/>
      <c r="BK1305" s="81"/>
      <c r="BL1305" s="81"/>
      <c r="BM1305" s="81"/>
      <c r="BN1305" s="81"/>
      <c r="BO1305" s="81"/>
      <c r="BP1305" s="81"/>
      <c r="BQ1305" s="81"/>
      <c r="BR1305" s="81"/>
      <c r="BS1305" s="81"/>
      <c r="BT1305" s="81"/>
      <c r="BU1305" s="81"/>
      <c r="BV1305" s="81"/>
      <c r="BW1305" s="81"/>
      <c r="BX1305" s="81"/>
      <c r="BY1305" s="81"/>
      <c r="BZ1305" s="81"/>
      <c r="CA1305" s="81"/>
      <c r="CB1305" s="81"/>
      <c r="CC1305" s="81"/>
      <c r="CD1305" s="81"/>
      <c r="CE1305" s="81"/>
      <c r="CF1305" s="81"/>
      <c r="CG1305" s="81"/>
      <c r="CH1305" s="81"/>
      <c r="CI1305" s="81"/>
      <c r="CJ1305" s="81"/>
      <c r="CK1305" s="81"/>
      <c r="CL1305" s="81"/>
      <c r="CM1305" s="81"/>
      <c r="CN1305" s="81"/>
      <c r="CO1305" s="81"/>
      <c r="CP1305" s="81"/>
      <c r="CQ1305" s="111"/>
      <c r="CT1305" s="81"/>
    </row>
    <row r="1306" spans="48:98" x14ac:dyDescent="0.25">
      <c r="AV1306" s="81"/>
      <c r="AW1306" s="81"/>
      <c r="AX1306" s="81"/>
      <c r="AY1306" s="81"/>
      <c r="BA1306" s="81"/>
      <c r="BB1306" s="81"/>
      <c r="BC1306" s="81"/>
      <c r="BD1306" s="81"/>
      <c r="BE1306" s="81"/>
      <c r="BF1306" s="81"/>
      <c r="BG1306" s="81"/>
      <c r="BH1306" s="81"/>
      <c r="BI1306" s="81"/>
      <c r="BJ1306" s="81"/>
      <c r="BK1306" s="81"/>
      <c r="BL1306" s="81"/>
      <c r="BM1306" s="81"/>
      <c r="BN1306" s="81"/>
      <c r="BO1306" s="81"/>
      <c r="BP1306" s="81"/>
      <c r="BQ1306" s="81"/>
      <c r="BR1306" s="81"/>
      <c r="BS1306" s="81"/>
      <c r="BT1306" s="81"/>
      <c r="BU1306" s="81"/>
      <c r="BV1306" s="81"/>
      <c r="BW1306" s="81"/>
      <c r="BX1306" s="81"/>
      <c r="BY1306" s="81"/>
      <c r="BZ1306" s="81"/>
      <c r="CA1306" s="81"/>
      <c r="CB1306" s="81"/>
      <c r="CC1306" s="81"/>
      <c r="CD1306" s="81"/>
      <c r="CE1306" s="81"/>
      <c r="CF1306" s="81"/>
      <c r="CG1306" s="81"/>
      <c r="CH1306" s="81"/>
      <c r="CI1306" s="81"/>
      <c r="CJ1306" s="81"/>
      <c r="CK1306" s="81"/>
      <c r="CL1306" s="81"/>
      <c r="CM1306" s="81"/>
      <c r="CN1306" s="81"/>
      <c r="CO1306" s="81"/>
      <c r="CP1306" s="81"/>
      <c r="CQ1306" s="111"/>
      <c r="CT1306" s="81"/>
    </row>
    <row r="1307" spans="48:98" x14ac:dyDescent="0.25">
      <c r="AV1307" s="81"/>
      <c r="AW1307" s="81"/>
      <c r="AX1307" s="81"/>
      <c r="AY1307" s="81"/>
      <c r="BA1307" s="81"/>
      <c r="BB1307" s="81"/>
      <c r="BC1307" s="81"/>
      <c r="BD1307" s="81"/>
      <c r="BE1307" s="81"/>
      <c r="BF1307" s="81"/>
      <c r="BG1307" s="81"/>
      <c r="BH1307" s="81"/>
      <c r="BI1307" s="81"/>
      <c r="BJ1307" s="81"/>
      <c r="BK1307" s="81"/>
      <c r="BL1307" s="81"/>
      <c r="BM1307" s="81"/>
      <c r="BN1307" s="81"/>
      <c r="BO1307" s="81"/>
      <c r="BP1307" s="81"/>
      <c r="BQ1307" s="81"/>
      <c r="BR1307" s="81"/>
      <c r="BS1307" s="81"/>
      <c r="BT1307" s="81"/>
      <c r="BU1307" s="81"/>
      <c r="BV1307" s="81"/>
      <c r="BW1307" s="81"/>
      <c r="BX1307" s="81"/>
      <c r="BY1307" s="81"/>
      <c r="BZ1307" s="81"/>
      <c r="CA1307" s="81"/>
      <c r="CB1307" s="81"/>
      <c r="CC1307" s="81"/>
      <c r="CD1307" s="81"/>
      <c r="CE1307" s="81"/>
      <c r="CF1307" s="81"/>
      <c r="CG1307" s="81"/>
      <c r="CH1307" s="81"/>
      <c r="CI1307" s="81"/>
      <c r="CJ1307" s="81"/>
      <c r="CK1307" s="81"/>
      <c r="CL1307" s="81"/>
      <c r="CM1307" s="81"/>
      <c r="CN1307" s="81"/>
      <c r="CO1307" s="81"/>
      <c r="CP1307" s="81"/>
      <c r="CQ1307" s="111"/>
      <c r="CT1307" s="81"/>
    </row>
    <row r="1308" spans="48:98" x14ac:dyDescent="0.25">
      <c r="AV1308" s="81"/>
      <c r="AW1308" s="81"/>
      <c r="AX1308" s="81"/>
      <c r="AY1308" s="81"/>
      <c r="BA1308" s="81"/>
      <c r="BB1308" s="81"/>
      <c r="BC1308" s="81"/>
      <c r="BD1308" s="81"/>
      <c r="BE1308" s="81"/>
      <c r="BF1308" s="81"/>
      <c r="BG1308" s="81"/>
      <c r="BH1308" s="81"/>
      <c r="BI1308" s="81"/>
      <c r="BJ1308" s="81"/>
      <c r="BK1308" s="81"/>
      <c r="BL1308" s="81"/>
      <c r="BM1308" s="81"/>
      <c r="BN1308" s="81"/>
      <c r="BO1308" s="81"/>
      <c r="BP1308" s="81"/>
      <c r="BQ1308" s="81"/>
      <c r="BR1308" s="81"/>
      <c r="BS1308" s="81"/>
      <c r="BT1308" s="81"/>
      <c r="BU1308" s="81"/>
      <c r="BV1308" s="81"/>
      <c r="BW1308" s="81"/>
      <c r="BX1308" s="81"/>
      <c r="BY1308" s="81"/>
      <c r="BZ1308" s="81"/>
      <c r="CA1308" s="81"/>
      <c r="CB1308" s="81"/>
      <c r="CC1308" s="81"/>
      <c r="CD1308" s="81"/>
      <c r="CE1308" s="81"/>
      <c r="CF1308" s="81"/>
      <c r="CG1308" s="81"/>
      <c r="CH1308" s="81"/>
      <c r="CI1308" s="81"/>
      <c r="CJ1308" s="81"/>
      <c r="CK1308" s="81"/>
      <c r="CL1308" s="81"/>
      <c r="CM1308" s="81"/>
      <c r="CN1308" s="81"/>
      <c r="CO1308" s="81"/>
      <c r="CP1308" s="81"/>
      <c r="CQ1308" s="111"/>
      <c r="CT1308" s="81"/>
    </row>
    <row r="1309" spans="48:98" x14ac:dyDescent="0.25">
      <c r="AV1309" s="81"/>
      <c r="AW1309" s="81"/>
      <c r="AX1309" s="81"/>
      <c r="AY1309" s="81"/>
      <c r="BA1309" s="81"/>
      <c r="BB1309" s="81"/>
      <c r="BC1309" s="81"/>
      <c r="BD1309" s="81"/>
      <c r="BE1309" s="81"/>
      <c r="BF1309" s="81"/>
      <c r="BG1309" s="81"/>
      <c r="BH1309" s="81"/>
      <c r="BI1309" s="81"/>
      <c r="BJ1309" s="81"/>
      <c r="BK1309" s="81"/>
      <c r="BL1309" s="81"/>
      <c r="BM1309" s="81"/>
      <c r="BN1309" s="81"/>
      <c r="BO1309" s="81"/>
      <c r="BP1309" s="81"/>
      <c r="BQ1309" s="81"/>
      <c r="BR1309" s="81"/>
      <c r="BS1309" s="81"/>
      <c r="BT1309" s="81"/>
      <c r="BU1309" s="81"/>
      <c r="BV1309" s="81"/>
      <c r="BW1309" s="81"/>
      <c r="BX1309" s="81"/>
      <c r="BY1309" s="81"/>
      <c r="BZ1309" s="81"/>
      <c r="CA1309" s="81"/>
      <c r="CB1309" s="81"/>
      <c r="CC1309" s="81"/>
      <c r="CD1309" s="81"/>
      <c r="CE1309" s="81"/>
      <c r="CF1309" s="81"/>
      <c r="CG1309" s="81"/>
      <c r="CH1309" s="81"/>
      <c r="CI1309" s="81"/>
      <c r="CJ1309" s="81"/>
      <c r="CK1309" s="81"/>
      <c r="CL1309" s="81"/>
      <c r="CM1309" s="81"/>
      <c r="CN1309" s="81"/>
      <c r="CO1309" s="81"/>
      <c r="CP1309" s="81"/>
      <c r="CQ1309" s="111"/>
      <c r="CT1309" s="81"/>
    </row>
    <row r="1310" spans="48:98" x14ac:dyDescent="0.25">
      <c r="AV1310" s="81"/>
      <c r="AW1310" s="81"/>
      <c r="AX1310" s="81"/>
      <c r="AY1310" s="81"/>
      <c r="BA1310" s="81"/>
      <c r="BB1310" s="81"/>
      <c r="BC1310" s="81"/>
      <c r="BD1310" s="81"/>
      <c r="BE1310" s="81"/>
      <c r="BF1310" s="81"/>
      <c r="BG1310" s="81"/>
      <c r="BH1310" s="81"/>
      <c r="BI1310" s="81"/>
      <c r="BJ1310" s="81"/>
      <c r="BK1310" s="81"/>
      <c r="BL1310" s="81"/>
      <c r="BM1310" s="81"/>
      <c r="BN1310" s="81"/>
      <c r="BO1310" s="81"/>
      <c r="BP1310" s="81"/>
      <c r="BQ1310" s="81"/>
      <c r="BR1310" s="81"/>
      <c r="BS1310" s="81"/>
      <c r="BT1310" s="81"/>
      <c r="BU1310" s="81"/>
      <c r="BV1310" s="81"/>
      <c r="BW1310" s="81"/>
      <c r="BX1310" s="81"/>
      <c r="BY1310" s="81"/>
      <c r="BZ1310" s="81"/>
      <c r="CA1310" s="81"/>
      <c r="CB1310" s="81"/>
      <c r="CC1310" s="81"/>
      <c r="CD1310" s="81"/>
      <c r="CE1310" s="81"/>
      <c r="CF1310" s="81"/>
      <c r="CG1310" s="81"/>
      <c r="CH1310" s="81"/>
      <c r="CI1310" s="81"/>
      <c r="CJ1310" s="81"/>
      <c r="CK1310" s="81"/>
      <c r="CL1310" s="81"/>
      <c r="CM1310" s="81"/>
      <c r="CN1310" s="81"/>
      <c r="CO1310" s="81"/>
      <c r="CP1310" s="81"/>
      <c r="CQ1310" s="111"/>
      <c r="CT1310" s="81"/>
    </row>
    <row r="1311" spans="48:98" x14ac:dyDescent="0.25">
      <c r="AV1311" s="81"/>
      <c r="AW1311" s="81"/>
      <c r="AX1311" s="81"/>
      <c r="AY1311" s="81"/>
      <c r="BA1311" s="81"/>
      <c r="BB1311" s="81"/>
      <c r="BC1311" s="81"/>
      <c r="BD1311" s="81"/>
      <c r="BE1311" s="81"/>
      <c r="BF1311" s="81"/>
      <c r="BG1311" s="81"/>
      <c r="BH1311" s="81"/>
      <c r="BI1311" s="81"/>
      <c r="BJ1311" s="81"/>
      <c r="BK1311" s="81"/>
      <c r="BL1311" s="81"/>
      <c r="BM1311" s="81"/>
      <c r="BN1311" s="81"/>
      <c r="BO1311" s="81"/>
      <c r="BP1311" s="81"/>
      <c r="BQ1311" s="81"/>
      <c r="BR1311" s="81"/>
      <c r="BS1311" s="81"/>
      <c r="BT1311" s="81"/>
      <c r="BU1311" s="81"/>
      <c r="BV1311" s="81"/>
      <c r="BW1311" s="81"/>
      <c r="BX1311" s="81"/>
      <c r="BY1311" s="81"/>
      <c r="BZ1311" s="81"/>
      <c r="CA1311" s="81"/>
      <c r="CB1311" s="81"/>
      <c r="CC1311" s="81"/>
      <c r="CD1311" s="81"/>
      <c r="CE1311" s="81"/>
      <c r="CF1311" s="81"/>
      <c r="CG1311" s="81"/>
      <c r="CH1311" s="81"/>
      <c r="CI1311" s="81"/>
      <c r="CJ1311" s="81"/>
      <c r="CK1311" s="81"/>
      <c r="CL1311" s="81"/>
      <c r="CM1311" s="81"/>
      <c r="CN1311" s="81"/>
      <c r="CO1311" s="81"/>
      <c r="CP1311" s="81"/>
      <c r="CQ1311" s="111"/>
      <c r="CT1311" s="81"/>
    </row>
    <row r="1312" spans="48:98" x14ac:dyDescent="0.25">
      <c r="AV1312" s="81"/>
      <c r="AW1312" s="81"/>
      <c r="AX1312" s="81"/>
      <c r="AY1312" s="81"/>
      <c r="BA1312" s="81"/>
      <c r="BB1312" s="81"/>
      <c r="BC1312" s="81"/>
      <c r="BD1312" s="81"/>
      <c r="BE1312" s="81"/>
      <c r="BF1312" s="81"/>
      <c r="BG1312" s="81"/>
      <c r="BH1312" s="81"/>
      <c r="BI1312" s="81"/>
      <c r="BJ1312" s="81"/>
      <c r="BK1312" s="81"/>
      <c r="BL1312" s="81"/>
      <c r="BM1312" s="81"/>
      <c r="BN1312" s="81"/>
      <c r="BO1312" s="81"/>
      <c r="BP1312" s="81"/>
      <c r="BQ1312" s="81"/>
      <c r="BR1312" s="81"/>
      <c r="BS1312" s="81"/>
      <c r="BT1312" s="81"/>
      <c r="BU1312" s="81"/>
      <c r="BV1312" s="81"/>
      <c r="BW1312" s="81"/>
      <c r="BX1312" s="81"/>
      <c r="BY1312" s="81"/>
      <c r="BZ1312" s="81"/>
      <c r="CA1312" s="81"/>
      <c r="CB1312" s="81"/>
      <c r="CC1312" s="81"/>
      <c r="CD1312" s="81"/>
      <c r="CE1312" s="81"/>
      <c r="CF1312" s="81"/>
      <c r="CG1312" s="81"/>
      <c r="CH1312" s="81"/>
      <c r="CI1312" s="81"/>
      <c r="CJ1312" s="81"/>
      <c r="CK1312" s="81"/>
      <c r="CL1312" s="81"/>
      <c r="CM1312" s="81"/>
      <c r="CN1312" s="81"/>
      <c r="CO1312" s="81"/>
      <c r="CP1312" s="81"/>
      <c r="CQ1312" s="111"/>
      <c r="CT1312" s="81"/>
    </row>
    <row r="1313" spans="48:98" x14ac:dyDescent="0.25">
      <c r="AV1313" s="81"/>
      <c r="AW1313" s="81"/>
      <c r="AX1313" s="81"/>
      <c r="AY1313" s="81"/>
      <c r="BA1313" s="81"/>
      <c r="BB1313" s="81"/>
      <c r="BC1313" s="81"/>
      <c r="BD1313" s="81"/>
      <c r="BE1313" s="81"/>
      <c r="BF1313" s="81"/>
      <c r="BG1313" s="81"/>
      <c r="BH1313" s="81"/>
      <c r="BI1313" s="81"/>
      <c r="BJ1313" s="81"/>
      <c r="BK1313" s="81"/>
      <c r="BL1313" s="81"/>
      <c r="BM1313" s="81"/>
      <c r="BN1313" s="81"/>
      <c r="BO1313" s="81"/>
      <c r="BP1313" s="81"/>
      <c r="BQ1313" s="81"/>
      <c r="BR1313" s="81"/>
      <c r="BS1313" s="81"/>
      <c r="BT1313" s="81"/>
      <c r="BU1313" s="81"/>
      <c r="BV1313" s="81"/>
      <c r="BW1313" s="81"/>
      <c r="BX1313" s="81"/>
      <c r="BY1313" s="81"/>
      <c r="BZ1313" s="81"/>
      <c r="CA1313" s="81"/>
      <c r="CB1313" s="81"/>
      <c r="CC1313" s="81"/>
      <c r="CD1313" s="81"/>
      <c r="CE1313" s="81"/>
      <c r="CF1313" s="81"/>
      <c r="CG1313" s="81"/>
      <c r="CH1313" s="81"/>
      <c r="CI1313" s="81"/>
      <c r="CJ1313" s="81"/>
      <c r="CK1313" s="81"/>
      <c r="CL1313" s="81"/>
      <c r="CM1313" s="81"/>
      <c r="CN1313" s="81"/>
      <c r="CO1313" s="81"/>
      <c r="CP1313" s="81"/>
      <c r="CQ1313" s="111"/>
      <c r="CT1313" s="81"/>
    </row>
    <row r="1314" spans="48:98" x14ac:dyDescent="0.25">
      <c r="AV1314" s="81"/>
      <c r="AW1314" s="81"/>
      <c r="AX1314" s="81"/>
      <c r="AY1314" s="81"/>
      <c r="BA1314" s="81"/>
      <c r="BB1314" s="81"/>
      <c r="BC1314" s="81"/>
      <c r="BD1314" s="81"/>
      <c r="BE1314" s="81"/>
      <c r="BF1314" s="81"/>
      <c r="BG1314" s="81"/>
      <c r="BH1314" s="81"/>
      <c r="BI1314" s="81"/>
      <c r="BJ1314" s="81"/>
      <c r="BK1314" s="81"/>
      <c r="BL1314" s="81"/>
      <c r="BM1314" s="81"/>
      <c r="BN1314" s="81"/>
      <c r="BO1314" s="81"/>
      <c r="BP1314" s="81"/>
      <c r="BQ1314" s="81"/>
      <c r="BR1314" s="81"/>
      <c r="BS1314" s="81"/>
      <c r="BT1314" s="81"/>
      <c r="BU1314" s="81"/>
      <c r="BV1314" s="81"/>
      <c r="BW1314" s="81"/>
      <c r="BX1314" s="81"/>
      <c r="BY1314" s="81"/>
      <c r="BZ1314" s="81"/>
      <c r="CA1314" s="81"/>
      <c r="CB1314" s="81"/>
      <c r="CC1314" s="81"/>
      <c r="CD1314" s="81"/>
      <c r="CE1314" s="81"/>
      <c r="CF1314" s="81"/>
      <c r="CG1314" s="81"/>
      <c r="CH1314" s="81"/>
      <c r="CI1314" s="81"/>
      <c r="CJ1314" s="81"/>
      <c r="CK1314" s="81"/>
      <c r="CL1314" s="81"/>
      <c r="CM1314" s="81"/>
      <c r="CN1314" s="81"/>
      <c r="CO1314" s="81"/>
      <c r="CP1314" s="81"/>
      <c r="CQ1314" s="111"/>
      <c r="CT1314" s="81"/>
    </row>
    <row r="1315" spans="48:98" x14ac:dyDescent="0.25">
      <c r="AV1315" s="81"/>
      <c r="AW1315" s="81"/>
      <c r="AX1315" s="81"/>
      <c r="AY1315" s="81"/>
      <c r="BA1315" s="81"/>
      <c r="BB1315" s="81"/>
      <c r="BC1315" s="81"/>
      <c r="BD1315" s="81"/>
      <c r="BE1315" s="81"/>
      <c r="BF1315" s="81"/>
      <c r="BG1315" s="81"/>
      <c r="BH1315" s="81"/>
      <c r="BI1315" s="81"/>
      <c r="BJ1315" s="81"/>
      <c r="BK1315" s="81"/>
      <c r="BL1315" s="81"/>
      <c r="BM1315" s="81"/>
      <c r="BN1315" s="81"/>
      <c r="BO1315" s="81"/>
      <c r="BP1315" s="81"/>
      <c r="BQ1315" s="81"/>
      <c r="BR1315" s="81"/>
      <c r="BS1315" s="81"/>
      <c r="BT1315" s="81"/>
      <c r="BU1315" s="81"/>
      <c r="BV1315" s="81"/>
      <c r="BW1315" s="81"/>
      <c r="BX1315" s="81"/>
      <c r="BY1315" s="81"/>
      <c r="BZ1315" s="81"/>
      <c r="CA1315" s="81"/>
      <c r="CB1315" s="81"/>
      <c r="CC1315" s="81"/>
      <c r="CD1315" s="81"/>
      <c r="CE1315" s="81"/>
      <c r="CF1315" s="81"/>
      <c r="CG1315" s="81"/>
      <c r="CH1315" s="81"/>
      <c r="CI1315" s="81"/>
      <c r="CJ1315" s="81"/>
      <c r="CK1315" s="81"/>
      <c r="CL1315" s="81"/>
      <c r="CM1315" s="81"/>
      <c r="CN1315" s="81"/>
      <c r="CO1315" s="81"/>
      <c r="CP1315" s="81"/>
      <c r="CQ1315" s="111"/>
      <c r="CT1315" s="81"/>
    </row>
    <row r="1316" spans="48:98" x14ac:dyDescent="0.25">
      <c r="AV1316" s="81"/>
      <c r="AW1316" s="81"/>
      <c r="AX1316" s="81"/>
      <c r="AY1316" s="81"/>
      <c r="BA1316" s="81"/>
      <c r="BB1316" s="81"/>
      <c r="BC1316" s="81"/>
      <c r="BD1316" s="81"/>
      <c r="BE1316" s="81"/>
      <c r="BF1316" s="81"/>
      <c r="BG1316" s="81"/>
      <c r="BH1316" s="81"/>
      <c r="BI1316" s="81"/>
      <c r="BJ1316" s="81"/>
      <c r="BK1316" s="81"/>
      <c r="BL1316" s="81"/>
      <c r="BM1316" s="81"/>
      <c r="BN1316" s="81"/>
      <c r="BO1316" s="81"/>
      <c r="BP1316" s="81"/>
      <c r="BQ1316" s="81"/>
      <c r="BR1316" s="81"/>
      <c r="BS1316" s="81"/>
      <c r="BT1316" s="81"/>
      <c r="BU1316" s="81"/>
      <c r="BV1316" s="81"/>
      <c r="BW1316" s="81"/>
      <c r="BX1316" s="81"/>
      <c r="BY1316" s="81"/>
      <c r="BZ1316" s="81"/>
      <c r="CA1316" s="81"/>
      <c r="CB1316" s="81"/>
      <c r="CC1316" s="81"/>
      <c r="CD1316" s="81"/>
      <c r="CE1316" s="81"/>
      <c r="CF1316" s="81"/>
      <c r="CG1316" s="81"/>
      <c r="CH1316" s="81"/>
      <c r="CI1316" s="81"/>
      <c r="CJ1316" s="81"/>
      <c r="CK1316" s="81"/>
      <c r="CL1316" s="81"/>
      <c r="CM1316" s="81"/>
      <c r="CN1316" s="81"/>
      <c r="CO1316" s="81"/>
      <c r="CP1316" s="81"/>
      <c r="CQ1316" s="111"/>
      <c r="CT1316" s="81"/>
    </row>
    <row r="1317" spans="48:98" x14ac:dyDescent="0.25">
      <c r="AV1317" s="81"/>
      <c r="AW1317" s="81"/>
      <c r="AX1317" s="81"/>
      <c r="AY1317" s="81"/>
      <c r="BA1317" s="81"/>
      <c r="BB1317" s="81"/>
      <c r="BC1317" s="81"/>
      <c r="BD1317" s="81"/>
      <c r="BE1317" s="81"/>
      <c r="BF1317" s="81"/>
      <c r="BG1317" s="81"/>
      <c r="BH1317" s="81"/>
      <c r="BI1317" s="81"/>
      <c r="BJ1317" s="81"/>
      <c r="BK1317" s="81"/>
      <c r="BL1317" s="81"/>
      <c r="BM1317" s="81"/>
      <c r="BN1317" s="81"/>
      <c r="BO1317" s="81"/>
      <c r="BP1317" s="81"/>
      <c r="BQ1317" s="81"/>
      <c r="BR1317" s="81"/>
      <c r="BS1317" s="81"/>
      <c r="BT1317" s="81"/>
      <c r="BU1317" s="81"/>
      <c r="BV1317" s="81"/>
      <c r="BW1317" s="81"/>
      <c r="BX1317" s="81"/>
      <c r="BY1317" s="81"/>
      <c r="BZ1317" s="81"/>
      <c r="CA1317" s="81"/>
      <c r="CB1317" s="81"/>
      <c r="CC1317" s="81"/>
      <c r="CD1317" s="81"/>
      <c r="CE1317" s="81"/>
      <c r="CF1317" s="81"/>
      <c r="CG1317" s="81"/>
      <c r="CH1317" s="81"/>
      <c r="CI1317" s="81"/>
      <c r="CJ1317" s="81"/>
      <c r="CK1317" s="81"/>
      <c r="CL1317" s="81"/>
      <c r="CM1317" s="81"/>
      <c r="CN1317" s="81"/>
      <c r="CO1317" s="81"/>
      <c r="CP1317" s="81"/>
      <c r="CQ1317" s="111"/>
      <c r="CT1317" s="81"/>
    </row>
    <row r="1318" spans="48:98" x14ac:dyDescent="0.25">
      <c r="AV1318" s="81"/>
      <c r="AW1318" s="81"/>
      <c r="AX1318" s="81"/>
      <c r="AY1318" s="81"/>
      <c r="BA1318" s="81"/>
      <c r="BB1318" s="81"/>
      <c r="BC1318" s="81"/>
      <c r="BD1318" s="81"/>
      <c r="BE1318" s="81"/>
      <c r="BF1318" s="81"/>
      <c r="BG1318" s="81"/>
      <c r="BH1318" s="81"/>
      <c r="BI1318" s="81"/>
      <c r="BJ1318" s="81"/>
      <c r="BK1318" s="81"/>
      <c r="BL1318" s="81"/>
      <c r="BM1318" s="81"/>
      <c r="BN1318" s="81"/>
      <c r="BO1318" s="81"/>
      <c r="BP1318" s="81"/>
      <c r="BQ1318" s="81"/>
      <c r="BR1318" s="81"/>
      <c r="BS1318" s="81"/>
      <c r="BT1318" s="81"/>
      <c r="BU1318" s="81"/>
      <c r="BV1318" s="81"/>
      <c r="BW1318" s="81"/>
      <c r="BX1318" s="81"/>
      <c r="BY1318" s="81"/>
      <c r="BZ1318" s="81"/>
      <c r="CA1318" s="81"/>
      <c r="CB1318" s="81"/>
      <c r="CC1318" s="81"/>
      <c r="CD1318" s="81"/>
      <c r="CE1318" s="81"/>
      <c r="CF1318" s="81"/>
      <c r="CG1318" s="81"/>
      <c r="CH1318" s="81"/>
      <c r="CI1318" s="81"/>
      <c r="CJ1318" s="81"/>
      <c r="CK1318" s="81"/>
      <c r="CL1318" s="81"/>
      <c r="CM1318" s="81"/>
      <c r="CN1318" s="81"/>
      <c r="CO1318" s="81"/>
      <c r="CP1318" s="81"/>
      <c r="CQ1318" s="111"/>
      <c r="CT1318" s="81"/>
    </row>
    <row r="1319" spans="48:98" x14ac:dyDescent="0.25">
      <c r="AV1319" s="81"/>
      <c r="AW1319" s="81"/>
      <c r="AX1319" s="81"/>
      <c r="AY1319" s="81"/>
      <c r="BA1319" s="81"/>
      <c r="BB1319" s="81"/>
      <c r="BC1319" s="81"/>
      <c r="BD1319" s="81"/>
      <c r="BE1319" s="81"/>
      <c r="BF1319" s="81"/>
      <c r="BG1319" s="81"/>
      <c r="BH1319" s="81"/>
      <c r="BI1319" s="81"/>
      <c r="BJ1319" s="81"/>
      <c r="BK1319" s="81"/>
      <c r="BL1319" s="81"/>
      <c r="BM1319" s="81"/>
      <c r="BN1319" s="81"/>
      <c r="BO1319" s="81"/>
      <c r="BP1319" s="81"/>
      <c r="BQ1319" s="81"/>
      <c r="BR1319" s="81"/>
      <c r="BS1319" s="81"/>
      <c r="BT1319" s="81"/>
      <c r="BU1319" s="81"/>
      <c r="BV1319" s="81"/>
      <c r="BW1319" s="81"/>
      <c r="BX1319" s="81"/>
      <c r="BY1319" s="81"/>
      <c r="BZ1319" s="81"/>
      <c r="CA1319" s="81"/>
      <c r="CB1319" s="81"/>
      <c r="CC1319" s="81"/>
      <c r="CD1319" s="81"/>
      <c r="CE1319" s="81"/>
      <c r="CF1319" s="81"/>
      <c r="CG1319" s="81"/>
      <c r="CH1319" s="81"/>
      <c r="CI1319" s="81"/>
      <c r="CJ1319" s="81"/>
      <c r="CK1319" s="81"/>
      <c r="CL1319" s="81"/>
      <c r="CM1319" s="81"/>
      <c r="CN1319" s="81"/>
      <c r="CO1319" s="81"/>
      <c r="CP1319" s="81"/>
      <c r="CQ1319" s="111"/>
      <c r="CT1319" s="81"/>
    </row>
    <row r="1320" spans="48:98" x14ac:dyDescent="0.25">
      <c r="AV1320" s="81"/>
      <c r="AW1320" s="81"/>
      <c r="AX1320" s="81"/>
      <c r="AY1320" s="81"/>
      <c r="BA1320" s="81"/>
      <c r="BB1320" s="81"/>
      <c r="BC1320" s="81"/>
      <c r="BD1320" s="81"/>
      <c r="BE1320" s="81"/>
      <c r="BF1320" s="81"/>
      <c r="BG1320" s="81"/>
      <c r="BH1320" s="81"/>
      <c r="BI1320" s="81"/>
      <c r="BJ1320" s="81"/>
      <c r="BK1320" s="81"/>
      <c r="BL1320" s="81"/>
      <c r="BM1320" s="81"/>
      <c r="BN1320" s="81"/>
      <c r="BO1320" s="81"/>
      <c r="BP1320" s="81"/>
      <c r="BQ1320" s="81"/>
      <c r="BR1320" s="81"/>
      <c r="BS1320" s="81"/>
      <c r="BT1320" s="81"/>
      <c r="BU1320" s="81"/>
      <c r="BV1320" s="81"/>
      <c r="BW1320" s="81"/>
      <c r="BX1320" s="81"/>
      <c r="BY1320" s="81"/>
      <c r="BZ1320" s="81"/>
      <c r="CA1320" s="81"/>
      <c r="CB1320" s="81"/>
      <c r="CC1320" s="81"/>
      <c r="CD1320" s="81"/>
      <c r="CE1320" s="81"/>
      <c r="CF1320" s="81"/>
      <c r="CG1320" s="81"/>
      <c r="CH1320" s="81"/>
      <c r="CI1320" s="81"/>
      <c r="CJ1320" s="81"/>
      <c r="CK1320" s="81"/>
      <c r="CL1320" s="81"/>
      <c r="CM1320" s="81"/>
      <c r="CN1320" s="81"/>
      <c r="CO1320" s="81"/>
      <c r="CP1320" s="81"/>
      <c r="CQ1320" s="111"/>
      <c r="CT1320" s="81"/>
    </row>
    <row r="1321" spans="48:98" x14ac:dyDescent="0.25">
      <c r="AV1321" s="81"/>
      <c r="AW1321" s="81"/>
      <c r="AX1321" s="81"/>
      <c r="AY1321" s="81"/>
      <c r="BA1321" s="81"/>
      <c r="BB1321" s="81"/>
      <c r="BC1321" s="81"/>
      <c r="BD1321" s="81"/>
      <c r="BE1321" s="81"/>
      <c r="BF1321" s="81"/>
      <c r="BG1321" s="81"/>
      <c r="BH1321" s="81"/>
      <c r="BI1321" s="81"/>
      <c r="BJ1321" s="81"/>
      <c r="BK1321" s="81"/>
      <c r="BL1321" s="81"/>
      <c r="BM1321" s="81"/>
      <c r="BN1321" s="81"/>
      <c r="BO1321" s="81"/>
      <c r="BP1321" s="81"/>
      <c r="BQ1321" s="81"/>
      <c r="BR1321" s="81"/>
      <c r="BS1321" s="81"/>
      <c r="BT1321" s="81"/>
      <c r="BU1321" s="81"/>
      <c r="BV1321" s="81"/>
      <c r="BW1321" s="81"/>
      <c r="BX1321" s="81"/>
      <c r="BY1321" s="81"/>
      <c r="BZ1321" s="81"/>
      <c r="CA1321" s="81"/>
      <c r="CB1321" s="81"/>
      <c r="CC1321" s="81"/>
      <c r="CD1321" s="81"/>
      <c r="CE1321" s="81"/>
      <c r="CF1321" s="81"/>
      <c r="CG1321" s="81"/>
      <c r="CH1321" s="81"/>
      <c r="CI1321" s="81"/>
      <c r="CJ1321" s="81"/>
      <c r="CK1321" s="81"/>
      <c r="CL1321" s="81"/>
      <c r="CM1321" s="81"/>
      <c r="CN1321" s="81"/>
      <c r="CO1321" s="81"/>
      <c r="CP1321" s="81"/>
      <c r="CQ1321" s="111"/>
      <c r="CT1321" s="81"/>
    </row>
    <row r="1322" spans="48:98" x14ac:dyDescent="0.25">
      <c r="AV1322" s="81"/>
      <c r="AW1322" s="81"/>
      <c r="AX1322" s="81"/>
      <c r="AY1322" s="81"/>
      <c r="BA1322" s="81"/>
      <c r="BB1322" s="81"/>
      <c r="BC1322" s="81"/>
      <c r="BD1322" s="81"/>
      <c r="BE1322" s="81"/>
      <c r="BF1322" s="81"/>
      <c r="BG1322" s="81"/>
      <c r="BH1322" s="81"/>
      <c r="BI1322" s="81"/>
      <c r="BJ1322" s="81"/>
      <c r="BK1322" s="81"/>
      <c r="BL1322" s="81"/>
      <c r="BM1322" s="81"/>
      <c r="BN1322" s="81"/>
      <c r="BO1322" s="81"/>
      <c r="BP1322" s="81"/>
      <c r="BQ1322" s="81"/>
      <c r="BR1322" s="81"/>
      <c r="BS1322" s="81"/>
      <c r="BT1322" s="81"/>
      <c r="BU1322" s="81"/>
      <c r="BV1322" s="81"/>
      <c r="BW1322" s="81"/>
      <c r="BX1322" s="81"/>
      <c r="BY1322" s="81"/>
      <c r="BZ1322" s="81"/>
      <c r="CA1322" s="81"/>
      <c r="CB1322" s="81"/>
      <c r="CC1322" s="81"/>
      <c r="CD1322" s="81"/>
      <c r="CE1322" s="81"/>
      <c r="CF1322" s="81"/>
      <c r="CG1322" s="81"/>
      <c r="CH1322" s="81"/>
      <c r="CI1322" s="81"/>
      <c r="CJ1322" s="81"/>
      <c r="CK1322" s="81"/>
      <c r="CL1322" s="81"/>
      <c r="CM1322" s="81"/>
      <c r="CN1322" s="81"/>
      <c r="CO1322" s="81"/>
      <c r="CP1322" s="81"/>
      <c r="CQ1322" s="111"/>
      <c r="CT1322" s="81"/>
    </row>
    <row r="1323" spans="48:98" x14ac:dyDescent="0.25">
      <c r="AV1323" s="81"/>
      <c r="AW1323" s="81"/>
      <c r="AX1323" s="81"/>
      <c r="AY1323" s="81"/>
      <c r="BA1323" s="81"/>
      <c r="BB1323" s="81"/>
      <c r="BC1323" s="81"/>
      <c r="BD1323" s="81"/>
      <c r="BE1323" s="81"/>
      <c r="BF1323" s="81"/>
      <c r="BG1323" s="81"/>
      <c r="BH1323" s="81"/>
      <c r="BI1323" s="81"/>
      <c r="BJ1323" s="81"/>
      <c r="BK1323" s="81"/>
      <c r="BL1323" s="81"/>
      <c r="BM1323" s="81"/>
      <c r="BN1323" s="81"/>
      <c r="BO1323" s="81"/>
      <c r="BP1323" s="81"/>
      <c r="BQ1323" s="81"/>
      <c r="BR1323" s="81"/>
      <c r="BS1323" s="81"/>
      <c r="BT1323" s="81"/>
      <c r="BU1323" s="81"/>
      <c r="BV1323" s="81"/>
      <c r="BW1323" s="81"/>
      <c r="BX1323" s="81"/>
      <c r="BY1323" s="81"/>
      <c r="BZ1323" s="81"/>
      <c r="CA1323" s="81"/>
      <c r="CB1323" s="81"/>
      <c r="CC1323" s="81"/>
      <c r="CD1323" s="81"/>
      <c r="CE1323" s="81"/>
      <c r="CF1323" s="81"/>
      <c r="CG1323" s="81"/>
      <c r="CH1323" s="81"/>
      <c r="CI1323" s="81"/>
      <c r="CJ1323" s="81"/>
      <c r="CK1323" s="81"/>
      <c r="CL1323" s="81"/>
      <c r="CM1323" s="81"/>
      <c r="CN1323" s="81"/>
      <c r="CO1323" s="81"/>
      <c r="CP1323" s="81"/>
      <c r="CQ1323" s="111"/>
      <c r="CT1323" s="81"/>
    </row>
    <row r="1324" spans="48:98" x14ac:dyDescent="0.25">
      <c r="AV1324" s="81"/>
      <c r="AW1324" s="81"/>
      <c r="AX1324" s="81"/>
      <c r="AY1324" s="81"/>
      <c r="BA1324" s="81"/>
      <c r="BB1324" s="81"/>
      <c r="BC1324" s="81"/>
      <c r="BD1324" s="81"/>
      <c r="BE1324" s="81"/>
      <c r="BF1324" s="81"/>
      <c r="BG1324" s="81"/>
      <c r="BH1324" s="81"/>
      <c r="BI1324" s="81"/>
      <c r="BJ1324" s="81"/>
      <c r="BK1324" s="81"/>
      <c r="BL1324" s="81"/>
      <c r="BM1324" s="81"/>
      <c r="BN1324" s="81"/>
      <c r="BO1324" s="81"/>
      <c r="BP1324" s="81"/>
      <c r="BQ1324" s="81"/>
      <c r="BR1324" s="81"/>
      <c r="BS1324" s="81"/>
      <c r="BT1324" s="81"/>
      <c r="BU1324" s="81"/>
      <c r="BV1324" s="81"/>
      <c r="BW1324" s="81"/>
      <c r="BX1324" s="81"/>
      <c r="BY1324" s="81"/>
      <c r="BZ1324" s="81"/>
      <c r="CA1324" s="81"/>
      <c r="CB1324" s="81"/>
      <c r="CC1324" s="81"/>
      <c r="CD1324" s="81"/>
      <c r="CE1324" s="81"/>
      <c r="CF1324" s="81"/>
      <c r="CG1324" s="81"/>
      <c r="CH1324" s="81"/>
      <c r="CI1324" s="81"/>
      <c r="CJ1324" s="81"/>
      <c r="CK1324" s="81"/>
      <c r="CL1324" s="81"/>
      <c r="CM1324" s="81"/>
      <c r="CN1324" s="81"/>
      <c r="CO1324" s="81"/>
      <c r="CP1324" s="81"/>
      <c r="CQ1324" s="111"/>
      <c r="CT1324" s="81"/>
    </row>
    <row r="1325" spans="48:98" x14ac:dyDescent="0.25">
      <c r="CQ1325" s="111"/>
    </row>
    <row r="1326" spans="48:98" x14ac:dyDescent="0.25">
      <c r="CQ1326" s="111"/>
    </row>
    <row r="1327" spans="48:98" x14ac:dyDescent="0.25">
      <c r="CQ1327" s="111"/>
    </row>
    <row r="1328" spans="48:98" x14ac:dyDescent="0.25">
      <c r="CQ1328" s="111"/>
    </row>
    <row r="1329" spans="95:95" x14ac:dyDescent="0.25">
      <c r="CQ1329" s="111"/>
    </row>
    <row r="1330" spans="95:95" x14ac:dyDescent="0.25">
      <c r="CQ1330" s="111"/>
    </row>
    <row r="1331" spans="95:95" x14ac:dyDescent="0.25">
      <c r="CQ1331" s="111"/>
    </row>
    <row r="1332" spans="95:95" x14ac:dyDescent="0.25">
      <c r="CQ1332" s="111"/>
    </row>
    <row r="1333" spans="95:95" x14ac:dyDescent="0.25">
      <c r="CQ1333" s="111"/>
    </row>
    <row r="1334" spans="95:95" x14ac:dyDescent="0.25">
      <c r="CQ1334" s="111"/>
    </row>
    <row r="1335" spans="95:95" x14ac:dyDescent="0.25">
      <c r="CQ1335" s="111"/>
    </row>
    <row r="1336" spans="95:95" x14ac:dyDescent="0.25">
      <c r="CQ1336" s="111"/>
    </row>
    <row r="1337" spans="95:95" x14ac:dyDescent="0.25">
      <c r="CQ1337" s="111"/>
    </row>
    <row r="1338" spans="95:95" x14ac:dyDescent="0.25">
      <c r="CQ1338" s="111"/>
    </row>
    <row r="1339" spans="95:95" x14ac:dyDescent="0.25">
      <c r="CQ1339" s="111"/>
    </row>
    <row r="1340" spans="95:95" x14ac:dyDescent="0.25">
      <c r="CQ1340" s="111"/>
    </row>
    <row r="1341" spans="95:95" x14ac:dyDescent="0.25">
      <c r="CQ1341" s="111"/>
    </row>
    <row r="1342" spans="95:95" x14ac:dyDescent="0.25">
      <c r="CQ1342" s="111"/>
    </row>
    <row r="1343" spans="95:95" x14ac:dyDescent="0.25">
      <c r="CQ1343" s="111"/>
    </row>
    <row r="1344" spans="95:95" x14ac:dyDescent="0.25">
      <c r="CQ1344" s="111"/>
    </row>
    <row r="1345" spans="95:95" x14ac:dyDescent="0.25">
      <c r="CQ1345" s="111"/>
    </row>
    <row r="1346" spans="95:95" x14ac:dyDescent="0.25">
      <c r="CQ1346" s="111"/>
    </row>
    <row r="1347" spans="95:95" x14ac:dyDescent="0.25">
      <c r="CQ1347" s="111"/>
    </row>
    <row r="1348" spans="95:95" x14ac:dyDescent="0.25">
      <c r="CQ1348" s="111"/>
    </row>
    <row r="1349" spans="95:95" x14ac:dyDescent="0.25">
      <c r="CQ1349" s="111"/>
    </row>
    <row r="1350" spans="95:95" x14ac:dyDescent="0.25">
      <c r="CQ1350" s="111"/>
    </row>
    <row r="1351" spans="95:95" x14ac:dyDescent="0.25">
      <c r="CQ1351" s="111"/>
    </row>
    <row r="1352" spans="95:95" x14ac:dyDescent="0.25">
      <c r="CQ1352" s="111"/>
    </row>
    <row r="1353" spans="95:95" x14ac:dyDescent="0.25">
      <c r="CQ1353" s="111"/>
    </row>
    <row r="1354" spans="95:95" x14ac:dyDescent="0.25">
      <c r="CQ1354" s="111"/>
    </row>
    <row r="1355" spans="95:95" x14ac:dyDescent="0.25">
      <c r="CQ1355" s="111"/>
    </row>
    <row r="1356" spans="95:95" x14ac:dyDescent="0.25">
      <c r="CQ1356" s="111"/>
    </row>
    <row r="1357" spans="95:95" x14ac:dyDescent="0.25">
      <c r="CQ1357" s="111"/>
    </row>
    <row r="1358" spans="95:95" x14ac:dyDescent="0.25">
      <c r="CQ1358" s="111"/>
    </row>
    <row r="1359" spans="95:95" x14ac:dyDescent="0.25">
      <c r="CQ1359" s="111"/>
    </row>
    <row r="1360" spans="95:95" x14ac:dyDescent="0.25">
      <c r="CQ1360" s="111"/>
    </row>
    <row r="1361" spans="95:95" x14ac:dyDescent="0.25">
      <c r="CQ1361" s="111"/>
    </row>
    <row r="1362" spans="95:95" x14ac:dyDescent="0.25">
      <c r="CQ1362" s="111"/>
    </row>
    <row r="1363" spans="95:95" x14ac:dyDescent="0.25">
      <c r="CQ1363" s="111"/>
    </row>
    <row r="1364" spans="95:95" x14ac:dyDescent="0.25">
      <c r="CQ1364" s="111"/>
    </row>
    <row r="1365" spans="95:95" x14ac:dyDescent="0.25">
      <c r="CQ1365" s="111"/>
    </row>
    <row r="1366" spans="95:95" x14ac:dyDescent="0.25">
      <c r="CQ1366" s="111"/>
    </row>
    <row r="1367" spans="95:95" x14ac:dyDescent="0.25">
      <c r="CQ1367" s="111"/>
    </row>
    <row r="1368" spans="95:95" x14ac:dyDescent="0.25">
      <c r="CQ1368" s="111"/>
    </row>
    <row r="1369" spans="95:95" x14ac:dyDescent="0.25">
      <c r="CQ1369" s="111"/>
    </row>
    <row r="1370" spans="95:95" x14ac:dyDescent="0.25">
      <c r="CQ1370" s="111"/>
    </row>
    <row r="1371" spans="95:95" x14ac:dyDescent="0.25">
      <c r="CQ1371" s="111"/>
    </row>
    <row r="1372" spans="95:95" x14ac:dyDescent="0.25">
      <c r="CQ1372" s="111"/>
    </row>
    <row r="1373" spans="95:95" x14ac:dyDescent="0.25">
      <c r="CQ1373" s="111"/>
    </row>
    <row r="1374" spans="95:95" x14ac:dyDescent="0.25">
      <c r="CQ1374" s="111"/>
    </row>
    <row r="1375" spans="95:95" x14ac:dyDescent="0.25">
      <c r="CQ1375" s="111"/>
    </row>
    <row r="1376" spans="95:95" x14ac:dyDescent="0.25">
      <c r="CQ1376" s="111"/>
    </row>
    <row r="1377" spans="95:96" x14ac:dyDescent="0.25">
      <c r="CQ1377" s="111"/>
      <c r="CR1377" s="81"/>
    </row>
    <row r="1378" spans="95:96" x14ac:dyDescent="0.25">
      <c r="CQ1378" s="111"/>
      <c r="CR1378" s="81"/>
    </row>
    <row r="1379" spans="95:96" x14ac:dyDescent="0.25">
      <c r="CQ1379" s="111"/>
      <c r="CR1379" s="81"/>
    </row>
    <row r="1380" spans="95:96" x14ac:dyDescent="0.25">
      <c r="CQ1380" s="111"/>
      <c r="CR1380" s="81"/>
    </row>
    <row r="1381" spans="95:96" x14ac:dyDescent="0.25">
      <c r="CQ1381" s="111"/>
      <c r="CR1381" s="81"/>
    </row>
    <row r="1382" spans="95:96" x14ac:dyDescent="0.25">
      <c r="CQ1382" s="111"/>
      <c r="CR1382" s="81"/>
    </row>
    <row r="1383" spans="95:96" x14ac:dyDescent="0.25">
      <c r="CQ1383" s="111"/>
      <c r="CR1383" s="81"/>
    </row>
    <row r="1384" spans="95:96" x14ac:dyDescent="0.25">
      <c r="CQ1384" s="111"/>
      <c r="CR1384" s="81"/>
    </row>
    <row r="1385" spans="95:96" x14ac:dyDescent="0.25">
      <c r="CQ1385" s="111"/>
      <c r="CR1385" s="81"/>
    </row>
    <row r="1386" spans="95:96" x14ac:dyDescent="0.25">
      <c r="CQ1386" s="111"/>
      <c r="CR1386" s="81"/>
    </row>
    <row r="1387" spans="95:96" x14ac:dyDescent="0.25">
      <c r="CQ1387" s="111"/>
      <c r="CR1387" s="81"/>
    </row>
    <row r="1388" spans="95:96" x14ac:dyDescent="0.25">
      <c r="CQ1388" s="111"/>
      <c r="CR1388" s="81"/>
    </row>
    <row r="1389" spans="95:96" x14ac:dyDescent="0.25">
      <c r="CQ1389" s="111"/>
      <c r="CR1389" s="81"/>
    </row>
    <row r="1390" spans="95:96" x14ac:dyDescent="0.25">
      <c r="CQ1390" s="111"/>
      <c r="CR1390" s="81"/>
    </row>
    <row r="1391" spans="95:96" x14ac:dyDescent="0.25">
      <c r="CQ1391" s="111"/>
      <c r="CR1391" s="81"/>
    </row>
    <row r="1392" spans="95:96" x14ac:dyDescent="0.25">
      <c r="CQ1392" s="111"/>
      <c r="CR1392" s="81"/>
    </row>
    <row r="1393" spans="95:96" x14ac:dyDescent="0.25">
      <c r="CQ1393" s="111"/>
      <c r="CR1393" s="81"/>
    </row>
    <row r="1394" spans="95:96" x14ac:dyDescent="0.25">
      <c r="CQ1394" s="111"/>
      <c r="CR1394" s="81"/>
    </row>
    <row r="1395" spans="95:96" x14ac:dyDescent="0.25">
      <c r="CQ1395" s="111"/>
      <c r="CR1395" s="81"/>
    </row>
    <row r="1396" spans="95:96" x14ac:dyDescent="0.25">
      <c r="CQ1396" s="111"/>
      <c r="CR1396" s="81"/>
    </row>
    <row r="1397" spans="95:96" x14ac:dyDescent="0.25">
      <c r="CQ1397" s="111"/>
      <c r="CR1397" s="81"/>
    </row>
    <row r="1398" spans="95:96" x14ac:dyDescent="0.25">
      <c r="CQ1398" s="111"/>
      <c r="CR1398" s="81"/>
    </row>
    <row r="1399" spans="95:96" x14ac:dyDescent="0.25">
      <c r="CQ1399" s="111"/>
      <c r="CR1399" s="81"/>
    </row>
    <row r="1400" spans="95:96" x14ac:dyDescent="0.25">
      <c r="CQ1400" s="111"/>
      <c r="CR1400" s="81"/>
    </row>
    <row r="1401" spans="95:96" x14ac:dyDescent="0.25">
      <c r="CQ1401" s="111"/>
      <c r="CR1401" s="81"/>
    </row>
    <row r="1402" spans="95:96" x14ac:dyDescent="0.25">
      <c r="CQ1402" s="111"/>
      <c r="CR1402" s="81"/>
    </row>
    <row r="1403" spans="95:96" x14ac:dyDescent="0.25">
      <c r="CQ1403" s="111"/>
      <c r="CR1403" s="81"/>
    </row>
    <row r="1404" spans="95:96" x14ac:dyDescent="0.25">
      <c r="CQ1404" s="111"/>
      <c r="CR1404" s="81"/>
    </row>
    <row r="1405" spans="95:96" x14ac:dyDescent="0.25">
      <c r="CQ1405" s="111"/>
      <c r="CR1405" s="81"/>
    </row>
    <row r="1406" spans="95:96" x14ac:dyDescent="0.25">
      <c r="CQ1406" s="111"/>
      <c r="CR1406" s="81"/>
    </row>
    <row r="1407" spans="95:96" x14ac:dyDescent="0.25">
      <c r="CQ1407" s="111"/>
      <c r="CR1407" s="81"/>
    </row>
    <row r="1408" spans="95:96" x14ac:dyDescent="0.25">
      <c r="CQ1408" s="111"/>
      <c r="CR1408" s="81"/>
    </row>
    <row r="1409" spans="95:96" x14ac:dyDescent="0.25">
      <c r="CQ1409" s="111"/>
      <c r="CR1409" s="81"/>
    </row>
    <row r="1410" spans="95:96" x14ac:dyDescent="0.25">
      <c r="CQ1410" s="111"/>
      <c r="CR1410" s="81"/>
    </row>
    <row r="1411" spans="95:96" x14ac:dyDescent="0.25">
      <c r="CQ1411" s="111"/>
      <c r="CR1411" s="81"/>
    </row>
    <row r="1412" spans="95:96" x14ac:dyDescent="0.25">
      <c r="CQ1412" s="111"/>
      <c r="CR1412" s="81"/>
    </row>
    <row r="1413" spans="95:96" x14ac:dyDescent="0.25">
      <c r="CQ1413" s="111"/>
      <c r="CR1413" s="81"/>
    </row>
    <row r="1414" spans="95:96" x14ac:dyDescent="0.25">
      <c r="CQ1414" s="111"/>
      <c r="CR1414" s="81"/>
    </row>
    <row r="1415" spans="95:96" x14ac:dyDescent="0.25">
      <c r="CQ1415" s="111"/>
      <c r="CR1415" s="81"/>
    </row>
    <row r="1416" spans="95:96" x14ac:dyDescent="0.25">
      <c r="CQ1416" s="111"/>
      <c r="CR1416" s="81"/>
    </row>
    <row r="1417" spans="95:96" x14ac:dyDescent="0.25">
      <c r="CQ1417" s="111"/>
      <c r="CR1417" s="81"/>
    </row>
    <row r="1418" spans="95:96" x14ac:dyDescent="0.25">
      <c r="CQ1418" s="111"/>
      <c r="CR1418" s="81"/>
    </row>
    <row r="1419" spans="95:96" x14ac:dyDescent="0.25">
      <c r="CQ1419" s="111"/>
      <c r="CR1419" s="81"/>
    </row>
    <row r="1420" spans="95:96" x14ac:dyDescent="0.25">
      <c r="CQ1420" s="111"/>
      <c r="CR1420" s="81"/>
    </row>
    <row r="1421" spans="95:96" x14ac:dyDescent="0.25">
      <c r="CQ1421" s="111"/>
      <c r="CR1421" s="81"/>
    </row>
    <row r="1422" spans="95:96" x14ac:dyDescent="0.25">
      <c r="CQ1422" s="111"/>
      <c r="CR1422" s="81"/>
    </row>
    <row r="1423" spans="95:96" x14ac:dyDescent="0.25">
      <c r="CQ1423" s="111"/>
      <c r="CR1423" s="81"/>
    </row>
    <row r="1424" spans="95:96" x14ac:dyDescent="0.25">
      <c r="CQ1424" s="111"/>
      <c r="CR1424" s="81"/>
    </row>
    <row r="1425" spans="95:96" x14ac:dyDescent="0.25">
      <c r="CQ1425" s="111"/>
      <c r="CR1425" s="81"/>
    </row>
    <row r="1426" spans="95:96" x14ac:dyDescent="0.25">
      <c r="CQ1426" s="111"/>
      <c r="CR1426" s="81"/>
    </row>
    <row r="1427" spans="95:96" x14ac:dyDescent="0.25">
      <c r="CQ1427" s="111"/>
      <c r="CR1427" s="81"/>
    </row>
    <row r="1428" spans="95:96" x14ac:dyDescent="0.25">
      <c r="CQ1428" s="111"/>
      <c r="CR1428" s="81"/>
    </row>
    <row r="1429" spans="95:96" x14ac:dyDescent="0.25">
      <c r="CQ1429" s="111"/>
      <c r="CR1429" s="81"/>
    </row>
    <row r="1430" spans="95:96" x14ac:dyDescent="0.25">
      <c r="CQ1430" s="111"/>
      <c r="CR1430" s="81"/>
    </row>
    <row r="1431" spans="95:96" x14ac:dyDescent="0.25">
      <c r="CQ1431" s="111"/>
      <c r="CR1431" s="81"/>
    </row>
    <row r="1432" spans="95:96" x14ac:dyDescent="0.25">
      <c r="CQ1432" s="111"/>
      <c r="CR1432" s="81"/>
    </row>
    <row r="1433" spans="95:96" x14ac:dyDescent="0.25">
      <c r="CQ1433" s="111"/>
      <c r="CR1433" s="81"/>
    </row>
    <row r="1434" spans="95:96" x14ac:dyDescent="0.25">
      <c r="CQ1434" s="111"/>
      <c r="CR1434" s="81"/>
    </row>
    <row r="1435" spans="95:96" x14ac:dyDescent="0.25">
      <c r="CQ1435" s="111"/>
      <c r="CR1435" s="81"/>
    </row>
    <row r="1436" spans="95:96" x14ac:dyDescent="0.25">
      <c r="CQ1436" s="111"/>
      <c r="CR1436" s="81"/>
    </row>
    <row r="1437" spans="95:96" x14ac:dyDescent="0.25">
      <c r="CQ1437" s="111"/>
      <c r="CR1437" s="81"/>
    </row>
    <row r="1438" spans="95:96" x14ac:dyDescent="0.25">
      <c r="CQ1438" s="111"/>
      <c r="CR1438" s="81"/>
    </row>
    <row r="1439" spans="95:96" x14ac:dyDescent="0.25">
      <c r="CQ1439" s="111"/>
      <c r="CR1439" s="81"/>
    </row>
    <row r="1440" spans="95:96" x14ac:dyDescent="0.25">
      <c r="CQ1440" s="111"/>
      <c r="CR1440" s="81"/>
    </row>
    <row r="1441" spans="95:96" x14ac:dyDescent="0.25">
      <c r="CQ1441" s="111"/>
      <c r="CR1441" s="81"/>
    </row>
    <row r="1442" spans="95:96" x14ac:dyDescent="0.25">
      <c r="CQ1442" s="111"/>
      <c r="CR1442" s="81"/>
    </row>
    <row r="1443" spans="95:96" x14ac:dyDescent="0.25">
      <c r="CQ1443" s="111"/>
      <c r="CR1443" s="81"/>
    </row>
    <row r="1444" spans="95:96" x14ac:dyDescent="0.25">
      <c r="CQ1444" s="111"/>
      <c r="CR1444" s="81"/>
    </row>
    <row r="1445" spans="95:96" x14ac:dyDescent="0.25">
      <c r="CQ1445" s="111"/>
      <c r="CR1445" s="81"/>
    </row>
    <row r="1446" spans="95:96" x14ac:dyDescent="0.25">
      <c r="CQ1446" s="111"/>
      <c r="CR1446" s="81"/>
    </row>
    <row r="1447" spans="95:96" x14ac:dyDescent="0.25">
      <c r="CQ1447" s="111"/>
      <c r="CR1447" s="81"/>
    </row>
    <row r="1448" spans="95:96" x14ac:dyDescent="0.25">
      <c r="CQ1448" s="111"/>
      <c r="CR1448" s="81"/>
    </row>
    <row r="1449" spans="95:96" x14ac:dyDescent="0.25">
      <c r="CQ1449" s="111"/>
      <c r="CR1449" s="81"/>
    </row>
    <row r="1450" spans="95:96" x14ac:dyDescent="0.25">
      <c r="CQ1450" s="111"/>
      <c r="CR1450" s="81"/>
    </row>
    <row r="1451" spans="95:96" x14ac:dyDescent="0.25">
      <c r="CQ1451" s="111"/>
      <c r="CR1451" s="81"/>
    </row>
    <row r="1452" spans="95:96" x14ac:dyDescent="0.25">
      <c r="CQ1452" s="111"/>
      <c r="CR1452" s="81"/>
    </row>
    <row r="1453" spans="95:96" x14ac:dyDescent="0.25">
      <c r="CQ1453" s="111"/>
      <c r="CR1453" s="81"/>
    </row>
    <row r="1454" spans="95:96" x14ac:dyDescent="0.25">
      <c r="CQ1454" s="111"/>
      <c r="CR1454" s="81"/>
    </row>
    <row r="1455" spans="95:96" x14ac:dyDescent="0.25">
      <c r="CQ1455" s="111"/>
      <c r="CR1455" s="81"/>
    </row>
    <row r="1456" spans="95:96" x14ac:dyDescent="0.25">
      <c r="CQ1456" s="111"/>
      <c r="CR1456" s="81"/>
    </row>
    <row r="1457" spans="95:96" x14ac:dyDescent="0.25">
      <c r="CQ1457" s="111"/>
      <c r="CR1457" s="81"/>
    </row>
    <row r="1458" spans="95:96" x14ac:dyDescent="0.25">
      <c r="CQ1458" s="111"/>
      <c r="CR1458" s="81"/>
    </row>
    <row r="1459" spans="95:96" x14ac:dyDescent="0.25">
      <c r="CQ1459" s="111"/>
      <c r="CR1459" s="81"/>
    </row>
    <row r="1460" spans="95:96" x14ac:dyDescent="0.25">
      <c r="CQ1460" s="111"/>
      <c r="CR1460" s="81"/>
    </row>
    <row r="1461" spans="95:96" x14ac:dyDescent="0.25">
      <c r="CQ1461" s="111"/>
      <c r="CR1461" s="81"/>
    </row>
    <row r="1462" spans="95:96" x14ac:dyDescent="0.25">
      <c r="CQ1462" s="111"/>
      <c r="CR1462" s="81"/>
    </row>
    <row r="1463" spans="95:96" x14ac:dyDescent="0.25">
      <c r="CQ1463" s="111"/>
      <c r="CR1463" s="81"/>
    </row>
    <row r="1464" spans="95:96" x14ac:dyDescent="0.25">
      <c r="CQ1464" s="111"/>
      <c r="CR1464" s="81"/>
    </row>
    <row r="1465" spans="95:96" x14ac:dyDescent="0.25">
      <c r="CQ1465" s="111"/>
      <c r="CR1465" s="81"/>
    </row>
    <row r="1466" spans="95:96" x14ac:dyDescent="0.25">
      <c r="CQ1466" s="111"/>
      <c r="CR1466" s="81"/>
    </row>
    <row r="1467" spans="95:96" x14ac:dyDescent="0.25">
      <c r="CQ1467" s="111"/>
      <c r="CR1467" s="81"/>
    </row>
    <row r="1468" spans="95:96" x14ac:dyDescent="0.25">
      <c r="CQ1468" s="111"/>
      <c r="CR1468" s="81"/>
    </row>
    <row r="1469" spans="95:96" x14ac:dyDescent="0.25">
      <c r="CQ1469" s="111"/>
      <c r="CR1469" s="81"/>
    </row>
    <row r="1470" spans="95:96" x14ac:dyDescent="0.25">
      <c r="CQ1470" s="111"/>
      <c r="CR1470" s="81"/>
    </row>
    <row r="1471" spans="95:96" x14ac:dyDescent="0.25">
      <c r="CQ1471" s="111"/>
      <c r="CR1471" s="81"/>
    </row>
    <row r="1472" spans="95:96" x14ac:dyDescent="0.25">
      <c r="CQ1472" s="111"/>
      <c r="CR1472" s="81"/>
    </row>
    <row r="1473" spans="95:96" x14ac:dyDescent="0.25">
      <c r="CQ1473" s="111"/>
      <c r="CR1473" s="81"/>
    </row>
    <row r="1474" spans="95:96" x14ac:dyDescent="0.25">
      <c r="CQ1474" s="111"/>
      <c r="CR1474" s="81"/>
    </row>
    <row r="1475" spans="95:96" x14ac:dyDescent="0.25">
      <c r="CQ1475" s="111"/>
      <c r="CR1475" s="81"/>
    </row>
    <row r="1476" spans="95:96" x14ac:dyDescent="0.25">
      <c r="CQ1476" s="111"/>
      <c r="CR1476" s="81"/>
    </row>
    <row r="1477" spans="95:96" x14ac:dyDescent="0.25">
      <c r="CQ1477" s="111"/>
      <c r="CR1477" s="81"/>
    </row>
    <row r="1478" spans="95:96" x14ac:dyDescent="0.25">
      <c r="CQ1478" s="111"/>
      <c r="CR1478" s="81"/>
    </row>
    <row r="1479" spans="95:96" x14ac:dyDescent="0.25">
      <c r="CQ1479" s="111"/>
      <c r="CR1479" s="81"/>
    </row>
    <row r="1480" spans="95:96" x14ac:dyDescent="0.25">
      <c r="CQ1480" s="111"/>
      <c r="CR1480" s="81"/>
    </row>
    <row r="1481" spans="95:96" x14ac:dyDescent="0.25">
      <c r="CQ1481" s="111"/>
      <c r="CR1481" s="81"/>
    </row>
    <row r="1482" spans="95:96" x14ac:dyDescent="0.25">
      <c r="CQ1482" s="111"/>
      <c r="CR1482" s="81"/>
    </row>
    <row r="1483" spans="95:96" x14ac:dyDescent="0.25">
      <c r="CQ1483" s="111"/>
      <c r="CR1483" s="81"/>
    </row>
    <row r="1484" spans="95:96" x14ac:dyDescent="0.25">
      <c r="CQ1484" s="111"/>
      <c r="CR1484" s="81"/>
    </row>
    <row r="1485" spans="95:96" x14ac:dyDescent="0.25">
      <c r="CQ1485" s="111"/>
      <c r="CR1485" s="81"/>
    </row>
    <row r="1486" spans="95:96" x14ac:dyDescent="0.25">
      <c r="CQ1486" s="111"/>
      <c r="CR1486" s="81"/>
    </row>
    <row r="1487" spans="95:96" x14ac:dyDescent="0.25">
      <c r="CQ1487" s="111"/>
      <c r="CR1487" s="81"/>
    </row>
    <row r="1488" spans="95:96" x14ac:dyDescent="0.25">
      <c r="CQ1488" s="111"/>
      <c r="CR1488" s="81"/>
    </row>
    <row r="1489" spans="95:96" x14ac:dyDescent="0.25">
      <c r="CQ1489" s="111"/>
      <c r="CR1489" s="81"/>
    </row>
    <row r="1490" spans="95:96" x14ac:dyDescent="0.25">
      <c r="CQ1490" s="111"/>
      <c r="CR1490" s="81"/>
    </row>
    <row r="1491" spans="95:96" x14ac:dyDescent="0.25">
      <c r="CQ1491" s="111"/>
      <c r="CR1491" s="81"/>
    </row>
    <row r="1492" spans="95:96" x14ac:dyDescent="0.25">
      <c r="CQ1492" s="111"/>
      <c r="CR1492" s="81"/>
    </row>
    <row r="1493" spans="95:96" x14ac:dyDescent="0.25">
      <c r="CQ1493" s="111"/>
      <c r="CR1493" s="81"/>
    </row>
    <row r="1494" spans="95:96" x14ac:dyDescent="0.25">
      <c r="CQ1494" s="111"/>
      <c r="CR1494" s="81"/>
    </row>
    <row r="1495" spans="95:96" x14ac:dyDescent="0.25">
      <c r="CQ1495" s="111"/>
      <c r="CR1495" s="81"/>
    </row>
    <row r="1496" spans="95:96" x14ac:dyDescent="0.25">
      <c r="CQ1496" s="111"/>
      <c r="CR1496" s="81"/>
    </row>
    <row r="1497" spans="95:96" x14ac:dyDescent="0.25">
      <c r="CQ1497" s="111"/>
      <c r="CR1497" s="81"/>
    </row>
    <row r="1498" spans="95:96" x14ac:dyDescent="0.25">
      <c r="CQ1498" s="111"/>
      <c r="CR1498" s="81"/>
    </row>
    <row r="1499" spans="95:96" x14ac:dyDescent="0.25">
      <c r="CQ1499" s="111"/>
      <c r="CR1499" s="81"/>
    </row>
    <row r="1500" spans="95:96" x14ac:dyDescent="0.25">
      <c r="CQ1500" s="111"/>
      <c r="CR1500" s="81"/>
    </row>
    <row r="1501" spans="95:96" x14ac:dyDescent="0.25">
      <c r="CQ1501" s="111"/>
      <c r="CR1501" s="81"/>
    </row>
    <row r="1502" spans="95:96" x14ac:dyDescent="0.25">
      <c r="CQ1502" s="111"/>
      <c r="CR1502" s="81"/>
    </row>
    <row r="1503" spans="95:96" x14ac:dyDescent="0.25">
      <c r="CQ1503" s="111"/>
      <c r="CR1503" s="81"/>
    </row>
    <row r="1504" spans="95:96" x14ac:dyDescent="0.25">
      <c r="CQ1504" s="111"/>
      <c r="CR1504" s="81"/>
    </row>
    <row r="1505" spans="95:96" x14ac:dyDescent="0.25">
      <c r="CQ1505" s="111"/>
      <c r="CR1505" s="81"/>
    </row>
    <row r="1506" spans="95:96" x14ac:dyDescent="0.25">
      <c r="CQ1506" s="111"/>
      <c r="CR1506" s="81"/>
    </row>
    <row r="1507" spans="95:96" x14ac:dyDescent="0.25">
      <c r="CQ1507" s="111"/>
      <c r="CR1507" s="81"/>
    </row>
    <row r="1508" spans="95:96" x14ac:dyDescent="0.25">
      <c r="CQ1508" s="111"/>
      <c r="CR1508" s="81"/>
    </row>
    <row r="1509" spans="95:96" x14ac:dyDescent="0.25">
      <c r="CQ1509" s="111"/>
      <c r="CR1509" s="81"/>
    </row>
    <row r="1510" spans="95:96" x14ac:dyDescent="0.25">
      <c r="CQ1510" s="111"/>
      <c r="CR1510" s="81"/>
    </row>
    <row r="1511" spans="95:96" x14ac:dyDescent="0.25">
      <c r="CQ1511" s="111"/>
      <c r="CR1511" s="81"/>
    </row>
    <row r="1512" spans="95:96" x14ac:dyDescent="0.25">
      <c r="CQ1512" s="111"/>
      <c r="CR1512" s="81"/>
    </row>
    <row r="1513" spans="95:96" x14ac:dyDescent="0.25">
      <c r="CQ1513" s="111"/>
      <c r="CR1513" s="81"/>
    </row>
    <row r="1514" spans="95:96" x14ac:dyDescent="0.25">
      <c r="CQ1514" s="111"/>
      <c r="CR1514" s="81"/>
    </row>
    <row r="1515" spans="95:96" x14ac:dyDescent="0.25">
      <c r="CQ1515" s="111"/>
      <c r="CR1515" s="81"/>
    </row>
    <row r="1516" spans="95:96" x14ac:dyDescent="0.25">
      <c r="CQ1516" s="111"/>
      <c r="CR1516" s="81"/>
    </row>
    <row r="1517" spans="95:96" x14ac:dyDescent="0.25">
      <c r="CQ1517" s="111"/>
      <c r="CR1517" s="81"/>
    </row>
    <row r="1518" spans="95:96" x14ac:dyDescent="0.25">
      <c r="CQ1518" s="111"/>
      <c r="CR1518" s="81"/>
    </row>
    <row r="1519" spans="95:96" x14ac:dyDescent="0.25">
      <c r="CQ1519" s="111"/>
      <c r="CR1519" s="81"/>
    </row>
    <row r="1520" spans="95:96" x14ac:dyDescent="0.25">
      <c r="CQ1520" s="111"/>
      <c r="CR1520" s="81"/>
    </row>
    <row r="1521" spans="95:96" x14ac:dyDescent="0.25">
      <c r="CQ1521" s="111"/>
      <c r="CR1521" s="81"/>
    </row>
    <row r="1522" spans="95:96" x14ac:dyDescent="0.25">
      <c r="CQ1522" s="111"/>
      <c r="CR1522" s="81"/>
    </row>
    <row r="1523" spans="95:96" x14ac:dyDescent="0.25">
      <c r="CQ1523" s="111"/>
      <c r="CR1523" s="81"/>
    </row>
    <row r="1524" spans="95:96" x14ac:dyDescent="0.25">
      <c r="CQ1524" s="111"/>
      <c r="CR1524" s="81"/>
    </row>
    <row r="1525" spans="95:96" x14ac:dyDescent="0.25">
      <c r="CQ1525" s="111"/>
      <c r="CR1525" s="81"/>
    </row>
    <row r="1526" spans="95:96" x14ac:dyDescent="0.25">
      <c r="CQ1526" s="111"/>
      <c r="CR1526" s="81"/>
    </row>
    <row r="1527" spans="95:96" x14ac:dyDescent="0.25">
      <c r="CQ1527" s="111"/>
      <c r="CR1527" s="81"/>
    </row>
    <row r="1528" spans="95:96" x14ac:dyDescent="0.25">
      <c r="CQ1528" s="111"/>
      <c r="CR1528" s="81"/>
    </row>
    <row r="1529" spans="95:96" x14ac:dyDescent="0.25">
      <c r="CQ1529" s="111"/>
      <c r="CR1529" s="81"/>
    </row>
    <row r="1530" spans="95:96" x14ac:dyDescent="0.25">
      <c r="CQ1530" s="111"/>
      <c r="CR1530" s="81"/>
    </row>
    <row r="1531" spans="95:96" x14ac:dyDescent="0.25">
      <c r="CQ1531" s="111"/>
      <c r="CR1531" s="81"/>
    </row>
    <row r="1532" spans="95:96" x14ac:dyDescent="0.25">
      <c r="CQ1532" s="111"/>
      <c r="CR1532" s="81"/>
    </row>
    <row r="1533" spans="95:96" x14ac:dyDescent="0.25">
      <c r="CQ1533" s="111"/>
      <c r="CR1533" s="81"/>
    </row>
    <row r="1534" spans="95:96" x14ac:dyDescent="0.25">
      <c r="CQ1534" s="111"/>
      <c r="CR1534" s="81"/>
    </row>
    <row r="1535" spans="95:96" x14ac:dyDescent="0.25">
      <c r="CQ1535" s="111"/>
      <c r="CR1535" s="81"/>
    </row>
    <row r="1536" spans="95:96" x14ac:dyDescent="0.25">
      <c r="CQ1536" s="111"/>
      <c r="CR1536" s="81"/>
    </row>
    <row r="1537" spans="95:96" x14ac:dyDescent="0.25">
      <c r="CQ1537" s="111"/>
      <c r="CR1537" s="81"/>
    </row>
    <row r="1538" spans="95:96" x14ac:dyDescent="0.25">
      <c r="CQ1538" s="111"/>
      <c r="CR1538" s="81"/>
    </row>
    <row r="1539" spans="95:96" x14ac:dyDescent="0.25">
      <c r="CQ1539" s="111"/>
      <c r="CR1539" s="81"/>
    </row>
    <row r="1540" spans="95:96" x14ac:dyDescent="0.25">
      <c r="CQ1540" s="111"/>
      <c r="CR1540" s="81"/>
    </row>
    <row r="1541" spans="95:96" x14ac:dyDescent="0.25">
      <c r="CQ1541" s="111"/>
      <c r="CR1541" s="81"/>
    </row>
    <row r="1542" spans="95:96" x14ac:dyDescent="0.25">
      <c r="CQ1542" s="111"/>
      <c r="CR1542" s="81"/>
    </row>
    <row r="1543" spans="95:96" x14ac:dyDescent="0.25">
      <c r="CQ1543" s="111"/>
      <c r="CR1543" s="81"/>
    </row>
    <row r="1544" spans="95:96" x14ac:dyDescent="0.25">
      <c r="CQ1544" s="111"/>
      <c r="CR1544" s="81"/>
    </row>
    <row r="1545" spans="95:96" x14ac:dyDescent="0.25">
      <c r="CQ1545" s="111"/>
      <c r="CR1545" s="81"/>
    </row>
    <row r="1546" spans="95:96" x14ac:dyDescent="0.25">
      <c r="CQ1546" s="111"/>
      <c r="CR1546" s="81"/>
    </row>
    <row r="1547" spans="95:96" x14ac:dyDescent="0.25">
      <c r="CQ1547" s="111"/>
      <c r="CR1547" s="81"/>
    </row>
    <row r="1548" spans="95:96" x14ac:dyDescent="0.25">
      <c r="CQ1548" s="111"/>
      <c r="CR1548" s="81"/>
    </row>
    <row r="1549" spans="95:96" x14ac:dyDescent="0.25">
      <c r="CQ1549" s="111"/>
      <c r="CR1549" s="81"/>
    </row>
    <row r="1550" spans="95:96" x14ac:dyDescent="0.25">
      <c r="CQ1550" s="111"/>
      <c r="CR1550" s="81"/>
    </row>
    <row r="1551" spans="95:96" x14ac:dyDescent="0.25">
      <c r="CQ1551" s="111"/>
      <c r="CR1551" s="81"/>
    </row>
    <row r="1552" spans="95:96" x14ac:dyDescent="0.25">
      <c r="CQ1552" s="111"/>
      <c r="CR1552" s="81"/>
    </row>
    <row r="1553" spans="95:96" x14ac:dyDescent="0.25">
      <c r="CQ1553" s="111"/>
      <c r="CR1553" s="81"/>
    </row>
    <row r="1554" spans="95:96" x14ac:dyDescent="0.25">
      <c r="CQ1554" s="111"/>
      <c r="CR1554" s="81"/>
    </row>
    <row r="1555" spans="95:96" x14ac:dyDescent="0.25">
      <c r="CQ1555" s="111"/>
      <c r="CR1555" s="81"/>
    </row>
    <row r="1556" spans="95:96" x14ac:dyDescent="0.25">
      <c r="CQ1556" s="111"/>
      <c r="CR1556" s="81"/>
    </row>
    <row r="1557" spans="95:96" x14ac:dyDescent="0.25">
      <c r="CQ1557" s="111"/>
      <c r="CR1557" s="81"/>
    </row>
    <row r="1558" spans="95:96" x14ac:dyDescent="0.25">
      <c r="CQ1558" s="111"/>
      <c r="CR1558" s="81"/>
    </row>
    <row r="1559" spans="95:96" x14ac:dyDescent="0.25">
      <c r="CQ1559" s="111"/>
      <c r="CR1559" s="81"/>
    </row>
    <row r="1560" spans="95:96" x14ac:dyDescent="0.25">
      <c r="CQ1560" s="111"/>
      <c r="CR1560" s="81"/>
    </row>
    <row r="1561" spans="95:96" x14ac:dyDescent="0.25">
      <c r="CQ1561" s="111"/>
      <c r="CR1561" s="81"/>
    </row>
    <row r="1562" spans="95:96" x14ac:dyDescent="0.25">
      <c r="CQ1562" s="111"/>
      <c r="CR1562" s="81"/>
    </row>
    <row r="1563" spans="95:96" x14ac:dyDescent="0.25">
      <c r="CQ1563" s="111"/>
      <c r="CR1563" s="81"/>
    </row>
    <row r="1564" spans="95:96" x14ac:dyDescent="0.25">
      <c r="CQ1564" s="111"/>
      <c r="CR1564" s="81"/>
    </row>
    <row r="1565" spans="95:96" x14ac:dyDescent="0.25">
      <c r="CQ1565" s="111"/>
      <c r="CR1565" s="81"/>
    </row>
    <row r="1566" spans="95:96" x14ac:dyDescent="0.25">
      <c r="CQ1566" s="111"/>
      <c r="CR1566" s="81"/>
    </row>
    <row r="1567" spans="95:96" x14ac:dyDescent="0.25">
      <c r="CQ1567" s="111"/>
      <c r="CR1567" s="81"/>
    </row>
    <row r="1568" spans="95:96" x14ac:dyDescent="0.25">
      <c r="CQ1568" s="111"/>
      <c r="CR1568" s="81"/>
    </row>
    <row r="1569" spans="95:96" x14ac:dyDescent="0.25">
      <c r="CQ1569" s="111"/>
      <c r="CR1569" s="81"/>
    </row>
    <row r="1570" spans="95:96" x14ac:dyDescent="0.25">
      <c r="CQ1570" s="111"/>
      <c r="CR1570" s="81"/>
    </row>
    <row r="1571" spans="95:96" x14ac:dyDescent="0.25">
      <c r="CQ1571" s="111"/>
      <c r="CR1571" s="81"/>
    </row>
    <row r="1572" spans="95:96" x14ac:dyDescent="0.25">
      <c r="CQ1572" s="111"/>
      <c r="CR1572" s="81"/>
    </row>
    <row r="1573" spans="95:96" x14ac:dyDescent="0.25">
      <c r="CQ1573" s="111"/>
      <c r="CR1573" s="81"/>
    </row>
    <row r="1574" spans="95:96" x14ac:dyDescent="0.25">
      <c r="CQ1574" s="111"/>
      <c r="CR1574" s="81"/>
    </row>
    <row r="1575" spans="95:96" x14ac:dyDescent="0.25">
      <c r="CQ1575" s="111"/>
      <c r="CR1575" s="81"/>
    </row>
    <row r="1576" spans="95:96" x14ac:dyDescent="0.25">
      <c r="CQ1576" s="111"/>
      <c r="CR1576" s="81"/>
    </row>
    <row r="1577" spans="95:96" x14ac:dyDescent="0.25">
      <c r="CQ1577" s="111"/>
      <c r="CR1577" s="81"/>
    </row>
    <row r="1578" spans="95:96" x14ac:dyDescent="0.25">
      <c r="CQ1578" s="111"/>
      <c r="CR1578" s="81"/>
    </row>
    <row r="1579" spans="95:96" x14ac:dyDescent="0.25">
      <c r="CQ1579" s="111"/>
      <c r="CR1579" s="81"/>
    </row>
    <row r="1580" spans="95:96" x14ac:dyDescent="0.25">
      <c r="CQ1580" s="111"/>
      <c r="CR1580" s="81"/>
    </row>
    <row r="1581" spans="95:96" x14ac:dyDescent="0.25">
      <c r="CQ1581" s="111"/>
      <c r="CR1581" s="81"/>
    </row>
    <row r="1582" spans="95:96" x14ac:dyDescent="0.25">
      <c r="CQ1582" s="111"/>
      <c r="CR1582" s="81"/>
    </row>
    <row r="1583" spans="95:96" x14ac:dyDescent="0.25">
      <c r="CQ1583" s="111"/>
      <c r="CR1583" s="81"/>
    </row>
    <row r="1584" spans="95:96" x14ac:dyDescent="0.25">
      <c r="CQ1584" s="111"/>
      <c r="CR1584" s="81"/>
    </row>
    <row r="1585" spans="95:96" x14ac:dyDescent="0.25">
      <c r="CQ1585" s="111"/>
      <c r="CR1585" s="81"/>
    </row>
    <row r="1586" spans="95:96" x14ac:dyDescent="0.25">
      <c r="CQ1586" s="111"/>
      <c r="CR1586" s="81"/>
    </row>
    <row r="1587" spans="95:96" x14ac:dyDescent="0.25">
      <c r="CQ1587" s="111"/>
      <c r="CR1587" s="81"/>
    </row>
    <row r="1588" spans="95:96" x14ac:dyDescent="0.25">
      <c r="CQ1588" s="111"/>
      <c r="CR1588" s="81"/>
    </row>
    <row r="1589" spans="95:96" x14ac:dyDescent="0.25">
      <c r="CQ1589" s="111"/>
      <c r="CR1589" s="81"/>
    </row>
    <row r="1590" spans="95:96" x14ac:dyDescent="0.25">
      <c r="CQ1590" s="111"/>
      <c r="CR1590" s="81"/>
    </row>
    <row r="1591" spans="95:96" x14ac:dyDescent="0.25">
      <c r="CQ1591" s="111"/>
      <c r="CR1591" s="81"/>
    </row>
    <row r="1592" spans="95:96" x14ac:dyDescent="0.25">
      <c r="CQ1592" s="111"/>
      <c r="CR1592" s="81"/>
    </row>
    <row r="1593" spans="95:96" x14ac:dyDescent="0.25">
      <c r="CQ1593" s="111"/>
      <c r="CR1593" s="81"/>
    </row>
    <row r="1594" spans="95:96" x14ac:dyDescent="0.25">
      <c r="CQ1594" s="111"/>
      <c r="CR1594" s="81"/>
    </row>
    <row r="1595" spans="95:96" x14ac:dyDescent="0.25">
      <c r="CQ1595" s="111"/>
      <c r="CR1595" s="81"/>
    </row>
    <row r="1596" spans="95:96" x14ac:dyDescent="0.25">
      <c r="CQ1596" s="111"/>
      <c r="CR1596" s="81"/>
    </row>
    <row r="1597" spans="95:96" x14ac:dyDescent="0.25">
      <c r="CQ1597" s="111"/>
      <c r="CR1597" s="81"/>
    </row>
    <row r="1598" spans="95:96" x14ac:dyDescent="0.25">
      <c r="CQ1598" s="111"/>
      <c r="CR1598" s="81"/>
    </row>
    <row r="1599" spans="95:96" x14ac:dyDescent="0.25">
      <c r="CQ1599" s="111"/>
      <c r="CR1599" s="81"/>
    </row>
    <row r="1600" spans="95:96" x14ac:dyDescent="0.25">
      <c r="CQ1600" s="111"/>
      <c r="CR1600" s="81"/>
    </row>
    <row r="1601" spans="95:96" x14ac:dyDescent="0.25">
      <c r="CQ1601" s="111"/>
      <c r="CR1601" s="81"/>
    </row>
    <row r="1602" spans="95:96" x14ac:dyDescent="0.25">
      <c r="CQ1602" s="111"/>
      <c r="CR1602" s="81"/>
    </row>
    <row r="1603" spans="95:96" x14ac:dyDescent="0.25">
      <c r="CQ1603" s="111"/>
      <c r="CR1603" s="81"/>
    </row>
    <row r="1604" spans="95:96" x14ac:dyDescent="0.25">
      <c r="CQ1604" s="111"/>
      <c r="CR1604" s="81"/>
    </row>
    <row r="1605" spans="95:96" x14ac:dyDescent="0.25">
      <c r="CQ1605" s="111"/>
      <c r="CR1605" s="81"/>
    </row>
    <row r="1606" spans="95:96" x14ac:dyDescent="0.25">
      <c r="CQ1606" s="111"/>
      <c r="CR1606" s="81"/>
    </row>
    <row r="1607" spans="95:96" x14ac:dyDescent="0.25">
      <c r="CQ1607" s="111"/>
      <c r="CR1607" s="81"/>
    </row>
    <row r="1608" spans="95:96" x14ac:dyDescent="0.25">
      <c r="CQ1608" s="111"/>
      <c r="CR1608" s="81"/>
    </row>
    <row r="1609" spans="95:96" x14ac:dyDescent="0.25">
      <c r="CQ1609" s="111"/>
      <c r="CR1609" s="81"/>
    </row>
    <row r="1610" spans="95:96" x14ac:dyDescent="0.25">
      <c r="CQ1610" s="111"/>
      <c r="CR1610" s="81"/>
    </row>
    <row r="1611" spans="95:96" x14ac:dyDescent="0.25">
      <c r="CQ1611" s="111"/>
      <c r="CR1611" s="81"/>
    </row>
    <row r="1612" spans="95:96" x14ac:dyDescent="0.25">
      <c r="CQ1612" s="111"/>
      <c r="CR1612" s="81"/>
    </row>
    <row r="1613" spans="95:96" x14ac:dyDescent="0.25">
      <c r="CQ1613" s="111"/>
      <c r="CR1613" s="81"/>
    </row>
    <row r="1614" spans="95:96" x14ac:dyDescent="0.25">
      <c r="CQ1614" s="111"/>
      <c r="CR1614" s="81"/>
    </row>
    <row r="1615" spans="95:96" x14ac:dyDescent="0.25">
      <c r="CQ1615" s="111"/>
      <c r="CR1615" s="81"/>
    </row>
    <row r="1616" spans="95:96" x14ac:dyDescent="0.25">
      <c r="CQ1616" s="111"/>
      <c r="CR1616" s="81"/>
    </row>
    <row r="1617" spans="95:96" x14ac:dyDescent="0.25">
      <c r="CQ1617" s="111"/>
      <c r="CR1617" s="81"/>
    </row>
    <row r="1618" spans="95:96" x14ac:dyDescent="0.25">
      <c r="CQ1618" s="111"/>
      <c r="CR1618" s="81"/>
    </row>
    <row r="1619" spans="95:96" x14ac:dyDescent="0.25">
      <c r="CQ1619" s="111"/>
      <c r="CR1619" s="81"/>
    </row>
    <row r="1620" spans="95:96" x14ac:dyDescent="0.25">
      <c r="CQ1620" s="111"/>
      <c r="CR1620" s="81"/>
    </row>
    <row r="1621" spans="95:96" x14ac:dyDescent="0.25">
      <c r="CQ1621" s="111"/>
      <c r="CR1621" s="81"/>
    </row>
    <row r="1622" spans="95:96" x14ac:dyDescent="0.25">
      <c r="CQ1622" s="111"/>
      <c r="CR1622" s="81"/>
    </row>
    <row r="1623" spans="95:96" x14ac:dyDescent="0.25">
      <c r="CQ1623" s="111"/>
    </row>
    <row r="1624" spans="95:96" x14ac:dyDescent="0.25">
      <c r="CQ1624" s="111"/>
    </row>
    <row r="1625" spans="95:96" x14ac:dyDescent="0.25">
      <c r="CQ1625" s="111"/>
    </row>
    <row r="1626" spans="95:96" x14ac:dyDescent="0.25">
      <c r="CQ1626" s="111"/>
    </row>
    <row r="1627" spans="95:96" x14ac:dyDescent="0.25">
      <c r="CQ1627" s="111"/>
    </row>
    <row r="1628" spans="95:96" x14ac:dyDescent="0.25">
      <c r="CQ1628" s="111"/>
    </row>
    <row r="1629" spans="95:96" x14ac:dyDescent="0.25">
      <c r="CQ1629" s="111"/>
    </row>
    <row r="1630" spans="95:96" x14ac:dyDescent="0.25">
      <c r="CQ1630" s="111"/>
    </row>
    <row r="1631" spans="95:96" x14ac:dyDescent="0.25">
      <c r="CQ1631" s="111"/>
    </row>
    <row r="1632" spans="95:96" x14ac:dyDescent="0.25">
      <c r="CQ1632" s="111"/>
    </row>
    <row r="1633" spans="95:95" x14ac:dyDescent="0.25">
      <c r="CQ1633" s="111"/>
    </row>
    <row r="1634" spans="95:95" x14ac:dyDescent="0.25">
      <c r="CQ1634" s="111"/>
    </row>
    <row r="1635" spans="95:95" x14ac:dyDescent="0.25">
      <c r="CQ1635" s="111"/>
    </row>
    <row r="1636" spans="95:95" x14ac:dyDescent="0.25">
      <c r="CQ1636" s="111"/>
    </row>
    <row r="1637" spans="95:95" x14ac:dyDescent="0.25">
      <c r="CQ1637" s="111"/>
    </row>
    <row r="1638" spans="95:95" x14ac:dyDescent="0.25">
      <c r="CQ1638" s="111"/>
    </row>
    <row r="1639" spans="95:95" x14ac:dyDescent="0.25">
      <c r="CQ1639" s="111"/>
    </row>
    <row r="1640" spans="95:95" x14ac:dyDescent="0.25">
      <c r="CQ1640" s="111"/>
    </row>
    <row r="1641" spans="95:95" x14ac:dyDescent="0.25">
      <c r="CQ1641" s="111"/>
    </row>
    <row r="1642" spans="95:95" x14ac:dyDescent="0.25">
      <c r="CQ1642" s="111"/>
    </row>
    <row r="1643" spans="95:95" x14ac:dyDescent="0.25">
      <c r="CQ1643" s="111"/>
    </row>
    <row r="1644" spans="95:95" x14ac:dyDescent="0.25">
      <c r="CQ1644" s="111"/>
    </row>
    <row r="1645" spans="95:95" x14ac:dyDescent="0.25">
      <c r="CQ1645" s="111"/>
    </row>
    <row r="1646" spans="95:95" x14ac:dyDescent="0.25">
      <c r="CQ1646" s="111"/>
    </row>
    <row r="1647" spans="95:95" x14ac:dyDescent="0.25">
      <c r="CQ1647" s="111"/>
    </row>
    <row r="1648" spans="95:95" x14ac:dyDescent="0.25">
      <c r="CQ1648" s="111"/>
    </row>
    <row r="1649" spans="95:95" x14ac:dyDescent="0.25">
      <c r="CQ1649" s="111"/>
    </row>
    <row r="1650" spans="95:95" x14ac:dyDescent="0.25">
      <c r="CQ1650" s="111"/>
    </row>
    <row r="1651" spans="95:95" x14ac:dyDescent="0.25">
      <c r="CQ1651" s="111"/>
    </row>
    <row r="1652" spans="95:95" x14ac:dyDescent="0.25">
      <c r="CQ1652" s="111"/>
    </row>
    <row r="1653" spans="95:95" x14ac:dyDescent="0.25">
      <c r="CQ1653" s="111"/>
    </row>
    <row r="1654" spans="95:95" x14ac:dyDescent="0.25">
      <c r="CQ1654" s="111"/>
    </row>
    <row r="1655" spans="95:95" x14ac:dyDescent="0.25">
      <c r="CQ1655" s="111"/>
    </row>
    <row r="1656" spans="95:95" x14ac:dyDescent="0.25">
      <c r="CQ1656" s="111"/>
    </row>
    <row r="1657" spans="95:95" x14ac:dyDescent="0.25">
      <c r="CQ1657" s="111"/>
    </row>
    <row r="1658" spans="95:95" x14ac:dyDescent="0.25">
      <c r="CQ1658" s="111"/>
    </row>
    <row r="1659" spans="95:95" x14ac:dyDescent="0.25">
      <c r="CQ1659" s="111"/>
    </row>
    <row r="1660" spans="95:95" x14ac:dyDescent="0.25">
      <c r="CQ1660" s="111"/>
    </row>
    <row r="1661" spans="95:95" x14ac:dyDescent="0.25">
      <c r="CQ1661" s="111"/>
    </row>
    <row r="1662" spans="95:95" x14ac:dyDescent="0.25">
      <c r="CQ1662" s="111"/>
    </row>
    <row r="1663" spans="95:95" x14ac:dyDescent="0.25">
      <c r="CQ1663" s="111"/>
    </row>
    <row r="1664" spans="95:95" x14ac:dyDescent="0.25">
      <c r="CQ1664" s="111"/>
    </row>
    <row r="1665" spans="95:95" x14ac:dyDescent="0.25">
      <c r="CQ1665" s="111"/>
    </row>
    <row r="1666" spans="95:95" x14ac:dyDescent="0.25">
      <c r="CQ1666" s="111"/>
    </row>
    <row r="1667" spans="95:95" x14ac:dyDescent="0.25">
      <c r="CQ1667" s="111"/>
    </row>
    <row r="1668" spans="95:95" x14ac:dyDescent="0.25">
      <c r="CQ1668" s="111"/>
    </row>
    <row r="1669" spans="95:95" x14ac:dyDescent="0.25">
      <c r="CQ1669" s="111"/>
    </row>
    <row r="1670" spans="95:95" x14ac:dyDescent="0.25">
      <c r="CQ1670" s="111"/>
    </row>
    <row r="1671" spans="95:95" x14ac:dyDescent="0.25">
      <c r="CQ1671" s="111"/>
    </row>
    <row r="1672" spans="95:95" x14ac:dyDescent="0.25">
      <c r="CQ1672" s="111"/>
    </row>
    <row r="1673" spans="95:95" x14ac:dyDescent="0.25">
      <c r="CQ1673" s="111"/>
    </row>
    <row r="1674" spans="95:95" x14ac:dyDescent="0.25">
      <c r="CQ1674" s="111"/>
    </row>
    <row r="1675" spans="95:95" x14ac:dyDescent="0.25">
      <c r="CQ1675" s="111"/>
    </row>
    <row r="1676" spans="95:95" x14ac:dyDescent="0.25">
      <c r="CQ1676" s="111"/>
    </row>
    <row r="1677" spans="95:95" x14ac:dyDescent="0.25">
      <c r="CQ1677" s="111"/>
    </row>
    <row r="1678" spans="95:95" x14ac:dyDescent="0.25">
      <c r="CQ1678" s="111"/>
    </row>
    <row r="1679" spans="95:95" x14ac:dyDescent="0.25">
      <c r="CQ1679" s="111"/>
    </row>
    <row r="1680" spans="95:95" x14ac:dyDescent="0.25">
      <c r="CQ1680" s="111"/>
    </row>
    <row r="1681" spans="95:95" x14ac:dyDescent="0.25">
      <c r="CQ1681" s="111"/>
    </row>
    <row r="1682" spans="95:95" x14ac:dyDescent="0.25">
      <c r="CQ1682" s="111"/>
    </row>
    <row r="1683" spans="95:95" x14ac:dyDescent="0.25">
      <c r="CQ1683" s="111"/>
    </row>
    <row r="1684" spans="95:95" x14ac:dyDescent="0.25">
      <c r="CQ1684" s="111"/>
    </row>
    <row r="1685" spans="95:95" x14ac:dyDescent="0.25">
      <c r="CQ1685" s="111"/>
    </row>
    <row r="1686" spans="95:95" x14ac:dyDescent="0.25">
      <c r="CQ1686" s="111"/>
    </row>
    <row r="1687" spans="95:95" x14ac:dyDescent="0.25">
      <c r="CQ1687" s="111"/>
    </row>
    <row r="1688" spans="95:95" x14ac:dyDescent="0.25">
      <c r="CQ1688" s="111"/>
    </row>
    <row r="1689" spans="95:95" x14ac:dyDescent="0.25">
      <c r="CQ1689" s="111"/>
    </row>
    <row r="1690" spans="95:95" x14ac:dyDescent="0.25">
      <c r="CQ1690" s="111"/>
    </row>
    <row r="1691" spans="95:95" x14ac:dyDescent="0.25">
      <c r="CQ1691" s="111"/>
    </row>
    <row r="1692" spans="95:95" x14ac:dyDescent="0.25">
      <c r="CQ1692" s="111"/>
    </row>
    <row r="1693" spans="95:95" x14ac:dyDescent="0.25">
      <c r="CQ1693" s="111"/>
    </row>
    <row r="1694" spans="95:95" x14ac:dyDescent="0.25">
      <c r="CQ1694" s="111"/>
    </row>
    <row r="1695" spans="95:95" x14ac:dyDescent="0.25">
      <c r="CQ1695" s="111"/>
    </row>
    <row r="1696" spans="95:95" x14ac:dyDescent="0.25">
      <c r="CQ1696" s="111"/>
    </row>
    <row r="1697" spans="34:95" x14ac:dyDescent="0.25">
      <c r="CQ1697" s="111"/>
    </row>
    <row r="1698" spans="34:95" x14ac:dyDescent="0.25">
      <c r="CQ1698" s="111"/>
    </row>
    <row r="1699" spans="34:95" x14ac:dyDescent="0.25">
      <c r="CQ1699" s="111"/>
    </row>
    <row r="1700" spans="34:95" x14ac:dyDescent="0.25">
      <c r="CQ1700" s="111"/>
    </row>
    <row r="1701" spans="34:95" x14ac:dyDescent="0.25">
      <c r="CQ1701" s="111"/>
    </row>
    <row r="1702" spans="34:95" x14ac:dyDescent="0.25">
      <c r="CQ1702" s="111"/>
    </row>
    <row r="1703" spans="34:95" x14ac:dyDescent="0.25">
      <c r="CQ1703" s="111"/>
    </row>
    <row r="1704" spans="34:95" x14ac:dyDescent="0.25">
      <c r="CQ1704" s="111"/>
    </row>
    <row r="1705" spans="34:95" x14ac:dyDescent="0.25">
      <c r="AH1705" s="129"/>
      <c r="AI1705" s="129"/>
      <c r="AJ1705" s="129"/>
      <c r="CQ1705" s="111"/>
    </row>
    <row r="1706" spans="34:95" x14ac:dyDescent="0.25">
      <c r="AH1706" s="129"/>
      <c r="AI1706" s="129"/>
      <c r="AJ1706" s="129"/>
      <c r="CQ1706" s="111"/>
    </row>
    <row r="1707" spans="34:95" x14ac:dyDescent="0.25">
      <c r="AH1707" s="129"/>
      <c r="AI1707" s="129"/>
      <c r="AJ1707" s="129"/>
      <c r="CQ1707" s="111"/>
    </row>
    <row r="1708" spans="34:95" x14ac:dyDescent="0.25">
      <c r="AH1708" s="129"/>
      <c r="AI1708" s="129"/>
      <c r="AJ1708" s="129"/>
      <c r="CQ1708" s="111"/>
    </row>
    <row r="1709" spans="34:95" x14ac:dyDescent="0.25">
      <c r="AH1709" s="129"/>
      <c r="AI1709" s="129"/>
      <c r="AJ1709" s="129"/>
      <c r="CQ1709" s="111"/>
    </row>
    <row r="1710" spans="34:95" x14ac:dyDescent="0.25">
      <c r="AH1710" s="129"/>
      <c r="AI1710" s="129"/>
      <c r="AJ1710" s="129"/>
      <c r="CQ1710" s="111"/>
    </row>
    <row r="1711" spans="34:95" x14ac:dyDescent="0.25">
      <c r="AH1711" s="129"/>
      <c r="AI1711" s="129"/>
      <c r="AJ1711" s="129"/>
      <c r="CQ1711" s="111"/>
    </row>
    <row r="1712" spans="34:95" x14ac:dyDescent="0.25">
      <c r="AH1712" s="129"/>
      <c r="AI1712" s="129"/>
      <c r="AJ1712" s="129"/>
      <c r="CQ1712" s="111"/>
    </row>
    <row r="1713" spans="34:95" x14ac:dyDescent="0.25">
      <c r="AH1713" s="129"/>
      <c r="AI1713" s="129"/>
      <c r="AJ1713" s="129"/>
      <c r="CQ1713" s="111"/>
    </row>
    <row r="1714" spans="34:95" x14ac:dyDescent="0.25">
      <c r="AH1714" s="129"/>
      <c r="AI1714" s="129"/>
      <c r="AJ1714" s="129"/>
      <c r="CQ1714" s="111"/>
    </row>
    <row r="1715" spans="34:95" x14ac:dyDescent="0.25">
      <c r="AH1715" s="129"/>
      <c r="AI1715" s="129"/>
      <c r="AJ1715" s="129"/>
      <c r="CQ1715" s="111"/>
    </row>
    <row r="1716" spans="34:95" x14ac:dyDescent="0.25">
      <c r="AH1716" s="129"/>
      <c r="AI1716" s="129"/>
      <c r="AJ1716" s="129"/>
      <c r="CQ1716" s="111"/>
    </row>
    <row r="1717" spans="34:95" x14ac:dyDescent="0.25">
      <c r="AH1717" s="129"/>
      <c r="AI1717" s="129"/>
      <c r="AJ1717" s="129"/>
      <c r="CQ1717" s="111"/>
    </row>
    <row r="1718" spans="34:95" x14ac:dyDescent="0.25">
      <c r="AH1718" s="129"/>
      <c r="AI1718" s="129"/>
      <c r="AJ1718" s="129"/>
      <c r="CQ1718" s="111"/>
    </row>
    <row r="1719" spans="34:95" x14ac:dyDescent="0.25">
      <c r="AH1719" s="129"/>
      <c r="AI1719" s="129"/>
      <c r="AJ1719" s="129"/>
      <c r="CQ1719" s="111"/>
    </row>
    <row r="1720" spans="34:95" x14ac:dyDescent="0.25">
      <c r="AH1720" s="129"/>
      <c r="AI1720" s="129"/>
      <c r="AJ1720" s="129"/>
      <c r="CQ1720" s="111"/>
    </row>
    <row r="1721" spans="34:95" x14ac:dyDescent="0.25">
      <c r="AH1721" s="129"/>
      <c r="AI1721" s="129"/>
      <c r="AJ1721" s="129"/>
      <c r="CQ1721" s="111"/>
    </row>
    <row r="1722" spans="34:95" x14ac:dyDescent="0.25">
      <c r="AH1722" s="129"/>
      <c r="AI1722" s="129"/>
      <c r="AJ1722" s="129"/>
      <c r="CQ1722" s="111"/>
    </row>
    <row r="1723" spans="34:95" x14ac:dyDescent="0.25">
      <c r="AH1723" s="129"/>
      <c r="AI1723" s="129"/>
      <c r="AJ1723" s="129"/>
      <c r="CQ1723" s="111"/>
    </row>
    <row r="1724" spans="34:95" x14ac:dyDescent="0.25">
      <c r="AH1724" s="129"/>
      <c r="AI1724" s="129"/>
      <c r="AJ1724" s="129"/>
      <c r="CQ1724" s="111"/>
    </row>
    <row r="1725" spans="34:95" x14ac:dyDescent="0.25">
      <c r="AH1725" s="129"/>
      <c r="AI1725" s="129"/>
      <c r="AJ1725" s="129"/>
      <c r="CQ1725" s="111"/>
    </row>
    <row r="1726" spans="34:95" x14ac:dyDescent="0.25">
      <c r="AH1726" s="129"/>
      <c r="AI1726" s="129"/>
      <c r="AJ1726" s="129"/>
      <c r="CQ1726" s="111"/>
    </row>
    <row r="1727" spans="34:95" x14ac:dyDescent="0.25">
      <c r="AH1727" s="129"/>
      <c r="AI1727" s="129"/>
      <c r="AJ1727" s="129"/>
      <c r="CQ1727" s="111"/>
    </row>
    <row r="1728" spans="34:95" x14ac:dyDescent="0.25">
      <c r="AH1728" s="129"/>
      <c r="AI1728" s="129"/>
      <c r="AJ1728" s="129"/>
      <c r="CQ1728" s="111"/>
    </row>
    <row r="1729" spans="34:95" x14ac:dyDescent="0.25">
      <c r="AH1729" s="129"/>
      <c r="AI1729" s="129"/>
      <c r="AJ1729" s="129"/>
      <c r="CQ1729" s="111"/>
    </row>
    <row r="1730" spans="34:95" x14ac:dyDescent="0.25">
      <c r="AH1730" s="129"/>
      <c r="AI1730" s="129"/>
      <c r="AJ1730" s="129"/>
      <c r="CQ1730" s="111"/>
    </row>
    <row r="1731" spans="34:95" x14ac:dyDescent="0.25">
      <c r="AH1731" s="129"/>
      <c r="AI1731" s="129"/>
      <c r="AJ1731" s="129"/>
      <c r="CQ1731" s="111"/>
    </row>
    <row r="1732" spans="34:95" x14ac:dyDescent="0.25">
      <c r="AH1732" s="129"/>
      <c r="AI1732" s="129"/>
      <c r="AJ1732" s="129"/>
      <c r="CQ1732" s="111"/>
    </row>
    <row r="1733" spans="34:95" x14ac:dyDescent="0.25">
      <c r="AH1733" s="129"/>
      <c r="AI1733" s="129"/>
      <c r="AJ1733" s="129"/>
      <c r="CQ1733" s="111"/>
    </row>
    <row r="1734" spans="34:95" x14ac:dyDescent="0.25">
      <c r="AH1734" s="129"/>
      <c r="AI1734" s="129"/>
      <c r="AJ1734" s="129"/>
      <c r="CQ1734" s="111"/>
    </row>
    <row r="1735" spans="34:95" x14ac:dyDescent="0.25">
      <c r="AH1735" s="129"/>
      <c r="AI1735" s="129"/>
      <c r="AJ1735" s="129"/>
      <c r="CQ1735" s="111"/>
    </row>
    <row r="1736" spans="34:95" x14ac:dyDescent="0.25">
      <c r="AH1736" s="129"/>
      <c r="AI1736" s="129"/>
      <c r="AJ1736" s="129"/>
      <c r="CQ1736" s="111"/>
    </row>
    <row r="1737" spans="34:95" x14ac:dyDescent="0.25">
      <c r="AH1737" s="129"/>
      <c r="AI1737" s="129"/>
      <c r="AJ1737" s="129"/>
      <c r="CQ1737" s="111"/>
    </row>
    <row r="1738" spans="34:95" x14ac:dyDescent="0.25">
      <c r="AH1738" s="129"/>
      <c r="AI1738" s="129"/>
      <c r="AJ1738" s="129"/>
      <c r="CQ1738" s="111"/>
    </row>
    <row r="1739" spans="34:95" x14ac:dyDescent="0.25">
      <c r="AH1739" s="129"/>
      <c r="AI1739" s="129"/>
      <c r="AJ1739" s="129"/>
      <c r="CQ1739" s="111"/>
    </row>
    <row r="1740" spans="34:95" x14ac:dyDescent="0.25">
      <c r="AH1740" s="129"/>
      <c r="AI1740" s="129"/>
      <c r="AJ1740" s="129"/>
      <c r="CQ1740" s="111"/>
    </row>
    <row r="1741" spans="34:95" x14ac:dyDescent="0.25">
      <c r="AH1741" s="129"/>
      <c r="AI1741" s="129"/>
      <c r="AJ1741" s="129"/>
      <c r="CQ1741" s="111"/>
    </row>
    <row r="1742" spans="34:95" x14ac:dyDescent="0.25">
      <c r="AH1742" s="129"/>
      <c r="AI1742" s="129"/>
      <c r="AJ1742" s="129"/>
      <c r="CQ1742" s="111"/>
    </row>
    <row r="1743" spans="34:95" x14ac:dyDescent="0.25">
      <c r="AH1743" s="129"/>
      <c r="AI1743" s="129"/>
      <c r="AJ1743" s="129"/>
      <c r="CQ1743" s="111"/>
    </row>
    <row r="1744" spans="34:95" x14ac:dyDescent="0.25">
      <c r="AH1744" s="129"/>
      <c r="AI1744" s="129"/>
      <c r="AJ1744" s="129"/>
      <c r="CQ1744" s="111"/>
    </row>
    <row r="1745" spans="34:95" x14ac:dyDescent="0.25">
      <c r="AH1745" s="129"/>
      <c r="AI1745" s="129"/>
      <c r="AJ1745" s="129"/>
      <c r="CQ1745" s="111"/>
    </row>
    <row r="1746" spans="34:95" x14ac:dyDescent="0.25">
      <c r="AH1746" s="129"/>
      <c r="AI1746" s="129"/>
      <c r="AJ1746" s="129"/>
      <c r="CQ1746" s="111"/>
    </row>
    <row r="1747" spans="34:95" x14ac:dyDescent="0.25">
      <c r="AH1747" s="129"/>
      <c r="AI1747" s="129"/>
      <c r="AJ1747" s="129"/>
      <c r="CQ1747" s="111"/>
    </row>
    <row r="1748" spans="34:95" x14ac:dyDescent="0.25">
      <c r="AH1748" s="129"/>
      <c r="AI1748" s="129"/>
      <c r="AJ1748" s="129"/>
      <c r="CQ1748" s="111"/>
    </row>
    <row r="1749" spans="34:95" x14ac:dyDescent="0.25">
      <c r="AH1749" s="129"/>
      <c r="AI1749" s="129"/>
      <c r="AJ1749" s="129"/>
      <c r="CQ1749" s="111"/>
    </row>
    <row r="1750" spans="34:95" x14ac:dyDescent="0.25">
      <c r="AH1750" s="129"/>
      <c r="AI1750" s="129"/>
      <c r="AJ1750" s="129"/>
      <c r="CQ1750" s="111"/>
    </row>
    <row r="1751" spans="34:95" x14ac:dyDescent="0.25">
      <c r="AH1751" s="129"/>
      <c r="AI1751" s="129"/>
      <c r="AJ1751" s="129"/>
      <c r="CQ1751" s="111"/>
    </row>
    <row r="1752" spans="34:95" x14ac:dyDescent="0.25">
      <c r="AH1752" s="129"/>
      <c r="AI1752" s="129"/>
      <c r="AJ1752" s="129"/>
      <c r="CQ1752" s="111"/>
    </row>
    <row r="1753" spans="34:95" x14ac:dyDescent="0.25">
      <c r="AH1753" s="129"/>
      <c r="AI1753" s="129"/>
      <c r="AJ1753" s="129"/>
      <c r="CQ1753" s="111"/>
    </row>
    <row r="1754" spans="34:95" x14ac:dyDescent="0.25">
      <c r="AH1754" s="129"/>
      <c r="AI1754" s="129"/>
      <c r="AJ1754" s="129"/>
      <c r="CQ1754" s="111"/>
    </row>
    <row r="1755" spans="34:95" x14ac:dyDescent="0.25">
      <c r="AH1755" s="129"/>
      <c r="AI1755" s="129"/>
      <c r="AJ1755" s="129"/>
      <c r="CQ1755" s="111"/>
    </row>
    <row r="1756" spans="34:95" x14ac:dyDescent="0.25">
      <c r="AH1756" s="129"/>
      <c r="AI1756" s="129"/>
      <c r="AJ1756" s="129"/>
      <c r="CQ1756" s="111"/>
    </row>
    <row r="1757" spans="34:95" x14ac:dyDescent="0.25">
      <c r="AH1757" s="129"/>
      <c r="AI1757" s="129"/>
      <c r="AJ1757" s="129"/>
      <c r="CQ1757" s="111"/>
    </row>
    <row r="1758" spans="34:95" x14ac:dyDescent="0.25">
      <c r="AH1758" s="129"/>
      <c r="AI1758" s="129"/>
      <c r="AJ1758" s="129"/>
      <c r="CQ1758" s="111"/>
    </row>
    <row r="1759" spans="34:95" x14ac:dyDescent="0.25">
      <c r="AH1759" s="129"/>
      <c r="AI1759" s="129"/>
      <c r="AJ1759" s="129"/>
      <c r="CQ1759" s="111"/>
    </row>
    <row r="1760" spans="34:95" x14ac:dyDescent="0.25">
      <c r="AH1760" s="129"/>
      <c r="AI1760" s="129"/>
      <c r="AJ1760" s="129"/>
      <c r="CQ1760" s="111"/>
    </row>
    <row r="1761" spans="34:95" x14ac:dyDescent="0.25">
      <c r="AH1761" s="129"/>
      <c r="AI1761" s="129"/>
      <c r="AJ1761" s="129"/>
      <c r="CQ1761" s="111"/>
    </row>
    <row r="1762" spans="34:95" x14ac:dyDescent="0.25">
      <c r="AH1762" s="129"/>
      <c r="AI1762" s="129"/>
      <c r="AJ1762" s="129"/>
      <c r="CQ1762" s="111"/>
    </row>
    <row r="1763" spans="34:95" x14ac:dyDescent="0.25">
      <c r="AH1763" s="129"/>
      <c r="AI1763" s="129"/>
      <c r="AJ1763" s="129"/>
      <c r="CQ1763" s="111"/>
    </row>
    <row r="1764" spans="34:95" x14ac:dyDescent="0.25">
      <c r="AH1764" s="129"/>
      <c r="AI1764" s="129"/>
      <c r="AJ1764" s="129"/>
      <c r="CQ1764" s="111"/>
    </row>
    <row r="1765" spans="34:95" x14ac:dyDescent="0.25">
      <c r="AH1765" s="129"/>
      <c r="AI1765" s="129"/>
      <c r="AJ1765" s="129"/>
      <c r="CQ1765" s="111"/>
    </row>
    <row r="1766" spans="34:95" x14ac:dyDescent="0.25">
      <c r="AH1766" s="129"/>
      <c r="AI1766" s="129"/>
      <c r="AJ1766" s="129"/>
      <c r="CQ1766" s="111"/>
    </row>
    <row r="1767" spans="34:95" x14ac:dyDescent="0.25">
      <c r="AH1767" s="129"/>
      <c r="AI1767" s="129"/>
      <c r="AJ1767" s="129"/>
      <c r="CQ1767" s="111"/>
    </row>
    <row r="1768" spans="34:95" x14ac:dyDescent="0.25">
      <c r="AH1768" s="129"/>
      <c r="AI1768" s="129"/>
      <c r="AJ1768" s="129"/>
      <c r="CQ1768" s="111"/>
    </row>
    <row r="1769" spans="34:95" x14ac:dyDescent="0.25">
      <c r="AH1769" s="129"/>
      <c r="AI1769" s="129"/>
      <c r="AJ1769" s="129"/>
      <c r="CQ1769" s="111"/>
    </row>
    <row r="1770" spans="34:95" x14ac:dyDescent="0.25">
      <c r="AH1770" s="129"/>
      <c r="AI1770" s="129"/>
      <c r="AJ1770" s="129"/>
      <c r="CQ1770" s="111"/>
    </row>
    <row r="1771" spans="34:95" x14ac:dyDescent="0.25">
      <c r="AH1771" s="129"/>
      <c r="AI1771" s="129"/>
      <c r="AJ1771" s="129"/>
      <c r="CQ1771" s="111"/>
    </row>
    <row r="1772" spans="34:95" x14ac:dyDescent="0.25">
      <c r="AH1772" s="129"/>
      <c r="AI1772" s="129"/>
      <c r="AJ1772" s="129"/>
      <c r="CQ1772" s="111"/>
    </row>
    <row r="1773" spans="34:95" x14ac:dyDescent="0.25">
      <c r="AH1773" s="129"/>
      <c r="AI1773" s="129"/>
      <c r="AJ1773" s="129"/>
      <c r="CQ1773" s="111"/>
    </row>
    <row r="1774" spans="34:95" x14ac:dyDescent="0.25">
      <c r="AH1774" s="129"/>
      <c r="AI1774" s="129"/>
      <c r="AJ1774" s="129"/>
      <c r="CQ1774" s="111"/>
    </row>
    <row r="1775" spans="34:95" x14ac:dyDescent="0.25">
      <c r="AH1775" s="129"/>
      <c r="AI1775" s="129"/>
      <c r="AJ1775" s="129"/>
      <c r="CQ1775" s="111"/>
    </row>
    <row r="1776" spans="34:95" x14ac:dyDescent="0.25">
      <c r="AH1776" s="129"/>
      <c r="AI1776" s="129"/>
      <c r="AJ1776" s="129"/>
      <c r="CQ1776" s="111"/>
    </row>
    <row r="1777" spans="34:95" x14ac:dyDescent="0.25">
      <c r="AH1777" s="129"/>
      <c r="AI1777" s="129"/>
      <c r="AJ1777" s="129"/>
      <c r="CQ1777" s="111"/>
    </row>
    <row r="1778" spans="34:95" x14ac:dyDescent="0.25">
      <c r="AH1778" s="129"/>
      <c r="AI1778" s="129"/>
      <c r="AJ1778" s="129"/>
      <c r="CQ1778" s="111"/>
    </row>
    <row r="1779" spans="34:95" x14ac:dyDescent="0.25">
      <c r="AH1779" s="129"/>
      <c r="AI1779" s="129"/>
      <c r="AJ1779" s="129"/>
      <c r="CQ1779" s="111"/>
    </row>
    <row r="1780" spans="34:95" x14ac:dyDescent="0.25">
      <c r="AH1780" s="129"/>
      <c r="AI1780" s="129"/>
      <c r="AJ1780" s="129"/>
      <c r="CQ1780" s="111"/>
    </row>
    <row r="1781" spans="34:95" x14ac:dyDescent="0.25">
      <c r="AH1781" s="129"/>
      <c r="AI1781" s="129"/>
      <c r="AJ1781" s="129"/>
      <c r="CQ1781" s="111"/>
    </row>
    <row r="1782" spans="34:95" x14ac:dyDescent="0.25">
      <c r="AH1782" s="129"/>
      <c r="AI1782" s="129"/>
      <c r="AJ1782" s="129"/>
      <c r="CQ1782" s="111"/>
    </row>
    <row r="1783" spans="34:95" x14ac:dyDescent="0.25">
      <c r="AH1783" s="129"/>
      <c r="AI1783" s="129"/>
      <c r="AJ1783" s="129"/>
      <c r="CQ1783" s="111"/>
    </row>
    <row r="1784" spans="34:95" x14ac:dyDescent="0.25">
      <c r="AH1784" s="129"/>
      <c r="AI1784" s="129"/>
      <c r="AJ1784" s="129"/>
      <c r="CQ1784" s="111"/>
    </row>
    <row r="1785" spans="34:95" x14ac:dyDescent="0.25">
      <c r="AH1785" s="129"/>
      <c r="AI1785" s="129"/>
      <c r="AJ1785" s="129"/>
      <c r="CQ1785" s="111"/>
    </row>
    <row r="1786" spans="34:95" x14ac:dyDescent="0.25">
      <c r="AH1786" s="129"/>
      <c r="AI1786" s="129"/>
      <c r="AJ1786" s="129"/>
      <c r="CQ1786" s="111"/>
    </row>
    <row r="1787" spans="34:95" x14ac:dyDescent="0.25">
      <c r="AH1787" s="129"/>
      <c r="AI1787" s="129"/>
      <c r="AJ1787" s="129"/>
      <c r="CQ1787" s="111"/>
    </row>
    <row r="1788" spans="34:95" x14ac:dyDescent="0.25">
      <c r="AH1788" s="129"/>
      <c r="AI1788" s="129"/>
      <c r="AJ1788" s="129"/>
      <c r="CQ1788" s="111"/>
    </row>
    <row r="1789" spans="34:95" x14ac:dyDescent="0.25">
      <c r="AH1789" s="129"/>
      <c r="AI1789" s="129"/>
      <c r="AJ1789" s="129"/>
      <c r="CQ1789" s="111"/>
    </row>
    <row r="1790" spans="34:95" x14ac:dyDescent="0.25">
      <c r="AH1790" s="129"/>
      <c r="AI1790" s="129"/>
      <c r="AJ1790" s="129"/>
      <c r="CQ1790" s="111"/>
    </row>
    <row r="1791" spans="34:95" x14ac:dyDescent="0.25">
      <c r="AH1791" s="129"/>
      <c r="AI1791" s="129"/>
      <c r="AJ1791" s="129"/>
      <c r="CQ1791" s="111"/>
    </row>
    <row r="1792" spans="34:95" x14ac:dyDescent="0.25">
      <c r="AH1792" s="129"/>
      <c r="AI1792" s="129"/>
      <c r="AJ1792" s="129"/>
      <c r="CQ1792" s="111"/>
    </row>
    <row r="1793" spans="34:95" x14ac:dyDescent="0.25">
      <c r="AH1793" s="129"/>
      <c r="AI1793" s="129"/>
      <c r="AJ1793" s="129"/>
      <c r="CQ1793" s="111"/>
    </row>
    <row r="1794" spans="34:95" x14ac:dyDescent="0.25">
      <c r="AH1794" s="129"/>
      <c r="AI1794" s="129"/>
      <c r="AJ1794" s="129"/>
      <c r="CQ1794" s="111"/>
    </row>
    <row r="1795" spans="34:95" x14ac:dyDescent="0.25">
      <c r="AH1795" s="129"/>
      <c r="AI1795" s="129"/>
      <c r="AJ1795" s="129"/>
      <c r="CQ1795" s="111"/>
    </row>
    <row r="1796" spans="34:95" x14ac:dyDescent="0.25">
      <c r="AH1796" s="129"/>
      <c r="AI1796" s="129"/>
      <c r="AJ1796" s="129"/>
      <c r="CQ1796" s="111"/>
    </row>
    <row r="1797" spans="34:95" x14ac:dyDescent="0.25">
      <c r="AH1797" s="129"/>
      <c r="AI1797" s="129"/>
      <c r="AJ1797" s="129"/>
      <c r="CQ1797" s="111"/>
    </row>
    <row r="1798" spans="34:95" x14ac:dyDescent="0.25">
      <c r="AH1798" s="129"/>
      <c r="AI1798" s="129"/>
      <c r="AJ1798" s="129"/>
      <c r="CQ1798" s="111"/>
    </row>
    <row r="1799" spans="34:95" x14ac:dyDescent="0.25">
      <c r="AH1799" s="129"/>
      <c r="AI1799" s="129"/>
      <c r="AJ1799" s="129"/>
      <c r="CQ1799" s="111"/>
    </row>
    <row r="1800" spans="34:95" x14ac:dyDescent="0.25">
      <c r="AH1800" s="129"/>
      <c r="AI1800" s="129"/>
      <c r="AJ1800" s="129"/>
      <c r="CQ1800" s="111"/>
    </row>
    <row r="1801" spans="34:95" x14ac:dyDescent="0.25">
      <c r="AH1801" s="129"/>
      <c r="AI1801" s="129"/>
      <c r="AJ1801" s="129"/>
      <c r="CQ1801" s="111"/>
    </row>
    <row r="1802" spans="34:95" x14ac:dyDescent="0.25">
      <c r="AH1802" s="129"/>
      <c r="AI1802" s="129"/>
      <c r="AJ1802" s="129"/>
      <c r="CQ1802" s="111"/>
    </row>
    <row r="1803" spans="34:95" x14ac:dyDescent="0.25">
      <c r="AH1803" s="129"/>
      <c r="AI1803" s="129"/>
      <c r="AJ1803" s="129"/>
      <c r="CQ1803" s="111"/>
    </row>
    <row r="1804" spans="34:95" x14ac:dyDescent="0.25">
      <c r="AH1804" s="129"/>
      <c r="AI1804" s="129"/>
      <c r="AJ1804" s="129"/>
      <c r="CQ1804" s="111"/>
    </row>
    <row r="1805" spans="34:95" x14ac:dyDescent="0.25">
      <c r="AH1805" s="129"/>
      <c r="AI1805" s="129"/>
      <c r="AJ1805" s="129"/>
      <c r="CQ1805" s="111"/>
    </row>
    <row r="1806" spans="34:95" x14ac:dyDescent="0.25">
      <c r="AH1806" s="129"/>
      <c r="AI1806" s="129"/>
      <c r="AJ1806" s="129"/>
      <c r="CQ1806" s="111"/>
    </row>
    <row r="1807" spans="34:95" x14ac:dyDescent="0.25">
      <c r="AH1807" s="129"/>
      <c r="AI1807" s="129"/>
      <c r="AJ1807" s="129"/>
      <c r="CQ1807" s="111"/>
    </row>
    <row r="1808" spans="34:95" x14ac:dyDescent="0.25">
      <c r="AH1808" s="129"/>
      <c r="AI1808" s="129"/>
      <c r="AJ1808" s="129"/>
      <c r="CQ1808" s="111"/>
    </row>
    <row r="1809" spans="34:95" x14ac:dyDescent="0.25">
      <c r="AH1809" s="129"/>
      <c r="AI1809" s="129"/>
      <c r="AJ1809" s="129"/>
      <c r="CQ1809" s="111"/>
    </row>
    <row r="1810" spans="34:95" x14ac:dyDescent="0.25">
      <c r="AH1810" s="129"/>
      <c r="AI1810" s="129"/>
      <c r="AJ1810" s="129"/>
      <c r="CQ1810" s="111"/>
    </row>
    <row r="1811" spans="34:95" x14ac:dyDescent="0.25">
      <c r="AH1811" s="129"/>
      <c r="AI1811" s="129"/>
      <c r="AJ1811" s="129"/>
      <c r="CQ1811" s="111"/>
    </row>
    <row r="1812" spans="34:95" x14ac:dyDescent="0.25">
      <c r="AH1812" s="129"/>
      <c r="AI1812" s="129"/>
      <c r="AJ1812" s="129"/>
      <c r="CQ1812" s="111"/>
    </row>
    <row r="1813" spans="34:95" x14ac:dyDescent="0.25">
      <c r="AH1813" s="129"/>
      <c r="AI1813" s="129"/>
      <c r="AJ1813" s="129"/>
      <c r="CQ1813" s="111"/>
    </row>
    <row r="1814" spans="34:95" x14ac:dyDescent="0.25">
      <c r="AH1814" s="129"/>
      <c r="AI1814" s="129"/>
      <c r="AJ1814" s="129"/>
      <c r="CQ1814" s="111"/>
    </row>
    <row r="1815" spans="34:95" x14ac:dyDescent="0.25">
      <c r="AH1815" s="129"/>
      <c r="AI1815" s="129"/>
      <c r="AJ1815" s="129"/>
      <c r="CQ1815" s="111"/>
    </row>
    <row r="1816" spans="34:95" x14ac:dyDescent="0.25">
      <c r="AH1816" s="129"/>
      <c r="AI1816" s="129"/>
      <c r="AJ1816" s="129"/>
      <c r="CQ1816" s="111"/>
    </row>
    <row r="1817" spans="34:95" x14ac:dyDescent="0.25">
      <c r="AH1817" s="129"/>
      <c r="AI1817" s="129"/>
      <c r="AJ1817" s="129"/>
      <c r="CQ1817" s="111"/>
    </row>
    <row r="1818" spans="34:95" x14ac:dyDescent="0.25">
      <c r="AH1818" s="129"/>
      <c r="AI1818" s="129"/>
      <c r="AJ1818" s="129"/>
      <c r="CQ1818" s="111"/>
    </row>
    <row r="1819" spans="34:95" x14ac:dyDescent="0.25">
      <c r="AH1819" s="129"/>
      <c r="AI1819" s="129"/>
      <c r="AJ1819" s="129"/>
      <c r="CQ1819" s="111"/>
    </row>
    <row r="1820" spans="34:95" x14ac:dyDescent="0.25">
      <c r="AH1820" s="129"/>
      <c r="AI1820" s="129"/>
      <c r="AJ1820" s="129"/>
      <c r="CQ1820" s="111"/>
    </row>
    <row r="1821" spans="34:95" x14ac:dyDescent="0.25">
      <c r="AH1821" s="129"/>
      <c r="AI1821" s="129"/>
      <c r="AJ1821" s="129"/>
      <c r="CQ1821" s="111"/>
    </row>
    <row r="1822" spans="34:95" x14ac:dyDescent="0.25">
      <c r="AH1822" s="129"/>
      <c r="AI1822" s="129"/>
      <c r="AJ1822" s="129"/>
      <c r="CQ1822" s="111"/>
    </row>
    <row r="1823" spans="34:95" x14ac:dyDescent="0.25">
      <c r="AH1823" s="129"/>
      <c r="AI1823" s="129"/>
      <c r="AJ1823" s="129"/>
      <c r="CQ1823" s="111"/>
    </row>
    <row r="1824" spans="34:95" x14ac:dyDescent="0.25">
      <c r="AH1824" s="129"/>
      <c r="AI1824" s="129"/>
      <c r="AJ1824" s="129"/>
      <c r="CQ1824" s="111"/>
    </row>
    <row r="1825" spans="34:95" x14ac:dyDescent="0.25">
      <c r="AH1825" s="129"/>
      <c r="AI1825" s="129"/>
      <c r="AJ1825" s="129"/>
      <c r="CQ1825" s="111"/>
    </row>
    <row r="1826" spans="34:95" x14ac:dyDescent="0.25">
      <c r="AH1826" s="129"/>
      <c r="AI1826" s="129"/>
      <c r="AJ1826" s="129"/>
      <c r="CQ1826" s="111"/>
    </row>
    <row r="1827" spans="34:95" x14ac:dyDescent="0.25">
      <c r="AH1827" s="129"/>
      <c r="AI1827" s="129"/>
      <c r="AJ1827" s="129"/>
      <c r="CQ1827" s="111"/>
    </row>
    <row r="1828" spans="34:95" x14ac:dyDescent="0.25">
      <c r="AH1828" s="129"/>
      <c r="AI1828" s="129"/>
      <c r="AJ1828" s="129"/>
      <c r="CQ1828" s="111"/>
    </row>
    <row r="1829" spans="34:95" x14ac:dyDescent="0.25">
      <c r="AH1829" s="129"/>
      <c r="AI1829" s="129"/>
      <c r="AJ1829" s="129"/>
      <c r="CQ1829" s="111"/>
    </row>
    <row r="1830" spans="34:95" x14ac:dyDescent="0.25">
      <c r="AH1830" s="129"/>
      <c r="AI1830" s="129"/>
      <c r="AJ1830" s="129"/>
      <c r="CQ1830" s="111"/>
    </row>
    <row r="1831" spans="34:95" x14ac:dyDescent="0.25">
      <c r="AH1831" s="129"/>
      <c r="AI1831" s="129"/>
      <c r="AJ1831" s="129"/>
      <c r="CQ1831" s="111"/>
    </row>
    <row r="1832" spans="34:95" x14ac:dyDescent="0.25">
      <c r="AH1832" s="129"/>
      <c r="AI1832" s="129"/>
      <c r="AJ1832" s="129"/>
      <c r="CQ1832" s="111"/>
    </row>
    <row r="1833" spans="34:95" x14ac:dyDescent="0.25">
      <c r="AH1833" s="129"/>
      <c r="AI1833" s="129"/>
      <c r="AJ1833" s="129"/>
      <c r="CQ1833" s="111"/>
    </row>
    <row r="1834" spans="34:95" x14ac:dyDescent="0.25">
      <c r="AH1834" s="129"/>
      <c r="AI1834" s="129"/>
      <c r="AJ1834" s="129"/>
      <c r="CQ1834" s="111"/>
    </row>
    <row r="1835" spans="34:95" x14ac:dyDescent="0.25">
      <c r="AH1835" s="129"/>
      <c r="AI1835" s="129"/>
      <c r="AJ1835" s="129"/>
      <c r="CQ1835" s="111"/>
    </row>
    <row r="1836" spans="34:95" x14ac:dyDescent="0.25">
      <c r="AH1836" s="129"/>
      <c r="AI1836" s="129"/>
      <c r="AJ1836" s="129"/>
      <c r="CQ1836" s="111"/>
    </row>
    <row r="1837" spans="34:95" x14ac:dyDescent="0.25">
      <c r="AH1837" s="129"/>
      <c r="AI1837" s="129"/>
      <c r="AJ1837" s="129"/>
      <c r="CQ1837" s="111"/>
    </row>
    <row r="1838" spans="34:95" x14ac:dyDescent="0.25">
      <c r="AH1838" s="129"/>
      <c r="AI1838" s="129"/>
      <c r="AJ1838" s="129"/>
      <c r="CQ1838" s="111"/>
    </row>
    <row r="1839" spans="34:95" x14ac:dyDescent="0.25">
      <c r="AH1839" s="129"/>
      <c r="AI1839" s="129"/>
      <c r="AJ1839" s="129"/>
      <c r="CQ1839" s="111"/>
    </row>
    <row r="1840" spans="34:95" x14ac:dyDescent="0.25">
      <c r="AH1840" s="129"/>
      <c r="AI1840" s="129"/>
      <c r="AJ1840" s="129"/>
      <c r="CQ1840" s="111"/>
    </row>
    <row r="1841" spans="34:95" x14ac:dyDescent="0.25">
      <c r="AH1841" s="129"/>
      <c r="AI1841" s="129"/>
      <c r="AJ1841" s="129"/>
      <c r="CQ1841" s="111"/>
    </row>
    <row r="1842" spans="34:95" x14ac:dyDescent="0.25">
      <c r="AH1842" s="129"/>
      <c r="AI1842" s="129"/>
      <c r="AJ1842" s="129"/>
      <c r="CQ1842" s="111"/>
    </row>
    <row r="1843" spans="34:95" x14ac:dyDescent="0.25">
      <c r="AH1843" s="129"/>
      <c r="AI1843" s="129"/>
      <c r="AJ1843" s="129"/>
      <c r="CQ1843" s="111"/>
    </row>
    <row r="1844" spans="34:95" x14ac:dyDescent="0.25">
      <c r="AH1844" s="129"/>
      <c r="AI1844" s="129"/>
      <c r="AJ1844" s="129"/>
      <c r="CQ1844" s="111"/>
    </row>
    <row r="1845" spans="34:95" x14ac:dyDescent="0.25">
      <c r="AH1845" s="129"/>
      <c r="AI1845" s="129"/>
      <c r="AJ1845" s="129"/>
      <c r="CQ1845" s="111"/>
    </row>
    <row r="1846" spans="34:95" x14ac:dyDescent="0.25">
      <c r="AH1846" s="129"/>
      <c r="AI1846" s="129"/>
      <c r="AJ1846" s="129"/>
      <c r="CQ1846" s="111"/>
    </row>
    <row r="1847" spans="34:95" x14ac:dyDescent="0.25">
      <c r="AH1847" s="129"/>
      <c r="AI1847" s="129"/>
      <c r="AJ1847" s="129"/>
      <c r="CQ1847" s="111"/>
    </row>
    <row r="1848" spans="34:95" x14ac:dyDescent="0.25">
      <c r="AH1848" s="129"/>
      <c r="AI1848" s="129"/>
      <c r="AJ1848" s="129"/>
      <c r="CQ1848" s="111"/>
    </row>
    <row r="1849" spans="34:95" x14ac:dyDescent="0.25">
      <c r="AH1849" s="129"/>
      <c r="AI1849" s="129"/>
      <c r="AJ1849" s="129"/>
      <c r="CQ1849" s="111"/>
    </row>
    <row r="1850" spans="34:95" x14ac:dyDescent="0.25">
      <c r="AH1850" s="129"/>
      <c r="AI1850" s="129"/>
      <c r="AJ1850" s="129"/>
      <c r="CQ1850" s="111"/>
    </row>
    <row r="1851" spans="34:95" x14ac:dyDescent="0.25">
      <c r="AH1851" s="129"/>
      <c r="AI1851" s="129"/>
      <c r="AJ1851" s="129"/>
      <c r="CQ1851" s="111"/>
    </row>
    <row r="1852" spans="34:95" x14ac:dyDescent="0.25">
      <c r="AH1852" s="129"/>
      <c r="AI1852" s="129"/>
      <c r="AJ1852" s="129"/>
      <c r="CQ1852" s="111"/>
    </row>
    <row r="1853" spans="34:95" x14ac:dyDescent="0.25">
      <c r="AH1853" s="129"/>
      <c r="AI1853" s="129"/>
      <c r="AJ1853" s="129"/>
      <c r="CQ1853" s="111"/>
    </row>
    <row r="1854" spans="34:95" x14ac:dyDescent="0.25">
      <c r="AH1854" s="129"/>
      <c r="AI1854" s="129"/>
      <c r="AJ1854" s="129"/>
      <c r="CQ1854" s="111"/>
    </row>
    <row r="1855" spans="34:95" x14ac:dyDescent="0.25">
      <c r="AH1855" s="129"/>
      <c r="AI1855" s="129"/>
      <c r="AJ1855" s="129"/>
      <c r="CQ1855" s="111"/>
    </row>
    <row r="1856" spans="34:95" x14ac:dyDescent="0.25">
      <c r="AH1856" s="129"/>
      <c r="AI1856" s="129"/>
      <c r="AJ1856" s="129"/>
      <c r="CQ1856" s="111"/>
    </row>
    <row r="1857" spans="34:36" x14ac:dyDescent="0.25">
      <c r="AH1857" s="129"/>
      <c r="AI1857" s="129"/>
      <c r="AJ1857" s="129"/>
    </row>
    <row r="1858" spans="34:36" x14ac:dyDescent="0.25">
      <c r="AH1858" s="129"/>
      <c r="AI1858" s="129"/>
      <c r="AJ1858" s="129"/>
    </row>
    <row r="1859" spans="34:36" x14ac:dyDescent="0.25">
      <c r="AH1859" s="129"/>
      <c r="AI1859" s="129"/>
      <c r="AJ1859" s="129"/>
    </row>
    <row r="1860" spans="34:36" x14ac:dyDescent="0.25">
      <c r="AH1860" s="129"/>
      <c r="AI1860" s="129"/>
      <c r="AJ1860" s="129"/>
    </row>
    <row r="1861" spans="34:36" x14ac:dyDescent="0.25">
      <c r="AH1861" s="129"/>
      <c r="AI1861" s="129"/>
      <c r="AJ1861" s="129"/>
    </row>
    <row r="1862" spans="34:36" x14ac:dyDescent="0.25">
      <c r="AH1862" s="129"/>
      <c r="AI1862" s="129"/>
      <c r="AJ1862" s="129"/>
    </row>
    <row r="1863" spans="34:36" x14ac:dyDescent="0.25">
      <c r="AH1863" s="129"/>
      <c r="AI1863" s="129"/>
      <c r="AJ1863" s="129"/>
    </row>
    <row r="1864" spans="34:36" x14ac:dyDescent="0.25">
      <c r="AH1864" s="129"/>
      <c r="AI1864" s="129"/>
      <c r="AJ1864" s="129"/>
    </row>
    <row r="1865" spans="34:36" x14ac:dyDescent="0.25">
      <c r="AH1865" s="129"/>
      <c r="AI1865" s="129"/>
      <c r="AJ1865" s="129"/>
    </row>
    <row r="1866" spans="34:36" x14ac:dyDescent="0.25">
      <c r="AH1866" s="129"/>
      <c r="AI1866" s="129"/>
      <c r="AJ1866" s="129"/>
    </row>
    <row r="1867" spans="34:36" x14ac:dyDescent="0.25">
      <c r="AH1867" s="129"/>
      <c r="AI1867" s="129"/>
      <c r="AJ1867" s="129"/>
    </row>
    <row r="1868" spans="34:36" x14ac:dyDescent="0.25">
      <c r="AH1868" s="129"/>
      <c r="AI1868" s="129"/>
      <c r="AJ1868" s="129"/>
    </row>
    <row r="1869" spans="34:36" x14ac:dyDescent="0.25">
      <c r="AH1869" s="129"/>
      <c r="AI1869" s="129"/>
      <c r="AJ1869" s="129"/>
    </row>
    <row r="1870" spans="34:36" x14ac:dyDescent="0.25">
      <c r="AH1870" s="129"/>
      <c r="AI1870" s="129"/>
      <c r="AJ1870" s="129"/>
    </row>
    <row r="1871" spans="34:36" x14ac:dyDescent="0.25">
      <c r="AH1871" s="129"/>
      <c r="AI1871" s="129"/>
      <c r="AJ1871" s="129"/>
    </row>
    <row r="1872" spans="34:36" x14ac:dyDescent="0.25">
      <c r="AH1872" s="129"/>
      <c r="AI1872" s="129"/>
      <c r="AJ1872" s="129"/>
    </row>
    <row r="1873" spans="34:36" x14ac:dyDescent="0.25">
      <c r="AH1873" s="129"/>
      <c r="AI1873" s="129"/>
      <c r="AJ1873" s="129"/>
    </row>
    <row r="1874" spans="34:36" x14ac:dyDescent="0.25">
      <c r="AH1874" s="129"/>
      <c r="AI1874" s="129"/>
      <c r="AJ1874" s="129"/>
    </row>
    <row r="1875" spans="34:36" x14ac:dyDescent="0.25">
      <c r="AH1875" s="129"/>
      <c r="AI1875" s="129"/>
      <c r="AJ1875" s="129"/>
    </row>
    <row r="1876" spans="34:36" x14ac:dyDescent="0.25">
      <c r="AH1876" s="129"/>
      <c r="AI1876" s="129"/>
      <c r="AJ1876" s="129"/>
    </row>
    <row r="1877" spans="34:36" x14ac:dyDescent="0.25">
      <c r="AH1877" s="129"/>
      <c r="AI1877" s="129"/>
      <c r="AJ1877" s="129"/>
    </row>
    <row r="1878" spans="34:36" x14ac:dyDescent="0.25">
      <c r="AH1878" s="129"/>
      <c r="AI1878" s="129"/>
      <c r="AJ1878" s="129"/>
    </row>
    <row r="1879" spans="34:36" x14ac:dyDescent="0.25">
      <c r="AH1879" s="129"/>
      <c r="AI1879" s="129"/>
      <c r="AJ1879" s="129"/>
    </row>
    <row r="1880" spans="34:36" x14ac:dyDescent="0.25">
      <c r="AH1880" s="129"/>
      <c r="AI1880" s="129"/>
      <c r="AJ1880" s="129"/>
    </row>
    <row r="1881" spans="34:36" x14ac:dyDescent="0.25">
      <c r="AH1881" s="129"/>
      <c r="AI1881" s="129"/>
      <c r="AJ1881" s="129"/>
    </row>
    <row r="1882" spans="34:36" x14ac:dyDescent="0.25">
      <c r="AH1882" s="129"/>
      <c r="AI1882" s="129"/>
      <c r="AJ1882" s="129"/>
    </row>
    <row r="1883" spans="34:36" x14ac:dyDescent="0.25">
      <c r="AH1883" s="129"/>
      <c r="AI1883" s="129"/>
      <c r="AJ1883" s="129"/>
    </row>
    <row r="1884" spans="34:36" x14ac:dyDescent="0.25">
      <c r="AH1884" s="129"/>
      <c r="AI1884" s="129"/>
      <c r="AJ1884" s="129"/>
    </row>
    <row r="1885" spans="34:36" x14ac:dyDescent="0.25">
      <c r="AH1885" s="129"/>
      <c r="AI1885" s="129"/>
      <c r="AJ1885" s="129"/>
    </row>
    <row r="1886" spans="34:36" x14ac:dyDescent="0.25">
      <c r="AH1886" s="129"/>
      <c r="AI1886" s="129"/>
      <c r="AJ1886" s="129"/>
    </row>
    <row r="1887" spans="34:36" x14ac:dyDescent="0.25">
      <c r="AH1887" s="129"/>
      <c r="AI1887" s="129"/>
      <c r="AJ1887" s="129"/>
    </row>
    <row r="1888" spans="34:36" x14ac:dyDescent="0.25">
      <c r="AH1888" s="129"/>
      <c r="AI1888" s="129"/>
      <c r="AJ1888" s="129"/>
    </row>
    <row r="1889" spans="34:36" x14ac:dyDescent="0.25">
      <c r="AH1889" s="129"/>
      <c r="AI1889" s="129"/>
      <c r="AJ1889" s="129"/>
    </row>
    <row r="1890" spans="34:36" x14ac:dyDescent="0.25">
      <c r="AH1890" s="129"/>
      <c r="AI1890" s="129"/>
      <c r="AJ1890" s="129"/>
    </row>
    <row r="1891" spans="34:36" x14ac:dyDescent="0.25">
      <c r="AH1891" s="129"/>
      <c r="AI1891" s="129"/>
      <c r="AJ1891" s="129"/>
    </row>
    <row r="1892" spans="34:36" x14ac:dyDescent="0.25">
      <c r="AH1892" s="129"/>
      <c r="AI1892" s="129"/>
      <c r="AJ1892" s="129"/>
    </row>
    <row r="1893" spans="34:36" x14ac:dyDescent="0.25">
      <c r="AH1893" s="129"/>
      <c r="AI1893" s="129"/>
      <c r="AJ1893" s="129"/>
    </row>
    <row r="1894" spans="34:36" x14ac:dyDescent="0.25">
      <c r="AH1894" s="129"/>
      <c r="AI1894" s="129"/>
      <c r="AJ1894" s="129"/>
    </row>
    <row r="1895" spans="34:36" x14ac:dyDescent="0.25">
      <c r="AH1895" s="129"/>
      <c r="AI1895" s="129"/>
      <c r="AJ1895" s="129"/>
    </row>
    <row r="1896" spans="34:36" x14ac:dyDescent="0.25">
      <c r="AH1896" s="129"/>
      <c r="AI1896" s="129"/>
      <c r="AJ1896" s="129"/>
    </row>
    <row r="1897" spans="34:36" x14ac:dyDescent="0.25">
      <c r="AH1897" s="129"/>
      <c r="AI1897" s="129"/>
      <c r="AJ1897" s="129"/>
    </row>
    <row r="1898" spans="34:36" x14ac:dyDescent="0.25">
      <c r="AH1898" s="129"/>
      <c r="AI1898" s="129"/>
      <c r="AJ1898" s="129"/>
    </row>
    <row r="1899" spans="34:36" x14ac:dyDescent="0.25">
      <c r="AH1899" s="129"/>
      <c r="AI1899" s="129"/>
      <c r="AJ1899" s="129"/>
    </row>
    <row r="1900" spans="34:36" x14ac:dyDescent="0.25">
      <c r="AH1900" s="129"/>
      <c r="AI1900" s="129"/>
      <c r="AJ1900" s="129"/>
    </row>
    <row r="1901" spans="34:36" x14ac:dyDescent="0.25">
      <c r="AH1901" s="129"/>
      <c r="AI1901" s="129"/>
      <c r="AJ1901" s="129"/>
    </row>
    <row r="1902" spans="34:36" x14ac:dyDescent="0.25">
      <c r="AH1902" s="129"/>
      <c r="AI1902" s="129"/>
      <c r="AJ1902" s="129"/>
    </row>
    <row r="1903" spans="34:36" x14ac:dyDescent="0.25">
      <c r="AH1903" s="129"/>
      <c r="AI1903" s="129"/>
      <c r="AJ1903" s="129"/>
    </row>
    <row r="1904" spans="34:36" x14ac:dyDescent="0.25">
      <c r="AH1904" s="129"/>
      <c r="AI1904" s="129"/>
      <c r="AJ1904" s="129"/>
    </row>
    <row r="1905" spans="34:36" x14ac:dyDescent="0.25">
      <c r="AH1905" s="129"/>
      <c r="AI1905" s="129"/>
      <c r="AJ1905" s="129"/>
    </row>
    <row r="1906" spans="34:36" x14ac:dyDescent="0.25">
      <c r="AH1906" s="129"/>
      <c r="AI1906" s="129"/>
      <c r="AJ1906" s="129"/>
    </row>
    <row r="1907" spans="34:36" x14ac:dyDescent="0.25">
      <c r="AH1907" s="129"/>
      <c r="AI1907" s="129"/>
      <c r="AJ1907" s="129"/>
    </row>
    <row r="1908" spans="34:36" x14ac:dyDescent="0.25">
      <c r="AH1908" s="129"/>
      <c r="AI1908" s="129"/>
      <c r="AJ1908" s="129"/>
    </row>
    <row r="1909" spans="34:36" x14ac:dyDescent="0.25">
      <c r="AH1909" s="129"/>
      <c r="AI1909" s="129"/>
      <c r="AJ1909" s="129"/>
    </row>
    <row r="1910" spans="34:36" x14ac:dyDescent="0.25">
      <c r="AH1910" s="129"/>
      <c r="AI1910" s="129"/>
      <c r="AJ1910" s="129"/>
    </row>
    <row r="1911" spans="34:36" x14ac:dyDescent="0.25">
      <c r="AH1911" s="129"/>
      <c r="AI1911" s="129"/>
      <c r="AJ1911" s="129"/>
    </row>
    <row r="1912" spans="34:36" x14ac:dyDescent="0.25">
      <c r="AH1912" s="129"/>
      <c r="AI1912" s="129"/>
      <c r="AJ1912" s="129"/>
    </row>
    <row r="1913" spans="34:36" x14ac:dyDescent="0.25">
      <c r="AH1913" s="129"/>
      <c r="AI1913" s="129"/>
      <c r="AJ1913" s="129"/>
    </row>
    <row r="1914" spans="34:36" x14ac:dyDescent="0.25">
      <c r="AH1914" s="129"/>
      <c r="AI1914" s="129"/>
      <c r="AJ1914" s="129"/>
    </row>
    <row r="1915" spans="34:36" x14ac:dyDescent="0.25">
      <c r="AH1915" s="129"/>
      <c r="AI1915" s="129"/>
      <c r="AJ1915" s="129"/>
    </row>
    <row r="1916" spans="34:36" x14ac:dyDescent="0.25">
      <c r="AH1916" s="129"/>
      <c r="AI1916" s="129"/>
      <c r="AJ1916" s="129"/>
    </row>
    <row r="1917" spans="34:36" x14ac:dyDescent="0.25">
      <c r="AH1917" s="129"/>
      <c r="AI1917" s="129"/>
      <c r="AJ1917" s="129"/>
    </row>
    <row r="1918" spans="34:36" x14ac:dyDescent="0.25">
      <c r="AH1918" s="129"/>
      <c r="AI1918" s="129"/>
      <c r="AJ1918" s="129"/>
    </row>
    <row r="1919" spans="34:36" x14ac:dyDescent="0.25">
      <c r="AH1919" s="129"/>
      <c r="AI1919" s="129"/>
      <c r="AJ1919" s="129"/>
    </row>
    <row r="1920" spans="34:36" x14ac:dyDescent="0.25">
      <c r="AH1920" s="129"/>
      <c r="AI1920" s="129"/>
      <c r="AJ1920" s="129"/>
    </row>
    <row r="1921" spans="34:36" x14ac:dyDescent="0.25">
      <c r="AH1921" s="129"/>
      <c r="AI1921" s="129"/>
      <c r="AJ1921" s="129"/>
    </row>
    <row r="1922" spans="34:36" x14ac:dyDescent="0.25">
      <c r="AH1922" s="129"/>
      <c r="AI1922" s="129"/>
      <c r="AJ1922" s="129"/>
    </row>
    <row r="1923" spans="34:36" x14ac:dyDescent="0.25">
      <c r="AH1923" s="129"/>
      <c r="AI1923" s="129"/>
      <c r="AJ1923" s="129"/>
    </row>
    <row r="1924" spans="34:36" x14ac:dyDescent="0.25">
      <c r="AH1924" s="129"/>
      <c r="AI1924" s="129"/>
      <c r="AJ1924" s="129"/>
    </row>
    <row r="1925" spans="34:36" x14ac:dyDescent="0.25">
      <c r="AH1925" s="129"/>
      <c r="AI1925" s="129"/>
      <c r="AJ1925" s="129"/>
    </row>
    <row r="1926" spans="34:36" x14ac:dyDescent="0.25">
      <c r="AH1926" s="129"/>
      <c r="AI1926" s="129"/>
      <c r="AJ1926" s="129"/>
    </row>
    <row r="1927" spans="34:36" x14ac:dyDescent="0.25">
      <c r="AH1927" s="129"/>
      <c r="AI1927" s="129"/>
      <c r="AJ1927" s="129"/>
    </row>
    <row r="1928" spans="34:36" x14ac:dyDescent="0.25">
      <c r="AH1928" s="129"/>
      <c r="AI1928" s="129"/>
      <c r="AJ1928" s="129"/>
    </row>
    <row r="1929" spans="34:36" x14ac:dyDescent="0.25">
      <c r="AH1929" s="129"/>
      <c r="AI1929" s="129"/>
      <c r="AJ1929" s="129"/>
    </row>
    <row r="1930" spans="34:36" x14ac:dyDescent="0.25">
      <c r="AH1930" s="129"/>
      <c r="AI1930" s="129"/>
      <c r="AJ1930" s="129"/>
    </row>
    <row r="1931" spans="34:36" x14ac:dyDescent="0.25">
      <c r="AH1931" s="129"/>
      <c r="AI1931" s="129"/>
      <c r="AJ1931" s="129"/>
    </row>
    <row r="1932" spans="34:36" x14ac:dyDescent="0.25">
      <c r="AH1932" s="129"/>
      <c r="AI1932" s="129"/>
      <c r="AJ1932" s="129"/>
    </row>
    <row r="1933" spans="34:36" x14ac:dyDescent="0.25">
      <c r="AH1933" s="129"/>
      <c r="AI1933" s="129"/>
      <c r="AJ1933" s="129"/>
    </row>
    <row r="1934" spans="34:36" x14ac:dyDescent="0.25">
      <c r="AH1934" s="129"/>
      <c r="AI1934" s="129"/>
      <c r="AJ1934" s="129"/>
    </row>
    <row r="1935" spans="34:36" x14ac:dyDescent="0.25">
      <c r="AH1935" s="129"/>
      <c r="AI1935" s="129"/>
      <c r="AJ1935" s="129"/>
    </row>
    <row r="1936" spans="34:36" x14ac:dyDescent="0.25">
      <c r="AH1936" s="129"/>
      <c r="AI1936" s="129"/>
      <c r="AJ1936" s="129"/>
    </row>
    <row r="1937" spans="34:36" x14ac:dyDescent="0.25">
      <c r="AH1937" s="129"/>
      <c r="AI1937" s="129"/>
      <c r="AJ1937" s="129"/>
    </row>
    <row r="1938" spans="34:36" x14ac:dyDescent="0.25">
      <c r="AH1938" s="129"/>
      <c r="AI1938" s="129"/>
      <c r="AJ1938" s="129"/>
    </row>
    <row r="1939" spans="34:36" x14ac:dyDescent="0.25">
      <c r="AH1939" s="129"/>
      <c r="AI1939" s="129"/>
      <c r="AJ1939" s="129"/>
    </row>
    <row r="1940" spans="34:36" x14ac:dyDescent="0.25">
      <c r="AH1940" s="129"/>
      <c r="AI1940" s="129"/>
      <c r="AJ1940" s="129"/>
    </row>
    <row r="1941" spans="34:36" x14ac:dyDescent="0.25">
      <c r="AH1941" s="129"/>
      <c r="AI1941" s="129"/>
      <c r="AJ1941" s="129"/>
    </row>
    <row r="1942" spans="34:36" x14ac:dyDescent="0.25">
      <c r="AH1942" s="129"/>
      <c r="AI1942" s="129"/>
      <c r="AJ1942" s="129"/>
    </row>
    <row r="1943" spans="34:36" x14ac:dyDescent="0.25">
      <c r="AH1943" s="129"/>
      <c r="AI1943" s="129"/>
      <c r="AJ1943" s="129"/>
    </row>
    <row r="1944" spans="34:36" x14ac:dyDescent="0.25">
      <c r="AH1944" s="129"/>
      <c r="AI1944" s="129"/>
      <c r="AJ1944" s="129"/>
    </row>
    <row r="1945" spans="34:36" x14ac:dyDescent="0.25">
      <c r="AH1945" s="129"/>
      <c r="AI1945" s="129"/>
      <c r="AJ1945" s="129"/>
    </row>
  </sheetData>
  <conditionalFormatting sqref="A5:A984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25:A984 J625:K984 O625:Q984">
    <cfRule type="containsText" dxfId="69" priority="41" operator="containsText" text="false">
      <formula>NÃO(ÉERROS(LOCALIZAR("false",A625)))</formula>
    </cfRule>
  </conditionalFormatting>
  <conditionalFormatting sqref="A691:A984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86:A988">
    <cfRule type="containsText" dxfId="68" priority="15" operator="containsText" text="false">
      <formula>NÃO(ÉERROS(LOCALIZAR("false",A986)))</formula>
    </cfRule>
  </conditionalFormatting>
  <conditionalFormatting sqref="A991">
    <cfRule type="containsText" dxfId="67" priority="58" operator="containsText" text="false">
      <formula>NÃO(ÉERROS(LOCALIZAR("false",A991)))</formula>
    </cfRule>
  </conditionalFormatting>
  <conditionalFormatting sqref="A999:A1000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03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04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05:A1006 A1001:A1002 A1018:A1019 A1021:A1241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0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14:A101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16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17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20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H984">
    <cfRule type="containsText" dxfId="66" priority="39" operator="containsText" text="false">
      <formula>NÃO(ÉERROS(LOCALIZAR("false",B5)))</formula>
    </cfRule>
  </conditionalFormatting>
  <conditionalFormatting sqref="D4">
    <cfRule type="containsText" dxfId="65" priority="35" operator="containsText" text="false">
      <formula>NÃO(ÉERROS(LOCALIZAR("false",D4)))</formula>
    </cfRule>
  </conditionalFormatting>
  <conditionalFormatting sqref="D5:D984">
    <cfRule type="containsText" dxfId="64" priority="104" operator="containsText" text="false">
      <formula>NÃO(ÉERROS(LOCALIZAR("false",D5)))</formula>
    </cfRule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984">
    <cfRule type="containsText" dxfId="63" priority="109" operator="containsText" text="false">
      <formula>NÃO(ÉERROS(LOCALIZAR("false",E5)))</formula>
    </cfRule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85:E986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{8E11D27F-CAB7-47AB-9D9B-72EED59BF1A9}</x14:id>
        </ext>
      </extLst>
    </cfRule>
  </conditionalFormatting>
  <conditionalFormatting sqref="E985:H986">
    <cfRule type="containsText" dxfId="62" priority="56" operator="containsText" text="false">
      <formula>NÃO(ÉERROS(LOCALIZAR("false",E985)))</formula>
    </cfRule>
  </conditionalFormatting>
  <conditionalFormatting sqref="F4:G4">
    <cfRule type="containsText" dxfId="61" priority="34" operator="containsText" text="false">
      <formula>NÃO(ÉERROS(LOCALIZAR("false",F4)))</formula>
    </cfRule>
  </conditionalFormatting>
  <conditionalFormatting sqref="F5:G984">
    <cfRule type="colorScale" priority="110">
      <colorScale>
        <cfvo type="min"/>
        <cfvo type="percentile" val="50"/>
        <cfvo type="max"/>
        <color theme="5"/>
        <color rgb="FFFFEB84"/>
        <color rgb="FF63BE7B"/>
      </colorScale>
    </cfRule>
    <cfRule type="containsText" dxfId="60" priority="40" operator="containsText" text="false">
      <formula>NÃO(ÉERROS(LOCALIZAR("false",F5)))</formula>
    </cfRule>
  </conditionalFormatting>
  <conditionalFormatting sqref="F691:G98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87:J988">
    <cfRule type="containsText" dxfId="59" priority="1" operator="containsText" text="false">
      <formula>NÃO(ÉERROS(LOCALIZAR("false",J987)))</formula>
    </cfRule>
  </conditionalFormatting>
  <conditionalFormatting sqref="J989">
    <cfRule type="cellIs" dxfId="58" priority="4" operator="notEqual">
      <formula>0</formula>
    </cfRule>
  </conditionalFormatting>
  <conditionalFormatting sqref="J987:K989">
    <cfRule type="containsText" dxfId="57" priority="5" operator="containsText" text="false">
      <formula>NÃO(ÉERROS(LOCALIZAR("false",J987)))</formula>
    </cfRule>
  </conditionalFormatting>
  <conditionalFormatting sqref="J993:K993">
    <cfRule type="containsText" dxfId="56" priority="47" operator="containsText" text="false">
      <formula>NÃO(ÉERROS(LOCALIZAR("false",J993)))</formula>
    </cfRule>
  </conditionalFormatting>
  <conditionalFormatting sqref="K3">
    <cfRule type="containsText" dxfId="55" priority="51" operator="containsText" text="false">
      <formula>NÃO(ÉERROS(LOCALIZAR("false",K3)))</formula>
    </cfRule>
  </conditionalFormatting>
  <conditionalFormatting sqref="K989">
    <cfRule type="cellIs" dxfId="54" priority="3" operator="notEqual">
      <formula>1</formula>
    </cfRule>
  </conditionalFormatting>
  <conditionalFormatting sqref="K995">
    <cfRule type="containsText" dxfId="53" priority="45" operator="containsText" text="false">
      <formula>NÃO(ÉERROS(LOCALIZAR("false",K995)))</formula>
    </cfRule>
    <cfRule type="cellIs" dxfId="52" priority="48" operator="notEqual">
      <formula>0</formula>
    </cfRule>
  </conditionalFormatting>
  <conditionalFormatting sqref="L5:L2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{D43F6F0B-574D-4377-986D-C70B50FB3E06}</x14:id>
        </ext>
      </extLst>
    </cfRule>
  </conditionalFormatting>
  <conditionalFormatting sqref="L23:N984 N5:N22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{485E04FF-C16B-49DE-8785-4B10F539DEB7}</x14:id>
        </ext>
      </extLst>
    </cfRule>
  </conditionalFormatting>
  <conditionalFormatting sqref="M5:M2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{46A68F5F-315E-4B6F-8CB5-FF3B1BA4EFE3}</x14:id>
        </ext>
      </extLst>
    </cfRule>
  </conditionalFormatting>
  <conditionalFormatting sqref="O5:O984">
    <cfRule type="dataBar" priority="1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{A4742729-78F5-4A05-9279-4E365701B8AB}</x14:id>
        </ext>
      </extLst>
    </cfRule>
  </conditionalFormatting>
  <conditionalFormatting sqref="P5:P984">
    <cfRule type="dataBar" priority="1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{F8D42B80-2915-46CE-811F-26CD485F7BD0}</x14:id>
        </ext>
      </extLst>
    </cfRule>
  </conditionalFormatting>
  <conditionalFormatting sqref="Q4">
    <cfRule type="containsText" dxfId="51" priority="33" operator="containsText" text="false">
      <formula>NÃO(ÉERROS(LOCALIZAR("false",Q4)))</formula>
    </cfRule>
  </conditionalFormatting>
  <conditionalFormatting sqref="Q5:Q984">
    <cfRule type="dataBar" priority="1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{05CDE04E-DD8C-42FB-861F-91B36C0D2F6F}</x14:id>
        </ext>
      </extLst>
    </cfRule>
  </conditionalFormatting>
  <conditionalFormatting sqref="V2:V3">
    <cfRule type="containsText" dxfId="50" priority="60" operator="containsText" text="false">
      <formula>NÃO(ÉERROS(LOCALIZAR("false",V2)))</formula>
    </cfRule>
  </conditionalFormatting>
  <conditionalFormatting sqref="W5:W984">
    <cfRule type="dataBar" priority="102">
      <dataBar>
        <cfvo type="min"/>
        <cfvo type="max"/>
        <color rgb="FF66FFFF"/>
      </dataBar>
      <extLst>
        <ext xmlns:x14="http://schemas.microsoft.com/office/spreadsheetml/2009/9/main" uri="{B025F937-C7B1-47D3-B67F-A62EFF666E3E}">
          <x14:id>{CE40F876-8533-400D-A2AD-C7C824407CBB}</x14:id>
        </ext>
      </extLst>
    </cfRule>
  </conditionalFormatting>
  <conditionalFormatting sqref="W12:W27">
    <cfRule type="dataBar" priority="42">
      <dataBar>
        <cfvo type="min"/>
        <cfvo type="max"/>
        <color rgb="FF66FFFF"/>
      </dataBar>
      <extLst>
        <ext xmlns:x14="http://schemas.microsoft.com/office/spreadsheetml/2009/9/main" uri="{B025F937-C7B1-47D3-B67F-A62EFF666E3E}">
          <x14:id>{F5E31034-972B-48A2-9CD6-651D08A0F686}</x14:id>
        </ext>
      </extLst>
    </cfRule>
  </conditionalFormatting>
  <conditionalFormatting sqref="X3">
    <cfRule type="containsText" dxfId="49" priority="14" operator="containsText" text="false">
      <formula>NÃO(ÉERROS(LOCALIZAR("false",X3)))</formula>
    </cfRule>
  </conditionalFormatting>
  <conditionalFormatting sqref="Y987:AF1011 AL987:AO1011 O996:Q1011 J1011:K1011 AH1011:AJ1011">
    <cfRule type="containsText" dxfId="48" priority="30" operator="containsText" text="false">
      <formula>NÃO(ÉERROS(LOCALIZAR("false",J987)))</formula>
    </cfRule>
  </conditionalFormatting>
  <conditionalFormatting sqref="Z5:Z984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{FB6D677E-05D8-4B7C-B2E6-7BC79E3BD74A}</x14:id>
        </ext>
      </extLst>
    </cfRule>
  </conditionalFormatting>
  <conditionalFormatting sqref="AA4">
    <cfRule type="containsText" dxfId="47" priority="10" operator="containsText" text="false">
      <formula>NÃO(ÉERROS(LOCALIZAR("false",AA4)))</formula>
    </cfRule>
  </conditionalFormatting>
  <conditionalFormatting sqref="AA5:AA984">
    <cfRule type="containsText" dxfId="46" priority="11" operator="containsText" text="false">
      <formula>NÃO(ÉERROS(LOCALIZAR("false",AA5)))</formula>
    </cfRule>
    <cfRule type="cellIs" dxfId="45" priority="12" operator="equal">
      <formula>0</formula>
    </cfRule>
    <cfRule type="dataBar" priority="1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{2D0EA5C8-9E49-442A-8138-95DFFD77F354}</x14:id>
        </ext>
      </extLst>
    </cfRule>
  </conditionalFormatting>
  <conditionalFormatting sqref="AB5:AB984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:AC624 U625:AD984 AF625:AK984 A990:D1007 A1014:D1245 J995:K1010 B5:H984 A986:B986 B987:B988 F987:F989 AH987:AI1010 O988:Q989 F990:H990 E991:H1011 Q993 E1018:I1019 J1020:K1021 O1020:Q1021 Y1020:AF1021 AH1020:AI1021 AL1020:AO1021 E1020:H1045 J1026:K1045 O1026:Q1045 Y1026:Z1045 AA1026:AF1249 AH1026:AI1249 AL1026:AO1249 E1046:G1046 E1047:H1249 J1047:K1249 O1047:Q1249 Y1047:Z1249">
    <cfRule type="containsText" dxfId="44" priority="99" operator="containsText" text="false">
      <formula>NÃO(ÉERROS(LOCALIZAR("false",A5)))</formula>
    </cfRule>
  </conditionalFormatting>
  <conditionalFormatting sqref="AC5:AC984">
    <cfRule type="dataBar" priority="10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{4BE4305F-F2E5-40F1-9D59-371B4836D578}</x14:id>
        </ext>
      </extLst>
    </cfRule>
  </conditionalFormatting>
  <conditionalFormatting sqref="AD5:AD984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984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{60ABB9FA-A5FA-46EE-B1EE-68A476BC683E}</x14:id>
        </ext>
      </extLst>
    </cfRule>
  </conditionalFormatting>
  <conditionalFormatting sqref="AF50:AF53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{E18E0AF7-2E8E-431B-8E42-58BDE28A27D8}</x14:id>
        </ext>
      </extLst>
    </cfRule>
  </conditionalFormatting>
  <conditionalFormatting sqref="AF54:AF984 AF5:AF49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{8F429F61-DDA6-476F-8234-6E4B74CE0D76}</x14:id>
        </ext>
      </extLst>
    </cfRule>
  </conditionalFormatting>
  <conditionalFormatting sqref="AG5:AG984">
    <cfRule type="dataBar" priority="1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{A934CD08-B6D1-441B-B956-5239DEB3A400}</x14:id>
        </ext>
      </extLst>
    </cfRule>
  </conditionalFormatting>
  <conditionalFormatting sqref="AH5:AH984">
    <cfRule type="dataBar" priority="1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{217E8D57-B06B-457E-808E-7F26E9933AC0}</x14:id>
        </ext>
      </extLst>
    </cfRule>
  </conditionalFormatting>
  <conditionalFormatting sqref="AI3">
    <cfRule type="containsText" dxfId="43" priority="28" operator="containsText" text="false">
      <formula>NÃO(ÉERROS(LOCALIZAR("false",AI3)))</formula>
    </cfRule>
    <cfRule type="dataBar" priority="29">
      <dataBar>
        <cfvo type="min"/>
        <cfvo type="max"/>
        <color rgb="FF66FFFF"/>
      </dataBar>
      <extLst>
        <ext xmlns:x14="http://schemas.microsoft.com/office/spreadsheetml/2009/9/main" uri="{B025F937-C7B1-47D3-B67F-A62EFF666E3E}">
          <x14:id>{8BC7F4C1-0FF5-4282-B18F-11B26269A177}</x14:id>
        </ext>
      </extLst>
    </cfRule>
  </conditionalFormatting>
  <conditionalFormatting sqref="AI5:AI984">
    <cfRule type="dataBar" priority="100">
      <dataBar>
        <cfvo type="min"/>
        <cfvo type="max"/>
        <color rgb="FF66FFFF"/>
      </dataBar>
      <extLst>
        <ext xmlns:x14="http://schemas.microsoft.com/office/spreadsheetml/2009/9/main" uri="{B025F937-C7B1-47D3-B67F-A62EFF666E3E}">
          <x14:id>{AC31060F-052A-4F34-A148-86EBB1D7D317}</x14:id>
        </ext>
      </extLst>
    </cfRule>
  </conditionalFormatting>
  <conditionalFormatting sqref="AM5:AM88">
    <cfRule type="containsText" dxfId="42" priority="120" operator="containsText" text="false">
      <formula>NÃO(ÉERROS(LOCALIZAR("false",AM5)))</formula>
    </cfRule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N5:AN984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  <cfRule type="containsText" dxfId="41" priority="118" operator="containsText" text="false">
      <formula>NÃO(ÉERROS(LOCALIZAR("false",AN5)))</formula>
    </cfRule>
  </conditionalFormatting>
  <conditionalFormatting sqref="AO4">
    <cfRule type="containsText" dxfId="40" priority="6" operator="containsText" text="false">
      <formula>NÃO(ÉERROS(LOCALIZAR("false",AO4)))</formula>
    </cfRule>
  </conditionalFormatting>
  <conditionalFormatting sqref="AO5:AO88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  <cfRule type="containsText" dxfId="39" priority="122" operator="containsText" text="false">
      <formula>NÃO(ÉERROS(LOCALIZAR("false",AO5)))</formula>
    </cfRule>
  </conditionalFormatting>
  <conditionalFormatting sqref="AQ23:AQ984">
    <cfRule type="dataBar" priority="27">
      <dataBar>
        <cfvo type="min"/>
        <cfvo type="max"/>
        <color rgb="FF66FFFF"/>
      </dataBar>
      <extLst>
        <ext xmlns:x14="http://schemas.microsoft.com/office/spreadsheetml/2009/9/main" uri="{B025F937-C7B1-47D3-B67F-A62EFF666E3E}">
          <x14:id>{FFF62BE1-4AB0-4D8F-95E3-CC3240F15910}</x14:id>
        </ext>
      </extLst>
    </cfRule>
    <cfRule type="containsText" dxfId="38" priority="24" operator="containsText" text="false">
      <formula>NÃO(ÉERROS(LOCALIZAR("false",AQ23)))</formula>
    </cfRule>
  </conditionalFormatting>
  <conditionalFormatting sqref="AR244:AR247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{B0930868-9FF6-4BE2-8807-9515FF40966F}</x14:id>
        </ext>
      </extLst>
    </cfRule>
  </conditionalFormatting>
  <conditionalFormatting sqref="AU244:AU247"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{B1891EFA-430A-48AE-9F0B-3E4B02D5A13B}</x14:id>
        </ext>
      </extLst>
    </cfRule>
  </conditionalFormatting>
  <conditionalFormatting sqref="AV244:AV247">
    <cfRule type="dataBar" priority="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{CF3AE41D-0386-4316-BC91-C0CB190F563C}</x14:id>
        </ext>
      </extLst>
    </cfRule>
    <cfRule type="containsText" dxfId="37" priority="85" operator="containsText" text="false">
      <formula>NÃO(ÉERROS(LOCALIZAR("false",AV244)))</formula>
    </cfRule>
  </conditionalFormatting>
  <conditionalFormatting sqref="AZ244:AZ247">
    <cfRule type="dataBar" priority="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{639CB668-4AD3-480E-AD95-CB3A909A3629}</x14:id>
        </ext>
      </extLst>
    </cfRule>
  </conditionalFormatting>
  <conditionalFormatting sqref="BA244:BA247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{D6F840B5-F6A8-411D-A82B-231B1CF2A734}</x14:id>
        </ext>
      </extLst>
    </cfRule>
  </conditionalFormatting>
  <conditionalFormatting sqref="BB244:BB247">
    <cfRule type="containsText" dxfId="36" priority="76" operator="containsText" text="false">
      <formula>NÃO(ÉERROS(LOCALIZAR("false",BB244)))</formula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{9E136C5C-EFA9-4B55-AD5D-E60B23A6F42B}</x14:id>
        </ext>
      </extLst>
    </cfRule>
  </conditionalFormatting>
  <conditionalFormatting sqref="BB244:BD247">
    <cfRule type="containsText" dxfId="35" priority="91" operator="containsText" text="false">
      <formula>NÃO(ÉERROS(LOCALIZAR("false",BB244)))</formula>
    </cfRule>
  </conditionalFormatting>
  <conditionalFormatting sqref="BC244:BC247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{D84193EC-FB28-4F5E-9C42-BB2E814208D0}</x14:id>
        </ext>
      </extLst>
    </cfRule>
  </conditionalFormatting>
  <conditionalFormatting sqref="BD244:BD247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{C1A23FEF-2AB6-4B6A-B970-6A14E64A9A8C}</x14:id>
        </ext>
      </extLst>
    </cfRule>
    <cfRule type="containsText" dxfId="34" priority="83" operator="containsText" text="false">
      <formula>NÃO(ÉERROS(LOCALIZAR("false",BD244)))</formula>
    </cfRule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{4C44932B-2BE2-4697-A607-00F2C4154E7F}</x14:id>
        </ext>
      </extLst>
    </cfRule>
  </conditionalFormatting>
  <conditionalFormatting sqref="BE244:BE247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{80F2DF79-2FEC-40AD-B041-061142917518}</x14:id>
        </ext>
      </extLst>
    </cfRule>
  </conditionalFormatting>
  <conditionalFormatting sqref="BE244:BF247">
    <cfRule type="containsText" dxfId="33" priority="73" operator="containsText" text="false">
      <formula>NÃO(ÉERROS(LOCALIZAR("false",BE244)))</formula>
    </cfRule>
  </conditionalFormatting>
  <conditionalFormatting sqref="BG244:BG247">
    <cfRule type="colorScale" priority="71">
      <colorScale>
        <cfvo type="min"/>
        <cfvo type="percentile" val="50"/>
        <cfvo type="max"/>
        <color theme="5"/>
        <color rgb="FFFFEB84"/>
        <color rgb="FF63BE7B"/>
      </colorScale>
    </cfRule>
  </conditionalFormatting>
  <conditionalFormatting sqref="BI244:BI247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{5FA0FC3D-A569-4220-9C33-435B68C66750}</x14:id>
        </ext>
      </extLst>
    </cfRule>
  </conditionalFormatting>
  <conditionalFormatting sqref="BJ244:BL247 BH244:BH247">
    <cfRule type="colorScale" priority="70">
      <colorScale>
        <cfvo type="min"/>
        <cfvo type="percentile" val="50"/>
        <cfvo type="max"/>
        <color theme="5"/>
        <color rgb="FFFFEB84"/>
        <color rgb="FF63BE7B"/>
      </colorScale>
    </cfRule>
  </conditionalFormatting>
  <conditionalFormatting sqref="BN244:BN247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{73C3D90C-4664-4C78-B416-620E4A10BAFF}</x14:id>
        </ext>
      </extLst>
    </cfRule>
  </conditionalFormatting>
  <conditionalFormatting sqref="BO244:BW247">
    <cfRule type="containsText" dxfId="32" priority="78" operator="containsText" text="false">
      <formula>NÃO(ÉERROS(LOCALIZAR("false",BO244)))</formula>
    </cfRule>
  </conditionalFormatting>
  <conditionalFormatting sqref="BR244:BW247">
    <cfRule type="dataBar" priority="79">
      <dataBar>
        <cfvo type="min"/>
        <cfvo type="max"/>
        <color rgb="FF66FFFF"/>
      </dataBar>
      <extLst>
        <ext xmlns:x14="http://schemas.microsoft.com/office/spreadsheetml/2009/9/main" uri="{B025F937-C7B1-47D3-B67F-A62EFF666E3E}">
          <x14:id>{1A743456-FE0C-4193-9E73-CD9EA14D0A3E}</x14:id>
        </ext>
      </extLst>
    </cfRule>
  </conditionalFormatting>
  <conditionalFormatting sqref="BX244:BX247 O5:Q984 W5:AD984 AI5:AI984 BM244:BM247">
    <cfRule type="containsText" dxfId="31" priority="93" operator="containsText" text="false">
      <formula>NÃO(ÉERROS(LOCALIZAR("false",O5)))</formula>
    </cfRule>
  </conditionalFormatting>
  <conditionalFormatting sqref="BX244:BX247 O5:Q984 BM244:BM247 BO244:BQ247">
    <cfRule type="cellIs" dxfId="30" priority="92" operator="equal">
      <formula>0</formula>
    </cfRule>
  </conditionalFormatting>
  <conditionalFormatting sqref="BX244:BX247">
    <cfRule type="containsText" dxfId="29" priority="86" operator="containsText" text="false">
      <formula>NÃO(ÉERROS(LOCALIZAR("false",BX244)))</formula>
    </cfRule>
    <cfRule type="dataBar" priority="77">
      <dataBar>
        <cfvo type="min"/>
        <cfvo type="max"/>
        <color rgb="FF66FFFF"/>
      </dataBar>
      <extLst>
        <ext xmlns:x14="http://schemas.microsoft.com/office/spreadsheetml/2009/9/main" uri="{B025F937-C7B1-47D3-B67F-A62EFF666E3E}">
          <x14:id>{F07CF968-1271-4C2C-9FF6-12B42A3E3B30}</x14:id>
        </ext>
      </extLst>
    </cfRule>
  </conditionalFormatting>
  <conditionalFormatting sqref="BZ244:CE247">
    <cfRule type="dataBar" priority="81">
      <dataBar>
        <cfvo type="min"/>
        <cfvo type="max"/>
        <color rgb="FF66FFFF"/>
      </dataBar>
      <extLst>
        <ext xmlns:x14="http://schemas.microsoft.com/office/spreadsheetml/2009/9/main" uri="{B025F937-C7B1-47D3-B67F-A62EFF666E3E}">
          <x14:id>{4876D70A-2D5D-4FA6-BD78-B92DB2AD38EB}</x14:id>
        </ext>
      </extLst>
    </cfRule>
    <cfRule type="containsText" dxfId="28" priority="80" operator="containsText" text="false">
      <formula>NÃO(ÉERROS(LOCALIZAR("false",BZ244)))</formula>
    </cfRule>
  </conditionalFormatting>
  <conditionalFormatting sqref="CP997:CT998">
    <cfRule type="dataBar" priority="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{A5339772-B0B8-400A-BC29-5870966368C3}</x14:id>
        </ext>
      </extLst>
    </cfRule>
  </conditionalFormatting>
  <conditionalFormatting sqref="CP988:CU988">
    <cfRule type="dataBar" priority="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{57B8D5BD-7FBD-45D5-BDC2-4541FFDD2367}</x14:id>
        </ext>
      </extLst>
    </cfRule>
  </conditionalFormatting>
  <conditionalFormatting sqref="CP990:CU990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{63D9EEE4-758B-478F-903B-12B3239B0157}</x14:id>
        </ext>
      </extLst>
    </cfRule>
  </conditionalFormatting>
  <conditionalFormatting sqref="CP991:CU991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{7FEB3A72-1791-4D12-B1DA-AE985AFC63FA}</x14:id>
        </ext>
      </extLst>
    </cfRule>
  </conditionalFormatting>
  <conditionalFormatting sqref="CP992:CU992">
    <cfRule type="dataBar" priority="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{96AE50B7-5763-45FC-B646-5FAEE9F554F1}</x14:id>
        </ext>
      </extLst>
    </cfRule>
  </conditionalFormatting>
  <conditionalFormatting sqref="CP994:CU995">
    <cfRule type="dataBar" priority="9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{A070068E-6B23-42CC-ADB5-A42CB753D05B}</x14:id>
        </ext>
      </extLst>
    </cfRule>
  </conditionalFormatting>
  <conditionalFormatting sqref="CU997:CU998">
    <cfRule type="dataBar" priority="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{FA25AF0F-400F-4758-801C-2F51EBDE7532}</x14:id>
        </ext>
      </extLst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11D27F-CAB7-47AB-9D9B-72EED59BF1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E985:E986</xm:sqref>
        </x14:conditionalFormatting>
        <x14:conditionalFormatting xmlns:xm="http://schemas.microsoft.com/office/excel/2006/main">
          <x14:cfRule type="dataBar" id="{D43F6F0B-574D-4377-986D-C70B50FB3E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L5:L22</xm:sqref>
        </x14:conditionalFormatting>
        <x14:conditionalFormatting xmlns:xm="http://schemas.microsoft.com/office/excel/2006/main">
          <x14:cfRule type="dataBar" id="{485E04FF-C16B-49DE-8785-4B10F539D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L23:N984 N5:N22</xm:sqref>
        </x14:conditionalFormatting>
        <x14:conditionalFormatting xmlns:xm="http://schemas.microsoft.com/office/excel/2006/main">
          <x14:cfRule type="dataBar" id="{46A68F5F-315E-4B6F-8CB5-FF3B1BA4EF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M5:M22</xm:sqref>
        </x14:conditionalFormatting>
        <x14:conditionalFormatting xmlns:xm="http://schemas.microsoft.com/office/excel/2006/main">
          <x14:cfRule type="dataBar" id="{A4742729-78F5-4A05-9279-4E365701B8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O5:O984</xm:sqref>
        </x14:conditionalFormatting>
        <x14:conditionalFormatting xmlns:xm="http://schemas.microsoft.com/office/excel/2006/main">
          <x14:cfRule type="dataBar" id="{F8D42B80-2915-46CE-811F-26CD485F7B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P5:P984</xm:sqref>
        </x14:conditionalFormatting>
        <x14:conditionalFormatting xmlns:xm="http://schemas.microsoft.com/office/excel/2006/main">
          <x14:cfRule type="dataBar" id="{05CDE04E-DD8C-42FB-861F-91B36C0D2F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Q5:Q984</xm:sqref>
        </x14:conditionalFormatting>
        <x14:conditionalFormatting xmlns:xm="http://schemas.microsoft.com/office/excel/2006/main">
          <x14:cfRule type="dataBar" id="{CE40F876-8533-400D-A2AD-C7C824407CBB}">
            <x14:dataBar minLength="0" maxLength="100" gradient="0">
              <x14:cfvo type="autoMin"/>
              <x14:cfvo type="autoMax"/>
              <x14:negativeFillColor rgb="FFFF5BB9"/>
              <x14:axisColor rgb="FF000000"/>
            </x14:dataBar>
          </x14:cfRule>
          <xm:sqref>W5:W984</xm:sqref>
        </x14:conditionalFormatting>
        <x14:conditionalFormatting xmlns:xm="http://schemas.microsoft.com/office/excel/2006/main">
          <x14:cfRule type="dataBar" id="{F5E31034-972B-48A2-9CD6-651D08A0F686}">
            <x14:dataBar minLength="0" maxLength="100" gradient="0">
              <x14:cfvo type="autoMin"/>
              <x14:cfvo type="autoMax"/>
              <x14:negativeFillColor rgb="FFFF5BB9"/>
              <x14:axisColor rgb="FF000000"/>
            </x14:dataBar>
          </x14:cfRule>
          <xm:sqref>W12:W27</xm:sqref>
        </x14:conditionalFormatting>
        <x14:conditionalFormatting xmlns:xm="http://schemas.microsoft.com/office/excel/2006/main">
          <x14:cfRule type="dataBar" id="{FB6D677E-05D8-4B7C-B2E6-7BC79E3BD7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Z5:Z984</xm:sqref>
        </x14:conditionalFormatting>
        <x14:conditionalFormatting xmlns:xm="http://schemas.microsoft.com/office/excel/2006/main">
          <x14:cfRule type="dataBar" id="{2D0EA5C8-9E49-442A-8138-95DFFD77F3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AA5:AA984</xm:sqref>
        </x14:conditionalFormatting>
        <x14:conditionalFormatting xmlns:xm="http://schemas.microsoft.com/office/excel/2006/main">
          <x14:cfRule type="dataBar" id="{4BE4305F-F2E5-40F1-9D59-371B4836D5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AC5:AC984</xm:sqref>
        </x14:conditionalFormatting>
        <x14:conditionalFormatting xmlns:xm="http://schemas.microsoft.com/office/excel/2006/main">
          <x14:cfRule type="dataBar" id="{60ABB9FA-A5FA-46EE-B1EE-68A476BC68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AE5:AE984</xm:sqref>
        </x14:conditionalFormatting>
        <x14:conditionalFormatting xmlns:xm="http://schemas.microsoft.com/office/excel/2006/main">
          <x14:cfRule type="dataBar" id="{E18E0AF7-2E8E-431B-8E42-58BDE28A27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AF50:AF53</xm:sqref>
        </x14:conditionalFormatting>
        <x14:conditionalFormatting xmlns:xm="http://schemas.microsoft.com/office/excel/2006/main">
          <x14:cfRule type="dataBar" id="{8F429F61-DDA6-476F-8234-6E4B74CE0D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AF54:AF984 AF5:AF49</xm:sqref>
        </x14:conditionalFormatting>
        <x14:conditionalFormatting xmlns:xm="http://schemas.microsoft.com/office/excel/2006/main">
          <x14:cfRule type="dataBar" id="{A934CD08-B6D1-441B-B956-5239DEB3A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AG5:AG984</xm:sqref>
        </x14:conditionalFormatting>
        <x14:conditionalFormatting xmlns:xm="http://schemas.microsoft.com/office/excel/2006/main">
          <x14:cfRule type="dataBar" id="{217E8D57-B06B-457E-808E-7F26E9933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AH5:AH984</xm:sqref>
        </x14:conditionalFormatting>
        <x14:conditionalFormatting xmlns:xm="http://schemas.microsoft.com/office/excel/2006/main">
          <x14:cfRule type="dataBar" id="{8BC7F4C1-0FF5-4282-B18F-11B26269A177}">
            <x14:dataBar minLength="0" maxLength="100" gradient="0">
              <x14:cfvo type="autoMin"/>
              <x14:cfvo type="autoMax"/>
              <x14:negativeFillColor rgb="FFFF5BB9"/>
              <x14:axisColor rgb="FF000000"/>
            </x14:dataBar>
          </x14:cfRule>
          <xm:sqref>AI3</xm:sqref>
        </x14:conditionalFormatting>
        <x14:conditionalFormatting xmlns:xm="http://schemas.microsoft.com/office/excel/2006/main">
          <x14:cfRule type="dataBar" id="{AC31060F-052A-4F34-A148-86EBB1D7D317}">
            <x14:dataBar minLength="0" maxLength="100" gradient="0">
              <x14:cfvo type="autoMin"/>
              <x14:cfvo type="autoMax"/>
              <x14:negativeFillColor rgb="FFFF5BB9"/>
              <x14:axisColor rgb="FF000000"/>
            </x14:dataBar>
          </x14:cfRule>
          <xm:sqref>AI5:AI984</xm:sqref>
        </x14:conditionalFormatting>
        <x14:conditionalFormatting xmlns:xm="http://schemas.microsoft.com/office/excel/2006/main">
          <x14:cfRule type="dataBar" id="{FFF62BE1-4AB0-4D8F-95E3-CC3240F15910}">
            <x14:dataBar minLength="0" maxLength="100" gradient="0">
              <x14:cfvo type="autoMin"/>
              <x14:cfvo type="autoMax"/>
              <x14:negativeFillColor rgb="FFFF5BB9"/>
              <x14:axisColor rgb="FF000000"/>
            </x14:dataBar>
          </x14:cfRule>
          <xm:sqref>AQ23:AQ984</xm:sqref>
        </x14:conditionalFormatting>
        <x14:conditionalFormatting xmlns:xm="http://schemas.microsoft.com/office/excel/2006/main">
          <x14:cfRule type="dataBar" id="{B0930868-9FF6-4BE2-8807-9515FF4096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AR244:AR247</xm:sqref>
        </x14:conditionalFormatting>
        <x14:conditionalFormatting xmlns:xm="http://schemas.microsoft.com/office/excel/2006/main">
          <x14:cfRule type="dataBar" id="{B1891EFA-430A-48AE-9F0B-3E4B02D5A1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AU244:AU247</xm:sqref>
        </x14:conditionalFormatting>
        <x14:conditionalFormatting xmlns:xm="http://schemas.microsoft.com/office/excel/2006/main">
          <x14:cfRule type="dataBar" id="{CF3AE41D-0386-4316-BC91-C0CB190F5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AV244:AV247</xm:sqref>
        </x14:conditionalFormatting>
        <x14:conditionalFormatting xmlns:xm="http://schemas.microsoft.com/office/excel/2006/main">
          <x14:cfRule type="dataBar" id="{639CB668-4AD3-480E-AD95-CB3A909A36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AZ244:AZ247</xm:sqref>
        </x14:conditionalFormatting>
        <x14:conditionalFormatting xmlns:xm="http://schemas.microsoft.com/office/excel/2006/main">
          <x14:cfRule type="dataBar" id="{D6F840B5-F6A8-411D-A82B-231B1CF2A7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BA244:BA247</xm:sqref>
        </x14:conditionalFormatting>
        <x14:conditionalFormatting xmlns:xm="http://schemas.microsoft.com/office/excel/2006/main">
          <x14:cfRule type="dataBar" id="{9E136C5C-EFA9-4B55-AD5D-E60B23A6F4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BB244:BB247</xm:sqref>
        </x14:conditionalFormatting>
        <x14:conditionalFormatting xmlns:xm="http://schemas.microsoft.com/office/excel/2006/main">
          <x14:cfRule type="dataBar" id="{D84193EC-FB28-4F5E-9C42-BB2E81420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BC244:BC247</xm:sqref>
        </x14:conditionalFormatting>
        <x14:conditionalFormatting xmlns:xm="http://schemas.microsoft.com/office/excel/2006/main">
          <x14:cfRule type="dataBar" id="{C1A23FEF-2AB6-4B6A-B970-6A14E64A9A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44932B-2BE2-4697-A607-00F2C4154E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BD244:BD247</xm:sqref>
        </x14:conditionalFormatting>
        <x14:conditionalFormatting xmlns:xm="http://schemas.microsoft.com/office/excel/2006/main">
          <x14:cfRule type="dataBar" id="{80F2DF79-2FEC-40AD-B041-0611429175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BE244:BE247</xm:sqref>
        </x14:conditionalFormatting>
        <x14:conditionalFormatting xmlns:xm="http://schemas.microsoft.com/office/excel/2006/main">
          <x14:cfRule type="dataBar" id="{5FA0FC3D-A569-4220-9C33-435B68C667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BI244:BI247</xm:sqref>
        </x14:conditionalFormatting>
        <x14:conditionalFormatting xmlns:xm="http://schemas.microsoft.com/office/excel/2006/main">
          <x14:cfRule type="dataBar" id="{73C3D90C-4664-4C78-B416-620E4A10BA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BN244:BN247</xm:sqref>
        </x14:conditionalFormatting>
        <x14:conditionalFormatting xmlns:xm="http://schemas.microsoft.com/office/excel/2006/main">
          <x14:cfRule type="dataBar" id="{1A743456-FE0C-4193-9E73-CD9EA14D0A3E}">
            <x14:dataBar minLength="0" maxLength="100" gradient="0">
              <x14:cfvo type="autoMin"/>
              <x14:cfvo type="autoMax"/>
              <x14:negativeFillColor rgb="FFFF5BB9"/>
              <x14:axisColor rgb="FF000000"/>
            </x14:dataBar>
          </x14:cfRule>
          <xm:sqref>BR244:BW247</xm:sqref>
        </x14:conditionalFormatting>
        <x14:conditionalFormatting xmlns:xm="http://schemas.microsoft.com/office/excel/2006/main">
          <x14:cfRule type="dataBar" id="{F07CF968-1271-4C2C-9FF6-12B42A3E3B30}">
            <x14:dataBar minLength="0" maxLength="100" gradient="0">
              <x14:cfvo type="autoMin"/>
              <x14:cfvo type="autoMax"/>
              <x14:negativeFillColor rgb="FFFF5BB9"/>
              <x14:axisColor rgb="FF000000"/>
            </x14:dataBar>
          </x14:cfRule>
          <xm:sqref>BX244:BX247</xm:sqref>
        </x14:conditionalFormatting>
        <x14:conditionalFormatting xmlns:xm="http://schemas.microsoft.com/office/excel/2006/main">
          <x14:cfRule type="dataBar" id="{4876D70A-2D5D-4FA6-BD78-B92DB2AD38EB}">
            <x14:dataBar minLength="0" maxLength="100" gradient="0">
              <x14:cfvo type="autoMin"/>
              <x14:cfvo type="autoMax"/>
              <x14:negativeFillColor rgb="FFFF5BB9"/>
              <x14:axisColor rgb="FF000000"/>
            </x14:dataBar>
          </x14:cfRule>
          <xm:sqref>BZ244:CE247</xm:sqref>
        </x14:conditionalFormatting>
        <x14:conditionalFormatting xmlns:xm="http://schemas.microsoft.com/office/excel/2006/main">
          <x14:cfRule type="dataBar" id="{A5339772-B0B8-400A-BC29-5870966368C3}">
            <x14:dataBar minLength="0" maxLength="100" gradient="0">
              <x14:cfvo type="autoMin"/>
              <x14:cfvo type="autoMax"/>
              <x14:negativeFillColor theme="5"/>
              <x14:axisColor rgb="FF000000"/>
            </x14:dataBar>
          </x14:cfRule>
          <xm:sqref>CP997:CT998</xm:sqref>
        </x14:conditionalFormatting>
        <x14:conditionalFormatting xmlns:xm="http://schemas.microsoft.com/office/excel/2006/main">
          <x14:cfRule type="dataBar" id="{57B8D5BD-7FBD-45D5-BDC2-4541FFDD23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CP988:CU988</xm:sqref>
        </x14:conditionalFormatting>
        <x14:conditionalFormatting xmlns:xm="http://schemas.microsoft.com/office/excel/2006/main">
          <x14:cfRule type="dataBar" id="{63D9EEE4-758B-478F-903B-12B3239B01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CP990:CU990</xm:sqref>
        </x14:conditionalFormatting>
        <x14:conditionalFormatting xmlns:xm="http://schemas.microsoft.com/office/excel/2006/main">
          <x14:cfRule type="dataBar" id="{7FEB3A72-1791-4D12-B1DA-AE985AFC63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CP991:CU991</xm:sqref>
        </x14:conditionalFormatting>
        <x14:conditionalFormatting xmlns:xm="http://schemas.microsoft.com/office/excel/2006/main">
          <x14:cfRule type="dataBar" id="{96AE50B7-5763-45FC-B646-5FAEE9F554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CP992:CU992</xm:sqref>
        </x14:conditionalFormatting>
        <x14:conditionalFormatting xmlns:xm="http://schemas.microsoft.com/office/excel/2006/main">
          <x14:cfRule type="dataBar" id="{A070068E-6B23-42CC-ADB5-A42CB753D05B}">
            <x14:dataBar minLength="0" maxLength="100" gradient="0">
              <x14:cfvo type="autoMin"/>
              <x14:cfvo type="autoMax"/>
              <x14:negativeFillColor theme="5"/>
              <x14:axisColor rgb="FF000000"/>
            </x14:dataBar>
          </x14:cfRule>
          <xm:sqref>CP994:CU995</xm:sqref>
        </x14:conditionalFormatting>
        <x14:conditionalFormatting xmlns:xm="http://schemas.microsoft.com/office/excel/2006/main">
          <x14:cfRule type="dataBar" id="{FA25AF0F-400F-4758-801C-2F51EBDE7532}">
            <x14:dataBar minLength="0" maxLength="100" gradient="0">
              <x14:cfvo type="autoMin"/>
              <x14:cfvo type="autoMax"/>
              <x14:negativeFillColor theme="5"/>
              <x14:axisColor rgb="FF000000"/>
            </x14:dataBar>
          </x14:cfRule>
          <xm:sqref>CU997:CU998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72F8-EE57-4CFD-AAEC-1913457E2EA5}">
  <sheetPr>
    <tabColor rgb="FFFF0000"/>
  </sheetPr>
  <dimension ref="A1:AG63"/>
  <sheetViews>
    <sheetView tabSelected="1" zoomScale="85" zoomScaleNormal="85" workbookViewId="0">
      <selection activeCell="M4" sqref="M4"/>
    </sheetView>
  </sheetViews>
  <sheetFormatPr defaultRowHeight="15" x14ac:dyDescent="0.25"/>
  <cols>
    <col min="1" max="1" width="7.85546875" style="160" customWidth="1"/>
    <col min="2" max="2" width="9.85546875" customWidth="1"/>
    <col min="3" max="3" width="11.42578125" style="160" customWidth="1"/>
    <col min="4" max="4" width="11.42578125" customWidth="1"/>
    <col min="5" max="5" width="7.5703125" customWidth="1"/>
    <col min="6" max="6" width="7.5703125" style="160" customWidth="1"/>
    <col min="7" max="7" width="13.28515625" customWidth="1"/>
    <col min="8" max="8" width="12.5703125" customWidth="1"/>
    <col min="9" max="10" width="13" customWidth="1"/>
    <col min="11" max="12" width="11.42578125" customWidth="1"/>
    <col min="13" max="13" width="11.42578125" style="160" customWidth="1"/>
    <col min="15" max="15" width="10.42578125" style="251" customWidth="1"/>
    <col min="16" max="16" width="0.140625" customWidth="1"/>
    <col min="17" max="19" width="9.28515625" customWidth="1"/>
    <col min="21" max="21" width="10.7109375" customWidth="1"/>
    <col min="22" max="22" width="14.42578125" style="160" customWidth="1"/>
    <col min="23" max="23" width="11.42578125" customWidth="1"/>
    <col min="24" max="24" width="10.140625" customWidth="1"/>
    <col min="26" max="26" width="9.85546875" style="160" customWidth="1"/>
    <col min="28" max="28" width="9.85546875" style="160" customWidth="1"/>
    <col min="29" max="30" width="9.85546875" customWidth="1"/>
    <col min="31" max="31" width="8.42578125" customWidth="1"/>
    <col min="32" max="16384" width="9.140625" style="160"/>
  </cols>
  <sheetData>
    <row r="1" spans="1:31" ht="15.75" x14ac:dyDescent="0.2">
      <c r="A1" s="158"/>
      <c r="B1" s="159">
        <v>0</v>
      </c>
      <c r="C1" s="159">
        <v>1</v>
      </c>
      <c r="D1" s="158"/>
      <c r="E1" s="158" t="s">
        <v>67</v>
      </c>
      <c r="F1" s="158" t="s">
        <v>67</v>
      </c>
      <c r="G1" s="158"/>
      <c r="H1" s="163" t="s">
        <v>55</v>
      </c>
      <c r="I1" s="163" t="s">
        <v>56</v>
      </c>
      <c r="J1" s="158"/>
      <c r="K1" s="158"/>
      <c r="L1" s="158"/>
      <c r="M1" s="158"/>
      <c r="N1" s="158"/>
      <c r="O1" s="243"/>
      <c r="P1" s="158"/>
      <c r="Q1" s="160"/>
      <c r="R1" s="160"/>
      <c r="S1" s="160"/>
      <c r="T1" s="160"/>
      <c r="U1" s="160"/>
      <c r="W1" s="160"/>
      <c r="X1" s="160"/>
      <c r="Y1" s="160"/>
      <c r="AA1" s="160"/>
      <c r="AC1" s="160"/>
      <c r="AD1" s="160"/>
      <c r="AE1" s="160"/>
    </row>
    <row r="2" spans="1:31" ht="26.25" x14ac:dyDescent="0.3">
      <c r="A2" s="161"/>
      <c r="B2" s="151">
        <f>AVERAGE(T._2[data])</f>
        <v>13</v>
      </c>
      <c r="C2" s="151">
        <f>_xlfn.STDEV.P(T._2[data])</f>
        <v>7.2111025509279782</v>
      </c>
      <c r="D2" s="163">
        <f>COUNT(T._2[data])</f>
        <v>25</v>
      </c>
      <c r="E2" s="208" t="s">
        <v>82</v>
      </c>
      <c r="F2" s="208" t="s">
        <v>82</v>
      </c>
      <c r="G2" s="163"/>
      <c r="H2" s="164">
        <v>0</v>
      </c>
      <c r="I2" s="164">
        <v>1</v>
      </c>
      <c r="J2" s="159"/>
      <c r="K2" s="227" t="s">
        <v>52</v>
      </c>
      <c r="L2" s="228">
        <v>0</v>
      </c>
      <c r="M2" s="228">
        <v>1</v>
      </c>
      <c r="N2" s="228" t="s">
        <v>86</v>
      </c>
      <c r="O2" s="244"/>
      <c r="P2" s="228"/>
      <c r="Q2" s="160"/>
      <c r="R2" s="160"/>
      <c r="S2" s="160"/>
      <c r="T2" s="160"/>
      <c r="U2" s="160"/>
      <c r="W2" s="160"/>
      <c r="X2" s="160"/>
      <c r="Y2" s="160"/>
      <c r="AA2" s="160"/>
      <c r="AC2" s="160"/>
      <c r="AD2" s="160"/>
      <c r="AE2" s="160"/>
    </row>
    <row r="3" spans="1:31" ht="25.5" customHeight="1" x14ac:dyDescent="0.3">
      <c r="A3" s="162"/>
      <c r="B3" s="165" t="s">
        <v>53</v>
      </c>
      <c r="C3" s="165" t="s">
        <v>54</v>
      </c>
      <c r="D3" s="240"/>
      <c r="E3" s="240" t="s">
        <v>92</v>
      </c>
      <c r="F3" s="241" t="s">
        <v>91</v>
      </c>
      <c r="G3" s="241"/>
      <c r="H3" s="166" t="s">
        <v>53</v>
      </c>
      <c r="I3" s="166" t="s">
        <v>54</v>
      </c>
      <c r="J3" s="159"/>
      <c r="K3" s="227" t="s">
        <v>43</v>
      </c>
      <c r="L3" s="229">
        <v>0</v>
      </c>
      <c r="M3" s="230">
        <v>1</v>
      </c>
      <c r="N3" s="230"/>
      <c r="O3" s="245"/>
      <c r="P3" s="230"/>
      <c r="Q3" s="160"/>
      <c r="R3" s="160"/>
      <c r="S3" s="160"/>
      <c r="T3" s="160"/>
      <c r="U3" s="160"/>
      <c r="W3" s="160"/>
      <c r="X3" s="160"/>
      <c r="Y3" s="160"/>
      <c r="AA3" s="160"/>
      <c r="AC3" s="160"/>
      <c r="AD3" s="160"/>
      <c r="AE3" s="160"/>
    </row>
    <row r="4" spans="1:31" ht="27.75" customHeight="1" x14ac:dyDescent="0.2">
      <c r="A4" s="161"/>
      <c r="B4" s="151"/>
      <c r="C4" s="151"/>
      <c r="D4" s="161"/>
      <c r="E4" s="208" t="str">
        <f>IF(E5=0,"TRUE","FALSE")</f>
        <v>TRUE</v>
      </c>
      <c r="F4" s="208" t="str">
        <f>IF(F5=0,"TRUE","false")</f>
        <v>TRUE</v>
      </c>
      <c r="G4" s="163"/>
      <c r="H4" s="208"/>
      <c r="I4" s="208"/>
      <c r="J4" s="159"/>
      <c r="K4" s="150"/>
      <c r="L4" s="151">
        <f>B2+L2</f>
        <v>13</v>
      </c>
      <c r="M4" s="151">
        <f>C2*M2</f>
        <v>7.2111025509279782</v>
      </c>
      <c r="N4" s="163"/>
      <c r="O4" s="246"/>
      <c r="P4" s="163"/>
      <c r="Q4" s="160"/>
      <c r="R4" s="160"/>
      <c r="S4" s="160"/>
      <c r="T4" s="160"/>
      <c r="U4" s="160"/>
      <c r="W4" s="160"/>
      <c r="X4" s="160"/>
      <c r="Y4" s="160"/>
      <c r="AA4" s="160"/>
      <c r="AC4" s="160"/>
      <c r="AD4" s="160"/>
      <c r="AE4" s="160"/>
    </row>
    <row r="5" spans="1:31" ht="24.75" customHeight="1" x14ac:dyDescent="0.2">
      <c r="A5" s="161"/>
      <c r="B5" s="161"/>
      <c r="C5" s="161"/>
      <c r="D5" s="161"/>
      <c r="E5" s="209">
        <v>0</v>
      </c>
      <c r="F5" s="209">
        <f>E5</f>
        <v>0</v>
      </c>
      <c r="G5" s="271" t="s">
        <v>58</v>
      </c>
      <c r="H5" s="208" t="s">
        <v>82</v>
      </c>
      <c r="I5" s="208" t="s">
        <v>82</v>
      </c>
      <c r="J5" s="159"/>
      <c r="K5" s="159"/>
      <c r="L5" s="163"/>
      <c r="M5" s="159"/>
      <c r="N5" s="159"/>
      <c r="O5" s="247"/>
      <c r="P5" s="159"/>
      <c r="Q5" s="160"/>
      <c r="R5" s="160"/>
      <c r="S5" s="160"/>
      <c r="T5" s="160"/>
      <c r="U5" s="160"/>
      <c r="W5" s="160"/>
      <c r="X5" s="160"/>
      <c r="Y5" s="160"/>
      <c r="AA5" s="160"/>
      <c r="AC5" s="160"/>
      <c r="AD5" s="160"/>
      <c r="AE5" s="160"/>
    </row>
    <row r="6" spans="1:31" ht="24.75" customHeight="1" x14ac:dyDescent="0.2">
      <c r="A6" s="161"/>
      <c r="B6" s="161"/>
      <c r="C6" s="207">
        <f>NORMSDIST(MAX(T._2[Za]))-NORMSDIST(MIN(T._2[Za]))</f>
        <v>0.90390767054432675</v>
      </c>
      <c r="D6" s="207">
        <f>NORMSDIST(MAX(T._2[Zb]))-NORMSDIST(MIN(T._2[Zb]))</f>
        <v>0.59461944354105767</v>
      </c>
      <c r="E6" s="207" cm="1">
        <f t="array" ref="E6">MAX(T._2[Ya]-MIN(T._2[Ya]))</f>
        <v>0.90390767054432675</v>
      </c>
      <c r="F6" s="207" cm="1">
        <f t="array" ref="F6">MAX(T._2[Yb]-MIN(T._2[Yb]))</f>
        <v>0.59461944354105767</v>
      </c>
      <c r="G6" s="207"/>
      <c r="H6" s="207" t="s">
        <v>90</v>
      </c>
      <c r="I6" s="207" t="s">
        <v>90</v>
      </c>
      <c r="J6" s="159"/>
      <c r="K6" s="159"/>
      <c r="L6" s="163"/>
      <c r="M6" s="159"/>
      <c r="N6" s="159"/>
      <c r="O6" s="247"/>
      <c r="P6" s="159"/>
      <c r="Q6" s="160"/>
      <c r="R6" s="160"/>
      <c r="S6" s="160"/>
      <c r="T6" s="160"/>
      <c r="U6" s="160"/>
      <c r="W6" s="160"/>
      <c r="X6" s="160"/>
      <c r="Y6" s="160"/>
      <c r="AA6" s="160"/>
      <c r="AC6" s="160"/>
      <c r="AD6" s="160"/>
      <c r="AE6" s="160"/>
    </row>
    <row r="7" spans="1:31" ht="35.25" customHeight="1" x14ac:dyDescent="0.2">
      <c r="A7" s="161"/>
      <c r="B7" s="261" t="s">
        <v>41</v>
      </c>
      <c r="C7" s="262" t="s">
        <v>69</v>
      </c>
      <c r="D7" s="262" t="s">
        <v>70</v>
      </c>
      <c r="E7" s="219" t="s">
        <v>80</v>
      </c>
      <c r="F7" s="219" t="s">
        <v>81</v>
      </c>
      <c r="G7" s="259" t="s">
        <v>93</v>
      </c>
      <c r="H7" s="221" t="s">
        <v>94</v>
      </c>
      <c r="I7" s="269" t="s">
        <v>95</v>
      </c>
      <c r="J7" s="224" t="s">
        <v>96</v>
      </c>
      <c r="K7" s="224" t="s">
        <v>97</v>
      </c>
      <c r="L7" s="263" t="s">
        <v>71</v>
      </c>
      <c r="M7" s="272" t="s">
        <v>72</v>
      </c>
      <c r="N7" s="265" t="s">
        <v>83</v>
      </c>
      <c r="O7" s="266" t="s">
        <v>78</v>
      </c>
      <c r="P7" s="264" t="s">
        <v>79</v>
      </c>
      <c r="Q7" s="160"/>
      <c r="R7" s="160"/>
      <c r="S7" s="160"/>
      <c r="T7" s="160"/>
      <c r="U7" s="160"/>
      <c r="W7" s="160"/>
      <c r="X7" s="160"/>
      <c r="Y7" s="160"/>
      <c r="AA7" s="160"/>
      <c r="AC7" s="160"/>
      <c r="AD7" s="160"/>
      <c r="AE7" s="160"/>
    </row>
    <row r="8" spans="1:31" ht="12.75" x14ac:dyDescent="0.2">
      <c r="A8" s="161"/>
      <c r="B8" s="170">
        <v>1</v>
      </c>
      <c r="C8" s="69">
        <f>(T._2[[#This Row],[data]]-(AVERAGE(T._2[data])))/(_xlfn.STDEV.P(T._2[data]))</f>
        <v>-1.6641005886756874</v>
      </c>
      <c r="D8" s="69">
        <f>(T._2[[#This Row],[data]]-(AVERAGE(T._2[data])))/((_xlfn.STDEV.P(T._2[data])*$D$37)+$C$37)</f>
        <v>-0.83205029433784372</v>
      </c>
      <c r="E8" s="70">
        <f>_xlfn.NORM.S.DIST(T._2[[#This Row],[Za]],IF($E$5=0,"TRUE","false"))</f>
        <v>4.8046164727836627E-2</v>
      </c>
      <c r="F8" s="70">
        <f>_xlfn.NORM.S.DIST(T._2[[#This Row],[Zb]],IF($F$5=0,"TRUE","false"))</f>
        <v>0.20269027822947119</v>
      </c>
      <c r="G8" s="260">
        <f>1/SQRT(2*PI()*$I$2^2)*EXP(-((T._2[[#This Row],[Za]]-$H$2)^2)/(2*$I$2^2))</f>
        <v>9.9903164433323657E-2</v>
      </c>
      <c r="H8" s="70">
        <f>NORMDIST(T._2[[#This Row],[Za]],$H$2,$I$2,FALSE)</f>
        <v>9.9903164433323657E-2</v>
      </c>
      <c r="I8" s="270">
        <f>NORMDIST(T._2[[#This Row],[Zb]],$L$2,$M$2,FALSE)</f>
        <v>0.28221322425966744</v>
      </c>
      <c r="J8" s="172">
        <f>NORMSDIST(T._2[[#This Row],[Za]])</f>
        <v>4.8046164727836627E-2</v>
      </c>
      <c r="K8" s="172">
        <f>NORMSDIST(T._2[[#This Row],[Zb]])</f>
        <v>0.20269027822947119</v>
      </c>
      <c r="L8" s="226">
        <f>($B$2)+T._2[[#This Row],[Za]]*($C$2)</f>
        <v>1</v>
      </c>
      <c r="M8" s="273">
        <f>$E$37+($B$2)+T._2[[#This Row],[Zb]]*($C$2)</f>
        <v>7</v>
      </c>
      <c r="N8" s="267">
        <f>ABS(T._2[[#This Row],[Xb]]-T._2[[#This Row],[Xa]])*1/T._2[[#This Row],[PB]]</f>
        <v>21.260520359171174</v>
      </c>
      <c r="O8" s="268">
        <f>IF($D$37=1,"",T._2[[#This Row],[Xc]]/MAX(T._2[Xc])*0.94+0.01)</f>
        <v>0.95</v>
      </c>
      <c r="P8" s="242">
        <f>IF($D$37=1,"",T._2[[#This Row],[Xc]]/MAX(T._2[Xc]))</f>
        <v>1</v>
      </c>
      <c r="Q8" s="160"/>
      <c r="R8" s="160"/>
      <c r="S8" s="160"/>
      <c r="T8" s="160"/>
      <c r="U8" s="160"/>
      <c r="W8" s="160"/>
      <c r="X8" s="160"/>
      <c r="Y8" s="160"/>
      <c r="AA8" s="160"/>
      <c r="AC8" s="160"/>
      <c r="AD8" s="160"/>
      <c r="AE8" s="160"/>
    </row>
    <row r="9" spans="1:31" ht="12.75" x14ac:dyDescent="0.2">
      <c r="A9" s="161"/>
      <c r="B9" s="170">
        <v>2</v>
      </c>
      <c r="C9" s="69">
        <f>(T._2[[#This Row],[data]]-(AVERAGE(T._2[data])))/(_xlfn.STDEV.P(T._2[data]))</f>
        <v>-1.5254255396193801</v>
      </c>
      <c r="D9" s="69">
        <f>(T._2[[#This Row],[data]]-(AVERAGE(T._2[data])))/((_xlfn.STDEV.P(T._2[data])*$D$37)+$C$37)</f>
        <v>-0.76271276980969005</v>
      </c>
      <c r="E9" s="70">
        <f>_xlfn.NORM.S.DIST(T._2[[#This Row],[Za]],IF($E$5=0,"TRUE","false"))</f>
        <v>6.3576496300007113E-2</v>
      </c>
      <c r="F9" s="70">
        <f>_xlfn.NORM.S.DIST(T._2[[#This Row],[Zb]],IF($F$5=0,"TRUE","false"))</f>
        <v>0.22281735660347199</v>
      </c>
      <c r="G9" s="260">
        <f>1/SQRT(2*PI()*$I$2^2)*EXP(-((T._2[[#This Row],[Za]]-$H$2)^2)/(2*$I$2^2))</f>
        <v>0.12463073026883781</v>
      </c>
      <c r="H9" s="70">
        <f>NORMDIST(T._2[[#This Row],[Za]],$H$2,$I$2,FALSE)</f>
        <v>0.12463073026883781</v>
      </c>
      <c r="I9" s="270">
        <f>NORMDIST(T._2[[#This Row],[Zb]],$L$2,$M$2,FALSE)</f>
        <v>0.29825575633544316</v>
      </c>
      <c r="J9" s="172">
        <f>NORMSDIST(T._2[[#This Row],[Za]])</f>
        <v>6.3576496300007113E-2</v>
      </c>
      <c r="K9" s="172">
        <f>NORMSDIST(T._2[[#This Row],[Zb]])</f>
        <v>0.22281735660347199</v>
      </c>
      <c r="L9" s="226">
        <f>($B$2)+T._2[[#This Row],[Za]]*($C$2)</f>
        <v>2</v>
      </c>
      <c r="M9" s="273">
        <f>$E$37+($B$2)+T._2[[#This Row],[Zb]]*($C$2)</f>
        <v>7.5</v>
      </c>
      <c r="N9" s="267">
        <f>ABS(T._2[[#This Row],[Xb]]-T._2[[#This Row],[Xa]])*1/T._2[[#This Row],[PB]]</f>
        <v>18.440549371373219</v>
      </c>
      <c r="O9" s="268">
        <f>IF($D$37=1,"",T._2[[#This Row],[Xc]]/MAX(T._2[Xc])*0.94+0.01)</f>
        <v>0.82531948025032176</v>
      </c>
      <c r="P9" s="242">
        <f>IF($D$37=1,"",T._2[[#This Row],[Xc]]/MAX(T._2[Xc]))</f>
        <v>0.86736114920246998</v>
      </c>
      <c r="Q9" s="160"/>
      <c r="R9" s="160"/>
      <c r="S9" s="160"/>
      <c r="T9" s="160"/>
      <c r="U9" s="160"/>
      <c r="W9" s="160"/>
      <c r="X9" s="160"/>
      <c r="Y9" s="160"/>
      <c r="AA9" s="160"/>
      <c r="AC9" s="160"/>
      <c r="AD9" s="160"/>
      <c r="AE9" s="160"/>
    </row>
    <row r="10" spans="1:31" ht="12.75" x14ac:dyDescent="0.2">
      <c r="A10" s="161"/>
      <c r="B10" s="170">
        <v>3</v>
      </c>
      <c r="C10" s="69">
        <f>(T._2[[#This Row],[data]]-(AVERAGE(T._2[data])))/(_xlfn.STDEV.P(T._2[data]))</f>
        <v>-1.386750490563073</v>
      </c>
      <c r="D10" s="69">
        <f>(T._2[[#This Row],[data]]-(AVERAGE(T._2[data])))/((_xlfn.STDEV.P(T._2[data])*$D$37)+$C$37)</f>
        <v>-0.69337524528153649</v>
      </c>
      <c r="E10" s="70">
        <f>_xlfn.NORM.S.DIST(T._2[[#This Row],[Za]],IF($E$5=0,"TRUE","false"))</f>
        <v>8.275892934873498E-2</v>
      </c>
      <c r="F10" s="70">
        <f>_xlfn.NORM.S.DIST(T._2[[#This Row],[Zb]],IF($F$5=0,"TRUE","false"))</f>
        <v>0.24403704658262404</v>
      </c>
      <c r="G10" s="260">
        <f>1/SQRT(2*PI()*$I$2^2)*EXP(-((T._2[[#This Row],[Za]]-$H$2)^2)/(2*$I$2^2))</f>
        <v>0.15251733843477824</v>
      </c>
      <c r="H10" s="70">
        <f>NORMDIST(T._2[[#This Row],[Za]],$H$2,$I$2,FALSE)</f>
        <v>0.15251733843477824</v>
      </c>
      <c r="I10" s="270">
        <f>NORMDIST(T._2[[#This Row],[Zb]],$L$2,$M$2,FALSE)</f>
        <v>0.31369843627095056</v>
      </c>
      <c r="J10" s="172">
        <f>NORMSDIST(T._2[[#This Row],[Za]])</f>
        <v>8.275892934873498E-2</v>
      </c>
      <c r="K10" s="172">
        <f>NORMSDIST(T._2[[#This Row],[Zb]])</f>
        <v>0.24403704658262404</v>
      </c>
      <c r="L10" s="226">
        <f>($B$2)+T._2[[#This Row],[Za]]*($C$2)</f>
        <v>3</v>
      </c>
      <c r="M10" s="273">
        <f>$E$37+($B$2)+T._2[[#This Row],[Zb]]*($C$2)</f>
        <v>8</v>
      </c>
      <c r="N10" s="267">
        <f>ABS(T._2[[#This Row],[Xb]]-T._2[[#This Row],[Xa]])*1/T._2[[#This Row],[PB]]</f>
        <v>15.938874479059733</v>
      </c>
      <c r="O10" s="268">
        <f>IF($D$37=1,"",T._2[[#This Row],[Xc]]/MAX(T._2[Xc])*0.94+0.01)</f>
        <v>0.71471191472287332</v>
      </c>
      <c r="P10" s="242">
        <f>IF($D$37=1,"",T._2[[#This Row],[Xc]]/MAX(T._2[Xc]))</f>
        <v>0.74969352630092911</v>
      </c>
      <c r="Q10" s="160"/>
      <c r="R10" s="160"/>
      <c r="S10" s="160"/>
      <c r="T10" s="160"/>
      <c r="U10" s="160"/>
      <c r="W10" s="160"/>
      <c r="X10" s="160"/>
      <c r="Y10" s="160"/>
      <c r="AA10" s="160"/>
      <c r="AC10" s="160"/>
      <c r="AD10" s="160"/>
      <c r="AE10" s="160"/>
    </row>
    <row r="11" spans="1:31" ht="12.75" x14ac:dyDescent="0.2">
      <c r="A11" s="161"/>
      <c r="B11" s="170">
        <v>4</v>
      </c>
      <c r="C11" s="69">
        <f>(T._2[[#This Row],[data]]-(AVERAGE(T._2[data])))/(_xlfn.STDEV.P(T._2[data]))</f>
        <v>-1.2480754415067656</v>
      </c>
      <c r="D11" s="69">
        <f>(T._2[[#This Row],[data]]-(AVERAGE(T._2[data])))/((_xlfn.STDEV.P(T._2[data])*$D$37)+$C$37)</f>
        <v>-0.62403772075338282</v>
      </c>
      <c r="E11" s="70">
        <f>_xlfn.NORM.S.DIST(T._2[[#This Row],[Za]],IF($E$5=0,"TRUE","false"))</f>
        <v>0.10600171546141283</v>
      </c>
      <c r="F11" s="70">
        <f>_xlfn.NORM.S.DIST(T._2[[#This Row],[Zb]],IF($F$5=0,"TRUE","false"))</f>
        <v>0.26630140646823697</v>
      </c>
      <c r="G11" s="260">
        <f>1/SQRT(2*PI()*$I$2^2)*EXP(-((T._2[[#This Row],[Za]]-$H$2)^2)/(2*$I$2^2))</f>
        <v>0.18308867383025043</v>
      </c>
      <c r="H11" s="70">
        <f>NORMDIST(T._2[[#This Row],[Za]],$H$2,$I$2,FALSE)</f>
        <v>0.18308867383025043</v>
      </c>
      <c r="I11" s="270">
        <f>NORMDIST(T._2[[#This Row],[Zb]],$L$2,$M$2,FALSE)</f>
        <v>0.32835823994122026</v>
      </c>
      <c r="J11" s="172">
        <f>NORMSDIST(T._2[[#This Row],[Za]])</f>
        <v>0.10600171546141283</v>
      </c>
      <c r="K11" s="172">
        <f>NORMSDIST(T._2[[#This Row],[Zb]])</f>
        <v>0.26630140646823697</v>
      </c>
      <c r="L11" s="226">
        <f>($B$2)+T._2[[#This Row],[Za]]*($C$2)</f>
        <v>4</v>
      </c>
      <c r="M11" s="273">
        <f>$E$37+($B$2)+T._2[[#This Row],[Zb]]*($C$2)</f>
        <v>8.5</v>
      </c>
      <c r="N11" s="267">
        <f>ABS(T._2[[#This Row],[Xb]]-T._2[[#This Row],[Xa]])*1/T._2[[#This Row],[PB]]</f>
        <v>13.704544161296361</v>
      </c>
      <c r="O11" s="268">
        <f>IF($D$37=1,"",T._2[[#This Row],[Xc]]/MAX(T._2[Xc])*0.94+0.01)</f>
        <v>0.61592456318038979</v>
      </c>
      <c r="P11" s="242">
        <f>IF($D$37=1,"",T._2[[#This Row],[Xc]]/MAX(T._2[Xc]))</f>
        <v>0.64460059912807433</v>
      </c>
      <c r="Q11" s="160"/>
      <c r="R11" s="160"/>
      <c r="S11" s="160"/>
      <c r="T11" s="160"/>
      <c r="U11" s="160"/>
      <c r="W11" s="160"/>
      <c r="X11" s="160"/>
      <c r="Y11" s="160"/>
      <c r="AA11" s="160"/>
      <c r="AC11" s="160"/>
      <c r="AD11" s="160"/>
      <c r="AE11" s="160"/>
    </row>
    <row r="12" spans="1:31" ht="12.75" x14ac:dyDescent="0.2">
      <c r="A12" s="161"/>
      <c r="B12" s="170">
        <v>5</v>
      </c>
      <c r="C12" s="69">
        <f>(T._2[[#This Row],[data]]-(AVERAGE(T._2[data])))/(_xlfn.STDEV.P(T._2[data]))</f>
        <v>-1.1094003924504583</v>
      </c>
      <c r="D12" s="69">
        <f>(T._2[[#This Row],[data]]-(AVERAGE(T._2[data])))/((_xlfn.STDEV.P(T._2[data])*$D$37)+$C$37)</f>
        <v>-0.55470019622522915</v>
      </c>
      <c r="E12" s="70">
        <f>_xlfn.NORM.S.DIST(T._2[[#This Row],[Za]],IF($E$5=0,"TRUE","false"))</f>
        <v>0.1336287465771939</v>
      </c>
      <c r="F12" s="70">
        <f>_xlfn.NORM.S.DIST(T._2[[#This Row],[Zb]],IF($F$5=0,"TRUE","false"))</f>
        <v>0.28954987097695939</v>
      </c>
      <c r="G12" s="260">
        <f>1/SQRT(2*PI()*$I$2^2)*EXP(-((T._2[[#This Row],[Za]]-$H$2)^2)/(2*$I$2^2))</f>
        <v>0.21560157202251737</v>
      </c>
      <c r="H12" s="70">
        <f>NORMDIST(T._2[[#This Row],[Za]],$H$2,$I$2,FALSE)</f>
        <v>0.21560157202251737</v>
      </c>
      <c r="I12" s="270">
        <f>NORMDIST(T._2[[#This Row],[Zb]],$L$2,$M$2,FALSE)</f>
        <v>0.34205467473499207</v>
      </c>
      <c r="J12" s="172">
        <f>NORMSDIST(T._2[[#This Row],[Za]])</f>
        <v>0.1336287465771939</v>
      </c>
      <c r="K12" s="172">
        <f>NORMSDIST(T._2[[#This Row],[Zb]])</f>
        <v>0.28954987097695939</v>
      </c>
      <c r="L12" s="226">
        <f>($B$2)+T._2[[#This Row],[Za]]*($C$2)</f>
        <v>5</v>
      </c>
      <c r="M12" s="273">
        <f>$E$37+($B$2)+T._2[[#This Row],[Zb]]*($C$2)</f>
        <v>9</v>
      </c>
      <c r="N12" s="267">
        <f>ABS(T._2[[#This Row],[Xb]]-T._2[[#This Row],[Xa]])*1/T._2[[#This Row],[PB]]</f>
        <v>11.694036934589514</v>
      </c>
      <c r="O12" s="268">
        <f>IF($D$37=1,"",T._2[[#This Row],[Xc]]/MAX(T._2[Xc])*0.94+0.01)</f>
        <v>0.52703319264113602</v>
      </c>
      <c r="P12" s="242">
        <f>IF($D$37=1,"",T._2[[#This Row],[Xc]]/MAX(T._2[Xc]))</f>
        <v>0.55003531132035743</v>
      </c>
      <c r="Q12" s="160"/>
      <c r="R12" s="160"/>
      <c r="S12" s="160"/>
      <c r="T12" s="160"/>
      <c r="U12" s="160"/>
      <c r="W12" s="160"/>
      <c r="X12" s="160"/>
      <c r="Y12" s="160"/>
      <c r="AA12" s="160"/>
      <c r="AC12" s="160"/>
      <c r="AD12" s="160"/>
      <c r="AE12" s="160"/>
    </row>
    <row r="13" spans="1:31" ht="12.75" x14ac:dyDescent="0.2">
      <c r="A13" s="161"/>
      <c r="B13" s="170">
        <v>6</v>
      </c>
      <c r="C13" s="69">
        <f>(T._2[[#This Row],[data]]-(AVERAGE(T._2[data])))/(_xlfn.STDEV.P(T._2[data]))</f>
        <v>-0.97072534339415106</v>
      </c>
      <c r="D13" s="69">
        <f>(T._2[[#This Row],[data]]-(AVERAGE(T._2[data])))/((_xlfn.STDEV.P(T._2[data])*$D$37)+$C$37)</f>
        <v>-0.48536267169707553</v>
      </c>
      <c r="E13" s="70">
        <f>_xlfn.NORM.S.DIST(T._2[[#This Row],[Za]],IF($E$5=0,"TRUE","false"))</f>
        <v>0.16584253402843122</v>
      </c>
      <c r="F13" s="70">
        <f>_xlfn.NORM.S.DIST(T._2[[#This Row],[Zb]],IF($F$5=0,"TRUE","false"))</f>
        <v>0.31370955318304983</v>
      </c>
      <c r="G13" s="260">
        <f>1/SQRT(2*PI()*$I$2^2)*EXP(-((T._2[[#This Row],[Za]]-$H$2)^2)/(2*$I$2^2))</f>
        <v>0.24905229627756828</v>
      </c>
      <c r="H13" s="70">
        <f>NORMDIST(T._2[[#This Row],[Za]],$H$2,$I$2,FALSE)</f>
        <v>0.24905229627756828</v>
      </c>
      <c r="I13" s="270">
        <f>NORMDIST(T._2[[#This Row],[Zb]],$L$2,$M$2,FALSE)</f>
        <v>0.35461343626092062</v>
      </c>
      <c r="J13" s="172">
        <f>NORMSDIST(T._2[[#This Row],[Za]])</f>
        <v>0.16584253402843122</v>
      </c>
      <c r="K13" s="172">
        <f>NORMSDIST(T._2[[#This Row],[Zb]])</f>
        <v>0.31370955318304983</v>
      </c>
      <c r="L13" s="226">
        <f>($B$2)+T._2[[#This Row],[Za]]*($C$2)</f>
        <v>6</v>
      </c>
      <c r="M13" s="273">
        <f>$E$37+($B$2)+T._2[[#This Row],[Zb]]*($C$2)</f>
        <v>9.5</v>
      </c>
      <c r="N13" s="267">
        <f>ABS(T._2[[#This Row],[Xb]]-T._2[[#This Row],[Xa]])*1/T._2[[#This Row],[PB]]</f>
        <v>9.8699023841407385</v>
      </c>
      <c r="O13" s="268">
        <f>IF($D$37=1,"",T._2[[#This Row],[Xc]]/MAX(T._2[Xc])*0.94+0.01)</f>
        <v>0.44638199274319074</v>
      </c>
      <c r="P13" s="242">
        <f>IF($D$37=1,"",T._2[[#This Row],[Xc]]/MAX(T._2[Xc]))</f>
        <v>0.46423616249275612</v>
      </c>
      <c r="Q13" s="160"/>
      <c r="R13" s="160"/>
      <c r="S13" s="160"/>
      <c r="T13" s="160"/>
      <c r="U13" s="160"/>
      <c r="W13" s="160"/>
      <c r="X13" s="160"/>
      <c r="Y13" s="160"/>
      <c r="AA13" s="160"/>
      <c r="AC13" s="160"/>
      <c r="AD13" s="160"/>
      <c r="AE13" s="160"/>
    </row>
    <row r="14" spans="1:31" ht="12.75" x14ac:dyDescent="0.2">
      <c r="A14" s="161"/>
      <c r="B14" s="170">
        <v>7</v>
      </c>
      <c r="C14" s="69">
        <f>(T._2[[#This Row],[data]]-(AVERAGE(T._2[data])))/(_xlfn.STDEV.P(T._2[data]))</f>
        <v>-0.83205029433784372</v>
      </c>
      <c r="D14" s="69">
        <f>(T._2[[#This Row],[data]]-(AVERAGE(T._2[data])))/((_xlfn.STDEV.P(T._2[data])*$D$37)+$C$37)</f>
        <v>-0.41602514716892186</v>
      </c>
      <c r="E14" s="70">
        <f>_xlfn.NORM.S.DIST(T._2[[#This Row],[Za]],IF($E$5=0,"TRUE","false"))</f>
        <v>0.20269027822947119</v>
      </c>
      <c r="F14" s="70">
        <f>_xlfn.NORM.S.DIST(T._2[[#This Row],[Zb]],IF($F$5=0,"TRUE","false"))</f>
        <v>0.33869580096313867</v>
      </c>
      <c r="G14" s="260">
        <f>1/SQRT(2*PI()*$I$2^2)*EXP(-((T._2[[#This Row],[Za]]-$H$2)^2)/(2*$I$2^2))</f>
        <v>0.28221322425966744</v>
      </c>
      <c r="H14" s="70">
        <f>NORMDIST(T._2[[#This Row],[Za]],$H$2,$I$2,FALSE)</f>
        <v>0.28221322425966744</v>
      </c>
      <c r="I14" s="270">
        <f>NORMDIST(T._2[[#This Row],[Zb]],$L$2,$M$2,FALSE)</f>
        <v>0.36587007507280811</v>
      </c>
      <c r="J14" s="172">
        <f>NORMSDIST(T._2[[#This Row],[Za]])</f>
        <v>0.20269027822947119</v>
      </c>
      <c r="K14" s="172">
        <f>NORMSDIST(T._2[[#This Row],[Zb]])</f>
        <v>0.33869580096313867</v>
      </c>
      <c r="L14" s="226">
        <f>($B$2)+T._2[[#This Row],[Za]]*($C$2)</f>
        <v>7</v>
      </c>
      <c r="M14" s="273">
        <f>$E$37+($B$2)+T._2[[#This Row],[Zb]]*($C$2)</f>
        <v>10</v>
      </c>
      <c r="N14" s="267">
        <f>ABS(T._2[[#This Row],[Xb]]-T._2[[#This Row],[Xa]])*1/T._2[[#This Row],[PB]]</f>
        <v>8.1996320672112919</v>
      </c>
      <c r="O14" s="268">
        <f>IF($D$37=1,"",T._2[[#This Row],[Xc]]/MAX(T._2[Xc])*0.94+0.01)</f>
        <v>0.37253365453747017</v>
      </c>
      <c r="P14" s="242">
        <f>IF($D$37=1,"",T._2[[#This Row],[Xc]]/MAX(T._2[Xc]))</f>
        <v>0.38567410057177681</v>
      </c>
      <c r="Q14" s="160"/>
      <c r="R14" s="160"/>
      <c r="S14" s="160"/>
      <c r="T14" s="160"/>
      <c r="U14" s="160"/>
      <c r="W14" s="160"/>
      <c r="X14" s="160"/>
      <c r="Y14" s="160"/>
      <c r="AA14" s="160"/>
      <c r="AC14" s="160"/>
      <c r="AD14" s="160"/>
      <c r="AE14" s="160"/>
    </row>
    <row r="15" spans="1:31" ht="12.75" x14ac:dyDescent="0.2">
      <c r="A15" s="161"/>
      <c r="B15" s="170">
        <v>8</v>
      </c>
      <c r="C15" s="69">
        <f>(T._2[[#This Row],[data]]-(AVERAGE(T._2[data])))/(_xlfn.STDEV.P(T._2[data]))</f>
        <v>-0.69337524528153649</v>
      </c>
      <c r="D15" s="69">
        <f>(T._2[[#This Row],[data]]-(AVERAGE(T._2[data])))/((_xlfn.STDEV.P(T._2[data])*$D$37)+$C$37)</f>
        <v>-0.34668762264076824</v>
      </c>
      <c r="E15" s="70">
        <f>_xlfn.NORM.S.DIST(T._2[[#This Row],[Za]],IF($E$5=0,"TRUE","false"))</f>
        <v>0.24403704658262404</v>
      </c>
      <c r="F15" s="70">
        <f>_xlfn.NORM.S.DIST(T._2[[#This Row],[Zb]],IF($F$5=0,"TRUE","false"))</f>
        <v>0.36441300494615936</v>
      </c>
      <c r="G15" s="260">
        <f>1/SQRT(2*PI()*$I$2^2)*EXP(-((T._2[[#This Row],[Za]]-$H$2)^2)/(2*$I$2^2))</f>
        <v>0.31369843627095056</v>
      </c>
      <c r="H15" s="70">
        <f>NORMDIST(T._2[[#This Row],[Za]],$H$2,$I$2,FALSE)</f>
        <v>0.31369843627095056</v>
      </c>
      <c r="I15" s="270">
        <f>NORMDIST(T._2[[#This Row],[Zb]],$L$2,$M$2,FALSE)</f>
        <v>0.37567356643426852</v>
      </c>
      <c r="J15" s="172">
        <f>NORMSDIST(T._2[[#This Row],[Za]])</f>
        <v>0.24403704658262404</v>
      </c>
      <c r="K15" s="172">
        <f>NORMSDIST(T._2[[#This Row],[Zb]])</f>
        <v>0.36441300494615936</v>
      </c>
      <c r="L15" s="226">
        <f>($B$2)+T._2[[#This Row],[Za]]*($C$2)</f>
        <v>8</v>
      </c>
      <c r="M15" s="273">
        <f>$E$37+($B$2)+T._2[[#This Row],[Zb]]*($C$2)</f>
        <v>10.5</v>
      </c>
      <c r="N15" s="267">
        <f>ABS(T._2[[#This Row],[Xb]]-T._2[[#This Row],[Xa]])*1/T._2[[#This Row],[PB]]</f>
        <v>6.6547136220653531</v>
      </c>
      <c r="O15" s="268">
        <f>IF($D$37=1,"",T._2[[#This Row],[Xc]]/MAX(T._2[Xc])*0.94+0.01)</f>
        <v>0.30422754942322094</v>
      </c>
      <c r="P15" s="242">
        <f>IF($D$37=1,"",T._2[[#This Row],[Xc]]/MAX(T._2[Xc]))</f>
        <v>0.31300803130129889</v>
      </c>
      <c r="Q15" s="160"/>
      <c r="R15" s="160"/>
      <c r="S15" s="160"/>
      <c r="T15" s="160"/>
      <c r="U15" s="160"/>
      <c r="W15" s="160"/>
      <c r="X15" s="160"/>
      <c r="Y15" s="160"/>
      <c r="AA15" s="160"/>
      <c r="AC15" s="160"/>
      <c r="AD15" s="160"/>
      <c r="AE15" s="160"/>
    </row>
    <row r="16" spans="1:31" ht="12.75" x14ac:dyDescent="0.2">
      <c r="A16" s="161"/>
      <c r="B16" s="170">
        <v>9</v>
      </c>
      <c r="C16" s="69">
        <f>(T._2[[#This Row],[data]]-(AVERAGE(T._2[data])))/(_xlfn.STDEV.P(T._2[data]))</f>
        <v>-0.55470019622522915</v>
      </c>
      <c r="D16" s="69">
        <f>(T._2[[#This Row],[data]]-(AVERAGE(T._2[data])))/((_xlfn.STDEV.P(T._2[data])*$D$37)+$C$37)</f>
        <v>-0.27735009811261457</v>
      </c>
      <c r="E16" s="70">
        <f>_xlfn.NORM.S.DIST(T._2[[#This Row],[Za]],IF($E$5=0,"TRUE","false"))</f>
        <v>0.28954987097695939</v>
      </c>
      <c r="F16" s="70">
        <f>_xlfn.NORM.S.DIST(T._2[[#This Row],[Zb]],IF($F$5=0,"TRUE","false"))</f>
        <v>0.39075564749935665</v>
      </c>
      <c r="G16" s="260">
        <f>1/SQRT(2*PI()*$I$2^2)*EXP(-((T._2[[#This Row],[Za]]-$H$2)^2)/(2*$I$2^2))</f>
        <v>0.34205467473499207</v>
      </c>
      <c r="H16" s="70">
        <f>NORMDIST(T._2[[#This Row],[Za]],$H$2,$I$2,FALSE)</f>
        <v>0.34205467473499207</v>
      </c>
      <c r="I16" s="270">
        <f>NORMDIST(T._2[[#This Row],[Zb]],$L$2,$M$2,FALSE)</f>
        <v>0.38388967526703272</v>
      </c>
      <c r="J16" s="172">
        <f>NORMSDIST(T._2[[#This Row],[Za]])</f>
        <v>0.28954987097695939</v>
      </c>
      <c r="K16" s="172">
        <f>NORMSDIST(T._2[[#This Row],[Zb]])</f>
        <v>0.39075564749935665</v>
      </c>
      <c r="L16" s="226">
        <f>($B$2)+T._2[[#This Row],[Za]]*($C$2)</f>
        <v>9</v>
      </c>
      <c r="M16" s="273">
        <f>$E$37+($B$2)+T._2[[#This Row],[Zb]]*($C$2)</f>
        <v>11</v>
      </c>
      <c r="N16" s="267">
        <f>ABS(T._2[[#This Row],[Xb]]-T._2[[#This Row],[Xa]])*1/T._2[[#This Row],[PB]]</f>
        <v>5.2098301383302505</v>
      </c>
      <c r="O16" s="268">
        <f>IF($D$37=1,"",T._2[[#This Row],[Xc]]/MAX(T._2[Xc])*0.94+0.01)</f>
        <v>0.24034433058539453</v>
      </c>
      <c r="P16" s="242">
        <f>IF($D$37=1,"",T._2[[#This Row],[Xc]]/MAX(T._2[Xc]))</f>
        <v>0.24504716019722822</v>
      </c>
      <c r="Q16" s="160"/>
      <c r="R16" s="160"/>
      <c r="S16" s="160"/>
      <c r="T16" s="160"/>
      <c r="U16" s="160"/>
      <c r="W16" s="160"/>
      <c r="X16" s="160"/>
      <c r="Y16" s="160"/>
      <c r="AA16" s="160"/>
      <c r="AC16" s="160"/>
      <c r="AD16" s="160"/>
      <c r="AE16" s="160"/>
    </row>
    <row r="17" spans="1:31" ht="12.75" x14ac:dyDescent="0.2">
      <c r="A17" s="161"/>
      <c r="B17" s="170">
        <v>10</v>
      </c>
      <c r="C17" s="69">
        <f>(T._2[[#This Row],[data]]-(AVERAGE(T._2[data])))/(_xlfn.STDEV.P(T._2[data]))</f>
        <v>-0.41602514716892186</v>
      </c>
      <c r="D17" s="69">
        <f>(T._2[[#This Row],[data]]-(AVERAGE(T._2[data])))/((_xlfn.STDEV.P(T._2[data])*$D$37)+$C$37)</f>
        <v>-0.20801257358446093</v>
      </c>
      <c r="E17" s="70">
        <f>_xlfn.NORM.S.DIST(T._2[[#This Row],[Za]],IF($E$5=0,"TRUE","false"))</f>
        <v>0.33869580096313867</v>
      </c>
      <c r="F17" s="70">
        <f>_xlfn.NORM.S.DIST(T._2[[#This Row],[Zb]],IF($F$5=0,"TRUE","false"))</f>
        <v>0.41760957489251449</v>
      </c>
      <c r="G17" s="260">
        <f>1/SQRT(2*PI()*$I$2^2)*EXP(-((T._2[[#This Row],[Za]]-$H$2)^2)/(2*$I$2^2))</f>
        <v>0.36587007507280811</v>
      </c>
      <c r="H17" s="70">
        <f>NORMDIST(T._2[[#This Row],[Za]],$H$2,$I$2,FALSE)</f>
        <v>0.36587007507280811</v>
      </c>
      <c r="I17" s="270">
        <f>NORMDIST(T._2[[#This Row],[Zb]],$L$2,$M$2,FALSE)</f>
        <v>0.39040401171397893</v>
      </c>
      <c r="J17" s="172">
        <f>NORMSDIST(T._2[[#This Row],[Za]])</f>
        <v>0.33869580096313867</v>
      </c>
      <c r="K17" s="172">
        <f>NORMSDIST(T._2[[#This Row],[Zb]])</f>
        <v>0.41760957489251449</v>
      </c>
      <c r="L17" s="226">
        <f>($B$2)+T._2[[#This Row],[Za]]*($C$2)</f>
        <v>10</v>
      </c>
      <c r="M17" s="273">
        <f>$E$37+($B$2)+T._2[[#This Row],[Zb]]*($C$2)</f>
        <v>11.5</v>
      </c>
      <c r="N17" s="267">
        <f>ABS(T._2[[#This Row],[Xb]]-T._2[[#This Row],[Xa]])*1/T._2[[#This Row],[PB]]</f>
        <v>3.842173632936289</v>
      </c>
      <c r="O17" s="268">
        <f>IF($D$37=1,"",T._2[[#This Row],[Xc]]/MAX(T._2[Xc])*0.94+0.01)</f>
        <v>0.17987557942824073</v>
      </c>
      <c r="P17" s="242">
        <f>IF($D$37=1,"",T._2[[#This Row],[Xc]]/MAX(T._2[Xc]))</f>
        <v>0.18071870151940503</v>
      </c>
      <c r="Q17" s="160"/>
      <c r="R17" s="160"/>
      <c r="S17" s="160"/>
      <c r="T17" s="160"/>
      <c r="U17" s="160"/>
      <c r="W17" s="160"/>
      <c r="X17" s="160"/>
      <c r="Y17" s="160"/>
      <c r="AA17" s="160"/>
      <c r="AC17" s="160"/>
      <c r="AD17" s="160"/>
      <c r="AE17" s="160"/>
    </row>
    <row r="18" spans="1:31" ht="12.75" x14ac:dyDescent="0.2">
      <c r="A18" s="161"/>
      <c r="B18" s="170">
        <v>11</v>
      </c>
      <c r="C18" s="69">
        <f>(T._2[[#This Row],[data]]-(AVERAGE(T._2[data])))/(_xlfn.STDEV.P(T._2[data]))</f>
        <v>-0.27735009811261457</v>
      </c>
      <c r="D18" s="69">
        <f>(T._2[[#This Row],[data]]-(AVERAGE(T._2[data])))/((_xlfn.STDEV.P(T._2[data])*$D$37)+$C$37)</f>
        <v>-0.13867504905630729</v>
      </c>
      <c r="E18" s="70">
        <f>_xlfn.NORM.S.DIST(T._2[[#This Row],[Za]],IF($E$5=0,"TRUE","false"))</f>
        <v>0.39075564749935665</v>
      </c>
      <c r="F18" s="70">
        <f>_xlfn.NORM.S.DIST(T._2[[#This Row],[Zb]],IF($F$5=0,"TRUE","false"))</f>
        <v>0.4448534677665506</v>
      </c>
      <c r="G18" s="260">
        <f>1/SQRT(2*PI()*$I$2^2)*EXP(-((T._2[[#This Row],[Za]]-$H$2)^2)/(2*$I$2^2))</f>
        <v>0.38388967526703272</v>
      </c>
      <c r="H18" s="70">
        <f>NORMDIST(T._2[[#This Row],[Za]],$H$2,$I$2,FALSE)</f>
        <v>0.38388967526703272</v>
      </c>
      <c r="I18" s="270">
        <f>NORMDIST(T._2[[#This Row],[Zb]],$L$2,$M$2,FALSE)</f>
        <v>0.39512468019634539</v>
      </c>
      <c r="J18" s="172">
        <f>NORMSDIST(T._2[[#This Row],[Za]])</f>
        <v>0.39075564749935665</v>
      </c>
      <c r="K18" s="172">
        <f>NORMSDIST(T._2[[#This Row],[Zb]])</f>
        <v>0.4448534677665506</v>
      </c>
      <c r="L18" s="226">
        <f>($B$2)+T._2[[#This Row],[Za]]*($C$2)</f>
        <v>11</v>
      </c>
      <c r="M18" s="273">
        <f>$E$37+($B$2)+T._2[[#This Row],[Zb]]*($C$2)</f>
        <v>12</v>
      </c>
      <c r="N18" s="267">
        <f>ABS(T._2[[#This Row],[Xb]]-T._2[[#This Row],[Xa]])*1/T._2[[#This Row],[PB]]</f>
        <v>2.5308467178083633</v>
      </c>
      <c r="O18" s="268">
        <f>IF($D$37=1,"",T._2[[#This Row],[Xc]]/MAX(T._2[Xc])*0.94+0.01)</f>
        <v>0.12189735126655218</v>
      </c>
      <c r="P18" s="242">
        <f>IF($D$37=1,"",T._2[[#This Row],[Xc]]/MAX(T._2[Xc]))</f>
        <v>0.11903973538994915</v>
      </c>
      <c r="Q18" s="160"/>
      <c r="R18" s="160"/>
      <c r="S18" s="160"/>
      <c r="T18" s="160"/>
      <c r="U18" s="160"/>
      <c r="W18" s="160"/>
      <c r="X18" s="160"/>
      <c r="Y18" s="160"/>
      <c r="AA18" s="160"/>
      <c r="AC18" s="160"/>
      <c r="AD18" s="160"/>
      <c r="AE18" s="160"/>
    </row>
    <row r="19" spans="1:31" ht="12.75" x14ac:dyDescent="0.2">
      <c r="A19" s="161"/>
      <c r="B19" s="170">
        <v>12</v>
      </c>
      <c r="C19" s="69">
        <f>(T._2[[#This Row],[data]]-(AVERAGE(T._2[data])))/(_xlfn.STDEV.P(T._2[data]))</f>
        <v>-0.13867504905630729</v>
      </c>
      <c r="D19" s="69">
        <f>(T._2[[#This Row],[data]]-(AVERAGE(T._2[data])))/((_xlfn.STDEV.P(T._2[data])*$D$37)+$C$37)</f>
        <v>-6.9337524528153643E-2</v>
      </c>
      <c r="E19" s="70">
        <f>_xlfn.NORM.S.DIST(T._2[[#This Row],[Za]],IF($E$5=0,"TRUE","false"))</f>
        <v>0.4448534677665506</v>
      </c>
      <c r="F19" s="70">
        <f>_xlfn.NORM.S.DIST(T._2[[#This Row],[Zb]],IF($F$5=0,"TRUE","false"))</f>
        <v>0.47236047867206349</v>
      </c>
      <c r="G19" s="260">
        <f>1/SQRT(2*PI()*$I$2^2)*EXP(-((T._2[[#This Row],[Za]]-$H$2)^2)/(2*$I$2^2))</f>
        <v>0.39512468019634539</v>
      </c>
      <c r="H19" s="70">
        <f>NORMDIST(T._2[[#This Row],[Za]],$H$2,$I$2,FALSE)</f>
        <v>0.39512468019634539</v>
      </c>
      <c r="I19" s="270">
        <f>NORMDIST(T._2[[#This Row],[Zb]],$L$2,$M$2,FALSE)</f>
        <v>0.39798443625131119</v>
      </c>
      <c r="J19" s="172">
        <f>NORMSDIST(T._2[[#This Row],[Za]])</f>
        <v>0.4448534677665506</v>
      </c>
      <c r="K19" s="172">
        <f>NORMSDIST(T._2[[#This Row],[Zb]])</f>
        <v>0.47236047867206349</v>
      </c>
      <c r="L19" s="226">
        <f>($B$2)+T._2[[#This Row],[Za]]*($C$2)</f>
        <v>12</v>
      </c>
      <c r="M19" s="273">
        <f>$E$37+($B$2)+T._2[[#This Row],[Zb]]*($C$2)</f>
        <v>12.5</v>
      </c>
      <c r="N19" s="267">
        <f>ABS(T._2[[#This Row],[Xb]]-T._2[[#This Row],[Xa]])*1/T._2[[#This Row],[PB]]</f>
        <v>1.2563305357103716</v>
      </c>
      <c r="O19" s="268">
        <f>IF($D$37=1,"",T._2[[#This Row],[Xc]]/MAX(T._2[Xc])*0.94+0.01)</f>
        <v>6.5546650957596209E-2</v>
      </c>
      <c r="P19" s="242">
        <f>IF($D$37=1,"",T._2[[#This Row],[Xc]]/MAX(T._2[Xc]))</f>
        <v>5.9092181869783204E-2</v>
      </c>
      <c r="Q19" s="160"/>
      <c r="R19" s="160"/>
      <c r="S19" s="160"/>
      <c r="T19" s="160"/>
      <c r="U19" s="160"/>
      <c r="W19" s="160"/>
      <c r="X19" s="160"/>
      <c r="Y19" s="160"/>
      <c r="AA19" s="160"/>
      <c r="AC19" s="160"/>
      <c r="AD19" s="160"/>
      <c r="AE19" s="160"/>
    </row>
    <row r="20" spans="1:31" ht="12.75" x14ac:dyDescent="0.2">
      <c r="A20" s="161"/>
      <c r="B20" s="170">
        <v>13</v>
      </c>
      <c r="C20" s="69">
        <f>(T._2[[#This Row],[data]]-(AVERAGE(T._2[data])))/(_xlfn.STDEV.P(T._2[data]))</f>
        <v>0</v>
      </c>
      <c r="D20" s="69">
        <f>(T._2[[#This Row],[data]]-(AVERAGE(T._2[data])))/((_xlfn.STDEV.P(T._2[data])*$D$37)+$C$37)</f>
        <v>0</v>
      </c>
      <c r="E20" s="70">
        <f>_xlfn.NORM.S.DIST(T._2[[#This Row],[Za]],IF($E$5=0,"TRUE","false"))</f>
        <v>0.5</v>
      </c>
      <c r="F20" s="70">
        <f>_xlfn.NORM.S.DIST(T._2[[#This Row],[Zb]],IF($F$5=0,"TRUE","false"))</f>
        <v>0.5</v>
      </c>
      <c r="G20" s="260">
        <f>1/SQRT(2*PI()*$I$2^2)*EXP(-((T._2[[#This Row],[Za]]-$H$2)^2)/(2*$I$2^2))</f>
        <v>0.3989422804014327</v>
      </c>
      <c r="H20" s="70">
        <f>NORMDIST(T._2[[#This Row],[Za]],$H$2,$I$2,FALSE)</f>
        <v>0.3989422804014327</v>
      </c>
      <c r="I20" s="270">
        <f>NORMDIST(T._2[[#This Row],[Zb]],$L$2,$M$2,FALSE)</f>
        <v>0.3989422804014327</v>
      </c>
      <c r="J20" s="172">
        <f>NORMSDIST(T._2[[#This Row],[Za]])</f>
        <v>0.5</v>
      </c>
      <c r="K20" s="172">
        <f>NORMSDIST(T._2[[#This Row],[Zb]])</f>
        <v>0.5</v>
      </c>
      <c r="L20" s="226">
        <f>($B$2)+T._2[[#This Row],[Za]]*($C$2)</f>
        <v>13</v>
      </c>
      <c r="M20" s="273">
        <f>$E$37+($B$2)+T._2[[#This Row],[Zb]]*($C$2)</f>
        <v>13</v>
      </c>
      <c r="N20" s="267">
        <f>ABS(T._2[[#This Row],[Xb]]-T._2[[#This Row],[Xa]])*1/T._2[[#This Row],[PB]]</f>
        <v>0</v>
      </c>
      <c r="O20" s="268">
        <f>IF($D$37=1,"",T._2[[#This Row],[Xc]]/MAX(T._2[Xc])*0.94+0.01)</f>
        <v>0.01</v>
      </c>
      <c r="P20" s="242">
        <f>IF($D$37=1,"",T._2[[#This Row],[Xc]]/MAX(T._2[Xc]))</f>
        <v>0</v>
      </c>
      <c r="Q20" s="160"/>
      <c r="R20" s="160"/>
      <c r="S20" s="160"/>
      <c r="T20" s="160"/>
      <c r="U20" s="160"/>
      <c r="W20" s="160"/>
      <c r="X20" s="160"/>
      <c r="Y20" s="160"/>
      <c r="AA20" s="160"/>
      <c r="AC20" s="160"/>
      <c r="AD20" s="160"/>
      <c r="AE20" s="160"/>
    </row>
    <row r="21" spans="1:31" ht="12.75" x14ac:dyDescent="0.2">
      <c r="A21" s="161"/>
      <c r="B21" s="170">
        <v>14</v>
      </c>
      <c r="C21" s="69">
        <f>(T._2[[#This Row],[data]]-(AVERAGE(T._2[data])))/(_xlfn.STDEV.P(T._2[data]))</f>
        <v>0.13867504905630729</v>
      </c>
      <c r="D21" s="69">
        <f>(T._2[[#This Row],[data]]-(AVERAGE(T._2[data])))/((_xlfn.STDEV.P(T._2[data])*$D$37)+$C$37)</f>
        <v>6.9337524528153643E-2</v>
      </c>
      <c r="E21" s="70">
        <f>_xlfn.NORM.S.DIST(T._2[[#This Row],[Za]],IF($E$5=0,"TRUE","false"))</f>
        <v>0.55514653223344945</v>
      </c>
      <c r="F21" s="70">
        <f>_xlfn.NORM.S.DIST(T._2[[#This Row],[Zb]],IF($F$5=0,"TRUE","false"))</f>
        <v>0.52763952132793657</v>
      </c>
      <c r="G21" s="260">
        <f>1/SQRT(2*PI()*$I$2^2)*EXP(-((T._2[[#This Row],[Za]]-$H$2)^2)/(2*$I$2^2))</f>
        <v>0.39512468019634539</v>
      </c>
      <c r="H21" s="70">
        <f>NORMDIST(T._2[[#This Row],[Za]],$H$2,$I$2,FALSE)</f>
        <v>0.39512468019634539</v>
      </c>
      <c r="I21" s="270">
        <f>NORMDIST(T._2[[#This Row],[Zb]],$L$2,$M$2,FALSE)</f>
        <v>0.39798443625131119</v>
      </c>
      <c r="J21" s="172">
        <f>NORMSDIST(T._2[[#This Row],[Za]])</f>
        <v>0.55514653223344945</v>
      </c>
      <c r="K21" s="172">
        <f>NORMSDIST(T._2[[#This Row],[Zb]])</f>
        <v>0.52763952132793657</v>
      </c>
      <c r="L21" s="226">
        <f>($B$2)+T._2[[#This Row],[Za]]*($C$2)</f>
        <v>14</v>
      </c>
      <c r="M21" s="273">
        <f>$E$37+($B$2)+T._2[[#This Row],[Zb]]*($C$2)</f>
        <v>13.5</v>
      </c>
      <c r="N21" s="267">
        <f>ABS(T._2[[#This Row],[Xb]]-T._2[[#This Row],[Xa]])*1/T._2[[#This Row],[PB]]</f>
        <v>1.2563305357103716</v>
      </c>
      <c r="O21" s="268">
        <f>IF($D$37=1,"",T._2[[#This Row],[Xc]]/MAX(T._2[Xc])*0.94+0.01)</f>
        <v>6.5546650957596209E-2</v>
      </c>
      <c r="P21" s="242">
        <f>IF($D$37=1,"",T._2[[#This Row],[Xc]]/MAX(T._2[Xc]))</f>
        <v>5.9092181869783204E-2</v>
      </c>
      <c r="Q21" s="160"/>
      <c r="R21" s="160"/>
      <c r="S21" s="160"/>
      <c r="T21" s="160"/>
      <c r="U21" s="160"/>
      <c r="W21" s="160"/>
      <c r="X21" s="160"/>
      <c r="Y21" s="160"/>
      <c r="AA21" s="160"/>
      <c r="AC21" s="160"/>
      <c r="AD21" s="160"/>
      <c r="AE21" s="160"/>
    </row>
    <row r="22" spans="1:31" ht="12.75" x14ac:dyDescent="0.2">
      <c r="A22" s="161"/>
      <c r="B22" s="170">
        <v>15</v>
      </c>
      <c r="C22" s="69">
        <f>(T._2[[#This Row],[data]]-(AVERAGE(T._2[data])))/(_xlfn.STDEV.P(T._2[data]))</f>
        <v>0.27735009811261457</v>
      </c>
      <c r="D22" s="69">
        <f>(T._2[[#This Row],[data]]-(AVERAGE(T._2[data])))/((_xlfn.STDEV.P(T._2[data])*$D$37)+$C$37)</f>
        <v>0.13867504905630729</v>
      </c>
      <c r="E22" s="70">
        <f>_xlfn.NORM.S.DIST(T._2[[#This Row],[Za]],IF($E$5=0,"TRUE","false"))</f>
        <v>0.60924435250064335</v>
      </c>
      <c r="F22" s="70">
        <f>_xlfn.NORM.S.DIST(T._2[[#This Row],[Zb]],IF($F$5=0,"TRUE","false"))</f>
        <v>0.55514653223344945</v>
      </c>
      <c r="G22" s="260">
        <f>1/SQRT(2*PI()*$I$2^2)*EXP(-((T._2[[#This Row],[Za]]-$H$2)^2)/(2*$I$2^2))</f>
        <v>0.38388967526703272</v>
      </c>
      <c r="H22" s="70">
        <f>NORMDIST(T._2[[#This Row],[Za]],$H$2,$I$2,FALSE)</f>
        <v>0.38388967526703272</v>
      </c>
      <c r="I22" s="270">
        <f>NORMDIST(T._2[[#This Row],[Zb]],$L$2,$M$2,FALSE)</f>
        <v>0.39512468019634539</v>
      </c>
      <c r="J22" s="172">
        <f>NORMSDIST(T._2[[#This Row],[Za]])</f>
        <v>0.60924435250064335</v>
      </c>
      <c r="K22" s="172">
        <f>NORMSDIST(T._2[[#This Row],[Zb]])</f>
        <v>0.55514653223344945</v>
      </c>
      <c r="L22" s="226">
        <f>($B$2)+T._2[[#This Row],[Za]]*($C$2)</f>
        <v>15</v>
      </c>
      <c r="M22" s="273">
        <f>$E$37+($B$2)+T._2[[#This Row],[Zb]]*($C$2)</f>
        <v>14</v>
      </c>
      <c r="N22" s="267">
        <f>ABS(T._2[[#This Row],[Xb]]-T._2[[#This Row],[Xa]])*1/T._2[[#This Row],[PB]]</f>
        <v>2.5308467178083633</v>
      </c>
      <c r="O22" s="268">
        <f>IF($D$37=1,"",T._2[[#This Row],[Xc]]/MAX(T._2[Xc])*0.94+0.01)</f>
        <v>0.12189735126655218</v>
      </c>
      <c r="P22" s="242">
        <f>IF($D$37=1,"",T._2[[#This Row],[Xc]]/MAX(T._2[Xc]))</f>
        <v>0.11903973538994915</v>
      </c>
      <c r="Q22" s="160"/>
      <c r="R22" s="160"/>
      <c r="S22" s="160"/>
      <c r="T22" s="160"/>
      <c r="U22" s="160"/>
      <c r="W22" s="160"/>
      <c r="X22" s="160"/>
      <c r="Y22" s="160"/>
      <c r="AA22" s="160"/>
      <c r="AC22" s="160"/>
      <c r="AD22" s="160"/>
      <c r="AE22" s="160"/>
    </row>
    <row r="23" spans="1:31" ht="12.75" x14ac:dyDescent="0.2">
      <c r="A23" s="161"/>
      <c r="B23" s="170">
        <v>16</v>
      </c>
      <c r="C23" s="135">
        <f>(T._2[[#This Row],[data]]-(AVERAGE(T._2[data])))/(_xlfn.STDEV.P(T._2[data]))</f>
        <v>0.41602514716892186</v>
      </c>
      <c r="D23" s="69">
        <f>(T._2[[#This Row],[data]]-(AVERAGE(T._2[data])))/((_xlfn.STDEV.P(T._2[data])*$D$37)+$C$37)</f>
        <v>0.20801257358446093</v>
      </c>
      <c r="E23" s="70">
        <f>_xlfn.NORM.S.DIST(T._2[[#This Row],[Za]],IF($E$5=0,"TRUE","false"))</f>
        <v>0.66130419903686133</v>
      </c>
      <c r="F23" s="70">
        <f>_xlfn.NORM.S.DIST(T._2[[#This Row],[Zb]],IF($F$5=0,"TRUE","false"))</f>
        <v>0.58239042510748551</v>
      </c>
      <c r="G23" s="260">
        <f>1/SQRT(2*PI()*$I$2^2)*EXP(-((T._2[[#This Row],[Za]]-$H$2)^2)/(2*$I$2^2))</f>
        <v>0.36587007507280811</v>
      </c>
      <c r="H23" s="70">
        <f>NORMDIST(T._2[[#This Row],[Za]],$H$2,$I$2,FALSE)</f>
        <v>0.36587007507280811</v>
      </c>
      <c r="I23" s="270">
        <f>NORMDIST(T._2[[#This Row],[Zb]],$L$2,$M$2,FALSE)</f>
        <v>0.39040401171397893</v>
      </c>
      <c r="J23" s="172">
        <f>NORMSDIST(T._2[[#This Row],[Za]])</f>
        <v>0.66130419903686133</v>
      </c>
      <c r="K23" s="172">
        <f>NORMSDIST(T._2[[#This Row],[Zb]])</f>
        <v>0.58239042510748551</v>
      </c>
      <c r="L23" s="226">
        <f>($B$2)+T._2[[#This Row],[Za]]*($C$2)</f>
        <v>16</v>
      </c>
      <c r="M23" s="273">
        <f>$E$37+($B$2)+T._2[[#This Row],[Zb]]*($C$2)</f>
        <v>14.5</v>
      </c>
      <c r="N23" s="267">
        <f>ABS(T._2[[#This Row],[Xb]]-T._2[[#This Row],[Xa]])*1/T._2[[#This Row],[PB]]</f>
        <v>3.842173632936289</v>
      </c>
      <c r="O23" s="268">
        <f>IF($D$37=1,"",T._2[[#This Row],[Xc]]/MAX(T._2[Xc])*0.94+0.01)</f>
        <v>0.17987557942824073</v>
      </c>
      <c r="P23" s="242">
        <f>IF($D$37=1,"",T._2[[#This Row],[Xc]]/MAX(T._2[Xc]))</f>
        <v>0.18071870151940503</v>
      </c>
      <c r="Q23" s="160"/>
      <c r="R23" s="160"/>
      <c r="S23" s="160"/>
      <c r="T23" s="160"/>
      <c r="U23" s="160"/>
      <c r="W23" s="160"/>
      <c r="X23" s="160"/>
      <c r="Y23" s="160"/>
      <c r="AA23" s="160"/>
      <c r="AC23" s="160"/>
      <c r="AD23" s="160"/>
      <c r="AE23" s="160"/>
    </row>
    <row r="24" spans="1:31" ht="12.75" x14ac:dyDescent="0.2">
      <c r="A24" s="161"/>
      <c r="B24" s="170">
        <v>17</v>
      </c>
      <c r="C24" s="135">
        <f>(T._2[[#This Row],[data]]-(AVERAGE(T._2[data])))/(_xlfn.STDEV.P(T._2[data]))</f>
        <v>0.55470019622522915</v>
      </c>
      <c r="D24" s="69">
        <f>(T._2[[#This Row],[data]]-(AVERAGE(T._2[data])))/((_xlfn.STDEV.P(T._2[data])*$D$37)+$C$37)</f>
        <v>0.27735009811261457</v>
      </c>
      <c r="E24" s="70">
        <f>_xlfn.NORM.S.DIST(T._2[[#This Row],[Za]],IF($E$5=0,"TRUE","false"))</f>
        <v>0.71045012902304061</v>
      </c>
      <c r="F24" s="70">
        <f>_xlfn.NORM.S.DIST(T._2[[#This Row],[Zb]],IF($F$5=0,"TRUE","false"))</f>
        <v>0.60924435250064335</v>
      </c>
      <c r="G24" s="260">
        <f>1/SQRT(2*PI()*$I$2^2)*EXP(-((T._2[[#This Row],[Za]]-$H$2)^2)/(2*$I$2^2))</f>
        <v>0.34205467473499207</v>
      </c>
      <c r="H24" s="70">
        <f>NORMDIST(T._2[[#This Row],[Za]],$H$2,$I$2,FALSE)</f>
        <v>0.34205467473499207</v>
      </c>
      <c r="I24" s="270">
        <f>NORMDIST(T._2[[#This Row],[Zb]],$L$2,$M$2,FALSE)</f>
        <v>0.38388967526703272</v>
      </c>
      <c r="J24" s="172">
        <f>NORMSDIST(T._2[[#This Row],[Za]])</f>
        <v>0.71045012902304061</v>
      </c>
      <c r="K24" s="172">
        <f>NORMSDIST(T._2[[#This Row],[Zb]])</f>
        <v>0.60924435250064335</v>
      </c>
      <c r="L24" s="226">
        <f>($B$2)+T._2[[#This Row],[Za]]*($C$2)</f>
        <v>17</v>
      </c>
      <c r="M24" s="273">
        <f>$E$37+($B$2)+T._2[[#This Row],[Zb]]*($C$2)</f>
        <v>15</v>
      </c>
      <c r="N24" s="267">
        <f>ABS(T._2[[#This Row],[Xb]]-T._2[[#This Row],[Xa]])*1/T._2[[#This Row],[PB]]</f>
        <v>5.2098301383302505</v>
      </c>
      <c r="O24" s="268">
        <f>IF($D$37=1,"",T._2[[#This Row],[Xc]]/MAX(T._2[Xc])*0.94+0.01)</f>
        <v>0.24034433058539453</v>
      </c>
      <c r="P24" s="242">
        <f>IF($D$37=1,"",T._2[[#This Row],[Xc]]/MAX(T._2[Xc]))</f>
        <v>0.24504716019722822</v>
      </c>
      <c r="Q24" s="160"/>
      <c r="R24" s="160"/>
      <c r="S24" s="160"/>
      <c r="T24" s="160"/>
      <c r="U24" s="160"/>
      <c r="W24" s="160"/>
      <c r="X24" s="160"/>
      <c r="Y24" s="160"/>
      <c r="AA24" s="160"/>
      <c r="AC24" s="160"/>
      <c r="AD24" s="160"/>
      <c r="AE24" s="160"/>
    </row>
    <row r="25" spans="1:31" ht="12.75" x14ac:dyDescent="0.2">
      <c r="A25" s="161"/>
      <c r="B25" s="170">
        <v>18</v>
      </c>
      <c r="C25" s="135">
        <f>(T._2[[#This Row],[data]]-(AVERAGE(T._2[data])))/(_xlfn.STDEV.P(T._2[data]))</f>
        <v>0.69337524528153649</v>
      </c>
      <c r="D25" s="69">
        <f>(T._2[[#This Row],[data]]-(AVERAGE(T._2[data])))/((_xlfn.STDEV.P(T._2[data])*$D$37)+$C$37)</f>
        <v>0.34668762264076824</v>
      </c>
      <c r="E25" s="70">
        <f>_xlfn.NORM.S.DIST(T._2[[#This Row],[Za]],IF($E$5=0,"TRUE","false"))</f>
        <v>0.75596295341737596</v>
      </c>
      <c r="F25" s="70">
        <f>_xlfn.NORM.S.DIST(T._2[[#This Row],[Zb]],IF($F$5=0,"TRUE","false"))</f>
        <v>0.63558699505384064</v>
      </c>
      <c r="G25" s="260">
        <f>1/SQRT(2*PI()*$I$2^2)*EXP(-((T._2[[#This Row],[Za]]-$H$2)^2)/(2*$I$2^2))</f>
        <v>0.31369843627095056</v>
      </c>
      <c r="H25" s="70">
        <f>NORMDIST(T._2[[#This Row],[Za]],$H$2,$I$2,FALSE)</f>
        <v>0.31369843627095056</v>
      </c>
      <c r="I25" s="270">
        <f>NORMDIST(T._2[[#This Row],[Zb]],$L$2,$M$2,FALSE)</f>
        <v>0.37567356643426852</v>
      </c>
      <c r="J25" s="172">
        <f>NORMSDIST(T._2[[#This Row],[Za]])</f>
        <v>0.75596295341737596</v>
      </c>
      <c r="K25" s="172">
        <f>NORMSDIST(T._2[[#This Row],[Zb]])</f>
        <v>0.63558699505384064</v>
      </c>
      <c r="L25" s="226">
        <f>($B$2)+T._2[[#This Row],[Za]]*($C$2)</f>
        <v>18</v>
      </c>
      <c r="M25" s="273">
        <f>$E$37+($B$2)+T._2[[#This Row],[Zb]]*($C$2)</f>
        <v>15.5</v>
      </c>
      <c r="N25" s="267">
        <f>ABS(T._2[[#This Row],[Xb]]-T._2[[#This Row],[Xa]])*1/T._2[[#This Row],[PB]]</f>
        <v>6.6547136220653531</v>
      </c>
      <c r="O25" s="268">
        <f>IF($D$37=1,"",T._2[[#This Row],[Xc]]/MAX(T._2[Xc])*0.94+0.01)</f>
        <v>0.30422754942322094</v>
      </c>
      <c r="P25" s="242">
        <f>IF($D$37=1,"",T._2[[#This Row],[Xc]]/MAX(T._2[Xc]))</f>
        <v>0.31300803130129889</v>
      </c>
      <c r="Q25" s="160"/>
      <c r="R25" s="160"/>
      <c r="S25" s="160"/>
      <c r="T25" s="160"/>
      <c r="U25" s="160"/>
      <c r="W25" s="160"/>
      <c r="X25" s="160"/>
      <c r="Y25" s="160"/>
      <c r="AA25" s="160"/>
      <c r="AC25" s="160"/>
      <c r="AD25" s="160"/>
      <c r="AE25" s="160"/>
    </row>
    <row r="26" spans="1:31" x14ac:dyDescent="0.25">
      <c r="A26" s="161"/>
      <c r="B26" s="170">
        <v>19</v>
      </c>
      <c r="C26" s="135">
        <f>(T._2[[#This Row],[data]]-(AVERAGE(T._2[data])))/(_xlfn.STDEV.P(T._2[data]))</f>
        <v>0.83205029433784372</v>
      </c>
      <c r="D26" s="69">
        <f>(T._2[[#This Row],[data]]-(AVERAGE(T._2[data])))/((_xlfn.STDEV.P(T._2[data])*$D$37)+$C$37)</f>
        <v>0.41602514716892186</v>
      </c>
      <c r="E26" s="70">
        <f>_xlfn.NORM.S.DIST(T._2[[#This Row],[Za]],IF($E$5=0,"TRUE","false"))</f>
        <v>0.79730972177052883</v>
      </c>
      <c r="F26" s="70">
        <f>_xlfn.NORM.S.DIST(T._2[[#This Row],[Zb]],IF($F$5=0,"TRUE","false"))</f>
        <v>0.66130419903686133</v>
      </c>
      <c r="G26" s="260">
        <f>1/SQRT(2*PI()*$I$2^2)*EXP(-((T._2[[#This Row],[Za]]-$H$2)^2)/(2*$I$2^2))</f>
        <v>0.28221322425966744</v>
      </c>
      <c r="H26" s="70">
        <f>NORMDIST(T._2[[#This Row],[Za]],$H$2,$I$2,FALSE)</f>
        <v>0.28221322425966744</v>
      </c>
      <c r="I26" s="270">
        <f>NORMDIST(T._2[[#This Row],[Zb]],$L$2,$M$2,FALSE)</f>
        <v>0.36587007507280811</v>
      </c>
      <c r="J26" s="172">
        <f>NORMSDIST(T._2[[#This Row],[Za]])</f>
        <v>0.79730972177052883</v>
      </c>
      <c r="K26" s="172">
        <f>NORMSDIST(T._2[[#This Row],[Zb]])</f>
        <v>0.66130419903686133</v>
      </c>
      <c r="L26" s="226">
        <f>($B$2)+T._2[[#This Row],[Za]]*($C$2)</f>
        <v>19</v>
      </c>
      <c r="M26" s="273">
        <f>$E$37+($B$2)+T._2[[#This Row],[Zb]]*($C$2)</f>
        <v>16</v>
      </c>
      <c r="N26" s="267">
        <f>ABS(T._2[[#This Row],[Xb]]-T._2[[#This Row],[Xa]])*1/T._2[[#This Row],[PB]]</f>
        <v>8.1996320672112919</v>
      </c>
      <c r="O26" s="268">
        <f>IF($D$37=1,"",T._2[[#This Row],[Xc]]/MAX(T._2[Xc])*0.94+0.01)</f>
        <v>0.37253365453747017</v>
      </c>
      <c r="P26" s="242">
        <f>IF($D$37=1,"",T._2[[#This Row],[Xc]]/MAX(T._2[Xc]))</f>
        <v>0.38567410057177681</v>
      </c>
      <c r="R26" s="160"/>
      <c r="S26" s="160"/>
      <c r="T26" s="160"/>
      <c r="U26" s="160"/>
      <c r="W26" s="160"/>
      <c r="X26" s="160"/>
      <c r="Y26" s="160"/>
      <c r="AA26" s="160"/>
      <c r="AC26" s="160"/>
      <c r="AD26" s="160"/>
      <c r="AE26" s="160"/>
    </row>
    <row r="27" spans="1:31" ht="12.75" x14ac:dyDescent="0.2">
      <c r="A27" s="161"/>
      <c r="B27" s="170">
        <v>20</v>
      </c>
      <c r="C27" s="135">
        <f>(T._2[[#This Row],[data]]-(AVERAGE(T._2[data])))/(_xlfn.STDEV.P(T._2[data]))</f>
        <v>0.97072534339415106</v>
      </c>
      <c r="D27" s="69">
        <f>(T._2[[#This Row],[data]]-(AVERAGE(T._2[data])))/((_xlfn.STDEV.P(T._2[data])*$D$37)+$C$37)</f>
        <v>0.48536267169707553</v>
      </c>
      <c r="E27" s="70">
        <f>_xlfn.NORM.S.DIST(T._2[[#This Row],[Za]],IF($E$5=0,"TRUE","false"))</f>
        <v>0.83415746597156881</v>
      </c>
      <c r="F27" s="70">
        <f>_xlfn.NORM.S.DIST(T._2[[#This Row],[Zb]],IF($F$5=0,"TRUE","false"))</f>
        <v>0.68629044681695017</v>
      </c>
      <c r="G27" s="260">
        <f>1/SQRT(2*PI()*$I$2^2)*EXP(-((T._2[[#This Row],[Za]]-$H$2)^2)/(2*$I$2^2))</f>
        <v>0.24905229627756828</v>
      </c>
      <c r="H27" s="70">
        <f>NORMDIST(T._2[[#This Row],[Za]],$H$2,$I$2,FALSE)</f>
        <v>0.24905229627756828</v>
      </c>
      <c r="I27" s="270">
        <f>NORMDIST(T._2[[#This Row],[Zb]],$L$2,$M$2,FALSE)</f>
        <v>0.35461343626092062</v>
      </c>
      <c r="J27" s="172">
        <f>NORMSDIST(T._2[[#This Row],[Za]])</f>
        <v>0.83415746597156881</v>
      </c>
      <c r="K27" s="172">
        <f>NORMSDIST(T._2[[#This Row],[Zb]])</f>
        <v>0.68629044681695017</v>
      </c>
      <c r="L27" s="226">
        <f>($B$2)+T._2[[#This Row],[Za]]*($C$2)</f>
        <v>20</v>
      </c>
      <c r="M27" s="273">
        <f>$E$37+($B$2)+T._2[[#This Row],[Zb]]*($C$2)</f>
        <v>16.5</v>
      </c>
      <c r="N27" s="267">
        <f>ABS(T._2[[#This Row],[Xb]]-T._2[[#This Row],[Xa]])*1/T._2[[#This Row],[PB]]</f>
        <v>9.8699023841407385</v>
      </c>
      <c r="O27" s="268">
        <f>IF($D$37=1,"",T._2[[#This Row],[Xc]]/MAX(T._2[Xc])*0.94+0.01)</f>
        <v>0.44638199274319074</v>
      </c>
      <c r="P27" s="242">
        <f>IF($D$37=1,"",T._2[[#This Row],[Xc]]/MAX(T._2[Xc]))</f>
        <v>0.46423616249275612</v>
      </c>
      <c r="Q27" s="160"/>
      <c r="R27" s="160"/>
      <c r="S27" s="160"/>
      <c r="T27" s="160"/>
      <c r="U27" s="160"/>
      <c r="W27" s="160"/>
      <c r="X27" s="160"/>
      <c r="Y27" s="160"/>
      <c r="AA27" s="160"/>
      <c r="AC27" s="160"/>
      <c r="AD27" s="160"/>
      <c r="AE27" s="160"/>
    </row>
    <row r="28" spans="1:31" ht="12" customHeight="1" x14ac:dyDescent="0.2">
      <c r="A28" s="161"/>
      <c r="B28" s="170">
        <v>21</v>
      </c>
      <c r="C28" s="135">
        <f>(T._2[[#This Row],[data]]-(AVERAGE(T._2[data])))/(_xlfn.STDEV.P(T._2[data]))</f>
        <v>1.1094003924504583</v>
      </c>
      <c r="D28" s="69">
        <f>(T._2[[#This Row],[data]]-(AVERAGE(T._2[data])))/((_xlfn.STDEV.P(T._2[data])*$D$37)+$C$37)</f>
        <v>0.55470019622522915</v>
      </c>
      <c r="E28" s="70">
        <f>_xlfn.NORM.S.DIST(T._2[[#This Row],[Za]],IF($E$5=0,"TRUE","false"))</f>
        <v>0.86637125342280608</v>
      </c>
      <c r="F28" s="70">
        <f>_xlfn.NORM.S.DIST(T._2[[#This Row],[Zb]],IF($F$5=0,"TRUE","false"))</f>
        <v>0.71045012902304061</v>
      </c>
      <c r="G28" s="260">
        <f>1/SQRT(2*PI()*$I$2^2)*EXP(-((T._2[[#This Row],[Za]]-$H$2)^2)/(2*$I$2^2))</f>
        <v>0.21560157202251737</v>
      </c>
      <c r="H28" s="70">
        <f>NORMDIST(T._2[[#This Row],[Za]],$H$2,$I$2,FALSE)</f>
        <v>0.21560157202251737</v>
      </c>
      <c r="I28" s="270">
        <f>NORMDIST(T._2[[#This Row],[Zb]],$L$2,$M$2,FALSE)</f>
        <v>0.34205467473499207</v>
      </c>
      <c r="J28" s="172">
        <f>NORMSDIST(T._2[[#This Row],[Za]])</f>
        <v>0.86637125342280608</v>
      </c>
      <c r="K28" s="172">
        <f>NORMSDIST(T._2[[#This Row],[Zb]])</f>
        <v>0.71045012902304061</v>
      </c>
      <c r="L28" s="226">
        <f>($B$2)+T._2[[#This Row],[Za]]*($C$2)</f>
        <v>21</v>
      </c>
      <c r="M28" s="273">
        <f>$E$37+($B$2)+T._2[[#This Row],[Zb]]*($C$2)</f>
        <v>17</v>
      </c>
      <c r="N28" s="267">
        <f>ABS(T._2[[#This Row],[Xb]]-T._2[[#This Row],[Xa]])*1/T._2[[#This Row],[PB]]</f>
        <v>11.694036934589514</v>
      </c>
      <c r="O28" s="268">
        <f>IF($D$37=1,"",T._2[[#This Row],[Xc]]/MAX(T._2[Xc])*0.94+0.01)</f>
        <v>0.52703319264113602</v>
      </c>
      <c r="P28" s="242">
        <f>IF($D$37=1,"",T._2[[#This Row],[Xc]]/MAX(T._2[Xc]))</f>
        <v>0.55003531132035743</v>
      </c>
      <c r="Q28" s="160"/>
      <c r="R28" s="160"/>
      <c r="S28" s="160"/>
      <c r="T28" s="160"/>
      <c r="U28" s="160"/>
      <c r="W28" s="160"/>
      <c r="X28" s="160"/>
      <c r="Y28" s="160"/>
      <c r="AA28" s="160"/>
      <c r="AC28" s="160"/>
      <c r="AD28" s="160"/>
      <c r="AE28" s="160"/>
    </row>
    <row r="29" spans="1:31" ht="12" customHeight="1" x14ac:dyDescent="0.2">
      <c r="A29" s="161"/>
      <c r="B29" s="170">
        <v>22</v>
      </c>
      <c r="C29" s="135">
        <f>(T._2[[#This Row],[data]]-(AVERAGE(T._2[data])))/(_xlfn.STDEV.P(T._2[data]))</f>
        <v>1.2480754415067656</v>
      </c>
      <c r="D29" s="69">
        <f>(T._2[[#This Row],[data]]-(AVERAGE(T._2[data])))/((_xlfn.STDEV.P(T._2[data])*$D$37)+$C$37)</f>
        <v>0.62403772075338282</v>
      </c>
      <c r="E29" s="70">
        <f>_xlfn.NORM.S.DIST(T._2[[#This Row],[Za]],IF($E$5=0,"TRUE","false"))</f>
        <v>0.89399828453858721</v>
      </c>
      <c r="F29" s="70">
        <f>_xlfn.NORM.S.DIST(T._2[[#This Row],[Zb]],IF($F$5=0,"TRUE","false"))</f>
        <v>0.73369859353176303</v>
      </c>
      <c r="G29" s="260">
        <f>1/SQRT(2*PI()*$I$2^2)*EXP(-((T._2[[#This Row],[Za]]-$H$2)^2)/(2*$I$2^2))</f>
        <v>0.18308867383025043</v>
      </c>
      <c r="H29" s="70">
        <f>NORMDIST(T._2[[#This Row],[Za]],$H$2,$I$2,FALSE)</f>
        <v>0.18308867383025043</v>
      </c>
      <c r="I29" s="270">
        <f>NORMDIST(T._2[[#This Row],[Zb]],$L$2,$M$2,FALSE)</f>
        <v>0.32835823994122026</v>
      </c>
      <c r="J29" s="172">
        <f>NORMSDIST(T._2[[#This Row],[Za]])</f>
        <v>0.89399828453858721</v>
      </c>
      <c r="K29" s="172">
        <f>NORMSDIST(T._2[[#This Row],[Zb]])</f>
        <v>0.73369859353176303</v>
      </c>
      <c r="L29" s="226">
        <f>($B$2)+T._2[[#This Row],[Za]]*($C$2)</f>
        <v>22</v>
      </c>
      <c r="M29" s="273">
        <f>$E$37+($B$2)+T._2[[#This Row],[Zb]]*($C$2)</f>
        <v>17.5</v>
      </c>
      <c r="N29" s="267">
        <f>ABS(T._2[[#This Row],[Xb]]-T._2[[#This Row],[Xa]])*1/T._2[[#This Row],[PB]]</f>
        <v>13.704544161296361</v>
      </c>
      <c r="O29" s="268">
        <f>IF($D$37=1,"",T._2[[#This Row],[Xc]]/MAX(T._2[Xc])*0.94+0.01)</f>
        <v>0.61592456318038979</v>
      </c>
      <c r="P29" s="242">
        <f>IF($D$37=1,"",T._2[[#This Row],[Xc]]/MAX(T._2[Xc]))</f>
        <v>0.64460059912807433</v>
      </c>
      <c r="Q29" s="160"/>
      <c r="R29" s="160"/>
      <c r="S29" s="160"/>
      <c r="T29" s="160"/>
      <c r="U29" s="160"/>
      <c r="W29" s="160"/>
      <c r="X29" s="160"/>
      <c r="Y29" s="160"/>
      <c r="AA29" s="160"/>
      <c r="AC29" s="160"/>
      <c r="AD29" s="160"/>
      <c r="AE29" s="160"/>
    </row>
    <row r="30" spans="1:31" ht="12" customHeight="1" x14ac:dyDescent="0.2">
      <c r="A30" s="161"/>
      <c r="B30" s="170">
        <v>23</v>
      </c>
      <c r="C30" s="135">
        <f>(T._2[[#This Row],[data]]-(AVERAGE(T._2[data])))/(_xlfn.STDEV.P(T._2[data]))</f>
        <v>1.386750490563073</v>
      </c>
      <c r="D30" s="69">
        <f>(T._2[[#This Row],[data]]-(AVERAGE(T._2[data])))/((_xlfn.STDEV.P(T._2[data])*$D$37)+$C$37)</f>
        <v>0.69337524528153649</v>
      </c>
      <c r="E30" s="70">
        <f>_xlfn.NORM.S.DIST(T._2[[#This Row],[Za]],IF($E$5=0,"TRUE","false"))</f>
        <v>0.91724107065126503</v>
      </c>
      <c r="F30" s="70">
        <f>_xlfn.NORM.S.DIST(T._2[[#This Row],[Zb]],IF($F$5=0,"TRUE","false"))</f>
        <v>0.75596295341737596</v>
      </c>
      <c r="G30" s="260">
        <f>1/SQRT(2*PI()*$I$2^2)*EXP(-((T._2[[#This Row],[Za]]-$H$2)^2)/(2*$I$2^2))</f>
        <v>0.15251733843477824</v>
      </c>
      <c r="H30" s="70">
        <f>NORMDIST(T._2[[#This Row],[Za]],$H$2,$I$2,FALSE)</f>
        <v>0.15251733843477824</v>
      </c>
      <c r="I30" s="270">
        <f>NORMDIST(T._2[[#This Row],[Zb]],$L$2,$M$2,FALSE)</f>
        <v>0.31369843627095056</v>
      </c>
      <c r="J30" s="172">
        <f>NORMSDIST(T._2[[#This Row],[Za]])</f>
        <v>0.91724107065126503</v>
      </c>
      <c r="K30" s="172">
        <f>NORMSDIST(T._2[[#This Row],[Zb]])</f>
        <v>0.75596295341737596</v>
      </c>
      <c r="L30" s="226">
        <f>($B$2)+T._2[[#This Row],[Za]]*($C$2)</f>
        <v>23</v>
      </c>
      <c r="M30" s="273">
        <f>$E$37+($B$2)+T._2[[#This Row],[Zb]]*($C$2)</f>
        <v>18</v>
      </c>
      <c r="N30" s="267">
        <f>ABS(T._2[[#This Row],[Xb]]-T._2[[#This Row],[Xa]])*1/T._2[[#This Row],[PB]]</f>
        <v>15.938874479059733</v>
      </c>
      <c r="O30" s="268">
        <f>IF($D$37=1,"",T._2[[#This Row],[Xc]]/MAX(T._2[Xc])*0.94+0.01)</f>
        <v>0.71471191472287332</v>
      </c>
      <c r="P30" s="242">
        <f>IF($D$37=1,"",T._2[[#This Row],[Xc]]/MAX(T._2[Xc]))</f>
        <v>0.74969352630092911</v>
      </c>
      <c r="Q30" s="160"/>
      <c r="R30" s="160"/>
      <c r="S30" s="160"/>
      <c r="T30" s="160"/>
      <c r="U30" s="160"/>
      <c r="W30" s="160"/>
      <c r="X30" s="160"/>
      <c r="Y30" s="160"/>
      <c r="AA30" s="160"/>
      <c r="AC30" s="160"/>
      <c r="AD30" s="160"/>
      <c r="AE30" s="160"/>
    </row>
    <row r="31" spans="1:31" ht="12" customHeight="1" x14ac:dyDescent="0.2">
      <c r="A31" s="161"/>
      <c r="B31" s="170">
        <v>24</v>
      </c>
      <c r="C31" s="135">
        <f>(T._2[[#This Row],[data]]-(AVERAGE(T._2[data])))/(_xlfn.STDEV.P(T._2[data]))</f>
        <v>1.5254255396193801</v>
      </c>
      <c r="D31" s="69">
        <f>(T._2[[#This Row],[data]]-(AVERAGE(T._2[data])))/((_xlfn.STDEV.P(T._2[data])*$D$37)+$C$37)</f>
        <v>0.76271276980969005</v>
      </c>
      <c r="E31" s="70">
        <f>_xlfn.NORM.S.DIST(T._2[[#This Row],[Za]],IF($E$5=0,"TRUE","false"))</f>
        <v>0.93642350369999283</v>
      </c>
      <c r="F31" s="70">
        <f>_xlfn.NORM.S.DIST(T._2[[#This Row],[Zb]],IF($F$5=0,"TRUE","false"))</f>
        <v>0.77718264339652798</v>
      </c>
      <c r="G31" s="260">
        <f>1/SQRT(2*PI()*$I$2^2)*EXP(-((T._2[[#This Row],[Za]]-$H$2)^2)/(2*$I$2^2))</f>
        <v>0.12463073026883781</v>
      </c>
      <c r="H31" s="70">
        <f>NORMDIST(T._2[[#This Row],[Za]],$H$2,$I$2,FALSE)</f>
        <v>0.12463073026883781</v>
      </c>
      <c r="I31" s="270">
        <f>NORMDIST(T._2[[#This Row],[Zb]],$L$2,$M$2,FALSE)</f>
        <v>0.29825575633544316</v>
      </c>
      <c r="J31" s="172">
        <f>NORMSDIST(T._2[[#This Row],[Za]])</f>
        <v>0.93642350369999283</v>
      </c>
      <c r="K31" s="172">
        <f>NORMSDIST(T._2[[#This Row],[Zb]])</f>
        <v>0.77718264339652798</v>
      </c>
      <c r="L31" s="226">
        <f>($B$2)+T._2[[#This Row],[Za]]*($C$2)</f>
        <v>24</v>
      </c>
      <c r="M31" s="273">
        <f>$E$37+($B$2)+T._2[[#This Row],[Zb]]*($C$2)</f>
        <v>18.5</v>
      </c>
      <c r="N31" s="267">
        <f>ABS(T._2[[#This Row],[Xb]]-T._2[[#This Row],[Xa]])*1/T._2[[#This Row],[PB]]</f>
        <v>18.440549371373219</v>
      </c>
      <c r="O31" s="268">
        <f>IF($D$37=1,"",T._2[[#This Row],[Xc]]/MAX(T._2[Xc])*0.94+0.01)</f>
        <v>0.82531948025032176</v>
      </c>
      <c r="P31" s="242">
        <f>IF($D$37=1,"",T._2[[#This Row],[Xc]]/MAX(T._2[Xc]))</f>
        <v>0.86736114920246998</v>
      </c>
      <c r="Q31" s="160"/>
      <c r="R31" s="160"/>
      <c r="S31" s="160"/>
      <c r="T31" s="160"/>
      <c r="U31" s="160"/>
      <c r="W31" s="160"/>
      <c r="X31" s="160"/>
      <c r="Y31" s="160"/>
      <c r="AA31" s="160"/>
      <c r="AC31" s="160"/>
      <c r="AD31" s="160"/>
      <c r="AE31" s="160"/>
    </row>
    <row r="32" spans="1:31" ht="12" customHeight="1" x14ac:dyDescent="0.2">
      <c r="A32" s="161"/>
      <c r="B32" s="170">
        <v>25</v>
      </c>
      <c r="C32" s="135">
        <f>(T._2[[#This Row],[data]]-(AVERAGE(T._2[data])))/(_xlfn.STDEV.P(T._2[data]))</f>
        <v>1.6641005886756874</v>
      </c>
      <c r="D32" s="69">
        <f>(T._2[[#This Row],[data]]-(AVERAGE(T._2[data])))/((_xlfn.STDEV.P(T._2[data])*$D$37)+$C$37)</f>
        <v>0.83205029433784372</v>
      </c>
      <c r="E32" s="70">
        <f>_xlfn.NORM.S.DIST(T._2[[#This Row],[Za]],IF($E$5=0,"TRUE","false"))</f>
        <v>0.95195383527216337</v>
      </c>
      <c r="F32" s="70">
        <f>_xlfn.NORM.S.DIST(T._2[[#This Row],[Zb]],IF($F$5=0,"TRUE","false"))</f>
        <v>0.79730972177052883</v>
      </c>
      <c r="G32" s="260">
        <f>1/SQRT(2*PI()*$I$2^2)*EXP(-((T._2[[#This Row],[Za]]-$H$2)^2)/(2*$I$2^2))</f>
        <v>9.9903164433323657E-2</v>
      </c>
      <c r="H32" s="70">
        <f>NORMDIST(T._2[[#This Row],[Za]],$H$2,$I$2,FALSE)</f>
        <v>9.9903164433323657E-2</v>
      </c>
      <c r="I32" s="270">
        <f>NORMDIST(T._2[[#This Row],[Zb]],$L$2,$M$2,FALSE)</f>
        <v>0.28221322425966744</v>
      </c>
      <c r="J32" s="172">
        <f>NORMSDIST(T._2[[#This Row],[Za]])</f>
        <v>0.95195383527216337</v>
      </c>
      <c r="K32" s="172">
        <f>NORMSDIST(T._2[[#This Row],[Zb]])</f>
        <v>0.79730972177052883</v>
      </c>
      <c r="L32" s="226">
        <f>($B$2)+T._2[[#This Row],[Za]]*($C$2)</f>
        <v>25</v>
      </c>
      <c r="M32" s="273">
        <f>$E$37+($B$2)+T._2[[#This Row],[Zb]]*($C$2)</f>
        <v>19</v>
      </c>
      <c r="N32" s="267">
        <f>ABS(T._2[[#This Row],[Xb]]-T._2[[#This Row],[Xa]])*1/T._2[[#This Row],[PB]]</f>
        <v>21.260520359171174</v>
      </c>
      <c r="O32" s="268">
        <f>IF($D$37=1,"",T._2[[#This Row],[Xc]]/MAX(T._2[Xc])*0.94+0.01)</f>
        <v>0.95</v>
      </c>
      <c r="P32" s="242">
        <f>IF($D$37=1,"",T._2[[#This Row],[Xc]]/MAX(T._2[Xc]))</f>
        <v>1</v>
      </c>
      <c r="Q32" s="160"/>
      <c r="R32" s="160"/>
      <c r="S32" s="160"/>
      <c r="T32" s="160"/>
      <c r="U32" s="160"/>
      <c r="W32" s="160"/>
      <c r="X32" s="160"/>
      <c r="Y32" s="160"/>
      <c r="AA32" s="160"/>
      <c r="AC32" s="160"/>
      <c r="AD32" s="160"/>
      <c r="AE32" s="160"/>
    </row>
    <row r="33" spans="1:33" ht="12" customHeight="1" x14ac:dyDescent="0.3">
      <c r="A33" s="161"/>
      <c r="B33" s="161"/>
      <c r="C33" s="69"/>
      <c r="D33" s="69"/>
      <c r="E33" s="161"/>
      <c r="F33" s="161"/>
      <c r="G33" s="161"/>
      <c r="H33" s="149"/>
      <c r="I33" s="70"/>
      <c r="J33" s="70"/>
      <c r="K33" s="70"/>
      <c r="L33" s="161"/>
      <c r="M33" s="161"/>
      <c r="N33" s="161"/>
      <c r="O33" s="248"/>
      <c r="P33" s="161"/>
      <c r="Q33" s="173"/>
      <c r="R33" s="173"/>
      <c r="S33" s="173"/>
      <c r="T33" s="173"/>
      <c r="U33" s="173"/>
      <c r="V33" s="173"/>
      <c r="W33" s="173"/>
      <c r="X33" s="173"/>
      <c r="Y33" s="174"/>
      <c r="Z33" s="175"/>
      <c r="AA33" s="175"/>
      <c r="AB33" s="175"/>
      <c r="AC33" s="174"/>
      <c r="AD33" s="174"/>
      <c r="AE33" s="175"/>
      <c r="AF33" s="175"/>
      <c r="AG33" s="175"/>
    </row>
    <row r="34" spans="1:33" ht="21.75" customHeight="1" x14ac:dyDescent="0.3">
      <c r="A34" s="161"/>
      <c r="B34" s="161"/>
      <c r="C34" s="69"/>
      <c r="D34" s="69"/>
      <c r="E34" s="161"/>
      <c r="F34" s="161"/>
      <c r="G34" s="161"/>
      <c r="H34" s="149"/>
      <c r="I34" s="70"/>
      <c r="J34" s="70"/>
      <c r="K34" s="70"/>
      <c r="L34" s="161"/>
      <c r="M34" s="161"/>
      <c r="N34" s="161"/>
      <c r="O34" s="248"/>
      <c r="P34" s="161"/>
      <c r="Q34" s="173"/>
      <c r="R34" s="173"/>
      <c r="S34" s="173"/>
      <c r="T34" s="173"/>
      <c r="U34" s="173"/>
      <c r="V34" s="173"/>
      <c r="W34" s="173"/>
      <c r="X34" s="173"/>
      <c r="Y34" s="174"/>
      <c r="Z34" s="175"/>
      <c r="AA34" s="175"/>
      <c r="AB34" s="175"/>
      <c r="AC34" s="174"/>
      <c r="AD34" s="174"/>
      <c r="AE34" s="175"/>
      <c r="AF34" s="175"/>
      <c r="AG34" s="175"/>
    </row>
    <row r="35" spans="1:33" ht="21" x14ac:dyDescent="0.35">
      <c r="A35" s="161"/>
      <c r="B35" s="161"/>
      <c r="C35" s="252">
        <v>0</v>
      </c>
      <c r="D35" s="253">
        <v>1</v>
      </c>
      <c r="E35" s="254">
        <f>C35</f>
        <v>0</v>
      </c>
      <c r="F35" s="255">
        <f>D35</f>
        <v>1</v>
      </c>
      <c r="G35" s="256"/>
      <c r="H35" s="257">
        <f>E35</f>
        <v>0</v>
      </c>
      <c r="I35" s="258">
        <f>F35</f>
        <v>1</v>
      </c>
      <c r="J35" s="257">
        <f>H35</f>
        <v>0</v>
      </c>
      <c r="K35" s="258">
        <f>I35</f>
        <v>1</v>
      </c>
      <c r="L35" s="254">
        <f>J35</f>
        <v>0</v>
      </c>
      <c r="M35" s="255">
        <f>K35</f>
        <v>1</v>
      </c>
      <c r="N35" s="161"/>
      <c r="O35" s="248"/>
      <c r="P35" s="161"/>
      <c r="Q35" s="173"/>
      <c r="R35" s="173"/>
      <c r="S35" s="173"/>
      <c r="T35" s="173"/>
      <c r="U35" s="173"/>
      <c r="V35" s="173"/>
      <c r="W35" s="173"/>
      <c r="X35" s="173"/>
      <c r="Y35" s="174"/>
      <c r="Z35" s="176" t="s">
        <v>58</v>
      </c>
      <c r="AA35" s="177" t="s">
        <v>59</v>
      </c>
      <c r="AB35" s="178"/>
      <c r="AC35" s="178"/>
      <c r="AD35" s="179"/>
      <c r="AE35" s="175"/>
      <c r="AF35" s="175"/>
      <c r="AG35" s="175"/>
    </row>
    <row r="36" spans="1:33" ht="18.75" x14ac:dyDescent="0.3">
      <c r="A36" s="161"/>
      <c r="B36" s="161"/>
      <c r="C36" s="231"/>
      <c r="D36" s="231"/>
      <c r="E36" s="161"/>
      <c r="F36" s="232"/>
      <c r="G36" s="161"/>
      <c r="H36" s="214"/>
      <c r="I36" s="214"/>
      <c r="J36" s="214"/>
      <c r="K36" s="214"/>
      <c r="L36" s="232"/>
      <c r="M36" s="232"/>
      <c r="N36" s="161"/>
      <c r="O36" s="248"/>
      <c r="P36" s="161"/>
      <c r="Q36" s="173"/>
      <c r="R36" s="173"/>
      <c r="S36" s="173"/>
      <c r="T36" s="173"/>
      <c r="U36" s="173"/>
      <c r="V36" s="173"/>
      <c r="W36" s="173"/>
      <c r="X36" s="173"/>
      <c r="Y36" s="174"/>
      <c r="Z36" s="233"/>
      <c r="AA36" s="234"/>
      <c r="AB36" s="174"/>
      <c r="AC36" s="174"/>
      <c r="AD36" s="188"/>
      <c r="AE36" s="175"/>
      <c r="AF36" s="175"/>
      <c r="AG36" s="175"/>
    </row>
    <row r="37" spans="1:33" ht="26.25" x14ac:dyDescent="0.4">
      <c r="A37" s="180"/>
      <c r="B37" s="181" t="s">
        <v>60</v>
      </c>
      <c r="C37" s="147">
        <v>0</v>
      </c>
      <c r="D37" s="147">
        <v>2</v>
      </c>
      <c r="E37" s="147">
        <v>0</v>
      </c>
      <c r="F37" s="147" t="s">
        <v>79</v>
      </c>
      <c r="G37" s="161"/>
      <c r="H37" s="149"/>
      <c r="I37" s="70"/>
      <c r="J37" s="70"/>
      <c r="K37" s="70"/>
      <c r="L37" s="161"/>
      <c r="M37" s="161"/>
      <c r="N37" s="161"/>
      <c r="O37" s="248"/>
      <c r="P37" s="161"/>
      <c r="Q37" s="173"/>
      <c r="R37" s="173"/>
      <c r="S37" s="173"/>
      <c r="T37" s="173"/>
      <c r="U37" s="182" t="s">
        <v>61</v>
      </c>
      <c r="V37" s="183"/>
      <c r="W37" s="183"/>
      <c r="X37" s="184"/>
      <c r="Y37" s="174"/>
      <c r="Z37" s="185">
        <v>0.01</v>
      </c>
      <c r="AA37" s="186">
        <f>NORMSINV(Z37)</f>
        <v>-2.3263478740408408</v>
      </c>
      <c r="AB37" s="187" t="s">
        <v>62</v>
      </c>
      <c r="AC37" s="174"/>
      <c r="AD37" s="188"/>
      <c r="AE37" s="175"/>
      <c r="AF37" s="175"/>
      <c r="AG37" s="175"/>
    </row>
    <row r="38" spans="1:33" ht="26.25" x14ac:dyDescent="0.4">
      <c r="A38" s="189"/>
      <c r="B38" s="181" t="s">
        <v>51</v>
      </c>
      <c r="C38" s="148">
        <v>0</v>
      </c>
      <c r="D38" s="149">
        <v>1</v>
      </c>
      <c r="E38" s="149"/>
      <c r="F38" s="147"/>
      <c r="G38" s="161"/>
      <c r="H38" s="149"/>
      <c r="I38" s="70"/>
      <c r="J38" s="70"/>
      <c r="K38" s="70"/>
      <c r="L38" s="161"/>
      <c r="M38" s="161"/>
      <c r="N38" s="161"/>
      <c r="O38" s="248"/>
      <c r="P38" s="161"/>
      <c r="Q38" s="173"/>
      <c r="R38" s="173"/>
      <c r="S38" s="173"/>
      <c r="T38" s="173"/>
      <c r="U38" s="190"/>
      <c r="V38" s="191" t="s">
        <v>63</v>
      </c>
      <c r="W38" s="191">
        <v>2</v>
      </c>
      <c r="X38" s="192">
        <f>NORMSDIST(W38)</f>
        <v>0.97724986805182079</v>
      </c>
      <c r="Y38" s="174"/>
      <c r="Z38" s="185">
        <v>2.5000000000000001E-2</v>
      </c>
      <c r="AA38" s="186">
        <f t="shared" ref="AA38:AA44" si="0">NORMSINV(Z38)</f>
        <v>-1.9599639845400538</v>
      </c>
      <c r="AB38" s="187" t="s">
        <v>64</v>
      </c>
      <c r="AC38" s="174"/>
      <c r="AD38" s="188"/>
      <c r="AE38" s="175"/>
      <c r="AF38" s="175"/>
      <c r="AG38" s="175"/>
    </row>
    <row r="39" spans="1:33" ht="19.5" customHeight="1" x14ac:dyDescent="0.3">
      <c r="A39" s="161"/>
      <c r="B39" s="161"/>
      <c r="C39" s="69"/>
      <c r="D39" s="69"/>
      <c r="E39" s="161"/>
      <c r="F39" s="161"/>
      <c r="G39" s="161"/>
      <c r="H39" s="149"/>
      <c r="I39" s="70"/>
      <c r="J39" s="70"/>
      <c r="K39" s="70"/>
      <c r="L39" s="161"/>
      <c r="M39" s="193"/>
      <c r="N39" s="193"/>
      <c r="O39" s="249"/>
      <c r="P39" s="193"/>
      <c r="Q39" s="173"/>
      <c r="R39" s="173"/>
      <c r="S39" s="173"/>
      <c r="T39" s="173"/>
      <c r="U39" s="194">
        <v>-1</v>
      </c>
      <c r="V39" s="195" t="s">
        <v>65</v>
      </c>
      <c r="W39" s="196">
        <v>1</v>
      </c>
      <c r="X39" s="197">
        <f>ABS(NORMSDIST(U39)-NORMSDIST(W39))</f>
        <v>0.68268949213708607</v>
      </c>
      <c r="Y39" s="174"/>
      <c r="Z39" s="185">
        <v>0.05</v>
      </c>
      <c r="AA39" s="186">
        <f t="shared" si="0"/>
        <v>-1.6448536269514726</v>
      </c>
      <c r="AB39" s="174"/>
      <c r="AC39" s="174"/>
      <c r="AD39" s="188"/>
      <c r="AE39" s="175"/>
      <c r="AF39" s="175"/>
      <c r="AG39" s="175"/>
    </row>
    <row r="40" spans="1:33" ht="19.5" customHeight="1" x14ac:dyDescent="0.3">
      <c r="A40" s="161"/>
      <c r="B40" s="161"/>
      <c r="C40" s="69"/>
      <c r="D40" s="69"/>
      <c r="E40" s="161"/>
      <c r="F40" s="161"/>
      <c r="G40" s="161"/>
      <c r="H40" s="149"/>
      <c r="I40" s="70"/>
      <c r="J40" s="70"/>
      <c r="K40" s="70"/>
      <c r="L40" s="161"/>
      <c r="M40" s="161"/>
      <c r="N40" s="161"/>
      <c r="O40" s="248"/>
      <c r="P40" s="161"/>
      <c r="Q40" s="173"/>
      <c r="R40" s="173"/>
      <c r="S40" s="173"/>
      <c r="T40" s="173"/>
      <c r="U40" s="194">
        <v>2</v>
      </c>
      <c r="V40" s="195" t="s">
        <v>65</v>
      </c>
      <c r="W40" s="196">
        <v>-2</v>
      </c>
      <c r="X40" s="198">
        <f>ABS(NORMSDIST(U40)-NORMSDIST(W40))</f>
        <v>0.95449973610364158</v>
      </c>
      <c r="Y40" s="174"/>
      <c r="Z40" s="185">
        <v>0.1</v>
      </c>
      <c r="AA40" s="186">
        <f t="shared" si="0"/>
        <v>-1.2815515655446006</v>
      </c>
      <c r="AB40" s="174"/>
      <c r="AC40" s="187" t="s">
        <v>68</v>
      </c>
      <c r="AD40" s="188"/>
      <c r="AE40" s="175"/>
      <c r="AF40" s="175"/>
      <c r="AG40" s="175"/>
    </row>
    <row r="41" spans="1:33" ht="19.5" customHeight="1" x14ac:dyDescent="0.3">
      <c r="A41" s="161"/>
      <c r="B41" s="161"/>
      <c r="C41" s="69"/>
      <c r="D41" s="69"/>
      <c r="E41" s="161"/>
      <c r="F41" s="161"/>
      <c r="G41" s="161"/>
      <c r="H41" s="149"/>
      <c r="I41" s="70"/>
      <c r="J41" s="70"/>
      <c r="K41" s="70"/>
      <c r="L41" s="161"/>
      <c r="M41" s="161"/>
      <c r="N41" s="161"/>
      <c r="O41" s="248"/>
      <c r="P41" s="161"/>
      <c r="Q41" s="173"/>
      <c r="R41" s="173"/>
      <c r="S41" s="173"/>
      <c r="T41" s="173"/>
      <c r="U41" s="194">
        <v>-3</v>
      </c>
      <c r="V41" s="195" t="s">
        <v>65</v>
      </c>
      <c r="W41" s="196">
        <v>3</v>
      </c>
      <c r="X41" s="197">
        <f>ABS(NORMSDIST(U41)-NORMSDIST(W41))</f>
        <v>0.99730020393673979</v>
      </c>
      <c r="Y41" s="174"/>
      <c r="Z41" s="185">
        <v>0.5</v>
      </c>
      <c r="AA41" s="186">
        <f t="shared" si="0"/>
        <v>0</v>
      </c>
      <c r="AB41" s="174"/>
      <c r="AC41" s="174"/>
      <c r="AD41" s="188"/>
      <c r="AE41" s="175"/>
      <c r="AF41" s="175"/>
      <c r="AG41" s="175"/>
    </row>
    <row r="42" spans="1:33" ht="19.5" customHeight="1" x14ac:dyDescent="0.3">
      <c r="A42" s="161"/>
      <c r="B42" s="161"/>
      <c r="C42" s="69"/>
      <c r="D42" s="69"/>
      <c r="E42" s="161"/>
      <c r="F42" s="161"/>
      <c r="G42" s="161"/>
      <c r="H42" s="149"/>
      <c r="I42" s="70"/>
      <c r="J42" s="70"/>
      <c r="K42" s="70"/>
      <c r="L42" s="161"/>
      <c r="M42" s="161"/>
      <c r="N42" s="161"/>
      <c r="O42" s="248"/>
      <c r="P42" s="161"/>
      <c r="Q42" s="173"/>
      <c r="R42" s="173"/>
      <c r="S42" s="173"/>
      <c r="T42" s="173"/>
      <c r="U42" s="190">
        <v>2</v>
      </c>
      <c r="V42" s="191" t="s">
        <v>66</v>
      </c>
      <c r="W42" s="191"/>
      <c r="X42" s="192">
        <f>1-NORMSDIST(U42)</f>
        <v>2.2750131948179209E-2</v>
      </c>
      <c r="Y42" s="174"/>
      <c r="Z42" s="185">
        <v>0.9</v>
      </c>
      <c r="AA42" s="186">
        <f t="shared" si="0"/>
        <v>1.2815515655446006</v>
      </c>
      <c r="AB42" s="174"/>
      <c r="AC42" s="174"/>
      <c r="AD42" s="188"/>
      <c r="AE42" s="175"/>
      <c r="AF42" s="175"/>
      <c r="AG42" s="175"/>
    </row>
    <row r="43" spans="1:33" ht="19.5" customHeight="1" x14ac:dyDescent="0.3">
      <c r="A43" s="161"/>
      <c r="B43" s="161"/>
      <c r="C43" s="69"/>
      <c r="D43" s="69"/>
      <c r="E43" s="161"/>
      <c r="F43" s="161"/>
      <c r="G43" s="161"/>
      <c r="H43" s="149"/>
      <c r="I43" s="70"/>
      <c r="J43" s="70"/>
      <c r="K43" s="70"/>
      <c r="L43" s="161"/>
      <c r="M43" s="161"/>
      <c r="N43" s="161"/>
      <c r="O43" s="248"/>
      <c r="P43" s="161"/>
      <c r="Q43" s="173"/>
      <c r="R43" s="173"/>
      <c r="S43" s="173"/>
      <c r="T43" s="173"/>
      <c r="U43" s="199"/>
      <c r="V43" s="200" t="s">
        <v>67</v>
      </c>
      <c r="W43" s="201"/>
      <c r="X43" s="202"/>
      <c r="Y43" s="174"/>
      <c r="Z43" s="185">
        <v>0.95</v>
      </c>
      <c r="AA43" s="186">
        <f t="shared" si="0"/>
        <v>1.6448536269514715</v>
      </c>
      <c r="AB43" s="174"/>
      <c r="AC43" s="174"/>
      <c r="AD43" s="188"/>
      <c r="AE43" s="175"/>
      <c r="AF43" s="175"/>
      <c r="AG43" s="175"/>
    </row>
    <row r="44" spans="1:33" ht="19.5" customHeight="1" x14ac:dyDescent="0.3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250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203">
        <v>0.99</v>
      </c>
      <c r="AA44" s="204">
        <f t="shared" si="0"/>
        <v>2.3263478740408408</v>
      </c>
      <c r="AB44" s="205"/>
      <c r="AC44" s="205"/>
      <c r="AD44" s="206"/>
      <c r="AE44" s="175"/>
      <c r="AF44" s="175"/>
      <c r="AG44" s="175"/>
    </row>
    <row r="45" spans="1:33" ht="19.5" customHeight="1" x14ac:dyDescent="0.3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250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5"/>
      <c r="AF45" s="175"/>
      <c r="AG45" s="175"/>
    </row>
    <row r="46" spans="1:33" ht="19.5" customHeight="1" x14ac:dyDescent="0.3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250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5"/>
      <c r="AF46" s="175"/>
      <c r="AG46" s="175"/>
    </row>
    <row r="47" spans="1:33" ht="19.5" customHeight="1" x14ac:dyDescent="0.2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250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</row>
    <row r="48" spans="1:33" ht="19.5" customHeight="1" x14ac:dyDescent="0.2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250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  <c r="AG48" s="174"/>
    </row>
    <row r="49" spans="1:33" ht="19.5" customHeight="1" x14ac:dyDescent="0.2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250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</row>
    <row r="50" spans="1:33" ht="19.5" customHeight="1" x14ac:dyDescent="0.2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250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</row>
    <row r="51" spans="1:33" ht="12.75" x14ac:dyDescent="0.2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250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</row>
    <row r="52" spans="1:33" ht="12.75" x14ac:dyDescent="0.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250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4"/>
      <c r="AG52" s="174"/>
    </row>
    <row r="53" spans="1:33" ht="12.75" x14ac:dyDescent="0.2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250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</row>
    <row r="54" spans="1:33" ht="12.75" x14ac:dyDescent="0.2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250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</row>
    <row r="55" spans="1:33" ht="12.75" x14ac:dyDescent="0.2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250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</row>
    <row r="56" spans="1:33" ht="12.75" x14ac:dyDescent="0.2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250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</row>
    <row r="57" spans="1:33" ht="12.75" x14ac:dyDescent="0.2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250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</row>
    <row r="58" spans="1:33" ht="12.75" x14ac:dyDescent="0.2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250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</row>
    <row r="59" spans="1:33" ht="12.75" x14ac:dyDescent="0.2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250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</row>
    <row r="60" spans="1:33" ht="12.75" x14ac:dyDescent="0.2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250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</row>
    <row r="61" spans="1:33" ht="12.75" x14ac:dyDescent="0.2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250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</row>
    <row r="62" spans="1:33" ht="12.75" x14ac:dyDescent="0.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250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</row>
    <row r="63" spans="1:33" ht="12.75" x14ac:dyDescent="0.2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250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4"/>
      <c r="AG63" s="174"/>
    </row>
  </sheetData>
  <conditionalFormatting sqref="B5:B6 A39:B43 A33:B36 A38 A4:A32 E2 C5:D5 D4:E4 A2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{84F3EE7D-028F-4581-88E0-FDCA4E57A914}</x14:id>
        </ext>
      </extLst>
    </cfRule>
  </conditionalFormatting>
  <conditionalFormatting sqref="B7">
    <cfRule type="containsText" dxfId="27" priority="36" operator="containsText" text="false">
      <formula>NÃO(ÉERROS(LOCALIZAR("false",B7)))</formula>
    </cfRule>
  </conditionalFormatting>
  <conditionalFormatting sqref="B8:B32">
    <cfRule type="containsText" dxfId="26" priority="45" operator="containsText" text="false">
      <formula>NÃO(ÉERROS(LOCALIZAR("false",B8)))</formula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ntainsText" dxfId="25" priority="42" operator="containsText" text="false">
      <formula>NÃO(ÉERROS(LOCALIZAR("false",B8)))</formula>
    </cfRule>
    <cfRule type="containsText" dxfId="24" priority="43" operator="containsText" text="false">
      <formula>NÃO(ÉERROS(LOCALIZAR("false",B8)))</formula>
    </cfRule>
  </conditionalFormatting>
  <conditionalFormatting sqref="C33:C34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{41625296-DE03-477F-A400-E54EEE11E530}</x14:id>
        </ext>
      </extLst>
    </cfRule>
  </conditionalFormatting>
  <conditionalFormatting sqref="C39:C43 C8:D32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{5658FE18-977B-4421-978D-1035B11ED5D4}</x14:id>
        </ext>
      </extLst>
    </cfRule>
  </conditionalFormatting>
  <conditionalFormatting sqref="C35:M35"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{936C0948-05DE-436B-8840-88B05A571DB0}</x14:id>
        </ext>
      </extLst>
    </cfRule>
  </conditionalFormatting>
  <conditionalFormatting sqref="E8:F32">
    <cfRule type="dataBar" priority="27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{ACC35323-2501-44BB-AF9C-F15A634A73FC}</x14:id>
        </ext>
      </extLst>
    </cfRule>
  </conditionalFormatting>
  <conditionalFormatting sqref="E33:G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{C3983F60-8EAA-43E0-9549-583D433047EC}</x14:id>
        </ext>
      </extLst>
    </cfRule>
  </conditionalFormatting>
  <conditionalFormatting sqref="F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{3C5C8CBC-84D7-49E1-9BE1-26B2C5793B7B}</x14:id>
        </ext>
      </extLst>
    </cfRule>
  </conditionalFormatting>
  <conditionalFormatting sqref="F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{C54AE6CB-1B27-4396-B5A2-0FF3BEC44A64}</x14:id>
        </ext>
      </extLst>
    </cfRule>
  </conditionalFormatting>
  <conditionalFormatting sqref="F3:G3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{04E5833F-D36C-4B7C-8B28-F3305F76F733}</x14:id>
        </ext>
      </extLst>
    </cfRule>
  </conditionalFormatting>
  <conditionalFormatting sqref="G5"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{6BE38E3E-A57F-4F31-A733-1AB350002E65}</x14:id>
        </ext>
      </extLst>
    </cfRule>
  </conditionalFormatting>
  <conditionalFormatting sqref="G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{99CA1D9D-39B3-4B1C-963D-199FEEF455A3}</x14:id>
        </ext>
      </extLst>
    </cfRule>
  </conditionalFormatting>
  <conditionalFormatting sqref="G8:G32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{65A66F31-65F9-438C-9659-1E6933E9FDA0}</x14:id>
        </ext>
      </extLst>
    </cfRule>
  </conditionalFormatting>
  <conditionalFormatting sqref="H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{02E05E38-E5C0-4D43-86FD-9DB28CA7FF2F}</x14:id>
        </ext>
      </extLst>
    </cfRule>
  </conditionalFormatting>
  <conditionalFormatting sqref="H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{D7CA06CC-DC0D-4D16-BF43-05E7ACD9622E}</x14:id>
        </ext>
      </extLst>
    </cfRule>
  </conditionalFormatting>
  <conditionalFormatting sqref="H33:H3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{5DFD652E-3C1B-454D-A729-4E086E800A29}</x14:id>
        </ext>
      </extLst>
    </cfRule>
  </conditionalFormatting>
  <conditionalFormatting sqref="H39:H43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{EFA6B219-A8A6-47C1-A97B-B3E69CBC43AE}</x14:id>
        </ext>
      </extLst>
    </cfRule>
  </conditionalFormatting>
  <conditionalFormatting sqref="H8:I32">
    <cfRule type="dataBar" priority="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{D51C1E30-121C-4427-B16C-783E653CF491}</x14:id>
        </ext>
      </extLst>
    </cfRule>
  </conditionalFormatting>
  <conditionalFormatting sqref="H33:K34 H37:K43">
    <cfRule type="containsText" dxfId="23" priority="41" operator="containsText" text="false">
      <formula>NÃO(ÉERROS(LOCALIZAR("false",H33)))</formula>
    </cfRule>
    <cfRule type="cellIs" dxfId="22" priority="23" operator="equal">
      <formula>0</formula>
    </cfRule>
  </conditionalFormatting>
  <conditionalFormatting sqref="I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{E03A8764-CAF2-42CD-82B7-4E7869FCAE78}</x14:id>
        </ext>
      </extLst>
    </cfRule>
  </conditionalFormatting>
  <conditionalFormatting sqref="I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{1B8B49DF-904F-435E-8376-C4F1C82B80E7}</x14:id>
        </ext>
      </extLst>
    </cfRule>
  </conditionalFormatting>
  <conditionalFormatting sqref="I8:I32">
    <cfRule type="dataBar" priority="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{A8E5F799-3375-4129-88BD-59379CB9901D}</x14:id>
        </ext>
      </extLst>
    </cfRule>
  </conditionalFormatting>
  <conditionalFormatting sqref="I33:K34 I37:K39">
    <cfRule type="dataBar" priority="38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{89549A37-0364-4054-A1F3-C840D125AFCF}</x14:id>
        </ext>
      </extLst>
    </cfRule>
  </conditionalFormatting>
  <conditionalFormatting sqref="I40:K41">
    <cfRule type="dataBar" priority="39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{5AB13F86-01D1-435F-AA6C-65463C6F9E5B}</x14:id>
        </ext>
      </extLst>
    </cfRule>
  </conditionalFormatting>
  <conditionalFormatting sqref="I42:K43">
    <cfRule type="dataBar" priority="39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{B9F7A6D6-F933-4399-9B87-469D19C9530E}</x14:id>
        </ext>
      </extLst>
    </cfRule>
  </conditionalFormatting>
  <conditionalFormatting sqref="J8:J32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{50D42A46-76F4-4C19-AADA-0CB31DC65DAF}</x14:id>
        </ext>
      </extLst>
    </cfRule>
  </conditionalFormatting>
  <conditionalFormatting sqref="K8:K32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{4F6B28A9-8127-4AC8-81C5-165FBD7C80D2}</x14:id>
        </ext>
      </extLst>
    </cfRule>
  </conditionalFormatting>
  <conditionalFormatting sqref="L7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{ADA1F1F7-2BF6-4D41-9D84-8C6723FEBE2F}</x14:id>
        </ext>
      </extLst>
    </cfRule>
  </conditionalFormatting>
  <conditionalFormatting sqref="L39:M43 I33:K34 I37:K39">
    <cfRule type="dataBar" priority="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{27A900C1-462F-42FF-B0B5-E50299A8E06D}</x14:id>
        </ext>
      </extLst>
    </cfRule>
  </conditionalFormatting>
  <conditionalFormatting sqref="L39:M43 Q33:X36 Q37:T43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{2F397D66-AB4A-423B-AD2C-DC8AE9EE93E8}</x14:id>
        </ext>
      </extLst>
    </cfRule>
  </conditionalFormatting>
  <conditionalFormatting sqref="L39:P43">
    <cfRule type="containsText" dxfId="21" priority="18" operator="containsText" text="false">
      <formula>NÃO(ÉERROS(LOCALIZAR("false",L39)))</formula>
    </cfRule>
    <cfRule type="cellIs" dxfId="20" priority="17" operator="equal">
      <formula>0</formula>
    </cfRule>
  </conditionalFormatting>
  <conditionalFormatting sqref="M7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{41268DAE-A57C-45C1-BF37-D10AEF8904C3}</x14:id>
        </ext>
      </extLst>
    </cfRule>
  </conditionalFormatting>
  <conditionalFormatting sqref="N7:P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{66421779-3316-43DD-8D3F-EB8ECB9DB1F0}</x14:id>
        </ext>
      </extLst>
    </cfRule>
  </conditionalFormatting>
  <conditionalFormatting sqref="N39:P43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{8036FD45-A82C-4E8B-A537-BAB2B6B3F8A8}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{08C4A8AB-0C90-47EB-94B5-15CC7A04D060}</x14:id>
        </ext>
      </extLst>
    </cfRule>
  </conditionalFormatting>
  <conditionalFormatting sqref="O8:P32">
    <cfRule type="dataBar" priority="5">
      <dataBar>
        <cfvo type="min"/>
        <cfvo type="max"/>
        <color rgb="FF0000FF"/>
      </dataBar>
      <extLst>
        <ext xmlns:x14="http://schemas.microsoft.com/office/spreadsheetml/2009/9/main" uri="{B025F937-C7B1-47D3-B67F-A62EFF666E3E}">
          <x14:id>{84CF1CE6-7AC0-4F1B-889D-0CA24E73C7CC}</x14:id>
        </ext>
      </extLst>
    </cfRule>
  </conditionalFormatting>
  <conditionalFormatting sqref="AA37:AA44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{10DAE18B-6100-408D-9ABC-59AE793A7CC0}</x14:id>
        </ext>
      </extLst>
    </cfRule>
  </conditionalFormatting>
  <pageMargins left="0.75" right="0.75" top="1" bottom="1" header="0.5" footer="0.5"/>
  <pageSetup orientation="portrait" r:id="rId1"/>
  <headerFooter alignWithMargins="0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F3EE7D-028F-4581-88E0-FDCA4E57A9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B5:B6 A39:B43 A33:B36 A38 A4:A32 E2 C5:D5 D4:E4 A2</xm:sqref>
        </x14:conditionalFormatting>
        <x14:conditionalFormatting xmlns:xm="http://schemas.microsoft.com/office/excel/2006/main">
          <x14:cfRule type="dataBar" id="{41625296-DE03-477F-A400-E54EEE11E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C33:C34</xm:sqref>
        </x14:conditionalFormatting>
        <x14:conditionalFormatting xmlns:xm="http://schemas.microsoft.com/office/excel/2006/main">
          <x14:cfRule type="dataBar" id="{5658FE18-977B-4421-978D-1035B11ED5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C39:C43 C8:D32</xm:sqref>
        </x14:conditionalFormatting>
        <x14:conditionalFormatting xmlns:xm="http://schemas.microsoft.com/office/excel/2006/main">
          <x14:cfRule type="dataBar" id="{936C0948-05DE-436B-8840-88B05A571D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D3:E3</xm:sqref>
        </x14:conditionalFormatting>
        <x14:conditionalFormatting xmlns:xm="http://schemas.microsoft.com/office/excel/2006/main">
          <x14:cfRule type="dataBar" id="{ACC35323-2501-44BB-AF9C-F15A634A73FC}">
            <x14:dataBar minLength="0" maxLength="100" gradient="0">
              <x14:cfvo type="autoMin"/>
              <x14:cfvo type="autoMax"/>
              <x14:negativeFillColor theme="5"/>
              <x14:axisColor rgb="FF000000"/>
            </x14:dataBar>
          </x14:cfRule>
          <xm:sqref>E8:F32</xm:sqref>
        </x14:conditionalFormatting>
        <x14:conditionalFormatting xmlns:xm="http://schemas.microsoft.com/office/excel/2006/main">
          <x14:cfRule type="dataBar" id="{C3983F60-8EAA-43E0-9549-583D433047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E33:G33</xm:sqref>
        </x14:conditionalFormatting>
        <x14:conditionalFormatting xmlns:xm="http://schemas.microsoft.com/office/excel/2006/main">
          <x14:cfRule type="dataBar" id="{3C5C8CBC-84D7-49E1-9BE1-26B2C5793B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</xm:sqref>
        </x14:conditionalFormatting>
        <x14:conditionalFormatting xmlns:xm="http://schemas.microsoft.com/office/excel/2006/main">
          <x14:cfRule type="dataBar" id="{C54AE6CB-1B27-4396-B5A2-0FF3BEC44A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</xm:sqref>
        </x14:conditionalFormatting>
        <x14:conditionalFormatting xmlns:xm="http://schemas.microsoft.com/office/excel/2006/main">
          <x14:cfRule type="dataBar" id="{04E5833F-D36C-4B7C-8B28-F3305F76F7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F3:G3</xm:sqref>
        </x14:conditionalFormatting>
        <x14:conditionalFormatting xmlns:xm="http://schemas.microsoft.com/office/excel/2006/main">
          <x14:cfRule type="dataBar" id="{6BE38E3E-A57F-4F31-A733-1AB350002E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</xm:sqref>
        </x14:conditionalFormatting>
        <x14:conditionalFormatting xmlns:xm="http://schemas.microsoft.com/office/excel/2006/main">
          <x14:cfRule type="dataBar" id="{99CA1D9D-39B3-4B1C-963D-199FEEF455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</xm:sqref>
        </x14:conditionalFormatting>
        <x14:conditionalFormatting xmlns:xm="http://schemas.microsoft.com/office/excel/2006/main">
          <x14:cfRule type="dataBar" id="{65A66F31-65F9-438C-9659-1E6933E9FD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G8:G32</xm:sqref>
        </x14:conditionalFormatting>
        <x14:conditionalFormatting xmlns:xm="http://schemas.microsoft.com/office/excel/2006/main">
          <x14:cfRule type="dataBar" id="{02E05E38-E5C0-4D43-86FD-9DB28CA7F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D7CA06CC-DC0D-4D16-BF43-05E7ACD962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</xm:sqref>
        </x14:conditionalFormatting>
        <x14:conditionalFormatting xmlns:xm="http://schemas.microsoft.com/office/excel/2006/main">
          <x14:cfRule type="dataBar" id="{5DFD652E-3C1B-454D-A729-4E086E800A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H33:H34</xm:sqref>
        </x14:conditionalFormatting>
        <x14:conditionalFormatting xmlns:xm="http://schemas.microsoft.com/office/excel/2006/main">
          <x14:cfRule type="dataBar" id="{EFA6B219-A8A6-47C1-A97B-B3E69CBC43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H39:H43</xm:sqref>
        </x14:conditionalFormatting>
        <x14:conditionalFormatting xmlns:xm="http://schemas.microsoft.com/office/excel/2006/main">
          <x14:cfRule type="dataBar" id="{D51C1E30-121C-4427-B16C-783E653CF49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H8:I32</xm:sqref>
        </x14:conditionalFormatting>
        <x14:conditionalFormatting xmlns:xm="http://schemas.microsoft.com/office/excel/2006/main">
          <x14:cfRule type="dataBar" id="{E03A8764-CAF2-42CD-82B7-4E7869FCAE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</xm:sqref>
        </x14:conditionalFormatting>
        <x14:conditionalFormatting xmlns:xm="http://schemas.microsoft.com/office/excel/2006/main">
          <x14:cfRule type="dataBar" id="{1B8B49DF-904F-435E-8376-C4F1C82B8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</xm:sqref>
        </x14:conditionalFormatting>
        <x14:conditionalFormatting xmlns:xm="http://schemas.microsoft.com/office/excel/2006/main">
          <x14:cfRule type="dataBar" id="{A8E5F799-3375-4129-88BD-59379CB990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I8:I32</xm:sqref>
        </x14:conditionalFormatting>
        <x14:conditionalFormatting xmlns:xm="http://schemas.microsoft.com/office/excel/2006/main">
          <x14:cfRule type="dataBar" id="{89549A37-0364-4054-A1F3-C840D125AF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I33:K34 I37:K39</xm:sqref>
        </x14:conditionalFormatting>
        <x14:conditionalFormatting xmlns:xm="http://schemas.microsoft.com/office/excel/2006/main">
          <x14:cfRule type="dataBar" id="{5AB13F86-01D1-435F-AA6C-65463C6F9E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I40:K41</xm:sqref>
        </x14:conditionalFormatting>
        <x14:conditionalFormatting xmlns:xm="http://schemas.microsoft.com/office/excel/2006/main">
          <x14:cfRule type="dataBar" id="{B9F7A6D6-F933-4399-9B87-469D19C953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I42:K43</xm:sqref>
        </x14:conditionalFormatting>
        <x14:conditionalFormatting xmlns:xm="http://schemas.microsoft.com/office/excel/2006/main">
          <x14:cfRule type="dataBar" id="{50D42A46-76F4-4C19-AADA-0CB31DC65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J8:J32</xm:sqref>
        </x14:conditionalFormatting>
        <x14:conditionalFormatting xmlns:xm="http://schemas.microsoft.com/office/excel/2006/main">
          <x14:cfRule type="dataBar" id="{4F6B28A9-8127-4AC8-81C5-165FBD7C80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K8:K32</xm:sqref>
        </x14:conditionalFormatting>
        <x14:conditionalFormatting xmlns:xm="http://schemas.microsoft.com/office/excel/2006/main">
          <x14:cfRule type="dataBar" id="{ADA1F1F7-2BF6-4D41-9D84-8C6723FEBE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27A900C1-462F-42FF-B0B5-E50299A8E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L39:M43 I33:K34 I37:K39</xm:sqref>
        </x14:conditionalFormatting>
        <x14:conditionalFormatting xmlns:xm="http://schemas.microsoft.com/office/excel/2006/main">
          <x14:cfRule type="dataBar" id="{2F397D66-AB4A-423B-AD2C-DC8AE9EE9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L39:M43 Q33:X36 Q37:T43</xm:sqref>
        </x14:conditionalFormatting>
        <x14:conditionalFormatting xmlns:xm="http://schemas.microsoft.com/office/excel/2006/main">
          <x14:cfRule type="dataBar" id="{41268DAE-A57C-45C1-BF37-D10AEF890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6421779-3316-43DD-8D3F-EB8ECB9DB1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N7:P7</xm:sqref>
        </x14:conditionalFormatting>
        <x14:conditionalFormatting xmlns:xm="http://schemas.microsoft.com/office/excel/2006/main">
          <x14:cfRule type="dataBar" id="{8036FD45-A82C-4E8B-A537-BAB2B6B3F8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C4A8AB-0C90-47EB-94B5-15CC7A04D0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N39:P43</xm:sqref>
        </x14:conditionalFormatting>
        <x14:conditionalFormatting xmlns:xm="http://schemas.microsoft.com/office/excel/2006/main">
          <x14:cfRule type="dataBar" id="{84CF1CE6-7AC0-4F1B-889D-0CA24E73C7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O8:P32</xm:sqref>
        </x14:conditionalFormatting>
        <x14:conditionalFormatting xmlns:xm="http://schemas.microsoft.com/office/excel/2006/main">
          <x14:cfRule type="dataBar" id="{10DAE18B-6100-408D-9ABC-59AE793A7C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AA37:AA44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5C52-75AB-497C-B0D7-FABC26B4C0C8}">
  <sheetPr>
    <tabColor rgb="FFFF0000"/>
  </sheetPr>
  <dimension ref="A1:AH63"/>
  <sheetViews>
    <sheetView zoomScale="85" zoomScaleNormal="85" workbookViewId="0">
      <selection activeCell="D39" sqref="D39"/>
    </sheetView>
  </sheetViews>
  <sheetFormatPr defaultRowHeight="15" x14ac:dyDescent="0.25"/>
  <cols>
    <col min="1" max="1" width="7.85546875" style="160" customWidth="1"/>
    <col min="2" max="2" width="9.85546875" customWidth="1"/>
    <col min="3" max="3" width="11.42578125" style="160" customWidth="1"/>
    <col min="4" max="5" width="11.42578125" customWidth="1"/>
    <col min="6" max="6" width="7.5703125" customWidth="1"/>
    <col min="7" max="7" width="7.5703125" style="160" customWidth="1"/>
    <col min="8" max="8" width="3.7109375" customWidth="1"/>
    <col min="9" max="9" width="12.5703125" customWidth="1"/>
    <col min="10" max="11" width="13" customWidth="1"/>
    <col min="12" max="13" width="11.42578125" customWidth="1"/>
    <col min="14" max="14" width="11.42578125" style="160" customWidth="1"/>
    <col min="15" max="15" width="6.7109375" style="160" customWidth="1"/>
    <col min="17" max="17" width="9.85546875" style="251" customWidth="1"/>
    <col min="18" max="18" width="9.85546875" customWidth="1"/>
    <col min="19" max="20" width="9.28515625" customWidth="1"/>
    <col min="22" max="22" width="10.7109375" customWidth="1"/>
    <col min="23" max="23" width="14.42578125" style="160" customWidth="1"/>
    <col min="24" max="24" width="11.42578125" customWidth="1"/>
    <col min="25" max="25" width="10.140625" customWidth="1"/>
    <col min="27" max="27" width="9.85546875" style="160" customWidth="1"/>
    <col min="29" max="29" width="9.85546875" style="160" customWidth="1"/>
    <col min="30" max="31" width="9.85546875" customWidth="1"/>
    <col min="32" max="32" width="8.42578125" customWidth="1"/>
    <col min="33" max="16384" width="9.140625" style="160"/>
  </cols>
  <sheetData>
    <row r="1" spans="1:32" ht="15.75" x14ac:dyDescent="0.2">
      <c r="A1" s="158"/>
      <c r="B1" s="159">
        <v>0</v>
      </c>
      <c r="C1" s="159">
        <v>1</v>
      </c>
      <c r="D1" s="158"/>
      <c r="E1" s="158"/>
      <c r="F1" s="158" t="s">
        <v>67</v>
      </c>
      <c r="G1" s="158" t="s">
        <v>67</v>
      </c>
      <c r="H1" s="158"/>
      <c r="I1" s="163" t="s">
        <v>55</v>
      </c>
      <c r="J1" s="163" t="s">
        <v>56</v>
      </c>
      <c r="K1" s="158"/>
      <c r="L1" s="158"/>
      <c r="M1" s="158"/>
      <c r="N1" s="158"/>
      <c r="O1" s="158"/>
      <c r="P1" s="158"/>
      <c r="Q1" s="243"/>
      <c r="R1" s="160"/>
      <c r="S1" s="160"/>
      <c r="T1" s="160"/>
      <c r="U1" s="160"/>
      <c r="V1" s="160"/>
      <c r="X1" s="160"/>
      <c r="Y1" s="160"/>
      <c r="Z1" s="160"/>
      <c r="AB1" s="160"/>
      <c r="AD1" s="160"/>
      <c r="AE1" s="160"/>
      <c r="AF1" s="160"/>
    </row>
    <row r="2" spans="1:32" ht="15.75" x14ac:dyDescent="0.2">
      <c r="A2" s="161"/>
      <c r="B2" s="151">
        <f>AVERAGE(T._25[data])</f>
        <v>13</v>
      </c>
      <c r="C2" s="151">
        <f>_xlfn.STDEV.P(T._25[data])</f>
        <v>7.2111025509279782</v>
      </c>
      <c r="D2" s="163">
        <f>COUNT(T._25[data])</f>
        <v>25</v>
      </c>
      <c r="E2" s="163"/>
      <c r="F2" s="208" t="s">
        <v>82</v>
      </c>
      <c r="G2" s="208" t="s">
        <v>82</v>
      </c>
      <c r="H2" s="163"/>
      <c r="I2" s="164">
        <v>0</v>
      </c>
      <c r="J2" s="164">
        <v>1</v>
      </c>
      <c r="K2" s="159"/>
      <c r="L2" s="163"/>
      <c r="M2" s="163"/>
      <c r="N2" s="151">
        <f>AVERAGE(T._25[Xb])</f>
        <v>13</v>
      </c>
      <c r="O2" s="151">
        <f>_xlfn.STDEV.P(T._25[Xb])</f>
        <v>3.6055512754639891</v>
      </c>
      <c r="P2" s="163"/>
      <c r="Q2" s="163"/>
      <c r="R2" s="160"/>
      <c r="S2" s="160"/>
      <c r="T2" s="160"/>
      <c r="U2" s="160"/>
      <c r="V2" s="160"/>
      <c r="X2" s="160"/>
      <c r="Y2" s="160"/>
      <c r="Z2" s="160"/>
      <c r="AB2" s="160"/>
      <c r="AD2" s="160"/>
      <c r="AE2" s="160"/>
      <c r="AF2" s="160"/>
    </row>
    <row r="3" spans="1:32" ht="25.5" customHeight="1" x14ac:dyDescent="0.2">
      <c r="A3" s="162"/>
      <c r="B3" s="165" t="s">
        <v>53</v>
      </c>
      <c r="C3" s="165" t="s">
        <v>54</v>
      </c>
      <c r="D3" s="240"/>
      <c r="E3" s="240"/>
      <c r="F3" s="240" t="s">
        <v>92</v>
      </c>
      <c r="G3" s="241" t="s">
        <v>91</v>
      </c>
      <c r="H3" s="241"/>
      <c r="I3" s="166" t="s">
        <v>53</v>
      </c>
      <c r="J3" s="166" t="s">
        <v>54</v>
      </c>
      <c r="K3" s="159"/>
      <c r="L3" s="163"/>
      <c r="M3" s="278">
        <v>1</v>
      </c>
      <c r="N3" s="277">
        <f>N2/B2</f>
        <v>1</v>
      </c>
      <c r="O3" s="277">
        <f>O2/C2</f>
        <v>0.5</v>
      </c>
      <c r="P3" s="163"/>
      <c r="Q3" s="163"/>
      <c r="R3" s="160"/>
      <c r="S3" s="160"/>
      <c r="T3" s="160"/>
      <c r="U3" s="160"/>
      <c r="V3" s="160"/>
      <c r="X3" s="160"/>
      <c r="Y3" s="160"/>
      <c r="Z3" s="160"/>
      <c r="AB3" s="160"/>
      <c r="AD3" s="160"/>
      <c r="AE3" s="160"/>
      <c r="AF3" s="160"/>
    </row>
    <row r="4" spans="1:32" ht="27.75" customHeight="1" x14ac:dyDescent="0.2">
      <c r="A4" s="161"/>
      <c r="B4" s="161"/>
      <c r="C4" s="161"/>
      <c r="D4" s="161"/>
      <c r="E4" s="161"/>
      <c r="F4" s="208" t="str">
        <f>IF(F5=0,"TRUE","FALSE")</f>
        <v>TRUE</v>
      </c>
      <c r="G4" s="208" t="str">
        <f>IF(G5=0,"TRUE","false")</f>
        <v>TRUE</v>
      </c>
      <c r="H4" s="163"/>
      <c r="I4" s="208"/>
      <c r="J4" s="208"/>
      <c r="K4" s="159"/>
      <c r="L4" s="163"/>
      <c r="M4" s="163"/>
      <c r="N4" s="163"/>
      <c r="O4" s="163"/>
      <c r="P4" s="163"/>
      <c r="Q4" s="163"/>
      <c r="R4" s="160"/>
      <c r="S4" s="160"/>
      <c r="T4" s="160"/>
      <c r="U4" s="160"/>
      <c r="V4" s="160"/>
      <c r="X4" s="160"/>
      <c r="Y4" s="160"/>
      <c r="Z4" s="160"/>
      <c r="AB4" s="160"/>
      <c r="AD4" s="160"/>
      <c r="AE4" s="160"/>
      <c r="AF4" s="160"/>
    </row>
    <row r="5" spans="1:32" ht="24.75" customHeight="1" x14ac:dyDescent="0.2">
      <c r="A5" s="161"/>
      <c r="B5" s="161"/>
      <c r="C5" s="161"/>
      <c r="D5" s="161"/>
      <c r="E5" s="161"/>
      <c r="F5" s="209">
        <v>0</v>
      </c>
      <c r="G5" s="209">
        <f>F5</f>
        <v>0</v>
      </c>
      <c r="H5" s="271" t="s">
        <v>58</v>
      </c>
      <c r="I5" s="208" t="s">
        <v>82</v>
      </c>
      <c r="J5" s="208" t="s">
        <v>82</v>
      </c>
      <c r="K5" s="159"/>
      <c r="L5" s="159"/>
      <c r="M5" s="163"/>
      <c r="N5" s="159"/>
      <c r="O5" s="159"/>
      <c r="P5" s="159"/>
      <c r="Q5" s="247"/>
      <c r="R5" s="160"/>
      <c r="S5" s="160"/>
      <c r="T5" s="160"/>
      <c r="U5" s="160"/>
      <c r="V5" s="160"/>
      <c r="X5" s="160"/>
      <c r="Y5" s="160"/>
      <c r="Z5" s="160"/>
      <c r="AB5" s="160"/>
      <c r="AD5" s="160"/>
      <c r="AE5" s="160"/>
      <c r="AF5" s="160"/>
    </row>
    <row r="6" spans="1:32" ht="24.75" customHeight="1" x14ac:dyDescent="0.2">
      <c r="A6" s="161"/>
      <c r="B6" s="161"/>
      <c r="C6" s="207">
        <f>NORMSDIST(MAX(T._25[Za]))-NORMSDIST(MIN(T._25[Za]))</f>
        <v>0.90390767054432675</v>
      </c>
      <c r="D6" s="207">
        <f>NORMSDIST(MAX(T._25[Zb]))-NORMSDIST(MIN(T._25[Zb]))</f>
        <v>0.59461944354105767</v>
      </c>
      <c r="E6" s="207"/>
      <c r="F6" s="207" cm="1">
        <f t="array" ref="F6">MAX(T._25[Ya]-MIN(T._25[Ya]))</f>
        <v>0.90390767054432675</v>
      </c>
      <c r="G6" s="207" cm="1">
        <f t="array" ref="G6">MAX(T._25[Yb]-MIN(T._25[Yb]))</f>
        <v>0.59461944354105767</v>
      </c>
      <c r="H6" s="207"/>
      <c r="I6" s="207" t="s">
        <v>90</v>
      </c>
      <c r="J6" s="207" t="s">
        <v>90</v>
      </c>
      <c r="K6" s="159"/>
      <c r="L6" s="159"/>
      <c r="M6" s="163"/>
      <c r="N6" s="159"/>
      <c r="O6" s="159" t="s">
        <v>47</v>
      </c>
      <c r="P6" s="159"/>
      <c r="Q6" s="247"/>
      <c r="R6" s="160"/>
      <c r="S6" s="160"/>
      <c r="T6" s="160"/>
      <c r="U6" s="160"/>
      <c r="V6" s="160"/>
      <c r="X6" s="160"/>
      <c r="Y6" s="160"/>
      <c r="Z6" s="160"/>
      <c r="AB6" s="160"/>
      <c r="AD6" s="160"/>
      <c r="AE6" s="160"/>
      <c r="AF6" s="160"/>
    </row>
    <row r="7" spans="1:32" ht="35.25" customHeight="1" x14ac:dyDescent="0.2">
      <c r="A7" s="161"/>
      <c r="B7" s="261" t="s">
        <v>41</v>
      </c>
      <c r="C7" s="262" t="s">
        <v>69</v>
      </c>
      <c r="D7" s="262" t="s">
        <v>70</v>
      </c>
      <c r="E7" s="262" t="s">
        <v>99</v>
      </c>
      <c r="F7" s="219" t="s">
        <v>80</v>
      </c>
      <c r="G7" s="219" t="s">
        <v>81</v>
      </c>
      <c r="H7" s="259" t="s">
        <v>93</v>
      </c>
      <c r="I7" s="221" t="s">
        <v>94</v>
      </c>
      <c r="J7" s="269" t="s">
        <v>95</v>
      </c>
      <c r="K7" s="224" t="s">
        <v>96</v>
      </c>
      <c r="L7" s="224" t="s">
        <v>97</v>
      </c>
      <c r="M7" s="263" t="s">
        <v>71</v>
      </c>
      <c r="N7" s="275" t="s">
        <v>72</v>
      </c>
      <c r="O7" s="275" t="s">
        <v>98</v>
      </c>
      <c r="P7" s="265" t="s">
        <v>100</v>
      </c>
      <c r="Q7" s="265" t="s">
        <v>101</v>
      </c>
      <c r="R7" s="160"/>
      <c r="S7" s="160"/>
      <c r="T7" s="160"/>
      <c r="U7" s="160"/>
      <c r="V7" s="160"/>
      <c r="X7" s="160"/>
      <c r="Y7" s="160"/>
      <c r="Z7" s="160"/>
      <c r="AB7" s="160"/>
      <c r="AD7" s="160"/>
      <c r="AE7" s="160"/>
      <c r="AF7" s="160"/>
    </row>
    <row r="8" spans="1:32" ht="12.75" x14ac:dyDescent="0.2">
      <c r="A8" s="161"/>
      <c r="B8" s="170">
        <v>1</v>
      </c>
      <c r="C8" s="69">
        <f>(T._25[[#This Row],[data]]-AVERAGE(T._25[data]))/_xlfn.STDEV.P(T._25[data])</f>
        <v>-1.6641005886756874</v>
      </c>
      <c r="D8" s="69">
        <f>(T._25[[#This Row],[data]]-AVERAGE(T._25[data]))/(_xlfn.STDEV.P(T._25[data])*$D$37+$C$37)</f>
        <v>-0.83205029433784372</v>
      </c>
      <c r="E8" s="69">
        <f>IF($D$37&lt;1,(T._25[[#This Row],[data]]-AVERAGE(T._25[data]))/(_xlfn.STDEV.P(T._25[data])*(1/$D$37)+$C$37),T._25[[#This Row],[Zb]])</f>
        <v>-0.83205029433784372</v>
      </c>
      <c r="F8" s="70">
        <f>_xlfn.NORM.S.DIST(T._25[[#This Row],[Za]],IF($F$5=0,"TRUE","false"))</f>
        <v>4.8046164727836627E-2</v>
      </c>
      <c r="G8" s="70">
        <f>_xlfn.NORM.S.DIST(T._25[[#This Row],[Zb]],IF($G$5=0,"TRUE","false"))</f>
        <v>0.20269027822947119</v>
      </c>
      <c r="H8" s="260">
        <f>1/SQRT(2*PI()*$J$2^2)*EXP(-((T._25[[#This Row],[Za]]-$I$2)^2)/(2*$J$2^2))</f>
        <v>9.9903164433323657E-2</v>
      </c>
      <c r="I8" s="70">
        <f>NORMDIST(T._25[[#This Row],[Za]],$I$2,$J$2,FALSE)</f>
        <v>9.9903164433323657E-2</v>
      </c>
      <c r="J8" s="270">
        <f>IF($D$37&lt;1,2*NORMDIST(T._25[[#This Row],[Zc]],0,$M$3,FALSE),2*NORMDIST(T._25[[#This Row],[Zb]],0,$M$3,FALSE))</f>
        <v>0.56442644851933488</v>
      </c>
      <c r="K8" s="172">
        <f>NORMSDIST(T._25[[#This Row],[Za]])</f>
        <v>4.8046164727836627E-2</v>
      </c>
      <c r="L8" s="172">
        <f>NORMSDIST(T._25[[#This Row],[Zb]])</f>
        <v>0.20269027822947119</v>
      </c>
      <c r="M8" s="226">
        <f>($B$2)+T._25[[#This Row],[Za]]*($C$2)</f>
        <v>1</v>
      </c>
      <c r="N8" s="274">
        <f>$F$37+($B$2)+T._25[[#This Row],[Zb]]*($C$2)</f>
        <v>7</v>
      </c>
      <c r="O8" s="274">
        <f>T._25[[#This Row],[Xb]]-T._25[[#This Row],[Xa]]</f>
        <v>6</v>
      </c>
      <c r="P8" s="267">
        <f>ABS(T._25[[#This Row],[DIF]])*1/T._25[[#This Row],[PB]]</f>
        <v>10.630260179585587</v>
      </c>
      <c r="Q8" s="268">
        <f>IF($D$37&lt;&gt;1,T._25[[#This Row],[W]]/MAX(T._25[W])*0.94+0.01,1-T._25[[#This Row],[PB]])</f>
        <v>0.95</v>
      </c>
      <c r="R8" s="160"/>
      <c r="S8" s="160"/>
      <c r="T8" s="160"/>
      <c r="U8" s="160"/>
      <c r="V8" s="160"/>
      <c r="X8" s="160"/>
      <c r="Y8" s="160"/>
      <c r="Z8" s="160"/>
      <c r="AB8" s="160"/>
      <c r="AD8" s="160"/>
      <c r="AE8" s="160"/>
      <c r="AF8" s="160"/>
    </row>
    <row r="9" spans="1:32" ht="12.75" x14ac:dyDescent="0.2">
      <c r="A9" s="161"/>
      <c r="B9" s="170">
        <f>B8+1</f>
        <v>2</v>
      </c>
      <c r="C9" s="69">
        <f>(T._25[[#This Row],[data]]-AVERAGE(T._25[data]))/_xlfn.STDEV.P(T._25[data])</f>
        <v>-1.5254255396193801</v>
      </c>
      <c r="D9" s="69">
        <f>(T._25[[#This Row],[data]]-AVERAGE(T._25[data]))/(_xlfn.STDEV.P(T._25[data])*$D$37+$C$37)</f>
        <v>-0.76271276980969005</v>
      </c>
      <c r="E9" s="69">
        <f>IF($D$37&lt;1,(T._25[[#This Row],[data]]-AVERAGE(T._25[data]))/(_xlfn.STDEV.P(T._25[data])*(1/$D$37)+$C$37),T._25[[#This Row],[Zb]])</f>
        <v>-0.76271276980969005</v>
      </c>
      <c r="F9" s="70">
        <f>_xlfn.NORM.S.DIST(T._25[[#This Row],[Za]],IF($F$5=0,"TRUE","false"))</f>
        <v>6.3576496300007113E-2</v>
      </c>
      <c r="G9" s="70">
        <f>_xlfn.NORM.S.DIST(T._25[[#This Row],[Zb]],IF($G$5=0,"TRUE","false"))</f>
        <v>0.22281735660347199</v>
      </c>
      <c r="H9" s="260">
        <f>1/SQRT(2*PI()*$J$2^2)*EXP(-((T._25[[#This Row],[Za]]-$I$2)^2)/(2*$J$2^2))</f>
        <v>0.12463073026883781</v>
      </c>
      <c r="I9" s="70">
        <f>NORMDIST(T._25[[#This Row],[Za]],$I$2,$J$2,FALSE)</f>
        <v>0.12463073026883781</v>
      </c>
      <c r="J9" s="270">
        <f>IF($D$37&lt;1,2*NORMDIST(T._25[[#This Row],[Zc]],0,$M$3,FALSE),2*NORMDIST(T._25[[#This Row],[Zb]],0,$M$3,FALSE))</f>
        <v>0.59651151267088631</v>
      </c>
      <c r="K9" s="172">
        <f>NORMSDIST(T._25[[#This Row],[Za]])</f>
        <v>6.3576496300007113E-2</v>
      </c>
      <c r="L9" s="172">
        <f>NORMSDIST(T._25[[#This Row],[Zb]])</f>
        <v>0.22281735660347199</v>
      </c>
      <c r="M9" s="226">
        <f>($B$2)+T._25[[#This Row],[Za]]*($C$2)</f>
        <v>2</v>
      </c>
      <c r="N9" s="274">
        <f>$F$37+($B$2)+T._25[[#This Row],[Zb]]*($C$2)</f>
        <v>7.5</v>
      </c>
      <c r="O9" s="274">
        <f>T._25[[#This Row],[Xb]]-T._25[[#This Row],[Xa]]</f>
        <v>5.5</v>
      </c>
      <c r="P9" s="267">
        <f>ABS(T._25[[#This Row],[DIF]])*1/T._25[[#This Row],[PB]]</f>
        <v>9.2202746856866096</v>
      </c>
      <c r="Q9" s="268">
        <f>IF($D$37&lt;&gt;1,T._25[[#This Row],[W]]/MAX(T._25[W])*0.94+0.01,1-T._25[[#This Row],[PB]])</f>
        <v>0.82531948025032176</v>
      </c>
      <c r="R9" s="160"/>
      <c r="S9" s="160"/>
      <c r="T9" s="160"/>
      <c r="U9" s="160"/>
      <c r="V9" s="160"/>
      <c r="X9" s="160"/>
      <c r="Y9" s="160"/>
      <c r="Z9" s="160"/>
      <c r="AB9" s="160"/>
      <c r="AD9" s="160"/>
      <c r="AE9" s="160"/>
      <c r="AF9" s="160"/>
    </row>
    <row r="10" spans="1:32" ht="12.75" x14ac:dyDescent="0.2">
      <c r="A10" s="161"/>
      <c r="B10" s="170">
        <f t="shared" ref="B10:B32" si="0">B9+1</f>
        <v>3</v>
      </c>
      <c r="C10" s="69">
        <f>(T._25[[#This Row],[data]]-AVERAGE(T._25[data]))/_xlfn.STDEV.P(T._25[data])</f>
        <v>-1.386750490563073</v>
      </c>
      <c r="D10" s="69">
        <f>(T._25[[#This Row],[data]]-AVERAGE(T._25[data]))/(_xlfn.STDEV.P(T._25[data])*$D$37+$C$37)</f>
        <v>-0.69337524528153649</v>
      </c>
      <c r="E10" s="69">
        <f>IF($D$37&lt;1,(T._25[[#This Row],[data]]-AVERAGE(T._25[data]))/(_xlfn.STDEV.P(T._25[data])*(1/$D$37)+$C$37),T._25[[#This Row],[Zb]])</f>
        <v>-0.69337524528153649</v>
      </c>
      <c r="F10" s="70">
        <f>_xlfn.NORM.S.DIST(T._25[[#This Row],[Za]],IF($F$5=0,"TRUE","false"))</f>
        <v>8.275892934873498E-2</v>
      </c>
      <c r="G10" s="70">
        <f>_xlfn.NORM.S.DIST(T._25[[#This Row],[Zb]],IF($G$5=0,"TRUE","false"))</f>
        <v>0.24403704658262404</v>
      </c>
      <c r="H10" s="260">
        <f>1/SQRT(2*PI()*$J$2^2)*EXP(-((T._25[[#This Row],[Za]]-$I$2)^2)/(2*$J$2^2))</f>
        <v>0.15251733843477824</v>
      </c>
      <c r="I10" s="70">
        <f>NORMDIST(T._25[[#This Row],[Za]],$I$2,$J$2,FALSE)</f>
        <v>0.15251733843477824</v>
      </c>
      <c r="J10" s="270">
        <f>IF($D$37&lt;1,2*NORMDIST(T._25[[#This Row],[Zc]],0,$M$3,FALSE),2*NORMDIST(T._25[[#This Row],[Zb]],0,$M$3,FALSE))</f>
        <v>0.62739687254190113</v>
      </c>
      <c r="K10" s="172">
        <f>NORMSDIST(T._25[[#This Row],[Za]])</f>
        <v>8.275892934873498E-2</v>
      </c>
      <c r="L10" s="172">
        <f>NORMSDIST(T._25[[#This Row],[Zb]])</f>
        <v>0.24403704658262404</v>
      </c>
      <c r="M10" s="226">
        <f>($B$2)+T._25[[#This Row],[Za]]*($C$2)</f>
        <v>3</v>
      </c>
      <c r="N10" s="274">
        <f>$F$37+($B$2)+T._25[[#This Row],[Zb]]*($C$2)</f>
        <v>8</v>
      </c>
      <c r="O10" s="274">
        <f>T._25[[#This Row],[Xb]]-T._25[[#This Row],[Xa]]</f>
        <v>5</v>
      </c>
      <c r="P10" s="267">
        <f>ABS(T._25[[#This Row],[DIF]])*1/T._25[[#This Row],[PB]]</f>
        <v>7.9694372395298663</v>
      </c>
      <c r="Q10" s="268">
        <f>IF($D$37&lt;&gt;1,T._25[[#This Row],[W]]/MAX(T._25[W])*0.94+0.01,1-T._25[[#This Row],[PB]])</f>
        <v>0.71471191472287332</v>
      </c>
      <c r="R10" s="160"/>
      <c r="S10" s="160"/>
      <c r="T10" s="160"/>
      <c r="U10" s="160"/>
      <c r="V10" s="160"/>
      <c r="X10" s="160"/>
      <c r="Y10" s="160"/>
      <c r="Z10" s="160"/>
      <c r="AB10" s="160"/>
      <c r="AD10" s="160"/>
      <c r="AE10" s="160"/>
      <c r="AF10" s="160"/>
    </row>
    <row r="11" spans="1:32" ht="12.75" x14ac:dyDescent="0.2">
      <c r="A11" s="161"/>
      <c r="B11" s="170">
        <f t="shared" si="0"/>
        <v>4</v>
      </c>
      <c r="C11" s="69">
        <f>(T._25[[#This Row],[data]]-AVERAGE(T._25[data]))/_xlfn.STDEV.P(T._25[data])</f>
        <v>-1.2480754415067656</v>
      </c>
      <c r="D11" s="69">
        <f>(T._25[[#This Row],[data]]-AVERAGE(T._25[data]))/(_xlfn.STDEV.P(T._25[data])*$D$37+$C$37)</f>
        <v>-0.62403772075338282</v>
      </c>
      <c r="E11" s="69">
        <f>IF($D$37&lt;1,(T._25[[#This Row],[data]]-AVERAGE(T._25[data]))/(_xlfn.STDEV.P(T._25[data])*(1/$D$37)+$C$37),T._25[[#This Row],[Zb]])</f>
        <v>-0.62403772075338282</v>
      </c>
      <c r="F11" s="70">
        <f>_xlfn.NORM.S.DIST(T._25[[#This Row],[Za]],IF($F$5=0,"TRUE","false"))</f>
        <v>0.10600171546141283</v>
      </c>
      <c r="G11" s="70">
        <f>_xlfn.NORM.S.DIST(T._25[[#This Row],[Zb]],IF($G$5=0,"TRUE","false"))</f>
        <v>0.26630140646823697</v>
      </c>
      <c r="H11" s="260">
        <f>1/SQRT(2*PI()*$J$2^2)*EXP(-((T._25[[#This Row],[Za]]-$I$2)^2)/(2*$J$2^2))</f>
        <v>0.18308867383025043</v>
      </c>
      <c r="I11" s="70">
        <f>NORMDIST(T._25[[#This Row],[Za]],$I$2,$J$2,FALSE)</f>
        <v>0.18308867383025043</v>
      </c>
      <c r="J11" s="270">
        <f>IF($D$37&lt;1,2*NORMDIST(T._25[[#This Row],[Zc]],0,$M$3,FALSE),2*NORMDIST(T._25[[#This Row],[Zb]],0,$M$3,FALSE))</f>
        <v>0.65671647988244053</v>
      </c>
      <c r="K11" s="172">
        <f>NORMSDIST(T._25[[#This Row],[Za]])</f>
        <v>0.10600171546141283</v>
      </c>
      <c r="L11" s="172">
        <f>NORMSDIST(T._25[[#This Row],[Zb]])</f>
        <v>0.26630140646823697</v>
      </c>
      <c r="M11" s="226">
        <f>($B$2)+T._25[[#This Row],[Za]]*($C$2)</f>
        <v>4</v>
      </c>
      <c r="N11" s="274">
        <f>$F$37+($B$2)+T._25[[#This Row],[Zb]]*($C$2)</f>
        <v>8.5</v>
      </c>
      <c r="O11" s="274">
        <f>T._25[[#This Row],[Xb]]-T._25[[#This Row],[Xa]]</f>
        <v>4.5</v>
      </c>
      <c r="P11" s="267">
        <f>ABS(T._25[[#This Row],[DIF]])*1/T._25[[#This Row],[PB]]</f>
        <v>6.8522720806481807</v>
      </c>
      <c r="Q11" s="268">
        <f>IF($D$37&lt;&gt;1,T._25[[#This Row],[W]]/MAX(T._25[W])*0.94+0.01,1-T._25[[#This Row],[PB]])</f>
        <v>0.61592456318038979</v>
      </c>
      <c r="R11" s="160"/>
      <c r="S11" s="160"/>
      <c r="T11" s="160"/>
      <c r="U11" s="160"/>
      <c r="V11" s="160"/>
      <c r="X11" s="160"/>
      <c r="Y11" s="160"/>
      <c r="Z11" s="160"/>
      <c r="AB11" s="160"/>
      <c r="AD11" s="160"/>
      <c r="AE11" s="160"/>
      <c r="AF11" s="160"/>
    </row>
    <row r="12" spans="1:32" ht="12.75" x14ac:dyDescent="0.2">
      <c r="A12" s="161"/>
      <c r="B12" s="170">
        <f t="shared" si="0"/>
        <v>5</v>
      </c>
      <c r="C12" s="69">
        <f>(T._25[[#This Row],[data]]-AVERAGE(T._25[data]))/_xlfn.STDEV.P(T._25[data])</f>
        <v>-1.1094003924504583</v>
      </c>
      <c r="D12" s="69">
        <f>(T._25[[#This Row],[data]]-AVERAGE(T._25[data]))/(_xlfn.STDEV.P(T._25[data])*$D$37+$C$37)</f>
        <v>-0.55470019622522915</v>
      </c>
      <c r="E12" s="69">
        <f>IF($D$37&lt;1,(T._25[[#This Row],[data]]-AVERAGE(T._25[data]))/(_xlfn.STDEV.P(T._25[data])*(1/$D$37)+$C$37),T._25[[#This Row],[Zb]])</f>
        <v>-0.55470019622522915</v>
      </c>
      <c r="F12" s="70">
        <f>_xlfn.NORM.S.DIST(T._25[[#This Row],[Za]],IF($F$5=0,"TRUE","false"))</f>
        <v>0.1336287465771939</v>
      </c>
      <c r="G12" s="70">
        <f>_xlfn.NORM.S.DIST(T._25[[#This Row],[Zb]],IF($G$5=0,"TRUE","false"))</f>
        <v>0.28954987097695939</v>
      </c>
      <c r="H12" s="260">
        <f>1/SQRT(2*PI()*$J$2^2)*EXP(-((T._25[[#This Row],[Za]]-$I$2)^2)/(2*$J$2^2))</f>
        <v>0.21560157202251737</v>
      </c>
      <c r="I12" s="70">
        <f>NORMDIST(T._25[[#This Row],[Za]],$I$2,$J$2,FALSE)</f>
        <v>0.21560157202251737</v>
      </c>
      <c r="J12" s="270">
        <f>IF($D$37&lt;1,2*NORMDIST(T._25[[#This Row],[Zc]],0,$M$3,FALSE),2*NORMDIST(T._25[[#This Row],[Zb]],0,$M$3,FALSE))</f>
        <v>0.68410934946998414</v>
      </c>
      <c r="K12" s="172">
        <f>NORMSDIST(T._25[[#This Row],[Za]])</f>
        <v>0.1336287465771939</v>
      </c>
      <c r="L12" s="172">
        <f>NORMSDIST(T._25[[#This Row],[Zb]])</f>
        <v>0.28954987097695939</v>
      </c>
      <c r="M12" s="226">
        <f>($B$2)+T._25[[#This Row],[Za]]*($C$2)</f>
        <v>5</v>
      </c>
      <c r="N12" s="274">
        <f>$F$37+($B$2)+T._25[[#This Row],[Zb]]*($C$2)</f>
        <v>9</v>
      </c>
      <c r="O12" s="274">
        <f>T._25[[#This Row],[Xb]]-T._25[[#This Row],[Xa]]</f>
        <v>4</v>
      </c>
      <c r="P12" s="267">
        <f>ABS(T._25[[#This Row],[DIF]])*1/T._25[[#This Row],[PB]]</f>
        <v>5.8470184672947569</v>
      </c>
      <c r="Q12" s="268">
        <f>IF($D$37&lt;&gt;1,T._25[[#This Row],[W]]/MAX(T._25[W])*0.94+0.01,1-T._25[[#This Row],[PB]])</f>
        <v>0.52703319264113602</v>
      </c>
      <c r="R12" s="160"/>
      <c r="S12" s="160"/>
      <c r="T12" s="160"/>
      <c r="U12" s="160"/>
      <c r="V12" s="160"/>
      <c r="X12" s="160"/>
      <c r="Y12" s="160"/>
      <c r="Z12" s="160"/>
      <c r="AB12" s="160"/>
      <c r="AD12" s="160"/>
      <c r="AE12" s="160"/>
      <c r="AF12" s="160"/>
    </row>
    <row r="13" spans="1:32" ht="12.75" x14ac:dyDescent="0.2">
      <c r="A13" s="161"/>
      <c r="B13" s="170">
        <f t="shared" si="0"/>
        <v>6</v>
      </c>
      <c r="C13" s="69">
        <f>(T._25[[#This Row],[data]]-AVERAGE(T._25[data]))/_xlfn.STDEV.P(T._25[data])</f>
        <v>-0.97072534339415106</v>
      </c>
      <c r="D13" s="69">
        <f>(T._25[[#This Row],[data]]-AVERAGE(T._25[data]))/(_xlfn.STDEV.P(T._25[data])*$D$37+$C$37)</f>
        <v>-0.48536267169707553</v>
      </c>
      <c r="E13" s="69">
        <f>IF($D$37&lt;1,(T._25[[#This Row],[data]]-AVERAGE(T._25[data]))/(_xlfn.STDEV.P(T._25[data])*(1/$D$37)+$C$37),T._25[[#This Row],[Zb]])</f>
        <v>-0.48536267169707553</v>
      </c>
      <c r="F13" s="70">
        <f>_xlfn.NORM.S.DIST(T._25[[#This Row],[Za]],IF($F$5=0,"TRUE","false"))</f>
        <v>0.16584253402843122</v>
      </c>
      <c r="G13" s="70">
        <f>_xlfn.NORM.S.DIST(T._25[[#This Row],[Zb]],IF($G$5=0,"TRUE","false"))</f>
        <v>0.31370955318304983</v>
      </c>
      <c r="H13" s="260">
        <f>1/SQRT(2*PI()*$J$2^2)*EXP(-((T._25[[#This Row],[Za]]-$I$2)^2)/(2*$J$2^2))</f>
        <v>0.24905229627756828</v>
      </c>
      <c r="I13" s="70">
        <f>NORMDIST(T._25[[#This Row],[Za]],$I$2,$J$2,FALSE)</f>
        <v>0.24905229627756828</v>
      </c>
      <c r="J13" s="270">
        <f>IF($D$37&lt;1,2*NORMDIST(T._25[[#This Row],[Zc]],0,$M$3,FALSE),2*NORMDIST(T._25[[#This Row],[Zb]],0,$M$3,FALSE))</f>
        <v>0.70922687252184125</v>
      </c>
      <c r="K13" s="172">
        <f>NORMSDIST(T._25[[#This Row],[Za]])</f>
        <v>0.16584253402843122</v>
      </c>
      <c r="L13" s="172">
        <f>NORMSDIST(T._25[[#This Row],[Zb]])</f>
        <v>0.31370955318304983</v>
      </c>
      <c r="M13" s="226">
        <f>($B$2)+T._25[[#This Row],[Za]]*($C$2)</f>
        <v>6</v>
      </c>
      <c r="N13" s="274">
        <f>$F$37+($B$2)+T._25[[#This Row],[Zb]]*($C$2)</f>
        <v>9.5</v>
      </c>
      <c r="O13" s="274">
        <f>T._25[[#This Row],[Xb]]-T._25[[#This Row],[Xa]]</f>
        <v>3.5</v>
      </c>
      <c r="P13" s="267">
        <f>ABS(T._25[[#This Row],[DIF]])*1/T._25[[#This Row],[PB]]</f>
        <v>4.9349511920703693</v>
      </c>
      <c r="Q13" s="268">
        <f>IF($D$37&lt;&gt;1,T._25[[#This Row],[W]]/MAX(T._25[W])*0.94+0.01,1-T._25[[#This Row],[PB]])</f>
        <v>0.44638199274319074</v>
      </c>
      <c r="R13" s="160"/>
      <c r="S13" s="160"/>
      <c r="T13" s="160"/>
      <c r="U13" s="160"/>
      <c r="V13" s="160"/>
      <c r="X13" s="160"/>
      <c r="Y13" s="160"/>
      <c r="Z13" s="160"/>
      <c r="AB13" s="160"/>
      <c r="AD13" s="160"/>
      <c r="AE13" s="160"/>
      <c r="AF13" s="160"/>
    </row>
    <row r="14" spans="1:32" ht="12.75" x14ac:dyDescent="0.2">
      <c r="A14" s="161"/>
      <c r="B14" s="170">
        <f t="shared" si="0"/>
        <v>7</v>
      </c>
      <c r="C14" s="69">
        <f>(T._25[[#This Row],[data]]-AVERAGE(T._25[data]))/_xlfn.STDEV.P(T._25[data])</f>
        <v>-0.83205029433784372</v>
      </c>
      <c r="D14" s="69">
        <f>(T._25[[#This Row],[data]]-AVERAGE(T._25[data]))/(_xlfn.STDEV.P(T._25[data])*$D$37+$C$37)</f>
        <v>-0.41602514716892186</v>
      </c>
      <c r="E14" s="69">
        <f>IF($D$37&lt;1,(T._25[[#This Row],[data]]-AVERAGE(T._25[data]))/(_xlfn.STDEV.P(T._25[data])*(1/$D$37)+$C$37),T._25[[#This Row],[Zb]])</f>
        <v>-0.41602514716892186</v>
      </c>
      <c r="F14" s="70">
        <f>_xlfn.NORM.S.DIST(T._25[[#This Row],[Za]],IF($F$5=0,"TRUE","false"))</f>
        <v>0.20269027822947119</v>
      </c>
      <c r="G14" s="70">
        <f>_xlfn.NORM.S.DIST(T._25[[#This Row],[Zb]],IF($G$5=0,"TRUE","false"))</f>
        <v>0.33869580096313867</v>
      </c>
      <c r="H14" s="260">
        <f>1/SQRT(2*PI()*$J$2^2)*EXP(-((T._25[[#This Row],[Za]]-$I$2)^2)/(2*$J$2^2))</f>
        <v>0.28221322425966744</v>
      </c>
      <c r="I14" s="70">
        <f>NORMDIST(T._25[[#This Row],[Za]],$I$2,$J$2,FALSE)</f>
        <v>0.28221322425966744</v>
      </c>
      <c r="J14" s="270">
        <f>IF($D$37&lt;1,2*NORMDIST(T._25[[#This Row],[Zc]],0,$M$3,FALSE),2*NORMDIST(T._25[[#This Row],[Zb]],0,$M$3,FALSE))</f>
        <v>0.73174015014561622</v>
      </c>
      <c r="K14" s="172">
        <f>NORMSDIST(T._25[[#This Row],[Za]])</f>
        <v>0.20269027822947119</v>
      </c>
      <c r="L14" s="172">
        <f>NORMSDIST(T._25[[#This Row],[Zb]])</f>
        <v>0.33869580096313867</v>
      </c>
      <c r="M14" s="226">
        <f>($B$2)+T._25[[#This Row],[Za]]*($C$2)</f>
        <v>7</v>
      </c>
      <c r="N14" s="274">
        <f>$F$37+($B$2)+T._25[[#This Row],[Zb]]*($C$2)</f>
        <v>10</v>
      </c>
      <c r="O14" s="274">
        <f>T._25[[#This Row],[Xb]]-T._25[[#This Row],[Xa]]</f>
        <v>3</v>
      </c>
      <c r="P14" s="267">
        <f>ABS(T._25[[#This Row],[DIF]])*1/T._25[[#This Row],[PB]]</f>
        <v>4.0998160336056459</v>
      </c>
      <c r="Q14" s="268">
        <f>IF($D$37&lt;&gt;1,T._25[[#This Row],[W]]/MAX(T._25[W])*0.94+0.01,1-T._25[[#This Row],[PB]])</f>
        <v>0.37253365453747017</v>
      </c>
      <c r="R14" s="160"/>
      <c r="S14" s="160"/>
      <c r="T14" s="160"/>
      <c r="U14" s="160"/>
      <c r="V14" s="160"/>
      <c r="X14" s="160"/>
      <c r="Y14" s="160"/>
      <c r="Z14" s="160"/>
      <c r="AB14" s="160"/>
      <c r="AD14" s="160"/>
      <c r="AE14" s="160"/>
      <c r="AF14" s="160"/>
    </row>
    <row r="15" spans="1:32" ht="12.75" x14ac:dyDescent="0.2">
      <c r="A15" s="161"/>
      <c r="B15" s="170">
        <f t="shared" si="0"/>
        <v>8</v>
      </c>
      <c r="C15" s="69">
        <f>(T._25[[#This Row],[data]]-AVERAGE(T._25[data]))/_xlfn.STDEV.P(T._25[data])</f>
        <v>-0.69337524528153649</v>
      </c>
      <c r="D15" s="69">
        <f>(T._25[[#This Row],[data]]-AVERAGE(T._25[data]))/(_xlfn.STDEV.P(T._25[data])*$D$37+$C$37)</f>
        <v>-0.34668762264076824</v>
      </c>
      <c r="E15" s="69">
        <f>IF($D$37&lt;1,(T._25[[#This Row],[data]]-AVERAGE(T._25[data]))/(_xlfn.STDEV.P(T._25[data])*(1/$D$37)+$C$37),T._25[[#This Row],[Zb]])</f>
        <v>-0.34668762264076824</v>
      </c>
      <c r="F15" s="70">
        <f>_xlfn.NORM.S.DIST(T._25[[#This Row],[Za]],IF($F$5=0,"TRUE","false"))</f>
        <v>0.24403704658262404</v>
      </c>
      <c r="G15" s="70">
        <f>_xlfn.NORM.S.DIST(T._25[[#This Row],[Zb]],IF($G$5=0,"TRUE","false"))</f>
        <v>0.36441300494615936</v>
      </c>
      <c r="H15" s="260">
        <f>1/SQRT(2*PI()*$J$2^2)*EXP(-((T._25[[#This Row],[Za]]-$I$2)^2)/(2*$J$2^2))</f>
        <v>0.31369843627095056</v>
      </c>
      <c r="I15" s="70">
        <f>NORMDIST(T._25[[#This Row],[Za]],$I$2,$J$2,FALSE)</f>
        <v>0.31369843627095056</v>
      </c>
      <c r="J15" s="270">
        <f>IF($D$37&lt;1,2*NORMDIST(T._25[[#This Row],[Zc]],0,$M$3,FALSE),2*NORMDIST(T._25[[#This Row],[Zb]],0,$M$3,FALSE))</f>
        <v>0.75134713286853705</v>
      </c>
      <c r="K15" s="172">
        <f>NORMSDIST(T._25[[#This Row],[Za]])</f>
        <v>0.24403704658262404</v>
      </c>
      <c r="L15" s="172">
        <f>NORMSDIST(T._25[[#This Row],[Zb]])</f>
        <v>0.36441300494615936</v>
      </c>
      <c r="M15" s="226">
        <f>($B$2)+T._25[[#This Row],[Za]]*($C$2)</f>
        <v>8</v>
      </c>
      <c r="N15" s="274">
        <f>$F$37+($B$2)+T._25[[#This Row],[Zb]]*($C$2)</f>
        <v>10.5</v>
      </c>
      <c r="O15" s="274">
        <f>T._25[[#This Row],[Xb]]-T._25[[#This Row],[Xa]]</f>
        <v>2.5</v>
      </c>
      <c r="P15" s="267">
        <f>ABS(T._25[[#This Row],[DIF]])*1/T._25[[#This Row],[PB]]</f>
        <v>3.3273568110326766</v>
      </c>
      <c r="Q15" s="268">
        <f>IF($D$37&lt;&gt;1,T._25[[#This Row],[W]]/MAX(T._25[W])*0.94+0.01,1-T._25[[#This Row],[PB]])</f>
        <v>0.30422754942322094</v>
      </c>
      <c r="R15" s="160"/>
      <c r="S15" s="160"/>
      <c r="T15" s="160"/>
      <c r="U15" s="160"/>
      <c r="V15" s="160"/>
      <c r="X15" s="160"/>
      <c r="Y15" s="160"/>
      <c r="Z15" s="160"/>
      <c r="AB15" s="160"/>
      <c r="AD15" s="160"/>
      <c r="AE15" s="160"/>
      <c r="AF15" s="160"/>
    </row>
    <row r="16" spans="1:32" ht="12.75" x14ac:dyDescent="0.2">
      <c r="A16" s="161"/>
      <c r="B16" s="170">
        <f t="shared" si="0"/>
        <v>9</v>
      </c>
      <c r="C16" s="69">
        <f>(T._25[[#This Row],[data]]-AVERAGE(T._25[data]))/_xlfn.STDEV.P(T._25[data])</f>
        <v>-0.55470019622522915</v>
      </c>
      <c r="D16" s="69">
        <f>(T._25[[#This Row],[data]]-AVERAGE(T._25[data]))/(_xlfn.STDEV.P(T._25[data])*$D$37+$C$37)</f>
        <v>-0.27735009811261457</v>
      </c>
      <c r="E16" s="69">
        <f>IF($D$37&lt;1,(T._25[[#This Row],[data]]-AVERAGE(T._25[data]))/(_xlfn.STDEV.P(T._25[data])*(1/$D$37)+$C$37),T._25[[#This Row],[Zb]])</f>
        <v>-0.27735009811261457</v>
      </c>
      <c r="F16" s="70">
        <f>_xlfn.NORM.S.DIST(T._25[[#This Row],[Za]],IF($F$5=0,"TRUE","false"))</f>
        <v>0.28954987097695939</v>
      </c>
      <c r="G16" s="70">
        <f>_xlfn.NORM.S.DIST(T._25[[#This Row],[Zb]],IF($G$5=0,"TRUE","false"))</f>
        <v>0.39075564749935665</v>
      </c>
      <c r="H16" s="260">
        <f>1/SQRT(2*PI()*$J$2^2)*EXP(-((T._25[[#This Row],[Za]]-$I$2)^2)/(2*$J$2^2))</f>
        <v>0.34205467473499207</v>
      </c>
      <c r="I16" s="70">
        <f>NORMDIST(T._25[[#This Row],[Za]],$I$2,$J$2,FALSE)</f>
        <v>0.34205467473499207</v>
      </c>
      <c r="J16" s="270">
        <f>IF($D$37&lt;1,2*NORMDIST(T._25[[#This Row],[Zc]],0,$M$3,FALSE),2*NORMDIST(T._25[[#This Row],[Zb]],0,$M$3,FALSE))</f>
        <v>0.76777935053406543</v>
      </c>
      <c r="K16" s="172">
        <f>NORMSDIST(T._25[[#This Row],[Za]])</f>
        <v>0.28954987097695939</v>
      </c>
      <c r="L16" s="172">
        <f>NORMSDIST(T._25[[#This Row],[Zb]])</f>
        <v>0.39075564749935665</v>
      </c>
      <c r="M16" s="226">
        <f>($B$2)+T._25[[#This Row],[Za]]*($C$2)</f>
        <v>9</v>
      </c>
      <c r="N16" s="274">
        <f>$F$37+($B$2)+T._25[[#This Row],[Zb]]*($C$2)</f>
        <v>11</v>
      </c>
      <c r="O16" s="274">
        <f>T._25[[#This Row],[Xb]]-T._25[[#This Row],[Xa]]</f>
        <v>2</v>
      </c>
      <c r="P16" s="267">
        <f>ABS(T._25[[#This Row],[DIF]])*1/T._25[[#This Row],[PB]]</f>
        <v>2.6049150691651253</v>
      </c>
      <c r="Q16" s="268">
        <f>IF($D$37&lt;&gt;1,T._25[[#This Row],[W]]/MAX(T._25[W])*0.94+0.01,1-T._25[[#This Row],[PB]])</f>
        <v>0.24034433058539453</v>
      </c>
      <c r="R16" s="160"/>
      <c r="S16" s="160"/>
      <c r="T16" s="160"/>
      <c r="U16" s="160"/>
      <c r="V16" s="160"/>
      <c r="X16" s="160"/>
      <c r="Y16" s="160"/>
      <c r="Z16" s="160"/>
      <c r="AB16" s="160"/>
      <c r="AD16" s="160"/>
      <c r="AE16" s="160"/>
      <c r="AF16" s="160"/>
    </row>
    <row r="17" spans="1:32" ht="12.75" x14ac:dyDescent="0.2">
      <c r="A17" s="161"/>
      <c r="B17" s="170">
        <f t="shared" si="0"/>
        <v>10</v>
      </c>
      <c r="C17" s="69">
        <f>(T._25[[#This Row],[data]]-AVERAGE(T._25[data]))/_xlfn.STDEV.P(T._25[data])</f>
        <v>-0.41602514716892186</v>
      </c>
      <c r="D17" s="69">
        <f>(T._25[[#This Row],[data]]-AVERAGE(T._25[data]))/(_xlfn.STDEV.P(T._25[data])*$D$37+$C$37)</f>
        <v>-0.20801257358446093</v>
      </c>
      <c r="E17" s="69">
        <f>IF($D$37&lt;1,(T._25[[#This Row],[data]]-AVERAGE(T._25[data]))/(_xlfn.STDEV.P(T._25[data])*(1/$D$37)+$C$37),T._25[[#This Row],[Zb]])</f>
        <v>-0.20801257358446093</v>
      </c>
      <c r="F17" s="70">
        <f>_xlfn.NORM.S.DIST(T._25[[#This Row],[Za]],IF($F$5=0,"TRUE","false"))</f>
        <v>0.33869580096313867</v>
      </c>
      <c r="G17" s="70">
        <f>_xlfn.NORM.S.DIST(T._25[[#This Row],[Zb]],IF($G$5=0,"TRUE","false"))</f>
        <v>0.41760957489251449</v>
      </c>
      <c r="H17" s="260">
        <f>1/SQRT(2*PI()*$J$2^2)*EXP(-((T._25[[#This Row],[Za]]-$I$2)^2)/(2*$J$2^2))</f>
        <v>0.36587007507280811</v>
      </c>
      <c r="I17" s="70">
        <f>NORMDIST(T._25[[#This Row],[Za]],$I$2,$J$2,FALSE)</f>
        <v>0.36587007507280811</v>
      </c>
      <c r="J17" s="270">
        <f>IF($D$37&lt;1,2*NORMDIST(T._25[[#This Row],[Zc]],0,$M$3,FALSE),2*NORMDIST(T._25[[#This Row],[Zb]],0,$M$3,FALSE))</f>
        <v>0.78080802342795785</v>
      </c>
      <c r="K17" s="172">
        <f>NORMSDIST(T._25[[#This Row],[Za]])</f>
        <v>0.33869580096313867</v>
      </c>
      <c r="L17" s="172">
        <f>NORMSDIST(T._25[[#This Row],[Zb]])</f>
        <v>0.41760957489251449</v>
      </c>
      <c r="M17" s="226">
        <f>($B$2)+T._25[[#This Row],[Za]]*($C$2)</f>
        <v>10</v>
      </c>
      <c r="N17" s="274">
        <f>$F$37+($B$2)+T._25[[#This Row],[Zb]]*($C$2)</f>
        <v>11.5</v>
      </c>
      <c r="O17" s="274">
        <f>T._25[[#This Row],[Xb]]-T._25[[#This Row],[Xa]]</f>
        <v>1.5</v>
      </c>
      <c r="P17" s="267">
        <f>ABS(T._25[[#This Row],[DIF]])*1/T._25[[#This Row],[PB]]</f>
        <v>1.9210868164681445</v>
      </c>
      <c r="Q17" s="268">
        <f>IF($D$37&lt;&gt;1,T._25[[#This Row],[W]]/MAX(T._25[W])*0.94+0.01,1-T._25[[#This Row],[PB]])</f>
        <v>0.17987557942824073</v>
      </c>
      <c r="R17" s="160"/>
      <c r="S17" s="160"/>
      <c r="T17" s="160"/>
      <c r="U17" s="160"/>
      <c r="V17" s="160"/>
      <c r="X17" s="160"/>
      <c r="Y17" s="160"/>
      <c r="Z17" s="160"/>
      <c r="AB17" s="160"/>
      <c r="AD17" s="160"/>
      <c r="AE17" s="160"/>
      <c r="AF17" s="160"/>
    </row>
    <row r="18" spans="1:32" ht="12.75" x14ac:dyDescent="0.2">
      <c r="A18" s="161"/>
      <c r="B18" s="170">
        <f t="shared" si="0"/>
        <v>11</v>
      </c>
      <c r="C18" s="69">
        <f>(T._25[[#This Row],[data]]-AVERAGE(T._25[data]))/_xlfn.STDEV.P(T._25[data])</f>
        <v>-0.27735009811261457</v>
      </c>
      <c r="D18" s="69">
        <f>(T._25[[#This Row],[data]]-AVERAGE(T._25[data]))/(_xlfn.STDEV.P(T._25[data])*$D$37+$C$37)</f>
        <v>-0.13867504905630729</v>
      </c>
      <c r="E18" s="69">
        <f>IF($D$37&lt;1,(T._25[[#This Row],[data]]-AVERAGE(T._25[data]))/(_xlfn.STDEV.P(T._25[data])*(1/$D$37)+$C$37),T._25[[#This Row],[Zb]])</f>
        <v>-0.13867504905630729</v>
      </c>
      <c r="F18" s="70">
        <f>_xlfn.NORM.S.DIST(T._25[[#This Row],[Za]],IF($F$5=0,"TRUE","false"))</f>
        <v>0.39075564749935665</v>
      </c>
      <c r="G18" s="70">
        <f>_xlfn.NORM.S.DIST(T._25[[#This Row],[Zb]],IF($G$5=0,"TRUE","false"))</f>
        <v>0.4448534677665506</v>
      </c>
      <c r="H18" s="260">
        <f>1/SQRT(2*PI()*$J$2^2)*EXP(-((T._25[[#This Row],[Za]]-$I$2)^2)/(2*$J$2^2))</f>
        <v>0.38388967526703272</v>
      </c>
      <c r="I18" s="70">
        <f>NORMDIST(T._25[[#This Row],[Za]],$I$2,$J$2,FALSE)</f>
        <v>0.38388967526703272</v>
      </c>
      <c r="J18" s="270">
        <f>IF($D$37&lt;1,2*NORMDIST(T._25[[#This Row],[Zc]],0,$M$3,FALSE),2*NORMDIST(T._25[[#This Row],[Zb]],0,$M$3,FALSE))</f>
        <v>0.79024936039269078</v>
      </c>
      <c r="K18" s="172">
        <f>NORMSDIST(T._25[[#This Row],[Za]])</f>
        <v>0.39075564749935665</v>
      </c>
      <c r="L18" s="172">
        <f>NORMSDIST(T._25[[#This Row],[Zb]])</f>
        <v>0.4448534677665506</v>
      </c>
      <c r="M18" s="226">
        <f>($B$2)+T._25[[#This Row],[Za]]*($C$2)</f>
        <v>11</v>
      </c>
      <c r="N18" s="274">
        <f>$F$37+($B$2)+T._25[[#This Row],[Zb]]*($C$2)</f>
        <v>12</v>
      </c>
      <c r="O18" s="274">
        <f>T._25[[#This Row],[Xb]]-T._25[[#This Row],[Xa]]</f>
        <v>1</v>
      </c>
      <c r="P18" s="267">
        <f>ABS(T._25[[#This Row],[DIF]])*1/T._25[[#This Row],[PB]]</f>
        <v>1.2654233589041817</v>
      </c>
      <c r="Q18" s="268">
        <f>IF($D$37&lt;&gt;1,T._25[[#This Row],[W]]/MAX(T._25[W])*0.94+0.01,1-T._25[[#This Row],[PB]])</f>
        <v>0.12189735126655218</v>
      </c>
      <c r="R18" s="160"/>
      <c r="S18" s="160"/>
      <c r="T18" s="160"/>
      <c r="U18" s="160"/>
      <c r="V18" s="160"/>
      <c r="X18" s="160"/>
      <c r="Y18" s="160"/>
      <c r="Z18" s="160"/>
      <c r="AB18" s="160"/>
      <c r="AD18" s="160"/>
      <c r="AE18" s="160"/>
      <c r="AF18" s="160"/>
    </row>
    <row r="19" spans="1:32" ht="12.75" x14ac:dyDescent="0.2">
      <c r="A19" s="161"/>
      <c r="B19" s="170">
        <f t="shared" si="0"/>
        <v>12</v>
      </c>
      <c r="C19" s="69">
        <f>(T._25[[#This Row],[data]]-AVERAGE(T._25[data]))/_xlfn.STDEV.P(T._25[data])</f>
        <v>-0.13867504905630729</v>
      </c>
      <c r="D19" s="69">
        <f>(T._25[[#This Row],[data]]-AVERAGE(T._25[data]))/(_xlfn.STDEV.P(T._25[data])*$D$37+$C$37)</f>
        <v>-6.9337524528153643E-2</v>
      </c>
      <c r="E19" s="69">
        <f>IF($D$37&lt;1,(T._25[[#This Row],[data]]-AVERAGE(T._25[data]))/(_xlfn.STDEV.P(T._25[data])*(1/$D$37)+$C$37),T._25[[#This Row],[Zb]])</f>
        <v>-6.9337524528153643E-2</v>
      </c>
      <c r="F19" s="70">
        <f>_xlfn.NORM.S.DIST(T._25[[#This Row],[Za]],IF($F$5=0,"TRUE","false"))</f>
        <v>0.4448534677665506</v>
      </c>
      <c r="G19" s="70">
        <f>_xlfn.NORM.S.DIST(T._25[[#This Row],[Zb]],IF($G$5=0,"TRUE","false"))</f>
        <v>0.47236047867206349</v>
      </c>
      <c r="H19" s="260">
        <f>1/SQRT(2*PI()*$J$2^2)*EXP(-((T._25[[#This Row],[Za]]-$I$2)^2)/(2*$J$2^2))</f>
        <v>0.39512468019634539</v>
      </c>
      <c r="I19" s="70">
        <f>NORMDIST(T._25[[#This Row],[Za]],$I$2,$J$2,FALSE)</f>
        <v>0.39512468019634539</v>
      </c>
      <c r="J19" s="270">
        <f>IF($D$37&lt;1,2*NORMDIST(T._25[[#This Row],[Zc]],0,$M$3,FALSE),2*NORMDIST(T._25[[#This Row],[Zb]],0,$M$3,FALSE))</f>
        <v>0.79596887250262238</v>
      </c>
      <c r="K19" s="172">
        <f>NORMSDIST(T._25[[#This Row],[Za]])</f>
        <v>0.4448534677665506</v>
      </c>
      <c r="L19" s="172">
        <f>NORMSDIST(T._25[[#This Row],[Zb]])</f>
        <v>0.47236047867206349</v>
      </c>
      <c r="M19" s="226">
        <f>($B$2)+T._25[[#This Row],[Za]]*($C$2)</f>
        <v>12</v>
      </c>
      <c r="N19" s="274">
        <f>$F$37+($B$2)+T._25[[#This Row],[Zb]]*($C$2)</f>
        <v>12.5</v>
      </c>
      <c r="O19" s="274">
        <f>T._25[[#This Row],[Xb]]-T._25[[#This Row],[Xa]]</f>
        <v>0.5</v>
      </c>
      <c r="P19" s="267">
        <f>ABS(T._25[[#This Row],[DIF]])*1/T._25[[#This Row],[PB]]</f>
        <v>0.62816526785518578</v>
      </c>
      <c r="Q19" s="268">
        <f>IF($D$37&lt;&gt;1,T._25[[#This Row],[W]]/MAX(T._25[W])*0.94+0.01,1-T._25[[#This Row],[PB]])</f>
        <v>6.5546650957596209E-2</v>
      </c>
      <c r="R19" s="160"/>
      <c r="S19" s="160"/>
      <c r="T19" s="160"/>
      <c r="U19" s="160"/>
      <c r="V19" s="160"/>
      <c r="X19" s="160"/>
      <c r="Y19" s="160"/>
      <c r="Z19" s="160"/>
      <c r="AB19" s="160"/>
      <c r="AD19" s="160"/>
      <c r="AE19" s="160"/>
      <c r="AF19" s="160"/>
    </row>
    <row r="20" spans="1:32" ht="12.75" x14ac:dyDescent="0.2">
      <c r="A20" s="161"/>
      <c r="B20" s="170">
        <f t="shared" si="0"/>
        <v>13</v>
      </c>
      <c r="C20" s="69">
        <f>(T._25[[#This Row],[data]]-AVERAGE(T._25[data]))/_xlfn.STDEV.P(T._25[data])</f>
        <v>0</v>
      </c>
      <c r="D20" s="69">
        <f>(T._25[[#This Row],[data]]-AVERAGE(T._25[data]))/(_xlfn.STDEV.P(T._25[data])*$D$37+$C$37)</f>
        <v>0</v>
      </c>
      <c r="E20" s="69">
        <f>IF($D$37&lt;1,(T._25[[#This Row],[data]]-AVERAGE(T._25[data]))/(_xlfn.STDEV.P(T._25[data])*(1/$D$37)+$C$37),T._25[[#This Row],[Zb]])</f>
        <v>0</v>
      </c>
      <c r="F20" s="70">
        <f>_xlfn.NORM.S.DIST(T._25[[#This Row],[Za]],IF($F$5=0,"TRUE","false"))</f>
        <v>0.5</v>
      </c>
      <c r="G20" s="70">
        <f>_xlfn.NORM.S.DIST(T._25[[#This Row],[Zb]],IF($G$5=0,"TRUE","false"))</f>
        <v>0.5</v>
      </c>
      <c r="H20" s="260">
        <f>1/SQRT(2*PI()*$J$2^2)*EXP(-((T._25[[#This Row],[Za]]-$I$2)^2)/(2*$J$2^2))</f>
        <v>0.3989422804014327</v>
      </c>
      <c r="I20" s="70">
        <f>NORMDIST(T._25[[#This Row],[Za]],$I$2,$J$2,FALSE)</f>
        <v>0.3989422804014327</v>
      </c>
      <c r="J20" s="270">
        <f>IF($D$37&lt;1,2*NORMDIST(T._25[[#This Row],[Zc]],0,$M$3,FALSE),2*NORMDIST(T._25[[#This Row],[Zb]],0,$M$3,FALSE))</f>
        <v>0.79788456080286541</v>
      </c>
      <c r="K20" s="172">
        <f>NORMSDIST(T._25[[#This Row],[Za]])</f>
        <v>0.5</v>
      </c>
      <c r="L20" s="172">
        <f>NORMSDIST(T._25[[#This Row],[Zb]])</f>
        <v>0.5</v>
      </c>
      <c r="M20" s="226">
        <f>($B$2)+T._25[[#This Row],[Za]]*($C$2)</f>
        <v>13</v>
      </c>
      <c r="N20" s="274">
        <f>$F$37+($B$2)+T._25[[#This Row],[Zb]]*($C$2)</f>
        <v>13</v>
      </c>
      <c r="O20" s="274">
        <f>T._25[[#This Row],[Xb]]-T._25[[#This Row],[Xa]]</f>
        <v>0</v>
      </c>
      <c r="P20" s="267">
        <f>ABS(T._25[[#This Row],[DIF]])*1/T._25[[#This Row],[PB]]</f>
        <v>0</v>
      </c>
      <c r="Q20" s="268">
        <f>IF($D$37&lt;&gt;1,T._25[[#This Row],[W]]/MAX(T._25[W])*0.94+0.01,1-T._25[[#This Row],[PB]])</f>
        <v>0.01</v>
      </c>
      <c r="R20" s="160"/>
      <c r="S20" s="160"/>
      <c r="T20" s="160"/>
      <c r="U20" s="160"/>
      <c r="V20" s="160"/>
      <c r="X20" s="160"/>
      <c r="Y20" s="160"/>
      <c r="Z20" s="160"/>
      <c r="AB20" s="160"/>
      <c r="AD20" s="160"/>
      <c r="AE20" s="160"/>
      <c r="AF20" s="160"/>
    </row>
    <row r="21" spans="1:32" ht="12.75" x14ac:dyDescent="0.2">
      <c r="A21" s="161"/>
      <c r="B21" s="170">
        <f t="shared" si="0"/>
        <v>14</v>
      </c>
      <c r="C21" s="69">
        <f>(T._25[[#This Row],[data]]-AVERAGE(T._25[data]))/_xlfn.STDEV.P(T._25[data])</f>
        <v>0.13867504905630729</v>
      </c>
      <c r="D21" s="69">
        <f>(T._25[[#This Row],[data]]-AVERAGE(T._25[data]))/(_xlfn.STDEV.P(T._25[data])*$D$37+$C$37)</f>
        <v>6.9337524528153643E-2</v>
      </c>
      <c r="E21" s="69">
        <f>IF($D$37&lt;1,(T._25[[#This Row],[data]]-AVERAGE(T._25[data]))/(_xlfn.STDEV.P(T._25[data])*(1/$D$37)+$C$37),T._25[[#This Row],[Zb]])</f>
        <v>6.9337524528153643E-2</v>
      </c>
      <c r="F21" s="70">
        <f>_xlfn.NORM.S.DIST(T._25[[#This Row],[Za]],IF($F$5=0,"TRUE","false"))</f>
        <v>0.55514653223344945</v>
      </c>
      <c r="G21" s="70">
        <f>_xlfn.NORM.S.DIST(T._25[[#This Row],[Zb]],IF($G$5=0,"TRUE","false"))</f>
        <v>0.52763952132793657</v>
      </c>
      <c r="H21" s="260">
        <f>1/SQRT(2*PI()*$J$2^2)*EXP(-((T._25[[#This Row],[Za]]-$I$2)^2)/(2*$J$2^2))</f>
        <v>0.39512468019634539</v>
      </c>
      <c r="I21" s="70">
        <f>NORMDIST(T._25[[#This Row],[Za]],$I$2,$J$2,FALSE)</f>
        <v>0.39512468019634539</v>
      </c>
      <c r="J21" s="270">
        <f>IF($D$37&lt;1,2*NORMDIST(T._25[[#This Row],[Zc]],0,$M$3,FALSE),2*NORMDIST(T._25[[#This Row],[Zb]],0,$M$3,FALSE))</f>
        <v>0.79596887250262238</v>
      </c>
      <c r="K21" s="172">
        <f>NORMSDIST(T._25[[#This Row],[Za]])</f>
        <v>0.55514653223344945</v>
      </c>
      <c r="L21" s="172">
        <f>NORMSDIST(T._25[[#This Row],[Zb]])</f>
        <v>0.52763952132793657</v>
      </c>
      <c r="M21" s="226">
        <f>($B$2)+T._25[[#This Row],[Za]]*($C$2)</f>
        <v>14</v>
      </c>
      <c r="N21" s="274">
        <f>$F$37+($B$2)+T._25[[#This Row],[Zb]]*($C$2)</f>
        <v>13.5</v>
      </c>
      <c r="O21" s="274">
        <f>T._25[[#This Row],[Xb]]-T._25[[#This Row],[Xa]]</f>
        <v>-0.5</v>
      </c>
      <c r="P21" s="267">
        <f>ABS(T._25[[#This Row],[DIF]])*1/T._25[[#This Row],[PB]]</f>
        <v>0.62816526785518578</v>
      </c>
      <c r="Q21" s="268">
        <f>IF($D$37&lt;&gt;1,T._25[[#This Row],[W]]/MAX(T._25[W])*0.94+0.01,1-T._25[[#This Row],[PB]])</f>
        <v>6.5546650957596209E-2</v>
      </c>
      <c r="R21" s="160"/>
      <c r="S21" s="160"/>
      <c r="T21" s="160"/>
      <c r="U21" s="160"/>
      <c r="V21" s="160"/>
      <c r="X21" s="160"/>
      <c r="Y21" s="160"/>
      <c r="Z21" s="160"/>
      <c r="AB21" s="160"/>
      <c r="AD21" s="160"/>
      <c r="AE21" s="160"/>
      <c r="AF21" s="160"/>
    </row>
    <row r="22" spans="1:32" ht="12.75" x14ac:dyDescent="0.2">
      <c r="A22" s="161"/>
      <c r="B22" s="170">
        <f t="shared" si="0"/>
        <v>15</v>
      </c>
      <c r="C22" s="69">
        <f>(T._25[[#This Row],[data]]-AVERAGE(T._25[data]))/_xlfn.STDEV.P(T._25[data])</f>
        <v>0.27735009811261457</v>
      </c>
      <c r="D22" s="69">
        <f>(T._25[[#This Row],[data]]-AVERAGE(T._25[data]))/(_xlfn.STDEV.P(T._25[data])*$D$37+$C$37)</f>
        <v>0.13867504905630729</v>
      </c>
      <c r="E22" s="69">
        <f>IF($D$37&lt;1,(T._25[[#This Row],[data]]-AVERAGE(T._25[data]))/(_xlfn.STDEV.P(T._25[data])*(1/$D$37)+$C$37),T._25[[#This Row],[Zb]])</f>
        <v>0.13867504905630729</v>
      </c>
      <c r="F22" s="70">
        <f>_xlfn.NORM.S.DIST(T._25[[#This Row],[Za]],IF($F$5=0,"TRUE","false"))</f>
        <v>0.60924435250064335</v>
      </c>
      <c r="G22" s="70">
        <f>_xlfn.NORM.S.DIST(T._25[[#This Row],[Zb]],IF($G$5=0,"TRUE","false"))</f>
        <v>0.55514653223344945</v>
      </c>
      <c r="H22" s="260">
        <f>1/SQRT(2*PI()*$J$2^2)*EXP(-((T._25[[#This Row],[Za]]-$I$2)^2)/(2*$J$2^2))</f>
        <v>0.38388967526703272</v>
      </c>
      <c r="I22" s="70">
        <f>NORMDIST(T._25[[#This Row],[Za]],$I$2,$J$2,FALSE)</f>
        <v>0.38388967526703272</v>
      </c>
      <c r="J22" s="270">
        <f>IF($D$37&lt;1,2*NORMDIST(T._25[[#This Row],[Zc]],0,$M$3,FALSE),2*NORMDIST(T._25[[#This Row],[Zb]],0,$M$3,FALSE))</f>
        <v>0.79024936039269078</v>
      </c>
      <c r="K22" s="172">
        <f>NORMSDIST(T._25[[#This Row],[Za]])</f>
        <v>0.60924435250064335</v>
      </c>
      <c r="L22" s="172">
        <f>NORMSDIST(T._25[[#This Row],[Zb]])</f>
        <v>0.55514653223344945</v>
      </c>
      <c r="M22" s="226">
        <f>($B$2)+T._25[[#This Row],[Za]]*($C$2)</f>
        <v>15</v>
      </c>
      <c r="N22" s="274">
        <f>$F$37+($B$2)+T._25[[#This Row],[Zb]]*($C$2)</f>
        <v>14</v>
      </c>
      <c r="O22" s="274">
        <f>T._25[[#This Row],[Xb]]-T._25[[#This Row],[Xa]]</f>
        <v>-1</v>
      </c>
      <c r="P22" s="267">
        <f>ABS(T._25[[#This Row],[DIF]])*1/T._25[[#This Row],[PB]]</f>
        <v>1.2654233589041817</v>
      </c>
      <c r="Q22" s="268">
        <f>IF($D$37&lt;&gt;1,T._25[[#This Row],[W]]/MAX(T._25[W])*0.94+0.01,1-T._25[[#This Row],[PB]])</f>
        <v>0.12189735126655218</v>
      </c>
      <c r="R22" s="160"/>
      <c r="S22" s="160"/>
      <c r="T22" s="160"/>
      <c r="U22" s="160"/>
      <c r="V22" s="160"/>
      <c r="X22" s="160"/>
      <c r="Y22" s="160"/>
      <c r="Z22" s="160"/>
      <c r="AB22" s="160"/>
      <c r="AD22" s="160"/>
      <c r="AE22" s="160"/>
      <c r="AF22" s="160"/>
    </row>
    <row r="23" spans="1:32" ht="12.75" x14ac:dyDescent="0.2">
      <c r="A23" s="161"/>
      <c r="B23" s="170">
        <f t="shared" si="0"/>
        <v>16</v>
      </c>
      <c r="C23" s="135">
        <f>(T._25[[#This Row],[data]]-AVERAGE(T._25[data]))/_xlfn.STDEV.P(T._25[data])</f>
        <v>0.41602514716892186</v>
      </c>
      <c r="D23" s="69">
        <f>(T._25[[#This Row],[data]]-AVERAGE(T._25[data]))/(_xlfn.STDEV.P(T._25[data])*$D$37+$C$37)</f>
        <v>0.20801257358446093</v>
      </c>
      <c r="E23" s="69">
        <f>IF($D$37&lt;1,(T._25[[#This Row],[data]]-AVERAGE(T._25[data]))/(_xlfn.STDEV.P(T._25[data])*(1/$D$37)+$C$37),T._25[[#This Row],[Zb]])</f>
        <v>0.20801257358446093</v>
      </c>
      <c r="F23" s="70">
        <f>_xlfn.NORM.S.DIST(T._25[[#This Row],[Za]],IF($F$5=0,"TRUE","false"))</f>
        <v>0.66130419903686133</v>
      </c>
      <c r="G23" s="70">
        <f>_xlfn.NORM.S.DIST(T._25[[#This Row],[Zb]],IF($G$5=0,"TRUE","false"))</f>
        <v>0.58239042510748551</v>
      </c>
      <c r="H23" s="260">
        <f>1/SQRT(2*PI()*$J$2^2)*EXP(-((T._25[[#This Row],[Za]]-$I$2)^2)/(2*$J$2^2))</f>
        <v>0.36587007507280811</v>
      </c>
      <c r="I23" s="70">
        <f>NORMDIST(T._25[[#This Row],[Za]],$I$2,$J$2,FALSE)</f>
        <v>0.36587007507280811</v>
      </c>
      <c r="J23" s="270">
        <f>IF($D$37&lt;1,2*NORMDIST(T._25[[#This Row],[Zc]],0,$M$3,FALSE),2*NORMDIST(T._25[[#This Row],[Zb]],0,$M$3,FALSE))</f>
        <v>0.78080802342795785</v>
      </c>
      <c r="K23" s="172">
        <f>NORMSDIST(T._25[[#This Row],[Za]])</f>
        <v>0.66130419903686133</v>
      </c>
      <c r="L23" s="172">
        <f>NORMSDIST(T._25[[#This Row],[Zb]])</f>
        <v>0.58239042510748551</v>
      </c>
      <c r="M23" s="226">
        <f>($B$2)+T._25[[#This Row],[Za]]*($C$2)</f>
        <v>16</v>
      </c>
      <c r="N23" s="274">
        <f>$F$37+($B$2)+T._25[[#This Row],[Zb]]*($C$2)</f>
        <v>14.5</v>
      </c>
      <c r="O23" s="274">
        <f>T._25[[#This Row],[Xb]]-T._25[[#This Row],[Xa]]</f>
        <v>-1.5</v>
      </c>
      <c r="P23" s="267">
        <f>ABS(T._25[[#This Row],[DIF]])*1/T._25[[#This Row],[PB]]</f>
        <v>1.9210868164681445</v>
      </c>
      <c r="Q23" s="268">
        <f>IF($D$37&lt;&gt;1,T._25[[#This Row],[W]]/MAX(T._25[W])*0.94+0.01,1-T._25[[#This Row],[PB]])</f>
        <v>0.17987557942824073</v>
      </c>
      <c r="R23" s="160"/>
      <c r="S23" s="160"/>
      <c r="T23" s="160"/>
      <c r="U23" s="160"/>
      <c r="V23" s="160"/>
      <c r="X23" s="160"/>
      <c r="Y23" s="160"/>
      <c r="Z23" s="160"/>
      <c r="AB23" s="160"/>
      <c r="AD23" s="160"/>
      <c r="AE23" s="160"/>
      <c r="AF23" s="160"/>
    </row>
    <row r="24" spans="1:32" ht="12.75" x14ac:dyDescent="0.2">
      <c r="A24" s="161"/>
      <c r="B24" s="170">
        <f t="shared" si="0"/>
        <v>17</v>
      </c>
      <c r="C24" s="135">
        <f>(T._25[[#This Row],[data]]-AVERAGE(T._25[data]))/_xlfn.STDEV.P(T._25[data])</f>
        <v>0.55470019622522915</v>
      </c>
      <c r="D24" s="69">
        <f>(T._25[[#This Row],[data]]-AVERAGE(T._25[data]))/(_xlfn.STDEV.P(T._25[data])*$D$37+$C$37)</f>
        <v>0.27735009811261457</v>
      </c>
      <c r="E24" s="69">
        <f>IF($D$37&lt;1,(T._25[[#This Row],[data]]-AVERAGE(T._25[data]))/(_xlfn.STDEV.P(T._25[data])*(1/$D$37)+$C$37),T._25[[#This Row],[Zb]])</f>
        <v>0.27735009811261457</v>
      </c>
      <c r="F24" s="70">
        <f>_xlfn.NORM.S.DIST(T._25[[#This Row],[Za]],IF($F$5=0,"TRUE","false"))</f>
        <v>0.71045012902304061</v>
      </c>
      <c r="G24" s="70">
        <f>_xlfn.NORM.S.DIST(T._25[[#This Row],[Zb]],IF($G$5=0,"TRUE","false"))</f>
        <v>0.60924435250064335</v>
      </c>
      <c r="H24" s="260">
        <f>1/SQRT(2*PI()*$J$2^2)*EXP(-((T._25[[#This Row],[Za]]-$I$2)^2)/(2*$J$2^2))</f>
        <v>0.34205467473499207</v>
      </c>
      <c r="I24" s="70">
        <f>NORMDIST(T._25[[#This Row],[Za]],$I$2,$J$2,FALSE)</f>
        <v>0.34205467473499207</v>
      </c>
      <c r="J24" s="270">
        <f>IF($D$37&lt;1,2*NORMDIST(T._25[[#This Row],[Zc]],0,$M$3,FALSE),2*NORMDIST(T._25[[#This Row],[Zb]],0,$M$3,FALSE))</f>
        <v>0.76777935053406543</v>
      </c>
      <c r="K24" s="172">
        <f>NORMSDIST(T._25[[#This Row],[Za]])</f>
        <v>0.71045012902304061</v>
      </c>
      <c r="L24" s="172">
        <f>NORMSDIST(T._25[[#This Row],[Zb]])</f>
        <v>0.60924435250064335</v>
      </c>
      <c r="M24" s="226">
        <f>($B$2)+T._25[[#This Row],[Za]]*($C$2)</f>
        <v>17</v>
      </c>
      <c r="N24" s="274">
        <f>$F$37+($B$2)+T._25[[#This Row],[Zb]]*($C$2)</f>
        <v>15</v>
      </c>
      <c r="O24" s="274">
        <f>T._25[[#This Row],[Xb]]-T._25[[#This Row],[Xa]]</f>
        <v>-2</v>
      </c>
      <c r="P24" s="267">
        <f>ABS(T._25[[#This Row],[DIF]])*1/T._25[[#This Row],[PB]]</f>
        <v>2.6049150691651253</v>
      </c>
      <c r="Q24" s="268">
        <f>IF($D$37&lt;&gt;1,T._25[[#This Row],[W]]/MAX(T._25[W])*0.94+0.01,1-T._25[[#This Row],[PB]])</f>
        <v>0.24034433058539453</v>
      </c>
      <c r="R24" s="160"/>
      <c r="S24" s="160"/>
      <c r="T24" s="160"/>
      <c r="U24" s="160"/>
      <c r="V24" s="160"/>
      <c r="X24" s="160"/>
      <c r="Y24" s="160"/>
      <c r="Z24" s="160"/>
      <c r="AB24" s="160"/>
      <c r="AD24" s="160"/>
      <c r="AE24" s="160"/>
      <c r="AF24" s="160"/>
    </row>
    <row r="25" spans="1:32" ht="12.75" x14ac:dyDescent="0.2">
      <c r="A25" s="161"/>
      <c r="B25" s="170">
        <f t="shared" si="0"/>
        <v>18</v>
      </c>
      <c r="C25" s="135">
        <f>(T._25[[#This Row],[data]]-AVERAGE(T._25[data]))/_xlfn.STDEV.P(T._25[data])</f>
        <v>0.69337524528153649</v>
      </c>
      <c r="D25" s="69">
        <f>(T._25[[#This Row],[data]]-AVERAGE(T._25[data]))/(_xlfn.STDEV.P(T._25[data])*$D$37+$C$37)</f>
        <v>0.34668762264076824</v>
      </c>
      <c r="E25" s="69">
        <f>IF($D$37&lt;1,(T._25[[#This Row],[data]]-AVERAGE(T._25[data]))/(_xlfn.STDEV.P(T._25[data])*(1/$D$37)+$C$37),T._25[[#This Row],[Zb]])</f>
        <v>0.34668762264076824</v>
      </c>
      <c r="F25" s="70">
        <f>_xlfn.NORM.S.DIST(T._25[[#This Row],[Za]],IF($F$5=0,"TRUE","false"))</f>
        <v>0.75596295341737596</v>
      </c>
      <c r="G25" s="70">
        <f>_xlfn.NORM.S.DIST(T._25[[#This Row],[Zb]],IF($G$5=0,"TRUE","false"))</f>
        <v>0.63558699505384064</v>
      </c>
      <c r="H25" s="260">
        <f>1/SQRT(2*PI()*$J$2^2)*EXP(-((T._25[[#This Row],[Za]]-$I$2)^2)/(2*$J$2^2))</f>
        <v>0.31369843627095056</v>
      </c>
      <c r="I25" s="70">
        <f>NORMDIST(T._25[[#This Row],[Za]],$I$2,$J$2,FALSE)</f>
        <v>0.31369843627095056</v>
      </c>
      <c r="J25" s="270">
        <f>IF($D$37&lt;1,2*NORMDIST(T._25[[#This Row],[Zc]],0,$M$3,FALSE),2*NORMDIST(T._25[[#This Row],[Zb]],0,$M$3,FALSE))</f>
        <v>0.75134713286853705</v>
      </c>
      <c r="K25" s="172">
        <f>NORMSDIST(T._25[[#This Row],[Za]])</f>
        <v>0.75596295341737596</v>
      </c>
      <c r="L25" s="172">
        <f>NORMSDIST(T._25[[#This Row],[Zb]])</f>
        <v>0.63558699505384064</v>
      </c>
      <c r="M25" s="226">
        <f>($B$2)+T._25[[#This Row],[Za]]*($C$2)</f>
        <v>18</v>
      </c>
      <c r="N25" s="274">
        <f>$F$37+($B$2)+T._25[[#This Row],[Zb]]*($C$2)</f>
        <v>15.5</v>
      </c>
      <c r="O25" s="274">
        <f>T._25[[#This Row],[Xb]]-T._25[[#This Row],[Xa]]</f>
        <v>-2.5</v>
      </c>
      <c r="P25" s="267">
        <f>ABS(T._25[[#This Row],[DIF]])*1/T._25[[#This Row],[PB]]</f>
        <v>3.3273568110326766</v>
      </c>
      <c r="Q25" s="268">
        <f>IF($D$37&lt;&gt;1,T._25[[#This Row],[W]]/MAX(T._25[W])*0.94+0.01,1-T._25[[#This Row],[PB]])</f>
        <v>0.30422754942322094</v>
      </c>
      <c r="R25" s="160"/>
      <c r="S25" s="160"/>
      <c r="T25" s="160"/>
      <c r="U25" s="160"/>
      <c r="V25" s="160"/>
      <c r="X25" s="160"/>
      <c r="Y25" s="160"/>
      <c r="Z25" s="160"/>
      <c r="AB25" s="160"/>
      <c r="AD25" s="160"/>
      <c r="AE25" s="160"/>
      <c r="AF25" s="160"/>
    </row>
    <row r="26" spans="1:32" x14ac:dyDescent="0.25">
      <c r="A26" s="161"/>
      <c r="B26" s="170">
        <f t="shared" si="0"/>
        <v>19</v>
      </c>
      <c r="C26" s="135">
        <f>(T._25[[#This Row],[data]]-AVERAGE(T._25[data]))/_xlfn.STDEV.P(T._25[data])</f>
        <v>0.83205029433784372</v>
      </c>
      <c r="D26" s="69">
        <f>(T._25[[#This Row],[data]]-AVERAGE(T._25[data]))/(_xlfn.STDEV.P(T._25[data])*$D$37+$C$37)</f>
        <v>0.41602514716892186</v>
      </c>
      <c r="E26" s="69">
        <f>IF($D$37&lt;1,(T._25[[#This Row],[data]]-AVERAGE(T._25[data]))/(_xlfn.STDEV.P(T._25[data])*(1/$D$37)+$C$37),T._25[[#This Row],[Zb]])</f>
        <v>0.41602514716892186</v>
      </c>
      <c r="F26" s="70">
        <f>_xlfn.NORM.S.DIST(T._25[[#This Row],[Za]],IF($F$5=0,"TRUE","false"))</f>
        <v>0.79730972177052883</v>
      </c>
      <c r="G26" s="70">
        <f>_xlfn.NORM.S.DIST(T._25[[#This Row],[Zb]],IF($G$5=0,"TRUE","false"))</f>
        <v>0.66130419903686133</v>
      </c>
      <c r="H26" s="260">
        <f>1/SQRT(2*PI()*$J$2^2)*EXP(-((T._25[[#This Row],[Za]]-$I$2)^2)/(2*$J$2^2))</f>
        <v>0.28221322425966744</v>
      </c>
      <c r="I26" s="70">
        <f>NORMDIST(T._25[[#This Row],[Za]],$I$2,$J$2,FALSE)</f>
        <v>0.28221322425966744</v>
      </c>
      <c r="J26" s="270">
        <f>IF($D$37&lt;1,2*NORMDIST(T._25[[#This Row],[Zc]],0,$M$3,FALSE),2*NORMDIST(T._25[[#This Row],[Zb]],0,$M$3,FALSE))</f>
        <v>0.73174015014561622</v>
      </c>
      <c r="K26" s="172">
        <f>NORMSDIST(T._25[[#This Row],[Za]])</f>
        <v>0.79730972177052883</v>
      </c>
      <c r="L26" s="172">
        <f>NORMSDIST(T._25[[#This Row],[Zb]])</f>
        <v>0.66130419903686133</v>
      </c>
      <c r="M26" s="226">
        <f>($B$2)+T._25[[#This Row],[Za]]*($C$2)</f>
        <v>19</v>
      </c>
      <c r="N26" s="274">
        <f>$F$37+($B$2)+T._25[[#This Row],[Zb]]*($C$2)</f>
        <v>16</v>
      </c>
      <c r="O26" s="274">
        <f>T._25[[#This Row],[Xb]]-T._25[[#This Row],[Xa]]</f>
        <v>-3</v>
      </c>
      <c r="P26" s="267">
        <f>ABS(T._25[[#This Row],[DIF]])*1/T._25[[#This Row],[PB]]</f>
        <v>4.0998160336056459</v>
      </c>
      <c r="Q26" s="268">
        <f>IF($D$37&lt;&gt;1,T._25[[#This Row],[W]]/MAX(T._25[W])*0.94+0.01,1-T._25[[#This Row],[PB]])</f>
        <v>0.37253365453747017</v>
      </c>
      <c r="S26" s="160"/>
      <c r="T26" s="160"/>
      <c r="U26" s="160"/>
      <c r="V26" s="160"/>
      <c r="X26" s="160"/>
      <c r="Y26" s="160"/>
      <c r="Z26" s="160"/>
      <c r="AB26" s="160"/>
      <c r="AD26" s="160"/>
      <c r="AE26" s="160"/>
      <c r="AF26" s="160"/>
    </row>
    <row r="27" spans="1:32" ht="12.75" x14ac:dyDescent="0.2">
      <c r="A27" s="161"/>
      <c r="B27" s="170">
        <f t="shared" si="0"/>
        <v>20</v>
      </c>
      <c r="C27" s="135">
        <f>(T._25[[#This Row],[data]]-AVERAGE(T._25[data]))/_xlfn.STDEV.P(T._25[data])</f>
        <v>0.97072534339415106</v>
      </c>
      <c r="D27" s="69">
        <f>(T._25[[#This Row],[data]]-AVERAGE(T._25[data]))/(_xlfn.STDEV.P(T._25[data])*$D$37+$C$37)</f>
        <v>0.48536267169707553</v>
      </c>
      <c r="E27" s="69">
        <f>IF($D$37&lt;1,(T._25[[#This Row],[data]]-AVERAGE(T._25[data]))/(_xlfn.STDEV.P(T._25[data])*(1/$D$37)+$C$37),T._25[[#This Row],[Zb]])</f>
        <v>0.48536267169707553</v>
      </c>
      <c r="F27" s="70">
        <f>_xlfn.NORM.S.DIST(T._25[[#This Row],[Za]],IF($F$5=0,"TRUE","false"))</f>
        <v>0.83415746597156881</v>
      </c>
      <c r="G27" s="70">
        <f>_xlfn.NORM.S.DIST(T._25[[#This Row],[Zb]],IF($G$5=0,"TRUE","false"))</f>
        <v>0.68629044681695017</v>
      </c>
      <c r="H27" s="260">
        <f>1/SQRT(2*PI()*$J$2^2)*EXP(-((T._25[[#This Row],[Za]]-$I$2)^2)/(2*$J$2^2))</f>
        <v>0.24905229627756828</v>
      </c>
      <c r="I27" s="70">
        <f>NORMDIST(T._25[[#This Row],[Za]],$I$2,$J$2,FALSE)</f>
        <v>0.24905229627756828</v>
      </c>
      <c r="J27" s="270">
        <f>IF($D$37&lt;1,2*NORMDIST(T._25[[#This Row],[Zc]],0,$M$3,FALSE),2*NORMDIST(T._25[[#This Row],[Zb]],0,$M$3,FALSE))</f>
        <v>0.70922687252184125</v>
      </c>
      <c r="K27" s="172">
        <f>NORMSDIST(T._25[[#This Row],[Za]])</f>
        <v>0.83415746597156881</v>
      </c>
      <c r="L27" s="172">
        <f>NORMSDIST(T._25[[#This Row],[Zb]])</f>
        <v>0.68629044681695017</v>
      </c>
      <c r="M27" s="226">
        <f>($B$2)+T._25[[#This Row],[Za]]*($C$2)</f>
        <v>20</v>
      </c>
      <c r="N27" s="274">
        <f>$F$37+($B$2)+T._25[[#This Row],[Zb]]*($C$2)</f>
        <v>16.5</v>
      </c>
      <c r="O27" s="274">
        <f>T._25[[#This Row],[Xb]]-T._25[[#This Row],[Xa]]</f>
        <v>-3.5</v>
      </c>
      <c r="P27" s="267">
        <f>ABS(T._25[[#This Row],[DIF]])*1/T._25[[#This Row],[PB]]</f>
        <v>4.9349511920703693</v>
      </c>
      <c r="Q27" s="268">
        <f>IF($D$37&lt;&gt;1,T._25[[#This Row],[W]]/MAX(T._25[W])*0.94+0.01,1-T._25[[#This Row],[PB]])</f>
        <v>0.44638199274319074</v>
      </c>
      <c r="R27" s="160"/>
      <c r="S27" s="160"/>
      <c r="T27" s="160"/>
      <c r="U27" s="160"/>
      <c r="V27" s="160"/>
      <c r="X27" s="160"/>
      <c r="Y27" s="160"/>
      <c r="Z27" s="160"/>
      <c r="AB27" s="160"/>
      <c r="AD27" s="160"/>
      <c r="AE27" s="160"/>
      <c r="AF27" s="160"/>
    </row>
    <row r="28" spans="1:32" ht="12" customHeight="1" x14ac:dyDescent="0.2">
      <c r="A28" s="161"/>
      <c r="B28" s="170">
        <f t="shared" si="0"/>
        <v>21</v>
      </c>
      <c r="C28" s="135">
        <f>(T._25[[#This Row],[data]]-AVERAGE(T._25[data]))/_xlfn.STDEV.P(T._25[data])</f>
        <v>1.1094003924504583</v>
      </c>
      <c r="D28" s="69">
        <f>(T._25[[#This Row],[data]]-AVERAGE(T._25[data]))/(_xlfn.STDEV.P(T._25[data])*$D$37+$C$37)</f>
        <v>0.55470019622522915</v>
      </c>
      <c r="E28" s="69">
        <f>IF($D$37&lt;1,(T._25[[#This Row],[data]]-AVERAGE(T._25[data]))/(_xlfn.STDEV.P(T._25[data])*(1/$D$37)+$C$37),T._25[[#This Row],[Zb]])</f>
        <v>0.55470019622522915</v>
      </c>
      <c r="F28" s="70">
        <f>_xlfn.NORM.S.DIST(T._25[[#This Row],[Za]],IF($F$5=0,"TRUE","false"))</f>
        <v>0.86637125342280608</v>
      </c>
      <c r="G28" s="70">
        <f>_xlfn.NORM.S.DIST(T._25[[#This Row],[Zb]],IF($G$5=0,"TRUE","false"))</f>
        <v>0.71045012902304061</v>
      </c>
      <c r="H28" s="260">
        <f>1/SQRT(2*PI()*$J$2^2)*EXP(-((T._25[[#This Row],[Za]]-$I$2)^2)/(2*$J$2^2))</f>
        <v>0.21560157202251737</v>
      </c>
      <c r="I28" s="70">
        <f>NORMDIST(T._25[[#This Row],[Za]],$I$2,$J$2,FALSE)</f>
        <v>0.21560157202251737</v>
      </c>
      <c r="J28" s="270">
        <f>IF($D$37&lt;1,2*NORMDIST(T._25[[#This Row],[Zc]],0,$M$3,FALSE),2*NORMDIST(T._25[[#This Row],[Zb]],0,$M$3,FALSE))</f>
        <v>0.68410934946998414</v>
      </c>
      <c r="K28" s="172">
        <f>NORMSDIST(T._25[[#This Row],[Za]])</f>
        <v>0.86637125342280608</v>
      </c>
      <c r="L28" s="172">
        <f>NORMSDIST(T._25[[#This Row],[Zb]])</f>
        <v>0.71045012902304061</v>
      </c>
      <c r="M28" s="226">
        <f>($B$2)+T._25[[#This Row],[Za]]*($C$2)</f>
        <v>21</v>
      </c>
      <c r="N28" s="274">
        <f>$F$37+($B$2)+T._25[[#This Row],[Zb]]*($C$2)</f>
        <v>17</v>
      </c>
      <c r="O28" s="274">
        <f>T._25[[#This Row],[Xb]]-T._25[[#This Row],[Xa]]</f>
        <v>-4</v>
      </c>
      <c r="P28" s="267">
        <f>ABS(T._25[[#This Row],[DIF]])*1/T._25[[#This Row],[PB]]</f>
        <v>5.8470184672947569</v>
      </c>
      <c r="Q28" s="268">
        <f>IF($D$37&lt;&gt;1,T._25[[#This Row],[W]]/MAX(T._25[W])*0.94+0.01,1-T._25[[#This Row],[PB]])</f>
        <v>0.52703319264113602</v>
      </c>
      <c r="R28" s="160"/>
      <c r="S28" s="160"/>
      <c r="T28" s="160"/>
      <c r="U28" s="160"/>
      <c r="V28" s="160"/>
      <c r="X28" s="160"/>
      <c r="Y28" s="160"/>
      <c r="Z28" s="160"/>
      <c r="AB28" s="160"/>
      <c r="AD28" s="160"/>
      <c r="AE28" s="160"/>
      <c r="AF28" s="160"/>
    </row>
    <row r="29" spans="1:32" ht="12" customHeight="1" x14ac:dyDescent="0.2">
      <c r="A29" s="161"/>
      <c r="B29" s="170">
        <f t="shared" si="0"/>
        <v>22</v>
      </c>
      <c r="C29" s="135">
        <f>(T._25[[#This Row],[data]]-AVERAGE(T._25[data]))/_xlfn.STDEV.P(T._25[data])</f>
        <v>1.2480754415067656</v>
      </c>
      <c r="D29" s="69">
        <f>(T._25[[#This Row],[data]]-AVERAGE(T._25[data]))/(_xlfn.STDEV.P(T._25[data])*$D$37+$C$37)</f>
        <v>0.62403772075338282</v>
      </c>
      <c r="E29" s="69">
        <f>IF($D$37&lt;1,(T._25[[#This Row],[data]]-AVERAGE(T._25[data]))/(_xlfn.STDEV.P(T._25[data])*(1/$D$37)+$C$37),T._25[[#This Row],[Zb]])</f>
        <v>0.62403772075338282</v>
      </c>
      <c r="F29" s="70">
        <f>_xlfn.NORM.S.DIST(T._25[[#This Row],[Za]],IF($F$5=0,"TRUE","false"))</f>
        <v>0.89399828453858721</v>
      </c>
      <c r="G29" s="70">
        <f>_xlfn.NORM.S.DIST(T._25[[#This Row],[Zb]],IF($G$5=0,"TRUE","false"))</f>
        <v>0.73369859353176303</v>
      </c>
      <c r="H29" s="260">
        <f>1/SQRT(2*PI()*$J$2^2)*EXP(-((T._25[[#This Row],[Za]]-$I$2)^2)/(2*$J$2^2))</f>
        <v>0.18308867383025043</v>
      </c>
      <c r="I29" s="70">
        <f>NORMDIST(T._25[[#This Row],[Za]],$I$2,$J$2,FALSE)</f>
        <v>0.18308867383025043</v>
      </c>
      <c r="J29" s="270">
        <f>IF($D$37&lt;1,2*NORMDIST(T._25[[#This Row],[Zc]],0,$M$3,FALSE),2*NORMDIST(T._25[[#This Row],[Zb]],0,$M$3,FALSE))</f>
        <v>0.65671647988244053</v>
      </c>
      <c r="K29" s="172">
        <f>NORMSDIST(T._25[[#This Row],[Za]])</f>
        <v>0.89399828453858721</v>
      </c>
      <c r="L29" s="172">
        <f>NORMSDIST(T._25[[#This Row],[Zb]])</f>
        <v>0.73369859353176303</v>
      </c>
      <c r="M29" s="226">
        <f>($B$2)+T._25[[#This Row],[Za]]*($C$2)</f>
        <v>22</v>
      </c>
      <c r="N29" s="274">
        <f>$F$37+($B$2)+T._25[[#This Row],[Zb]]*($C$2)</f>
        <v>17.5</v>
      </c>
      <c r="O29" s="274">
        <f>T._25[[#This Row],[Xb]]-T._25[[#This Row],[Xa]]</f>
        <v>-4.5</v>
      </c>
      <c r="P29" s="267">
        <f>ABS(T._25[[#This Row],[DIF]])*1/T._25[[#This Row],[PB]]</f>
        <v>6.8522720806481807</v>
      </c>
      <c r="Q29" s="268">
        <f>IF($D$37&lt;&gt;1,T._25[[#This Row],[W]]/MAX(T._25[W])*0.94+0.01,1-T._25[[#This Row],[PB]])</f>
        <v>0.61592456318038979</v>
      </c>
      <c r="R29" s="160"/>
      <c r="S29" s="160"/>
      <c r="T29" s="160"/>
      <c r="U29" s="160"/>
      <c r="V29" s="160"/>
      <c r="X29" s="160"/>
      <c r="Y29" s="160"/>
      <c r="Z29" s="160"/>
      <c r="AB29" s="160"/>
      <c r="AD29" s="160"/>
      <c r="AE29" s="160"/>
      <c r="AF29" s="160"/>
    </row>
    <row r="30" spans="1:32" ht="12" customHeight="1" x14ac:dyDescent="0.2">
      <c r="A30" s="161"/>
      <c r="B30" s="170">
        <f t="shared" si="0"/>
        <v>23</v>
      </c>
      <c r="C30" s="135">
        <f>(T._25[[#This Row],[data]]-AVERAGE(T._25[data]))/_xlfn.STDEV.P(T._25[data])</f>
        <v>1.386750490563073</v>
      </c>
      <c r="D30" s="69">
        <f>(T._25[[#This Row],[data]]-AVERAGE(T._25[data]))/(_xlfn.STDEV.P(T._25[data])*$D$37+$C$37)</f>
        <v>0.69337524528153649</v>
      </c>
      <c r="E30" s="69">
        <f>IF($D$37&lt;1,(T._25[[#This Row],[data]]-AVERAGE(T._25[data]))/(_xlfn.STDEV.P(T._25[data])*(1/$D$37)+$C$37),T._25[[#This Row],[Zb]])</f>
        <v>0.69337524528153649</v>
      </c>
      <c r="F30" s="70">
        <f>_xlfn.NORM.S.DIST(T._25[[#This Row],[Za]],IF($F$5=0,"TRUE","false"))</f>
        <v>0.91724107065126503</v>
      </c>
      <c r="G30" s="70">
        <f>_xlfn.NORM.S.DIST(T._25[[#This Row],[Zb]],IF($G$5=0,"TRUE","false"))</f>
        <v>0.75596295341737596</v>
      </c>
      <c r="H30" s="260">
        <f>1/SQRT(2*PI()*$J$2^2)*EXP(-((T._25[[#This Row],[Za]]-$I$2)^2)/(2*$J$2^2))</f>
        <v>0.15251733843477824</v>
      </c>
      <c r="I30" s="70">
        <f>NORMDIST(T._25[[#This Row],[Za]],$I$2,$J$2,FALSE)</f>
        <v>0.15251733843477824</v>
      </c>
      <c r="J30" s="270">
        <f>IF($D$37&lt;1,2*NORMDIST(T._25[[#This Row],[Zc]],0,$M$3,FALSE),2*NORMDIST(T._25[[#This Row],[Zb]],0,$M$3,FALSE))</f>
        <v>0.62739687254190113</v>
      </c>
      <c r="K30" s="172">
        <f>NORMSDIST(T._25[[#This Row],[Za]])</f>
        <v>0.91724107065126503</v>
      </c>
      <c r="L30" s="172">
        <f>NORMSDIST(T._25[[#This Row],[Zb]])</f>
        <v>0.75596295341737596</v>
      </c>
      <c r="M30" s="226">
        <f>($B$2)+T._25[[#This Row],[Za]]*($C$2)</f>
        <v>23</v>
      </c>
      <c r="N30" s="274">
        <f>$F$37+($B$2)+T._25[[#This Row],[Zb]]*($C$2)</f>
        <v>18</v>
      </c>
      <c r="O30" s="274">
        <f>T._25[[#This Row],[Xb]]-T._25[[#This Row],[Xa]]</f>
        <v>-5</v>
      </c>
      <c r="P30" s="267">
        <f>ABS(T._25[[#This Row],[DIF]])*1/T._25[[#This Row],[PB]]</f>
        <v>7.9694372395298663</v>
      </c>
      <c r="Q30" s="268">
        <f>IF($D$37&lt;&gt;1,T._25[[#This Row],[W]]/MAX(T._25[W])*0.94+0.01,1-T._25[[#This Row],[PB]])</f>
        <v>0.71471191472287332</v>
      </c>
      <c r="R30" s="160"/>
      <c r="S30" s="160"/>
      <c r="T30" s="160"/>
      <c r="U30" s="160"/>
      <c r="V30" s="160"/>
      <c r="X30" s="160"/>
      <c r="Y30" s="160"/>
      <c r="Z30" s="160"/>
      <c r="AB30" s="160"/>
      <c r="AD30" s="160"/>
      <c r="AE30" s="160"/>
      <c r="AF30" s="160"/>
    </row>
    <row r="31" spans="1:32" ht="12" customHeight="1" x14ac:dyDescent="0.2">
      <c r="A31" s="161"/>
      <c r="B31" s="170">
        <f t="shared" si="0"/>
        <v>24</v>
      </c>
      <c r="C31" s="135">
        <f>(T._25[[#This Row],[data]]-AVERAGE(T._25[data]))/_xlfn.STDEV.P(T._25[data])</f>
        <v>1.5254255396193801</v>
      </c>
      <c r="D31" s="69">
        <f>(T._25[[#This Row],[data]]-AVERAGE(T._25[data]))/(_xlfn.STDEV.P(T._25[data])*$D$37+$C$37)</f>
        <v>0.76271276980969005</v>
      </c>
      <c r="E31" s="69">
        <f>IF($D$37&lt;1,(T._25[[#This Row],[data]]-AVERAGE(T._25[data]))/(_xlfn.STDEV.P(T._25[data])*(1/$D$37)+$C$37),T._25[[#This Row],[Zb]])</f>
        <v>0.76271276980969005</v>
      </c>
      <c r="F31" s="70">
        <f>_xlfn.NORM.S.DIST(T._25[[#This Row],[Za]],IF($F$5=0,"TRUE","false"))</f>
        <v>0.93642350369999283</v>
      </c>
      <c r="G31" s="70">
        <f>_xlfn.NORM.S.DIST(T._25[[#This Row],[Zb]],IF($G$5=0,"TRUE","false"))</f>
        <v>0.77718264339652798</v>
      </c>
      <c r="H31" s="260">
        <f>1/SQRT(2*PI()*$J$2^2)*EXP(-((T._25[[#This Row],[Za]]-$I$2)^2)/(2*$J$2^2))</f>
        <v>0.12463073026883781</v>
      </c>
      <c r="I31" s="70">
        <f>NORMDIST(T._25[[#This Row],[Za]],$I$2,$J$2,FALSE)</f>
        <v>0.12463073026883781</v>
      </c>
      <c r="J31" s="270">
        <f>IF($D$37&lt;1,2*NORMDIST(T._25[[#This Row],[Zc]],0,$M$3,FALSE),2*NORMDIST(T._25[[#This Row],[Zb]],0,$M$3,FALSE))</f>
        <v>0.59651151267088631</v>
      </c>
      <c r="K31" s="172">
        <f>NORMSDIST(T._25[[#This Row],[Za]])</f>
        <v>0.93642350369999283</v>
      </c>
      <c r="L31" s="172">
        <f>NORMSDIST(T._25[[#This Row],[Zb]])</f>
        <v>0.77718264339652798</v>
      </c>
      <c r="M31" s="226">
        <f>($B$2)+T._25[[#This Row],[Za]]*($C$2)</f>
        <v>24</v>
      </c>
      <c r="N31" s="274">
        <f>$F$37+($B$2)+T._25[[#This Row],[Zb]]*($C$2)</f>
        <v>18.5</v>
      </c>
      <c r="O31" s="274">
        <f>T._25[[#This Row],[Xb]]-T._25[[#This Row],[Xa]]</f>
        <v>-5.5</v>
      </c>
      <c r="P31" s="267">
        <f>ABS(T._25[[#This Row],[DIF]])*1/T._25[[#This Row],[PB]]</f>
        <v>9.2202746856866096</v>
      </c>
      <c r="Q31" s="268">
        <f>IF($D$37&lt;&gt;1,T._25[[#This Row],[W]]/MAX(T._25[W])*0.94+0.01,1-T._25[[#This Row],[PB]])</f>
        <v>0.82531948025032176</v>
      </c>
      <c r="R31" s="160"/>
      <c r="S31" s="160"/>
      <c r="T31" s="160"/>
      <c r="U31" s="160"/>
      <c r="V31" s="160"/>
      <c r="X31" s="160"/>
      <c r="Y31" s="160"/>
      <c r="Z31" s="160"/>
      <c r="AB31" s="160"/>
      <c r="AD31" s="160"/>
      <c r="AE31" s="160"/>
      <c r="AF31" s="160"/>
    </row>
    <row r="32" spans="1:32" ht="12" customHeight="1" x14ac:dyDescent="0.2">
      <c r="A32" s="161"/>
      <c r="B32" s="170">
        <f t="shared" si="0"/>
        <v>25</v>
      </c>
      <c r="C32" s="135">
        <f>(T._25[[#This Row],[data]]-AVERAGE(T._25[data]))/_xlfn.STDEV.P(T._25[data])</f>
        <v>1.6641005886756874</v>
      </c>
      <c r="D32" s="69">
        <f>(T._25[[#This Row],[data]]-AVERAGE(T._25[data]))/(_xlfn.STDEV.P(T._25[data])*$D$37+$C$37)</f>
        <v>0.83205029433784372</v>
      </c>
      <c r="E32" s="69">
        <f>IF($D$37&lt;1,(T._25[[#This Row],[data]]-AVERAGE(T._25[data]))/(_xlfn.STDEV.P(T._25[data])*(1/$D$37)+$C$37),T._25[[#This Row],[Zb]])</f>
        <v>0.83205029433784372</v>
      </c>
      <c r="F32" s="70">
        <f>_xlfn.NORM.S.DIST(T._25[[#This Row],[Za]],IF($F$5=0,"TRUE","false"))</f>
        <v>0.95195383527216337</v>
      </c>
      <c r="G32" s="70">
        <f>_xlfn.NORM.S.DIST(T._25[[#This Row],[Zb]],IF($G$5=0,"TRUE","false"))</f>
        <v>0.79730972177052883</v>
      </c>
      <c r="H32" s="260">
        <f>1/SQRT(2*PI()*$J$2^2)*EXP(-((T._25[[#This Row],[Za]]-$I$2)^2)/(2*$J$2^2))</f>
        <v>9.9903164433323657E-2</v>
      </c>
      <c r="I32" s="70">
        <f>NORMDIST(T._25[[#This Row],[Za]],$I$2,$J$2,FALSE)</f>
        <v>9.9903164433323657E-2</v>
      </c>
      <c r="J32" s="270">
        <f>IF($D$37&lt;1,2*NORMDIST(T._25[[#This Row],[Zc]],0,$M$3,FALSE),2*NORMDIST(T._25[[#This Row],[Zb]],0,$M$3,FALSE))</f>
        <v>0.56442644851933488</v>
      </c>
      <c r="K32" s="172">
        <f>NORMSDIST(T._25[[#This Row],[Za]])</f>
        <v>0.95195383527216337</v>
      </c>
      <c r="L32" s="172">
        <f>NORMSDIST(T._25[[#This Row],[Zb]])</f>
        <v>0.79730972177052883</v>
      </c>
      <c r="M32" s="226">
        <f>($B$2)+T._25[[#This Row],[Za]]*($C$2)</f>
        <v>25</v>
      </c>
      <c r="N32" s="274">
        <f>$F$37+($B$2)+T._25[[#This Row],[Zb]]*($C$2)</f>
        <v>19</v>
      </c>
      <c r="O32" s="274">
        <f>T._25[[#This Row],[Xb]]-T._25[[#This Row],[Xa]]</f>
        <v>-6</v>
      </c>
      <c r="P32" s="267">
        <f>ABS(T._25[[#This Row],[DIF]])*1/T._25[[#This Row],[PB]]</f>
        <v>10.630260179585587</v>
      </c>
      <c r="Q32" s="268">
        <f>IF($D$37&lt;&gt;1,T._25[[#This Row],[W]]/MAX(T._25[W])*0.94+0.01,1-T._25[[#This Row],[PB]])</f>
        <v>0.95</v>
      </c>
      <c r="R32" s="160"/>
      <c r="S32" s="160"/>
      <c r="T32" s="160"/>
      <c r="U32" s="160"/>
      <c r="V32" s="160"/>
      <c r="X32" s="160"/>
      <c r="Y32" s="160"/>
      <c r="Z32" s="160"/>
      <c r="AB32" s="160"/>
      <c r="AD32" s="160"/>
      <c r="AE32" s="160"/>
      <c r="AF32" s="160"/>
    </row>
    <row r="33" spans="1:34" ht="12" customHeight="1" x14ac:dyDescent="0.3">
      <c r="A33" s="161"/>
      <c r="B33" s="161"/>
      <c r="C33" s="69"/>
      <c r="D33" s="69"/>
      <c r="E33" s="69"/>
      <c r="F33" s="161"/>
      <c r="G33" s="161"/>
      <c r="H33" s="161"/>
      <c r="I33" s="149"/>
      <c r="J33" s="70"/>
      <c r="K33" s="70"/>
      <c r="L33" s="70"/>
      <c r="M33" s="161"/>
      <c r="N33" s="161"/>
      <c r="O33" s="161"/>
      <c r="P33" s="161"/>
      <c r="Q33" s="248"/>
      <c r="R33" s="173"/>
      <c r="S33" s="173"/>
      <c r="T33" s="173"/>
      <c r="U33" s="173"/>
      <c r="V33" s="173"/>
      <c r="W33" s="173"/>
      <c r="X33" s="173"/>
      <c r="Y33" s="173"/>
      <c r="Z33" s="174"/>
      <c r="AA33" s="175"/>
      <c r="AB33" s="175"/>
      <c r="AC33" s="175"/>
      <c r="AD33" s="174"/>
      <c r="AE33" s="174"/>
      <c r="AF33" s="175"/>
      <c r="AG33" s="175"/>
      <c r="AH33" s="175"/>
    </row>
    <row r="34" spans="1:34" ht="21.75" customHeight="1" x14ac:dyDescent="0.3">
      <c r="A34" s="161"/>
      <c r="B34" s="161"/>
      <c r="C34" s="69"/>
      <c r="D34" s="69"/>
      <c r="E34" s="69"/>
      <c r="F34" s="161"/>
      <c r="G34" s="161"/>
      <c r="H34" s="161"/>
      <c r="I34" s="149"/>
      <c r="J34" s="70"/>
      <c r="K34" s="70"/>
      <c r="L34" s="70"/>
      <c r="M34" s="161"/>
      <c r="N34" s="161"/>
      <c r="O34" s="161"/>
      <c r="P34" s="161"/>
      <c r="Q34" s="248"/>
      <c r="R34" s="173"/>
      <c r="S34" s="173"/>
      <c r="T34" s="173"/>
      <c r="U34" s="173"/>
      <c r="V34" s="173"/>
      <c r="W34" s="173"/>
      <c r="X34" s="173"/>
      <c r="Y34" s="173"/>
      <c r="Z34" s="174"/>
      <c r="AA34" s="175"/>
      <c r="AB34" s="175"/>
      <c r="AC34" s="175"/>
      <c r="AD34" s="174"/>
      <c r="AE34" s="174"/>
      <c r="AF34" s="175"/>
      <c r="AG34" s="175"/>
      <c r="AH34" s="175"/>
    </row>
    <row r="35" spans="1:34" ht="21" x14ac:dyDescent="0.35">
      <c r="A35" s="161"/>
      <c r="B35" s="161"/>
      <c r="C35" s="252">
        <v>0</v>
      </c>
      <c r="D35" s="253">
        <v>1</v>
      </c>
      <c r="E35" s="276"/>
      <c r="F35" s="254">
        <f>C35</f>
        <v>0</v>
      </c>
      <c r="G35" s="255">
        <f>D35</f>
        <v>1</v>
      </c>
      <c r="H35" s="256"/>
      <c r="I35" s="257">
        <f>F35</f>
        <v>0</v>
      </c>
      <c r="J35" s="258">
        <f>G35</f>
        <v>1</v>
      </c>
      <c r="K35" s="257">
        <f>I35</f>
        <v>0</v>
      </c>
      <c r="L35" s="258">
        <f>J35</f>
        <v>1</v>
      </c>
      <c r="M35" s="254">
        <f>K35</f>
        <v>0</v>
      </c>
      <c r="N35" s="255">
        <f>L35</f>
        <v>1</v>
      </c>
      <c r="O35" s="159"/>
      <c r="P35" s="161"/>
      <c r="Q35" s="248"/>
      <c r="R35" s="173"/>
      <c r="S35" s="173"/>
      <c r="T35" s="173"/>
      <c r="U35" s="173"/>
      <c r="V35" s="173"/>
      <c r="W35" s="173"/>
      <c r="X35" s="173"/>
      <c r="Y35" s="173"/>
      <c r="Z35" s="174"/>
      <c r="AA35" s="176" t="s">
        <v>58</v>
      </c>
      <c r="AB35" s="177" t="s">
        <v>59</v>
      </c>
      <c r="AC35" s="178"/>
      <c r="AD35" s="178"/>
      <c r="AE35" s="179"/>
      <c r="AF35" s="175"/>
      <c r="AG35" s="175"/>
      <c r="AH35" s="175"/>
    </row>
    <row r="36" spans="1:34" ht="18.75" x14ac:dyDescent="0.3">
      <c r="A36" s="161"/>
      <c r="B36" s="161"/>
      <c r="C36" s="231"/>
      <c r="D36" s="231"/>
      <c r="E36" s="231"/>
      <c r="F36" s="161"/>
      <c r="G36" s="232"/>
      <c r="H36" s="161"/>
      <c r="I36" s="214"/>
      <c r="J36" s="214"/>
      <c r="K36" s="214"/>
      <c r="L36" s="214"/>
      <c r="M36" s="232"/>
      <c r="N36" s="232"/>
      <c r="O36" s="232"/>
      <c r="P36" s="161"/>
      <c r="Q36" s="248"/>
      <c r="R36" s="173"/>
      <c r="S36" s="173"/>
      <c r="T36" s="173"/>
      <c r="U36" s="173"/>
      <c r="V36" s="173"/>
      <c r="W36" s="173"/>
      <c r="X36" s="173"/>
      <c r="Y36" s="173"/>
      <c r="Z36" s="174"/>
      <c r="AA36" s="233"/>
      <c r="AB36" s="234"/>
      <c r="AC36" s="174"/>
      <c r="AD36" s="174"/>
      <c r="AE36" s="188"/>
      <c r="AF36" s="175"/>
      <c r="AG36" s="175"/>
      <c r="AH36" s="175"/>
    </row>
    <row r="37" spans="1:34" ht="26.25" x14ac:dyDescent="0.4">
      <c r="A37" s="180"/>
      <c r="B37" s="181" t="s">
        <v>60</v>
      </c>
      <c r="C37" s="147">
        <v>0</v>
      </c>
      <c r="D37" s="147">
        <v>2</v>
      </c>
      <c r="E37" s="147"/>
      <c r="F37" s="147">
        <v>0</v>
      </c>
      <c r="G37" s="147" t="s">
        <v>79</v>
      </c>
      <c r="H37" s="161"/>
      <c r="I37" s="149"/>
      <c r="J37" s="70"/>
      <c r="K37" s="70"/>
      <c r="L37" s="70"/>
      <c r="M37" s="161"/>
      <c r="N37" s="161"/>
      <c r="O37" s="161"/>
      <c r="P37" s="161"/>
      <c r="Q37" s="248"/>
      <c r="R37" s="173"/>
      <c r="S37" s="173"/>
      <c r="T37" s="173"/>
      <c r="U37" s="173"/>
      <c r="V37" s="182" t="s">
        <v>61</v>
      </c>
      <c r="W37" s="183"/>
      <c r="X37" s="183"/>
      <c r="Y37" s="184"/>
      <c r="Z37" s="174"/>
      <c r="AA37" s="185">
        <v>0.01</v>
      </c>
      <c r="AB37" s="186">
        <f>NORMSINV(AA37)</f>
        <v>-2.3263478740408408</v>
      </c>
      <c r="AC37" s="187" t="s">
        <v>62</v>
      </c>
      <c r="AD37" s="174"/>
      <c r="AE37" s="188"/>
      <c r="AF37" s="175"/>
      <c r="AG37" s="175"/>
      <c r="AH37" s="175"/>
    </row>
    <row r="38" spans="1:34" ht="26.25" x14ac:dyDescent="0.4">
      <c r="A38" s="189"/>
      <c r="B38" s="181" t="s">
        <v>51</v>
      </c>
      <c r="C38" s="148">
        <v>0</v>
      </c>
      <c r="D38" s="149"/>
      <c r="E38" s="149"/>
      <c r="F38" s="149"/>
      <c r="G38" s="147"/>
      <c r="H38" s="161"/>
      <c r="I38" s="149"/>
      <c r="J38" s="70"/>
      <c r="K38" s="70"/>
      <c r="L38" s="70"/>
      <c r="M38" s="161"/>
      <c r="N38" s="161"/>
      <c r="O38" s="161"/>
      <c r="P38" s="161"/>
      <c r="Q38" s="248"/>
      <c r="R38" s="173"/>
      <c r="S38" s="173"/>
      <c r="T38" s="173"/>
      <c r="U38" s="173"/>
      <c r="V38" s="190"/>
      <c r="W38" s="191" t="s">
        <v>63</v>
      </c>
      <c r="X38" s="191">
        <v>2</v>
      </c>
      <c r="Y38" s="192">
        <f>NORMSDIST(X38)</f>
        <v>0.97724986805182079</v>
      </c>
      <c r="Z38" s="174"/>
      <c r="AA38" s="185">
        <v>2.5000000000000001E-2</v>
      </c>
      <c r="AB38" s="186">
        <f t="shared" ref="AB38:AB44" si="1">NORMSINV(AA38)</f>
        <v>-1.9599639845400538</v>
      </c>
      <c r="AC38" s="187" t="s">
        <v>64</v>
      </c>
      <c r="AD38" s="174"/>
      <c r="AE38" s="188"/>
      <c r="AF38" s="175"/>
      <c r="AG38" s="175"/>
      <c r="AH38" s="175"/>
    </row>
    <row r="39" spans="1:34" ht="19.5" customHeight="1" x14ac:dyDescent="0.3">
      <c r="A39" s="161"/>
      <c r="B39" s="161"/>
      <c r="C39" s="69"/>
      <c r="D39" s="69"/>
      <c r="E39" s="69"/>
      <c r="F39" s="161"/>
      <c r="G39" s="161"/>
      <c r="H39" s="161"/>
      <c r="I39" s="149"/>
      <c r="J39" s="70"/>
      <c r="K39" s="70"/>
      <c r="L39" s="70"/>
      <c r="M39" s="161"/>
      <c r="N39" s="193"/>
      <c r="O39" s="193"/>
      <c r="P39" s="193"/>
      <c r="Q39" s="249"/>
      <c r="R39" s="173"/>
      <c r="S39" s="173"/>
      <c r="T39" s="173"/>
      <c r="U39" s="173"/>
      <c r="V39" s="194">
        <v>-1</v>
      </c>
      <c r="W39" s="195" t="s">
        <v>65</v>
      </c>
      <c r="X39" s="196">
        <v>1</v>
      </c>
      <c r="Y39" s="197">
        <f>ABS(NORMSDIST(V39)-NORMSDIST(X39))</f>
        <v>0.68268949213708607</v>
      </c>
      <c r="Z39" s="174"/>
      <c r="AA39" s="185">
        <v>0.05</v>
      </c>
      <c r="AB39" s="186">
        <f t="shared" si="1"/>
        <v>-1.6448536269514726</v>
      </c>
      <c r="AC39" s="174"/>
      <c r="AD39" s="174"/>
      <c r="AE39" s="188"/>
      <c r="AF39" s="175"/>
      <c r="AG39" s="175"/>
      <c r="AH39" s="175"/>
    </row>
    <row r="40" spans="1:34" ht="19.5" customHeight="1" x14ac:dyDescent="0.3">
      <c r="A40" s="161"/>
      <c r="B40" s="161"/>
      <c r="C40" s="69"/>
      <c r="D40" s="69"/>
      <c r="E40" s="69"/>
      <c r="F40" s="161"/>
      <c r="G40" s="161"/>
      <c r="H40" s="161"/>
      <c r="I40" s="149"/>
      <c r="J40" s="70"/>
      <c r="K40" s="70"/>
      <c r="L40" s="70"/>
      <c r="M40" s="161"/>
      <c r="N40" s="161"/>
      <c r="O40" s="161"/>
      <c r="P40" s="161"/>
      <c r="Q40" s="248"/>
      <c r="R40" s="173"/>
      <c r="S40" s="173"/>
      <c r="T40" s="173"/>
      <c r="U40" s="173"/>
      <c r="V40" s="194">
        <v>2</v>
      </c>
      <c r="W40" s="195" t="s">
        <v>65</v>
      </c>
      <c r="X40" s="196">
        <v>-2</v>
      </c>
      <c r="Y40" s="198">
        <f>ABS(NORMSDIST(V40)-NORMSDIST(X40))</f>
        <v>0.95449973610364158</v>
      </c>
      <c r="Z40" s="174"/>
      <c r="AA40" s="185">
        <v>0.1</v>
      </c>
      <c r="AB40" s="186">
        <f t="shared" si="1"/>
        <v>-1.2815515655446006</v>
      </c>
      <c r="AC40" s="174"/>
      <c r="AD40" s="187" t="s">
        <v>68</v>
      </c>
      <c r="AE40" s="188"/>
      <c r="AF40" s="175"/>
      <c r="AG40" s="175"/>
      <c r="AH40" s="175"/>
    </row>
    <row r="41" spans="1:34" ht="19.5" customHeight="1" x14ac:dyDescent="0.3">
      <c r="A41" s="161"/>
      <c r="B41" s="161"/>
      <c r="C41" s="69"/>
      <c r="D41" s="69"/>
      <c r="E41" s="69"/>
      <c r="F41" s="161"/>
      <c r="G41" s="161"/>
      <c r="H41" s="161"/>
      <c r="I41" s="149"/>
      <c r="J41" s="70"/>
      <c r="K41" s="70"/>
      <c r="L41" s="70"/>
      <c r="M41" s="161"/>
      <c r="N41" s="161"/>
      <c r="O41" s="161"/>
      <c r="P41" s="161"/>
      <c r="Q41" s="248"/>
      <c r="R41" s="173"/>
      <c r="S41" s="173"/>
      <c r="T41" s="173"/>
      <c r="U41" s="173"/>
      <c r="V41" s="194">
        <v>-3</v>
      </c>
      <c r="W41" s="195" t="s">
        <v>65</v>
      </c>
      <c r="X41" s="196">
        <v>3</v>
      </c>
      <c r="Y41" s="197">
        <f>ABS(NORMSDIST(V41)-NORMSDIST(X41))</f>
        <v>0.99730020393673979</v>
      </c>
      <c r="Z41" s="174"/>
      <c r="AA41" s="185">
        <v>0.5</v>
      </c>
      <c r="AB41" s="186">
        <f t="shared" si="1"/>
        <v>0</v>
      </c>
      <c r="AC41" s="174"/>
      <c r="AD41" s="174"/>
      <c r="AE41" s="188"/>
      <c r="AF41" s="175"/>
      <c r="AG41" s="175"/>
      <c r="AH41" s="175"/>
    </row>
    <row r="42" spans="1:34" ht="19.5" customHeight="1" x14ac:dyDescent="0.3">
      <c r="A42" s="161"/>
      <c r="B42" s="161"/>
      <c r="C42" s="69"/>
      <c r="D42" s="69"/>
      <c r="E42" s="69"/>
      <c r="F42" s="161"/>
      <c r="G42" s="161"/>
      <c r="H42" s="161"/>
      <c r="I42" s="149"/>
      <c r="J42" s="70"/>
      <c r="K42" s="70"/>
      <c r="L42" s="70"/>
      <c r="M42" s="161"/>
      <c r="N42" s="161"/>
      <c r="O42" s="161"/>
      <c r="P42" s="161"/>
      <c r="Q42" s="248"/>
      <c r="R42" s="173"/>
      <c r="S42" s="173"/>
      <c r="T42" s="173"/>
      <c r="U42" s="173"/>
      <c r="V42" s="190">
        <v>2</v>
      </c>
      <c r="W42" s="191" t="s">
        <v>66</v>
      </c>
      <c r="X42" s="191"/>
      <c r="Y42" s="192">
        <f>1-NORMSDIST(V42)</f>
        <v>2.2750131948179209E-2</v>
      </c>
      <c r="Z42" s="174"/>
      <c r="AA42" s="185">
        <v>0.9</v>
      </c>
      <c r="AB42" s="186">
        <f t="shared" si="1"/>
        <v>1.2815515655446006</v>
      </c>
      <c r="AC42" s="174"/>
      <c r="AD42" s="174"/>
      <c r="AE42" s="188"/>
      <c r="AF42" s="175"/>
      <c r="AG42" s="175"/>
      <c r="AH42" s="175"/>
    </row>
    <row r="43" spans="1:34" ht="19.5" customHeight="1" x14ac:dyDescent="0.3">
      <c r="A43" s="161"/>
      <c r="B43" s="161"/>
      <c r="C43" s="69"/>
      <c r="D43" s="69"/>
      <c r="E43" s="69"/>
      <c r="F43" s="161"/>
      <c r="G43" s="161"/>
      <c r="H43" s="161"/>
      <c r="I43" s="149"/>
      <c r="J43" s="70"/>
      <c r="K43" s="70"/>
      <c r="L43" s="70"/>
      <c r="M43" s="161"/>
      <c r="N43" s="161"/>
      <c r="O43" s="161"/>
      <c r="P43" s="161"/>
      <c r="Q43" s="248"/>
      <c r="R43" s="173"/>
      <c r="S43" s="173"/>
      <c r="T43" s="173"/>
      <c r="U43" s="173"/>
      <c r="V43" s="199"/>
      <c r="W43" s="200" t="s">
        <v>67</v>
      </c>
      <c r="X43" s="201"/>
      <c r="Y43" s="202"/>
      <c r="Z43" s="174"/>
      <c r="AA43" s="185">
        <v>0.95</v>
      </c>
      <c r="AB43" s="186">
        <f t="shared" si="1"/>
        <v>1.6448536269514715</v>
      </c>
      <c r="AC43" s="174"/>
      <c r="AD43" s="174"/>
      <c r="AE43" s="188"/>
      <c r="AF43" s="175"/>
      <c r="AG43" s="175"/>
      <c r="AH43" s="175"/>
    </row>
    <row r="44" spans="1:34" ht="19.5" customHeight="1" x14ac:dyDescent="0.3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250"/>
      <c r="R44" s="174"/>
      <c r="S44" s="174"/>
      <c r="T44" s="174"/>
      <c r="U44" s="174"/>
      <c r="V44" s="174"/>
      <c r="W44" s="174"/>
      <c r="X44" s="174"/>
      <c r="Y44" s="174"/>
      <c r="Z44" s="174"/>
      <c r="AA44" s="203">
        <v>0.99</v>
      </c>
      <c r="AB44" s="204">
        <f t="shared" si="1"/>
        <v>2.3263478740408408</v>
      </c>
      <c r="AC44" s="205"/>
      <c r="AD44" s="205"/>
      <c r="AE44" s="206"/>
      <c r="AF44" s="175"/>
      <c r="AG44" s="175"/>
      <c r="AH44" s="175"/>
    </row>
    <row r="45" spans="1:34" ht="19.5" customHeight="1" x14ac:dyDescent="0.3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250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5"/>
      <c r="AG45" s="175"/>
      <c r="AH45" s="175"/>
    </row>
    <row r="46" spans="1:34" ht="19.5" customHeight="1" x14ac:dyDescent="0.3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250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5"/>
      <c r="AG46" s="175"/>
      <c r="AH46" s="175"/>
    </row>
    <row r="47" spans="1:34" ht="19.5" customHeight="1" x14ac:dyDescent="0.2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250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</row>
    <row r="48" spans="1:34" ht="19.5" customHeight="1" x14ac:dyDescent="0.2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250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  <c r="AG48" s="174"/>
      <c r="AH48" s="174"/>
    </row>
    <row r="49" spans="1:34" ht="19.5" customHeight="1" x14ac:dyDescent="0.2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250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</row>
    <row r="50" spans="1:34" ht="19.5" customHeight="1" x14ac:dyDescent="0.2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250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  <c r="AH50" s="174"/>
    </row>
    <row r="51" spans="1:34" ht="12.75" x14ac:dyDescent="0.2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250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</row>
    <row r="52" spans="1:34" ht="12.75" x14ac:dyDescent="0.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250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4"/>
      <c r="AG52" s="174"/>
      <c r="AH52" s="174"/>
    </row>
    <row r="53" spans="1:34" ht="12.75" x14ac:dyDescent="0.2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250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</row>
    <row r="54" spans="1:34" ht="12.75" x14ac:dyDescent="0.2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250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  <c r="AH54" s="174"/>
    </row>
    <row r="55" spans="1:34" ht="12.75" x14ac:dyDescent="0.2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250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</row>
    <row r="56" spans="1:34" ht="12.75" x14ac:dyDescent="0.2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250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  <c r="AH56" s="174"/>
    </row>
    <row r="57" spans="1:34" ht="12.75" x14ac:dyDescent="0.2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250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</row>
    <row r="58" spans="1:34" ht="12.75" x14ac:dyDescent="0.2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250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</row>
    <row r="59" spans="1:34" ht="12.75" x14ac:dyDescent="0.2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250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</row>
    <row r="60" spans="1:34" ht="12.75" x14ac:dyDescent="0.2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250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</row>
    <row r="61" spans="1:34" ht="12.75" x14ac:dyDescent="0.2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250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</row>
    <row r="62" spans="1:34" ht="12.75" x14ac:dyDescent="0.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250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</row>
    <row r="63" spans="1:34" ht="12.75" x14ac:dyDescent="0.2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250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4"/>
      <c r="AG63" s="174"/>
      <c r="AH63" s="174"/>
    </row>
  </sheetData>
  <phoneticPr fontId="60" type="noConversion"/>
  <conditionalFormatting sqref="B5:B6 A39:B43 A33:B36 A38 A4:A32 F2 C5:E5 A2 B4:F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{8242EA44-1A20-45E4-BB6C-1D79E754D290}</x14:id>
        </ext>
      </extLst>
    </cfRule>
  </conditionalFormatting>
  <conditionalFormatting sqref="B7">
    <cfRule type="containsText" dxfId="19" priority="27" operator="containsText" text="false">
      <formula>NÃO(ÉERROS(LOCALIZAR("false",B7)))</formula>
    </cfRule>
  </conditionalFormatting>
  <conditionalFormatting sqref="B8:B32">
    <cfRule type="containsText" dxfId="18" priority="30" operator="containsText" text="false">
      <formula>NÃO(ÉERROS(LOCALIZAR("false",B8)))</formula>
    </cfRule>
    <cfRule type="containsText" dxfId="17" priority="31" operator="containsText" text="false">
      <formula>NÃO(ÉERROS(LOCALIZAR("false",B8)))</formula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ntainsText" dxfId="16" priority="33" operator="containsText" text="false">
      <formula>NÃO(ÉERROS(LOCALIZAR("false",B8)))</formula>
    </cfRule>
  </conditionalFormatting>
  <conditionalFormatting sqref="C33:C3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{A6FF877C-8E49-4C14-8CD4-559F8DF85467}</x14:id>
        </ext>
      </extLst>
    </cfRule>
  </conditionalFormatting>
  <conditionalFormatting sqref="C39:C43 C8:E32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{03798559-3FF2-4518-81EC-9A2F2B1F5024}</x14:id>
        </ext>
      </extLst>
    </cfRule>
  </conditionalFormatting>
  <conditionalFormatting sqref="C35:O35">
    <cfRule type="colorScale" priority="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F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{ADC6B979-7EA5-46CB-8026-E42C2338411B}</x14:id>
        </ext>
      </extLst>
    </cfRule>
  </conditionalFormatting>
  <conditionalFormatting sqref="F8:G32">
    <cfRule type="dataBar" priority="22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{ADF7C517-1AC8-483B-9CCA-CE45E49AC674}</x14:id>
        </ext>
      </extLst>
    </cfRule>
  </conditionalFormatting>
  <conditionalFormatting sqref="F33:H3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{98F0CFFA-6553-4E38-84D6-18AE8FE83769}</x14:id>
        </ext>
      </extLst>
    </cfRule>
  </conditionalFormatting>
  <conditionalFormatting sqref="G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{770D7C80-F2F9-468C-80D9-37466CD49A8F}</x14:id>
        </ext>
      </extLst>
    </cfRule>
  </conditionalFormatting>
  <conditionalFormatting sqref="G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{7CDF232F-9FE3-495F-B1E1-76AC3FC79E70}</x14:id>
        </ext>
      </extLst>
    </cfRule>
  </conditionalFormatting>
  <conditionalFormatting sqref="G3:H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{1498E338-6405-4E9C-9714-3455DDB74DD6}</x14:id>
        </ext>
      </extLst>
    </cfRule>
  </conditionalFormatting>
  <conditionalFormatting sqref="H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{488C02EF-A4BB-47E2-B548-AD769F222D8D}</x14:id>
        </ext>
      </extLst>
    </cfRule>
  </conditionalFormatting>
  <conditionalFormatting sqref="H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{D7F5D0C8-AFA5-41B5-A8C1-CD8CEF5C33B4}</x14:id>
        </ext>
      </extLst>
    </cfRule>
  </conditionalFormatting>
  <conditionalFormatting sqref="H8:H32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{19B22A30-6CC9-4CF0-81EE-B3AA974A5969}</x14:id>
        </ext>
      </extLst>
    </cfRule>
  </conditionalFormatting>
  <conditionalFormatting sqref="I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{3266BB1D-B380-46A3-A6F0-6AB7A9D7245D}</x14:id>
        </ext>
      </extLst>
    </cfRule>
  </conditionalFormatting>
  <conditionalFormatting sqref="I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{9BBDAAD7-FD76-4D64-9D6D-7CDF7549934B}</x14:id>
        </ext>
      </extLst>
    </cfRule>
  </conditionalFormatting>
  <conditionalFormatting sqref="I33:I3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{1BF048ED-CC97-4323-ACA4-D6194BD6F79B}</x14:id>
        </ext>
      </extLst>
    </cfRule>
  </conditionalFormatting>
  <conditionalFormatting sqref="I39:I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{81F9B0A4-033A-490C-AB27-B3768FEF6C14}</x14:id>
        </ext>
      </extLst>
    </cfRule>
  </conditionalFormatting>
  <conditionalFormatting sqref="I8:J32">
    <cfRule type="dataBar" priority="4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{1A0CF469-605D-4B3E-ACAF-305A871DAB06}</x14:id>
        </ext>
      </extLst>
    </cfRule>
  </conditionalFormatting>
  <conditionalFormatting sqref="I33:L34 I37:L43">
    <cfRule type="containsText" dxfId="15" priority="29" operator="containsText" text="false">
      <formula>NÃO(ÉERROS(LOCALIZAR("false",I33)))</formula>
    </cfRule>
    <cfRule type="cellIs" dxfId="14" priority="21" operator="equal">
      <formula>0</formula>
    </cfRule>
  </conditionalFormatting>
  <conditionalFormatting sqref="J4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{015DCA71-AF25-436C-9350-A0E9C290925D}</x14:id>
        </ext>
      </extLst>
    </cfRule>
  </conditionalFormatting>
  <conditionalFormatting sqref="J5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{E9E7AFC4-5CA6-4624-8B37-EA223F05AC27}</x14:id>
        </ext>
      </extLst>
    </cfRule>
  </conditionalFormatting>
  <conditionalFormatting sqref="J8:J32">
    <cfRule type="dataBar" priority="49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{66A8D757-C954-47B6-880D-719CD611DFAE}</x14:id>
        </ext>
      </extLst>
    </cfRule>
  </conditionalFormatting>
  <conditionalFormatting sqref="J33:L34 J37:L39">
    <cfRule type="dataBar" priority="49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{81FFF071-4343-4910-921C-4DBEFC8A2571}</x14:id>
        </ext>
      </extLst>
    </cfRule>
  </conditionalFormatting>
  <conditionalFormatting sqref="J40:L41">
    <cfRule type="dataBar" priority="4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{16B9D098-9017-4F19-B18C-F24381FB98E8}</x14:id>
        </ext>
      </extLst>
    </cfRule>
  </conditionalFormatting>
  <conditionalFormatting sqref="J42:L43">
    <cfRule type="dataBar" priority="4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{0D00CA43-AB5F-4595-942B-D8202EC72FB4}</x14:id>
        </ext>
      </extLst>
    </cfRule>
  </conditionalFormatting>
  <conditionalFormatting sqref="K8:K32"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{B343B0BB-DF44-422C-833D-D716FF9A1630}</x14:id>
        </ext>
      </extLst>
    </cfRule>
  </conditionalFormatting>
  <conditionalFormatting sqref="L8:L32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{1F4B06AA-7F27-410B-8D81-706EBCFC61BD}</x14:id>
        </ext>
      </extLst>
    </cfRule>
  </conditionalFormatting>
  <conditionalFormatting sqref="M7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{5969F72B-C78B-4475-A720-9E7E712B5C91}</x14:id>
        </ext>
      </extLst>
    </cfRule>
  </conditionalFormatting>
  <conditionalFormatting sqref="M8:M32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9:O43 J33:L34 J37:L39">
    <cfRule type="dataBar" priority="4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{AFD7AFC4-FE35-4FD1-B806-A1BD42307DAE}</x14:id>
        </ext>
      </extLst>
    </cfRule>
  </conditionalFormatting>
  <conditionalFormatting sqref="M39:Q43">
    <cfRule type="containsText" dxfId="13" priority="18" operator="containsText" text="false">
      <formula>NÃO(ÉERROS(LOCALIZAR("false",M39)))</formula>
    </cfRule>
    <cfRule type="cellIs" dxfId="12" priority="17" operator="equal">
      <formula>0</formula>
    </cfRule>
  </conditionalFormatting>
  <conditionalFormatting sqref="N8:N32">
    <cfRule type="colorScale" priority="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:O7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{0DB60371-16A9-42B4-8E54-98237169EDFA}</x14:id>
        </ext>
      </extLst>
    </cfRule>
  </conditionalFormatting>
  <conditionalFormatting sqref="P7:Q7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{C7201914-1E40-4A8D-AF85-1AF50B84DE96}</x14:id>
        </ext>
      </extLst>
    </cfRule>
  </conditionalFormatting>
  <conditionalFormatting sqref="P39:Q43">
    <cfRule type="dataBar" priority="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{7621F398-E4EC-4ED1-8F53-E2EFB97C7B96}</x14:id>
        </ext>
      </extLst>
    </cfRule>
    <cfRule type="dataBar" priority="47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{EDB96E81-6264-419C-9CEF-5791E1C737F8}</x14:id>
        </ext>
      </extLst>
    </cfRule>
  </conditionalFormatting>
  <conditionalFormatting sqref="Q8:Q32">
    <cfRule type="dataBar" priority="474">
      <dataBar>
        <cfvo type="min"/>
        <cfvo type="max"/>
        <color rgb="FF0000FF"/>
      </dataBar>
      <extLst>
        <ext xmlns:x14="http://schemas.microsoft.com/office/spreadsheetml/2009/9/main" uri="{B025F937-C7B1-47D3-B67F-A62EFF666E3E}">
          <x14:id>{CA7EB189-D4A1-4571-AA67-8B1187657227}</x14:id>
        </ext>
      </extLst>
    </cfRule>
  </conditionalFormatting>
  <conditionalFormatting sqref="R33:Y36 M39:O43 R37:U4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{DE2FEDB9-649F-4C07-9B2B-CDBA23096017}</x14:id>
        </ext>
      </extLst>
    </cfRule>
  </conditionalFormatting>
  <conditionalFormatting sqref="AB37:AB44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{DA999443-8BEB-4C0E-BB95-5EE61A0BA554}</x14:id>
        </ext>
      </extLst>
    </cfRule>
  </conditionalFormatting>
  <pageMargins left="0.75" right="0.75" top="1" bottom="1" header="0.5" footer="0.5"/>
  <pageSetup orientation="portrait" r:id="rId1"/>
  <headerFooter alignWithMargins="0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42EA44-1A20-45E4-BB6C-1D79E754D2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B5:B6 A39:B43 A33:B36 A38 A4:A32 F2 C5:E5 A2 B4:F4</xm:sqref>
        </x14:conditionalFormatting>
        <x14:conditionalFormatting xmlns:xm="http://schemas.microsoft.com/office/excel/2006/main">
          <x14:cfRule type="dataBar" id="{A6FF877C-8E49-4C14-8CD4-559F8DF854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C33:C34</xm:sqref>
        </x14:conditionalFormatting>
        <x14:conditionalFormatting xmlns:xm="http://schemas.microsoft.com/office/excel/2006/main">
          <x14:cfRule type="dataBar" id="{03798559-3FF2-4518-81EC-9A2F2B1F50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C39:C43 C8:E32</xm:sqref>
        </x14:conditionalFormatting>
        <x14:conditionalFormatting xmlns:xm="http://schemas.microsoft.com/office/excel/2006/main">
          <x14:cfRule type="dataBar" id="{ADC6B979-7EA5-46CB-8026-E42C23384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D3:F3</xm:sqref>
        </x14:conditionalFormatting>
        <x14:conditionalFormatting xmlns:xm="http://schemas.microsoft.com/office/excel/2006/main">
          <x14:cfRule type="dataBar" id="{ADF7C517-1AC8-483B-9CCA-CE45E49AC674}">
            <x14:dataBar minLength="0" maxLength="100" gradient="0">
              <x14:cfvo type="autoMin"/>
              <x14:cfvo type="autoMax"/>
              <x14:negativeFillColor theme="5"/>
              <x14:axisColor rgb="FF000000"/>
            </x14:dataBar>
          </x14:cfRule>
          <xm:sqref>F8:G32</xm:sqref>
        </x14:conditionalFormatting>
        <x14:conditionalFormatting xmlns:xm="http://schemas.microsoft.com/office/excel/2006/main">
          <x14:cfRule type="dataBar" id="{98F0CFFA-6553-4E38-84D6-18AE8FE83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F33:H33</xm:sqref>
        </x14:conditionalFormatting>
        <x14:conditionalFormatting xmlns:xm="http://schemas.microsoft.com/office/excel/2006/main">
          <x14:cfRule type="dataBar" id="{770D7C80-F2F9-468C-80D9-37466CD49A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</xm:sqref>
        </x14:conditionalFormatting>
        <x14:conditionalFormatting xmlns:xm="http://schemas.microsoft.com/office/excel/2006/main">
          <x14:cfRule type="dataBar" id="{7CDF232F-9FE3-495F-B1E1-76AC3FC79E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</xm:sqref>
        </x14:conditionalFormatting>
        <x14:conditionalFormatting xmlns:xm="http://schemas.microsoft.com/office/excel/2006/main">
          <x14:cfRule type="dataBar" id="{1498E338-6405-4E9C-9714-3455DDB74D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G3:H3</xm:sqref>
        </x14:conditionalFormatting>
        <x14:conditionalFormatting xmlns:xm="http://schemas.microsoft.com/office/excel/2006/main">
          <x14:cfRule type="dataBar" id="{488C02EF-A4BB-47E2-B548-AD769F222D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</xm:sqref>
        </x14:conditionalFormatting>
        <x14:conditionalFormatting xmlns:xm="http://schemas.microsoft.com/office/excel/2006/main">
          <x14:cfRule type="dataBar" id="{D7F5D0C8-AFA5-41B5-A8C1-CD8CEF5C33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</xm:sqref>
        </x14:conditionalFormatting>
        <x14:conditionalFormatting xmlns:xm="http://schemas.microsoft.com/office/excel/2006/main">
          <x14:cfRule type="dataBar" id="{19B22A30-6CC9-4CF0-81EE-B3AA974A596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H8:H32</xm:sqref>
        </x14:conditionalFormatting>
        <x14:conditionalFormatting xmlns:xm="http://schemas.microsoft.com/office/excel/2006/main">
          <x14:cfRule type="dataBar" id="{3266BB1D-B380-46A3-A6F0-6AB7A9D724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</xm:sqref>
        </x14:conditionalFormatting>
        <x14:conditionalFormatting xmlns:xm="http://schemas.microsoft.com/office/excel/2006/main">
          <x14:cfRule type="dataBar" id="{9BBDAAD7-FD76-4D64-9D6D-7CDF75499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</xm:sqref>
        </x14:conditionalFormatting>
        <x14:conditionalFormatting xmlns:xm="http://schemas.microsoft.com/office/excel/2006/main">
          <x14:cfRule type="dataBar" id="{1BF048ED-CC97-4323-ACA4-D6194BD6F7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I33:I34</xm:sqref>
        </x14:conditionalFormatting>
        <x14:conditionalFormatting xmlns:xm="http://schemas.microsoft.com/office/excel/2006/main">
          <x14:cfRule type="dataBar" id="{81F9B0A4-033A-490C-AB27-B3768FEF6C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I39:I43</xm:sqref>
        </x14:conditionalFormatting>
        <x14:conditionalFormatting xmlns:xm="http://schemas.microsoft.com/office/excel/2006/main">
          <x14:cfRule type="dataBar" id="{1A0CF469-605D-4B3E-ACAF-305A871DAB0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I8:J32</xm:sqref>
        </x14:conditionalFormatting>
        <x14:conditionalFormatting xmlns:xm="http://schemas.microsoft.com/office/excel/2006/main">
          <x14:cfRule type="dataBar" id="{015DCA71-AF25-436C-9350-A0E9C29092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E9E7AFC4-5CA6-4624-8B37-EA223F05AC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66A8D757-C954-47B6-880D-719CD611DF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J8:J32</xm:sqref>
        </x14:conditionalFormatting>
        <x14:conditionalFormatting xmlns:xm="http://schemas.microsoft.com/office/excel/2006/main">
          <x14:cfRule type="dataBar" id="{81FFF071-4343-4910-921C-4DBEFC8A25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J33:L34 J37:L39</xm:sqref>
        </x14:conditionalFormatting>
        <x14:conditionalFormatting xmlns:xm="http://schemas.microsoft.com/office/excel/2006/main">
          <x14:cfRule type="dataBar" id="{16B9D098-9017-4F19-B18C-F24381FB98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J40:L41</xm:sqref>
        </x14:conditionalFormatting>
        <x14:conditionalFormatting xmlns:xm="http://schemas.microsoft.com/office/excel/2006/main">
          <x14:cfRule type="dataBar" id="{0D00CA43-AB5F-4595-942B-D8202EC72F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J42:L43</xm:sqref>
        </x14:conditionalFormatting>
        <x14:conditionalFormatting xmlns:xm="http://schemas.microsoft.com/office/excel/2006/main">
          <x14:cfRule type="dataBar" id="{B343B0BB-DF44-422C-833D-D716FF9A1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K8:K32</xm:sqref>
        </x14:conditionalFormatting>
        <x14:conditionalFormatting xmlns:xm="http://schemas.microsoft.com/office/excel/2006/main">
          <x14:cfRule type="dataBar" id="{1F4B06AA-7F27-410B-8D81-706EBCFC61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L8:L32</xm:sqref>
        </x14:conditionalFormatting>
        <x14:conditionalFormatting xmlns:xm="http://schemas.microsoft.com/office/excel/2006/main">
          <x14:cfRule type="dataBar" id="{5969F72B-C78B-4475-A720-9E7E712B5C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FD7AFC4-FE35-4FD1-B806-A1BD42307D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M39:O43 J33:L34 J37:L39</xm:sqref>
        </x14:conditionalFormatting>
        <x14:conditionalFormatting xmlns:xm="http://schemas.microsoft.com/office/excel/2006/main">
          <x14:cfRule type="dataBar" id="{0DB60371-16A9-42B4-8E54-98237169ED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N7:O7</xm:sqref>
        </x14:conditionalFormatting>
        <x14:conditionalFormatting xmlns:xm="http://schemas.microsoft.com/office/excel/2006/main">
          <x14:cfRule type="dataBar" id="{C7201914-1E40-4A8D-AF85-1AF50B84DE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P7:Q7</xm:sqref>
        </x14:conditionalFormatting>
        <x14:conditionalFormatting xmlns:xm="http://schemas.microsoft.com/office/excel/2006/main">
          <x14:cfRule type="dataBar" id="{7621F398-E4EC-4ED1-8F53-E2EFB97C7B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B96E81-6264-419C-9CEF-5791E1C737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P39:Q43</xm:sqref>
        </x14:conditionalFormatting>
        <x14:conditionalFormatting xmlns:xm="http://schemas.microsoft.com/office/excel/2006/main">
          <x14:cfRule type="dataBar" id="{CA7EB189-D4A1-4571-AA67-8B11876572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Q8:Q32</xm:sqref>
        </x14:conditionalFormatting>
        <x14:conditionalFormatting xmlns:xm="http://schemas.microsoft.com/office/excel/2006/main">
          <x14:cfRule type="dataBar" id="{DE2FEDB9-649F-4C07-9B2B-CDBA23096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R33:Y36 M39:O43 R37:U43</xm:sqref>
        </x14:conditionalFormatting>
        <x14:conditionalFormatting xmlns:xm="http://schemas.microsoft.com/office/excel/2006/main">
          <x14:cfRule type="dataBar" id="{DA999443-8BEB-4C0E-BB95-5EE61A0BA5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AB37:AB44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3533-E478-4297-9CE2-F74148671C7F}">
  <sheetPr>
    <tabColor rgb="FFFF0000"/>
  </sheetPr>
  <dimension ref="B1:AB1059"/>
  <sheetViews>
    <sheetView zoomScale="85" zoomScaleNormal="85" workbookViewId="0">
      <selection activeCell="AA18" sqref="AA18"/>
    </sheetView>
  </sheetViews>
  <sheetFormatPr defaultRowHeight="15" x14ac:dyDescent="0.25"/>
  <cols>
    <col min="1" max="1" width="9.140625" style="160"/>
    <col min="2" max="2" width="7.85546875" style="160" customWidth="1"/>
    <col min="3" max="3" width="9.85546875" customWidth="1"/>
    <col min="4" max="4" width="9.85546875" style="160" customWidth="1"/>
    <col min="5" max="10" width="9.85546875" customWidth="1"/>
    <col min="11" max="11" width="9.85546875" style="160" customWidth="1"/>
    <col min="12" max="12" width="9.85546875" customWidth="1"/>
    <col min="13" max="13" width="9.85546875" style="251" customWidth="1"/>
    <col min="14" max="14" width="9.85546875" customWidth="1"/>
    <col min="15" max="16" width="9.28515625" customWidth="1"/>
    <col min="18" max="18" width="10.7109375" customWidth="1"/>
    <col min="19" max="19" width="14.42578125" style="160" customWidth="1"/>
    <col min="20" max="20" width="11.42578125" customWidth="1"/>
    <col min="21" max="21" width="10.140625" customWidth="1"/>
    <col min="23" max="23" width="9.85546875" style="160" customWidth="1"/>
    <col min="25" max="25" width="9.85546875" style="160" customWidth="1"/>
    <col min="26" max="27" width="9.85546875" customWidth="1"/>
    <col min="28" max="28" width="8.42578125" customWidth="1"/>
    <col min="29" max="16384" width="9.140625" style="160"/>
  </cols>
  <sheetData>
    <row r="1" spans="2:28" ht="15.75" x14ac:dyDescent="0.2">
      <c r="B1" s="158"/>
      <c r="C1" s="159">
        <v>0</v>
      </c>
      <c r="D1" s="159">
        <v>1</v>
      </c>
      <c r="E1" s="158"/>
      <c r="F1" s="158"/>
      <c r="G1" s="163" t="s">
        <v>55</v>
      </c>
      <c r="H1" s="163" t="s">
        <v>56</v>
      </c>
      <c r="I1" s="158"/>
      <c r="J1" s="158"/>
      <c r="K1" s="158"/>
      <c r="L1" s="158"/>
      <c r="M1" s="243"/>
      <c r="N1" s="160"/>
      <c r="O1" s="160"/>
      <c r="P1" s="160"/>
      <c r="Q1" s="160"/>
      <c r="R1" s="160"/>
      <c r="T1" s="160"/>
      <c r="U1" s="160"/>
      <c r="V1" s="160"/>
      <c r="X1" s="160"/>
      <c r="Z1" s="160"/>
      <c r="AA1" s="160"/>
      <c r="AB1" s="160"/>
    </row>
    <row r="2" spans="2:28" ht="15.75" x14ac:dyDescent="0.2">
      <c r="B2" s="161"/>
      <c r="C2" s="151">
        <f>AVERAGE(T._256[M1])</f>
        <v>-8</v>
      </c>
      <c r="D2" s="151">
        <f>_xlfn.STDEV.P(T._256[M1])</f>
        <v>7.2111025509279782</v>
      </c>
      <c r="E2" s="163">
        <f>COUNT(T._256[M1])</f>
        <v>25</v>
      </c>
      <c r="F2" s="163"/>
      <c r="G2" s="164">
        <v>0</v>
      </c>
      <c r="H2" s="164">
        <v>1</v>
      </c>
      <c r="I2" s="159"/>
      <c r="J2" s="163"/>
      <c r="K2" s="163"/>
      <c r="L2" s="151">
        <f>AVERAGE(T._256[Pc])</f>
        <v>-7</v>
      </c>
      <c r="M2" s="151">
        <f>_xlfn.STDEV.P(T._256[Pc])</f>
        <v>3.6055512754639891</v>
      </c>
      <c r="N2" s="160"/>
      <c r="O2" s="160"/>
      <c r="P2" s="160"/>
      <c r="Q2" s="160"/>
      <c r="R2" s="160"/>
      <c r="T2" s="160"/>
      <c r="U2" s="160"/>
      <c r="V2" s="160"/>
      <c r="X2" s="160"/>
      <c r="Z2" s="160"/>
      <c r="AA2" s="160"/>
      <c r="AB2" s="160"/>
    </row>
    <row r="3" spans="2:28" ht="25.5" customHeight="1" x14ac:dyDescent="0.2">
      <c r="B3" s="162"/>
      <c r="C3" s="165" t="s">
        <v>53</v>
      </c>
      <c r="D3" s="165" t="s">
        <v>54</v>
      </c>
      <c r="E3" s="240"/>
      <c r="F3" s="240"/>
      <c r="G3" s="166" t="s">
        <v>53</v>
      </c>
      <c r="H3" s="166" t="s">
        <v>54</v>
      </c>
      <c r="I3" s="159"/>
      <c r="J3" s="163"/>
      <c r="K3" s="163"/>
      <c r="L3" s="277">
        <f>L2/C2</f>
        <v>0.875</v>
      </c>
      <c r="M3" s="277">
        <f>M2/D2</f>
        <v>0.5</v>
      </c>
      <c r="N3" s="160"/>
      <c r="O3" s="160"/>
      <c r="P3" s="160"/>
      <c r="Q3" s="160"/>
      <c r="R3" s="160"/>
      <c r="T3" s="160"/>
      <c r="U3" s="160"/>
      <c r="V3" s="160"/>
      <c r="X3" s="160"/>
      <c r="Z3" s="160"/>
      <c r="AA3" s="160"/>
      <c r="AB3" s="160"/>
    </row>
    <row r="4" spans="2:28" ht="27.75" customHeight="1" x14ac:dyDescent="0.2">
      <c r="B4" s="161"/>
      <c r="C4" s="161"/>
      <c r="D4" s="161"/>
      <c r="E4" s="161"/>
      <c r="F4" s="161"/>
      <c r="G4" s="208"/>
      <c r="H4" s="208"/>
      <c r="I4" s="159"/>
      <c r="J4" s="163"/>
      <c r="K4" s="163"/>
      <c r="L4" s="163"/>
      <c r="M4" s="163"/>
      <c r="N4" s="160"/>
      <c r="O4" s="160"/>
      <c r="P4" s="160"/>
      <c r="Q4" s="160"/>
      <c r="R4" s="160"/>
      <c r="T4" s="160"/>
      <c r="U4" s="160"/>
      <c r="V4" s="160"/>
      <c r="X4" s="160"/>
      <c r="Z4" s="160"/>
      <c r="AA4" s="160"/>
      <c r="AB4" s="160"/>
    </row>
    <row r="5" spans="2:28" ht="24.75" customHeight="1" x14ac:dyDescent="0.2">
      <c r="B5" s="161"/>
      <c r="C5" s="161"/>
      <c r="D5" s="161"/>
      <c r="E5" s="161"/>
      <c r="F5" s="161"/>
      <c r="G5" s="208"/>
      <c r="H5" s="208"/>
      <c r="I5" s="159"/>
      <c r="J5" s="159"/>
      <c r="K5" s="159"/>
      <c r="L5" s="159"/>
      <c r="M5" s="247"/>
      <c r="N5" s="160"/>
      <c r="O5" s="160"/>
      <c r="P5" s="160"/>
      <c r="Q5" s="160"/>
      <c r="R5" s="160"/>
      <c r="T5" s="160"/>
      <c r="U5" s="160"/>
      <c r="V5" s="160"/>
      <c r="X5" s="160"/>
      <c r="Z5" s="160"/>
      <c r="AA5" s="160"/>
      <c r="AB5" s="160"/>
    </row>
    <row r="6" spans="2:28" ht="24.75" customHeight="1" x14ac:dyDescent="0.2">
      <c r="B6" s="161"/>
      <c r="C6" s="161"/>
      <c r="D6" s="207"/>
      <c r="E6" s="207"/>
      <c r="F6" s="207"/>
      <c r="G6" s="207"/>
      <c r="H6" s="207"/>
      <c r="I6" s="159"/>
      <c r="J6" s="159"/>
      <c r="K6" s="159"/>
      <c r="L6" s="159"/>
      <c r="M6" s="247"/>
      <c r="N6" s="160"/>
      <c r="O6" s="160"/>
      <c r="P6" s="160"/>
      <c r="Q6" s="160"/>
      <c r="R6" s="160"/>
      <c r="T6" s="160"/>
      <c r="U6" s="160"/>
      <c r="V6" s="160"/>
      <c r="X6" s="160"/>
      <c r="Z6" s="160"/>
      <c r="AA6" s="160"/>
      <c r="AB6" s="160"/>
    </row>
    <row r="7" spans="2:28" ht="35.25" customHeight="1" x14ac:dyDescent="0.2">
      <c r="B7" s="161"/>
      <c r="C7" s="261" t="s">
        <v>103</v>
      </c>
      <c r="D7" s="262" t="s">
        <v>69</v>
      </c>
      <c r="E7" s="262" t="s">
        <v>70</v>
      </c>
      <c r="F7" s="262" t="s">
        <v>99</v>
      </c>
      <c r="G7" s="221" t="s">
        <v>108</v>
      </c>
      <c r="H7" s="269" t="s">
        <v>107</v>
      </c>
      <c r="I7" s="281" t="s">
        <v>105</v>
      </c>
      <c r="J7" s="281" t="s">
        <v>106</v>
      </c>
      <c r="K7" s="275" t="s">
        <v>102</v>
      </c>
      <c r="L7" s="265" t="s">
        <v>100</v>
      </c>
      <c r="M7" s="265" t="s">
        <v>104</v>
      </c>
      <c r="N7" s="160"/>
      <c r="O7" s="160"/>
      <c r="P7" s="160"/>
      <c r="Q7" s="160"/>
      <c r="R7" s="160"/>
      <c r="T7" s="160"/>
      <c r="U7" s="160"/>
      <c r="V7" s="160"/>
      <c r="X7" s="160"/>
      <c r="Z7" s="160"/>
      <c r="AA7" s="160"/>
      <c r="AB7" s="160"/>
    </row>
    <row r="8" spans="2:28" ht="12.75" x14ac:dyDescent="0.2">
      <c r="B8" s="161"/>
      <c r="C8" s="170">
        <v>-20</v>
      </c>
      <c r="D8" s="69">
        <f>(T._256[[#This Row],[M1]]-AVERAGE(T._256[M1]))/_xlfn.STDEV.P(T._256[M1])</f>
        <v>-1.6641005886756874</v>
      </c>
      <c r="E8" s="69">
        <f>(T._256[[#This Row],[M1]]-AVERAGE(T._256[M1]))/(_xlfn.STDEV.P(T._256[M1])*$E$1005+$D$1005)</f>
        <v>-0.83205029433784372</v>
      </c>
      <c r="F8" s="69">
        <f>IF($E$1005&lt;1,(T._256[[#This Row],[M1]]-AVERAGE(T._256[M1]))/(_xlfn.STDEV.P(T._256[M1])*(1/$E$1005)+$D$1005),T._256[[#This Row],[Zb]])</f>
        <v>-0.83205029433784372</v>
      </c>
      <c r="G8" s="70">
        <f>2*NORMDIST(T._256[[#This Row],[Za]],0,1,FALSE)</f>
        <v>0.19980632886664731</v>
      </c>
      <c r="H8" s="270">
        <f>IF($E$1005&lt;1,2*NORMDIST(T._256[[#This Row],[Zc]],0,$E$1006,FALSE),2*NORMDIST(T._256[[#This Row],[Zb]],0,1,FALSE))</f>
        <v>0.56442644851933488</v>
      </c>
      <c r="I8" s="172">
        <f>NORMSDIST(T._256[[#This Row],[Za]])</f>
        <v>4.8046164727836627E-2</v>
      </c>
      <c r="J8" s="172">
        <f>IF($E$1005&lt;1,NORMSDIST(T._256[[#This Row],[Zc]]),NORMSDIST(T._256[[#This Row],[Zb]]))</f>
        <v>0.20269027822947119</v>
      </c>
      <c r="K8" s="274">
        <f>$D$1006+(AVERAGE(T._256[M1]))+T._256[[#This Row],[Zb]]*(_xlfn.STDEV.P(T._256[M1]))</f>
        <v>-13</v>
      </c>
      <c r="L8" s="267">
        <f>ABS(T._256[[#This Row],[Pc]]-T._256[[#This Row],[M1]])*1/T._256[[#This Row],[PDFb]]</f>
        <v>12.401970209516518</v>
      </c>
      <c r="M8" s="268">
        <f>IF($E$1005&lt;&gt;1,T._256[[#This Row],[W]]/MAX(T._256[W])*0.94+0.01,1-T._256[[#This Row],[PDFb]])</f>
        <v>0.95</v>
      </c>
      <c r="N8" s="160"/>
      <c r="O8" s="160"/>
      <c r="P8" s="160"/>
      <c r="Q8" s="160"/>
      <c r="R8" s="160"/>
      <c r="T8" s="160"/>
      <c r="U8" s="160"/>
      <c r="V8" s="160"/>
      <c r="X8" s="160"/>
      <c r="Z8" s="160"/>
      <c r="AA8" s="160"/>
      <c r="AB8" s="160"/>
    </row>
    <row r="9" spans="2:28" ht="12.75" x14ac:dyDescent="0.2">
      <c r="B9" s="161"/>
      <c r="C9" s="170">
        <f>C8+1</f>
        <v>-19</v>
      </c>
      <c r="D9" s="69">
        <f>(T._256[[#This Row],[M1]]-AVERAGE(T._256[M1]))/_xlfn.STDEV.P(T._256[M1])</f>
        <v>-1.5254255396193801</v>
      </c>
      <c r="E9" s="69">
        <f>(T._256[[#This Row],[M1]]-AVERAGE(T._256[M1]))/(_xlfn.STDEV.P(T._256[M1])*$E$1005+$D$1005)</f>
        <v>-0.76271276980969005</v>
      </c>
      <c r="F9" s="69">
        <f>IF($E$1005&lt;1,(T._256[[#This Row],[M1]]-AVERAGE(T._256[M1]))/(_xlfn.STDEV.P(T._256[M1])*(1/$E$1005)+$D$1005),T._256[[#This Row],[Zb]])</f>
        <v>-0.76271276980969005</v>
      </c>
      <c r="G9" s="70">
        <f>2*NORMDIST(T._256[[#This Row],[Za]],0,1,FALSE)</f>
        <v>0.24926146053767562</v>
      </c>
      <c r="H9" s="270">
        <f>IF($E$1005&lt;1,2*NORMDIST(T._256[[#This Row],[Zc]],0,$E$1006,FALSE),2*NORMDIST(T._256[[#This Row],[Zb]],0,1,FALSE))</f>
        <v>0.59651151267088631</v>
      </c>
      <c r="I9" s="172">
        <f>NORMSDIST(T._256[[#This Row],[Za]])</f>
        <v>6.3576496300007113E-2</v>
      </c>
      <c r="J9" s="172">
        <f>IF($E$1005&lt;1,NORMSDIST(T._256[[#This Row],[Zc]]),NORMSDIST(T._256[[#This Row],[Zb]]))</f>
        <v>0.22281735660347199</v>
      </c>
      <c r="K9" s="274">
        <f>$D$1006+(AVERAGE(T._256[M1]))+T._256[[#This Row],[Zb]]*(_xlfn.STDEV.P(T._256[M1]))</f>
        <v>-12.5</v>
      </c>
      <c r="L9" s="267">
        <f>ABS(T._256[[#This Row],[Pc]]-T._256[[#This Row],[M1]])*1/T._256[[#This Row],[PDFb]]</f>
        <v>10.896688264902355</v>
      </c>
      <c r="M9" s="268">
        <f>IF($E$1005&lt;&gt;1,T._256[[#This Row],[W]]/MAX(T._256[W])*0.94+0.01,1-T._256[[#This Row],[PDFb]])</f>
        <v>0.83590804492889725</v>
      </c>
      <c r="N9" s="160"/>
      <c r="O9" s="160"/>
      <c r="P9" s="160"/>
      <c r="Q9" s="160"/>
      <c r="R9" s="160"/>
      <c r="T9" s="160"/>
      <c r="U9" s="160"/>
      <c r="V9" s="160"/>
      <c r="X9" s="160"/>
      <c r="Z9" s="160"/>
      <c r="AA9" s="160"/>
      <c r="AB9" s="160"/>
    </row>
    <row r="10" spans="2:28" ht="12.75" x14ac:dyDescent="0.2">
      <c r="B10" s="161"/>
      <c r="C10" s="170">
        <f t="shared" ref="C10:C32" si="0">C9+1</f>
        <v>-18</v>
      </c>
      <c r="D10" s="69">
        <f>(T._256[[#This Row],[M1]]-AVERAGE(T._256[M1]))/_xlfn.STDEV.P(T._256[M1])</f>
        <v>-1.386750490563073</v>
      </c>
      <c r="E10" s="69">
        <f>(T._256[[#This Row],[M1]]-AVERAGE(T._256[M1]))/(_xlfn.STDEV.P(T._256[M1])*$E$1005+$D$1005)</f>
        <v>-0.69337524528153649</v>
      </c>
      <c r="F10" s="69">
        <f>IF($E$1005&lt;1,(T._256[[#This Row],[M1]]-AVERAGE(T._256[M1]))/(_xlfn.STDEV.P(T._256[M1])*(1/$E$1005)+$D$1005),T._256[[#This Row],[Zb]])</f>
        <v>-0.69337524528153649</v>
      </c>
      <c r="G10" s="70">
        <f>2*NORMDIST(T._256[[#This Row],[Za]],0,1,FALSE)</f>
        <v>0.30503467686955649</v>
      </c>
      <c r="H10" s="270">
        <f>IF($E$1005&lt;1,2*NORMDIST(T._256[[#This Row],[Zc]],0,$E$1006,FALSE),2*NORMDIST(T._256[[#This Row],[Zb]],0,1,FALSE))</f>
        <v>0.62739687254190113</v>
      </c>
      <c r="I10" s="172">
        <f>NORMSDIST(T._256[[#This Row],[Za]])</f>
        <v>8.275892934873498E-2</v>
      </c>
      <c r="J10" s="172">
        <f>IF($E$1005&lt;1,NORMSDIST(T._256[[#This Row],[Zc]]),NORMSDIST(T._256[[#This Row],[Zb]]))</f>
        <v>0.24403704658262404</v>
      </c>
      <c r="K10" s="274">
        <f>$D$1006+(AVERAGE(T._256[M1]))+T._256[[#This Row],[Zb]]*(_xlfn.STDEV.P(T._256[M1]))</f>
        <v>-12</v>
      </c>
      <c r="L10" s="267">
        <f>ABS(T._256[[#This Row],[Pc]]-T._256[[#This Row],[M1]])*1/T._256[[#This Row],[PDFb]]</f>
        <v>9.5633246874358395</v>
      </c>
      <c r="M10" s="268">
        <f>IF($E$1005&lt;&gt;1,T._256[[#This Row],[W]]/MAX(T._256[W])*0.94+0.01,1-T._256[[#This Row],[PDFb]])</f>
        <v>0.73484654085781254</v>
      </c>
      <c r="N10" s="160"/>
      <c r="O10" s="160"/>
      <c r="P10" s="160"/>
      <c r="Q10" s="160"/>
      <c r="R10" s="160"/>
      <c r="T10" s="160"/>
      <c r="U10" s="160"/>
      <c r="V10" s="160"/>
      <c r="X10" s="160"/>
      <c r="Z10" s="160"/>
      <c r="AA10" s="160"/>
      <c r="AB10" s="160"/>
    </row>
    <row r="11" spans="2:28" ht="12.75" x14ac:dyDescent="0.2">
      <c r="B11" s="161"/>
      <c r="C11" s="170">
        <f t="shared" si="0"/>
        <v>-17</v>
      </c>
      <c r="D11" s="69">
        <f>(T._256[[#This Row],[M1]]-AVERAGE(T._256[M1]))/_xlfn.STDEV.P(T._256[M1])</f>
        <v>-1.2480754415067656</v>
      </c>
      <c r="E11" s="69">
        <f>(T._256[[#This Row],[M1]]-AVERAGE(T._256[M1]))/(_xlfn.STDEV.P(T._256[M1])*$E$1005+$D$1005)</f>
        <v>-0.62403772075338282</v>
      </c>
      <c r="F11" s="69">
        <f>IF($E$1005&lt;1,(T._256[[#This Row],[M1]]-AVERAGE(T._256[M1]))/(_xlfn.STDEV.P(T._256[M1])*(1/$E$1005)+$D$1005),T._256[[#This Row],[Zb]])</f>
        <v>-0.62403772075338282</v>
      </c>
      <c r="G11" s="70">
        <f>2*NORMDIST(T._256[[#This Row],[Za]],0,1,FALSE)</f>
        <v>0.36617734766050086</v>
      </c>
      <c r="H11" s="270">
        <f>IF($E$1005&lt;1,2*NORMDIST(T._256[[#This Row],[Zc]],0,$E$1006,FALSE),2*NORMDIST(T._256[[#This Row],[Zb]],0,1,FALSE))</f>
        <v>0.65671647988244053</v>
      </c>
      <c r="I11" s="172">
        <f>NORMSDIST(T._256[[#This Row],[Za]])</f>
        <v>0.10600171546141283</v>
      </c>
      <c r="J11" s="172">
        <f>IF($E$1005&lt;1,NORMSDIST(T._256[[#This Row],[Zc]]),NORMSDIST(T._256[[#This Row],[Zb]]))</f>
        <v>0.26630140646823697</v>
      </c>
      <c r="K11" s="274">
        <f>$D$1006+(AVERAGE(T._256[M1]))+T._256[[#This Row],[Zb]]*(_xlfn.STDEV.P(T._256[M1]))</f>
        <v>-11.5</v>
      </c>
      <c r="L11" s="267">
        <f>ABS(T._256[[#This Row],[Pc]]-T._256[[#This Row],[M1]])*1/T._256[[#This Row],[PDFb]]</f>
        <v>8.3749992096811106</v>
      </c>
      <c r="M11" s="268">
        <f>IF($E$1005&lt;&gt;1,T._256[[#This Row],[W]]/MAX(T._256[W])*0.94+0.01,1-T._256[[#This Row],[PDFb]])</f>
        <v>0.64477811380802763</v>
      </c>
      <c r="N11" s="160"/>
      <c r="O11" s="160"/>
      <c r="P11" s="160"/>
      <c r="Q11" s="160"/>
      <c r="R11" s="160"/>
      <c r="T11" s="160"/>
      <c r="U11" s="160"/>
      <c r="V11" s="160"/>
      <c r="X11" s="160"/>
      <c r="Z11" s="160"/>
      <c r="AA11" s="160"/>
      <c r="AB11" s="160"/>
    </row>
    <row r="12" spans="2:28" ht="12.75" x14ac:dyDescent="0.2">
      <c r="B12" s="161"/>
      <c r="C12" s="170">
        <f t="shared" si="0"/>
        <v>-16</v>
      </c>
      <c r="D12" s="69">
        <f>(T._256[[#This Row],[M1]]-AVERAGE(T._256[M1]))/_xlfn.STDEV.P(T._256[M1])</f>
        <v>-1.1094003924504583</v>
      </c>
      <c r="E12" s="69">
        <f>(T._256[[#This Row],[M1]]-AVERAGE(T._256[M1]))/(_xlfn.STDEV.P(T._256[M1])*$E$1005+$D$1005)</f>
        <v>-0.55470019622522915</v>
      </c>
      <c r="F12" s="69">
        <f>IF($E$1005&lt;1,(T._256[[#This Row],[M1]]-AVERAGE(T._256[M1]))/(_xlfn.STDEV.P(T._256[M1])*(1/$E$1005)+$D$1005),T._256[[#This Row],[Zb]])</f>
        <v>-0.55470019622522915</v>
      </c>
      <c r="G12" s="70">
        <f>2*NORMDIST(T._256[[#This Row],[Za]],0,1,FALSE)</f>
        <v>0.43120314404503474</v>
      </c>
      <c r="H12" s="270">
        <f>IF($E$1005&lt;1,2*NORMDIST(T._256[[#This Row],[Zc]],0,$E$1006,FALSE),2*NORMDIST(T._256[[#This Row],[Zb]],0,1,FALSE))</f>
        <v>0.68410934946998414</v>
      </c>
      <c r="I12" s="172">
        <f>NORMSDIST(T._256[[#This Row],[Za]])</f>
        <v>0.1336287465771939</v>
      </c>
      <c r="J12" s="172">
        <f>IF($E$1005&lt;1,NORMSDIST(T._256[[#This Row],[Zc]]),NORMSDIST(T._256[[#This Row],[Zb]]))</f>
        <v>0.28954987097695939</v>
      </c>
      <c r="K12" s="274">
        <f>$D$1006+(AVERAGE(T._256[M1]))+T._256[[#This Row],[Zb]]*(_xlfn.STDEV.P(T._256[M1]))</f>
        <v>-11</v>
      </c>
      <c r="L12" s="267">
        <f>ABS(T._256[[#This Row],[Pc]]-T._256[[#This Row],[M1]])*1/T._256[[#This Row],[PDFb]]</f>
        <v>7.308773084118446</v>
      </c>
      <c r="M12" s="268">
        <f>IF($E$1005&lt;&gt;1,T._256[[#This Row],[W]]/MAX(T._256[W])*0.94+0.01,1-T._256[[#This Row],[PDFb]])</f>
        <v>0.56396413497264564</v>
      </c>
      <c r="N12" s="160"/>
      <c r="O12" s="160"/>
      <c r="P12" s="160"/>
      <c r="Q12" s="160"/>
      <c r="R12" s="160"/>
      <c r="T12" s="160"/>
      <c r="U12" s="160"/>
      <c r="V12" s="160"/>
      <c r="X12" s="160"/>
      <c r="Z12" s="160"/>
      <c r="AA12" s="160"/>
      <c r="AB12" s="160"/>
    </row>
    <row r="13" spans="2:28" ht="12.75" x14ac:dyDescent="0.2">
      <c r="B13" s="161"/>
      <c r="C13" s="170">
        <f t="shared" si="0"/>
        <v>-15</v>
      </c>
      <c r="D13" s="69">
        <f>(T._256[[#This Row],[M1]]-AVERAGE(T._256[M1]))/_xlfn.STDEV.P(T._256[M1])</f>
        <v>-0.97072534339415106</v>
      </c>
      <c r="E13" s="69">
        <f>(T._256[[#This Row],[M1]]-AVERAGE(T._256[M1]))/(_xlfn.STDEV.P(T._256[M1])*$E$1005+$D$1005)</f>
        <v>-0.48536267169707553</v>
      </c>
      <c r="F13" s="69">
        <f>IF($E$1005&lt;1,(T._256[[#This Row],[M1]]-AVERAGE(T._256[M1]))/(_xlfn.STDEV.P(T._256[M1])*(1/$E$1005)+$D$1005),T._256[[#This Row],[Zb]])</f>
        <v>-0.48536267169707553</v>
      </c>
      <c r="G13" s="70">
        <f>2*NORMDIST(T._256[[#This Row],[Za]],0,1,FALSE)</f>
        <v>0.49810459255513656</v>
      </c>
      <c r="H13" s="270">
        <f>IF($E$1005&lt;1,2*NORMDIST(T._256[[#This Row],[Zc]],0,$E$1006,FALSE),2*NORMDIST(T._256[[#This Row],[Zb]],0,1,FALSE))</f>
        <v>0.70922687252184125</v>
      </c>
      <c r="I13" s="172">
        <f>NORMSDIST(T._256[[#This Row],[Za]])</f>
        <v>0.16584253402843122</v>
      </c>
      <c r="J13" s="172">
        <f>IF($E$1005&lt;1,NORMSDIST(T._256[[#This Row],[Zc]]),NORMSDIST(T._256[[#This Row],[Zb]]))</f>
        <v>0.31370955318304983</v>
      </c>
      <c r="K13" s="274">
        <f>$D$1006+(AVERAGE(T._256[M1]))+T._256[[#This Row],[Zb]]*(_xlfn.STDEV.P(T._256[M1]))</f>
        <v>-10.5</v>
      </c>
      <c r="L13" s="267">
        <f>ABS(T._256[[#This Row],[Pc]]-T._256[[#This Row],[M1]])*1/T._256[[#This Row],[PDFb]]</f>
        <v>6.3449372469476168</v>
      </c>
      <c r="M13" s="268">
        <f>IF($E$1005&lt;&gt;1,T._256[[#This Row],[W]]/MAX(T._256[W])*0.94+0.01,1-T._256[[#This Row],[PDFb]])</f>
        <v>0.49091076751290397</v>
      </c>
      <c r="N13" s="160"/>
      <c r="O13" s="160"/>
      <c r="P13" s="160"/>
      <c r="Q13" s="160"/>
      <c r="R13" s="160"/>
      <c r="T13" s="160"/>
      <c r="U13" s="160"/>
      <c r="V13" s="160"/>
      <c r="X13" s="160"/>
      <c r="Z13" s="160"/>
      <c r="AA13" s="160"/>
      <c r="AB13" s="160"/>
    </row>
    <row r="14" spans="2:28" ht="12.75" x14ac:dyDescent="0.2">
      <c r="B14" s="161"/>
      <c r="C14" s="170">
        <f t="shared" si="0"/>
        <v>-14</v>
      </c>
      <c r="D14" s="69">
        <f>(T._256[[#This Row],[M1]]-AVERAGE(T._256[M1]))/_xlfn.STDEV.P(T._256[M1])</f>
        <v>-0.83205029433784372</v>
      </c>
      <c r="E14" s="69">
        <f>(T._256[[#This Row],[M1]]-AVERAGE(T._256[M1]))/(_xlfn.STDEV.P(T._256[M1])*$E$1005+$D$1005)</f>
        <v>-0.41602514716892186</v>
      </c>
      <c r="F14" s="69">
        <f>IF($E$1005&lt;1,(T._256[[#This Row],[M1]]-AVERAGE(T._256[M1]))/(_xlfn.STDEV.P(T._256[M1])*(1/$E$1005)+$D$1005),T._256[[#This Row],[Zb]])</f>
        <v>-0.41602514716892186</v>
      </c>
      <c r="G14" s="70">
        <f>2*NORMDIST(T._256[[#This Row],[Za]],0,1,FALSE)</f>
        <v>0.56442644851933488</v>
      </c>
      <c r="H14" s="270">
        <f>IF($E$1005&lt;1,2*NORMDIST(T._256[[#This Row],[Zc]],0,$E$1006,FALSE),2*NORMDIST(T._256[[#This Row],[Zb]],0,1,FALSE))</f>
        <v>0.73174015014561622</v>
      </c>
      <c r="I14" s="172">
        <f>NORMSDIST(T._256[[#This Row],[Za]])</f>
        <v>0.20269027822947119</v>
      </c>
      <c r="J14" s="172">
        <f>IF($E$1005&lt;1,NORMSDIST(T._256[[#This Row],[Zc]]),NORMSDIST(T._256[[#This Row],[Zb]]))</f>
        <v>0.33869580096313867</v>
      </c>
      <c r="K14" s="274">
        <f>$D$1006+(AVERAGE(T._256[M1]))+T._256[[#This Row],[Zb]]*(_xlfn.STDEV.P(T._256[M1]))</f>
        <v>-10</v>
      </c>
      <c r="L14" s="267">
        <f>ABS(T._256[[#This Row],[Pc]]-T._256[[#This Row],[M1]])*1/T._256[[#This Row],[PDFb]]</f>
        <v>5.4664213781408613</v>
      </c>
      <c r="M14" s="268">
        <f>IF($E$1005&lt;&gt;1,T._256[[#This Row],[W]]/MAX(T._256[W])*0.94+0.01,1-T._256[[#This Row],[PDFb]])</f>
        <v>0.42432417661425165</v>
      </c>
      <c r="N14" s="160"/>
      <c r="O14" s="160"/>
      <c r="P14" s="160"/>
      <c r="Q14" s="160"/>
      <c r="R14" s="160"/>
      <c r="T14" s="160"/>
      <c r="U14" s="160"/>
      <c r="V14" s="160"/>
      <c r="X14" s="160"/>
      <c r="Z14" s="160"/>
      <c r="AA14" s="160"/>
      <c r="AB14" s="160"/>
    </row>
    <row r="15" spans="2:28" ht="12.75" x14ac:dyDescent="0.2">
      <c r="B15" s="161"/>
      <c r="C15" s="170">
        <f t="shared" si="0"/>
        <v>-13</v>
      </c>
      <c r="D15" s="69">
        <f>(T._256[[#This Row],[M1]]-AVERAGE(T._256[M1]))/_xlfn.STDEV.P(T._256[M1])</f>
        <v>-0.69337524528153649</v>
      </c>
      <c r="E15" s="69">
        <f>(T._256[[#This Row],[M1]]-AVERAGE(T._256[M1]))/(_xlfn.STDEV.P(T._256[M1])*$E$1005+$D$1005)</f>
        <v>-0.34668762264076824</v>
      </c>
      <c r="F15" s="69">
        <f>IF($E$1005&lt;1,(T._256[[#This Row],[M1]]-AVERAGE(T._256[M1]))/(_xlfn.STDEV.P(T._256[M1])*(1/$E$1005)+$D$1005),T._256[[#This Row],[Zb]])</f>
        <v>-0.34668762264076824</v>
      </c>
      <c r="G15" s="70">
        <f>2*NORMDIST(T._256[[#This Row],[Za]],0,1,FALSE)</f>
        <v>0.62739687254190113</v>
      </c>
      <c r="H15" s="270">
        <f>IF($E$1005&lt;1,2*NORMDIST(T._256[[#This Row],[Zc]],0,$E$1006,FALSE),2*NORMDIST(T._256[[#This Row],[Zb]],0,1,FALSE))</f>
        <v>0.75134713286853705</v>
      </c>
      <c r="I15" s="172">
        <f>NORMSDIST(T._256[[#This Row],[Za]])</f>
        <v>0.24403704658262404</v>
      </c>
      <c r="J15" s="172">
        <f>IF($E$1005&lt;1,NORMSDIST(T._256[[#This Row],[Zc]]),NORMSDIST(T._256[[#This Row],[Zb]]))</f>
        <v>0.36441300494615936</v>
      </c>
      <c r="K15" s="274">
        <f>$D$1006+(AVERAGE(T._256[M1]))+T._256[[#This Row],[Zb]]*(_xlfn.STDEV.P(T._256[M1]))</f>
        <v>-9.5</v>
      </c>
      <c r="L15" s="267">
        <f>ABS(T._256[[#This Row],[Pc]]-T._256[[#This Row],[M1]])*1/T._256[[#This Row],[PDFb]]</f>
        <v>4.6582995354457468</v>
      </c>
      <c r="M15" s="268">
        <f>IF($E$1005&lt;&gt;1,T._256[[#This Row],[W]]/MAX(T._256[W])*0.94+0.01,1-T._256[[#This Row],[PDFb]])</f>
        <v>0.3630730593078651</v>
      </c>
      <c r="N15" s="160"/>
      <c r="O15" s="160"/>
      <c r="P15" s="160"/>
      <c r="Q15" s="160"/>
      <c r="R15" s="160"/>
      <c r="T15" s="160"/>
      <c r="U15" s="160"/>
      <c r="V15" s="160"/>
      <c r="X15" s="160"/>
      <c r="Z15" s="160"/>
      <c r="AA15" s="160"/>
      <c r="AB15" s="160"/>
    </row>
    <row r="16" spans="2:28" ht="12.75" x14ac:dyDescent="0.2">
      <c r="B16" s="161"/>
      <c r="C16" s="170">
        <f t="shared" si="0"/>
        <v>-12</v>
      </c>
      <c r="D16" s="69">
        <f>(T._256[[#This Row],[M1]]-AVERAGE(T._256[M1]))/_xlfn.STDEV.P(T._256[M1])</f>
        <v>-0.55470019622522915</v>
      </c>
      <c r="E16" s="69">
        <f>(T._256[[#This Row],[M1]]-AVERAGE(T._256[M1]))/(_xlfn.STDEV.P(T._256[M1])*$E$1005+$D$1005)</f>
        <v>-0.27735009811261457</v>
      </c>
      <c r="F16" s="69">
        <f>IF($E$1005&lt;1,(T._256[[#This Row],[M1]]-AVERAGE(T._256[M1]))/(_xlfn.STDEV.P(T._256[M1])*(1/$E$1005)+$D$1005),T._256[[#This Row],[Zb]])</f>
        <v>-0.27735009811261457</v>
      </c>
      <c r="G16" s="70">
        <f>2*NORMDIST(T._256[[#This Row],[Za]],0,1,FALSE)</f>
        <v>0.68410934946998414</v>
      </c>
      <c r="H16" s="270">
        <f>IF($E$1005&lt;1,2*NORMDIST(T._256[[#This Row],[Zc]],0,$E$1006,FALSE),2*NORMDIST(T._256[[#This Row],[Zb]],0,1,FALSE))</f>
        <v>0.76777935053406543</v>
      </c>
      <c r="I16" s="172">
        <f>NORMSDIST(T._256[[#This Row],[Za]])</f>
        <v>0.28954987097695939</v>
      </c>
      <c r="J16" s="172">
        <f>IF($E$1005&lt;1,NORMSDIST(T._256[[#This Row],[Zc]]),NORMSDIST(T._256[[#This Row],[Zb]]))</f>
        <v>0.39075564749935665</v>
      </c>
      <c r="K16" s="274">
        <f>$D$1006+(AVERAGE(T._256[M1]))+T._256[[#This Row],[Zb]]*(_xlfn.STDEV.P(T._256[M1]))</f>
        <v>-9</v>
      </c>
      <c r="L16" s="267">
        <f>ABS(T._256[[#This Row],[Pc]]-T._256[[#This Row],[M1]])*1/T._256[[#This Row],[PDFb]]</f>
        <v>3.9073726037476879</v>
      </c>
      <c r="M16" s="268">
        <f>IF($E$1005&lt;&gt;1,T._256[[#This Row],[W]]/MAX(T._256[W])*0.94+0.01,1-T._256[[#This Row],[PDFb]])</f>
        <v>0.30615699646693578</v>
      </c>
      <c r="N16" s="160"/>
      <c r="O16" s="160"/>
      <c r="P16" s="160"/>
      <c r="Q16" s="160"/>
      <c r="R16" s="160"/>
      <c r="T16" s="160"/>
      <c r="U16" s="160"/>
      <c r="V16" s="160"/>
      <c r="X16" s="160"/>
      <c r="Z16" s="160"/>
      <c r="AA16" s="160"/>
      <c r="AB16" s="160"/>
    </row>
    <row r="17" spans="2:28" ht="12.75" x14ac:dyDescent="0.2">
      <c r="B17" s="161"/>
      <c r="C17" s="170">
        <f t="shared" si="0"/>
        <v>-11</v>
      </c>
      <c r="D17" s="69">
        <f>(T._256[[#This Row],[M1]]-AVERAGE(T._256[M1]))/_xlfn.STDEV.P(T._256[M1])</f>
        <v>-0.41602514716892186</v>
      </c>
      <c r="E17" s="69">
        <f>(T._256[[#This Row],[M1]]-AVERAGE(T._256[M1]))/(_xlfn.STDEV.P(T._256[M1])*$E$1005+$D$1005)</f>
        <v>-0.20801257358446093</v>
      </c>
      <c r="F17" s="69">
        <f>IF($E$1005&lt;1,(T._256[[#This Row],[M1]]-AVERAGE(T._256[M1]))/(_xlfn.STDEV.P(T._256[M1])*(1/$E$1005)+$D$1005),T._256[[#This Row],[Zb]])</f>
        <v>-0.20801257358446093</v>
      </c>
      <c r="G17" s="70">
        <f>2*NORMDIST(T._256[[#This Row],[Za]],0,1,FALSE)</f>
        <v>0.73174015014561622</v>
      </c>
      <c r="H17" s="270">
        <f>IF($E$1005&lt;1,2*NORMDIST(T._256[[#This Row],[Zc]],0,$E$1006,FALSE),2*NORMDIST(T._256[[#This Row],[Zb]],0,1,FALSE))</f>
        <v>0.78080802342795785</v>
      </c>
      <c r="I17" s="172">
        <f>NORMSDIST(T._256[[#This Row],[Za]])</f>
        <v>0.33869580096313867</v>
      </c>
      <c r="J17" s="172">
        <f>IF($E$1005&lt;1,NORMSDIST(T._256[[#This Row],[Zc]]),NORMSDIST(T._256[[#This Row],[Zb]]))</f>
        <v>0.41760957489251449</v>
      </c>
      <c r="K17" s="274">
        <f>$D$1006+(AVERAGE(T._256[M1]))+T._256[[#This Row],[Zb]]*(_xlfn.STDEV.P(T._256[M1]))</f>
        <v>-8.5</v>
      </c>
      <c r="L17" s="267">
        <f>ABS(T._256[[#This Row],[Pc]]-T._256[[#This Row],[M1]])*1/T._256[[#This Row],[PDFb]]</f>
        <v>3.201811360780241</v>
      </c>
      <c r="M17" s="268">
        <f>IF($E$1005&lt;&gt;1,T._256[[#This Row],[W]]/MAX(T._256[W])*0.94+0.01,1-T._256[[#This Row],[PDFb]])</f>
        <v>0.25267939918320104</v>
      </c>
      <c r="N17" s="160"/>
      <c r="O17" s="160"/>
      <c r="P17" s="160"/>
      <c r="Q17" s="160"/>
      <c r="R17" s="160"/>
      <c r="T17" s="160"/>
      <c r="U17" s="160"/>
      <c r="V17" s="160"/>
      <c r="X17" s="160"/>
      <c r="Z17" s="160"/>
      <c r="AA17" s="160"/>
      <c r="AB17" s="160"/>
    </row>
    <row r="18" spans="2:28" ht="12.75" x14ac:dyDescent="0.2">
      <c r="B18" s="161"/>
      <c r="C18" s="170">
        <f t="shared" si="0"/>
        <v>-10</v>
      </c>
      <c r="D18" s="69">
        <f>(T._256[[#This Row],[M1]]-AVERAGE(T._256[M1]))/_xlfn.STDEV.P(T._256[M1])</f>
        <v>-0.27735009811261457</v>
      </c>
      <c r="E18" s="69">
        <f>(T._256[[#This Row],[M1]]-AVERAGE(T._256[M1]))/(_xlfn.STDEV.P(T._256[M1])*$E$1005+$D$1005)</f>
        <v>-0.13867504905630729</v>
      </c>
      <c r="F18" s="69">
        <f>IF($E$1005&lt;1,(T._256[[#This Row],[M1]]-AVERAGE(T._256[M1]))/(_xlfn.STDEV.P(T._256[M1])*(1/$E$1005)+$D$1005),T._256[[#This Row],[Zb]])</f>
        <v>-0.13867504905630729</v>
      </c>
      <c r="G18" s="70">
        <f>2*NORMDIST(T._256[[#This Row],[Za]],0,1,FALSE)</f>
        <v>0.76777935053406543</v>
      </c>
      <c r="H18" s="270">
        <f>IF($E$1005&lt;1,2*NORMDIST(T._256[[#This Row],[Zc]],0,$E$1006,FALSE),2*NORMDIST(T._256[[#This Row],[Zb]],0,1,FALSE))</f>
        <v>0.79024936039269078</v>
      </c>
      <c r="I18" s="172">
        <f>NORMSDIST(T._256[[#This Row],[Za]])</f>
        <v>0.39075564749935665</v>
      </c>
      <c r="J18" s="172">
        <f>IF($E$1005&lt;1,NORMSDIST(T._256[[#This Row],[Zc]]),NORMSDIST(T._256[[#This Row],[Zb]]))</f>
        <v>0.4448534677665506</v>
      </c>
      <c r="K18" s="274">
        <f>$D$1006+(AVERAGE(T._256[M1]))+T._256[[#This Row],[Zb]]*(_xlfn.STDEV.P(T._256[M1]))</f>
        <v>-8</v>
      </c>
      <c r="L18" s="267">
        <f>ABS(T._256[[#This Row],[Pc]]-T._256[[#This Row],[M1]])*1/T._256[[#This Row],[PDFb]]</f>
        <v>2.5308467178083633</v>
      </c>
      <c r="M18" s="268">
        <f>IF($E$1005&lt;&gt;1,T._256[[#This Row],[W]]/MAX(T._256[W])*0.94+0.01,1-T._256[[#This Row],[PDFb]])</f>
        <v>0.20182403074266092</v>
      </c>
      <c r="N18" s="160"/>
      <c r="O18" s="160"/>
      <c r="P18" s="160"/>
      <c r="Q18" s="160"/>
      <c r="R18" s="160"/>
      <c r="T18" s="160"/>
      <c r="U18" s="160"/>
      <c r="V18" s="160"/>
      <c r="X18" s="160"/>
      <c r="Z18" s="160"/>
      <c r="AA18" s="160"/>
      <c r="AB18" s="160"/>
    </row>
    <row r="19" spans="2:28" ht="12.75" x14ac:dyDescent="0.2">
      <c r="B19" s="161"/>
      <c r="C19" s="170">
        <f t="shared" si="0"/>
        <v>-9</v>
      </c>
      <c r="D19" s="69">
        <f>(T._256[[#This Row],[M1]]-AVERAGE(T._256[M1]))/_xlfn.STDEV.P(T._256[M1])</f>
        <v>-0.13867504905630729</v>
      </c>
      <c r="E19" s="69">
        <f>(T._256[[#This Row],[M1]]-AVERAGE(T._256[M1]))/(_xlfn.STDEV.P(T._256[M1])*$E$1005+$D$1005)</f>
        <v>-6.9337524528153643E-2</v>
      </c>
      <c r="F19" s="69">
        <f>IF($E$1005&lt;1,(T._256[[#This Row],[M1]]-AVERAGE(T._256[M1]))/(_xlfn.STDEV.P(T._256[M1])*(1/$E$1005)+$D$1005),T._256[[#This Row],[Zb]])</f>
        <v>-6.9337524528153643E-2</v>
      </c>
      <c r="G19" s="70">
        <f>2*NORMDIST(T._256[[#This Row],[Za]],0,1,FALSE)</f>
        <v>0.79024936039269078</v>
      </c>
      <c r="H19" s="270">
        <f>IF($E$1005&lt;1,2*NORMDIST(T._256[[#This Row],[Zc]],0,$E$1006,FALSE),2*NORMDIST(T._256[[#This Row],[Zb]],0,1,FALSE))</f>
        <v>0.79596887250262238</v>
      </c>
      <c r="I19" s="172">
        <f>NORMSDIST(T._256[[#This Row],[Za]])</f>
        <v>0.4448534677665506</v>
      </c>
      <c r="J19" s="172">
        <f>IF($E$1005&lt;1,NORMSDIST(T._256[[#This Row],[Zc]]),NORMSDIST(T._256[[#This Row],[Zb]]))</f>
        <v>0.47236047867206349</v>
      </c>
      <c r="K19" s="274">
        <f>$D$1006+(AVERAGE(T._256[M1]))+T._256[[#This Row],[Zb]]*(_xlfn.STDEV.P(T._256[M1]))</f>
        <v>-7.5</v>
      </c>
      <c r="L19" s="267">
        <f>ABS(T._256[[#This Row],[Pc]]-T._256[[#This Row],[M1]])*1/T._256[[#This Row],[PDFb]]</f>
        <v>1.8844958035655572</v>
      </c>
      <c r="M19" s="268">
        <f>IF($E$1005&lt;&gt;1,T._256[[#This Row],[W]]/MAX(T._256[W])*0.94+0.01,1-T._256[[#This Row],[PDFb]])</f>
        <v>0.1528342453195331</v>
      </c>
      <c r="N19" s="160"/>
      <c r="O19" s="160"/>
      <c r="P19" s="160"/>
      <c r="Q19" s="160"/>
      <c r="R19" s="160"/>
      <c r="T19" s="160"/>
      <c r="U19" s="160"/>
      <c r="V19" s="160"/>
      <c r="X19" s="160"/>
      <c r="Z19" s="160"/>
      <c r="AA19" s="160"/>
      <c r="AB19" s="160"/>
    </row>
    <row r="20" spans="2:28" ht="12.75" x14ac:dyDescent="0.2">
      <c r="B20" s="161"/>
      <c r="C20" s="170">
        <f t="shared" si="0"/>
        <v>-8</v>
      </c>
      <c r="D20" s="69">
        <f>(T._256[[#This Row],[M1]]-AVERAGE(T._256[M1]))/_xlfn.STDEV.P(T._256[M1])</f>
        <v>0</v>
      </c>
      <c r="E20" s="69">
        <f>(T._256[[#This Row],[M1]]-AVERAGE(T._256[M1]))/(_xlfn.STDEV.P(T._256[M1])*$E$1005+$D$1005)</f>
        <v>0</v>
      </c>
      <c r="F20" s="69">
        <f>IF($E$1005&lt;1,(T._256[[#This Row],[M1]]-AVERAGE(T._256[M1]))/(_xlfn.STDEV.P(T._256[M1])*(1/$E$1005)+$D$1005),T._256[[#This Row],[Zb]])</f>
        <v>0</v>
      </c>
      <c r="G20" s="70">
        <f>2*NORMDIST(T._256[[#This Row],[Za]],0,1,FALSE)</f>
        <v>0.79788456080286541</v>
      </c>
      <c r="H20" s="270">
        <f>IF($E$1005&lt;1,2*NORMDIST(T._256[[#This Row],[Zc]],0,$E$1006,FALSE),2*NORMDIST(T._256[[#This Row],[Zb]],0,1,FALSE))</f>
        <v>0.79788456080286541</v>
      </c>
      <c r="I20" s="172">
        <f>NORMSDIST(T._256[[#This Row],[Za]])</f>
        <v>0.5</v>
      </c>
      <c r="J20" s="172">
        <f>IF($E$1005&lt;1,NORMSDIST(T._256[[#This Row],[Zc]]),NORMSDIST(T._256[[#This Row],[Zb]]))</f>
        <v>0.5</v>
      </c>
      <c r="K20" s="274">
        <f>$D$1006+(AVERAGE(T._256[M1]))+T._256[[#This Row],[Zb]]*(_xlfn.STDEV.P(T._256[M1]))</f>
        <v>-7</v>
      </c>
      <c r="L20" s="267">
        <f>ABS(T._256[[#This Row],[Pc]]-T._256[[#This Row],[M1]])*1/T._256[[#This Row],[PDFb]]</f>
        <v>1.2533141373155001</v>
      </c>
      <c r="M20" s="268">
        <f>IF($E$1005&lt;&gt;1,T._256[[#This Row],[W]]/MAX(T._256[W])*0.94+0.01,1-T._256[[#This Row],[PDFb]])</f>
        <v>0.10499420407997399</v>
      </c>
      <c r="N20" s="160"/>
      <c r="O20" s="160"/>
      <c r="P20" s="160"/>
      <c r="Q20" s="160"/>
      <c r="R20" s="160"/>
      <c r="T20" s="160"/>
      <c r="U20" s="160"/>
      <c r="V20" s="160"/>
      <c r="X20" s="160"/>
      <c r="Z20" s="160"/>
      <c r="AA20" s="160"/>
      <c r="AB20" s="160"/>
    </row>
    <row r="21" spans="2:28" ht="12.75" x14ac:dyDescent="0.2">
      <c r="B21" s="161"/>
      <c r="C21" s="170">
        <f t="shared" si="0"/>
        <v>-7</v>
      </c>
      <c r="D21" s="69">
        <f>(T._256[[#This Row],[M1]]-AVERAGE(T._256[M1]))/_xlfn.STDEV.P(T._256[M1])</f>
        <v>0.13867504905630729</v>
      </c>
      <c r="E21" s="69">
        <f>(T._256[[#This Row],[M1]]-AVERAGE(T._256[M1]))/(_xlfn.STDEV.P(T._256[M1])*$E$1005+$D$1005)</f>
        <v>6.9337524528153643E-2</v>
      </c>
      <c r="F21" s="69">
        <f>IF($E$1005&lt;1,(T._256[[#This Row],[M1]]-AVERAGE(T._256[M1]))/(_xlfn.STDEV.P(T._256[M1])*(1/$E$1005)+$D$1005),T._256[[#This Row],[Zb]])</f>
        <v>6.9337524528153643E-2</v>
      </c>
      <c r="G21" s="70">
        <f>2*NORMDIST(T._256[[#This Row],[Za]],0,1,FALSE)</f>
        <v>0.79024936039269078</v>
      </c>
      <c r="H21" s="270">
        <f>IF($E$1005&lt;1,2*NORMDIST(T._256[[#This Row],[Zc]],0,$E$1006,FALSE),2*NORMDIST(T._256[[#This Row],[Zb]],0,1,FALSE))</f>
        <v>0.79596887250262238</v>
      </c>
      <c r="I21" s="172">
        <f>NORMSDIST(T._256[[#This Row],[Za]])</f>
        <v>0.55514653223344945</v>
      </c>
      <c r="J21" s="172">
        <f>IF($E$1005&lt;1,NORMSDIST(T._256[[#This Row],[Zc]]),NORMSDIST(T._256[[#This Row],[Zb]]))</f>
        <v>0.52763952132793657</v>
      </c>
      <c r="K21" s="274">
        <f>$D$1006+(AVERAGE(T._256[M1]))+T._256[[#This Row],[Zb]]*(_xlfn.STDEV.P(T._256[M1]))</f>
        <v>-6.5</v>
      </c>
      <c r="L21" s="267">
        <f>ABS(T._256[[#This Row],[Pc]]-T._256[[#This Row],[M1]])*1/T._256[[#This Row],[PDFb]]</f>
        <v>0.62816526785518578</v>
      </c>
      <c r="M21" s="268">
        <f>IF($E$1005&lt;&gt;1,T._256[[#This Row],[W]]/MAX(T._256[W])*0.94+0.01,1-T._256[[#This Row],[PDFb]])</f>
        <v>5.7611415106511042E-2</v>
      </c>
      <c r="N21" s="160"/>
      <c r="O21" s="160"/>
      <c r="P21" s="160"/>
      <c r="Q21" s="160"/>
      <c r="R21" s="160"/>
      <c r="T21" s="160"/>
      <c r="U21" s="160"/>
      <c r="V21" s="160"/>
      <c r="X21" s="160"/>
      <c r="Z21" s="160"/>
      <c r="AA21" s="160"/>
      <c r="AB21" s="160"/>
    </row>
    <row r="22" spans="2:28" ht="12.75" x14ac:dyDescent="0.2">
      <c r="B22" s="161"/>
      <c r="C22" s="170">
        <f t="shared" si="0"/>
        <v>-6</v>
      </c>
      <c r="D22" s="69">
        <f>(T._256[[#This Row],[M1]]-AVERAGE(T._256[M1]))/_xlfn.STDEV.P(T._256[M1])</f>
        <v>0.27735009811261457</v>
      </c>
      <c r="E22" s="69">
        <f>(T._256[[#This Row],[M1]]-AVERAGE(T._256[M1]))/(_xlfn.STDEV.P(T._256[M1])*$E$1005+$D$1005)</f>
        <v>0.13867504905630729</v>
      </c>
      <c r="F22" s="69">
        <f>IF($E$1005&lt;1,(T._256[[#This Row],[M1]]-AVERAGE(T._256[M1]))/(_xlfn.STDEV.P(T._256[M1])*(1/$E$1005)+$D$1005),T._256[[#This Row],[Zb]])</f>
        <v>0.13867504905630729</v>
      </c>
      <c r="G22" s="70">
        <f>2*NORMDIST(T._256[[#This Row],[Za]],0,1,FALSE)</f>
        <v>0.76777935053406543</v>
      </c>
      <c r="H22" s="270">
        <f>IF($E$1005&lt;1,2*NORMDIST(T._256[[#This Row],[Zc]],0,$E$1006,FALSE),2*NORMDIST(T._256[[#This Row],[Zb]],0,1,FALSE))</f>
        <v>0.79024936039269078</v>
      </c>
      <c r="I22" s="172">
        <f>NORMSDIST(T._256[[#This Row],[Za]])</f>
        <v>0.60924435250064335</v>
      </c>
      <c r="J22" s="172">
        <f>IF($E$1005&lt;1,NORMSDIST(T._256[[#This Row],[Zc]]),NORMSDIST(T._256[[#This Row],[Zb]]))</f>
        <v>0.55514653223344945</v>
      </c>
      <c r="K22" s="274">
        <f>$D$1006+(AVERAGE(T._256[M1]))+T._256[[#This Row],[Zb]]*(_xlfn.STDEV.P(T._256[M1]))</f>
        <v>-6</v>
      </c>
      <c r="L22" s="267">
        <f>ABS(T._256[[#This Row],[Pc]]-T._256[[#This Row],[M1]])*1/T._256[[#This Row],[PDFb]]</f>
        <v>0</v>
      </c>
      <c r="M22" s="268">
        <f>IF($E$1005&lt;&gt;1,T._256[[#This Row],[W]]/MAX(T._256[W])*0.94+0.01,1-T._256[[#This Row],[PDFb]])</f>
        <v>0.01</v>
      </c>
      <c r="N22" s="160"/>
      <c r="O22" s="160"/>
      <c r="P22" s="160"/>
      <c r="Q22" s="160"/>
      <c r="R22" s="160"/>
      <c r="T22" s="160"/>
      <c r="U22" s="160"/>
      <c r="V22" s="160"/>
      <c r="X22" s="160"/>
      <c r="Z22" s="160"/>
      <c r="AA22" s="160"/>
      <c r="AB22" s="160"/>
    </row>
    <row r="23" spans="2:28" ht="12.75" x14ac:dyDescent="0.2">
      <c r="B23" s="161"/>
      <c r="C23" s="170">
        <f t="shared" si="0"/>
        <v>-5</v>
      </c>
      <c r="D23" s="135">
        <f>(T._256[[#This Row],[M1]]-AVERAGE(T._256[M1]))/_xlfn.STDEV.P(T._256[M1])</f>
        <v>0.41602514716892186</v>
      </c>
      <c r="E23" s="69">
        <f>(T._256[[#This Row],[M1]]-AVERAGE(T._256[M1]))/(_xlfn.STDEV.P(T._256[M1])*$E$1005+$D$1005)</f>
        <v>0.20801257358446093</v>
      </c>
      <c r="F23" s="69">
        <f>IF($E$1005&lt;1,(T._256[[#This Row],[M1]]-AVERAGE(T._256[M1]))/(_xlfn.STDEV.P(T._256[M1])*(1/$E$1005)+$D$1005),T._256[[#This Row],[Zb]])</f>
        <v>0.20801257358446093</v>
      </c>
      <c r="G23" s="70">
        <f>2*NORMDIST(T._256[[#This Row],[Za]],0,1,FALSE)</f>
        <v>0.73174015014561622</v>
      </c>
      <c r="H23" s="270">
        <f>IF($E$1005&lt;1,2*NORMDIST(T._256[[#This Row],[Zc]],0,$E$1006,FALSE),2*NORMDIST(T._256[[#This Row],[Zb]],0,1,FALSE))</f>
        <v>0.78080802342795785</v>
      </c>
      <c r="I23" s="172">
        <f>NORMSDIST(T._256[[#This Row],[Za]])</f>
        <v>0.66130419903686133</v>
      </c>
      <c r="J23" s="172">
        <f>IF($E$1005&lt;1,NORMSDIST(T._256[[#This Row],[Zc]]),NORMSDIST(T._256[[#This Row],[Zb]]))</f>
        <v>0.58239042510748551</v>
      </c>
      <c r="K23" s="274">
        <f>$D$1006+(AVERAGE(T._256[M1]))+T._256[[#This Row],[Zb]]*(_xlfn.STDEV.P(T._256[M1]))</f>
        <v>-5.5</v>
      </c>
      <c r="L23" s="267">
        <f>ABS(T._256[[#This Row],[Pc]]-T._256[[#This Row],[M1]])*1/T._256[[#This Row],[PDFb]]</f>
        <v>0.64036227215604824</v>
      </c>
      <c r="M23" s="268">
        <f>IF($E$1005&lt;&gt;1,T._256[[#This Row],[W]]/MAX(T._256[W])*0.94+0.01,1-T._256[[#This Row],[PDFb]])</f>
        <v>5.8535879836640207E-2</v>
      </c>
      <c r="N23" s="160"/>
      <c r="O23" s="160"/>
      <c r="P23" s="160"/>
      <c r="Q23" s="160"/>
      <c r="R23" s="160"/>
      <c r="T23" s="160"/>
      <c r="U23" s="160"/>
      <c r="V23" s="160"/>
      <c r="X23" s="160"/>
      <c r="Z23" s="160"/>
      <c r="AA23" s="160"/>
      <c r="AB23" s="160"/>
    </row>
    <row r="24" spans="2:28" ht="12.75" x14ac:dyDescent="0.2">
      <c r="B24" s="161"/>
      <c r="C24" s="170">
        <f t="shared" si="0"/>
        <v>-4</v>
      </c>
      <c r="D24" s="135">
        <f>(T._256[[#This Row],[M1]]-AVERAGE(T._256[M1]))/_xlfn.STDEV.P(T._256[M1])</f>
        <v>0.55470019622522915</v>
      </c>
      <c r="E24" s="69">
        <f>(T._256[[#This Row],[M1]]-AVERAGE(T._256[M1]))/(_xlfn.STDEV.P(T._256[M1])*$E$1005+$D$1005)</f>
        <v>0.27735009811261457</v>
      </c>
      <c r="F24" s="69">
        <f>IF($E$1005&lt;1,(T._256[[#This Row],[M1]]-AVERAGE(T._256[M1]))/(_xlfn.STDEV.P(T._256[M1])*(1/$E$1005)+$D$1005),T._256[[#This Row],[Zb]])</f>
        <v>0.27735009811261457</v>
      </c>
      <c r="G24" s="70">
        <f>2*NORMDIST(T._256[[#This Row],[Za]],0,1,FALSE)</f>
        <v>0.68410934946998414</v>
      </c>
      <c r="H24" s="270">
        <f>IF($E$1005&lt;1,2*NORMDIST(T._256[[#This Row],[Zc]],0,$E$1006,FALSE),2*NORMDIST(T._256[[#This Row],[Zb]],0,1,FALSE))</f>
        <v>0.76777935053406543</v>
      </c>
      <c r="I24" s="172">
        <f>NORMSDIST(T._256[[#This Row],[Za]])</f>
        <v>0.71045012902304061</v>
      </c>
      <c r="J24" s="172">
        <f>IF($E$1005&lt;1,NORMSDIST(T._256[[#This Row],[Zc]]),NORMSDIST(T._256[[#This Row],[Zb]]))</f>
        <v>0.60924435250064335</v>
      </c>
      <c r="K24" s="274">
        <f>$D$1006+(AVERAGE(T._256[M1]))+T._256[[#This Row],[Zb]]*(_xlfn.STDEV.P(T._256[M1]))</f>
        <v>-5</v>
      </c>
      <c r="L24" s="267">
        <f>ABS(T._256[[#This Row],[Pc]]-T._256[[#This Row],[M1]])*1/T._256[[#This Row],[PDFb]]</f>
        <v>1.3024575345825626</v>
      </c>
      <c r="M24" s="268">
        <f>IF($E$1005&lt;&gt;1,T._256[[#This Row],[W]]/MAX(T._256[W])*0.94+0.01,1-T._256[[#This Row],[PDFb]])</f>
        <v>0.10871899882231192</v>
      </c>
      <c r="N24" s="160"/>
      <c r="O24" s="160"/>
      <c r="P24" s="160"/>
      <c r="Q24" s="160"/>
      <c r="R24" s="160"/>
      <c r="T24" s="160"/>
      <c r="U24" s="160"/>
      <c r="V24" s="160"/>
      <c r="X24" s="160"/>
      <c r="Z24" s="160"/>
      <c r="AA24" s="160"/>
      <c r="AB24" s="160"/>
    </row>
    <row r="25" spans="2:28" ht="12.75" x14ac:dyDescent="0.2">
      <c r="B25" s="161"/>
      <c r="C25" s="170">
        <f t="shared" si="0"/>
        <v>-3</v>
      </c>
      <c r="D25" s="135">
        <f>(T._256[[#This Row],[M1]]-AVERAGE(T._256[M1]))/_xlfn.STDEV.P(T._256[M1])</f>
        <v>0.69337524528153649</v>
      </c>
      <c r="E25" s="69">
        <f>(T._256[[#This Row],[M1]]-AVERAGE(T._256[M1]))/(_xlfn.STDEV.P(T._256[M1])*$E$1005+$D$1005)</f>
        <v>0.34668762264076824</v>
      </c>
      <c r="F25" s="69">
        <f>IF($E$1005&lt;1,(T._256[[#This Row],[M1]]-AVERAGE(T._256[M1]))/(_xlfn.STDEV.P(T._256[M1])*(1/$E$1005)+$D$1005),T._256[[#This Row],[Zb]])</f>
        <v>0.34668762264076824</v>
      </c>
      <c r="G25" s="70">
        <f>2*NORMDIST(T._256[[#This Row],[Za]],0,1,FALSE)</f>
        <v>0.62739687254190113</v>
      </c>
      <c r="H25" s="270">
        <f>IF($E$1005&lt;1,2*NORMDIST(T._256[[#This Row],[Zc]],0,$E$1006,FALSE),2*NORMDIST(T._256[[#This Row],[Zb]],0,1,FALSE))</f>
        <v>0.75134713286853705</v>
      </c>
      <c r="I25" s="172">
        <f>NORMSDIST(T._256[[#This Row],[Za]])</f>
        <v>0.75596295341737596</v>
      </c>
      <c r="J25" s="172">
        <f>IF($E$1005&lt;1,NORMSDIST(T._256[[#This Row],[Zc]]),NORMSDIST(T._256[[#This Row],[Zb]]))</f>
        <v>0.63558699505384064</v>
      </c>
      <c r="K25" s="274">
        <f>$D$1006+(AVERAGE(T._256[M1]))+T._256[[#This Row],[Zb]]*(_xlfn.STDEV.P(T._256[M1]))</f>
        <v>-4.5</v>
      </c>
      <c r="L25" s="267">
        <f>ABS(T._256[[#This Row],[Pc]]-T._256[[#This Row],[M1]])*1/T._256[[#This Row],[PDFb]]</f>
        <v>1.9964140866196058</v>
      </c>
      <c r="M25" s="268">
        <f>IF($E$1005&lt;&gt;1,T._256[[#This Row],[W]]/MAX(T._256[W])*0.94+0.01,1-T._256[[#This Row],[PDFb]])</f>
        <v>0.1613170254176565</v>
      </c>
      <c r="N25" s="160"/>
      <c r="O25" s="160"/>
      <c r="P25" s="160"/>
      <c r="Q25" s="160"/>
      <c r="R25" s="160"/>
      <c r="T25" s="160"/>
      <c r="U25" s="160"/>
      <c r="V25" s="160"/>
      <c r="X25" s="160"/>
      <c r="Z25" s="160"/>
      <c r="AA25" s="160"/>
      <c r="AB25" s="160"/>
    </row>
    <row r="26" spans="2:28" x14ac:dyDescent="0.25">
      <c r="B26" s="161"/>
      <c r="C26" s="170">
        <f t="shared" si="0"/>
        <v>-2</v>
      </c>
      <c r="D26" s="135">
        <f>(T._256[[#This Row],[M1]]-AVERAGE(T._256[M1]))/_xlfn.STDEV.P(T._256[M1])</f>
        <v>0.83205029433784372</v>
      </c>
      <c r="E26" s="69">
        <f>(T._256[[#This Row],[M1]]-AVERAGE(T._256[M1]))/(_xlfn.STDEV.P(T._256[M1])*$E$1005+$D$1005)</f>
        <v>0.41602514716892186</v>
      </c>
      <c r="F26" s="69">
        <f>IF($E$1005&lt;1,(T._256[[#This Row],[M1]]-AVERAGE(T._256[M1]))/(_xlfn.STDEV.P(T._256[M1])*(1/$E$1005)+$D$1005),T._256[[#This Row],[Zb]])</f>
        <v>0.41602514716892186</v>
      </c>
      <c r="G26" s="70">
        <f>2*NORMDIST(T._256[[#This Row],[Za]],0,1,FALSE)</f>
        <v>0.56442644851933488</v>
      </c>
      <c r="H26" s="270">
        <f>IF($E$1005&lt;1,2*NORMDIST(T._256[[#This Row],[Zc]],0,$E$1006,FALSE),2*NORMDIST(T._256[[#This Row],[Zb]],0,1,FALSE))</f>
        <v>0.73174015014561622</v>
      </c>
      <c r="I26" s="172">
        <f>NORMSDIST(T._256[[#This Row],[Za]])</f>
        <v>0.79730972177052883</v>
      </c>
      <c r="J26" s="172">
        <f>IF($E$1005&lt;1,NORMSDIST(T._256[[#This Row],[Zc]]),NORMSDIST(T._256[[#This Row],[Zb]]))</f>
        <v>0.66130419903686133</v>
      </c>
      <c r="K26" s="274">
        <f>$D$1006+(AVERAGE(T._256[M1]))+T._256[[#This Row],[Zb]]*(_xlfn.STDEV.P(T._256[M1]))</f>
        <v>-4</v>
      </c>
      <c r="L26" s="267">
        <f>ABS(T._256[[#This Row],[Pc]]-T._256[[#This Row],[M1]])*1/T._256[[#This Row],[PDFb]]</f>
        <v>2.7332106890704306</v>
      </c>
      <c r="M26" s="268">
        <f>IF($E$1005&lt;&gt;1,T._256[[#This Row],[W]]/MAX(T._256[W])*0.94+0.01,1-T._256[[#This Row],[PDFb]])</f>
        <v>0.21716208830712583</v>
      </c>
      <c r="O26" s="160"/>
      <c r="P26" s="160"/>
      <c r="Q26" s="160"/>
      <c r="R26" s="160"/>
      <c r="T26" s="160"/>
      <c r="U26" s="160"/>
      <c r="V26" s="160"/>
      <c r="X26" s="160"/>
      <c r="Z26" s="160"/>
      <c r="AA26" s="160"/>
      <c r="AB26" s="160"/>
    </row>
    <row r="27" spans="2:28" ht="12.75" x14ac:dyDescent="0.2">
      <c r="B27" s="161"/>
      <c r="C27" s="170">
        <f t="shared" si="0"/>
        <v>-1</v>
      </c>
      <c r="D27" s="135">
        <f>(T._256[[#This Row],[M1]]-AVERAGE(T._256[M1]))/_xlfn.STDEV.P(T._256[M1])</f>
        <v>0.97072534339415106</v>
      </c>
      <c r="E27" s="69">
        <f>(T._256[[#This Row],[M1]]-AVERAGE(T._256[M1]))/(_xlfn.STDEV.P(T._256[M1])*$E$1005+$D$1005)</f>
        <v>0.48536267169707553</v>
      </c>
      <c r="F27" s="69">
        <f>IF($E$1005&lt;1,(T._256[[#This Row],[M1]]-AVERAGE(T._256[M1]))/(_xlfn.STDEV.P(T._256[M1])*(1/$E$1005)+$D$1005),T._256[[#This Row],[Zb]])</f>
        <v>0.48536267169707553</v>
      </c>
      <c r="G27" s="70">
        <f>2*NORMDIST(T._256[[#This Row],[Za]],0,1,FALSE)</f>
        <v>0.49810459255513656</v>
      </c>
      <c r="H27" s="270">
        <f>IF($E$1005&lt;1,2*NORMDIST(T._256[[#This Row],[Zc]],0,$E$1006,FALSE),2*NORMDIST(T._256[[#This Row],[Zb]],0,1,FALSE))</f>
        <v>0.70922687252184125</v>
      </c>
      <c r="I27" s="172">
        <f>NORMSDIST(T._256[[#This Row],[Za]])</f>
        <v>0.83415746597156881</v>
      </c>
      <c r="J27" s="172">
        <f>IF($E$1005&lt;1,NORMSDIST(T._256[[#This Row],[Zc]]),NORMSDIST(T._256[[#This Row],[Zb]]))</f>
        <v>0.68629044681695017</v>
      </c>
      <c r="K27" s="274">
        <f>$D$1006+(AVERAGE(T._256[M1]))+T._256[[#This Row],[Zb]]*(_xlfn.STDEV.P(T._256[M1]))</f>
        <v>-3.5</v>
      </c>
      <c r="L27" s="267">
        <f>ABS(T._256[[#This Row],[Pc]]-T._256[[#This Row],[M1]])*1/T._256[[#This Row],[PDFb]]</f>
        <v>3.5249651371931208</v>
      </c>
      <c r="M27" s="268">
        <f>IF($E$1005&lt;&gt;1,T._256[[#This Row],[W]]/MAX(T._256[W])*0.94+0.01,1-T._256[[#This Row],[PDFb]])</f>
        <v>0.27717264861828</v>
      </c>
      <c r="N27" s="160"/>
      <c r="O27" s="160"/>
      <c r="P27" s="160"/>
      <c r="Q27" s="160"/>
      <c r="R27" s="160"/>
      <c r="T27" s="160"/>
      <c r="U27" s="160"/>
      <c r="V27" s="160"/>
      <c r="X27" s="160"/>
      <c r="Z27" s="160"/>
      <c r="AA27" s="160"/>
      <c r="AB27" s="160"/>
    </row>
    <row r="28" spans="2:28" ht="12" customHeight="1" x14ac:dyDescent="0.2">
      <c r="B28" s="161"/>
      <c r="C28" s="170">
        <f t="shared" si="0"/>
        <v>0</v>
      </c>
      <c r="D28" s="135">
        <f>(T._256[[#This Row],[M1]]-AVERAGE(T._256[M1]))/_xlfn.STDEV.P(T._256[M1])</f>
        <v>1.1094003924504583</v>
      </c>
      <c r="E28" s="69">
        <f>(T._256[[#This Row],[M1]]-AVERAGE(T._256[M1]))/(_xlfn.STDEV.P(T._256[M1])*$E$1005+$D$1005)</f>
        <v>0.55470019622522915</v>
      </c>
      <c r="F28" s="69">
        <f>IF($E$1005&lt;1,(T._256[[#This Row],[M1]]-AVERAGE(T._256[M1]))/(_xlfn.STDEV.P(T._256[M1])*(1/$E$1005)+$D$1005),T._256[[#This Row],[Zb]])</f>
        <v>0.55470019622522915</v>
      </c>
      <c r="G28" s="70">
        <f>2*NORMDIST(T._256[[#This Row],[Za]],0,1,FALSE)</f>
        <v>0.43120314404503474</v>
      </c>
      <c r="H28" s="270">
        <f>IF($E$1005&lt;1,2*NORMDIST(T._256[[#This Row],[Zc]],0,$E$1006,FALSE),2*NORMDIST(T._256[[#This Row],[Zb]],0,1,FALSE))</f>
        <v>0.68410934946998414</v>
      </c>
      <c r="I28" s="172">
        <f>NORMSDIST(T._256[[#This Row],[Za]])</f>
        <v>0.86637125342280608</v>
      </c>
      <c r="J28" s="172">
        <f>IF($E$1005&lt;1,NORMSDIST(T._256[[#This Row],[Zc]]),NORMSDIST(T._256[[#This Row],[Zb]]))</f>
        <v>0.71045012902304061</v>
      </c>
      <c r="K28" s="274">
        <f>$D$1006+(AVERAGE(T._256[M1]))+T._256[[#This Row],[Zb]]*(_xlfn.STDEV.P(T._256[M1]))</f>
        <v>-3</v>
      </c>
      <c r="L28" s="267">
        <f>ABS(T._256[[#This Row],[Pc]]-T._256[[#This Row],[M1]])*1/T._256[[#This Row],[PDFb]]</f>
        <v>4.3852638504710679</v>
      </c>
      <c r="M28" s="268">
        <f>IF($E$1005&lt;&gt;1,T._256[[#This Row],[W]]/MAX(T._256[W])*0.94+0.01,1-T._256[[#This Row],[PDFb]])</f>
        <v>0.34237848098358742</v>
      </c>
      <c r="N28" s="160"/>
      <c r="O28" s="160"/>
      <c r="P28" s="160"/>
      <c r="Q28" s="160"/>
      <c r="R28" s="160"/>
      <c r="T28" s="160"/>
      <c r="U28" s="160"/>
      <c r="V28" s="160"/>
      <c r="X28" s="160"/>
      <c r="Z28" s="160"/>
      <c r="AA28" s="160"/>
      <c r="AB28" s="160"/>
    </row>
    <row r="29" spans="2:28" ht="12" customHeight="1" x14ac:dyDescent="0.2">
      <c r="B29" s="161"/>
      <c r="C29" s="170">
        <f t="shared" si="0"/>
        <v>1</v>
      </c>
      <c r="D29" s="135">
        <f>(T._256[[#This Row],[M1]]-AVERAGE(T._256[M1]))/_xlfn.STDEV.P(T._256[M1])</f>
        <v>1.2480754415067656</v>
      </c>
      <c r="E29" s="69">
        <f>(T._256[[#This Row],[M1]]-AVERAGE(T._256[M1]))/(_xlfn.STDEV.P(T._256[M1])*$E$1005+$D$1005)</f>
        <v>0.62403772075338282</v>
      </c>
      <c r="F29" s="69">
        <f>IF($E$1005&lt;1,(T._256[[#This Row],[M1]]-AVERAGE(T._256[M1]))/(_xlfn.STDEV.P(T._256[M1])*(1/$E$1005)+$D$1005),T._256[[#This Row],[Zb]])</f>
        <v>0.62403772075338282</v>
      </c>
      <c r="G29" s="70">
        <f>2*NORMDIST(T._256[[#This Row],[Za]],0,1,FALSE)</f>
        <v>0.36617734766050086</v>
      </c>
      <c r="H29" s="270">
        <f>IF($E$1005&lt;1,2*NORMDIST(T._256[[#This Row],[Zc]],0,$E$1006,FALSE),2*NORMDIST(T._256[[#This Row],[Zb]],0,1,FALSE))</f>
        <v>0.65671647988244053</v>
      </c>
      <c r="I29" s="172">
        <f>NORMSDIST(T._256[[#This Row],[Za]])</f>
        <v>0.89399828453858721</v>
      </c>
      <c r="J29" s="172">
        <f>IF($E$1005&lt;1,NORMSDIST(T._256[[#This Row],[Zc]]),NORMSDIST(T._256[[#This Row],[Zb]]))</f>
        <v>0.73369859353176303</v>
      </c>
      <c r="K29" s="274">
        <f>$D$1006+(AVERAGE(T._256[M1]))+T._256[[#This Row],[Zb]]*(_xlfn.STDEV.P(T._256[M1]))</f>
        <v>-2.5</v>
      </c>
      <c r="L29" s="267">
        <f>ABS(T._256[[#This Row],[Pc]]-T._256[[#This Row],[M1]])*1/T._256[[#This Row],[PDFb]]</f>
        <v>5.3295449516152518</v>
      </c>
      <c r="M29" s="268">
        <f>IF($E$1005&lt;&gt;1,T._256[[#This Row],[W]]/MAX(T._256[W])*0.94+0.01,1-T._256[[#This Row],[PDFb]])</f>
        <v>0.41394970878692661</v>
      </c>
      <c r="N29" s="160"/>
      <c r="O29" s="160"/>
      <c r="P29" s="160"/>
      <c r="Q29" s="160"/>
      <c r="R29" s="160"/>
      <c r="T29" s="160"/>
      <c r="U29" s="160"/>
      <c r="V29" s="160"/>
      <c r="X29" s="160"/>
      <c r="Z29" s="160"/>
      <c r="AA29" s="160"/>
      <c r="AB29" s="160"/>
    </row>
    <row r="30" spans="2:28" ht="12" customHeight="1" x14ac:dyDescent="0.2">
      <c r="B30" s="161"/>
      <c r="C30" s="170">
        <f t="shared" si="0"/>
        <v>2</v>
      </c>
      <c r="D30" s="135">
        <f>(T._256[[#This Row],[M1]]-AVERAGE(T._256[M1]))/_xlfn.STDEV.P(T._256[M1])</f>
        <v>1.386750490563073</v>
      </c>
      <c r="E30" s="69">
        <f>(T._256[[#This Row],[M1]]-AVERAGE(T._256[M1]))/(_xlfn.STDEV.P(T._256[M1])*$E$1005+$D$1005)</f>
        <v>0.69337524528153649</v>
      </c>
      <c r="F30" s="69">
        <f>IF($E$1005&lt;1,(T._256[[#This Row],[M1]]-AVERAGE(T._256[M1]))/(_xlfn.STDEV.P(T._256[M1])*(1/$E$1005)+$D$1005),T._256[[#This Row],[Zb]])</f>
        <v>0.69337524528153649</v>
      </c>
      <c r="G30" s="70">
        <f>2*NORMDIST(T._256[[#This Row],[Za]],0,1,FALSE)</f>
        <v>0.30503467686955649</v>
      </c>
      <c r="H30" s="270">
        <f>IF($E$1005&lt;1,2*NORMDIST(T._256[[#This Row],[Zc]],0,$E$1006,FALSE),2*NORMDIST(T._256[[#This Row],[Zb]],0,1,FALSE))</f>
        <v>0.62739687254190113</v>
      </c>
      <c r="I30" s="172">
        <f>NORMSDIST(T._256[[#This Row],[Za]])</f>
        <v>0.91724107065126503</v>
      </c>
      <c r="J30" s="172">
        <f>IF($E$1005&lt;1,NORMSDIST(T._256[[#This Row],[Zc]]),NORMSDIST(T._256[[#This Row],[Zb]]))</f>
        <v>0.75596295341737596</v>
      </c>
      <c r="K30" s="274">
        <f>$D$1006+(AVERAGE(T._256[M1]))+T._256[[#This Row],[Zb]]*(_xlfn.STDEV.P(T._256[M1]))</f>
        <v>-2</v>
      </c>
      <c r="L30" s="267">
        <f>ABS(T._256[[#This Row],[Pc]]-T._256[[#This Row],[M1]])*1/T._256[[#This Row],[PDFb]]</f>
        <v>6.375549791623893</v>
      </c>
      <c r="M30" s="268">
        <f>IF($E$1005&lt;&gt;1,T._256[[#This Row],[W]]/MAX(T._256[W])*0.94+0.01,1-T._256[[#This Row],[PDFb]])</f>
        <v>0.49323102723854167</v>
      </c>
      <c r="N30" s="160"/>
      <c r="O30" s="160"/>
      <c r="P30" s="160"/>
      <c r="Q30" s="160"/>
      <c r="R30" s="160"/>
      <c r="T30" s="160"/>
      <c r="U30" s="160"/>
      <c r="V30" s="160"/>
      <c r="X30" s="160"/>
      <c r="Z30" s="160"/>
      <c r="AA30" s="160"/>
      <c r="AB30" s="160"/>
    </row>
    <row r="31" spans="2:28" ht="12" customHeight="1" x14ac:dyDescent="0.2">
      <c r="B31" s="161"/>
      <c r="C31" s="170">
        <f t="shared" si="0"/>
        <v>3</v>
      </c>
      <c r="D31" s="135">
        <f>(T._256[[#This Row],[M1]]-AVERAGE(T._256[M1]))/_xlfn.STDEV.P(T._256[M1])</f>
        <v>1.5254255396193801</v>
      </c>
      <c r="E31" s="69">
        <f>(T._256[[#This Row],[M1]]-AVERAGE(T._256[M1]))/(_xlfn.STDEV.P(T._256[M1])*$E$1005+$D$1005)</f>
        <v>0.76271276980969005</v>
      </c>
      <c r="F31" s="69">
        <f>IF($E$1005&lt;1,(T._256[[#This Row],[M1]]-AVERAGE(T._256[M1]))/(_xlfn.STDEV.P(T._256[M1])*(1/$E$1005)+$D$1005),T._256[[#This Row],[Zb]])</f>
        <v>0.76271276980969005</v>
      </c>
      <c r="G31" s="70">
        <f>2*NORMDIST(T._256[[#This Row],[Za]],0,1,FALSE)</f>
        <v>0.24926146053767562</v>
      </c>
      <c r="H31" s="270">
        <f>IF($E$1005&lt;1,2*NORMDIST(T._256[[#This Row],[Zc]],0,$E$1006,FALSE),2*NORMDIST(T._256[[#This Row],[Zb]],0,1,FALSE))</f>
        <v>0.59651151267088631</v>
      </c>
      <c r="I31" s="172">
        <f>NORMSDIST(T._256[[#This Row],[Za]])</f>
        <v>0.93642350369999283</v>
      </c>
      <c r="J31" s="172">
        <f>IF($E$1005&lt;1,NORMSDIST(T._256[[#This Row],[Zc]]),NORMSDIST(T._256[[#This Row],[Zb]]))</f>
        <v>0.77718264339652798</v>
      </c>
      <c r="K31" s="274">
        <f>$D$1006+(AVERAGE(T._256[M1]))+T._256[[#This Row],[Zb]]*(_xlfn.STDEV.P(T._256[M1]))</f>
        <v>-1.5</v>
      </c>
      <c r="L31" s="267">
        <f>ABS(T._256[[#This Row],[Pc]]-T._256[[#This Row],[M1]])*1/T._256[[#This Row],[PDFb]]</f>
        <v>7.5438611064708621</v>
      </c>
      <c r="M31" s="268">
        <f>IF($E$1005&lt;&gt;1,T._256[[#This Row],[W]]/MAX(T._256[W])*0.94+0.01,1-T._256[[#This Row],[PDFb]])</f>
        <v>0.58178249264308279</v>
      </c>
      <c r="N31" s="160"/>
      <c r="O31" s="160"/>
      <c r="P31" s="160"/>
      <c r="Q31" s="160"/>
      <c r="R31" s="160"/>
      <c r="T31" s="160"/>
      <c r="U31" s="160"/>
      <c r="V31" s="160"/>
      <c r="X31" s="160"/>
      <c r="Z31" s="160"/>
      <c r="AA31" s="160"/>
      <c r="AB31" s="160"/>
    </row>
    <row r="32" spans="2:28" ht="12" customHeight="1" x14ac:dyDescent="0.2">
      <c r="B32" s="161"/>
      <c r="C32" s="170">
        <f t="shared" si="0"/>
        <v>4</v>
      </c>
      <c r="D32" s="135">
        <f>(T._256[[#This Row],[M1]]-AVERAGE(T._256[M1]))/_xlfn.STDEV.P(T._256[M1])</f>
        <v>1.6641005886756874</v>
      </c>
      <c r="E32" s="69">
        <f>(T._256[[#This Row],[M1]]-AVERAGE(T._256[M1]))/(_xlfn.STDEV.P(T._256[M1])*$E$1005+$D$1005)</f>
        <v>0.83205029433784372</v>
      </c>
      <c r="F32" s="69">
        <f>IF($E$1005&lt;1,(T._256[[#This Row],[M1]]-AVERAGE(T._256[M1]))/(_xlfn.STDEV.P(T._256[M1])*(1/$E$1005)+$D$1005),T._256[[#This Row],[Zb]])</f>
        <v>0.83205029433784372</v>
      </c>
      <c r="G32" s="70">
        <f>2*NORMDIST(T._256[[#This Row],[Za]],0,1,FALSE)</f>
        <v>0.19980632886664731</v>
      </c>
      <c r="H32" s="270">
        <f>IF($E$1005&lt;1,2*NORMDIST(T._256[[#This Row],[Zc]],0,$E$1006,FALSE),2*NORMDIST(T._256[[#This Row],[Zb]],0,1,FALSE))</f>
        <v>0.56442644851933488</v>
      </c>
      <c r="I32" s="172">
        <f>NORMSDIST(T._256[[#This Row],[Za]])</f>
        <v>0.95195383527216337</v>
      </c>
      <c r="J32" s="172">
        <f>IF($E$1005&lt;1,NORMSDIST(T._256[[#This Row],[Zc]]),NORMSDIST(T._256[[#This Row],[Zb]]))</f>
        <v>0.79730972177052883</v>
      </c>
      <c r="K32" s="274">
        <f>$D$1006+(AVERAGE(T._256[M1]))+T._256[[#This Row],[Zb]]*(_xlfn.STDEV.P(T._256[M1]))</f>
        <v>-1</v>
      </c>
      <c r="L32" s="267">
        <f>ABS(T._256[[#This Row],[Pc]]-T._256[[#This Row],[M1]])*1/T._256[[#This Row],[PDFb]]</f>
        <v>8.8585501496546559</v>
      </c>
      <c r="M32" s="268">
        <f>IF($E$1005&lt;&gt;1,T._256[[#This Row],[W]]/MAX(T._256[W])*0.94+0.01,1-T._256[[#This Row],[PDFb]])</f>
        <v>0.68142857142857138</v>
      </c>
      <c r="N32" s="160"/>
      <c r="O32" s="160"/>
      <c r="P32" s="160"/>
      <c r="Q32" s="160"/>
      <c r="R32" s="160"/>
      <c r="T32" s="160"/>
      <c r="U32" s="160"/>
      <c r="V32" s="160"/>
      <c r="X32" s="160"/>
      <c r="Z32" s="160"/>
      <c r="AA32" s="160"/>
      <c r="AB32" s="160"/>
    </row>
    <row r="33" spans="2:28" ht="27.75" customHeight="1" x14ac:dyDescent="0.2"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0"/>
      <c r="O33" s="160"/>
      <c r="P33" s="160"/>
      <c r="Q33" s="160"/>
      <c r="R33" s="160"/>
      <c r="T33" s="160"/>
      <c r="U33" s="160"/>
      <c r="V33" s="160"/>
      <c r="X33" s="160"/>
      <c r="Z33" s="160"/>
      <c r="AA33" s="160"/>
      <c r="AB33" s="160"/>
    </row>
    <row r="34" spans="2:28" ht="27.75" hidden="1" customHeight="1" x14ac:dyDescent="0.2"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0"/>
      <c r="O34" s="160"/>
      <c r="P34" s="160"/>
      <c r="Q34" s="160"/>
      <c r="R34" s="160"/>
      <c r="T34" s="160"/>
      <c r="U34" s="160"/>
      <c r="V34" s="160"/>
      <c r="X34" s="160"/>
      <c r="Z34" s="160"/>
      <c r="AA34" s="160"/>
      <c r="AB34" s="160"/>
    </row>
    <row r="35" spans="2:28" ht="27.75" hidden="1" customHeight="1" x14ac:dyDescent="0.2"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0"/>
      <c r="O35" s="160"/>
      <c r="P35" s="160"/>
      <c r="Q35" s="160"/>
      <c r="R35" s="160"/>
      <c r="T35" s="160"/>
      <c r="U35" s="160"/>
      <c r="V35" s="160"/>
      <c r="X35" s="160"/>
      <c r="Z35" s="160"/>
      <c r="AA35" s="160"/>
      <c r="AB35" s="160"/>
    </row>
    <row r="36" spans="2:28" ht="27.75" hidden="1" customHeight="1" x14ac:dyDescent="0.2"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0"/>
      <c r="O36" s="160"/>
      <c r="P36" s="160"/>
      <c r="Q36" s="160"/>
      <c r="R36" s="160"/>
      <c r="T36" s="160"/>
      <c r="U36" s="160"/>
      <c r="V36" s="160"/>
      <c r="X36" s="160"/>
      <c r="Z36" s="160"/>
      <c r="AA36" s="160"/>
      <c r="AB36" s="160"/>
    </row>
    <row r="37" spans="2:28" ht="27.75" hidden="1" customHeight="1" x14ac:dyDescent="0.2"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0"/>
      <c r="O37" s="160"/>
      <c r="P37" s="160"/>
      <c r="Q37" s="160"/>
      <c r="R37" s="160"/>
      <c r="T37" s="160"/>
      <c r="U37" s="160"/>
      <c r="V37" s="160"/>
      <c r="X37" s="160"/>
      <c r="Z37" s="160"/>
      <c r="AA37" s="160"/>
      <c r="AB37" s="160"/>
    </row>
    <row r="38" spans="2:28" ht="27.75" hidden="1" customHeight="1" x14ac:dyDescent="0.2"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0"/>
      <c r="O38" s="160"/>
      <c r="P38" s="160"/>
      <c r="Q38" s="160"/>
      <c r="R38" s="160"/>
      <c r="T38" s="160"/>
      <c r="U38" s="160"/>
      <c r="V38" s="160"/>
      <c r="X38" s="160"/>
      <c r="Z38" s="160"/>
      <c r="AA38" s="160"/>
      <c r="AB38" s="160"/>
    </row>
    <row r="39" spans="2:28" ht="27.75" hidden="1" customHeight="1" x14ac:dyDescent="0.2"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0"/>
      <c r="O39" s="160"/>
      <c r="P39" s="160"/>
      <c r="Q39" s="160"/>
      <c r="R39" s="160"/>
      <c r="T39" s="160"/>
      <c r="U39" s="160"/>
      <c r="V39" s="160"/>
      <c r="X39" s="160"/>
      <c r="Z39" s="160"/>
      <c r="AA39" s="160"/>
      <c r="AB39" s="160"/>
    </row>
    <row r="40" spans="2:28" ht="27.75" hidden="1" customHeight="1" x14ac:dyDescent="0.2"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0"/>
      <c r="O40" s="160"/>
      <c r="P40" s="160"/>
      <c r="Q40" s="160"/>
      <c r="R40" s="160"/>
      <c r="T40" s="160"/>
      <c r="U40" s="160"/>
      <c r="V40" s="160"/>
      <c r="X40" s="160"/>
      <c r="Z40" s="160"/>
      <c r="AA40" s="160"/>
      <c r="AB40" s="160"/>
    </row>
    <row r="41" spans="2:28" ht="27.75" hidden="1" customHeight="1" x14ac:dyDescent="0.2"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0"/>
      <c r="O41" s="160"/>
      <c r="P41" s="160"/>
      <c r="Q41" s="160"/>
      <c r="R41" s="160"/>
      <c r="T41" s="160"/>
      <c r="U41" s="160"/>
      <c r="V41" s="160"/>
      <c r="X41" s="160"/>
      <c r="Z41" s="160"/>
      <c r="AA41" s="160"/>
      <c r="AB41" s="160"/>
    </row>
    <row r="42" spans="2:28" ht="27.75" hidden="1" customHeight="1" x14ac:dyDescent="0.2"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0"/>
      <c r="O42" s="160"/>
      <c r="P42" s="160"/>
      <c r="Q42" s="160"/>
      <c r="R42" s="160"/>
      <c r="T42" s="160"/>
      <c r="U42" s="160"/>
      <c r="V42" s="160"/>
      <c r="X42" s="160"/>
      <c r="Z42" s="160"/>
      <c r="AA42" s="160"/>
      <c r="AB42" s="160"/>
    </row>
    <row r="43" spans="2:28" ht="27.75" hidden="1" customHeight="1" x14ac:dyDescent="0.2"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0"/>
      <c r="O43" s="160"/>
      <c r="P43" s="160"/>
      <c r="Q43" s="160"/>
      <c r="R43" s="160"/>
      <c r="T43" s="160"/>
      <c r="U43" s="160"/>
      <c r="V43" s="160"/>
      <c r="X43" s="160"/>
      <c r="Z43" s="160"/>
      <c r="AA43" s="160"/>
      <c r="AB43" s="160"/>
    </row>
    <row r="44" spans="2:28" ht="27.75" hidden="1" customHeight="1" x14ac:dyDescent="0.2"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0"/>
      <c r="O44" s="160"/>
      <c r="P44" s="160"/>
      <c r="Q44" s="160"/>
      <c r="R44" s="160"/>
      <c r="T44" s="160"/>
      <c r="U44" s="160"/>
      <c r="V44" s="160"/>
      <c r="X44" s="160"/>
      <c r="Z44" s="160"/>
      <c r="AA44" s="160"/>
      <c r="AB44" s="160"/>
    </row>
    <row r="45" spans="2:28" ht="27.75" hidden="1" customHeight="1" x14ac:dyDescent="0.2"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0"/>
      <c r="O45" s="160"/>
      <c r="P45" s="160"/>
      <c r="Q45" s="160"/>
      <c r="R45" s="160"/>
      <c r="T45" s="160"/>
      <c r="U45" s="160"/>
      <c r="V45" s="160"/>
      <c r="X45" s="160"/>
      <c r="Z45" s="160"/>
      <c r="AA45" s="160"/>
      <c r="AB45" s="160"/>
    </row>
    <row r="46" spans="2:28" ht="27.75" hidden="1" customHeight="1" x14ac:dyDescent="0.2"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0"/>
      <c r="O46" s="160"/>
      <c r="P46" s="160"/>
      <c r="Q46" s="160"/>
      <c r="R46" s="160"/>
      <c r="T46" s="160"/>
      <c r="U46" s="160"/>
      <c r="V46" s="160"/>
      <c r="X46" s="160"/>
      <c r="Z46" s="160"/>
      <c r="AA46" s="160"/>
      <c r="AB46" s="160"/>
    </row>
    <row r="47" spans="2:28" ht="27.75" hidden="1" customHeight="1" x14ac:dyDescent="0.2"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0"/>
      <c r="O47" s="160"/>
      <c r="P47" s="160"/>
      <c r="Q47" s="160"/>
      <c r="R47" s="160"/>
      <c r="T47" s="160"/>
      <c r="U47" s="160"/>
      <c r="V47" s="160"/>
      <c r="X47" s="160"/>
      <c r="Z47" s="160"/>
      <c r="AA47" s="160"/>
      <c r="AB47" s="160"/>
    </row>
    <row r="48" spans="2:28" ht="27.75" hidden="1" customHeight="1" x14ac:dyDescent="0.2"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0"/>
      <c r="O48" s="160"/>
      <c r="P48" s="160"/>
      <c r="Q48" s="160"/>
      <c r="R48" s="160"/>
      <c r="T48" s="160"/>
      <c r="U48" s="160"/>
      <c r="V48" s="160"/>
      <c r="X48" s="160"/>
      <c r="Z48" s="160"/>
      <c r="AA48" s="160"/>
      <c r="AB48" s="160"/>
    </row>
    <row r="49" spans="2:28" ht="27.75" hidden="1" customHeight="1" x14ac:dyDescent="0.2"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0"/>
      <c r="O49" s="160"/>
      <c r="P49" s="160"/>
      <c r="Q49" s="160"/>
      <c r="R49" s="160"/>
      <c r="T49" s="160"/>
      <c r="U49" s="160"/>
      <c r="V49" s="160"/>
      <c r="X49" s="160"/>
      <c r="Z49" s="160"/>
      <c r="AA49" s="160"/>
      <c r="AB49" s="160"/>
    </row>
    <row r="50" spans="2:28" ht="27.75" hidden="1" customHeight="1" x14ac:dyDescent="0.2"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0"/>
      <c r="O50" s="160"/>
      <c r="P50" s="160"/>
      <c r="Q50" s="160"/>
      <c r="R50" s="160"/>
      <c r="T50" s="160"/>
      <c r="U50" s="160"/>
      <c r="V50" s="160"/>
      <c r="X50" s="160"/>
      <c r="Z50" s="160"/>
      <c r="AA50" s="160"/>
      <c r="AB50" s="160"/>
    </row>
    <row r="51" spans="2:28" ht="27.75" hidden="1" customHeight="1" x14ac:dyDescent="0.2"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0"/>
      <c r="O51" s="160"/>
      <c r="P51" s="160"/>
      <c r="Q51" s="160"/>
      <c r="R51" s="160"/>
      <c r="T51" s="160"/>
      <c r="U51" s="160"/>
      <c r="V51" s="160"/>
      <c r="X51" s="160"/>
      <c r="Z51" s="160"/>
      <c r="AA51" s="160"/>
      <c r="AB51" s="160"/>
    </row>
    <row r="52" spans="2:28" ht="27.75" hidden="1" customHeight="1" x14ac:dyDescent="0.2"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0"/>
      <c r="O52" s="160"/>
      <c r="P52" s="160"/>
      <c r="Q52" s="160"/>
      <c r="R52" s="160"/>
      <c r="T52" s="160"/>
      <c r="U52" s="160"/>
      <c r="V52" s="160"/>
      <c r="X52" s="160"/>
      <c r="Z52" s="160"/>
      <c r="AA52" s="160"/>
      <c r="AB52" s="160"/>
    </row>
    <row r="53" spans="2:28" ht="27.75" hidden="1" customHeight="1" x14ac:dyDescent="0.2"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0"/>
      <c r="O53" s="160"/>
      <c r="P53" s="160"/>
      <c r="Q53" s="160"/>
      <c r="R53" s="160"/>
      <c r="T53" s="160"/>
      <c r="U53" s="160"/>
      <c r="V53" s="160"/>
      <c r="X53" s="160"/>
      <c r="Z53" s="160"/>
      <c r="AA53" s="160"/>
      <c r="AB53" s="160"/>
    </row>
    <row r="54" spans="2:28" ht="27.75" hidden="1" customHeight="1" x14ac:dyDescent="0.2"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0"/>
      <c r="O54" s="160"/>
      <c r="P54" s="160"/>
      <c r="Q54" s="160"/>
      <c r="R54" s="160"/>
      <c r="T54" s="160"/>
      <c r="U54" s="160"/>
      <c r="V54" s="160"/>
      <c r="X54" s="160"/>
      <c r="Z54" s="160"/>
      <c r="AA54" s="160"/>
      <c r="AB54" s="160"/>
    </row>
    <row r="55" spans="2:28" ht="27.75" hidden="1" customHeight="1" x14ac:dyDescent="0.2"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0"/>
      <c r="O55" s="160"/>
      <c r="P55" s="160"/>
      <c r="Q55" s="160"/>
      <c r="R55" s="160"/>
      <c r="T55" s="160"/>
      <c r="U55" s="160"/>
      <c r="V55" s="160"/>
      <c r="X55" s="160"/>
      <c r="Z55" s="160"/>
      <c r="AA55" s="160"/>
      <c r="AB55" s="160"/>
    </row>
    <row r="56" spans="2:28" ht="27.75" hidden="1" customHeight="1" x14ac:dyDescent="0.2"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0"/>
      <c r="O56" s="160"/>
      <c r="P56" s="160"/>
      <c r="Q56" s="160"/>
      <c r="R56" s="160"/>
      <c r="T56" s="160"/>
      <c r="U56" s="160"/>
      <c r="V56" s="160"/>
      <c r="X56" s="160"/>
      <c r="Z56" s="160"/>
      <c r="AA56" s="160"/>
      <c r="AB56" s="160"/>
    </row>
    <row r="57" spans="2:28" ht="27.75" hidden="1" customHeight="1" x14ac:dyDescent="0.2"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0"/>
      <c r="O57" s="160"/>
      <c r="P57" s="160"/>
      <c r="Q57" s="160"/>
      <c r="R57" s="160"/>
      <c r="T57" s="160"/>
      <c r="U57" s="160"/>
      <c r="V57" s="160"/>
      <c r="X57" s="160"/>
      <c r="Z57" s="160"/>
      <c r="AA57" s="160"/>
      <c r="AB57" s="160"/>
    </row>
    <row r="58" spans="2:28" ht="27.75" hidden="1" customHeight="1" x14ac:dyDescent="0.2"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0"/>
      <c r="O58" s="160"/>
      <c r="P58" s="160"/>
      <c r="Q58" s="160"/>
      <c r="R58" s="160"/>
      <c r="T58" s="160"/>
      <c r="U58" s="160"/>
      <c r="V58" s="160"/>
      <c r="X58" s="160"/>
      <c r="Z58" s="160"/>
      <c r="AA58" s="160"/>
      <c r="AB58" s="160"/>
    </row>
    <row r="59" spans="2:28" ht="27.75" hidden="1" customHeight="1" x14ac:dyDescent="0.2"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0"/>
      <c r="O59" s="160"/>
      <c r="P59" s="160"/>
      <c r="Q59" s="160"/>
      <c r="R59" s="160"/>
      <c r="T59" s="160"/>
      <c r="U59" s="160"/>
      <c r="V59" s="160"/>
      <c r="X59" s="160"/>
      <c r="Z59" s="160"/>
      <c r="AA59" s="160"/>
      <c r="AB59" s="160"/>
    </row>
    <row r="60" spans="2:28" ht="27.75" hidden="1" customHeight="1" x14ac:dyDescent="0.2"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0"/>
      <c r="O60" s="160"/>
      <c r="P60" s="160"/>
      <c r="Q60" s="160"/>
      <c r="R60" s="160"/>
      <c r="T60" s="160"/>
      <c r="U60" s="160"/>
      <c r="V60" s="160"/>
      <c r="X60" s="160"/>
      <c r="Z60" s="160"/>
      <c r="AA60" s="160"/>
      <c r="AB60" s="160"/>
    </row>
    <row r="61" spans="2:28" ht="27.75" hidden="1" customHeight="1" x14ac:dyDescent="0.2"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0"/>
      <c r="O61" s="160"/>
      <c r="P61" s="160"/>
      <c r="Q61" s="160"/>
      <c r="R61" s="160"/>
      <c r="T61" s="160"/>
      <c r="U61" s="160"/>
      <c r="V61" s="160"/>
      <c r="X61" s="160"/>
      <c r="Z61" s="160"/>
      <c r="AA61" s="160"/>
      <c r="AB61" s="160"/>
    </row>
    <row r="62" spans="2:28" ht="27.75" hidden="1" customHeight="1" x14ac:dyDescent="0.2"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0"/>
      <c r="O62" s="160"/>
      <c r="P62" s="160"/>
      <c r="Q62" s="160"/>
      <c r="R62" s="160"/>
      <c r="T62" s="160"/>
      <c r="U62" s="160"/>
      <c r="V62" s="160"/>
      <c r="X62" s="160"/>
      <c r="Z62" s="160"/>
      <c r="AA62" s="160"/>
      <c r="AB62" s="160"/>
    </row>
    <row r="63" spans="2:28" ht="27.75" hidden="1" customHeight="1" x14ac:dyDescent="0.2"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0"/>
      <c r="O63" s="160"/>
      <c r="P63" s="160"/>
      <c r="Q63" s="160"/>
      <c r="R63" s="160"/>
      <c r="T63" s="160"/>
      <c r="U63" s="160"/>
      <c r="V63" s="160"/>
      <c r="X63" s="160"/>
      <c r="Z63" s="160"/>
      <c r="AA63" s="160"/>
      <c r="AB63" s="160"/>
    </row>
    <row r="64" spans="2:28" ht="27.75" hidden="1" customHeight="1" x14ac:dyDescent="0.2"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0"/>
      <c r="O64" s="160"/>
      <c r="P64" s="160"/>
      <c r="Q64" s="160"/>
      <c r="R64" s="160"/>
      <c r="T64" s="160"/>
      <c r="U64" s="160"/>
      <c r="V64" s="160"/>
      <c r="X64" s="160"/>
      <c r="Z64" s="160"/>
      <c r="AA64" s="160"/>
      <c r="AB64" s="160"/>
    </row>
    <row r="65" spans="2:28" ht="27.75" hidden="1" customHeight="1" x14ac:dyDescent="0.2"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0"/>
      <c r="O65" s="160"/>
      <c r="P65" s="160"/>
      <c r="Q65" s="160"/>
      <c r="R65" s="160"/>
      <c r="T65" s="160"/>
      <c r="U65" s="160"/>
      <c r="V65" s="160"/>
      <c r="X65" s="160"/>
      <c r="Z65" s="160"/>
      <c r="AA65" s="160"/>
      <c r="AB65" s="160"/>
    </row>
    <row r="66" spans="2:28" ht="27.75" hidden="1" customHeight="1" x14ac:dyDescent="0.2"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0"/>
      <c r="O66" s="160"/>
      <c r="P66" s="160"/>
      <c r="Q66" s="160"/>
      <c r="R66" s="160"/>
      <c r="T66" s="160"/>
      <c r="U66" s="160"/>
      <c r="V66" s="160"/>
      <c r="X66" s="160"/>
      <c r="Z66" s="160"/>
      <c r="AA66" s="160"/>
      <c r="AB66" s="160"/>
    </row>
    <row r="67" spans="2:28" ht="27.75" hidden="1" customHeight="1" x14ac:dyDescent="0.2"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0"/>
      <c r="O67" s="160"/>
      <c r="P67" s="160"/>
      <c r="Q67" s="160"/>
      <c r="R67" s="160"/>
      <c r="T67" s="160"/>
      <c r="U67" s="160"/>
      <c r="V67" s="160"/>
      <c r="X67" s="160"/>
      <c r="Z67" s="160"/>
      <c r="AA67" s="160"/>
      <c r="AB67" s="160"/>
    </row>
    <row r="68" spans="2:28" ht="27.75" hidden="1" customHeight="1" x14ac:dyDescent="0.2"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0"/>
      <c r="O68" s="160"/>
      <c r="P68" s="160"/>
      <c r="Q68" s="160"/>
      <c r="R68" s="160"/>
      <c r="T68" s="160"/>
      <c r="U68" s="160"/>
      <c r="V68" s="160"/>
      <c r="X68" s="160"/>
      <c r="Z68" s="160"/>
      <c r="AA68" s="160"/>
      <c r="AB68" s="160"/>
    </row>
    <row r="69" spans="2:28" ht="27.75" hidden="1" customHeight="1" x14ac:dyDescent="0.2"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0"/>
      <c r="O69" s="160"/>
      <c r="P69" s="160"/>
      <c r="Q69" s="160"/>
      <c r="R69" s="160"/>
      <c r="T69" s="160"/>
      <c r="U69" s="160"/>
      <c r="V69" s="160"/>
      <c r="X69" s="160"/>
      <c r="Z69" s="160"/>
      <c r="AA69" s="160"/>
      <c r="AB69" s="160"/>
    </row>
    <row r="70" spans="2:28" ht="27.75" hidden="1" customHeight="1" x14ac:dyDescent="0.2"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0"/>
      <c r="O70" s="160"/>
      <c r="P70" s="160"/>
      <c r="Q70" s="160"/>
      <c r="R70" s="160"/>
      <c r="T70" s="160"/>
      <c r="U70" s="160"/>
      <c r="V70" s="160"/>
      <c r="X70" s="160"/>
      <c r="Z70" s="160"/>
      <c r="AA70" s="160"/>
      <c r="AB70" s="160"/>
    </row>
    <row r="71" spans="2:28" ht="27.75" hidden="1" customHeight="1" x14ac:dyDescent="0.2"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0"/>
      <c r="O71" s="160"/>
      <c r="P71" s="160"/>
      <c r="Q71" s="160"/>
      <c r="R71" s="160"/>
      <c r="T71" s="160"/>
      <c r="U71" s="160"/>
      <c r="V71" s="160"/>
      <c r="X71" s="160"/>
      <c r="Z71" s="160"/>
      <c r="AA71" s="160"/>
      <c r="AB71" s="160"/>
    </row>
    <row r="72" spans="2:28" ht="27.75" hidden="1" customHeight="1" x14ac:dyDescent="0.2"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0"/>
      <c r="O72" s="160"/>
      <c r="P72" s="160"/>
      <c r="Q72" s="160"/>
      <c r="R72" s="160"/>
      <c r="T72" s="160"/>
      <c r="U72" s="160"/>
      <c r="V72" s="160"/>
      <c r="X72" s="160"/>
      <c r="Z72" s="160"/>
      <c r="AA72" s="160"/>
      <c r="AB72" s="160"/>
    </row>
    <row r="73" spans="2:28" ht="27.75" hidden="1" customHeight="1" x14ac:dyDescent="0.2"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0"/>
      <c r="O73" s="160"/>
      <c r="P73" s="160"/>
      <c r="Q73" s="160"/>
      <c r="R73" s="160"/>
      <c r="T73" s="160"/>
      <c r="U73" s="160"/>
      <c r="V73" s="160"/>
      <c r="X73" s="160"/>
      <c r="Z73" s="160"/>
      <c r="AA73" s="160"/>
      <c r="AB73" s="160"/>
    </row>
    <row r="74" spans="2:28" ht="27.75" hidden="1" customHeight="1" x14ac:dyDescent="0.2"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0"/>
      <c r="O74" s="160"/>
      <c r="P74" s="160"/>
      <c r="Q74" s="160"/>
      <c r="R74" s="160"/>
      <c r="T74" s="160"/>
      <c r="U74" s="160"/>
      <c r="V74" s="160"/>
      <c r="X74" s="160"/>
      <c r="Z74" s="160"/>
      <c r="AA74" s="160"/>
      <c r="AB74" s="160"/>
    </row>
    <row r="75" spans="2:28" ht="27.75" hidden="1" customHeight="1" x14ac:dyDescent="0.2"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0"/>
      <c r="O75" s="160"/>
      <c r="P75" s="160"/>
      <c r="Q75" s="160"/>
      <c r="R75" s="160"/>
      <c r="T75" s="160"/>
      <c r="U75" s="160"/>
      <c r="V75" s="160"/>
      <c r="X75" s="160"/>
      <c r="Z75" s="160"/>
      <c r="AA75" s="160"/>
      <c r="AB75" s="160"/>
    </row>
    <row r="76" spans="2:28" ht="27.75" hidden="1" customHeight="1" x14ac:dyDescent="0.2"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0"/>
      <c r="O76" s="160"/>
      <c r="P76" s="160"/>
      <c r="Q76" s="160"/>
      <c r="R76" s="160"/>
      <c r="T76" s="160"/>
      <c r="U76" s="160"/>
      <c r="V76" s="160"/>
      <c r="X76" s="160"/>
      <c r="Z76" s="160"/>
      <c r="AA76" s="160"/>
      <c r="AB76" s="160"/>
    </row>
    <row r="77" spans="2:28" ht="27.75" hidden="1" customHeight="1" x14ac:dyDescent="0.2"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0"/>
      <c r="O77" s="160"/>
      <c r="P77" s="160"/>
      <c r="Q77" s="160"/>
      <c r="R77" s="160"/>
      <c r="T77" s="160"/>
      <c r="U77" s="160"/>
      <c r="V77" s="160"/>
      <c r="X77" s="160"/>
      <c r="Z77" s="160"/>
      <c r="AA77" s="160"/>
      <c r="AB77" s="160"/>
    </row>
    <row r="78" spans="2:28" ht="27.75" hidden="1" customHeight="1" x14ac:dyDescent="0.2"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0"/>
      <c r="O78" s="160"/>
      <c r="P78" s="160"/>
      <c r="Q78" s="160"/>
      <c r="R78" s="160"/>
      <c r="T78" s="160"/>
      <c r="U78" s="160"/>
      <c r="V78" s="160"/>
      <c r="X78" s="160"/>
      <c r="Z78" s="160"/>
      <c r="AA78" s="160"/>
      <c r="AB78" s="160"/>
    </row>
    <row r="79" spans="2:28" ht="27.75" hidden="1" customHeight="1" x14ac:dyDescent="0.2"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0"/>
      <c r="O79" s="160"/>
      <c r="P79" s="160"/>
      <c r="Q79" s="160"/>
      <c r="R79" s="160"/>
      <c r="T79" s="160"/>
      <c r="U79" s="160"/>
      <c r="V79" s="160"/>
      <c r="X79" s="160"/>
      <c r="Z79" s="160"/>
      <c r="AA79" s="160"/>
      <c r="AB79" s="160"/>
    </row>
    <row r="80" spans="2:28" ht="27.75" hidden="1" customHeight="1" x14ac:dyDescent="0.2"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0"/>
      <c r="O80" s="160"/>
      <c r="P80" s="160"/>
      <c r="Q80" s="160"/>
      <c r="R80" s="160"/>
      <c r="T80" s="160"/>
      <c r="U80" s="160"/>
      <c r="V80" s="160"/>
      <c r="X80" s="160"/>
      <c r="Z80" s="160"/>
      <c r="AA80" s="160"/>
      <c r="AB80" s="160"/>
    </row>
    <row r="81" spans="2:28" ht="27.75" hidden="1" customHeight="1" x14ac:dyDescent="0.2"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0"/>
      <c r="O81" s="160"/>
      <c r="P81" s="160"/>
      <c r="Q81" s="160"/>
      <c r="R81" s="160"/>
      <c r="T81" s="160"/>
      <c r="U81" s="160"/>
      <c r="V81" s="160"/>
      <c r="X81" s="160"/>
      <c r="Z81" s="160"/>
      <c r="AA81" s="160"/>
      <c r="AB81" s="160"/>
    </row>
    <row r="82" spans="2:28" ht="27.75" hidden="1" customHeight="1" x14ac:dyDescent="0.2"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0"/>
      <c r="O82" s="160"/>
      <c r="P82" s="160"/>
      <c r="Q82" s="160"/>
      <c r="R82" s="160"/>
      <c r="T82" s="160"/>
      <c r="U82" s="160"/>
      <c r="V82" s="160"/>
      <c r="X82" s="160"/>
      <c r="Z82" s="160"/>
      <c r="AA82" s="160"/>
      <c r="AB82" s="160"/>
    </row>
    <row r="83" spans="2:28" ht="27.75" hidden="1" customHeight="1" x14ac:dyDescent="0.2"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0"/>
      <c r="O83" s="160"/>
      <c r="P83" s="160"/>
      <c r="Q83" s="160"/>
      <c r="R83" s="160"/>
      <c r="T83" s="160"/>
      <c r="U83" s="160"/>
      <c r="V83" s="160"/>
      <c r="X83" s="160"/>
      <c r="Z83" s="160"/>
      <c r="AA83" s="160"/>
      <c r="AB83" s="160"/>
    </row>
    <row r="84" spans="2:28" ht="27.75" hidden="1" customHeight="1" x14ac:dyDescent="0.2"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0"/>
      <c r="O84" s="160"/>
      <c r="P84" s="160"/>
      <c r="Q84" s="160"/>
      <c r="R84" s="160"/>
      <c r="T84" s="160"/>
      <c r="U84" s="160"/>
      <c r="V84" s="160"/>
      <c r="X84" s="160"/>
      <c r="Z84" s="160"/>
      <c r="AA84" s="160"/>
      <c r="AB84" s="160"/>
    </row>
    <row r="85" spans="2:28" ht="27.75" hidden="1" customHeight="1" x14ac:dyDescent="0.2"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0"/>
      <c r="O85" s="160"/>
      <c r="P85" s="160"/>
      <c r="Q85" s="160"/>
      <c r="R85" s="160"/>
      <c r="T85" s="160"/>
      <c r="U85" s="160"/>
      <c r="V85" s="160"/>
      <c r="X85" s="160"/>
      <c r="Z85" s="160"/>
      <c r="AA85" s="160"/>
      <c r="AB85" s="160"/>
    </row>
    <row r="86" spans="2:28" ht="27.75" hidden="1" customHeight="1" x14ac:dyDescent="0.2"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0"/>
      <c r="O86" s="160"/>
      <c r="P86" s="160"/>
      <c r="Q86" s="160"/>
      <c r="R86" s="160"/>
      <c r="T86" s="160"/>
      <c r="U86" s="160"/>
      <c r="V86" s="160"/>
      <c r="X86" s="160"/>
      <c r="Z86" s="160"/>
      <c r="AA86" s="160"/>
      <c r="AB86" s="160"/>
    </row>
    <row r="87" spans="2:28" ht="27.75" hidden="1" customHeight="1" x14ac:dyDescent="0.2"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0"/>
      <c r="O87" s="160"/>
      <c r="P87" s="160"/>
      <c r="Q87" s="160"/>
      <c r="R87" s="160"/>
      <c r="T87" s="160"/>
      <c r="U87" s="160"/>
      <c r="V87" s="160"/>
      <c r="X87" s="160"/>
      <c r="Z87" s="160"/>
      <c r="AA87" s="160"/>
      <c r="AB87" s="160"/>
    </row>
    <row r="88" spans="2:28" ht="27.75" hidden="1" customHeight="1" x14ac:dyDescent="0.2"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0"/>
      <c r="O88" s="160"/>
      <c r="P88" s="160"/>
      <c r="Q88" s="160"/>
      <c r="R88" s="160"/>
      <c r="T88" s="160"/>
      <c r="U88" s="160"/>
      <c r="V88" s="160"/>
      <c r="X88" s="160"/>
      <c r="Z88" s="160"/>
      <c r="AA88" s="160"/>
      <c r="AB88" s="160"/>
    </row>
    <row r="89" spans="2:28" ht="27.75" hidden="1" customHeight="1" x14ac:dyDescent="0.2"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0"/>
      <c r="O89" s="160"/>
      <c r="P89" s="160"/>
      <c r="Q89" s="160"/>
      <c r="R89" s="160"/>
      <c r="T89" s="160"/>
      <c r="U89" s="160"/>
      <c r="V89" s="160"/>
      <c r="X89" s="160"/>
      <c r="Z89" s="160"/>
      <c r="AA89" s="160"/>
      <c r="AB89" s="160"/>
    </row>
    <row r="90" spans="2:28" ht="27.75" hidden="1" customHeight="1" x14ac:dyDescent="0.2"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0"/>
      <c r="O90" s="160"/>
      <c r="P90" s="160"/>
      <c r="Q90" s="160"/>
      <c r="R90" s="160"/>
      <c r="T90" s="160"/>
      <c r="U90" s="160"/>
      <c r="V90" s="160"/>
      <c r="X90" s="160"/>
      <c r="Z90" s="160"/>
      <c r="AA90" s="160"/>
      <c r="AB90" s="160"/>
    </row>
    <row r="91" spans="2:28" ht="27.75" hidden="1" customHeight="1" x14ac:dyDescent="0.2"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0"/>
      <c r="O91" s="160"/>
      <c r="P91" s="160"/>
      <c r="Q91" s="160"/>
      <c r="R91" s="160"/>
      <c r="T91" s="160"/>
      <c r="U91" s="160"/>
      <c r="V91" s="160"/>
      <c r="X91" s="160"/>
      <c r="Z91" s="160"/>
      <c r="AA91" s="160"/>
      <c r="AB91" s="160"/>
    </row>
    <row r="92" spans="2:28" ht="27.75" hidden="1" customHeight="1" x14ac:dyDescent="0.2"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0"/>
      <c r="O92" s="160"/>
      <c r="P92" s="160"/>
      <c r="Q92" s="160"/>
      <c r="R92" s="160"/>
      <c r="T92" s="160"/>
      <c r="U92" s="160"/>
      <c r="V92" s="160"/>
      <c r="X92" s="160"/>
      <c r="Z92" s="160"/>
      <c r="AA92" s="160"/>
      <c r="AB92" s="160"/>
    </row>
    <row r="93" spans="2:28" ht="27.75" hidden="1" customHeight="1" x14ac:dyDescent="0.2"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0"/>
      <c r="O93" s="160"/>
      <c r="P93" s="160"/>
      <c r="Q93" s="160"/>
      <c r="R93" s="160"/>
      <c r="T93" s="160"/>
      <c r="U93" s="160"/>
      <c r="V93" s="160"/>
      <c r="X93" s="160"/>
      <c r="Z93" s="160"/>
      <c r="AA93" s="160"/>
      <c r="AB93" s="160"/>
    </row>
    <row r="94" spans="2:28" ht="27.75" hidden="1" customHeight="1" x14ac:dyDescent="0.2"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0"/>
      <c r="O94" s="160"/>
      <c r="P94" s="160"/>
      <c r="Q94" s="160"/>
      <c r="R94" s="160"/>
      <c r="T94" s="160"/>
      <c r="U94" s="160"/>
      <c r="V94" s="160"/>
      <c r="X94" s="160"/>
      <c r="Z94" s="160"/>
      <c r="AA94" s="160"/>
      <c r="AB94" s="160"/>
    </row>
    <row r="95" spans="2:28" ht="27.75" hidden="1" customHeight="1" x14ac:dyDescent="0.2"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0"/>
      <c r="O95" s="160"/>
      <c r="P95" s="160"/>
      <c r="Q95" s="160"/>
      <c r="R95" s="160"/>
      <c r="T95" s="160"/>
      <c r="U95" s="160"/>
      <c r="V95" s="160"/>
      <c r="X95" s="160"/>
      <c r="Z95" s="160"/>
      <c r="AA95" s="160"/>
      <c r="AB95" s="160"/>
    </row>
    <row r="96" spans="2:28" ht="27.75" hidden="1" customHeight="1" x14ac:dyDescent="0.2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0"/>
      <c r="O96" s="160"/>
      <c r="P96" s="160"/>
      <c r="Q96" s="160"/>
      <c r="R96" s="160"/>
      <c r="T96" s="160"/>
      <c r="U96" s="160"/>
      <c r="V96" s="160"/>
      <c r="X96" s="160"/>
      <c r="Z96" s="160"/>
      <c r="AA96" s="160"/>
      <c r="AB96" s="160"/>
    </row>
    <row r="97" spans="2:28" ht="27.75" hidden="1" customHeight="1" x14ac:dyDescent="0.2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0"/>
      <c r="O97" s="160"/>
      <c r="P97" s="160"/>
      <c r="Q97" s="160"/>
      <c r="R97" s="160"/>
      <c r="T97" s="160"/>
      <c r="U97" s="160"/>
      <c r="V97" s="160"/>
      <c r="X97" s="160"/>
      <c r="Z97" s="160"/>
      <c r="AA97" s="160"/>
      <c r="AB97" s="160"/>
    </row>
    <row r="98" spans="2:28" ht="27.75" hidden="1" customHeight="1" x14ac:dyDescent="0.2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0"/>
      <c r="O98" s="160"/>
      <c r="P98" s="160"/>
      <c r="Q98" s="160"/>
      <c r="R98" s="160"/>
      <c r="T98" s="160"/>
      <c r="U98" s="160"/>
      <c r="V98" s="160"/>
      <c r="X98" s="160"/>
      <c r="Z98" s="160"/>
      <c r="AA98" s="160"/>
      <c r="AB98" s="160"/>
    </row>
    <row r="99" spans="2:28" ht="27.75" hidden="1" customHeight="1" x14ac:dyDescent="0.2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0"/>
      <c r="O99" s="160"/>
      <c r="P99" s="160"/>
      <c r="Q99" s="160"/>
      <c r="R99" s="160"/>
      <c r="T99" s="160"/>
      <c r="U99" s="160"/>
      <c r="V99" s="160"/>
      <c r="X99" s="160"/>
      <c r="Z99" s="160"/>
      <c r="AA99" s="160"/>
      <c r="AB99" s="160"/>
    </row>
    <row r="100" spans="2:28" ht="27.75" hidden="1" customHeight="1" x14ac:dyDescent="0.2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0"/>
      <c r="O100" s="160"/>
      <c r="P100" s="160"/>
      <c r="Q100" s="160"/>
      <c r="R100" s="160"/>
      <c r="T100" s="160"/>
      <c r="U100" s="160"/>
      <c r="V100" s="160"/>
      <c r="X100" s="160"/>
      <c r="Z100" s="160"/>
      <c r="AA100" s="160"/>
      <c r="AB100" s="160"/>
    </row>
    <row r="101" spans="2:28" ht="27.75" hidden="1" customHeight="1" x14ac:dyDescent="0.2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0"/>
      <c r="O101" s="160"/>
      <c r="P101" s="160"/>
      <c r="Q101" s="160"/>
      <c r="R101" s="160"/>
      <c r="T101" s="160"/>
      <c r="U101" s="160"/>
      <c r="V101" s="160"/>
      <c r="X101" s="160"/>
      <c r="Z101" s="160"/>
      <c r="AA101" s="160"/>
      <c r="AB101" s="160"/>
    </row>
    <row r="102" spans="2:28" ht="27.75" hidden="1" customHeight="1" x14ac:dyDescent="0.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0"/>
      <c r="O102" s="160"/>
      <c r="P102" s="160"/>
      <c r="Q102" s="160"/>
      <c r="R102" s="160"/>
      <c r="T102" s="160"/>
      <c r="U102" s="160"/>
      <c r="V102" s="160"/>
      <c r="X102" s="160"/>
      <c r="Z102" s="160"/>
      <c r="AA102" s="160"/>
      <c r="AB102" s="160"/>
    </row>
    <row r="103" spans="2:28" ht="27.75" hidden="1" customHeight="1" x14ac:dyDescent="0.2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0"/>
      <c r="O103" s="160"/>
      <c r="P103" s="160"/>
      <c r="Q103" s="160"/>
      <c r="R103" s="160"/>
      <c r="T103" s="160"/>
      <c r="U103" s="160"/>
      <c r="V103" s="160"/>
      <c r="X103" s="160"/>
      <c r="Z103" s="160"/>
      <c r="AA103" s="160"/>
      <c r="AB103" s="160"/>
    </row>
    <row r="104" spans="2:28" ht="27.75" hidden="1" customHeight="1" x14ac:dyDescent="0.2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0"/>
      <c r="O104" s="160"/>
      <c r="P104" s="160"/>
      <c r="Q104" s="160"/>
      <c r="R104" s="160"/>
      <c r="T104" s="160"/>
      <c r="U104" s="160"/>
      <c r="V104" s="160"/>
      <c r="X104" s="160"/>
      <c r="Z104" s="160"/>
      <c r="AA104" s="160"/>
      <c r="AB104" s="160"/>
    </row>
    <row r="105" spans="2:28" ht="27.75" hidden="1" customHeight="1" x14ac:dyDescent="0.2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0"/>
      <c r="O105" s="160"/>
      <c r="P105" s="160"/>
      <c r="Q105" s="160"/>
      <c r="R105" s="160"/>
      <c r="T105" s="160"/>
      <c r="U105" s="160"/>
      <c r="V105" s="160"/>
      <c r="X105" s="160"/>
      <c r="Z105" s="160"/>
      <c r="AA105" s="160"/>
      <c r="AB105" s="160"/>
    </row>
    <row r="106" spans="2:28" ht="27.75" hidden="1" customHeight="1" x14ac:dyDescent="0.2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0"/>
      <c r="O106" s="160"/>
      <c r="P106" s="160"/>
      <c r="Q106" s="160"/>
      <c r="R106" s="160"/>
      <c r="T106" s="160"/>
      <c r="U106" s="160"/>
      <c r="V106" s="160"/>
      <c r="X106" s="160"/>
      <c r="Z106" s="160"/>
      <c r="AA106" s="160"/>
      <c r="AB106" s="160"/>
    </row>
    <row r="107" spans="2:28" ht="27.75" hidden="1" customHeight="1" x14ac:dyDescent="0.2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0"/>
      <c r="O107" s="160"/>
      <c r="P107" s="160"/>
      <c r="Q107" s="160"/>
      <c r="R107" s="160"/>
      <c r="T107" s="160"/>
      <c r="U107" s="160"/>
      <c r="V107" s="160"/>
      <c r="X107" s="160"/>
      <c r="Z107" s="160"/>
      <c r="AA107" s="160"/>
      <c r="AB107" s="160"/>
    </row>
    <row r="108" spans="2:28" ht="27.75" hidden="1" customHeight="1" x14ac:dyDescent="0.2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0"/>
      <c r="O108" s="160"/>
      <c r="P108" s="160"/>
      <c r="Q108" s="160"/>
      <c r="R108" s="160"/>
      <c r="T108" s="160"/>
      <c r="U108" s="160"/>
      <c r="V108" s="160"/>
      <c r="X108" s="160"/>
      <c r="Z108" s="160"/>
      <c r="AA108" s="160"/>
      <c r="AB108" s="160"/>
    </row>
    <row r="109" spans="2:28" ht="27.75" hidden="1" customHeight="1" x14ac:dyDescent="0.2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0"/>
      <c r="O109" s="160"/>
      <c r="P109" s="160"/>
      <c r="Q109" s="160"/>
      <c r="R109" s="160"/>
      <c r="T109" s="160"/>
      <c r="U109" s="160"/>
      <c r="V109" s="160"/>
      <c r="X109" s="160"/>
      <c r="Z109" s="160"/>
      <c r="AA109" s="160"/>
      <c r="AB109" s="160"/>
    </row>
    <row r="110" spans="2:28" ht="27.75" hidden="1" customHeight="1" x14ac:dyDescent="0.2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0"/>
      <c r="O110" s="160"/>
      <c r="P110" s="160"/>
      <c r="Q110" s="160"/>
      <c r="R110" s="160"/>
      <c r="T110" s="160"/>
      <c r="U110" s="160"/>
      <c r="V110" s="160"/>
      <c r="X110" s="160"/>
      <c r="Z110" s="160"/>
      <c r="AA110" s="160"/>
      <c r="AB110" s="160"/>
    </row>
    <row r="111" spans="2:28" ht="27.75" hidden="1" customHeight="1" x14ac:dyDescent="0.2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0"/>
      <c r="O111" s="160"/>
      <c r="P111" s="160"/>
      <c r="Q111" s="160"/>
      <c r="R111" s="160"/>
      <c r="T111" s="160"/>
      <c r="U111" s="160"/>
      <c r="V111" s="160"/>
      <c r="X111" s="160"/>
      <c r="Z111" s="160"/>
      <c r="AA111" s="160"/>
      <c r="AB111" s="160"/>
    </row>
    <row r="112" spans="2:28" ht="27.75" hidden="1" customHeight="1" x14ac:dyDescent="0.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0"/>
      <c r="O112" s="160"/>
      <c r="P112" s="160"/>
      <c r="Q112" s="160"/>
      <c r="R112" s="160"/>
      <c r="T112" s="160"/>
      <c r="U112" s="160"/>
      <c r="V112" s="160"/>
      <c r="X112" s="160"/>
      <c r="Z112" s="160"/>
      <c r="AA112" s="160"/>
      <c r="AB112" s="160"/>
    </row>
    <row r="113" spans="2:28" ht="27.75" hidden="1" customHeight="1" x14ac:dyDescent="0.2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0"/>
      <c r="O113" s="160"/>
      <c r="P113" s="160"/>
      <c r="Q113" s="160"/>
      <c r="R113" s="160"/>
      <c r="T113" s="160"/>
      <c r="U113" s="160"/>
      <c r="V113" s="160"/>
      <c r="X113" s="160"/>
      <c r="Z113" s="160"/>
      <c r="AA113" s="160"/>
      <c r="AB113" s="160"/>
    </row>
    <row r="114" spans="2:28" ht="27.75" hidden="1" customHeight="1" x14ac:dyDescent="0.2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0"/>
      <c r="O114" s="160"/>
      <c r="P114" s="160"/>
      <c r="Q114" s="160"/>
      <c r="R114" s="160"/>
      <c r="T114" s="160"/>
      <c r="U114" s="160"/>
      <c r="V114" s="160"/>
      <c r="X114" s="160"/>
      <c r="Z114" s="160"/>
      <c r="AA114" s="160"/>
      <c r="AB114" s="160"/>
    </row>
    <row r="115" spans="2:28" ht="27.75" hidden="1" customHeight="1" x14ac:dyDescent="0.2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0"/>
      <c r="O115" s="160"/>
      <c r="P115" s="160"/>
      <c r="Q115" s="160"/>
      <c r="R115" s="160"/>
      <c r="T115" s="160"/>
      <c r="U115" s="160"/>
      <c r="V115" s="160"/>
      <c r="X115" s="160"/>
      <c r="Z115" s="160"/>
      <c r="AA115" s="160"/>
      <c r="AB115" s="160"/>
    </row>
    <row r="116" spans="2:28" ht="27.75" hidden="1" customHeight="1" x14ac:dyDescent="0.2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0"/>
      <c r="O116" s="160"/>
      <c r="P116" s="160"/>
      <c r="Q116" s="160"/>
      <c r="R116" s="160"/>
      <c r="T116" s="160"/>
      <c r="U116" s="160"/>
      <c r="V116" s="160"/>
      <c r="X116" s="160"/>
      <c r="Z116" s="160"/>
      <c r="AA116" s="160"/>
      <c r="AB116" s="160"/>
    </row>
    <row r="117" spans="2:28" ht="27.75" hidden="1" customHeight="1" x14ac:dyDescent="0.2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0"/>
      <c r="O117" s="160"/>
      <c r="P117" s="160"/>
      <c r="Q117" s="160"/>
      <c r="R117" s="160"/>
      <c r="T117" s="160"/>
      <c r="U117" s="160"/>
      <c r="V117" s="160"/>
      <c r="X117" s="160"/>
      <c r="Z117" s="160"/>
      <c r="AA117" s="160"/>
      <c r="AB117" s="160"/>
    </row>
    <row r="118" spans="2:28" ht="27.75" hidden="1" customHeight="1" x14ac:dyDescent="0.2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0"/>
      <c r="O118" s="160"/>
      <c r="P118" s="160"/>
      <c r="Q118" s="160"/>
      <c r="R118" s="160"/>
      <c r="T118" s="160"/>
      <c r="U118" s="160"/>
      <c r="V118" s="160"/>
      <c r="X118" s="160"/>
      <c r="Z118" s="160"/>
      <c r="AA118" s="160"/>
      <c r="AB118" s="160"/>
    </row>
    <row r="119" spans="2:28" ht="27.75" hidden="1" customHeight="1" x14ac:dyDescent="0.2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0"/>
      <c r="O119" s="160"/>
      <c r="P119" s="160"/>
      <c r="Q119" s="160"/>
      <c r="R119" s="160"/>
      <c r="T119" s="160"/>
      <c r="U119" s="160"/>
      <c r="V119" s="160"/>
      <c r="X119" s="160"/>
      <c r="Z119" s="160"/>
      <c r="AA119" s="160"/>
      <c r="AB119" s="160"/>
    </row>
    <row r="120" spans="2:28" ht="27.75" hidden="1" customHeight="1" x14ac:dyDescent="0.2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0"/>
      <c r="O120" s="160"/>
      <c r="P120" s="160"/>
      <c r="Q120" s="160"/>
      <c r="R120" s="160"/>
      <c r="T120" s="160"/>
      <c r="U120" s="160"/>
      <c r="V120" s="160"/>
      <c r="X120" s="160"/>
      <c r="Z120" s="160"/>
      <c r="AA120" s="160"/>
      <c r="AB120" s="160"/>
    </row>
    <row r="121" spans="2:28" ht="27.75" hidden="1" customHeight="1" x14ac:dyDescent="0.2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0"/>
      <c r="O121" s="160"/>
      <c r="P121" s="160"/>
      <c r="Q121" s="160"/>
      <c r="R121" s="160"/>
      <c r="T121" s="160"/>
      <c r="U121" s="160"/>
      <c r="V121" s="160"/>
      <c r="X121" s="160"/>
      <c r="Z121" s="160"/>
      <c r="AA121" s="160"/>
      <c r="AB121" s="160"/>
    </row>
    <row r="122" spans="2:28" ht="27.75" hidden="1" customHeight="1" x14ac:dyDescent="0.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0"/>
      <c r="O122" s="160"/>
      <c r="P122" s="160"/>
      <c r="Q122" s="160"/>
      <c r="R122" s="160"/>
      <c r="T122" s="160"/>
      <c r="U122" s="160"/>
      <c r="V122" s="160"/>
      <c r="X122" s="160"/>
      <c r="Z122" s="160"/>
      <c r="AA122" s="160"/>
      <c r="AB122" s="160"/>
    </row>
    <row r="123" spans="2:28" ht="27.75" hidden="1" customHeight="1" x14ac:dyDescent="0.2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0"/>
      <c r="O123" s="160"/>
      <c r="P123" s="160"/>
      <c r="Q123" s="160"/>
      <c r="R123" s="160"/>
      <c r="T123" s="160"/>
      <c r="U123" s="160"/>
      <c r="V123" s="160"/>
      <c r="X123" s="160"/>
      <c r="Z123" s="160"/>
      <c r="AA123" s="160"/>
      <c r="AB123" s="160"/>
    </row>
    <row r="124" spans="2:28" ht="27.75" hidden="1" customHeight="1" x14ac:dyDescent="0.2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0"/>
      <c r="O124" s="160"/>
      <c r="P124" s="160"/>
      <c r="Q124" s="160"/>
      <c r="R124" s="160"/>
      <c r="T124" s="160"/>
      <c r="U124" s="160"/>
      <c r="V124" s="160"/>
      <c r="X124" s="160"/>
      <c r="Z124" s="160"/>
      <c r="AA124" s="160"/>
      <c r="AB124" s="160"/>
    </row>
    <row r="125" spans="2:28" ht="27.75" hidden="1" customHeight="1" x14ac:dyDescent="0.2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0"/>
      <c r="O125" s="160"/>
      <c r="P125" s="160"/>
      <c r="Q125" s="160"/>
      <c r="R125" s="160"/>
      <c r="T125" s="160"/>
      <c r="U125" s="160"/>
      <c r="V125" s="160"/>
      <c r="X125" s="160"/>
      <c r="Z125" s="160"/>
      <c r="AA125" s="160"/>
      <c r="AB125" s="160"/>
    </row>
    <row r="126" spans="2:28" ht="27.75" hidden="1" customHeight="1" x14ac:dyDescent="0.2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0"/>
      <c r="O126" s="160"/>
      <c r="P126" s="160"/>
      <c r="Q126" s="160"/>
      <c r="R126" s="160"/>
      <c r="T126" s="160"/>
      <c r="U126" s="160"/>
      <c r="V126" s="160"/>
      <c r="X126" s="160"/>
      <c r="Z126" s="160"/>
      <c r="AA126" s="160"/>
      <c r="AB126" s="160"/>
    </row>
    <row r="127" spans="2:28" ht="27.75" hidden="1" customHeight="1" x14ac:dyDescent="0.2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0"/>
      <c r="O127" s="160"/>
      <c r="P127" s="160"/>
      <c r="Q127" s="160"/>
      <c r="R127" s="160"/>
      <c r="T127" s="160"/>
      <c r="U127" s="160"/>
      <c r="V127" s="160"/>
      <c r="X127" s="160"/>
      <c r="Z127" s="160"/>
      <c r="AA127" s="160"/>
      <c r="AB127" s="160"/>
    </row>
    <row r="128" spans="2:28" ht="27.75" hidden="1" customHeight="1" x14ac:dyDescent="0.2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0"/>
      <c r="O128" s="160"/>
      <c r="P128" s="160"/>
      <c r="Q128" s="160"/>
      <c r="R128" s="160"/>
      <c r="T128" s="160"/>
      <c r="U128" s="160"/>
      <c r="V128" s="160"/>
      <c r="X128" s="160"/>
      <c r="Z128" s="160"/>
      <c r="AA128" s="160"/>
      <c r="AB128" s="160"/>
    </row>
    <row r="129" spans="2:28" ht="27.75" hidden="1" customHeight="1" x14ac:dyDescent="0.2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0"/>
      <c r="O129" s="160"/>
      <c r="P129" s="160"/>
      <c r="Q129" s="160"/>
      <c r="R129" s="160"/>
      <c r="T129" s="160"/>
      <c r="U129" s="160"/>
      <c r="V129" s="160"/>
      <c r="X129" s="160"/>
      <c r="Z129" s="160"/>
      <c r="AA129" s="160"/>
      <c r="AB129" s="160"/>
    </row>
    <row r="130" spans="2:28" ht="27.75" hidden="1" customHeight="1" x14ac:dyDescent="0.2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0"/>
      <c r="O130" s="160"/>
      <c r="P130" s="160"/>
      <c r="Q130" s="160"/>
      <c r="R130" s="160"/>
      <c r="T130" s="160"/>
      <c r="U130" s="160"/>
      <c r="V130" s="160"/>
      <c r="X130" s="160"/>
      <c r="Z130" s="160"/>
      <c r="AA130" s="160"/>
      <c r="AB130" s="160"/>
    </row>
    <row r="131" spans="2:28" ht="27.75" hidden="1" customHeight="1" x14ac:dyDescent="0.2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0"/>
      <c r="O131" s="160"/>
      <c r="P131" s="160"/>
      <c r="Q131" s="160"/>
      <c r="R131" s="160"/>
      <c r="T131" s="160"/>
      <c r="U131" s="160"/>
      <c r="V131" s="160"/>
      <c r="X131" s="160"/>
      <c r="Z131" s="160"/>
      <c r="AA131" s="160"/>
      <c r="AB131" s="160"/>
    </row>
    <row r="132" spans="2:28" ht="27.75" hidden="1" customHeight="1" x14ac:dyDescent="0.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0"/>
      <c r="O132" s="160"/>
      <c r="P132" s="160"/>
      <c r="Q132" s="160"/>
      <c r="R132" s="160"/>
      <c r="T132" s="160"/>
      <c r="U132" s="160"/>
      <c r="V132" s="160"/>
      <c r="X132" s="160"/>
      <c r="Z132" s="160"/>
      <c r="AA132" s="160"/>
      <c r="AB132" s="160"/>
    </row>
    <row r="133" spans="2:28" ht="27.75" hidden="1" customHeight="1" x14ac:dyDescent="0.2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0"/>
      <c r="O133" s="160"/>
      <c r="P133" s="160"/>
      <c r="Q133" s="160"/>
      <c r="R133" s="160"/>
      <c r="T133" s="160"/>
      <c r="U133" s="160"/>
      <c r="V133" s="160"/>
      <c r="X133" s="160"/>
      <c r="Z133" s="160"/>
      <c r="AA133" s="160"/>
      <c r="AB133" s="160"/>
    </row>
    <row r="134" spans="2:28" ht="27.75" hidden="1" customHeight="1" x14ac:dyDescent="0.2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0"/>
      <c r="O134" s="160"/>
      <c r="P134" s="160"/>
      <c r="Q134" s="160"/>
      <c r="R134" s="160"/>
      <c r="T134" s="160"/>
      <c r="U134" s="160"/>
      <c r="V134" s="160"/>
      <c r="X134" s="160"/>
      <c r="Z134" s="160"/>
      <c r="AA134" s="160"/>
      <c r="AB134" s="160"/>
    </row>
    <row r="135" spans="2:28" ht="27.75" hidden="1" customHeight="1" x14ac:dyDescent="0.2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0"/>
      <c r="O135" s="160"/>
      <c r="P135" s="160"/>
      <c r="Q135" s="160"/>
      <c r="R135" s="160"/>
      <c r="T135" s="160"/>
      <c r="U135" s="160"/>
      <c r="V135" s="160"/>
      <c r="X135" s="160"/>
      <c r="Z135" s="160"/>
      <c r="AA135" s="160"/>
      <c r="AB135" s="160"/>
    </row>
    <row r="136" spans="2:28" ht="27.75" hidden="1" customHeight="1" x14ac:dyDescent="0.2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0"/>
      <c r="O136" s="160"/>
      <c r="P136" s="160"/>
      <c r="Q136" s="160"/>
      <c r="R136" s="160"/>
      <c r="T136" s="160"/>
      <c r="U136" s="160"/>
      <c r="V136" s="160"/>
      <c r="X136" s="160"/>
      <c r="Z136" s="160"/>
      <c r="AA136" s="160"/>
      <c r="AB136" s="160"/>
    </row>
    <row r="137" spans="2:28" ht="27.75" hidden="1" customHeight="1" x14ac:dyDescent="0.2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0"/>
      <c r="O137" s="160"/>
      <c r="P137" s="160"/>
      <c r="Q137" s="160"/>
      <c r="R137" s="160"/>
      <c r="T137" s="160"/>
      <c r="U137" s="160"/>
      <c r="V137" s="160"/>
      <c r="X137" s="160"/>
      <c r="Z137" s="160"/>
      <c r="AA137" s="160"/>
      <c r="AB137" s="160"/>
    </row>
    <row r="138" spans="2:28" ht="27.75" hidden="1" customHeight="1" x14ac:dyDescent="0.2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0"/>
      <c r="O138" s="160"/>
      <c r="P138" s="160"/>
      <c r="Q138" s="160"/>
      <c r="R138" s="160"/>
      <c r="T138" s="160"/>
      <c r="U138" s="160"/>
      <c r="V138" s="160"/>
      <c r="X138" s="160"/>
      <c r="Z138" s="160"/>
      <c r="AA138" s="160"/>
      <c r="AB138" s="160"/>
    </row>
    <row r="139" spans="2:28" ht="27.75" hidden="1" customHeight="1" x14ac:dyDescent="0.2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0"/>
      <c r="O139" s="160"/>
      <c r="P139" s="160"/>
      <c r="Q139" s="160"/>
      <c r="R139" s="160"/>
      <c r="T139" s="160"/>
      <c r="U139" s="160"/>
      <c r="V139" s="160"/>
      <c r="X139" s="160"/>
      <c r="Z139" s="160"/>
      <c r="AA139" s="160"/>
      <c r="AB139" s="160"/>
    </row>
    <row r="140" spans="2:28" ht="27.75" hidden="1" customHeight="1" x14ac:dyDescent="0.2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0"/>
      <c r="O140" s="160"/>
      <c r="P140" s="160"/>
      <c r="Q140" s="160"/>
      <c r="R140" s="160"/>
      <c r="T140" s="160"/>
      <c r="U140" s="160"/>
      <c r="V140" s="160"/>
      <c r="X140" s="160"/>
      <c r="Z140" s="160"/>
      <c r="AA140" s="160"/>
      <c r="AB140" s="160"/>
    </row>
    <row r="141" spans="2:28" ht="27.75" hidden="1" customHeight="1" x14ac:dyDescent="0.2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0"/>
      <c r="O141" s="160"/>
      <c r="P141" s="160"/>
      <c r="Q141" s="160"/>
      <c r="R141" s="160"/>
      <c r="T141" s="160"/>
      <c r="U141" s="160"/>
      <c r="V141" s="160"/>
      <c r="X141" s="160"/>
      <c r="Z141" s="160"/>
      <c r="AA141" s="160"/>
      <c r="AB141" s="160"/>
    </row>
    <row r="142" spans="2:28" ht="27.75" hidden="1" customHeight="1" x14ac:dyDescent="0.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0"/>
      <c r="O142" s="160"/>
      <c r="P142" s="160"/>
      <c r="Q142" s="160"/>
      <c r="R142" s="160"/>
      <c r="T142" s="160"/>
      <c r="U142" s="160"/>
      <c r="V142" s="160"/>
      <c r="X142" s="160"/>
      <c r="Z142" s="160"/>
      <c r="AA142" s="160"/>
      <c r="AB142" s="160"/>
    </row>
    <row r="143" spans="2:28" ht="27.75" hidden="1" customHeight="1" x14ac:dyDescent="0.2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0"/>
      <c r="O143" s="160"/>
      <c r="P143" s="160"/>
      <c r="Q143" s="160"/>
      <c r="R143" s="160"/>
      <c r="T143" s="160"/>
      <c r="U143" s="160"/>
      <c r="V143" s="160"/>
      <c r="X143" s="160"/>
      <c r="Z143" s="160"/>
      <c r="AA143" s="160"/>
      <c r="AB143" s="160"/>
    </row>
    <row r="144" spans="2:28" ht="27.75" hidden="1" customHeight="1" x14ac:dyDescent="0.2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0"/>
      <c r="O144" s="160"/>
      <c r="P144" s="160"/>
      <c r="Q144" s="160"/>
      <c r="R144" s="160"/>
      <c r="T144" s="160"/>
      <c r="U144" s="160"/>
      <c r="V144" s="160"/>
      <c r="X144" s="160"/>
      <c r="Z144" s="160"/>
      <c r="AA144" s="160"/>
      <c r="AB144" s="160"/>
    </row>
    <row r="145" spans="2:28" ht="27.75" hidden="1" customHeight="1" x14ac:dyDescent="0.2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0"/>
      <c r="O145" s="160"/>
      <c r="P145" s="160"/>
      <c r="Q145" s="160"/>
      <c r="R145" s="160"/>
      <c r="T145" s="160"/>
      <c r="U145" s="160"/>
      <c r="V145" s="160"/>
      <c r="X145" s="160"/>
      <c r="Z145" s="160"/>
      <c r="AA145" s="160"/>
      <c r="AB145" s="160"/>
    </row>
    <row r="146" spans="2:28" ht="27.75" hidden="1" customHeight="1" x14ac:dyDescent="0.2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0"/>
      <c r="O146" s="160"/>
      <c r="P146" s="160"/>
      <c r="Q146" s="160"/>
      <c r="R146" s="160"/>
      <c r="T146" s="160"/>
      <c r="U146" s="160"/>
      <c r="V146" s="160"/>
      <c r="X146" s="160"/>
      <c r="Z146" s="160"/>
      <c r="AA146" s="160"/>
      <c r="AB146" s="160"/>
    </row>
    <row r="147" spans="2:28" ht="27.75" hidden="1" customHeight="1" x14ac:dyDescent="0.2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0"/>
      <c r="O147" s="160"/>
      <c r="P147" s="160"/>
      <c r="Q147" s="160"/>
      <c r="R147" s="160"/>
      <c r="T147" s="160"/>
      <c r="U147" s="160"/>
      <c r="V147" s="160"/>
      <c r="X147" s="160"/>
      <c r="Z147" s="160"/>
      <c r="AA147" s="160"/>
      <c r="AB147" s="160"/>
    </row>
    <row r="148" spans="2:28" ht="27.75" hidden="1" customHeight="1" x14ac:dyDescent="0.2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0"/>
      <c r="O148" s="160"/>
      <c r="P148" s="160"/>
      <c r="Q148" s="160"/>
      <c r="R148" s="160"/>
      <c r="T148" s="160"/>
      <c r="U148" s="160"/>
      <c r="V148" s="160"/>
      <c r="X148" s="160"/>
      <c r="Z148" s="160"/>
      <c r="AA148" s="160"/>
      <c r="AB148" s="160"/>
    </row>
    <row r="149" spans="2:28" ht="27.75" hidden="1" customHeight="1" x14ac:dyDescent="0.2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0"/>
      <c r="O149" s="160"/>
      <c r="P149" s="160"/>
      <c r="Q149" s="160"/>
      <c r="R149" s="160"/>
      <c r="T149" s="160"/>
      <c r="U149" s="160"/>
      <c r="V149" s="160"/>
      <c r="X149" s="160"/>
      <c r="Z149" s="160"/>
      <c r="AA149" s="160"/>
      <c r="AB149" s="160"/>
    </row>
    <row r="150" spans="2:28" ht="27.75" hidden="1" customHeight="1" x14ac:dyDescent="0.2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0"/>
      <c r="O150" s="160"/>
      <c r="P150" s="160"/>
      <c r="Q150" s="160"/>
      <c r="R150" s="160"/>
      <c r="T150" s="160"/>
      <c r="U150" s="160"/>
      <c r="V150" s="160"/>
      <c r="X150" s="160"/>
      <c r="Z150" s="160"/>
      <c r="AA150" s="160"/>
      <c r="AB150" s="160"/>
    </row>
    <row r="151" spans="2:28" ht="27.75" hidden="1" customHeight="1" x14ac:dyDescent="0.2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0"/>
      <c r="O151" s="160"/>
      <c r="P151" s="160"/>
      <c r="Q151" s="160"/>
      <c r="R151" s="160"/>
      <c r="T151" s="160"/>
      <c r="U151" s="160"/>
      <c r="V151" s="160"/>
      <c r="X151" s="160"/>
      <c r="Z151" s="160"/>
      <c r="AA151" s="160"/>
      <c r="AB151" s="160"/>
    </row>
    <row r="152" spans="2:28" ht="27.75" hidden="1" customHeight="1" x14ac:dyDescent="0.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0"/>
      <c r="O152" s="160"/>
      <c r="P152" s="160"/>
      <c r="Q152" s="160"/>
      <c r="R152" s="160"/>
      <c r="T152" s="160"/>
      <c r="U152" s="160"/>
      <c r="V152" s="160"/>
      <c r="X152" s="160"/>
      <c r="Z152" s="160"/>
      <c r="AA152" s="160"/>
      <c r="AB152" s="160"/>
    </row>
    <row r="153" spans="2:28" ht="27.75" hidden="1" customHeight="1" x14ac:dyDescent="0.2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0"/>
      <c r="O153" s="160"/>
      <c r="P153" s="160"/>
      <c r="Q153" s="160"/>
      <c r="R153" s="160"/>
      <c r="T153" s="160"/>
      <c r="U153" s="160"/>
      <c r="V153" s="160"/>
      <c r="X153" s="160"/>
      <c r="Z153" s="160"/>
      <c r="AA153" s="160"/>
      <c r="AB153" s="160"/>
    </row>
    <row r="154" spans="2:28" ht="27.75" hidden="1" customHeight="1" x14ac:dyDescent="0.2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0"/>
      <c r="O154" s="160"/>
      <c r="P154" s="160"/>
      <c r="Q154" s="160"/>
      <c r="R154" s="160"/>
      <c r="T154" s="160"/>
      <c r="U154" s="160"/>
      <c r="V154" s="160"/>
      <c r="X154" s="160"/>
      <c r="Z154" s="160"/>
      <c r="AA154" s="160"/>
      <c r="AB154" s="160"/>
    </row>
    <row r="155" spans="2:28" ht="27.75" hidden="1" customHeight="1" x14ac:dyDescent="0.2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0"/>
      <c r="O155" s="160"/>
      <c r="P155" s="160"/>
      <c r="Q155" s="160"/>
      <c r="R155" s="160"/>
      <c r="T155" s="160"/>
      <c r="U155" s="160"/>
      <c r="V155" s="160"/>
      <c r="X155" s="160"/>
      <c r="Z155" s="160"/>
      <c r="AA155" s="160"/>
      <c r="AB155" s="160"/>
    </row>
    <row r="156" spans="2:28" ht="27.75" hidden="1" customHeight="1" x14ac:dyDescent="0.2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0"/>
      <c r="O156" s="160"/>
      <c r="P156" s="160"/>
      <c r="Q156" s="160"/>
      <c r="R156" s="160"/>
      <c r="T156" s="160"/>
      <c r="U156" s="160"/>
      <c r="V156" s="160"/>
      <c r="X156" s="160"/>
      <c r="Z156" s="160"/>
      <c r="AA156" s="160"/>
      <c r="AB156" s="160"/>
    </row>
    <row r="157" spans="2:28" ht="27.75" hidden="1" customHeight="1" x14ac:dyDescent="0.2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0"/>
      <c r="O157" s="160"/>
      <c r="P157" s="160"/>
      <c r="Q157" s="160"/>
      <c r="R157" s="160"/>
      <c r="T157" s="160"/>
      <c r="U157" s="160"/>
      <c r="V157" s="160"/>
      <c r="X157" s="160"/>
      <c r="Z157" s="160"/>
      <c r="AA157" s="160"/>
      <c r="AB157" s="160"/>
    </row>
    <row r="158" spans="2:28" ht="27.75" hidden="1" customHeight="1" x14ac:dyDescent="0.2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0"/>
      <c r="O158" s="160"/>
      <c r="P158" s="160"/>
      <c r="Q158" s="160"/>
      <c r="R158" s="160"/>
      <c r="T158" s="160"/>
      <c r="U158" s="160"/>
      <c r="V158" s="160"/>
      <c r="X158" s="160"/>
      <c r="Z158" s="160"/>
      <c r="AA158" s="160"/>
      <c r="AB158" s="160"/>
    </row>
    <row r="159" spans="2:28" ht="27.75" hidden="1" customHeight="1" x14ac:dyDescent="0.2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0"/>
      <c r="O159" s="160"/>
      <c r="P159" s="160"/>
      <c r="Q159" s="160"/>
      <c r="R159" s="160"/>
      <c r="T159" s="160"/>
      <c r="U159" s="160"/>
      <c r="V159" s="160"/>
      <c r="X159" s="160"/>
      <c r="Z159" s="160"/>
      <c r="AA159" s="160"/>
      <c r="AB159" s="160"/>
    </row>
    <row r="160" spans="2:28" ht="27.75" hidden="1" customHeight="1" x14ac:dyDescent="0.2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0"/>
      <c r="O160" s="160"/>
      <c r="P160" s="160"/>
      <c r="Q160" s="160"/>
      <c r="R160" s="160"/>
      <c r="T160" s="160"/>
      <c r="U160" s="160"/>
      <c r="V160" s="160"/>
      <c r="X160" s="160"/>
      <c r="Z160" s="160"/>
      <c r="AA160" s="160"/>
      <c r="AB160" s="160"/>
    </row>
    <row r="161" spans="2:28" ht="27.75" hidden="1" customHeight="1" x14ac:dyDescent="0.2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0"/>
      <c r="O161" s="160"/>
      <c r="P161" s="160"/>
      <c r="Q161" s="160"/>
      <c r="R161" s="160"/>
      <c r="T161" s="160"/>
      <c r="U161" s="160"/>
      <c r="V161" s="160"/>
      <c r="X161" s="160"/>
      <c r="Z161" s="160"/>
      <c r="AA161" s="160"/>
      <c r="AB161" s="160"/>
    </row>
    <row r="162" spans="2:28" ht="27.75" hidden="1" customHeight="1" x14ac:dyDescent="0.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0"/>
      <c r="O162" s="160"/>
      <c r="P162" s="160"/>
      <c r="Q162" s="160"/>
      <c r="R162" s="160"/>
      <c r="T162" s="160"/>
      <c r="U162" s="160"/>
      <c r="V162" s="160"/>
      <c r="X162" s="160"/>
      <c r="Z162" s="160"/>
      <c r="AA162" s="160"/>
      <c r="AB162" s="160"/>
    </row>
    <row r="163" spans="2:28" ht="27.75" hidden="1" customHeight="1" x14ac:dyDescent="0.2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0"/>
      <c r="O163" s="160"/>
      <c r="P163" s="160"/>
      <c r="Q163" s="160"/>
      <c r="R163" s="160"/>
      <c r="T163" s="160"/>
      <c r="U163" s="160"/>
      <c r="V163" s="160"/>
      <c r="X163" s="160"/>
      <c r="Z163" s="160"/>
      <c r="AA163" s="160"/>
      <c r="AB163" s="160"/>
    </row>
    <row r="164" spans="2:28" ht="27.75" hidden="1" customHeight="1" x14ac:dyDescent="0.2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0"/>
      <c r="O164" s="160"/>
      <c r="P164" s="160"/>
      <c r="Q164" s="160"/>
      <c r="R164" s="160"/>
      <c r="T164" s="160"/>
      <c r="U164" s="160"/>
      <c r="V164" s="160"/>
      <c r="X164" s="160"/>
      <c r="Z164" s="160"/>
      <c r="AA164" s="160"/>
      <c r="AB164" s="160"/>
    </row>
    <row r="165" spans="2:28" ht="27.75" hidden="1" customHeight="1" x14ac:dyDescent="0.2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0"/>
      <c r="O165" s="160"/>
      <c r="P165" s="160"/>
      <c r="Q165" s="160"/>
      <c r="R165" s="160"/>
      <c r="T165" s="160"/>
      <c r="U165" s="160"/>
      <c r="V165" s="160"/>
      <c r="X165" s="160"/>
      <c r="Z165" s="160"/>
      <c r="AA165" s="160"/>
      <c r="AB165" s="160"/>
    </row>
    <row r="166" spans="2:28" ht="27.75" hidden="1" customHeight="1" x14ac:dyDescent="0.2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0"/>
      <c r="O166" s="160"/>
      <c r="P166" s="160"/>
      <c r="Q166" s="160"/>
      <c r="R166" s="160"/>
      <c r="T166" s="160"/>
      <c r="U166" s="160"/>
      <c r="V166" s="160"/>
      <c r="X166" s="160"/>
      <c r="Z166" s="160"/>
      <c r="AA166" s="160"/>
      <c r="AB166" s="160"/>
    </row>
    <row r="167" spans="2:28" ht="27.75" hidden="1" customHeight="1" x14ac:dyDescent="0.2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0"/>
      <c r="O167" s="160"/>
      <c r="P167" s="160"/>
      <c r="Q167" s="160"/>
      <c r="R167" s="160"/>
      <c r="T167" s="160"/>
      <c r="U167" s="160"/>
      <c r="V167" s="160"/>
      <c r="X167" s="160"/>
      <c r="Z167" s="160"/>
      <c r="AA167" s="160"/>
      <c r="AB167" s="160"/>
    </row>
    <row r="168" spans="2:28" ht="27.75" hidden="1" customHeight="1" x14ac:dyDescent="0.2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0"/>
      <c r="O168" s="160"/>
      <c r="P168" s="160"/>
      <c r="Q168" s="160"/>
      <c r="R168" s="160"/>
      <c r="T168" s="160"/>
      <c r="U168" s="160"/>
      <c r="V168" s="160"/>
      <c r="X168" s="160"/>
      <c r="Z168" s="160"/>
      <c r="AA168" s="160"/>
      <c r="AB168" s="160"/>
    </row>
    <row r="169" spans="2:28" ht="27.75" hidden="1" customHeight="1" x14ac:dyDescent="0.2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0"/>
      <c r="O169" s="160"/>
      <c r="P169" s="160"/>
      <c r="Q169" s="160"/>
      <c r="R169" s="160"/>
      <c r="T169" s="160"/>
      <c r="U169" s="160"/>
      <c r="V169" s="160"/>
      <c r="X169" s="160"/>
      <c r="Z169" s="160"/>
      <c r="AA169" s="160"/>
      <c r="AB169" s="160"/>
    </row>
    <row r="170" spans="2:28" ht="27.75" hidden="1" customHeight="1" x14ac:dyDescent="0.2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0"/>
      <c r="O170" s="160"/>
      <c r="P170" s="160"/>
      <c r="Q170" s="160"/>
      <c r="R170" s="160"/>
      <c r="T170" s="160"/>
      <c r="U170" s="160"/>
      <c r="V170" s="160"/>
      <c r="X170" s="160"/>
      <c r="Z170" s="160"/>
      <c r="AA170" s="160"/>
      <c r="AB170" s="160"/>
    </row>
    <row r="171" spans="2:28" ht="27.75" hidden="1" customHeight="1" x14ac:dyDescent="0.2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0"/>
      <c r="O171" s="160"/>
      <c r="P171" s="160"/>
      <c r="Q171" s="160"/>
      <c r="R171" s="160"/>
      <c r="T171" s="160"/>
      <c r="U171" s="160"/>
      <c r="V171" s="160"/>
      <c r="X171" s="160"/>
      <c r="Z171" s="160"/>
      <c r="AA171" s="160"/>
      <c r="AB171" s="160"/>
    </row>
    <row r="172" spans="2:28" ht="27.75" hidden="1" customHeight="1" x14ac:dyDescent="0.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0"/>
      <c r="O172" s="160"/>
      <c r="P172" s="160"/>
      <c r="Q172" s="160"/>
      <c r="R172" s="160"/>
      <c r="T172" s="160"/>
      <c r="U172" s="160"/>
      <c r="V172" s="160"/>
      <c r="X172" s="160"/>
      <c r="Z172" s="160"/>
      <c r="AA172" s="160"/>
      <c r="AB172" s="160"/>
    </row>
    <row r="173" spans="2:28" ht="27.75" hidden="1" customHeight="1" x14ac:dyDescent="0.2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0"/>
      <c r="O173" s="160"/>
      <c r="P173" s="160"/>
      <c r="Q173" s="160"/>
      <c r="R173" s="160"/>
      <c r="T173" s="160"/>
      <c r="U173" s="160"/>
      <c r="V173" s="160"/>
      <c r="X173" s="160"/>
      <c r="Z173" s="160"/>
      <c r="AA173" s="160"/>
      <c r="AB173" s="160"/>
    </row>
    <row r="174" spans="2:28" ht="27.75" hidden="1" customHeight="1" x14ac:dyDescent="0.2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0"/>
      <c r="O174" s="160"/>
      <c r="P174" s="160"/>
      <c r="Q174" s="160"/>
      <c r="R174" s="160"/>
      <c r="T174" s="160"/>
      <c r="U174" s="160"/>
      <c r="V174" s="160"/>
      <c r="X174" s="160"/>
      <c r="Z174" s="160"/>
      <c r="AA174" s="160"/>
      <c r="AB174" s="160"/>
    </row>
    <row r="175" spans="2:28" ht="27.75" hidden="1" customHeight="1" x14ac:dyDescent="0.2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0"/>
      <c r="O175" s="160"/>
      <c r="P175" s="160"/>
      <c r="Q175" s="160"/>
      <c r="R175" s="160"/>
      <c r="T175" s="160"/>
      <c r="U175" s="160"/>
      <c r="V175" s="160"/>
      <c r="X175" s="160"/>
      <c r="Z175" s="160"/>
      <c r="AA175" s="160"/>
      <c r="AB175" s="160"/>
    </row>
    <row r="176" spans="2:28" ht="27.75" hidden="1" customHeight="1" x14ac:dyDescent="0.2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0"/>
      <c r="O176" s="160"/>
      <c r="P176" s="160"/>
      <c r="Q176" s="160"/>
      <c r="R176" s="160"/>
      <c r="T176" s="160"/>
      <c r="U176" s="160"/>
      <c r="V176" s="160"/>
      <c r="X176" s="160"/>
      <c r="Z176" s="160"/>
      <c r="AA176" s="160"/>
      <c r="AB176" s="160"/>
    </row>
    <row r="177" spans="2:28" ht="27.75" hidden="1" customHeight="1" x14ac:dyDescent="0.2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0"/>
      <c r="O177" s="160"/>
      <c r="P177" s="160"/>
      <c r="Q177" s="160"/>
      <c r="R177" s="160"/>
      <c r="T177" s="160"/>
      <c r="U177" s="160"/>
      <c r="V177" s="160"/>
      <c r="X177" s="160"/>
      <c r="Z177" s="160"/>
      <c r="AA177" s="160"/>
      <c r="AB177" s="160"/>
    </row>
    <row r="178" spans="2:28" ht="27.75" hidden="1" customHeight="1" x14ac:dyDescent="0.2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0"/>
      <c r="O178" s="160"/>
      <c r="P178" s="160"/>
      <c r="Q178" s="160"/>
      <c r="R178" s="160"/>
      <c r="T178" s="160"/>
      <c r="U178" s="160"/>
      <c r="V178" s="160"/>
      <c r="X178" s="160"/>
      <c r="Z178" s="160"/>
      <c r="AA178" s="160"/>
      <c r="AB178" s="160"/>
    </row>
    <row r="179" spans="2:28" ht="27.75" hidden="1" customHeight="1" x14ac:dyDescent="0.2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0"/>
      <c r="O179" s="160"/>
      <c r="P179" s="160"/>
      <c r="Q179" s="160"/>
      <c r="R179" s="160"/>
      <c r="T179" s="160"/>
      <c r="U179" s="160"/>
      <c r="V179" s="160"/>
      <c r="X179" s="160"/>
      <c r="Z179" s="160"/>
      <c r="AA179" s="160"/>
      <c r="AB179" s="160"/>
    </row>
    <row r="180" spans="2:28" ht="27.75" hidden="1" customHeight="1" x14ac:dyDescent="0.2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0"/>
      <c r="O180" s="160"/>
      <c r="P180" s="160"/>
      <c r="Q180" s="160"/>
      <c r="R180" s="160"/>
      <c r="T180" s="160"/>
      <c r="U180" s="160"/>
      <c r="V180" s="160"/>
      <c r="X180" s="160"/>
      <c r="Z180" s="160"/>
      <c r="AA180" s="160"/>
      <c r="AB180" s="160"/>
    </row>
    <row r="181" spans="2:28" ht="27.75" hidden="1" customHeight="1" x14ac:dyDescent="0.2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0"/>
      <c r="O181" s="160"/>
      <c r="P181" s="160"/>
      <c r="Q181" s="160"/>
      <c r="R181" s="160"/>
      <c r="T181" s="160"/>
      <c r="U181" s="160"/>
      <c r="V181" s="160"/>
      <c r="X181" s="160"/>
      <c r="Z181" s="160"/>
      <c r="AA181" s="160"/>
      <c r="AB181" s="160"/>
    </row>
    <row r="182" spans="2:28" ht="27.75" hidden="1" customHeight="1" x14ac:dyDescent="0.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0"/>
      <c r="O182" s="160"/>
      <c r="P182" s="160"/>
      <c r="Q182" s="160"/>
      <c r="R182" s="160"/>
      <c r="T182" s="160"/>
      <c r="U182" s="160"/>
      <c r="V182" s="160"/>
      <c r="X182" s="160"/>
      <c r="Z182" s="160"/>
      <c r="AA182" s="160"/>
      <c r="AB182" s="160"/>
    </row>
    <row r="183" spans="2:28" ht="27.75" hidden="1" customHeight="1" x14ac:dyDescent="0.2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0"/>
      <c r="O183" s="160"/>
      <c r="P183" s="160"/>
      <c r="Q183" s="160"/>
      <c r="R183" s="160"/>
      <c r="T183" s="160"/>
      <c r="U183" s="160"/>
      <c r="V183" s="160"/>
      <c r="X183" s="160"/>
      <c r="Z183" s="160"/>
      <c r="AA183" s="160"/>
      <c r="AB183" s="160"/>
    </row>
    <row r="184" spans="2:28" ht="27.75" hidden="1" customHeight="1" x14ac:dyDescent="0.2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0"/>
      <c r="O184" s="160"/>
      <c r="P184" s="160"/>
      <c r="Q184" s="160"/>
      <c r="R184" s="160"/>
      <c r="T184" s="160"/>
      <c r="U184" s="160"/>
      <c r="V184" s="160"/>
      <c r="X184" s="160"/>
      <c r="Z184" s="160"/>
      <c r="AA184" s="160"/>
      <c r="AB184" s="160"/>
    </row>
    <row r="185" spans="2:28" ht="27.75" hidden="1" customHeight="1" x14ac:dyDescent="0.2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0"/>
      <c r="O185" s="160"/>
      <c r="P185" s="160"/>
      <c r="Q185" s="160"/>
      <c r="R185" s="160"/>
      <c r="T185" s="160"/>
      <c r="U185" s="160"/>
      <c r="V185" s="160"/>
      <c r="X185" s="160"/>
      <c r="Z185" s="160"/>
      <c r="AA185" s="160"/>
      <c r="AB185" s="160"/>
    </row>
    <row r="186" spans="2:28" ht="27.75" hidden="1" customHeight="1" x14ac:dyDescent="0.2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0"/>
      <c r="O186" s="160"/>
      <c r="P186" s="160"/>
      <c r="Q186" s="160"/>
      <c r="R186" s="160"/>
      <c r="T186" s="160"/>
      <c r="U186" s="160"/>
      <c r="V186" s="160"/>
      <c r="X186" s="160"/>
      <c r="Z186" s="160"/>
      <c r="AA186" s="160"/>
      <c r="AB186" s="160"/>
    </row>
    <row r="187" spans="2:28" ht="27.75" hidden="1" customHeight="1" x14ac:dyDescent="0.2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0"/>
      <c r="O187" s="160"/>
      <c r="P187" s="160"/>
      <c r="Q187" s="160"/>
      <c r="R187" s="160"/>
      <c r="T187" s="160"/>
      <c r="U187" s="160"/>
      <c r="V187" s="160"/>
      <c r="X187" s="160"/>
      <c r="Z187" s="160"/>
      <c r="AA187" s="160"/>
      <c r="AB187" s="160"/>
    </row>
    <row r="188" spans="2:28" ht="27.75" hidden="1" customHeight="1" x14ac:dyDescent="0.2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0"/>
      <c r="O188" s="160"/>
      <c r="P188" s="160"/>
      <c r="Q188" s="160"/>
      <c r="R188" s="160"/>
      <c r="T188" s="160"/>
      <c r="U188" s="160"/>
      <c r="V188" s="160"/>
      <c r="X188" s="160"/>
      <c r="Z188" s="160"/>
      <c r="AA188" s="160"/>
      <c r="AB188" s="160"/>
    </row>
    <row r="189" spans="2:28" ht="27.75" hidden="1" customHeight="1" x14ac:dyDescent="0.2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0"/>
      <c r="O189" s="160"/>
      <c r="P189" s="160"/>
      <c r="Q189" s="160"/>
      <c r="R189" s="160"/>
      <c r="T189" s="160"/>
      <c r="U189" s="160"/>
      <c r="V189" s="160"/>
      <c r="X189" s="160"/>
      <c r="Z189" s="160"/>
      <c r="AA189" s="160"/>
      <c r="AB189" s="160"/>
    </row>
    <row r="190" spans="2:28" ht="27.75" hidden="1" customHeight="1" x14ac:dyDescent="0.2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0"/>
      <c r="O190" s="160"/>
      <c r="P190" s="160"/>
      <c r="Q190" s="160"/>
      <c r="R190" s="160"/>
      <c r="T190" s="160"/>
      <c r="U190" s="160"/>
      <c r="V190" s="160"/>
      <c r="X190" s="160"/>
      <c r="Z190" s="160"/>
      <c r="AA190" s="160"/>
      <c r="AB190" s="160"/>
    </row>
    <row r="191" spans="2:28" ht="27.75" hidden="1" customHeight="1" x14ac:dyDescent="0.2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0"/>
      <c r="O191" s="160"/>
      <c r="P191" s="160"/>
      <c r="Q191" s="160"/>
      <c r="R191" s="160"/>
      <c r="T191" s="160"/>
      <c r="U191" s="160"/>
      <c r="V191" s="160"/>
      <c r="X191" s="160"/>
      <c r="Z191" s="160"/>
      <c r="AA191" s="160"/>
      <c r="AB191" s="160"/>
    </row>
    <row r="192" spans="2:28" ht="27.75" hidden="1" customHeight="1" x14ac:dyDescent="0.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0"/>
      <c r="O192" s="160"/>
      <c r="P192" s="160"/>
      <c r="Q192" s="160"/>
      <c r="R192" s="160"/>
      <c r="T192" s="160"/>
      <c r="U192" s="160"/>
      <c r="V192" s="160"/>
      <c r="X192" s="160"/>
      <c r="Z192" s="160"/>
      <c r="AA192" s="160"/>
      <c r="AB192" s="160"/>
    </row>
    <row r="193" spans="2:28" ht="27.75" hidden="1" customHeight="1" x14ac:dyDescent="0.2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0"/>
      <c r="O193" s="160"/>
      <c r="P193" s="160"/>
      <c r="Q193" s="160"/>
      <c r="R193" s="160"/>
      <c r="T193" s="160"/>
      <c r="U193" s="160"/>
      <c r="V193" s="160"/>
      <c r="X193" s="160"/>
      <c r="Z193" s="160"/>
      <c r="AA193" s="160"/>
      <c r="AB193" s="160"/>
    </row>
    <row r="194" spans="2:28" ht="27.75" hidden="1" customHeight="1" x14ac:dyDescent="0.2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0"/>
      <c r="O194" s="160"/>
      <c r="P194" s="160"/>
      <c r="Q194" s="160"/>
      <c r="R194" s="160"/>
      <c r="T194" s="160"/>
      <c r="U194" s="160"/>
      <c r="V194" s="160"/>
      <c r="X194" s="160"/>
      <c r="Z194" s="160"/>
      <c r="AA194" s="160"/>
      <c r="AB194" s="160"/>
    </row>
    <row r="195" spans="2:28" ht="27.75" hidden="1" customHeight="1" x14ac:dyDescent="0.2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0"/>
      <c r="O195" s="160"/>
      <c r="P195" s="160"/>
      <c r="Q195" s="160"/>
      <c r="R195" s="160"/>
      <c r="T195" s="160"/>
      <c r="U195" s="160"/>
      <c r="V195" s="160"/>
      <c r="X195" s="160"/>
      <c r="Z195" s="160"/>
      <c r="AA195" s="160"/>
      <c r="AB195" s="160"/>
    </row>
    <row r="196" spans="2:28" ht="27.75" hidden="1" customHeight="1" x14ac:dyDescent="0.2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0"/>
      <c r="O196" s="160"/>
      <c r="P196" s="160"/>
      <c r="Q196" s="160"/>
      <c r="R196" s="160"/>
      <c r="T196" s="160"/>
      <c r="U196" s="160"/>
      <c r="V196" s="160"/>
      <c r="X196" s="160"/>
      <c r="Z196" s="160"/>
      <c r="AA196" s="160"/>
      <c r="AB196" s="160"/>
    </row>
    <row r="197" spans="2:28" ht="27.75" hidden="1" customHeight="1" x14ac:dyDescent="0.2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0"/>
      <c r="O197" s="160"/>
      <c r="P197" s="160"/>
      <c r="Q197" s="160"/>
      <c r="R197" s="160"/>
      <c r="T197" s="160"/>
      <c r="U197" s="160"/>
      <c r="V197" s="160"/>
      <c r="X197" s="160"/>
      <c r="Z197" s="160"/>
      <c r="AA197" s="160"/>
      <c r="AB197" s="160"/>
    </row>
    <row r="198" spans="2:28" ht="27.75" hidden="1" customHeight="1" x14ac:dyDescent="0.2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0"/>
      <c r="O198" s="160"/>
      <c r="P198" s="160"/>
      <c r="Q198" s="160"/>
      <c r="R198" s="160"/>
      <c r="T198" s="160"/>
      <c r="U198" s="160"/>
      <c r="V198" s="160"/>
      <c r="X198" s="160"/>
      <c r="Z198" s="160"/>
      <c r="AA198" s="160"/>
      <c r="AB198" s="160"/>
    </row>
    <row r="199" spans="2:28" ht="27.75" hidden="1" customHeight="1" x14ac:dyDescent="0.2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0"/>
      <c r="O199" s="160"/>
      <c r="P199" s="160"/>
      <c r="Q199" s="160"/>
      <c r="R199" s="160"/>
      <c r="T199" s="160"/>
      <c r="U199" s="160"/>
      <c r="V199" s="160"/>
      <c r="X199" s="160"/>
      <c r="Z199" s="160"/>
      <c r="AA199" s="160"/>
      <c r="AB199" s="160"/>
    </row>
    <row r="200" spans="2:28" ht="27.75" hidden="1" customHeight="1" x14ac:dyDescent="0.2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0"/>
      <c r="O200" s="160"/>
      <c r="P200" s="160"/>
      <c r="Q200" s="160"/>
      <c r="R200" s="160"/>
      <c r="T200" s="160"/>
      <c r="U200" s="160"/>
      <c r="V200" s="160"/>
      <c r="X200" s="160"/>
      <c r="Z200" s="160"/>
      <c r="AA200" s="160"/>
      <c r="AB200" s="160"/>
    </row>
    <row r="201" spans="2:28" ht="27.75" hidden="1" customHeight="1" x14ac:dyDescent="0.2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0"/>
      <c r="O201" s="160"/>
      <c r="P201" s="160"/>
      <c r="Q201" s="160"/>
      <c r="R201" s="160"/>
      <c r="T201" s="160"/>
      <c r="U201" s="160"/>
      <c r="V201" s="160"/>
      <c r="X201" s="160"/>
      <c r="Z201" s="160"/>
      <c r="AA201" s="160"/>
      <c r="AB201" s="160"/>
    </row>
    <row r="202" spans="2:28" ht="27.75" hidden="1" customHeight="1" x14ac:dyDescent="0.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0"/>
      <c r="O202" s="160"/>
      <c r="P202" s="160"/>
      <c r="Q202" s="160"/>
      <c r="R202" s="160"/>
      <c r="T202" s="160"/>
      <c r="U202" s="160"/>
      <c r="V202" s="160"/>
      <c r="X202" s="160"/>
      <c r="Z202" s="160"/>
      <c r="AA202" s="160"/>
      <c r="AB202" s="160"/>
    </row>
    <row r="203" spans="2:28" ht="27.75" hidden="1" customHeight="1" x14ac:dyDescent="0.2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0"/>
      <c r="O203" s="160"/>
      <c r="P203" s="160"/>
      <c r="Q203" s="160"/>
      <c r="R203" s="160"/>
      <c r="T203" s="160"/>
      <c r="U203" s="160"/>
      <c r="V203" s="160"/>
      <c r="X203" s="160"/>
      <c r="Z203" s="160"/>
      <c r="AA203" s="160"/>
      <c r="AB203" s="160"/>
    </row>
    <row r="204" spans="2:28" ht="27.75" hidden="1" customHeight="1" x14ac:dyDescent="0.2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0"/>
      <c r="O204" s="160"/>
      <c r="P204" s="160"/>
      <c r="Q204" s="160"/>
      <c r="R204" s="160"/>
      <c r="T204" s="160"/>
      <c r="U204" s="160"/>
      <c r="V204" s="160"/>
      <c r="X204" s="160"/>
      <c r="Z204" s="160"/>
      <c r="AA204" s="160"/>
      <c r="AB204" s="160"/>
    </row>
    <row r="205" spans="2:28" ht="27.75" hidden="1" customHeight="1" x14ac:dyDescent="0.2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0"/>
      <c r="O205" s="160"/>
      <c r="P205" s="160"/>
      <c r="Q205" s="160"/>
      <c r="R205" s="160"/>
      <c r="T205" s="160"/>
      <c r="U205" s="160"/>
      <c r="V205" s="160"/>
      <c r="X205" s="160"/>
      <c r="Z205" s="160"/>
      <c r="AA205" s="160"/>
      <c r="AB205" s="160"/>
    </row>
    <row r="206" spans="2:28" ht="27.75" hidden="1" customHeight="1" x14ac:dyDescent="0.2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0"/>
      <c r="O206" s="160"/>
      <c r="P206" s="160"/>
      <c r="Q206" s="160"/>
      <c r="R206" s="160"/>
      <c r="T206" s="160"/>
      <c r="U206" s="160"/>
      <c r="V206" s="160"/>
      <c r="X206" s="160"/>
      <c r="Z206" s="160"/>
      <c r="AA206" s="160"/>
      <c r="AB206" s="160"/>
    </row>
    <row r="207" spans="2:28" ht="27.75" hidden="1" customHeight="1" x14ac:dyDescent="0.2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0"/>
      <c r="O207" s="160"/>
      <c r="P207" s="160"/>
      <c r="Q207" s="160"/>
      <c r="R207" s="160"/>
      <c r="T207" s="160"/>
      <c r="U207" s="160"/>
      <c r="V207" s="160"/>
      <c r="X207" s="160"/>
      <c r="Z207" s="160"/>
      <c r="AA207" s="160"/>
      <c r="AB207" s="160"/>
    </row>
    <row r="208" spans="2:28" ht="27.75" hidden="1" customHeight="1" x14ac:dyDescent="0.2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0"/>
      <c r="O208" s="160"/>
      <c r="P208" s="160"/>
      <c r="Q208" s="160"/>
      <c r="R208" s="160"/>
      <c r="T208" s="160"/>
      <c r="U208" s="160"/>
      <c r="V208" s="160"/>
      <c r="X208" s="160"/>
      <c r="Z208" s="160"/>
      <c r="AA208" s="160"/>
      <c r="AB208" s="160"/>
    </row>
    <row r="209" spans="2:28" ht="27.75" hidden="1" customHeight="1" x14ac:dyDescent="0.2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0"/>
      <c r="O209" s="160"/>
      <c r="P209" s="160"/>
      <c r="Q209" s="160"/>
      <c r="R209" s="160"/>
      <c r="T209" s="160"/>
      <c r="U209" s="160"/>
      <c r="V209" s="160"/>
      <c r="X209" s="160"/>
      <c r="Z209" s="160"/>
      <c r="AA209" s="160"/>
      <c r="AB209" s="160"/>
    </row>
    <row r="210" spans="2:28" ht="27.75" hidden="1" customHeight="1" x14ac:dyDescent="0.2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0"/>
      <c r="O210" s="160"/>
      <c r="P210" s="160"/>
      <c r="Q210" s="160"/>
      <c r="R210" s="160"/>
      <c r="T210" s="160"/>
      <c r="U210" s="160"/>
      <c r="V210" s="160"/>
      <c r="X210" s="160"/>
      <c r="Z210" s="160"/>
      <c r="AA210" s="160"/>
      <c r="AB210" s="160"/>
    </row>
    <row r="211" spans="2:28" ht="27.75" hidden="1" customHeight="1" x14ac:dyDescent="0.2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0"/>
      <c r="O211" s="160"/>
      <c r="P211" s="160"/>
      <c r="Q211" s="160"/>
      <c r="R211" s="160"/>
      <c r="T211" s="160"/>
      <c r="U211" s="160"/>
      <c r="V211" s="160"/>
      <c r="X211" s="160"/>
      <c r="Z211" s="160"/>
      <c r="AA211" s="160"/>
      <c r="AB211" s="160"/>
    </row>
    <row r="212" spans="2:28" ht="27.75" hidden="1" customHeight="1" x14ac:dyDescent="0.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0"/>
      <c r="O212" s="160"/>
      <c r="P212" s="160"/>
      <c r="Q212" s="160"/>
      <c r="R212" s="160"/>
      <c r="T212" s="160"/>
      <c r="U212" s="160"/>
      <c r="V212" s="160"/>
      <c r="X212" s="160"/>
      <c r="Z212" s="160"/>
      <c r="AA212" s="160"/>
      <c r="AB212" s="160"/>
    </row>
    <row r="213" spans="2:28" ht="27.75" hidden="1" customHeight="1" x14ac:dyDescent="0.2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0"/>
      <c r="O213" s="160"/>
      <c r="P213" s="160"/>
      <c r="Q213" s="160"/>
      <c r="R213" s="160"/>
      <c r="T213" s="160"/>
      <c r="U213" s="160"/>
      <c r="V213" s="160"/>
      <c r="X213" s="160"/>
      <c r="Z213" s="160"/>
      <c r="AA213" s="160"/>
      <c r="AB213" s="160"/>
    </row>
    <row r="214" spans="2:28" ht="27.75" hidden="1" customHeight="1" x14ac:dyDescent="0.2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0"/>
      <c r="O214" s="160"/>
      <c r="P214" s="160"/>
      <c r="Q214" s="160"/>
      <c r="R214" s="160"/>
      <c r="T214" s="160"/>
      <c r="U214" s="160"/>
      <c r="V214" s="160"/>
      <c r="X214" s="160"/>
      <c r="Z214" s="160"/>
      <c r="AA214" s="160"/>
      <c r="AB214" s="160"/>
    </row>
    <row r="215" spans="2:28" ht="27.75" hidden="1" customHeight="1" x14ac:dyDescent="0.2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0"/>
      <c r="O215" s="160"/>
      <c r="P215" s="160"/>
      <c r="Q215" s="160"/>
      <c r="R215" s="160"/>
      <c r="T215" s="160"/>
      <c r="U215" s="160"/>
      <c r="V215" s="160"/>
      <c r="X215" s="160"/>
      <c r="Z215" s="160"/>
      <c r="AA215" s="160"/>
      <c r="AB215" s="160"/>
    </row>
    <row r="216" spans="2:28" ht="27.75" hidden="1" customHeight="1" x14ac:dyDescent="0.2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0"/>
      <c r="O216" s="160"/>
      <c r="P216" s="160"/>
      <c r="Q216" s="160"/>
      <c r="R216" s="160"/>
      <c r="T216" s="160"/>
      <c r="U216" s="160"/>
      <c r="V216" s="160"/>
      <c r="X216" s="160"/>
      <c r="Z216" s="160"/>
      <c r="AA216" s="160"/>
      <c r="AB216" s="160"/>
    </row>
    <row r="217" spans="2:28" ht="27.75" hidden="1" customHeight="1" x14ac:dyDescent="0.2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0"/>
      <c r="O217" s="160"/>
      <c r="P217" s="160"/>
      <c r="Q217" s="160"/>
      <c r="R217" s="160"/>
      <c r="T217" s="160"/>
      <c r="U217" s="160"/>
      <c r="V217" s="160"/>
      <c r="X217" s="160"/>
      <c r="Z217" s="160"/>
      <c r="AA217" s="160"/>
      <c r="AB217" s="160"/>
    </row>
    <row r="218" spans="2:28" ht="27.75" hidden="1" customHeight="1" x14ac:dyDescent="0.2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0"/>
      <c r="O218" s="160"/>
      <c r="P218" s="160"/>
      <c r="Q218" s="160"/>
      <c r="R218" s="160"/>
      <c r="T218" s="160"/>
      <c r="U218" s="160"/>
      <c r="V218" s="160"/>
      <c r="X218" s="160"/>
      <c r="Z218" s="160"/>
      <c r="AA218" s="160"/>
      <c r="AB218" s="160"/>
    </row>
    <row r="219" spans="2:28" ht="27.75" hidden="1" customHeight="1" x14ac:dyDescent="0.2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0"/>
      <c r="O219" s="160"/>
      <c r="P219" s="160"/>
      <c r="Q219" s="160"/>
      <c r="R219" s="160"/>
      <c r="T219" s="160"/>
      <c r="U219" s="160"/>
      <c r="V219" s="160"/>
      <c r="X219" s="160"/>
      <c r="Z219" s="160"/>
      <c r="AA219" s="160"/>
      <c r="AB219" s="160"/>
    </row>
    <row r="220" spans="2:28" ht="27.75" hidden="1" customHeight="1" x14ac:dyDescent="0.2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0"/>
      <c r="O220" s="160"/>
      <c r="P220" s="160"/>
      <c r="Q220" s="160"/>
      <c r="R220" s="160"/>
      <c r="T220" s="160"/>
      <c r="U220" s="160"/>
      <c r="V220" s="160"/>
      <c r="X220" s="160"/>
      <c r="Z220" s="160"/>
      <c r="AA220" s="160"/>
      <c r="AB220" s="160"/>
    </row>
    <row r="221" spans="2:28" ht="27.75" hidden="1" customHeight="1" x14ac:dyDescent="0.2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0"/>
      <c r="O221" s="160"/>
      <c r="P221" s="160"/>
      <c r="Q221" s="160"/>
      <c r="R221" s="160"/>
      <c r="T221" s="160"/>
      <c r="U221" s="160"/>
      <c r="V221" s="160"/>
      <c r="X221" s="160"/>
      <c r="Z221" s="160"/>
      <c r="AA221" s="160"/>
      <c r="AB221" s="160"/>
    </row>
    <row r="222" spans="2:28" ht="27.75" hidden="1" customHeight="1" x14ac:dyDescent="0.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0"/>
      <c r="O222" s="160"/>
      <c r="P222" s="160"/>
      <c r="Q222" s="160"/>
      <c r="R222" s="160"/>
      <c r="T222" s="160"/>
      <c r="U222" s="160"/>
      <c r="V222" s="160"/>
      <c r="X222" s="160"/>
      <c r="Z222" s="160"/>
      <c r="AA222" s="160"/>
      <c r="AB222" s="160"/>
    </row>
    <row r="223" spans="2:28" ht="27.75" hidden="1" customHeight="1" x14ac:dyDescent="0.2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0"/>
      <c r="O223" s="160"/>
      <c r="P223" s="160"/>
      <c r="Q223" s="160"/>
      <c r="R223" s="160"/>
      <c r="T223" s="160"/>
      <c r="U223" s="160"/>
      <c r="V223" s="160"/>
      <c r="X223" s="160"/>
      <c r="Z223" s="160"/>
      <c r="AA223" s="160"/>
      <c r="AB223" s="160"/>
    </row>
    <row r="224" spans="2:28" ht="27.75" hidden="1" customHeight="1" x14ac:dyDescent="0.2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0"/>
      <c r="O224" s="160"/>
      <c r="P224" s="160"/>
      <c r="Q224" s="160"/>
      <c r="R224" s="160"/>
      <c r="T224" s="160"/>
      <c r="U224" s="160"/>
      <c r="V224" s="160"/>
      <c r="X224" s="160"/>
      <c r="Z224" s="160"/>
      <c r="AA224" s="160"/>
      <c r="AB224" s="160"/>
    </row>
    <row r="225" spans="2:28" ht="27.75" hidden="1" customHeight="1" x14ac:dyDescent="0.2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0"/>
      <c r="O225" s="160"/>
      <c r="P225" s="160"/>
      <c r="Q225" s="160"/>
      <c r="R225" s="160"/>
      <c r="T225" s="160"/>
      <c r="U225" s="160"/>
      <c r="V225" s="160"/>
      <c r="X225" s="160"/>
      <c r="Z225" s="160"/>
      <c r="AA225" s="160"/>
      <c r="AB225" s="160"/>
    </row>
    <row r="226" spans="2:28" ht="27.75" hidden="1" customHeight="1" x14ac:dyDescent="0.2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0"/>
      <c r="O226" s="160"/>
      <c r="P226" s="160"/>
      <c r="Q226" s="160"/>
      <c r="R226" s="160"/>
      <c r="T226" s="160"/>
      <c r="U226" s="160"/>
      <c r="V226" s="160"/>
      <c r="X226" s="160"/>
      <c r="Z226" s="160"/>
      <c r="AA226" s="160"/>
      <c r="AB226" s="160"/>
    </row>
    <row r="227" spans="2:28" ht="27.75" hidden="1" customHeight="1" x14ac:dyDescent="0.2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0"/>
      <c r="O227" s="160"/>
      <c r="P227" s="160"/>
      <c r="Q227" s="160"/>
      <c r="R227" s="160"/>
      <c r="T227" s="160"/>
      <c r="U227" s="160"/>
      <c r="V227" s="160"/>
      <c r="X227" s="160"/>
      <c r="Z227" s="160"/>
      <c r="AA227" s="160"/>
      <c r="AB227" s="160"/>
    </row>
    <row r="228" spans="2:28" ht="27.75" hidden="1" customHeight="1" x14ac:dyDescent="0.2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0"/>
      <c r="O228" s="160"/>
      <c r="P228" s="160"/>
      <c r="Q228" s="160"/>
      <c r="R228" s="160"/>
      <c r="T228" s="160"/>
      <c r="U228" s="160"/>
      <c r="V228" s="160"/>
      <c r="X228" s="160"/>
      <c r="Z228" s="160"/>
      <c r="AA228" s="160"/>
      <c r="AB228" s="160"/>
    </row>
    <row r="229" spans="2:28" ht="27.75" hidden="1" customHeight="1" x14ac:dyDescent="0.2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0"/>
      <c r="O229" s="160"/>
      <c r="P229" s="160"/>
      <c r="Q229" s="160"/>
      <c r="R229" s="160"/>
      <c r="T229" s="160"/>
      <c r="U229" s="160"/>
      <c r="V229" s="160"/>
      <c r="X229" s="160"/>
      <c r="Z229" s="160"/>
      <c r="AA229" s="160"/>
      <c r="AB229" s="160"/>
    </row>
    <row r="230" spans="2:28" ht="27.75" hidden="1" customHeight="1" x14ac:dyDescent="0.2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0"/>
      <c r="O230" s="160"/>
      <c r="P230" s="160"/>
      <c r="Q230" s="160"/>
      <c r="R230" s="160"/>
      <c r="T230" s="160"/>
      <c r="U230" s="160"/>
      <c r="V230" s="160"/>
      <c r="X230" s="160"/>
      <c r="Z230" s="160"/>
      <c r="AA230" s="160"/>
      <c r="AB230" s="160"/>
    </row>
    <row r="231" spans="2:28" ht="27.75" hidden="1" customHeight="1" x14ac:dyDescent="0.2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0"/>
      <c r="O231" s="160"/>
      <c r="P231" s="160"/>
      <c r="Q231" s="160"/>
      <c r="R231" s="160"/>
      <c r="T231" s="160"/>
      <c r="U231" s="160"/>
      <c r="V231" s="160"/>
      <c r="X231" s="160"/>
      <c r="Z231" s="160"/>
      <c r="AA231" s="160"/>
      <c r="AB231" s="160"/>
    </row>
    <row r="232" spans="2:28" ht="27.75" hidden="1" customHeight="1" x14ac:dyDescent="0.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0"/>
      <c r="O232" s="160"/>
      <c r="P232" s="160"/>
      <c r="Q232" s="160"/>
      <c r="R232" s="160"/>
      <c r="T232" s="160"/>
      <c r="U232" s="160"/>
      <c r="V232" s="160"/>
      <c r="X232" s="160"/>
      <c r="Z232" s="160"/>
      <c r="AA232" s="160"/>
      <c r="AB232" s="160"/>
    </row>
    <row r="233" spans="2:28" ht="27.75" hidden="1" customHeight="1" x14ac:dyDescent="0.2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0"/>
      <c r="O233" s="160"/>
      <c r="P233" s="160"/>
      <c r="Q233" s="160"/>
      <c r="R233" s="160"/>
      <c r="T233" s="160"/>
      <c r="U233" s="160"/>
      <c r="V233" s="160"/>
      <c r="X233" s="160"/>
      <c r="Z233" s="160"/>
      <c r="AA233" s="160"/>
      <c r="AB233" s="160"/>
    </row>
    <row r="234" spans="2:28" ht="27.75" hidden="1" customHeight="1" x14ac:dyDescent="0.2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0"/>
      <c r="O234" s="160"/>
      <c r="P234" s="160"/>
      <c r="Q234" s="160"/>
      <c r="R234" s="160"/>
      <c r="T234" s="160"/>
      <c r="U234" s="160"/>
      <c r="V234" s="160"/>
      <c r="X234" s="160"/>
      <c r="Z234" s="160"/>
      <c r="AA234" s="160"/>
      <c r="AB234" s="160"/>
    </row>
    <row r="235" spans="2:28" ht="27.75" hidden="1" customHeight="1" x14ac:dyDescent="0.2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0"/>
      <c r="O235" s="160"/>
      <c r="P235" s="160"/>
      <c r="Q235" s="160"/>
      <c r="R235" s="160"/>
      <c r="T235" s="160"/>
      <c r="U235" s="160"/>
      <c r="V235" s="160"/>
      <c r="X235" s="160"/>
      <c r="Z235" s="160"/>
      <c r="AA235" s="160"/>
      <c r="AB235" s="160"/>
    </row>
    <row r="236" spans="2:28" ht="27.75" hidden="1" customHeight="1" x14ac:dyDescent="0.2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0"/>
      <c r="O236" s="160"/>
      <c r="P236" s="160"/>
      <c r="Q236" s="160"/>
      <c r="R236" s="160"/>
      <c r="T236" s="160"/>
      <c r="U236" s="160"/>
      <c r="V236" s="160"/>
      <c r="X236" s="160"/>
      <c r="Z236" s="160"/>
      <c r="AA236" s="160"/>
      <c r="AB236" s="160"/>
    </row>
    <row r="237" spans="2:28" ht="27.75" hidden="1" customHeight="1" x14ac:dyDescent="0.2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0"/>
      <c r="O237" s="160"/>
      <c r="P237" s="160"/>
      <c r="Q237" s="160"/>
      <c r="R237" s="160"/>
      <c r="T237" s="160"/>
      <c r="U237" s="160"/>
      <c r="V237" s="160"/>
      <c r="X237" s="160"/>
      <c r="Z237" s="160"/>
      <c r="AA237" s="160"/>
      <c r="AB237" s="160"/>
    </row>
    <row r="238" spans="2:28" ht="27.75" hidden="1" customHeight="1" x14ac:dyDescent="0.2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0"/>
      <c r="O238" s="160"/>
      <c r="P238" s="160"/>
      <c r="Q238" s="160"/>
      <c r="R238" s="160"/>
      <c r="T238" s="160"/>
      <c r="U238" s="160"/>
      <c r="V238" s="160"/>
      <c r="X238" s="160"/>
      <c r="Z238" s="160"/>
      <c r="AA238" s="160"/>
      <c r="AB238" s="160"/>
    </row>
    <row r="239" spans="2:28" ht="27.75" hidden="1" customHeight="1" x14ac:dyDescent="0.2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0"/>
      <c r="O239" s="160"/>
      <c r="P239" s="160"/>
      <c r="Q239" s="160"/>
      <c r="R239" s="160"/>
      <c r="T239" s="160"/>
      <c r="U239" s="160"/>
      <c r="V239" s="160"/>
      <c r="X239" s="160"/>
      <c r="Z239" s="160"/>
      <c r="AA239" s="160"/>
      <c r="AB239" s="160"/>
    </row>
    <row r="240" spans="2:28" ht="27.75" hidden="1" customHeight="1" x14ac:dyDescent="0.2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0"/>
      <c r="O240" s="160"/>
      <c r="P240" s="160"/>
      <c r="Q240" s="160"/>
      <c r="R240" s="160"/>
      <c r="T240" s="160"/>
      <c r="U240" s="160"/>
      <c r="V240" s="160"/>
      <c r="X240" s="160"/>
      <c r="Z240" s="160"/>
      <c r="AA240" s="160"/>
      <c r="AB240" s="160"/>
    </row>
    <row r="241" spans="2:28" ht="27.75" hidden="1" customHeight="1" x14ac:dyDescent="0.2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0"/>
      <c r="O241" s="160"/>
      <c r="P241" s="160"/>
      <c r="Q241" s="160"/>
      <c r="R241" s="160"/>
      <c r="T241" s="160"/>
      <c r="U241" s="160"/>
      <c r="V241" s="160"/>
      <c r="X241" s="160"/>
      <c r="Z241" s="160"/>
      <c r="AA241" s="160"/>
      <c r="AB241" s="160"/>
    </row>
    <row r="242" spans="2:28" ht="27.75" hidden="1" customHeight="1" x14ac:dyDescent="0.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0"/>
      <c r="O242" s="160"/>
      <c r="P242" s="160"/>
      <c r="Q242" s="160"/>
      <c r="R242" s="160"/>
      <c r="T242" s="160"/>
      <c r="U242" s="160"/>
      <c r="V242" s="160"/>
      <c r="X242" s="160"/>
      <c r="Z242" s="160"/>
      <c r="AA242" s="160"/>
      <c r="AB242" s="160"/>
    </row>
    <row r="243" spans="2:28" ht="27.75" hidden="1" customHeight="1" x14ac:dyDescent="0.2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0"/>
      <c r="O243" s="160"/>
      <c r="P243" s="160"/>
      <c r="Q243" s="160"/>
      <c r="R243" s="160"/>
      <c r="T243" s="160"/>
      <c r="U243" s="160"/>
      <c r="V243" s="160"/>
      <c r="X243" s="160"/>
      <c r="Z243" s="160"/>
      <c r="AA243" s="160"/>
      <c r="AB243" s="160"/>
    </row>
    <row r="244" spans="2:28" ht="27.75" hidden="1" customHeight="1" x14ac:dyDescent="0.2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0"/>
      <c r="O244" s="160"/>
      <c r="P244" s="160"/>
      <c r="Q244" s="160"/>
      <c r="R244" s="160"/>
      <c r="T244" s="160"/>
      <c r="U244" s="160"/>
      <c r="V244" s="160"/>
      <c r="X244" s="160"/>
      <c r="Z244" s="160"/>
      <c r="AA244" s="160"/>
      <c r="AB244" s="160"/>
    </row>
    <row r="245" spans="2:28" ht="27.75" hidden="1" customHeight="1" x14ac:dyDescent="0.2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0"/>
      <c r="O245" s="160"/>
      <c r="P245" s="160"/>
      <c r="Q245" s="160"/>
      <c r="R245" s="160"/>
      <c r="T245" s="160"/>
      <c r="U245" s="160"/>
      <c r="V245" s="160"/>
      <c r="X245" s="160"/>
      <c r="Z245" s="160"/>
      <c r="AA245" s="160"/>
      <c r="AB245" s="160"/>
    </row>
    <row r="246" spans="2:28" ht="27.75" hidden="1" customHeight="1" x14ac:dyDescent="0.2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0"/>
      <c r="O246" s="160"/>
      <c r="P246" s="160"/>
      <c r="Q246" s="160"/>
      <c r="R246" s="160"/>
      <c r="T246" s="160"/>
      <c r="U246" s="160"/>
      <c r="V246" s="160"/>
      <c r="X246" s="160"/>
      <c r="Z246" s="160"/>
      <c r="AA246" s="160"/>
      <c r="AB246" s="160"/>
    </row>
    <row r="247" spans="2:28" ht="27.75" hidden="1" customHeight="1" x14ac:dyDescent="0.2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0"/>
      <c r="O247" s="160"/>
      <c r="P247" s="160"/>
      <c r="Q247" s="160"/>
      <c r="R247" s="160"/>
      <c r="T247" s="160"/>
      <c r="U247" s="160"/>
      <c r="V247" s="160"/>
      <c r="X247" s="160"/>
      <c r="Z247" s="160"/>
      <c r="AA247" s="160"/>
      <c r="AB247" s="160"/>
    </row>
    <row r="248" spans="2:28" ht="27.75" hidden="1" customHeight="1" x14ac:dyDescent="0.2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0"/>
      <c r="O248" s="160"/>
      <c r="P248" s="160"/>
      <c r="Q248" s="160"/>
      <c r="R248" s="160"/>
      <c r="T248" s="160"/>
      <c r="U248" s="160"/>
      <c r="V248" s="160"/>
      <c r="X248" s="160"/>
      <c r="Z248" s="160"/>
      <c r="AA248" s="160"/>
      <c r="AB248" s="160"/>
    </row>
    <row r="249" spans="2:28" ht="27.75" hidden="1" customHeight="1" x14ac:dyDescent="0.2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0"/>
      <c r="O249" s="160"/>
      <c r="P249" s="160"/>
      <c r="Q249" s="160"/>
      <c r="R249" s="160"/>
      <c r="T249" s="160"/>
      <c r="U249" s="160"/>
      <c r="V249" s="160"/>
      <c r="X249" s="160"/>
      <c r="Z249" s="160"/>
      <c r="AA249" s="160"/>
      <c r="AB249" s="160"/>
    </row>
    <row r="250" spans="2:28" ht="27.75" hidden="1" customHeight="1" x14ac:dyDescent="0.2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0"/>
      <c r="O250" s="160"/>
      <c r="P250" s="160"/>
      <c r="Q250" s="160"/>
      <c r="R250" s="160"/>
      <c r="T250" s="160"/>
      <c r="U250" s="160"/>
      <c r="V250" s="160"/>
      <c r="X250" s="160"/>
      <c r="Z250" s="160"/>
      <c r="AA250" s="160"/>
      <c r="AB250" s="160"/>
    </row>
    <row r="251" spans="2:28" ht="27.75" hidden="1" customHeight="1" x14ac:dyDescent="0.2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0"/>
      <c r="O251" s="160"/>
      <c r="P251" s="160"/>
      <c r="Q251" s="160"/>
      <c r="R251" s="160"/>
      <c r="T251" s="160"/>
      <c r="U251" s="160"/>
      <c r="V251" s="160"/>
      <c r="X251" s="160"/>
      <c r="Z251" s="160"/>
      <c r="AA251" s="160"/>
      <c r="AB251" s="160"/>
    </row>
    <row r="252" spans="2:28" ht="27.75" hidden="1" customHeight="1" x14ac:dyDescent="0.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0"/>
      <c r="O252" s="160"/>
      <c r="P252" s="160"/>
      <c r="Q252" s="160"/>
      <c r="R252" s="160"/>
      <c r="T252" s="160"/>
      <c r="U252" s="160"/>
      <c r="V252" s="160"/>
      <c r="X252" s="160"/>
      <c r="Z252" s="160"/>
      <c r="AA252" s="160"/>
      <c r="AB252" s="160"/>
    </row>
    <row r="253" spans="2:28" ht="27.75" hidden="1" customHeight="1" x14ac:dyDescent="0.2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0"/>
      <c r="O253" s="160"/>
      <c r="P253" s="160"/>
      <c r="Q253" s="160"/>
      <c r="R253" s="160"/>
      <c r="T253" s="160"/>
      <c r="U253" s="160"/>
      <c r="V253" s="160"/>
      <c r="X253" s="160"/>
      <c r="Z253" s="160"/>
      <c r="AA253" s="160"/>
      <c r="AB253" s="160"/>
    </row>
    <row r="254" spans="2:28" ht="27.75" hidden="1" customHeight="1" x14ac:dyDescent="0.2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0"/>
      <c r="O254" s="160"/>
      <c r="P254" s="160"/>
      <c r="Q254" s="160"/>
      <c r="R254" s="160"/>
      <c r="T254" s="160"/>
      <c r="U254" s="160"/>
      <c r="V254" s="160"/>
      <c r="X254" s="160"/>
      <c r="Z254" s="160"/>
      <c r="AA254" s="160"/>
      <c r="AB254" s="160"/>
    </row>
    <row r="255" spans="2:28" ht="27.75" hidden="1" customHeight="1" x14ac:dyDescent="0.2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0"/>
      <c r="O255" s="160"/>
      <c r="P255" s="160"/>
      <c r="Q255" s="160"/>
      <c r="R255" s="160"/>
      <c r="T255" s="160"/>
      <c r="U255" s="160"/>
      <c r="V255" s="160"/>
      <c r="X255" s="160"/>
      <c r="Z255" s="160"/>
      <c r="AA255" s="160"/>
      <c r="AB255" s="160"/>
    </row>
    <row r="256" spans="2:28" ht="27.75" hidden="1" customHeight="1" x14ac:dyDescent="0.2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0"/>
      <c r="O256" s="160"/>
      <c r="P256" s="160"/>
      <c r="Q256" s="160"/>
      <c r="R256" s="160"/>
      <c r="T256" s="160"/>
      <c r="U256" s="160"/>
      <c r="V256" s="160"/>
      <c r="X256" s="160"/>
      <c r="Z256" s="160"/>
      <c r="AA256" s="160"/>
      <c r="AB256" s="160"/>
    </row>
    <row r="257" spans="2:28" ht="27.75" hidden="1" customHeight="1" x14ac:dyDescent="0.2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0"/>
      <c r="O257" s="160"/>
      <c r="P257" s="160"/>
      <c r="Q257" s="160"/>
      <c r="R257" s="160"/>
      <c r="T257" s="160"/>
      <c r="U257" s="160"/>
      <c r="V257" s="160"/>
      <c r="X257" s="160"/>
      <c r="Z257" s="160"/>
      <c r="AA257" s="160"/>
      <c r="AB257" s="160"/>
    </row>
    <row r="258" spans="2:28" ht="27.75" hidden="1" customHeight="1" x14ac:dyDescent="0.2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0"/>
      <c r="O258" s="160"/>
      <c r="P258" s="160"/>
      <c r="Q258" s="160"/>
      <c r="R258" s="160"/>
      <c r="T258" s="160"/>
      <c r="U258" s="160"/>
      <c r="V258" s="160"/>
      <c r="X258" s="160"/>
      <c r="Z258" s="160"/>
      <c r="AA258" s="160"/>
      <c r="AB258" s="160"/>
    </row>
    <row r="259" spans="2:28" ht="27.75" hidden="1" customHeight="1" x14ac:dyDescent="0.2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0"/>
      <c r="O259" s="160"/>
      <c r="P259" s="160"/>
      <c r="Q259" s="160"/>
      <c r="R259" s="160"/>
      <c r="T259" s="160"/>
      <c r="U259" s="160"/>
      <c r="V259" s="160"/>
      <c r="X259" s="160"/>
      <c r="Z259" s="160"/>
      <c r="AA259" s="160"/>
      <c r="AB259" s="160"/>
    </row>
    <row r="260" spans="2:28" ht="27.75" hidden="1" customHeight="1" x14ac:dyDescent="0.2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0"/>
      <c r="O260" s="160"/>
      <c r="P260" s="160"/>
      <c r="Q260" s="160"/>
      <c r="R260" s="160"/>
      <c r="T260" s="160"/>
      <c r="U260" s="160"/>
      <c r="V260" s="160"/>
      <c r="X260" s="160"/>
      <c r="Z260" s="160"/>
      <c r="AA260" s="160"/>
      <c r="AB260" s="160"/>
    </row>
    <row r="261" spans="2:28" ht="27.75" hidden="1" customHeight="1" x14ac:dyDescent="0.2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0"/>
      <c r="O261" s="160"/>
      <c r="P261" s="160"/>
      <c r="Q261" s="160"/>
      <c r="R261" s="160"/>
      <c r="T261" s="160"/>
      <c r="U261" s="160"/>
      <c r="V261" s="160"/>
      <c r="X261" s="160"/>
      <c r="Z261" s="160"/>
      <c r="AA261" s="160"/>
      <c r="AB261" s="160"/>
    </row>
    <row r="262" spans="2:28" ht="27.75" hidden="1" customHeight="1" x14ac:dyDescent="0.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0"/>
      <c r="O262" s="160"/>
      <c r="P262" s="160"/>
      <c r="Q262" s="160"/>
      <c r="R262" s="160"/>
      <c r="T262" s="160"/>
      <c r="U262" s="160"/>
      <c r="V262" s="160"/>
      <c r="X262" s="160"/>
      <c r="Z262" s="160"/>
      <c r="AA262" s="160"/>
      <c r="AB262" s="160"/>
    </row>
    <row r="263" spans="2:28" ht="27.75" hidden="1" customHeight="1" x14ac:dyDescent="0.2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0"/>
      <c r="O263" s="160"/>
      <c r="P263" s="160"/>
      <c r="Q263" s="160"/>
      <c r="R263" s="160"/>
      <c r="T263" s="160"/>
      <c r="U263" s="160"/>
      <c r="V263" s="160"/>
      <c r="X263" s="160"/>
      <c r="Z263" s="160"/>
      <c r="AA263" s="160"/>
      <c r="AB263" s="160"/>
    </row>
    <row r="264" spans="2:28" ht="27.75" hidden="1" customHeight="1" x14ac:dyDescent="0.2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0"/>
      <c r="O264" s="160"/>
      <c r="P264" s="160"/>
      <c r="Q264" s="160"/>
      <c r="R264" s="160"/>
      <c r="T264" s="160"/>
      <c r="U264" s="160"/>
      <c r="V264" s="160"/>
      <c r="X264" s="160"/>
      <c r="Z264" s="160"/>
      <c r="AA264" s="160"/>
      <c r="AB264" s="160"/>
    </row>
    <row r="265" spans="2:28" ht="27.75" hidden="1" customHeight="1" x14ac:dyDescent="0.2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0"/>
      <c r="O265" s="160"/>
      <c r="P265" s="160"/>
      <c r="Q265" s="160"/>
      <c r="R265" s="160"/>
      <c r="T265" s="160"/>
      <c r="U265" s="160"/>
      <c r="V265" s="160"/>
      <c r="X265" s="160"/>
      <c r="Z265" s="160"/>
      <c r="AA265" s="160"/>
      <c r="AB265" s="160"/>
    </row>
    <row r="266" spans="2:28" ht="27.75" hidden="1" customHeight="1" x14ac:dyDescent="0.2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0"/>
      <c r="O266" s="160"/>
      <c r="P266" s="160"/>
      <c r="Q266" s="160"/>
      <c r="R266" s="160"/>
      <c r="T266" s="160"/>
      <c r="U266" s="160"/>
      <c r="V266" s="160"/>
      <c r="X266" s="160"/>
      <c r="Z266" s="160"/>
      <c r="AA266" s="160"/>
      <c r="AB266" s="160"/>
    </row>
    <row r="267" spans="2:28" ht="27.75" hidden="1" customHeight="1" x14ac:dyDescent="0.2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0"/>
      <c r="O267" s="160"/>
      <c r="P267" s="160"/>
      <c r="Q267" s="160"/>
      <c r="R267" s="160"/>
      <c r="T267" s="160"/>
      <c r="U267" s="160"/>
      <c r="V267" s="160"/>
      <c r="X267" s="160"/>
      <c r="Z267" s="160"/>
      <c r="AA267" s="160"/>
      <c r="AB267" s="160"/>
    </row>
    <row r="268" spans="2:28" ht="27.75" hidden="1" customHeight="1" x14ac:dyDescent="0.2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0"/>
      <c r="O268" s="160"/>
      <c r="P268" s="160"/>
      <c r="Q268" s="160"/>
      <c r="R268" s="160"/>
      <c r="T268" s="160"/>
      <c r="U268" s="160"/>
      <c r="V268" s="160"/>
      <c r="X268" s="160"/>
      <c r="Z268" s="160"/>
      <c r="AA268" s="160"/>
      <c r="AB268" s="160"/>
    </row>
    <row r="269" spans="2:28" ht="27.75" hidden="1" customHeight="1" x14ac:dyDescent="0.2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0"/>
      <c r="O269" s="160"/>
      <c r="P269" s="160"/>
      <c r="Q269" s="160"/>
      <c r="R269" s="160"/>
      <c r="T269" s="160"/>
      <c r="U269" s="160"/>
      <c r="V269" s="160"/>
      <c r="X269" s="160"/>
      <c r="Z269" s="160"/>
      <c r="AA269" s="160"/>
      <c r="AB269" s="160"/>
    </row>
    <row r="270" spans="2:28" ht="27.75" hidden="1" customHeight="1" x14ac:dyDescent="0.2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0"/>
      <c r="O270" s="160"/>
      <c r="P270" s="160"/>
      <c r="Q270" s="160"/>
      <c r="R270" s="160"/>
      <c r="T270" s="160"/>
      <c r="U270" s="160"/>
      <c r="V270" s="160"/>
      <c r="X270" s="160"/>
      <c r="Z270" s="160"/>
      <c r="AA270" s="160"/>
      <c r="AB270" s="160"/>
    </row>
    <row r="271" spans="2:28" ht="27.75" hidden="1" customHeight="1" x14ac:dyDescent="0.2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0"/>
      <c r="O271" s="160"/>
      <c r="P271" s="160"/>
      <c r="Q271" s="160"/>
      <c r="R271" s="160"/>
      <c r="T271" s="160"/>
      <c r="U271" s="160"/>
      <c r="V271" s="160"/>
      <c r="X271" s="160"/>
      <c r="Z271" s="160"/>
      <c r="AA271" s="160"/>
      <c r="AB271" s="160"/>
    </row>
    <row r="272" spans="2:28" ht="27.75" hidden="1" customHeight="1" x14ac:dyDescent="0.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0"/>
      <c r="O272" s="160"/>
      <c r="P272" s="160"/>
      <c r="Q272" s="160"/>
      <c r="R272" s="160"/>
      <c r="T272" s="160"/>
      <c r="U272" s="160"/>
      <c r="V272" s="160"/>
      <c r="X272" s="160"/>
      <c r="Z272" s="160"/>
      <c r="AA272" s="160"/>
      <c r="AB272" s="160"/>
    </row>
    <row r="273" spans="2:28" ht="27.75" hidden="1" customHeight="1" x14ac:dyDescent="0.2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0"/>
      <c r="O273" s="160"/>
      <c r="P273" s="160"/>
      <c r="Q273" s="160"/>
      <c r="R273" s="160"/>
      <c r="T273" s="160"/>
      <c r="U273" s="160"/>
      <c r="V273" s="160"/>
      <c r="X273" s="160"/>
      <c r="Z273" s="160"/>
      <c r="AA273" s="160"/>
      <c r="AB273" s="160"/>
    </row>
    <row r="274" spans="2:28" ht="27.75" hidden="1" customHeight="1" x14ac:dyDescent="0.2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0"/>
      <c r="O274" s="160"/>
      <c r="P274" s="160"/>
      <c r="Q274" s="160"/>
      <c r="R274" s="160"/>
      <c r="T274" s="160"/>
      <c r="U274" s="160"/>
      <c r="V274" s="160"/>
      <c r="X274" s="160"/>
      <c r="Z274" s="160"/>
      <c r="AA274" s="160"/>
      <c r="AB274" s="160"/>
    </row>
    <row r="275" spans="2:28" ht="27.75" hidden="1" customHeight="1" x14ac:dyDescent="0.2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0"/>
      <c r="O275" s="160"/>
      <c r="P275" s="160"/>
      <c r="Q275" s="160"/>
      <c r="R275" s="160"/>
      <c r="T275" s="160"/>
      <c r="U275" s="160"/>
      <c r="V275" s="160"/>
      <c r="X275" s="160"/>
      <c r="Z275" s="160"/>
      <c r="AA275" s="160"/>
      <c r="AB275" s="160"/>
    </row>
    <row r="276" spans="2:28" ht="27.75" hidden="1" customHeight="1" x14ac:dyDescent="0.2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0"/>
      <c r="O276" s="160"/>
      <c r="P276" s="160"/>
      <c r="Q276" s="160"/>
      <c r="R276" s="160"/>
      <c r="T276" s="160"/>
      <c r="U276" s="160"/>
      <c r="V276" s="160"/>
      <c r="X276" s="160"/>
      <c r="Z276" s="160"/>
      <c r="AA276" s="160"/>
      <c r="AB276" s="160"/>
    </row>
    <row r="277" spans="2:28" ht="27.75" hidden="1" customHeight="1" x14ac:dyDescent="0.2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0"/>
      <c r="O277" s="160"/>
      <c r="P277" s="160"/>
      <c r="Q277" s="160"/>
      <c r="R277" s="160"/>
      <c r="T277" s="160"/>
      <c r="U277" s="160"/>
      <c r="V277" s="160"/>
      <c r="X277" s="160"/>
      <c r="Z277" s="160"/>
      <c r="AA277" s="160"/>
      <c r="AB277" s="160"/>
    </row>
    <row r="278" spans="2:28" ht="27.75" hidden="1" customHeight="1" x14ac:dyDescent="0.2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0"/>
      <c r="O278" s="160"/>
      <c r="P278" s="160"/>
      <c r="Q278" s="160"/>
      <c r="R278" s="160"/>
      <c r="T278" s="160"/>
      <c r="U278" s="160"/>
      <c r="V278" s="160"/>
      <c r="X278" s="160"/>
      <c r="Z278" s="160"/>
      <c r="AA278" s="160"/>
      <c r="AB278" s="160"/>
    </row>
    <row r="279" spans="2:28" ht="27.75" hidden="1" customHeight="1" x14ac:dyDescent="0.2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0"/>
      <c r="O279" s="160"/>
      <c r="P279" s="160"/>
      <c r="Q279" s="160"/>
      <c r="R279" s="160"/>
      <c r="T279" s="160"/>
      <c r="U279" s="160"/>
      <c r="V279" s="160"/>
      <c r="X279" s="160"/>
      <c r="Z279" s="160"/>
      <c r="AA279" s="160"/>
      <c r="AB279" s="160"/>
    </row>
    <row r="280" spans="2:28" ht="27.75" hidden="1" customHeight="1" x14ac:dyDescent="0.2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0"/>
      <c r="O280" s="160"/>
      <c r="P280" s="160"/>
      <c r="Q280" s="160"/>
      <c r="R280" s="160"/>
      <c r="T280" s="160"/>
      <c r="U280" s="160"/>
      <c r="V280" s="160"/>
      <c r="X280" s="160"/>
      <c r="Z280" s="160"/>
      <c r="AA280" s="160"/>
      <c r="AB280" s="160"/>
    </row>
    <row r="281" spans="2:28" ht="27.75" hidden="1" customHeight="1" x14ac:dyDescent="0.2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0"/>
      <c r="O281" s="160"/>
      <c r="P281" s="160"/>
      <c r="Q281" s="160"/>
      <c r="R281" s="160"/>
      <c r="T281" s="160"/>
      <c r="U281" s="160"/>
      <c r="V281" s="160"/>
      <c r="X281" s="160"/>
      <c r="Z281" s="160"/>
      <c r="AA281" s="160"/>
      <c r="AB281" s="160"/>
    </row>
    <row r="282" spans="2:28" ht="27.75" hidden="1" customHeight="1" x14ac:dyDescent="0.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0"/>
      <c r="O282" s="160"/>
      <c r="P282" s="160"/>
      <c r="Q282" s="160"/>
      <c r="R282" s="160"/>
      <c r="T282" s="160"/>
      <c r="U282" s="160"/>
      <c r="V282" s="160"/>
      <c r="X282" s="160"/>
      <c r="Z282" s="160"/>
      <c r="AA282" s="160"/>
      <c r="AB282" s="160"/>
    </row>
    <row r="283" spans="2:28" ht="27.75" hidden="1" customHeight="1" x14ac:dyDescent="0.2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0"/>
      <c r="O283" s="160"/>
      <c r="P283" s="160"/>
      <c r="Q283" s="160"/>
      <c r="R283" s="160"/>
      <c r="T283" s="160"/>
      <c r="U283" s="160"/>
      <c r="V283" s="160"/>
      <c r="X283" s="160"/>
      <c r="Z283" s="160"/>
      <c r="AA283" s="160"/>
      <c r="AB283" s="160"/>
    </row>
    <row r="284" spans="2:28" ht="27.75" hidden="1" customHeight="1" x14ac:dyDescent="0.2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0"/>
      <c r="O284" s="160"/>
      <c r="P284" s="160"/>
      <c r="Q284" s="160"/>
      <c r="R284" s="160"/>
      <c r="T284" s="160"/>
      <c r="U284" s="160"/>
      <c r="V284" s="160"/>
      <c r="X284" s="160"/>
      <c r="Z284" s="160"/>
      <c r="AA284" s="160"/>
      <c r="AB284" s="160"/>
    </row>
    <row r="285" spans="2:28" ht="27.75" hidden="1" customHeight="1" x14ac:dyDescent="0.2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0"/>
      <c r="O285" s="160"/>
      <c r="P285" s="160"/>
      <c r="Q285" s="160"/>
      <c r="R285" s="160"/>
      <c r="T285" s="160"/>
      <c r="U285" s="160"/>
      <c r="V285" s="160"/>
      <c r="X285" s="160"/>
      <c r="Z285" s="160"/>
      <c r="AA285" s="160"/>
      <c r="AB285" s="160"/>
    </row>
    <row r="286" spans="2:28" ht="27.75" hidden="1" customHeight="1" x14ac:dyDescent="0.2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0"/>
      <c r="O286" s="160"/>
      <c r="P286" s="160"/>
      <c r="Q286" s="160"/>
      <c r="R286" s="160"/>
      <c r="T286" s="160"/>
      <c r="U286" s="160"/>
      <c r="V286" s="160"/>
      <c r="X286" s="160"/>
      <c r="Z286" s="160"/>
      <c r="AA286" s="160"/>
      <c r="AB286" s="160"/>
    </row>
    <row r="287" spans="2:28" ht="27.75" hidden="1" customHeight="1" x14ac:dyDescent="0.2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0"/>
      <c r="O287" s="160"/>
      <c r="P287" s="160"/>
      <c r="Q287" s="160"/>
      <c r="R287" s="160"/>
      <c r="T287" s="160"/>
      <c r="U287" s="160"/>
      <c r="V287" s="160"/>
      <c r="X287" s="160"/>
      <c r="Z287" s="160"/>
      <c r="AA287" s="160"/>
      <c r="AB287" s="160"/>
    </row>
    <row r="288" spans="2:28" ht="27.75" hidden="1" customHeight="1" x14ac:dyDescent="0.2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0"/>
      <c r="O288" s="160"/>
      <c r="P288" s="160"/>
      <c r="Q288" s="160"/>
      <c r="R288" s="160"/>
      <c r="T288" s="160"/>
      <c r="U288" s="160"/>
      <c r="V288" s="160"/>
      <c r="X288" s="160"/>
      <c r="Z288" s="160"/>
      <c r="AA288" s="160"/>
      <c r="AB288" s="160"/>
    </row>
    <row r="289" spans="2:28" ht="27.75" hidden="1" customHeight="1" x14ac:dyDescent="0.2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0"/>
      <c r="O289" s="160"/>
      <c r="P289" s="160"/>
      <c r="Q289" s="160"/>
      <c r="R289" s="160"/>
      <c r="T289" s="160"/>
      <c r="U289" s="160"/>
      <c r="V289" s="160"/>
      <c r="X289" s="160"/>
      <c r="Z289" s="160"/>
      <c r="AA289" s="160"/>
      <c r="AB289" s="160"/>
    </row>
    <row r="290" spans="2:28" ht="27.75" hidden="1" customHeight="1" x14ac:dyDescent="0.2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0"/>
      <c r="O290" s="160"/>
      <c r="P290" s="160"/>
      <c r="Q290" s="160"/>
      <c r="R290" s="160"/>
      <c r="T290" s="160"/>
      <c r="U290" s="160"/>
      <c r="V290" s="160"/>
      <c r="X290" s="160"/>
      <c r="Z290" s="160"/>
      <c r="AA290" s="160"/>
      <c r="AB290" s="160"/>
    </row>
    <row r="291" spans="2:28" ht="27.75" hidden="1" customHeight="1" x14ac:dyDescent="0.2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0"/>
      <c r="O291" s="160"/>
      <c r="P291" s="160"/>
      <c r="Q291" s="160"/>
      <c r="R291" s="160"/>
      <c r="T291" s="160"/>
      <c r="U291" s="160"/>
      <c r="V291" s="160"/>
      <c r="X291" s="160"/>
      <c r="Z291" s="160"/>
      <c r="AA291" s="160"/>
      <c r="AB291" s="160"/>
    </row>
    <row r="292" spans="2:28" ht="27.75" hidden="1" customHeight="1" x14ac:dyDescent="0.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0"/>
      <c r="O292" s="160"/>
      <c r="P292" s="160"/>
      <c r="Q292" s="160"/>
      <c r="R292" s="160"/>
      <c r="T292" s="160"/>
      <c r="U292" s="160"/>
      <c r="V292" s="160"/>
      <c r="X292" s="160"/>
      <c r="Z292" s="160"/>
      <c r="AA292" s="160"/>
      <c r="AB292" s="160"/>
    </row>
    <row r="293" spans="2:28" ht="27.75" hidden="1" customHeight="1" x14ac:dyDescent="0.2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0"/>
      <c r="O293" s="160"/>
      <c r="P293" s="160"/>
      <c r="Q293" s="160"/>
      <c r="R293" s="160"/>
      <c r="T293" s="160"/>
      <c r="U293" s="160"/>
      <c r="V293" s="160"/>
      <c r="X293" s="160"/>
      <c r="Z293" s="160"/>
      <c r="AA293" s="160"/>
      <c r="AB293" s="160"/>
    </row>
    <row r="294" spans="2:28" ht="27.75" hidden="1" customHeight="1" x14ac:dyDescent="0.2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0"/>
      <c r="O294" s="160"/>
      <c r="P294" s="160"/>
      <c r="Q294" s="160"/>
      <c r="R294" s="160"/>
      <c r="T294" s="160"/>
      <c r="U294" s="160"/>
      <c r="V294" s="160"/>
      <c r="X294" s="160"/>
      <c r="Z294" s="160"/>
      <c r="AA294" s="160"/>
      <c r="AB294" s="160"/>
    </row>
    <row r="295" spans="2:28" ht="27.75" hidden="1" customHeight="1" x14ac:dyDescent="0.2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0"/>
      <c r="O295" s="160"/>
      <c r="P295" s="160"/>
      <c r="Q295" s="160"/>
      <c r="R295" s="160"/>
      <c r="T295" s="160"/>
      <c r="U295" s="160"/>
      <c r="V295" s="160"/>
      <c r="X295" s="160"/>
      <c r="Z295" s="160"/>
      <c r="AA295" s="160"/>
      <c r="AB295" s="160"/>
    </row>
    <row r="296" spans="2:28" ht="27.75" hidden="1" customHeight="1" x14ac:dyDescent="0.2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0"/>
      <c r="O296" s="160"/>
      <c r="P296" s="160"/>
      <c r="Q296" s="160"/>
      <c r="R296" s="160"/>
      <c r="T296" s="160"/>
      <c r="U296" s="160"/>
      <c r="V296" s="160"/>
      <c r="X296" s="160"/>
      <c r="Z296" s="160"/>
      <c r="AA296" s="160"/>
      <c r="AB296" s="160"/>
    </row>
    <row r="297" spans="2:28" ht="27.75" hidden="1" customHeight="1" x14ac:dyDescent="0.2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0"/>
      <c r="O297" s="160"/>
      <c r="P297" s="160"/>
      <c r="Q297" s="160"/>
      <c r="R297" s="160"/>
      <c r="T297" s="160"/>
      <c r="U297" s="160"/>
      <c r="V297" s="160"/>
      <c r="X297" s="160"/>
      <c r="Z297" s="160"/>
      <c r="AA297" s="160"/>
      <c r="AB297" s="160"/>
    </row>
    <row r="298" spans="2:28" ht="27.75" hidden="1" customHeight="1" x14ac:dyDescent="0.2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0"/>
      <c r="O298" s="160"/>
      <c r="P298" s="160"/>
      <c r="Q298" s="160"/>
      <c r="R298" s="160"/>
      <c r="T298" s="160"/>
      <c r="U298" s="160"/>
      <c r="V298" s="160"/>
      <c r="X298" s="160"/>
      <c r="Z298" s="160"/>
      <c r="AA298" s="160"/>
      <c r="AB298" s="160"/>
    </row>
    <row r="299" spans="2:28" ht="27.75" hidden="1" customHeight="1" x14ac:dyDescent="0.2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0"/>
      <c r="O299" s="160"/>
      <c r="P299" s="160"/>
      <c r="Q299" s="160"/>
      <c r="R299" s="160"/>
      <c r="T299" s="160"/>
      <c r="U299" s="160"/>
      <c r="V299" s="160"/>
      <c r="X299" s="160"/>
      <c r="Z299" s="160"/>
      <c r="AA299" s="160"/>
      <c r="AB299" s="160"/>
    </row>
    <row r="300" spans="2:28" ht="27.75" hidden="1" customHeight="1" x14ac:dyDescent="0.2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0"/>
      <c r="O300" s="160"/>
      <c r="P300" s="160"/>
      <c r="Q300" s="160"/>
      <c r="R300" s="160"/>
      <c r="T300" s="160"/>
      <c r="U300" s="160"/>
      <c r="V300" s="160"/>
      <c r="X300" s="160"/>
      <c r="Z300" s="160"/>
      <c r="AA300" s="160"/>
      <c r="AB300" s="160"/>
    </row>
    <row r="301" spans="2:28" ht="27.75" hidden="1" customHeight="1" x14ac:dyDescent="0.2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0"/>
      <c r="O301" s="160"/>
      <c r="P301" s="160"/>
      <c r="Q301" s="160"/>
      <c r="R301" s="160"/>
      <c r="T301" s="160"/>
      <c r="U301" s="160"/>
      <c r="V301" s="160"/>
      <c r="X301" s="160"/>
      <c r="Z301" s="160"/>
      <c r="AA301" s="160"/>
      <c r="AB301" s="160"/>
    </row>
    <row r="302" spans="2:28" ht="27.75" hidden="1" customHeight="1" x14ac:dyDescent="0.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0"/>
      <c r="O302" s="160"/>
      <c r="P302" s="160"/>
      <c r="Q302" s="160"/>
      <c r="R302" s="160"/>
      <c r="T302" s="160"/>
      <c r="U302" s="160"/>
      <c r="V302" s="160"/>
      <c r="X302" s="160"/>
      <c r="Z302" s="160"/>
      <c r="AA302" s="160"/>
      <c r="AB302" s="160"/>
    </row>
    <row r="303" spans="2:28" ht="27.75" hidden="1" customHeight="1" x14ac:dyDescent="0.2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0"/>
      <c r="O303" s="160"/>
      <c r="P303" s="160"/>
      <c r="Q303" s="160"/>
      <c r="R303" s="160"/>
      <c r="T303" s="160"/>
      <c r="U303" s="160"/>
      <c r="V303" s="160"/>
      <c r="X303" s="160"/>
      <c r="Z303" s="160"/>
      <c r="AA303" s="160"/>
      <c r="AB303" s="160"/>
    </row>
    <row r="304" spans="2:28" ht="27.75" hidden="1" customHeight="1" x14ac:dyDescent="0.2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0"/>
      <c r="O304" s="160"/>
      <c r="P304" s="160"/>
      <c r="Q304" s="160"/>
      <c r="R304" s="160"/>
      <c r="T304" s="160"/>
      <c r="U304" s="160"/>
      <c r="V304" s="160"/>
      <c r="X304" s="160"/>
      <c r="Z304" s="160"/>
      <c r="AA304" s="160"/>
      <c r="AB304" s="160"/>
    </row>
    <row r="305" spans="2:28" ht="27.75" hidden="1" customHeight="1" x14ac:dyDescent="0.2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0"/>
      <c r="O305" s="160"/>
      <c r="P305" s="160"/>
      <c r="Q305" s="160"/>
      <c r="R305" s="160"/>
      <c r="T305" s="160"/>
      <c r="U305" s="160"/>
      <c r="V305" s="160"/>
      <c r="X305" s="160"/>
      <c r="Z305" s="160"/>
      <c r="AA305" s="160"/>
      <c r="AB305" s="160"/>
    </row>
    <row r="306" spans="2:28" ht="27.75" hidden="1" customHeight="1" x14ac:dyDescent="0.2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0"/>
      <c r="O306" s="160"/>
      <c r="P306" s="160"/>
      <c r="Q306" s="160"/>
      <c r="R306" s="160"/>
      <c r="T306" s="160"/>
      <c r="U306" s="160"/>
      <c r="V306" s="160"/>
      <c r="X306" s="160"/>
      <c r="Z306" s="160"/>
      <c r="AA306" s="160"/>
      <c r="AB306" s="160"/>
    </row>
    <row r="307" spans="2:28" ht="27.75" hidden="1" customHeight="1" x14ac:dyDescent="0.2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0"/>
      <c r="O307" s="160"/>
      <c r="P307" s="160"/>
      <c r="Q307" s="160"/>
      <c r="R307" s="160"/>
      <c r="T307" s="160"/>
      <c r="U307" s="160"/>
      <c r="V307" s="160"/>
      <c r="X307" s="160"/>
      <c r="Z307" s="160"/>
      <c r="AA307" s="160"/>
      <c r="AB307" s="160"/>
    </row>
    <row r="308" spans="2:28" ht="27.75" hidden="1" customHeight="1" x14ac:dyDescent="0.2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0"/>
      <c r="O308" s="160"/>
      <c r="P308" s="160"/>
      <c r="Q308" s="160"/>
      <c r="R308" s="160"/>
      <c r="T308" s="160"/>
      <c r="U308" s="160"/>
      <c r="V308" s="160"/>
      <c r="X308" s="160"/>
      <c r="Z308" s="160"/>
      <c r="AA308" s="160"/>
      <c r="AB308" s="160"/>
    </row>
    <row r="309" spans="2:28" ht="27.75" hidden="1" customHeight="1" x14ac:dyDescent="0.2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0"/>
      <c r="O309" s="160"/>
      <c r="P309" s="160"/>
      <c r="Q309" s="160"/>
      <c r="R309" s="160"/>
      <c r="T309" s="160"/>
      <c r="U309" s="160"/>
      <c r="V309" s="160"/>
      <c r="X309" s="160"/>
      <c r="Z309" s="160"/>
      <c r="AA309" s="160"/>
      <c r="AB309" s="160"/>
    </row>
    <row r="310" spans="2:28" ht="27.75" hidden="1" customHeight="1" x14ac:dyDescent="0.2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0"/>
      <c r="O310" s="160"/>
      <c r="P310" s="160"/>
      <c r="Q310" s="160"/>
      <c r="R310" s="160"/>
      <c r="T310" s="160"/>
      <c r="U310" s="160"/>
      <c r="V310" s="160"/>
      <c r="X310" s="160"/>
      <c r="Z310" s="160"/>
      <c r="AA310" s="160"/>
      <c r="AB310" s="160"/>
    </row>
    <row r="311" spans="2:28" ht="27.75" hidden="1" customHeight="1" x14ac:dyDescent="0.2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0"/>
      <c r="O311" s="160"/>
      <c r="P311" s="160"/>
      <c r="Q311" s="160"/>
      <c r="R311" s="160"/>
      <c r="T311" s="160"/>
      <c r="U311" s="160"/>
      <c r="V311" s="160"/>
      <c r="X311" s="160"/>
      <c r="Z311" s="160"/>
      <c r="AA311" s="160"/>
      <c r="AB311" s="160"/>
    </row>
    <row r="312" spans="2:28" ht="27.75" hidden="1" customHeight="1" x14ac:dyDescent="0.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0"/>
      <c r="O312" s="160"/>
      <c r="P312" s="160"/>
      <c r="Q312" s="160"/>
      <c r="R312" s="160"/>
      <c r="T312" s="160"/>
      <c r="U312" s="160"/>
      <c r="V312" s="160"/>
      <c r="X312" s="160"/>
      <c r="Z312" s="160"/>
      <c r="AA312" s="160"/>
      <c r="AB312" s="160"/>
    </row>
    <row r="313" spans="2:28" ht="27.75" hidden="1" customHeight="1" x14ac:dyDescent="0.2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0"/>
      <c r="O313" s="160"/>
      <c r="P313" s="160"/>
      <c r="Q313" s="160"/>
      <c r="R313" s="160"/>
      <c r="T313" s="160"/>
      <c r="U313" s="160"/>
      <c r="V313" s="160"/>
      <c r="X313" s="160"/>
      <c r="Z313" s="160"/>
      <c r="AA313" s="160"/>
      <c r="AB313" s="160"/>
    </row>
    <row r="314" spans="2:28" ht="27.75" hidden="1" customHeight="1" x14ac:dyDescent="0.2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0"/>
      <c r="O314" s="160"/>
      <c r="P314" s="160"/>
      <c r="Q314" s="160"/>
      <c r="R314" s="160"/>
      <c r="T314" s="160"/>
      <c r="U314" s="160"/>
      <c r="V314" s="160"/>
      <c r="X314" s="160"/>
      <c r="Z314" s="160"/>
      <c r="AA314" s="160"/>
      <c r="AB314" s="160"/>
    </row>
    <row r="315" spans="2:28" ht="27.75" hidden="1" customHeight="1" x14ac:dyDescent="0.2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0"/>
      <c r="O315" s="160"/>
      <c r="P315" s="160"/>
      <c r="Q315" s="160"/>
      <c r="R315" s="160"/>
      <c r="T315" s="160"/>
      <c r="U315" s="160"/>
      <c r="V315" s="160"/>
      <c r="X315" s="160"/>
      <c r="Z315" s="160"/>
      <c r="AA315" s="160"/>
      <c r="AB315" s="160"/>
    </row>
    <row r="316" spans="2:28" ht="27.75" hidden="1" customHeight="1" x14ac:dyDescent="0.2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0"/>
      <c r="O316" s="160"/>
      <c r="P316" s="160"/>
      <c r="Q316" s="160"/>
      <c r="R316" s="160"/>
      <c r="T316" s="160"/>
      <c r="U316" s="160"/>
      <c r="V316" s="160"/>
      <c r="X316" s="160"/>
      <c r="Z316" s="160"/>
      <c r="AA316" s="160"/>
      <c r="AB316" s="160"/>
    </row>
    <row r="317" spans="2:28" ht="27.75" hidden="1" customHeight="1" x14ac:dyDescent="0.2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0"/>
      <c r="O317" s="160"/>
      <c r="P317" s="160"/>
      <c r="Q317" s="160"/>
      <c r="R317" s="160"/>
      <c r="T317" s="160"/>
      <c r="U317" s="160"/>
      <c r="V317" s="160"/>
      <c r="X317" s="160"/>
      <c r="Z317" s="160"/>
      <c r="AA317" s="160"/>
      <c r="AB317" s="160"/>
    </row>
    <row r="318" spans="2:28" ht="27.75" hidden="1" customHeight="1" x14ac:dyDescent="0.2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0"/>
      <c r="O318" s="160"/>
      <c r="P318" s="160"/>
      <c r="Q318" s="160"/>
      <c r="R318" s="160"/>
      <c r="T318" s="160"/>
      <c r="U318" s="160"/>
      <c r="V318" s="160"/>
      <c r="X318" s="160"/>
      <c r="Z318" s="160"/>
      <c r="AA318" s="160"/>
      <c r="AB318" s="160"/>
    </row>
    <row r="319" spans="2:28" ht="27.75" hidden="1" customHeight="1" x14ac:dyDescent="0.2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0"/>
      <c r="O319" s="160"/>
      <c r="P319" s="160"/>
      <c r="Q319" s="160"/>
      <c r="R319" s="160"/>
      <c r="T319" s="160"/>
      <c r="U319" s="160"/>
      <c r="V319" s="160"/>
      <c r="X319" s="160"/>
      <c r="Z319" s="160"/>
      <c r="AA319" s="160"/>
      <c r="AB319" s="160"/>
    </row>
    <row r="320" spans="2:28" ht="27.75" hidden="1" customHeight="1" x14ac:dyDescent="0.2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0"/>
      <c r="O320" s="160"/>
      <c r="P320" s="160"/>
      <c r="Q320" s="160"/>
      <c r="R320" s="160"/>
      <c r="T320" s="160"/>
      <c r="U320" s="160"/>
      <c r="V320" s="160"/>
      <c r="X320" s="160"/>
      <c r="Z320" s="160"/>
      <c r="AA320" s="160"/>
      <c r="AB320" s="160"/>
    </row>
    <row r="321" spans="2:28" ht="27.75" hidden="1" customHeight="1" x14ac:dyDescent="0.2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0"/>
      <c r="O321" s="160"/>
      <c r="P321" s="160"/>
      <c r="Q321" s="160"/>
      <c r="R321" s="160"/>
      <c r="T321" s="160"/>
      <c r="U321" s="160"/>
      <c r="V321" s="160"/>
      <c r="X321" s="160"/>
      <c r="Z321" s="160"/>
      <c r="AA321" s="160"/>
      <c r="AB321" s="160"/>
    </row>
    <row r="322" spans="2:28" ht="27.75" hidden="1" customHeight="1" x14ac:dyDescent="0.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0"/>
      <c r="O322" s="160"/>
      <c r="P322" s="160"/>
      <c r="Q322" s="160"/>
      <c r="R322" s="160"/>
      <c r="T322" s="160"/>
      <c r="U322" s="160"/>
      <c r="V322" s="160"/>
      <c r="X322" s="160"/>
      <c r="Z322" s="160"/>
      <c r="AA322" s="160"/>
      <c r="AB322" s="160"/>
    </row>
    <row r="323" spans="2:28" ht="27.75" hidden="1" customHeight="1" x14ac:dyDescent="0.2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0"/>
      <c r="O323" s="160"/>
      <c r="P323" s="160"/>
      <c r="Q323" s="160"/>
      <c r="R323" s="160"/>
      <c r="T323" s="160"/>
      <c r="U323" s="160"/>
      <c r="V323" s="160"/>
      <c r="X323" s="160"/>
      <c r="Z323" s="160"/>
      <c r="AA323" s="160"/>
      <c r="AB323" s="160"/>
    </row>
    <row r="324" spans="2:28" ht="27.75" hidden="1" customHeight="1" x14ac:dyDescent="0.2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0"/>
      <c r="O324" s="160"/>
      <c r="P324" s="160"/>
      <c r="Q324" s="160"/>
      <c r="R324" s="160"/>
      <c r="T324" s="160"/>
      <c r="U324" s="160"/>
      <c r="V324" s="160"/>
      <c r="X324" s="160"/>
      <c r="Z324" s="160"/>
      <c r="AA324" s="160"/>
      <c r="AB324" s="160"/>
    </row>
    <row r="325" spans="2:28" ht="27.75" hidden="1" customHeight="1" x14ac:dyDescent="0.2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0"/>
      <c r="O325" s="160"/>
      <c r="P325" s="160"/>
      <c r="Q325" s="160"/>
      <c r="R325" s="160"/>
      <c r="T325" s="160"/>
      <c r="U325" s="160"/>
      <c r="V325" s="160"/>
      <c r="X325" s="160"/>
      <c r="Z325" s="160"/>
      <c r="AA325" s="160"/>
      <c r="AB325" s="160"/>
    </row>
    <row r="326" spans="2:28" ht="27.75" hidden="1" customHeight="1" x14ac:dyDescent="0.2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0"/>
      <c r="O326" s="160"/>
      <c r="P326" s="160"/>
      <c r="Q326" s="160"/>
      <c r="R326" s="160"/>
      <c r="T326" s="160"/>
      <c r="U326" s="160"/>
      <c r="V326" s="160"/>
      <c r="X326" s="160"/>
      <c r="Z326" s="160"/>
      <c r="AA326" s="160"/>
      <c r="AB326" s="160"/>
    </row>
    <row r="327" spans="2:28" ht="27.75" hidden="1" customHeight="1" x14ac:dyDescent="0.2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0"/>
      <c r="O327" s="160"/>
      <c r="P327" s="160"/>
      <c r="Q327" s="160"/>
      <c r="R327" s="160"/>
      <c r="T327" s="160"/>
      <c r="U327" s="160"/>
      <c r="V327" s="160"/>
      <c r="X327" s="160"/>
      <c r="Z327" s="160"/>
      <c r="AA327" s="160"/>
      <c r="AB327" s="160"/>
    </row>
    <row r="328" spans="2:28" ht="27.75" hidden="1" customHeight="1" x14ac:dyDescent="0.2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0"/>
      <c r="O328" s="160"/>
      <c r="P328" s="160"/>
      <c r="Q328" s="160"/>
      <c r="R328" s="160"/>
      <c r="T328" s="160"/>
      <c r="U328" s="160"/>
      <c r="V328" s="160"/>
      <c r="X328" s="160"/>
      <c r="Z328" s="160"/>
      <c r="AA328" s="160"/>
      <c r="AB328" s="160"/>
    </row>
    <row r="329" spans="2:28" ht="27.75" hidden="1" customHeight="1" x14ac:dyDescent="0.2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0"/>
      <c r="O329" s="160"/>
      <c r="P329" s="160"/>
      <c r="Q329" s="160"/>
      <c r="R329" s="160"/>
      <c r="T329" s="160"/>
      <c r="U329" s="160"/>
      <c r="V329" s="160"/>
      <c r="X329" s="160"/>
      <c r="Z329" s="160"/>
      <c r="AA329" s="160"/>
      <c r="AB329" s="160"/>
    </row>
    <row r="330" spans="2:28" ht="27.75" hidden="1" customHeight="1" x14ac:dyDescent="0.2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0"/>
      <c r="O330" s="160"/>
      <c r="P330" s="160"/>
      <c r="Q330" s="160"/>
      <c r="R330" s="160"/>
      <c r="T330" s="160"/>
      <c r="U330" s="160"/>
      <c r="V330" s="160"/>
      <c r="X330" s="160"/>
      <c r="Z330" s="160"/>
      <c r="AA330" s="160"/>
      <c r="AB330" s="160"/>
    </row>
    <row r="331" spans="2:28" ht="27.75" hidden="1" customHeight="1" x14ac:dyDescent="0.2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0"/>
      <c r="O331" s="160"/>
      <c r="P331" s="160"/>
      <c r="Q331" s="160"/>
      <c r="R331" s="160"/>
      <c r="T331" s="160"/>
      <c r="U331" s="160"/>
      <c r="V331" s="160"/>
      <c r="X331" s="160"/>
      <c r="Z331" s="160"/>
      <c r="AA331" s="160"/>
      <c r="AB331" s="160"/>
    </row>
    <row r="332" spans="2:28" ht="27.75" hidden="1" customHeight="1" x14ac:dyDescent="0.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0"/>
      <c r="O332" s="160"/>
      <c r="P332" s="160"/>
      <c r="Q332" s="160"/>
      <c r="R332" s="160"/>
      <c r="T332" s="160"/>
      <c r="U332" s="160"/>
      <c r="V332" s="160"/>
      <c r="X332" s="160"/>
      <c r="Z332" s="160"/>
      <c r="AA332" s="160"/>
      <c r="AB332" s="160"/>
    </row>
    <row r="333" spans="2:28" ht="27.75" hidden="1" customHeight="1" x14ac:dyDescent="0.2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0"/>
      <c r="O333" s="160"/>
      <c r="P333" s="160"/>
      <c r="Q333" s="160"/>
      <c r="R333" s="160"/>
      <c r="T333" s="160"/>
      <c r="U333" s="160"/>
      <c r="V333" s="160"/>
      <c r="X333" s="160"/>
      <c r="Z333" s="160"/>
      <c r="AA333" s="160"/>
      <c r="AB333" s="160"/>
    </row>
    <row r="334" spans="2:28" ht="27.75" hidden="1" customHeight="1" x14ac:dyDescent="0.2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0"/>
      <c r="O334" s="160"/>
      <c r="P334" s="160"/>
      <c r="Q334" s="160"/>
      <c r="R334" s="160"/>
      <c r="T334" s="160"/>
      <c r="U334" s="160"/>
      <c r="V334" s="160"/>
      <c r="X334" s="160"/>
      <c r="Z334" s="160"/>
      <c r="AA334" s="160"/>
      <c r="AB334" s="160"/>
    </row>
    <row r="335" spans="2:28" ht="27.75" hidden="1" customHeight="1" x14ac:dyDescent="0.2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0"/>
      <c r="O335" s="160"/>
      <c r="P335" s="160"/>
      <c r="Q335" s="160"/>
      <c r="R335" s="160"/>
      <c r="T335" s="160"/>
      <c r="U335" s="160"/>
      <c r="V335" s="160"/>
      <c r="X335" s="160"/>
      <c r="Z335" s="160"/>
      <c r="AA335" s="160"/>
      <c r="AB335" s="160"/>
    </row>
    <row r="336" spans="2:28" ht="27.75" hidden="1" customHeight="1" x14ac:dyDescent="0.2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0"/>
      <c r="O336" s="160"/>
      <c r="P336" s="160"/>
      <c r="Q336" s="160"/>
      <c r="R336" s="160"/>
      <c r="T336" s="160"/>
      <c r="U336" s="160"/>
      <c r="V336" s="160"/>
      <c r="X336" s="160"/>
      <c r="Z336" s="160"/>
      <c r="AA336" s="160"/>
      <c r="AB336" s="160"/>
    </row>
    <row r="337" spans="2:28" ht="27.75" hidden="1" customHeight="1" x14ac:dyDescent="0.2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0"/>
      <c r="O337" s="160"/>
      <c r="P337" s="160"/>
      <c r="Q337" s="160"/>
      <c r="R337" s="160"/>
      <c r="T337" s="160"/>
      <c r="U337" s="160"/>
      <c r="V337" s="160"/>
      <c r="X337" s="160"/>
      <c r="Z337" s="160"/>
      <c r="AA337" s="160"/>
      <c r="AB337" s="160"/>
    </row>
    <row r="338" spans="2:28" ht="27.75" hidden="1" customHeight="1" x14ac:dyDescent="0.2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0"/>
      <c r="O338" s="160"/>
      <c r="P338" s="160"/>
      <c r="Q338" s="160"/>
      <c r="R338" s="160"/>
      <c r="T338" s="160"/>
      <c r="U338" s="160"/>
      <c r="V338" s="160"/>
      <c r="X338" s="160"/>
      <c r="Z338" s="160"/>
      <c r="AA338" s="160"/>
      <c r="AB338" s="160"/>
    </row>
    <row r="339" spans="2:28" ht="27.75" hidden="1" customHeight="1" x14ac:dyDescent="0.2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0"/>
      <c r="O339" s="160"/>
      <c r="P339" s="160"/>
      <c r="Q339" s="160"/>
      <c r="R339" s="160"/>
      <c r="T339" s="160"/>
      <c r="U339" s="160"/>
      <c r="V339" s="160"/>
      <c r="X339" s="160"/>
      <c r="Z339" s="160"/>
      <c r="AA339" s="160"/>
      <c r="AB339" s="160"/>
    </row>
    <row r="340" spans="2:28" ht="27.75" hidden="1" customHeight="1" x14ac:dyDescent="0.2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0"/>
      <c r="O340" s="160"/>
      <c r="P340" s="160"/>
      <c r="Q340" s="160"/>
      <c r="R340" s="160"/>
      <c r="T340" s="160"/>
      <c r="U340" s="160"/>
      <c r="V340" s="160"/>
      <c r="X340" s="160"/>
      <c r="Z340" s="160"/>
      <c r="AA340" s="160"/>
      <c r="AB340" s="160"/>
    </row>
    <row r="341" spans="2:28" ht="27.75" hidden="1" customHeight="1" x14ac:dyDescent="0.2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0"/>
      <c r="O341" s="160"/>
      <c r="P341" s="160"/>
      <c r="Q341" s="160"/>
      <c r="R341" s="160"/>
      <c r="T341" s="160"/>
      <c r="U341" s="160"/>
      <c r="V341" s="160"/>
      <c r="X341" s="160"/>
      <c r="Z341" s="160"/>
      <c r="AA341" s="160"/>
      <c r="AB341" s="160"/>
    </row>
    <row r="342" spans="2:28" ht="27.75" hidden="1" customHeight="1" x14ac:dyDescent="0.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0"/>
      <c r="O342" s="160"/>
      <c r="P342" s="160"/>
      <c r="Q342" s="160"/>
      <c r="R342" s="160"/>
      <c r="T342" s="160"/>
      <c r="U342" s="160"/>
      <c r="V342" s="160"/>
      <c r="X342" s="160"/>
      <c r="Z342" s="160"/>
      <c r="AA342" s="160"/>
      <c r="AB342" s="160"/>
    </row>
    <row r="343" spans="2:28" ht="27.75" hidden="1" customHeight="1" x14ac:dyDescent="0.2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0"/>
      <c r="O343" s="160"/>
      <c r="P343" s="160"/>
      <c r="Q343" s="160"/>
      <c r="R343" s="160"/>
      <c r="T343" s="160"/>
      <c r="U343" s="160"/>
      <c r="V343" s="160"/>
      <c r="X343" s="160"/>
      <c r="Z343" s="160"/>
      <c r="AA343" s="160"/>
      <c r="AB343" s="160"/>
    </row>
    <row r="344" spans="2:28" ht="27.75" hidden="1" customHeight="1" x14ac:dyDescent="0.2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0"/>
      <c r="O344" s="160"/>
      <c r="P344" s="160"/>
      <c r="Q344" s="160"/>
      <c r="R344" s="160"/>
      <c r="T344" s="160"/>
      <c r="U344" s="160"/>
      <c r="V344" s="160"/>
      <c r="X344" s="160"/>
      <c r="Z344" s="160"/>
      <c r="AA344" s="160"/>
      <c r="AB344" s="160"/>
    </row>
    <row r="345" spans="2:28" ht="27.75" hidden="1" customHeight="1" x14ac:dyDescent="0.2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0"/>
      <c r="O345" s="160"/>
      <c r="P345" s="160"/>
      <c r="Q345" s="160"/>
      <c r="R345" s="160"/>
      <c r="T345" s="160"/>
      <c r="U345" s="160"/>
      <c r="V345" s="160"/>
      <c r="X345" s="160"/>
      <c r="Z345" s="160"/>
      <c r="AA345" s="160"/>
      <c r="AB345" s="160"/>
    </row>
    <row r="346" spans="2:28" ht="27.75" hidden="1" customHeight="1" x14ac:dyDescent="0.2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0"/>
      <c r="O346" s="160"/>
      <c r="P346" s="160"/>
      <c r="Q346" s="160"/>
      <c r="R346" s="160"/>
      <c r="T346" s="160"/>
      <c r="U346" s="160"/>
      <c r="V346" s="160"/>
      <c r="X346" s="160"/>
      <c r="Z346" s="160"/>
      <c r="AA346" s="160"/>
      <c r="AB346" s="160"/>
    </row>
    <row r="347" spans="2:28" ht="27.75" hidden="1" customHeight="1" x14ac:dyDescent="0.2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0"/>
      <c r="O347" s="160"/>
      <c r="P347" s="160"/>
      <c r="Q347" s="160"/>
      <c r="R347" s="160"/>
      <c r="T347" s="160"/>
      <c r="U347" s="160"/>
      <c r="V347" s="160"/>
      <c r="X347" s="160"/>
      <c r="Z347" s="160"/>
      <c r="AA347" s="160"/>
      <c r="AB347" s="160"/>
    </row>
    <row r="348" spans="2:28" ht="27.75" hidden="1" customHeight="1" x14ac:dyDescent="0.2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0"/>
      <c r="O348" s="160"/>
      <c r="P348" s="160"/>
      <c r="Q348" s="160"/>
      <c r="R348" s="160"/>
      <c r="T348" s="160"/>
      <c r="U348" s="160"/>
      <c r="V348" s="160"/>
      <c r="X348" s="160"/>
      <c r="Z348" s="160"/>
      <c r="AA348" s="160"/>
      <c r="AB348" s="160"/>
    </row>
    <row r="349" spans="2:28" ht="27.75" hidden="1" customHeight="1" x14ac:dyDescent="0.2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0"/>
      <c r="O349" s="160"/>
      <c r="P349" s="160"/>
      <c r="Q349" s="160"/>
      <c r="R349" s="160"/>
      <c r="T349" s="160"/>
      <c r="U349" s="160"/>
      <c r="V349" s="160"/>
      <c r="X349" s="160"/>
      <c r="Z349" s="160"/>
      <c r="AA349" s="160"/>
      <c r="AB349" s="160"/>
    </row>
    <row r="350" spans="2:28" ht="27.75" hidden="1" customHeight="1" x14ac:dyDescent="0.2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0"/>
      <c r="O350" s="160"/>
      <c r="P350" s="160"/>
      <c r="Q350" s="160"/>
      <c r="R350" s="160"/>
      <c r="T350" s="160"/>
      <c r="U350" s="160"/>
      <c r="V350" s="160"/>
      <c r="X350" s="160"/>
      <c r="Z350" s="160"/>
      <c r="AA350" s="160"/>
      <c r="AB350" s="160"/>
    </row>
    <row r="351" spans="2:28" ht="27.75" hidden="1" customHeight="1" x14ac:dyDescent="0.2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0"/>
      <c r="O351" s="160"/>
      <c r="P351" s="160"/>
      <c r="Q351" s="160"/>
      <c r="R351" s="160"/>
      <c r="T351" s="160"/>
      <c r="U351" s="160"/>
      <c r="V351" s="160"/>
      <c r="X351" s="160"/>
      <c r="Z351" s="160"/>
      <c r="AA351" s="160"/>
      <c r="AB351" s="160"/>
    </row>
    <row r="352" spans="2:28" ht="27.75" hidden="1" customHeight="1" x14ac:dyDescent="0.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0"/>
      <c r="O352" s="160"/>
      <c r="P352" s="160"/>
      <c r="Q352" s="160"/>
      <c r="R352" s="160"/>
      <c r="T352" s="160"/>
      <c r="U352" s="160"/>
      <c r="V352" s="160"/>
      <c r="X352" s="160"/>
      <c r="Z352" s="160"/>
      <c r="AA352" s="160"/>
      <c r="AB352" s="160"/>
    </row>
    <row r="353" spans="2:28" ht="27.75" hidden="1" customHeight="1" x14ac:dyDescent="0.2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0"/>
      <c r="O353" s="160"/>
      <c r="P353" s="160"/>
      <c r="Q353" s="160"/>
      <c r="R353" s="160"/>
      <c r="T353" s="160"/>
      <c r="U353" s="160"/>
      <c r="V353" s="160"/>
      <c r="X353" s="160"/>
      <c r="Z353" s="160"/>
      <c r="AA353" s="160"/>
      <c r="AB353" s="160"/>
    </row>
    <row r="354" spans="2:28" ht="27.75" hidden="1" customHeight="1" x14ac:dyDescent="0.2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0"/>
      <c r="O354" s="160"/>
      <c r="P354" s="160"/>
      <c r="Q354" s="160"/>
      <c r="R354" s="160"/>
      <c r="T354" s="160"/>
      <c r="U354" s="160"/>
      <c r="V354" s="160"/>
      <c r="X354" s="160"/>
      <c r="Z354" s="160"/>
      <c r="AA354" s="160"/>
      <c r="AB354" s="160"/>
    </row>
    <row r="355" spans="2:28" ht="27.75" hidden="1" customHeight="1" x14ac:dyDescent="0.2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0"/>
      <c r="O355" s="160"/>
      <c r="P355" s="160"/>
      <c r="Q355" s="160"/>
      <c r="R355" s="160"/>
      <c r="T355" s="160"/>
      <c r="U355" s="160"/>
      <c r="V355" s="160"/>
      <c r="X355" s="160"/>
      <c r="Z355" s="160"/>
      <c r="AA355" s="160"/>
      <c r="AB355" s="160"/>
    </row>
    <row r="356" spans="2:28" ht="27.75" hidden="1" customHeight="1" x14ac:dyDescent="0.2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0"/>
      <c r="O356" s="160"/>
      <c r="P356" s="160"/>
      <c r="Q356" s="160"/>
      <c r="R356" s="160"/>
      <c r="T356" s="160"/>
      <c r="U356" s="160"/>
      <c r="V356" s="160"/>
      <c r="X356" s="160"/>
      <c r="Z356" s="160"/>
      <c r="AA356" s="160"/>
      <c r="AB356" s="160"/>
    </row>
    <row r="357" spans="2:28" ht="27.75" hidden="1" customHeight="1" x14ac:dyDescent="0.2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0"/>
      <c r="O357" s="160"/>
      <c r="P357" s="160"/>
      <c r="Q357" s="160"/>
      <c r="R357" s="160"/>
      <c r="T357" s="160"/>
      <c r="U357" s="160"/>
      <c r="V357" s="160"/>
      <c r="X357" s="160"/>
      <c r="Z357" s="160"/>
      <c r="AA357" s="160"/>
      <c r="AB357" s="160"/>
    </row>
    <row r="358" spans="2:28" ht="27.75" hidden="1" customHeight="1" x14ac:dyDescent="0.2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0"/>
      <c r="O358" s="160"/>
      <c r="P358" s="160"/>
      <c r="Q358" s="160"/>
      <c r="R358" s="160"/>
      <c r="T358" s="160"/>
      <c r="U358" s="160"/>
      <c r="V358" s="160"/>
      <c r="X358" s="160"/>
      <c r="Z358" s="160"/>
      <c r="AA358" s="160"/>
      <c r="AB358" s="160"/>
    </row>
    <row r="359" spans="2:28" ht="27.75" hidden="1" customHeight="1" x14ac:dyDescent="0.2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0"/>
      <c r="O359" s="160"/>
      <c r="P359" s="160"/>
      <c r="Q359" s="160"/>
      <c r="R359" s="160"/>
      <c r="T359" s="160"/>
      <c r="U359" s="160"/>
      <c r="V359" s="160"/>
      <c r="X359" s="160"/>
      <c r="Z359" s="160"/>
      <c r="AA359" s="160"/>
      <c r="AB359" s="160"/>
    </row>
    <row r="360" spans="2:28" ht="27.75" hidden="1" customHeight="1" x14ac:dyDescent="0.2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0"/>
      <c r="O360" s="160"/>
      <c r="P360" s="160"/>
      <c r="Q360" s="160"/>
      <c r="R360" s="160"/>
      <c r="T360" s="160"/>
      <c r="U360" s="160"/>
      <c r="V360" s="160"/>
      <c r="X360" s="160"/>
      <c r="Z360" s="160"/>
      <c r="AA360" s="160"/>
      <c r="AB360" s="160"/>
    </row>
    <row r="361" spans="2:28" ht="27.75" hidden="1" customHeight="1" x14ac:dyDescent="0.2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0"/>
      <c r="O361" s="160"/>
      <c r="P361" s="160"/>
      <c r="Q361" s="160"/>
      <c r="R361" s="160"/>
      <c r="T361" s="160"/>
      <c r="U361" s="160"/>
      <c r="V361" s="160"/>
      <c r="X361" s="160"/>
      <c r="Z361" s="160"/>
      <c r="AA361" s="160"/>
      <c r="AB361" s="160"/>
    </row>
    <row r="362" spans="2:28" ht="27.75" hidden="1" customHeight="1" x14ac:dyDescent="0.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0"/>
      <c r="O362" s="160"/>
      <c r="P362" s="160"/>
      <c r="Q362" s="160"/>
      <c r="R362" s="160"/>
      <c r="T362" s="160"/>
      <c r="U362" s="160"/>
      <c r="V362" s="160"/>
      <c r="X362" s="160"/>
      <c r="Z362" s="160"/>
      <c r="AA362" s="160"/>
      <c r="AB362" s="160"/>
    </row>
    <row r="363" spans="2:28" ht="27.75" hidden="1" customHeight="1" x14ac:dyDescent="0.2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0"/>
      <c r="O363" s="160"/>
      <c r="P363" s="160"/>
      <c r="Q363" s="160"/>
      <c r="R363" s="160"/>
      <c r="T363" s="160"/>
      <c r="U363" s="160"/>
      <c r="V363" s="160"/>
      <c r="X363" s="160"/>
      <c r="Z363" s="160"/>
      <c r="AA363" s="160"/>
      <c r="AB363" s="160"/>
    </row>
    <row r="364" spans="2:28" ht="27.75" hidden="1" customHeight="1" x14ac:dyDescent="0.2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0"/>
      <c r="O364" s="160"/>
      <c r="P364" s="160"/>
      <c r="Q364" s="160"/>
      <c r="R364" s="160"/>
      <c r="T364" s="160"/>
      <c r="U364" s="160"/>
      <c r="V364" s="160"/>
      <c r="X364" s="160"/>
      <c r="Z364" s="160"/>
      <c r="AA364" s="160"/>
      <c r="AB364" s="160"/>
    </row>
    <row r="365" spans="2:28" ht="27.75" hidden="1" customHeight="1" x14ac:dyDescent="0.2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0"/>
      <c r="O365" s="160"/>
      <c r="P365" s="160"/>
      <c r="Q365" s="160"/>
      <c r="R365" s="160"/>
      <c r="T365" s="160"/>
      <c r="U365" s="160"/>
      <c r="V365" s="160"/>
      <c r="X365" s="160"/>
      <c r="Z365" s="160"/>
      <c r="AA365" s="160"/>
      <c r="AB365" s="160"/>
    </row>
    <row r="366" spans="2:28" ht="27.75" hidden="1" customHeight="1" x14ac:dyDescent="0.2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0"/>
      <c r="O366" s="160"/>
      <c r="P366" s="160"/>
      <c r="Q366" s="160"/>
      <c r="R366" s="160"/>
      <c r="T366" s="160"/>
      <c r="U366" s="160"/>
      <c r="V366" s="160"/>
      <c r="X366" s="160"/>
      <c r="Z366" s="160"/>
      <c r="AA366" s="160"/>
      <c r="AB366" s="160"/>
    </row>
    <row r="367" spans="2:28" ht="27.75" hidden="1" customHeight="1" x14ac:dyDescent="0.2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0"/>
      <c r="O367" s="160"/>
      <c r="P367" s="160"/>
      <c r="Q367" s="160"/>
      <c r="R367" s="160"/>
      <c r="T367" s="160"/>
      <c r="U367" s="160"/>
      <c r="V367" s="160"/>
      <c r="X367" s="160"/>
      <c r="Z367" s="160"/>
      <c r="AA367" s="160"/>
      <c r="AB367" s="160"/>
    </row>
    <row r="368" spans="2:28" ht="27.75" hidden="1" customHeight="1" x14ac:dyDescent="0.2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0"/>
      <c r="O368" s="160"/>
      <c r="P368" s="160"/>
      <c r="Q368" s="160"/>
      <c r="R368" s="160"/>
      <c r="T368" s="160"/>
      <c r="U368" s="160"/>
      <c r="V368" s="160"/>
      <c r="X368" s="160"/>
      <c r="Z368" s="160"/>
      <c r="AA368" s="160"/>
      <c r="AB368" s="160"/>
    </row>
    <row r="369" spans="2:28" ht="27.75" hidden="1" customHeight="1" x14ac:dyDescent="0.2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0"/>
      <c r="O369" s="160"/>
      <c r="P369" s="160"/>
      <c r="Q369" s="160"/>
      <c r="R369" s="160"/>
      <c r="T369" s="160"/>
      <c r="U369" s="160"/>
      <c r="V369" s="160"/>
      <c r="X369" s="160"/>
      <c r="Z369" s="160"/>
      <c r="AA369" s="160"/>
      <c r="AB369" s="160"/>
    </row>
    <row r="370" spans="2:28" ht="27.75" hidden="1" customHeight="1" x14ac:dyDescent="0.2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0"/>
      <c r="O370" s="160"/>
      <c r="P370" s="160"/>
      <c r="Q370" s="160"/>
      <c r="R370" s="160"/>
      <c r="T370" s="160"/>
      <c r="U370" s="160"/>
      <c r="V370" s="160"/>
      <c r="X370" s="160"/>
      <c r="Z370" s="160"/>
      <c r="AA370" s="160"/>
      <c r="AB370" s="160"/>
    </row>
    <row r="371" spans="2:28" ht="27.75" hidden="1" customHeight="1" x14ac:dyDescent="0.2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0"/>
      <c r="O371" s="160"/>
      <c r="P371" s="160"/>
      <c r="Q371" s="160"/>
      <c r="R371" s="160"/>
      <c r="T371" s="160"/>
      <c r="U371" s="160"/>
      <c r="V371" s="160"/>
      <c r="X371" s="160"/>
      <c r="Z371" s="160"/>
      <c r="AA371" s="160"/>
      <c r="AB371" s="160"/>
    </row>
    <row r="372" spans="2:28" ht="27.75" hidden="1" customHeight="1" x14ac:dyDescent="0.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0"/>
      <c r="O372" s="160"/>
      <c r="P372" s="160"/>
      <c r="Q372" s="160"/>
      <c r="R372" s="160"/>
      <c r="T372" s="160"/>
      <c r="U372" s="160"/>
      <c r="V372" s="160"/>
      <c r="X372" s="160"/>
      <c r="Z372" s="160"/>
      <c r="AA372" s="160"/>
      <c r="AB372" s="160"/>
    </row>
    <row r="373" spans="2:28" ht="27.75" hidden="1" customHeight="1" x14ac:dyDescent="0.2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0"/>
      <c r="O373" s="160"/>
      <c r="P373" s="160"/>
      <c r="Q373" s="160"/>
      <c r="R373" s="160"/>
      <c r="T373" s="160"/>
      <c r="U373" s="160"/>
      <c r="V373" s="160"/>
      <c r="X373" s="160"/>
      <c r="Z373" s="160"/>
      <c r="AA373" s="160"/>
      <c r="AB373" s="160"/>
    </row>
    <row r="374" spans="2:28" ht="27.75" hidden="1" customHeight="1" x14ac:dyDescent="0.2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0"/>
      <c r="O374" s="160"/>
      <c r="P374" s="160"/>
      <c r="Q374" s="160"/>
      <c r="R374" s="160"/>
      <c r="T374" s="160"/>
      <c r="U374" s="160"/>
      <c r="V374" s="160"/>
      <c r="X374" s="160"/>
      <c r="Z374" s="160"/>
      <c r="AA374" s="160"/>
      <c r="AB374" s="160"/>
    </row>
    <row r="375" spans="2:28" ht="27.75" hidden="1" customHeight="1" x14ac:dyDescent="0.2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0"/>
      <c r="O375" s="160"/>
      <c r="P375" s="160"/>
      <c r="Q375" s="160"/>
      <c r="R375" s="160"/>
      <c r="T375" s="160"/>
      <c r="U375" s="160"/>
      <c r="V375" s="160"/>
      <c r="X375" s="160"/>
      <c r="Z375" s="160"/>
      <c r="AA375" s="160"/>
      <c r="AB375" s="160"/>
    </row>
    <row r="376" spans="2:28" ht="27.75" hidden="1" customHeight="1" x14ac:dyDescent="0.2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0"/>
      <c r="O376" s="160"/>
      <c r="P376" s="160"/>
      <c r="Q376" s="160"/>
      <c r="R376" s="160"/>
      <c r="T376" s="160"/>
      <c r="U376" s="160"/>
      <c r="V376" s="160"/>
      <c r="X376" s="160"/>
      <c r="Z376" s="160"/>
      <c r="AA376" s="160"/>
      <c r="AB376" s="160"/>
    </row>
    <row r="377" spans="2:28" ht="27.75" hidden="1" customHeight="1" x14ac:dyDescent="0.2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0"/>
      <c r="O377" s="160"/>
      <c r="P377" s="160"/>
      <c r="Q377" s="160"/>
      <c r="R377" s="160"/>
      <c r="T377" s="160"/>
      <c r="U377" s="160"/>
      <c r="V377" s="160"/>
      <c r="X377" s="160"/>
      <c r="Z377" s="160"/>
      <c r="AA377" s="160"/>
      <c r="AB377" s="160"/>
    </row>
    <row r="378" spans="2:28" ht="27.75" hidden="1" customHeight="1" x14ac:dyDescent="0.2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0"/>
      <c r="O378" s="160"/>
      <c r="P378" s="160"/>
      <c r="Q378" s="160"/>
      <c r="R378" s="160"/>
      <c r="T378" s="160"/>
      <c r="U378" s="160"/>
      <c r="V378" s="160"/>
      <c r="X378" s="160"/>
      <c r="Z378" s="160"/>
      <c r="AA378" s="160"/>
      <c r="AB378" s="160"/>
    </row>
    <row r="379" spans="2:28" ht="27.75" hidden="1" customHeight="1" x14ac:dyDescent="0.2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0"/>
      <c r="O379" s="160"/>
      <c r="P379" s="160"/>
      <c r="Q379" s="160"/>
      <c r="R379" s="160"/>
      <c r="T379" s="160"/>
      <c r="U379" s="160"/>
      <c r="V379" s="160"/>
      <c r="X379" s="160"/>
      <c r="Z379" s="160"/>
      <c r="AA379" s="160"/>
      <c r="AB379" s="160"/>
    </row>
    <row r="380" spans="2:28" ht="27.75" hidden="1" customHeight="1" x14ac:dyDescent="0.2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0"/>
      <c r="O380" s="160"/>
      <c r="P380" s="160"/>
      <c r="Q380" s="160"/>
      <c r="R380" s="160"/>
      <c r="T380" s="160"/>
      <c r="U380" s="160"/>
      <c r="V380" s="160"/>
      <c r="X380" s="160"/>
      <c r="Z380" s="160"/>
      <c r="AA380" s="160"/>
      <c r="AB380" s="160"/>
    </row>
    <row r="381" spans="2:28" ht="27.75" hidden="1" customHeight="1" x14ac:dyDescent="0.2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0"/>
      <c r="O381" s="160"/>
      <c r="P381" s="160"/>
      <c r="Q381" s="160"/>
      <c r="R381" s="160"/>
      <c r="T381" s="160"/>
      <c r="U381" s="160"/>
      <c r="V381" s="160"/>
      <c r="X381" s="160"/>
      <c r="Z381" s="160"/>
      <c r="AA381" s="160"/>
      <c r="AB381" s="160"/>
    </row>
    <row r="382" spans="2:28" ht="27.75" hidden="1" customHeight="1" x14ac:dyDescent="0.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0"/>
      <c r="O382" s="160"/>
      <c r="P382" s="160"/>
      <c r="Q382" s="160"/>
      <c r="R382" s="160"/>
      <c r="T382" s="160"/>
      <c r="U382" s="160"/>
      <c r="V382" s="160"/>
      <c r="X382" s="160"/>
      <c r="Z382" s="160"/>
      <c r="AA382" s="160"/>
      <c r="AB382" s="160"/>
    </row>
    <row r="383" spans="2:28" ht="27.75" hidden="1" customHeight="1" x14ac:dyDescent="0.2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0"/>
      <c r="O383" s="160"/>
      <c r="P383" s="160"/>
      <c r="Q383" s="160"/>
      <c r="R383" s="160"/>
      <c r="T383" s="160"/>
      <c r="U383" s="160"/>
      <c r="V383" s="160"/>
      <c r="X383" s="160"/>
      <c r="Z383" s="160"/>
      <c r="AA383" s="160"/>
      <c r="AB383" s="160"/>
    </row>
    <row r="384" spans="2:28" ht="27.75" hidden="1" customHeight="1" x14ac:dyDescent="0.2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0"/>
      <c r="O384" s="160"/>
      <c r="P384" s="160"/>
      <c r="Q384" s="160"/>
      <c r="R384" s="160"/>
      <c r="T384" s="160"/>
      <c r="U384" s="160"/>
      <c r="V384" s="160"/>
      <c r="X384" s="160"/>
      <c r="Z384" s="160"/>
      <c r="AA384" s="160"/>
      <c r="AB384" s="160"/>
    </row>
    <row r="385" spans="2:28" ht="27.75" hidden="1" customHeight="1" x14ac:dyDescent="0.2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0"/>
      <c r="O385" s="160"/>
      <c r="P385" s="160"/>
      <c r="Q385" s="160"/>
      <c r="R385" s="160"/>
      <c r="T385" s="160"/>
      <c r="U385" s="160"/>
      <c r="V385" s="160"/>
      <c r="X385" s="160"/>
      <c r="Z385" s="160"/>
      <c r="AA385" s="160"/>
      <c r="AB385" s="160"/>
    </row>
    <row r="386" spans="2:28" ht="27.75" hidden="1" customHeight="1" x14ac:dyDescent="0.2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0"/>
      <c r="O386" s="160"/>
      <c r="P386" s="160"/>
      <c r="Q386" s="160"/>
      <c r="R386" s="160"/>
      <c r="T386" s="160"/>
      <c r="U386" s="160"/>
      <c r="V386" s="160"/>
      <c r="X386" s="160"/>
      <c r="Z386" s="160"/>
      <c r="AA386" s="160"/>
      <c r="AB386" s="160"/>
    </row>
    <row r="387" spans="2:28" ht="27.75" hidden="1" customHeight="1" x14ac:dyDescent="0.2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0"/>
      <c r="O387" s="160"/>
      <c r="P387" s="160"/>
      <c r="Q387" s="160"/>
      <c r="R387" s="160"/>
      <c r="T387" s="160"/>
      <c r="U387" s="160"/>
      <c r="V387" s="160"/>
      <c r="X387" s="160"/>
      <c r="Z387" s="160"/>
      <c r="AA387" s="160"/>
      <c r="AB387" s="160"/>
    </row>
    <row r="388" spans="2:28" ht="27.75" hidden="1" customHeight="1" x14ac:dyDescent="0.2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0"/>
      <c r="O388" s="160"/>
      <c r="P388" s="160"/>
      <c r="Q388" s="160"/>
      <c r="R388" s="160"/>
      <c r="T388" s="160"/>
      <c r="U388" s="160"/>
      <c r="V388" s="160"/>
      <c r="X388" s="160"/>
      <c r="Z388" s="160"/>
      <c r="AA388" s="160"/>
      <c r="AB388" s="160"/>
    </row>
    <row r="389" spans="2:28" ht="27.75" hidden="1" customHeight="1" x14ac:dyDescent="0.2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0"/>
      <c r="O389" s="160"/>
      <c r="P389" s="160"/>
      <c r="Q389" s="160"/>
      <c r="R389" s="160"/>
      <c r="T389" s="160"/>
      <c r="U389" s="160"/>
      <c r="V389" s="160"/>
      <c r="X389" s="160"/>
      <c r="Z389" s="160"/>
      <c r="AA389" s="160"/>
      <c r="AB389" s="160"/>
    </row>
    <row r="390" spans="2:28" ht="27.75" hidden="1" customHeight="1" x14ac:dyDescent="0.2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0"/>
      <c r="O390" s="160"/>
      <c r="P390" s="160"/>
      <c r="Q390" s="160"/>
      <c r="R390" s="160"/>
      <c r="T390" s="160"/>
      <c r="U390" s="160"/>
      <c r="V390" s="160"/>
      <c r="X390" s="160"/>
      <c r="Z390" s="160"/>
      <c r="AA390" s="160"/>
      <c r="AB390" s="160"/>
    </row>
    <row r="391" spans="2:28" ht="27.75" hidden="1" customHeight="1" x14ac:dyDescent="0.2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0"/>
      <c r="O391" s="160"/>
      <c r="P391" s="160"/>
      <c r="Q391" s="160"/>
      <c r="R391" s="160"/>
      <c r="T391" s="160"/>
      <c r="U391" s="160"/>
      <c r="V391" s="160"/>
      <c r="X391" s="160"/>
      <c r="Z391" s="160"/>
      <c r="AA391" s="160"/>
      <c r="AB391" s="160"/>
    </row>
    <row r="392" spans="2:28" ht="27.75" hidden="1" customHeight="1" x14ac:dyDescent="0.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0"/>
      <c r="O392" s="160"/>
      <c r="P392" s="160"/>
      <c r="Q392" s="160"/>
      <c r="R392" s="160"/>
      <c r="T392" s="160"/>
      <c r="U392" s="160"/>
      <c r="V392" s="160"/>
      <c r="X392" s="160"/>
      <c r="Z392" s="160"/>
      <c r="AA392" s="160"/>
      <c r="AB392" s="160"/>
    </row>
    <row r="393" spans="2:28" ht="27.75" hidden="1" customHeight="1" x14ac:dyDescent="0.2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0"/>
      <c r="O393" s="160"/>
      <c r="P393" s="160"/>
      <c r="Q393" s="160"/>
      <c r="R393" s="160"/>
      <c r="T393" s="160"/>
      <c r="U393" s="160"/>
      <c r="V393" s="160"/>
      <c r="X393" s="160"/>
      <c r="Z393" s="160"/>
      <c r="AA393" s="160"/>
      <c r="AB393" s="160"/>
    </row>
    <row r="394" spans="2:28" ht="27.75" hidden="1" customHeight="1" x14ac:dyDescent="0.2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0"/>
      <c r="O394" s="160"/>
      <c r="P394" s="160"/>
      <c r="Q394" s="160"/>
      <c r="R394" s="160"/>
      <c r="T394" s="160"/>
      <c r="U394" s="160"/>
      <c r="V394" s="160"/>
      <c r="X394" s="160"/>
      <c r="Z394" s="160"/>
      <c r="AA394" s="160"/>
      <c r="AB394" s="160"/>
    </row>
    <row r="395" spans="2:28" ht="27.75" hidden="1" customHeight="1" x14ac:dyDescent="0.2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0"/>
      <c r="O395" s="160"/>
      <c r="P395" s="160"/>
      <c r="Q395" s="160"/>
      <c r="R395" s="160"/>
      <c r="T395" s="160"/>
      <c r="U395" s="160"/>
      <c r="V395" s="160"/>
      <c r="X395" s="160"/>
      <c r="Z395" s="160"/>
      <c r="AA395" s="160"/>
      <c r="AB395" s="160"/>
    </row>
    <row r="396" spans="2:28" ht="27.75" hidden="1" customHeight="1" x14ac:dyDescent="0.2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0"/>
      <c r="O396" s="160"/>
      <c r="P396" s="160"/>
      <c r="Q396" s="160"/>
      <c r="R396" s="160"/>
      <c r="T396" s="160"/>
      <c r="U396" s="160"/>
      <c r="V396" s="160"/>
      <c r="X396" s="160"/>
      <c r="Z396" s="160"/>
      <c r="AA396" s="160"/>
      <c r="AB396" s="160"/>
    </row>
    <row r="397" spans="2:28" ht="27.75" hidden="1" customHeight="1" x14ac:dyDescent="0.2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0"/>
      <c r="O397" s="160"/>
      <c r="P397" s="160"/>
      <c r="Q397" s="160"/>
      <c r="R397" s="160"/>
      <c r="T397" s="160"/>
      <c r="U397" s="160"/>
      <c r="V397" s="160"/>
      <c r="X397" s="160"/>
      <c r="Z397" s="160"/>
      <c r="AA397" s="160"/>
      <c r="AB397" s="160"/>
    </row>
    <row r="398" spans="2:28" ht="27.75" hidden="1" customHeight="1" x14ac:dyDescent="0.2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0"/>
      <c r="O398" s="160"/>
      <c r="P398" s="160"/>
      <c r="Q398" s="160"/>
      <c r="R398" s="160"/>
      <c r="T398" s="160"/>
      <c r="U398" s="160"/>
      <c r="V398" s="160"/>
      <c r="X398" s="160"/>
      <c r="Z398" s="160"/>
      <c r="AA398" s="160"/>
      <c r="AB398" s="160"/>
    </row>
    <row r="399" spans="2:28" ht="27.75" hidden="1" customHeight="1" x14ac:dyDescent="0.2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0"/>
      <c r="O399" s="160"/>
      <c r="P399" s="160"/>
      <c r="Q399" s="160"/>
      <c r="R399" s="160"/>
      <c r="T399" s="160"/>
      <c r="U399" s="160"/>
      <c r="V399" s="160"/>
      <c r="X399" s="160"/>
      <c r="Z399" s="160"/>
      <c r="AA399" s="160"/>
      <c r="AB399" s="160"/>
    </row>
    <row r="400" spans="2:28" ht="27.75" hidden="1" customHeight="1" x14ac:dyDescent="0.2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0"/>
      <c r="O400" s="160"/>
      <c r="P400" s="160"/>
      <c r="Q400" s="160"/>
      <c r="R400" s="160"/>
      <c r="T400" s="160"/>
      <c r="U400" s="160"/>
      <c r="V400" s="160"/>
      <c r="X400" s="160"/>
      <c r="Z400" s="160"/>
      <c r="AA400" s="160"/>
      <c r="AB400" s="160"/>
    </row>
    <row r="401" spans="2:28" ht="27.75" hidden="1" customHeight="1" x14ac:dyDescent="0.2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0"/>
      <c r="O401" s="160"/>
      <c r="P401" s="160"/>
      <c r="Q401" s="160"/>
      <c r="R401" s="160"/>
      <c r="T401" s="160"/>
      <c r="U401" s="160"/>
      <c r="V401" s="160"/>
      <c r="X401" s="160"/>
      <c r="Z401" s="160"/>
      <c r="AA401" s="160"/>
      <c r="AB401" s="160"/>
    </row>
    <row r="402" spans="2:28" ht="27.75" hidden="1" customHeight="1" x14ac:dyDescent="0.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0"/>
      <c r="O402" s="160"/>
      <c r="P402" s="160"/>
      <c r="Q402" s="160"/>
      <c r="R402" s="160"/>
      <c r="T402" s="160"/>
      <c r="U402" s="160"/>
      <c r="V402" s="160"/>
      <c r="X402" s="160"/>
      <c r="Z402" s="160"/>
      <c r="AA402" s="160"/>
      <c r="AB402" s="160"/>
    </row>
    <row r="403" spans="2:28" ht="27.75" hidden="1" customHeight="1" x14ac:dyDescent="0.2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0"/>
      <c r="O403" s="160"/>
      <c r="P403" s="160"/>
      <c r="Q403" s="160"/>
      <c r="R403" s="160"/>
      <c r="T403" s="160"/>
      <c r="U403" s="160"/>
      <c r="V403" s="160"/>
      <c r="X403" s="160"/>
      <c r="Z403" s="160"/>
      <c r="AA403" s="160"/>
      <c r="AB403" s="160"/>
    </row>
    <row r="404" spans="2:28" ht="27.75" hidden="1" customHeight="1" x14ac:dyDescent="0.2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0"/>
      <c r="O404" s="160"/>
      <c r="P404" s="160"/>
      <c r="Q404" s="160"/>
      <c r="R404" s="160"/>
      <c r="T404" s="160"/>
      <c r="U404" s="160"/>
      <c r="V404" s="160"/>
      <c r="X404" s="160"/>
      <c r="Z404" s="160"/>
      <c r="AA404" s="160"/>
      <c r="AB404" s="160"/>
    </row>
    <row r="405" spans="2:28" ht="27.75" hidden="1" customHeight="1" x14ac:dyDescent="0.2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0"/>
      <c r="O405" s="160"/>
      <c r="P405" s="160"/>
      <c r="Q405" s="160"/>
      <c r="R405" s="160"/>
      <c r="T405" s="160"/>
      <c r="U405" s="160"/>
      <c r="V405" s="160"/>
      <c r="X405" s="160"/>
      <c r="Z405" s="160"/>
      <c r="AA405" s="160"/>
      <c r="AB405" s="160"/>
    </row>
    <row r="406" spans="2:28" ht="27.75" hidden="1" customHeight="1" x14ac:dyDescent="0.2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0"/>
      <c r="O406" s="160"/>
      <c r="P406" s="160"/>
      <c r="Q406" s="160"/>
      <c r="R406" s="160"/>
      <c r="T406" s="160"/>
      <c r="U406" s="160"/>
      <c r="V406" s="160"/>
      <c r="X406" s="160"/>
      <c r="Z406" s="160"/>
      <c r="AA406" s="160"/>
      <c r="AB406" s="160"/>
    </row>
    <row r="407" spans="2:28" ht="27.75" hidden="1" customHeight="1" x14ac:dyDescent="0.2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0"/>
      <c r="O407" s="160"/>
      <c r="P407" s="160"/>
      <c r="Q407" s="160"/>
      <c r="R407" s="160"/>
      <c r="T407" s="160"/>
      <c r="U407" s="160"/>
      <c r="V407" s="160"/>
      <c r="X407" s="160"/>
      <c r="Z407" s="160"/>
      <c r="AA407" s="160"/>
      <c r="AB407" s="160"/>
    </row>
    <row r="408" spans="2:28" ht="27.75" hidden="1" customHeight="1" x14ac:dyDescent="0.2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0"/>
      <c r="O408" s="160"/>
      <c r="P408" s="160"/>
      <c r="Q408" s="160"/>
      <c r="R408" s="160"/>
      <c r="T408" s="160"/>
      <c r="U408" s="160"/>
      <c r="V408" s="160"/>
      <c r="X408" s="160"/>
      <c r="Z408" s="160"/>
      <c r="AA408" s="160"/>
      <c r="AB408" s="160"/>
    </row>
    <row r="409" spans="2:28" ht="27.75" hidden="1" customHeight="1" x14ac:dyDescent="0.2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0"/>
      <c r="O409" s="160"/>
      <c r="P409" s="160"/>
      <c r="Q409" s="160"/>
      <c r="R409" s="160"/>
      <c r="T409" s="160"/>
      <c r="U409" s="160"/>
      <c r="V409" s="160"/>
      <c r="X409" s="160"/>
      <c r="Z409" s="160"/>
      <c r="AA409" s="160"/>
      <c r="AB409" s="160"/>
    </row>
    <row r="410" spans="2:28" ht="27.75" hidden="1" customHeight="1" x14ac:dyDescent="0.2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0"/>
      <c r="O410" s="160"/>
      <c r="P410" s="160"/>
      <c r="Q410" s="160"/>
      <c r="R410" s="160"/>
      <c r="T410" s="160"/>
      <c r="U410" s="160"/>
      <c r="V410" s="160"/>
      <c r="X410" s="160"/>
      <c r="Z410" s="160"/>
      <c r="AA410" s="160"/>
      <c r="AB410" s="160"/>
    </row>
    <row r="411" spans="2:28" ht="27.75" hidden="1" customHeight="1" x14ac:dyDescent="0.2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0"/>
      <c r="O411" s="160"/>
      <c r="P411" s="160"/>
      <c r="Q411" s="160"/>
      <c r="R411" s="160"/>
      <c r="T411" s="160"/>
      <c r="U411" s="160"/>
      <c r="V411" s="160"/>
      <c r="X411" s="160"/>
      <c r="Z411" s="160"/>
      <c r="AA411" s="160"/>
      <c r="AB411" s="160"/>
    </row>
    <row r="412" spans="2:28" ht="27.75" hidden="1" customHeight="1" x14ac:dyDescent="0.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0"/>
      <c r="O412" s="160"/>
      <c r="P412" s="160"/>
      <c r="Q412" s="160"/>
      <c r="R412" s="160"/>
      <c r="T412" s="160"/>
      <c r="U412" s="160"/>
      <c r="V412" s="160"/>
      <c r="X412" s="160"/>
      <c r="Z412" s="160"/>
      <c r="AA412" s="160"/>
      <c r="AB412" s="160"/>
    </row>
    <row r="413" spans="2:28" ht="27.75" hidden="1" customHeight="1" x14ac:dyDescent="0.2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0"/>
      <c r="O413" s="160"/>
      <c r="P413" s="160"/>
      <c r="Q413" s="160"/>
      <c r="R413" s="160"/>
      <c r="T413" s="160"/>
      <c r="U413" s="160"/>
      <c r="V413" s="160"/>
      <c r="X413" s="160"/>
      <c r="Z413" s="160"/>
      <c r="AA413" s="160"/>
      <c r="AB413" s="160"/>
    </row>
    <row r="414" spans="2:28" ht="27.75" hidden="1" customHeight="1" x14ac:dyDescent="0.2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0"/>
      <c r="O414" s="160"/>
      <c r="P414" s="160"/>
      <c r="Q414" s="160"/>
      <c r="R414" s="160"/>
      <c r="T414" s="160"/>
      <c r="U414" s="160"/>
      <c r="V414" s="160"/>
      <c r="X414" s="160"/>
      <c r="Z414" s="160"/>
      <c r="AA414" s="160"/>
      <c r="AB414" s="160"/>
    </row>
    <row r="415" spans="2:28" ht="27.75" hidden="1" customHeight="1" x14ac:dyDescent="0.2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0"/>
      <c r="O415" s="160"/>
      <c r="P415" s="160"/>
      <c r="Q415" s="160"/>
      <c r="R415" s="160"/>
      <c r="T415" s="160"/>
      <c r="U415" s="160"/>
      <c r="V415" s="160"/>
      <c r="X415" s="160"/>
      <c r="Z415" s="160"/>
      <c r="AA415" s="160"/>
      <c r="AB415" s="160"/>
    </row>
    <row r="416" spans="2:28" ht="27.75" hidden="1" customHeight="1" x14ac:dyDescent="0.2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0"/>
      <c r="O416" s="160"/>
      <c r="P416" s="160"/>
      <c r="Q416" s="160"/>
      <c r="R416" s="160"/>
      <c r="T416" s="160"/>
      <c r="U416" s="160"/>
      <c r="V416" s="160"/>
      <c r="X416" s="160"/>
      <c r="Z416" s="160"/>
      <c r="AA416" s="160"/>
      <c r="AB416" s="160"/>
    </row>
    <row r="417" spans="2:28" ht="27.75" hidden="1" customHeight="1" x14ac:dyDescent="0.2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0"/>
      <c r="O417" s="160"/>
      <c r="P417" s="160"/>
      <c r="Q417" s="160"/>
      <c r="R417" s="160"/>
      <c r="T417" s="160"/>
      <c r="U417" s="160"/>
      <c r="V417" s="160"/>
      <c r="X417" s="160"/>
      <c r="Z417" s="160"/>
      <c r="AA417" s="160"/>
      <c r="AB417" s="160"/>
    </row>
    <row r="418" spans="2:28" ht="27.75" hidden="1" customHeight="1" x14ac:dyDescent="0.2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0"/>
      <c r="O418" s="160"/>
      <c r="P418" s="160"/>
      <c r="Q418" s="160"/>
      <c r="R418" s="160"/>
      <c r="T418" s="160"/>
      <c r="U418" s="160"/>
      <c r="V418" s="160"/>
      <c r="X418" s="160"/>
      <c r="Z418" s="160"/>
      <c r="AA418" s="160"/>
      <c r="AB418" s="160"/>
    </row>
    <row r="419" spans="2:28" ht="27.75" hidden="1" customHeight="1" x14ac:dyDescent="0.2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0"/>
      <c r="O419" s="160"/>
      <c r="P419" s="160"/>
      <c r="Q419" s="160"/>
      <c r="R419" s="160"/>
      <c r="T419" s="160"/>
      <c r="U419" s="160"/>
      <c r="V419" s="160"/>
      <c r="X419" s="160"/>
      <c r="Z419" s="160"/>
      <c r="AA419" s="160"/>
      <c r="AB419" s="160"/>
    </row>
    <row r="420" spans="2:28" ht="27.75" hidden="1" customHeight="1" x14ac:dyDescent="0.2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0"/>
      <c r="O420" s="160"/>
      <c r="P420" s="160"/>
      <c r="Q420" s="160"/>
      <c r="R420" s="160"/>
      <c r="T420" s="160"/>
      <c r="U420" s="160"/>
      <c r="V420" s="160"/>
      <c r="X420" s="160"/>
      <c r="Z420" s="160"/>
      <c r="AA420" s="160"/>
      <c r="AB420" s="160"/>
    </row>
    <row r="421" spans="2:28" ht="27.75" hidden="1" customHeight="1" x14ac:dyDescent="0.2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0"/>
      <c r="O421" s="160"/>
      <c r="P421" s="160"/>
      <c r="Q421" s="160"/>
      <c r="R421" s="160"/>
      <c r="T421" s="160"/>
      <c r="U421" s="160"/>
      <c r="V421" s="160"/>
      <c r="X421" s="160"/>
      <c r="Z421" s="160"/>
      <c r="AA421" s="160"/>
      <c r="AB421" s="160"/>
    </row>
    <row r="422" spans="2:28" ht="27.75" hidden="1" customHeight="1" x14ac:dyDescent="0.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0"/>
      <c r="O422" s="160"/>
      <c r="P422" s="160"/>
      <c r="Q422" s="160"/>
      <c r="R422" s="160"/>
      <c r="T422" s="160"/>
      <c r="U422" s="160"/>
      <c r="V422" s="160"/>
      <c r="X422" s="160"/>
      <c r="Z422" s="160"/>
      <c r="AA422" s="160"/>
      <c r="AB422" s="160"/>
    </row>
    <row r="423" spans="2:28" ht="27.75" hidden="1" customHeight="1" x14ac:dyDescent="0.2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0"/>
      <c r="O423" s="160"/>
      <c r="P423" s="160"/>
      <c r="Q423" s="160"/>
      <c r="R423" s="160"/>
      <c r="T423" s="160"/>
      <c r="U423" s="160"/>
      <c r="V423" s="160"/>
      <c r="X423" s="160"/>
      <c r="Z423" s="160"/>
      <c r="AA423" s="160"/>
      <c r="AB423" s="160"/>
    </row>
    <row r="424" spans="2:28" ht="27.75" hidden="1" customHeight="1" x14ac:dyDescent="0.2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0"/>
      <c r="O424" s="160"/>
      <c r="P424" s="160"/>
      <c r="Q424" s="160"/>
      <c r="R424" s="160"/>
      <c r="T424" s="160"/>
      <c r="U424" s="160"/>
      <c r="V424" s="160"/>
      <c r="X424" s="160"/>
      <c r="Z424" s="160"/>
      <c r="AA424" s="160"/>
      <c r="AB424" s="160"/>
    </row>
    <row r="425" spans="2:28" ht="27.75" hidden="1" customHeight="1" x14ac:dyDescent="0.2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0"/>
      <c r="O425" s="160"/>
      <c r="P425" s="160"/>
      <c r="Q425" s="160"/>
      <c r="R425" s="160"/>
      <c r="T425" s="160"/>
      <c r="U425" s="160"/>
      <c r="V425" s="160"/>
      <c r="X425" s="160"/>
      <c r="Z425" s="160"/>
      <c r="AA425" s="160"/>
      <c r="AB425" s="160"/>
    </row>
    <row r="426" spans="2:28" ht="27.75" hidden="1" customHeight="1" x14ac:dyDescent="0.2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0"/>
      <c r="O426" s="160"/>
      <c r="P426" s="160"/>
      <c r="Q426" s="160"/>
      <c r="R426" s="160"/>
      <c r="T426" s="160"/>
      <c r="U426" s="160"/>
      <c r="V426" s="160"/>
      <c r="X426" s="160"/>
      <c r="Z426" s="160"/>
      <c r="AA426" s="160"/>
      <c r="AB426" s="160"/>
    </row>
    <row r="427" spans="2:28" ht="27.75" hidden="1" customHeight="1" x14ac:dyDescent="0.2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0"/>
      <c r="O427" s="160"/>
      <c r="P427" s="160"/>
      <c r="Q427" s="160"/>
      <c r="R427" s="160"/>
      <c r="T427" s="160"/>
      <c r="U427" s="160"/>
      <c r="V427" s="160"/>
      <c r="X427" s="160"/>
      <c r="Z427" s="160"/>
      <c r="AA427" s="160"/>
      <c r="AB427" s="160"/>
    </row>
    <row r="428" spans="2:28" ht="27.75" hidden="1" customHeight="1" x14ac:dyDescent="0.2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0"/>
      <c r="O428" s="160"/>
      <c r="P428" s="160"/>
      <c r="Q428" s="160"/>
      <c r="R428" s="160"/>
      <c r="T428" s="160"/>
      <c r="U428" s="160"/>
      <c r="V428" s="160"/>
      <c r="X428" s="160"/>
      <c r="Z428" s="160"/>
      <c r="AA428" s="160"/>
      <c r="AB428" s="160"/>
    </row>
    <row r="429" spans="2:28" ht="27.75" hidden="1" customHeight="1" x14ac:dyDescent="0.2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0"/>
      <c r="O429" s="160"/>
      <c r="P429" s="160"/>
      <c r="Q429" s="160"/>
      <c r="R429" s="160"/>
      <c r="T429" s="160"/>
      <c r="U429" s="160"/>
      <c r="V429" s="160"/>
      <c r="X429" s="160"/>
      <c r="Z429" s="160"/>
      <c r="AA429" s="160"/>
      <c r="AB429" s="160"/>
    </row>
    <row r="430" spans="2:28" ht="27.75" hidden="1" customHeight="1" x14ac:dyDescent="0.2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0"/>
      <c r="O430" s="160"/>
      <c r="P430" s="160"/>
      <c r="Q430" s="160"/>
      <c r="R430" s="160"/>
      <c r="T430" s="160"/>
      <c r="U430" s="160"/>
      <c r="V430" s="160"/>
      <c r="X430" s="160"/>
      <c r="Z430" s="160"/>
      <c r="AA430" s="160"/>
      <c r="AB430" s="160"/>
    </row>
    <row r="431" spans="2:28" ht="27.75" hidden="1" customHeight="1" x14ac:dyDescent="0.2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0"/>
      <c r="O431" s="160"/>
      <c r="P431" s="160"/>
      <c r="Q431" s="160"/>
      <c r="R431" s="160"/>
      <c r="T431" s="160"/>
      <c r="U431" s="160"/>
      <c r="V431" s="160"/>
      <c r="X431" s="160"/>
      <c r="Z431" s="160"/>
      <c r="AA431" s="160"/>
      <c r="AB431" s="160"/>
    </row>
    <row r="432" spans="2:28" ht="27.75" hidden="1" customHeight="1" x14ac:dyDescent="0.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0"/>
      <c r="O432" s="160"/>
      <c r="P432" s="160"/>
      <c r="Q432" s="160"/>
      <c r="R432" s="160"/>
      <c r="T432" s="160"/>
      <c r="U432" s="160"/>
      <c r="V432" s="160"/>
      <c r="X432" s="160"/>
      <c r="Z432" s="160"/>
      <c r="AA432" s="160"/>
      <c r="AB432" s="160"/>
    </row>
    <row r="433" spans="2:28" ht="27.75" hidden="1" customHeight="1" x14ac:dyDescent="0.2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0"/>
      <c r="O433" s="160"/>
      <c r="P433" s="160"/>
      <c r="Q433" s="160"/>
      <c r="R433" s="160"/>
      <c r="T433" s="160"/>
      <c r="U433" s="160"/>
      <c r="V433" s="160"/>
      <c r="X433" s="160"/>
      <c r="Z433" s="160"/>
      <c r="AA433" s="160"/>
      <c r="AB433" s="160"/>
    </row>
    <row r="434" spans="2:28" ht="27.75" hidden="1" customHeight="1" x14ac:dyDescent="0.2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0"/>
      <c r="O434" s="160"/>
      <c r="P434" s="160"/>
      <c r="Q434" s="160"/>
      <c r="R434" s="160"/>
      <c r="T434" s="160"/>
      <c r="U434" s="160"/>
      <c r="V434" s="160"/>
      <c r="X434" s="160"/>
      <c r="Z434" s="160"/>
      <c r="AA434" s="160"/>
      <c r="AB434" s="160"/>
    </row>
    <row r="435" spans="2:28" ht="27.75" hidden="1" customHeight="1" x14ac:dyDescent="0.2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0"/>
      <c r="O435" s="160"/>
      <c r="P435" s="160"/>
      <c r="Q435" s="160"/>
      <c r="R435" s="160"/>
      <c r="T435" s="160"/>
      <c r="U435" s="160"/>
      <c r="V435" s="160"/>
      <c r="X435" s="160"/>
      <c r="Z435" s="160"/>
      <c r="AA435" s="160"/>
      <c r="AB435" s="160"/>
    </row>
    <row r="436" spans="2:28" ht="27.75" hidden="1" customHeight="1" x14ac:dyDescent="0.2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0"/>
      <c r="O436" s="160"/>
      <c r="P436" s="160"/>
      <c r="Q436" s="160"/>
      <c r="R436" s="160"/>
      <c r="T436" s="160"/>
      <c r="U436" s="160"/>
      <c r="V436" s="160"/>
      <c r="X436" s="160"/>
      <c r="Z436" s="160"/>
      <c r="AA436" s="160"/>
      <c r="AB436" s="160"/>
    </row>
    <row r="437" spans="2:28" ht="27.75" hidden="1" customHeight="1" x14ac:dyDescent="0.2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0"/>
      <c r="O437" s="160"/>
      <c r="P437" s="160"/>
      <c r="Q437" s="160"/>
      <c r="R437" s="160"/>
      <c r="T437" s="160"/>
      <c r="U437" s="160"/>
      <c r="V437" s="160"/>
      <c r="X437" s="160"/>
      <c r="Z437" s="160"/>
      <c r="AA437" s="160"/>
      <c r="AB437" s="160"/>
    </row>
    <row r="438" spans="2:28" ht="27.75" hidden="1" customHeight="1" x14ac:dyDescent="0.2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0"/>
      <c r="O438" s="160"/>
      <c r="P438" s="160"/>
      <c r="Q438" s="160"/>
      <c r="R438" s="160"/>
      <c r="T438" s="160"/>
      <c r="U438" s="160"/>
      <c r="V438" s="160"/>
      <c r="X438" s="160"/>
      <c r="Z438" s="160"/>
      <c r="AA438" s="160"/>
      <c r="AB438" s="160"/>
    </row>
    <row r="439" spans="2:28" ht="27.75" hidden="1" customHeight="1" x14ac:dyDescent="0.2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0"/>
      <c r="O439" s="160"/>
      <c r="P439" s="160"/>
      <c r="Q439" s="160"/>
      <c r="R439" s="160"/>
      <c r="T439" s="160"/>
      <c r="U439" s="160"/>
      <c r="V439" s="160"/>
      <c r="X439" s="160"/>
      <c r="Z439" s="160"/>
      <c r="AA439" s="160"/>
      <c r="AB439" s="160"/>
    </row>
    <row r="440" spans="2:28" ht="27.75" hidden="1" customHeight="1" x14ac:dyDescent="0.2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0"/>
      <c r="O440" s="160"/>
      <c r="P440" s="160"/>
      <c r="Q440" s="160"/>
      <c r="R440" s="160"/>
      <c r="T440" s="160"/>
      <c r="U440" s="160"/>
      <c r="V440" s="160"/>
      <c r="X440" s="160"/>
      <c r="Z440" s="160"/>
      <c r="AA440" s="160"/>
      <c r="AB440" s="160"/>
    </row>
    <row r="441" spans="2:28" ht="27.75" hidden="1" customHeight="1" x14ac:dyDescent="0.2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0"/>
      <c r="O441" s="160"/>
      <c r="P441" s="160"/>
      <c r="Q441" s="160"/>
      <c r="R441" s="160"/>
      <c r="T441" s="160"/>
      <c r="U441" s="160"/>
      <c r="V441" s="160"/>
      <c r="X441" s="160"/>
      <c r="Z441" s="160"/>
      <c r="AA441" s="160"/>
      <c r="AB441" s="160"/>
    </row>
    <row r="442" spans="2:28" ht="27.75" hidden="1" customHeight="1" x14ac:dyDescent="0.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0"/>
      <c r="O442" s="160"/>
      <c r="P442" s="160"/>
      <c r="Q442" s="160"/>
      <c r="R442" s="160"/>
      <c r="T442" s="160"/>
      <c r="U442" s="160"/>
      <c r="V442" s="160"/>
      <c r="X442" s="160"/>
      <c r="Z442" s="160"/>
      <c r="AA442" s="160"/>
      <c r="AB442" s="160"/>
    </row>
    <row r="443" spans="2:28" ht="27.75" hidden="1" customHeight="1" x14ac:dyDescent="0.2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0"/>
      <c r="O443" s="160"/>
      <c r="P443" s="160"/>
      <c r="Q443" s="160"/>
      <c r="R443" s="160"/>
      <c r="T443" s="160"/>
      <c r="U443" s="160"/>
      <c r="V443" s="160"/>
      <c r="X443" s="160"/>
      <c r="Z443" s="160"/>
      <c r="AA443" s="160"/>
      <c r="AB443" s="160"/>
    </row>
    <row r="444" spans="2:28" ht="27.75" hidden="1" customHeight="1" x14ac:dyDescent="0.2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0"/>
      <c r="O444" s="160"/>
      <c r="P444" s="160"/>
      <c r="Q444" s="160"/>
      <c r="R444" s="160"/>
      <c r="T444" s="160"/>
      <c r="U444" s="160"/>
      <c r="V444" s="160"/>
      <c r="X444" s="160"/>
      <c r="Z444" s="160"/>
      <c r="AA444" s="160"/>
      <c r="AB444" s="160"/>
    </row>
    <row r="445" spans="2:28" ht="27.75" hidden="1" customHeight="1" x14ac:dyDescent="0.2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0"/>
      <c r="O445" s="160"/>
      <c r="P445" s="160"/>
      <c r="Q445" s="160"/>
      <c r="R445" s="160"/>
      <c r="T445" s="160"/>
      <c r="U445" s="160"/>
      <c r="V445" s="160"/>
      <c r="X445" s="160"/>
      <c r="Z445" s="160"/>
      <c r="AA445" s="160"/>
      <c r="AB445" s="160"/>
    </row>
    <row r="446" spans="2:28" ht="27.75" hidden="1" customHeight="1" x14ac:dyDescent="0.2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0"/>
      <c r="O446" s="160"/>
      <c r="P446" s="160"/>
      <c r="Q446" s="160"/>
      <c r="R446" s="160"/>
      <c r="T446" s="160"/>
      <c r="U446" s="160"/>
      <c r="V446" s="160"/>
      <c r="X446" s="160"/>
      <c r="Z446" s="160"/>
      <c r="AA446" s="160"/>
      <c r="AB446" s="160"/>
    </row>
    <row r="447" spans="2:28" ht="27.75" hidden="1" customHeight="1" x14ac:dyDescent="0.2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0"/>
      <c r="O447" s="160"/>
      <c r="P447" s="160"/>
      <c r="Q447" s="160"/>
      <c r="R447" s="160"/>
      <c r="T447" s="160"/>
      <c r="U447" s="160"/>
      <c r="V447" s="160"/>
      <c r="X447" s="160"/>
      <c r="Z447" s="160"/>
      <c r="AA447" s="160"/>
      <c r="AB447" s="160"/>
    </row>
    <row r="448" spans="2:28" ht="27.75" hidden="1" customHeight="1" x14ac:dyDescent="0.2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0"/>
      <c r="O448" s="160"/>
      <c r="P448" s="160"/>
      <c r="Q448" s="160"/>
      <c r="R448" s="160"/>
      <c r="T448" s="160"/>
      <c r="U448" s="160"/>
      <c r="V448" s="160"/>
      <c r="X448" s="160"/>
      <c r="Z448" s="160"/>
      <c r="AA448" s="160"/>
      <c r="AB448" s="160"/>
    </row>
    <row r="449" spans="2:28" ht="27.75" hidden="1" customHeight="1" x14ac:dyDescent="0.2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0"/>
      <c r="O449" s="160"/>
      <c r="P449" s="160"/>
      <c r="Q449" s="160"/>
      <c r="R449" s="160"/>
      <c r="T449" s="160"/>
      <c r="U449" s="160"/>
      <c r="V449" s="160"/>
      <c r="X449" s="160"/>
      <c r="Z449" s="160"/>
      <c r="AA449" s="160"/>
      <c r="AB449" s="160"/>
    </row>
    <row r="450" spans="2:28" ht="27.75" hidden="1" customHeight="1" x14ac:dyDescent="0.2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0"/>
      <c r="O450" s="160"/>
      <c r="P450" s="160"/>
      <c r="Q450" s="160"/>
      <c r="R450" s="160"/>
      <c r="T450" s="160"/>
      <c r="U450" s="160"/>
      <c r="V450" s="160"/>
      <c r="X450" s="160"/>
      <c r="Z450" s="160"/>
      <c r="AA450" s="160"/>
      <c r="AB450" s="160"/>
    </row>
    <row r="451" spans="2:28" ht="27.75" hidden="1" customHeight="1" x14ac:dyDescent="0.2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0"/>
      <c r="O451" s="160"/>
      <c r="P451" s="160"/>
      <c r="Q451" s="160"/>
      <c r="R451" s="160"/>
      <c r="T451" s="160"/>
      <c r="U451" s="160"/>
      <c r="V451" s="160"/>
      <c r="X451" s="160"/>
      <c r="Z451" s="160"/>
      <c r="AA451" s="160"/>
      <c r="AB451" s="160"/>
    </row>
    <row r="452" spans="2:28" ht="27.75" hidden="1" customHeight="1" x14ac:dyDescent="0.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0"/>
      <c r="O452" s="160"/>
      <c r="P452" s="160"/>
      <c r="Q452" s="160"/>
      <c r="R452" s="160"/>
      <c r="T452" s="160"/>
      <c r="U452" s="160"/>
      <c r="V452" s="160"/>
      <c r="X452" s="160"/>
      <c r="Z452" s="160"/>
      <c r="AA452" s="160"/>
      <c r="AB452" s="160"/>
    </row>
    <row r="453" spans="2:28" ht="27.75" hidden="1" customHeight="1" x14ac:dyDescent="0.2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0"/>
      <c r="O453" s="160"/>
      <c r="P453" s="160"/>
      <c r="Q453" s="160"/>
      <c r="R453" s="160"/>
      <c r="T453" s="160"/>
      <c r="U453" s="160"/>
      <c r="V453" s="160"/>
      <c r="X453" s="160"/>
      <c r="Z453" s="160"/>
      <c r="AA453" s="160"/>
      <c r="AB453" s="160"/>
    </row>
    <row r="454" spans="2:28" ht="27.75" hidden="1" customHeight="1" x14ac:dyDescent="0.2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0"/>
      <c r="O454" s="160"/>
      <c r="P454" s="160"/>
      <c r="Q454" s="160"/>
      <c r="R454" s="160"/>
      <c r="T454" s="160"/>
      <c r="U454" s="160"/>
      <c r="V454" s="160"/>
      <c r="X454" s="160"/>
      <c r="Z454" s="160"/>
      <c r="AA454" s="160"/>
      <c r="AB454" s="160"/>
    </row>
    <row r="455" spans="2:28" ht="27.75" hidden="1" customHeight="1" x14ac:dyDescent="0.2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0"/>
      <c r="O455" s="160"/>
      <c r="P455" s="160"/>
      <c r="Q455" s="160"/>
      <c r="R455" s="160"/>
      <c r="T455" s="160"/>
      <c r="U455" s="160"/>
      <c r="V455" s="160"/>
      <c r="X455" s="160"/>
      <c r="Z455" s="160"/>
      <c r="AA455" s="160"/>
      <c r="AB455" s="160"/>
    </row>
    <row r="456" spans="2:28" ht="27.75" hidden="1" customHeight="1" x14ac:dyDescent="0.2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0"/>
      <c r="O456" s="160"/>
      <c r="P456" s="160"/>
      <c r="Q456" s="160"/>
      <c r="R456" s="160"/>
      <c r="T456" s="160"/>
      <c r="U456" s="160"/>
      <c r="V456" s="160"/>
      <c r="X456" s="160"/>
      <c r="Z456" s="160"/>
      <c r="AA456" s="160"/>
      <c r="AB456" s="160"/>
    </row>
    <row r="457" spans="2:28" ht="27.75" hidden="1" customHeight="1" x14ac:dyDescent="0.2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0"/>
      <c r="O457" s="160"/>
      <c r="P457" s="160"/>
      <c r="Q457" s="160"/>
      <c r="R457" s="160"/>
      <c r="T457" s="160"/>
      <c r="U457" s="160"/>
      <c r="V457" s="160"/>
      <c r="X457" s="160"/>
      <c r="Z457" s="160"/>
      <c r="AA457" s="160"/>
      <c r="AB457" s="160"/>
    </row>
    <row r="458" spans="2:28" ht="27.75" hidden="1" customHeight="1" x14ac:dyDescent="0.2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0"/>
      <c r="O458" s="160"/>
      <c r="P458" s="160"/>
      <c r="Q458" s="160"/>
      <c r="R458" s="160"/>
      <c r="T458" s="160"/>
      <c r="U458" s="160"/>
      <c r="V458" s="160"/>
      <c r="X458" s="160"/>
      <c r="Z458" s="160"/>
      <c r="AA458" s="160"/>
      <c r="AB458" s="160"/>
    </row>
    <row r="459" spans="2:28" ht="27.75" hidden="1" customHeight="1" x14ac:dyDescent="0.2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0"/>
      <c r="O459" s="160"/>
      <c r="P459" s="160"/>
      <c r="Q459" s="160"/>
      <c r="R459" s="160"/>
      <c r="T459" s="160"/>
      <c r="U459" s="160"/>
      <c r="V459" s="160"/>
      <c r="X459" s="160"/>
      <c r="Z459" s="160"/>
      <c r="AA459" s="160"/>
      <c r="AB459" s="160"/>
    </row>
    <row r="460" spans="2:28" ht="27.75" hidden="1" customHeight="1" x14ac:dyDescent="0.2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0"/>
      <c r="O460" s="160"/>
      <c r="P460" s="160"/>
      <c r="Q460" s="160"/>
      <c r="R460" s="160"/>
      <c r="T460" s="160"/>
      <c r="U460" s="160"/>
      <c r="V460" s="160"/>
      <c r="X460" s="160"/>
      <c r="Z460" s="160"/>
      <c r="AA460" s="160"/>
      <c r="AB460" s="160"/>
    </row>
    <row r="461" spans="2:28" ht="27.75" hidden="1" customHeight="1" x14ac:dyDescent="0.2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0"/>
      <c r="O461" s="160"/>
      <c r="P461" s="160"/>
      <c r="Q461" s="160"/>
      <c r="R461" s="160"/>
      <c r="T461" s="160"/>
      <c r="U461" s="160"/>
      <c r="V461" s="160"/>
      <c r="X461" s="160"/>
      <c r="Z461" s="160"/>
      <c r="AA461" s="160"/>
      <c r="AB461" s="160"/>
    </row>
    <row r="462" spans="2:28" ht="27.75" hidden="1" customHeight="1" x14ac:dyDescent="0.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0"/>
      <c r="O462" s="160"/>
      <c r="P462" s="160"/>
      <c r="Q462" s="160"/>
      <c r="R462" s="160"/>
      <c r="T462" s="160"/>
      <c r="U462" s="160"/>
      <c r="V462" s="160"/>
      <c r="X462" s="160"/>
      <c r="Z462" s="160"/>
      <c r="AA462" s="160"/>
      <c r="AB462" s="160"/>
    </row>
    <row r="463" spans="2:28" ht="27.75" hidden="1" customHeight="1" x14ac:dyDescent="0.2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0"/>
      <c r="O463" s="160"/>
      <c r="P463" s="160"/>
      <c r="Q463" s="160"/>
      <c r="R463" s="160"/>
      <c r="T463" s="160"/>
      <c r="U463" s="160"/>
      <c r="V463" s="160"/>
      <c r="X463" s="160"/>
      <c r="Z463" s="160"/>
      <c r="AA463" s="160"/>
      <c r="AB463" s="160"/>
    </row>
    <row r="464" spans="2:28" ht="27.75" hidden="1" customHeight="1" x14ac:dyDescent="0.2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0"/>
      <c r="O464" s="160"/>
      <c r="P464" s="160"/>
      <c r="Q464" s="160"/>
      <c r="R464" s="160"/>
      <c r="T464" s="160"/>
      <c r="U464" s="160"/>
      <c r="V464" s="160"/>
      <c r="X464" s="160"/>
      <c r="Z464" s="160"/>
      <c r="AA464" s="160"/>
      <c r="AB464" s="160"/>
    </row>
    <row r="465" spans="2:28" ht="27.75" hidden="1" customHeight="1" x14ac:dyDescent="0.2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0"/>
      <c r="O465" s="160"/>
      <c r="P465" s="160"/>
      <c r="Q465" s="160"/>
      <c r="R465" s="160"/>
      <c r="T465" s="160"/>
      <c r="U465" s="160"/>
      <c r="V465" s="160"/>
      <c r="X465" s="160"/>
      <c r="Z465" s="160"/>
      <c r="AA465" s="160"/>
      <c r="AB465" s="160"/>
    </row>
    <row r="466" spans="2:28" ht="27.75" hidden="1" customHeight="1" x14ac:dyDescent="0.2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0"/>
      <c r="O466" s="160"/>
      <c r="P466" s="160"/>
      <c r="Q466" s="160"/>
      <c r="R466" s="160"/>
      <c r="T466" s="160"/>
      <c r="U466" s="160"/>
      <c r="V466" s="160"/>
      <c r="X466" s="160"/>
      <c r="Z466" s="160"/>
      <c r="AA466" s="160"/>
      <c r="AB466" s="160"/>
    </row>
    <row r="467" spans="2:28" ht="27.75" hidden="1" customHeight="1" x14ac:dyDescent="0.2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0"/>
      <c r="O467" s="160"/>
      <c r="P467" s="160"/>
      <c r="Q467" s="160"/>
      <c r="R467" s="160"/>
      <c r="T467" s="160"/>
      <c r="U467" s="160"/>
      <c r="V467" s="160"/>
      <c r="X467" s="160"/>
      <c r="Z467" s="160"/>
      <c r="AA467" s="160"/>
      <c r="AB467" s="160"/>
    </row>
    <row r="468" spans="2:28" ht="27.75" hidden="1" customHeight="1" x14ac:dyDescent="0.2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0"/>
      <c r="O468" s="160"/>
      <c r="P468" s="160"/>
      <c r="Q468" s="160"/>
      <c r="R468" s="160"/>
      <c r="T468" s="160"/>
      <c r="U468" s="160"/>
      <c r="V468" s="160"/>
      <c r="X468" s="160"/>
      <c r="Z468" s="160"/>
      <c r="AA468" s="160"/>
      <c r="AB468" s="160"/>
    </row>
    <row r="469" spans="2:28" ht="27.75" hidden="1" customHeight="1" x14ac:dyDescent="0.2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0"/>
      <c r="O469" s="160"/>
      <c r="P469" s="160"/>
      <c r="Q469" s="160"/>
      <c r="R469" s="160"/>
      <c r="T469" s="160"/>
      <c r="U469" s="160"/>
      <c r="V469" s="160"/>
      <c r="X469" s="160"/>
      <c r="Z469" s="160"/>
      <c r="AA469" s="160"/>
      <c r="AB469" s="160"/>
    </row>
    <row r="470" spans="2:28" ht="27.75" hidden="1" customHeight="1" x14ac:dyDescent="0.2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0"/>
      <c r="O470" s="160"/>
      <c r="P470" s="160"/>
      <c r="Q470" s="160"/>
      <c r="R470" s="160"/>
      <c r="T470" s="160"/>
      <c r="U470" s="160"/>
      <c r="V470" s="160"/>
      <c r="X470" s="160"/>
      <c r="Z470" s="160"/>
      <c r="AA470" s="160"/>
      <c r="AB470" s="160"/>
    </row>
    <row r="471" spans="2:28" ht="27.75" hidden="1" customHeight="1" x14ac:dyDescent="0.2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0"/>
      <c r="O471" s="160"/>
      <c r="P471" s="160"/>
      <c r="Q471" s="160"/>
      <c r="R471" s="160"/>
      <c r="T471" s="160"/>
      <c r="U471" s="160"/>
      <c r="V471" s="160"/>
      <c r="X471" s="160"/>
      <c r="Z471" s="160"/>
      <c r="AA471" s="160"/>
      <c r="AB471" s="160"/>
    </row>
    <row r="472" spans="2:28" ht="27.75" hidden="1" customHeight="1" x14ac:dyDescent="0.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0"/>
      <c r="O472" s="160"/>
      <c r="P472" s="160"/>
      <c r="Q472" s="160"/>
      <c r="R472" s="160"/>
      <c r="T472" s="160"/>
      <c r="U472" s="160"/>
      <c r="V472" s="160"/>
      <c r="X472" s="160"/>
      <c r="Z472" s="160"/>
      <c r="AA472" s="160"/>
      <c r="AB472" s="160"/>
    </row>
    <row r="473" spans="2:28" ht="27.75" hidden="1" customHeight="1" x14ac:dyDescent="0.2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0"/>
      <c r="O473" s="160"/>
      <c r="P473" s="160"/>
      <c r="Q473" s="160"/>
      <c r="R473" s="160"/>
      <c r="T473" s="160"/>
      <c r="U473" s="160"/>
      <c r="V473" s="160"/>
      <c r="X473" s="160"/>
      <c r="Z473" s="160"/>
      <c r="AA473" s="160"/>
      <c r="AB473" s="160"/>
    </row>
    <row r="474" spans="2:28" ht="27.75" hidden="1" customHeight="1" x14ac:dyDescent="0.2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0"/>
      <c r="O474" s="160"/>
      <c r="P474" s="160"/>
      <c r="Q474" s="160"/>
      <c r="R474" s="160"/>
      <c r="T474" s="160"/>
      <c r="U474" s="160"/>
      <c r="V474" s="160"/>
      <c r="X474" s="160"/>
      <c r="Z474" s="160"/>
      <c r="AA474" s="160"/>
      <c r="AB474" s="160"/>
    </row>
    <row r="475" spans="2:28" ht="27.75" hidden="1" customHeight="1" x14ac:dyDescent="0.2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0"/>
      <c r="O475" s="160"/>
      <c r="P475" s="160"/>
      <c r="Q475" s="160"/>
      <c r="R475" s="160"/>
      <c r="T475" s="160"/>
      <c r="U475" s="160"/>
      <c r="V475" s="160"/>
      <c r="X475" s="160"/>
      <c r="Z475" s="160"/>
      <c r="AA475" s="160"/>
      <c r="AB475" s="160"/>
    </row>
    <row r="476" spans="2:28" ht="27.75" hidden="1" customHeight="1" x14ac:dyDescent="0.2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0"/>
      <c r="O476" s="160"/>
      <c r="P476" s="160"/>
      <c r="Q476" s="160"/>
      <c r="R476" s="160"/>
      <c r="T476" s="160"/>
      <c r="U476" s="160"/>
      <c r="V476" s="160"/>
      <c r="X476" s="160"/>
      <c r="Z476" s="160"/>
      <c r="AA476" s="160"/>
      <c r="AB476" s="160"/>
    </row>
    <row r="477" spans="2:28" ht="27.75" hidden="1" customHeight="1" x14ac:dyDescent="0.2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0"/>
      <c r="O477" s="160"/>
      <c r="P477" s="160"/>
      <c r="Q477" s="160"/>
      <c r="R477" s="160"/>
      <c r="T477" s="160"/>
      <c r="U477" s="160"/>
      <c r="V477" s="160"/>
      <c r="X477" s="160"/>
      <c r="Z477" s="160"/>
      <c r="AA477" s="160"/>
      <c r="AB477" s="160"/>
    </row>
    <row r="478" spans="2:28" ht="27.75" hidden="1" customHeight="1" x14ac:dyDescent="0.2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0"/>
      <c r="O478" s="160"/>
      <c r="P478" s="160"/>
      <c r="Q478" s="160"/>
      <c r="R478" s="160"/>
      <c r="T478" s="160"/>
      <c r="U478" s="160"/>
      <c r="V478" s="160"/>
      <c r="X478" s="160"/>
      <c r="Z478" s="160"/>
      <c r="AA478" s="160"/>
      <c r="AB478" s="160"/>
    </row>
    <row r="479" spans="2:28" ht="27.75" hidden="1" customHeight="1" x14ac:dyDescent="0.2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0"/>
      <c r="O479" s="160"/>
      <c r="P479" s="160"/>
      <c r="Q479" s="160"/>
      <c r="R479" s="160"/>
      <c r="T479" s="160"/>
      <c r="U479" s="160"/>
      <c r="V479" s="160"/>
      <c r="X479" s="160"/>
      <c r="Z479" s="160"/>
      <c r="AA479" s="160"/>
      <c r="AB479" s="160"/>
    </row>
    <row r="480" spans="2:28" ht="27.75" hidden="1" customHeight="1" x14ac:dyDescent="0.2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0"/>
      <c r="O480" s="160"/>
      <c r="P480" s="160"/>
      <c r="Q480" s="160"/>
      <c r="R480" s="160"/>
      <c r="T480" s="160"/>
      <c r="U480" s="160"/>
      <c r="V480" s="160"/>
      <c r="X480" s="160"/>
      <c r="Z480" s="160"/>
      <c r="AA480" s="160"/>
      <c r="AB480" s="160"/>
    </row>
    <row r="481" spans="2:28" ht="27.75" hidden="1" customHeight="1" x14ac:dyDescent="0.2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0"/>
      <c r="O481" s="160"/>
      <c r="P481" s="160"/>
      <c r="Q481" s="160"/>
      <c r="R481" s="160"/>
      <c r="T481" s="160"/>
      <c r="U481" s="160"/>
      <c r="V481" s="160"/>
      <c r="X481" s="160"/>
      <c r="Z481" s="160"/>
      <c r="AA481" s="160"/>
      <c r="AB481" s="160"/>
    </row>
    <row r="482" spans="2:28" ht="27.75" hidden="1" customHeight="1" x14ac:dyDescent="0.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0"/>
      <c r="O482" s="160"/>
      <c r="P482" s="160"/>
      <c r="Q482" s="160"/>
      <c r="R482" s="160"/>
      <c r="T482" s="160"/>
      <c r="U482" s="160"/>
      <c r="V482" s="160"/>
      <c r="X482" s="160"/>
      <c r="Z482" s="160"/>
      <c r="AA482" s="160"/>
      <c r="AB482" s="160"/>
    </row>
    <row r="483" spans="2:28" ht="27.75" hidden="1" customHeight="1" x14ac:dyDescent="0.2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0"/>
      <c r="O483" s="160"/>
      <c r="P483" s="160"/>
      <c r="Q483" s="160"/>
      <c r="R483" s="160"/>
      <c r="T483" s="160"/>
      <c r="U483" s="160"/>
      <c r="V483" s="160"/>
      <c r="X483" s="160"/>
      <c r="Z483" s="160"/>
      <c r="AA483" s="160"/>
      <c r="AB483" s="160"/>
    </row>
    <row r="484" spans="2:28" ht="27.75" hidden="1" customHeight="1" x14ac:dyDescent="0.2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0"/>
      <c r="O484" s="160"/>
      <c r="P484" s="160"/>
      <c r="Q484" s="160"/>
      <c r="R484" s="160"/>
      <c r="T484" s="160"/>
      <c r="U484" s="160"/>
      <c r="V484" s="160"/>
      <c r="X484" s="160"/>
      <c r="Z484" s="160"/>
      <c r="AA484" s="160"/>
      <c r="AB484" s="160"/>
    </row>
    <row r="485" spans="2:28" ht="27.75" hidden="1" customHeight="1" x14ac:dyDescent="0.2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0"/>
      <c r="O485" s="160"/>
      <c r="P485" s="160"/>
      <c r="Q485" s="160"/>
      <c r="R485" s="160"/>
      <c r="T485" s="160"/>
      <c r="U485" s="160"/>
      <c r="V485" s="160"/>
      <c r="X485" s="160"/>
      <c r="Z485" s="160"/>
      <c r="AA485" s="160"/>
      <c r="AB485" s="160"/>
    </row>
    <row r="486" spans="2:28" ht="27.75" hidden="1" customHeight="1" x14ac:dyDescent="0.2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0"/>
      <c r="O486" s="160"/>
      <c r="P486" s="160"/>
      <c r="Q486" s="160"/>
      <c r="R486" s="160"/>
      <c r="T486" s="160"/>
      <c r="U486" s="160"/>
      <c r="V486" s="160"/>
      <c r="X486" s="160"/>
      <c r="Z486" s="160"/>
      <c r="AA486" s="160"/>
      <c r="AB486" s="160"/>
    </row>
    <row r="487" spans="2:28" ht="27.75" hidden="1" customHeight="1" x14ac:dyDescent="0.2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0"/>
      <c r="O487" s="160"/>
      <c r="P487" s="160"/>
      <c r="Q487" s="160"/>
      <c r="R487" s="160"/>
      <c r="T487" s="160"/>
      <c r="U487" s="160"/>
      <c r="V487" s="160"/>
      <c r="X487" s="160"/>
      <c r="Z487" s="160"/>
      <c r="AA487" s="160"/>
      <c r="AB487" s="160"/>
    </row>
    <row r="488" spans="2:28" ht="27.75" hidden="1" customHeight="1" x14ac:dyDescent="0.2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0"/>
      <c r="O488" s="160"/>
      <c r="P488" s="160"/>
      <c r="Q488" s="160"/>
      <c r="R488" s="160"/>
      <c r="T488" s="160"/>
      <c r="U488" s="160"/>
      <c r="V488" s="160"/>
      <c r="X488" s="160"/>
      <c r="Z488" s="160"/>
      <c r="AA488" s="160"/>
      <c r="AB488" s="160"/>
    </row>
    <row r="489" spans="2:28" ht="27.75" hidden="1" customHeight="1" x14ac:dyDescent="0.2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0"/>
      <c r="O489" s="160"/>
      <c r="P489" s="160"/>
      <c r="Q489" s="160"/>
      <c r="R489" s="160"/>
      <c r="T489" s="160"/>
      <c r="U489" s="160"/>
      <c r="V489" s="160"/>
      <c r="X489" s="160"/>
      <c r="Z489" s="160"/>
      <c r="AA489" s="160"/>
      <c r="AB489" s="160"/>
    </row>
    <row r="490" spans="2:28" ht="27.75" hidden="1" customHeight="1" x14ac:dyDescent="0.2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0"/>
      <c r="O490" s="160"/>
      <c r="P490" s="160"/>
      <c r="Q490" s="160"/>
      <c r="R490" s="160"/>
      <c r="T490" s="160"/>
      <c r="U490" s="160"/>
      <c r="V490" s="160"/>
      <c r="X490" s="160"/>
      <c r="Z490" s="160"/>
      <c r="AA490" s="160"/>
      <c r="AB490" s="160"/>
    </row>
    <row r="491" spans="2:28" ht="27.75" hidden="1" customHeight="1" x14ac:dyDescent="0.2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0"/>
      <c r="O491" s="160"/>
      <c r="P491" s="160"/>
      <c r="Q491" s="160"/>
      <c r="R491" s="160"/>
      <c r="T491" s="160"/>
      <c r="U491" s="160"/>
      <c r="V491" s="160"/>
      <c r="X491" s="160"/>
      <c r="Z491" s="160"/>
      <c r="AA491" s="160"/>
      <c r="AB491" s="160"/>
    </row>
    <row r="492" spans="2:28" ht="27.75" hidden="1" customHeight="1" x14ac:dyDescent="0.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0"/>
      <c r="O492" s="160"/>
      <c r="P492" s="160"/>
      <c r="Q492" s="160"/>
      <c r="R492" s="160"/>
      <c r="T492" s="160"/>
      <c r="U492" s="160"/>
      <c r="V492" s="160"/>
      <c r="X492" s="160"/>
      <c r="Z492" s="160"/>
      <c r="AA492" s="160"/>
      <c r="AB492" s="160"/>
    </row>
    <row r="493" spans="2:28" ht="27.75" hidden="1" customHeight="1" x14ac:dyDescent="0.2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0"/>
      <c r="O493" s="160"/>
      <c r="P493" s="160"/>
      <c r="Q493" s="160"/>
      <c r="R493" s="160"/>
      <c r="T493" s="160"/>
      <c r="U493" s="160"/>
      <c r="V493" s="160"/>
      <c r="X493" s="160"/>
      <c r="Z493" s="160"/>
      <c r="AA493" s="160"/>
      <c r="AB493" s="160"/>
    </row>
    <row r="494" spans="2:28" ht="27.75" hidden="1" customHeight="1" x14ac:dyDescent="0.2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0"/>
      <c r="O494" s="160"/>
      <c r="P494" s="160"/>
      <c r="Q494" s="160"/>
      <c r="R494" s="160"/>
      <c r="T494" s="160"/>
      <c r="U494" s="160"/>
      <c r="V494" s="160"/>
      <c r="X494" s="160"/>
      <c r="Z494" s="160"/>
      <c r="AA494" s="160"/>
      <c r="AB494" s="160"/>
    </row>
    <row r="495" spans="2:28" ht="27.75" hidden="1" customHeight="1" x14ac:dyDescent="0.2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0"/>
      <c r="O495" s="160"/>
      <c r="P495" s="160"/>
      <c r="Q495" s="160"/>
      <c r="R495" s="160"/>
      <c r="T495" s="160"/>
      <c r="U495" s="160"/>
      <c r="V495" s="160"/>
      <c r="X495" s="160"/>
      <c r="Z495" s="160"/>
      <c r="AA495" s="160"/>
      <c r="AB495" s="160"/>
    </row>
    <row r="496" spans="2:28" ht="27.75" hidden="1" customHeight="1" x14ac:dyDescent="0.2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0"/>
      <c r="O496" s="160"/>
      <c r="P496" s="160"/>
      <c r="Q496" s="160"/>
      <c r="R496" s="160"/>
      <c r="T496" s="160"/>
      <c r="U496" s="160"/>
      <c r="V496" s="160"/>
      <c r="X496" s="160"/>
      <c r="Z496" s="160"/>
      <c r="AA496" s="160"/>
      <c r="AB496" s="160"/>
    </row>
    <row r="497" spans="2:28" ht="27.75" hidden="1" customHeight="1" x14ac:dyDescent="0.2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0"/>
      <c r="O497" s="160"/>
      <c r="P497" s="160"/>
      <c r="Q497" s="160"/>
      <c r="R497" s="160"/>
      <c r="T497" s="160"/>
      <c r="U497" s="160"/>
      <c r="V497" s="160"/>
      <c r="X497" s="160"/>
      <c r="Z497" s="160"/>
      <c r="AA497" s="160"/>
      <c r="AB497" s="160"/>
    </row>
    <row r="498" spans="2:28" ht="27.75" hidden="1" customHeight="1" x14ac:dyDescent="0.2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0"/>
      <c r="O498" s="160"/>
      <c r="P498" s="160"/>
      <c r="Q498" s="160"/>
      <c r="R498" s="160"/>
      <c r="T498" s="160"/>
      <c r="U498" s="160"/>
      <c r="V498" s="160"/>
      <c r="X498" s="160"/>
      <c r="Z498" s="160"/>
      <c r="AA498" s="160"/>
      <c r="AB498" s="160"/>
    </row>
    <row r="499" spans="2:28" ht="27.75" hidden="1" customHeight="1" x14ac:dyDescent="0.2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0"/>
      <c r="O499" s="160"/>
      <c r="P499" s="160"/>
      <c r="Q499" s="160"/>
      <c r="R499" s="160"/>
      <c r="T499" s="160"/>
      <c r="U499" s="160"/>
      <c r="V499" s="160"/>
      <c r="X499" s="160"/>
      <c r="Z499" s="160"/>
      <c r="AA499" s="160"/>
      <c r="AB499" s="160"/>
    </row>
    <row r="500" spans="2:28" ht="27.75" hidden="1" customHeight="1" x14ac:dyDescent="0.2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0"/>
      <c r="O500" s="160"/>
      <c r="P500" s="160"/>
      <c r="Q500" s="160"/>
      <c r="R500" s="160"/>
      <c r="T500" s="160"/>
      <c r="U500" s="160"/>
      <c r="V500" s="160"/>
      <c r="X500" s="160"/>
      <c r="Z500" s="160"/>
      <c r="AA500" s="160"/>
      <c r="AB500" s="160"/>
    </row>
    <row r="501" spans="2:28" ht="27.75" hidden="1" customHeight="1" x14ac:dyDescent="0.2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0"/>
      <c r="O501" s="160"/>
      <c r="P501" s="160"/>
      <c r="Q501" s="160"/>
      <c r="R501" s="160"/>
      <c r="T501" s="160"/>
      <c r="U501" s="160"/>
      <c r="V501" s="160"/>
      <c r="X501" s="160"/>
      <c r="Z501" s="160"/>
      <c r="AA501" s="160"/>
      <c r="AB501" s="160"/>
    </row>
    <row r="502" spans="2:28" ht="27.75" hidden="1" customHeight="1" x14ac:dyDescent="0.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0"/>
      <c r="O502" s="160"/>
      <c r="P502" s="160"/>
      <c r="Q502" s="160"/>
      <c r="R502" s="160"/>
      <c r="T502" s="160"/>
      <c r="U502" s="160"/>
      <c r="V502" s="160"/>
      <c r="X502" s="160"/>
      <c r="Z502" s="160"/>
      <c r="AA502" s="160"/>
      <c r="AB502" s="160"/>
    </row>
    <row r="503" spans="2:28" ht="27.75" hidden="1" customHeight="1" x14ac:dyDescent="0.2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0"/>
      <c r="O503" s="160"/>
      <c r="P503" s="160"/>
      <c r="Q503" s="160"/>
      <c r="R503" s="160"/>
      <c r="T503" s="160"/>
      <c r="U503" s="160"/>
      <c r="V503" s="160"/>
      <c r="X503" s="160"/>
      <c r="Z503" s="160"/>
      <c r="AA503" s="160"/>
      <c r="AB503" s="160"/>
    </row>
    <row r="504" spans="2:28" ht="27.75" hidden="1" customHeight="1" x14ac:dyDescent="0.2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0"/>
      <c r="O504" s="160"/>
      <c r="P504" s="160"/>
      <c r="Q504" s="160"/>
      <c r="R504" s="160"/>
      <c r="T504" s="160"/>
      <c r="U504" s="160"/>
      <c r="V504" s="160"/>
      <c r="X504" s="160"/>
      <c r="Z504" s="160"/>
      <c r="AA504" s="160"/>
      <c r="AB504" s="160"/>
    </row>
    <row r="505" spans="2:28" ht="27.75" hidden="1" customHeight="1" x14ac:dyDescent="0.2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0"/>
      <c r="O505" s="160"/>
      <c r="P505" s="160"/>
      <c r="Q505" s="160"/>
      <c r="R505" s="160"/>
      <c r="T505" s="160"/>
      <c r="U505" s="160"/>
      <c r="V505" s="160"/>
      <c r="X505" s="160"/>
      <c r="Z505" s="160"/>
      <c r="AA505" s="160"/>
      <c r="AB505" s="160"/>
    </row>
    <row r="506" spans="2:28" ht="27.75" hidden="1" customHeight="1" x14ac:dyDescent="0.2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0"/>
      <c r="O506" s="160"/>
      <c r="P506" s="160"/>
      <c r="Q506" s="160"/>
      <c r="R506" s="160"/>
      <c r="T506" s="160"/>
      <c r="U506" s="160"/>
      <c r="V506" s="160"/>
      <c r="X506" s="160"/>
      <c r="Z506" s="160"/>
      <c r="AA506" s="160"/>
      <c r="AB506" s="160"/>
    </row>
    <row r="507" spans="2:28" ht="27.75" hidden="1" customHeight="1" x14ac:dyDescent="0.2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0"/>
      <c r="O507" s="160"/>
      <c r="P507" s="160"/>
      <c r="Q507" s="160"/>
      <c r="R507" s="160"/>
      <c r="T507" s="160"/>
      <c r="U507" s="160"/>
      <c r="V507" s="160"/>
      <c r="X507" s="160"/>
      <c r="Z507" s="160"/>
      <c r="AA507" s="160"/>
      <c r="AB507" s="160"/>
    </row>
    <row r="508" spans="2:28" ht="27.75" hidden="1" customHeight="1" x14ac:dyDescent="0.2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0"/>
      <c r="O508" s="160"/>
      <c r="P508" s="160"/>
      <c r="Q508" s="160"/>
      <c r="R508" s="160"/>
      <c r="T508" s="160"/>
      <c r="U508" s="160"/>
      <c r="V508" s="160"/>
      <c r="X508" s="160"/>
      <c r="Z508" s="160"/>
      <c r="AA508" s="160"/>
      <c r="AB508" s="160"/>
    </row>
    <row r="509" spans="2:28" ht="27.75" hidden="1" customHeight="1" x14ac:dyDescent="0.2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0"/>
      <c r="O509" s="160"/>
      <c r="P509" s="160"/>
      <c r="Q509" s="160"/>
      <c r="R509" s="160"/>
      <c r="T509" s="160"/>
      <c r="U509" s="160"/>
      <c r="V509" s="160"/>
      <c r="X509" s="160"/>
      <c r="Z509" s="160"/>
      <c r="AA509" s="160"/>
      <c r="AB509" s="160"/>
    </row>
    <row r="510" spans="2:28" ht="27.75" hidden="1" customHeight="1" x14ac:dyDescent="0.2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0"/>
      <c r="O510" s="160"/>
      <c r="P510" s="160"/>
      <c r="Q510" s="160"/>
      <c r="R510" s="160"/>
      <c r="T510" s="160"/>
      <c r="U510" s="160"/>
      <c r="V510" s="160"/>
      <c r="X510" s="160"/>
      <c r="Z510" s="160"/>
      <c r="AA510" s="160"/>
      <c r="AB510" s="160"/>
    </row>
    <row r="511" spans="2:28" ht="27.75" hidden="1" customHeight="1" x14ac:dyDescent="0.2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0"/>
      <c r="O511" s="160"/>
      <c r="P511" s="160"/>
      <c r="Q511" s="160"/>
      <c r="R511" s="160"/>
      <c r="T511" s="160"/>
      <c r="U511" s="160"/>
      <c r="V511" s="160"/>
      <c r="X511" s="160"/>
      <c r="Z511" s="160"/>
      <c r="AA511" s="160"/>
      <c r="AB511" s="160"/>
    </row>
    <row r="512" spans="2:28" ht="27.75" hidden="1" customHeight="1" x14ac:dyDescent="0.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0"/>
      <c r="O512" s="160"/>
      <c r="P512" s="160"/>
      <c r="Q512" s="160"/>
      <c r="R512" s="160"/>
      <c r="T512" s="160"/>
      <c r="U512" s="160"/>
      <c r="V512" s="160"/>
      <c r="X512" s="160"/>
      <c r="Z512" s="160"/>
      <c r="AA512" s="160"/>
      <c r="AB512" s="160"/>
    </row>
    <row r="513" spans="2:28" ht="27.75" hidden="1" customHeight="1" x14ac:dyDescent="0.2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0"/>
      <c r="O513" s="160"/>
      <c r="P513" s="160"/>
      <c r="Q513" s="160"/>
      <c r="R513" s="160"/>
      <c r="T513" s="160"/>
      <c r="U513" s="160"/>
      <c r="V513" s="160"/>
      <c r="X513" s="160"/>
      <c r="Z513" s="160"/>
      <c r="AA513" s="160"/>
      <c r="AB513" s="160"/>
    </row>
    <row r="514" spans="2:28" ht="27.75" hidden="1" customHeight="1" x14ac:dyDescent="0.2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0"/>
      <c r="O514" s="160"/>
      <c r="P514" s="160"/>
      <c r="Q514" s="160"/>
      <c r="R514" s="160"/>
      <c r="T514" s="160"/>
      <c r="U514" s="160"/>
      <c r="V514" s="160"/>
      <c r="X514" s="160"/>
      <c r="Z514" s="160"/>
      <c r="AA514" s="160"/>
      <c r="AB514" s="160"/>
    </row>
    <row r="515" spans="2:28" ht="27.75" hidden="1" customHeight="1" x14ac:dyDescent="0.2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0"/>
      <c r="O515" s="160"/>
      <c r="P515" s="160"/>
      <c r="Q515" s="160"/>
      <c r="R515" s="160"/>
      <c r="T515" s="160"/>
      <c r="U515" s="160"/>
      <c r="V515" s="160"/>
      <c r="X515" s="160"/>
      <c r="Z515" s="160"/>
      <c r="AA515" s="160"/>
      <c r="AB515" s="160"/>
    </row>
    <row r="516" spans="2:28" ht="27.75" hidden="1" customHeight="1" x14ac:dyDescent="0.2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0"/>
      <c r="O516" s="160"/>
      <c r="P516" s="160"/>
      <c r="Q516" s="160"/>
      <c r="R516" s="160"/>
      <c r="T516" s="160"/>
      <c r="U516" s="160"/>
      <c r="V516" s="160"/>
      <c r="X516" s="160"/>
      <c r="Z516" s="160"/>
      <c r="AA516" s="160"/>
      <c r="AB516" s="160"/>
    </row>
    <row r="517" spans="2:28" ht="27.75" hidden="1" customHeight="1" x14ac:dyDescent="0.2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0"/>
      <c r="O517" s="160"/>
      <c r="P517" s="160"/>
      <c r="Q517" s="160"/>
      <c r="R517" s="160"/>
      <c r="T517" s="160"/>
      <c r="U517" s="160"/>
      <c r="V517" s="160"/>
      <c r="X517" s="160"/>
      <c r="Z517" s="160"/>
      <c r="AA517" s="160"/>
      <c r="AB517" s="160"/>
    </row>
    <row r="518" spans="2:28" ht="27.75" hidden="1" customHeight="1" x14ac:dyDescent="0.2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0"/>
      <c r="O518" s="160"/>
      <c r="P518" s="160"/>
      <c r="Q518" s="160"/>
      <c r="R518" s="160"/>
      <c r="T518" s="160"/>
      <c r="U518" s="160"/>
      <c r="V518" s="160"/>
      <c r="X518" s="160"/>
      <c r="Z518" s="160"/>
      <c r="AA518" s="160"/>
      <c r="AB518" s="160"/>
    </row>
    <row r="519" spans="2:28" ht="27.75" hidden="1" customHeight="1" x14ac:dyDescent="0.2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0"/>
      <c r="O519" s="160"/>
      <c r="P519" s="160"/>
      <c r="Q519" s="160"/>
      <c r="R519" s="160"/>
      <c r="T519" s="160"/>
      <c r="U519" s="160"/>
      <c r="V519" s="160"/>
      <c r="X519" s="160"/>
      <c r="Z519" s="160"/>
      <c r="AA519" s="160"/>
      <c r="AB519" s="160"/>
    </row>
    <row r="520" spans="2:28" ht="27.75" hidden="1" customHeight="1" x14ac:dyDescent="0.2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0"/>
      <c r="O520" s="160"/>
      <c r="P520" s="160"/>
      <c r="Q520" s="160"/>
      <c r="R520" s="160"/>
      <c r="T520" s="160"/>
      <c r="U520" s="160"/>
      <c r="V520" s="160"/>
      <c r="X520" s="160"/>
      <c r="Z520" s="160"/>
      <c r="AA520" s="160"/>
      <c r="AB520" s="160"/>
    </row>
    <row r="521" spans="2:28" ht="27.75" hidden="1" customHeight="1" x14ac:dyDescent="0.2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0"/>
      <c r="O521" s="160"/>
      <c r="P521" s="160"/>
      <c r="Q521" s="160"/>
      <c r="R521" s="160"/>
      <c r="T521" s="160"/>
      <c r="U521" s="160"/>
      <c r="V521" s="160"/>
      <c r="X521" s="160"/>
      <c r="Z521" s="160"/>
      <c r="AA521" s="160"/>
      <c r="AB521" s="160"/>
    </row>
    <row r="522" spans="2:28" ht="27.75" hidden="1" customHeight="1" x14ac:dyDescent="0.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0"/>
      <c r="O522" s="160"/>
      <c r="P522" s="160"/>
      <c r="Q522" s="160"/>
      <c r="R522" s="160"/>
      <c r="T522" s="160"/>
      <c r="U522" s="160"/>
      <c r="V522" s="160"/>
      <c r="X522" s="160"/>
      <c r="Z522" s="160"/>
      <c r="AA522" s="160"/>
      <c r="AB522" s="160"/>
    </row>
    <row r="523" spans="2:28" ht="27.75" hidden="1" customHeight="1" x14ac:dyDescent="0.2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0"/>
      <c r="O523" s="160"/>
      <c r="P523" s="160"/>
      <c r="Q523" s="160"/>
      <c r="R523" s="160"/>
      <c r="T523" s="160"/>
      <c r="U523" s="160"/>
      <c r="V523" s="160"/>
      <c r="X523" s="160"/>
      <c r="Z523" s="160"/>
      <c r="AA523" s="160"/>
      <c r="AB523" s="160"/>
    </row>
    <row r="524" spans="2:28" ht="27.75" hidden="1" customHeight="1" x14ac:dyDescent="0.2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0"/>
      <c r="O524" s="160"/>
      <c r="P524" s="160"/>
      <c r="Q524" s="160"/>
      <c r="R524" s="160"/>
      <c r="T524" s="160"/>
      <c r="U524" s="160"/>
      <c r="V524" s="160"/>
      <c r="X524" s="160"/>
      <c r="Z524" s="160"/>
      <c r="AA524" s="160"/>
      <c r="AB524" s="160"/>
    </row>
    <row r="525" spans="2:28" ht="27.75" hidden="1" customHeight="1" x14ac:dyDescent="0.2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0"/>
      <c r="O525" s="160"/>
      <c r="P525" s="160"/>
      <c r="Q525" s="160"/>
      <c r="R525" s="160"/>
      <c r="T525" s="160"/>
      <c r="U525" s="160"/>
      <c r="V525" s="160"/>
      <c r="X525" s="160"/>
      <c r="Z525" s="160"/>
      <c r="AA525" s="160"/>
      <c r="AB525" s="160"/>
    </row>
    <row r="526" spans="2:28" ht="27.75" hidden="1" customHeight="1" x14ac:dyDescent="0.2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0"/>
      <c r="O526" s="160"/>
      <c r="P526" s="160"/>
      <c r="Q526" s="160"/>
      <c r="R526" s="160"/>
      <c r="T526" s="160"/>
      <c r="U526" s="160"/>
      <c r="V526" s="160"/>
      <c r="X526" s="160"/>
      <c r="Z526" s="160"/>
      <c r="AA526" s="160"/>
      <c r="AB526" s="160"/>
    </row>
    <row r="527" spans="2:28" ht="27.75" hidden="1" customHeight="1" x14ac:dyDescent="0.2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0"/>
      <c r="O527" s="160"/>
      <c r="P527" s="160"/>
      <c r="Q527" s="160"/>
      <c r="R527" s="160"/>
      <c r="T527" s="160"/>
      <c r="U527" s="160"/>
      <c r="V527" s="160"/>
      <c r="X527" s="160"/>
      <c r="Z527" s="160"/>
      <c r="AA527" s="160"/>
      <c r="AB527" s="160"/>
    </row>
    <row r="528" spans="2:28" ht="27.75" hidden="1" customHeight="1" x14ac:dyDescent="0.2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0"/>
      <c r="O528" s="160"/>
      <c r="P528" s="160"/>
      <c r="Q528" s="160"/>
      <c r="R528" s="160"/>
      <c r="T528" s="160"/>
      <c r="U528" s="160"/>
      <c r="V528" s="160"/>
      <c r="X528" s="160"/>
      <c r="Z528" s="160"/>
      <c r="AA528" s="160"/>
      <c r="AB528" s="160"/>
    </row>
    <row r="529" spans="2:28" ht="27.75" hidden="1" customHeight="1" x14ac:dyDescent="0.2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0"/>
      <c r="O529" s="160"/>
      <c r="P529" s="160"/>
      <c r="Q529" s="160"/>
      <c r="R529" s="160"/>
      <c r="T529" s="160"/>
      <c r="U529" s="160"/>
      <c r="V529" s="160"/>
      <c r="X529" s="160"/>
      <c r="Z529" s="160"/>
      <c r="AA529" s="160"/>
      <c r="AB529" s="160"/>
    </row>
    <row r="530" spans="2:28" ht="27.75" hidden="1" customHeight="1" x14ac:dyDescent="0.2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0"/>
      <c r="O530" s="160"/>
      <c r="P530" s="160"/>
      <c r="Q530" s="160"/>
      <c r="R530" s="160"/>
      <c r="T530" s="160"/>
      <c r="U530" s="160"/>
      <c r="V530" s="160"/>
      <c r="X530" s="160"/>
      <c r="Z530" s="160"/>
      <c r="AA530" s="160"/>
      <c r="AB530" s="160"/>
    </row>
    <row r="531" spans="2:28" ht="27.75" hidden="1" customHeight="1" x14ac:dyDescent="0.2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0"/>
      <c r="O531" s="160"/>
      <c r="P531" s="160"/>
      <c r="Q531" s="160"/>
      <c r="R531" s="160"/>
      <c r="T531" s="160"/>
      <c r="U531" s="160"/>
      <c r="V531" s="160"/>
      <c r="X531" s="160"/>
      <c r="Z531" s="160"/>
      <c r="AA531" s="160"/>
      <c r="AB531" s="160"/>
    </row>
    <row r="532" spans="2:28" ht="27.75" hidden="1" customHeight="1" x14ac:dyDescent="0.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0"/>
      <c r="O532" s="160"/>
      <c r="P532" s="160"/>
      <c r="Q532" s="160"/>
      <c r="R532" s="160"/>
      <c r="T532" s="160"/>
      <c r="U532" s="160"/>
      <c r="V532" s="160"/>
      <c r="X532" s="160"/>
      <c r="Z532" s="160"/>
      <c r="AA532" s="160"/>
      <c r="AB532" s="160"/>
    </row>
    <row r="533" spans="2:28" ht="27.75" hidden="1" customHeight="1" x14ac:dyDescent="0.2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0"/>
      <c r="O533" s="160"/>
      <c r="P533" s="160"/>
      <c r="Q533" s="160"/>
      <c r="R533" s="160"/>
      <c r="T533" s="160"/>
      <c r="U533" s="160"/>
      <c r="V533" s="160"/>
      <c r="X533" s="160"/>
      <c r="Z533" s="160"/>
      <c r="AA533" s="160"/>
      <c r="AB533" s="160"/>
    </row>
    <row r="534" spans="2:28" ht="27.75" hidden="1" customHeight="1" x14ac:dyDescent="0.2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0"/>
      <c r="O534" s="160"/>
      <c r="P534" s="160"/>
      <c r="Q534" s="160"/>
      <c r="R534" s="160"/>
      <c r="T534" s="160"/>
      <c r="U534" s="160"/>
      <c r="V534" s="160"/>
      <c r="X534" s="160"/>
      <c r="Z534" s="160"/>
      <c r="AA534" s="160"/>
      <c r="AB534" s="160"/>
    </row>
    <row r="535" spans="2:28" ht="27.75" hidden="1" customHeight="1" x14ac:dyDescent="0.2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0"/>
      <c r="O535" s="160"/>
      <c r="P535" s="160"/>
      <c r="Q535" s="160"/>
      <c r="R535" s="160"/>
      <c r="T535" s="160"/>
      <c r="U535" s="160"/>
      <c r="V535" s="160"/>
      <c r="X535" s="160"/>
      <c r="Z535" s="160"/>
      <c r="AA535" s="160"/>
      <c r="AB535" s="160"/>
    </row>
    <row r="536" spans="2:28" ht="27.75" hidden="1" customHeight="1" x14ac:dyDescent="0.2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0"/>
      <c r="O536" s="160"/>
      <c r="P536" s="160"/>
      <c r="Q536" s="160"/>
      <c r="R536" s="160"/>
      <c r="T536" s="160"/>
      <c r="U536" s="160"/>
      <c r="V536" s="160"/>
      <c r="X536" s="160"/>
      <c r="Z536" s="160"/>
      <c r="AA536" s="160"/>
      <c r="AB536" s="160"/>
    </row>
    <row r="537" spans="2:28" ht="27.75" hidden="1" customHeight="1" x14ac:dyDescent="0.2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0"/>
      <c r="O537" s="160"/>
      <c r="P537" s="160"/>
      <c r="Q537" s="160"/>
      <c r="R537" s="160"/>
      <c r="T537" s="160"/>
      <c r="U537" s="160"/>
      <c r="V537" s="160"/>
      <c r="X537" s="160"/>
      <c r="Z537" s="160"/>
      <c r="AA537" s="160"/>
      <c r="AB537" s="160"/>
    </row>
    <row r="538" spans="2:28" ht="27.75" hidden="1" customHeight="1" x14ac:dyDescent="0.2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0"/>
      <c r="O538" s="160"/>
      <c r="P538" s="160"/>
      <c r="Q538" s="160"/>
      <c r="R538" s="160"/>
      <c r="T538" s="160"/>
      <c r="U538" s="160"/>
      <c r="V538" s="160"/>
      <c r="X538" s="160"/>
      <c r="Z538" s="160"/>
      <c r="AA538" s="160"/>
      <c r="AB538" s="160"/>
    </row>
    <row r="539" spans="2:28" ht="27.75" hidden="1" customHeight="1" x14ac:dyDescent="0.2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0"/>
      <c r="O539" s="160"/>
      <c r="P539" s="160"/>
      <c r="Q539" s="160"/>
      <c r="R539" s="160"/>
      <c r="T539" s="160"/>
      <c r="U539" s="160"/>
      <c r="V539" s="160"/>
      <c r="X539" s="160"/>
      <c r="Z539" s="160"/>
      <c r="AA539" s="160"/>
      <c r="AB539" s="160"/>
    </row>
    <row r="540" spans="2:28" ht="27.75" hidden="1" customHeight="1" x14ac:dyDescent="0.2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0"/>
      <c r="O540" s="160"/>
      <c r="P540" s="160"/>
      <c r="Q540" s="160"/>
      <c r="R540" s="160"/>
      <c r="T540" s="160"/>
      <c r="U540" s="160"/>
      <c r="V540" s="160"/>
      <c r="X540" s="160"/>
      <c r="Z540" s="160"/>
      <c r="AA540" s="160"/>
      <c r="AB540" s="160"/>
    </row>
    <row r="541" spans="2:28" ht="27.75" hidden="1" customHeight="1" x14ac:dyDescent="0.2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0"/>
      <c r="O541" s="160"/>
      <c r="P541" s="160"/>
      <c r="Q541" s="160"/>
      <c r="R541" s="160"/>
      <c r="T541" s="160"/>
      <c r="U541" s="160"/>
      <c r="V541" s="160"/>
      <c r="X541" s="160"/>
      <c r="Z541" s="160"/>
      <c r="AA541" s="160"/>
      <c r="AB541" s="160"/>
    </row>
    <row r="542" spans="2:28" ht="27.75" hidden="1" customHeight="1" x14ac:dyDescent="0.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0"/>
      <c r="O542" s="160"/>
      <c r="P542" s="160"/>
      <c r="Q542" s="160"/>
      <c r="R542" s="160"/>
      <c r="T542" s="160"/>
      <c r="U542" s="160"/>
      <c r="V542" s="160"/>
      <c r="X542" s="160"/>
      <c r="Z542" s="160"/>
      <c r="AA542" s="160"/>
      <c r="AB542" s="160"/>
    </row>
    <row r="543" spans="2:28" ht="27.75" hidden="1" customHeight="1" x14ac:dyDescent="0.2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0"/>
      <c r="O543" s="160"/>
      <c r="P543" s="160"/>
      <c r="Q543" s="160"/>
      <c r="R543" s="160"/>
      <c r="T543" s="160"/>
      <c r="U543" s="160"/>
      <c r="V543" s="160"/>
      <c r="X543" s="160"/>
      <c r="Z543" s="160"/>
      <c r="AA543" s="160"/>
      <c r="AB543" s="160"/>
    </row>
    <row r="544" spans="2:28" ht="27.75" hidden="1" customHeight="1" x14ac:dyDescent="0.2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0"/>
      <c r="O544" s="160"/>
      <c r="P544" s="160"/>
      <c r="Q544" s="160"/>
      <c r="R544" s="160"/>
      <c r="T544" s="160"/>
      <c r="U544" s="160"/>
      <c r="V544" s="160"/>
      <c r="X544" s="160"/>
      <c r="Z544" s="160"/>
      <c r="AA544" s="160"/>
      <c r="AB544" s="160"/>
    </row>
    <row r="545" spans="2:28" ht="27.75" hidden="1" customHeight="1" x14ac:dyDescent="0.2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0"/>
      <c r="O545" s="160"/>
      <c r="P545" s="160"/>
      <c r="Q545" s="160"/>
      <c r="R545" s="160"/>
      <c r="T545" s="160"/>
      <c r="U545" s="160"/>
      <c r="V545" s="160"/>
      <c r="X545" s="160"/>
      <c r="Z545" s="160"/>
      <c r="AA545" s="160"/>
      <c r="AB545" s="160"/>
    </row>
    <row r="546" spans="2:28" ht="27.75" hidden="1" customHeight="1" x14ac:dyDescent="0.2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0"/>
      <c r="O546" s="160"/>
      <c r="P546" s="160"/>
      <c r="Q546" s="160"/>
      <c r="R546" s="160"/>
      <c r="T546" s="160"/>
      <c r="U546" s="160"/>
      <c r="V546" s="160"/>
      <c r="X546" s="160"/>
      <c r="Z546" s="160"/>
      <c r="AA546" s="160"/>
      <c r="AB546" s="160"/>
    </row>
    <row r="547" spans="2:28" ht="27.75" hidden="1" customHeight="1" x14ac:dyDescent="0.2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0"/>
      <c r="O547" s="160"/>
      <c r="P547" s="160"/>
      <c r="Q547" s="160"/>
      <c r="R547" s="160"/>
      <c r="T547" s="160"/>
      <c r="U547" s="160"/>
      <c r="V547" s="160"/>
      <c r="X547" s="160"/>
      <c r="Z547" s="160"/>
      <c r="AA547" s="160"/>
      <c r="AB547" s="160"/>
    </row>
    <row r="548" spans="2:28" ht="27.75" hidden="1" customHeight="1" x14ac:dyDescent="0.2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0"/>
      <c r="O548" s="160"/>
      <c r="P548" s="160"/>
      <c r="Q548" s="160"/>
      <c r="R548" s="160"/>
      <c r="T548" s="160"/>
      <c r="U548" s="160"/>
      <c r="V548" s="160"/>
      <c r="X548" s="160"/>
      <c r="Z548" s="160"/>
      <c r="AA548" s="160"/>
      <c r="AB548" s="160"/>
    </row>
    <row r="549" spans="2:28" ht="27.75" hidden="1" customHeight="1" x14ac:dyDescent="0.2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0"/>
      <c r="O549" s="160"/>
      <c r="P549" s="160"/>
      <c r="Q549" s="160"/>
      <c r="R549" s="160"/>
      <c r="T549" s="160"/>
      <c r="U549" s="160"/>
      <c r="V549" s="160"/>
      <c r="X549" s="160"/>
      <c r="Z549" s="160"/>
      <c r="AA549" s="160"/>
      <c r="AB549" s="160"/>
    </row>
    <row r="550" spans="2:28" ht="27.75" hidden="1" customHeight="1" x14ac:dyDescent="0.2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0"/>
      <c r="O550" s="160"/>
      <c r="P550" s="160"/>
      <c r="Q550" s="160"/>
      <c r="R550" s="160"/>
      <c r="T550" s="160"/>
      <c r="U550" s="160"/>
      <c r="V550" s="160"/>
      <c r="X550" s="160"/>
      <c r="Z550" s="160"/>
      <c r="AA550" s="160"/>
      <c r="AB550" s="160"/>
    </row>
    <row r="551" spans="2:28" ht="27.75" hidden="1" customHeight="1" x14ac:dyDescent="0.2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0"/>
      <c r="O551" s="160"/>
      <c r="P551" s="160"/>
      <c r="Q551" s="160"/>
      <c r="R551" s="160"/>
      <c r="T551" s="160"/>
      <c r="U551" s="160"/>
      <c r="V551" s="160"/>
      <c r="X551" s="160"/>
      <c r="Z551" s="160"/>
      <c r="AA551" s="160"/>
      <c r="AB551" s="160"/>
    </row>
    <row r="552" spans="2:28" ht="27.75" hidden="1" customHeight="1" x14ac:dyDescent="0.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0"/>
      <c r="O552" s="160"/>
      <c r="P552" s="160"/>
      <c r="Q552" s="160"/>
      <c r="R552" s="160"/>
      <c r="T552" s="160"/>
      <c r="U552" s="160"/>
      <c r="V552" s="160"/>
      <c r="X552" s="160"/>
      <c r="Z552" s="160"/>
      <c r="AA552" s="160"/>
      <c r="AB552" s="160"/>
    </row>
    <row r="553" spans="2:28" ht="27.75" hidden="1" customHeight="1" x14ac:dyDescent="0.2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0"/>
      <c r="O553" s="160"/>
      <c r="P553" s="160"/>
      <c r="Q553" s="160"/>
      <c r="R553" s="160"/>
      <c r="T553" s="160"/>
      <c r="U553" s="160"/>
      <c r="V553" s="160"/>
      <c r="X553" s="160"/>
      <c r="Z553" s="160"/>
      <c r="AA553" s="160"/>
      <c r="AB553" s="160"/>
    </row>
    <row r="554" spans="2:28" ht="27.75" hidden="1" customHeight="1" x14ac:dyDescent="0.2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0"/>
      <c r="O554" s="160"/>
      <c r="P554" s="160"/>
      <c r="Q554" s="160"/>
      <c r="R554" s="160"/>
      <c r="T554" s="160"/>
      <c r="U554" s="160"/>
      <c r="V554" s="160"/>
      <c r="X554" s="160"/>
      <c r="Z554" s="160"/>
      <c r="AA554" s="160"/>
      <c r="AB554" s="160"/>
    </row>
    <row r="555" spans="2:28" ht="27.75" hidden="1" customHeight="1" x14ac:dyDescent="0.2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0"/>
      <c r="O555" s="160"/>
      <c r="P555" s="160"/>
      <c r="Q555" s="160"/>
      <c r="R555" s="160"/>
      <c r="T555" s="160"/>
      <c r="U555" s="160"/>
      <c r="V555" s="160"/>
      <c r="X555" s="160"/>
      <c r="Z555" s="160"/>
      <c r="AA555" s="160"/>
      <c r="AB555" s="160"/>
    </row>
    <row r="556" spans="2:28" ht="27.75" hidden="1" customHeight="1" x14ac:dyDescent="0.2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0"/>
      <c r="O556" s="160"/>
      <c r="P556" s="160"/>
      <c r="Q556" s="160"/>
      <c r="R556" s="160"/>
      <c r="T556" s="160"/>
      <c r="U556" s="160"/>
      <c r="V556" s="160"/>
      <c r="X556" s="160"/>
      <c r="Z556" s="160"/>
      <c r="AA556" s="160"/>
      <c r="AB556" s="160"/>
    </row>
    <row r="557" spans="2:28" ht="27.75" hidden="1" customHeight="1" x14ac:dyDescent="0.2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0"/>
      <c r="O557" s="160"/>
      <c r="P557" s="160"/>
      <c r="Q557" s="160"/>
      <c r="R557" s="160"/>
      <c r="T557" s="160"/>
      <c r="U557" s="160"/>
      <c r="V557" s="160"/>
      <c r="X557" s="160"/>
      <c r="Z557" s="160"/>
      <c r="AA557" s="160"/>
      <c r="AB557" s="160"/>
    </row>
    <row r="558" spans="2:28" ht="27.75" hidden="1" customHeight="1" x14ac:dyDescent="0.2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0"/>
      <c r="O558" s="160"/>
      <c r="P558" s="160"/>
      <c r="Q558" s="160"/>
      <c r="R558" s="160"/>
      <c r="T558" s="160"/>
      <c r="U558" s="160"/>
      <c r="V558" s="160"/>
      <c r="X558" s="160"/>
      <c r="Z558" s="160"/>
      <c r="AA558" s="160"/>
      <c r="AB558" s="160"/>
    </row>
    <row r="559" spans="2:28" ht="27.75" hidden="1" customHeight="1" x14ac:dyDescent="0.2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0"/>
      <c r="O559" s="160"/>
      <c r="P559" s="160"/>
      <c r="Q559" s="160"/>
      <c r="R559" s="160"/>
      <c r="T559" s="160"/>
      <c r="U559" s="160"/>
      <c r="V559" s="160"/>
      <c r="X559" s="160"/>
      <c r="Z559" s="160"/>
      <c r="AA559" s="160"/>
      <c r="AB559" s="160"/>
    </row>
    <row r="560" spans="2:28" ht="27.75" hidden="1" customHeight="1" x14ac:dyDescent="0.2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0"/>
      <c r="O560" s="160"/>
      <c r="P560" s="160"/>
      <c r="Q560" s="160"/>
      <c r="R560" s="160"/>
      <c r="T560" s="160"/>
      <c r="U560" s="160"/>
      <c r="V560" s="160"/>
      <c r="X560" s="160"/>
      <c r="Z560" s="160"/>
      <c r="AA560" s="160"/>
      <c r="AB560" s="160"/>
    </row>
    <row r="561" spans="2:28" ht="27.75" hidden="1" customHeight="1" x14ac:dyDescent="0.2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0"/>
      <c r="O561" s="160"/>
      <c r="P561" s="160"/>
      <c r="Q561" s="160"/>
      <c r="R561" s="160"/>
      <c r="T561" s="160"/>
      <c r="U561" s="160"/>
      <c r="V561" s="160"/>
      <c r="X561" s="160"/>
      <c r="Z561" s="160"/>
      <c r="AA561" s="160"/>
      <c r="AB561" s="160"/>
    </row>
    <row r="562" spans="2:28" ht="27.75" hidden="1" customHeight="1" x14ac:dyDescent="0.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0"/>
      <c r="O562" s="160"/>
      <c r="P562" s="160"/>
      <c r="Q562" s="160"/>
      <c r="R562" s="160"/>
      <c r="T562" s="160"/>
      <c r="U562" s="160"/>
      <c r="V562" s="160"/>
      <c r="X562" s="160"/>
      <c r="Z562" s="160"/>
      <c r="AA562" s="160"/>
      <c r="AB562" s="160"/>
    </row>
    <row r="563" spans="2:28" ht="27.75" hidden="1" customHeight="1" x14ac:dyDescent="0.2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0"/>
      <c r="O563" s="160"/>
      <c r="P563" s="160"/>
      <c r="Q563" s="160"/>
      <c r="R563" s="160"/>
      <c r="T563" s="160"/>
      <c r="U563" s="160"/>
      <c r="V563" s="160"/>
      <c r="X563" s="160"/>
      <c r="Z563" s="160"/>
      <c r="AA563" s="160"/>
      <c r="AB563" s="160"/>
    </row>
    <row r="564" spans="2:28" ht="27.75" hidden="1" customHeight="1" x14ac:dyDescent="0.2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0"/>
      <c r="O564" s="160"/>
      <c r="P564" s="160"/>
      <c r="Q564" s="160"/>
      <c r="R564" s="160"/>
      <c r="T564" s="160"/>
      <c r="U564" s="160"/>
      <c r="V564" s="160"/>
      <c r="X564" s="160"/>
      <c r="Z564" s="160"/>
      <c r="AA564" s="160"/>
      <c r="AB564" s="160"/>
    </row>
    <row r="565" spans="2:28" ht="27.75" hidden="1" customHeight="1" x14ac:dyDescent="0.2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0"/>
      <c r="O565" s="160"/>
      <c r="P565" s="160"/>
      <c r="Q565" s="160"/>
      <c r="R565" s="160"/>
      <c r="T565" s="160"/>
      <c r="U565" s="160"/>
      <c r="V565" s="160"/>
      <c r="X565" s="160"/>
      <c r="Z565" s="160"/>
      <c r="AA565" s="160"/>
      <c r="AB565" s="160"/>
    </row>
    <row r="566" spans="2:28" ht="27.75" hidden="1" customHeight="1" x14ac:dyDescent="0.2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0"/>
      <c r="O566" s="160"/>
      <c r="P566" s="160"/>
      <c r="Q566" s="160"/>
      <c r="R566" s="160"/>
      <c r="T566" s="160"/>
      <c r="U566" s="160"/>
      <c r="V566" s="160"/>
      <c r="X566" s="160"/>
      <c r="Z566" s="160"/>
      <c r="AA566" s="160"/>
      <c r="AB566" s="160"/>
    </row>
    <row r="567" spans="2:28" ht="27.75" hidden="1" customHeight="1" x14ac:dyDescent="0.2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0"/>
      <c r="O567" s="160"/>
      <c r="P567" s="160"/>
      <c r="Q567" s="160"/>
      <c r="R567" s="160"/>
      <c r="T567" s="160"/>
      <c r="U567" s="160"/>
      <c r="V567" s="160"/>
      <c r="X567" s="160"/>
      <c r="Z567" s="160"/>
      <c r="AA567" s="160"/>
      <c r="AB567" s="160"/>
    </row>
    <row r="568" spans="2:28" ht="27.75" hidden="1" customHeight="1" x14ac:dyDescent="0.2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0"/>
      <c r="O568" s="160"/>
      <c r="P568" s="160"/>
      <c r="Q568" s="160"/>
      <c r="R568" s="160"/>
      <c r="T568" s="160"/>
      <c r="U568" s="160"/>
      <c r="V568" s="160"/>
      <c r="X568" s="160"/>
      <c r="Z568" s="160"/>
      <c r="AA568" s="160"/>
      <c r="AB568" s="160"/>
    </row>
    <row r="569" spans="2:28" ht="27.75" hidden="1" customHeight="1" x14ac:dyDescent="0.2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0"/>
      <c r="O569" s="160"/>
      <c r="P569" s="160"/>
      <c r="Q569" s="160"/>
      <c r="R569" s="160"/>
      <c r="T569" s="160"/>
      <c r="U569" s="160"/>
      <c r="V569" s="160"/>
      <c r="X569" s="160"/>
      <c r="Z569" s="160"/>
      <c r="AA569" s="160"/>
      <c r="AB569" s="160"/>
    </row>
    <row r="570" spans="2:28" ht="27.75" hidden="1" customHeight="1" x14ac:dyDescent="0.2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0"/>
      <c r="O570" s="160"/>
      <c r="P570" s="160"/>
      <c r="Q570" s="160"/>
      <c r="R570" s="160"/>
      <c r="T570" s="160"/>
      <c r="U570" s="160"/>
      <c r="V570" s="160"/>
      <c r="X570" s="160"/>
      <c r="Z570" s="160"/>
      <c r="AA570" s="160"/>
      <c r="AB570" s="160"/>
    </row>
    <row r="571" spans="2:28" ht="27.75" hidden="1" customHeight="1" x14ac:dyDescent="0.2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0"/>
      <c r="O571" s="160"/>
      <c r="P571" s="160"/>
      <c r="Q571" s="160"/>
      <c r="R571" s="160"/>
      <c r="T571" s="160"/>
      <c r="U571" s="160"/>
      <c r="V571" s="160"/>
      <c r="X571" s="160"/>
      <c r="Z571" s="160"/>
      <c r="AA571" s="160"/>
      <c r="AB571" s="160"/>
    </row>
    <row r="572" spans="2:28" ht="27.75" hidden="1" customHeight="1" x14ac:dyDescent="0.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0"/>
      <c r="O572" s="160"/>
      <c r="P572" s="160"/>
      <c r="Q572" s="160"/>
      <c r="R572" s="160"/>
      <c r="T572" s="160"/>
      <c r="U572" s="160"/>
      <c r="V572" s="160"/>
      <c r="X572" s="160"/>
      <c r="Z572" s="160"/>
      <c r="AA572" s="160"/>
      <c r="AB572" s="160"/>
    </row>
    <row r="573" spans="2:28" ht="27.75" hidden="1" customHeight="1" x14ac:dyDescent="0.2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0"/>
      <c r="O573" s="160"/>
      <c r="P573" s="160"/>
      <c r="Q573" s="160"/>
      <c r="R573" s="160"/>
      <c r="T573" s="160"/>
      <c r="U573" s="160"/>
      <c r="V573" s="160"/>
      <c r="X573" s="160"/>
      <c r="Z573" s="160"/>
      <c r="AA573" s="160"/>
      <c r="AB573" s="160"/>
    </row>
    <row r="574" spans="2:28" ht="27.75" hidden="1" customHeight="1" x14ac:dyDescent="0.2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0"/>
      <c r="O574" s="160"/>
      <c r="P574" s="160"/>
      <c r="Q574" s="160"/>
      <c r="R574" s="160"/>
      <c r="T574" s="160"/>
      <c r="U574" s="160"/>
      <c r="V574" s="160"/>
      <c r="X574" s="160"/>
      <c r="Z574" s="160"/>
      <c r="AA574" s="160"/>
      <c r="AB574" s="160"/>
    </row>
    <row r="575" spans="2:28" ht="27.75" hidden="1" customHeight="1" x14ac:dyDescent="0.2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0"/>
      <c r="O575" s="160"/>
      <c r="P575" s="160"/>
      <c r="Q575" s="160"/>
      <c r="R575" s="160"/>
      <c r="T575" s="160"/>
      <c r="U575" s="160"/>
      <c r="V575" s="160"/>
      <c r="X575" s="160"/>
      <c r="Z575" s="160"/>
      <c r="AA575" s="160"/>
      <c r="AB575" s="160"/>
    </row>
    <row r="576" spans="2:28" ht="27.75" hidden="1" customHeight="1" x14ac:dyDescent="0.2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0"/>
      <c r="O576" s="160"/>
      <c r="P576" s="160"/>
      <c r="Q576" s="160"/>
      <c r="R576" s="160"/>
      <c r="T576" s="160"/>
      <c r="U576" s="160"/>
      <c r="V576" s="160"/>
      <c r="X576" s="160"/>
      <c r="Z576" s="160"/>
      <c r="AA576" s="160"/>
      <c r="AB576" s="160"/>
    </row>
    <row r="577" spans="2:28" ht="27.75" hidden="1" customHeight="1" x14ac:dyDescent="0.2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0"/>
      <c r="O577" s="160"/>
      <c r="P577" s="160"/>
      <c r="Q577" s="160"/>
      <c r="R577" s="160"/>
      <c r="T577" s="160"/>
      <c r="U577" s="160"/>
      <c r="V577" s="160"/>
      <c r="X577" s="160"/>
      <c r="Z577" s="160"/>
      <c r="AA577" s="160"/>
      <c r="AB577" s="160"/>
    </row>
    <row r="578" spans="2:28" ht="27.75" hidden="1" customHeight="1" x14ac:dyDescent="0.2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0"/>
      <c r="O578" s="160"/>
      <c r="P578" s="160"/>
      <c r="Q578" s="160"/>
      <c r="R578" s="160"/>
      <c r="T578" s="160"/>
      <c r="U578" s="160"/>
      <c r="V578" s="160"/>
      <c r="X578" s="160"/>
      <c r="Z578" s="160"/>
      <c r="AA578" s="160"/>
      <c r="AB578" s="160"/>
    </row>
    <row r="579" spans="2:28" ht="27.75" hidden="1" customHeight="1" x14ac:dyDescent="0.2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0"/>
      <c r="O579" s="160"/>
      <c r="P579" s="160"/>
      <c r="Q579" s="160"/>
      <c r="R579" s="160"/>
      <c r="T579" s="160"/>
      <c r="U579" s="160"/>
      <c r="V579" s="160"/>
      <c r="X579" s="160"/>
      <c r="Z579" s="160"/>
      <c r="AA579" s="160"/>
      <c r="AB579" s="160"/>
    </row>
    <row r="580" spans="2:28" ht="27.75" hidden="1" customHeight="1" x14ac:dyDescent="0.2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0"/>
      <c r="O580" s="160"/>
      <c r="P580" s="160"/>
      <c r="Q580" s="160"/>
      <c r="R580" s="160"/>
      <c r="T580" s="160"/>
      <c r="U580" s="160"/>
      <c r="V580" s="160"/>
      <c r="X580" s="160"/>
      <c r="Z580" s="160"/>
      <c r="AA580" s="160"/>
      <c r="AB580" s="160"/>
    </row>
    <row r="581" spans="2:28" ht="27.75" hidden="1" customHeight="1" x14ac:dyDescent="0.2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0"/>
      <c r="O581" s="160"/>
      <c r="P581" s="160"/>
      <c r="Q581" s="160"/>
      <c r="R581" s="160"/>
      <c r="T581" s="160"/>
      <c r="U581" s="160"/>
      <c r="V581" s="160"/>
      <c r="X581" s="160"/>
      <c r="Z581" s="160"/>
      <c r="AA581" s="160"/>
      <c r="AB581" s="160"/>
    </row>
    <row r="582" spans="2:28" ht="27.75" hidden="1" customHeight="1" x14ac:dyDescent="0.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0"/>
      <c r="O582" s="160"/>
      <c r="P582" s="160"/>
      <c r="Q582" s="160"/>
      <c r="R582" s="160"/>
      <c r="T582" s="160"/>
      <c r="U582" s="160"/>
      <c r="V582" s="160"/>
      <c r="X582" s="160"/>
      <c r="Z582" s="160"/>
      <c r="AA582" s="160"/>
      <c r="AB582" s="160"/>
    </row>
    <row r="583" spans="2:28" ht="27.75" hidden="1" customHeight="1" x14ac:dyDescent="0.2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0"/>
      <c r="O583" s="160"/>
      <c r="P583" s="160"/>
      <c r="Q583" s="160"/>
      <c r="R583" s="160"/>
      <c r="T583" s="160"/>
      <c r="U583" s="160"/>
      <c r="V583" s="160"/>
      <c r="X583" s="160"/>
      <c r="Z583" s="160"/>
      <c r="AA583" s="160"/>
      <c r="AB583" s="160"/>
    </row>
    <row r="584" spans="2:28" ht="27.75" hidden="1" customHeight="1" x14ac:dyDescent="0.2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0"/>
      <c r="O584" s="160"/>
      <c r="P584" s="160"/>
      <c r="Q584" s="160"/>
      <c r="R584" s="160"/>
      <c r="T584" s="160"/>
      <c r="U584" s="160"/>
      <c r="V584" s="160"/>
      <c r="X584" s="160"/>
      <c r="Z584" s="160"/>
      <c r="AA584" s="160"/>
      <c r="AB584" s="160"/>
    </row>
    <row r="585" spans="2:28" ht="27.75" hidden="1" customHeight="1" x14ac:dyDescent="0.2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0"/>
      <c r="O585" s="160"/>
      <c r="P585" s="160"/>
      <c r="Q585" s="160"/>
      <c r="R585" s="160"/>
      <c r="T585" s="160"/>
      <c r="U585" s="160"/>
      <c r="V585" s="160"/>
      <c r="X585" s="160"/>
      <c r="Z585" s="160"/>
      <c r="AA585" s="160"/>
      <c r="AB585" s="160"/>
    </row>
    <row r="586" spans="2:28" ht="27.75" hidden="1" customHeight="1" x14ac:dyDescent="0.2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0"/>
      <c r="O586" s="160"/>
      <c r="P586" s="160"/>
      <c r="Q586" s="160"/>
      <c r="R586" s="160"/>
      <c r="T586" s="160"/>
      <c r="U586" s="160"/>
      <c r="V586" s="160"/>
      <c r="X586" s="160"/>
      <c r="Z586" s="160"/>
      <c r="AA586" s="160"/>
      <c r="AB586" s="160"/>
    </row>
    <row r="587" spans="2:28" ht="27.75" hidden="1" customHeight="1" x14ac:dyDescent="0.2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0"/>
      <c r="O587" s="160"/>
      <c r="P587" s="160"/>
      <c r="Q587" s="160"/>
      <c r="R587" s="160"/>
      <c r="T587" s="160"/>
      <c r="U587" s="160"/>
      <c r="V587" s="160"/>
      <c r="X587" s="160"/>
      <c r="Z587" s="160"/>
      <c r="AA587" s="160"/>
      <c r="AB587" s="160"/>
    </row>
    <row r="588" spans="2:28" ht="27.75" hidden="1" customHeight="1" x14ac:dyDescent="0.2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0"/>
      <c r="O588" s="160"/>
      <c r="P588" s="160"/>
      <c r="Q588" s="160"/>
      <c r="R588" s="160"/>
      <c r="T588" s="160"/>
      <c r="U588" s="160"/>
      <c r="V588" s="160"/>
      <c r="X588" s="160"/>
      <c r="Z588" s="160"/>
      <c r="AA588" s="160"/>
      <c r="AB588" s="160"/>
    </row>
    <row r="589" spans="2:28" ht="27.75" hidden="1" customHeight="1" x14ac:dyDescent="0.2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0"/>
      <c r="O589" s="160"/>
      <c r="P589" s="160"/>
      <c r="Q589" s="160"/>
      <c r="R589" s="160"/>
      <c r="T589" s="160"/>
      <c r="U589" s="160"/>
      <c r="V589" s="160"/>
      <c r="X589" s="160"/>
      <c r="Z589" s="160"/>
      <c r="AA589" s="160"/>
      <c r="AB589" s="160"/>
    </row>
    <row r="590" spans="2:28" ht="27.75" hidden="1" customHeight="1" x14ac:dyDescent="0.2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0"/>
      <c r="O590" s="160"/>
      <c r="P590" s="160"/>
      <c r="Q590" s="160"/>
      <c r="R590" s="160"/>
      <c r="T590" s="160"/>
      <c r="U590" s="160"/>
      <c r="V590" s="160"/>
      <c r="X590" s="160"/>
      <c r="Z590" s="160"/>
      <c r="AA590" s="160"/>
      <c r="AB590" s="160"/>
    </row>
    <row r="591" spans="2:28" ht="27.75" hidden="1" customHeight="1" x14ac:dyDescent="0.2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0"/>
      <c r="O591" s="160"/>
      <c r="P591" s="160"/>
      <c r="Q591" s="160"/>
      <c r="R591" s="160"/>
      <c r="T591" s="160"/>
      <c r="U591" s="160"/>
      <c r="V591" s="160"/>
      <c r="X591" s="160"/>
      <c r="Z591" s="160"/>
      <c r="AA591" s="160"/>
      <c r="AB591" s="160"/>
    </row>
    <row r="592" spans="2:28" ht="27.75" hidden="1" customHeight="1" x14ac:dyDescent="0.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0"/>
      <c r="O592" s="160"/>
      <c r="P592" s="160"/>
      <c r="Q592" s="160"/>
      <c r="R592" s="160"/>
      <c r="T592" s="160"/>
      <c r="U592" s="160"/>
      <c r="V592" s="160"/>
      <c r="X592" s="160"/>
      <c r="Z592" s="160"/>
      <c r="AA592" s="160"/>
      <c r="AB592" s="160"/>
    </row>
    <row r="593" spans="2:28" ht="27.75" hidden="1" customHeight="1" x14ac:dyDescent="0.2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0"/>
      <c r="O593" s="160"/>
      <c r="P593" s="160"/>
      <c r="Q593" s="160"/>
      <c r="R593" s="160"/>
      <c r="T593" s="160"/>
      <c r="U593" s="160"/>
      <c r="V593" s="160"/>
      <c r="X593" s="160"/>
      <c r="Z593" s="160"/>
      <c r="AA593" s="160"/>
      <c r="AB593" s="160"/>
    </row>
    <row r="594" spans="2:28" ht="27.75" hidden="1" customHeight="1" x14ac:dyDescent="0.2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0"/>
      <c r="O594" s="160"/>
      <c r="P594" s="160"/>
      <c r="Q594" s="160"/>
      <c r="R594" s="160"/>
      <c r="T594" s="160"/>
      <c r="U594" s="160"/>
      <c r="V594" s="160"/>
      <c r="X594" s="160"/>
      <c r="Z594" s="160"/>
      <c r="AA594" s="160"/>
      <c r="AB594" s="160"/>
    </row>
    <row r="595" spans="2:28" ht="27.75" hidden="1" customHeight="1" x14ac:dyDescent="0.2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0"/>
      <c r="O595" s="160"/>
      <c r="P595" s="160"/>
      <c r="Q595" s="160"/>
      <c r="R595" s="160"/>
      <c r="T595" s="160"/>
      <c r="U595" s="160"/>
      <c r="V595" s="160"/>
      <c r="X595" s="160"/>
      <c r="Z595" s="160"/>
      <c r="AA595" s="160"/>
      <c r="AB595" s="160"/>
    </row>
    <row r="596" spans="2:28" ht="27.75" hidden="1" customHeight="1" x14ac:dyDescent="0.2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0"/>
      <c r="O596" s="160"/>
      <c r="P596" s="160"/>
      <c r="Q596" s="160"/>
      <c r="R596" s="160"/>
      <c r="T596" s="160"/>
      <c r="U596" s="160"/>
      <c r="V596" s="160"/>
      <c r="X596" s="160"/>
      <c r="Z596" s="160"/>
      <c r="AA596" s="160"/>
      <c r="AB596" s="160"/>
    </row>
    <row r="597" spans="2:28" ht="27.75" hidden="1" customHeight="1" x14ac:dyDescent="0.2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0"/>
      <c r="O597" s="160"/>
      <c r="P597" s="160"/>
      <c r="Q597" s="160"/>
      <c r="R597" s="160"/>
      <c r="T597" s="160"/>
      <c r="U597" s="160"/>
      <c r="V597" s="160"/>
      <c r="X597" s="160"/>
      <c r="Z597" s="160"/>
      <c r="AA597" s="160"/>
      <c r="AB597" s="160"/>
    </row>
    <row r="598" spans="2:28" ht="27.75" hidden="1" customHeight="1" x14ac:dyDescent="0.2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0"/>
      <c r="O598" s="160"/>
      <c r="P598" s="160"/>
      <c r="Q598" s="160"/>
      <c r="R598" s="160"/>
      <c r="T598" s="160"/>
      <c r="U598" s="160"/>
      <c r="V598" s="160"/>
      <c r="X598" s="160"/>
      <c r="Z598" s="160"/>
      <c r="AA598" s="160"/>
      <c r="AB598" s="160"/>
    </row>
    <row r="599" spans="2:28" ht="27.75" hidden="1" customHeight="1" x14ac:dyDescent="0.2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0"/>
      <c r="O599" s="160"/>
      <c r="P599" s="160"/>
      <c r="Q599" s="160"/>
      <c r="R599" s="160"/>
      <c r="T599" s="160"/>
      <c r="U599" s="160"/>
      <c r="V599" s="160"/>
      <c r="X599" s="160"/>
      <c r="Z599" s="160"/>
      <c r="AA599" s="160"/>
      <c r="AB599" s="160"/>
    </row>
    <row r="600" spans="2:28" ht="27.75" hidden="1" customHeight="1" x14ac:dyDescent="0.2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0"/>
      <c r="O600" s="160"/>
      <c r="P600" s="160"/>
      <c r="Q600" s="160"/>
      <c r="R600" s="160"/>
      <c r="T600" s="160"/>
      <c r="U600" s="160"/>
      <c r="V600" s="160"/>
      <c r="X600" s="160"/>
      <c r="Z600" s="160"/>
      <c r="AA600" s="160"/>
      <c r="AB600" s="160"/>
    </row>
    <row r="601" spans="2:28" ht="27.75" hidden="1" customHeight="1" x14ac:dyDescent="0.2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0"/>
      <c r="O601" s="160"/>
      <c r="P601" s="160"/>
      <c r="Q601" s="160"/>
      <c r="R601" s="160"/>
      <c r="T601" s="160"/>
      <c r="U601" s="160"/>
      <c r="V601" s="160"/>
      <c r="X601" s="160"/>
      <c r="Z601" s="160"/>
      <c r="AA601" s="160"/>
      <c r="AB601" s="160"/>
    </row>
    <row r="602" spans="2:28" ht="27.75" hidden="1" customHeight="1" x14ac:dyDescent="0.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0"/>
      <c r="O602" s="160"/>
      <c r="P602" s="160"/>
      <c r="Q602" s="160"/>
      <c r="R602" s="160"/>
      <c r="T602" s="160"/>
      <c r="U602" s="160"/>
      <c r="V602" s="160"/>
      <c r="X602" s="160"/>
      <c r="Z602" s="160"/>
      <c r="AA602" s="160"/>
      <c r="AB602" s="160"/>
    </row>
    <row r="603" spans="2:28" ht="27.75" hidden="1" customHeight="1" x14ac:dyDescent="0.2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0"/>
      <c r="O603" s="160"/>
      <c r="P603" s="160"/>
      <c r="Q603" s="160"/>
      <c r="R603" s="160"/>
      <c r="T603" s="160"/>
      <c r="U603" s="160"/>
      <c r="V603" s="160"/>
      <c r="X603" s="160"/>
      <c r="Z603" s="160"/>
      <c r="AA603" s="160"/>
      <c r="AB603" s="160"/>
    </row>
    <row r="604" spans="2:28" ht="27.75" hidden="1" customHeight="1" x14ac:dyDescent="0.2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0"/>
      <c r="O604" s="160"/>
      <c r="P604" s="160"/>
      <c r="Q604" s="160"/>
      <c r="R604" s="160"/>
      <c r="T604" s="160"/>
      <c r="U604" s="160"/>
      <c r="V604" s="160"/>
      <c r="X604" s="160"/>
      <c r="Z604" s="160"/>
      <c r="AA604" s="160"/>
      <c r="AB604" s="160"/>
    </row>
    <row r="605" spans="2:28" ht="27.75" hidden="1" customHeight="1" x14ac:dyDescent="0.2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0"/>
      <c r="O605" s="160"/>
      <c r="P605" s="160"/>
      <c r="Q605" s="160"/>
      <c r="R605" s="160"/>
      <c r="T605" s="160"/>
      <c r="U605" s="160"/>
      <c r="V605" s="160"/>
      <c r="X605" s="160"/>
      <c r="Z605" s="160"/>
      <c r="AA605" s="160"/>
      <c r="AB605" s="160"/>
    </row>
    <row r="606" spans="2:28" ht="27.75" hidden="1" customHeight="1" x14ac:dyDescent="0.2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0"/>
      <c r="O606" s="160"/>
      <c r="P606" s="160"/>
      <c r="Q606" s="160"/>
      <c r="R606" s="160"/>
      <c r="T606" s="160"/>
      <c r="U606" s="160"/>
      <c r="V606" s="160"/>
      <c r="X606" s="160"/>
      <c r="Z606" s="160"/>
      <c r="AA606" s="160"/>
      <c r="AB606" s="160"/>
    </row>
    <row r="607" spans="2:28" ht="27.75" hidden="1" customHeight="1" x14ac:dyDescent="0.2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0"/>
      <c r="O607" s="160"/>
      <c r="P607" s="160"/>
      <c r="Q607" s="160"/>
      <c r="R607" s="160"/>
      <c r="T607" s="160"/>
      <c r="U607" s="160"/>
      <c r="V607" s="160"/>
      <c r="X607" s="160"/>
      <c r="Z607" s="160"/>
      <c r="AA607" s="160"/>
      <c r="AB607" s="160"/>
    </row>
    <row r="608" spans="2:28" ht="27.75" hidden="1" customHeight="1" x14ac:dyDescent="0.2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0"/>
      <c r="O608" s="160"/>
      <c r="P608" s="160"/>
      <c r="Q608" s="160"/>
      <c r="R608" s="160"/>
      <c r="T608" s="160"/>
      <c r="U608" s="160"/>
      <c r="V608" s="160"/>
      <c r="X608" s="160"/>
      <c r="Z608" s="160"/>
      <c r="AA608" s="160"/>
      <c r="AB608" s="160"/>
    </row>
    <row r="609" spans="2:28" ht="27.75" hidden="1" customHeight="1" x14ac:dyDescent="0.2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0"/>
      <c r="O609" s="160"/>
      <c r="P609" s="160"/>
      <c r="Q609" s="160"/>
      <c r="R609" s="160"/>
      <c r="T609" s="160"/>
      <c r="U609" s="160"/>
      <c r="V609" s="160"/>
      <c r="X609" s="160"/>
      <c r="Z609" s="160"/>
      <c r="AA609" s="160"/>
      <c r="AB609" s="160"/>
    </row>
    <row r="610" spans="2:28" ht="27.75" hidden="1" customHeight="1" x14ac:dyDescent="0.2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0"/>
      <c r="O610" s="160"/>
      <c r="P610" s="160"/>
      <c r="Q610" s="160"/>
      <c r="R610" s="160"/>
      <c r="T610" s="160"/>
      <c r="U610" s="160"/>
      <c r="V610" s="160"/>
      <c r="X610" s="160"/>
      <c r="Z610" s="160"/>
      <c r="AA610" s="160"/>
      <c r="AB610" s="160"/>
    </row>
    <row r="611" spans="2:28" ht="27.75" hidden="1" customHeight="1" x14ac:dyDescent="0.2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0"/>
      <c r="O611" s="160"/>
      <c r="P611" s="160"/>
      <c r="Q611" s="160"/>
      <c r="R611" s="160"/>
      <c r="T611" s="160"/>
      <c r="U611" s="160"/>
      <c r="V611" s="160"/>
      <c r="X611" s="160"/>
      <c r="Z611" s="160"/>
      <c r="AA611" s="160"/>
      <c r="AB611" s="160"/>
    </row>
    <row r="612" spans="2:28" ht="27.75" hidden="1" customHeight="1" x14ac:dyDescent="0.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0"/>
      <c r="O612" s="160"/>
      <c r="P612" s="160"/>
      <c r="Q612" s="160"/>
      <c r="R612" s="160"/>
      <c r="T612" s="160"/>
      <c r="U612" s="160"/>
      <c r="V612" s="160"/>
      <c r="X612" s="160"/>
      <c r="Z612" s="160"/>
      <c r="AA612" s="160"/>
      <c r="AB612" s="160"/>
    </row>
    <row r="613" spans="2:28" ht="27.75" hidden="1" customHeight="1" x14ac:dyDescent="0.2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0"/>
      <c r="O613" s="160"/>
      <c r="P613" s="160"/>
      <c r="Q613" s="160"/>
      <c r="R613" s="160"/>
      <c r="T613" s="160"/>
      <c r="U613" s="160"/>
      <c r="V613" s="160"/>
      <c r="X613" s="160"/>
      <c r="Z613" s="160"/>
      <c r="AA613" s="160"/>
      <c r="AB613" s="160"/>
    </row>
    <row r="614" spans="2:28" ht="27.75" hidden="1" customHeight="1" x14ac:dyDescent="0.2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0"/>
      <c r="O614" s="160"/>
      <c r="P614" s="160"/>
      <c r="Q614" s="160"/>
      <c r="R614" s="160"/>
      <c r="T614" s="160"/>
      <c r="U614" s="160"/>
      <c r="V614" s="160"/>
      <c r="X614" s="160"/>
      <c r="Z614" s="160"/>
      <c r="AA614" s="160"/>
      <c r="AB614" s="160"/>
    </row>
    <row r="615" spans="2:28" ht="27.75" hidden="1" customHeight="1" x14ac:dyDescent="0.2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0"/>
      <c r="O615" s="160"/>
      <c r="P615" s="160"/>
      <c r="Q615" s="160"/>
      <c r="R615" s="160"/>
      <c r="T615" s="160"/>
      <c r="U615" s="160"/>
      <c r="V615" s="160"/>
      <c r="X615" s="160"/>
      <c r="Z615" s="160"/>
      <c r="AA615" s="160"/>
      <c r="AB615" s="160"/>
    </row>
    <row r="616" spans="2:28" ht="27.75" hidden="1" customHeight="1" x14ac:dyDescent="0.2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0"/>
      <c r="O616" s="160"/>
      <c r="P616" s="160"/>
      <c r="Q616" s="160"/>
      <c r="R616" s="160"/>
      <c r="T616" s="160"/>
      <c r="U616" s="160"/>
      <c r="V616" s="160"/>
      <c r="X616" s="160"/>
      <c r="Z616" s="160"/>
      <c r="AA616" s="160"/>
      <c r="AB616" s="160"/>
    </row>
    <row r="617" spans="2:28" ht="27.75" hidden="1" customHeight="1" x14ac:dyDescent="0.2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0"/>
      <c r="O617" s="160"/>
      <c r="P617" s="160"/>
      <c r="Q617" s="160"/>
      <c r="R617" s="160"/>
      <c r="T617" s="160"/>
      <c r="U617" s="160"/>
      <c r="V617" s="160"/>
      <c r="X617" s="160"/>
      <c r="Z617" s="160"/>
      <c r="AA617" s="160"/>
      <c r="AB617" s="160"/>
    </row>
    <row r="618" spans="2:28" ht="27.75" hidden="1" customHeight="1" x14ac:dyDescent="0.2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0"/>
      <c r="O618" s="160"/>
      <c r="P618" s="160"/>
      <c r="Q618" s="160"/>
      <c r="R618" s="160"/>
      <c r="T618" s="160"/>
      <c r="U618" s="160"/>
      <c r="V618" s="160"/>
      <c r="X618" s="160"/>
      <c r="Z618" s="160"/>
      <c r="AA618" s="160"/>
      <c r="AB618" s="160"/>
    </row>
    <row r="619" spans="2:28" ht="27.75" hidden="1" customHeight="1" x14ac:dyDescent="0.2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0"/>
      <c r="O619" s="160"/>
      <c r="P619" s="160"/>
      <c r="Q619" s="160"/>
      <c r="R619" s="160"/>
      <c r="T619" s="160"/>
      <c r="U619" s="160"/>
      <c r="V619" s="160"/>
      <c r="X619" s="160"/>
      <c r="Z619" s="160"/>
      <c r="AA619" s="160"/>
      <c r="AB619" s="160"/>
    </row>
    <row r="620" spans="2:28" ht="27.75" hidden="1" customHeight="1" x14ac:dyDescent="0.2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0"/>
      <c r="O620" s="160"/>
      <c r="P620" s="160"/>
      <c r="Q620" s="160"/>
      <c r="R620" s="160"/>
      <c r="T620" s="160"/>
      <c r="U620" s="160"/>
      <c r="V620" s="160"/>
      <c r="X620" s="160"/>
      <c r="Z620" s="160"/>
      <c r="AA620" s="160"/>
      <c r="AB620" s="160"/>
    </row>
    <row r="621" spans="2:28" ht="27.75" hidden="1" customHeight="1" x14ac:dyDescent="0.2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0"/>
      <c r="O621" s="160"/>
      <c r="P621" s="160"/>
      <c r="Q621" s="160"/>
      <c r="R621" s="160"/>
      <c r="T621" s="160"/>
      <c r="U621" s="160"/>
      <c r="V621" s="160"/>
      <c r="X621" s="160"/>
      <c r="Z621" s="160"/>
      <c r="AA621" s="160"/>
      <c r="AB621" s="160"/>
    </row>
    <row r="622" spans="2:28" ht="27.75" hidden="1" customHeight="1" x14ac:dyDescent="0.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0"/>
      <c r="O622" s="160"/>
      <c r="P622" s="160"/>
      <c r="Q622" s="160"/>
      <c r="R622" s="160"/>
      <c r="T622" s="160"/>
      <c r="U622" s="160"/>
      <c r="V622" s="160"/>
      <c r="X622" s="160"/>
      <c r="Z622" s="160"/>
      <c r="AA622" s="160"/>
      <c r="AB622" s="160"/>
    </row>
    <row r="623" spans="2:28" ht="27.75" hidden="1" customHeight="1" x14ac:dyDescent="0.2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0"/>
      <c r="O623" s="160"/>
      <c r="P623" s="160"/>
      <c r="Q623" s="160"/>
      <c r="R623" s="160"/>
      <c r="T623" s="160"/>
      <c r="U623" s="160"/>
      <c r="V623" s="160"/>
      <c r="X623" s="160"/>
      <c r="Z623" s="160"/>
      <c r="AA623" s="160"/>
      <c r="AB623" s="160"/>
    </row>
    <row r="624" spans="2:28" ht="27.75" hidden="1" customHeight="1" x14ac:dyDescent="0.2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0"/>
      <c r="O624" s="160"/>
      <c r="P624" s="160"/>
      <c r="Q624" s="160"/>
      <c r="R624" s="160"/>
      <c r="T624" s="160"/>
      <c r="U624" s="160"/>
      <c r="V624" s="160"/>
      <c r="X624" s="160"/>
      <c r="Z624" s="160"/>
      <c r="AA624" s="160"/>
      <c r="AB624" s="160"/>
    </row>
    <row r="625" spans="2:28" ht="27.75" hidden="1" customHeight="1" x14ac:dyDescent="0.2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0"/>
      <c r="O625" s="160"/>
      <c r="P625" s="160"/>
      <c r="Q625" s="160"/>
      <c r="R625" s="160"/>
      <c r="T625" s="160"/>
      <c r="U625" s="160"/>
      <c r="V625" s="160"/>
      <c r="X625" s="160"/>
      <c r="Z625" s="160"/>
      <c r="AA625" s="160"/>
      <c r="AB625" s="160"/>
    </row>
    <row r="626" spans="2:28" ht="27.75" hidden="1" customHeight="1" x14ac:dyDescent="0.2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0"/>
      <c r="O626" s="160"/>
      <c r="P626" s="160"/>
      <c r="Q626" s="160"/>
      <c r="R626" s="160"/>
      <c r="T626" s="160"/>
      <c r="U626" s="160"/>
      <c r="V626" s="160"/>
      <c r="X626" s="160"/>
      <c r="Z626" s="160"/>
      <c r="AA626" s="160"/>
      <c r="AB626" s="160"/>
    </row>
    <row r="627" spans="2:28" ht="27.75" hidden="1" customHeight="1" x14ac:dyDescent="0.2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0"/>
      <c r="O627" s="160"/>
      <c r="P627" s="160"/>
      <c r="Q627" s="160"/>
      <c r="R627" s="160"/>
      <c r="T627" s="160"/>
      <c r="U627" s="160"/>
      <c r="V627" s="160"/>
      <c r="X627" s="160"/>
      <c r="Z627" s="160"/>
      <c r="AA627" s="160"/>
      <c r="AB627" s="160"/>
    </row>
    <row r="628" spans="2:28" ht="27.75" hidden="1" customHeight="1" x14ac:dyDescent="0.2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0"/>
      <c r="O628" s="160"/>
      <c r="P628" s="160"/>
      <c r="Q628" s="160"/>
      <c r="R628" s="160"/>
      <c r="T628" s="160"/>
      <c r="U628" s="160"/>
      <c r="V628" s="160"/>
      <c r="X628" s="160"/>
      <c r="Z628" s="160"/>
      <c r="AA628" s="160"/>
      <c r="AB628" s="160"/>
    </row>
    <row r="629" spans="2:28" ht="27.75" hidden="1" customHeight="1" x14ac:dyDescent="0.2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0"/>
      <c r="O629" s="160"/>
      <c r="P629" s="160"/>
      <c r="Q629" s="160"/>
      <c r="R629" s="160"/>
      <c r="T629" s="160"/>
      <c r="U629" s="160"/>
      <c r="V629" s="160"/>
      <c r="X629" s="160"/>
      <c r="Z629" s="160"/>
      <c r="AA629" s="160"/>
      <c r="AB629" s="160"/>
    </row>
    <row r="630" spans="2:28" ht="27.75" hidden="1" customHeight="1" x14ac:dyDescent="0.2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0"/>
      <c r="O630" s="160"/>
      <c r="P630" s="160"/>
      <c r="Q630" s="160"/>
      <c r="R630" s="160"/>
      <c r="T630" s="160"/>
      <c r="U630" s="160"/>
      <c r="V630" s="160"/>
      <c r="X630" s="160"/>
      <c r="Z630" s="160"/>
      <c r="AA630" s="160"/>
      <c r="AB630" s="160"/>
    </row>
    <row r="631" spans="2:28" ht="27.75" hidden="1" customHeight="1" x14ac:dyDescent="0.2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0"/>
      <c r="O631" s="160"/>
      <c r="P631" s="160"/>
      <c r="Q631" s="160"/>
      <c r="R631" s="160"/>
      <c r="T631" s="160"/>
      <c r="U631" s="160"/>
      <c r="V631" s="160"/>
      <c r="X631" s="160"/>
      <c r="Z631" s="160"/>
      <c r="AA631" s="160"/>
      <c r="AB631" s="160"/>
    </row>
    <row r="632" spans="2:28" ht="27.75" hidden="1" customHeight="1" x14ac:dyDescent="0.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0"/>
      <c r="O632" s="160"/>
      <c r="P632" s="160"/>
      <c r="Q632" s="160"/>
      <c r="R632" s="160"/>
      <c r="T632" s="160"/>
      <c r="U632" s="160"/>
      <c r="V632" s="160"/>
      <c r="X632" s="160"/>
      <c r="Z632" s="160"/>
      <c r="AA632" s="160"/>
      <c r="AB632" s="160"/>
    </row>
    <row r="633" spans="2:28" ht="27.75" hidden="1" customHeight="1" x14ac:dyDescent="0.2"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0"/>
      <c r="O633" s="160"/>
      <c r="P633" s="160"/>
      <c r="Q633" s="160"/>
      <c r="R633" s="160"/>
      <c r="T633" s="160"/>
      <c r="U633" s="160"/>
      <c r="V633" s="160"/>
      <c r="X633" s="160"/>
      <c r="Z633" s="160"/>
      <c r="AA633" s="160"/>
      <c r="AB633" s="160"/>
    </row>
    <row r="634" spans="2:28" ht="27.75" hidden="1" customHeight="1" x14ac:dyDescent="0.2"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0"/>
      <c r="O634" s="160"/>
      <c r="P634" s="160"/>
      <c r="Q634" s="160"/>
      <c r="R634" s="160"/>
      <c r="T634" s="160"/>
      <c r="U634" s="160"/>
      <c r="V634" s="160"/>
      <c r="X634" s="160"/>
      <c r="Z634" s="160"/>
      <c r="AA634" s="160"/>
      <c r="AB634" s="160"/>
    </row>
    <row r="635" spans="2:28" ht="27.75" hidden="1" customHeight="1" x14ac:dyDescent="0.2"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0"/>
      <c r="O635" s="160"/>
      <c r="P635" s="160"/>
      <c r="Q635" s="160"/>
      <c r="R635" s="160"/>
      <c r="T635" s="160"/>
      <c r="U635" s="160"/>
      <c r="V635" s="160"/>
      <c r="X635" s="160"/>
      <c r="Z635" s="160"/>
      <c r="AA635" s="160"/>
      <c r="AB635" s="160"/>
    </row>
    <row r="636" spans="2:28" ht="27.75" hidden="1" customHeight="1" x14ac:dyDescent="0.2"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0"/>
      <c r="O636" s="160"/>
      <c r="P636" s="160"/>
      <c r="Q636" s="160"/>
      <c r="R636" s="160"/>
      <c r="T636" s="160"/>
      <c r="U636" s="160"/>
      <c r="V636" s="160"/>
      <c r="X636" s="160"/>
      <c r="Z636" s="160"/>
      <c r="AA636" s="160"/>
      <c r="AB636" s="160"/>
    </row>
    <row r="637" spans="2:28" ht="27.75" hidden="1" customHeight="1" x14ac:dyDescent="0.2"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0"/>
      <c r="O637" s="160"/>
      <c r="P637" s="160"/>
      <c r="Q637" s="160"/>
      <c r="R637" s="160"/>
      <c r="T637" s="160"/>
      <c r="U637" s="160"/>
      <c r="V637" s="160"/>
      <c r="X637" s="160"/>
      <c r="Z637" s="160"/>
      <c r="AA637" s="160"/>
      <c r="AB637" s="160"/>
    </row>
    <row r="638" spans="2:28" ht="27.75" hidden="1" customHeight="1" x14ac:dyDescent="0.2"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0"/>
      <c r="O638" s="160"/>
      <c r="P638" s="160"/>
      <c r="Q638" s="160"/>
      <c r="R638" s="160"/>
      <c r="T638" s="160"/>
      <c r="U638" s="160"/>
      <c r="V638" s="160"/>
      <c r="X638" s="160"/>
      <c r="Z638" s="160"/>
      <c r="AA638" s="160"/>
      <c r="AB638" s="160"/>
    </row>
    <row r="639" spans="2:28" ht="27.75" hidden="1" customHeight="1" x14ac:dyDescent="0.2"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0"/>
      <c r="O639" s="160"/>
      <c r="P639" s="160"/>
      <c r="Q639" s="160"/>
      <c r="R639" s="160"/>
      <c r="T639" s="160"/>
      <c r="U639" s="160"/>
      <c r="V639" s="160"/>
      <c r="X639" s="160"/>
      <c r="Z639" s="160"/>
      <c r="AA639" s="160"/>
      <c r="AB639" s="160"/>
    </row>
    <row r="640" spans="2:28" ht="27.75" hidden="1" customHeight="1" x14ac:dyDescent="0.2"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0"/>
      <c r="O640" s="160"/>
      <c r="P640" s="160"/>
      <c r="Q640" s="160"/>
      <c r="R640" s="160"/>
      <c r="T640" s="160"/>
      <c r="U640" s="160"/>
      <c r="V640" s="160"/>
      <c r="X640" s="160"/>
      <c r="Z640" s="160"/>
      <c r="AA640" s="160"/>
      <c r="AB640" s="160"/>
    </row>
    <row r="641" spans="2:28" ht="27.75" hidden="1" customHeight="1" x14ac:dyDescent="0.2"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0"/>
      <c r="O641" s="160"/>
      <c r="P641" s="160"/>
      <c r="Q641" s="160"/>
      <c r="R641" s="160"/>
      <c r="T641" s="160"/>
      <c r="U641" s="160"/>
      <c r="V641" s="160"/>
      <c r="X641" s="160"/>
      <c r="Z641" s="160"/>
      <c r="AA641" s="160"/>
      <c r="AB641" s="160"/>
    </row>
    <row r="642" spans="2:28" ht="27.75" hidden="1" customHeight="1" x14ac:dyDescent="0.2"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0"/>
      <c r="O642" s="160"/>
      <c r="P642" s="160"/>
      <c r="Q642" s="160"/>
      <c r="R642" s="160"/>
      <c r="T642" s="160"/>
      <c r="U642" s="160"/>
      <c r="V642" s="160"/>
      <c r="X642" s="160"/>
      <c r="Z642" s="160"/>
      <c r="AA642" s="160"/>
      <c r="AB642" s="160"/>
    </row>
    <row r="643" spans="2:28" ht="27.75" hidden="1" customHeight="1" x14ac:dyDescent="0.2"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0"/>
      <c r="O643" s="160"/>
      <c r="P643" s="160"/>
      <c r="Q643" s="160"/>
      <c r="R643" s="160"/>
      <c r="T643" s="160"/>
      <c r="U643" s="160"/>
      <c r="V643" s="160"/>
      <c r="X643" s="160"/>
      <c r="Z643" s="160"/>
      <c r="AA643" s="160"/>
      <c r="AB643" s="160"/>
    </row>
    <row r="644" spans="2:28" ht="27.75" hidden="1" customHeight="1" x14ac:dyDescent="0.2"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0"/>
      <c r="O644" s="160"/>
      <c r="P644" s="160"/>
      <c r="Q644" s="160"/>
      <c r="R644" s="160"/>
      <c r="T644" s="160"/>
      <c r="U644" s="160"/>
      <c r="V644" s="160"/>
      <c r="X644" s="160"/>
      <c r="Z644" s="160"/>
      <c r="AA644" s="160"/>
      <c r="AB644" s="160"/>
    </row>
    <row r="645" spans="2:28" ht="27.75" hidden="1" customHeight="1" x14ac:dyDescent="0.2"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0"/>
      <c r="O645" s="160"/>
      <c r="P645" s="160"/>
      <c r="Q645" s="160"/>
      <c r="R645" s="160"/>
      <c r="T645" s="160"/>
      <c r="U645" s="160"/>
      <c r="V645" s="160"/>
      <c r="X645" s="160"/>
      <c r="Z645" s="160"/>
      <c r="AA645" s="160"/>
      <c r="AB645" s="160"/>
    </row>
    <row r="646" spans="2:28" ht="27.75" hidden="1" customHeight="1" x14ac:dyDescent="0.2"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0"/>
      <c r="O646" s="160"/>
      <c r="P646" s="160"/>
      <c r="Q646" s="160"/>
      <c r="R646" s="160"/>
      <c r="T646" s="160"/>
      <c r="U646" s="160"/>
      <c r="V646" s="160"/>
      <c r="X646" s="160"/>
      <c r="Z646" s="160"/>
      <c r="AA646" s="160"/>
      <c r="AB646" s="160"/>
    </row>
    <row r="647" spans="2:28" ht="27.75" hidden="1" customHeight="1" x14ac:dyDescent="0.2"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0"/>
      <c r="O647" s="160"/>
      <c r="P647" s="160"/>
      <c r="Q647" s="160"/>
      <c r="R647" s="160"/>
      <c r="T647" s="160"/>
      <c r="U647" s="160"/>
      <c r="V647" s="160"/>
      <c r="X647" s="160"/>
      <c r="Z647" s="160"/>
      <c r="AA647" s="160"/>
      <c r="AB647" s="160"/>
    </row>
    <row r="648" spans="2:28" ht="27.75" hidden="1" customHeight="1" x14ac:dyDescent="0.2"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0"/>
      <c r="O648" s="160"/>
      <c r="P648" s="160"/>
      <c r="Q648" s="160"/>
      <c r="R648" s="160"/>
      <c r="T648" s="160"/>
      <c r="U648" s="160"/>
      <c r="V648" s="160"/>
      <c r="X648" s="160"/>
      <c r="Z648" s="160"/>
      <c r="AA648" s="160"/>
      <c r="AB648" s="160"/>
    </row>
    <row r="649" spans="2:28" ht="27.75" hidden="1" customHeight="1" x14ac:dyDescent="0.2"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0"/>
      <c r="O649" s="160"/>
      <c r="P649" s="160"/>
      <c r="Q649" s="160"/>
      <c r="R649" s="160"/>
      <c r="T649" s="160"/>
      <c r="U649" s="160"/>
      <c r="V649" s="160"/>
      <c r="X649" s="160"/>
      <c r="Z649" s="160"/>
      <c r="AA649" s="160"/>
      <c r="AB649" s="160"/>
    </row>
    <row r="650" spans="2:28" ht="27.75" hidden="1" customHeight="1" x14ac:dyDescent="0.2"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0"/>
      <c r="O650" s="160"/>
      <c r="P650" s="160"/>
      <c r="Q650" s="160"/>
      <c r="R650" s="160"/>
      <c r="T650" s="160"/>
      <c r="U650" s="160"/>
      <c r="V650" s="160"/>
      <c r="X650" s="160"/>
      <c r="Z650" s="160"/>
      <c r="AA650" s="160"/>
      <c r="AB650" s="160"/>
    </row>
    <row r="651" spans="2:28" ht="27.75" hidden="1" customHeight="1" x14ac:dyDescent="0.2"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0"/>
      <c r="O651" s="160"/>
      <c r="P651" s="160"/>
      <c r="Q651" s="160"/>
      <c r="R651" s="160"/>
      <c r="T651" s="160"/>
      <c r="U651" s="160"/>
      <c r="V651" s="160"/>
      <c r="X651" s="160"/>
      <c r="Z651" s="160"/>
      <c r="AA651" s="160"/>
      <c r="AB651" s="160"/>
    </row>
    <row r="652" spans="2:28" ht="27.75" hidden="1" customHeight="1" x14ac:dyDescent="0.2"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0"/>
      <c r="O652" s="160"/>
      <c r="P652" s="160"/>
      <c r="Q652" s="160"/>
      <c r="R652" s="160"/>
      <c r="T652" s="160"/>
      <c r="U652" s="160"/>
      <c r="V652" s="160"/>
      <c r="X652" s="160"/>
      <c r="Z652" s="160"/>
      <c r="AA652" s="160"/>
      <c r="AB652" s="160"/>
    </row>
    <row r="653" spans="2:28" ht="27.75" hidden="1" customHeight="1" x14ac:dyDescent="0.2"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0"/>
      <c r="O653" s="160"/>
      <c r="P653" s="160"/>
      <c r="Q653" s="160"/>
      <c r="R653" s="160"/>
      <c r="T653" s="160"/>
      <c r="U653" s="160"/>
      <c r="V653" s="160"/>
      <c r="X653" s="160"/>
      <c r="Z653" s="160"/>
      <c r="AA653" s="160"/>
      <c r="AB653" s="160"/>
    </row>
    <row r="654" spans="2:28" ht="27.75" hidden="1" customHeight="1" x14ac:dyDescent="0.2"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0"/>
      <c r="O654" s="160"/>
      <c r="P654" s="160"/>
      <c r="Q654" s="160"/>
      <c r="R654" s="160"/>
      <c r="T654" s="160"/>
      <c r="U654" s="160"/>
      <c r="V654" s="160"/>
      <c r="X654" s="160"/>
      <c r="Z654" s="160"/>
      <c r="AA654" s="160"/>
      <c r="AB654" s="160"/>
    </row>
    <row r="655" spans="2:28" ht="27.75" hidden="1" customHeight="1" x14ac:dyDescent="0.2"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0"/>
      <c r="O655" s="160"/>
      <c r="P655" s="160"/>
      <c r="Q655" s="160"/>
      <c r="R655" s="160"/>
      <c r="T655" s="160"/>
      <c r="U655" s="160"/>
      <c r="V655" s="160"/>
      <c r="X655" s="160"/>
      <c r="Z655" s="160"/>
      <c r="AA655" s="160"/>
      <c r="AB655" s="160"/>
    </row>
    <row r="656" spans="2:28" ht="27.75" hidden="1" customHeight="1" x14ac:dyDescent="0.2"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0"/>
      <c r="O656" s="160"/>
      <c r="P656" s="160"/>
      <c r="Q656" s="160"/>
      <c r="R656" s="160"/>
      <c r="T656" s="160"/>
      <c r="U656" s="160"/>
      <c r="V656" s="160"/>
      <c r="X656" s="160"/>
      <c r="Z656" s="160"/>
      <c r="AA656" s="160"/>
      <c r="AB656" s="160"/>
    </row>
    <row r="657" spans="2:28" ht="27.75" hidden="1" customHeight="1" x14ac:dyDescent="0.2"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0"/>
      <c r="O657" s="160"/>
      <c r="P657" s="160"/>
      <c r="Q657" s="160"/>
      <c r="R657" s="160"/>
      <c r="T657" s="160"/>
      <c r="U657" s="160"/>
      <c r="V657" s="160"/>
      <c r="X657" s="160"/>
      <c r="Z657" s="160"/>
      <c r="AA657" s="160"/>
      <c r="AB657" s="160"/>
    </row>
    <row r="658" spans="2:28" ht="27.75" hidden="1" customHeight="1" x14ac:dyDescent="0.2"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0"/>
      <c r="O658" s="160"/>
      <c r="P658" s="160"/>
      <c r="Q658" s="160"/>
      <c r="R658" s="160"/>
      <c r="T658" s="160"/>
      <c r="U658" s="160"/>
      <c r="V658" s="160"/>
      <c r="X658" s="160"/>
      <c r="Z658" s="160"/>
      <c r="AA658" s="160"/>
      <c r="AB658" s="160"/>
    </row>
    <row r="659" spans="2:28" ht="27.75" hidden="1" customHeight="1" x14ac:dyDescent="0.2"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0"/>
      <c r="O659" s="160"/>
      <c r="P659" s="160"/>
      <c r="Q659" s="160"/>
      <c r="R659" s="160"/>
      <c r="T659" s="160"/>
      <c r="U659" s="160"/>
      <c r="V659" s="160"/>
      <c r="X659" s="160"/>
      <c r="Z659" s="160"/>
      <c r="AA659" s="160"/>
      <c r="AB659" s="160"/>
    </row>
    <row r="660" spans="2:28" ht="27.75" hidden="1" customHeight="1" x14ac:dyDescent="0.2"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0"/>
      <c r="O660" s="160"/>
      <c r="P660" s="160"/>
      <c r="Q660" s="160"/>
      <c r="R660" s="160"/>
      <c r="T660" s="160"/>
      <c r="U660" s="160"/>
      <c r="V660" s="160"/>
      <c r="X660" s="160"/>
      <c r="Z660" s="160"/>
      <c r="AA660" s="160"/>
      <c r="AB660" s="160"/>
    </row>
    <row r="661" spans="2:28" ht="27.75" hidden="1" customHeight="1" x14ac:dyDescent="0.2"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0"/>
      <c r="O661" s="160"/>
      <c r="P661" s="160"/>
      <c r="Q661" s="160"/>
      <c r="R661" s="160"/>
      <c r="T661" s="160"/>
      <c r="U661" s="160"/>
      <c r="V661" s="160"/>
      <c r="X661" s="160"/>
      <c r="Z661" s="160"/>
      <c r="AA661" s="160"/>
      <c r="AB661" s="160"/>
    </row>
    <row r="662" spans="2:28" ht="27.75" hidden="1" customHeight="1" x14ac:dyDescent="0.2"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0"/>
      <c r="O662" s="160"/>
      <c r="P662" s="160"/>
      <c r="Q662" s="160"/>
      <c r="R662" s="160"/>
      <c r="T662" s="160"/>
      <c r="U662" s="160"/>
      <c r="V662" s="160"/>
      <c r="X662" s="160"/>
      <c r="Z662" s="160"/>
      <c r="AA662" s="160"/>
      <c r="AB662" s="160"/>
    </row>
    <row r="663" spans="2:28" ht="27.75" hidden="1" customHeight="1" x14ac:dyDescent="0.2"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0"/>
      <c r="O663" s="160"/>
      <c r="P663" s="160"/>
      <c r="Q663" s="160"/>
      <c r="R663" s="160"/>
      <c r="T663" s="160"/>
      <c r="U663" s="160"/>
      <c r="V663" s="160"/>
      <c r="X663" s="160"/>
      <c r="Z663" s="160"/>
      <c r="AA663" s="160"/>
      <c r="AB663" s="160"/>
    </row>
    <row r="664" spans="2:28" ht="27.75" hidden="1" customHeight="1" x14ac:dyDescent="0.2"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0"/>
      <c r="O664" s="160"/>
      <c r="P664" s="160"/>
      <c r="Q664" s="160"/>
      <c r="R664" s="160"/>
      <c r="T664" s="160"/>
      <c r="U664" s="160"/>
      <c r="V664" s="160"/>
      <c r="X664" s="160"/>
      <c r="Z664" s="160"/>
      <c r="AA664" s="160"/>
      <c r="AB664" s="160"/>
    </row>
    <row r="665" spans="2:28" ht="27.75" hidden="1" customHeight="1" x14ac:dyDescent="0.2"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0"/>
      <c r="O665" s="160"/>
      <c r="P665" s="160"/>
      <c r="Q665" s="160"/>
      <c r="R665" s="160"/>
      <c r="T665" s="160"/>
      <c r="U665" s="160"/>
      <c r="V665" s="160"/>
      <c r="X665" s="160"/>
      <c r="Z665" s="160"/>
      <c r="AA665" s="160"/>
      <c r="AB665" s="160"/>
    </row>
    <row r="666" spans="2:28" ht="27.75" hidden="1" customHeight="1" x14ac:dyDescent="0.2"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0"/>
      <c r="O666" s="160"/>
      <c r="P666" s="160"/>
      <c r="Q666" s="160"/>
      <c r="R666" s="160"/>
      <c r="T666" s="160"/>
      <c r="U666" s="160"/>
      <c r="V666" s="160"/>
      <c r="X666" s="160"/>
      <c r="Z666" s="160"/>
      <c r="AA666" s="160"/>
      <c r="AB666" s="160"/>
    </row>
    <row r="667" spans="2:28" ht="27.75" hidden="1" customHeight="1" x14ac:dyDescent="0.2"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0"/>
      <c r="O667" s="160"/>
      <c r="P667" s="160"/>
      <c r="Q667" s="160"/>
      <c r="R667" s="160"/>
      <c r="T667" s="160"/>
      <c r="U667" s="160"/>
      <c r="V667" s="160"/>
      <c r="X667" s="160"/>
      <c r="Z667" s="160"/>
      <c r="AA667" s="160"/>
      <c r="AB667" s="160"/>
    </row>
    <row r="668" spans="2:28" ht="27.75" hidden="1" customHeight="1" x14ac:dyDescent="0.2"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0"/>
      <c r="O668" s="160"/>
      <c r="P668" s="160"/>
      <c r="Q668" s="160"/>
      <c r="R668" s="160"/>
      <c r="T668" s="160"/>
      <c r="U668" s="160"/>
      <c r="V668" s="160"/>
      <c r="X668" s="160"/>
      <c r="Z668" s="160"/>
      <c r="AA668" s="160"/>
      <c r="AB668" s="160"/>
    </row>
    <row r="669" spans="2:28" ht="27.75" hidden="1" customHeight="1" x14ac:dyDescent="0.2"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0"/>
      <c r="O669" s="160"/>
      <c r="P669" s="160"/>
      <c r="Q669" s="160"/>
      <c r="R669" s="160"/>
      <c r="T669" s="160"/>
      <c r="U669" s="160"/>
      <c r="V669" s="160"/>
      <c r="X669" s="160"/>
      <c r="Z669" s="160"/>
      <c r="AA669" s="160"/>
      <c r="AB669" s="160"/>
    </row>
    <row r="670" spans="2:28" ht="27.75" hidden="1" customHeight="1" x14ac:dyDescent="0.2"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0"/>
      <c r="O670" s="160"/>
      <c r="P670" s="160"/>
      <c r="Q670" s="160"/>
      <c r="R670" s="160"/>
      <c r="T670" s="160"/>
      <c r="U670" s="160"/>
      <c r="V670" s="160"/>
      <c r="X670" s="160"/>
      <c r="Z670" s="160"/>
      <c r="AA670" s="160"/>
      <c r="AB670" s="160"/>
    </row>
    <row r="671" spans="2:28" ht="27.75" hidden="1" customHeight="1" x14ac:dyDescent="0.2"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0"/>
      <c r="O671" s="160"/>
      <c r="P671" s="160"/>
      <c r="Q671" s="160"/>
      <c r="R671" s="160"/>
      <c r="T671" s="160"/>
      <c r="U671" s="160"/>
      <c r="V671" s="160"/>
      <c r="X671" s="160"/>
      <c r="Z671" s="160"/>
      <c r="AA671" s="160"/>
      <c r="AB671" s="160"/>
    </row>
    <row r="672" spans="2:28" ht="27.75" hidden="1" customHeight="1" x14ac:dyDescent="0.2"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0"/>
      <c r="O672" s="160"/>
      <c r="P672" s="160"/>
      <c r="Q672" s="160"/>
      <c r="R672" s="160"/>
      <c r="T672" s="160"/>
      <c r="U672" s="160"/>
      <c r="V672" s="160"/>
      <c r="X672" s="160"/>
      <c r="Z672" s="160"/>
      <c r="AA672" s="160"/>
      <c r="AB672" s="160"/>
    </row>
    <row r="673" spans="2:28" ht="27.75" hidden="1" customHeight="1" x14ac:dyDescent="0.2"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0"/>
      <c r="O673" s="160"/>
      <c r="P673" s="160"/>
      <c r="Q673" s="160"/>
      <c r="R673" s="160"/>
      <c r="T673" s="160"/>
      <c r="U673" s="160"/>
      <c r="V673" s="160"/>
      <c r="X673" s="160"/>
      <c r="Z673" s="160"/>
      <c r="AA673" s="160"/>
      <c r="AB673" s="160"/>
    </row>
    <row r="674" spans="2:28" ht="27.75" hidden="1" customHeight="1" x14ac:dyDescent="0.2"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0"/>
      <c r="O674" s="160"/>
      <c r="P674" s="160"/>
      <c r="Q674" s="160"/>
      <c r="R674" s="160"/>
      <c r="T674" s="160"/>
      <c r="U674" s="160"/>
      <c r="V674" s="160"/>
      <c r="X674" s="160"/>
      <c r="Z674" s="160"/>
      <c r="AA674" s="160"/>
      <c r="AB674" s="160"/>
    </row>
    <row r="675" spans="2:28" ht="27.75" hidden="1" customHeight="1" x14ac:dyDescent="0.2"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0"/>
      <c r="O675" s="160"/>
      <c r="P675" s="160"/>
      <c r="Q675" s="160"/>
      <c r="R675" s="160"/>
      <c r="T675" s="160"/>
      <c r="U675" s="160"/>
      <c r="V675" s="160"/>
      <c r="X675" s="160"/>
      <c r="Z675" s="160"/>
      <c r="AA675" s="160"/>
      <c r="AB675" s="160"/>
    </row>
    <row r="676" spans="2:28" ht="27.75" hidden="1" customHeight="1" x14ac:dyDescent="0.2"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0"/>
      <c r="O676" s="160"/>
      <c r="P676" s="160"/>
      <c r="Q676" s="160"/>
      <c r="R676" s="160"/>
      <c r="T676" s="160"/>
      <c r="U676" s="160"/>
      <c r="V676" s="160"/>
      <c r="X676" s="160"/>
      <c r="Z676" s="160"/>
      <c r="AA676" s="160"/>
      <c r="AB676" s="160"/>
    </row>
    <row r="677" spans="2:28" ht="27.75" hidden="1" customHeight="1" x14ac:dyDescent="0.2"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0"/>
      <c r="O677" s="160"/>
      <c r="P677" s="160"/>
      <c r="Q677" s="160"/>
      <c r="R677" s="160"/>
      <c r="T677" s="160"/>
      <c r="U677" s="160"/>
      <c r="V677" s="160"/>
      <c r="X677" s="160"/>
      <c r="Z677" s="160"/>
      <c r="AA677" s="160"/>
      <c r="AB677" s="160"/>
    </row>
    <row r="678" spans="2:28" ht="27.75" hidden="1" customHeight="1" x14ac:dyDescent="0.2"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0"/>
      <c r="O678" s="160"/>
      <c r="P678" s="160"/>
      <c r="Q678" s="160"/>
      <c r="R678" s="160"/>
      <c r="T678" s="160"/>
      <c r="U678" s="160"/>
      <c r="V678" s="160"/>
      <c r="X678" s="160"/>
      <c r="Z678" s="160"/>
      <c r="AA678" s="160"/>
      <c r="AB678" s="160"/>
    </row>
    <row r="679" spans="2:28" ht="27.75" hidden="1" customHeight="1" x14ac:dyDescent="0.2"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0"/>
      <c r="O679" s="160"/>
      <c r="P679" s="160"/>
      <c r="Q679" s="160"/>
      <c r="R679" s="160"/>
      <c r="T679" s="160"/>
      <c r="U679" s="160"/>
      <c r="V679" s="160"/>
      <c r="X679" s="160"/>
      <c r="Z679" s="160"/>
      <c r="AA679" s="160"/>
      <c r="AB679" s="160"/>
    </row>
    <row r="680" spans="2:28" ht="27.75" hidden="1" customHeight="1" x14ac:dyDescent="0.2"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0"/>
      <c r="O680" s="160"/>
      <c r="P680" s="160"/>
      <c r="Q680" s="160"/>
      <c r="R680" s="160"/>
      <c r="T680" s="160"/>
      <c r="U680" s="160"/>
      <c r="V680" s="160"/>
      <c r="X680" s="160"/>
      <c r="Z680" s="160"/>
      <c r="AA680" s="160"/>
      <c r="AB680" s="160"/>
    </row>
    <row r="681" spans="2:28" ht="27.75" hidden="1" customHeight="1" x14ac:dyDescent="0.2"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0"/>
      <c r="O681" s="160"/>
      <c r="P681" s="160"/>
      <c r="Q681" s="160"/>
      <c r="R681" s="160"/>
      <c r="T681" s="160"/>
      <c r="U681" s="160"/>
      <c r="V681" s="160"/>
      <c r="X681" s="160"/>
      <c r="Z681" s="160"/>
      <c r="AA681" s="160"/>
      <c r="AB681" s="160"/>
    </row>
    <row r="682" spans="2:28" ht="27.75" hidden="1" customHeight="1" x14ac:dyDescent="0.2"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0"/>
      <c r="O682" s="160"/>
      <c r="P682" s="160"/>
      <c r="Q682" s="160"/>
      <c r="R682" s="160"/>
      <c r="T682" s="160"/>
      <c r="U682" s="160"/>
      <c r="V682" s="160"/>
      <c r="X682" s="160"/>
      <c r="Z682" s="160"/>
      <c r="AA682" s="160"/>
      <c r="AB682" s="160"/>
    </row>
    <row r="683" spans="2:28" ht="27.75" hidden="1" customHeight="1" x14ac:dyDescent="0.2"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0"/>
      <c r="O683" s="160"/>
      <c r="P683" s="160"/>
      <c r="Q683" s="160"/>
      <c r="R683" s="160"/>
      <c r="T683" s="160"/>
      <c r="U683" s="160"/>
      <c r="V683" s="160"/>
      <c r="X683" s="160"/>
      <c r="Z683" s="160"/>
      <c r="AA683" s="160"/>
      <c r="AB683" s="160"/>
    </row>
    <row r="684" spans="2:28" ht="27.75" hidden="1" customHeight="1" x14ac:dyDescent="0.2"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0"/>
      <c r="O684" s="160"/>
      <c r="P684" s="160"/>
      <c r="Q684" s="160"/>
      <c r="R684" s="160"/>
      <c r="T684" s="160"/>
      <c r="U684" s="160"/>
      <c r="V684" s="160"/>
      <c r="X684" s="160"/>
      <c r="Z684" s="160"/>
      <c r="AA684" s="160"/>
      <c r="AB684" s="160"/>
    </row>
    <row r="685" spans="2:28" ht="27.75" hidden="1" customHeight="1" x14ac:dyDescent="0.2"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0"/>
      <c r="O685" s="160"/>
      <c r="P685" s="160"/>
      <c r="Q685" s="160"/>
      <c r="R685" s="160"/>
      <c r="T685" s="160"/>
      <c r="U685" s="160"/>
      <c r="V685" s="160"/>
      <c r="X685" s="160"/>
      <c r="Z685" s="160"/>
      <c r="AA685" s="160"/>
      <c r="AB685" s="160"/>
    </row>
    <row r="686" spans="2:28" ht="27.75" hidden="1" customHeight="1" x14ac:dyDescent="0.2"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0"/>
      <c r="O686" s="160"/>
      <c r="P686" s="160"/>
      <c r="Q686" s="160"/>
      <c r="R686" s="160"/>
      <c r="T686" s="160"/>
      <c r="U686" s="160"/>
      <c r="V686" s="160"/>
      <c r="X686" s="160"/>
      <c r="Z686" s="160"/>
      <c r="AA686" s="160"/>
      <c r="AB686" s="160"/>
    </row>
    <row r="687" spans="2:28" ht="27.75" hidden="1" customHeight="1" x14ac:dyDescent="0.2"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0"/>
      <c r="O687" s="160"/>
      <c r="P687" s="160"/>
      <c r="Q687" s="160"/>
      <c r="R687" s="160"/>
      <c r="T687" s="160"/>
      <c r="U687" s="160"/>
      <c r="V687" s="160"/>
      <c r="X687" s="160"/>
      <c r="Z687" s="160"/>
      <c r="AA687" s="160"/>
      <c r="AB687" s="160"/>
    </row>
    <row r="688" spans="2:28" ht="27.75" hidden="1" customHeight="1" x14ac:dyDescent="0.2"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0"/>
      <c r="O688" s="160"/>
      <c r="P688" s="160"/>
      <c r="Q688" s="160"/>
      <c r="R688" s="160"/>
      <c r="T688" s="160"/>
      <c r="U688" s="160"/>
      <c r="V688" s="160"/>
      <c r="X688" s="160"/>
      <c r="Z688" s="160"/>
      <c r="AA688" s="160"/>
      <c r="AB688" s="160"/>
    </row>
    <row r="689" spans="2:28" ht="27.75" hidden="1" customHeight="1" x14ac:dyDescent="0.2"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0"/>
      <c r="O689" s="160"/>
      <c r="P689" s="160"/>
      <c r="Q689" s="160"/>
      <c r="R689" s="160"/>
      <c r="T689" s="160"/>
      <c r="U689" s="160"/>
      <c r="V689" s="160"/>
      <c r="X689" s="160"/>
      <c r="Z689" s="160"/>
      <c r="AA689" s="160"/>
      <c r="AB689" s="160"/>
    </row>
    <row r="690" spans="2:28" ht="27.75" hidden="1" customHeight="1" x14ac:dyDescent="0.2"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0"/>
      <c r="O690" s="160"/>
      <c r="P690" s="160"/>
      <c r="Q690" s="160"/>
      <c r="R690" s="160"/>
      <c r="T690" s="160"/>
      <c r="U690" s="160"/>
      <c r="V690" s="160"/>
      <c r="X690" s="160"/>
      <c r="Z690" s="160"/>
      <c r="AA690" s="160"/>
      <c r="AB690" s="160"/>
    </row>
    <row r="691" spans="2:28" ht="27.75" hidden="1" customHeight="1" x14ac:dyDescent="0.2"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0"/>
      <c r="O691" s="160"/>
      <c r="P691" s="160"/>
      <c r="Q691" s="160"/>
      <c r="R691" s="160"/>
      <c r="T691" s="160"/>
      <c r="U691" s="160"/>
      <c r="V691" s="160"/>
      <c r="X691" s="160"/>
      <c r="Z691" s="160"/>
      <c r="AA691" s="160"/>
      <c r="AB691" s="160"/>
    </row>
    <row r="692" spans="2:28" ht="27.75" hidden="1" customHeight="1" x14ac:dyDescent="0.2"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0"/>
      <c r="O692" s="160"/>
      <c r="P692" s="160"/>
      <c r="Q692" s="160"/>
      <c r="R692" s="160"/>
      <c r="T692" s="160"/>
      <c r="U692" s="160"/>
      <c r="V692" s="160"/>
      <c r="X692" s="160"/>
      <c r="Z692" s="160"/>
      <c r="AA692" s="160"/>
      <c r="AB692" s="160"/>
    </row>
    <row r="693" spans="2:28" ht="27.75" hidden="1" customHeight="1" x14ac:dyDescent="0.2"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0"/>
      <c r="O693" s="160"/>
      <c r="P693" s="160"/>
      <c r="Q693" s="160"/>
      <c r="R693" s="160"/>
      <c r="T693" s="160"/>
      <c r="U693" s="160"/>
      <c r="V693" s="160"/>
      <c r="X693" s="160"/>
      <c r="Z693" s="160"/>
      <c r="AA693" s="160"/>
      <c r="AB693" s="160"/>
    </row>
    <row r="694" spans="2:28" ht="27.75" hidden="1" customHeight="1" x14ac:dyDescent="0.2"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0"/>
      <c r="O694" s="160"/>
      <c r="P694" s="160"/>
      <c r="Q694" s="160"/>
      <c r="R694" s="160"/>
      <c r="T694" s="160"/>
      <c r="U694" s="160"/>
      <c r="V694" s="160"/>
      <c r="X694" s="160"/>
      <c r="Z694" s="160"/>
      <c r="AA694" s="160"/>
      <c r="AB694" s="160"/>
    </row>
    <row r="695" spans="2:28" ht="27.75" hidden="1" customHeight="1" x14ac:dyDescent="0.2"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0"/>
      <c r="O695" s="160"/>
      <c r="P695" s="160"/>
      <c r="Q695" s="160"/>
      <c r="R695" s="160"/>
      <c r="T695" s="160"/>
      <c r="U695" s="160"/>
      <c r="V695" s="160"/>
      <c r="X695" s="160"/>
      <c r="Z695" s="160"/>
      <c r="AA695" s="160"/>
      <c r="AB695" s="160"/>
    </row>
    <row r="696" spans="2:28" ht="27.75" hidden="1" customHeight="1" x14ac:dyDescent="0.2"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0"/>
      <c r="O696" s="160"/>
      <c r="P696" s="160"/>
      <c r="Q696" s="160"/>
      <c r="R696" s="160"/>
      <c r="T696" s="160"/>
      <c r="U696" s="160"/>
      <c r="V696" s="160"/>
      <c r="X696" s="160"/>
      <c r="Z696" s="160"/>
      <c r="AA696" s="160"/>
      <c r="AB696" s="160"/>
    </row>
    <row r="697" spans="2:28" ht="27.75" hidden="1" customHeight="1" x14ac:dyDescent="0.2"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0"/>
      <c r="O697" s="160"/>
      <c r="P697" s="160"/>
      <c r="Q697" s="160"/>
      <c r="R697" s="160"/>
      <c r="T697" s="160"/>
      <c r="U697" s="160"/>
      <c r="V697" s="160"/>
      <c r="X697" s="160"/>
      <c r="Z697" s="160"/>
      <c r="AA697" s="160"/>
      <c r="AB697" s="160"/>
    </row>
    <row r="698" spans="2:28" ht="27.75" hidden="1" customHeight="1" x14ac:dyDescent="0.2"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0"/>
      <c r="O698" s="160"/>
      <c r="P698" s="160"/>
      <c r="Q698" s="160"/>
      <c r="R698" s="160"/>
      <c r="T698" s="160"/>
      <c r="U698" s="160"/>
      <c r="V698" s="160"/>
      <c r="X698" s="160"/>
      <c r="Z698" s="160"/>
      <c r="AA698" s="160"/>
      <c r="AB698" s="160"/>
    </row>
    <row r="699" spans="2:28" ht="27.75" hidden="1" customHeight="1" x14ac:dyDescent="0.2"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0"/>
      <c r="O699" s="160"/>
      <c r="P699" s="160"/>
      <c r="Q699" s="160"/>
      <c r="R699" s="160"/>
      <c r="T699" s="160"/>
      <c r="U699" s="160"/>
      <c r="V699" s="160"/>
      <c r="X699" s="160"/>
      <c r="Z699" s="160"/>
      <c r="AA699" s="160"/>
      <c r="AB699" s="160"/>
    </row>
    <row r="700" spans="2:28" ht="27.75" hidden="1" customHeight="1" x14ac:dyDescent="0.2"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0"/>
      <c r="O700" s="160"/>
      <c r="P700" s="160"/>
      <c r="Q700" s="160"/>
      <c r="R700" s="160"/>
      <c r="T700" s="160"/>
      <c r="U700" s="160"/>
      <c r="V700" s="160"/>
      <c r="X700" s="160"/>
      <c r="Z700" s="160"/>
      <c r="AA700" s="160"/>
      <c r="AB700" s="160"/>
    </row>
    <row r="701" spans="2:28" ht="27.75" hidden="1" customHeight="1" x14ac:dyDescent="0.2"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0"/>
      <c r="O701" s="160"/>
      <c r="P701" s="160"/>
      <c r="Q701" s="160"/>
      <c r="R701" s="160"/>
      <c r="T701" s="160"/>
      <c r="U701" s="160"/>
      <c r="V701" s="160"/>
      <c r="X701" s="160"/>
      <c r="Z701" s="160"/>
      <c r="AA701" s="160"/>
      <c r="AB701" s="160"/>
    </row>
    <row r="702" spans="2:28" ht="27.75" hidden="1" customHeight="1" x14ac:dyDescent="0.2"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0"/>
      <c r="O702" s="160"/>
      <c r="P702" s="160"/>
      <c r="Q702" s="160"/>
      <c r="R702" s="160"/>
      <c r="T702" s="160"/>
      <c r="U702" s="160"/>
      <c r="V702" s="160"/>
      <c r="X702" s="160"/>
      <c r="Z702" s="160"/>
      <c r="AA702" s="160"/>
      <c r="AB702" s="160"/>
    </row>
    <row r="703" spans="2:28" ht="27.75" hidden="1" customHeight="1" x14ac:dyDescent="0.2"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0"/>
      <c r="O703" s="160"/>
      <c r="P703" s="160"/>
      <c r="Q703" s="160"/>
      <c r="R703" s="160"/>
      <c r="T703" s="160"/>
      <c r="U703" s="160"/>
      <c r="V703" s="160"/>
      <c r="X703" s="160"/>
      <c r="Z703" s="160"/>
      <c r="AA703" s="160"/>
      <c r="AB703" s="160"/>
    </row>
    <row r="704" spans="2:28" ht="27.75" hidden="1" customHeight="1" x14ac:dyDescent="0.2"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0"/>
      <c r="O704" s="160"/>
      <c r="P704" s="160"/>
      <c r="Q704" s="160"/>
      <c r="R704" s="160"/>
      <c r="T704" s="160"/>
      <c r="U704" s="160"/>
      <c r="V704" s="160"/>
      <c r="X704" s="160"/>
      <c r="Z704" s="160"/>
      <c r="AA704" s="160"/>
      <c r="AB704" s="160"/>
    </row>
    <row r="705" spans="2:28" ht="27.75" hidden="1" customHeight="1" x14ac:dyDescent="0.2"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0"/>
      <c r="O705" s="160"/>
      <c r="P705" s="160"/>
      <c r="Q705" s="160"/>
      <c r="R705" s="160"/>
      <c r="T705" s="160"/>
      <c r="U705" s="160"/>
      <c r="V705" s="160"/>
      <c r="X705" s="160"/>
      <c r="Z705" s="160"/>
      <c r="AA705" s="160"/>
      <c r="AB705" s="160"/>
    </row>
    <row r="706" spans="2:28" ht="27.75" hidden="1" customHeight="1" x14ac:dyDescent="0.2"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0"/>
      <c r="O706" s="160"/>
      <c r="P706" s="160"/>
      <c r="Q706" s="160"/>
      <c r="R706" s="160"/>
      <c r="T706" s="160"/>
      <c r="U706" s="160"/>
      <c r="V706" s="160"/>
      <c r="X706" s="160"/>
      <c r="Z706" s="160"/>
      <c r="AA706" s="160"/>
      <c r="AB706" s="160"/>
    </row>
    <row r="707" spans="2:28" ht="27.75" hidden="1" customHeight="1" x14ac:dyDescent="0.2"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0"/>
      <c r="O707" s="160"/>
      <c r="P707" s="160"/>
      <c r="Q707" s="160"/>
      <c r="R707" s="160"/>
      <c r="T707" s="160"/>
      <c r="U707" s="160"/>
      <c r="V707" s="160"/>
      <c r="X707" s="160"/>
      <c r="Z707" s="160"/>
      <c r="AA707" s="160"/>
      <c r="AB707" s="160"/>
    </row>
    <row r="708" spans="2:28" ht="27.75" hidden="1" customHeight="1" x14ac:dyDescent="0.2"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0"/>
      <c r="O708" s="160"/>
      <c r="P708" s="160"/>
      <c r="Q708" s="160"/>
      <c r="R708" s="160"/>
      <c r="T708" s="160"/>
      <c r="U708" s="160"/>
      <c r="V708" s="160"/>
      <c r="X708" s="160"/>
      <c r="Z708" s="160"/>
      <c r="AA708" s="160"/>
      <c r="AB708" s="160"/>
    </row>
    <row r="709" spans="2:28" ht="27.75" hidden="1" customHeight="1" x14ac:dyDescent="0.2"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0"/>
      <c r="O709" s="160"/>
      <c r="P709" s="160"/>
      <c r="Q709" s="160"/>
      <c r="R709" s="160"/>
      <c r="T709" s="160"/>
      <c r="U709" s="160"/>
      <c r="V709" s="160"/>
      <c r="X709" s="160"/>
      <c r="Z709" s="160"/>
      <c r="AA709" s="160"/>
      <c r="AB709" s="160"/>
    </row>
    <row r="710" spans="2:28" ht="27.75" hidden="1" customHeight="1" x14ac:dyDescent="0.2"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0"/>
      <c r="O710" s="160"/>
      <c r="P710" s="160"/>
      <c r="Q710" s="160"/>
      <c r="R710" s="160"/>
      <c r="T710" s="160"/>
      <c r="U710" s="160"/>
      <c r="V710" s="160"/>
      <c r="X710" s="160"/>
      <c r="Z710" s="160"/>
      <c r="AA710" s="160"/>
      <c r="AB710" s="160"/>
    </row>
    <row r="711" spans="2:28" ht="27.75" hidden="1" customHeight="1" x14ac:dyDescent="0.2"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0"/>
      <c r="O711" s="160"/>
      <c r="P711" s="160"/>
      <c r="Q711" s="160"/>
      <c r="R711" s="160"/>
      <c r="T711" s="160"/>
      <c r="U711" s="160"/>
      <c r="V711" s="160"/>
      <c r="X711" s="160"/>
      <c r="Z711" s="160"/>
      <c r="AA711" s="160"/>
      <c r="AB711" s="160"/>
    </row>
    <row r="712" spans="2:28" ht="27.75" hidden="1" customHeight="1" x14ac:dyDescent="0.2"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0"/>
      <c r="O712" s="160"/>
      <c r="P712" s="160"/>
      <c r="Q712" s="160"/>
      <c r="R712" s="160"/>
      <c r="T712" s="160"/>
      <c r="U712" s="160"/>
      <c r="V712" s="160"/>
      <c r="X712" s="160"/>
      <c r="Z712" s="160"/>
      <c r="AA712" s="160"/>
      <c r="AB712" s="160"/>
    </row>
    <row r="713" spans="2:28" ht="27.75" hidden="1" customHeight="1" x14ac:dyDescent="0.2"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0"/>
      <c r="O713" s="160"/>
      <c r="P713" s="160"/>
      <c r="Q713" s="160"/>
      <c r="R713" s="160"/>
      <c r="T713" s="160"/>
      <c r="U713" s="160"/>
      <c r="V713" s="160"/>
      <c r="X713" s="160"/>
      <c r="Z713" s="160"/>
      <c r="AA713" s="160"/>
      <c r="AB713" s="160"/>
    </row>
    <row r="714" spans="2:28" ht="27.75" hidden="1" customHeight="1" x14ac:dyDescent="0.2"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0"/>
      <c r="O714" s="160"/>
      <c r="P714" s="160"/>
      <c r="Q714" s="160"/>
      <c r="R714" s="160"/>
      <c r="T714" s="160"/>
      <c r="U714" s="160"/>
      <c r="V714" s="160"/>
      <c r="X714" s="160"/>
      <c r="Z714" s="160"/>
      <c r="AA714" s="160"/>
      <c r="AB714" s="160"/>
    </row>
    <row r="715" spans="2:28" ht="27.75" hidden="1" customHeight="1" x14ac:dyDescent="0.2"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0"/>
      <c r="O715" s="160"/>
      <c r="P715" s="160"/>
      <c r="Q715" s="160"/>
      <c r="R715" s="160"/>
      <c r="T715" s="160"/>
      <c r="U715" s="160"/>
      <c r="V715" s="160"/>
      <c r="X715" s="160"/>
      <c r="Z715" s="160"/>
      <c r="AA715" s="160"/>
      <c r="AB715" s="160"/>
    </row>
    <row r="716" spans="2:28" ht="27.75" hidden="1" customHeight="1" x14ac:dyDescent="0.2"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0"/>
      <c r="O716" s="160"/>
      <c r="P716" s="160"/>
      <c r="Q716" s="160"/>
      <c r="R716" s="160"/>
      <c r="T716" s="160"/>
      <c r="U716" s="160"/>
      <c r="V716" s="160"/>
      <c r="X716" s="160"/>
      <c r="Z716" s="160"/>
      <c r="AA716" s="160"/>
      <c r="AB716" s="160"/>
    </row>
    <row r="717" spans="2:28" ht="27.75" hidden="1" customHeight="1" x14ac:dyDescent="0.2"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0"/>
      <c r="O717" s="160"/>
      <c r="P717" s="160"/>
      <c r="Q717" s="160"/>
      <c r="R717" s="160"/>
      <c r="T717" s="160"/>
      <c r="U717" s="160"/>
      <c r="V717" s="160"/>
      <c r="X717" s="160"/>
      <c r="Z717" s="160"/>
      <c r="AA717" s="160"/>
      <c r="AB717" s="160"/>
    </row>
    <row r="718" spans="2:28" ht="27.75" hidden="1" customHeight="1" x14ac:dyDescent="0.2"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0"/>
      <c r="O718" s="160"/>
      <c r="P718" s="160"/>
      <c r="Q718" s="160"/>
      <c r="R718" s="160"/>
      <c r="T718" s="160"/>
      <c r="U718" s="160"/>
      <c r="V718" s="160"/>
      <c r="X718" s="160"/>
      <c r="Z718" s="160"/>
      <c r="AA718" s="160"/>
      <c r="AB718" s="160"/>
    </row>
    <row r="719" spans="2:28" ht="27.75" hidden="1" customHeight="1" x14ac:dyDescent="0.2"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0"/>
      <c r="O719" s="160"/>
      <c r="P719" s="160"/>
      <c r="Q719" s="160"/>
      <c r="R719" s="160"/>
      <c r="T719" s="160"/>
      <c r="U719" s="160"/>
      <c r="V719" s="160"/>
      <c r="X719" s="160"/>
      <c r="Z719" s="160"/>
      <c r="AA719" s="160"/>
      <c r="AB719" s="160"/>
    </row>
    <row r="720" spans="2:28" ht="27.75" hidden="1" customHeight="1" x14ac:dyDescent="0.2"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0"/>
      <c r="O720" s="160"/>
      <c r="P720" s="160"/>
      <c r="Q720" s="160"/>
      <c r="R720" s="160"/>
      <c r="T720" s="160"/>
      <c r="U720" s="160"/>
      <c r="V720" s="160"/>
      <c r="X720" s="160"/>
      <c r="Z720" s="160"/>
      <c r="AA720" s="160"/>
      <c r="AB720" s="160"/>
    </row>
    <row r="721" spans="2:28" ht="27.75" hidden="1" customHeight="1" x14ac:dyDescent="0.2"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0"/>
      <c r="O721" s="160"/>
      <c r="P721" s="160"/>
      <c r="Q721" s="160"/>
      <c r="R721" s="160"/>
      <c r="T721" s="160"/>
      <c r="U721" s="160"/>
      <c r="V721" s="160"/>
      <c r="X721" s="160"/>
      <c r="Z721" s="160"/>
      <c r="AA721" s="160"/>
      <c r="AB721" s="160"/>
    </row>
    <row r="722" spans="2:28" ht="27.75" hidden="1" customHeight="1" x14ac:dyDescent="0.2"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0"/>
      <c r="O722" s="160"/>
      <c r="P722" s="160"/>
      <c r="Q722" s="160"/>
      <c r="R722" s="160"/>
      <c r="T722" s="160"/>
      <c r="U722" s="160"/>
      <c r="V722" s="160"/>
      <c r="X722" s="160"/>
      <c r="Z722" s="160"/>
      <c r="AA722" s="160"/>
      <c r="AB722" s="160"/>
    </row>
    <row r="723" spans="2:28" ht="27.75" hidden="1" customHeight="1" x14ac:dyDescent="0.2"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0"/>
      <c r="O723" s="160"/>
      <c r="P723" s="160"/>
      <c r="Q723" s="160"/>
      <c r="R723" s="160"/>
      <c r="T723" s="160"/>
      <c r="U723" s="160"/>
      <c r="V723" s="160"/>
      <c r="X723" s="160"/>
      <c r="Z723" s="160"/>
      <c r="AA723" s="160"/>
      <c r="AB723" s="160"/>
    </row>
    <row r="724" spans="2:28" ht="27.75" hidden="1" customHeight="1" x14ac:dyDescent="0.2"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0"/>
      <c r="O724" s="160"/>
      <c r="P724" s="160"/>
      <c r="Q724" s="160"/>
      <c r="R724" s="160"/>
      <c r="T724" s="160"/>
      <c r="U724" s="160"/>
      <c r="V724" s="160"/>
      <c r="X724" s="160"/>
      <c r="Z724" s="160"/>
      <c r="AA724" s="160"/>
      <c r="AB724" s="160"/>
    </row>
    <row r="725" spans="2:28" ht="27.75" hidden="1" customHeight="1" x14ac:dyDescent="0.2"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0"/>
      <c r="O725" s="160"/>
      <c r="P725" s="160"/>
      <c r="Q725" s="160"/>
      <c r="R725" s="160"/>
      <c r="T725" s="160"/>
      <c r="U725" s="160"/>
      <c r="V725" s="160"/>
      <c r="X725" s="160"/>
      <c r="Z725" s="160"/>
      <c r="AA725" s="160"/>
      <c r="AB725" s="160"/>
    </row>
    <row r="726" spans="2:28" ht="27.75" hidden="1" customHeight="1" x14ac:dyDescent="0.2"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0"/>
      <c r="O726" s="160"/>
      <c r="P726" s="160"/>
      <c r="Q726" s="160"/>
      <c r="R726" s="160"/>
      <c r="T726" s="160"/>
      <c r="U726" s="160"/>
      <c r="V726" s="160"/>
      <c r="X726" s="160"/>
      <c r="Z726" s="160"/>
      <c r="AA726" s="160"/>
      <c r="AB726" s="160"/>
    </row>
    <row r="727" spans="2:28" ht="27.75" hidden="1" customHeight="1" x14ac:dyDescent="0.2"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0"/>
      <c r="O727" s="160"/>
      <c r="P727" s="160"/>
      <c r="Q727" s="160"/>
      <c r="R727" s="160"/>
      <c r="T727" s="160"/>
      <c r="U727" s="160"/>
      <c r="V727" s="160"/>
      <c r="X727" s="160"/>
      <c r="Z727" s="160"/>
      <c r="AA727" s="160"/>
      <c r="AB727" s="160"/>
    </row>
    <row r="728" spans="2:28" ht="27.75" hidden="1" customHeight="1" x14ac:dyDescent="0.2"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0"/>
      <c r="O728" s="160"/>
      <c r="P728" s="160"/>
      <c r="Q728" s="160"/>
      <c r="R728" s="160"/>
      <c r="T728" s="160"/>
      <c r="U728" s="160"/>
      <c r="V728" s="160"/>
      <c r="X728" s="160"/>
      <c r="Z728" s="160"/>
      <c r="AA728" s="160"/>
      <c r="AB728" s="160"/>
    </row>
    <row r="729" spans="2:28" ht="27.75" hidden="1" customHeight="1" x14ac:dyDescent="0.2"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0"/>
      <c r="O729" s="160"/>
      <c r="P729" s="160"/>
      <c r="Q729" s="160"/>
      <c r="R729" s="160"/>
      <c r="T729" s="160"/>
      <c r="U729" s="160"/>
      <c r="V729" s="160"/>
      <c r="X729" s="160"/>
      <c r="Z729" s="160"/>
      <c r="AA729" s="160"/>
      <c r="AB729" s="160"/>
    </row>
    <row r="730" spans="2:28" ht="27.75" hidden="1" customHeight="1" x14ac:dyDescent="0.2"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0"/>
      <c r="O730" s="160"/>
      <c r="P730" s="160"/>
      <c r="Q730" s="160"/>
      <c r="R730" s="160"/>
      <c r="T730" s="160"/>
      <c r="U730" s="160"/>
      <c r="V730" s="160"/>
      <c r="X730" s="160"/>
      <c r="Z730" s="160"/>
      <c r="AA730" s="160"/>
      <c r="AB730" s="160"/>
    </row>
    <row r="731" spans="2:28" ht="27.75" hidden="1" customHeight="1" x14ac:dyDescent="0.2"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0"/>
      <c r="O731" s="160"/>
      <c r="P731" s="160"/>
      <c r="Q731" s="160"/>
      <c r="R731" s="160"/>
      <c r="T731" s="160"/>
      <c r="U731" s="160"/>
      <c r="V731" s="160"/>
      <c r="X731" s="160"/>
      <c r="Z731" s="160"/>
      <c r="AA731" s="160"/>
      <c r="AB731" s="160"/>
    </row>
    <row r="732" spans="2:28" ht="27.75" hidden="1" customHeight="1" x14ac:dyDescent="0.2"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0"/>
      <c r="O732" s="160"/>
      <c r="P732" s="160"/>
      <c r="Q732" s="160"/>
      <c r="R732" s="160"/>
      <c r="T732" s="160"/>
      <c r="U732" s="160"/>
      <c r="V732" s="160"/>
      <c r="X732" s="160"/>
      <c r="Z732" s="160"/>
      <c r="AA732" s="160"/>
      <c r="AB732" s="160"/>
    </row>
    <row r="733" spans="2:28" ht="27.75" hidden="1" customHeight="1" x14ac:dyDescent="0.2"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0"/>
      <c r="O733" s="160"/>
      <c r="P733" s="160"/>
      <c r="Q733" s="160"/>
      <c r="R733" s="160"/>
      <c r="T733" s="160"/>
      <c r="U733" s="160"/>
      <c r="V733" s="160"/>
      <c r="X733" s="160"/>
      <c r="Z733" s="160"/>
      <c r="AA733" s="160"/>
      <c r="AB733" s="160"/>
    </row>
    <row r="734" spans="2:28" ht="27.75" hidden="1" customHeight="1" x14ac:dyDescent="0.2"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0"/>
      <c r="O734" s="160"/>
      <c r="P734" s="160"/>
      <c r="Q734" s="160"/>
      <c r="R734" s="160"/>
      <c r="T734" s="160"/>
      <c r="U734" s="160"/>
      <c r="V734" s="160"/>
      <c r="X734" s="160"/>
      <c r="Z734" s="160"/>
      <c r="AA734" s="160"/>
      <c r="AB734" s="160"/>
    </row>
    <row r="735" spans="2:28" ht="27.75" hidden="1" customHeight="1" x14ac:dyDescent="0.2"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0"/>
      <c r="O735" s="160"/>
      <c r="P735" s="160"/>
      <c r="Q735" s="160"/>
      <c r="R735" s="160"/>
      <c r="T735" s="160"/>
      <c r="U735" s="160"/>
      <c r="V735" s="160"/>
      <c r="X735" s="160"/>
      <c r="Z735" s="160"/>
      <c r="AA735" s="160"/>
      <c r="AB735" s="160"/>
    </row>
    <row r="736" spans="2:28" ht="27.75" hidden="1" customHeight="1" x14ac:dyDescent="0.2"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0"/>
      <c r="O736" s="160"/>
      <c r="P736" s="160"/>
      <c r="Q736" s="160"/>
      <c r="R736" s="160"/>
      <c r="T736" s="160"/>
      <c r="U736" s="160"/>
      <c r="V736" s="160"/>
      <c r="X736" s="160"/>
      <c r="Z736" s="160"/>
      <c r="AA736" s="160"/>
      <c r="AB736" s="160"/>
    </row>
    <row r="737" spans="2:28" ht="27.75" hidden="1" customHeight="1" x14ac:dyDescent="0.2"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0"/>
      <c r="O737" s="160"/>
      <c r="P737" s="160"/>
      <c r="Q737" s="160"/>
      <c r="R737" s="160"/>
      <c r="T737" s="160"/>
      <c r="U737" s="160"/>
      <c r="V737" s="160"/>
      <c r="X737" s="160"/>
      <c r="Z737" s="160"/>
      <c r="AA737" s="160"/>
      <c r="AB737" s="160"/>
    </row>
    <row r="738" spans="2:28" ht="27.75" hidden="1" customHeight="1" x14ac:dyDescent="0.2"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0"/>
      <c r="O738" s="160"/>
      <c r="P738" s="160"/>
      <c r="Q738" s="160"/>
      <c r="R738" s="160"/>
      <c r="T738" s="160"/>
      <c r="U738" s="160"/>
      <c r="V738" s="160"/>
      <c r="X738" s="160"/>
      <c r="Z738" s="160"/>
      <c r="AA738" s="160"/>
      <c r="AB738" s="160"/>
    </row>
    <row r="739" spans="2:28" ht="27.75" hidden="1" customHeight="1" x14ac:dyDescent="0.2"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0"/>
      <c r="O739" s="160"/>
      <c r="P739" s="160"/>
      <c r="Q739" s="160"/>
      <c r="R739" s="160"/>
      <c r="T739" s="160"/>
      <c r="U739" s="160"/>
      <c r="V739" s="160"/>
      <c r="X739" s="160"/>
      <c r="Z739" s="160"/>
      <c r="AA739" s="160"/>
      <c r="AB739" s="160"/>
    </row>
    <row r="740" spans="2:28" ht="27.75" hidden="1" customHeight="1" x14ac:dyDescent="0.2"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0"/>
      <c r="O740" s="160"/>
      <c r="P740" s="160"/>
      <c r="Q740" s="160"/>
      <c r="R740" s="160"/>
      <c r="T740" s="160"/>
      <c r="U740" s="160"/>
      <c r="V740" s="160"/>
      <c r="X740" s="160"/>
      <c r="Z740" s="160"/>
      <c r="AA740" s="160"/>
      <c r="AB740" s="160"/>
    </row>
    <row r="741" spans="2:28" ht="27.75" hidden="1" customHeight="1" x14ac:dyDescent="0.2"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0"/>
      <c r="O741" s="160"/>
      <c r="P741" s="160"/>
      <c r="Q741" s="160"/>
      <c r="R741" s="160"/>
      <c r="T741" s="160"/>
      <c r="U741" s="160"/>
      <c r="V741" s="160"/>
      <c r="X741" s="160"/>
      <c r="Z741" s="160"/>
      <c r="AA741" s="160"/>
      <c r="AB741" s="160"/>
    </row>
    <row r="742" spans="2:28" ht="27.75" hidden="1" customHeight="1" x14ac:dyDescent="0.2"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0"/>
      <c r="O742" s="160"/>
      <c r="P742" s="160"/>
      <c r="Q742" s="160"/>
      <c r="R742" s="160"/>
      <c r="T742" s="160"/>
      <c r="U742" s="160"/>
      <c r="V742" s="160"/>
      <c r="X742" s="160"/>
      <c r="Z742" s="160"/>
      <c r="AA742" s="160"/>
      <c r="AB742" s="160"/>
    </row>
    <row r="743" spans="2:28" ht="27.75" hidden="1" customHeight="1" x14ac:dyDescent="0.2"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0"/>
      <c r="O743" s="160"/>
      <c r="P743" s="160"/>
      <c r="Q743" s="160"/>
      <c r="R743" s="160"/>
      <c r="T743" s="160"/>
      <c r="U743" s="160"/>
      <c r="V743" s="160"/>
      <c r="X743" s="160"/>
      <c r="Z743" s="160"/>
      <c r="AA743" s="160"/>
      <c r="AB743" s="160"/>
    </row>
    <row r="744" spans="2:28" ht="27.75" hidden="1" customHeight="1" x14ac:dyDescent="0.2"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0"/>
      <c r="O744" s="160"/>
      <c r="P744" s="160"/>
      <c r="Q744" s="160"/>
      <c r="R744" s="160"/>
      <c r="T744" s="160"/>
      <c r="U744" s="160"/>
      <c r="V744" s="160"/>
      <c r="X744" s="160"/>
      <c r="Z744" s="160"/>
      <c r="AA744" s="160"/>
      <c r="AB744" s="160"/>
    </row>
    <row r="745" spans="2:28" ht="27.75" hidden="1" customHeight="1" x14ac:dyDescent="0.2"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0"/>
      <c r="O745" s="160"/>
      <c r="P745" s="160"/>
      <c r="Q745" s="160"/>
      <c r="R745" s="160"/>
      <c r="T745" s="160"/>
      <c r="U745" s="160"/>
      <c r="V745" s="160"/>
      <c r="X745" s="160"/>
      <c r="Z745" s="160"/>
      <c r="AA745" s="160"/>
      <c r="AB745" s="160"/>
    </row>
    <row r="746" spans="2:28" ht="27.75" hidden="1" customHeight="1" x14ac:dyDescent="0.2"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0"/>
      <c r="O746" s="160"/>
      <c r="P746" s="160"/>
      <c r="Q746" s="160"/>
      <c r="R746" s="160"/>
      <c r="T746" s="160"/>
      <c r="U746" s="160"/>
      <c r="V746" s="160"/>
      <c r="X746" s="160"/>
      <c r="Z746" s="160"/>
      <c r="AA746" s="160"/>
      <c r="AB746" s="160"/>
    </row>
    <row r="747" spans="2:28" ht="27.75" hidden="1" customHeight="1" x14ac:dyDescent="0.2"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0"/>
      <c r="O747" s="160"/>
      <c r="P747" s="160"/>
      <c r="Q747" s="160"/>
      <c r="R747" s="160"/>
      <c r="T747" s="160"/>
      <c r="U747" s="160"/>
      <c r="V747" s="160"/>
      <c r="X747" s="160"/>
      <c r="Z747" s="160"/>
      <c r="AA747" s="160"/>
      <c r="AB747" s="160"/>
    </row>
    <row r="748" spans="2:28" ht="27.75" hidden="1" customHeight="1" x14ac:dyDescent="0.2"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0"/>
      <c r="O748" s="160"/>
      <c r="P748" s="160"/>
      <c r="Q748" s="160"/>
      <c r="R748" s="160"/>
      <c r="T748" s="160"/>
      <c r="U748" s="160"/>
      <c r="V748" s="160"/>
      <c r="X748" s="160"/>
      <c r="Z748" s="160"/>
      <c r="AA748" s="160"/>
      <c r="AB748" s="160"/>
    </row>
    <row r="749" spans="2:28" ht="27.75" hidden="1" customHeight="1" x14ac:dyDescent="0.2"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0"/>
      <c r="O749" s="160"/>
      <c r="P749" s="160"/>
      <c r="Q749" s="160"/>
      <c r="R749" s="160"/>
      <c r="T749" s="160"/>
      <c r="U749" s="160"/>
      <c r="V749" s="160"/>
      <c r="X749" s="160"/>
      <c r="Z749" s="160"/>
      <c r="AA749" s="160"/>
      <c r="AB749" s="160"/>
    </row>
    <row r="750" spans="2:28" ht="27.75" hidden="1" customHeight="1" x14ac:dyDescent="0.2"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0"/>
      <c r="O750" s="160"/>
      <c r="P750" s="160"/>
      <c r="Q750" s="160"/>
      <c r="R750" s="160"/>
      <c r="T750" s="160"/>
      <c r="U750" s="160"/>
      <c r="V750" s="160"/>
      <c r="X750" s="160"/>
      <c r="Z750" s="160"/>
      <c r="AA750" s="160"/>
      <c r="AB750" s="160"/>
    </row>
    <row r="751" spans="2:28" ht="27.75" hidden="1" customHeight="1" x14ac:dyDescent="0.2"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0"/>
      <c r="O751" s="160"/>
      <c r="P751" s="160"/>
      <c r="Q751" s="160"/>
      <c r="R751" s="160"/>
      <c r="T751" s="160"/>
      <c r="U751" s="160"/>
      <c r="V751" s="160"/>
      <c r="X751" s="160"/>
      <c r="Z751" s="160"/>
      <c r="AA751" s="160"/>
      <c r="AB751" s="160"/>
    </row>
    <row r="752" spans="2:28" ht="27.75" hidden="1" customHeight="1" x14ac:dyDescent="0.2"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0"/>
      <c r="O752" s="160"/>
      <c r="P752" s="160"/>
      <c r="Q752" s="160"/>
      <c r="R752" s="160"/>
      <c r="T752" s="160"/>
      <c r="U752" s="160"/>
      <c r="V752" s="160"/>
      <c r="X752" s="160"/>
      <c r="Z752" s="160"/>
      <c r="AA752" s="160"/>
      <c r="AB752" s="160"/>
    </row>
    <row r="753" spans="2:28" ht="27.75" hidden="1" customHeight="1" x14ac:dyDescent="0.2"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0"/>
      <c r="O753" s="160"/>
      <c r="P753" s="160"/>
      <c r="Q753" s="160"/>
      <c r="R753" s="160"/>
      <c r="T753" s="160"/>
      <c r="U753" s="160"/>
      <c r="V753" s="160"/>
      <c r="X753" s="160"/>
      <c r="Z753" s="160"/>
      <c r="AA753" s="160"/>
      <c r="AB753" s="160"/>
    </row>
    <row r="754" spans="2:28" ht="27.75" hidden="1" customHeight="1" x14ac:dyDescent="0.2"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0"/>
      <c r="O754" s="160"/>
      <c r="P754" s="160"/>
      <c r="Q754" s="160"/>
      <c r="R754" s="160"/>
      <c r="T754" s="160"/>
      <c r="U754" s="160"/>
      <c r="V754" s="160"/>
      <c r="X754" s="160"/>
      <c r="Z754" s="160"/>
      <c r="AA754" s="160"/>
      <c r="AB754" s="160"/>
    </row>
    <row r="755" spans="2:28" ht="27.75" hidden="1" customHeight="1" x14ac:dyDescent="0.2"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0"/>
      <c r="O755" s="160"/>
      <c r="P755" s="160"/>
      <c r="Q755" s="160"/>
      <c r="R755" s="160"/>
      <c r="T755" s="160"/>
      <c r="U755" s="160"/>
      <c r="V755" s="160"/>
      <c r="X755" s="160"/>
      <c r="Z755" s="160"/>
      <c r="AA755" s="160"/>
      <c r="AB755" s="160"/>
    </row>
    <row r="756" spans="2:28" ht="27.75" hidden="1" customHeight="1" x14ac:dyDescent="0.2"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0"/>
      <c r="O756" s="160"/>
      <c r="P756" s="160"/>
      <c r="Q756" s="160"/>
      <c r="R756" s="160"/>
      <c r="T756" s="160"/>
      <c r="U756" s="160"/>
      <c r="V756" s="160"/>
      <c r="X756" s="160"/>
      <c r="Z756" s="160"/>
      <c r="AA756" s="160"/>
      <c r="AB756" s="160"/>
    </row>
    <row r="757" spans="2:28" ht="27.75" hidden="1" customHeight="1" x14ac:dyDescent="0.2"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0"/>
      <c r="O757" s="160"/>
      <c r="P757" s="160"/>
      <c r="Q757" s="160"/>
      <c r="R757" s="160"/>
      <c r="T757" s="160"/>
      <c r="U757" s="160"/>
      <c r="V757" s="160"/>
      <c r="X757" s="160"/>
      <c r="Z757" s="160"/>
      <c r="AA757" s="160"/>
      <c r="AB757" s="160"/>
    </row>
    <row r="758" spans="2:28" ht="27.75" hidden="1" customHeight="1" x14ac:dyDescent="0.2"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0"/>
      <c r="O758" s="160"/>
      <c r="P758" s="160"/>
      <c r="Q758" s="160"/>
      <c r="R758" s="160"/>
      <c r="T758" s="160"/>
      <c r="U758" s="160"/>
      <c r="V758" s="160"/>
      <c r="X758" s="160"/>
      <c r="Z758" s="160"/>
      <c r="AA758" s="160"/>
      <c r="AB758" s="160"/>
    </row>
    <row r="759" spans="2:28" ht="27.75" hidden="1" customHeight="1" x14ac:dyDescent="0.2"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0"/>
      <c r="O759" s="160"/>
      <c r="P759" s="160"/>
      <c r="Q759" s="160"/>
      <c r="R759" s="160"/>
      <c r="T759" s="160"/>
      <c r="U759" s="160"/>
      <c r="V759" s="160"/>
      <c r="X759" s="160"/>
      <c r="Z759" s="160"/>
      <c r="AA759" s="160"/>
      <c r="AB759" s="160"/>
    </row>
    <row r="760" spans="2:28" ht="27.75" hidden="1" customHeight="1" x14ac:dyDescent="0.2"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0"/>
      <c r="O760" s="160"/>
      <c r="P760" s="160"/>
      <c r="Q760" s="160"/>
      <c r="R760" s="160"/>
      <c r="T760" s="160"/>
      <c r="U760" s="160"/>
      <c r="V760" s="160"/>
      <c r="X760" s="160"/>
      <c r="Z760" s="160"/>
      <c r="AA760" s="160"/>
      <c r="AB760" s="160"/>
    </row>
    <row r="761" spans="2:28" ht="27.75" hidden="1" customHeight="1" x14ac:dyDescent="0.2"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0"/>
      <c r="O761" s="160"/>
      <c r="P761" s="160"/>
      <c r="Q761" s="160"/>
      <c r="R761" s="160"/>
      <c r="T761" s="160"/>
      <c r="U761" s="160"/>
      <c r="V761" s="160"/>
      <c r="X761" s="160"/>
      <c r="Z761" s="160"/>
      <c r="AA761" s="160"/>
      <c r="AB761" s="160"/>
    </row>
    <row r="762" spans="2:28" ht="27.75" hidden="1" customHeight="1" x14ac:dyDescent="0.2"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0"/>
      <c r="O762" s="160"/>
      <c r="P762" s="160"/>
      <c r="Q762" s="160"/>
      <c r="R762" s="160"/>
      <c r="T762" s="160"/>
      <c r="U762" s="160"/>
      <c r="V762" s="160"/>
      <c r="X762" s="160"/>
      <c r="Z762" s="160"/>
      <c r="AA762" s="160"/>
      <c r="AB762" s="160"/>
    </row>
    <row r="763" spans="2:28" ht="27.75" hidden="1" customHeight="1" x14ac:dyDescent="0.2"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0"/>
      <c r="O763" s="160"/>
      <c r="P763" s="160"/>
      <c r="Q763" s="160"/>
      <c r="R763" s="160"/>
      <c r="T763" s="160"/>
      <c r="U763" s="160"/>
      <c r="V763" s="160"/>
      <c r="X763" s="160"/>
      <c r="Z763" s="160"/>
      <c r="AA763" s="160"/>
      <c r="AB763" s="160"/>
    </row>
    <row r="764" spans="2:28" ht="27.75" hidden="1" customHeight="1" x14ac:dyDescent="0.2"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0"/>
      <c r="O764" s="160"/>
      <c r="P764" s="160"/>
      <c r="Q764" s="160"/>
      <c r="R764" s="160"/>
      <c r="T764" s="160"/>
      <c r="U764" s="160"/>
      <c r="V764" s="160"/>
      <c r="X764" s="160"/>
      <c r="Z764" s="160"/>
      <c r="AA764" s="160"/>
      <c r="AB764" s="160"/>
    </row>
    <row r="765" spans="2:28" ht="27.75" hidden="1" customHeight="1" x14ac:dyDescent="0.2"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0"/>
      <c r="O765" s="160"/>
      <c r="P765" s="160"/>
      <c r="Q765" s="160"/>
      <c r="R765" s="160"/>
      <c r="T765" s="160"/>
      <c r="U765" s="160"/>
      <c r="V765" s="160"/>
      <c r="X765" s="160"/>
      <c r="Z765" s="160"/>
      <c r="AA765" s="160"/>
      <c r="AB765" s="160"/>
    </row>
    <row r="766" spans="2:28" ht="27.75" hidden="1" customHeight="1" x14ac:dyDescent="0.2"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0"/>
      <c r="O766" s="160"/>
      <c r="P766" s="160"/>
      <c r="Q766" s="160"/>
      <c r="R766" s="160"/>
      <c r="T766" s="160"/>
      <c r="U766" s="160"/>
      <c r="V766" s="160"/>
      <c r="X766" s="160"/>
      <c r="Z766" s="160"/>
      <c r="AA766" s="160"/>
      <c r="AB766" s="160"/>
    </row>
    <row r="767" spans="2:28" ht="27.75" hidden="1" customHeight="1" x14ac:dyDescent="0.2"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0"/>
      <c r="O767" s="160"/>
      <c r="P767" s="160"/>
      <c r="Q767" s="160"/>
      <c r="R767" s="160"/>
      <c r="T767" s="160"/>
      <c r="U767" s="160"/>
      <c r="V767" s="160"/>
      <c r="X767" s="160"/>
      <c r="Z767" s="160"/>
      <c r="AA767" s="160"/>
      <c r="AB767" s="160"/>
    </row>
    <row r="768" spans="2:28" ht="27.75" hidden="1" customHeight="1" x14ac:dyDescent="0.2"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0"/>
      <c r="O768" s="160"/>
      <c r="P768" s="160"/>
      <c r="Q768" s="160"/>
      <c r="R768" s="160"/>
      <c r="T768" s="160"/>
      <c r="U768" s="160"/>
      <c r="V768" s="160"/>
      <c r="X768" s="160"/>
      <c r="Z768" s="160"/>
      <c r="AA768" s="160"/>
      <c r="AB768" s="160"/>
    </row>
    <row r="769" spans="2:28" ht="27.75" hidden="1" customHeight="1" x14ac:dyDescent="0.2"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0"/>
      <c r="O769" s="160"/>
      <c r="P769" s="160"/>
      <c r="Q769" s="160"/>
      <c r="R769" s="160"/>
      <c r="T769" s="160"/>
      <c r="U769" s="160"/>
      <c r="V769" s="160"/>
      <c r="X769" s="160"/>
      <c r="Z769" s="160"/>
      <c r="AA769" s="160"/>
      <c r="AB769" s="160"/>
    </row>
    <row r="770" spans="2:28" ht="27.75" hidden="1" customHeight="1" x14ac:dyDescent="0.2"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0"/>
      <c r="O770" s="160"/>
      <c r="P770" s="160"/>
      <c r="Q770" s="160"/>
      <c r="R770" s="160"/>
      <c r="T770" s="160"/>
      <c r="U770" s="160"/>
      <c r="V770" s="160"/>
      <c r="X770" s="160"/>
      <c r="Z770" s="160"/>
      <c r="AA770" s="160"/>
      <c r="AB770" s="160"/>
    </row>
    <row r="771" spans="2:28" ht="27.75" hidden="1" customHeight="1" x14ac:dyDescent="0.2"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0"/>
      <c r="O771" s="160"/>
      <c r="P771" s="160"/>
      <c r="Q771" s="160"/>
      <c r="R771" s="160"/>
      <c r="T771" s="160"/>
      <c r="U771" s="160"/>
      <c r="V771" s="160"/>
      <c r="X771" s="160"/>
      <c r="Z771" s="160"/>
      <c r="AA771" s="160"/>
      <c r="AB771" s="160"/>
    </row>
    <row r="772" spans="2:28" ht="27.75" hidden="1" customHeight="1" x14ac:dyDescent="0.2"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0"/>
      <c r="O772" s="160"/>
      <c r="P772" s="160"/>
      <c r="Q772" s="160"/>
      <c r="R772" s="160"/>
      <c r="T772" s="160"/>
      <c r="U772" s="160"/>
      <c r="V772" s="160"/>
      <c r="X772" s="160"/>
      <c r="Z772" s="160"/>
      <c r="AA772" s="160"/>
      <c r="AB772" s="160"/>
    </row>
    <row r="773" spans="2:28" ht="27.75" hidden="1" customHeight="1" x14ac:dyDescent="0.2"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0"/>
      <c r="O773" s="160"/>
      <c r="P773" s="160"/>
      <c r="Q773" s="160"/>
      <c r="R773" s="160"/>
      <c r="T773" s="160"/>
      <c r="U773" s="160"/>
      <c r="V773" s="160"/>
      <c r="X773" s="160"/>
      <c r="Z773" s="160"/>
      <c r="AA773" s="160"/>
      <c r="AB773" s="160"/>
    </row>
    <row r="774" spans="2:28" ht="27.75" hidden="1" customHeight="1" x14ac:dyDescent="0.2"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0"/>
      <c r="O774" s="160"/>
      <c r="P774" s="160"/>
      <c r="Q774" s="160"/>
      <c r="R774" s="160"/>
      <c r="T774" s="160"/>
      <c r="U774" s="160"/>
      <c r="V774" s="160"/>
      <c r="X774" s="160"/>
      <c r="Z774" s="160"/>
      <c r="AA774" s="160"/>
      <c r="AB774" s="160"/>
    </row>
    <row r="775" spans="2:28" ht="27.75" hidden="1" customHeight="1" x14ac:dyDescent="0.2"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0"/>
      <c r="O775" s="160"/>
      <c r="P775" s="160"/>
      <c r="Q775" s="160"/>
      <c r="R775" s="160"/>
      <c r="T775" s="160"/>
      <c r="U775" s="160"/>
      <c r="V775" s="160"/>
      <c r="X775" s="160"/>
      <c r="Z775" s="160"/>
      <c r="AA775" s="160"/>
      <c r="AB775" s="160"/>
    </row>
    <row r="776" spans="2:28" ht="27.75" hidden="1" customHeight="1" x14ac:dyDescent="0.2"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0"/>
      <c r="O776" s="160"/>
      <c r="P776" s="160"/>
      <c r="Q776" s="160"/>
      <c r="R776" s="160"/>
      <c r="T776" s="160"/>
      <c r="U776" s="160"/>
      <c r="V776" s="160"/>
      <c r="X776" s="160"/>
      <c r="Z776" s="160"/>
      <c r="AA776" s="160"/>
      <c r="AB776" s="160"/>
    </row>
    <row r="777" spans="2:28" ht="27.75" hidden="1" customHeight="1" x14ac:dyDescent="0.2"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0"/>
      <c r="O777" s="160"/>
      <c r="P777" s="160"/>
      <c r="Q777" s="160"/>
      <c r="R777" s="160"/>
      <c r="T777" s="160"/>
      <c r="U777" s="160"/>
      <c r="V777" s="160"/>
      <c r="X777" s="160"/>
      <c r="Z777" s="160"/>
      <c r="AA777" s="160"/>
      <c r="AB777" s="160"/>
    </row>
    <row r="778" spans="2:28" ht="27.75" hidden="1" customHeight="1" x14ac:dyDescent="0.2"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0"/>
      <c r="O778" s="160"/>
      <c r="P778" s="160"/>
      <c r="Q778" s="160"/>
      <c r="R778" s="160"/>
      <c r="T778" s="160"/>
      <c r="U778" s="160"/>
      <c r="V778" s="160"/>
      <c r="X778" s="160"/>
      <c r="Z778" s="160"/>
      <c r="AA778" s="160"/>
      <c r="AB778" s="160"/>
    </row>
    <row r="779" spans="2:28" ht="27.75" hidden="1" customHeight="1" x14ac:dyDescent="0.2"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0"/>
      <c r="O779" s="160"/>
      <c r="P779" s="160"/>
      <c r="Q779" s="160"/>
      <c r="R779" s="160"/>
      <c r="T779" s="160"/>
      <c r="U779" s="160"/>
      <c r="V779" s="160"/>
      <c r="X779" s="160"/>
      <c r="Z779" s="160"/>
      <c r="AA779" s="160"/>
      <c r="AB779" s="160"/>
    </row>
    <row r="780" spans="2:28" ht="27.75" hidden="1" customHeight="1" x14ac:dyDescent="0.2"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0"/>
      <c r="O780" s="160"/>
      <c r="P780" s="160"/>
      <c r="Q780" s="160"/>
      <c r="R780" s="160"/>
      <c r="T780" s="160"/>
      <c r="U780" s="160"/>
      <c r="V780" s="160"/>
      <c r="X780" s="160"/>
      <c r="Z780" s="160"/>
      <c r="AA780" s="160"/>
      <c r="AB780" s="160"/>
    </row>
    <row r="781" spans="2:28" ht="27.75" hidden="1" customHeight="1" x14ac:dyDescent="0.2"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0"/>
      <c r="O781" s="160"/>
      <c r="P781" s="160"/>
      <c r="Q781" s="160"/>
      <c r="R781" s="160"/>
      <c r="T781" s="160"/>
      <c r="U781" s="160"/>
      <c r="V781" s="160"/>
      <c r="X781" s="160"/>
      <c r="Z781" s="160"/>
      <c r="AA781" s="160"/>
      <c r="AB781" s="160"/>
    </row>
    <row r="782" spans="2:28" ht="27.75" hidden="1" customHeight="1" x14ac:dyDescent="0.2"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0"/>
      <c r="O782" s="160"/>
      <c r="P782" s="160"/>
      <c r="Q782" s="160"/>
      <c r="R782" s="160"/>
      <c r="T782" s="160"/>
      <c r="U782" s="160"/>
      <c r="V782" s="160"/>
      <c r="X782" s="160"/>
      <c r="Z782" s="160"/>
      <c r="AA782" s="160"/>
      <c r="AB782" s="160"/>
    </row>
    <row r="783" spans="2:28" ht="27.75" hidden="1" customHeight="1" x14ac:dyDescent="0.2"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0"/>
      <c r="O783" s="160"/>
      <c r="P783" s="160"/>
      <c r="Q783" s="160"/>
      <c r="R783" s="160"/>
      <c r="T783" s="160"/>
      <c r="U783" s="160"/>
      <c r="V783" s="160"/>
      <c r="X783" s="160"/>
      <c r="Z783" s="160"/>
      <c r="AA783" s="160"/>
      <c r="AB783" s="160"/>
    </row>
    <row r="784" spans="2:28" ht="27.75" hidden="1" customHeight="1" x14ac:dyDescent="0.2"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0"/>
      <c r="O784" s="160"/>
      <c r="P784" s="160"/>
      <c r="Q784" s="160"/>
      <c r="R784" s="160"/>
      <c r="T784" s="160"/>
      <c r="U784" s="160"/>
      <c r="V784" s="160"/>
      <c r="X784" s="160"/>
      <c r="Z784" s="160"/>
      <c r="AA784" s="160"/>
      <c r="AB784" s="160"/>
    </row>
    <row r="785" spans="2:28" ht="27.75" hidden="1" customHeight="1" x14ac:dyDescent="0.2"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0"/>
      <c r="O785" s="160"/>
      <c r="P785" s="160"/>
      <c r="Q785" s="160"/>
      <c r="R785" s="160"/>
      <c r="T785" s="160"/>
      <c r="U785" s="160"/>
      <c r="V785" s="160"/>
      <c r="X785" s="160"/>
      <c r="Z785" s="160"/>
      <c r="AA785" s="160"/>
      <c r="AB785" s="160"/>
    </row>
    <row r="786" spans="2:28" ht="27.75" hidden="1" customHeight="1" x14ac:dyDescent="0.2"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0"/>
      <c r="O786" s="160"/>
      <c r="P786" s="160"/>
      <c r="Q786" s="160"/>
      <c r="R786" s="160"/>
      <c r="T786" s="160"/>
      <c r="U786" s="160"/>
      <c r="V786" s="160"/>
      <c r="X786" s="160"/>
      <c r="Z786" s="160"/>
      <c r="AA786" s="160"/>
      <c r="AB786" s="160"/>
    </row>
    <row r="787" spans="2:28" ht="27.75" hidden="1" customHeight="1" x14ac:dyDescent="0.2"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0"/>
      <c r="O787" s="160"/>
      <c r="P787" s="160"/>
      <c r="Q787" s="160"/>
      <c r="R787" s="160"/>
      <c r="T787" s="160"/>
      <c r="U787" s="160"/>
      <c r="V787" s="160"/>
      <c r="X787" s="160"/>
      <c r="Z787" s="160"/>
      <c r="AA787" s="160"/>
      <c r="AB787" s="160"/>
    </row>
    <row r="788" spans="2:28" ht="27.75" hidden="1" customHeight="1" x14ac:dyDescent="0.2"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0"/>
      <c r="O788" s="160"/>
      <c r="P788" s="160"/>
      <c r="Q788" s="160"/>
      <c r="R788" s="160"/>
      <c r="T788" s="160"/>
      <c r="U788" s="160"/>
      <c r="V788" s="160"/>
      <c r="X788" s="160"/>
      <c r="Z788" s="160"/>
      <c r="AA788" s="160"/>
      <c r="AB788" s="160"/>
    </row>
    <row r="789" spans="2:28" ht="27.75" hidden="1" customHeight="1" x14ac:dyDescent="0.2"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0"/>
      <c r="O789" s="160"/>
      <c r="P789" s="160"/>
      <c r="Q789" s="160"/>
      <c r="R789" s="160"/>
      <c r="T789" s="160"/>
      <c r="U789" s="160"/>
      <c r="V789" s="160"/>
      <c r="X789" s="160"/>
      <c r="Z789" s="160"/>
      <c r="AA789" s="160"/>
      <c r="AB789" s="160"/>
    </row>
    <row r="790" spans="2:28" ht="27.75" hidden="1" customHeight="1" x14ac:dyDescent="0.2"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0"/>
      <c r="O790" s="160"/>
      <c r="P790" s="160"/>
      <c r="Q790" s="160"/>
      <c r="R790" s="160"/>
      <c r="T790" s="160"/>
      <c r="U790" s="160"/>
      <c r="V790" s="160"/>
      <c r="X790" s="160"/>
      <c r="Z790" s="160"/>
      <c r="AA790" s="160"/>
      <c r="AB790" s="160"/>
    </row>
    <row r="791" spans="2:28" ht="27.75" hidden="1" customHeight="1" x14ac:dyDescent="0.2"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0"/>
      <c r="O791" s="160"/>
      <c r="P791" s="160"/>
      <c r="Q791" s="160"/>
      <c r="R791" s="160"/>
      <c r="T791" s="160"/>
      <c r="U791" s="160"/>
      <c r="V791" s="160"/>
      <c r="X791" s="160"/>
      <c r="Z791" s="160"/>
      <c r="AA791" s="160"/>
      <c r="AB791" s="160"/>
    </row>
    <row r="792" spans="2:28" ht="27.75" hidden="1" customHeight="1" x14ac:dyDescent="0.2"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0"/>
      <c r="O792" s="160"/>
      <c r="P792" s="160"/>
      <c r="Q792" s="160"/>
      <c r="R792" s="160"/>
      <c r="T792" s="160"/>
      <c r="U792" s="160"/>
      <c r="V792" s="160"/>
      <c r="X792" s="160"/>
      <c r="Z792" s="160"/>
      <c r="AA792" s="160"/>
      <c r="AB792" s="160"/>
    </row>
    <row r="793" spans="2:28" ht="27.75" hidden="1" customHeight="1" x14ac:dyDescent="0.2"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0"/>
      <c r="O793" s="160"/>
      <c r="P793" s="160"/>
      <c r="Q793" s="160"/>
      <c r="R793" s="160"/>
      <c r="T793" s="160"/>
      <c r="U793" s="160"/>
      <c r="V793" s="160"/>
      <c r="X793" s="160"/>
      <c r="Z793" s="160"/>
      <c r="AA793" s="160"/>
      <c r="AB793" s="160"/>
    </row>
    <row r="794" spans="2:28" ht="27.75" hidden="1" customHeight="1" x14ac:dyDescent="0.2"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0"/>
      <c r="O794" s="160"/>
      <c r="P794" s="160"/>
      <c r="Q794" s="160"/>
      <c r="R794" s="160"/>
      <c r="T794" s="160"/>
      <c r="U794" s="160"/>
      <c r="V794" s="160"/>
      <c r="X794" s="160"/>
      <c r="Z794" s="160"/>
      <c r="AA794" s="160"/>
      <c r="AB794" s="160"/>
    </row>
    <row r="795" spans="2:28" ht="27.75" hidden="1" customHeight="1" x14ac:dyDescent="0.2"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0"/>
      <c r="O795" s="160"/>
      <c r="P795" s="160"/>
      <c r="Q795" s="160"/>
      <c r="R795" s="160"/>
      <c r="T795" s="160"/>
      <c r="U795" s="160"/>
      <c r="V795" s="160"/>
      <c r="X795" s="160"/>
      <c r="Z795" s="160"/>
      <c r="AA795" s="160"/>
      <c r="AB795" s="160"/>
    </row>
    <row r="796" spans="2:28" ht="27.75" hidden="1" customHeight="1" x14ac:dyDescent="0.2"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0"/>
      <c r="O796" s="160"/>
      <c r="P796" s="160"/>
      <c r="Q796" s="160"/>
      <c r="R796" s="160"/>
      <c r="T796" s="160"/>
      <c r="U796" s="160"/>
      <c r="V796" s="160"/>
      <c r="X796" s="160"/>
      <c r="Z796" s="160"/>
      <c r="AA796" s="160"/>
      <c r="AB796" s="160"/>
    </row>
    <row r="797" spans="2:28" ht="27.75" hidden="1" customHeight="1" x14ac:dyDescent="0.2"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0"/>
      <c r="O797" s="160"/>
      <c r="P797" s="160"/>
      <c r="Q797" s="160"/>
      <c r="R797" s="160"/>
      <c r="T797" s="160"/>
      <c r="U797" s="160"/>
      <c r="V797" s="160"/>
      <c r="X797" s="160"/>
      <c r="Z797" s="160"/>
      <c r="AA797" s="160"/>
      <c r="AB797" s="160"/>
    </row>
    <row r="798" spans="2:28" ht="27.75" hidden="1" customHeight="1" x14ac:dyDescent="0.2"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0"/>
      <c r="O798" s="160"/>
      <c r="P798" s="160"/>
      <c r="Q798" s="160"/>
      <c r="R798" s="160"/>
      <c r="T798" s="160"/>
      <c r="U798" s="160"/>
      <c r="V798" s="160"/>
      <c r="X798" s="160"/>
      <c r="Z798" s="160"/>
      <c r="AA798" s="160"/>
      <c r="AB798" s="160"/>
    </row>
    <row r="799" spans="2:28" ht="27.75" hidden="1" customHeight="1" x14ac:dyDescent="0.2"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0"/>
      <c r="O799" s="160"/>
      <c r="P799" s="160"/>
      <c r="Q799" s="160"/>
      <c r="R799" s="160"/>
      <c r="T799" s="160"/>
      <c r="U799" s="160"/>
      <c r="V799" s="160"/>
      <c r="X799" s="160"/>
      <c r="Z799" s="160"/>
      <c r="AA799" s="160"/>
      <c r="AB799" s="160"/>
    </row>
    <row r="800" spans="2:28" ht="27.75" hidden="1" customHeight="1" x14ac:dyDescent="0.2"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0"/>
      <c r="O800" s="160"/>
      <c r="P800" s="160"/>
      <c r="Q800" s="160"/>
      <c r="R800" s="160"/>
      <c r="T800" s="160"/>
      <c r="U800" s="160"/>
      <c r="V800" s="160"/>
      <c r="X800" s="160"/>
      <c r="Z800" s="160"/>
      <c r="AA800" s="160"/>
      <c r="AB800" s="160"/>
    </row>
    <row r="801" spans="2:28" ht="27.75" hidden="1" customHeight="1" x14ac:dyDescent="0.2"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0"/>
      <c r="O801" s="160"/>
      <c r="P801" s="160"/>
      <c r="Q801" s="160"/>
      <c r="R801" s="160"/>
      <c r="T801" s="160"/>
      <c r="U801" s="160"/>
      <c r="V801" s="160"/>
      <c r="X801" s="160"/>
      <c r="Z801" s="160"/>
      <c r="AA801" s="160"/>
      <c r="AB801" s="160"/>
    </row>
    <row r="802" spans="2:28" ht="27.75" hidden="1" customHeight="1" x14ac:dyDescent="0.2"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0"/>
      <c r="O802" s="160"/>
      <c r="P802" s="160"/>
      <c r="Q802" s="160"/>
      <c r="R802" s="160"/>
      <c r="T802" s="160"/>
      <c r="U802" s="160"/>
      <c r="V802" s="160"/>
      <c r="X802" s="160"/>
      <c r="Z802" s="160"/>
      <c r="AA802" s="160"/>
      <c r="AB802" s="160"/>
    </row>
    <row r="803" spans="2:28" ht="27.75" hidden="1" customHeight="1" x14ac:dyDescent="0.2"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0"/>
      <c r="O803" s="160"/>
      <c r="P803" s="160"/>
      <c r="Q803" s="160"/>
      <c r="R803" s="160"/>
      <c r="T803" s="160"/>
      <c r="U803" s="160"/>
      <c r="V803" s="160"/>
      <c r="X803" s="160"/>
      <c r="Z803" s="160"/>
      <c r="AA803" s="160"/>
      <c r="AB803" s="160"/>
    </row>
    <row r="804" spans="2:28" ht="27.75" hidden="1" customHeight="1" x14ac:dyDescent="0.2"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0"/>
      <c r="O804" s="160"/>
      <c r="P804" s="160"/>
      <c r="Q804" s="160"/>
      <c r="R804" s="160"/>
      <c r="T804" s="160"/>
      <c r="U804" s="160"/>
      <c r="V804" s="160"/>
      <c r="X804" s="160"/>
      <c r="Z804" s="160"/>
      <c r="AA804" s="160"/>
      <c r="AB804" s="160"/>
    </row>
    <row r="805" spans="2:28" ht="27.75" hidden="1" customHeight="1" x14ac:dyDescent="0.2"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0"/>
      <c r="O805" s="160"/>
      <c r="P805" s="160"/>
      <c r="Q805" s="160"/>
      <c r="R805" s="160"/>
      <c r="T805" s="160"/>
      <c r="U805" s="160"/>
      <c r="V805" s="160"/>
      <c r="X805" s="160"/>
      <c r="Z805" s="160"/>
      <c r="AA805" s="160"/>
      <c r="AB805" s="160"/>
    </row>
    <row r="806" spans="2:28" ht="27.75" hidden="1" customHeight="1" x14ac:dyDescent="0.2"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0"/>
      <c r="O806" s="160"/>
      <c r="P806" s="160"/>
      <c r="Q806" s="160"/>
      <c r="R806" s="160"/>
      <c r="T806" s="160"/>
      <c r="U806" s="160"/>
      <c r="V806" s="160"/>
      <c r="X806" s="160"/>
      <c r="Z806" s="160"/>
      <c r="AA806" s="160"/>
      <c r="AB806" s="160"/>
    </row>
    <row r="807" spans="2:28" ht="27.75" hidden="1" customHeight="1" x14ac:dyDescent="0.2"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0"/>
      <c r="O807" s="160"/>
      <c r="P807" s="160"/>
      <c r="Q807" s="160"/>
      <c r="R807" s="160"/>
      <c r="T807" s="160"/>
      <c r="U807" s="160"/>
      <c r="V807" s="160"/>
      <c r="X807" s="160"/>
      <c r="Z807" s="160"/>
      <c r="AA807" s="160"/>
      <c r="AB807" s="160"/>
    </row>
    <row r="808" spans="2:28" ht="27.75" hidden="1" customHeight="1" x14ac:dyDescent="0.2"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0"/>
      <c r="O808" s="160"/>
      <c r="P808" s="160"/>
      <c r="Q808" s="160"/>
      <c r="R808" s="160"/>
      <c r="T808" s="160"/>
      <c r="U808" s="160"/>
      <c r="V808" s="160"/>
      <c r="X808" s="160"/>
      <c r="Z808" s="160"/>
      <c r="AA808" s="160"/>
      <c r="AB808" s="160"/>
    </row>
    <row r="809" spans="2:28" ht="27.75" hidden="1" customHeight="1" x14ac:dyDescent="0.2"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0"/>
      <c r="O809" s="160"/>
      <c r="P809" s="160"/>
      <c r="Q809" s="160"/>
      <c r="R809" s="160"/>
      <c r="T809" s="160"/>
      <c r="U809" s="160"/>
      <c r="V809" s="160"/>
      <c r="X809" s="160"/>
      <c r="Z809" s="160"/>
      <c r="AA809" s="160"/>
      <c r="AB809" s="160"/>
    </row>
    <row r="810" spans="2:28" ht="27.75" hidden="1" customHeight="1" x14ac:dyDescent="0.2"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0"/>
      <c r="O810" s="160"/>
      <c r="P810" s="160"/>
      <c r="Q810" s="160"/>
      <c r="R810" s="160"/>
      <c r="T810" s="160"/>
      <c r="U810" s="160"/>
      <c r="V810" s="160"/>
      <c r="X810" s="160"/>
      <c r="Z810" s="160"/>
      <c r="AA810" s="160"/>
      <c r="AB810" s="160"/>
    </row>
    <row r="811" spans="2:28" ht="27.75" hidden="1" customHeight="1" x14ac:dyDescent="0.2"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0"/>
      <c r="O811" s="160"/>
      <c r="P811" s="160"/>
      <c r="Q811" s="160"/>
      <c r="R811" s="160"/>
      <c r="T811" s="160"/>
      <c r="U811" s="160"/>
      <c r="V811" s="160"/>
      <c r="X811" s="160"/>
      <c r="Z811" s="160"/>
      <c r="AA811" s="160"/>
      <c r="AB811" s="160"/>
    </row>
    <row r="812" spans="2:28" ht="27.75" hidden="1" customHeight="1" x14ac:dyDescent="0.2"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0"/>
      <c r="O812" s="160"/>
      <c r="P812" s="160"/>
      <c r="Q812" s="160"/>
      <c r="R812" s="160"/>
      <c r="T812" s="160"/>
      <c r="U812" s="160"/>
      <c r="V812" s="160"/>
      <c r="X812" s="160"/>
      <c r="Z812" s="160"/>
      <c r="AA812" s="160"/>
      <c r="AB812" s="160"/>
    </row>
    <row r="813" spans="2:28" ht="27.75" hidden="1" customHeight="1" x14ac:dyDescent="0.2"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0"/>
      <c r="O813" s="160"/>
      <c r="P813" s="160"/>
      <c r="Q813" s="160"/>
      <c r="R813" s="160"/>
      <c r="T813" s="160"/>
      <c r="U813" s="160"/>
      <c r="V813" s="160"/>
      <c r="X813" s="160"/>
      <c r="Z813" s="160"/>
      <c r="AA813" s="160"/>
      <c r="AB813" s="160"/>
    </row>
    <row r="814" spans="2:28" ht="27.75" hidden="1" customHeight="1" x14ac:dyDescent="0.2"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0"/>
      <c r="O814" s="160"/>
      <c r="P814" s="160"/>
      <c r="Q814" s="160"/>
      <c r="R814" s="160"/>
      <c r="T814" s="160"/>
      <c r="U814" s="160"/>
      <c r="V814" s="160"/>
      <c r="X814" s="160"/>
      <c r="Z814" s="160"/>
      <c r="AA814" s="160"/>
      <c r="AB814" s="160"/>
    </row>
    <row r="815" spans="2:28" ht="27.75" hidden="1" customHeight="1" x14ac:dyDescent="0.2"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0"/>
      <c r="O815" s="160"/>
      <c r="P815" s="160"/>
      <c r="Q815" s="160"/>
      <c r="R815" s="160"/>
      <c r="T815" s="160"/>
      <c r="U815" s="160"/>
      <c r="V815" s="160"/>
      <c r="X815" s="160"/>
      <c r="Z815" s="160"/>
      <c r="AA815" s="160"/>
      <c r="AB815" s="160"/>
    </row>
    <row r="816" spans="2:28" ht="27.75" hidden="1" customHeight="1" x14ac:dyDescent="0.2"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0"/>
      <c r="O816" s="160"/>
      <c r="P816" s="160"/>
      <c r="Q816" s="160"/>
      <c r="R816" s="160"/>
      <c r="T816" s="160"/>
      <c r="U816" s="160"/>
      <c r="V816" s="160"/>
      <c r="X816" s="160"/>
      <c r="Z816" s="160"/>
      <c r="AA816" s="160"/>
      <c r="AB816" s="160"/>
    </row>
    <row r="817" spans="2:28" ht="27.75" hidden="1" customHeight="1" x14ac:dyDescent="0.2"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0"/>
      <c r="O817" s="160"/>
      <c r="P817" s="160"/>
      <c r="Q817" s="160"/>
      <c r="R817" s="160"/>
      <c r="T817" s="160"/>
      <c r="U817" s="160"/>
      <c r="V817" s="160"/>
      <c r="X817" s="160"/>
      <c r="Z817" s="160"/>
      <c r="AA817" s="160"/>
      <c r="AB817" s="160"/>
    </row>
    <row r="818" spans="2:28" ht="27.75" hidden="1" customHeight="1" x14ac:dyDescent="0.2"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0"/>
      <c r="O818" s="160"/>
      <c r="P818" s="160"/>
      <c r="Q818" s="160"/>
      <c r="R818" s="160"/>
      <c r="T818" s="160"/>
      <c r="U818" s="160"/>
      <c r="V818" s="160"/>
      <c r="X818" s="160"/>
      <c r="Z818" s="160"/>
      <c r="AA818" s="160"/>
      <c r="AB818" s="160"/>
    </row>
    <row r="819" spans="2:28" ht="27.75" hidden="1" customHeight="1" x14ac:dyDescent="0.2"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0"/>
      <c r="O819" s="160"/>
      <c r="P819" s="160"/>
      <c r="Q819" s="160"/>
      <c r="R819" s="160"/>
      <c r="T819" s="160"/>
      <c r="U819" s="160"/>
      <c r="V819" s="160"/>
      <c r="X819" s="160"/>
      <c r="Z819" s="160"/>
      <c r="AA819" s="160"/>
      <c r="AB819" s="160"/>
    </row>
    <row r="820" spans="2:28" ht="27.75" hidden="1" customHeight="1" x14ac:dyDescent="0.2"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0"/>
      <c r="O820" s="160"/>
      <c r="P820" s="160"/>
      <c r="Q820" s="160"/>
      <c r="R820" s="160"/>
      <c r="T820" s="160"/>
      <c r="U820" s="160"/>
      <c r="V820" s="160"/>
      <c r="X820" s="160"/>
      <c r="Z820" s="160"/>
      <c r="AA820" s="160"/>
      <c r="AB820" s="160"/>
    </row>
    <row r="821" spans="2:28" ht="27.75" hidden="1" customHeight="1" x14ac:dyDescent="0.2"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0"/>
      <c r="O821" s="160"/>
      <c r="P821" s="160"/>
      <c r="Q821" s="160"/>
      <c r="R821" s="160"/>
      <c r="T821" s="160"/>
      <c r="U821" s="160"/>
      <c r="V821" s="160"/>
      <c r="X821" s="160"/>
      <c r="Z821" s="160"/>
      <c r="AA821" s="160"/>
      <c r="AB821" s="160"/>
    </row>
    <row r="822" spans="2:28" ht="27.75" hidden="1" customHeight="1" x14ac:dyDescent="0.2"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0"/>
      <c r="O822" s="160"/>
      <c r="P822" s="160"/>
      <c r="Q822" s="160"/>
      <c r="R822" s="160"/>
      <c r="T822" s="160"/>
      <c r="U822" s="160"/>
      <c r="V822" s="160"/>
      <c r="X822" s="160"/>
      <c r="Z822" s="160"/>
      <c r="AA822" s="160"/>
      <c r="AB822" s="160"/>
    </row>
    <row r="823" spans="2:28" ht="27.75" hidden="1" customHeight="1" x14ac:dyDescent="0.2"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0"/>
      <c r="O823" s="160"/>
      <c r="P823" s="160"/>
      <c r="Q823" s="160"/>
      <c r="R823" s="160"/>
      <c r="T823" s="160"/>
      <c r="U823" s="160"/>
      <c r="V823" s="160"/>
      <c r="X823" s="160"/>
      <c r="Z823" s="160"/>
      <c r="AA823" s="160"/>
      <c r="AB823" s="160"/>
    </row>
    <row r="824" spans="2:28" ht="27.75" hidden="1" customHeight="1" x14ac:dyDescent="0.2"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0"/>
      <c r="O824" s="160"/>
      <c r="P824" s="160"/>
      <c r="Q824" s="160"/>
      <c r="R824" s="160"/>
      <c r="T824" s="160"/>
      <c r="U824" s="160"/>
      <c r="V824" s="160"/>
      <c r="X824" s="160"/>
      <c r="Z824" s="160"/>
      <c r="AA824" s="160"/>
      <c r="AB824" s="160"/>
    </row>
    <row r="825" spans="2:28" ht="27.75" hidden="1" customHeight="1" x14ac:dyDescent="0.2"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0"/>
      <c r="O825" s="160"/>
      <c r="P825" s="160"/>
      <c r="Q825" s="160"/>
      <c r="R825" s="160"/>
      <c r="T825" s="160"/>
      <c r="U825" s="160"/>
      <c r="V825" s="160"/>
      <c r="X825" s="160"/>
      <c r="Z825" s="160"/>
      <c r="AA825" s="160"/>
      <c r="AB825" s="160"/>
    </row>
    <row r="826" spans="2:28" ht="27.75" hidden="1" customHeight="1" x14ac:dyDescent="0.2"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0"/>
      <c r="O826" s="160"/>
      <c r="P826" s="160"/>
      <c r="Q826" s="160"/>
      <c r="R826" s="160"/>
      <c r="T826" s="160"/>
      <c r="U826" s="160"/>
      <c r="V826" s="160"/>
      <c r="X826" s="160"/>
      <c r="Z826" s="160"/>
      <c r="AA826" s="160"/>
      <c r="AB826" s="160"/>
    </row>
    <row r="827" spans="2:28" ht="27.75" hidden="1" customHeight="1" x14ac:dyDescent="0.2"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0"/>
      <c r="O827" s="160"/>
      <c r="P827" s="160"/>
      <c r="Q827" s="160"/>
      <c r="R827" s="160"/>
      <c r="T827" s="160"/>
      <c r="U827" s="160"/>
      <c r="V827" s="160"/>
      <c r="X827" s="160"/>
      <c r="Z827" s="160"/>
      <c r="AA827" s="160"/>
      <c r="AB827" s="160"/>
    </row>
    <row r="828" spans="2:28" ht="27.75" hidden="1" customHeight="1" x14ac:dyDescent="0.2"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0"/>
      <c r="O828" s="160"/>
      <c r="P828" s="160"/>
      <c r="Q828" s="160"/>
      <c r="R828" s="160"/>
      <c r="T828" s="160"/>
      <c r="U828" s="160"/>
      <c r="V828" s="160"/>
      <c r="X828" s="160"/>
      <c r="Z828" s="160"/>
      <c r="AA828" s="160"/>
      <c r="AB828" s="160"/>
    </row>
    <row r="829" spans="2:28" ht="27.75" hidden="1" customHeight="1" x14ac:dyDescent="0.2"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0"/>
      <c r="O829" s="160"/>
      <c r="P829" s="160"/>
      <c r="Q829" s="160"/>
      <c r="R829" s="160"/>
      <c r="T829" s="160"/>
      <c r="U829" s="160"/>
      <c r="V829" s="160"/>
      <c r="X829" s="160"/>
      <c r="Z829" s="160"/>
      <c r="AA829" s="160"/>
      <c r="AB829" s="160"/>
    </row>
    <row r="830" spans="2:28" ht="27.75" hidden="1" customHeight="1" x14ac:dyDescent="0.2"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0"/>
      <c r="O830" s="160"/>
      <c r="P830" s="160"/>
      <c r="Q830" s="160"/>
      <c r="R830" s="160"/>
      <c r="T830" s="160"/>
      <c r="U830" s="160"/>
      <c r="V830" s="160"/>
      <c r="X830" s="160"/>
      <c r="Z830" s="160"/>
      <c r="AA830" s="160"/>
      <c r="AB830" s="160"/>
    </row>
    <row r="831" spans="2:28" ht="27.75" hidden="1" customHeight="1" x14ac:dyDescent="0.2"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0"/>
      <c r="O831" s="160"/>
      <c r="P831" s="160"/>
      <c r="Q831" s="160"/>
      <c r="R831" s="160"/>
      <c r="T831" s="160"/>
      <c r="U831" s="160"/>
      <c r="V831" s="160"/>
      <c r="X831" s="160"/>
      <c r="Z831" s="160"/>
      <c r="AA831" s="160"/>
      <c r="AB831" s="160"/>
    </row>
    <row r="832" spans="2:28" ht="27.75" hidden="1" customHeight="1" x14ac:dyDescent="0.2"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0"/>
      <c r="O832" s="160"/>
      <c r="P832" s="160"/>
      <c r="Q832" s="160"/>
      <c r="R832" s="160"/>
      <c r="T832" s="160"/>
      <c r="U832" s="160"/>
      <c r="V832" s="160"/>
      <c r="X832" s="160"/>
      <c r="Z832" s="160"/>
      <c r="AA832" s="160"/>
      <c r="AB832" s="160"/>
    </row>
    <row r="833" spans="2:28" ht="27.75" hidden="1" customHeight="1" x14ac:dyDescent="0.2"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0"/>
      <c r="O833" s="160"/>
      <c r="P833" s="160"/>
      <c r="Q833" s="160"/>
      <c r="R833" s="160"/>
      <c r="T833" s="160"/>
      <c r="U833" s="160"/>
      <c r="V833" s="160"/>
      <c r="X833" s="160"/>
      <c r="Z833" s="160"/>
      <c r="AA833" s="160"/>
      <c r="AB833" s="160"/>
    </row>
    <row r="834" spans="2:28" ht="27.75" hidden="1" customHeight="1" x14ac:dyDescent="0.2"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0"/>
      <c r="O834" s="160"/>
      <c r="P834" s="160"/>
      <c r="Q834" s="160"/>
      <c r="R834" s="160"/>
      <c r="T834" s="160"/>
      <c r="U834" s="160"/>
      <c r="V834" s="160"/>
      <c r="X834" s="160"/>
      <c r="Z834" s="160"/>
      <c r="AA834" s="160"/>
      <c r="AB834" s="160"/>
    </row>
    <row r="835" spans="2:28" ht="27.75" hidden="1" customHeight="1" x14ac:dyDescent="0.2"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0"/>
      <c r="O835" s="160"/>
      <c r="P835" s="160"/>
      <c r="Q835" s="160"/>
      <c r="R835" s="160"/>
      <c r="T835" s="160"/>
      <c r="U835" s="160"/>
      <c r="V835" s="160"/>
      <c r="X835" s="160"/>
      <c r="Z835" s="160"/>
      <c r="AA835" s="160"/>
      <c r="AB835" s="160"/>
    </row>
    <row r="836" spans="2:28" ht="27.75" hidden="1" customHeight="1" x14ac:dyDescent="0.2"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0"/>
      <c r="O836" s="160"/>
      <c r="P836" s="160"/>
      <c r="Q836" s="160"/>
      <c r="R836" s="160"/>
      <c r="T836" s="160"/>
      <c r="U836" s="160"/>
      <c r="V836" s="160"/>
      <c r="X836" s="160"/>
      <c r="Z836" s="160"/>
      <c r="AA836" s="160"/>
      <c r="AB836" s="160"/>
    </row>
    <row r="837" spans="2:28" ht="27.75" hidden="1" customHeight="1" x14ac:dyDescent="0.2"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0"/>
      <c r="O837" s="160"/>
      <c r="P837" s="160"/>
      <c r="Q837" s="160"/>
      <c r="R837" s="160"/>
      <c r="T837" s="160"/>
      <c r="U837" s="160"/>
      <c r="V837" s="160"/>
      <c r="X837" s="160"/>
      <c r="Z837" s="160"/>
      <c r="AA837" s="160"/>
      <c r="AB837" s="160"/>
    </row>
    <row r="838" spans="2:28" ht="27.75" hidden="1" customHeight="1" x14ac:dyDescent="0.2"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0"/>
      <c r="O838" s="160"/>
      <c r="P838" s="160"/>
      <c r="Q838" s="160"/>
      <c r="R838" s="160"/>
      <c r="T838" s="160"/>
      <c r="U838" s="160"/>
      <c r="V838" s="160"/>
      <c r="X838" s="160"/>
      <c r="Z838" s="160"/>
      <c r="AA838" s="160"/>
      <c r="AB838" s="160"/>
    </row>
    <row r="839" spans="2:28" ht="27.75" hidden="1" customHeight="1" x14ac:dyDescent="0.2"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0"/>
      <c r="O839" s="160"/>
      <c r="P839" s="160"/>
      <c r="Q839" s="160"/>
      <c r="R839" s="160"/>
      <c r="T839" s="160"/>
      <c r="U839" s="160"/>
      <c r="V839" s="160"/>
      <c r="X839" s="160"/>
      <c r="Z839" s="160"/>
      <c r="AA839" s="160"/>
      <c r="AB839" s="160"/>
    </row>
    <row r="840" spans="2:28" ht="27.75" hidden="1" customHeight="1" x14ac:dyDescent="0.2"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0"/>
      <c r="O840" s="160"/>
      <c r="P840" s="160"/>
      <c r="Q840" s="160"/>
      <c r="R840" s="160"/>
      <c r="T840" s="160"/>
      <c r="U840" s="160"/>
      <c r="V840" s="160"/>
      <c r="X840" s="160"/>
      <c r="Z840" s="160"/>
      <c r="AA840" s="160"/>
      <c r="AB840" s="160"/>
    </row>
    <row r="841" spans="2:28" ht="27.75" hidden="1" customHeight="1" x14ac:dyDescent="0.2"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0"/>
      <c r="O841" s="160"/>
      <c r="P841" s="160"/>
      <c r="Q841" s="160"/>
      <c r="R841" s="160"/>
      <c r="T841" s="160"/>
      <c r="U841" s="160"/>
      <c r="V841" s="160"/>
      <c r="X841" s="160"/>
      <c r="Z841" s="160"/>
      <c r="AA841" s="160"/>
      <c r="AB841" s="160"/>
    </row>
    <row r="842" spans="2:28" ht="27.75" hidden="1" customHeight="1" x14ac:dyDescent="0.2"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0"/>
      <c r="O842" s="160"/>
      <c r="P842" s="160"/>
      <c r="Q842" s="160"/>
      <c r="R842" s="160"/>
      <c r="T842" s="160"/>
      <c r="U842" s="160"/>
      <c r="V842" s="160"/>
      <c r="X842" s="160"/>
      <c r="Z842" s="160"/>
      <c r="AA842" s="160"/>
      <c r="AB842" s="160"/>
    </row>
    <row r="843" spans="2:28" ht="27.75" hidden="1" customHeight="1" x14ac:dyDescent="0.2"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0"/>
      <c r="O843" s="160"/>
      <c r="P843" s="160"/>
      <c r="Q843" s="160"/>
      <c r="R843" s="160"/>
      <c r="T843" s="160"/>
      <c r="U843" s="160"/>
      <c r="V843" s="160"/>
      <c r="X843" s="160"/>
      <c r="Z843" s="160"/>
      <c r="AA843" s="160"/>
      <c r="AB843" s="160"/>
    </row>
    <row r="844" spans="2:28" ht="27.75" hidden="1" customHeight="1" x14ac:dyDescent="0.2"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0"/>
      <c r="O844" s="160"/>
      <c r="P844" s="160"/>
      <c r="Q844" s="160"/>
      <c r="R844" s="160"/>
      <c r="T844" s="160"/>
      <c r="U844" s="160"/>
      <c r="V844" s="160"/>
      <c r="X844" s="160"/>
      <c r="Z844" s="160"/>
      <c r="AA844" s="160"/>
      <c r="AB844" s="160"/>
    </row>
    <row r="845" spans="2:28" ht="27.75" hidden="1" customHeight="1" x14ac:dyDescent="0.2"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0"/>
      <c r="O845" s="160"/>
      <c r="P845" s="160"/>
      <c r="Q845" s="160"/>
      <c r="R845" s="160"/>
      <c r="T845" s="160"/>
      <c r="U845" s="160"/>
      <c r="V845" s="160"/>
      <c r="X845" s="160"/>
      <c r="Z845" s="160"/>
      <c r="AA845" s="160"/>
      <c r="AB845" s="160"/>
    </row>
    <row r="846" spans="2:28" ht="27.75" hidden="1" customHeight="1" x14ac:dyDescent="0.2"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0"/>
      <c r="O846" s="160"/>
      <c r="P846" s="160"/>
      <c r="Q846" s="160"/>
      <c r="R846" s="160"/>
      <c r="T846" s="160"/>
      <c r="U846" s="160"/>
      <c r="V846" s="160"/>
      <c r="X846" s="160"/>
      <c r="Z846" s="160"/>
      <c r="AA846" s="160"/>
      <c r="AB846" s="160"/>
    </row>
    <row r="847" spans="2:28" ht="27.75" hidden="1" customHeight="1" x14ac:dyDescent="0.2"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0"/>
      <c r="O847" s="160"/>
      <c r="P847" s="160"/>
      <c r="Q847" s="160"/>
      <c r="R847" s="160"/>
      <c r="T847" s="160"/>
      <c r="U847" s="160"/>
      <c r="V847" s="160"/>
      <c r="X847" s="160"/>
      <c r="Z847" s="160"/>
      <c r="AA847" s="160"/>
      <c r="AB847" s="160"/>
    </row>
    <row r="848" spans="2:28" ht="27.75" hidden="1" customHeight="1" x14ac:dyDescent="0.2"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0"/>
      <c r="O848" s="160"/>
      <c r="P848" s="160"/>
      <c r="Q848" s="160"/>
      <c r="R848" s="160"/>
      <c r="T848" s="160"/>
      <c r="U848" s="160"/>
      <c r="V848" s="160"/>
      <c r="X848" s="160"/>
      <c r="Z848" s="160"/>
      <c r="AA848" s="160"/>
      <c r="AB848" s="160"/>
    </row>
    <row r="849" spans="2:28" ht="27.75" hidden="1" customHeight="1" x14ac:dyDescent="0.2"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0"/>
      <c r="O849" s="160"/>
      <c r="P849" s="160"/>
      <c r="Q849" s="160"/>
      <c r="R849" s="160"/>
      <c r="T849" s="160"/>
      <c r="U849" s="160"/>
      <c r="V849" s="160"/>
      <c r="X849" s="160"/>
      <c r="Z849" s="160"/>
      <c r="AA849" s="160"/>
      <c r="AB849" s="160"/>
    </row>
    <row r="850" spans="2:28" ht="27.75" hidden="1" customHeight="1" x14ac:dyDescent="0.2"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0"/>
      <c r="O850" s="160"/>
      <c r="P850" s="160"/>
      <c r="Q850" s="160"/>
      <c r="R850" s="160"/>
      <c r="T850" s="160"/>
      <c r="U850" s="160"/>
      <c r="V850" s="160"/>
      <c r="X850" s="160"/>
      <c r="Z850" s="160"/>
      <c r="AA850" s="160"/>
      <c r="AB850" s="160"/>
    </row>
    <row r="851" spans="2:28" ht="27.75" hidden="1" customHeight="1" x14ac:dyDescent="0.2"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0"/>
      <c r="O851" s="160"/>
      <c r="P851" s="160"/>
      <c r="Q851" s="160"/>
      <c r="R851" s="160"/>
      <c r="T851" s="160"/>
      <c r="U851" s="160"/>
      <c r="V851" s="160"/>
      <c r="X851" s="160"/>
      <c r="Z851" s="160"/>
      <c r="AA851" s="160"/>
      <c r="AB851" s="160"/>
    </row>
    <row r="852" spans="2:28" ht="27.75" hidden="1" customHeight="1" x14ac:dyDescent="0.2"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0"/>
      <c r="O852" s="160"/>
      <c r="P852" s="160"/>
      <c r="Q852" s="160"/>
      <c r="R852" s="160"/>
      <c r="T852" s="160"/>
      <c r="U852" s="160"/>
      <c r="V852" s="160"/>
      <c r="X852" s="160"/>
      <c r="Z852" s="160"/>
      <c r="AA852" s="160"/>
      <c r="AB852" s="160"/>
    </row>
    <row r="853" spans="2:28" ht="27.75" hidden="1" customHeight="1" x14ac:dyDescent="0.2"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0"/>
      <c r="O853" s="160"/>
      <c r="P853" s="160"/>
      <c r="Q853" s="160"/>
      <c r="R853" s="160"/>
      <c r="T853" s="160"/>
      <c r="U853" s="160"/>
      <c r="V853" s="160"/>
      <c r="X853" s="160"/>
      <c r="Z853" s="160"/>
      <c r="AA853" s="160"/>
      <c r="AB853" s="160"/>
    </row>
    <row r="854" spans="2:28" ht="27.75" hidden="1" customHeight="1" x14ac:dyDescent="0.2"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0"/>
      <c r="O854" s="160"/>
      <c r="P854" s="160"/>
      <c r="Q854" s="160"/>
      <c r="R854" s="160"/>
      <c r="T854" s="160"/>
      <c r="U854" s="160"/>
      <c r="V854" s="160"/>
      <c r="X854" s="160"/>
      <c r="Z854" s="160"/>
      <c r="AA854" s="160"/>
      <c r="AB854" s="160"/>
    </row>
    <row r="855" spans="2:28" ht="27.75" hidden="1" customHeight="1" x14ac:dyDescent="0.2"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0"/>
      <c r="O855" s="160"/>
      <c r="P855" s="160"/>
      <c r="Q855" s="160"/>
      <c r="R855" s="160"/>
      <c r="T855" s="160"/>
      <c r="U855" s="160"/>
      <c r="V855" s="160"/>
      <c r="X855" s="160"/>
      <c r="Z855" s="160"/>
      <c r="AA855" s="160"/>
      <c r="AB855" s="160"/>
    </row>
    <row r="856" spans="2:28" ht="27.75" hidden="1" customHeight="1" x14ac:dyDescent="0.2"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0"/>
      <c r="O856" s="160"/>
      <c r="P856" s="160"/>
      <c r="Q856" s="160"/>
      <c r="R856" s="160"/>
      <c r="T856" s="160"/>
      <c r="U856" s="160"/>
      <c r="V856" s="160"/>
      <c r="X856" s="160"/>
      <c r="Z856" s="160"/>
      <c r="AA856" s="160"/>
      <c r="AB856" s="160"/>
    </row>
    <row r="857" spans="2:28" ht="27.75" hidden="1" customHeight="1" x14ac:dyDescent="0.2"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0"/>
      <c r="O857" s="160"/>
      <c r="P857" s="160"/>
      <c r="Q857" s="160"/>
      <c r="R857" s="160"/>
      <c r="T857" s="160"/>
      <c r="U857" s="160"/>
      <c r="V857" s="160"/>
      <c r="X857" s="160"/>
      <c r="Z857" s="160"/>
      <c r="AA857" s="160"/>
      <c r="AB857" s="160"/>
    </row>
    <row r="858" spans="2:28" ht="27.75" hidden="1" customHeight="1" x14ac:dyDescent="0.2"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0"/>
      <c r="O858" s="160"/>
      <c r="P858" s="160"/>
      <c r="Q858" s="160"/>
      <c r="R858" s="160"/>
      <c r="T858" s="160"/>
      <c r="U858" s="160"/>
      <c r="V858" s="160"/>
      <c r="X858" s="160"/>
      <c r="Z858" s="160"/>
      <c r="AA858" s="160"/>
      <c r="AB858" s="160"/>
    </row>
    <row r="859" spans="2:28" ht="27.75" hidden="1" customHeight="1" x14ac:dyDescent="0.2"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0"/>
      <c r="O859" s="160"/>
      <c r="P859" s="160"/>
      <c r="Q859" s="160"/>
      <c r="R859" s="160"/>
      <c r="T859" s="160"/>
      <c r="U859" s="160"/>
      <c r="V859" s="160"/>
      <c r="X859" s="160"/>
      <c r="Z859" s="160"/>
      <c r="AA859" s="160"/>
      <c r="AB859" s="160"/>
    </row>
    <row r="860" spans="2:28" ht="27.75" hidden="1" customHeight="1" x14ac:dyDescent="0.2"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0"/>
      <c r="O860" s="160"/>
      <c r="P860" s="160"/>
      <c r="Q860" s="160"/>
      <c r="R860" s="160"/>
      <c r="T860" s="160"/>
      <c r="U860" s="160"/>
      <c r="V860" s="160"/>
      <c r="X860" s="160"/>
      <c r="Z860" s="160"/>
      <c r="AA860" s="160"/>
      <c r="AB860" s="160"/>
    </row>
    <row r="861" spans="2:28" ht="27.75" hidden="1" customHeight="1" x14ac:dyDescent="0.2"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0"/>
      <c r="O861" s="160"/>
      <c r="P861" s="160"/>
      <c r="Q861" s="160"/>
      <c r="R861" s="160"/>
      <c r="T861" s="160"/>
      <c r="U861" s="160"/>
      <c r="V861" s="160"/>
      <c r="X861" s="160"/>
      <c r="Z861" s="160"/>
      <c r="AA861" s="160"/>
      <c r="AB861" s="160"/>
    </row>
    <row r="862" spans="2:28" ht="27.75" hidden="1" customHeight="1" x14ac:dyDescent="0.2"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0"/>
      <c r="O862" s="160"/>
      <c r="P862" s="160"/>
      <c r="Q862" s="160"/>
      <c r="R862" s="160"/>
      <c r="T862" s="160"/>
      <c r="U862" s="160"/>
      <c r="V862" s="160"/>
      <c r="X862" s="160"/>
      <c r="Z862" s="160"/>
      <c r="AA862" s="160"/>
      <c r="AB862" s="160"/>
    </row>
    <row r="863" spans="2:28" ht="27.75" hidden="1" customHeight="1" x14ac:dyDescent="0.2"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0"/>
      <c r="O863" s="160"/>
      <c r="P863" s="160"/>
      <c r="Q863" s="160"/>
      <c r="R863" s="160"/>
      <c r="T863" s="160"/>
      <c r="U863" s="160"/>
      <c r="V863" s="160"/>
      <c r="X863" s="160"/>
      <c r="Z863" s="160"/>
      <c r="AA863" s="160"/>
      <c r="AB863" s="160"/>
    </row>
    <row r="864" spans="2:28" ht="27.75" hidden="1" customHeight="1" x14ac:dyDescent="0.2"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0"/>
      <c r="O864" s="160"/>
      <c r="P864" s="160"/>
      <c r="Q864" s="160"/>
      <c r="R864" s="160"/>
      <c r="T864" s="160"/>
      <c r="U864" s="160"/>
      <c r="V864" s="160"/>
      <c r="X864" s="160"/>
      <c r="Z864" s="160"/>
      <c r="AA864" s="160"/>
      <c r="AB864" s="160"/>
    </row>
    <row r="865" spans="2:28" ht="27.75" hidden="1" customHeight="1" x14ac:dyDescent="0.2"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0"/>
      <c r="O865" s="160"/>
      <c r="P865" s="160"/>
      <c r="Q865" s="160"/>
      <c r="R865" s="160"/>
      <c r="T865" s="160"/>
      <c r="U865" s="160"/>
      <c r="V865" s="160"/>
      <c r="X865" s="160"/>
      <c r="Z865" s="160"/>
      <c r="AA865" s="160"/>
      <c r="AB865" s="160"/>
    </row>
    <row r="866" spans="2:28" ht="27.75" hidden="1" customHeight="1" x14ac:dyDescent="0.2"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0"/>
      <c r="O866" s="160"/>
      <c r="P866" s="160"/>
      <c r="Q866" s="160"/>
      <c r="R866" s="160"/>
      <c r="T866" s="160"/>
      <c r="U866" s="160"/>
      <c r="V866" s="160"/>
      <c r="X866" s="160"/>
      <c r="Z866" s="160"/>
      <c r="AA866" s="160"/>
      <c r="AB866" s="160"/>
    </row>
    <row r="867" spans="2:28" ht="27.75" hidden="1" customHeight="1" x14ac:dyDescent="0.2"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0"/>
      <c r="O867" s="160"/>
      <c r="P867" s="160"/>
      <c r="Q867" s="160"/>
      <c r="R867" s="160"/>
      <c r="T867" s="160"/>
      <c r="U867" s="160"/>
      <c r="V867" s="160"/>
      <c r="X867" s="160"/>
      <c r="Z867" s="160"/>
      <c r="AA867" s="160"/>
      <c r="AB867" s="160"/>
    </row>
    <row r="868" spans="2:28" ht="27.75" hidden="1" customHeight="1" x14ac:dyDescent="0.2"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0"/>
      <c r="O868" s="160"/>
      <c r="P868" s="160"/>
      <c r="Q868" s="160"/>
      <c r="R868" s="160"/>
      <c r="T868" s="160"/>
      <c r="U868" s="160"/>
      <c r="V868" s="160"/>
      <c r="X868" s="160"/>
      <c r="Z868" s="160"/>
      <c r="AA868" s="160"/>
      <c r="AB868" s="160"/>
    </row>
    <row r="869" spans="2:28" ht="27.75" hidden="1" customHeight="1" x14ac:dyDescent="0.2"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0"/>
      <c r="O869" s="160"/>
      <c r="P869" s="160"/>
      <c r="Q869" s="160"/>
      <c r="R869" s="160"/>
      <c r="T869" s="160"/>
      <c r="U869" s="160"/>
      <c r="V869" s="160"/>
      <c r="X869" s="160"/>
      <c r="Z869" s="160"/>
      <c r="AA869" s="160"/>
      <c r="AB869" s="160"/>
    </row>
    <row r="870" spans="2:28" ht="27.75" hidden="1" customHeight="1" x14ac:dyDescent="0.2"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0"/>
      <c r="O870" s="160"/>
      <c r="P870" s="160"/>
      <c r="Q870" s="160"/>
      <c r="R870" s="160"/>
      <c r="T870" s="160"/>
      <c r="U870" s="160"/>
      <c r="V870" s="160"/>
      <c r="X870" s="160"/>
      <c r="Z870" s="160"/>
      <c r="AA870" s="160"/>
      <c r="AB870" s="160"/>
    </row>
    <row r="871" spans="2:28" ht="27.75" hidden="1" customHeight="1" x14ac:dyDescent="0.2"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0"/>
      <c r="O871" s="160"/>
      <c r="P871" s="160"/>
      <c r="Q871" s="160"/>
      <c r="R871" s="160"/>
      <c r="T871" s="160"/>
      <c r="U871" s="160"/>
      <c r="V871" s="160"/>
      <c r="X871" s="160"/>
      <c r="Z871" s="160"/>
      <c r="AA871" s="160"/>
      <c r="AB871" s="160"/>
    </row>
    <row r="872" spans="2:28" ht="27.75" hidden="1" customHeight="1" x14ac:dyDescent="0.2"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0"/>
      <c r="O872" s="160"/>
      <c r="P872" s="160"/>
      <c r="Q872" s="160"/>
      <c r="R872" s="160"/>
      <c r="T872" s="160"/>
      <c r="U872" s="160"/>
      <c r="V872" s="160"/>
      <c r="X872" s="160"/>
      <c r="Z872" s="160"/>
      <c r="AA872" s="160"/>
      <c r="AB872" s="160"/>
    </row>
    <row r="873" spans="2:28" ht="27.75" hidden="1" customHeight="1" x14ac:dyDescent="0.2"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0"/>
      <c r="O873" s="160"/>
      <c r="P873" s="160"/>
      <c r="Q873" s="160"/>
      <c r="R873" s="160"/>
      <c r="T873" s="160"/>
      <c r="U873" s="160"/>
      <c r="V873" s="160"/>
      <c r="X873" s="160"/>
      <c r="Z873" s="160"/>
      <c r="AA873" s="160"/>
      <c r="AB873" s="160"/>
    </row>
    <row r="874" spans="2:28" ht="27.75" hidden="1" customHeight="1" x14ac:dyDescent="0.2"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0"/>
      <c r="O874" s="160"/>
      <c r="P874" s="160"/>
      <c r="Q874" s="160"/>
      <c r="R874" s="160"/>
      <c r="T874" s="160"/>
      <c r="U874" s="160"/>
      <c r="V874" s="160"/>
      <c r="X874" s="160"/>
      <c r="Z874" s="160"/>
      <c r="AA874" s="160"/>
      <c r="AB874" s="160"/>
    </row>
    <row r="875" spans="2:28" ht="27.75" hidden="1" customHeight="1" x14ac:dyDescent="0.2"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0"/>
      <c r="O875" s="160"/>
      <c r="P875" s="160"/>
      <c r="Q875" s="160"/>
      <c r="R875" s="160"/>
      <c r="T875" s="160"/>
      <c r="U875" s="160"/>
      <c r="V875" s="160"/>
      <c r="X875" s="160"/>
      <c r="Z875" s="160"/>
      <c r="AA875" s="160"/>
      <c r="AB875" s="160"/>
    </row>
    <row r="876" spans="2:28" ht="27.75" hidden="1" customHeight="1" x14ac:dyDescent="0.2"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0"/>
      <c r="O876" s="160"/>
      <c r="P876" s="160"/>
      <c r="Q876" s="160"/>
      <c r="R876" s="160"/>
      <c r="T876" s="160"/>
      <c r="U876" s="160"/>
      <c r="V876" s="160"/>
      <c r="X876" s="160"/>
      <c r="Z876" s="160"/>
      <c r="AA876" s="160"/>
      <c r="AB876" s="160"/>
    </row>
    <row r="877" spans="2:28" ht="27.75" hidden="1" customHeight="1" x14ac:dyDescent="0.2"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0"/>
      <c r="O877" s="160"/>
      <c r="P877" s="160"/>
      <c r="Q877" s="160"/>
      <c r="R877" s="160"/>
      <c r="T877" s="160"/>
      <c r="U877" s="160"/>
      <c r="V877" s="160"/>
      <c r="X877" s="160"/>
      <c r="Z877" s="160"/>
      <c r="AA877" s="160"/>
      <c r="AB877" s="160"/>
    </row>
    <row r="878" spans="2:28" ht="27.75" hidden="1" customHeight="1" x14ac:dyDescent="0.2"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0"/>
      <c r="O878" s="160"/>
      <c r="P878" s="160"/>
      <c r="Q878" s="160"/>
      <c r="R878" s="160"/>
      <c r="T878" s="160"/>
      <c r="U878" s="160"/>
      <c r="V878" s="160"/>
      <c r="X878" s="160"/>
      <c r="Z878" s="160"/>
      <c r="AA878" s="160"/>
      <c r="AB878" s="160"/>
    </row>
    <row r="879" spans="2:28" ht="27.75" hidden="1" customHeight="1" x14ac:dyDescent="0.2"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0"/>
      <c r="O879" s="160"/>
      <c r="P879" s="160"/>
      <c r="Q879" s="160"/>
      <c r="R879" s="160"/>
      <c r="T879" s="160"/>
      <c r="U879" s="160"/>
      <c r="V879" s="160"/>
      <c r="X879" s="160"/>
      <c r="Z879" s="160"/>
      <c r="AA879" s="160"/>
      <c r="AB879" s="160"/>
    </row>
    <row r="880" spans="2:28" ht="27.75" hidden="1" customHeight="1" x14ac:dyDescent="0.2"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0"/>
      <c r="O880" s="160"/>
      <c r="P880" s="160"/>
      <c r="Q880" s="160"/>
      <c r="R880" s="160"/>
      <c r="T880" s="160"/>
      <c r="U880" s="160"/>
      <c r="V880" s="160"/>
      <c r="X880" s="160"/>
      <c r="Z880" s="160"/>
      <c r="AA880" s="160"/>
      <c r="AB880" s="160"/>
    </row>
    <row r="881" spans="2:28" ht="27.75" hidden="1" customHeight="1" x14ac:dyDescent="0.2"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0"/>
      <c r="O881" s="160"/>
      <c r="P881" s="160"/>
      <c r="Q881" s="160"/>
      <c r="R881" s="160"/>
      <c r="T881" s="160"/>
      <c r="U881" s="160"/>
      <c r="V881" s="160"/>
      <c r="X881" s="160"/>
      <c r="Z881" s="160"/>
      <c r="AA881" s="160"/>
      <c r="AB881" s="160"/>
    </row>
    <row r="882" spans="2:28" ht="27.75" hidden="1" customHeight="1" x14ac:dyDescent="0.2"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0"/>
      <c r="O882" s="160"/>
      <c r="P882" s="160"/>
      <c r="Q882" s="160"/>
      <c r="R882" s="160"/>
      <c r="T882" s="160"/>
      <c r="U882" s="160"/>
      <c r="V882" s="160"/>
      <c r="X882" s="160"/>
      <c r="Z882" s="160"/>
      <c r="AA882" s="160"/>
      <c r="AB882" s="160"/>
    </row>
    <row r="883" spans="2:28" ht="27.75" hidden="1" customHeight="1" x14ac:dyDescent="0.2"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0"/>
      <c r="O883" s="160"/>
      <c r="P883" s="160"/>
      <c r="Q883" s="160"/>
      <c r="R883" s="160"/>
      <c r="T883" s="160"/>
      <c r="U883" s="160"/>
      <c r="V883" s="160"/>
      <c r="X883" s="160"/>
      <c r="Z883" s="160"/>
      <c r="AA883" s="160"/>
      <c r="AB883" s="160"/>
    </row>
    <row r="884" spans="2:28" ht="27.75" hidden="1" customHeight="1" x14ac:dyDescent="0.2"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0"/>
      <c r="O884" s="160"/>
      <c r="P884" s="160"/>
      <c r="Q884" s="160"/>
      <c r="R884" s="160"/>
      <c r="T884" s="160"/>
      <c r="U884" s="160"/>
      <c r="V884" s="160"/>
      <c r="X884" s="160"/>
      <c r="Z884" s="160"/>
      <c r="AA884" s="160"/>
      <c r="AB884" s="160"/>
    </row>
    <row r="885" spans="2:28" ht="27.75" hidden="1" customHeight="1" x14ac:dyDescent="0.2"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0"/>
      <c r="O885" s="160"/>
      <c r="P885" s="160"/>
      <c r="Q885" s="160"/>
      <c r="R885" s="160"/>
      <c r="T885" s="160"/>
      <c r="U885" s="160"/>
      <c r="V885" s="160"/>
      <c r="X885" s="160"/>
      <c r="Z885" s="160"/>
      <c r="AA885" s="160"/>
      <c r="AB885" s="160"/>
    </row>
    <row r="886" spans="2:28" ht="27.75" hidden="1" customHeight="1" x14ac:dyDescent="0.2"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0"/>
      <c r="O886" s="160"/>
      <c r="P886" s="160"/>
      <c r="Q886" s="160"/>
      <c r="R886" s="160"/>
      <c r="T886" s="160"/>
      <c r="U886" s="160"/>
      <c r="V886" s="160"/>
      <c r="X886" s="160"/>
      <c r="Z886" s="160"/>
      <c r="AA886" s="160"/>
      <c r="AB886" s="160"/>
    </row>
    <row r="887" spans="2:28" ht="27.75" hidden="1" customHeight="1" x14ac:dyDescent="0.2"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0"/>
      <c r="O887" s="160"/>
      <c r="P887" s="160"/>
      <c r="Q887" s="160"/>
      <c r="R887" s="160"/>
      <c r="T887" s="160"/>
      <c r="U887" s="160"/>
      <c r="V887" s="160"/>
      <c r="X887" s="160"/>
      <c r="Z887" s="160"/>
      <c r="AA887" s="160"/>
      <c r="AB887" s="160"/>
    </row>
    <row r="888" spans="2:28" ht="27.75" hidden="1" customHeight="1" x14ac:dyDescent="0.2"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0"/>
      <c r="O888" s="160"/>
      <c r="P888" s="160"/>
      <c r="Q888" s="160"/>
      <c r="R888" s="160"/>
      <c r="T888" s="160"/>
      <c r="U888" s="160"/>
      <c r="V888" s="160"/>
      <c r="X888" s="160"/>
      <c r="Z888" s="160"/>
      <c r="AA888" s="160"/>
      <c r="AB888" s="160"/>
    </row>
    <row r="889" spans="2:28" ht="27.75" hidden="1" customHeight="1" x14ac:dyDescent="0.2"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0"/>
      <c r="O889" s="160"/>
      <c r="P889" s="160"/>
      <c r="Q889" s="160"/>
      <c r="R889" s="160"/>
      <c r="T889" s="160"/>
      <c r="U889" s="160"/>
      <c r="V889" s="160"/>
      <c r="X889" s="160"/>
      <c r="Z889" s="160"/>
      <c r="AA889" s="160"/>
      <c r="AB889" s="160"/>
    </row>
    <row r="890" spans="2:28" ht="27.75" hidden="1" customHeight="1" x14ac:dyDescent="0.2"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0"/>
      <c r="O890" s="160"/>
      <c r="P890" s="160"/>
      <c r="Q890" s="160"/>
      <c r="R890" s="160"/>
      <c r="T890" s="160"/>
      <c r="U890" s="160"/>
      <c r="V890" s="160"/>
      <c r="X890" s="160"/>
      <c r="Z890" s="160"/>
      <c r="AA890" s="160"/>
      <c r="AB890" s="160"/>
    </row>
    <row r="891" spans="2:28" ht="27.75" hidden="1" customHeight="1" x14ac:dyDescent="0.2"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0"/>
      <c r="O891" s="160"/>
      <c r="P891" s="160"/>
      <c r="Q891" s="160"/>
      <c r="R891" s="160"/>
      <c r="T891" s="160"/>
      <c r="U891" s="160"/>
      <c r="V891" s="160"/>
      <c r="X891" s="160"/>
      <c r="Z891" s="160"/>
      <c r="AA891" s="160"/>
      <c r="AB891" s="160"/>
    </row>
    <row r="892" spans="2:28" ht="27.75" hidden="1" customHeight="1" x14ac:dyDescent="0.2"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0"/>
      <c r="O892" s="160"/>
      <c r="P892" s="160"/>
      <c r="Q892" s="160"/>
      <c r="R892" s="160"/>
      <c r="T892" s="160"/>
      <c r="U892" s="160"/>
      <c r="V892" s="160"/>
      <c r="X892" s="160"/>
      <c r="Z892" s="160"/>
      <c r="AA892" s="160"/>
      <c r="AB892" s="160"/>
    </row>
    <row r="893" spans="2:28" ht="27.75" hidden="1" customHeight="1" x14ac:dyDescent="0.2"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0"/>
      <c r="O893" s="160"/>
      <c r="P893" s="160"/>
      <c r="Q893" s="160"/>
      <c r="R893" s="160"/>
      <c r="T893" s="160"/>
      <c r="U893" s="160"/>
      <c r="V893" s="160"/>
      <c r="X893" s="160"/>
      <c r="Z893" s="160"/>
      <c r="AA893" s="160"/>
      <c r="AB893" s="160"/>
    </row>
    <row r="894" spans="2:28" ht="27.75" hidden="1" customHeight="1" x14ac:dyDescent="0.2"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0"/>
      <c r="O894" s="160"/>
      <c r="P894" s="160"/>
      <c r="Q894" s="160"/>
      <c r="R894" s="160"/>
      <c r="T894" s="160"/>
      <c r="U894" s="160"/>
      <c r="V894" s="160"/>
      <c r="X894" s="160"/>
      <c r="Z894" s="160"/>
      <c r="AA894" s="160"/>
      <c r="AB894" s="160"/>
    </row>
    <row r="895" spans="2:28" ht="27.75" hidden="1" customHeight="1" x14ac:dyDescent="0.2"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0"/>
      <c r="O895" s="160"/>
      <c r="P895" s="160"/>
      <c r="Q895" s="160"/>
      <c r="R895" s="160"/>
      <c r="T895" s="160"/>
      <c r="U895" s="160"/>
      <c r="V895" s="160"/>
      <c r="X895" s="160"/>
      <c r="Z895" s="160"/>
      <c r="AA895" s="160"/>
      <c r="AB895" s="160"/>
    </row>
    <row r="896" spans="2:28" ht="27.75" hidden="1" customHeight="1" x14ac:dyDescent="0.2"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0"/>
      <c r="O896" s="160"/>
      <c r="P896" s="160"/>
      <c r="Q896" s="160"/>
      <c r="R896" s="160"/>
      <c r="T896" s="160"/>
      <c r="U896" s="160"/>
      <c r="V896" s="160"/>
      <c r="X896" s="160"/>
      <c r="Z896" s="160"/>
      <c r="AA896" s="160"/>
      <c r="AB896" s="160"/>
    </row>
    <row r="897" spans="2:28" ht="27.75" hidden="1" customHeight="1" x14ac:dyDescent="0.2"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0"/>
      <c r="O897" s="160"/>
      <c r="P897" s="160"/>
      <c r="Q897" s="160"/>
      <c r="R897" s="160"/>
      <c r="T897" s="160"/>
      <c r="U897" s="160"/>
      <c r="V897" s="160"/>
      <c r="X897" s="160"/>
      <c r="Z897" s="160"/>
      <c r="AA897" s="160"/>
      <c r="AB897" s="160"/>
    </row>
    <row r="898" spans="2:28" ht="27.75" hidden="1" customHeight="1" x14ac:dyDescent="0.2"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0"/>
      <c r="O898" s="160"/>
      <c r="P898" s="160"/>
      <c r="Q898" s="160"/>
      <c r="R898" s="160"/>
      <c r="T898" s="160"/>
      <c r="U898" s="160"/>
      <c r="V898" s="160"/>
      <c r="X898" s="160"/>
      <c r="Z898" s="160"/>
      <c r="AA898" s="160"/>
      <c r="AB898" s="160"/>
    </row>
    <row r="899" spans="2:28" ht="27.75" hidden="1" customHeight="1" x14ac:dyDescent="0.2"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0"/>
      <c r="O899" s="160"/>
      <c r="P899" s="160"/>
      <c r="Q899" s="160"/>
      <c r="R899" s="160"/>
      <c r="T899" s="160"/>
      <c r="U899" s="160"/>
      <c r="V899" s="160"/>
      <c r="X899" s="160"/>
      <c r="Z899" s="160"/>
      <c r="AA899" s="160"/>
      <c r="AB899" s="160"/>
    </row>
    <row r="900" spans="2:28" ht="27.75" hidden="1" customHeight="1" x14ac:dyDescent="0.2"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0"/>
      <c r="O900" s="160"/>
      <c r="P900" s="160"/>
      <c r="Q900" s="160"/>
      <c r="R900" s="160"/>
      <c r="T900" s="160"/>
      <c r="U900" s="160"/>
      <c r="V900" s="160"/>
      <c r="X900" s="160"/>
      <c r="Z900" s="160"/>
      <c r="AA900" s="160"/>
      <c r="AB900" s="160"/>
    </row>
    <row r="901" spans="2:28" ht="27.75" hidden="1" customHeight="1" x14ac:dyDescent="0.2"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0"/>
      <c r="O901" s="160"/>
      <c r="P901" s="160"/>
      <c r="Q901" s="160"/>
      <c r="R901" s="160"/>
      <c r="T901" s="160"/>
      <c r="U901" s="160"/>
      <c r="V901" s="160"/>
      <c r="X901" s="160"/>
      <c r="Z901" s="160"/>
      <c r="AA901" s="160"/>
      <c r="AB901" s="160"/>
    </row>
    <row r="902" spans="2:28" ht="27.75" hidden="1" customHeight="1" x14ac:dyDescent="0.2"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0"/>
      <c r="O902" s="160"/>
      <c r="P902" s="160"/>
      <c r="Q902" s="160"/>
      <c r="R902" s="160"/>
      <c r="T902" s="160"/>
      <c r="U902" s="160"/>
      <c r="V902" s="160"/>
      <c r="X902" s="160"/>
      <c r="Z902" s="160"/>
      <c r="AA902" s="160"/>
      <c r="AB902" s="160"/>
    </row>
    <row r="903" spans="2:28" ht="27.75" hidden="1" customHeight="1" x14ac:dyDescent="0.2"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0"/>
      <c r="O903" s="160"/>
      <c r="P903" s="160"/>
      <c r="Q903" s="160"/>
      <c r="R903" s="160"/>
      <c r="T903" s="160"/>
      <c r="U903" s="160"/>
      <c r="V903" s="160"/>
      <c r="X903" s="160"/>
      <c r="Z903" s="160"/>
      <c r="AA903" s="160"/>
      <c r="AB903" s="160"/>
    </row>
    <row r="904" spans="2:28" ht="27.75" hidden="1" customHeight="1" x14ac:dyDescent="0.2"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0"/>
      <c r="O904" s="160"/>
      <c r="P904" s="160"/>
      <c r="Q904" s="160"/>
      <c r="R904" s="160"/>
      <c r="T904" s="160"/>
      <c r="U904" s="160"/>
      <c r="V904" s="160"/>
      <c r="X904" s="160"/>
      <c r="Z904" s="160"/>
      <c r="AA904" s="160"/>
      <c r="AB904" s="160"/>
    </row>
    <row r="905" spans="2:28" ht="27.75" hidden="1" customHeight="1" x14ac:dyDescent="0.2"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0"/>
      <c r="O905" s="160"/>
      <c r="P905" s="160"/>
      <c r="Q905" s="160"/>
      <c r="R905" s="160"/>
      <c r="T905" s="160"/>
      <c r="U905" s="160"/>
      <c r="V905" s="160"/>
      <c r="X905" s="160"/>
      <c r="Z905" s="160"/>
      <c r="AA905" s="160"/>
      <c r="AB905" s="160"/>
    </row>
    <row r="906" spans="2:28" ht="27.75" hidden="1" customHeight="1" x14ac:dyDescent="0.2"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0"/>
      <c r="O906" s="160"/>
      <c r="P906" s="160"/>
      <c r="Q906" s="160"/>
      <c r="R906" s="160"/>
      <c r="T906" s="160"/>
      <c r="U906" s="160"/>
      <c r="V906" s="160"/>
      <c r="X906" s="160"/>
      <c r="Z906" s="160"/>
      <c r="AA906" s="160"/>
      <c r="AB906" s="160"/>
    </row>
    <row r="907" spans="2:28" ht="27.75" hidden="1" customHeight="1" x14ac:dyDescent="0.2"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0"/>
      <c r="O907" s="160"/>
      <c r="P907" s="160"/>
      <c r="Q907" s="160"/>
      <c r="R907" s="160"/>
      <c r="T907" s="160"/>
      <c r="U907" s="160"/>
      <c r="V907" s="160"/>
      <c r="X907" s="160"/>
      <c r="Z907" s="160"/>
      <c r="AA907" s="160"/>
      <c r="AB907" s="160"/>
    </row>
    <row r="908" spans="2:28" ht="27.75" hidden="1" customHeight="1" x14ac:dyDescent="0.2"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0"/>
      <c r="O908" s="160"/>
      <c r="P908" s="160"/>
      <c r="Q908" s="160"/>
      <c r="R908" s="160"/>
      <c r="T908" s="160"/>
      <c r="U908" s="160"/>
      <c r="V908" s="160"/>
      <c r="X908" s="160"/>
      <c r="Z908" s="160"/>
      <c r="AA908" s="160"/>
      <c r="AB908" s="160"/>
    </row>
    <row r="909" spans="2:28" ht="27.75" hidden="1" customHeight="1" x14ac:dyDescent="0.2"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0"/>
      <c r="O909" s="160"/>
      <c r="P909" s="160"/>
      <c r="Q909" s="160"/>
      <c r="R909" s="160"/>
      <c r="T909" s="160"/>
      <c r="U909" s="160"/>
      <c r="V909" s="160"/>
      <c r="X909" s="160"/>
      <c r="Z909" s="160"/>
      <c r="AA909" s="160"/>
      <c r="AB909" s="160"/>
    </row>
    <row r="910" spans="2:28" ht="27.75" hidden="1" customHeight="1" x14ac:dyDescent="0.2"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0"/>
      <c r="O910" s="160"/>
      <c r="P910" s="160"/>
      <c r="Q910" s="160"/>
      <c r="R910" s="160"/>
      <c r="T910" s="160"/>
      <c r="U910" s="160"/>
      <c r="V910" s="160"/>
      <c r="X910" s="160"/>
      <c r="Z910" s="160"/>
      <c r="AA910" s="160"/>
      <c r="AB910" s="160"/>
    </row>
    <row r="911" spans="2:28" ht="27.75" hidden="1" customHeight="1" x14ac:dyDescent="0.2"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0"/>
      <c r="O911" s="160"/>
      <c r="P911" s="160"/>
      <c r="Q911" s="160"/>
      <c r="R911" s="160"/>
      <c r="T911" s="160"/>
      <c r="U911" s="160"/>
      <c r="V911" s="160"/>
      <c r="X911" s="160"/>
      <c r="Z911" s="160"/>
      <c r="AA911" s="160"/>
      <c r="AB911" s="160"/>
    </row>
    <row r="912" spans="2:28" ht="27.75" hidden="1" customHeight="1" x14ac:dyDescent="0.2"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0"/>
      <c r="O912" s="160"/>
      <c r="P912" s="160"/>
      <c r="Q912" s="160"/>
      <c r="R912" s="160"/>
      <c r="T912" s="160"/>
      <c r="U912" s="160"/>
      <c r="V912" s="160"/>
      <c r="X912" s="160"/>
      <c r="Z912" s="160"/>
      <c r="AA912" s="160"/>
      <c r="AB912" s="160"/>
    </row>
    <row r="913" spans="2:28" ht="27.75" hidden="1" customHeight="1" x14ac:dyDescent="0.2"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0"/>
      <c r="O913" s="160"/>
      <c r="P913" s="160"/>
      <c r="Q913" s="160"/>
      <c r="R913" s="160"/>
      <c r="T913" s="160"/>
      <c r="U913" s="160"/>
      <c r="V913" s="160"/>
      <c r="X913" s="160"/>
      <c r="Z913" s="160"/>
      <c r="AA913" s="160"/>
      <c r="AB913" s="160"/>
    </row>
    <row r="914" spans="2:28" ht="27.75" hidden="1" customHeight="1" x14ac:dyDescent="0.2"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0"/>
      <c r="O914" s="160"/>
      <c r="P914" s="160"/>
      <c r="Q914" s="160"/>
      <c r="R914" s="160"/>
      <c r="T914" s="160"/>
      <c r="U914" s="160"/>
      <c r="V914" s="160"/>
      <c r="X914" s="160"/>
      <c r="Z914" s="160"/>
      <c r="AA914" s="160"/>
      <c r="AB914" s="160"/>
    </row>
    <row r="915" spans="2:28" ht="27.75" hidden="1" customHeight="1" x14ac:dyDescent="0.2"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0"/>
      <c r="O915" s="160"/>
      <c r="P915" s="160"/>
      <c r="Q915" s="160"/>
      <c r="R915" s="160"/>
      <c r="T915" s="160"/>
      <c r="U915" s="160"/>
      <c r="V915" s="160"/>
      <c r="X915" s="160"/>
      <c r="Z915" s="160"/>
      <c r="AA915" s="160"/>
      <c r="AB915" s="160"/>
    </row>
    <row r="916" spans="2:28" ht="27.75" hidden="1" customHeight="1" x14ac:dyDescent="0.2"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0"/>
      <c r="O916" s="160"/>
      <c r="P916" s="160"/>
      <c r="Q916" s="160"/>
      <c r="R916" s="160"/>
      <c r="T916" s="160"/>
      <c r="U916" s="160"/>
      <c r="V916" s="160"/>
      <c r="X916" s="160"/>
      <c r="Z916" s="160"/>
      <c r="AA916" s="160"/>
      <c r="AB916" s="160"/>
    </row>
    <row r="917" spans="2:28" ht="27.75" hidden="1" customHeight="1" x14ac:dyDescent="0.2"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0"/>
      <c r="O917" s="160"/>
      <c r="P917" s="160"/>
      <c r="Q917" s="160"/>
      <c r="R917" s="160"/>
      <c r="T917" s="160"/>
      <c r="U917" s="160"/>
      <c r="V917" s="160"/>
      <c r="X917" s="160"/>
      <c r="Z917" s="160"/>
      <c r="AA917" s="160"/>
      <c r="AB917" s="160"/>
    </row>
    <row r="918" spans="2:28" ht="27.75" hidden="1" customHeight="1" x14ac:dyDescent="0.2"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0"/>
      <c r="O918" s="160"/>
      <c r="P918" s="160"/>
      <c r="Q918" s="160"/>
      <c r="R918" s="160"/>
      <c r="T918" s="160"/>
      <c r="U918" s="160"/>
      <c r="V918" s="160"/>
      <c r="X918" s="160"/>
      <c r="Z918" s="160"/>
      <c r="AA918" s="160"/>
      <c r="AB918" s="160"/>
    </row>
    <row r="919" spans="2:28" ht="27.75" hidden="1" customHeight="1" x14ac:dyDescent="0.2"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0"/>
      <c r="O919" s="160"/>
      <c r="P919" s="160"/>
      <c r="Q919" s="160"/>
      <c r="R919" s="160"/>
      <c r="T919" s="160"/>
      <c r="U919" s="160"/>
      <c r="V919" s="160"/>
      <c r="X919" s="160"/>
      <c r="Z919" s="160"/>
      <c r="AA919" s="160"/>
      <c r="AB919" s="160"/>
    </row>
    <row r="920" spans="2:28" ht="27.75" hidden="1" customHeight="1" x14ac:dyDescent="0.2"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0"/>
      <c r="O920" s="160"/>
      <c r="P920" s="160"/>
      <c r="Q920" s="160"/>
      <c r="R920" s="160"/>
      <c r="T920" s="160"/>
      <c r="U920" s="160"/>
      <c r="V920" s="160"/>
      <c r="X920" s="160"/>
      <c r="Z920" s="160"/>
      <c r="AA920" s="160"/>
      <c r="AB920" s="160"/>
    </row>
    <row r="921" spans="2:28" ht="27.75" hidden="1" customHeight="1" x14ac:dyDescent="0.2"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0"/>
      <c r="O921" s="160"/>
      <c r="P921" s="160"/>
      <c r="Q921" s="160"/>
      <c r="R921" s="160"/>
      <c r="T921" s="160"/>
      <c r="U921" s="160"/>
      <c r="V921" s="160"/>
      <c r="X921" s="160"/>
      <c r="Z921" s="160"/>
      <c r="AA921" s="160"/>
      <c r="AB921" s="160"/>
    </row>
    <row r="922" spans="2:28" ht="27.75" hidden="1" customHeight="1" x14ac:dyDescent="0.2"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0"/>
      <c r="O922" s="160"/>
      <c r="P922" s="160"/>
      <c r="Q922" s="160"/>
      <c r="R922" s="160"/>
      <c r="T922" s="160"/>
      <c r="U922" s="160"/>
      <c r="V922" s="160"/>
      <c r="X922" s="160"/>
      <c r="Z922" s="160"/>
      <c r="AA922" s="160"/>
      <c r="AB922" s="160"/>
    </row>
    <row r="923" spans="2:28" ht="27.75" hidden="1" customHeight="1" x14ac:dyDescent="0.2"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0"/>
      <c r="O923" s="160"/>
      <c r="P923" s="160"/>
      <c r="Q923" s="160"/>
      <c r="R923" s="160"/>
      <c r="T923" s="160"/>
      <c r="U923" s="160"/>
      <c r="V923" s="160"/>
      <c r="X923" s="160"/>
      <c r="Z923" s="160"/>
      <c r="AA923" s="160"/>
      <c r="AB923" s="160"/>
    </row>
    <row r="924" spans="2:28" ht="27.75" hidden="1" customHeight="1" x14ac:dyDescent="0.2"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0"/>
      <c r="O924" s="160"/>
      <c r="P924" s="160"/>
      <c r="Q924" s="160"/>
      <c r="R924" s="160"/>
      <c r="T924" s="160"/>
      <c r="U924" s="160"/>
      <c r="V924" s="160"/>
      <c r="X924" s="160"/>
      <c r="Z924" s="160"/>
      <c r="AA924" s="160"/>
      <c r="AB924" s="160"/>
    </row>
    <row r="925" spans="2:28" ht="27.75" hidden="1" customHeight="1" x14ac:dyDescent="0.2"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0"/>
      <c r="O925" s="160"/>
      <c r="P925" s="160"/>
      <c r="Q925" s="160"/>
      <c r="R925" s="160"/>
      <c r="T925" s="160"/>
      <c r="U925" s="160"/>
      <c r="V925" s="160"/>
      <c r="X925" s="160"/>
      <c r="Z925" s="160"/>
      <c r="AA925" s="160"/>
      <c r="AB925" s="160"/>
    </row>
    <row r="926" spans="2:28" ht="27.75" hidden="1" customHeight="1" x14ac:dyDescent="0.2"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0"/>
      <c r="O926" s="160"/>
      <c r="P926" s="160"/>
      <c r="Q926" s="160"/>
      <c r="R926" s="160"/>
      <c r="T926" s="160"/>
      <c r="U926" s="160"/>
      <c r="V926" s="160"/>
      <c r="X926" s="160"/>
      <c r="Z926" s="160"/>
      <c r="AA926" s="160"/>
      <c r="AB926" s="160"/>
    </row>
    <row r="927" spans="2:28" ht="27.75" hidden="1" customHeight="1" x14ac:dyDescent="0.2"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0"/>
      <c r="O927" s="160"/>
      <c r="P927" s="160"/>
      <c r="Q927" s="160"/>
      <c r="R927" s="160"/>
      <c r="T927" s="160"/>
      <c r="U927" s="160"/>
      <c r="V927" s="160"/>
      <c r="X927" s="160"/>
      <c r="Z927" s="160"/>
      <c r="AA927" s="160"/>
      <c r="AB927" s="160"/>
    </row>
    <row r="928" spans="2:28" ht="27.75" hidden="1" customHeight="1" x14ac:dyDescent="0.2"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0"/>
      <c r="O928" s="160"/>
      <c r="P928" s="160"/>
      <c r="Q928" s="160"/>
      <c r="R928" s="160"/>
      <c r="T928" s="160"/>
      <c r="U928" s="160"/>
      <c r="V928" s="160"/>
      <c r="X928" s="160"/>
      <c r="Z928" s="160"/>
      <c r="AA928" s="160"/>
      <c r="AB928" s="160"/>
    </row>
    <row r="929" spans="2:28" ht="27.75" hidden="1" customHeight="1" x14ac:dyDescent="0.2"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0"/>
      <c r="O929" s="160"/>
      <c r="P929" s="160"/>
      <c r="Q929" s="160"/>
      <c r="R929" s="160"/>
      <c r="T929" s="160"/>
      <c r="U929" s="160"/>
      <c r="V929" s="160"/>
      <c r="X929" s="160"/>
      <c r="Z929" s="160"/>
      <c r="AA929" s="160"/>
      <c r="AB929" s="160"/>
    </row>
    <row r="930" spans="2:28" ht="27.75" hidden="1" customHeight="1" x14ac:dyDescent="0.2"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0"/>
      <c r="O930" s="160"/>
      <c r="P930" s="160"/>
      <c r="Q930" s="160"/>
      <c r="R930" s="160"/>
      <c r="T930" s="160"/>
      <c r="U930" s="160"/>
      <c r="V930" s="160"/>
      <c r="X930" s="160"/>
      <c r="Z930" s="160"/>
      <c r="AA930" s="160"/>
      <c r="AB930" s="160"/>
    </row>
    <row r="931" spans="2:28" ht="27.75" hidden="1" customHeight="1" x14ac:dyDescent="0.2"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0"/>
      <c r="O931" s="160"/>
      <c r="P931" s="160"/>
      <c r="Q931" s="160"/>
      <c r="R931" s="160"/>
      <c r="T931" s="160"/>
      <c r="U931" s="160"/>
      <c r="V931" s="160"/>
      <c r="X931" s="160"/>
      <c r="Z931" s="160"/>
      <c r="AA931" s="160"/>
      <c r="AB931" s="160"/>
    </row>
    <row r="932" spans="2:28" ht="27.75" hidden="1" customHeight="1" x14ac:dyDescent="0.2"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0"/>
      <c r="O932" s="160"/>
      <c r="P932" s="160"/>
      <c r="Q932" s="160"/>
      <c r="R932" s="160"/>
      <c r="T932" s="160"/>
      <c r="U932" s="160"/>
      <c r="V932" s="160"/>
      <c r="X932" s="160"/>
      <c r="Z932" s="160"/>
      <c r="AA932" s="160"/>
      <c r="AB932" s="160"/>
    </row>
    <row r="933" spans="2:28" ht="27.75" hidden="1" customHeight="1" x14ac:dyDescent="0.2"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0"/>
      <c r="O933" s="160"/>
      <c r="P933" s="160"/>
      <c r="Q933" s="160"/>
      <c r="R933" s="160"/>
      <c r="T933" s="160"/>
      <c r="U933" s="160"/>
      <c r="V933" s="160"/>
      <c r="X933" s="160"/>
      <c r="Z933" s="160"/>
      <c r="AA933" s="160"/>
      <c r="AB933" s="160"/>
    </row>
    <row r="934" spans="2:28" ht="27.75" hidden="1" customHeight="1" x14ac:dyDescent="0.2"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0"/>
      <c r="O934" s="160"/>
      <c r="P934" s="160"/>
      <c r="Q934" s="160"/>
      <c r="R934" s="160"/>
      <c r="T934" s="160"/>
      <c r="U934" s="160"/>
      <c r="V934" s="160"/>
      <c r="X934" s="160"/>
      <c r="Z934" s="160"/>
      <c r="AA934" s="160"/>
      <c r="AB934" s="160"/>
    </row>
    <row r="935" spans="2:28" ht="27.75" hidden="1" customHeight="1" x14ac:dyDescent="0.2"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0"/>
      <c r="O935" s="160"/>
      <c r="P935" s="160"/>
      <c r="Q935" s="160"/>
      <c r="R935" s="160"/>
      <c r="T935" s="160"/>
      <c r="U935" s="160"/>
      <c r="V935" s="160"/>
      <c r="X935" s="160"/>
      <c r="Z935" s="160"/>
      <c r="AA935" s="160"/>
      <c r="AB935" s="160"/>
    </row>
    <row r="936" spans="2:28" ht="27.75" hidden="1" customHeight="1" x14ac:dyDescent="0.2"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0"/>
      <c r="O936" s="160"/>
      <c r="P936" s="160"/>
      <c r="Q936" s="160"/>
      <c r="R936" s="160"/>
      <c r="T936" s="160"/>
      <c r="U936" s="160"/>
      <c r="V936" s="160"/>
      <c r="X936" s="160"/>
      <c r="Z936" s="160"/>
      <c r="AA936" s="160"/>
      <c r="AB936" s="160"/>
    </row>
    <row r="937" spans="2:28" ht="27.75" hidden="1" customHeight="1" x14ac:dyDescent="0.2"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0"/>
      <c r="O937" s="160"/>
      <c r="P937" s="160"/>
      <c r="Q937" s="160"/>
      <c r="R937" s="160"/>
      <c r="T937" s="160"/>
      <c r="U937" s="160"/>
      <c r="V937" s="160"/>
      <c r="X937" s="160"/>
      <c r="Z937" s="160"/>
      <c r="AA937" s="160"/>
      <c r="AB937" s="160"/>
    </row>
    <row r="938" spans="2:28" ht="27.75" hidden="1" customHeight="1" x14ac:dyDescent="0.2"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0"/>
      <c r="O938" s="160"/>
      <c r="P938" s="160"/>
      <c r="Q938" s="160"/>
      <c r="R938" s="160"/>
      <c r="T938" s="160"/>
      <c r="U938" s="160"/>
      <c r="V938" s="160"/>
      <c r="X938" s="160"/>
      <c r="Z938" s="160"/>
      <c r="AA938" s="160"/>
      <c r="AB938" s="160"/>
    </row>
    <row r="939" spans="2:28" ht="27.75" hidden="1" customHeight="1" x14ac:dyDescent="0.2"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0"/>
      <c r="O939" s="160"/>
      <c r="P939" s="160"/>
      <c r="Q939" s="160"/>
      <c r="R939" s="160"/>
      <c r="T939" s="160"/>
      <c r="U939" s="160"/>
      <c r="V939" s="160"/>
      <c r="X939" s="160"/>
      <c r="Z939" s="160"/>
      <c r="AA939" s="160"/>
      <c r="AB939" s="160"/>
    </row>
    <row r="940" spans="2:28" ht="27.75" hidden="1" customHeight="1" x14ac:dyDescent="0.2"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0"/>
      <c r="O940" s="160"/>
      <c r="P940" s="160"/>
      <c r="Q940" s="160"/>
      <c r="R940" s="160"/>
      <c r="T940" s="160"/>
      <c r="U940" s="160"/>
      <c r="V940" s="160"/>
      <c r="X940" s="160"/>
      <c r="Z940" s="160"/>
      <c r="AA940" s="160"/>
      <c r="AB940" s="160"/>
    </row>
    <row r="941" spans="2:28" ht="27.75" hidden="1" customHeight="1" x14ac:dyDescent="0.2"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0"/>
      <c r="O941" s="160"/>
      <c r="P941" s="160"/>
      <c r="Q941" s="160"/>
      <c r="R941" s="160"/>
      <c r="T941" s="160"/>
      <c r="U941" s="160"/>
      <c r="V941" s="160"/>
      <c r="X941" s="160"/>
      <c r="Z941" s="160"/>
      <c r="AA941" s="160"/>
      <c r="AB941" s="160"/>
    </row>
    <row r="942" spans="2:28" ht="27.75" hidden="1" customHeight="1" x14ac:dyDescent="0.2"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0"/>
      <c r="O942" s="160"/>
      <c r="P942" s="160"/>
      <c r="Q942" s="160"/>
      <c r="R942" s="160"/>
      <c r="T942" s="160"/>
      <c r="U942" s="160"/>
      <c r="V942" s="160"/>
      <c r="X942" s="160"/>
      <c r="Z942" s="160"/>
      <c r="AA942" s="160"/>
      <c r="AB942" s="160"/>
    </row>
    <row r="943" spans="2:28" ht="27.75" hidden="1" customHeight="1" x14ac:dyDescent="0.2"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0"/>
      <c r="O943" s="160"/>
      <c r="P943" s="160"/>
      <c r="Q943" s="160"/>
      <c r="R943" s="160"/>
      <c r="T943" s="160"/>
      <c r="U943" s="160"/>
      <c r="V943" s="160"/>
      <c r="X943" s="160"/>
      <c r="Z943" s="160"/>
      <c r="AA943" s="160"/>
      <c r="AB943" s="160"/>
    </row>
    <row r="944" spans="2:28" ht="27.75" hidden="1" customHeight="1" x14ac:dyDescent="0.2"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0"/>
      <c r="O944" s="160"/>
      <c r="P944" s="160"/>
      <c r="Q944" s="160"/>
      <c r="R944" s="160"/>
      <c r="T944" s="160"/>
      <c r="U944" s="160"/>
      <c r="V944" s="160"/>
      <c r="X944" s="160"/>
      <c r="Z944" s="160"/>
      <c r="AA944" s="160"/>
      <c r="AB944" s="160"/>
    </row>
    <row r="945" spans="2:28" ht="27.75" hidden="1" customHeight="1" x14ac:dyDescent="0.2"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0"/>
      <c r="O945" s="160"/>
      <c r="P945" s="160"/>
      <c r="Q945" s="160"/>
      <c r="R945" s="160"/>
      <c r="T945" s="160"/>
      <c r="U945" s="160"/>
      <c r="V945" s="160"/>
      <c r="X945" s="160"/>
      <c r="Z945" s="160"/>
      <c r="AA945" s="160"/>
      <c r="AB945" s="160"/>
    </row>
    <row r="946" spans="2:28" ht="27.75" hidden="1" customHeight="1" x14ac:dyDescent="0.2"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0"/>
      <c r="O946" s="160"/>
      <c r="P946" s="160"/>
      <c r="Q946" s="160"/>
      <c r="R946" s="160"/>
      <c r="T946" s="160"/>
      <c r="U946" s="160"/>
      <c r="V946" s="160"/>
      <c r="X946" s="160"/>
      <c r="Z946" s="160"/>
      <c r="AA946" s="160"/>
      <c r="AB946" s="160"/>
    </row>
    <row r="947" spans="2:28" ht="27.75" hidden="1" customHeight="1" x14ac:dyDescent="0.2"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0"/>
      <c r="O947" s="160"/>
      <c r="P947" s="160"/>
      <c r="Q947" s="160"/>
      <c r="R947" s="160"/>
      <c r="T947" s="160"/>
      <c r="U947" s="160"/>
      <c r="V947" s="160"/>
      <c r="X947" s="160"/>
      <c r="Z947" s="160"/>
      <c r="AA947" s="160"/>
      <c r="AB947" s="160"/>
    </row>
    <row r="948" spans="2:28" ht="27.75" hidden="1" customHeight="1" x14ac:dyDescent="0.2"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0"/>
      <c r="O948" s="160"/>
      <c r="P948" s="160"/>
      <c r="Q948" s="160"/>
      <c r="R948" s="160"/>
      <c r="T948" s="160"/>
      <c r="U948" s="160"/>
      <c r="V948" s="160"/>
      <c r="X948" s="160"/>
      <c r="Z948" s="160"/>
      <c r="AA948" s="160"/>
      <c r="AB948" s="160"/>
    </row>
    <row r="949" spans="2:28" ht="27.75" hidden="1" customHeight="1" x14ac:dyDescent="0.2"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0"/>
      <c r="O949" s="160"/>
      <c r="P949" s="160"/>
      <c r="Q949" s="160"/>
      <c r="R949" s="160"/>
      <c r="T949" s="160"/>
      <c r="U949" s="160"/>
      <c r="V949" s="160"/>
      <c r="X949" s="160"/>
      <c r="Z949" s="160"/>
      <c r="AA949" s="160"/>
      <c r="AB949" s="160"/>
    </row>
    <row r="950" spans="2:28" ht="27.75" hidden="1" customHeight="1" x14ac:dyDescent="0.2"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0"/>
      <c r="O950" s="160"/>
      <c r="P950" s="160"/>
      <c r="Q950" s="160"/>
      <c r="R950" s="160"/>
      <c r="T950" s="160"/>
      <c r="U950" s="160"/>
      <c r="V950" s="160"/>
      <c r="X950" s="160"/>
      <c r="Z950" s="160"/>
      <c r="AA950" s="160"/>
      <c r="AB950" s="160"/>
    </row>
    <row r="951" spans="2:28" ht="27.75" hidden="1" customHeight="1" x14ac:dyDescent="0.2"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0"/>
      <c r="O951" s="160"/>
      <c r="P951" s="160"/>
      <c r="Q951" s="160"/>
      <c r="R951" s="160"/>
      <c r="T951" s="160"/>
      <c r="U951" s="160"/>
      <c r="V951" s="160"/>
      <c r="X951" s="160"/>
      <c r="Z951" s="160"/>
      <c r="AA951" s="160"/>
      <c r="AB951" s="160"/>
    </row>
    <row r="952" spans="2:28" ht="27.75" hidden="1" customHeight="1" x14ac:dyDescent="0.2"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0"/>
      <c r="O952" s="160"/>
      <c r="P952" s="160"/>
      <c r="Q952" s="160"/>
      <c r="R952" s="160"/>
      <c r="T952" s="160"/>
      <c r="U952" s="160"/>
      <c r="V952" s="160"/>
      <c r="X952" s="160"/>
      <c r="Z952" s="160"/>
      <c r="AA952" s="160"/>
      <c r="AB952" s="160"/>
    </row>
    <row r="953" spans="2:28" ht="27.75" hidden="1" customHeight="1" x14ac:dyDescent="0.2"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0"/>
      <c r="O953" s="160"/>
      <c r="P953" s="160"/>
      <c r="Q953" s="160"/>
      <c r="R953" s="160"/>
      <c r="T953" s="160"/>
      <c r="U953" s="160"/>
      <c r="V953" s="160"/>
      <c r="X953" s="160"/>
      <c r="Z953" s="160"/>
      <c r="AA953" s="160"/>
      <c r="AB953" s="160"/>
    </row>
    <row r="954" spans="2:28" ht="27.75" hidden="1" customHeight="1" x14ac:dyDescent="0.2"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0"/>
      <c r="O954" s="160"/>
      <c r="P954" s="160"/>
      <c r="Q954" s="160"/>
      <c r="R954" s="160"/>
      <c r="T954" s="160"/>
      <c r="U954" s="160"/>
      <c r="V954" s="160"/>
      <c r="X954" s="160"/>
      <c r="Z954" s="160"/>
      <c r="AA954" s="160"/>
      <c r="AB954" s="160"/>
    </row>
    <row r="955" spans="2:28" ht="27.75" hidden="1" customHeight="1" x14ac:dyDescent="0.2"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0"/>
      <c r="O955" s="160"/>
      <c r="P955" s="160"/>
      <c r="Q955" s="160"/>
      <c r="R955" s="160"/>
      <c r="T955" s="160"/>
      <c r="U955" s="160"/>
      <c r="V955" s="160"/>
      <c r="X955" s="160"/>
      <c r="Z955" s="160"/>
      <c r="AA955" s="160"/>
      <c r="AB955" s="160"/>
    </row>
    <row r="956" spans="2:28" ht="27.75" hidden="1" customHeight="1" x14ac:dyDescent="0.2"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0"/>
      <c r="O956" s="160"/>
      <c r="P956" s="160"/>
      <c r="Q956" s="160"/>
      <c r="R956" s="160"/>
      <c r="T956" s="160"/>
      <c r="U956" s="160"/>
      <c r="V956" s="160"/>
      <c r="X956" s="160"/>
      <c r="Z956" s="160"/>
      <c r="AA956" s="160"/>
      <c r="AB956" s="160"/>
    </row>
    <row r="957" spans="2:28" ht="27.75" hidden="1" customHeight="1" x14ac:dyDescent="0.2"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0"/>
      <c r="O957" s="160"/>
      <c r="P957" s="160"/>
      <c r="Q957" s="160"/>
      <c r="R957" s="160"/>
      <c r="T957" s="160"/>
      <c r="U957" s="160"/>
      <c r="V957" s="160"/>
      <c r="X957" s="160"/>
      <c r="Z957" s="160"/>
      <c r="AA957" s="160"/>
      <c r="AB957" s="160"/>
    </row>
    <row r="958" spans="2:28" ht="27.75" hidden="1" customHeight="1" x14ac:dyDescent="0.2"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0"/>
      <c r="O958" s="160"/>
      <c r="P958" s="160"/>
      <c r="Q958" s="160"/>
      <c r="R958" s="160"/>
      <c r="T958" s="160"/>
      <c r="U958" s="160"/>
      <c r="V958" s="160"/>
      <c r="X958" s="160"/>
      <c r="Z958" s="160"/>
      <c r="AA958" s="160"/>
      <c r="AB958" s="160"/>
    </row>
    <row r="959" spans="2:28" ht="27.75" hidden="1" customHeight="1" x14ac:dyDescent="0.2"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0"/>
      <c r="O959" s="160"/>
      <c r="P959" s="160"/>
      <c r="Q959" s="160"/>
      <c r="R959" s="160"/>
      <c r="T959" s="160"/>
      <c r="U959" s="160"/>
      <c r="V959" s="160"/>
      <c r="X959" s="160"/>
      <c r="Z959" s="160"/>
      <c r="AA959" s="160"/>
      <c r="AB959" s="160"/>
    </row>
    <row r="960" spans="2:28" ht="27.75" hidden="1" customHeight="1" x14ac:dyDescent="0.2"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0"/>
      <c r="O960" s="160"/>
      <c r="P960" s="160"/>
      <c r="Q960" s="160"/>
      <c r="R960" s="160"/>
      <c r="T960" s="160"/>
      <c r="U960" s="160"/>
      <c r="V960" s="160"/>
      <c r="X960" s="160"/>
      <c r="Z960" s="160"/>
      <c r="AA960" s="160"/>
      <c r="AB960" s="160"/>
    </row>
    <row r="961" spans="2:28" ht="27.75" hidden="1" customHeight="1" x14ac:dyDescent="0.2"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0"/>
      <c r="O961" s="160"/>
      <c r="P961" s="160"/>
      <c r="Q961" s="160"/>
      <c r="R961" s="160"/>
      <c r="T961" s="160"/>
      <c r="U961" s="160"/>
      <c r="V961" s="160"/>
      <c r="X961" s="160"/>
      <c r="Z961" s="160"/>
      <c r="AA961" s="160"/>
      <c r="AB961" s="160"/>
    </row>
    <row r="962" spans="2:28" ht="27.75" hidden="1" customHeight="1" x14ac:dyDescent="0.2"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0"/>
      <c r="O962" s="160"/>
      <c r="P962" s="160"/>
      <c r="Q962" s="160"/>
      <c r="R962" s="160"/>
      <c r="T962" s="160"/>
      <c r="U962" s="160"/>
      <c r="V962" s="160"/>
      <c r="X962" s="160"/>
      <c r="Z962" s="160"/>
      <c r="AA962" s="160"/>
      <c r="AB962" s="160"/>
    </row>
    <row r="963" spans="2:28" ht="27.75" hidden="1" customHeight="1" x14ac:dyDescent="0.2"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0"/>
      <c r="O963" s="160"/>
      <c r="P963" s="160"/>
      <c r="Q963" s="160"/>
      <c r="R963" s="160"/>
      <c r="T963" s="160"/>
      <c r="U963" s="160"/>
      <c r="V963" s="160"/>
      <c r="X963" s="160"/>
      <c r="Z963" s="160"/>
      <c r="AA963" s="160"/>
      <c r="AB963" s="160"/>
    </row>
    <row r="964" spans="2:28" ht="27.75" hidden="1" customHeight="1" x14ac:dyDescent="0.2"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0"/>
      <c r="O964" s="160"/>
      <c r="P964" s="160"/>
      <c r="Q964" s="160"/>
      <c r="R964" s="160"/>
      <c r="T964" s="160"/>
      <c r="U964" s="160"/>
      <c r="V964" s="160"/>
      <c r="X964" s="160"/>
      <c r="Z964" s="160"/>
      <c r="AA964" s="160"/>
      <c r="AB964" s="160"/>
    </row>
    <row r="965" spans="2:28" ht="27.75" hidden="1" customHeight="1" x14ac:dyDescent="0.2"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0"/>
      <c r="O965" s="160"/>
      <c r="P965" s="160"/>
      <c r="Q965" s="160"/>
      <c r="R965" s="160"/>
      <c r="T965" s="160"/>
      <c r="U965" s="160"/>
      <c r="V965" s="160"/>
      <c r="X965" s="160"/>
      <c r="Z965" s="160"/>
      <c r="AA965" s="160"/>
      <c r="AB965" s="160"/>
    </row>
    <row r="966" spans="2:28" ht="27.75" hidden="1" customHeight="1" x14ac:dyDescent="0.2"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0"/>
      <c r="O966" s="160"/>
      <c r="P966" s="160"/>
      <c r="Q966" s="160"/>
      <c r="R966" s="160"/>
      <c r="T966" s="160"/>
      <c r="U966" s="160"/>
      <c r="V966" s="160"/>
      <c r="X966" s="160"/>
      <c r="Z966" s="160"/>
      <c r="AA966" s="160"/>
      <c r="AB966" s="160"/>
    </row>
    <row r="967" spans="2:28" ht="27.75" hidden="1" customHeight="1" x14ac:dyDescent="0.2"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0"/>
      <c r="O967" s="160"/>
      <c r="P967" s="160"/>
      <c r="Q967" s="160"/>
      <c r="R967" s="160"/>
      <c r="T967" s="160"/>
      <c r="U967" s="160"/>
      <c r="V967" s="160"/>
      <c r="X967" s="160"/>
      <c r="Z967" s="160"/>
      <c r="AA967" s="160"/>
      <c r="AB967" s="160"/>
    </row>
    <row r="968" spans="2:28" ht="27.75" hidden="1" customHeight="1" x14ac:dyDescent="0.2"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0"/>
      <c r="O968" s="160"/>
      <c r="P968" s="160"/>
      <c r="Q968" s="160"/>
      <c r="R968" s="160"/>
      <c r="T968" s="160"/>
      <c r="U968" s="160"/>
      <c r="V968" s="160"/>
      <c r="X968" s="160"/>
      <c r="Z968" s="160"/>
      <c r="AA968" s="160"/>
      <c r="AB968" s="160"/>
    </row>
    <row r="969" spans="2:28" ht="27.75" hidden="1" customHeight="1" x14ac:dyDescent="0.2"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0"/>
      <c r="O969" s="160"/>
      <c r="P969" s="160"/>
      <c r="Q969" s="160"/>
      <c r="R969" s="160"/>
      <c r="T969" s="160"/>
      <c r="U969" s="160"/>
      <c r="V969" s="160"/>
      <c r="X969" s="160"/>
      <c r="Z969" s="160"/>
      <c r="AA969" s="160"/>
      <c r="AB969" s="160"/>
    </row>
    <row r="970" spans="2:28" ht="27.75" hidden="1" customHeight="1" x14ac:dyDescent="0.2"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0"/>
      <c r="O970" s="160"/>
      <c r="P970" s="160"/>
      <c r="Q970" s="160"/>
      <c r="R970" s="160"/>
      <c r="T970" s="160"/>
      <c r="U970" s="160"/>
      <c r="V970" s="160"/>
      <c r="X970" s="160"/>
      <c r="Z970" s="160"/>
      <c r="AA970" s="160"/>
      <c r="AB970" s="160"/>
    </row>
    <row r="971" spans="2:28" ht="27.75" hidden="1" customHeight="1" x14ac:dyDescent="0.2"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0"/>
      <c r="O971" s="160"/>
      <c r="P971" s="160"/>
      <c r="Q971" s="160"/>
      <c r="R971" s="160"/>
      <c r="T971" s="160"/>
      <c r="U971" s="160"/>
      <c r="V971" s="160"/>
      <c r="X971" s="160"/>
      <c r="Z971" s="160"/>
      <c r="AA971" s="160"/>
      <c r="AB971" s="160"/>
    </row>
    <row r="972" spans="2:28" ht="27.75" hidden="1" customHeight="1" x14ac:dyDescent="0.2"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0"/>
      <c r="O972" s="160"/>
      <c r="P972" s="160"/>
      <c r="Q972" s="160"/>
      <c r="R972" s="160"/>
      <c r="T972" s="160"/>
      <c r="U972" s="160"/>
      <c r="V972" s="160"/>
      <c r="X972" s="160"/>
      <c r="Z972" s="160"/>
      <c r="AA972" s="160"/>
      <c r="AB972" s="160"/>
    </row>
    <row r="973" spans="2:28" ht="27.75" hidden="1" customHeight="1" x14ac:dyDescent="0.2"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0"/>
      <c r="O973" s="160"/>
      <c r="P973" s="160"/>
      <c r="Q973" s="160"/>
      <c r="R973" s="160"/>
      <c r="T973" s="160"/>
      <c r="U973" s="160"/>
      <c r="V973" s="160"/>
      <c r="X973" s="160"/>
      <c r="Z973" s="160"/>
      <c r="AA973" s="160"/>
      <c r="AB973" s="160"/>
    </row>
    <row r="974" spans="2:28" ht="27.75" hidden="1" customHeight="1" x14ac:dyDescent="0.2"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0"/>
      <c r="O974" s="160"/>
      <c r="P974" s="160"/>
      <c r="Q974" s="160"/>
      <c r="R974" s="160"/>
      <c r="T974" s="160"/>
      <c r="U974" s="160"/>
      <c r="V974" s="160"/>
      <c r="X974" s="160"/>
      <c r="Z974" s="160"/>
      <c r="AA974" s="160"/>
      <c r="AB974" s="160"/>
    </row>
    <row r="975" spans="2:28" ht="27.75" hidden="1" customHeight="1" x14ac:dyDescent="0.2"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0"/>
      <c r="O975" s="160"/>
      <c r="P975" s="160"/>
      <c r="Q975" s="160"/>
      <c r="R975" s="160"/>
      <c r="T975" s="160"/>
      <c r="U975" s="160"/>
      <c r="V975" s="160"/>
      <c r="X975" s="160"/>
      <c r="Z975" s="160"/>
      <c r="AA975" s="160"/>
      <c r="AB975" s="160"/>
    </row>
    <row r="976" spans="2:28" ht="27.75" hidden="1" customHeight="1" x14ac:dyDescent="0.2"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0"/>
      <c r="O976" s="160"/>
      <c r="P976" s="160"/>
      <c r="Q976" s="160"/>
      <c r="R976" s="160"/>
      <c r="T976" s="160"/>
      <c r="U976" s="160"/>
      <c r="V976" s="160"/>
      <c r="X976" s="160"/>
      <c r="Z976" s="160"/>
      <c r="AA976" s="160"/>
      <c r="AB976" s="160"/>
    </row>
    <row r="977" spans="2:28" ht="27.75" hidden="1" customHeight="1" x14ac:dyDescent="0.2"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0"/>
      <c r="O977" s="160"/>
      <c r="P977" s="160"/>
      <c r="Q977" s="160"/>
      <c r="R977" s="160"/>
      <c r="T977" s="160"/>
      <c r="U977" s="160"/>
      <c r="V977" s="160"/>
      <c r="X977" s="160"/>
      <c r="Z977" s="160"/>
      <c r="AA977" s="160"/>
      <c r="AB977" s="160"/>
    </row>
    <row r="978" spans="2:28" ht="27.75" hidden="1" customHeight="1" x14ac:dyDescent="0.2"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0"/>
      <c r="O978" s="160"/>
      <c r="P978" s="160"/>
      <c r="Q978" s="160"/>
      <c r="R978" s="160"/>
      <c r="T978" s="160"/>
      <c r="U978" s="160"/>
      <c r="V978" s="160"/>
      <c r="X978" s="160"/>
      <c r="Z978" s="160"/>
      <c r="AA978" s="160"/>
      <c r="AB978" s="160"/>
    </row>
    <row r="979" spans="2:28" ht="27.75" hidden="1" customHeight="1" x14ac:dyDescent="0.2"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0"/>
      <c r="O979" s="160"/>
      <c r="P979" s="160"/>
      <c r="Q979" s="160"/>
      <c r="R979" s="160"/>
      <c r="T979" s="160"/>
      <c r="U979" s="160"/>
      <c r="V979" s="160"/>
      <c r="X979" s="160"/>
      <c r="Z979" s="160"/>
      <c r="AA979" s="160"/>
      <c r="AB979" s="160"/>
    </row>
    <row r="980" spans="2:28" ht="27.75" hidden="1" customHeight="1" x14ac:dyDescent="0.2"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0"/>
      <c r="O980" s="160"/>
      <c r="P980" s="160"/>
      <c r="Q980" s="160"/>
      <c r="R980" s="160"/>
      <c r="T980" s="160"/>
      <c r="U980" s="160"/>
      <c r="V980" s="160"/>
      <c r="X980" s="160"/>
      <c r="Z980" s="160"/>
      <c r="AA980" s="160"/>
      <c r="AB980" s="160"/>
    </row>
    <row r="981" spans="2:28" ht="27.75" hidden="1" customHeight="1" x14ac:dyDescent="0.2"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0"/>
      <c r="O981" s="160"/>
      <c r="P981" s="160"/>
      <c r="Q981" s="160"/>
      <c r="R981" s="160"/>
      <c r="T981" s="160"/>
      <c r="U981" s="160"/>
      <c r="V981" s="160"/>
      <c r="X981" s="160"/>
      <c r="Z981" s="160"/>
      <c r="AA981" s="160"/>
      <c r="AB981" s="160"/>
    </row>
    <row r="982" spans="2:28" ht="27.75" hidden="1" customHeight="1" x14ac:dyDescent="0.2"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0"/>
      <c r="O982" s="160"/>
      <c r="P982" s="160"/>
      <c r="Q982" s="160"/>
      <c r="R982" s="160"/>
      <c r="T982" s="160"/>
      <c r="U982" s="160"/>
      <c r="V982" s="160"/>
      <c r="X982" s="160"/>
      <c r="Z982" s="160"/>
      <c r="AA982" s="160"/>
      <c r="AB982" s="160"/>
    </row>
    <row r="983" spans="2:28" ht="27.75" hidden="1" customHeight="1" x14ac:dyDescent="0.2"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0"/>
      <c r="O983" s="160"/>
      <c r="P983" s="160"/>
      <c r="Q983" s="160"/>
      <c r="R983" s="160"/>
      <c r="T983" s="160"/>
      <c r="U983" s="160"/>
      <c r="V983" s="160"/>
      <c r="X983" s="160"/>
      <c r="Z983" s="160"/>
      <c r="AA983" s="160"/>
      <c r="AB983" s="160"/>
    </row>
    <row r="984" spans="2:28" ht="27.75" hidden="1" customHeight="1" x14ac:dyDescent="0.2"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0"/>
      <c r="O984" s="160"/>
      <c r="P984" s="160"/>
      <c r="Q984" s="160"/>
      <c r="R984" s="160"/>
      <c r="T984" s="160"/>
      <c r="U984" s="160"/>
      <c r="V984" s="160"/>
      <c r="X984" s="160"/>
      <c r="Z984" s="160"/>
      <c r="AA984" s="160"/>
      <c r="AB984" s="160"/>
    </row>
    <row r="985" spans="2:28" ht="27.75" hidden="1" customHeight="1" x14ac:dyDescent="0.2"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0"/>
      <c r="O985" s="160"/>
      <c r="P985" s="160"/>
      <c r="Q985" s="160"/>
      <c r="R985" s="160"/>
      <c r="T985" s="160"/>
      <c r="U985" s="160"/>
      <c r="V985" s="160"/>
      <c r="X985" s="160"/>
      <c r="Z985" s="160"/>
      <c r="AA985" s="160"/>
      <c r="AB985" s="160"/>
    </row>
    <row r="986" spans="2:28" ht="27.75" hidden="1" customHeight="1" x14ac:dyDescent="0.2"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0"/>
      <c r="O986" s="160"/>
      <c r="P986" s="160"/>
      <c r="Q986" s="160"/>
      <c r="R986" s="160"/>
      <c r="T986" s="160"/>
      <c r="U986" s="160"/>
      <c r="V986" s="160"/>
      <c r="X986" s="160"/>
      <c r="Z986" s="160"/>
      <c r="AA986" s="160"/>
      <c r="AB986" s="160"/>
    </row>
    <row r="987" spans="2:28" ht="27.75" hidden="1" customHeight="1" x14ac:dyDescent="0.2"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0"/>
      <c r="O987" s="160"/>
      <c r="P987" s="160"/>
      <c r="Q987" s="160"/>
      <c r="R987" s="160"/>
      <c r="T987" s="160"/>
      <c r="U987" s="160"/>
      <c r="V987" s="160"/>
      <c r="X987" s="160"/>
      <c r="Z987" s="160"/>
      <c r="AA987" s="160"/>
      <c r="AB987" s="160"/>
    </row>
    <row r="988" spans="2:28" ht="27.75" hidden="1" customHeight="1" x14ac:dyDescent="0.2"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0"/>
      <c r="O988" s="160"/>
      <c r="P988" s="160"/>
      <c r="Q988" s="160"/>
      <c r="R988" s="160"/>
      <c r="T988" s="160"/>
      <c r="U988" s="160"/>
      <c r="V988" s="160"/>
      <c r="X988" s="160"/>
      <c r="Z988" s="160"/>
      <c r="AA988" s="160"/>
      <c r="AB988" s="160"/>
    </row>
    <row r="989" spans="2:28" ht="27.75" hidden="1" customHeight="1" x14ac:dyDescent="0.2"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0"/>
      <c r="O989" s="160"/>
      <c r="P989" s="160"/>
      <c r="Q989" s="160"/>
      <c r="R989" s="160"/>
      <c r="T989" s="160"/>
      <c r="U989" s="160"/>
      <c r="V989" s="160"/>
      <c r="X989" s="160"/>
      <c r="Z989" s="160"/>
      <c r="AA989" s="160"/>
      <c r="AB989" s="160"/>
    </row>
    <row r="990" spans="2:28" ht="27.75" hidden="1" customHeight="1" x14ac:dyDescent="0.2"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0"/>
      <c r="O990" s="160"/>
      <c r="P990" s="160"/>
      <c r="Q990" s="160"/>
      <c r="R990" s="160"/>
      <c r="T990" s="160"/>
      <c r="U990" s="160"/>
      <c r="V990" s="160"/>
      <c r="X990" s="160"/>
      <c r="Z990" s="160"/>
      <c r="AA990" s="160"/>
      <c r="AB990" s="160"/>
    </row>
    <row r="991" spans="2:28" ht="27.75" hidden="1" customHeight="1" x14ac:dyDescent="0.2"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0"/>
      <c r="O991" s="160"/>
      <c r="P991" s="160"/>
      <c r="Q991" s="160"/>
      <c r="R991" s="160"/>
      <c r="T991" s="160"/>
      <c r="U991" s="160"/>
      <c r="V991" s="160"/>
      <c r="X991" s="160"/>
      <c r="Z991" s="160"/>
      <c r="AA991" s="160"/>
      <c r="AB991" s="160"/>
    </row>
    <row r="992" spans="2:28" ht="27.75" hidden="1" customHeight="1" x14ac:dyDescent="0.2"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0"/>
      <c r="O992" s="160"/>
      <c r="P992" s="160"/>
      <c r="Q992" s="160"/>
      <c r="R992" s="160"/>
      <c r="T992" s="160"/>
      <c r="U992" s="160"/>
      <c r="V992" s="160"/>
      <c r="X992" s="160"/>
      <c r="Z992" s="160"/>
      <c r="AA992" s="160"/>
      <c r="AB992" s="160"/>
    </row>
    <row r="993" spans="2:28" ht="27.75" hidden="1" customHeight="1" x14ac:dyDescent="0.2"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0"/>
      <c r="O993" s="160"/>
      <c r="P993" s="160"/>
      <c r="Q993" s="160"/>
      <c r="R993" s="160"/>
      <c r="T993" s="160"/>
      <c r="U993" s="160"/>
      <c r="V993" s="160"/>
      <c r="X993" s="160"/>
      <c r="Z993" s="160"/>
      <c r="AA993" s="160"/>
      <c r="AB993" s="160"/>
    </row>
    <row r="994" spans="2:28" ht="27.75" hidden="1" customHeight="1" x14ac:dyDescent="0.2"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0"/>
      <c r="O994" s="160"/>
      <c r="P994" s="160"/>
      <c r="Q994" s="160"/>
      <c r="R994" s="160"/>
      <c r="T994" s="160"/>
      <c r="U994" s="160"/>
      <c r="V994" s="160"/>
      <c r="X994" s="160"/>
      <c r="Z994" s="160"/>
      <c r="AA994" s="160"/>
      <c r="AB994" s="160"/>
    </row>
    <row r="995" spans="2:28" ht="27.75" hidden="1" customHeight="1" x14ac:dyDescent="0.2"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0"/>
      <c r="O995" s="160"/>
      <c r="P995" s="160"/>
      <c r="Q995" s="160"/>
      <c r="R995" s="160"/>
      <c r="T995" s="160"/>
      <c r="U995" s="160"/>
      <c r="V995" s="160"/>
      <c r="X995" s="160"/>
      <c r="Z995" s="160"/>
      <c r="AA995" s="160"/>
      <c r="AB995" s="160"/>
    </row>
    <row r="996" spans="2:28" ht="27.75" hidden="1" customHeight="1" x14ac:dyDescent="0.2"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0"/>
      <c r="O996" s="160"/>
      <c r="P996" s="160"/>
      <c r="Q996" s="160"/>
      <c r="R996" s="160"/>
      <c r="T996" s="160"/>
      <c r="U996" s="160"/>
      <c r="V996" s="160"/>
      <c r="X996" s="160"/>
      <c r="Z996" s="160"/>
      <c r="AA996" s="160"/>
      <c r="AB996" s="160"/>
    </row>
    <row r="997" spans="2:28" ht="27.75" hidden="1" customHeight="1" x14ac:dyDescent="0.2"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0"/>
      <c r="O997" s="160"/>
      <c r="P997" s="160"/>
      <c r="Q997" s="160"/>
      <c r="R997" s="160"/>
      <c r="T997" s="160"/>
      <c r="U997" s="160"/>
      <c r="V997" s="160"/>
      <c r="X997" s="160"/>
      <c r="Z997" s="160"/>
      <c r="AA997" s="160"/>
      <c r="AB997" s="160"/>
    </row>
    <row r="998" spans="2:28" ht="27.75" hidden="1" customHeight="1" x14ac:dyDescent="0.2"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0"/>
      <c r="O998" s="160"/>
      <c r="P998" s="160"/>
      <c r="Q998" s="160"/>
      <c r="R998" s="160"/>
      <c r="T998" s="160"/>
      <c r="U998" s="160"/>
      <c r="V998" s="160"/>
      <c r="X998" s="160"/>
      <c r="Z998" s="160"/>
      <c r="AA998" s="160"/>
      <c r="AB998" s="160"/>
    </row>
    <row r="999" spans="2:28" ht="27.75" hidden="1" customHeight="1" x14ac:dyDescent="0.2"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0"/>
      <c r="O999" s="160"/>
      <c r="P999" s="160"/>
      <c r="Q999" s="160"/>
      <c r="R999" s="160"/>
      <c r="T999" s="160"/>
      <c r="U999" s="160"/>
      <c r="V999" s="160"/>
      <c r="X999" s="160"/>
      <c r="Z999" s="160"/>
      <c r="AA999" s="160"/>
      <c r="AB999" s="160"/>
    </row>
    <row r="1000" spans="2:28" ht="27.75" hidden="1" customHeight="1" x14ac:dyDescent="0.2"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0"/>
      <c r="O1000" s="160"/>
      <c r="P1000" s="160"/>
      <c r="Q1000" s="160"/>
      <c r="R1000" s="160"/>
      <c r="T1000" s="160"/>
      <c r="U1000" s="160"/>
      <c r="V1000" s="160"/>
      <c r="X1000" s="160"/>
      <c r="Z1000" s="160"/>
      <c r="AA1000" s="160"/>
      <c r="AB1000" s="160"/>
    </row>
    <row r="1001" spans="2:28" ht="27.75" hidden="1" customHeight="1" x14ac:dyDescent="0.2"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0"/>
      <c r="O1001" s="160"/>
      <c r="P1001" s="160"/>
      <c r="Q1001" s="160"/>
      <c r="R1001" s="160"/>
      <c r="T1001" s="160"/>
      <c r="U1001" s="160"/>
      <c r="V1001" s="160"/>
      <c r="X1001" s="160"/>
      <c r="Z1001" s="160"/>
      <c r="AA1001" s="160"/>
      <c r="AB1001" s="160"/>
    </row>
    <row r="1002" spans="2:28" ht="27.75" hidden="1" customHeight="1" x14ac:dyDescent="0.2"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0"/>
      <c r="O1002" s="160"/>
      <c r="P1002" s="160"/>
      <c r="Q1002" s="160"/>
      <c r="R1002" s="160"/>
      <c r="T1002" s="160"/>
      <c r="U1002" s="160"/>
      <c r="V1002" s="160"/>
      <c r="X1002" s="160"/>
      <c r="Z1002" s="160"/>
      <c r="AA1002" s="160"/>
      <c r="AB1002" s="160"/>
    </row>
    <row r="1003" spans="2:28" ht="27.75" hidden="1" customHeight="1" x14ac:dyDescent="0.2"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0"/>
      <c r="O1003" s="160"/>
      <c r="P1003" s="160"/>
      <c r="Q1003" s="160"/>
      <c r="R1003" s="160"/>
      <c r="T1003" s="160"/>
      <c r="U1003" s="160"/>
      <c r="V1003" s="160"/>
      <c r="X1003" s="160"/>
      <c r="Z1003" s="160"/>
      <c r="AA1003" s="160"/>
      <c r="AB1003" s="160"/>
    </row>
    <row r="1004" spans="2:28" ht="27.75" hidden="1" customHeight="1" x14ac:dyDescent="0.2"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0"/>
      <c r="O1004" s="160"/>
      <c r="P1004" s="160"/>
      <c r="Q1004" s="160"/>
      <c r="R1004" s="160"/>
      <c r="T1004" s="160"/>
      <c r="U1004" s="160"/>
      <c r="V1004" s="160"/>
      <c r="X1004" s="160"/>
      <c r="Z1004" s="160"/>
      <c r="AA1004" s="160"/>
      <c r="AB1004" s="160"/>
    </row>
    <row r="1005" spans="2:28" ht="27.75" customHeight="1" x14ac:dyDescent="0.2">
      <c r="B1005" s="161"/>
      <c r="C1005" s="161"/>
      <c r="D1005" s="147">
        <v>0</v>
      </c>
      <c r="E1005" s="147">
        <v>2</v>
      </c>
      <c r="F1005" s="161"/>
      <c r="G1005" s="161"/>
      <c r="H1005" s="161"/>
      <c r="I1005" s="161"/>
      <c r="J1005" s="161"/>
      <c r="K1005" s="161"/>
      <c r="L1005" s="161"/>
      <c r="M1005" s="161"/>
      <c r="N1005" s="160"/>
      <c r="O1005" s="160"/>
      <c r="P1005" s="160"/>
      <c r="Q1005" s="160"/>
      <c r="R1005" s="160"/>
      <c r="T1005" s="160"/>
      <c r="U1005" s="160"/>
      <c r="V1005" s="160"/>
      <c r="X1005" s="160"/>
      <c r="Z1005" s="160"/>
      <c r="AA1005" s="160"/>
      <c r="AB1005" s="160"/>
    </row>
    <row r="1006" spans="2:28" ht="26.25" x14ac:dyDescent="0.2">
      <c r="B1006" s="161"/>
      <c r="C1006" s="161"/>
      <c r="D1006" s="279">
        <v>1</v>
      </c>
      <c r="E1006" s="280">
        <v>1</v>
      </c>
      <c r="F1006" s="161"/>
      <c r="G1006" s="161"/>
      <c r="H1006" s="161"/>
      <c r="I1006" s="161"/>
      <c r="J1006" s="161"/>
      <c r="K1006" s="161"/>
      <c r="L1006" s="161"/>
      <c r="M1006" s="161"/>
      <c r="N1006" s="160"/>
      <c r="O1006" s="160"/>
      <c r="P1006" s="160"/>
      <c r="Q1006" s="160"/>
      <c r="R1006" s="160"/>
      <c r="T1006" s="160"/>
      <c r="U1006" s="160"/>
      <c r="V1006" s="160"/>
      <c r="X1006" s="160"/>
      <c r="Z1006" s="160"/>
      <c r="AA1006" s="160"/>
      <c r="AB1006" s="160"/>
    </row>
    <row r="1007" spans="2:28" ht="19.5" customHeight="1" x14ac:dyDescent="0.3">
      <c r="B1007" s="161"/>
      <c r="C1007" s="161"/>
      <c r="D1007" s="161"/>
      <c r="E1007" s="161"/>
      <c r="F1007" s="161"/>
      <c r="G1007" s="149"/>
      <c r="H1007" s="70"/>
      <c r="I1007" s="70"/>
      <c r="J1007" s="70"/>
      <c r="K1007" s="193"/>
      <c r="L1007" s="193"/>
      <c r="M1007" s="249"/>
      <c r="N1007" s="160"/>
      <c r="O1007" s="160"/>
      <c r="P1007" s="160"/>
      <c r="Q1007" s="160"/>
      <c r="R1007" s="160"/>
      <c r="T1007" s="160"/>
      <c r="U1007" s="160"/>
      <c r="V1007" s="160"/>
      <c r="X1007" s="160"/>
      <c r="Z1007" s="160"/>
      <c r="AA1007" s="160"/>
      <c r="AB1007" s="160"/>
    </row>
    <row r="1008" spans="2:28" ht="19.5" customHeight="1" x14ac:dyDescent="0.2">
      <c r="C1008" s="160"/>
      <c r="E1008" s="160"/>
      <c r="F1008" s="160"/>
      <c r="G1008" s="160"/>
      <c r="H1008" s="160"/>
      <c r="I1008" s="160"/>
      <c r="J1008" s="160"/>
      <c r="L1008" s="160"/>
      <c r="M1008" s="160"/>
      <c r="N1008" s="160"/>
      <c r="O1008" s="160"/>
      <c r="P1008" s="160"/>
      <c r="Q1008" s="160"/>
      <c r="R1008" s="160"/>
      <c r="T1008" s="160"/>
      <c r="U1008" s="160"/>
      <c r="V1008" s="160"/>
      <c r="X1008" s="160"/>
      <c r="Z1008" s="160"/>
      <c r="AA1008" s="160"/>
      <c r="AB1008" s="160"/>
    </row>
    <row r="1009" s="160" customFormat="1" ht="19.5" customHeight="1" x14ac:dyDescent="0.2"/>
    <row r="1010" s="160" customFormat="1" ht="19.5" customHeight="1" x14ac:dyDescent="0.2"/>
    <row r="1011" s="160" customFormat="1" ht="19.5" customHeight="1" x14ac:dyDescent="0.2"/>
    <row r="1012" s="160" customFormat="1" ht="19.5" customHeight="1" x14ac:dyDescent="0.2"/>
    <row r="1013" s="160" customFormat="1" ht="19.5" customHeight="1" x14ac:dyDescent="0.2"/>
    <row r="1014" s="160" customFormat="1" ht="19.5" customHeight="1" x14ac:dyDescent="0.2"/>
    <row r="1015" s="160" customFormat="1" ht="19.5" customHeight="1" x14ac:dyDescent="0.2"/>
    <row r="1016" s="160" customFormat="1" ht="19.5" customHeight="1" x14ac:dyDescent="0.2"/>
    <row r="1017" s="160" customFormat="1" ht="19.5" customHeight="1" x14ac:dyDescent="0.2"/>
    <row r="1018" s="160" customFormat="1" ht="19.5" customHeight="1" x14ac:dyDescent="0.2"/>
    <row r="1019" s="160" customFormat="1" ht="12.75" x14ac:dyDescent="0.2"/>
    <row r="1020" s="160" customFormat="1" ht="12.75" x14ac:dyDescent="0.2"/>
    <row r="1021" s="160" customFormat="1" ht="12.75" x14ac:dyDescent="0.2"/>
    <row r="1022" s="160" customFormat="1" ht="12.75" x14ac:dyDescent="0.2"/>
    <row r="1023" s="160" customFormat="1" ht="12.75" x14ac:dyDescent="0.2"/>
    <row r="1024" s="160" customFormat="1" ht="12.75" x14ac:dyDescent="0.2"/>
    <row r="1025" spans="3:28" ht="12.75" x14ac:dyDescent="0.2">
      <c r="C1025" s="160"/>
      <c r="E1025" s="160"/>
      <c r="F1025" s="160"/>
      <c r="G1025" s="160"/>
      <c r="H1025" s="160"/>
      <c r="I1025" s="160"/>
      <c r="J1025" s="160"/>
      <c r="L1025" s="160"/>
      <c r="M1025" s="160"/>
      <c r="N1025" s="160"/>
      <c r="O1025" s="160"/>
      <c r="P1025" s="160"/>
      <c r="Q1025" s="160"/>
      <c r="R1025" s="160"/>
      <c r="T1025" s="160"/>
      <c r="U1025" s="160"/>
      <c r="V1025" s="160"/>
      <c r="X1025" s="160"/>
      <c r="Z1025" s="160"/>
      <c r="AA1025" s="160"/>
      <c r="AB1025" s="160"/>
    </row>
    <row r="1026" spans="3:28" ht="12.75" x14ac:dyDescent="0.2">
      <c r="C1026" s="160"/>
      <c r="E1026" s="160"/>
      <c r="F1026" s="160"/>
      <c r="G1026" s="160"/>
      <c r="H1026" s="160"/>
      <c r="I1026" s="160"/>
      <c r="J1026" s="160"/>
      <c r="L1026" s="160"/>
      <c r="M1026" s="160"/>
      <c r="N1026" s="160"/>
      <c r="O1026" s="160"/>
      <c r="P1026" s="160"/>
      <c r="Q1026" s="160"/>
      <c r="R1026" s="160"/>
      <c r="T1026" s="160"/>
      <c r="U1026" s="160"/>
      <c r="V1026" s="160"/>
      <c r="X1026" s="160"/>
      <c r="Z1026" s="160"/>
      <c r="AA1026" s="160"/>
      <c r="AB1026" s="160"/>
    </row>
    <row r="1027" spans="3:28" ht="12.75" x14ac:dyDescent="0.2">
      <c r="C1027" s="160"/>
      <c r="E1027" s="160"/>
      <c r="F1027" s="160"/>
      <c r="G1027" s="160"/>
      <c r="H1027" s="160"/>
      <c r="I1027" s="160"/>
      <c r="J1027" s="160"/>
      <c r="L1027" s="160"/>
      <c r="M1027" s="160"/>
      <c r="N1027" s="160"/>
      <c r="O1027" s="160"/>
      <c r="P1027" s="160"/>
      <c r="Q1027" s="160"/>
      <c r="R1027" s="160"/>
      <c r="T1027" s="160"/>
      <c r="U1027" s="160"/>
      <c r="V1027" s="160"/>
      <c r="X1027" s="160"/>
      <c r="Z1027" s="160"/>
      <c r="AA1027" s="160"/>
      <c r="AB1027" s="160"/>
    </row>
    <row r="1028" spans="3:28" ht="12.75" x14ac:dyDescent="0.2">
      <c r="C1028" s="160"/>
      <c r="E1028" s="160"/>
      <c r="F1028" s="160"/>
      <c r="G1028" s="160"/>
      <c r="H1028" s="160"/>
      <c r="I1028" s="160"/>
      <c r="J1028" s="160"/>
      <c r="L1028" s="160"/>
      <c r="M1028" s="160"/>
      <c r="N1028" s="160"/>
      <c r="O1028" s="160"/>
      <c r="P1028" s="160"/>
      <c r="Q1028" s="160"/>
      <c r="R1028" s="160"/>
      <c r="T1028" s="160"/>
      <c r="U1028" s="160"/>
      <c r="V1028" s="160"/>
      <c r="X1028" s="160"/>
      <c r="Z1028" s="160"/>
      <c r="AA1028" s="160"/>
      <c r="AB1028" s="160"/>
    </row>
    <row r="1029" spans="3:28" ht="12.75" x14ac:dyDescent="0.2">
      <c r="C1029" s="160"/>
      <c r="E1029" s="160"/>
      <c r="F1029" s="160"/>
      <c r="G1029" s="160"/>
      <c r="H1029" s="160"/>
      <c r="I1029" s="160"/>
      <c r="J1029" s="160"/>
      <c r="L1029" s="160"/>
      <c r="M1029" s="160"/>
      <c r="N1029" s="160"/>
      <c r="O1029" s="160"/>
      <c r="P1029" s="160"/>
      <c r="Q1029" s="160"/>
      <c r="R1029" s="160"/>
      <c r="T1029" s="160"/>
      <c r="U1029" s="160"/>
      <c r="V1029" s="160"/>
      <c r="X1029" s="160"/>
      <c r="Z1029" s="160"/>
      <c r="AA1029" s="160"/>
      <c r="AB1029" s="160"/>
    </row>
    <row r="1030" spans="3:28" ht="12.75" x14ac:dyDescent="0.2">
      <c r="C1030" s="160"/>
      <c r="E1030" s="160"/>
      <c r="F1030" s="160"/>
      <c r="G1030" s="160"/>
      <c r="H1030" s="160"/>
      <c r="I1030" s="160"/>
      <c r="J1030" s="160"/>
      <c r="L1030" s="160"/>
      <c r="M1030" s="160"/>
      <c r="N1030" s="160"/>
      <c r="O1030" s="160"/>
      <c r="P1030" s="160"/>
      <c r="Q1030" s="160"/>
      <c r="R1030" s="160"/>
      <c r="T1030" s="160"/>
      <c r="U1030" s="160"/>
      <c r="V1030" s="160"/>
      <c r="X1030" s="160"/>
      <c r="Z1030" s="160"/>
      <c r="AA1030" s="160"/>
      <c r="AB1030" s="160"/>
    </row>
    <row r="1031" spans="3:28" ht="12.75" x14ac:dyDescent="0.2">
      <c r="C1031" s="160"/>
      <c r="E1031" s="160"/>
      <c r="F1031" s="160"/>
      <c r="G1031" s="160"/>
      <c r="H1031" s="160"/>
      <c r="I1031" s="160"/>
      <c r="J1031" s="160"/>
      <c r="L1031" s="160"/>
      <c r="M1031" s="160"/>
      <c r="N1031" s="160"/>
      <c r="O1031" s="160"/>
      <c r="P1031" s="160"/>
      <c r="Q1031" s="160"/>
      <c r="R1031" s="160"/>
      <c r="T1031" s="160"/>
      <c r="U1031" s="160"/>
      <c r="V1031" s="160"/>
      <c r="X1031" s="160"/>
      <c r="Z1031" s="160"/>
      <c r="AA1031" s="160"/>
      <c r="AB1031" s="160"/>
    </row>
    <row r="1032" spans="3:28" ht="12.75" x14ac:dyDescent="0.2">
      <c r="C1032" s="160"/>
      <c r="E1032" s="160"/>
      <c r="F1032" s="160"/>
      <c r="G1032" s="160"/>
      <c r="H1032" s="160"/>
      <c r="I1032" s="160"/>
      <c r="J1032" s="160"/>
      <c r="L1032" s="160"/>
      <c r="M1032" s="160"/>
      <c r="N1032" s="160"/>
      <c r="O1032" s="160"/>
      <c r="P1032" s="160"/>
      <c r="Q1032" s="160"/>
      <c r="R1032" s="160"/>
      <c r="T1032" s="160"/>
      <c r="U1032" s="160"/>
      <c r="V1032" s="160"/>
      <c r="X1032" s="160"/>
      <c r="Z1032" s="160"/>
      <c r="AA1032" s="160"/>
      <c r="AB1032" s="160"/>
    </row>
    <row r="1033" spans="3:28" ht="12.75" x14ac:dyDescent="0.2">
      <c r="C1033" s="160"/>
      <c r="E1033" s="160"/>
      <c r="F1033" s="160"/>
      <c r="G1033" s="160"/>
      <c r="H1033" s="160"/>
      <c r="I1033" s="160"/>
      <c r="J1033" s="160"/>
      <c r="L1033" s="160"/>
      <c r="M1033" s="160"/>
      <c r="N1033" s="160"/>
      <c r="O1033" s="160"/>
      <c r="P1033" s="160"/>
      <c r="Q1033" s="160"/>
      <c r="R1033" s="160"/>
      <c r="T1033" s="160"/>
      <c r="U1033" s="160"/>
      <c r="V1033" s="160"/>
      <c r="X1033" s="160"/>
      <c r="Z1033" s="160"/>
      <c r="AA1033" s="160"/>
      <c r="AB1033" s="160"/>
    </row>
    <row r="1034" spans="3:28" x14ac:dyDescent="0.25">
      <c r="C1034" s="160"/>
      <c r="E1034" s="160"/>
      <c r="F1034" s="160"/>
      <c r="G1034" s="160"/>
      <c r="H1034" s="160"/>
      <c r="I1034" s="160"/>
      <c r="J1034" s="160"/>
      <c r="L1034" s="160"/>
      <c r="M1034" s="160"/>
      <c r="N1034" s="160"/>
      <c r="O1034" s="160"/>
      <c r="P1034" s="160"/>
    </row>
    <row r="1035" spans="3:28" x14ac:dyDescent="0.25">
      <c r="C1035" s="160"/>
      <c r="E1035" s="160"/>
      <c r="F1035" s="160"/>
      <c r="G1035" s="160"/>
      <c r="H1035" s="160"/>
      <c r="I1035" s="160"/>
      <c r="J1035" s="160"/>
      <c r="L1035" s="160"/>
      <c r="M1035" s="160"/>
      <c r="N1035" s="160"/>
      <c r="O1035" s="160"/>
      <c r="P1035" s="160"/>
    </row>
    <row r="1036" spans="3:28" x14ac:dyDescent="0.25">
      <c r="C1036" s="160"/>
      <c r="E1036" s="160"/>
      <c r="F1036" s="160"/>
      <c r="G1036" s="160"/>
      <c r="H1036" s="160"/>
      <c r="I1036" s="160"/>
      <c r="J1036" s="160"/>
      <c r="L1036" s="160"/>
      <c r="M1036" s="160"/>
      <c r="N1036" s="160"/>
      <c r="O1036" s="160"/>
      <c r="P1036" s="160"/>
    </row>
    <row r="1037" spans="3:28" x14ac:dyDescent="0.25">
      <c r="C1037" s="160"/>
      <c r="E1037" s="160"/>
      <c r="F1037" s="160"/>
      <c r="G1037" s="160"/>
      <c r="H1037" s="160"/>
      <c r="I1037" s="160"/>
      <c r="J1037" s="160"/>
      <c r="L1037" s="160"/>
      <c r="M1037" s="160"/>
      <c r="N1037" s="160"/>
      <c r="O1037" s="160"/>
      <c r="P1037" s="160"/>
    </row>
    <row r="1038" spans="3:28" x14ac:dyDescent="0.25">
      <c r="C1038" s="160"/>
      <c r="E1038" s="160"/>
      <c r="F1038" s="160"/>
      <c r="G1038" s="160"/>
      <c r="H1038" s="160"/>
      <c r="I1038" s="160"/>
      <c r="J1038" s="160"/>
      <c r="L1038" s="160"/>
      <c r="M1038" s="160"/>
      <c r="N1038" s="160"/>
      <c r="O1038" s="160"/>
      <c r="P1038" s="160"/>
    </row>
    <row r="1039" spans="3:28" x14ac:dyDescent="0.25">
      <c r="C1039" s="160"/>
      <c r="E1039" s="160"/>
      <c r="F1039" s="160"/>
      <c r="G1039" s="160"/>
      <c r="H1039" s="160"/>
      <c r="I1039" s="160"/>
      <c r="J1039" s="160"/>
      <c r="L1039" s="160"/>
      <c r="M1039" s="160"/>
      <c r="N1039" s="160"/>
      <c r="O1039" s="160"/>
      <c r="P1039" s="160"/>
    </row>
    <row r="1040" spans="3:28" x14ac:dyDescent="0.25">
      <c r="C1040" s="160"/>
      <c r="E1040" s="160"/>
      <c r="F1040" s="160"/>
      <c r="G1040" s="160"/>
      <c r="H1040" s="160"/>
      <c r="I1040" s="160"/>
      <c r="J1040" s="160"/>
      <c r="L1040" s="160"/>
      <c r="M1040" s="160"/>
      <c r="N1040" s="160"/>
      <c r="O1040" s="160"/>
      <c r="P1040" s="160"/>
    </row>
    <row r="1041" spans="3:16" x14ac:dyDescent="0.25">
      <c r="C1041" s="160"/>
      <c r="E1041" s="160"/>
      <c r="F1041" s="160"/>
      <c r="G1041" s="160"/>
      <c r="H1041" s="160"/>
      <c r="I1041" s="160"/>
      <c r="J1041" s="160"/>
      <c r="L1041" s="160"/>
      <c r="M1041" s="160"/>
      <c r="N1041" s="160"/>
      <c r="O1041" s="160"/>
      <c r="P1041" s="160"/>
    </row>
    <row r="1042" spans="3:16" x14ac:dyDescent="0.25">
      <c r="C1042" s="160"/>
      <c r="E1042" s="160"/>
      <c r="F1042" s="160"/>
      <c r="G1042" s="160"/>
      <c r="H1042" s="160"/>
      <c r="I1042" s="160"/>
      <c r="J1042" s="160"/>
      <c r="L1042" s="160"/>
      <c r="M1042" s="160"/>
      <c r="N1042" s="160"/>
      <c r="O1042" s="160"/>
      <c r="P1042" s="160"/>
    </row>
    <row r="1043" spans="3:16" x14ac:dyDescent="0.25">
      <c r="C1043" s="160"/>
      <c r="E1043" s="160"/>
      <c r="F1043" s="160"/>
      <c r="G1043" s="160"/>
      <c r="H1043" s="160"/>
      <c r="I1043" s="160"/>
      <c r="J1043" s="160"/>
      <c r="L1043" s="160"/>
      <c r="M1043" s="160"/>
      <c r="N1043" s="160"/>
      <c r="O1043" s="160"/>
      <c r="P1043" s="160"/>
    </row>
    <row r="1044" spans="3:16" x14ac:dyDescent="0.25">
      <c r="C1044" s="160"/>
      <c r="E1044" s="160"/>
      <c r="F1044" s="160"/>
      <c r="G1044" s="160"/>
      <c r="H1044" s="160"/>
      <c r="I1044" s="160"/>
      <c r="J1044" s="160"/>
      <c r="L1044" s="160"/>
      <c r="M1044" s="160"/>
      <c r="N1044" s="160"/>
      <c r="O1044" s="160"/>
      <c r="P1044" s="160"/>
    </row>
    <row r="1045" spans="3:16" x14ac:dyDescent="0.25">
      <c r="C1045" s="160"/>
      <c r="E1045" s="160"/>
      <c r="F1045" s="160"/>
      <c r="G1045" s="160"/>
      <c r="H1045" s="160"/>
      <c r="I1045" s="160"/>
      <c r="J1045" s="160"/>
      <c r="L1045" s="160"/>
      <c r="M1045" s="160"/>
      <c r="N1045" s="160"/>
      <c r="O1045" s="160"/>
      <c r="P1045" s="160"/>
    </row>
    <row r="1046" spans="3:16" x14ac:dyDescent="0.25">
      <c r="C1046" s="160"/>
      <c r="E1046" s="160"/>
      <c r="F1046" s="160"/>
      <c r="G1046" s="160"/>
      <c r="H1046" s="160"/>
      <c r="I1046" s="160"/>
      <c r="J1046" s="160"/>
      <c r="L1046" s="160"/>
      <c r="M1046" s="160"/>
      <c r="N1046" s="160"/>
      <c r="O1046" s="160"/>
      <c r="P1046" s="160"/>
    </row>
    <row r="1047" spans="3:16" x14ac:dyDescent="0.25">
      <c r="C1047" s="160"/>
      <c r="E1047" s="160"/>
      <c r="F1047" s="160"/>
      <c r="G1047" s="160"/>
      <c r="H1047" s="160"/>
      <c r="I1047" s="160"/>
      <c r="J1047" s="160"/>
      <c r="L1047" s="160"/>
      <c r="M1047" s="160"/>
      <c r="N1047" s="160"/>
      <c r="O1047" s="160"/>
      <c r="P1047" s="160"/>
    </row>
    <row r="1048" spans="3:16" x14ac:dyDescent="0.25">
      <c r="C1048" s="160"/>
      <c r="E1048" s="160"/>
      <c r="F1048" s="160"/>
      <c r="G1048" s="160"/>
      <c r="H1048" s="160"/>
      <c r="I1048" s="160"/>
      <c r="J1048" s="160"/>
      <c r="L1048" s="160"/>
      <c r="M1048" s="160"/>
      <c r="N1048" s="160"/>
      <c r="O1048" s="160"/>
      <c r="P1048" s="160"/>
    </row>
    <row r="1049" spans="3:16" x14ac:dyDescent="0.25">
      <c r="C1049" s="160"/>
      <c r="E1049" s="160"/>
      <c r="F1049" s="160"/>
      <c r="G1049" s="160"/>
      <c r="H1049" s="160"/>
      <c r="I1049" s="160"/>
      <c r="J1049" s="160"/>
      <c r="L1049" s="160"/>
      <c r="M1049" s="160"/>
      <c r="N1049" s="160"/>
      <c r="O1049" s="160"/>
      <c r="P1049" s="160"/>
    </row>
    <row r="1050" spans="3:16" x14ac:dyDescent="0.25">
      <c r="C1050" s="160"/>
      <c r="E1050" s="160"/>
      <c r="F1050" s="160"/>
      <c r="G1050" s="160"/>
      <c r="H1050" s="160"/>
      <c r="I1050" s="160"/>
      <c r="J1050" s="160"/>
      <c r="L1050" s="160"/>
      <c r="M1050" s="160"/>
      <c r="N1050" s="160"/>
      <c r="O1050" s="160"/>
      <c r="P1050" s="160"/>
    </row>
    <row r="1051" spans="3:16" x14ac:dyDescent="0.25">
      <c r="C1051" s="160"/>
      <c r="E1051" s="160"/>
      <c r="F1051" s="160"/>
      <c r="G1051" s="160"/>
      <c r="H1051" s="160"/>
      <c r="I1051" s="160"/>
      <c r="J1051" s="160"/>
      <c r="L1051" s="160"/>
      <c r="M1051" s="160"/>
      <c r="N1051" s="160"/>
      <c r="O1051" s="160"/>
      <c r="P1051" s="160"/>
    </row>
    <row r="1052" spans="3:16" x14ac:dyDescent="0.25">
      <c r="C1052" s="160"/>
      <c r="E1052" s="160"/>
      <c r="F1052" s="160"/>
      <c r="G1052" s="160"/>
      <c r="H1052" s="160"/>
      <c r="I1052" s="160"/>
      <c r="J1052" s="160"/>
      <c r="L1052" s="160"/>
      <c r="M1052" s="160"/>
      <c r="N1052" s="160"/>
      <c r="O1052" s="160"/>
      <c r="P1052" s="160"/>
    </row>
    <row r="1053" spans="3:16" x14ac:dyDescent="0.25">
      <c r="C1053" s="160"/>
      <c r="E1053" s="160"/>
      <c r="F1053" s="160"/>
      <c r="G1053" s="160"/>
      <c r="H1053" s="160"/>
      <c r="I1053" s="160"/>
      <c r="J1053" s="160"/>
      <c r="L1053" s="160"/>
      <c r="M1053" s="160"/>
      <c r="N1053" s="160"/>
      <c r="O1053" s="160"/>
      <c r="P1053" s="160"/>
    </row>
    <row r="1054" spans="3:16" x14ac:dyDescent="0.25">
      <c r="C1054" s="160"/>
      <c r="E1054" s="160"/>
      <c r="F1054" s="160"/>
      <c r="G1054" s="160"/>
      <c r="H1054" s="160"/>
      <c r="I1054" s="160"/>
      <c r="J1054" s="160"/>
      <c r="L1054" s="160"/>
      <c r="M1054" s="160"/>
      <c r="N1054" s="160"/>
      <c r="O1054" s="160"/>
      <c r="P1054" s="160"/>
    </row>
    <row r="1055" spans="3:16" x14ac:dyDescent="0.25">
      <c r="C1055" s="160"/>
      <c r="E1055" s="160"/>
      <c r="F1055" s="160"/>
      <c r="G1055" s="160"/>
      <c r="H1055" s="160"/>
      <c r="I1055" s="160"/>
      <c r="J1055" s="160"/>
      <c r="L1055" s="160"/>
      <c r="M1055" s="160"/>
      <c r="N1055" s="160"/>
      <c r="O1055" s="160"/>
      <c r="P1055" s="160"/>
    </row>
    <row r="1056" spans="3:16" x14ac:dyDescent="0.25">
      <c r="C1056" s="160"/>
      <c r="E1056" s="160"/>
      <c r="F1056" s="160"/>
      <c r="G1056" s="160"/>
      <c r="H1056" s="160"/>
      <c r="I1056" s="160"/>
      <c r="J1056" s="160"/>
      <c r="L1056" s="160"/>
      <c r="M1056" s="160"/>
      <c r="N1056" s="160"/>
      <c r="O1056" s="160"/>
      <c r="P1056" s="160"/>
    </row>
    <row r="1057" spans="3:16" x14ac:dyDescent="0.25">
      <c r="C1057" s="160"/>
      <c r="E1057" s="160"/>
      <c r="F1057" s="160"/>
      <c r="G1057" s="160"/>
      <c r="H1057" s="160"/>
      <c r="I1057" s="160"/>
      <c r="J1057" s="160"/>
      <c r="L1057" s="160"/>
      <c r="M1057" s="160"/>
      <c r="N1057" s="160"/>
      <c r="O1057" s="160"/>
      <c r="P1057" s="160"/>
    </row>
    <row r="1058" spans="3:16" x14ac:dyDescent="0.25">
      <c r="C1058" s="160"/>
      <c r="E1058" s="160"/>
      <c r="F1058" s="160"/>
      <c r="G1058" s="160"/>
      <c r="H1058" s="160"/>
      <c r="I1058" s="160"/>
      <c r="J1058" s="160"/>
      <c r="L1058" s="160"/>
      <c r="M1058" s="160"/>
      <c r="N1058" s="160"/>
      <c r="O1058" s="160"/>
      <c r="P1058" s="160"/>
    </row>
    <row r="1059" spans="3:16" x14ac:dyDescent="0.25">
      <c r="C1059" s="160"/>
      <c r="E1059" s="160"/>
      <c r="F1059" s="160"/>
      <c r="G1059" s="160"/>
      <c r="H1059" s="160"/>
      <c r="I1059" s="160"/>
      <c r="J1059" s="160"/>
      <c r="L1059" s="160"/>
      <c r="M1059" s="160"/>
      <c r="N1059" s="160"/>
      <c r="O1059" s="160"/>
      <c r="P1059" s="160"/>
    </row>
  </sheetData>
  <conditionalFormatting sqref="C5:C6 B4:B32 D5:F5 B2 C4:F4 B33:C1007"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{41F4ABAC-8CA0-442C-A4F8-39336E9DAD30}</x14:id>
        </ext>
      </extLst>
    </cfRule>
  </conditionalFormatting>
  <conditionalFormatting sqref="C7">
    <cfRule type="containsText" dxfId="11" priority="33" operator="containsText" text="false">
      <formula>NÃO(ÉERROS(LOCALIZAR("false",C7)))</formula>
    </cfRule>
  </conditionalFormatting>
  <conditionalFormatting sqref="C8:C32">
    <cfRule type="containsText" dxfId="10" priority="39" operator="containsText" text="false">
      <formula>NÃO(ÉERROS(LOCALIZAR("false",C8)))</formula>
    </cfRule>
    <cfRule type="containsText" dxfId="9" priority="36" operator="containsText" text="false">
      <formula>NÃO(ÉERROS(LOCALIZAR("false",C8)))</formula>
    </cfRule>
    <cfRule type="containsText" dxfId="8" priority="37" operator="containsText" text="false">
      <formula>NÃO(ÉERROS(LOCALIZAR("false",C8)))</formula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4:D1004">
    <cfRule type="dataBar" priority="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{96A7EB63-6806-4919-A389-836EFB4B5F1B}</x14:id>
        </ext>
      </extLst>
    </cfRule>
  </conditionalFormatting>
  <conditionalFormatting sqref="D1007:E1007">
    <cfRule type="cellIs" dxfId="7" priority="6" operator="equal">
      <formula>0</formula>
    </cfRule>
    <cfRule type="containsText" dxfId="6" priority="7" operator="containsText" text="false">
      <formula>NÃO(ÉERROS(LOCALIZAR("false",D1007)))</formula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{1589F0A8-42E4-436E-8E93-8B07CFDF1DF0}</x14:id>
        </ext>
      </extLst>
    </cfRule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{EEB23840-BA52-4F94-AE2C-B8D6037FF2F2}</x14:id>
        </ext>
      </extLst>
    </cfRule>
  </conditionalFormatting>
  <conditionalFormatting sqref="D8:F32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{3A2A851B-D617-43C4-B92A-F6992F0D5962}</x14:id>
        </ext>
      </extLst>
    </cfRule>
  </conditionalFormatting>
  <conditionalFormatting sqref="D33:F33">
    <cfRule type="cellIs" dxfId="5" priority="2" operator="equal">
      <formula>0</formula>
    </cfRule>
    <cfRule type="containsText" dxfId="4" priority="3" operator="containsText" text="false">
      <formula>NÃO(ÉERROS(LOCALIZAR("false",D33)))</formula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{BCB56FC2-6ED3-49DF-8059-CF7EE1883BD2}</x14:id>
        </ext>
      </extLst>
    </cfRule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{9648D6F2-588C-40BD-A8A6-1856BFA60FFE}</x14:id>
        </ext>
      </extLst>
    </cfRule>
  </conditionalFormatting>
  <conditionalFormatting sqref="E3:F3">
    <cfRule type="dataBar" priority="5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{33A3F335-B719-483D-9B76-473B8F98236A}</x14:id>
        </ext>
      </extLst>
    </cfRule>
  </conditionalFormatting>
  <conditionalFormatting sqref="F1005:F1007">
    <cfRule type="containsText" dxfId="3" priority="11" operator="containsText" text="false">
      <formula>NÃO(ÉERROS(LOCALIZAR("false",F1005)))</formula>
    </cfRule>
    <cfRule type="cellIs" dxfId="2" priority="10" operator="equal">
      <formula>0</formula>
    </cfRule>
    <cfRule type="dataBar" priority="5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{395D23A0-6EBD-4312-8EBE-D28B60A14879}</x14:id>
        </ext>
      </extLst>
    </cfRule>
    <cfRule type="dataBar" priority="5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{0E59D558-477E-46D0-897D-204DA1F133C9}</x14:id>
        </ext>
      </extLst>
    </cfRule>
  </conditionalFormatting>
  <conditionalFormatting sqref="G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{017ADAA7-FCE3-4FF9-AE62-A16441304199}</x14:id>
        </ext>
      </extLst>
    </cfRule>
  </conditionalFormatting>
  <conditionalFormatting sqref="G5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{7F212377-A6FD-4DF3-8C67-6106D6D68C3B}</x14:id>
        </ext>
      </extLst>
    </cfRule>
  </conditionalFormatting>
  <conditionalFormatting sqref="G8:G32">
    <cfRule type="dataBar" priority="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{F06C9F86-6E6A-49FF-BA1D-569AACFA11EA}</x14:id>
        </ext>
      </extLst>
    </cfRule>
  </conditionalFormatting>
  <conditionalFormatting sqref="G1007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{039AAF98-3076-401F-A9CD-8403519C1964}</x14:id>
        </ext>
      </extLst>
    </cfRule>
  </conditionalFormatting>
  <conditionalFormatting sqref="G33:M1006 D34:G1004">
    <cfRule type="dataBar" priority="6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{BB15A332-65B8-4192-8308-9E62CD2E442B}</x14:id>
        </ext>
      </extLst>
    </cfRule>
  </conditionalFormatting>
  <conditionalFormatting sqref="G33:M1007 D34:G1004">
    <cfRule type="cellIs" dxfId="1" priority="28" operator="equal">
      <formula>0</formula>
    </cfRule>
    <cfRule type="containsText" dxfId="0" priority="35" operator="containsText" text="false">
      <formula>NÃO(ÉERROS(LOCALIZAR("false",D33)))</formula>
    </cfRule>
  </conditionalFormatting>
  <conditionalFormatting sqref="H4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{325C19A3-2ED7-4570-8FC2-AA8DD353344D}</x14:id>
        </ext>
      </extLst>
    </cfRule>
  </conditionalFormatting>
  <conditionalFormatting sqref="H5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{9FE27460-D6A0-4778-81BF-D1A6E7E4CA0F}</x14:id>
        </ext>
      </extLst>
    </cfRule>
  </conditionalFormatting>
  <conditionalFormatting sqref="H8:H32">
    <cfRule type="dataBar" priority="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{1D3A4574-D2E6-41E4-B64E-83D3521EA34F}</x14:id>
        </ext>
      </extLst>
    </cfRule>
  </conditionalFormatting>
  <conditionalFormatting sqref="H1007:J1007">
    <cfRule type="dataBar" priority="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{84243AF6-F96E-443B-8E6F-1EA42857DF65}</x14:id>
        </ext>
      </extLst>
    </cfRule>
  </conditionalFormatting>
  <conditionalFormatting sqref="H1007:K1007 G33:M1006 D34:G1004">
    <cfRule type="dataBar" priority="6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{29382351-5A28-4C25-9D4E-4D240553FEFD}</x14:id>
        </ext>
      </extLst>
    </cfRule>
  </conditionalFormatting>
  <conditionalFormatting sqref="I8:I3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{4CD8D1D9-8A71-4EF9-A05C-1DFBFAE96DDD}</x14:id>
        </ext>
      </extLst>
    </cfRule>
  </conditionalFormatting>
  <conditionalFormatting sqref="J8:J3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{3B6A1A4C-9B82-4C80-8CB3-9F50B0A162A2}</x14:id>
        </ext>
      </extLst>
    </cfRule>
  </conditionalFormatting>
  <conditionalFormatting sqref="K7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{FFA2FC54-CCDE-496F-BC0D-90EFF8B82C6C}</x14:id>
        </ext>
      </extLst>
    </cfRule>
  </conditionalFormatting>
  <conditionalFormatting sqref="K8:K32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07">
    <cfRule type="dataBar" priority="6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{B6FEC946-86FA-41B4-9E13-76187C58803D}</x14:id>
        </ext>
      </extLst>
    </cfRule>
  </conditionalFormatting>
  <conditionalFormatting sqref="L7:M7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{7DE2050D-BFF4-418D-9D40-B3A8A1462BE3}</x14:id>
        </ext>
      </extLst>
    </cfRule>
  </conditionalFormatting>
  <conditionalFormatting sqref="L1007:M1007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{5E79EB3B-7DA4-4586-A6FE-85D8EC7DC523}</x14:id>
        </ext>
      </extLst>
    </cfRule>
    <cfRule type="dataBar" priority="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{B9A3B6C6-1291-49CF-8971-E71130E2DE07}</x14:id>
        </ext>
      </extLst>
    </cfRule>
  </conditionalFormatting>
  <conditionalFormatting sqref="M8:M32">
    <cfRule type="dataBar" priority="51">
      <dataBar>
        <cfvo type="min"/>
        <cfvo type="max"/>
        <color rgb="FF0000FF"/>
      </dataBar>
      <extLst>
        <ext xmlns:x14="http://schemas.microsoft.com/office/spreadsheetml/2009/9/main" uri="{B025F937-C7B1-47D3-B67F-A62EFF666E3E}">
          <x14:id>{4D72FF38-C7D3-433E-B33F-94886C9FB879}</x14:id>
        </ext>
      </extLst>
    </cfRule>
  </conditionalFormatting>
  <pageMargins left="0.75" right="0.75" top="1" bottom="1" header="0.5" footer="0.5"/>
  <pageSetup orientation="portrait" r:id="rId1"/>
  <headerFooter alignWithMargins="0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F4ABAC-8CA0-442C-A4F8-39336E9DAD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C5:C6 B4:B32 D5:F5 B2 C4:F4 B33:C1007</xm:sqref>
        </x14:conditionalFormatting>
        <x14:conditionalFormatting xmlns:xm="http://schemas.microsoft.com/office/excel/2006/main">
          <x14:cfRule type="dataBar" id="{96A7EB63-6806-4919-A389-836EFB4B5F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D34:D1004</xm:sqref>
        </x14:conditionalFormatting>
        <x14:conditionalFormatting xmlns:xm="http://schemas.microsoft.com/office/excel/2006/main">
          <x14:cfRule type="dataBar" id="{1589F0A8-42E4-436E-8E93-8B07CFDF1D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B23840-BA52-4F94-AE2C-B8D6037FF2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D1007:E1007</xm:sqref>
        </x14:conditionalFormatting>
        <x14:conditionalFormatting xmlns:xm="http://schemas.microsoft.com/office/excel/2006/main">
          <x14:cfRule type="dataBar" id="{3A2A851B-D617-43C4-B92A-F6992F0D59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D8:F32</xm:sqref>
        </x14:conditionalFormatting>
        <x14:conditionalFormatting xmlns:xm="http://schemas.microsoft.com/office/excel/2006/main">
          <x14:cfRule type="dataBar" id="{BCB56FC2-6ED3-49DF-8059-CF7EE1883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48D6F2-588C-40BD-A8A6-1856BFA60F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D33:F33</xm:sqref>
        </x14:conditionalFormatting>
        <x14:conditionalFormatting xmlns:xm="http://schemas.microsoft.com/office/excel/2006/main">
          <x14:cfRule type="dataBar" id="{33A3F335-B719-483D-9B76-473B8F982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E3:F3</xm:sqref>
        </x14:conditionalFormatting>
        <x14:conditionalFormatting xmlns:xm="http://schemas.microsoft.com/office/excel/2006/main">
          <x14:cfRule type="dataBar" id="{395D23A0-6EBD-4312-8EBE-D28B60A148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59D558-477E-46D0-897D-204DA1F133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F1005:F1007</xm:sqref>
        </x14:conditionalFormatting>
        <x14:conditionalFormatting xmlns:xm="http://schemas.microsoft.com/office/excel/2006/main">
          <x14:cfRule type="dataBar" id="{017ADAA7-FCE3-4FF9-AE62-A164413041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</xm:sqref>
        </x14:conditionalFormatting>
        <x14:conditionalFormatting xmlns:xm="http://schemas.microsoft.com/office/excel/2006/main">
          <x14:cfRule type="dataBar" id="{7F212377-A6FD-4DF3-8C67-6106D6D68C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</xm:sqref>
        </x14:conditionalFormatting>
        <x14:conditionalFormatting xmlns:xm="http://schemas.microsoft.com/office/excel/2006/main">
          <x14:cfRule type="dataBar" id="{F06C9F86-6E6A-49FF-BA1D-569AACFA11E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G8:G32</xm:sqref>
        </x14:conditionalFormatting>
        <x14:conditionalFormatting xmlns:xm="http://schemas.microsoft.com/office/excel/2006/main">
          <x14:cfRule type="dataBar" id="{039AAF98-3076-401F-A9CD-8403519C19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G1007</xm:sqref>
        </x14:conditionalFormatting>
        <x14:conditionalFormatting xmlns:xm="http://schemas.microsoft.com/office/excel/2006/main">
          <x14:cfRule type="dataBar" id="{BB15A332-65B8-4192-8308-9E62CD2E44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G33:M1006 D34:G1004</xm:sqref>
        </x14:conditionalFormatting>
        <x14:conditionalFormatting xmlns:xm="http://schemas.microsoft.com/office/excel/2006/main">
          <x14:cfRule type="dataBar" id="{325C19A3-2ED7-4570-8FC2-AA8DD3533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9FE27460-D6A0-4778-81BF-D1A6E7E4CA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</xm:sqref>
        </x14:conditionalFormatting>
        <x14:conditionalFormatting xmlns:xm="http://schemas.microsoft.com/office/excel/2006/main">
          <x14:cfRule type="dataBar" id="{1D3A4574-D2E6-41E4-B64E-83D3521EA3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H8:H32</xm:sqref>
        </x14:conditionalFormatting>
        <x14:conditionalFormatting xmlns:xm="http://schemas.microsoft.com/office/excel/2006/main">
          <x14:cfRule type="dataBar" id="{84243AF6-F96E-443B-8E6F-1EA42857DF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H1007:J1007</xm:sqref>
        </x14:conditionalFormatting>
        <x14:conditionalFormatting xmlns:xm="http://schemas.microsoft.com/office/excel/2006/main">
          <x14:cfRule type="dataBar" id="{29382351-5A28-4C25-9D4E-4D240553FE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H1007:K1007 G33:M1006 D34:G1004</xm:sqref>
        </x14:conditionalFormatting>
        <x14:conditionalFormatting xmlns:xm="http://schemas.microsoft.com/office/excel/2006/main">
          <x14:cfRule type="dataBar" id="{4CD8D1D9-8A71-4EF9-A05C-1DFBFAE96D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I8:I32</xm:sqref>
        </x14:conditionalFormatting>
        <x14:conditionalFormatting xmlns:xm="http://schemas.microsoft.com/office/excel/2006/main">
          <x14:cfRule type="dataBar" id="{3B6A1A4C-9B82-4C80-8CB3-9F50B0A162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J8:J32</xm:sqref>
        </x14:conditionalFormatting>
        <x14:conditionalFormatting xmlns:xm="http://schemas.microsoft.com/office/excel/2006/main">
          <x14:cfRule type="dataBar" id="{FFA2FC54-CCDE-496F-BC0D-90EFF8B82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B6FEC946-86FA-41B4-9E13-76187C5880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K1007</xm:sqref>
        </x14:conditionalFormatting>
        <x14:conditionalFormatting xmlns:xm="http://schemas.microsoft.com/office/excel/2006/main">
          <x14:cfRule type="dataBar" id="{7DE2050D-BFF4-418D-9D40-B3A8A1462B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L7:M7</xm:sqref>
        </x14:conditionalFormatting>
        <x14:conditionalFormatting xmlns:xm="http://schemas.microsoft.com/office/excel/2006/main">
          <x14:cfRule type="dataBar" id="{5E79EB3B-7DA4-4586-A6FE-85D8EC7DC5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A3B6C6-1291-49CF-8971-E71130E2DE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L1007:M1007</xm:sqref>
        </x14:conditionalFormatting>
        <x14:conditionalFormatting xmlns:xm="http://schemas.microsoft.com/office/excel/2006/main">
          <x14:cfRule type="dataBar" id="{4D72FF38-C7D3-433E-B33F-94886C9FB8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M8:M32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PDF</vt:lpstr>
      <vt:lpstr>5</vt:lpstr>
      <vt:lpstr>PDF (2)</vt:lpstr>
      <vt:lpstr>PDF (3)</vt:lpstr>
      <vt:lpstr>PDF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2023-01-13T10:44:52Z</dcterms:created>
  <dcterms:modified xsi:type="dcterms:W3CDTF">2026-01-23T10:06:06Z</dcterms:modified>
</cp:coreProperties>
</file>